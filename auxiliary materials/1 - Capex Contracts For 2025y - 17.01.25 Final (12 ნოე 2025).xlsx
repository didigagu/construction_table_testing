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0" documentId="13_ncr:1_{9652A91E-304A-4474-BC19-E6E965A281DA}" xr6:coauthVersionLast="47" xr6:coauthVersionMax="47" xr10:uidLastSave="{00000000-0000-0000-0000-000000000000}"/>
  <bookViews>
    <workbookView xWindow="270" yWindow="390" windowWidth="57330" windowHeight="14880" tabRatio="927" activeTab="9" xr2:uid="{00000000-000D-0000-FFFF-FFFF00000000}"/>
  </bookViews>
  <sheets>
    <sheet name="ALL-saboloo (NEW)" sheetId="26" r:id="rId1"/>
    <sheet name="ინტერსერვისი SGG" sheetId="13" r:id="rId2"/>
    <sheet name="ინტერსერვისი SOG" sheetId="14" r:id="rId3"/>
    <sheet name="გაზკონსტრაქტი SGG" sheetId="20" r:id="rId4"/>
    <sheet name="გაზკონსტრაქტი SOG" sheetId="21" r:id="rId5"/>
    <sheet name="გაზსერვისი SGG" sheetId="11" r:id="rId6"/>
    <sheet name="გაზსერვისი SOG" sheetId="12" r:id="rId7"/>
    <sheet name="ენერჯი სერვისი SGG" sheetId="22" r:id="rId8"/>
    <sheet name="ენერჯი სერვისი SOG" sheetId="23" r:id="rId9"/>
    <sheet name="GeoGazProj (SGG)" sheetId="2" r:id="rId10"/>
    <sheet name="GeoGazProj (SOG)" sheetId="3" r:id="rId11"/>
    <sheet name="ინტერგაზი SGG" sheetId="18" r:id="rId12"/>
    <sheet name="ინტერგაზი SOG" sheetId="19" r:id="rId13"/>
    <sheet name="არქმშენსერვისი SGG" sheetId="6" r:id="rId14"/>
    <sheet name="არქმშენსერვისი SOG" sheetId="7" r:id="rId15"/>
    <sheet name="უნიმშენი SGG" sheetId="8" r:id="rId16"/>
    <sheet name="ბრიჯი SGG" sheetId="4" r:id="rId17"/>
    <sheet name="ბრიჯი SOG" sheetId="5" r:id="rId18"/>
    <sheet name="არქიტექტ პროჯექტ კომპანი SGG" sheetId="15" r:id="rId19"/>
    <sheet name="არქიტექტ პროჯექტ კომპანი SOG" sheetId="16" r:id="rId20"/>
    <sheet name="ჯი პი SGG" sheetId="17" r:id="rId21"/>
  </sheets>
  <definedNames>
    <definedName name="_xlnm._FilterDatabase" localSheetId="9" hidden="1">'GeoGazProj (SGG)'!$A$8:$DS$28</definedName>
    <definedName name="_xlnm._FilterDatabase" localSheetId="10" hidden="1">'GeoGazProj (SOG)'!$A$8:$DO$12</definedName>
    <definedName name="_xlnm._FilterDatabase" localSheetId="13" hidden="1">'არქმშენსერვისი SGG'!$A$8:$DR$8</definedName>
    <definedName name="_xlnm._FilterDatabase" localSheetId="3" hidden="1">'გაზკონსტრაქტი SGG'!$A$8:$DU$134</definedName>
    <definedName name="_xlnm._FilterDatabase" localSheetId="4" hidden="1">'გაზკონსტრაქტი SOG'!$A$8:$DR$140</definedName>
    <definedName name="_xlnm._FilterDatabase" localSheetId="5" hidden="1">'გაზსერვისი SGG'!$A$8:$DO$84</definedName>
    <definedName name="_xlnm._FilterDatabase" localSheetId="6" hidden="1">'გაზსერვისი SOG'!$A$8:$DN$74</definedName>
    <definedName name="_xlnm._FilterDatabase" localSheetId="12" hidden="1">'ინტერგაზი SOG'!$A$8:$DT$22</definedName>
    <definedName name="_xlnm._FilterDatabase" localSheetId="1" hidden="1">'ინტერსერვისი SGG'!$A$8:$DP$155</definedName>
    <definedName name="_xlnm._FilterDatabase" localSheetId="2" hidden="1">'ინტერსერვისი SOG'!$A$8:$DN$59</definedName>
    <definedName name="_xlnm._FilterDatabase" localSheetId="15" hidden="1">'უნიმშენი SGG'!$A$8:$DU$38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C15" i="2" l="1"/>
  <c r="AN55" i="26" l="1"/>
  <c r="AM52" i="26"/>
  <c r="AN54" i="26"/>
  <c r="A7" i="22"/>
  <c r="B7" i="22"/>
  <c r="C7" i="22"/>
  <c r="D7" i="22"/>
  <c r="E7" i="22"/>
  <c r="F7" i="22"/>
  <c r="G7" i="22"/>
  <c r="H7" i="22"/>
  <c r="I7" i="22"/>
  <c r="J7" i="22"/>
  <c r="K7" i="22"/>
  <c r="L7" i="22"/>
  <c r="M7" i="22"/>
  <c r="N7" i="22"/>
  <c r="P7" i="22"/>
  <c r="Q7" i="22"/>
  <c r="R7" i="22"/>
  <c r="S7" i="22"/>
  <c r="T7" i="22"/>
  <c r="U7" i="22"/>
  <c r="V7" i="22"/>
  <c r="W7" i="22"/>
  <c r="X7" i="22"/>
  <c r="Y7" i="22"/>
  <c r="Z7" i="22"/>
  <c r="AA7" i="22"/>
  <c r="AB7" i="22"/>
  <c r="AC7" i="22"/>
  <c r="AD7" i="22"/>
  <c r="AE7" i="22"/>
  <c r="AF7" i="22"/>
  <c r="AG7" i="22"/>
  <c r="AH7" i="22"/>
  <c r="AI7" i="22"/>
  <c r="AJ7" i="22"/>
  <c r="AK7" i="22"/>
  <c r="AL7" i="22"/>
  <c r="AM7" i="22"/>
  <c r="AN7" i="22"/>
  <c r="AO7" i="22"/>
  <c r="AP7" i="22"/>
  <c r="AQ7" i="22"/>
  <c r="AR7" i="22"/>
  <c r="AS7" i="22"/>
  <c r="AT7" i="22"/>
  <c r="AU7" i="22"/>
  <c r="AV7" i="22"/>
  <c r="AW7" i="22"/>
  <c r="AX7" i="22"/>
  <c r="AY7" i="22"/>
  <c r="AZ7" i="22"/>
  <c r="BA7" i="22"/>
  <c r="BB7" i="22"/>
  <c r="BC7" i="22"/>
  <c r="BD7" i="22"/>
  <c r="BE7" i="22"/>
  <c r="BF7" i="22"/>
  <c r="BG7" i="22"/>
  <c r="BH7" i="22"/>
  <c r="BI7" i="22"/>
  <c r="BJ7" i="22"/>
  <c r="BK7" i="22"/>
  <c r="BL7" i="22"/>
  <c r="BM7" i="22"/>
  <c r="BN7" i="22"/>
  <c r="BO7" i="22"/>
  <c r="BP7" i="22"/>
  <c r="BQ7" i="22"/>
  <c r="BR7" i="22"/>
  <c r="BS7" i="22"/>
  <c r="BT7" i="22"/>
  <c r="BU7" i="22"/>
  <c r="BV7" i="22"/>
  <c r="BW7" i="22"/>
  <c r="BX7" i="22"/>
  <c r="BY7" i="22"/>
  <c r="BZ7" i="22"/>
  <c r="CA7" i="22"/>
  <c r="CB7" i="22"/>
  <c r="CC7" i="22"/>
  <c r="CD7" i="22"/>
  <c r="CE7" i="22"/>
  <c r="CF7" i="22"/>
  <c r="CG7" i="22"/>
  <c r="CH7" i="22"/>
  <c r="CI7" i="22"/>
  <c r="CJ7" i="22"/>
  <c r="CK7" i="22"/>
  <c r="CL7" i="22"/>
  <c r="CM7" i="22"/>
  <c r="CN7" i="22"/>
  <c r="CO7" i="22"/>
  <c r="CP7" i="22"/>
  <c r="CQ7" i="22"/>
  <c r="CR7" i="22"/>
  <c r="CS7" i="22"/>
  <c r="CT7" i="22"/>
  <c r="CU7" i="22"/>
  <c r="CV7" i="22"/>
  <c r="CW7" i="22"/>
  <c r="CX7" i="22"/>
  <c r="CZ7" i="22"/>
  <c r="DA7" i="22"/>
  <c r="DB7" i="22"/>
  <c r="DC7" i="22"/>
  <c r="DD7" i="22"/>
  <c r="DE7" i="22"/>
  <c r="DF7" i="22"/>
  <c r="DH7" i="22"/>
  <c r="DJ7" i="22"/>
  <c r="R53" i="22" l="1"/>
  <c r="S53" i="22"/>
  <c r="X53" i="22"/>
  <c r="Y53" i="22"/>
  <c r="AD53" i="22"/>
  <c r="AE53" i="22"/>
  <c r="AF53" i="22"/>
  <c r="AG53" i="22"/>
  <c r="AH53" i="22"/>
  <c r="AI53" i="22"/>
  <c r="AJ53" i="22"/>
  <c r="AP53" i="22"/>
  <c r="AQ53" i="22"/>
  <c r="AV53" i="22"/>
  <c r="AW53" i="22"/>
  <c r="BB53" i="22"/>
  <c r="BC53" i="22"/>
  <c r="BH53" i="22"/>
  <c r="BI53" i="22"/>
  <c r="BN53" i="22"/>
  <c r="BO53" i="22"/>
  <c r="BT53" i="22"/>
  <c r="BU53" i="22"/>
  <c r="BZ53" i="22"/>
  <c r="CA53" i="22"/>
  <c r="CF53" i="22"/>
  <c r="CG53" i="22"/>
  <c r="CL53" i="22"/>
  <c r="CM53" i="22"/>
  <c r="CR53" i="22"/>
  <c r="CS53" i="22"/>
  <c r="CX53" i="22"/>
  <c r="CY53" i="22"/>
  <c r="DD53" i="22"/>
  <c r="DE53" i="22"/>
  <c r="DF53" i="22"/>
  <c r="DG53" i="22"/>
  <c r="DK53" i="22" s="1"/>
  <c r="DH53" i="22"/>
  <c r="DI53" i="22"/>
  <c r="R54" i="22"/>
  <c r="S54" i="22"/>
  <c r="X54" i="22"/>
  <c r="Y54" i="22"/>
  <c r="AD54" i="22"/>
  <c r="AE54" i="22"/>
  <c r="AF54" i="22"/>
  <c r="AJ54" i="22" s="1"/>
  <c r="AG54" i="22"/>
  <c r="AK54" i="22" s="1"/>
  <c r="AH54" i="22"/>
  <c r="AI54" i="22"/>
  <c r="AP54" i="22"/>
  <c r="AQ54" i="22"/>
  <c r="AV54" i="22"/>
  <c r="AW54" i="22"/>
  <c r="BB54" i="22"/>
  <c r="BC54" i="22"/>
  <c r="BH54" i="22"/>
  <c r="BI54" i="22"/>
  <c r="BN54" i="22"/>
  <c r="BO54" i="22"/>
  <c r="BT54" i="22"/>
  <c r="BU54" i="22"/>
  <c r="BZ54" i="22"/>
  <c r="CA54" i="22"/>
  <c r="CF54" i="22"/>
  <c r="CG54" i="22"/>
  <c r="CL54" i="22"/>
  <c r="CM54" i="22"/>
  <c r="CR54" i="22"/>
  <c r="CS54" i="22"/>
  <c r="CX54" i="22"/>
  <c r="CY54" i="22"/>
  <c r="DD54" i="22"/>
  <c r="DE54" i="22"/>
  <c r="DF54" i="22"/>
  <c r="DG54" i="22"/>
  <c r="DG7" i="22" s="1"/>
  <c r="DH54" i="22"/>
  <c r="DI54" i="22"/>
  <c r="DK54" i="22"/>
  <c r="R55" i="22"/>
  <c r="S55" i="22"/>
  <c r="X55" i="22"/>
  <c r="Y55" i="22"/>
  <c r="AD55" i="22"/>
  <c r="AE55" i="22"/>
  <c r="AF55" i="22"/>
  <c r="AJ55" i="22" s="1"/>
  <c r="AG55" i="22"/>
  <c r="AH55" i="22"/>
  <c r="AI55" i="22"/>
  <c r="AP55" i="22"/>
  <c r="AQ55" i="22"/>
  <c r="AV55" i="22"/>
  <c r="AW55" i="22"/>
  <c r="BB55" i="22"/>
  <c r="BC55" i="22"/>
  <c r="BH55" i="22"/>
  <c r="BI55" i="22"/>
  <c r="BN55" i="22"/>
  <c r="BO55" i="22"/>
  <c r="BT55" i="22"/>
  <c r="BU55" i="22"/>
  <c r="BZ55" i="22"/>
  <c r="CA55" i="22"/>
  <c r="CF55" i="22"/>
  <c r="CG55" i="22"/>
  <c r="CL55" i="22"/>
  <c r="CM55" i="22"/>
  <c r="CR55" i="22"/>
  <c r="CS55" i="22"/>
  <c r="CX55" i="22"/>
  <c r="CY55" i="22"/>
  <c r="DD55" i="22"/>
  <c r="DE55" i="22"/>
  <c r="DF55" i="22"/>
  <c r="DG55" i="22"/>
  <c r="DH55" i="22"/>
  <c r="DI55" i="22"/>
  <c r="DK55" i="22"/>
  <c r="R56" i="22"/>
  <c r="S56" i="22"/>
  <c r="X56" i="22"/>
  <c r="Y56" i="22"/>
  <c r="AD56" i="22"/>
  <c r="AE56" i="22"/>
  <c r="AF56" i="22"/>
  <c r="AJ56" i="22" s="1"/>
  <c r="AG56" i="22"/>
  <c r="AH56" i="22"/>
  <c r="AI56" i="22"/>
  <c r="AP56" i="22"/>
  <c r="AQ56" i="22"/>
  <c r="AV56" i="22"/>
  <c r="AW56" i="22"/>
  <c r="BB56" i="22"/>
  <c r="BC56" i="22"/>
  <c r="BH56" i="22"/>
  <c r="BI56" i="22"/>
  <c r="BN56" i="22"/>
  <c r="BO56" i="22"/>
  <c r="BT56" i="22"/>
  <c r="BU56" i="22"/>
  <c r="BZ56" i="22"/>
  <c r="CA56" i="22"/>
  <c r="CF56" i="22"/>
  <c r="CG56" i="22"/>
  <c r="CL56" i="22"/>
  <c r="CM56" i="22"/>
  <c r="CR56" i="22"/>
  <c r="CS56" i="22"/>
  <c r="CX56" i="22"/>
  <c r="CY56" i="22"/>
  <c r="DD56" i="22"/>
  <c r="DE56" i="22"/>
  <c r="DF56" i="22"/>
  <c r="DG56" i="22"/>
  <c r="DH56" i="22"/>
  <c r="DI56" i="22"/>
  <c r="DK56" i="22"/>
  <c r="R57" i="22"/>
  <c r="S57" i="22"/>
  <c r="X57" i="22"/>
  <c r="Y57" i="22"/>
  <c r="AD57" i="22"/>
  <c r="AE57" i="22"/>
  <c r="AF57" i="22"/>
  <c r="AJ57" i="22" s="1"/>
  <c r="AG57" i="22"/>
  <c r="AH57" i="22"/>
  <c r="AI57" i="22"/>
  <c r="AP57" i="22"/>
  <c r="AQ57" i="22"/>
  <c r="AV57" i="22"/>
  <c r="AW57" i="22"/>
  <c r="BB57" i="22"/>
  <c r="BC57" i="22"/>
  <c r="BH57" i="22"/>
  <c r="BI57" i="22"/>
  <c r="BN57" i="22"/>
  <c r="BO57" i="22"/>
  <c r="BT57" i="22"/>
  <c r="BU57" i="22"/>
  <c r="BZ57" i="22"/>
  <c r="CA57" i="22"/>
  <c r="CF57" i="22"/>
  <c r="CG57" i="22"/>
  <c r="CL57" i="22"/>
  <c r="CM57" i="22"/>
  <c r="CR57" i="22"/>
  <c r="CS57" i="22"/>
  <c r="CX57" i="22"/>
  <c r="CY57" i="22"/>
  <c r="DD57" i="22"/>
  <c r="DE57" i="22"/>
  <c r="DF57" i="22"/>
  <c r="DJ57" i="22" s="1"/>
  <c r="F57" i="22" s="1"/>
  <c r="DG57" i="22"/>
  <c r="DH57" i="22"/>
  <c r="DI57" i="22"/>
  <c r="DK57" i="22"/>
  <c r="R58" i="22"/>
  <c r="S58" i="22"/>
  <c r="X58" i="22"/>
  <c r="Y58" i="22"/>
  <c r="AD58" i="22"/>
  <c r="AE58" i="22"/>
  <c r="AF58" i="22"/>
  <c r="AJ58" i="22" s="1"/>
  <c r="AG58" i="22"/>
  <c r="AH58" i="22"/>
  <c r="AI58" i="22"/>
  <c r="AP58" i="22"/>
  <c r="AQ58" i="22"/>
  <c r="AV58" i="22"/>
  <c r="AW58" i="22"/>
  <c r="BB58" i="22"/>
  <c r="BC58" i="22"/>
  <c r="BH58" i="22"/>
  <c r="BI58" i="22"/>
  <c r="BN58" i="22"/>
  <c r="BO58" i="22"/>
  <c r="BT58" i="22"/>
  <c r="BU58" i="22"/>
  <c r="BZ58" i="22"/>
  <c r="CA58" i="22"/>
  <c r="CF58" i="22"/>
  <c r="CG58" i="22"/>
  <c r="CL58" i="22"/>
  <c r="CM58" i="22"/>
  <c r="CR58" i="22"/>
  <c r="CS58" i="22"/>
  <c r="CX58" i="22"/>
  <c r="CY58" i="22"/>
  <c r="DD58" i="22"/>
  <c r="DE58" i="22"/>
  <c r="DF58" i="22"/>
  <c r="DG58" i="22"/>
  <c r="DH58" i="22"/>
  <c r="DI58" i="22"/>
  <c r="DK58" i="22"/>
  <c r="R59" i="22"/>
  <c r="S59" i="22"/>
  <c r="X59" i="22"/>
  <c r="Y59" i="22"/>
  <c r="AD59" i="22"/>
  <c r="AE59" i="22"/>
  <c r="AF59" i="22"/>
  <c r="AJ59" i="22" s="1"/>
  <c r="AG59" i="22"/>
  <c r="AK59" i="22" s="1"/>
  <c r="AH59" i="22"/>
  <c r="AI59" i="22"/>
  <c r="AP59" i="22"/>
  <c r="AQ59" i="22"/>
  <c r="AV59" i="22"/>
  <c r="AW59" i="22"/>
  <c r="BB59" i="22"/>
  <c r="BC59" i="22"/>
  <c r="BH59" i="22"/>
  <c r="BI59" i="22"/>
  <c r="BN59" i="22"/>
  <c r="BO59" i="22"/>
  <c r="BT59" i="22"/>
  <c r="BU59" i="22"/>
  <c r="BZ59" i="22"/>
  <c r="CA59" i="22"/>
  <c r="CF59" i="22"/>
  <c r="CG59" i="22"/>
  <c r="CL59" i="22"/>
  <c r="CM59" i="22"/>
  <c r="CR59" i="22"/>
  <c r="CS59" i="22"/>
  <c r="CX59" i="22"/>
  <c r="CY59" i="22"/>
  <c r="DD59" i="22"/>
  <c r="DE59" i="22"/>
  <c r="DF59" i="22"/>
  <c r="DG59" i="22"/>
  <c r="DH59" i="22"/>
  <c r="DI59" i="22"/>
  <c r="DK59" i="22"/>
  <c r="R60" i="22"/>
  <c r="S60" i="22"/>
  <c r="X60" i="22"/>
  <c r="Y60" i="22"/>
  <c r="AD60" i="22"/>
  <c r="AE60" i="22"/>
  <c r="AF60" i="22"/>
  <c r="AJ60" i="22" s="1"/>
  <c r="AG60" i="22"/>
  <c r="AK60" i="22" s="1"/>
  <c r="AH60" i="22"/>
  <c r="AI60" i="22"/>
  <c r="AP60" i="22"/>
  <c r="AQ60" i="22"/>
  <c r="AV60" i="22"/>
  <c r="AW60" i="22"/>
  <c r="BB60" i="22"/>
  <c r="BC60" i="22"/>
  <c r="BH60" i="22"/>
  <c r="BI60" i="22"/>
  <c r="BN60" i="22"/>
  <c r="BO60" i="22"/>
  <c r="BT60" i="22"/>
  <c r="BU60" i="22"/>
  <c r="BZ60" i="22"/>
  <c r="CA60" i="22"/>
  <c r="CF60" i="22"/>
  <c r="CG60" i="22"/>
  <c r="CL60" i="22"/>
  <c r="CM60" i="22"/>
  <c r="CR60" i="22"/>
  <c r="CS60" i="22"/>
  <c r="CX60" i="22"/>
  <c r="CY60" i="22"/>
  <c r="DD60" i="22"/>
  <c r="DE60" i="22"/>
  <c r="DF60" i="22"/>
  <c r="DG60" i="22"/>
  <c r="DH60" i="22"/>
  <c r="DI60" i="22"/>
  <c r="DK60" i="22"/>
  <c r="R61" i="22"/>
  <c r="S61" i="22"/>
  <c r="X61" i="22"/>
  <c r="Y61" i="22"/>
  <c r="AD61" i="22"/>
  <c r="AE61" i="22"/>
  <c r="AF61" i="22"/>
  <c r="AJ61" i="22" s="1"/>
  <c r="AG61" i="22"/>
  <c r="AH61" i="22"/>
  <c r="AI61" i="22"/>
  <c r="AP61" i="22"/>
  <c r="AQ61" i="22"/>
  <c r="AV61" i="22"/>
  <c r="AW61" i="22"/>
  <c r="BB61" i="22"/>
  <c r="BC61" i="22"/>
  <c r="BH61" i="22"/>
  <c r="BI61" i="22"/>
  <c r="BN61" i="22"/>
  <c r="BO61" i="22"/>
  <c r="BT61" i="22"/>
  <c r="BU61" i="22"/>
  <c r="BZ61" i="22"/>
  <c r="CA61" i="22"/>
  <c r="CF61" i="22"/>
  <c r="CG61" i="22"/>
  <c r="CL61" i="22"/>
  <c r="CM61" i="22"/>
  <c r="CR61" i="22"/>
  <c r="CS61" i="22"/>
  <c r="CX61" i="22"/>
  <c r="CY61" i="22"/>
  <c r="DD61" i="22"/>
  <c r="DE61" i="22"/>
  <c r="DF61" i="22"/>
  <c r="DG61" i="22"/>
  <c r="DH61" i="22"/>
  <c r="DI61" i="22"/>
  <c r="DK61" i="22"/>
  <c r="R62" i="22"/>
  <c r="S62" i="22"/>
  <c r="X62" i="22"/>
  <c r="Y62" i="22"/>
  <c r="AD62" i="22"/>
  <c r="AE62" i="22"/>
  <c r="AF62" i="22"/>
  <c r="AJ62" i="22" s="1"/>
  <c r="AG62" i="22"/>
  <c r="AK62" i="22" s="1"/>
  <c r="AH62" i="22"/>
  <c r="AI62" i="22"/>
  <c r="AP62" i="22"/>
  <c r="AQ62" i="22"/>
  <c r="AV62" i="22"/>
  <c r="AW62" i="22"/>
  <c r="BB62" i="22"/>
  <c r="BC62" i="22"/>
  <c r="BH62" i="22"/>
  <c r="BI62" i="22"/>
  <c r="BN62" i="22"/>
  <c r="BO62" i="22"/>
  <c r="BT62" i="22"/>
  <c r="BU62" i="22"/>
  <c r="BZ62" i="22"/>
  <c r="CA62" i="22"/>
  <c r="CF62" i="22"/>
  <c r="CG62" i="22"/>
  <c r="CL62" i="22"/>
  <c r="CM62" i="22"/>
  <c r="CR62" i="22"/>
  <c r="CS62" i="22"/>
  <c r="CX62" i="22"/>
  <c r="CY62" i="22"/>
  <c r="DD62" i="22"/>
  <c r="DE62" i="22"/>
  <c r="DF62" i="22"/>
  <c r="DG62" i="22"/>
  <c r="DH62" i="22"/>
  <c r="DI62" i="22"/>
  <c r="DK62" i="22"/>
  <c r="R63" i="22"/>
  <c r="S63" i="22"/>
  <c r="X63" i="22"/>
  <c r="Y63" i="22"/>
  <c r="AD63" i="22"/>
  <c r="AE63" i="22"/>
  <c r="AF63" i="22"/>
  <c r="AJ63" i="22" s="1"/>
  <c r="AG63" i="22"/>
  <c r="AH63" i="22"/>
  <c r="AI63" i="22"/>
  <c r="AP63" i="22"/>
  <c r="AQ63" i="22"/>
  <c r="AV63" i="22"/>
  <c r="AW63" i="22"/>
  <c r="BB63" i="22"/>
  <c r="BC63" i="22"/>
  <c r="BH63" i="22"/>
  <c r="BI63" i="22"/>
  <c r="BN63" i="22"/>
  <c r="BO63" i="22"/>
  <c r="BT63" i="22"/>
  <c r="BU63" i="22"/>
  <c r="BZ63" i="22"/>
  <c r="CA63" i="22"/>
  <c r="CF63" i="22"/>
  <c r="CG63" i="22"/>
  <c r="CL63" i="22"/>
  <c r="CM63" i="22"/>
  <c r="CR63" i="22"/>
  <c r="CS63" i="22"/>
  <c r="CX63" i="22"/>
  <c r="CY63" i="22"/>
  <c r="DD63" i="22"/>
  <c r="DE63" i="22"/>
  <c r="DF63" i="22"/>
  <c r="DG63" i="22"/>
  <c r="DH63" i="22"/>
  <c r="DI63" i="22"/>
  <c r="DK63" i="22"/>
  <c r="R64" i="22"/>
  <c r="S64" i="22"/>
  <c r="X64" i="22"/>
  <c r="Y64" i="22"/>
  <c r="AD64" i="22"/>
  <c r="AE64" i="22"/>
  <c r="AF64" i="22"/>
  <c r="AJ64" i="22" s="1"/>
  <c r="AG64" i="22"/>
  <c r="AH64" i="22"/>
  <c r="AI64" i="22"/>
  <c r="AP64" i="22"/>
  <c r="AQ64" i="22"/>
  <c r="AV64" i="22"/>
  <c r="AW64" i="22"/>
  <c r="BB64" i="22"/>
  <c r="BC64" i="22"/>
  <c r="BH64" i="22"/>
  <c r="BI64" i="22"/>
  <c r="BN64" i="22"/>
  <c r="BO64" i="22"/>
  <c r="BT64" i="22"/>
  <c r="BU64" i="22"/>
  <c r="BZ64" i="22"/>
  <c r="CA64" i="22"/>
  <c r="CF64" i="22"/>
  <c r="CG64" i="22"/>
  <c r="CL64" i="22"/>
  <c r="CM64" i="22"/>
  <c r="CR64" i="22"/>
  <c r="CS64" i="22"/>
  <c r="CX64" i="22"/>
  <c r="CY64" i="22"/>
  <c r="DD64" i="22"/>
  <c r="DE64" i="22"/>
  <c r="DF64" i="22"/>
  <c r="DG64" i="22"/>
  <c r="DH64" i="22"/>
  <c r="DI64" i="22"/>
  <c r="DK64" i="22"/>
  <c r="R65" i="22"/>
  <c r="S65" i="22"/>
  <c r="X65" i="22"/>
  <c r="Y65" i="22"/>
  <c r="AD65" i="22"/>
  <c r="AE65" i="22"/>
  <c r="AF65" i="22"/>
  <c r="AJ65" i="22" s="1"/>
  <c r="AG65" i="22"/>
  <c r="AH65" i="22"/>
  <c r="AI65" i="22"/>
  <c r="AP65" i="22"/>
  <c r="AQ65" i="22"/>
  <c r="AV65" i="22"/>
  <c r="AW65" i="22"/>
  <c r="BB65" i="22"/>
  <c r="BC65" i="22"/>
  <c r="BH65" i="22"/>
  <c r="BI65" i="22"/>
  <c r="BN65" i="22"/>
  <c r="BO65" i="22"/>
  <c r="BT65" i="22"/>
  <c r="BU65" i="22"/>
  <c r="BZ65" i="22"/>
  <c r="CA65" i="22"/>
  <c r="CF65" i="22"/>
  <c r="CG65" i="22"/>
  <c r="CL65" i="22"/>
  <c r="CM65" i="22"/>
  <c r="CR65" i="22"/>
  <c r="CS65" i="22"/>
  <c r="CX65" i="22"/>
  <c r="CY65" i="22"/>
  <c r="DD65" i="22"/>
  <c r="DE65" i="22"/>
  <c r="DF65" i="22"/>
  <c r="DJ65" i="22" s="1"/>
  <c r="F65" i="22" s="1"/>
  <c r="DG65" i="22"/>
  <c r="DH65" i="22"/>
  <c r="DI65" i="22"/>
  <c r="DK65" i="22"/>
  <c r="R66" i="22"/>
  <c r="S66" i="22"/>
  <c r="X66" i="22"/>
  <c r="Y66" i="22"/>
  <c r="AD66" i="22"/>
  <c r="AE66" i="22"/>
  <c r="AF66" i="22"/>
  <c r="AJ66" i="22" s="1"/>
  <c r="AG66" i="22"/>
  <c r="AH66" i="22"/>
  <c r="AI66" i="22"/>
  <c r="AP66" i="22"/>
  <c r="AQ66" i="22"/>
  <c r="AV66" i="22"/>
  <c r="AW66" i="22"/>
  <c r="BB66" i="22"/>
  <c r="BC66" i="22"/>
  <c r="BH66" i="22"/>
  <c r="BI66" i="22"/>
  <c r="BN66" i="22"/>
  <c r="BO66" i="22"/>
  <c r="BT66" i="22"/>
  <c r="BU66" i="22"/>
  <c r="BZ66" i="22"/>
  <c r="CA66" i="22"/>
  <c r="CF66" i="22"/>
  <c r="CG66" i="22"/>
  <c r="CL66" i="22"/>
  <c r="CM66" i="22"/>
  <c r="CR66" i="22"/>
  <c r="CS66" i="22"/>
  <c r="CX66" i="22"/>
  <c r="CY66" i="22"/>
  <c r="DD66" i="22"/>
  <c r="DE66" i="22"/>
  <c r="DF66" i="22"/>
  <c r="DG66" i="22"/>
  <c r="DH66" i="22"/>
  <c r="DI66" i="22"/>
  <c r="DK66" i="22"/>
  <c r="R67" i="22"/>
  <c r="S67" i="22"/>
  <c r="X67" i="22"/>
  <c r="Y67" i="22"/>
  <c r="AD67" i="22"/>
  <c r="AE67" i="22"/>
  <c r="AF67" i="22"/>
  <c r="AJ67" i="22" s="1"/>
  <c r="AG67" i="22"/>
  <c r="AK67" i="22" s="1"/>
  <c r="AH67" i="22"/>
  <c r="AI67" i="22"/>
  <c r="AP67" i="22"/>
  <c r="AQ67" i="22"/>
  <c r="AV67" i="22"/>
  <c r="AW67" i="22"/>
  <c r="BB67" i="22"/>
  <c r="BC67" i="22"/>
  <c r="BH67" i="22"/>
  <c r="BI67" i="22"/>
  <c r="BN67" i="22"/>
  <c r="BO67" i="22"/>
  <c r="BT67" i="22"/>
  <c r="BU67" i="22"/>
  <c r="BZ67" i="22"/>
  <c r="CA67" i="22"/>
  <c r="CF67" i="22"/>
  <c r="CG67" i="22"/>
  <c r="CL67" i="22"/>
  <c r="CM67" i="22"/>
  <c r="CR67" i="22"/>
  <c r="CS67" i="22"/>
  <c r="CX67" i="22"/>
  <c r="CY67" i="22"/>
  <c r="DD67" i="22"/>
  <c r="DE67" i="22"/>
  <c r="DF67" i="22"/>
  <c r="DG67" i="22"/>
  <c r="DH67" i="22"/>
  <c r="DI67" i="22"/>
  <c r="DK67" i="22"/>
  <c r="R68" i="22"/>
  <c r="S68" i="22"/>
  <c r="X68" i="22"/>
  <c r="Y68" i="22"/>
  <c r="AD68" i="22"/>
  <c r="AE68" i="22"/>
  <c r="AF68" i="22"/>
  <c r="AJ68" i="22" s="1"/>
  <c r="AG68" i="22"/>
  <c r="AK68" i="22" s="1"/>
  <c r="AH68" i="22"/>
  <c r="AI68" i="22"/>
  <c r="AP68" i="22"/>
  <c r="AQ68" i="22"/>
  <c r="AV68" i="22"/>
  <c r="AW68" i="22"/>
  <c r="BB68" i="22"/>
  <c r="BC68" i="22"/>
  <c r="BH68" i="22"/>
  <c r="BI68" i="22"/>
  <c r="BN68" i="22"/>
  <c r="BO68" i="22"/>
  <c r="BT68" i="22"/>
  <c r="BU68" i="22"/>
  <c r="BZ68" i="22"/>
  <c r="CA68" i="22"/>
  <c r="CF68" i="22"/>
  <c r="CG68" i="22"/>
  <c r="CL68" i="22"/>
  <c r="CM68" i="22"/>
  <c r="CR68" i="22"/>
  <c r="CS68" i="22"/>
  <c r="CX68" i="22"/>
  <c r="CY68" i="22"/>
  <c r="DD68" i="22"/>
  <c r="DE68" i="22"/>
  <c r="DF68" i="22"/>
  <c r="DG68" i="22"/>
  <c r="DH68" i="22"/>
  <c r="DI68" i="22"/>
  <c r="DK68" i="22"/>
  <c r="R69" i="22"/>
  <c r="S69" i="22"/>
  <c r="X69" i="22"/>
  <c r="Y69" i="22"/>
  <c r="AD69" i="22"/>
  <c r="AE69" i="22"/>
  <c r="AF69" i="22"/>
  <c r="AJ69" i="22" s="1"/>
  <c r="AG69" i="22"/>
  <c r="AH69" i="22"/>
  <c r="AI69" i="22"/>
  <c r="AP69" i="22"/>
  <c r="AQ69" i="22"/>
  <c r="AV69" i="22"/>
  <c r="AW69" i="22"/>
  <c r="BB69" i="22"/>
  <c r="BC69" i="22"/>
  <c r="BH69" i="22"/>
  <c r="BI69" i="22"/>
  <c r="BN69" i="22"/>
  <c r="BO69" i="22"/>
  <c r="BT69" i="22"/>
  <c r="BU69" i="22"/>
  <c r="BZ69" i="22"/>
  <c r="CA69" i="22"/>
  <c r="CF69" i="22"/>
  <c r="CG69" i="22"/>
  <c r="CL69" i="22"/>
  <c r="CM69" i="22"/>
  <c r="CR69" i="22"/>
  <c r="CS69" i="22"/>
  <c r="CX69" i="22"/>
  <c r="CY69" i="22"/>
  <c r="DD69" i="22"/>
  <c r="DE69" i="22"/>
  <c r="DF69" i="22"/>
  <c r="DG69" i="22"/>
  <c r="DH69" i="22"/>
  <c r="DI69" i="22"/>
  <c r="DK69" i="22"/>
  <c r="R70" i="22"/>
  <c r="S70" i="22"/>
  <c r="X70" i="22"/>
  <c r="Y70" i="22"/>
  <c r="AD70" i="22"/>
  <c r="AE70" i="22"/>
  <c r="AF70" i="22"/>
  <c r="AJ70" i="22" s="1"/>
  <c r="AG70" i="22"/>
  <c r="AK70" i="22" s="1"/>
  <c r="AH70" i="22"/>
  <c r="AI70" i="22"/>
  <c r="AP70" i="22"/>
  <c r="AQ70" i="22"/>
  <c r="AV70" i="22"/>
  <c r="AW70" i="22"/>
  <c r="BB70" i="22"/>
  <c r="BC70" i="22"/>
  <c r="BH70" i="22"/>
  <c r="BI70" i="22"/>
  <c r="BN70" i="22"/>
  <c r="BO70" i="22"/>
  <c r="BT70" i="22"/>
  <c r="BU70" i="22"/>
  <c r="BZ70" i="22"/>
  <c r="CA70" i="22"/>
  <c r="CF70" i="22"/>
  <c r="CG70" i="22"/>
  <c r="CL70" i="22"/>
  <c r="CM70" i="22"/>
  <c r="CR70" i="22"/>
  <c r="CS70" i="22"/>
  <c r="CX70" i="22"/>
  <c r="CY70" i="22"/>
  <c r="DD70" i="22"/>
  <c r="DE70" i="22"/>
  <c r="DF70" i="22"/>
  <c r="DG70" i="22"/>
  <c r="DH70" i="22"/>
  <c r="DI70" i="22"/>
  <c r="DK70" i="22"/>
  <c r="R71" i="22"/>
  <c r="S71" i="22"/>
  <c r="X71" i="22"/>
  <c r="Y71" i="22"/>
  <c r="AD71" i="22"/>
  <c r="AE71" i="22"/>
  <c r="AF71" i="22"/>
  <c r="AJ71" i="22" s="1"/>
  <c r="AG71" i="22"/>
  <c r="AH71" i="22"/>
  <c r="AI71" i="22"/>
  <c r="AP71" i="22"/>
  <c r="AQ71" i="22"/>
  <c r="AV71" i="22"/>
  <c r="AW71" i="22"/>
  <c r="BB71" i="22"/>
  <c r="BC71" i="22"/>
  <c r="BH71" i="22"/>
  <c r="BI71" i="22"/>
  <c r="BN71" i="22"/>
  <c r="BO71" i="22"/>
  <c r="BT71" i="22"/>
  <c r="BU71" i="22"/>
  <c r="BZ71" i="22"/>
  <c r="CA71" i="22"/>
  <c r="CF71" i="22"/>
  <c r="CG71" i="22"/>
  <c r="CL71" i="22"/>
  <c r="CM71" i="22"/>
  <c r="CR71" i="22"/>
  <c r="CS71" i="22"/>
  <c r="CX71" i="22"/>
  <c r="CY71" i="22"/>
  <c r="DD71" i="22"/>
  <c r="DE71" i="22"/>
  <c r="DF71" i="22"/>
  <c r="DG71" i="22"/>
  <c r="DH71" i="22"/>
  <c r="DI71" i="22"/>
  <c r="DK71" i="22"/>
  <c r="R72" i="22"/>
  <c r="S72" i="22"/>
  <c r="X72" i="22"/>
  <c r="Y72" i="22"/>
  <c r="AD72" i="22"/>
  <c r="AE72" i="22"/>
  <c r="AF72" i="22"/>
  <c r="AJ72" i="22" s="1"/>
  <c r="AG72" i="22"/>
  <c r="AH72" i="22"/>
  <c r="AI72" i="22"/>
  <c r="AP72" i="22"/>
  <c r="AQ72" i="22"/>
  <c r="AV72" i="22"/>
  <c r="AW72" i="22"/>
  <c r="BB72" i="22"/>
  <c r="BC72" i="22"/>
  <c r="BH72" i="22"/>
  <c r="BI72" i="22"/>
  <c r="BN72" i="22"/>
  <c r="BO72" i="22"/>
  <c r="BT72" i="22"/>
  <c r="BU72" i="22"/>
  <c r="BZ72" i="22"/>
  <c r="CA72" i="22"/>
  <c r="CF72" i="22"/>
  <c r="CG72" i="22"/>
  <c r="CL72" i="22"/>
  <c r="CM72" i="22"/>
  <c r="CR72" i="22"/>
  <c r="CS72" i="22"/>
  <c r="CX72" i="22"/>
  <c r="CY72" i="22"/>
  <c r="DD72" i="22"/>
  <c r="DE72" i="22"/>
  <c r="DF72" i="22"/>
  <c r="DG72" i="22"/>
  <c r="DH72" i="22"/>
  <c r="DI72" i="22"/>
  <c r="DK72" i="22"/>
  <c r="R73" i="22"/>
  <c r="S73" i="22"/>
  <c r="X73" i="22"/>
  <c r="Y73" i="22"/>
  <c r="AD73" i="22"/>
  <c r="AE73" i="22"/>
  <c r="AF73" i="22"/>
  <c r="AJ73" i="22" s="1"/>
  <c r="AG73" i="22"/>
  <c r="AH73" i="22"/>
  <c r="AI73" i="22"/>
  <c r="AP73" i="22"/>
  <c r="AQ73" i="22"/>
  <c r="AV73" i="22"/>
  <c r="AW73" i="22"/>
  <c r="BB73" i="22"/>
  <c r="BC73" i="22"/>
  <c r="BH73" i="22"/>
  <c r="BI73" i="22"/>
  <c r="BN73" i="22"/>
  <c r="BO73" i="22"/>
  <c r="BT73" i="22"/>
  <c r="BU73" i="22"/>
  <c r="BZ73" i="22"/>
  <c r="CA73" i="22"/>
  <c r="CF73" i="22"/>
  <c r="CG73" i="22"/>
  <c r="CL73" i="22"/>
  <c r="CM73" i="22"/>
  <c r="CR73" i="22"/>
  <c r="CS73" i="22"/>
  <c r="CX73" i="22"/>
  <c r="CY73" i="22"/>
  <c r="DD73" i="22"/>
  <c r="DE73" i="22"/>
  <c r="DF73" i="22"/>
  <c r="DG73" i="22"/>
  <c r="DH73" i="22"/>
  <c r="DI73" i="22"/>
  <c r="DK73" i="22"/>
  <c r="R74" i="22"/>
  <c r="S74" i="22"/>
  <c r="X74" i="22"/>
  <c r="Y74" i="22"/>
  <c r="AD74" i="22"/>
  <c r="AE74" i="22"/>
  <c r="AF74" i="22"/>
  <c r="AJ74" i="22" s="1"/>
  <c r="AG74" i="22"/>
  <c r="AH74" i="22"/>
  <c r="AI74" i="22"/>
  <c r="AP74" i="22"/>
  <c r="AQ74" i="22"/>
  <c r="AV74" i="22"/>
  <c r="AW74" i="22"/>
  <c r="BB74" i="22"/>
  <c r="BC74" i="22"/>
  <c r="BH74" i="22"/>
  <c r="BI74" i="22"/>
  <c r="BN74" i="22"/>
  <c r="BO74" i="22"/>
  <c r="BT74" i="22"/>
  <c r="BU74" i="22"/>
  <c r="BZ74" i="22"/>
  <c r="CA74" i="22"/>
  <c r="CF74" i="22"/>
  <c r="CG74" i="22"/>
  <c r="CL74" i="22"/>
  <c r="CM74" i="22"/>
  <c r="CR74" i="22"/>
  <c r="CS74" i="22"/>
  <c r="CX74" i="22"/>
  <c r="CY74" i="22"/>
  <c r="DD74" i="22"/>
  <c r="DE74" i="22"/>
  <c r="DF74" i="22"/>
  <c r="DG74" i="22"/>
  <c r="DH74" i="22"/>
  <c r="DI74" i="22"/>
  <c r="DK74" i="22"/>
  <c r="R75" i="22"/>
  <c r="S75" i="22"/>
  <c r="X75" i="22"/>
  <c r="Y75" i="22"/>
  <c r="AD75" i="22"/>
  <c r="AE75" i="22"/>
  <c r="AF75" i="22"/>
  <c r="AJ75" i="22" s="1"/>
  <c r="AG75" i="22"/>
  <c r="AK75" i="22" s="1"/>
  <c r="AH75" i="22"/>
  <c r="AI75" i="22"/>
  <c r="AP75" i="22"/>
  <c r="AQ75" i="22"/>
  <c r="AV75" i="22"/>
  <c r="AW75" i="22"/>
  <c r="BB75" i="22"/>
  <c r="BC75" i="22"/>
  <c r="BH75" i="22"/>
  <c r="BI75" i="22"/>
  <c r="BN75" i="22"/>
  <c r="BO75" i="22"/>
  <c r="BT75" i="22"/>
  <c r="BU75" i="22"/>
  <c r="BZ75" i="22"/>
  <c r="CA75" i="22"/>
  <c r="CF75" i="22"/>
  <c r="CG75" i="22"/>
  <c r="CL75" i="22"/>
  <c r="CM75" i="22"/>
  <c r="CR75" i="22"/>
  <c r="CS75" i="22"/>
  <c r="CX75" i="22"/>
  <c r="CY75" i="22"/>
  <c r="DD75" i="22"/>
  <c r="DE75" i="22"/>
  <c r="DF75" i="22"/>
  <c r="DG75" i="22"/>
  <c r="DH75" i="22"/>
  <c r="DI75" i="22"/>
  <c r="DK75" i="22"/>
  <c r="R76" i="22"/>
  <c r="S76" i="22"/>
  <c r="X76" i="22"/>
  <c r="Y76" i="22"/>
  <c r="AD76" i="22"/>
  <c r="AE76" i="22"/>
  <c r="AF76" i="22"/>
  <c r="AJ76" i="22" s="1"/>
  <c r="AG76" i="22"/>
  <c r="AK76" i="22" s="1"/>
  <c r="AH76" i="22"/>
  <c r="AI76" i="22"/>
  <c r="AP76" i="22"/>
  <c r="AQ76" i="22"/>
  <c r="AV76" i="22"/>
  <c r="AW76" i="22"/>
  <c r="BB76" i="22"/>
  <c r="BC76" i="22"/>
  <c r="BH76" i="22"/>
  <c r="BI76" i="22"/>
  <c r="BN76" i="22"/>
  <c r="BO76" i="22"/>
  <c r="BT76" i="22"/>
  <c r="BU76" i="22"/>
  <c r="BZ76" i="22"/>
  <c r="CA76" i="22"/>
  <c r="CF76" i="22"/>
  <c r="CG76" i="22"/>
  <c r="CL76" i="22"/>
  <c r="CM76" i="22"/>
  <c r="CR76" i="22"/>
  <c r="CS76" i="22"/>
  <c r="CX76" i="22"/>
  <c r="CY76" i="22"/>
  <c r="DD76" i="22"/>
  <c r="DE76" i="22"/>
  <c r="DF76" i="22"/>
  <c r="DG76" i="22"/>
  <c r="DH76" i="22"/>
  <c r="DI76" i="22"/>
  <c r="DK76" i="22"/>
  <c r="R77" i="22"/>
  <c r="S77" i="22"/>
  <c r="X77" i="22"/>
  <c r="Y77" i="22"/>
  <c r="AD77" i="22"/>
  <c r="AE77" i="22"/>
  <c r="AF77" i="22"/>
  <c r="AJ77" i="22" s="1"/>
  <c r="AG77" i="22"/>
  <c r="AH77" i="22"/>
  <c r="AI77" i="22"/>
  <c r="AP77" i="22"/>
  <c r="AQ77" i="22"/>
  <c r="AV77" i="22"/>
  <c r="AW77" i="22"/>
  <c r="BB77" i="22"/>
  <c r="BC77" i="22"/>
  <c r="BH77" i="22"/>
  <c r="BI77" i="22"/>
  <c r="BN77" i="22"/>
  <c r="BO77" i="22"/>
  <c r="BT77" i="22"/>
  <c r="BU77" i="22"/>
  <c r="BZ77" i="22"/>
  <c r="CA77" i="22"/>
  <c r="CF77" i="22"/>
  <c r="CG77" i="22"/>
  <c r="CL77" i="22"/>
  <c r="CM77" i="22"/>
  <c r="CR77" i="22"/>
  <c r="CS77" i="22"/>
  <c r="CX77" i="22"/>
  <c r="CY77" i="22"/>
  <c r="DD77" i="22"/>
  <c r="DE77" i="22"/>
  <c r="DF77" i="22"/>
  <c r="DG77" i="22"/>
  <c r="DH77" i="22"/>
  <c r="DI77" i="22"/>
  <c r="DK77" i="22"/>
  <c r="R78" i="22"/>
  <c r="S78" i="22"/>
  <c r="X78" i="22"/>
  <c r="Y78" i="22"/>
  <c r="AD78" i="22"/>
  <c r="AE78" i="22"/>
  <c r="AF78" i="22"/>
  <c r="AJ78" i="22" s="1"/>
  <c r="AG78" i="22"/>
  <c r="AK78" i="22" s="1"/>
  <c r="AH78" i="22"/>
  <c r="AI78" i="22"/>
  <c r="AP78" i="22"/>
  <c r="AQ78" i="22"/>
  <c r="AV78" i="22"/>
  <c r="AW78" i="22"/>
  <c r="BB78" i="22"/>
  <c r="BC78" i="22"/>
  <c r="BH78" i="22"/>
  <c r="BI78" i="22"/>
  <c r="BN78" i="22"/>
  <c r="BO78" i="22"/>
  <c r="BT78" i="22"/>
  <c r="BU78" i="22"/>
  <c r="BZ78" i="22"/>
  <c r="CA78" i="22"/>
  <c r="CF78" i="22"/>
  <c r="CG78" i="22"/>
  <c r="CL78" i="22"/>
  <c r="CM78" i="22"/>
  <c r="CR78" i="22"/>
  <c r="CS78" i="22"/>
  <c r="CX78" i="22"/>
  <c r="CY78" i="22"/>
  <c r="DD78" i="22"/>
  <c r="DE78" i="22"/>
  <c r="DF78" i="22"/>
  <c r="DG78" i="22"/>
  <c r="DH78" i="22"/>
  <c r="DI78" i="22"/>
  <c r="DK78" i="22"/>
  <c r="R79" i="22"/>
  <c r="S79" i="22"/>
  <c r="X79" i="22"/>
  <c r="Y79" i="22"/>
  <c r="AD79" i="22"/>
  <c r="AE79" i="22"/>
  <c r="AF79" i="22"/>
  <c r="AJ79" i="22" s="1"/>
  <c r="AG79" i="22"/>
  <c r="AH79" i="22"/>
  <c r="AI79" i="22"/>
  <c r="AP79" i="22"/>
  <c r="AQ79" i="22"/>
  <c r="AV79" i="22"/>
  <c r="AW79" i="22"/>
  <c r="BB79" i="22"/>
  <c r="BC79" i="22"/>
  <c r="BH79" i="22"/>
  <c r="BI79" i="22"/>
  <c r="BN79" i="22"/>
  <c r="BO79" i="22"/>
  <c r="BT79" i="22"/>
  <c r="BU79" i="22"/>
  <c r="BZ79" i="22"/>
  <c r="CA79" i="22"/>
  <c r="CF79" i="22"/>
  <c r="CG79" i="22"/>
  <c r="CL79" i="22"/>
  <c r="CM79" i="22"/>
  <c r="CR79" i="22"/>
  <c r="CS79" i="22"/>
  <c r="CX79" i="22"/>
  <c r="CY79" i="22"/>
  <c r="DD79" i="22"/>
  <c r="DE79" i="22"/>
  <c r="DF79" i="22"/>
  <c r="DG79" i="22"/>
  <c r="DH79" i="22"/>
  <c r="DI79" i="22"/>
  <c r="DK79" i="22"/>
  <c r="R80" i="22"/>
  <c r="S80" i="22"/>
  <c r="X80" i="22"/>
  <c r="Y80" i="22"/>
  <c r="AD80" i="22"/>
  <c r="AE80" i="22"/>
  <c r="AF80" i="22"/>
  <c r="AJ80" i="22" s="1"/>
  <c r="AG80" i="22"/>
  <c r="AH80" i="22"/>
  <c r="AI80" i="22"/>
  <c r="AP80" i="22"/>
  <c r="AQ80" i="22"/>
  <c r="AV80" i="22"/>
  <c r="AW80" i="22"/>
  <c r="BB80" i="22"/>
  <c r="BC80" i="22"/>
  <c r="BH80" i="22"/>
  <c r="BI80" i="22"/>
  <c r="BN80" i="22"/>
  <c r="BO80" i="22"/>
  <c r="BT80" i="22"/>
  <c r="BU80" i="22"/>
  <c r="BZ80" i="22"/>
  <c r="CA80" i="22"/>
  <c r="CF80" i="22"/>
  <c r="CG80" i="22"/>
  <c r="CL80" i="22"/>
  <c r="CM80" i="22"/>
  <c r="CR80" i="22"/>
  <c r="CS80" i="22"/>
  <c r="CX80" i="22"/>
  <c r="CY80" i="22"/>
  <c r="DD80" i="22"/>
  <c r="DE80" i="22"/>
  <c r="DF80" i="22"/>
  <c r="DG80" i="22"/>
  <c r="DH80" i="22"/>
  <c r="DI80" i="22"/>
  <c r="DK80" i="22"/>
  <c r="R81" i="22"/>
  <c r="S81" i="22"/>
  <c r="X81" i="22"/>
  <c r="Y81" i="22"/>
  <c r="AD81" i="22"/>
  <c r="AE81" i="22"/>
  <c r="AF81" i="22"/>
  <c r="AJ81" i="22" s="1"/>
  <c r="AG81" i="22"/>
  <c r="AH81" i="22"/>
  <c r="AI81" i="22"/>
  <c r="AP81" i="22"/>
  <c r="AQ81" i="22"/>
  <c r="AV81" i="22"/>
  <c r="AW81" i="22"/>
  <c r="BB81" i="22"/>
  <c r="BC81" i="22"/>
  <c r="BH81" i="22"/>
  <c r="BI81" i="22"/>
  <c r="BN81" i="22"/>
  <c r="BO81" i="22"/>
  <c r="BT81" i="22"/>
  <c r="BU81" i="22"/>
  <c r="BZ81" i="22"/>
  <c r="CA81" i="22"/>
  <c r="CF81" i="22"/>
  <c r="CG81" i="22"/>
  <c r="CL81" i="22"/>
  <c r="CM81" i="22"/>
  <c r="CR81" i="22"/>
  <c r="CS81" i="22"/>
  <c r="CX81" i="22"/>
  <c r="CY81" i="22"/>
  <c r="DD81" i="22"/>
  <c r="DE81" i="22"/>
  <c r="DF81" i="22"/>
  <c r="DJ81" i="22" s="1"/>
  <c r="F81" i="22" s="1"/>
  <c r="DG81" i="22"/>
  <c r="DH81" i="22"/>
  <c r="DI81" i="22"/>
  <c r="DK81" i="22"/>
  <c r="R82" i="22"/>
  <c r="S82" i="22"/>
  <c r="X82" i="22"/>
  <c r="Y82" i="22"/>
  <c r="AD82" i="22"/>
  <c r="AE82" i="22"/>
  <c r="AF82" i="22"/>
  <c r="AJ82" i="22" s="1"/>
  <c r="AG82" i="22"/>
  <c r="AH82" i="22"/>
  <c r="AI82" i="22"/>
  <c r="AP82" i="22"/>
  <c r="AQ82" i="22"/>
  <c r="AV82" i="22"/>
  <c r="AW82" i="22"/>
  <c r="BB82" i="22"/>
  <c r="BC82" i="22"/>
  <c r="BH82" i="22"/>
  <c r="BI82" i="22"/>
  <c r="BN82" i="22"/>
  <c r="BO82" i="22"/>
  <c r="BT82" i="22"/>
  <c r="BU82" i="22"/>
  <c r="BZ82" i="22"/>
  <c r="CA82" i="22"/>
  <c r="CF82" i="22"/>
  <c r="CG82" i="22"/>
  <c r="CL82" i="22"/>
  <c r="CM82" i="22"/>
  <c r="CR82" i="22"/>
  <c r="CS82" i="22"/>
  <c r="CX82" i="22"/>
  <c r="CY82" i="22"/>
  <c r="DD82" i="22"/>
  <c r="DE82" i="22"/>
  <c r="DF82" i="22"/>
  <c r="DG82" i="22"/>
  <c r="DH82" i="22"/>
  <c r="DI82" i="22"/>
  <c r="DK82" i="22"/>
  <c r="R83" i="22"/>
  <c r="S83" i="22"/>
  <c r="X83" i="22"/>
  <c r="Y83" i="22"/>
  <c r="AD83" i="22"/>
  <c r="AE83" i="22"/>
  <c r="AF83" i="22"/>
  <c r="AJ83" i="22" s="1"/>
  <c r="AG83" i="22"/>
  <c r="AK83" i="22" s="1"/>
  <c r="AH83" i="22"/>
  <c r="AI83" i="22"/>
  <c r="AP83" i="22"/>
  <c r="AQ83" i="22"/>
  <c r="AV83" i="22"/>
  <c r="AW83" i="22"/>
  <c r="BB83" i="22"/>
  <c r="BC83" i="22"/>
  <c r="BH83" i="22"/>
  <c r="BI83" i="22"/>
  <c r="BN83" i="22"/>
  <c r="BO83" i="22"/>
  <c r="BT83" i="22"/>
  <c r="BU83" i="22"/>
  <c r="BZ83" i="22"/>
  <c r="CA83" i="22"/>
  <c r="CF83" i="22"/>
  <c r="CG83" i="22"/>
  <c r="CL83" i="22"/>
  <c r="CM83" i="22"/>
  <c r="CR83" i="22"/>
  <c r="CS83" i="22"/>
  <c r="CX83" i="22"/>
  <c r="CY83" i="22"/>
  <c r="DD83" i="22"/>
  <c r="DE83" i="22"/>
  <c r="DF83" i="22"/>
  <c r="DG83" i="22"/>
  <c r="DH83" i="22"/>
  <c r="DI83" i="22"/>
  <c r="DK83" i="22"/>
  <c r="R84" i="22"/>
  <c r="S84" i="22"/>
  <c r="X84" i="22"/>
  <c r="Y84" i="22"/>
  <c r="AD84" i="22"/>
  <c r="AE84" i="22"/>
  <c r="AF84" i="22"/>
  <c r="AJ84" i="22" s="1"/>
  <c r="AG84" i="22"/>
  <c r="AK84" i="22" s="1"/>
  <c r="AH84" i="22"/>
  <c r="AI84" i="22"/>
  <c r="AP84" i="22"/>
  <c r="AQ84" i="22"/>
  <c r="AV84" i="22"/>
  <c r="AW84" i="22"/>
  <c r="BB84" i="22"/>
  <c r="BC84" i="22"/>
  <c r="BH84" i="22"/>
  <c r="BI84" i="22"/>
  <c r="BN84" i="22"/>
  <c r="BO84" i="22"/>
  <c r="BT84" i="22"/>
  <c r="BU84" i="22"/>
  <c r="BZ84" i="22"/>
  <c r="CA84" i="22"/>
  <c r="CF84" i="22"/>
  <c r="CG84" i="22"/>
  <c r="CL84" i="22"/>
  <c r="CM84" i="22"/>
  <c r="CR84" i="22"/>
  <c r="CS84" i="22"/>
  <c r="CX84" i="22"/>
  <c r="CY84" i="22"/>
  <c r="DD84" i="22"/>
  <c r="DE84" i="22"/>
  <c r="DF84" i="22"/>
  <c r="DG84" i="22"/>
  <c r="DH84" i="22"/>
  <c r="DI84" i="22"/>
  <c r="DK84" i="22"/>
  <c r="R85" i="22"/>
  <c r="S85" i="22"/>
  <c r="X85" i="22"/>
  <c r="Y85" i="22"/>
  <c r="AD85" i="22"/>
  <c r="AE85" i="22"/>
  <c r="AF85" i="22"/>
  <c r="AJ85" i="22" s="1"/>
  <c r="AG85" i="22"/>
  <c r="AH85" i="22"/>
  <c r="AI85" i="22"/>
  <c r="AP85" i="22"/>
  <c r="AQ85" i="22"/>
  <c r="AV85" i="22"/>
  <c r="AW85" i="22"/>
  <c r="BB85" i="22"/>
  <c r="BC85" i="22"/>
  <c r="BH85" i="22"/>
  <c r="BI85" i="22"/>
  <c r="BN85" i="22"/>
  <c r="BO85" i="22"/>
  <c r="BT85" i="22"/>
  <c r="BU85" i="22"/>
  <c r="BZ85" i="22"/>
  <c r="CA85" i="22"/>
  <c r="CF85" i="22"/>
  <c r="CG85" i="22"/>
  <c r="CL85" i="22"/>
  <c r="CM85" i="22"/>
  <c r="CR85" i="22"/>
  <c r="CS85" i="22"/>
  <c r="CX85" i="22"/>
  <c r="CY85" i="22"/>
  <c r="DD85" i="22"/>
  <c r="DE85" i="22"/>
  <c r="DF85" i="22"/>
  <c r="DG85" i="22"/>
  <c r="DH85" i="22"/>
  <c r="DI85" i="22"/>
  <c r="DK85" i="22"/>
  <c r="R86" i="22"/>
  <c r="S86" i="22"/>
  <c r="X86" i="22"/>
  <c r="Y86" i="22"/>
  <c r="AD86" i="22"/>
  <c r="AE86" i="22"/>
  <c r="AF86" i="22"/>
  <c r="AJ86" i="22" s="1"/>
  <c r="AG86" i="22"/>
  <c r="AH86" i="22"/>
  <c r="AI86" i="22"/>
  <c r="L86" i="22" s="1"/>
  <c r="AP86" i="22"/>
  <c r="AQ86" i="22"/>
  <c r="AV86" i="22"/>
  <c r="AW86" i="22"/>
  <c r="BB86" i="22"/>
  <c r="BC86" i="22"/>
  <c r="BH86" i="22"/>
  <c r="BI86" i="22"/>
  <c r="BN86" i="22"/>
  <c r="BO86" i="22"/>
  <c r="BT86" i="22"/>
  <c r="BU86" i="22"/>
  <c r="BZ86" i="22"/>
  <c r="CA86" i="22"/>
  <c r="CF86" i="22"/>
  <c r="CG86" i="22"/>
  <c r="CL86" i="22"/>
  <c r="CM86" i="22"/>
  <c r="CR86" i="22"/>
  <c r="CS86" i="22"/>
  <c r="CX86" i="22"/>
  <c r="CY86" i="22"/>
  <c r="DD86" i="22"/>
  <c r="DE86" i="22"/>
  <c r="DF86" i="22"/>
  <c r="DG86" i="22"/>
  <c r="DH86" i="22"/>
  <c r="DI86" i="22"/>
  <c r="DK86" i="22"/>
  <c r="R87" i="22"/>
  <c r="S87" i="22"/>
  <c r="X87" i="22"/>
  <c r="Y87" i="22"/>
  <c r="AD87" i="22"/>
  <c r="AE87" i="22"/>
  <c r="AF87" i="22"/>
  <c r="AJ87" i="22" s="1"/>
  <c r="AG87" i="22"/>
  <c r="AH87" i="22"/>
  <c r="AI87" i="22"/>
  <c r="L87" i="22" s="1"/>
  <c r="AP87" i="22"/>
  <c r="AQ87" i="22"/>
  <c r="AV87" i="22"/>
  <c r="AW87" i="22"/>
  <c r="BB87" i="22"/>
  <c r="BC87" i="22"/>
  <c r="BH87" i="22"/>
  <c r="BI87" i="22"/>
  <c r="BN87" i="22"/>
  <c r="BO87" i="22"/>
  <c r="BT87" i="22"/>
  <c r="BU87" i="22"/>
  <c r="BZ87" i="22"/>
  <c r="CA87" i="22"/>
  <c r="CF87" i="22"/>
  <c r="CG87" i="22"/>
  <c r="CL87" i="22"/>
  <c r="CM87" i="22"/>
  <c r="CR87" i="22"/>
  <c r="CS87" i="22"/>
  <c r="CX87" i="22"/>
  <c r="CY87" i="22"/>
  <c r="DD87" i="22"/>
  <c r="DE87" i="22"/>
  <c r="DF87" i="22"/>
  <c r="DG87" i="22"/>
  <c r="DH87" i="22"/>
  <c r="DI87" i="22"/>
  <c r="DK87" i="22"/>
  <c r="R88" i="22"/>
  <c r="S88" i="22"/>
  <c r="X88" i="22"/>
  <c r="Y88" i="22"/>
  <c r="AD88" i="22"/>
  <c r="AE88" i="22"/>
  <c r="AF88" i="22"/>
  <c r="AJ88" i="22" s="1"/>
  <c r="AG88" i="22"/>
  <c r="AH88" i="22"/>
  <c r="AI88" i="22"/>
  <c r="L88" i="22" s="1"/>
  <c r="AP88" i="22"/>
  <c r="AQ88" i="22"/>
  <c r="AV88" i="22"/>
  <c r="AW88" i="22"/>
  <c r="BB88" i="22"/>
  <c r="BC88" i="22"/>
  <c r="BH88" i="22"/>
  <c r="BI88" i="22"/>
  <c r="BN88" i="22"/>
  <c r="BO88" i="22"/>
  <c r="BT88" i="22"/>
  <c r="BU88" i="22"/>
  <c r="BZ88" i="22"/>
  <c r="CA88" i="22"/>
  <c r="CF88" i="22"/>
  <c r="CG88" i="22"/>
  <c r="CL88" i="22"/>
  <c r="CM88" i="22"/>
  <c r="CR88" i="22"/>
  <c r="CS88" i="22"/>
  <c r="CX88" i="22"/>
  <c r="CY88" i="22"/>
  <c r="DD88" i="22"/>
  <c r="DE88" i="22"/>
  <c r="DF88" i="22"/>
  <c r="DG88" i="22"/>
  <c r="DH88" i="22"/>
  <c r="DI88" i="22"/>
  <c r="DK88" i="22"/>
  <c r="R89" i="22"/>
  <c r="S89" i="22"/>
  <c r="X89" i="22"/>
  <c r="Y89" i="22"/>
  <c r="AD89" i="22"/>
  <c r="AE89" i="22"/>
  <c r="AF89" i="22"/>
  <c r="AJ89" i="22" s="1"/>
  <c r="AG89" i="22"/>
  <c r="AK89" i="22" s="1"/>
  <c r="AH89" i="22"/>
  <c r="AI89" i="22"/>
  <c r="L89" i="22" s="1"/>
  <c r="AP89" i="22"/>
  <c r="AQ89" i="22"/>
  <c r="AV89" i="22"/>
  <c r="AW89" i="22"/>
  <c r="BB89" i="22"/>
  <c r="BC89" i="22"/>
  <c r="BH89" i="22"/>
  <c r="BI89" i="22"/>
  <c r="BN89" i="22"/>
  <c r="BO89" i="22"/>
  <c r="BT89" i="22"/>
  <c r="BU89" i="22"/>
  <c r="BZ89" i="22"/>
  <c r="CA89" i="22"/>
  <c r="CF89" i="22"/>
  <c r="CG89" i="22"/>
  <c r="CL89" i="22"/>
  <c r="CM89" i="22"/>
  <c r="CR89" i="22"/>
  <c r="CS89" i="22"/>
  <c r="CX89" i="22"/>
  <c r="CY89" i="22"/>
  <c r="DD89" i="22"/>
  <c r="DE89" i="22"/>
  <c r="DF89" i="22"/>
  <c r="DG89" i="22"/>
  <c r="DH89" i="22"/>
  <c r="DI89" i="22"/>
  <c r="L90" i="22"/>
  <c r="R90" i="22"/>
  <c r="S90" i="22"/>
  <c r="X90" i="22"/>
  <c r="Y90" i="22"/>
  <c r="AD90" i="22"/>
  <c r="AE90" i="22"/>
  <c r="AF90" i="22"/>
  <c r="AJ90" i="22" s="1"/>
  <c r="AG90" i="22"/>
  <c r="AH90" i="22"/>
  <c r="AI90" i="22"/>
  <c r="AP90" i="22"/>
  <c r="AQ90" i="22"/>
  <c r="AV90" i="22"/>
  <c r="AW90" i="22"/>
  <c r="BB90" i="22"/>
  <c r="BC90" i="22"/>
  <c r="BH90" i="22"/>
  <c r="BI90" i="22"/>
  <c r="BN90" i="22"/>
  <c r="BO90" i="22"/>
  <c r="BT90" i="22"/>
  <c r="BU90" i="22"/>
  <c r="BZ90" i="22"/>
  <c r="CA90" i="22"/>
  <c r="CF90" i="22"/>
  <c r="CG90" i="22"/>
  <c r="CL90" i="22"/>
  <c r="CM90" i="22"/>
  <c r="CR90" i="22"/>
  <c r="CS90" i="22"/>
  <c r="CX90" i="22"/>
  <c r="CY90" i="22"/>
  <c r="DD90" i="22"/>
  <c r="DE90" i="22"/>
  <c r="DF90" i="22"/>
  <c r="DG90" i="22"/>
  <c r="DK90" i="22" s="1"/>
  <c r="DH90" i="22"/>
  <c r="DI90" i="22"/>
  <c r="R91" i="22"/>
  <c r="S91" i="22"/>
  <c r="X91" i="22"/>
  <c r="Y91" i="22"/>
  <c r="AD91" i="22"/>
  <c r="AE91" i="22"/>
  <c r="AF91" i="22"/>
  <c r="AJ91" i="22" s="1"/>
  <c r="AG91" i="22"/>
  <c r="AH91" i="22"/>
  <c r="AI91" i="22"/>
  <c r="AP91" i="22"/>
  <c r="AQ91" i="22"/>
  <c r="AV91" i="22"/>
  <c r="AW91" i="22"/>
  <c r="BB91" i="22"/>
  <c r="BC91" i="22"/>
  <c r="BH91" i="22"/>
  <c r="BI91" i="22"/>
  <c r="BN91" i="22"/>
  <c r="BO91" i="22"/>
  <c r="BT91" i="22"/>
  <c r="BU91" i="22"/>
  <c r="BZ91" i="22"/>
  <c r="CA91" i="22"/>
  <c r="CF91" i="22"/>
  <c r="CG91" i="22"/>
  <c r="CL91" i="22"/>
  <c r="CM91" i="22"/>
  <c r="CR91" i="22"/>
  <c r="CS91" i="22"/>
  <c r="CX91" i="22"/>
  <c r="CY91" i="22"/>
  <c r="DD91" i="22"/>
  <c r="DE91" i="22"/>
  <c r="DF91" i="22"/>
  <c r="DG91" i="22"/>
  <c r="DK91" i="22" s="1"/>
  <c r="DH91" i="22"/>
  <c r="DI91" i="22"/>
  <c r="R92" i="22"/>
  <c r="S92" i="22"/>
  <c r="X92" i="22"/>
  <c r="Y92" i="22"/>
  <c r="AD92" i="22"/>
  <c r="AE92" i="22"/>
  <c r="AF92" i="22"/>
  <c r="AJ92" i="22" s="1"/>
  <c r="AG92" i="22"/>
  <c r="AK92" i="22" s="1"/>
  <c r="AH92" i="22"/>
  <c r="AI92" i="22"/>
  <c r="L92" i="22" s="1"/>
  <c r="AP92" i="22"/>
  <c r="AQ92" i="22"/>
  <c r="AV92" i="22"/>
  <c r="AW92" i="22"/>
  <c r="BB92" i="22"/>
  <c r="BC92" i="22"/>
  <c r="BH92" i="22"/>
  <c r="BI92" i="22"/>
  <c r="BN92" i="22"/>
  <c r="BO92" i="22"/>
  <c r="BT92" i="22"/>
  <c r="BU92" i="22"/>
  <c r="BZ92" i="22"/>
  <c r="CA92" i="22"/>
  <c r="CF92" i="22"/>
  <c r="CG92" i="22"/>
  <c r="CL92" i="22"/>
  <c r="CM92" i="22"/>
  <c r="CR92" i="22"/>
  <c r="CS92" i="22"/>
  <c r="CX92" i="22"/>
  <c r="CY92" i="22"/>
  <c r="DD92" i="22"/>
  <c r="DE92" i="22"/>
  <c r="DF92" i="22"/>
  <c r="DG92" i="22"/>
  <c r="DH92" i="22"/>
  <c r="DI92" i="22"/>
  <c r="DK92" i="22"/>
  <c r="K93" i="22"/>
  <c r="L93" i="22"/>
  <c r="R93" i="22"/>
  <c r="S93" i="22"/>
  <c r="X93" i="22"/>
  <c r="Y93" i="22"/>
  <c r="AD93" i="22"/>
  <c r="AE93" i="22"/>
  <c r="AF93" i="22"/>
  <c r="AJ93" i="22" s="1"/>
  <c r="AG93" i="22"/>
  <c r="AK93" i="22" s="1"/>
  <c r="AH93" i="22"/>
  <c r="AI93" i="22"/>
  <c r="AP93" i="22"/>
  <c r="AQ93" i="22"/>
  <c r="AV93" i="22"/>
  <c r="AW93" i="22"/>
  <c r="BB93" i="22"/>
  <c r="BC93" i="22"/>
  <c r="BH93" i="22"/>
  <c r="BI93" i="22"/>
  <c r="BN93" i="22"/>
  <c r="BO93" i="22"/>
  <c r="BT93" i="22"/>
  <c r="BU93" i="22"/>
  <c r="BZ93" i="22"/>
  <c r="CA93" i="22"/>
  <c r="CF93" i="22"/>
  <c r="CG93" i="22"/>
  <c r="CL93" i="22"/>
  <c r="CM93" i="22"/>
  <c r="CR93" i="22"/>
  <c r="CS93" i="22"/>
  <c r="CX93" i="22"/>
  <c r="CY93" i="22"/>
  <c r="DD93" i="22"/>
  <c r="DE93" i="22"/>
  <c r="DF93" i="22"/>
  <c r="DG93" i="22"/>
  <c r="DH93" i="22"/>
  <c r="DI93" i="22"/>
  <c r="DK93" i="22"/>
  <c r="R94" i="22"/>
  <c r="S94" i="22"/>
  <c r="X94" i="22"/>
  <c r="Y94" i="22"/>
  <c r="AD94" i="22"/>
  <c r="AE94" i="22"/>
  <c r="AF94" i="22"/>
  <c r="AG94" i="22"/>
  <c r="AH94" i="22"/>
  <c r="AI94" i="22"/>
  <c r="L94" i="22" s="1"/>
  <c r="AJ94" i="22"/>
  <c r="AP94" i="22"/>
  <c r="AQ94" i="22"/>
  <c r="AV94" i="22"/>
  <c r="AW94" i="22"/>
  <c r="BB94" i="22"/>
  <c r="BC94" i="22"/>
  <c r="BH94" i="22"/>
  <c r="BI94" i="22"/>
  <c r="BN94" i="22"/>
  <c r="BO94" i="22"/>
  <c r="BT94" i="22"/>
  <c r="BU94" i="22"/>
  <c r="BZ94" i="22"/>
  <c r="CA94" i="22"/>
  <c r="CF94" i="22"/>
  <c r="CG94" i="22"/>
  <c r="CL94" i="22"/>
  <c r="CM94" i="22"/>
  <c r="CR94" i="22"/>
  <c r="CS94" i="22"/>
  <c r="CX94" i="22"/>
  <c r="CY94" i="22"/>
  <c r="DD94" i="22"/>
  <c r="DE94" i="22"/>
  <c r="DF94" i="22"/>
  <c r="DG94" i="22"/>
  <c r="DK94" i="22" s="1"/>
  <c r="DH94" i="22"/>
  <c r="DI94" i="22"/>
  <c r="L95" i="22"/>
  <c r="R95" i="22"/>
  <c r="S95" i="22"/>
  <c r="X95" i="22"/>
  <c r="Y95" i="22"/>
  <c r="AD95" i="22"/>
  <c r="AE95" i="22"/>
  <c r="AF95" i="22"/>
  <c r="AJ95" i="22" s="1"/>
  <c r="AG95" i="22"/>
  <c r="AH95" i="22"/>
  <c r="AI95" i="22"/>
  <c r="AK95" i="22"/>
  <c r="AP95" i="22"/>
  <c r="AQ95" i="22"/>
  <c r="AV95" i="22"/>
  <c r="AW95" i="22"/>
  <c r="BB95" i="22"/>
  <c r="BC95" i="22"/>
  <c r="BH95" i="22"/>
  <c r="BI95" i="22"/>
  <c r="BN95" i="22"/>
  <c r="BO95" i="22"/>
  <c r="BT95" i="22"/>
  <c r="BU95" i="22"/>
  <c r="BZ95" i="22"/>
  <c r="CA95" i="22"/>
  <c r="CF95" i="22"/>
  <c r="CG95" i="22"/>
  <c r="CL95" i="22"/>
  <c r="CM95" i="22"/>
  <c r="CR95" i="22"/>
  <c r="CS95" i="22"/>
  <c r="CX95" i="22"/>
  <c r="CY95" i="22"/>
  <c r="DD95" i="22"/>
  <c r="DE95" i="22"/>
  <c r="DF95" i="22"/>
  <c r="DG95" i="22"/>
  <c r="DK95" i="22" s="1"/>
  <c r="DH95" i="22"/>
  <c r="DI95" i="22"/>
  <c r="K96" i="22"/>
  <c r="M96" i="22" s="1"/>
  <c r="L96" i="22"/>
  <c r="R96" i="22"/>
  <c r="S96" i="22"/>
  <c r="X96" i="22"/>
  <c r="Y96" i="22"/>
  <c r="AD96" i="22"/>
  <c r="AE96" i="22"/>
  <c r="AF96" i="22"/>
  <c r="AJ96" i="22" s="1"/>
  <c r="AG96" i="22"/>
  <c r="AK96" i="22" s="1"/>
  <c r="AH96" i="22"/>
  <c r="AI96" i="22"/>
  <c r="AP96" i="22"/>
  <c r="AQ96" i="22"/>
  <c r="AV96" i="22"/>
  <c r="AW96" i="22"/>
  <c r="BB96" i="22"/>
  <c r="BC96" i="22"/>
  <c r="BH96" i="22"/>
  <c r="BI96" i="22"/>
  <c r="BN96" i="22"/>
  <c r="BO96" i="22"/>
  <c r="BT96" i="22"/>
  <c r="BU96" i="22"/>
  <c r="BZ96" i="22"/>
  <c r="CA96" i="22"/>
  <c r="CF96" i="22"/>
  <c r="CG96" i="22"/>
  <c r="CL96" i="22"/>
  <c r="CM96" i="22"/>
  <c r="CR96" i="22"/>
  <c r="CS96" i="22"/>
  <c r="CX96" i="22"/>
  <c r="CY96" i="22"/>
  <c r="DD96" i="22"/>
  <c r="DE96" i="22"/>
  <c r="DF96" i="22"/>
  <c r="DG96" i="22"/>
  <c r="DK96" i="22" s="1"/>
  <c r="DH96" i="22"/>
  <c r="DI96" i="22"/>
  <c r="L97" i="22"/>
  <c r="R97" i="22"/>
  <c r="S97" i="22"/>
  <c r="X97" i="22"/>
  <c r="Y97" i="22"/>
  <c r="AD97" i="22"/>
  <c r="AE97" i="22"/>
  <c r="AF97" i="22"/>
  <c r="AJ97" i="22" s="1"/>
  <c r="AG97" i="22"/>
  <c r="AK97" i="22" s="1"/>
  <c r="AH97" i="22"/>
  <c r="AI97" i="22"/>
  <c r="AP97" i="22"/>
  <c r="AQ97" i="22"/>
  <c r="AV97" i="22"/>
  <c r="AW97" i="22"/>
  <c r="BB97" i="22"/>
  <c r="BC97" i="22"/>
  <c r="BH97" i="22"/>
  <c r="BI97" i="22"/>
  <c r="BN97" i="22"/>
  <c r="BO97" i="22"/>
  <c r="BT97" i="22"/>
  <c r="BU97" i="22"/>
  <c r="BZ97" i="22"/>
  <c r="CA97" i="22"/>
  <c r="CF97" i="22"/>
  <c r="CG97" i="22"/>
  <c r="CL97" i="22"/>
  <c r="CM97" i="22"/>
  <c r="CR97" i="22"/>
  <c r="CS97" i="22"/>
  <c r="CX97" i="22"/>
  <c r="CY97" i="22"/>
  <c r="DD97" i="22"/>
  <c r="DE97" i="22"/>
  <c r="DF97" i="22"/>
  <c r="DG97" i="22"/>
  <c r="DK97" i="22" s="1"/>
  <c r="DH97" i="22"/>
  <c r="DJ97" i="22" s="1"/>
  <c r="F97" i="22" s="1"/>
  <c r="DI97" i="22"/>
  <c r="L98" i="22"/>
  <c r="R98" i="22"/>
  <c r="S98" i="22"/>
  <c r="X98" i="22"/>
  <c r="Y98" i="22"/>
  <c r="AD98" i="22"/>
  <c r="AE98" i="22"/>
  <c r="AF98" i="22"/>
  <c r="AJ98" i="22" s="1"/>
  <c r="AG98" i="22"/>
  <c r="AK98" i="22" s="1"/>
  <c r="AH98" i="22"/>
  <c r="AI98" i="22"/>
  <c r="AP98" i="22"/>
  <c r="AQ98" i="22"/>
  <c r="AV98" i="22"/>
  <c r="AW98" i="22"/>
  <c r="BB98" i="22"/>
  <c r="BC98" i="22"/>
  <c r="BH98" i="22"/>
  <c r="BI98" i="22"/>
  <c r="BN98" i="22"/>
  <c r="BO98" i="22"/>
  <c r="BT98" i="22"/>
  <c r="BU98" i="22"/>
  <c r="BZ98" i="22"/>
  <c r="CA98" i="22"/>
  <c r="CF98" i="22"/>
  <c r="CG98" i="22"/>
  <c r="CL98" i="22"/>
  <c r="CM98" i="22"/>
  <c r="CR98" i="22"/>
  <c r="CS98" i="22"/>
  <c r="CX98" i="22"/>
  <c r="CY98" i="22"/>
  <c r="DD98" i="22"/>
  <c r="DE98" i="22"/>
  <c r="DF98" i="22"/>
  <c r="DG98" i="22"/>
  <c r="DK98" i="22" s="1"/>
  <c r="DH98" i="22"/>
  <c r="DJ98" i="22" s="1"/>
  <c r="F98" i="22" s="1"/>
  <c r="DI98" i="22"/>
  <c r="L99" i="22"/>
  <c r="R99" i="22"/>
  <c r="S99" i="22"/>
  <c r="X99" i="22"/>
  <c r="Y99" i="22"/>
  <c r="AD99" i="22"/>
  <c r="AE99" i="22"/>
  <c r="AF99" i="22"/>
  <c r="AJ99" i="22" s="1"/>
  <c r="AG99" i="22"/>
  <c r="AK99" i="22" s="1"/>
  <c r="AH99" i="22"/>
  <c r="AI99" i="22"/>
  <c r="AP99" i="22"/>
  <c r="AQ99" i="22"/>
  <c r="AV99" i="22"/>
  <c r="AW99" i="22"/>
  <c r="BB99" i="22"/>
  <c r="BC99" i="22"/>
  <c r="BH99" i="22"/>
  <c r="BI99" i="22"/>
  <c r="BN99" i="22"/>
  <c r="BO99" i="22"/>
  <c r="BT99" i="22"/>
  <c r="BU99" i="22"/>
  <c r="BZ99" i="22"/>
  <c r="CA99" i="22"/>
  <c r="CF99" i="22"/>
  <c r="CG99" i="22"/>
  <c r="CL99" i="22"/>
  <c r="CM99" i="22"/>
  <c r="CR99" i="22"/>
  <c r="CS99" i="22"/>
  <c r="CX99" i="22"/>
  <c r="CY99" i="22"/>
  <c r="DD99" i="22"/>
  <c r="DE99" i="22"/>
  <c r="DF99" i="22"/>
  <c r="DG99" i="22"/>
  <c r="DK99" i="22" s="1"/>
  <c r="DH99" i="22"/>
  <c r="DJ99" i="22" s="1"/>
  <c r="F99" i="22" s="1"/>
  <c r="DI99" i="22"/>
  <c r="L100" i="22"/>
  <c r="R100" i="22"/>
  <c r="S100" i="22"/>
  <c r="X100" i="22"/>
  <c r="Y100" i="22"/>
  <c r="AD100" i="22"/>
  <c r="AE100" i="22"/>
  <c r="AF100" i="22"/>
  <c r="AJ100" i="22" s="1"/>
  <c r="AG100" i="22"/>
  <c r="AK100" i="22" s="1"/>
  <c r="AH100" i="22"/>
  <c r="AI100" i="22"/>
  <c r="AP100" i="22"/>
  <c r="AQ100" i="22"/>
  <c r="AV100" i="22"/>
  <c r="AW100" i="22"/>
  <c r="BB100" i="22"/>
  <c r="BC100" i="22"/>
  <c r="BH100" i="22"/>
  <c r="BI100" i="22"/>
  <c r="BN100" i="22"/>
  <c r="BO100" i="22"/>
  <c r="BT100" i="22"/>
  <c r="BU100" i="22"/>
  <c r="BZ100" i="22"/>
  <c r="CA100" i="22"/>
  <c r="CF100" i="22"/>
  <c r="CG100" i="22"/>
  <c r="CL100" i="22"/>
  <c r="CM100" i="22"/>
  <c r="CR100" i="22"/>
  <c r="CS100" i="22"/>
  <c r="CX100" i="22"/>
  <c r="CY100" i="22"/>
  <c r="DD100" i="22"/>
  <c r="DE100" i="22"/>
  <c r="DF100" i="22"/>
  <c r="DG100" i="22"/>
  <c r="DK100" i="22" s="1"/>
  <c r="DH100" i="22"/>
  <c r="DJ100" i="22" s="1"/>
  <c r="F100" i="22" s="1"/>
  <c r="DI100" i="22"/>
  <c r="L101" i="22"/>
  <c r="R101" i="22"/>
  <c r="S101" i="22"/>
  <c r="X101" i="22"/>
  <c r="Y101" i="22"/>
  <c r="AD101" i="22"/>
  <c r="AE101" i="22"/>
  <c r="AF101" i="22"/>
  <c r="AJ101" i="22" s="1"/>
  <c r="AG101" i="22"/>
  <c r="AK101" i="22" s="1"/>
  <c r="AH101" i="22"/>
  <c r="AI101" i="22"/>
  <c r="AP101" i="22"/>
  <c r="AQ101" i="22"/>
  <c r="AV101" i="22"/>
  <c r="AW101" i="22"/>
  <c r="BB101" i="22"/>
  <c r="BC101" i="22"/>
  <c r="BH101" i="22"/>
  <c r="BI101" i="22"/>
  <c r="BN101" i="22"/>
  <c r="BO101" i="22"/>
  <c r="BT101" i="22"/>
  <c r="BU101" i="22"/>
  <c r="BZ101" i="22"/>
  <c r="CA101" i="22"/>
  <c r="CF101" i="22"/>
  <c r="CG101" i="22"/>
  <c r="CL101" i="22"/>
  <c r="CM101" i="22"/>
  <c r="CR101" i="22"/>
  <c r="CS101" i="22"/>
  <c r="CX101" i="22"/>
  <c r="CY101" i="22"/>
  <c r="DD101" i="22"/>
  <c r="DE101" i="22"/>
  <c r="DF101" i="22"/>
  <c r="DG101" i="22"/>
  <c r="DK101" i="22" s="1"/>
  <c r="DH101" i="22"/>
  <c r="DJ101" i="22" s="1"/>
  <c r="F101" i="22" s="1"/>
  <c r="DI101" i="22"/>
  <c r="L102" i="22"/>
  <c r="R102" i="22"/>
  <c r="S102" i="22"/>
  <c r="X102" i="22"/>
  <c r="Y102" i="22"/>
  <c r="AD102" i="22"/>
  <c r="AE102" i="22"/>
  <c r="AF102" i="22"/>
  <c r="AJ102" i="22" s="1"/>
  <c r="AG102" i="22"/>
  <c r="AK102" i="22" s="1"/>
  <c r="AH102" i="22"/>
  <c r="AI102" i="22"/>
  <c r="AP102" i="22"/>
  <c r="AQ102" i="22"/>
  <c r="AV102" i="22"/>
  <c r="AW102" i="22"/>
  <c r="BB102" i="22"/>
  <c r="BC102" i="22"/>
  <c r="BH102" i="22"/>
  <c r="BI102" i="22"/>
  <c r="BN102" i="22"/>
  <c r="BO102" i="22"/>
  <c r="BT102" i="22"/>
  <c r="BU102" i="22"/>
  <c r="BZ102" i="22"/>
  <c r="CA102" i="22"/>
  <c r="CF102" i="22"/>
  <c r="CG102" i="22"/>
  <c r="CL102" i="22"/>
  <c r="CM102" i="22"/>
  <c r="CR102" i="22"/>
  <c r="CS102" i="22"/>
  <c r="CX102" i="22"/>
  <c r="CY102" i="22"/>
  <c r="DD102" i="22"/>
  <c r="DE102" i="22"/>
  <c r="DF102" i="22"/>
  <c r="DG102" i="22"/>
  <c r="DK102" i="22" s="1"/>
  <c r="DH102" i="22"/>
  <c r="DJ102" i="22" s="1"/>
  <c r="F102" i="22" s="1"/>
  <c r="DI102" i="22"/>
  <c r="L103" i="22"/>
  <c r="R103" i="22"/>
  <c r="S103" i="22"/>
  <c r="X103" i="22"/>
  <c r="Y103" i="22"/>
  <c r="AD103" i="22"/>
  <c r="AE103" i="22"/>
  <c r="AF103" i="22"/>
  <c r="AJ103" i="22" s="1"/>
  <c r="AG103" i="22"/>
  <c r="AK103" i="22" s="1"/>
  <c r="AH103" i="22"/>
  <c r="AI103" i="22"/>
  <c r="AP103" i="22"/>
  <c r="AQ103" i="22"/>
  <c r="AV103" i="22"/>
  <c r="AW103" i="22"/>
  <c r="BB103" i="22"/>
  <c r="BC103" i="22"/>
  <c r="BH103" i="22"/>
  <c r="BI103" i="22"/>
  <c r="BN103" i="22"/>
  <c r="BO103" i="22"/>
  <c r="BT103" i="22"/>
  <c r="BU103" i="22"/>
  <c r="BZ103" i="22"/>
  <c r="CA103" i="22"/>
  <c r="CF103" i="22"/>
  <c r="CG103" i="22"/>
  <c r="CL103" i="22"/>
  <c r="CM103" i="22"/>
  <c r="CR103" i="22"/>
  <c r="CS103" i="22"/>
  <c r="CX103" i="22"/>
  <c r="CY103" i="22"/>
  <c r="DD103" i="22"/>
  <c r="DE103" i="22"/>
  <c r="DF103" i="22"/>
  <c r="DG103" i="22"/>
  <c r="DK103" i="22" s="1"/>
  <c r="DH103" i="22"/>
  <c r="DJ103" i="22" s="1"/>
  <c r="F103" i="22" s="1"/>
  <c r="DI103" i="22"/>
  <c r="L104" i="22"/>
  <c r="R104" i="22"/>
  <c r="S104" i="22"/>
  <c r="X104" i="22"/>
  <c r="Y104" i="22"/>
  <c r="AD104" i="22"/>
  <c r="AE104" i="22"/>
  <c r="AF104" i="22"/>
  <c r="AJ104" i="22" s="1"/>
  <c r="AG104" i="22"/>
  <c r="AK104" i="22" s="1"/>
  <c r="AH104" i="22"/>
  <c r="AI104" i="22"/>
  <c r="AP104" i="22"/>
  <c r="AQ104" i="22"/>
  <c r="AV104" i="22"/>
  <c r="AW104" i="22"/>
  <c r="BB104" i="22"/>
  <c r="BC104" i="22"/>
  <c r="BH104" i="22"/>
  <c r="BI104" i="22"/>
  <c r="BN104" i="22"/>
  <c r="BO104" i="22"/>
  <c r="BT104" i="22"/>
  <c r="BU104" i="22"/>
  <c r="BZ104" i="22"/>
  <c r="CA104" i="22"/>
  <c r="CF104" i="22"/>
  <c r="CG104" i="22"/>
  <c r="CL104" i="22"/>
  <c r="CM104" i="22"/>
  <c r="CR104" i="22"/>
  <c r="CS104" i="22"/>
  <c r="CX104" i="22"/>
  <c r="CY104" i="22"/>
  <c r="DD104" i="22"/>
  <c r="DE104" i="22"/>
  <c r="DF104" i="22"/>
  <c r="DG104" i="22"/>
  <c r="DK104" i="22" s="1"/>
  <c r="DH104" i="22"/>
  <c r="DJ104" i="22" s="1"/>
  <c r="F104" i="22" s="1"/>
  <c r="DI104" i="22"/>
  <c r="L105" i="22"/>
  <c r="R105" i="22"/>
  <c r="S105" i="22"/>
  <c r="X105" i="22"/>
  <c r="Y105" i="22"/>
  <c r="AD105" i="22"/>
  <c r="AE105" i="22"/>
  <c r="AF105" i="22"/>
  <c r="AJ105" i="22" s="1"/>
  <c r="AG105" i="22"/>
  <c r="AK105" i="22" s="1"/>
  <c r="AH105" i="22"/>
  <c r="AI105" i="22"/>
  <c r="AP105" i="22"/>
  <c r="AQ105" i="22"/>
  <c r="AV105" i="22"/>
  <c r="AW105" i="22"/>
  <c r="BB105" i="22"/>
  <c r="BC105" i="22"/>
  <c r="BH105" i="22"/>
  <c r="BI105" i="22"/>
  <c r="BN105" i="22"/>
  <c r="BO105" i="22"/>
  <c r="BT105" i="22"/>
  <c r="BU105" i="22"/>
  <c r="BZ105" i="22"/>
  <c r="CA105" i="22"/>
  <c r="CF105" i="22"/>
  <c r="CG105" i="22"/>
  <c r="CL105" i="22"/>
  <c r="CM105" i="22"/>
  <c r="CR105" i="22"/>
  <c r="CS105" i="22"/>
  <c r="CX105" i="22"/>
  <c r="CY105" i="22"/>
  <c r="DD105" i="22"/>
  <c r="DE105" i="22"/>
  <c r="DF105" i="22"/>
  <c r="DG105" i="22"/>
  <c r="DK105" i="22" s="1"/>
  <c r="DH105" i="22"/>
  <c r="DJ105" i="22" s="1"/>
  <c r="F105" i="22" s="1"/>
  <c r="DI105" i="22"/>
  <c r="L106" i="22"/>
  <c r="R106" i="22"/>
  <c r="S106" i="22"/>
  <c r="X106" i="22"/>
  <c r="Y106" i="22"/>
  <c r="AD106" i="22"/>
  <c r="AE106" i="22"/>
  <c r="AF106" i="22"/>
  <c r="AJ106" i="22" s="1"/>
  <c r="AG106" i="22"/>
  <c r="AK106" i="22" s="1"/>
  <c r="AH106" i="22"/>
  <c r="AI106" i="22"/>
  <c r="AP106" i="22"/>
  <c r="AQ106" i="22"/>
  <c r="AV106" i="22"/>
  <c r="AW106" i="22"/>
  <c r="BB106" i="22"/>
  <c r="BC106" i="22"/>
  <c r="BH106" i="22"/>
  <c r="BI106" i="22"/>
  <c r="BN106" i="22"/>
  <c r="BO106" i="22"/>
  <c r="BT106" i="22"/>
  <c r="BU106" i="22"/>
  <c r="BZ106" i="22"/>
  <c r="CA106" i="22"/>
  <c r="CF106" i="22"/>
  <c r="CG106" i="22"/>
  <c r="CL106" i="22"/>
  <c r="CM106" i="22"/>
  <c r="CR106" i="22"/>
  <c r="CS106" i="22"/>
  <c r="CX106" i="22"/>
  <c r="CY106" i="22"/>
  <c r="DD106" i="22"/>
  <c r="DE106" i="22"/>
  <c r="DF106" i="22"/>
  <c r="DG106" i="22"/>
  <c r="DK106" i="22" s="1"/>
  <c r="DH106" i="22"/>
  <c r="DJ106" i="22" s="1"/>
  <c r="F106" i="22" s="1"/>
  <c r="DI106" i="22"/>
  <c r="L107" i="22"/>
  <c r="R107" i="22"/>
  <c r="S107" i="22"/>
  <c r="X107" i="22"/>
  <c r="Y107" i="22"/>
  <c r="AD107" i="22"/>
  <c r="AE107" i="22"/>
  <c r="AF107" i="22"/>
  <c r="AJ107" i="22" s="1"/>
  <c r="AG107" i="22"/>
  <c r="AK107" i="22" s="1"/>
  <c r="AH107" i="22"/>
  <c r="AI107" i="22"/>
  <c r="AP107" i="22"/>
  <c r="AQ107" i="22"/>
  <c r="AV107" i="22"/>
  <c r="AW107" i="22"/>
  <c r="BB107" i="22"/>
  <c r="BC107" i="22"/>
  <c r="BH107" i="22"/>
  <c r="BI107" i="22"/>
  <c r="BN107" i="22"/>
  <c r="BO107" i="22"/>
  <c r="BT107" i="22"/>
  <c r="BU107" i="22"/>
  <c r="BZ107" i="22"/>
  <c r="CA107" i="22"/>
  <c r="CF107" i="22"/>
  <c r="CG107" i="22"/>
  <c r="CL107" i="22"/>
  <c r="CM107" i="22"/>
  <c r="CR107" i="22"/>
  <c r="CS107" i="22"/>
  <c r="CX107" i="22"/>
  <c r="CY107" i="22"/>
  <c r="DD107" i="22"/>
  <c r="DE107" i="22"/>
  <c r="DF107" i="22"/>
  <c r="DG107" i="22"/>
  <c r="DK107" i="22" s="1"/>
  <c r="DH107" i="22"/>
  <c r="DJ107" i="22" s="1"/>
  <c r="F107" i="22" s="1"/>
  <c r="DI107" i="22"/>
  <c r="L108" i="22"/>
  <c r="R108" i="22"/>
  <c r="S108" i="22"/>
  <c r="X108" i="22"/>
  <c r="Y108" i="22"/>
  <c r="AD108" i="22"/>
  <c r="AE108" i="22"/>
  <c r="AF108" i="22"/>
  <c r="AJ108" i="22" s="1"/>
  <c r="AG108" i="22"/>
  <c r="AK108" i="22" s="1"/>
  <c r="AH108" i="22"/>
  <c r="AI108" i="22"/>
  <c r="AP108" i="22"/>
  <c r="AQ108" i="22"/>
  <c r="AV108" i="22"/>
  <c r="AW108" i="22"/>
  <c r="BB108" i="22"/>
  <c r="BC108" i="22"/>
  <c r="BH108" i="22"/>
  <c r="BI108" i="22"/>
  <c r="BN108" i="22"/>
  <c r="BO108" i="22"/>
  <c r="BT108" i="22"/>
  <c r="BU108" i="22"/>
  <c r="BZ108" i="22"/>
  <c r="CA108" i="22"/>
  <c r="CF108" i="22"/>
  <c r="CG108" i="22"/>
  <c r="CL108" i="22"/>
  <c r="CM108" i="22"/>
  <c r="CR108" i="22"/>
  <c r="CS108" i="22"/>
  <c r="CX108" i="22"/>
  <c r="CY108" i="22"/>
  <c r="DD108" i="22"/>
  <c r="DE108" i="22"/>
  <c r="DF108" i="22"/>
  <c r="DG108" i="22"/>
  <c r="DK108" i="22" s="1"/>
  <c r="DH108" i="22"/>
  <c r="DJ108" i="22" s="1"/>
  <c r="F108" i="22" s="1"/>
  <c r="DI108" i="22"/>
  <c r="L109" i="22"/>
  <c r="R109" i="22"/>
  <c r="S109" i="22"/>
  <c r="X109" i="22"/>
  <c r="Y109" i="22"/>
  <c r="AD109" i="22"/>
  <c r="AE109" i="22"/>
  <c r="AF109" i="22"/>
  <c r="AJ109" i="22" s="1"/>
  <c r="AG109" i="22"/>
  <c r="AK109" i="22" s="1"/>
  <c r="AH109" i="22"/>
  <c r="AI109" i="22"/>
  <c r="AP109" i="22"/>
  <c r="AQ109" i="22"/>
  <c r="AV109" i="22"/>
  <c r="AW109" i="22"/>
  <c r="BB109" i="22"/>
  <c r="BC109" i="22"/>
  <c r="BH109" i="22"/>
  <c r="BI109" i="22"/>
  <c r="BN109" i="22"/>
  <c r="BO109" i="22"/>
  <c r="BT109" i="22"/>
  <c r="BU109" i="22"/>
  <c r="BZ109" i="22"/>
  <c r="CA109" i="22"/>
  <c r="CF109" i="22"/>
  <c r="CG109" i="22"/>
  <c r="CL109" i="22"/>
  <c r="CM109" i="22"/>
  <c r="CR109" i="22"/>
  <c r="CS109" i="22"/>
  <c r="CX109" i="22"/>
  <c r="CY109" i="22"/>
  <c r="DD109" i="22"/>
  <c r="DE109" i="22"/>
  <c r="DF109" i="22"/>
  <c r="DG109" i="22"/>
  <c r="DK109" i="22" s="1"/>
  <c r="DH109" i="22"/>
  <c r="DJ109" i="22" s="1"/>
  <c r="F109" i="22" s="1"/>
  <c r="DI109" i="22"/>
  <c r="L110" i="22"/>
  <c r="R110" i="22"/>
  <c r="S110" i="22"/>
  <c r="X110" i="22"/>
  <c r="Y110" i="22"/>
  <c r="AD110" i="22"/>
  <c r="AE110" i="22"/>
  <c r="AF110" i="22"/>
  <c r="AJ110" i="22" s="1"/>
  <c r="AG110" i="22"/>
  <c r="AK110" i="22" s="1"/>
  <c r="AH110" i="22"/>
  <c r="AI110" i="22"/>
  <c r="AP110" i="22"/>
  <c r="AQ110" i="22"/>
  <c r="AV110" i="22"/>
  <c r="AW110" i="22"/>
  <c r="BB110" i="22"/>
  <c r="BC110" i="22"/>
  <c r="BH110" i="22"/>
  <c r="BI110" i="22"/>
  <c r="BN110" i="22"/>
  <c r="BO110" i="22"/>
  <c r="BT110" i="22"/>
  <c r="BU110" i="22"/>
  <c r="BZ110" i="22"/>
  <c r="CA110" i="22"/>
  <c r="CF110" i="22"/>
  <c r="CG110" i="22"/>
  <c r="CL110" i="22"/>
  <c r="CM110" i="22"/>
  <c r="CR110" i="22"/>
  <c r="CS110" i="22"/>
  <c r="CX110" i="22"/>
  <c r="CY110" i="22"/>
  <c r="DD110" i="22"/>
  <c r="DE110" i="22"/>
  <c r="DF110" i="22"/>
  <c r="DG110" i="22"/>
  <c r="DK110" i="22" s="1"/>
  <c r="DH110" i="22"/>
  <c r="DJ110" i="22" s="1"/>
  <c r="F110" i="22" s="1"/>
  <c r="DI110" i="22"/>
  <c r="L111" i="22"/>
  <c r="R111" i="22"/>
  <c r="S111" i="22"/>
  <c r="X111" i="22"/>
  <c r="Y111" i="22"/>
  <c r="AD111" i="22"/>
  <c r="AE111" i="22"/>
  <c r="AF111" i="22"/>
  <c r="AJ111" i="22" s="1"/>
  <c r="AG111" i="22"/>
  <c r="AK111" i="22" s="1"/>
  <c r="AH111" i="22"/>
  <c r="AI111" i="22"/>
  <c r="AP111" i="22"/>
  <c r="AQ111" i="22"/>
  <c r="AV111" i="22"/>
  <c r="AW111" i="22"/>
  <c r="BB111" i="22"/>
  <c r="BC111" i="22"/>
  <c r="BH111" i="22"/>
  <c r="BI111" i="22"/>
  <c r="BN111" i="22"/>
  <c r="BO111" i="22"/>
  <c r="BT111" i="22"/>
  <c r="BU111" i="22"/>
  <c r="BZ111" i="22"/>
  <c r="CA111" i="22"/>
  <c r="CF111" i="22"/>
  <c r="CG111" i="22"/>
  <c r="CL111" i="22"/>
  <c r="CM111" i="22"/>
  <c r="CR111" i="22"/>
  <c r="CS111" i="22"/>
  <c r="CX111" i="22"/>
  <c r="CY111" i="22"/>
  <c r="DD111" i="22"/>
  <c r="DE111" i="22"/>
  <c r="DF111" i="22"/>
  <c r="DG111" i="22"/>
  <c r="DK111" i="22" s="1"/>
  <c r="DH111" i="22"/>
  <c r="DJ111" i="22" s="1"/>
  <c r="F111" i="22" s="1"/>
  <c r="DI111" i="22"/>
  <c r="L112" i="22"/>
  <c r="R112" i="22"/>
  <c r="S112" i="22"/>
  <c r="X112" i="22"/>
  <c r="Y112" i="22"/>
  <c r="AD112" i="22"/>
  <c r="AE112" i="22"/>
  <c r="AF112" i="22"/>
  <c r="AJ112" i="22" s="1"/>
  <c r="AG112" i="22"/>
  <c r="AK112" i="22" s="1"/>
  <c r="AH112" i="22"/>
  <c r="AI112" i="22"/>
  <c r="AP112" i="22"/>
  <c r="AQ112" i="22"/>
  <c r="AV112" i="22"/>
  <c r="AW112" i="22"/>
  <c r="BB112" i="22"/>
  <c r="BC112" i="22"/>
  <c r="BH112" i="22"/>
  <c r="BI112" i="22"/>
  <c r="BN112" i="22"/>
  <c r="BO112" i="22"/>
  <c r="BT112" i="22"/>
  <c r="BU112" i="22"/>
  <c r="BZ112" i="22"/>
  <c r="CA112" i="22"/>
  <c r="CF112" i="22"/>
  <c r="CG112" i="22"/>
  <c r="CL112" i="22"/>
  <c r="CM112" i="22"/>
  <c r="CR112" i="22"/>
  <c r="CS112" i="22"/>
  <c r="CX112" i="22"/>
  <c r="CY112" i="22"/>
  <c r="DD112" i="22"/>
  <c r="DE112" i="22"/>
  <c r="DF112" i="22"/>
  <c r="DG112" i="22"/>
  <c r="DK112" i="22" s="1"/>
  <c r="DH112" i="22"/>
  <c r="DJ112" i="22" s="1"/>
  <c r="F112" i="22" s="1"/>
  <c r="DI112" i="22"/>
  <c r="L113" i="22"/>
  <c r="R113" i="22"/>
  <c r="S113" i="22"/>
  <c r="X113" i="22"/>
  <c r="Y113" i="22"/>
  <c r="AD113" i="22"/>
  <c r="AE113" i="22"/>
  <c r="AF113" i="22"/>
  <c r="AJ113" i="22" s="1"/>
  <c r="AG113" i="22"/>
  <c r="AK113" i="22" s="1"/>
  <c r="AH113" i="22"/>
  <c r="AI113" i="22"/>
  <c r="AP113" i="22"/>
  <c r="AQ113" i="22"/>
  <c r="AV113" i="22"/>
  <c r="AW113" i="22"/>
  <c r="BB113" i="22"/>
  <c r="BC113" i="22"/>
  <c r="BH113" i="22"/>
  <c r="BI113" i="22"/>
  <c r="BN113" i="22"/>
  <c r="BO113" i="22"/>
  <c r="BT113" i="22"/>
  <c r="BU113" i="22"/>
  <c r="BZ113" i="22"/>
  <c r="CA113" i="22"/>
  <c r="CF113" i="22"/>
  <c r="CG113" i="22"/>
  <c r="CL113" i="22"/>
  <c r="CM113" i="22"/>
  <c r="CR113" i="22"/>
  <c r="CS113" i="22"/>
  <c r="CX113" i="22"/>
  <c r="CY113" i="22"/>
  <c r="DD113" i="22"/>
  <c r="DE113" i="22"/>
  <c r="DF113" i="22"/>
  <c r="DG113" i="22"/>
  <c r="DK113" i="22" s="1"/>
  <c r="DH113" i="22"/>
  <c r="DJ113" i="22" s="1"/>
  <c r="F113" i="22" s="1"/>
  <c r="DI113" i="22"/>
  <c r="L114" i="22"/>
  <c r="R114" i="22"/>
  <c r="S114" i="22"/>
  <c r="X114" i="22"/>
  <c r="Y114" i="22"/>
  <c r="AD114" i="22"/>
  <c r="AE114" i="22"/>
  <c r="AF114" i="22"/>
  <c r="AJ114" i="22" s="1"/>
  <c r="AG114" i="22"/>
  <c r="AK114" i="22" s="1"/>
  <c r="AH114" i="22"/>
  <c r="AI114" i="22"/>
  <c r="AP114" i="22"/>
  <c r="AQ114" i="22"/>
  <c r="AV114" i="22"/>
  <c r="AW114" i="22"/>
  <c r="BB114" i="22"/>
  <c r="BC114" i="22"/>
  <c r="BH114" i="22"/>
  <c r="BI114" i="22"/>
  <c r="BN114" i="22"/>
  <c r="BO114" i="22"/>
  <c r="BT114" i="22"/>
  <c r="BU114" i="22"/>
  <c r="BZ114" i="22"/>
  <c r="CA114" i="22"/>
  <c r="CF114" i="22"/>
  <c r="CG114" i="22"/>
  <c r="CL114" i="22"/>
  <c r="CM114" i="22"/>
  <c r="CR114" i="22"/>
  <c r="CS114" i="22"/>
  <c r="CX114" i="22"/>
  <c r="CY114" i="22"/>
  <c r="DD114" i="22"/>
  <c r="DE114" i="22"/>
  <c r="DF114" i="22"/>
  <c r="DG114" i="22"/>
  <c r="DK114" i="22" s="1"/>
  <c r="DH114" i="22"/>
  <c r="DJ114" i="22" s="1"/>
  <c r="F114" i="22" s="1"/>
  <c r="DI114" i="22"/>
  <c r="L115" i="22"/>
  <c r="R115" i="22"/>
  <c r="S115" i="22"/>
  <c r="X115" i="22"/>
  <c r="Y115" i="22"/>
  <c r="AD115" i="22"/>
  <c r="AE115" i="22"/>
  <c r="AF115" i="22"/>
  <c r="AJ115" i="22" s="1"/>
  <c r="AG115" i="22"/>
  <c r="AK115" i="22" s="1"/>
  <c r="AH115" i="22"/>
  <c r="AI115" i="22"/>
  <c r="AP115" i="22"/>
  <c r="AQ115" i="22"/>
  <c r="AV115" i="22"/>
  <c r="AW115" i="22"/>
  <c r="BB115" i="22"/>
  <c r="BC115" i="22"/>
  <c r="BH115" i="22"/>
  <c r="BI115" i="22"/>
  <c r="BN115" i="22"/>
  <c r="BO115" i="22"/>
  <c r="BT115" i="22"/>
  <c r="BU115" i="22"/>
  <c r="BZ115" i="22"/>
  <c r="CA115" i="22"/>
  <c r="CF115" i="22"/>
  <c r="CG115" i="22"/>
  <c r="CL115" i="22"/>
  <c r="CM115" i="22"/>
  <c r="CR115" i="22"/>
  <c r="CS115" i="22"/>
  <c r="CX115" i="22"/>
  <c r="CY115" i="22"/>
  <c r="DD115" i="22"/>
  <c r="DE115" i="22"/>
  <c r="DF115" i="22"/>
  <c r="DG115" i="22"/>
  <c r="DK115" i="22" s="1"/>
  <c r="DH115" i="22"/>
  <c r="DJ115" i="22" s="1"/>
  <c r="F115" i="22" s="1"/>
  <c r="DI115" i="22"/>
  <c r="L116" i="22"/>
  <c r="R116" i="22"/>
  <c r="S116" i="22"/>
  <c r="X116" i="22"/>
  <c r="Y116" i="22"/>
  <c r="AD116" i="22"/>
  <c r="AE116" i="22"/>
  <c r="AF116" i="22"/>
  <c r="AJ116" i="22" s="1"/>
  <c r="AG116" i="22"/>
  <c r="AK116" i="22" s="1"/>
  <c r="AH116" i="22"/>
  <c r="AI116" i="22"/>
  <c r="AP116" i="22"/>
  <c r="AQ116" i="22"/>
  <c r="AV116" i="22"/>
  <c r="AW116" i="22"/>
  <c r="BB116" i="22"/>
  <c r="BC116" i="22"/>
  <c r="BH116" i="22"/>
  <c r="BI116" i="22"/>
  <c r="BN116" i="22"/>
  <c r="BO116" i="22"/>
  <c r="BT116" i="22"/>
  <c r="BU116" i="22"/>
  <c r="BZ116" i="22"/>
  <c r="CA116" i="22"/>
  <c r="CF116" i="22"/>
  <c r="CG116" i="22"/>
  <c r="CL116" i="22"/>
  <c r="CM116" i="22"/>
  <c r="CR116" i="22"/>
  <c r="CS116" i="22"/>
  <c r="CX116" i="22"/>
  <c r="CY116" i="22"/>
  <c r="DD116" i="22"/>
  <c r="DE116" i="22"/>
  <c r="DF116" i="22"/>
  <c r="DG116" i="22"/>
  <c r="DK116" i="22" s="1"/>
  <c r="DH116" i="22"/>
  <c r="DJ116" i="22" s="1"/>
  <c r="F116" i="22" s="1"/>
  <c r="DI116" i="22"/>
  <c r="L117" i="22"/>
  <c r="R117" i="22"/>
  <c r="S117" i="22"/>
  <c r="X117" i="22"/>
  <c r="Y117" i="22"/>
  <c r="AD117" i="22"/>
  <c r="AE117" i="22"/>
  <c r="AF117" i="22"/>
  <c r="AJ117" i="22" s="1"/>
  <c r="AG117" i="22"/>
  <c r="AK117" i="22" s="1"/>
  <c r="AH117" i="22"/>
  <c r="AI117" i="22"/>
  <c r="AP117" i="22"/>
  <c r="AQ117" i="22"/>
  <c r="AV117" i="22"/>
  <c r="AW117" i="22"/>
  <c r="BB117" i="22"/>
  <c r="BC117" i="22"/>
  <c r="BH117" i="22"/>
  <c r="BI117" i="22"/>
  <c r="BN117" i="22"/>
  <c r="BO117" i="22"/>
  <c r="BT117" i="22"/>
  <c r="BU117" i="22"/>
  <c r="BZ117" i="22"/>
  <c r="CA117" i="22"/>
  <c r="CF117" i="22"/>
  <c r="CG117" i="22"/>
  <c r="CL117" i="22"/>
  <c r="CM117" i="22"/>
  <c r="CR117" i="22"/>
  <c r="CS117" i="22"/>
  <c r="CX117" i="22"/>
  <c r="CY117" i="22"/>
  <c r="DD117" i="22"/>
  <c r="DE117" i="22"/>
  <c r="DF117" i="22"/>
  <c r="DG117" i="22"/>
  <c r="DK117" i="22" s="1"/>
  <c r="DH117" i="22"/>
  <c r="DJ117" i="22" s="1"/>
  <c r="F117" i="22" s="1"/>
  <c r="DI117" i="22"/>
  <c r="L118" i="22"/>
  <c r="R118" i="22"/>
  <c r="S118" i="22"/>
  <c r="X118" i="22"/>
  <c r="Y118" i="22"/>
  <c r="AD118" i="22"/>
  <c r="AE118" i="22"/>
  <c r="AF118" i="22"/>
  <c r="AJ118" i="22" s="1"/>
  <c r="AG118" i="22"/>
  <c r="AK118" i="22" s="1"/>
  <c r="AH118" i="22"/>
  <c r="AI118" i="22"/>
  <c r="AP118" i="22"/>
  <c r="AQ118" i="22"/>
  <c r="AV118" i="22"/>
  <c r="AW118" i="22"/>
  <c r="BB118" i="22"/>
  <c r="BC118" i="22"/>
  <c r="BH118" i="22"/>
  <c r="BI118" i="22"/>
  <c r="BN118" i="22"/>
  <c r="BO118" i="22"/>
  <c r="BT118" i="22"/>
  <c r="BU118" i="22"/>
  <c r="BZ118" i="22"/>
  <c r="CA118" i="22"/>
  <c r="CF118" i="22"/>
  <c r="CG118" i="22"/>
  <c r="CL118" i="22"/>
  <c r="CM118" i="22"/>
  <c r="CR118" i="22"/>
  <c r="CS118" i="22"/>
  <c r="CX118" i="22"/>
  <c r="CY118" i="22"/>
  <c r="DD118" i="22"/>
  <c r="DE118" i="22"/>
  <c r="DF118" i="22"/>
  <c r="DG118" i="22"/>
  <c r="DK118" i="22" s="1"/>
  <c r="DH118" i="22"/>
  <c r="DJ118" i="22" s="1"/>
  <c r="F118" i="22" s="1"/>
  <c r="DI118" i="22"/>
  <c r="L119" i="22"/>
  <c r="R119" i="22"/>
  <c r="S119" i="22"/>
  <c r="X119" i="22"/>
  <c r="Y119" i="22"/>
  <c r="AD119" i="22"/>
  <c r="AE119" i="22"/>
  <c r="AF119" i="22"/>
  <c r="AJ119" i="22" s="1"/>
  <c r="AG119" i="22"/>
  <c r="AH119" i="22"/>
  <c r="AI119" i="22"/>
  <c r="AK119" i="22"/>
  <c r="K119" i="22" s="1"/>
  <c r="M119" i="22" s="1"/>
  <c r="AP119" i="22"/>
  <c r="AQ119" i="22"/>
  <c r="AV119" i="22"/>
  <c r="AW119" i="22"/>
  <c r="BB119" i="22"/>
  <c r="BC119" i="22"/>
  <c r="BH119" i="22"/>
  <c r="BI119" i="22"/>
  <c r="BN119" i="22"/>
  <c r="BO119" i="22"/>
  <c r="BT119" i="22"/>
  <c r="BU119" i="22"/>
  <c r="BZ119" i="22"/>
  <c r="CA119" i="22"/>
  <c r="CF119" i="22"/>
  <c r="CG119" i="22"/>
  <c r="CL119" i="22"/>
  <c r="CM119" i="22"/>
  <c r="CR119" i="22"/>
  <c r="CS119" i="22"/>
  <c r="CX119" i="22"/>
  <c r="CY119" i="22"/>
  <c r="DD119" i="22"/>
  <c r="DE119" i="22"/>
  <c r="DF119" i="22"/>
  <c r="DG119" i="22"/>
  <c r="DK119" i="22" s="1"/>
  <c r="DH119" i="22"/>
  <c r="DJ119" i="22" s="1"/>
  <c r="F119" i="22" s="1"/>
  <c r="DI119" i="22"/>
  <c r="L120" i="22"/>
  <c r="R120" i="22"/>
  <c r="S120" i="22"/>
  <c r="X120" i="22"/>
  <c r="Y120" i="22"/>
  <c r="AD120" i="22"/>
  <c r="AE120" i="22"/>
  <c r="AF120" i="22"/>
  <c r="AJ120" i="22" s="1"/>
  <c r="AG120" i="22"/>
  <c r="AH120" i="22"/>
  <c r="AI120" i="22"/>
  <c r="AK120" i="22"/>
  <c r="K120" i="22" s="1"/>
  <c r="M120" i="22" s="1"/>
  <c r="AP120" i="22"/>
  <c r="AQ120" i="22"/>
  <c r="AV120" i="22"/>
  <c r="AW120" i="22"/>
  <c r="BB120" i="22"/>
  <c r="BC120" i="22"/>
  <c r="BH120" i="22"/>
  <c r="BI120" i="22"/>
  <c r="BN120" i="22"/>
  <c r="BO120" i="22"/>
  <c r="BT120" i="22"/>
  <c r="BU120" i="22"/>
  <c r="BZ120" i="22"/>
  <c r="CA120" i="22"/>
  <c r="CF120" i="22"/>
  <c r="CG120" i="22"/>
  <c r="CL120" i="22"/>
  <c r="CM120" i="22"/>
  <c r="CR120" i="22"/>
  <c r="CS120" i="22"/>
  <c r="CX120" i="22"/>
  <c r="CY120" i="22"/>
  <c r="DD120" i="22"/>
  <c r="DE120" i="22"/>
  <c r="DF120" i="22"/>
  <c r="DG120" i="22"/>
  <c r="DK120" i="22" s="1"/>
  <c r="DH120" i="22"/>
  <c r="DJ120" i="22" s="1"/>
  <c r="F120" i="22" s="1"/>
  <c r="DI120" i="22"/>
  <c r="O120" i="22" s="1"/>
  <c r="L121" i="22"/>
  <c r="R121" i="22"/>
  <c r="S121" i="22"/>
  <c r="X121" i="22"/>
  <c r="Y121" i="22"/>
  <c r="AD121" i="22"/>
  <c r="AE121" i="22"/>
  <c r="AF121" i="22"/>
  <c r="AJ121" i="22" s="1"/>
  <c r="AG121" i="22"/>
  <c r="AH121" i="22"/>
  <c r="AI121" i="22"/>
  <c r="AK121" i="22"/>
  <c r="K121" i="22" s="1"/>
  <c r="M121" i="22" s="1"/>
  <c r="AP121" i="22"/>
  <c r="AQ121" i="22"/>
  <c r="AV121" i="22"/>
  <c r="AW121" i="22"/>
  <c r="BB121" i="22"/>
  <c r="BC121" i="22"/>
  <c r="BH121" i="22"/>
  <c r="BI121" i="22"/>
  <c r="BN121" i="22"/>
  <c r="BO121" i="22"/>
  <c r="BT121" i="22"/>
  <c r="BU121" i="22"/>
  <c r="BZ121" i="22"/>
  <c r="CA121" i="22"/>
  <c r="CF121" i="22"/>
  <c r="CG121" i="22"/>
  <c r="CL121" i="22"/>
  <c r="CM121" i="22"/>
  <c r="CR121" i="22"/>
  <c r="CS121" i="22"/>
  <c r="CX121" i="22"/>
  <c r="CY121" i="22"/>
  <c r="DD121" i="22"/>
  <c r="DE121" i="22"/>
  <c r="DF121" i="22"/>
  <c r="DG121" i="22"/>
  <c r="DK121" i="22" s="1"/>
  <c r="DH121" i="22"/>
  <c r="DJ121" i="22" s="1"/>
  <c r="F121" i="22" s="1"/>
  <c r="DI121" i="22"/>
  <c r="O121" i="22" s="1"/>
  <c r="L122" i="22"/>
  <c r="R122" i="22"/>
  <c r="S122" i="22"/>
  <c r="X122" i="22"/>
  <c r="Y122" i="22"/>
  <c r="AD122" i="22"/>
  <c r="AE122" i="22"/>
  <c r="AF122" i="22"/>
  <c r="AJ122" i="22" s="1"/>
  <c r="AG122" i="22"/>
  <c r="AK122" i="22" s="1"/>
  <c r="AH122" i="22"/>
  <c r="AI122" i="22"/>
  <c r="AP122" i="22"/>
  <c r="AQ122" i="22"/>
  <c r="AV122" i="22"/>
  <c r="AW122" i="22"/>
  <c r="BB122" i="22"/>
  <c r="BC122" i="22"/>
  <c r="BH122" i="22"/>
  <c r="BI122" i="22"/>
  <c r="BN122" i="22"/>
  <c r="BO122" i="22"/>
  <c r="BT122" i="22"/>
  <c r="BU122" i="22"/>
  <c r="BZ122" i="22"/>
  <c r="CA122" i="22"/>
  <c r="CF122" i="22"/>
  <c r="CG122" i="22"/>
  <c r="CL122" i="22"/>
  <c r="CM122" i="22"/>
  <c r="CR122" i="22"/>
  <c r="CS122" i="22"/>
  <c r="CX122" i="22"/>
  <c r="CY122" i="22"/>
  <c r="DD122" i="22"/>
  <c r="DE122" i="22"/>
  <c r="DF122" i="22"/>
  <c r="DG122" i="22"/>
  <c r="DH122" i="22"/>
  <c r="DJ122" i="22" s="1"/>
  <c r="F122" i="22" s="1"/>
  <c r="DI122" i="22"/>
  <c r="L123" i="22"/>
  <c r="R123" i="22"/>
  <c r="S123" i="22"/>
  <c r="X123" i="22"/>
  <c r="Y123" i="22"/>
  <c r="AD123" i="22"/>
  <c r="AE123" i="22"/>
  <c r="AF123" i="22"/>
  <c r="AJ123" i="22" s="1"/>
  <c r="AG123" i="22"/>
  <c r="AK123" i="22" s="1"/>
  <c r="AH123" i="22"/>
  <c r="AI123" i="22"/>
  <c r="AP123" i="22"/>
  <c r="AQ123" i="22"/>
  <c r="AV123" i="22"/>
  <c r="AW123" i="22"/>
  <c r="BB123" i="22"/>
  <c r="BC123" i="22"/>
  <c r="BH123" i="22"/>
  <c r="BI123" i="22"/>
  <c r="BN123" i="22"/>
  <c r="BO123" i="22"/>
  <c r="BT123" i="22"/>
  <c r="BU123" i="22"/>
  <c r="BZ123" i="22"/>
  <c r="CA123" i="22"/>
  <c r="CF123" i="22"/>
  <c r="CG123" i="22"/>
  <c r="CL123" i="22"/>
  <c r="CM123" i="22"/>
  <c r="CR123" i="22"/>
  <c r="CS123" i="22"/>
  <c r="CX123" i="22"/>
  <c r="CY123" i="22"/>
  <c r="DD123" i="22"/>
  <c r="DE123" i="22"/>
  <c r="DF123" i="22"/>
  <c r="DG123" i="22"/>
  <c r="DH123" i="22"/>
  <c r="DJ123" i="22" s="1"/>
  <c r="F123" i="22" s="1"/>
  <c r="DI123" i="22"/>
  <c r="L124" i="22"/>
  <c r="R124" i="22"/>
  <c r="S124" i="22"/>
  <c r="X124" i="22"/>
  <c r="Y124" i="22"/>
  <c r="AD124" i="22"/>
  <c r="AE124" i="22"/>
  <c r="AF124" i="22"/>
  <c r="AJ124" i="22" s="1"/>
  <c r="AG124" i="22"/>
  <c r="AK124" i="22" s="1"/>
  <c r="AH124" i="22"/>
  <c r="AI124" i="22"/>
  <c r="AP124" i="22"/>
  <c r="AQ124" i="22"/>
  <c r="AV124" i="22"/>
  <c r="AW124" i="22"/>
  <c r="BB124" i="22"/>
  <c r="BC124" i="22"/>
  <c r="BH124" i="22"/>
  <c r="BI124" i="22"/>
  <c r="BN124" i="22"/>
  <c r="BO124" i="22"/>
  <c r="BT124" i="22"/>
  <c r="BU124" i="22"/>
  <c r="BZ124" i="22"/>
  <c r="CA124" i="22"/>
  <c r="CF124" i="22"/>
  <c r="CG124" i="22"/>
  <c r="CL124" i="22"/>
  <c r="CM124" i="22"/>
  <c r="CR124" i="22"/>
  <c r="CS124" i="22"/>
  <c r="CX124" i="22"/>
  <c r="CY124" i="22"/>
  <c r="DD124" i="22"/>
  <c r="DE124" i="22"/>
  <c r="DF124" i="22"/>
  <c r="DG124" i="22"/>
  <c r="DK124" i="22" s="1"/>
  <c r="DH124" i="22"/>
  <c r="DJ124" i="22" s="1"/>
  <c r="F124" i="22" s="1"/>
  <c r="DI124" i="22"/>
  <c r="L125" i="22"/>
  <c r="M125" i="22"/>
  <c r="R125" i="22"/>
  <c r="S125" i="22"/>
  <c r="X125" i="22"/>
  <c r="Y125" i="22"/>
  <c r="AD125" i="22"/>
  <c r="AE125" i="22"/>
  <c r="AF125" i="22"/>
  <c r="AJ125" i="22" s="1"/>
  <c r="AG125" i="22"/>
  <c r="AH125" i="22"/>
  <c r="AI125" i="22"/>
  <c r="AK125" i="22"/>
  <c r="K125" i="22" s="1"/>
  <c r="AP125" i="22"/>
  <c r="AQ125" i="22"/>
  <c r="AV125" i="22"/>
  <c r="AW125" i="22"/>
  <c r="BB125" i="22"/>
  <c r="BC125" i="22"/>
  <c r="BH125" i="22"/>
  <c r="BI125" i="22"/>
  <c r="BN125" i="22"/>
  <c r="BO125" i="22"/>
  <c r="BT125" i="22"/>
  <c r="BU125" i="22"/>
  <c r="BZ125" i="22"/>
  <c r="CA125" i="22"/>
  <c r="CF125" i="22"/>
  <c r="CG125" i="22"/>
  <c r="CL125" i="22"/>
  <c r="CM125" i="22"/>
  <c r="CR125" i="22"/>
  <c r="CS125" i="22"/>
  <c r="CX125" i="22"/>
  <c r="CY125" i="22"/>
  <c r="DD125" i="22"/>
  <c r="DE125" i="22"/>
  <c r="DF125" i="22"/>
  <c r="DG125" i="22"/>
  <c r="DH125" i="22"/>
  <c r="DJ125" i="22" s="1"/>
  <c r="F125" i="22" s="1"/>
  <c r="DI125" i="22"/>
  <c r="L126" i="22"/>
  <c r="R126" i="22"/>
  <c r="S126" i="22"/>
  <c r="X126" i="22"/>
  <c r="Y126" i="22"/>
  <c r="AD126" i="22"/>
  <c r="AE126" i="22"/>
  <c r="AF126" i="22"/>
  <c r="AJ126" i="22" s="1"/>
  <c r="AG126" i="22"/>
  <c r="AK126" i="22" s="1"/>
  <c r="AH126" i="22"/>
  <c r="AI126" i="22"/>
  <c r="AP126" i="22"/>
  <c r="AQ126" i="22"/>
  <c r="AV126" i="22"/>
  <c r="AW126" i="22"/>
  <c r="BB126" i="22"/>
  <c r="BC126" i="22"/>
  <c r="BH126" i="22"/>
  <c r="BI126" i="22"/>
  <c r="BN126" i="22"/>
  <c r="BO126" i="22"/>
  <c r="BT126" i="22"/>
  <c r="BU126" i="22"/>
  <c r="BZ126" i="22"/>
  <c r="CA126" i="22"/>
  <c r="CF126" i="22"/>
  <c r="CG126" i="22"/>
  <c r="CL126" i="22"/>
  <c r="CM126" i="22"/>
  <c r="CR126" i="22"/>
  <c r="CS126" i="22"/>
  <c r="CX126" i="22"/>
  <c r="CY126" i="22"/>
  <c r="DD126" i="22"/>
  <c r="DE126" i="22"/>
  <c r="DF126" i="22"/>
  <c r="DG126" i="22"/>
  <c r="DH126" i="22"/>
  <c r="DJ126" i="22" s="1"/>
  <c r="F126" i="22" s="1"/>
  <c r="DI126" i="22"/>
  <c r="L127" i="22"/>
  <c r="R127" i="22"/>
  <c r="S127" i="22"/>
  <c r="X127" i="22"/>
  <c r="Y127" i="22"/>
  <c r="AD127" i="22"/>
  <c r="AE127" i="22"/>
  <c r="AF127" i="22"/>
  <c r="AJ127" i="22" s="1"/>
  <c r="AG127" i="22"/>
  <c r="AH127" i="22"/>
  <c r="AI127" i="22"/>
  <c r="AK127" i="22"/>
  <c r="K127" i="22" s="1"/>
  <c r="M127" i="22" s="1"/>
  <c r="AP127" i="22"/>
  <c r="AQ127" i="22"/>
  <c r="AV127" i="22"/>
  <c r="AW127" i="22"/>
  <c r="BB127" i="22"/>
  <c r="BC127" i="22"/>
  <c r="BH127" i="22"/>
  <c r="BI127" i="22"/>
  <c r="BN127" i="22"/>
  <c r="BO127" i="22"/>
  <c r="BT127" i="22"/>
  <c r="BU127" i="22"/>
  <c r="BZ127" i="22"/>
  <c r="CA127" i="22"/>
  <c r="CF127" i="22"/>
  <c r="CG127" i="22"/>
  <c r="CL127" i="22"/>
  <c r="CM127" i="22"/>
  <c r="CR127" i="22"/>
  <c r="CS127" i="22"/>
  <c r="CX127" i="22"/>
  <c r="CY127" i="22"/>
  <c r="DD127" i="22"/>
  <c r="DE127" i="22"/>
  <c r="DF127" i="22"/>
  <c r="DG127" i="22"/>
  <c r="DK127" i="22" s="1"/>
  <c r="DH127" i="22"/>
  <c r="DJ127" i="22" s="1"/>
  <c r="F127" i="22" s="1"/>
  <c r="DI127" i="22"/>
  <c r="O127" i="22" s="1"/>
  <c r="L128" i="22"/>
  <c r="R128" i="22"/>
  <c r="S128" i="22"/>
  <c r="X128" i="22"/>
  <c r="Y128" i="22"/>
  <c r="AD128" i="22"/>
  <c r="AE128" i="22"/>
  <c r="AF128" i="22"/>
  <c r="AJ128" i="22" s="1"/>
  <c r="AG128" i="22"/>
  <c r="AK128" i="22" s="1"/>
  <c r="AH128" i="22"/>
  <c r="AI128" i="22"/>
  <c r="AP128" i="22"/>
  <c r="AQ128" i="22"/>
  <c r="AV128" i="22"/>
  <c r="AW128" i="22"/>
  <c r="BB128" i="22"/>
  <c r="BC128" i="22"/>
  <c r="BH128" i="22"/>
  <c r="BI128" i="22"/>
  <c r="BN128" i="22"/>
  <c r="BO128" i="22"/>
  <c r="BT128" i="22"/>
  <c r="BU128" i="22"/>
  <c r="BZ128" i="22"/>
  <c r="CA128" i="22"/>
  <c r="CF128" i="22"/>
  <c r="CG128" i="22"/>
  <c r="CL128" i="22"/>
  <c r="CM128" i="22"/>
  <c r="CR128" i="22"/>
  <c r="CS128" i="22"/>
  <c r="CX128" i="22"/>
  <c r="CY128" i="22"/>
  <c r="DD128" i="22"/>
  <c r="DE128" i="22"/>
  <c r="DF128" i="22"/>
  <c r="DG128" i="22"/>
  <c r="DK128" i="22" s="1"/>
  <c r="DH128" i="22"/>
  <c r="DJ128" i="22" s="1"/>
  <c r="F128" i="22" s="1"/>
  <c r="DI128" i="22"/>
  <c r="L129" i="22"/>
  <c r="R129" i="22"/>
  <c r="S129" i="22"/>
  <c r="X129" i="22"/>
  <c r="Y129" i="22"/>
  <c r="AD129" i="22"/>
  <c r="AE129" i="22"/>
  <c r="AF129" i="22"/>
  <c r="AG129" i="22"/>
  <c r="AK129" i="22" s="1"/>
  <c r="AH129" i="22"/>
  <c r="AI129" i="22"/>
  <c r="AP129" i="22"/>
  <c r="AQ129" i="22"/>
  <c r="AV129" i="22"/>
  <c r="AW129" i="22"/>
  <c r="BB129" i="22"/>
  <c r="BC129" i="22"/>
  <c r="BH129" i="22"/>
  <c r="BI129" i="22"/>
  <c r="BN129" i="22"/>
  <c r="BO129" i="22"/>
  <c r="BT129" i="22"/>
  <c r="BU129" i="22"/>
  <c r="BZ129" i="22"/>
  <c r="CA129" i="22"/>
  <c r="CF129" i="22"/>
  <c r="CG129" i="22"/>
  <c r="CL129" i="22"/>
  <c r="CM129" i="22"/>
  <c r="CR129" i="22"/>
  <c r="CS129" i="22"/>
  <c r="CX129" i="22"/>
  <c r="CY129" i="22"/>
  <c r="DD129" i="22"/>
  <c r="DE129" i="22"/>
  <c r="DF129" i="22"/>
  <c r="DG129" i="22"/>
  <c r="DK129" i="22" s="1"/>
  <c r="DH129" i="22"/>
  <c r="DJ129" i="22" s="1"/>
  <c r="F129" i="22" s="1"/>
  <c r="DI129" i="22"/>
  <c r="L130" i="22"/>
  <c r="R130" i="22"/>
  <c r="S130" i="22"/>
  <c r="X130" i="22"/>
  <c r="Y130" i="22"/>
  <c r="AD130" i="22"/>
  <c r="AE130" i="22"/>
  <c r="AF130" i="22"/>
  <c r="AG130" i="22"/>
  <c r="AK130" i="22" s="1"/>
  <c r="AH130" i="22"/>
  <c r="AI130" i="22"/>
  <c r="AP130" i="22"/>
  <c r="AQ130" i="22"/>
  <c r="AV130" i="22"/>
  <c r="AW130" i="22"/>
  <c r="BB130" i="22"/>
  <c r="BC130" i="22"/>
  <c r="BH130" i="22"/>
  <c r="BI130" i="22"/>
  <c r="BN130" i="22"/>
  <c r="BO130" i="22"/>
  <c r="BT130" i="22"/>
  <c r="BU130" i="22"/>
  <c r="BZ130" i="22"/>
  <c r="CA130" i="22"/>
  <c r="CF130" i="22"/>
  <c r="CG130" i="22"/>
  <c r="CL130" i="22"/>
  <c r="CM130" i="22"/>
  <c r="CR130" i="22"/>
  <c r="CS130" i="22"/>
  <c r="CX130" i="22"/>
  <c r="CY130" i="22"/>
  <c r="DD130" i="22"/>
  <c r="DE130" i="22"/>
  <c r="DF130" i="22"/>
  <c r="DG130" i="22"/>
  <c r="DK130" i="22" s="1"/>
  <c r="DH130" i="22"/>
  <c r="DJ130" i="22" s="1"/>
  <c r="F130" i="22" s="1"/>
  <c r="DI130" i="22"/>
  <c r="L131" i="22"/>
  <c r="R131" i="22"/>
  <c r="S131" i="22"/>
  <c r="X131" i="22"/>
  <c r="Y131" i="22"/>
  <c r="AD131" i="22"/>
  <c r="AE131" i="22"/>
  <c r="AF131" i="22"/>
  <c r="AG131" i="22"/>
  <c r="AK131" i="22" s="1"/>
  <c r="AH131" i="22"/>
  <c r="AI131" i="22"/>
  <c r="AP131" i="22"/>
  <c r="AQ131" i="22"/>
  <c r="AV131" i="22"/>
  <c r="AW131" i="22"/>
  <c r="BB131" i="22"/>
  <c r="BC131" i="22"/>
  <c r="BH131" i="22"/>
  <c r="BI131" i="22"/>
  <c r="BN131" i="22"/>
  <c r="BO131" i="22"/>
  <c r="BT131" i="22"/>
  <c r="BU131" i="22"/>
  <c r="BZ131" i="22"/>
  <c r="CA131" i="22"/>
  <c r="CF131" i="22"/>
  <c r="CG131" i="22"/>
  <c r="CL131" i="22"/>
  <c r="CM131" i="22"/>
  <c r="CR131" i="22"/>
  <c r="CS131" i="22"/>
  <c r="CX131" i="22"/>
  <c r="CY131" i="22"/>
  <c r="DD131" i="22"/>
  <c r="DE131" i="22"/>
  <c r="DF131" i="22"/>
  <c r="DG131" i="22"/>
  <c r="DK131" i="22" s="1"/>
  <c r="DH131" i="22"/>
  <c r="DI131" i="22"/>
  <c r="L132" i="22"/>
  <c r="R132" i="22"/>
  <c r="S132" i="22"/>
  <c r="X132" i="22"/>
  <c r="Y132" i="22"/>
  <c r="AD132" i="22"/>
  <c r="AE132" i="22"/>
  <c r="AF132" i="22"/>
  <c r="AJ132" i="22" s="1"/>
  <c r="AG132" i="22"/>
  <c r="AK132" i="22" s="1"/>
  <c r="AH132" i="22"/>
  <c r="AI132" i="22"/>
  <c r="AP132" i="22"/>
  <c r="AQ132" i="22"/>
  <c r="AV132" i="22"/>
  <c r="AW132" i="22"/>
  <c r="BB132" i="22"/>
  <c r="BC132" i="22"/>
  <c r="BH132" i="22"/>
  <c r="BI132" i="22"/>
  <c r="BN132" i="22"/>
  <c r="BO132" i="22"/>
  <c r="BT132" i="22"/>
  <c r="BU132" i="22"/>
  <c r="BZ132" i="22"/>
  <c r="CA132" i="22"/>
  <c r="CF132" i="22"/>
  <c r="CG132" i="22"/>
  <c r="CL132" i="22"/>
  <c r="CM132" i="22"/>
  <c r="CR132" i="22"/>
  <c r="CS132" i="22"/>
  <c r="CX132" i="22"/>
  <c r="CY132" i="22"/>
  <c r="DD132" i="22"/>
  <c r="DE132" i="22"/>
  <c r="DF132" i="22"/>
  <c r="DG132" i="22"/>
  <c r="DH132" i="22"/>
  <c r="DJ132" i="22" s="1"/>
  <c r="F132" i="22" s="1"/>
  <c r="DI132" i="22"/>
  <c r="L133" i="22"/>
  <c r="R133" i="22"/>
  <c r="S133" i="22"/>
  <c r="X133" i="22"/>
  <c r="Y133" i="22"/>
  <c r="AD133" i="22"/>
  <c r="AE133" i="22"/>
  <c r="AF133" i="22"/>
  <c r="AJ133" i="22" s="1"/>
  <c r="AG133" i="22"/>
  <c r="AK133" i="22" s="1"/>
  <c r="AH133" i="22"/>
  <c r="AI133" i="22"/>
  <c r="AP133" i="22"/>
  <c r="AQ133" i="22"/>
  <c r="AV133" i="22"/>
  <c r="AW133" i="22"/>
  <c r="BB133" i="22"/>
  <c r="BC133" i="22"/>
  <c r="BH133" i="22"/>
  <c r="BI133" i="22"/>
  <c r="BN133" i="22"/>
  <c r="BO133" i="22"/>
  <c r="BT133" i="22"/>
  <c r="BU133" i="22"/>
  <c r="BZ133" i="22"/>
  <c r="CA133" i="22"/>
  <c r="CF133" i="22"/>
  <c r="CG133" i="22"/>
  <c r="CL133" i="22"/>
  <c r="CM133" i="22"/>
  <c r="CR133" i="22"/>
  <c r="CS133" i="22"/>
  <c r="CX133" i="22"/>
  <c r="CY133" i="22"/>
  <c r="DD133" i="22"/>
  <c r="DE133" i="22"/>
  <c r="DF133" i="22"/>
  <c r="DG133" i="22"/>
  <c r="DH133" i="22"/>
  <c r="DJ133" i="22" s="1"/>
  <c r="F133" i="22" s="1"/>
  <c r="DI133" i="22"/>
  <c r="K134" i="22"/>
  <c r="M134" i="22" s="1"/>
  <c r="L134" i="22"/>
  <c r="R134" i="22"/>
  <c r="S134" i="22"/>
  <c r="X134" i="22"/>
  <c r="Y134" i="22"/>
  <c r="AD134" i="22"/>
  <c r="AE134" i="22"/>
  <c r="AF134" i="22"/>
  <c r="AG134" i="22"/>
  <c r="AH134" i="22"/>
  <c r="AI134" i="22"/>
  <c r="AJ134" i="22"/>
  <c r="AK134" i="22"/>
  <c r="AP134" i="22"/>
  <c r="AQ134" i="22"/>
  <c r="AV134" i="22"/>
  <c r="AW134" i="22"/>
  <c r="BB134" i="22"/>
  <c r="BC134" i="22"/>
  <c r="BH134" i="22"/>
  <c r="BI134" i="22"/>
  <c r="BN134" i="22"/>
  <c r="BO134" i="22"/>
  <c r="BT134" i="22"/>
  <c r="BU134" i="22"/>
  <c r="BZ134" i="22"/>
  <c r="CA134" i="22"/>
  <c r="CF134" i="22"/>
  <c r="CG134" i="22"/>
  <c r="CL134" i="22"/>
  <c r="CM134" i="22"/>
  <c r="CR134" i="22"/>
  <c r="CS134" i="22"/>
  <c r="CX134" i="22"/>
  <c r="CY134" i="22"/>
  <c r="DD134" i="22"/>
  <c r="DE134" i="22"/>
  <c r="DF134" i="22"/>
  <c r="DG134" i="22"/>
  <c r="DK134" i="22" s="1"/>
  <c r="DH134" i="22"/>
  <c r="DI134" i="22"/>
  <c r="L135" i="22"/>
  <c r="R135" i="22"/>
  <c r="S135" i="22"/>
  <c r="X135" i="22"/>
  <c r="Y135" i="22"/>
  <c r="AD135" i="22"/>
  <c r="AE135" i="22"/>
  <c r="AF135" i="22"/>
  <c r="AG135" i="22"/>
  <c r="AH135" i="22"/>
  <c r="AI135" i="22"/>
  <c r="AJ135" i="22"/>
  <c r="AP135" i="22"/>
  <c r="AQ135" i="22"/>
  <c r="AV135" i="22"/>
  <c r="AW135" i="22"/>
  <c r="BB135" i="22"/>
  <c r="BC135" i="22"/>
  <c r="BH135" i="22"/>
  <c r="BI135" i="22"/>
  <c r="BN135" i="22"/>
  <c r="BO135" i="22"/>
  <c r="BT135" i="22"/>
  <c r="BU135" i="22"/>
  <c r="BZ135" i="22"/>
  <c r="CA135" i="22"/>
  <c r="CF135" i="22"/>
  <c r="CG135" i="22"/>
  <c r="CL135" i="22"/>
  <c r="CM135" i="22"/>
  <c r="CR135" i="22"/>
  <c r="CS135" i="22"/>
  <c r="CX135" i="22"/>
  <c r="CY135" i="22"/>
  <c r="DD135" i="22"/>
  <c r="DE135" i="22"/>
  <c r="DF135" i="22"/>
  <c r="DG135" i="22"/>
  <c r="DK135" i="22" s="1"/>
  <c r="DH135" i="22"/>
  <c r="DI135" i="22"/>
  <c r="L136" i="22"/>
  <c r="R136" i="22"/>
  <c r="S136" i="22"/>
  <c r="X136" i="22"/>
  <c r="Y136" i="22"/>
  <c r="AD136" i="22"/>
  <c r="AE136" i="22"/>
  <c r="AF136" i="22"/>
  <c r="AG136" i="22"/>
  <c r="AH136" i="22"/>
  <c r="AI136" i="22"/>
  <c r="AJ136" i="22"/>
  <c r="AP136" i="22"/>
  <c r="AQ136" i="22"/>
  <c r="AV136" i="22"/>
  <c r="AW136" i="22"/>
  <c r="BB136" i="22"/>
  <c r="BC136" i="22"/>
  <c r="BH136" i="22"/>
  <c r="BI136" i="22"/>
  <c r="BN136" i="22"/>
  <c r="BO136" i="22"/>
  <c r="BT136" i="22"/>
  <c r="BU136" i="22"/>
  <c r="BZ136" i="22"/>
  <c r="CA136" i="22"/>
  <c r="CF136" i="22"/>
  <c r="CG136" i="22"/>
  <c r="CL136" i="22"/>
  <c r="CM136" i="22"/>
  <c r="CR136" i="22"/>
  <c r="CS136" i="22"/>
  <c r="CX136" i="22"/>
  <c r="CY136" i="22"/>
  <c r="DD136" i="22"/>
  <c r="DE136" i="22"/>
  <c r="DF136" i="22"/>
  <c r="DG136" i="22"/>
  <c r="DK136" i="22" s="1"/>
  <c r="DH136" i="22"/>
  <c r="DI136" i="22"/>
  <c r="L137" i="22"/>
  <c r="R137" i="22"/>
  <c r="S137" i="22"/>
  <c r="X137" i="22"/>
  <c r="Y137" i="22"/>
  <c r="AD137" i="22"/>
  <c r="AE137" i="22"/>
  <c r="AF137" i="22"/>
  <c r="AG137" i="22"/>
  <c r="AK137" i="22" s="1"/>
  <c r="AH137" i="22"/>
  <c r="AI137" i="22"/>
  <c r="AJ137" i="22"/>
  <c r="AP137" i="22"/>
  <c r="AQ137" i="22"/>
  <c r="AV137" i="22"/>
  <c r="AW137" i="22"/>
  <c r="BB137" i="22"/>
  <c r="BC137" i="22"/>
  <c r="BH137" i="22"/>
  <c r="BI137" i="22"/>
  <c r="BN137" i="22"/>
  <c r="BO137" i="22"/>
  <c r="BT137" i="22"/>
  <c r="BU137" i="22"/>
  <c r="BZ137" i="22"/>
  <c r="CA137" i="22"/>
  <c r="CF137" i="22"/>
  <c r="CG137" i="22"/>
  <c r="CL137" i="22"/>
  <c r="CM137" i="22"/>
  <c r="CR137" i="22"/>
  <c r="CS137" i="22"/>
  <c r="CX137" i="22"/>
  <c r="CY137" i="22"/>
  <c r="DD137" i="22"/>
  <c r="DE137" i="22"/>
  <c r="DF137" i="22"/>
  <c r="DG137" i="22"/>
  <c r="DK137" i="22" s="1"/>
  <c r="DH137" i="22"/>
  <c r="DI137" i="22"/>
  <c r="L138" i="22"/>
  <c r="R138" i="22"/>
  <c r="S138" i="22"/>
  <c r="X138" i="22"/>
  <c r="Y138" i="22"/>
  <c r="AD138" i="22"/>
  <c r="AE138" i="22"/>
  <c r="AF138" i="22"/>
  <c r="AG138" i="22"/>
  <c r="AK138" i="22" s="1"/>
  <c r="AH138" i="22"/>
  <c r="AI138" i="22"/>
  <c r="AJ138" i="22"/>
  <c r="AP138" i="22"/>
  <c r="AQ138" i="22"/>
  <c r="AV138" i="22"/>
  <c r="AW138" i="22"/>
  <c r="BB138" i="22"/>
  <c r="BC138" i="22"/>
  <c r="BH138" i="22"/>
  <c r="BI138" i="22"/>
  <c r="BN138" i="22"/>
  <c r="BO138" i="22"/>
  <c r="BT138" i="22"/>
  <c r="BU138" i="22"/>
  <c r="BZ138" i="22"/>
  <c r="CA138" i="22"/>
  <c r="CF138" i="22"/>
  <c r="CG138" i="22"/>
  <c r="CL138" i="22"/>
  <c r="CM138" i="22"/>
  <c r="CR138" i="22"/>
  <c r="CS138" i="22"/>
  <c r="CX138" i="22"/>
  <c r="CY138" i="22"/>
  <c r="DD138" i="22"/>
  <c r="DE138" i="22"/>
  <c r="DF138" i="22"/>
  <c r="DG138" i="22"/>
  <c r="DK138" i="22" s="1"/>
  <c r="DH138" i="22"/>
  <c r="DI138" i="22"/>
  <c r="L139" i="22"/>
  <c r="R139" i="22"/>
  <c r="S139" i="22"/>
  <c r="X139" i="22"/>
  <c r="Y139" i="22"/>
  <c r="AD139" i="22"/>
  <c r="AE139" i="22"/>
  <c r="AF139" i="22"/>
  <c r="AG139" i="22"/>
  <c r="AK139" i="22" s="1"/>
  <c r="AH139" i="22"/>
  <c r="AI139" i="22"/>
  <c r="AJ139" i="22"/>
  <c r="AP139" i="22"/>
  <c r="AQ139" i="22"/>
  <c r="AV139" i="22"/>
  <c r="AW139" i="22"/>
  <c r="BB139" i="22"/>
  <c r="BC139" i="22"/>
  <c r="BH139" i="22"/>
  <c r="BI139" i="22"/>
  <c r="BN139" i="22"/>
  <c r="BO139" i="22"/>
  <c r="BT139" i="22"/>
  <c r="BU139" i="22"/>
  <c r="BZ139" i="22"/>
  <c r="CA139" i="22"/>
  <c r="CF139" i="22"/>
  <c r="CG139" i="22"/>
  <c r="CL139" i="22"/>
  <c r="CM139" i="22"/>
  <c r="CR139" i="22"/>
  <c r="CS139" i="22"/>
  <c r="CX139" i="22"/>
  <c r="CY139" i="22"/>
  <c r="DD139" i="22"/>
  <c r="DE139" i="22"/>
  <c r="DF139" i="22"/>
  <c r="DG139" i="22"/>
  <c r="DK139" i="22" s="1"/>
  <c r="DH139" i="22"/>
  <c r="DI139" i="22"/>
  <c r="L140" i="22"/>
  <c r="R140" i="22"/>
  <c r="S140" i="22"/>
  <c r="X140" i="22"/>
  <c r="Y140" i="22"/>
  <c r="AD140" i="22"/>
  <c r="AE140" i="22"/>
  <c r="AF140" i="22"/>
  <c r="AG140" i="22"/>
  <c r="AK140" i="22" s="1"/>
  <c r="AH140" i="22"/>
  <c r="AI140" i="22"/>
  <c r="AJ140" i="22"/>
  <c r="AP140" i="22"/>
  <c r="AQ140" i="22"/>
  <c r="AV140" i="22"/>
  <c r="AW140" i="22"/>
  <c r="BB140" i="22"/>
  <c r="BC140" i="22"/>
  <c r="BH140" i="22"/>
  <c r="BI140" i="22"/>
  <c r="BN140" i="22"/>
  <c r="BO140" i="22"/>
  <c r="BT140" i="22"/>
  <c r="BU140" i="22"/>
  <c r="BZ140" i="22"/>
  <c r="CA140" i="22"/>
  <c r="CF140" i="22"/>
  <c r="CG140" i="22"/>
  <c r="CL140" i="22"/>
  <c r="CM140" i="22"/>
  <c r="CR140" i="22"/>
  <c r="CS140" i="22"/>
  <c r="CX140" i="22"/>
  <c r="CY140" i="22"/>
  <c r="DD140" i="22"/>
  <c r="DE140" i="22"/>
  <c r="DF140" i="22"/>
  <c r="DG140" i="22"/>
  <c r="DK140" i="22" s="1"/>
  <c r="DH140" i="22"/>
  <c r="DI140" i="22"/>
  <c r="L141" i="22"/>
  <c r="R141" i="22"/>
  <c r="S141" i="22"/>
  <c r="X141" i="22"/>
  <c r="Y141" i="22"/>
  <c r="AD141" i="22"/>
  <c r="AE141" i="22"/>
  <c r="AF141" i="22"/>
  <c r="AG141" i="22"/>
  <c r="AK141" i="22" s="1"/>
  <c r="AH141" i="22"/>
  <c r="AI141" i="22"/>
  <c r="AJ141" i="22"/>
  <c r="AP141" i="22"/>
  <c r="AQ141" i="22"/>
  <c r="AV141" i="22"/>
  <c r="AW141" i="22"/>
  <c r="BB141" i="22"/>
  <c r="BC141" i="22"/>
  <c r="BH141" i="22"/>
  <c r="BI141" i="22"/>
  <c r="BN141" i="22"/>
  <c r="BO141" i="22"/>
  <c r="BT141" i="22"/>
  <c r="BU141" i="22"/>
  <c r="BZ141" i="22"/>
  <c r="CA141" i="22"/>
  <c r="CF141" i="22"/>
  <c r="CG141" i="22"/>
  <c r="CL141" i="22"/>
  <c r="CM141" i="22"/>
  <c r="CR141" i="22"/>
  <c r="CS141" i="22"/>
  <c r="CX141" i="22"/>
  <c r="CY141" i="22"/>
  <c r="DD141" i="22"/>
  <c r="DE141" i="22"/>
  <c r="DF141" i="22"/>
  <c r="DG141" i="22"/>
  <c r="DK141" i="22" s="1"/>
  <c r="DH141" i="22"/>
  <c r="DI141" i="22"/>
  <c r="L142" i="22"/>
  <c r="R142" i="22"/>
  <c r="S142" i="22"/>
  <c r="X142" i="22"/>
  <c r="Y142" i="22"/>
  <c r="AD142" i="22"/>
  <c r="AE142" i="22"/>
  <c r="AF142" i="22"/>
  <c r="AG142" i="22"/>
  <c r="AK142" i="22" s="1"/>
  <c r="AH142" i="22"/>
  <c r="AI142" i="22"/>
  <c r="AJ142" i="22"/>
  <c r="AP142" i="22"/>
  <c r="AQ142" i="22"/>
  <c r="AV142" i="22"/>
  <c r="AW142" i="22"/>
  <c r="BB142" i="22"/>
  <c r="BC142" i="22"/>
  <c r="BH142" i="22"/>
  <c r="BI142" i="22"/>
  <c r="BN142" i="22"/>
  <c r="BO142" i="22"/>
  <c r="BT142" i="22"/>
  <c r="BU142" i="22"/>
  <c r="BZ142" i="22"/>
  <c r="CA142" i="22"/>
  <c r="CF142" i="22"/>
  <c r="CG142" i="22"/>
  <c r="CL142" i="22"/>
  <c r="CM142" i="22"/>
  <c r="CR142" i="22"/>
  <c r="CS142" i="22"/>
  <c r="CX142" i="22"/>
  <c r="CY142" i="22"/>
  <c r="DD142" i="22"/>
  <c r="DE142" i="22"/>
  <c r="DF142" i="22"/>
  <c r="DG142" i="22"/>
  <c r="DK142" i="22" s="1"/>
  <c r="DH142" i="22"/>
  <c r="DI142" i="22"/>
  <c r="L143" i="22"/>
  <c r="R143" i="22"/>
  <c r="S143" i="22"/>
  <c r="X143" i="22"/>
  <c r="Y143" i="22"/>
  <c r="AD143" i="22"/>
  <c r="AE143" i="22"/>
  <c r="AF143" i="22"/>
  <c r="AG143" i="22"/>
  <c r="AK143" i="22" s="1"/>
  <c r="AH143" i="22"/>
  <c r="AI143" i="22"/>
  <c r="AJ143" i="22"/>
  <c r="AP143" i="22"/>
  <c r="AQ143" i="22"/>
  <c r="AV143" i="22"/>
  <c r="AW143" i="22"/>
  <c r="BB143" i="22"/>
  <c r="BC143" i="22"/>
  <c r="BH143" i="22"/>
  <c r="BI143" i="22"/>
  <c r="BN143" i="22"/>
  <c r="BO143" i="22"/>
  <c r="BT143" i="22"/>
  <c r="BU143" i="22"/>
  <c r="BZ143" i="22"/>
  <c r="CA143" i="22"/>
  <c r="CF143" i="22"/>
  <c r="CG143" i="22"/>
  <c r="CL143" i="22"/>
  <c r="CM143" i="22"/>
  <c r="CR143" i="22"/>
  <c r="CS143" i="22"/>
  <c r="CX143" i="22"/>
  <c r="CY143" i="22"/>
  <c r="DD143" i="22"/>
  <c r="DE143" i="22"/>
  <c r="DF143" i="22"/>
  <c r="DG143" i="22"/>
  <c r="DK143" i="22" s="1"/>
  <c r="DH143" i="22"/>
  <c r="DI143" i="22"/>
  <c r="L144" i="22"/>
  <c r="R144" i="22"/>
  <c r="S144" i="22"/>
  <c r="X144" i="22"/>
  <c r="Y144" i="22"/>
  <c r="AD144" i="22"/>
  <c r="AE144" i="22"/>
  <c r="AF144" i="22"/>
  <c r="AG144" i="22"/>
  <c r="AK144" i="22" s="1"/>
  <c r="AH144" i="22"/>
  <c r="AI144" i="22"/>
  <c r="AJ144" i="22"/>
  <c r="AP144" i="22"/>
  <c r="AQ144" i="22"/>
  <c r="AV144" i="22"/>
  <c r="AW144" i="22"/>
  <c r="BB144" i="22"/>
  <c r="BC144" i="22"/>
  <c r="BH144" i="22"/>
  <c r="BI144" i="22"/>
  <c r="BN144" i="22"/>
  <c r="BO144" i="22"/>
  <c r="BT144" i="22"/>
  <c r="BU144" i="22"/>
  <c r="BZ144" i="22"/>
  <c r="CA144" i="22"/>
  <c r="CF144" i="22"/>
  <c r="CG144" i="22"/>
  <c r="CL144" i="22"/>
  <c r="CM144" i="22"/>
  <c r="CR144" i="22"/>
  <c r="CS144" i="22"/>
  <c r="CX144" i="22"/>
  <c r="CY144" i="22"/>
  <c r="DD144" i="22"/>
  <c r="DE144" i="22"/>
  <c r="DF144" i="22"/>
  <c r="DG144" i="22"/>
  <c r="DK144" i="22" s="1"/>
  <c r="DH144" i="22"/>
  <c r="DI144" i="22"/>
  <c r="L145" i="22"/>
  <c r="R145" i="22"/>
  <c r="S145" i="22"/>
  <c r="X145" i="22"/>
  <c r="Y145" i="22"/>
  <c r="AD145" i="22"/>
  <c r="AE145" i="22"/>
  <c r="AF145" i="22"/>
  <c r="AG145" i="22"/>
  <c r="AK145" i="22" s="1"/>
  <c r="AH145" i="22"/>
  <c r="AI145" i="22"/>
  <c r="AJ145" i="22"/>
  <c r="AP145" i="22"/>
  <c r="AQ145" i="22"/>
  <c r="AV145" i="22"/>
  <c r="AW145" i="22"/>
  <c r="BB145" i="22"/>
  <c r="BC145" i="22"/>
  <c r="BH145" i="22"/>
  <c r="BI145" i="22"/>
  <c r="BN145" i="22"/>
  <c r="BO145" i="22"/>
  <c r="BT145" i="22"/>
  <c r="BU145" i="22"/>
  <c r="BZ145" i="22"/>
  <c r="CA145" i="22"/>
  <c r="CF145" i="22"/>
  <c r="CG145" i="22"/>
  <c r="CL145" i="22"/>
  <c r="CM145" i="22"/>
  <c r="CR145" i="22"/>
  <c r="CS145" i="22"/>
  <c r="CX145" i="22"/>
  <c r="CY145" i="22"/>
  <c r="DD145" i="22"/>
  <c r="DE145" i="22"/>
  <c r="DF145" i="22"/>
  <c r="DG145" i="22"/>
  <c r="DK145" i="22" s="1"/>
  <c r="DH145" i="22"/>
  <c r="DI145" i="22"/>
  <c r="L146" i="22"/>
  <c r="R146" i="22"/>
  <c r="S146" i="22"/>
  <c r="X146" i="22"/>
  <c r="Y146" i="22"/>
  <c r="AD146" i="22"/>
  <c r="AE146" i="22"/>
  <c r="AF146" i="22"/>
  <c r="AG146" i="22"/>
  <c r="AK146" i="22" s="1"/>
  <c r="AH146" i="22"/>
  <c r="AI146" i="22"/>
  <c r="AJ146" i="22"/>
  <c r="AP146" i="22"/>
  <c r="AQ146" i="22"/>
  <c r="AV146" i="22"/>
  <c r="AW146" i="22"/>
  <c r="BB146" i="22"/>
  <c r="BC146" i="22"/>
  <c r="BH146" i="22"/>
  <c r="BI146" i="22"/>
  <c r="BN146" i="22"/>
  <c r="BO146" i="22"/>
  <c r="BT146" i="22"/>
  <c r="BU146" i="22"/>
  <c r="BZ146" i="22"/>
  <c r="CA146" i="22"/>
  <c r="CF146" i="22"/>
  <c r="CG146" i="22"/>
  <c r="CL146" i="22"/>
  <c r="CM146" i="22"/>
  <c r="CR146" i="22"/>
  <c r="CS146" i="22"/>
  <c r="CX146" i="22"/>
  <c r="CY146" i="22"/>
  <c r="DD146" i="22"/>
  <c r="DE146" i="22"/>
  <c r="DF146" i="22"/>
  <c r="DG146" i="22"/>
  <c r="DK146" i="22" s="1"/>
  <c r="DH146" i="22"/>
  <c r="DI146" i="22"/>
  <c r="CW46" i="22"/>
  <c r="I32" i="26"/>
  <c r="I31" i="26"/>
  <c r="H54" i="26"/>
  <c r="H31" i="26"/>
  <c r="H32" i="26"/>
  <c r="H50" i="26" s="1"/>
  <c r="H35" i="26"/>
  <c r="H34" i="26"/>
  <c r="H33" i="26"/>
  <c r="H29" i="26"/>
  <c r="H26" i="26"/>
  <c r="H27" i="26"/>
  <c r="H25" i="26"/>
  <c r="H16" i="26"/>
  <c r="H17" i="26"/>
  <c r="H53" i="26" s="1"/>
  <c r="H15" i="26"/>
  <c r="H8" i="26"/>
  <c r="H44" i="26" s="1"/>
  <c r="H9" i="26"/>
  <c r="H10" i="26"/>
  <c r="H46" i="26" s="1"/>
  <c r="H11" i="26"/>
  <c r="H47" i="26" s="1"/>
  <c r="H13" i="26"/>
  <c r="H49" i="26" s="1"/>
  <c r="H7" i="26"/>
  <c r="H43" i="26" s="1"/>
  <c r="F54" i="26"/>
  <c r="F44" i="26"/>
  <c r="F45" i="26"/>
  <c r="F46" i="26"/>
  <c r="F47" i="26"/>
  <c r="F48" i="26"/>
  <c r="F49" i="26"/>
  <c r="F50" i="26"/>
  <c r="F51" i="26"/>
  <c r="F52" i="26"/>
  <c r="F53" i="26"/>
  <c r="F20" i="26"/>
  <c r="F2" i="26"/>
  <c r="F43" i="26"/>
  <c r="AS20" i="26"/>
  <c r="AR20" i="26"/>
  <c r="DJ73" i="22" l="1"/>
  <c r="F73" i="22" s="1"/>
  <c r="DJ134" i="22"/>
  <c r="F134" i="22" s="1"/>
  <c r="DJ131" i="22"/>
  <c r="F131" i="22" s="1"/>
  <c r="DJ54" i="22"/>
  <c r="F54" i="22" s="1"/>
  <c r="DJ92" i="22"/>
  <c r="F92" i="22" s="1"/>
  <c r="G120" i="22"/>
  <c r="DJ145" i="22"/>
  <c r="F145" i="22" s="1"/>
  <c r="DJ144" i="22"/>
  <c r="F144" i="22" s="1"/>
  <c r="DJ143" i="22"/>
  <c r="F143" i="22" s="1"/>
  <c r="DJ142" i="22"/>
  <c r="F142" i="22" s="1"/>
  <c r="DJ141" i="22"/>
  <c r="F141" i="22" s="1"/>
  <c r="DJ140" i="22"/>
  <c r="F140" i="22" s="1"/>
  <c r="DJ139" i="22"/>
  <c r="F139" i="22" s="1"/>
  <c r="DJ138" i="22"/>
  <c r="F138" i="22" s="1"/>
  <c r="DJ137" i="22"/>
  <c r="F137" i="22" s="1"/>
  <c r="DJ136" i="22"/>
  <c r="F136" i="22" s="1"/>
  <c r="DJ135" i="22"/>
  <c r="F135" i="22" s="1"/>
  <c r="DJ82" i="22"/>
  <c r="F82" i="22" s="1"/>
  <c r="DJ74" i="22"/>
  <c r="F74" i="22" s="1"/>
  <c r="DJ66" i="22"/>
  <c r="F66" i="22" s="1"/>
  <c r="DJ83" i="22"/>
  <c r="F83" i="22" s="1"/>
  <c r="DJ75" i="22"/>
  <c r="F75" i="22" s="1"/>
  <c r="DJ67" i="22"/>
  <c r="F67" i="22" s="1"/>
  <c r="DJ59" i="22"/>
  <c r="F59" i="22" s="1"/>
  <c r="DJ84" i="22"/>
  <c r="F84" i="22" s="1"/>
  <c r="DJ76" i="22"/>
  <c r="F76" i="22" s="1"/>
  <c r="DJ68" i="22"/>
  <c r="F68" i="22" s="1"/>
  <c r="DJ60" i="22"/>
  <c r="F60" i="22" s="1"/>
  <c r="DJ146" i="22"/>
  <c r="F146" i="22" s="1"/>
  <c r="DJ96" i="22"/>
  <c r="F96" i="22" s="1"/>
  <c r="DJ94" i="22"/>
  <c r="F94" i="22" s="1"/>
  <c r="DJ85" i="22"/>
  <c r="F85" i="22" s="1"/>
  <c r="DJ77" i="22"/>
  <c r="F77" i="22" s="1"/>
  <c r="DJ69" i="22"/>
  <c r="F69" i="22" s="1"/>
  <c r="DJ61" i="22"/>
  <c r="F61" i="22" s="1"/>
  <c r="DJ86" i="22"/>
  <c r="F86" i="22" s="1"/>
  <c r="DJ78" i="22"/>
  <c r="F78" i="22" s="1"/>
  <c r="DJ70" i="22"/>
  <c r="F70" i="22" s="1"/>
  <c r="DJ62" i="22"/>
  <c r="F62" i="22" s="1"/>
  <c r="DJ87" i="22"/>
  <c r="F87" i="22" s="1"/>
  <c r="DJ79" i="22"/>
  <c r="F79" i="22" s="1"/>
  <c r="DJ71" i="22"/>
  <c r="F71" i="22" s="1"/>
  <c r="DJ63" i="22"/>
  <c r="F63" i="22" s="1"/>
  <c r="DJ80" i="22"/>
  <c r="F80" i="22" s="1"/>
  <c r="DJ72" i="22"/>
  <c r="F72" i="22" s="1"/>
  <c r="DJ64" i="22"/>
  <c r="F64" i="22" s="1"/>
  <c r="DJ58" i="22"/>
  <c r="F58" i="22" s="1"/>
  <c r="DJ53" i="22"/>
  <c r="F53" i="22" s="1"/>
  <c r="DJ55" i="22"/>
  <c r="F55" i="22" s="1"/>
  <c r="DJ56" i="22"/>
  <c r="F56" i="22" s="1"/>
  <c r="G134" i="22"/>
  <c r="K122" i="22"/>
  <c r="G122" i="22"/>
  <c r="O140" i="22"/>
  <c r="O137" i="22"/>
  <c r="K123" i="22"/>
  <c r="M123" i="22" s="1"/>
  <c r="G123" i="22"/>
  <c r="K126" i="22"/>
  <c r="G126" i="22"/>
  <c r="K124" i="22"/>
  <c r="G124" i="22"/>
  <c r="K146" i="22"/>
  <c r="M146" i="22" s="1"/>
  <c r="K145" i="22"/>
  <c r="M145" i="22" s="1"/>
  <c r="K144" i="22"/>
  <c r="M144" i="22" s="1"/>
  <c r="K143" i="22"/>
  <c r="M143" i="22" s="1"/>
  <c r="K142" i="22"/>
  <c r="M142" i="22" s="1"/>
  <c r="K141" i="22"/>
  <c r="M141" i="22" s="1"/>
  <c r="K140" i="22"/>
  <c r="M140" i="22" s="1"/>
  <c r="K139" i="22"/>
  <c r="M139" i="22" s="1"/>
  <c r="K138" i="22"/>
  <c r="M138" i="22" s="1"/>
  <c r="K137" i="22"/>
  <c r="M137" i="22" s="1"/>
  <c r="K129" i="22"/>
  <c r="G129" i="22"/>
  <c r="K128" i="22"/>
  <c r="G128" i="22"/>
  <c r="O125" i="22"/>
  <c r="O145" i="22"/>
  <c r="O143" i="22"/>
  <c r="O144" i="22"/>
  <c r="O134" i="22"/>
  <c r="K131" i="22"/>
  <c r="K130" i="22"/>
  <c r="G130" i="22"/>
  <c r="G133" i="22"/>
  <c r="K133" i="22"/>
  <c r="G132" i="22"/>
  <c r="K132" i="22"/>
  <c r="M132" i="22" s="1"/>
  <c r="O104" i="22"/>
  <c r="K78" i="22"/>
  <c r="M78" i="22" s="1"/>
  <c r="K70" i="22"/>
  <c r="M70" i="22" s="1"/>
  <c r="L64" i="22"/>
  <c r="K62" i="22"/>
  <c r="M62" i="22" s="1"/>
  <c r="L56" i="22"/>
  <c r="AK136" i="22"/>
  <c r="AK135" i="22"/>
  <c r="AJ130" i="22"/>
  <c r="DK126" i="22"/>
  <c r="O119" i="22"/>
  <c r="G119" i="22"/>
  <c r="G111" i="22"/>
  <c r="K111" i="22"/>
  <c r="M111" i="22" s="1"/>
  <c r="G110" i="22"/>
  <c r="K110" i="22"/>
  <c r="M110" i="22" s="1"/>
  <c r="O107" i="22"/>
  <c r="DK132" i="22"/>
  <c r="DK123" i="22"/>
  <c r="G112" i="22"/>
  <c r="K112" i="22"/>
  <c r="M112" i="22" s="1"/>
  <c r="O110" i="22"/>
  <c r="G113" i="22"/>
  <c r="K113" i="22"/>
  <c r="M113" i="22" s="1"/>
  <c r="O111" i="22"/>
  <c r="K95" i="22"/>
  <c r="M95" i="22" s="1"/>
  <c r="O116" i="22"/>
  <c r="G54" i="22"/>
  <c r="K54" i="22"/>
  <c r="M54" i="22" s="1"/>
  <c r="DK125" i="22"/>
  <c r="G125" i="22"/>
  <c r="G114" i="22"/>
  <c r="K114" i="22"/>
  <c r="M114" i="22" s="1"/>
  <c r="O112" i="22"/>
  <c r="O95" i="22"/>
  <c r="L91" i="22"/>
  <c r="DK133" i="22"/>
  <c r="AJ131" i="22"/>
  <c r="AJ129" i="22"/>
  <c r="DK122" i="22"/>
  <c r="G115" i="22"/>
  <c r="K115" i="22"/>
  <c r="M115" i="22" s="1"/>
  <c r="O113" i="22"/>
  <c r="DK89" i="22"/>
  <c r="O89" i="22"/>
  <c r="G118" i="22"/>
  <c r="K118" i="22"/>
  <c r="M118" i="22" s="1"/>
  <c r="L72" i="22"/>
  <c r="G127" i="22"/>
  <c r="G116" i="22"/>
  <c r="K116" i="22"/>
  <c r="M116" i="22" s="1"/>
  <c r="O114" i="22"/>
  <c r="G108" i="22"/>
  <c r="K108" i="22"/>
  <c r="M108" i="22" s="1"/>
  <c r="G107" i="22"/>
  <c r="K107" i="22"/>
  <c r="M107" i="22" s="1"/>
  <c r="G106" i="22"/>
  <c r="K106" i="22"/>
  <c r="M106" i="22" s="1"/>
  <c r="G105" i="22"/>
  <c r="K105" i="22"/>
  <c r="M105" i="22" s="1"/>
  <c r="G104" i="22"/>
  <c r="K104" i="22"/>
  <c r="M104" i="22" s="1"/>
  <c r="G103" i="22"/>
  <c r="K103" i="22"/>
  <c r="M103" i="22" s="1"/>
  <c r="G102" i="22"/>
  <c r="K102" i="22"/>
  <c r="M102" i="22" s="1"/>
  <c r="G101" i="22"/>
  <c r="K101" i="22"/>
  <c r="M101" i="22" s="1"/>
  <c r="G100" i="22"/>
  <c r="K100" i="22"/>
  <c r="M100" i="22" s="1"/>
  <c r="G99" i="22"/>
  <c r="K99" i="22"/>
  <c r="M99" i="22" s="1"/>
  <c r="G98" i="22"/>
  <c r="K98" i="22"/>
  <c r="M98" i="22" s="1"/>
  <c r="G97" i="22"/>
  <c r="K97" i="22"/>
  <c r="M97" i="22" s="1"/>
  <c r="O103" i="22"/>
  <c r="O100" i="22"/>
  <c r="L80" i="22"/>
  <c r="G121" i="22"/>
  <c r="G117" i="22"/>
  <c r="K117" i="22"/>
  <c r="M117" i="22" s="1"/>
  <c r="O115" i="22"/>
  <c r="G109" i="22"/>
  <c r="K109" i="22"/>
  <c r="M109" i="22" s="1"/>
  <c r="O96" i="22"/>
  <c r="M93" i="22"/>
  <c r="O93" i="22"/>
  <c r="K92" i="22"/>
  <c r="AK94" i="22"/>
  <c r="DJ90" i="22"/>
  <c r="F90" i="22" s="1"/>
  <c r="L81" i="22"/>
  <c r="AK79" i="22"/>
  <c r="L73" i="22"/>
  <c r="AK71" i="22"/>
  <c r="L65" i="22"/>
  <c r="AK63" i="22"/>
  <c r="L57" i="22"/>
  <c r="AK55" i="22"/>
  <c r="DJ93" i="22"/>
  <c r="F93" i="22" s="1"/>
  <c r="AK91" i="22"/>
  <c r="L82" i="22"/>
  <c r="AK80" i="22"/>
  <c r="L74" i="22"/>
  <c r="AK72" i="22"/>
  <c r="L66" i="22"/>
  <c r="AK64" i="22"/>
  <c r="L58" i="22"/>
  <c r="AK56" i="22"/>
  <c r="DJ89" i="22"/>
  <c r="F89" i="22" s="1"/>
  <c r="L83" i="22"/>
  <c r="AK81" i="22"/>
  <c r="L75" i="22"/>
  <c r="AK73" i="22"/>
  <c r="L67" i="22"/>
  <c r="AK65" i="22"/>
  <c r="L59" i="22"/>
  <c r="AK57" i="22"/>
  <c r="AK90" i="22"/>
  <c r="DJ88" i="22"/>
  <c r="F88" i="22" s="1"/>
  <c r="L84" i="22"/>
  <c r="AK82" i="22"/>
  <c r="L76" i="22"/>
  <c r="AK74" i="22"/>
  <c r="L68" i="22"/>
  <c r="AK66" i="22"/>
  <c r="L60" i="22"/>
  <c r="AK58" i="22"/>
  <c r="L85" i="22"/>
  <c r="K83" i="22"/>
  <c r="M83" i="22" s="1"/>
  <c r="L77" i="22"/>
  <c r="K75" i="22"/>
  <c r="M75" i="22" s="1"/>
  <c r="L69" i="22"/>
  <c r="K67" i="22"/>
  <c r="M67" i="22" s="1"/>
  <c r="L61" i="22"/>
  <c r="K59" i="22"/>
  <c r="M59" i="22" s="1"/>
  <c r="K89" i="22"/>
  <c r="M89" i="22" s="1"/>
  <c r="K84" i="22"/>
  <c r="M84" i="22" s="1"/>
  <c r="L78" i="22"/>
  <c r="O78" i="22"/>
  <c r="K76" i="22"/>
  <c r="M76" i="22" s="1"/>
  <c r="L70" i="22"/>
  <c r="O70" i="22"/>
  <c r="K68" i="22"/>
  <c r="M68" i="22" s="1"/>
  <c r="L62" i="22"/>
  <c r="O62" i="22"/>
  <c r="K60" i="22"/>
  <c r="M60" i="22" s="1"/>
  <c r="L54" i="22"/>
  <c r="O54" i="22"/>
  <c r="AK53" i="22"/>
  <c r="L53" i="22"/>
  <c r="DJ95" i="22"/>
  <c r="F95" i="22" s="1"/>
  <c r="DJ91" i="22"/>
  <c r="F91" i="22" s="1"/>
  <c r="AK88" i="22"/>
  <c r="AK87" i="22"/>
  <c r="AK86" i="22"/>
  <c r="AK85" i="22"/>
  <c r="L79" i="22"/>
  <c r="AK77" i="22"/>
  <c r="L71" i="22"/>
  <c r="AK69" i="22"/>
  <c r="L63" i="22"/>
  <c r="AK61" i="22"/>
  <c r="L55" i="22"/>
  <c r="H51" i="26"/>
  <c r="H52" i="26"/>
  <c r="H45" i="26"/>
  <c r="F38" i="26"/>
  <c r="G76" i="22" l="1"/>
  <c r="G59" i="22"/>
  <c r="G138" i="22"/>
  <c r="G70" i="22"/>
  <c r="G144" i="22"/>
  <c r="G92" i="22"/>
  <c r="G142" i="22"/>
  <c r="G89" i="22"/>
  <c r="G131" i="22"/>
  <c r="G141" i="22"/>
  <c r="G68" i="22"/>
  <c r="G84" i="22"/>
  <c r="G143" i="22"/>
  <c r="G139" i="22"/>
  <c r="G60" i="22"/>
  <c r="G140" i="22"/>
  <c r="G145" i="22"/>
  <c r="G62" i="22"/>
  <c r="G137" i="22"/>
  <c r="G78" i="22"/>
  <c r="G75" i="22"/>
  <c r="G83" i="22"/>
  <c r="G96" i="22"/>
  <c r="G67" i="22"/>
  <c r="G93" i="22"/>
  <c r="G146" i="22"/>
  <c r="G85" i="22"/>
  <c r="K85" i="22"/>
  <c r="O84" i="22"/>
  <c r="O67" i="22"/>
  <c r="G79" i="22"/>
  <c r="K79" i="22"/>
  <c r="O118" i="22"/>
  <c r="O109" i="22"/>
  <c r="K135" i="22"/>
  <c r="G135" i="22"/>
  <c r="M133" i="22"/>
  <c r="O133" i="22"/>
  <c r="O146" i="22"/>
  <c r="M129" i="22"/>
  <c r="O129" i="22"/>
  <c r="M126" i="22"/>
  <c r="O126" i="22"/>
  <c r="O138" i="22"/>
  <c r="O60" i="22"/>
  <c r="G72" i="22"/>
  <c r="K72" i="22"/>
  <c r="G86" i="22"/>
  <c r="K86" i="22"/>
  <c r="G66" i="22"/>
  <c r="K66" i="22"/>
  <c r="G56" i="22"/>
  <c r="K56" i="22"/>
  <c r="O105" i="22"/>
  <c r="K136" i="22"/>
  <c r="G136" i="22"/>
  <c r="G77" i="22"/>
  <c r="K77" i="22"/>
  <c r="G65" i="22"/>
  <c r="K65" i="22"/>
  <c r="G55" i="22"/>
  <c r="K55" i="22"/>
  <c r="G69" i="22"/>
  <c r="K69" i="22"/>
  <c r="G53" i="22"/>
  <c r="K53" i="22"/>
  <c r="O68" i="22"/>
  <c r="G73" i="22"/>
  <c r="K73" i="22"/>
  <c r="G80" i="22"/>
  <c r="K80" i="22"/>
  <c r="G63" i="22"/>
  <c r="K63" i="22"/>
  <c r="O101" i="22"/>
  <c r="O139" i="22"/>
  <c r="O142" i="22"/>
  <c r="G82" i="22"/>
  <c r="K82" i="22"/>
  <c r="G87" i="22"/>
  <c r="K87" i="22"/>
  <c r="G90" i="22"/>
  <c r="K90" i="22"/>
  <c r="O75" i="22"/>
  <c r="O99" i="22"/>
  <c r="O108" i="22"/>
  <c r="O97" i="22"/>
  <c r="O117" i="22"/>
  <c r="O130" i="22"/>
  <c r="M130" i="22"/>
  <c r="O123" i="22"/>
  <c r="O141" i="22"/>
  <c r="G74" i="22"/>
  <c r="K74" i="22"/>
  <c r="G57" i="22"/>
  <c r="K57" i="22"/>
  <c r="G64" i="22"/>
  <c r="K64" i="22"/>
  <c r="O106" i="22"/>
  <c r="O102" i="22"/>
  <c r="O98" i="22"/>
  <c r="M122" i="22"/>
  <c r="O122" i="22"/>
  <c r="G88" i="22"/>
  <c r="K88" i="22"/>
  <c r="O59" i="22"/>
  <c r="G81" i="22"/>
  <c r="K81" i="22"/>
  <c r="G91" i="22"/>
  <c r="K91" i="22"/>
  <c r="G71" i="22"/>
  <c r="K71" i="22"/>
  <c r="G94" i="22"/>
  <c r="K94" i="22"/>
  <c r="M131" i="22"/>
  <c r="O131" i="22"/>
  <c r="O76" i="22"/>
  <c r="G61" i="22"/>
  <c r="K61" i="22"/>
  <c r="G58" i="22"/>
  <c r="K58" i="22"/>
  <c r="O83" i="22"/>
  <c r="M92" i="22"/>
  <c r="O92" i="22"/>
  <c r="G95" i="22"/>
  <c r="M128" i="22"/>
  <c r="O128" i="22"/>
  <c r="M124" i="22"/>
  <c r="O124" i="22"/>
  <c r="O132" i="22"/>
  <c r="AS53" i="26"/>
  <c r="AR53" i="26"/>
  <c r="AS52" i="26"/>
  <c r="AR52" i="26"/>
  <c r="AS51" i="26"/>
  <c r="AR51" i="26"/>
  <c r="AS50" i="26"/>
  <c r="AR50" i="26"/>
  <c r="AS49" i="26"/>
  <c r="AR49" i="26"/>
  <c r="AS48" i="26"/>
  <c r="AR48" i="26"/>
  <c r="AS47" i="26"/>
  <c r="AR47" i="26"/>
  <c r="AS46" i="26"/>
  <c r="AR46" i="26"/>
  <c r="AS45" i="26"/>
  <c r="AR45" i="26"/>
  <c r="AS44" i="26"/>
  <c r="AR44" i="26"/>
  <c r="AS43" i="26"/>
  <c r="AR43" i="26"/>
  <c r="AS2" i="26"/>
  <c r="AR2" i="26"/>
  <c r="AL53" i="26"/>
  <c r="AK53" i="26"/>
  <c r="AL52" i="26"/>
  <c r="AK52" i="26"/>
  <c r="AL51" i="26"/>
  <c r="AK51" i="26"/>
  <c r="AL50" i="26"/>
  <c r="AK50" i="26"/>
  <c r="AL49" i="26"/>
  <c r="AK49" i="26"/>
  <c r="AL48" i="26"/>
  <c r="AK48" i="26"/>
  <c r="AL46" i="26"/>
  <c r="AL45" i="26"/>
  <c r="AK45" i="26"/>
  <c r="AL44" i="26"/>
  <c r="AK44" i="26"/>
  <c r="AK43" i="26"/>
  <c r="AL20" i="26"/>
  <c r="AK20" i="26"/>
  <c r="AL47" i="26"/>
  <c r="AK47" i="26"/>
  <c r="AK46" i="26"/>
  <c r="AL43" i="26"/>
  <c r="CQ12" i="4"/>
  <c r="M81" i="22" l="1"/>
  <c r="O81" i="22"/>
  <c r="M90" i="22"/>
  <c r="O90" i="22"/>
  <c r="M53" i="22"/>
  <c r="O53" i="22"/>
  <c r="M77" i="22"/>
  <c r="O77" i="22"/>
  <c r="M94" i="22"/>
  <c r="O94" i="22"/>
  <c r="M64" i="22"/>
  <c r="O64" i="22"/>
  <c r="M63" i="22"/>
  <c r="O63" i="22"/>
  <c r="M86" i="22"/>
  <c r="O86" i="22"/>
  <c r="M88" i="22"/>
  <c r="O88" i="22"/>
  <c r="M87" i="22"/>
  <c r="O87" i="22"/>
  <c r="M69" i="22"/>
  <c r="O69" i="22"/>
  <c r="M79" i="22"/>
  <c r="O79" i="22"/>
  <c r="M80" i="22"/>
  <c r="O80" i="22"/>
  <c r="M136" i="22"/>
  <c r="O136" i="22"/>
  <c r="M61" i="22"/>
  <c r="O61" i="22"/>
  <c r="M82" i="22"/>
  <c r="O82" i="22"/>
  <c r="M55" i="22"/>
  <c r="O55" i="22"/>
  <c r="M58" i="22"/>
  <c r="O58" i="22"/>
  <c r="M71" i="22"/>
  <c r="O71" i="22"/>
  <c r="M57" i="22"/>
  <c r="O57" i="22"/>
  <c r="M72" i="22"/>
  <c r="O72" i="22"/>
  <c r="M91" i="22"/>
  <c r="O91" i="22"/>
  <c r="M74" i="22"/>
  <c r="O74" i="22"/>
  <c r="M73" i="22"/>
  <c r="O73" i="22"/>
  <c r="M56" i="22"/>
  <c r="O56" i="22"/>
  <c r="M65" i="22"/>
  <c r="O65" i="22"/>
  <c r="M85" i="22"/>
  <c r="O85" i="22"/>
  <c r="M66" i="22"/>
  <c r="O66" i="22"/>
  <c r="M135" i="22"/>
  <c r="O135" i="22"/>
  <c r="AL38" i="26"/>
  <c r="AK38" i="26"/>
  <c r="AR38" i="26"/>
  <c r="AS38" i="26"/>
  <c r="AK2" i="26"/>
  <c r="AL2" i="26"/>
  <c r="AG7" i="12"/>
  <c r="AH7" i="12"/>
  <c r="AI7" i="12"/>
  <c r="AJ7" i="12"/>
  <c r="AK7" i="12"/>
  <c r="AL7" i="12"/>
  <c r="Q7" i="12"/>
  <c r="R7" i="12"/>
  <c r="S7" i="12"/>
  <c r="T7" i="12"/>
  <c r="U7" i="12"/>
  <c r="V7" i="12"/>
  <c r="W7" i="12"/>
  <c r="X7" i="12"/>
  <c r="Y7" i="12"/>
  <c r="Z7" i="12"/>
  <c r="AA7" i="12"/>
  <c r="AB7" i="12"/>
  <c r="AC7" i="12"/>
  <c r="AD7" i="12"/>
  <c r="AE7" i="12"/>
  <c r="AF7" i="12"/>
  <c r="I7" i="12"/>
  <c r="J7" i="12"/>
  <c r="K7" i="12"/>
  <c r="L7" i="12"/>
  <c r="M7" i="12"/>
  <c r="N7" i="12"/>
  <c r="O7" i="12"/>
  <c r="F7" i="12"/>
  <c r="G7" i="12"/>
  <c r="H7" i="12"/>
  <c r="AM7" i="12"/>
  <c r="AN7" i="12"/>
  <c r="AO7" i="12"/>
  <c r="AP7" i="12"/>
  <c r="AQ7" i="12"/>
  <c r="AR7" i="12"/>
  <c r="AS7" i="12"/>
  <c r="AT7" i="12"/>
  <c r="AU7" i="12"/>
  <c r="AV7" i="12"/>
  <c r="AW7" i="12"/>
  <c r="AX7" i="12"/>
  <c r="AY7" i="12"/>
  <c r="AZ7" i="12"/>
  <c r="BA7" i="12"/>
  <c r="BB7" i="12"/>
  <c r="BC7" i="12"/>
  <c r="BD7" i="12"/>
  <c r="BE7" i="12"/>
  <c r="BF7" i="12"/>
  <c r="BG7" i="12"/>
  <c r="BH7" i="12"/>
  <c r="BI7" i="12"/>
  <c r="BJ7" i="12"/>
  <c r="BK7" i="12"/>
  <c r="BL7" i="12"/>
  <c r="BM7" i="12"/>
  <c r="BN7" i="12"/>
  <c r="BO7" i="12"/>
  <c r="BP7" i="12"/>
  <c r="BQ7" i="12"/>
  <c r="BR7" i="12"/>
  <c r="BS7" i="12"/>
  <c r="BT7" i="12"/>
  <c r="BU7" i="12"/>
  <c r="BV7" i="12"/>
  <c r="BW7" i="12"/>
  <c r="BX7" i="12"/>
  <c r="BY7" i="12"/>
  <c r="BZ7" i="12"/>
  <c r="CA7" i="12"/>
  <c r="CB7" i="12"/>
  <c r="CC7" i="12"/>
  <c r="CD7" i="12"/>
  <c r="CE7" i="12"/>
  <c r="CF7" i="12"/>
  <c r="CG7" i="12"/>
  <c r="CH7" i="12"/>
  <c r="CI7" i="12"/>
  <c r="CJ7" i="12"/>
  <c r="CK7" i="12"/>
  <c r="CL7" i="12"/>
  <c r="CM7" i="12"/>
  <c r="CN7" i="12"/>
  <c r="CO7" i="12"/>
  <c r="CP7" i="12"/>
  <c r="CQ7" i="12"/>
  <c r="CR7" i="12"/>
  <c r="CS7" i="12"/>
  <c r="CT7" i="12"/>
  <c r="CU7" i="12"/>
  <c r="CV7" i="12"/>
  <c r="CW7" i="12"/>
  <c r="CX7" i="12"/>
  <c r="CY7" i="12"/>
  <c r="CZ7" i="12"/>
  <c r="DA7" i="12"/>
  <c r="DB7" i="12"/>
  <c r="DC7" i="12"/>
  <c r="DD7" i="12"/>
  <c r="DE7" i="12"/>
  <c r="DF7" i="12"/>
  <c r="DG7" i="12"/>
  <c r="DH7" i="12"/>
  <c r="DI7" i="12"/>
  <c r="DJ7" i="12"/>
  <c r="DK7" i="12"/>
  <c r="DL7" i="12"/>
  <c r="DM7" i="12"/>
  <c r="G15" i="12"/>
  <c r="G17" i="12"/>
  <c r="G27" i="12"/>
  <c r="G29" i="12"/>
  <c r="G32" i="12"/>
  <c r="G31" i="12"/>
  <c r="G38" i="12"/>
  <c r="G41" i="12"/>
  <c r="G45" i="12"/>
  <c r="G49" i="12"/>
  <c r="G51" i="12"/>
  <c r="G53" i="12"/>
  <c r="G14" i="12"/>
  <c r="G13" i="12"/>
  <c r="G12" i="12"/>
  <c r="G11" i="12"/>
  <c r="G10" i="12"/>
  <c r="G9" i="12"/>
  <c r="G16" i="12"/>
  <c r="G26" i="12"/>
  <c r="G25" i="12"/>
  <c r="G24" i="12"/>
  <c r="G23" i="12"/>
  <c r="G22" i="12"/>
  <c r="G21" i="12"/>
  <c r="G20" i="12"/>
  <c r="G19" i="12"/>
  <c r="G18" i="12"/>
  <c r="G28" i="12"/>
  <c r="G30" i="12"/>
  <c r="G37" i="12"/>
  <c r="G36" i="12"/>
  <c r="G35" i="12"/>
  <c r="G34" i="12"/>
  <c r="G33" i="12"/>
  <c r="G40" i="12"/>
  <c r="G39" i="12"/>
  <c r="G44" i="12"/>
  <c r="G43" i="12"/>
  <c r="G42" i="12"/>
  <c r="G48" i="12"/>
  <c r="G47" i="12"/>
  <c r="G46" i="12"/>
  <c r="G50" i="12"/>
  <c r="G52" i="12"/>
  <c r="G69" i="12"/>
  <c r="G68" i="12"/>
  <c r="G67" i="12"/>
  <c r="G66" i="12"/>
  <c r="G65" i="12"/>
  <c r="G64" i="12"/>
  <c r="G63" i="12"/>
  <c r="G62" i="12"/>
  <c r="G61" i="12"/>
  <c r="G60" i="12"/>
  <c r="G59" i="12"/>
  <c r="G58" i="12"/>
  <c r="G57" i="12"/>
  <c r="G56" i="12"/>
  <c r="G55" i="12"/>
  <c r="G54" i="12"/>
  <c r="G70" i="12"/>
  <c r="G71" i="12"/>
  <c r="G72" i="12"/>
  <c r="G73" i="12"/>
  <c r="G74" i="12"/>
  <c r="G75" i="12"/>
  <c r="G76" i="12"/>
  <c r="T75" i="12"/>
  <c r="Y75" i="12"/>
  <c r="Z75" i="12"/>
  <c r="AE75" i="12"/>
  <c r="AF75" i="12"/>
  <c r="AG75" i="12"/>
  <c r="AH75" i="12"/>
  <c r="AL75" i="12" s="1"/>
  <c r="AI75" i="12"/>
  <c r="AK75" i="12" s="1"/>
  <c r="AJ75" i="12"/>
  <c r="M75" i="12" s="1"/>
  <c r="AQ75" i="12"/>
  <c r="AR75" i="12"/>
  <c r="AW75" i="12"/>
  <c r="AX75" i="12"/>
  <c r="BC75" i="12"/>
  <c r="BE75" i="12"/>
  <c r="BJ75" i="12"/>
  <c r="BL75" i="12"/>
  <c r="BQ75" i="12"/>
  <c r="BR75" i="12"/>
  <c r="BW75" i="12"/>
  <c r="BX75" i="12"/>
  <c r="CC75" i="12"/>
  <c r="CD75" i="12"/>
  <c r="CI75" i="12"/>
  <c r="CJ75" i="12"/>
  <c r="CO75" i="12"/>
  <c r="CP75" i="12"/>
  <c r="CU75" i="12"/>
  <c r="CV75" i="12"/>
  <c r="DA75" i="12"/>
  <c r="DB75" i="12"/>
  <c r="DG75" i="12"/>
  <c r="DH75" i="12"/>
  <c r="DI75" i="12"/>
  <c r="DM75" i="12" s="1"/>
  <c r="F75" i="12" s="1"/>
  <c r="DJ75" i="12"/>
  <c r="DK75" i="12"/>
  <c r="DL75" i="12"/>
  <c r="T76" i="12"/>
  <c r="Y76" i="12"/>
  <c r="Z76" i="12"/>
  <c r="AE76" i="12"/>
  <c r="AF76" i="12"/>
  <c r="AG76" i="12"/>
  <c r="AH76" i="12"/>
  <c r="AL76" i="12" s="1"/>
  <c r="AI76" i="12"/>
  <c r="AJ76" i="12"/>
  <c r="M76" i="12" s="1"/>
  <c r="AQ76" i="12"/>
  <c r="AR76" i="12"/>
  <c r="AW76" i="12"/>
  <c r="AX76" i="12"/>
  <c r="BC76" i="12"/>
  <c r="BE76" i="12"/>
  <c r="BJ76" i="12"/>
  <c r="BL76" i="12"/>
  <c r="BQ76" i="12"/>
  <c r="BR76" i="12"/>
  <c r="BW76" i="12"/>
  <c r="BX76" i="12"/>
  <c r="CC76" i="12"/>
  <c r="CD76" i="12"/>
  <c r="CI76" i="12"/>
  <c r="CJ76" i="12"/>
  <c r="CO76" i="12"/>
  <c r="CP76" i="12"/>
  <c r="CU76" i="12"/>
  <c r="CV76" i="12"/>
  <c r="DA76" i="12"/>
  <c r="DB76" i="12"/>
  <c r="DG76" i="12"/>
  <c r="DH76" i="12"/>
  <c r="DI76" i="12"/>
  <c r="DM76" i="12" s="1"/>
  <c r="F76" i="12" s="1"/>
  <c r="DJ76" i="12"/>
  <c r="DK76" i="12"/>
  <c r="DL76" i="12"/>
  <c r="T77" i="12"/>
  <c r="Y77" i="12"/>
  <c r="Z77" i="12"/>
  <c r="AE77" i="12"/>
  <c r="AF77" i="12"/>
  <c r="AG77" i="12"/>
  <c r="AH77" i="12"/>
  <c r="AL77" i="12" s="1"/>
  <c r="AI77" i="12"/>
  <c r="AJ77" i="12"/>
  <c r="M77" i="12" s="1"/>
  <c r="AQ77" i="12"/>
  <c r="AR77" i="12"/>
  <c r="AW77" i="12"/>
  <c r="AX77" i="12"/>
  <c r="BC77" i="12"/>
  <c r="BE77" i="12"/>
  <c r="BJ77" i="12"/>
  <c r="BL77" i="12"/>
  <c r="BQ77" i="12"/>
  <c r="BR77" i="12"/>
  <c r="BW77" i="12"/>
  <c r="BX77" i="12"/>
  <c r="CC77" i="12"/>
  <c r="CD77" i="12"/>
  <c r="CI77" i="12"/>
  <c r="CJ77" i="12"/>
  <c r="CO77" i="12"/>
  <c r="CP77" i="12"/>
  <c r="CU77" i="12"/>
  <c r="CV77" i="12"/>
  <c r="DA77" i="12"/>
  <c r="DB77" i="12"/>
  <c r="DG77" i="12"/>
  <c r="DH77" i="12"/>
  <c r="DI77" i="12"/>
  <c r="DM77" i="12" s="1"/>
  <c r="F77" i="12" s="1"/>
  <c r="DJ77" i="12"/>
  <c r="DK77" i="12"/>
  <c r="DL77" i="12"/>
  <c r="T78" i="12"/>
  <c r="Y78" i="12"/>
  <c r="Z78" i="12"/>
  <c r="AE78" i="12"/>
  <c r="AF78" i="12"/>
  <c r="AG78" i="12"/>
  <c r="AH78" i="12"/>
  <c r="AL78" i="12" s="1"/>
  <c r="AI78" i="12"/>
  <c r="AJ78" i="12"/>
  <c r="M78" i="12" s="1"/>
  <c r="AQ78" i="12"/>
  <c r="AR78" i="12"/>
  <c r="AW78" i="12"/>
  <c r="AX78" i="12"/>
  <c r="BC78" i="12"/>
  <c r="BE78" i="12"/>
  <c r="BJ78" i="12"/>
  <c r="BL78" i="12"/>
  <c r="BQ78" i="12"/>
  <c r="BR78" i="12"/>
  <c r="BW78" i="12"/>
  <c r="BX78" i="12"/>
  <c r="CC78" i="12"/>
  <c r="CD78" i="12"/>
  <c r="CI78" i="12"/>
  <c r="CJ78" i="12"/>
  <c r="CO78" i="12"/>
  <c r="CP78" i="12"/>
  <c r="CU78" i="12"/>
  <c r="CV78" i="12"/>
  <c r="DA78" i="12"/>
  <c r="DB78" i="12"/>
  <c r="DG78" i="12"/>
  <c r="DH78" i="12"/>
  <c r="DI78" i="12"/>
  <c r="DM78" i="12" s="1"/>
  <c r="F78" i="12" s="1"/>
  <c r="DJ78" i="12"/>
  <c r="DK78" i="12"/>
  <c r="DL78" i="12"/>
  <c r="DN78" i="12"/>
  <c r="T79" i="12"/>
  <c r="Y79" i="12"/>
  <c r="Z79" i="12"/>
  <c r="AE79" i="12"/>
  <c r="AF79" i="12"/>
  <c r="AG79" i="12"/>
  <c r="AH79" i="12"/>
  <c r="AL79" i="12" s="1"/>
  <c r="AI79" i="12"/>
  <c r="AJ79" i="12"/>
  <c r="M79" i="12" s="1"/>
  <c r="AQ79" i="12"/>
  <c r="AR79" i="12"/>
  <c r="AW79" i="12"/>
  <c r="AX79" i="12"/>
  <c r="BC79" i="12"/>
  <c r="BE79" i="12"/>
  <c r="BJ79" i="12"/>
  <c r="BL79" i="12"/>
  <c r="BQ79" i="12"/>
  <c r="BR79" i="12"/>
  <c r="BW79" i="12"/>
  <c r="BX79" i="12"/>
  <c r="CC79" i="12"/>
  <c r="CD79" i="12"/>
  <c r="CI79" i="12"/>
  <c r="CJ79" i="12"/>
  <c r="CO79" i="12"/>
  <c r="CP79" i="12"/>
  <c r="CU79" i="12"/>
  <c r="CV79" i="12"/>
  <c r="DA79" i="12"/>
  <c r="DB79" i="12"/>
  <c r="DG79" i="12"/>
  <c r="DH79" i="12"/>
  <c r="DI79" i="12"/>
  <c r="DM79" i="12" s="1"/>
  <c r="F79" i="12" s="1"/>
  <c r="DJ79" i="12"/>
  <c r="DK79" i="12"/>
  <c r="DL79" i="12"/>
  <c r="T80" i="12"/>
  <c r="Y80" i="12"/>
  <c r="Z80" i="12"/>
  <c r="AE80" i="12"/>
  <c r="AF80" i="12"/>
  <c r="AG80" i="12"/>
  <c r="AK80" i="12" s="1"/>
  <c r="AH80" i="12"/>
  <c r="AL80" i="12" s="1"/>
  <c r="AI80" i="12"/>
  <c r="AJ80" i="12"/>
  <c r="M80" i="12" s="1"/>
  <c r="AQ80" i="12"/>
  <c r="AR80" i="12"/>
  <c r="AW80" i="12"/>
  <c r="AX80" i="12"/>
  <c r="BC80" i="12"/>
  <c r="BE80" i="12"/>
  <c r="BJ80" i="12"/>
  <c r="BL80" i="12"/>
  <c r="BQ80" i="12"/>
  <c r="BR80" i="12"/>
  <c r="BW80" i="12"/>
  <c r="BX80" i="12"/>
  <c r="CC80" i="12"/>
  <c r="CD80" i="12"/>
  <c r="CI80" i="12"/>
  <c r="CJ80" i="12"/>
  <c r="CO80" i="12"/>
  <c r="CP80" i="12"/>
  <c r="CU80" i="12"/>
  <c r="CV80" i="12"/>
  <c r="DA80" i="12"/>
  <c r="DB80" i="12"/>
  <c r="DG80" i="12"/>
  <c r="DH80" i="12"/>
  <c r="DI80" i="12"/>
  <c r="DM80" i="12" s="1"/>
  <c r="F80" i="12" s="1"/>
  <c r="DJ80" i="12"/>
  <c r="DK80" i="12"/>
  <c r="DL80" i="12"/>
  <c r="T81" i="12"/>
  <c r="Y81" i="12"/>
  <c r="Z81" i="12"/>
  <c r="AE81" i="12"/>
  <c r="AF81" i="12"/>
  <c r="AG81" i="12"/>
  <c r="AH81" i="12"/>
  <c r="AI81" i="12"/>
  <c r="AJ81" i="12"/>
  <c r="M81" i="12" s="1"/>
  <c r="AQ81" i="12"/>
  <c r="AR81" i="12"/>
  <c r="AW81" i="12"/>
  <c r="AX81" i="12"/>
  <c r="BC81" i="12"/>
  <c r="BE81" i="12"/>
  <c r="BJ81" i="12"/>
  <c r="BL81" i="12"/>
  <c r="BQ81" i="12"/>
  <c r="BR81" i="12"/>
  <c r="BW81" i="12"/>
  <c r="BX81" i="12"/>
  <c r="CC81" i="12"/>
  <c r="CD81" i="12"/>
  <c r="CI81" i="12"/>
  <c r="CJ81" i="12"/>
  <c r="CO81" i="12"/>
  <c r="CP81" i="12"/>
  <c r="CU81" i="12"/>
  <c r="CV81" i="12"/>
  <c r="DA81" i="12"/>
  <c r="DB81" i="12"/>
  <c r="DG81" i="12"/>
  <c r="DH81" i="12"/>
  <c r="DI81" i="12"/>
  <c r="DM81" i="12" s="1"/>
  <c r="F81" i="12" s="1"/>
  <c r="DJ81" i="12"/>
  <c r="DK81" i="12"/>
  <c r="DL81" i="12"/>
  <c r="T82" i="12"/>
  <c r="Y82" i="12"/>
  <c r="Z82" i="12"/>
  <c r="AE82" i="12"/>
  <c r="AF82" i="12"/>
  <c r="AG82" i="12"/>
  <c r="AK82" i="12" s="1"/>
  <c r="AH82" i="12"/>
  <c r="AI82" i="12"/>
  <c r="AJ82" i="12"/>
  <c r="M82" i="12" s="1"/>
  <c r="AQ82" i="12"/>
  <c r="AR82" i="12"/>
  <c r="AW82" i="12"/>
  <c r="AX82" i="12"/>
  <c r="BC82" i="12"/>
  <c r="BE82" i="12"/>
  <c r="BJ82" i="12"/>
  <c r="BL82" i="12"/>
  <c r="BQ82" i="12"/>
  <c r="BR82" i="12"/>
  <c r="BW82" i="12"/>
  <c r="BX82" i="12"/>
  <c r="CC82" i="12"/>
  <c r="CD82" i="12"/>
  <c r="CI82" i="12"/>
  <c r="CJ82" i="12"/>
  <c r="CO82" i="12"/>
  <c r="CP82" i="12"/>
  <c r="CU82" i="12"/>
  <c r="CV82" i="12"/>
  <c r="DA82" i="12"/>
  <c r="DB82" i="12"/>
  <c r="DG82" i="12"/>
  <c r="DH82" i="12"/>
  <c r="DI82" i="12"/>
  <c r="DJ82" i="12"/>
  <c r="DN82" i="12" s="1"/>
  <c r="DK82" i="12"/>
  <c r="DL82" i="12"/>
  <c r="T83" i="12"/>
  <c r="Y83" i="12"/>
  <c r="Z83" i="12"/>
  <c r="AE83" i="12"/>
  <c r="AF83" i="12"/>
  <c r="AG83" i="12"/>
  <c r="AK83" i="12" s="1"/>
  <c r="AH83" i="12"/>
  <c r="AL83" i="12" s="1"/>
  <c r="AI83" i="12"/>
  <c r="AJ83" i="12"/>
  <c r="M83" i="12" s="1"/>
  <c r="AQ83" i="12"/>
  <c r="AR83" i="12"/>
  <c r="AW83" i="12"/>
  <c r="AX83" i="12"/>
  <c r="BC83" i="12"/>
  <c r="BE83" i="12"/>
  <c r="BJ83" i="12"/>
  <c r="BL83" i="12"/>
  <c r="BQ83" i="12"/>
  <c r="BR83" i="12"/>
  <c r="BW83" i="12"/>
  <c r="BX83" i="12"/>
  <c r="CC83" i="12"/>
  <c r="CD83" i="12"/>
  <c r="CI83" i="12"/>
  <c r="CJ83" i="12"/>
  <c r="CO83" i="12"/>
  <c r="CP83" i="12"/>
  <c r="CU83" i="12"/>
  <c r="CV83" i="12"/>
  <c r="DA83" i="12"/>
  <c r="DB83" i="12"/>
  <c r="DG83" i="12"/>
  <c r="DH83" i="12"/>
  <c r="DI83" i="12"/>
  <c r="DJ83" i="12"/>
  <c r="DK83" i="12"/>
  <c r="DL83" i="12"/>
  <c r="T84" i="12"/>
  <c r="Y84" i="12"/>
  <c r="Z84" i="12"/>
  <c r="AE84" i="12"/>
  <c r="AF84" i="12"/>
  <c r="AG84" i="12"/>
  <c r="AH84" i="12"/>
  <c r="AL84" i="12" s="1"/>
  <c r="AI84" i="12"/>
  <c r="AJ84" i="12"/>
  <c r="M84" i="12" s="1"/>
  <c r="AQ84" i="12"/>
  <c r="AR84" i="12"/>
  <c r="AW84" i="12"/>
  <c r="AX84" i="12"/>
  <c r="BC84" i="12"/>
  <c r="BE84" i="12"/>
  <c r="BJ84" i="12"/>
  <c r="BL84" i="12"/>
  <c r="BQ84" i="12"/>
  <c r="BR84" i="12"/>
  <c r="BW84" i="12"/>
  <c r="BX84" i="12"/>
  <c r="CC84" i="12"/>
  <c r="CD84" i="12"/>
  <c r="CI84" i="12"/>
  <c r="CJ84" i="12"/>
  <c r="CO84" i="12"/>
  <c r="CP84" i="12"/>
  <c r="CU84" i="12"/>
  <c r="CV84" i="12"/>
  <c r="DA84" i="12"/>
  <c r="DB84" i="12"/>
  <c r="DG84" i="12"/>
  <c r="DH84" i="12"/>
  <c r="DI84" i="12"/>
  <c r="DM84" i="12" s="1"/>
  <c r="F84" i="12" s="1"/>
  <c r="DJ84" i="12"/>
  <c r="DK84" i="12"/>
  <c r="DL84" i="12"/>
  <c r="T85" i="12"/>
  <c r="Y85" i="12"/>
  <c r="Z85" i="12"/>
  <c r="AE85" i="12"/>
  <c r="AF85" i="12"/>
  <c r="AG85" i="12"/>
  <c r="AH85" i="12"/>
  <c r="AI85" i="12"/>
  <c r="AJ85" i="12"/>
  <c r="M85" i="12" s="1"/>
  <c r="AQ85" i="12"/>
  <c r="AR85" i="12"/>
  <c r="AW85" i="12"/>
  <c r="AX85" i="12"/>
  <c r="BC85" i="12"/>
  <c r="BE85" i="12"/>
  <c r="BJ85" i="12"/>
  <c r="BL85" i="12"/>
  <c r="BQ85" i="12"/>
  <c r="BR85" i="12"/>
  <c r="BW85" i="12"/>
  <c r="BX85" i="12"/>
  <c r="CC85" i="12"/>
  <c r="CD85" i="12"/>
  <c r="CI85" i="12"/>
  <c r="CJ85" i="12"/>
  <c r="CO85" i="12"/>
  <c r="CP85" i="12"/>
  <c r="CU85" i="12"/>
  <c r="CV85" i="12"/>
  <c r="DA85" i="12"/>
  <c r="DB85" i="12"/>
  <c r="DG85" i="12"/>
  <c r="DH85" i="12"/>
  <c r="DI85" i="12"/>
  <c r="DM85" i="12" s="1"/>
  <c r="F85" i="12" s="1"/>
  <c r="DJ85" i="12"/>
  <c r="DN85" i="12" s="1"/>
  <c r="DK85" i="12"/>
  <c r="DL85" i="12"/>
  <c r="T86" i="12"/>
  <c r="Y86" i="12"/>
  <c r="Z86" i="12"/>
  <c r="AE86" i="12"/>
  <c r="AF86" i="12"/>
  <c r="AG86" i="12"/>
  <c r="AK86" i="12" s="1"/>
  <c r="AH86" i="12"/>
  <c r="AL86" i="12" s="1"/>
  <c r="AI86" i="12"/>
  <c r="AJ86" i="12"/>
  <c r="M86" i="12" s="1"/>
  <c r="AQ86" i="12"/>
  <c r="AR86" i="12"/>
  <c r="AW86" i="12"/>
  <c r="AX86" i="12"/>
  <c r="BC86" i="12"/>
  <c r="BE86" i="12"/>
  <c r="BJ86" i="12"/>
  <c r="BL86" i="12"/>
  <c r="BQ86" i="12"/>
  <c r="BR86" i="12"/>
  <c r="BW86" i="12"/>
  <c r="BX86" i="12"/>
  <c r="CC86" i="12"/>
  <c r="CD86" i="12"/>
  <c r="CI86" i="12"/>
  <c r="CJ86" i="12"/>
  <c r="CO86" i="12"/>
  <c r="CP86" i="12"/>
  <c r="CU86" i="12"/>
  <c r="CV86" i="12"/>
  <c r="DA86" i="12"/>
  <c r="DB86" i="12"/>
  <c r="DG86" i="12"/>
  <c r="DH86" i="12"/>
  <c r="DI86" i="12"/>
  <c r="DJ86" i="12"/>
  <c r="DK86" i="12"/>
  <c r="DL86" i="12"/>
  <c r="DN86" i="12"/>
  <c r="T87" i="12"/>
  <c r="Y87" i="12"/>
  <c r="Z87" i="12"/>
  <c r="AE87" i="12"/>
  <c r="AF87" i="12"/>
  <c r="AG87" i="12"/>
  <c r="AH87" i="12"/>
  <c r="AL87" i="12" s="1"/>
  <c r="AI87" i="12"/>
  <c r="AJ87" i="12"/>
  <c r="M87" i="12" s="1"/>
  <c r="AQ87" i="12"/>
  <c r="AR87" i="12"/>
  <c r="AW87" i="12"/>
  <c r="AX87" i="12"/>
  <c r="BC87" i="12"/>
  <c r="BE87" i="12"/>
  <c r="BJ87" i="12"/>
  <c r="BL87" i="12"/>
  <c r="BQ87" i="12"/>
  <c r="BR87" i="12"/>
  <c r="BW87" i="12"/>
  <c r="BX87" i="12"/>
  <c r="CC87" i="12"/>
  <c r="CD87" i="12"/>
  <c r="CI87" i="12"/>
  <c r="CJ87" i="12"/>
  <c r="CO87" i="12"/>
  <c r="CP87" i="12"/>
  <c r="CU87" i="12"/>
  <c r="CV87" i="12"/>
  <c r="DA87" i="12"/>
  <c r="DB87" i="12"/>
  <c r="DG87" i="12"/>
  <c r="DH87" i="12"/>
  <c r="DI87" i="12"/>
  <c r="DM87" i="12" s="1"/>
  <c r="F87" i="12" s="1"/>
  <c r="DJ87" i="12"/>
  <c r="DN87" i="12" s="1"/>
  <c r="DK87" i="12"/>
  <c r="DL87" i="12"/>
  <c r="T88" i="12"/>
  <c r="Y88" i="12"/>
  <c r="Z88" i="12"/>
  <c r="AE88" i="12"/>
  <c r="AF88" i="12"/>
  <c r="AG88" i="12"/>
  <c r="AK88" i="12" s="1"/>
  <c r="AH88" i="12"/>
  <c r="AI88" i="12"/>
  <c r="AJ88" i="12"/>
  <c r="M88" i="12" s="1"/>
  <c r="AQ88" i="12"/>
  <c r="AR88" i="12"/>
  <c r="AW88" i="12"/>
  <c r="AX88" i="12"/>
  <c r="BC88" i="12"/>
  <c r="BE88" i="12"/>
  <c r="BJ88" i="12"/>
  <c r="BL88" i="12"/>
  <c r="BQ88" i="12"/>
  <c r="BR88" i="12"/>
  <c r="BW88" i="12"/>
  <c r="BX88" i="12"/>
  <c r="CC88" i="12"/>
  <c r="CD88" i="12"/>
  <c r="CI88" i="12"/>
  <c r="CJ88" i="12"/>
  <c r="CO88" i="12"/>
  <c r="CP88" i="12"/>
  <c r="CU88" i="12"/>
  <c r="CV88" i="12"/>
  <c r="DA88" i="12"/>
  <c r="DB88" i="12"/>
  <c r="DG88" i="12"/>
  <c r="DH88" i="12"/>
  <c r="DI88" i="12"/>
  <c r="DJ88" i="12"/>
  <c r="DN88" i="12" s="1"/>
  <c r="DK88" i="12"/>
  <c r="DL88" i="12"/>
  <c r="T89" i="12"/>
  <c r="Y89" i="12"/>
  <c r="Z89" i="12"/>
  <c r="AE89" i="12"/>
  <c r="AF89" i="12"/>
  <c r="AG89" i="12"/>
  <c r="AK89" i="12" s="1"/>
  <c r="AH89" i="12"/>
  <c r="AL89" i="12" s="1"/>
  <c r="AI89" i="12"/>
  <c r="AJ89" i="12"/>
  <c r="M89" i="12" s="1"/>
  <c r="AQ89" i="12"/>
  <c r="AR89" i="12"/>
  <c r="AW89" i="12"/>
  <c r="AX89" i="12"/>
  <c r="BC89" i="12"/>
  <c r="BE89" i="12"/>
  <c r="BJ89" i="12"/>
  <c r="BL89" i="12"/>
  <c r="BQ89" i="12"/>
  <c r="BR89" i="12"/>
  <c r="BW89" i="12"/>
  <c r="BX89" i="12"/>
  <c r="CC89" i="12"/>
  <c r="CD89" i="12"/>
  <c r="CI89" i="12"/>
  <c r="CJ89" i="12"/>
  <c r="CO89" i="12"/>
  <c r="CP89" i="12"/>
  <c r="CU89" i="12"/>
  <c r="CV89" i="12"/>
  <c r="DA89" i="12"/>
  <c r="DB89" i="12"/>
  <c r="DG89" i="12"/>
  <c r="DH89" i="12"/>
  <c r="DI89" i="12"/>
  <c r="DJ89" i="12"/>
  <c r="DK89" i="12"/>
  <c r="DL89" i="12"/>
  <c r="T90" i="12"/>
  <c r="Y90" i="12"/>
  <c r="Z90" i="12"/>
  <c r="AE90" i="12"/>
  <c r="AF90" i="12"/>
  <c r="AG90" i="12"/>
  <c r="AK90" i="12" s="1"/>
  <c r="AH90" i="12"/>
  <c r="AI90" i="12"/>
  <c r="AJ90" i="12"/>
  <c r="M90" i="12" s="1"/>
  <c r="AQ90" i="12"/>
  <c r="AR90" i="12"/>
  <c r="AW90" i="12"/>
  <c r="AX90" i="12"/>
  <c r="BC90" i="12"/>
  <c r="BE90" i="12"/>
  <c r="BJ90" i="12"/>
  <c r="BL90" i="12"/>
  <c r="BQ90" i="12"/>
  <c r="BR90" i="12"/>
  <c r="BW90" i="12"/>
  <c r="BX90" i="12"/>
  <c r="CC90" i="12"/>
  <c r="CD90" i="12"/>
  <c r="CI90" i="12"/>
  <c r="CJ90" i="12"/>
  <c r="CO90" i="12"/>
  <c r="CP90" i="12"/>
  <c r="CU90" i="12"/>
  <c r="CV90" i="12"/>
  <c r="DA90" i="12"/>
  <c r="DB90" i="12"/>
  <c r="DG90" i="12"/>
  <c r="DH90" i="12"/>
  <c r="DI90" i="12"/>
  <c r="DM90" i="12" s="1"/>
  <c r="F90" i="12" s="1"/>
  <c r="DJ90" i="12"/>
  <c r="DN90" i="12" s="1"/>
  <c r="DK90" i="12"/>
  <c r="DL90" i="12"/>
  <c r="T91" i="12"/>
  <c r="Y91" i="12"/>
  <c r="Z91" i="12"/>
  <c r="AE91" i="12"/>
  <c r="AF91" i="12"/>
  <c r="AG91" i="12"/>
  <c r="AK91" i="12" s="1"/>
  <c r="AH91" i="12"/>
  <c r="AL91" i="12" s="1"/>
  <c r="AI91" i="12"/>
  <c r="AJ91" i="12"/>
  <c r="M91" i="12" s="1"/>
  <c r="AQ91" i="12"/>
  <c r="AR91" i="12"/>
  <c r="AW91" i="12"/>
  <c r="AX91" i="12"/>
  <c r="BC91" i="12"/>
  <c r="BE91" i="12"/>
  <c r="BJ91" i="12"/>
  <c r="BL91" i="12"/>
  <c r="BQ91" i="12"/>
  <c r="BR91" i="12"/>
  <c r="BW91" i="12"/>
  <c r="BX91" i="12"/>
  <c r="CC91" i="12"/>
  <c r="CD91" i="12"/>
  <c r="CI91" i="12"/>
  <c r="CJ91" i="12"/>
  <c r="CO91" i="12"/>
  <c r="CP91" i="12"/>
  <c r="CU91" i="12"/>
  <c r="CV91" i="12"/>
  <c r="DA91" i="12"/>
  <c r="DB91" i="12"/>
  <c r="DG91" i="12"/>
  <c r="DH91" i="12"/>
  <c r="DI91" i="12"/>
  <c r="DJ91" i="12"/>
  <c r="DN91" i="12" s="1"/>
  <c r="DK91" i="12"/>
  <c r="DL91" i="12"/>
  <c r="T92" i="12"/>
  <c r="Y92" i="12"/>
  <c r="Z92" i="12"/>
  <c r="AE92" i="12"/>
  <c r="AF92" i="12"/>
  <c r="AG92" i="12"/>
  <c r="AK92" i="12" s="1"/>
  <c r="AH92" i="12"/>
  <c r="AL92" i="12" s="1"/>
  <c r="AI92" i="12"/>
  <c r="AJ92" i="12"/>
  <c r="M92" i="12" s="1"/>
  <c r="AQ92" i="12"/>
  <c r="AR92" i="12"/>
  <c r="AW92" i="12"/>
  <c r="AX92" i="12"/>
  <c r="BC92" i="12"/>
  <c r="BE92" i="12"/>
  <c r="BJ92" i="12"/>
  <c r="BL92" i="12"/>
  <c r="BQ92" i="12"/>
  <c r="BR92" i="12"/>
  <c r="BW92" i="12"/>
  <c r="BX92" i="12"/>
  <c r="CC92" i="12"/>
  <c r="CD92" i="12"/>
  <c r="CI92" i="12"/>
  <c r="CJ92" i="12"/>
  <c r="CO92" i="12"/>
  <c r="CP92" i="12"/>
  <c r="CU92" i="12"/>
  <c r="CV92" i="12"/>
  <c r="DA92" i="12"/>
  <c r="DB92" i="12"/>
  <c r="DG92" i="12"/>
  <c r="DH92" i="12"/>
  <c r="DI92" i="12"/>
  <c r="DM92" i="12" s="1"/>
  <c r="F92" i="12" s="1"/>
  <c r="DJ92" i="12"/>
  <c r="DK92" i="12"/>
  <c r="DL92" i="12"/>
  <c r="A7" i="12"/>
  <c r="B7" i="12"/>
  <c r="C7" i="12"/>
  <c r="D7" i="12"/>
  <c r="E7" i="12"/>
  <c r="T74" i="12"/>
  <c r="Y74" i="12"/>
  <c r="Z74" i="12"/>
  <c r="AE74" i="12"/>
  <c r="AF74" i="12"/>
  <c r="AG74" i="12"/>
  <c r="AH74" i="12"/>
  <c r="AI74" i="12"/>
  <c r="AJ74" i="12"/>
  <c r="AQ74" i="12"/>
  <c r="AR74" i="12"/>
  <c r="AW74" i="12"/>
  <c r="AX74" i="12"/>
  <c r="BC74" i="12"/>
  <c r="BE74" i="12"/>
  <c r="BJ74" i="12"/>
  <c r="BL74" i="12"/>
  <c r="BQ74" i="12"/>
  <c r="BR74" i="12"/>
  <c r="BW74" i="12"/>
  <c r="BX74" i="12"/>
  <c r="CC74" i="12"/>
  <c r="CD74" i="12"/>
  <c r="CI74" i="12"/>
  <c r="CJ74" i="12"/>
  <c r="CO74" i="12"/>
  <c r="CP74" i="12"/>
  <c r="CU74" i="12"/>
  <c r="CV74" i="12"/>
  <c r="DA74" i="12"/>
  <c r="DB74" i="12"/>
  <c r="DG74" i="12"/>
  <c r="DH74" i="12"/>
  <c r="DI74" i="12"/>
  <c r="DJ74" i="12"/>
  <c r="DN74" i="12" s="1"/>
  <c r="DK74" i="12"/>
  <c r="DL74" i="12"/>
  <c r="T73" i="12"/>
  <c r="Y73" i="12"/>
  <c r="Z73" i="12"/>
  <c r="AE73" i="12"/>
  <c r="AF73" i="12"/>
  <c r="AG73" i="12"/>
  <c r="AK73" i="12" s="1"/>
  <c r="AH73" i="12"/>
  <c r="AI73" i="12"/>
  <c r="AJ73" i="12"/>
  <c r="M73" i="12" s="1"/>
  <c r="AQ73" i="12"/>
  <c r="AR73" i="12"/>
  <c r="AW73" i="12"/>
  <c r="AX73" i="12"/>
  <c r="BC73" i="12"/>
  <c r="BE73" i="12"/>
  <c r="BJ73" i="12"/>
  <c r="BL73" i="12"/>
  <c r="BQ73" i="12"/>
  <c r="BR73" i="12"/>
  <c r="BW73" i="12"/>
  <c r="BX73" i="12"/>
  <c r="CC73" i="12"/>
  <c r="CD73" i="12"/>
  <c r="CI73" i="12"/>
  <c r="CJ73" i="12"/>
  <c r="CO73" i="12"/>
  <c r="CP73" i="12"/>
  <c r="CU73" i="12"/>
  <c r="CV73" i="12"/>
  <c r="DA73" i="12"/>
  <c r="DB73" i="12"/>
  <c r="DG73" i="12"/>
  <c r="DH73" i="12"/>
  <c r="DI73" i="12"/>
  <c r="DJ73" i="12"/>
  <c r="DK73" i="12"/>
  <c r="DL73" i="12"/>
  <c r="DM91" i="12" l="1"/>
  <c r="F91" i="12" s="1"/>
  <c r="DM88" i="12"/>
  <c r="F88" i="12" s="1"/>
  <c r="DM82" i="12"/>
  <c r="F82" i="12" s="1"/>
  <c r="AL81" i="12"/>
  <c r="AL90" i="12"/>
  <c r="AK87" i="12"/>
  <c r="AK84" i="12"/>
  <c r="DN83" i="12"/>
  <c r="AK81" i="12"/>
  <c r="DN80" i="12"/>
  <c r="AK78" i="12"/>
  <c r="DN77" i="12"/>
  <c r="DN7" i="12" s="1"/>
  <c r="DN92" i="12"/>
  <c r="DN89" i="12"/>
  <c r="DM83" i="12"/>
  <c r="F83" i="12" s="1"/>
  <c r="DM89" i="12"/>
  <c r="F89" i="12" s="1"/>
  <c r="AL88" i="12"/>
  <c r="L88" i="12" s="1"/>
  <c r="N88" i="12" s="1"/>
  <c r="DM86" i="12"/>
  <c r="F86" i="12" s="1"/>
  <c r="AL85" i="12"/>
  <c r="AL82" i="12"/>
  <c r="AK79" i="12"/>
  <c r="AK76" i="12"/>
  <c r="AK85" i="12"/>
  <c r="DN84" i="12"/>
  <c r="P84" i="12" s="1"/>
  <c r="DN81" i="12"/>
  <c r="DN79" i="12"/>
  <c r="AK77" i="12"/>
  <c r="DN75" i="12"/>
  <c r="DN76" i="12"/>
  <c r="L91" i="12"/>
  <c r="N91" i="12" s="1"/>
  <c r="H83" i="12"/>
  <c r="L83" i="12"/>
  <c r="N83" i="12" s="1"/>
  <c r="H75" i="12"/>
  <c r="L75" i="12"/>
  <c r="N75" i="12" s="1"/>
  <c r="H87" i="12"/>
  <c r="L87" i="12"/>
  <c r="N87" i="12" s="1"/>
  <c r="H79" i="12"/>
  <c r="L79" i="12"/>
  <c r="N79" i="12" s="1"/>
  <c r="H92" i="12"/>
  <c r="L92" i="12"/>
  <c r="N92" i="12" s="1"/>
  <c r="H88" i="12"/>
  <c r="H84" i="12"/>
  <c r="L84" i="12"/>
  <c r="N84" i="12" s="1"/>
  <c r="H80" i="12"/>
  <c r="L80" i="12"/>
  <c r="N80" i="12" s="1"/>
  <c r="H76" i="12"/>
  <c r="L76" i="12"/>
  <c r="N76" i="12" s="1"/>
  <c r="H89" i="12"/>
  <c r="L89" i="12"/>
  <c r="N89" i="12" s="1"/>
  <c r="H85" i="12"/>
  <c r="L85" i="12"/>
  <c r="N85" i="12" s="1"/>
  <c r="H81" i="12"/>
  <c r="L81" i="12"/>
  <c r="N81" i="12" s="1"/>
  <c r="H77" i="12"/>
  <c r="L77" i="12"/>
  <c r="N77" i="12" s="1"/>
  <c r="H90" i="12"/>
  <c r="L90" i="12"/>
  <c r="N90" i="12" s="1"/>
  <c r="L86" i="12"/>
  <c r="N86" i="12" s="1"/>
  <c r="H82" i="12"/>
  <c r="L82" i="12"/>
  <c r="N82" i="12" s="1"/>
  <c r="H78" i="12"/>
  <c r="L78" i="12"/>
  <c r="N78" i="12" s="1"/>
  <c r="P92" i="12"/>
  <c r="P89" i="12"/>
  <c r="P87" i="12"/>
  <c r="P81" i="12"/>
  <c r="P79" i="12"/>
  <c r="P78" i="12"/>
  <c r="P76" i="12"/>
  <c r="P75" i="12"/>
  <c r="AL74" i="12"/>
  <c r="L74" i="12" s="1"/>
  <c r="N74" i="12" s="1"/>
  <c r="AK74" i="12"/>
  <c r="DM74" i="12"/>
  <c r="F74" i="12" s="1"/>
  <c r="DN73" i="12"/>
  <c r="DM73" i="12"/>
  <c r="F73" i="12" s="1"/>
  <c r="AL73" i="12"/>
  <c r="L73" i="12" s="1"/>
  <c r="M74" i="12"/>
  <c r="P83" i="12" l="1"/>
  <c r="H91" i="12"/>
  <c r="H86" i="12"/>
  <c r="P77" i="12"/>
  <c r="P7" i="12" s="1"/>
  <c r="P91" i="12"/>
  <c r="P82" i="12"/>
  <c r="P90" i="12"/>
  <c r="O86" i="12"/>
  <c r="O85" i="12"/>
  <c r="O84" i="12"/>
  <c r="O87" i="12"/>
  <c r="O90" i="12"/>
  <c r="O89" i="12"/>
  <c r="O88" i="12"/>
  <c r="O75" i="12"/>
  <c r="P85" i="12"/>
  <c r="P86" i="12"/>
  <c r="O78" i="12"/>
  <c r="O77" i="12"/>
  <c r="O76" i="12"/>
  <c r="O92" i="12"/>
  <c r="O83" i="12"/>
  <c r="P80" i="12"/>
  <c r="P88" i="12"/>
  <c r="O82" i="12"/>
  <c r="O81" i="12"/>
  <c r="O80" i="12"/>
  <c r="O79" i="12"/>
  <c r="O91" i="12"/>
  <c r="P74" i="12"/>
  <c r="N73" i="12"/>
  <c r="P73" i="12"/>
  <c r="H73" i="12"/>
  <c r="O73" i="12" s="1"/>
  <c r="H74" i="12"/>
  <c r="O74" i="12" s="1"/>
  <c r="CY10" i="20" l="1"/>
  <c r="CK40" i="22"/>
  <c r="CK40" i="23"/>
  <c r="CM12" i="4"/>
  <c r="CM20" i="4"/>
  <c r="CK12" i="4" l="1"/>
  <c r="CG95" i="20" l="1"/>
  <c r="CL138" i="21"/>
  <c r="CE12" i="4"/>
  <c r="CE34" i="22"/>
  <c r="CA12" i="4" l="1"/>
  <c r="BY12" i="4" l="1"/>
  <c r="BS12" i="4" l="1"/>
  <c r="BS28" i="22"/>
  <c r="BY15" i="8" l="1"/>
  <c r="BY16" i="8"/>
  <c r="BY17" i="8"/>
  <c r="BY18" i="8"/>
  <c r="BY19" i="8"/>
  <c r="BY20" i="8"/>
  <c r="BY21" i="8"/>
  <c r="BY22" i="8"/>
  <c r="BY23" i="8"/>
  <c r="BY24" i="8"/>
  <c r="BY25" i="8"/>
  <c r="BY26" i="8"/>
  <c r="BY27" i="8"/>
  <c r="BY28" i="8"/>
  <c r="BY29" i="8"/>
  <c r="BY30" i="8"/>
  <c r="BY31" i="8"/>
  <c r="BY32" i="8"/>
  <c r="BY33" i="8"/>
  <c r="BY34" i="8"/>
  <c r="BY35" i="8"/>
  <c r="BY36" i="8"/>
  <c r="BY37" i="8"/>
  <c r="BY38" i="8"/>
  <c r="BY11" i="8"/>
  <c r="BY12" i="8"/>
  <c r="BY13" i="8"/>
  <c r="BY14" i="8"/>
  <c r="BY9" i="8"/>
  <c r="BY10" i="8"/>
  <c r="BR10" i="8"/>
  <c r="BS27" i="22" l="1"/>
  <c r="DP92" i="20"/>
  <c r="BO12" i="4"/>
  <c r="DL47" i="13"/>
  <c r="DL48" i="13"/>
  <c r="DL49" i="13"/>
  <c r="DL50" i="13"/>
  <c r="DL51" i="13"/>
  <c r="DL52" i="13"/>
  <c r="DL53" i="13"/>
  <c r="DL54" i="13"/>
  <c r="DL55" i="13"/>
  <c r="DL56" i="13"/>
  <c r="DL57" i="13"/>
  <c r="DL58" i="13"/>
  <c r="DL59" i="13"/>
  <c r="DL60" i="13"/>
  <c r="DL61" i="13"/>
  <c r="DL62" i="13"/>
  <c r="DL63" i="13"/>
  <c r="DL64" i="13"/>
  <c r="DL65" i="13"/>
  <c r="DL66" i="13"/>
  <c r="DL67" i="13"/>
  <c r="DL68" i="13"/>
  <c r="DL69" i="13"/>
  <c r="DL70" i="13"/>
  <c r="DL71" i="13"/>
  <c r="DL72" i="13"/>
  <c r="DL73" i="13"/>
  <c r="DL74" i="13"/>
  <c r="DL75" i="13"/>
  <c r="DL76" i="13"/>
  <c r="DL77" i="13"/>
  <c r="DL78" i="13"/>
  <c r="DL79" i="13"/>
  <c r="DL80" i="13"/>
  <c r="DL81" i="13"/>
  <c r="DL82" i="13"/>
  <c r="DL83" i="13"/>
  <c r="DL84" i="13"/>
  <c r="DL85" i="13"/>
  <c r="DL86" i="13"/>
  <c r="DL87" i="13"/>
  <c r="DL88" i="13"/>
  <c r="DL89" i="13"/>
  <c r="DL90" i="13"/>
  <c r="DL91" i="13"/>
  <c r="DL92" i="13"/>
  <c r="DL93" i="13"/>
  <c r="DL94" i="13"/>
  <c r="DL95" i="13"/>
  <c r="DL96" i="13"/>
  <c r="DL97" i="13"/>
  <c r="DL98" i="13"/>
  <c r="DL99" i="13"/>
  <c r="DL100" i="13"/>
  <c r="DL101" i="13"/>
  <c r="DL102" i="13"/>
  <c r="DL103" i="13"/>
  <c r="DL104" i="13"/>
  <c r="DL105" i="13"/>
  <c r="DL106" i="13"/>
  <c r="DL107" i="13"/>
  <c r="DL108" i="13"/>
  <c r="DL109" i="13"/>
  <c r="DL110" i="13"/>
  <c r="DL111" i="13"/>
  <c r="DL112" i="13"/>
  <c r="DL113" i="13"/>
  <c r="DL114" i="13"/>
  <c r="DL115" i="13"/>
  <c r="DL116" i="13"/>
  <c r="DL117" i="13"/>
  <c r="DL118" i="13"/>
  <c r="DL119" i="13"/>
  <c r="DL120" i="13"/>
  <c r="DL121" i="13"/>
  <c r="DL122" i="13"/>
  <c r="DL123" i="13"/>
  <c r="DL124" i="13"/>
  <c r="DL125" i="13"/>
  <c r="DL126" i="13"/>
  <c r="DL127" i="13"/>
  <c r="DL128" i="13"/>
  <c r="DL129" i="13"/>
  <c r="DL130" i="13"/>
  <c r="DL131" i="13"/>
  <c r="DL132" i="13"/>
  <c r="DL133" i="13"/>
  <c r="DL134" i="13"/>
  <c r="DL135" i="13"/>
  <c r="DL136" i="13"/>
  <c r="DL137" i="13"/>
  <c r="DL138" i="13"/>
  <c r="DL139" i="13"/>
  <c r="DL140" i="13"/>
  <c r="DL141" i="13"/>
  <c r="DL142" i="13"/>
  <c r="DL143" i="13"/>
  <c r="DL144" i="13"/>
  <c r="DL145" i="13"/>
  <c r="DL146" i="13"/>
  <c r="DL147" i="13"/>
  <c r="DL148" i="13"/>
  <c r="DL149" i="13"/>
  <c r="DL150" i="13"/>
  <c r="DL151" i="13"/>
  <c r="DL152" i="13"/>
  <c r="DL153" i="13"/>
  <c r="DL154" i="13"/>
  <c r="DL155" i="13"/>
  <c r="DL38" i="13"/>
  <c r="DL39" i="13"/>
  <c r="DL40" i="13"/>
  <c r="DL41" i="13"/>
  <c r="DL42" i="13"/>
  <c r="DL43" i="13"/>
  <c r="DL44" i="13"/>
  <c r="DL45" i="13"/>
  <c r="DL46" i="13"/>
  <c r="DL32" i="13"/>
  <c r="DL33" i="13"/>
  <c r="DL34" i="13"/>
  <c r="DL35" i="13"/>
  <c r="DL36" i="13"/>
  <c r="DL37" i="13"/>
  <c r="DL30" i="13"/>
  <c r="DL31" i="13"/>
  <c r="DL22" i="13"/>
  <c r="DL23" i="13"/>
  <c r="DL24" i="13"/>
  <c r="DL25" i="13"/>
  <c r="DL26" i="13"/>
  <c r="DL27" i="13"/>
  <c r="DL28" i="13"/>
  <c r="DL29" i="13"/>
  <c r="DL21" i="13"/>
  <c r="DL10" i="13"/>
  <c r="DL11" i="13"/>
  <c r="DL12" i="13"/>
  <c r="DL13" i="13"/>
  <c r="DL14" i="13"/>
  <c r="DL15" i="13"/>
  <c r="DL16" i="13"/>
  <c r="DL17" i="13"/>
  <c r="DL18" i="13"/>
  <c r="DL19" i="13"/>
  <c r="DL20" i="13"/>
  <c r="DL9" i="13"/>
  <c r="R31" i="22" l="1"/>
  <c r="S31" i="22"/>
  <c r="X31" i="22"/>
  <c r="Y31" i="22"/>
  <c r="AD31" i="22"/>
  <c r="AE31" i="22"/>
  <c r="AF31" i="22"/>
  <c r="AJ31" i="22" s="1"/>
  <c r="AG31" i="22"/>
  <c r="AH31" i="22"/>
  <c r="AI31" i="22"/>
  <c r="L31" i="22" s="1"/>
  <c r="AK31" i="22"/>
  <c r="AP31" i="22"/>
  <c r="AQ31" i="22"/>
  <c r="AV31" i="22"/>
  <c r="AW31" i="22"/>
  <c r="BB31" i="22"/>
  <c r="BC31" i="22"/>
  <c r="BH31" i="22"/>
  <c r="BI31" i="22"/>
  <c r="BN31" i="22"/>
  <c r="BO31" i="22"/>
  <c r="BT31" i="22"/>
  <c r="BU31" i="22"/>
  <c r="BZ31" i="22"/>
  <c r="CA31" i="22"/>
  <c r="CF31" i="22"/>
  <c r="CG31" i="22"/>
  <c r="CL31" i="22"/>
  <c r="CM31" i="22"/>
  <c r="CR31" i="22"/>
  <c r="CS31" i="22"/>
  <c r="CX31" i="22"/>
  <c r="CY31" i="22"/>
  <c r="DD31" i="22"/>
  <c r="DE31" i="22"/>
  <c r="DF31" i="22"/>
  <c r="DG31" i="22"/>
  <c r="DH31" i="22"/>
  <c r="DI31" i="22"/>
  <c r="L32" i="22"/>
  <c r="R32" i="22"/>
  <c r="S32" i="22"/>
  <c r="X32" i="22"/>
  <c r="Y32" i="22"/>
  <c r="AD32" i="22"/>
  <c r="AE32" i="22"/>
  <c r="AF32" i="22"/>
  <c r="AJ32" i="22" s="1"/>
  <c r="AG32" i="22"/>
  <c r="AH32" i="22"/>
  <c r="AI32" i="22"/>
  <c r="AK32" i="22" s="1"/>
  <c r="AP32" i="22"/>
  <c r="AQ32" i="22"/>
  <c r="AV32" i="22"/>
  <c r="AW32" i="22"/>
  <c r="BB32" i="22"/>
  <c r="BC32" i="22"/>
  <c r="BH32" i="22"/>
  <c r="BI32" i="22"/>
  <c r="BN32" i="22"/>
  <c r="BO32" i="22"/>
  <c r="BT32" i="22"/>
  <c r="BU32" i="22"/>
  <c r="BZ32" i="22"/>
  <c r="CA32" i="22"/>
  <c r="CF32" i="22"/>
  <c r="CG32" i="22"/>
  <c r="CL32" i="22"/>
  <c r="CM32" i="22"/>
  <c r="CR32" i="22"/>
  <c r="CS32" i="22"/>
  <c r="CX32" i="22"/>
  <c r="CY32" i="22"/>
  <c r="DD32" i="22"/>
  <c r="DE32" i="22"/>
  <c r="DF32" i="22"/>
  <c r="DG32" i="22"/>
  <c r="DH32" i="22"/>
  <c r="DI32" i="22"/>
  <c r="L33" i="22"/>
  <c r="R33" i="22"/>
  <c r="S33" i="22"/>
  <c r="X33" i="22"/>
  <c r="Y33" i="22"/>
  <c r="AD33" i="22"/>
  <c r="AE33" i="22"/>
  <c r="AF33" i="22"/>
  <c r="AJ33" i="22" s="1"/>
  <c r="AG33" i="22"/>
  <c r="AH33" i="22"/>
  <c r="AI33" i="22"/>
  <c r="AK33" i="22" s="1"/>
  <c r="AP33" i="22"/>
  <c r="AQ33" i="22"/>
  <c r="AV33" i="22"/>
  <c r="AW33" i="22"/>
  <c r="BB33" i="22"/>
  <c r="BC33" i="22"/>
  <c r="BH33" i="22"/>
  <c r="BI33" i="22"/>
  <c r="BN33" i="22"/>
  <c r="BO33" i="22"/>
  <c r="BT33" i="22"/>
  <c r="BU33" i="22"/>
  <c r="BZ33" i="22"/>
  <c r="CA33" i="22"/>
  <c r="CF33" i="22"/>
  <c r="CG33" i="22"/>
  <c r="CL33" i="22"/>
  <c r="CM33" i="22"/>
  <c r="CR33" i="22"/>
  <c r="CS33" i="22"/>
  <c r="CX33" i="22"/>
  <c r="CY33" i="22"/>
  <c r="DD33" i="22"/>
  <c r="DE33" i="22"/>
  <c r="DF33" i="22"/>
  <c r="DG33" i="22"/>
  <c r="DH33" i="22"/>
  <c r="DI33" i="22"/>
  <c r="L34" i="22"/>
  <c r="R34" i="22"/>
  <c r="S34" i="22"/>
  <c r="X34" i="22"/>
  <c r="Y34" i="22"/>
  <c r="AD34" i="22"/>
  <c r="AE34" i="22"/>
  <c r="AF34" i="22"/>
  <c r="AJ34" i="22" s="1"/>
  <c r="AG34" i="22"/>
  <c r="AH34" i="22"/>
  <c r="AI34" i="22"/>
  <c r="AK34" i="22" s="1"/>
  <c r="AP34" i="22"/>
  <c r="AQ34" i="22"/>
  <c r="AV34" i="22"/>
  <c r="AW34" i="22"/>
  <c r="BB34" i="22"/>
  <c r="BC34" i="22"/>
  <c r="BH34" i="22"/>
  <c r="BI34" i="22"/>
  <c r="BN34" i="22"/>
  <c r="BO34" i="22"/>
  <c r="BT34" i="22"/>
  <c r="BU34" i="22"/>
  <c r="BZ34" i="22"/>
  <c r="CA34" i="22"/>
  <c r="CF34" i="22"/>
  <c r="CG34" i="22"/>
  <c r="CL34" i="22"/>
  <c r="CM34" i="22"/>
  <c r="CR34" i="22"/>
  <c r="CS34" i="22"/>
  <c r="CX34" i="22"/>
  <c r="CY34" i="22"/>
  <c r="DD34" i="22"/>
  <c r="DE34" i="22"/>
  <c r="DF34" i="22"/>
  <c r="DG34" i="22"/>
  <c r="DH34" i="22"/>
  <c r="DI34" i="22"/>
  <c r="L35" i="22"/>
  <c r="R35" i="22"/>
  <c r="S35" i="22"/>
  <c r="X35" i="22"/>
  <c r="Y35" i="22"/>
  <c r="AD35" i="22"/>
  <c r="AE35" i="22"/>
  <c r="AF35" i="22"/>
  <c r="AJ35" i="22" s="1"/>
  <c r="AG35" i="22"/>
  <c r="AH35" i="22"/>
  <c r="AI35" i="22"/>
  <c r="AK35" i="22" s="1"/>
  <c r="AP35" i="22"/>
  <c r="AQ35" i="22"/>
  <c r="AV35" i="22"/>
  <c r="AW35" i="22"/>
  <c r="BB35" i="22"/>
  <c r="BC35" i="22"/>
  <c r="BH35" i="22"/>
  <c r="BI35" i="22"/>
  <c r="BN35" i="22"/>
  <c r="BO35" i="22"/>
  <c r="BT35" i="22"/>
  <c r="BU35" i="22"/>
  <c r="BZ35" i="22"/>
  <c r="CA35" i="22"/>
  <c r="CF35" i="22"/>
  <c r="CG35" i="22"/>
  <c r="CL35" i="22"/>
  <c r="CM35" i="22"/>
  <c r="CR35" i="22"/>
  <c r="CS35" i="22"/>
  <c r="CX35" i="22"/>
  <c r="CY35" i="22"/>
  <c r="DD35" i="22"/>
  <c r="DE35" i="22"/>
  <c r="DF35" i="22"/>
  <c r="DG35" i="22"/>
  <c r="DH35" i="22"/>
  <c r="DI35" i="22"/>
  <c r="L36" i="22"/>
  <c r="R36" i="22"/>
  <c r="S36" i="22"/>
  <c r="X36" i="22"/>
  <c r="Y36" i="22"/>
  <c r="AD36" i="22"/>
  <c r="AE36" i="22"/>
  <c r="AF36" i="22"/>
  <c r="AJ36" i="22" s="1"/>
  <c r="AG36" i="22"/>
  <c r="AH36" i="22"/>
  <c r="AI36" i="22"/>
  <c r="AK36" i="22" s="1"/>
  <c r="AP36" i="22"/>
  <c r="AQ36" i="22"/>
  <c r="AV36" i="22"/>
  <c r="AW36" i="22"/>
  <c r="BB36" i="22"/>
  <c r="BC36" i="22"/>
  <c r="BH36" i="22"/>
  <c r="BI36" i="22"/>
  <c r="BN36" i="22"/>
  <c r="BO36" i="22"/>
  <c r="BT36" i="22"/>
  <c r="BU36" i="22"/>
  <c r="BZ36" i="22"/>
  <c r="CA36" i="22"/>
  <c r="CF36" i="22"/>
  <c r="CG36" i="22"/>
  <c r="CL36" i="22"/>
  <c r="CM36" i="22"/>
  <c r="CR36" i="22"/>
  <c r="CS36" i="22"/>
  <c r="CX36" i="22"/>
  <c r="CY36" i="22"/>
  <c r="DD36" i="22"/>
  <c r="DE36" i="22"/>
  <c r="DF36" i="22"/>
  <c r="DG36" i="22"/>
  <c r="DH36" i="22"/>
  <c r="DI36" i="22"/>
  <c r="L37" i="22"/>
  <c r="R37" i="22"/>
  <c r="S37" i="22"/>
  <c r="X37" i="22"/>
  <c r="Y37" i="22"/>
  <c r="AD37" i="22"/>
  <c r="AE37" i="22"/>
  <c r="AF37" i="22"/>
  <c r="AJ37" i="22" s="1"/>
  <c r="AG37" i="22"/>
  <c r="AH37" i="22"/>
  <c r="AI37" i="22"/>
  <c r="AK37" i="22" s="1"/>
  <c r="AP37" i="22"/>
  <c r="AQ37" i="22"/>
  <c r="AV37" i="22"/>
  <c r="AW37" i="22"/>
  <c r="BB37" i="22"/>
  <c r="BC37" i="22"/>
  <c r="BH37" i="22"/>
  <c r="BI37" i="22"/>
  <c r="BN37" i="22"/>
  <c r="BO37" i="22"/>
  <c r="BT37" i="22"/>
  <c r="BU37" i="22"/>
  <c r="BZ37" i="22"/>
  <c r="CA37" i="22"/>
  <c r="CF37" i="22"/>
  <c r="CG37" i="22"/>
  <c r="CL37" i="22"/>
  <c r="CM37" i="22"/>
  <c r="CR37" i="22"/>
  <c r="CS37" i="22"/>
  <c r="CX37" i="22"/>
  <c r="CY37" i="22"/>
  <c r="DD37" i="22"/>
  <c r="DE37" i="22"/>
  <c r="DF37" i="22"/>
  <c r="DG37" i="22"/>
  <c r="DH37" i="22"/>
  <c r="DI37" i="22"/>
  <c r="L38" i="22"/>
  <c r="R38" i="22"/>
  <c r="S38" i="22"/>
  <c r="X38" i="22"/>
  <c r="Y38" i="22"/>
  <c r="AD38" i="22"/>
  <c r="AE38" i="22"/>
  <c r="AF38" i="22"/>
  <c r="AJ38" i="22" s="1"/>
  <c r="AG38" i="22"/>
  <c r="AH38" i="22"/>
  <c r="AI38" i="22"/>
  <c r="AK38" i="22" s="1"/>
  <c r="AP38" i="22"/>
  <c r="AQ38" i="22"/>
  <c r="AV38" i="22"/>
  <c r="AW38" i="22"/>
  <c r="BB38" i="22"/>
  <c r="BC38" i="22"/>
  <c r="BH38" i="22"/>
  <c r="BI38" i="22"/>
  <c r="BN38" i="22"/>
  <c r="BO38" i="22"/>
  <c r="BT38" i="22"/>
  <c r="BU38" i="22"/>
  <c r="BZ38" i="22"/>
  <c r="CA38" i="22"/>
  <c r="CF38" i="22"/>
  <c r="CG38" i="22"/>
  <c r="CL38" i="22"/>
  <c r="CM38" i="22"/>
  <c r="CR38" i="22"/>
  <c r="CS38" i="22"/>
  <c r="CX38" i="22"/>
  <c r="CY38" i="22"/>
  <c r="DD38" i="22"/>
  <c r="DE38" i="22"/>
  <c r="DF38" i="22"/>
  <c r="DG38" i="22"/>
  <c r="DH38" i="22"/>
  <c r="DI38" i="22"/>
  <c r="L39" i="22"/>
  <c r="R39" i="22"/>
  <c r="S39" i="22"/>
  <c r="X39" i="22"/>
  <c r="Y39" i="22"/>
  <c r="AD39" i="22"/>
  <c r="AE39" i="22"/>
  <c r="AF39" i="22"/>
  <c r="AJ39" i="22" s="1"/>
  <c r="AG39" i="22"/>
  <c r="AH39" i="22"/>
  <c r="AI39" i="22"/>
  <c r="AK39" i="22" s="1"/>
  <c r="AP39" i="22"/>
  <c r="AQ39" i="22"/>
  <c r="AV39" i="22"/>
  <c r="AW39" i="22"/>
  <c r="BB39" i="22"/>
  <c r="BC39" i="22"/>
  <c r="BH39" i="22"/>
  <c r="BI39" i="22"/>
  <c r="BN39" i="22"/>
  <c r="BO39" i="22"/>
  <c r="BT39" i="22"/>
  <c r="BU39" i="22"/>
  <c r="BZ39" i="22"/>
  <c r="CA39" i="22"/>
  <c r="CF39" i="22"/>
  <c r="CG39" i="22"/>
  <c r="CL39" i="22"/>
  <c r="CM39" i="22"/>
  <c r="CR39" i="22"/>
  <c r="CS39" i="22"/>
  <c r="CX39" i="22"/>
  <c r="CY39" i="22"/>
  <c r="DD39" i="22"/>
  <c r="DE39" i="22"/>
  <c r="DF39" i="22"/>
  <c r="DG39" i="22"/>
  <c r="DH39" i="22"/>
  <c r="DI39" i="22"/>
  <c r="L40" i="22"/>
  <c r="R40" i="22"/>
  <c r="S40" i="22"/>
  <c r="X40" i="22"/>
  <c r="Y40" i="22"/>
  <c r="AD40" i="22"/>
  <c r="AE40" i="22"/>
  <c r="AF40" i="22"/>
  <c r="AJ40" i="22" s="1"/>
  <c r="AG40" i="22"/>
  <c r="AH40" i="22"/>
  <c r="AI40" i="22"/>
  <c r="AK40" i="22" s="1"/>
  <c r="AP40" i="22"/>
  <c r="AQ40" i="22"/>
  <c r="AV40" i="22"/>
  <c r="AW40" i="22"/>
  <c r="BB40" i="22"/>
  <c r="BC40" i="22"/>
  <c r="BH40" i="22"/>
  <c r="BI40" i="22"/>
  <c r="BN40" i="22"/>
  <c r="BO40" i="22"/>
  <c r="BT40" i="22"/>
  <c r="BU40" i="22"/>
  <c r="BZ40" i="22"/>
  <c r="CA40" i="22"/>
  <c r="CF40" i="22"/>
  <c r="CG40" i="22"/>
  <c r="CL40" i="22"/>
  <c r="CM40" i="22"/>
  <c r="CR40" i="22"/>
  <c r="CS40" i="22"/>
  <c r="CX40" i="22"/>
  <c r="CY40" i="22"/>
  <c r="DD40" i="22"/>
  <c r="DE40" i="22"/>
  <c r="DF40" i="22"/>
  <c r="DG40" i="22"/>
  <c r="DH40" i="22"/>
  <c r="DI40" i="22"/>
  <c r="L41" i="22"/>
  <c r="R41" i="22"/>
  <c r="S41" i="22"/>
  <c r="X41" i="22"/>
  <c r="Y41" i="22"/>
  <c r="AD41" i="22"/>
  <c r="AE41" i="22"/>
  <c r="AF41" i="22"/>
  <c r="AJ41" i="22" s="1"/>
  <c r="AG41" i="22"/>
  <c r="AH41" i="22"/>
  <c r="AI41" i="22"/>
  <c r="AK41" i="22" s="1"/>
  <c r="AP41" i="22"/>
  <c r="AQ41" i="22"/>
  <c r="AV41" i="22"/>
  <c r="AW41" i="22"/>
  <c r="BB41" i="22"/>
  <c r="BC41" i="22"/>
  <c r="BH41" i="22"/>
  <c r="BI41" i="22"/>
  <c r="BN41" i="22"/>
  <c r="BO41" i="22"/>
  <c r="BT41" i="22"/>
  <c r="BU41" i="22"/>
  <c r="BZ41" i="22"/>
  <c r="CA41" i="22"/>
  <c r="CF41" i="22"/>
  <c r="CG41" i="22"/>
  <c r="CL41" i="22"/>
  <c r="CM41" i="22"/>
  <c r="CR41" i="22"/>
  <c r="CS41" i="22"/>
  <c r="CX41" i="22"/>
  <c r="CY41" i="22"/>
  <c r="DD41" i="22"/>
  <c r="DE41" i="22"/>
  <c r="DF41" i="22"/>
  <c r="DG41" i="22"/>
  <c r="DH41" i="22"/>
  <c r="DI41" i="22"/>
  <c r="L42" i="22"/>
  <c r="R42" i="22"/>
  <c r="S42" i="22"/>
  <c r="X42" i="22"/>
  <c r="Y42" i="22"/>
  <c r="AD42" i="22"/>
  <c r="AE42" i="22"/>
  <c r="AF42" i="22"/>
  <c r="AJ42" i="22" s="1"/>
  <c r="AG42" i="22"/>
  <c r="AH42" i="22"/>
  <c r="AI42" i="22"/>
  <c r="AK42" i="22" s="1"/>
  <c r="AP42" i="22"/>
  <c r="AQ42" i="22"/>
  <c r="AV42" i="22"/>
  <c r="AW42" i="22"/>
  <c r="BB42" i="22"/>
  <c r="BC42" i="22"/>
  <c r="BH42" i="22"/>
  <c r="BI42" i="22"/>
  <c r="BN42" i="22"/>
  <c r="BO42" i="22"/>
  <c r="BT42" i="22"/>
  <c r="BU42" i="22"/>
  <c r="BZ42" i="22"/>
  <c r="CA42" i="22"/>
  <c r="CF42" i="22"/>
  <c r="CG42" i="22"/>
  <c r="CL42" i="22"/>
  <c r="CM42" i="22"/>
  <c r="CR42" i="22"/>
  <c r="CS42" i="22"/>
  <c r="CX42" i="22"/>
  <c r="CY42" i="22"/>
  <c r="DD42" i="22"/>
  <c r="DE42" i="22"/>
  <c r="DF42" i="22"/>
  <c r="DG42" i="22"/>
  <c r="DH42" i="22"/>
  <c r="DI42" i="22"/>
  <c r="L43" i="22"/>
  <c r="R43" i="22"/>
  <c r="S43" i="22"/>
  <c r="X43" i="22"/>
  <c r="Y43" i="22"/>
  <c r="AD43" i="22"/>
  <c r="AE43" i="22"/>
  <c r="AF43" i="22"/>
  <c r="AJ43" i="22" s="1"/>
  <c r="AG43" i="22"/>
  <c r="AH43" i="22"/>
  <c r="AI43" i="22"/>
  <c r="AK43" i="22" s="1"/>
  <c r="AP43" i="22"/>
  <c r="AQ43" i="22"/>
  <c r="AV43" i="22"/>
  <c r="AW43" i="22"/>
  <c r="BB43" i="22"/>
  <c r="BC43" i="22"/>
  <c r="BH43" i="22"/>
  <c r="BI43" i="22"/>
  <c r="BN43" i="22"/>
  <c r="BO43" i="22"/>
  <c r="BT43" i="22"/>
  <c r="BU43" i="22"/>
  <c r="BZ43" i="22"/>
  <c r="CA43" i="22"/>
  <c r="CF43" i="22"/>
  <c r="CG43" i="22"/>
  <c r="CL43" i="22"/>
  <c r="CM43" i="22"/>
  <c r="CR43" i="22"/>
  <c r="CS43" i="22"/>
  <c r="CX43" i="22"/>
  <c r="CY43" i="22"/>
  <c r="DD43" i="22"/>
  <c r="DE43" i="22"/>
  <c r="DF43" i="22"/>
  <c r="DG43" i="22"/>
  <c r="DH43" i="22"/>
  <c r="DI43" i="22"/>
  <c r="DI7" i="22" s="1"/>
  <c r="L44" i="22"/>
  <c r="R44" i="22"/>
  <c r="S44" i="22"/>
  <c r="X44" i="22"/>
  <c r="Y44" i="22"/>
  <c r="AD44" i="22"/>
  <c r="AE44" i="22"/>
  <c r="AF44" i="22"/>
  <c r="AJ44" i="22" s="1"/>
  <c r="AG44" i="22"/>
  <c r="AH44" i="22"/>
  <c r="AI44" i="22"/>
  <c r="AK44" i="22" s="1"/>
  <c r="AP44" i="22"/>
  <c r="AQ44" i="22"/>
  <c r="AV44" i="22"/>
  <c r="AW44" i="22"/>
  <c r="BB44" i="22"/>
  <c r="BC44" i="22"/>
  <c r="BH44" i="22"/>
  <c r="BI44" i="22"/>
  <c r="BN44" i="22"/>
  <c r="BO44" i="22"/>
  <c r="BT44" i="22"/>
  <c r="BU44" i="22"/>
  <c r="BZ44" i="22"/>
  <c r="CA44" i="22"/>
  <c r="CF44" i="22"/>
  <c r="CG44" i="22"/>
  <c r="CL44" i="22"/>
  <c r="CM44" i="22"/>
  <c r="CR44" i="22"/>
  <c r="CS44" i="22"/>
  <c r="CX44" i="22"/>
  <c r="CY44" i="22"/>
  <c r="DD44" i="22"/>
  <c r="DE44" i="22"/>
  <c r="DF44" i="22"/>
  <c r="DG44" i="22"/>
  <c r="DK44" i="22" s="1"/>
  <c r="DH44" i="22"/>
  <c r="DI44" i="22"/>
  <c r="L45" i="22"/>
  <c r="R45" i="22"/>
  <c r="S45" i="22"/>
  <c r="X45" i="22"/>
  <c r="Y45" i="22"/>
  <c r="AD45" i="22"/>
  <c r="AE45" i="22"/>
  <c r="AF45" i="22"/>
  <c r="AJ45" i="22" s="1"/>
  <c r="AG45" i="22"/>
  <c r="AH45" i="22"/>
  <c r="AI45" i="22"/>
  <c r="AK45" i="22" s="1"/>
  <c r="AP45" i="22"/>
  <c r="AQ45" i="22"/>
  <c r="AV45" i="22"/>
  <c r="AW45" i="22"/>
  <c r="BB45" i="22"/>
  <c r="BC45" i="22"/>
  <c r="BH45" i="22"/>
  <c r="BI45" i="22"/>
  <c r="BN45" i="22"/>
  <c r="BO45" i="22"/>
  <c r="BT45" i="22"/>
  <c r="BU45" i="22"/>
  <c r="BZ45" i="22"/>
  <c r="CA45" i="22"/>
  <c r="CF45" i="22"/>
  <c r="CG45" i="22"/>
  <c r="CL45" i="22"/>
  <c r="CM45" i="22"/>
  <c r="CR45" i="22"/>
  <c r="CS45" i="22"/>
  <c r="CX45" i="22"/>
  <c r="CY45" i="22"/>
  <c r="DD45" i="22"/>
  <c r="DE45" i="22"/>
  <c r="DF45" i="22"/>
  <c r="DG45" i="22"/>
  <c r="DK45" i="22" s="1"/>
  <c r="DH45" i="22"/>
  <c r="DI45" i="22"/>
  <c r="L46" i="22"/>
  <c r="R46" i="22"/>
  <c r="S46" i="22"/>
  <c r="X46" i="22"/>
  <c r="Y46" i="22"/>
  <c r="AD46" i="22"/>
  <c r="AE46" i="22"/>
  <c r="AF46" i="22"/>
  <c r="AJ46" i="22" s="1"/>
  <c r="AG46" i="22"/>
  <c r="AH46" i="22"/>
  <c r="AI46" i="22"/>
  <c r="AK46" i="22" s="1"/>
  <c r="AP46" i="22"/>
  <c r="AQ46" i="22"/>
  <c r="AV46" i="22"/>
  <c r="AW46" i="22"/>
  <c r="BB46" i="22"/>
  <c r="BC46" i="22"/>
  <c r="BH46" i="22"/>
  <c r="BI46" i="22"/>
  <c r="BN46" i="22"/>
  <c r="BO46" i="22"/>
  <c r="BT46" i="22"/>
  <c r="BU46" i="22"/>
  <c r="BZ46" i="22"/>
  <c r="CA46" i="22"/>
  <c r="CF46" i="22"/>
  <c r="CG46" i="22"/>
  <c r="CL46" i="22"/>
  <c r="CM46" i="22"/>
  <c r="CR46" i="22"/>
  <c r="CS46" i="22"/>
  <c r="CX46" i="22"/>
  <c r="CY46" i="22"/>
  <c r="DD46" i="22"/>
  <c r="DE46" i="22"/>
  <c r="DF46" i="22"/>
  <c r="DG46" i="22"/>
  <c r="DH46" i="22"/>
  <c r="DI46" i="22"/>
  <c r="L47" i="22"/>
  <c r="R47" i="22"/>
  <c r="S47" i="22"/>
  <c r="X47" i="22"/>
  <c r="Y47" i="22"/>
  <c r="AD47" i="22"/>
  <c r="AE47" i="22"/>
  <c r="AF47" i="22"/>
  <c r="AJ47" i="22" s="1"/>
  <c r="AG47" i="22"/>
  <c r="AH47" i="22"/>
  <c r="AI47" i="22"/>
  <c r="AK47" i="22" s="1"/>
  <c r="AP47" i="22"/>
  <c r="AQ47" i="22"/>
  <c r="AV47" i="22"/>
  <c r="AW47" i="22"/>
  <c r="BB47" i="22"/>
  <c r="BC47" i="22"/>
  <c r="BH47" i="22"/>
  <c r="BI47" i="22"/>
  <c r="BN47" i="22"/>
  <c r="BO47" i="22"/>
  <c r="BT47" i="22"/>
  <c r="BU47" i="22"/>
  <c r="BZ47" i="22"/>
  <c r="CA47" i="22"/>
  <c r="CF47" i="22"/>
  <c r="CG47" i="22"/>
  <c r="CL47" i="22"/>
  <c r="CM47" i="22"/>
  <c r="CR47" i="22"/>
  <c r="CS47" i="22"/>
  <c r="CX47" i="22"/>
  <c r="CY47" i="22"/>
  <c r="DD47" i="22"/>
  <c r="DE47" i="22"/>
  <c r="DF47" i="22"/>
  <c r="DG47" i="22"/>
  <c r="DH47" i="22"/>
  <c r="DI47" i="22"/>
  <c r="L48" i="22"/>
  <c r="R48" i="22"/>
  <c r="S48" i="22"/>
  <c r="X48" i="22"/>
  <c r="Y48" i="22"/>
  <c r="AD48" i="22"/>
  <c r="AE48" i="22"/>
  <c r="AF48" i="22"/>
  <c r="AJ48" i="22" s="1"/>
  <c r="AG48" i="22"/>
  <c r="AH48" i="22"/>
  <c r="AI48" i="22"/>
  <c r="AK48" i="22" s="1"/>
  <c r="AP48" i="22"/>
  <c r="AQ48" i="22"/>
  <c r="AV48" i="22"/>
  <c r="AW48" i="22"/>
  <c r="BB48" i="22"/>
  <c r="BC48" i="22"/>
  <c r="BH48" i="22"/>
  <c r="BI48" i="22"/>
  <c r="BN48" i="22"/>
  <c r="BO48" i="22"/>
  <c r="BT48" i="22"/>
  <c r="BU48" i="22"/>
  <c r="BZ48" i="22"/>
  <c r="CA48" i="22"/>
  <c r="CF48" i="22"/>
  <c r="CG48" i="22"/>
  <c r="CL48" i="22"/>
  <c r="CM48" i="22"/>
  <c r="CR48" i="22"/>
  <c r="CS48" i="22"/>
  <c r="CX48" i="22"/>
  <c r="CY48" i="22"/>
  <c r="DD48" i="22"/>
  <c r="DE48" i="22"/>
  <c r="DF48" i="22"/>
  <c r="DG48" i="22"/>
  <c r="DH48" i="22"/>
  <c r="DI48" i="22"/>
  <c r="L49" i="22"/>
  <c r="R49" i="22"/>
  <c r="S49" i="22"/>
  <c r="X49" i="22"/>
  <c r="Y49" i="22"/>
  <c r="AD49" i="22"/>
  <c r="AE49" i="22"/>
  <c r="AF49" i="22"/>
  <c r="AJ49" i="22" s="1"/>
  <c r="AG49" i="22"/>
  <c r="AH49" i="22"/>
  <c r="AI49" i="22"/>
  <c r="AK49" i="22" s="1"/>
  <c r="AP49" i="22"/>
  <c r="AQ49" i="22"/>
  <c r="AV49" i="22"/>
  <c r="AW49" i="22"/>
  <c r="BB49" i="22"/>
  <c r="BC49" i="22"/>
  <c r="BH49" i="22"/>
  <c r="BI49" i="22"/>
  <c r="BN49" i="22"/>
  <c r="BO49" i="22"/>
  <c r="BT49" i="22"/>
  <c r="BU49" i="22"/>
  <c r="BZ49" i="22"/>
  <c r="CA49" i="22"/>
  <c r="CF49" i="22"/>
  <c r="CG49" i="22"/>
  <c r="CL49" i="22"/>
  <c r="CM49" i="22"/>
  <c r="CR49" i="22"/>
  <c r="CS49" i="22"/>
  <c r="CX49" i="22"/>
  <c r="CY49" i="22"/>
  <c r="DD49" i="22"/>
  <c r="DE49" i="22"/>
  <c r="DF49" i="22"/>
  <c r="DG49" i="22"/>
  <c r="DH49" i="22"/>
  <c r="DI49" i="22"/>
  <c r="L50" i="22"/>
  <c r="R50" i="22"/>
  <c r="S50" i="22"/>
  <c r="X50" i="22"/>
  <c r="Y50" i="22"/>
  <c r="AD50" i="22"/>
  <c r="AE50" i="22"/>
  <c r="AF50" i="22"/>
  <c r="AJ50" i="22" s="1"/>
  <c r="AG50" i="22"/>
  <c r="AH50" i="22"/>
  <c r="AI50" i="22"/>
  <c r="AK50" i="22" s="1"/>
  <c r="AP50" i="22"/>
  <c r="AQ50" i="22"/>
  <c r="AV50" i="22"/>
  <c r="AW50" i="22"/>
  <c r="BB50" i="22"/>
  <c r="BC50" i="22"/>
  <c r="BH50" i="22"/>
  <c r="BI50" i="22"/>
  <c r="BN50" i="22"/>
  <c r="BO50" i="22"/>
  <c r="BT50" i="22"/>
  <c r="BU50" i="22"/>
  <c r="BZ50" i="22"/>
  <c r="CA50" i="22"/>
  <c r="CF50" i="22"/>
  <c r="CG50" i="22"/>
  <c r="CL50" i="22"/>
  <c r="CM50" i="22"/>
  <c r="CR50" i="22"/>
  <c r="CS50" i="22"/>
  <c r="CX50" i="22"/>
  <c r="CY50" i="22"/>
  <c r="DD50" i="22"/>
  <c r="DE50" i="22"/>
  <c r="DF50" i="22"/>
  <c r="DG50" i="22"/>
  <c r="DH50" i="22"/>
  <c r="DI50" i="22"/>
  <c r="L51" i="22"/>
  <c r="R51" i="22"/>
  <c r="S51" i="22"/>
  <c r="X51" i="22"/>
  <c r="Y51" i="22"/>
  <c r="AD51" i="22"/>
  <c r="AE51" i="22"/>
  <c r="AF51" i="22"/>
  <c r="AJ51" i="22" s="1"/>
  <c r="AG51" i="22"/>
  <c r="AH51" i="22"/>
  <c r="AI51" i="22"/>
  <c r="AK51" i="22" s="1"/>
  <c r="AP51" i="22"/>
  <c r="AQ51" i="22"/>
  <c r="AV51" i="22"/>
  <c r="AW51" i="22"/>
  <c r="BB51" i="22"/>
  <c r="BC51" i="22"/>
  <c r="BH51" i="22"/>
  <c r="BI51" i="22"/>
  <c r="BN51" i="22"/>
  <c r="BO51" i="22"/>
  <c r="BT51" i="22"/>
  <c r="BU51" i="22"/>
  <c r="BZ51" i="22"/>
  <c r="CA51" i="22"/>
  <c r="CF51" i="22"/>
  <c r="CG51" i="22"/>
  <c r="CL51" i="22"/>
  <c r="CM51" i="22"/>
  <c r="CR51" i="22"/>
  <c r="CS51" i="22"/>
  <c r="CX51" i="22"/>
  <c r="CY51" i="22"/>
  <c r="DD51" i="22"/>
  <c r="DE51" i="22"/>
  <c r="DF51" i="22"/>
  <c r="DG51" i="22"/>
  <c r="DH51" i="22"/>
  <c r="DI51" i="22"/>
  <c r="L52" i="22"/>
  <c r="R52" i="22"/>
  <c r="S52" i="22"/>
  <c r="X52" i="22"/>
  <c r="Y52" i="22"/>
  <c r="AD52" i="22"/>
  <c r="AE52" i="22"/>
  <c r="AF52" i="22"/>
  <c r="AJ52" i="22" s="1"/>
  <c r="AG52" i="22"/>
  <c r="AH52" i="22"/>
  <c r="AI52" i="22"/>
  <c r="AK52" i="22" s="1"/>
  <c r="AP52" i="22"/>
  <c r="AQ52" i="22"/>
  <c r="AV52" i="22"/>
  <c r="AW52" i="22"/>
  <c r="BB52" i="22"/>
  <c r="BC52" i="22"/>
  <c r="BH52" i="22"/>
  <c r="BI52" i="22"/>
  <c r="BN52" i="22"/>
  <c r="BO52" i="22"/>
  <c r="BT52" i="22"/>
  <c r="BU52" i="22"/>
  <c r="BZ52" i="22"/>
  <c r="CA52" i="22"/>
  <c r="CF52" i="22"/>
  <c r="CG52" i="22"/>
  <c r="CL52" i="22"/>
  <c r="CM52" i="22"/>
  <c r="CR52" i="22"/>
  <c r="CS52" i="22"/>
  <c r="CX52" i="22"/>
  <c r="CY52" i="22"/>
  <c r="DD52" i="22"/>
  <c r="DE52" i="22"/>
  <c r="DF52" i="22"/>
  <c r="DG52" i="22"/>
  <c r="DH52" i="22"/>
  <c r="DI52" i="22"/>
  <c r="DF7" i="23"/>
  <c r="DH7" i="23"/>
  <c r="DJ7" i="23"/>
  <c r="BS7" i="23"/>
  <c r="BT7" i="23"/>
  <c r="BV7" i="23"/>
  <c r="BW7" i="23"/>
  <c r="BX7" i="23"/>
  <c r="BY7" i="23"/>
  <c r="BZ7" i="23"/>
  <c r="CB7" i="23"/>
  <c r="CC7" i="23"/>
  <c r="CD7" i="23"/>
  <c r="CE7" i="23"/>
  <c r="CF7" i="23"/>
  <c r="CH7" i="23"/>
  <c r="CI7" i="23"/>
  <c r="CJ7" i="23"/>
  <c r="CK7" i="23"/>
  <c r="CL7" i="23"/>
  <c r="CN7" i="23"/>
  <c r="CO7" i="23"/>
  <c r="CP7" i="23"/>
  <c r="CQ7" i="23"/>
  <c r="CR7" i="23"/>
  <c r="CT7" i="23"/>
  <c r="CU7" i="23"/>
  <c r="CV7" i="23"/>
  <c r="CW7" i="23"/>
  <c r="CX7" i="23"/>
  <c r="CZ7" i="23"/>
  <c r="DA7" i="23"/>
  <c r="DB7" i="23"/>
  <c r="DC7" i="23"/>
  <c r="DD7" i="23"/>
  <c r="BP7" i="23"/>
  <c r="BQ7" i="23"/>
  <c r="BR7" i="23"/>
  <c r="BJ7" i="23"/>
  <c r="BK7" i="23"/>
  <c r="BL7" i="23"/>
  <c r="BM7" i="23"/>
  <c r="BN7" i="23"/>
  <c r="BM26" i="22"/>
  <c r="G9" i="7"/>
  <c r="H9" i="7" s="1"/>
  <c r="G7" i="6"/>
  <c r="H7" i="6"/>
  <c r="H10" i="6"/>
  <c r="H11" i="6"/>
  <c r="H12" i="6"/>
  <c r="H13" i="6"/>
  <c r="H9" i="6"/>
  <c r="G10" i="6"/>
  <c r="G11" i="6"/>
  <c r="G12" i="6"/>
  <c r="G13" i="6"/>
  <c r="G9" i="6"/>
  <c r="O9" i="18"/>
  <c r="H11" i="18"/>
  <c r="CY7" i="22" l="1"/>
  <c r="DK37" i="22"/>
  <c r="DK48" i="22"/>
  <c r="DK40" i="22"/>
  <c r="DK49" i="22"/>
  <c r="DK52" i="22"/>
  <c r="DK41" i="22"/>
  <c r="O41" i="22" s="1"/>
  <c r="DK36" i="22"/>
  <c r="DK38" i="22"/>
  <c r="DK46" i="22"/>
  <c r="DK47" i="22"/>
  <c r="O47" i="22" s="1"/>
  <c r="DK39" i="22"/>
  <c r="DK31" i="22"/>
  <c r="DK32" i="22"/>
  <c r="DK33" i="22"/>
  <c r="DK50" i="22"/>
  <c r="O50" i="22" s="1"/>
  <c r="DK42" i="22"/>
  <c r="O42" i="22" s="1"/>
  <c r="DK34" i="22"/>
  <c r="O34" i="22" s="1"/>
  <c r="DK51" i="22"/>
  <c r="O51" i="22" s="1"/>
  <c r="DK43" i="22"/>
  <c r="DK7" i="22" s="1"/>
  <c r="DK35" i="22"/>
  <c r="DJ44" i="22"/>
  <c r="F44" i="22" s="1"/>
  <c r="DJ36" i="22"/>
  <c r="F36" i="22" s="1"/>
  <c r="DJ52" i="22"/>
  <c r="F52" i="22" s="1"/>
  <c r="DJ51" i="22"/>
  <c r="F51" i="22" s="1"/>
  <c r="DJ43" i="22"/>
  <c r="F43" i="22" s="1"/>
  <c r="DJ35" i="22"/>
  <c r="F35" i="22" s="1"/>
  <c r="DJ31" i="22"/>
  <c r="F31" i="22" s="1"/>
  <c r="DJ45" i="22"/>
  <c r="F45" i="22" s="1"/>
  <c r="DJ37" i="22"/>
  <c r="F37" i="22" s="1"/>
  <c r="DJ46" i="22"/>
  <c r="F46" i="22" s="1"/>
  <c r="DJ38" i="22"/>
  <c r="F38" i="22" s="1"/>
  <c r="DJ47" i="22"/>
  <c r="F47" i="22" s="1"/>
  <c r="DJ39" i="22"/>
  <c r="F39" i="22" s="1"/>
  <c r="DJ48" i="22"/>
  <c r="F48" i="22" s="1"/>
  <c r="DJ40" i="22"/>
  <c r="F40" i="22" s="1"/>
  <c r="DJ32" i="22"/>
  <c r="F32" i="22" s="1"/>
  <c r="DJ49" i="22"/>
  <c r="F49" i="22" s="1"/>
  <c r="DJ41" i="22"/>
  <c r="F41" i="22" s="1"/>
  <c r="DJ33" i="22"/>
  <c r="F33" i="22" s="1"/>
  <c r="DJ50" i="22"/>
  <c r="F50" i="22" s="1"/>
  <c r="DJ42" i="22"/>
  <c r="F42" i="22" s="1"/>
  <c r="DJ34" i="22"/>
  <c r="F34" i="22" s="1"/>
  <c r="K42" i="22"/>
  <c r="M42" i="22" s="1"/>
  <c r="K34" i="22"/>
  <c r="M34" i="22" s="1"/>
  <c r="K51" i="22"/>
  <c r="M51" i="22" s="1"/>
  <c r="K43" i="22"/>
  <c r="M43" i="22" s="1"/>
  <c r="K35" i="22"/>
  <c r="M35" i="22" s="1"/>
  <c r="K52" i="22"/>
  <c r="M52" i="22" s="1"/>
  <c r="G44" i="22"/>
  <c r="K44" i="22"/>
  <c r="M44" i="22" s="1"/>
  <c r="K36" i="22"/>
  <c r="M36" i="22" s="1"/>
  <c r="K37" i="22"/>
  <c r="M37" i="22" s="1"/>
  <c r="K46" i="22"/>
  <c r="M46" i="22" s="1"/>
  <c r="K47" i="22"/>
  <c r="M47" i="22" s="1"/>
  <c r="K39" i="22"/>
  <c r="M39" i="22" s="1"/>
  <c r="K48" i="22"/>
  <c r="M48" i="22" s="1"/>
  <c r="K40" i="22"/>
  <c r="M40" i="22" s="1"/>
  <c r="K32" i="22"/>
  <c r="M32" i="22" s="1"/>
  <c r="K50" i="22"/>
  <c r="M50" i="22" s="1"/>
  <c r="K45" i="22"/>
  <c r="M45" i="22" s="1"/>
  <c r="K38" i="22"/>
  <c r="M38" i="22" s="1"/>
  <c r="K49" i="22"/>
  <c r="M49" i="22" s="1"/>
  <c r="K41" i="22"/>
  <c r="M41" i="22" s="1"/>
  <c r="K33" i="22"/>
  <c r="M33" i="22" s="1"/>
  <c r="O52" i="22"/>
  <c r="O48" i="22"/>
  <c r="O45" i="22"/>
  <c r="O44" i="22"/>
  <c r="O40" i="22"/>
  <c r="O37" i="22"/>
  <c r="O35" i="22"/>
  <c r="O33" i="22"/>
  <c r="O32" i="22"/>
  <c r="K31" i="22"/>
  <c r="M31" i="22" s="1"/>
  <c r="R30" i="26"/>
  <c r="I50" i="26"/>
  <c r="BK2" i="4"/>
  <c r="BF12" i="4"/>
  <c r="G52" i="22" l="1"/>
  <c r="G31" i="22"/>
  <c r="G36" i="22"/>
  <c r="G39" i="22"/>
  <c r="G43" i="22"/>
  <c r="G35" i="22"/>
  <c r="G51" i="22"/>
  <c r="G47" i="22"/>
  <c r="G50" i="22"/>
  <c r="G45" i="22"/>
  <c r="G41" i="22"/>
  <c r="G32" i="22"/>
  <c r="G49" i="22"/>
  <c r="G46" i="22"/>
  <c r="G38" i="22"/>
  <c r="G42" i="22"/>
  <c r="G37" i="22"/>
  <c r="G33" i="22"/>
  <c r="G40" i="22"/>
  <c r="G34" i="22"/>
  <c r="G48" i="22"/>
  <c r="O49" i="22"/>
  <c r="O43" i="22"/>
  <c r="O7" i="22" s="1"/>
  <c r="O36" i="22"/>
  <c r="O38" i="22"/>
  <c r="O46" i="22"/>
  <c r="O31" i="22"/>
  <c r="O39" i="22"/>
  <c r="BH10" i="14"/>
  <c r="R124" i="23"/>
  <c r="S124" i="23"/>
  <c r="X124" i="23"/>
  <c r="Y124" i="23"/>
  <c r="AD124" i="23"/>
  <c r="AE124" i="23"/>
  <c r="AF124" i="23"/>
  <c r="AJ124" i="23" s="1"/>
  <c r="AG124" i="23"/>
  <c r="AH124" i="23"/>
  <c r="AI124" i="23"/>
  <c r="AP124" i="23"/>
  <c r="AQ124" i="23"/>
  <c r="AV124" i="23"/>
  <c r="AW124" i="23"/>
  <c r="BB124" i="23"/>
  <c r="BC124" i="23"/>
  <c r="BH124" i="23"/>
  <c r="BI124" i="23"/>
  <c r="BN124" i="23"/>
  <c r="BO124" i="23"/>
  <c r="BT124" i="23"/>
  <c r="BU124" i="23"/>
  <c r="BZ124" i="23"/>
  <c r="CA124" i="23"/>
  <c r="CF124" i="23"/>
  <c r="CG124" i="23"/>
  <c r="CL124" i="23"/>
  <c r="CM124" i="23"/>
  <c r="CR124" i="23"/>
  <c r="CS124" i="23"/>
  <c r="CX124" i="23"/>
  <c r="CY124" i="23"/>
  <c r="DD124" i="23"/>
  <c r="DE124" i="23"/>
  <c r="DF124" i="23"/>
  <c r="DJ124" i="23" s="1"/>
  <c r="F124" i="23" s="1"/>
  <c r="DG124" i="23"/>
  <c r="DH124" i="23"/>
  <c r="DI124" i="23"/>
  <c r="R125" i="23"/>
  <c r="S125" i="23"/>
  <c r="X125" i="23"/>
  <c r="Y125" i="23"/>
  <c r="AD125" i="23"/>
  <c r="AE125" i="23"/>
  <c r="AF125" i="23"/>
  <c r="AJ125" i="23" s="1"/>
  <c r="AG125" i="23"/>
  <c r="AH125" i="23"/>
  <c r="AI125" i="23"/>
  <c r="AP125" i="23"/>
  <c r="AQ125" i="23"/>
  <c r="AV125" i="23"/>
  <c r="AW125" i="23"/>
  <c r="BB125" i="23"/>
  <c r="BC125" i="23"/>
  <c r="BH125" i="23"/>
  <c r="BI125" i="23"/>
  <c r="BN125" i="23"/>
  <c r="BO125" i="23"/>
  <c r="BT125" i="23"/>
  <c r="BU125" i="23"/>
  <c r="BZ125" i="23"/>
  <c r="CA125" i="23"/>
  <c r="CF125" i="23"/>
  <c r="CG125" i="23"/>
  <c r="CL125" i="23"/>
  <c r="CM125" i="23"/>
  <c r="CR125" i="23"/>
  <c r="CS125" i="23"/>
  <c r="CX125" i="23"/>
  <c r="CY125" i="23"/>
  <c r="DD125" i="23"/>
  <c r="DE125" i="23"/>
  <c r="DF125" i="23"/>
  <c r="DJ125" i="23" s="1"/>
  <c r="F125" i="23" s="1"/>
  <c r="DG125" i="23"/>
  <c r="DH125" i="23"/>
  <c r="DI125" i="23"/>
  <c r="R126" i="23"/>
  <c r="S126" i="23"/>
  <c r="X126" i="23"/>
  <c r="Y126" i="23"/>
  <c r="AD126" i="23"/>
  <c r="AE126" i="23"/>
  <c r="AF126" i="23"/>
  <c r="AJ126" i="23" s="1"/>
  <c r="AG126" i="23"/>
  <c r="AH126" i="23"/>
  <c r="AI126" i="23"/>
  <c r="AP126" i="23"/>
  <c r="AQ126" i="23"/>
  <c r="AV126" i="23"/>
  <c r="AW126" i="23"/>
  <c r="BB126" i="23"/>
  <c r="BC126" i="23"/>
  <c r="BH126" i="23"/>
  <c r="BI126" i="23"/>
  <c r="BN126" i="23"/>
  <c r="BO126" i="23"/>
  <c r="BT126" i="23"/>
  <c r="BU126" i="23"/>
  <c r="BZ126" i="23"/>
  <c r="CA126" i="23"/>
  <c r="CF126" i="23"/>
  <c r="CG126" i="23"/>
  <c r="CL126" i="23"/>
  <c r="CM126" i="23"/>
  <c r="CR126" i="23"/>
  <c r="CS126" i="23"/>
  <c r="CX126" i="23"/>
  <c r="CY126" i="23"/>
  <c r="DD126" i="23"/>
  <c r="DE126" i="23"/>
  <c r="DF126" i="23"/>
  <c r="DJ126" i="23" s="1"/>
  <c r="F126" i="23" s="1"/>
  <c r="DG126" i="23"/>
  <c r="DH126" i="23"/>
  <c r="DI126" i="23"/>
  <c r="R127" i="23"/>
  <c r="S127" i="23"/>
  <c r="X127" i="23"/>
  <c r="Y127" i="23"/>
  <c r="AD127" i="23"/>
  <c r="AE127" i="23"/>
  <c r="AF127" i="23"/>
  <c r="AJ127" i="23" s="1"/>
  <c r="AG127" i="23"/>
  <c r="AH127" i="23"/>
  <c r="AI127" i="23"/>
  <c r="AP127" i="23"/>
  <c r="AQ127" i="23"/>
  <c r="AV127" i="23"/>
  <c r="AW127" i="23"/>
  <c r="BB127" i="23"/>
  <c r="BC127" i="23"/>
  <c r="BH127" i="23"/>
  <c r="BI127" i="23"/>
  <c r="BN127" i="23"/>
  <c r="BO127" i="23"/>
  <c r="BT127" i="23"/>
  <c r="BU127" i="23"/>
  <c r="BZ127" i="23"/>
  <c r="CA127" i="23"/>
  <c r="CF127" i="23"/>
  <c r="CG127" i="23"/>
  <c r="CL127" i="23"/>
  <c r="CM127" i="23"/>
  <c r="CR127" i="23"/>
  <c r="CS127" i="23"/>
  <c r="CX127" i="23"/>
  <c r="CY127" i="23"/>
  <c r="DD127" i="23"/>
  <c r="DE127" i="23"/>
  <c r="DF127" i="23"/>
  <c r="DJ127" i="23" s="1"/>
  <c r="F127" i="23" s="1"/>
  <c r="DG127" i="23"/>
  <c r="DH127" i="23"/>
  <c r="DI127" i="23"/>
  <c r="R128" i="23"/>
  <c r="S128" i="23"/>
  <c r="X128" i="23"/>
  <c r="Y128" i="23"/>
  <c r="AD128" i="23"/>
  <c r="AE128" i="23"/>
  <c r="AF128" i="23"/>
  <c r="AJ128" i="23" s="1"/>
  <c r="AG128" i="23"/>
  <c r="AH128" i="23"/>
  <c r="AI128" i="23"/>
  <c r="AP128" i="23"/>
  <c r="AQ128" i="23"/>
  <c r="AV128" i="23"/>
  <c r="AW128" i="23"/>
  <c r="BB128" i="23"/>
  <c r="BC128" i="23"/>
  <c r="BH128" i="23"/>
  <c r="BI128" i="23"/>
  <c r="BN128" i="23"/>
  <c r="BO128" i="23"/>
  <c r="BT128" i="23"/>
  <c r="BU128" i="23"/>
  <c r="BZ128" i="23"/>
  <c r="CA128" i="23"/>
  <c r="CF128" i="23"/>
  <c r="CG128" i="23"/>
  <c r="CL128" i="23"/>
  <c r="CM128" i="23"/>
  <c r="CR128" i="23"/>
  <c r="CS128" i="23"/>
  <c r="CX128" i="23"/>
  <c r="CY128" i="23"/>
  <c r="DD128" i="23"/>
  <c r="DE128" i="23"/>
  <c r="DF128" i="23"/>
  <c r="DJ128" i="23" s="1"/>
  <c r="F128" i="23" s="1"/>
  <c r="DG128" i="23"/>
  <c r="DH128" i="23"/>
  <c r="DI128" i="23"/>
  <c r="R129" i="23"/>
  <c r="S129" i="23"/>
  <c r="X129" i="23"/>
  <c r="Y129" i="23"/>
  <c r="AD129" i="23"/>
  <c r="AE129" i="23"/>
  <c r="AF129" i="23"/>
  <c r="AJ129" i="23" s="1"/>
  <c r="AG129" i="23"/>
  <c r="AH129" i="23"/>
  <c r="AI129" i="23"/>
  <c r="AP129" i="23"/>
  <c r="AQ129" i="23"/>
  <c r="AV129" i="23"/>
  <c r="AW129" i="23"/>
  <c r="BB129" i="23"/>
  <c r="BC129" i="23"/>
  <c r="BH129" i="23"/>
  <c r="BI129" i="23"/>
  <c r="BN129" i="23"/>
  <c r="BO129" i="23"/>
  <c r="BT129" i="23"/>
  <c r="BU129" i="23"/>
  <c r="BZ129" i="23"/>
  <c r="CA129" i="23"/>
  <c r="CF129" i="23"/>
  <c r="CG129" i="23"/>
  <c r="CL129" i="23"/>
  <c r="CM129" i="23"/>
  <c r="CR129" i="23"/>
  <c r="CS129" i="23"/>
  <c r="CX129" i="23"/>
  <c r="CY129" i="23"/>
  <c r="DD129" i="23"/>
  <c r="DE129" i="23"/>
  <c r="DF129" i="23"/>
  <c r="DJ129" i="23" s="1"/>
  <c r="F129" i="23" s="1"/>
  <c r="DG129" i="23"/>
  <c r="DH129" i="23"/>
  <c r="DI129" i="23"/>
  <c r="R130" i="23"/>
  <c r="S130" i="23"/>
  <c r="X130" i="23"/>
  <c r="Y130" i="23"/>
  <c r="AD130" i="23"/>
  <c r="AE130" i="23"/>
  <c r="AF130" i="23"/>
  <c r="AJ130" i="23" s="1"/>
  <c r="AG130" i="23"/>
  <c r="AK130" i="23" s="1"/>
  <c r="AH130" i="23"/>
  <c r="AI130" i="23"/>
  <c r="AP130" i="23"/>
  <c r="AQ130" i="23"/>
  <c r="AV130" i="23"/>
  <c r="AW130" i="23"/>
  <c r="BB130" i="23"/>
  <c r="BC130" i="23"/>
  <c r="BH130" i="23"/>
  <c r="BI130" i="23"/>
  <c r="BN130" i="23"/>
  <c r="BO130" i="23"/>
  <c r="BT130" i="23"/>
  <c r="BU130" i="23"/>
  <c r="BZ130" i="23"/>
  <c r="CA130" i="23"/>
  <c r="CF130" i="23"/>
  <c r="CG130" i="23"/>
  <c r="CL130" i="23"/>
  <c r="CM130" i="23"/>
  <c r="CR130" i="23"/>
  <c r="CS130" i="23"/>
  <c r="CX130" i="23"/>
  <c r="CY130" i="23"/>
  <c r="DD130" i="23"/>
  <c r="DE130" i="23"/>
  <c r="DF130" i="23"/>
  <c r="DJ130" i="23" s="1"/>
  <c r="F130" i="23" s="1"/>
  <c r="DG130" i="23"/>
  <c r="DH130" i="23"/>
  <c r="DI130" i="23"/>
  <c r="R131" i="23"/>
  <c r="S131" i="23"/>
  <c r="X131" i="23"/>
  <c r="Y131" i="23"/>
  <c r="AD131" i="23"/>
  <c r="AE131" i="23"/>
  <c r="AF131" i="23"/>
  <c r="AJ131" i="23" s="1"/>
  <c r="AG131" i="23"/>
  <c r="AK131" i="23" s="1"/>
  <c r="AH131" i="23"/>
  <c r="AI131" i="23"/>
  <c r="AP131" i="23"/>
  <c r="AQ131" i="23"/>
  <c r="AV131" i="23"/>
  <c r="AW131" i="23"/>
  <c r="BB131" i="23"/>
  <c r="BC131" i="23"/>
  <c r="BH131" i="23"/>
  <c r="BI131" i="23"/>
  <c r="BN131" i="23"/>
  <c r="BO131" i="23"/>
  <c r="BT131" i="23"/>
  <c r="BU131" i="23"/>
  <c r="BZ131" i="23"/>
  <c r="CA131" i="23"/>
  <c r="CF131" i="23"/>
  <c r="CG131" i="23"/>
  <c r="CL131" i="23"/>
  <c r="CM131" i="23"/>
  <c r="CR131" i="23"/>
  <c r="CS131" i="23"/>
  <c r="CX131" i="23"/>
  <c r="CY131" i="23"/>
  <c r="DD131" i="23"/>
  <c r="DE131" i="23"/>
  <c r="DF131" i="23"/>
  <c r="DJ131" i="23" s="1"/>
  <c r="F131" i="23" s="1"/>
  <c r="DG131" i="23"/>
  <c r="DH131" i="23"/>
  <c r="DI131" i="23"/>
  <c r="R132" i="23"/>
  <c r="S132" i="23"/>
  <c r="X132" i="23"/>
  <c r="Y132" i="23"/>
  <c r="AD132" i="23"/>
  <c r="AE132" i="23"/>
  <c r="AF132" i="23"/>
  <c r="AJ132" i="23" s="1"/>
  <c r="AG132" i="23"/>
  <c r="AK132" i="23" s="1"/>
  <c r="AH132" i="23"/>
  <c r="AI132" i="23"/>
  <c r="AP132" i="23"/>
  <c r="AQ132" i="23"/>
  <c r="AV132" i="23"/>
  <c r="AW132" i="23"/>
  <c r="BB132" i="23"/>
  <c r="BC132" i="23"/>
  <c r="BH132" i="23"/>
  <c r="BI132" i="23"/>
  <c r="BN132" i="23"/>
  <c r="BO132" i="23"/>
  <c r="BT132" i="23"/>
  <c r="BU132" i="23"/>
  <c r="BZ132" i="23"/>
  <c r="CA132" i="23"/>
  <c r="CF132" i="23"/>
  <c r="CG132" i="23"/>
  <c r="CL132" i="23"/>
  <c r="CM132" i="23"/>
  <c r="CR132" i="23"/>
  <c r="CS132" i="23"/>
  <c r="CX132" i="23"/>
  <c r="CY132" i="23"/>
  <c r="DD132" i="23"/>
  <c r="DE132" i="23"/>
  <c r="DF132" i="23"/>
  <c r="DJ132" i="23" s="1"/>
  <c r="F132" i="23" s="1"/>
  <c r="DG132" i="23"/>
  <c r="DH132" i="23"/>
  <c r="DI132" i="23"/>
  <c r="R133" i="23"/>
  <c r="S133" i="23"/>
  <c r="X133" i="23"/>
  <c r="Y133" i="23"/>
  <c r="AD133" i="23"/>
  <c r="AE133" i="23"/>
  <c r="AF133" i="23"/>
  <c r="AJ133" i="23" s="1"/>
  <c r="AG133" i="23"/>
  <c r="AK133" i="23" s="1"/>
  <c r="AH133" i="23"/>
  <c r="AI133" i="23"/>
  <c r="AP133" i="23"/>
  <c r="AQ133" i="23"/>
  <c r="AV133" i="23"/>
  <c r="AW133" i="23"/>
  <c r="BB133" i="23"/>
  <c r="BC133" i="23"/>
  <c r="BH133" i="23"/>
  <c r="BI133" i="23"/>
  <c r="BN133" i="23"/>
  <c r="BO133" i="23"/>
  <c r="BT133" i="23"/>
  <c r="BU133" i="23"/>
  <c r="BZ133" i="23"/>
  <c r="CA133" i="23"/>
  <c r="CF133" i="23"/>
  <c r="CG133" i="23"/>
  <c r="CL133" i="23"/>
  <c r="CM133" i="23"/>
  <c r="CR133" i="23"/>
  <c r="CS133" i="23"/>
  <c r="CX133" i="23"/>
  <c r="CY133" i="23"/>
  <c r="DD133" i="23"/>
  <c r="DE133" i="23"/>
  <c r="DF133" i="23"/>
  <c r="DJ133" i="23" s="1"/>
  <c r="F133" i="23" s="1"/>
  <c r="DG133" i="23"/>
  <c r="DH133" i="23"/>
  <c r="DI133" i="23"/>
  <c r="R134" i="23"/>
  <c r="S134" i="23"/>
  <c r="X134" i="23"/>
  <c r="Y134" i="23"/>
  <c r="AD134" i="23"/>
  <c r="AE134" i="23"/>
  <c r="AF134" i="23"/>
  <c r="AJ134" i="23" s="1"/>
  <c r="AG134" i="23"/>
  <c r="AH134" i="23"/>
  <c r="AI134" i="23"/>
  <c r="AP134" i="23"/>
  <c r="AQ134" i="23"/>
  <c r="AV134" i="23"/>
  <c r="AW134" i="23"/>
  <c r="BB134" i="23"/>
  <c r="BC134" i="23"/>
  <c r="BH134" i="23"/>
  <c r="BI134" i="23"/>
  <c r="BN134" i="23"/>
  <c r="BO134" i="23"/>
  <c r="BT134" i="23"/>
  <c r="BU134" i="23"/>
  <c r="BZ134" i="23"/>
  <c r="CA134" i="23"/>
  <c r="CF134" i="23"/>
  <c r="CG134" i="23"/>
  <c r="CL134" i="23"/>
  <c r="CM134" i="23"/>
  <c r="CR134" i="23"/>
  <c r="CS134" i="23"/>
  <c r="CX134" i="23"/>
  <c r="CY134" i="23"/>
  <c r="DD134" i="23"/>
  <c r="DE134" i="23"/>
  <c r="DF134" i="23"/>
  <c r="DJ134" i="23" s="1"/>
  <c r="F134" i="23" s="1"/>
  <c r="DG134" i="23"/>
  <c r="DH134" i="23"/>
  <c r="DI134" i="23"/>
  <c r="R135" i="23"/>
  <c r="S135" i="23"/>
  <c r="X135" i="23"/>
  <c r="Y135" i="23"/>
  <c r="AD135" i="23"/>
  <c r="AE135" i="23"/>
  <c r="AF135" i="23"/>
  <c r="AJ135" i="23" s="1"/>
  <c r="AG135" i="23"/>
  <c r="AH135" i="23"/>
  <c r="AI135" i="23"/>
  <c r="AP135" i="23"/>
  <c r="AQ135" i="23"/>
  <c r="AV135" i="23"/>
  <c r="AW135" i="23"/>
  <c r="BB135" i="23"/>
  <c r="BC135" i="23"/>
  <c r="BH135" i="23"/>
  <c r="BI135" i="23"/>
  <c r="BN135" i="23"/>
  <c r="BO135" i="23"/>
  <c r="BT135" i="23"/>
  <c r="BU135" i="23"/>
  <c r="BZ135" i="23"/>
  <c r="CA135" i="23"/>
  <c r="CF135" i="23"/>
  <c r="CG135" i="23"/>
  <c r="CL135" i="23"/>
  <c r="CM135" i="23"/>
  <c r="CR135" i="23"/>
  <c r="CS135" i="23"/>
  <c r="CX135" i="23"/>
  <c r="CY135" i="23"/>
  <c r="DD135" i="23"/>
  <c r="DE135" i="23"/>
  <c r="DF135" i="23"/>
  <c r="DJ135" i="23" s="1"/>
  <c r="F135" i="23" s="1"/>
  <c r="DG135" i="23"/>
  <c r="DH135" i="23"/>
  <c r="DI135" i="23"/>
  <c r="R136" i="23"/>
  <c r="S136" i="23"/>
  <c r="X136" i="23"/>
  <c r="Y136" i="23"/>
  <c r="AD136" i="23"/>
  <c r="AE136" i="23"/>
  <c r="AF136" i="23"/>
  <c r="AJ136" i="23" s="1"/>
  <c r="AG136" i="23"/>
  <c r="AH136" i="23"/>
  <c r="AI136" i="23"/>
  <c r="AP136" i="23"/>
  <c r="AQ136" i="23"/>
  <c r="AV136" i="23"/>
  <c r="AW136" i="23"/>
  <c r="BB136" i="23"/>
  <c r="BC136" i="23"/>
  <c r="BH136" i="23"/>
  <c r="BI136" i="23"/>
  <c r="BN136" i="23"/>
  <c r="BO136" i="23"/>
  <c r="BT136" i="23"/>
  <c r="BU136" i="23"/>
  <c r="BZ136" i="23"/>
  <c r="CA136" i="23"/>
  <c r="CF136" i="23"/>
  <c r="CG136" i="23"/>
  <c r="CL136" i="23"/>
  <c r="CM136" i="23"/>
  <c r="CR136" i="23"/>
  <c r="CS136" i="23"/>
  <c r="CX136" i="23"/>
  <c r="CY136" i="23"/>
  <c r="DD136" i="23"/>
  <c r="DE136" i="23"/>
  <c r="DF136" i="23"/>
  <c r="DJ136" i="23" s="1"/>
  <c r="F136" i="23" s="1"/>
  <c r="DG136" i="23"/>
  <c r="DH136" i="23"/>
  <c r="DI136" i="23"/>
  <c r="R137" i="23"/>
  <c r="S137" i="23"/>
  <c r="X137" i="23"/>
  <c r="Y137" i="23"/>
  <c r="AD137" i="23"/>
  <c r="AE137" i="23"/>
  <c r="AF137" i="23"/>
  <c r="AJ137" i="23" s="1"/>
  <c r="AG137" i="23"/>
  <c r="AH137" i="23"/>
  <c r="AI137" i="23"/>
  <c r="AP137" i="23"/>
  <c r="AQ137" i="23"/>
  <c r="AV137" i="23"/>
  <c r="AW137" i="23"/>
  <c r="BB137" i="23"/>
  <c r="BC137" i="23"/>
  <c r="BH137" i="23"/>
  <c r="BI137" i="23"/>
  <c r="BN137" i="23"/>
  <c r="BO137" i="23"/>
  <c r="BT137" i="23"/>
  <c r="BU137" i="23"/>
  <c r="BZ137" i="23"/>
  <c r="CA137" i="23"/>
  <c r="CF137" i="23"/>
  <c r="CG137" i="23"/>
  <c r="CL137" i="23"/>
  <c r="CM137" i="23"/>
  <c r="CR137" i="23"/>
  <c r="CS137" i="23"/>
  <c r="CX137" i="23"/>
  <c r="CY137" i="23"/>
  <c r="DD137" i="23"/>
  <c r="DE137" i="23"/>
  <c r="DF137" i="23"/>
  <c r="DJ137" i="23" s="1"/>
  <c r="F137" i="23" s="1"/>
  <c r="DG137" i="23"/>
  <c r="DH137" i="23"/>
  <c r="DI137" i="23"/>
  <c r="R138" i="23"/>
  <c r="S138" i="23"/>
  <c r="X138" i="23"/>
  <c r="Y138" i="23"/>
  <c r="AD138" i="23"/>
  <c r="AE138" i="23"/>
  <c r="AF138" i="23"/>
  <c r="AJ138" i="23" s="1"/>
  <c r="AG138" i="23"/>
  <c r="AH138" i="23"/>
  <c r="AI138" i="23"/>
  <c r="AP138" i="23"/>
  <c r="AQ138" i="23"/>
  <c r="AV138" i="23"/>
  <c r="AW138" i="23"/>
  <c r="BB138" i="23"/>
  <c r="BC138" i="23"/>
  <c r="BH138" i="23"/>
  <c r="BI138" i="23"/>
  <c r="BN138" i="23"/>
  <c r="BO138" i="23"/>
  <c r="BT138" i="23"/>
  <c r="BU138" i="23"/>
  <c r="BZ138" i="23"/>
  <c r="CA138" i="23"/>
  <c r="CF138" i="23"/>
  <c r="CG138" i="23"/>
  <c r="CL138" i="23"/>
  <c r="CM138" i="23"/>
  <c r="CR138" i="23"/>
  <c r="CS138" i="23"/>
  <c r="CX138" i="23"/>
  <c r="CY138" i="23"/>
  <c r="DD138" i="23"/>
  <c r="DE138" i="23"/>
  <c r="DF138" i="23"/>
  <c r="DJ138" i="23" s="1"/>
  <c r="F138" i="23" s="1"/>
  <c r="DG138" i="23"/>
  <c r="DH138" i="23"/>
  <c r="DI138" i="23"/>
  <c r="R139" i="23"/>
  <c r="S139" i="23"/>
  <c r="X139" i="23"/>
  <c r="Y139" i="23"/>
  <c r="AD139" i="23"/>
  <c r="AE139" i="23"/>
  <c r="AF139" i="23"/>
  <c r="AJ139" i="23" s="1"/>
  <c r="AG139" i="23"/>
  <c r="AK139" i="23" s="1"/>
  <c r="AH139" i="23"/>
  <c r="AI139" i="23"/>
  <c r="AP139" i="23"/>
  <c r="AQ139" i="23"/>
  <c r="AV139" i="23"/>
  <c r="AW139" i="23"/>
  <c r="BB139" i="23"/>
  <c r="BC139" i="23"/>
  <c r="BH139" i="23"/>
  <c r="BI139" i="23"/>
  <c r="BN139" i="23"/>
  <c r="BO139" i="23"/>
  <c r="BT139" i="23"/>
  <c r="BU139" i="23"/>
  <c r="BZ139" i="23"/>
  <c r="CA139" i="23"/>
  <c r="CF139" i="23"/>
  <c r="CG139" i="23"/>
  <c r="CL139" i="23"/>
  <c r="CM139" i="23"/>
  <c r="CR139" i="23"/>
  <c r="CS139" i="23"/>
  <c r="CX139" i="23"/>
  <c r="CY139" i="23"/>
  <c r="DD139" i="23"/>
  <c r="DE139" i="23"/>
  <c r="DF139" i="23"/>
  <c r="DJ139" i="23" s="1"/>
  <c r="F139" i="23" s="1"/>
  <c r="DG139" i="23"/>
  <c r="DH139" i="23"/>
  <c r="DI139" i="23"/>
  <c r="R140" i="23"/>
  <c r="S140" i="23"/>
  <c r="X140" i="23"/>
  <c r="Y140" i="23"/>
  <c r="AD140" i="23"/>
  <c r="AE140" i="23"/>
  <c r="AF140" i="23"/>
  <c r="AJ140" i="23" s="1"/>
  <c r="AG140" i="23"/>
  <c r="AK140" i="23" s="1"/>
  <c r="AH140" i="23"/>
  <c r="AI140" i="23"/>
  <c r="AP140" i="23"/>
  <c r="AQ140" i="23"/>
  <c r="AV140" i="23"/>
  <c r="AW140" i="23"/>
  <c r="BB140" i="23"/>
  <c r="BC140" i="23"/>
  <c r="BH140" i="23"/>
  <c r="BI140" i="23"/>
  <c r="BN140" i="23"/>
  <c r="BO140" i="23"/>
  <c r="BT140" i="23"/>
  <c r="BU140" i="23"/>
  <c r="BZ140" i="23"/>
  <c r="CA140" i="23"/>
  <c r="CF140" i="23"/>
  <c r="CG140" i="23"/>
  <c r="CL140" i="23"/>
  <c r="CM140" i="23"/>
  <c r="CR140" i="23"/>
  <c r="CS140" i="23"/>
  <c r="CX140" i="23"/>
  <c r="CY140" i="23"/>
  <c r="DD140" i="23"/>
  <c r="DE140" i="23"/>
  <c r="DF140" i="23"/>
  <c r="DJ140" i="23" s="1"/>
  <c r="F140" i="23" s="1"/>
  <c r="DG140" i="23"/>
  <c r="DH140" i="23"/>
  <c r="DI140" i="23"/>
  <c r="DK140" i="23" s="1"/>
  <c r="R141" i="23"/>
  <c r="S141" i="23"/>
  <c r="X141" i="23"/>
  <c r="Y141" i="23"/>
  <c r="AD141" i="23"/>
  <c r="AE141" i="23"/>
  <c r="AF141" i="23"/>
  <c r="AJ141" i="23" s="1"/>
  <c r="AG141" i="23"/>
  <c r="AK141" i="23" s="1"/>
  <c r="AH141" i="23"/>
  <c r="AI141" i="23"/>
  <c r="AP141" i="23"/>
  <c r="AQ141" i="23"/>
  <c r="AV141" i="23"/>
  <c r="AW141" i="23"/>
  <c r="BB141" i="23"/>
  <c r="BC141" i="23"/>
  <c r="BH141" i="23"/>
  <c r="BI141" i="23"/>
  <c r="BN141" i="23"/>
  <c r="BO141" i="23"/>
  <c r="BT141" i="23"/>
  <c r="BU141" i="23"/>
  <c r="BZ141" i="23"/>
  <c r="CA141" i="23"/>
  <c r="CF141" i="23"/>
  <c r="CG141" i="23"/>
  <c r="CL141" i="23"/>
  <c r="CM141" i="23"/>
  <c r="CR141" i="23"/>
  <c r="CS141" i="23"/>
  <c r="CX141" i="23"/>
  <c r="CY141" i="23"/>
  <c r="DD141" i="23"/>
  <c r="DE141" i="23"/>
  <c r="DF141" i="23"/>
  <c r="DJ141" i="23" s="1"/>
  <c r="F141" i="23" s="1"/>
  <c r="DG141" i="23"/>
  <c r="DH141" i="23"/>
  <c r="DI141" i="23"/>
  <c r="R142" i="23"/>
  <c r="S142" i="23"/>
  <c r="X142" i="23"/>
  <c r="Y142" i="23"/>
  <c r="AD142" i="23"/>
  <c r="AE142" i="23"/>
  <c r="AF142" i="23"/>
  <c r="AJ142" i="23" s="1"/>
  <c r="AG142" i="23"/>
  <c r="AH142" i="23"/>
  <c r="AI142" i="23"/>
  <c r="AP142" i="23"/>
  <c r="AQ142" i="23"/>
  <c r="AV142" i="23"/>
  <c r="AW142" i="23"/>
  <c r="BB142" i="23"/>
  <c r="BC142" i="23"/>
  <c r="BH142" i="23"/>
  <c r="BI142" i="23"/>
  <c r="BN142" i="23"/>
  <c r="BO142" i="23"/>
  <c r="BT142" i="23"/>
  <c r="BU142" i="23"/>
  <c r="BZ142" i="23"/>
  <c r="CA142" i="23"/>
  <c r="CF142" i="23"/>
  <c r="CG142" i="23"/>
  <c r="CL142" i="23"/>
  <c r="CM142" i="23"/>
  <c r="CR142" i="23"/>
  <c r="CS142" i="23"/>
  <c r="CX142" i="23"/>
  <c r="CY142" i="23"/>
  <c r="DD142" i="23"/>
  <c r="DE142" i="23"/>
  <c r="DF142" i="23"/>
  <c r="DJ142" i="23" s="1"/>
  <c r="F142" i="23" s="1"/>
  <c r="DG142" i="23"/>
  <c r="DH142" i="23"/>
  <c r="DI142" i="23"/>
  <c r="R143" i="23"/>
  <c r="S143" i="23"/>
  <c r="X143" i="23"/>
  <c r="Y143" i="23"/>
  <c r="AD143" i="23"/>
  <c r="AE143" i="23"/>
  <c r="AF143" i="23"/>
  <c r="AJ143" i="23" s="1"/>
  <c r="AG143" i="23"/>
  <c r="AH143" i="23"/>
  <c r="AI143" i="23"/>
  <c r="AP143" i="23"/>
  <c r="AQ143" i="23"/>
  <c r="AV143" i="23"/>
  <c r="AW143" i="23"/>
  <c r="BB143" i="23"/>
  <c r="BC143" i="23"/>
  <c r="BH143" i="23"/>
  <c r="BI143" i="23"/>
  <c r="BN143" i="23"/>
  <c r="BO143" i="23"/>
  <c r="BT143" i="23"/>
  <c r="BU143" i="23"/>
  <c r="BZ143" i="23"/>
  <c r="CA143" i="23"/>
  <c r="CF143" i="23"/>
  <c r="CG143" i="23"/>
  <c r="CL143" i="23"/>
  <c r="CM143" i="23"/>
  <c r="CR143" i="23"/>
  <c r="CS143" i="23"/>
  <c r="CX143" i="23"/>
  <c r="CY143" i="23"/>
  <c r="DD143" i="23"/>
  <c r="DE143" i="23"/>
  <c r="DF143" i="23"/>
  <c r="DJ143" i="23" s="1"/>
  <c r="F143" i="23" s="1"/>
  <c r="DG143" i="23"/>
  <c r="DH143" i="23"/>
  <c r="DI143" i="23"/>
  <c r="R144" i="23"/>
  <c r="S144" i="23"/>
  <c r="X144" i="23"/>
  <c r="Y144" i="23"/>
  <c r="AD144" i="23"/>
  <c r="AE144" i="23"/>
  <c r="AF144" i="23"/>
  <c r="AJ144" i="23" s="1"/>
  <c r="AG144" i="23"/>
  <c r="AK144" i="23" s="1"/>
  <c r="AH144" i="23"/>
  <c r="AI144" i="23"/>
  <c r="AP144" i="23"/>
  <c r="AQ144" i="23"/>
  <c r="AV144" i="23"/>
  <c r="AW144" i="23"/>
  <c r="BB144" i="23"/>
  <c r="BC144" i="23"/>
  <c r="BH144" i="23"/>
  <c r="BI144" i="23"/>
  <c r="BN144" i="23"/>
  <c r="BO144" i="23"/>
  <c r="BT144" i="23"/>
  <c r="BU144" i="23"/>
  <c r="BZ144" i="23"/>
  <c r="CA144" i="23"/>
  <c r="CF144" i="23"/>
  <c r="CG144" i="23"/>
  <c r="CL144" i="23"/>
  <c r="CM144" i="23"/>
  <c r="CR144" i="23"/>
  <c r="CS144" i="23"/>
  <c r="CX144" i="23"/>
  <c r="CY144" i="23"/>
  <c r="DD144" i="23"/>
  <c r="DE144" i="23"/>
  <c r="DF144" i="23"/>
  <c r="DJ144" i="23" s="1"/>
  <c r="F144" i="23" s="1"/>
  <c r="DG144" i="23"/>
  <c r="DH144" i="23"/>
  <c r="DI144" i="23"/>
  <c r="DK144" i="23" s="1"/>
  <c r="R145" i="23"/>
  <c r="S145" i="23"/>
  <c r="X145" i="23"/>
  <c r="Y145" i="23"/>
  <c r="AD145" i="23"/>
  <c r="AE145" i="23"/>
  <c r="AF145" i="23"/>
  <c r="AJ145" i="23" s="1"/>
  <c r="AG145" i="23"/>
  <c r="AH145" i="23"/>
  <c r="AI145" i="23"/>
  <c r="AP145" i="23"/>
  <c r="AQ145" i="23"/>
  <c r="AV145" i="23"/>
  <c r="AW145" i="23"/>
  <c r="BB145" i="23"/>
  <c r="BC145" i="23"/>
  <c r="BH145" i="23"/>
  <c r="BI145" i="23"/>
  <c r="BN145" i="23"/>
  <c r="BO145" i="23"/>
  <c r="BT145" i="23"/>
  <c r="BU145" i="23"/>
  <c r="BZ145" i="23"/>
  <c r="CA145" i="23"/>
  <c r="CF145" i="23"/>
  <c r="CG145" i="23"/>
  <c r="CL145" i="23"/>
  <c r="CM145" i="23"/>
  <c r="CR145" i="23"/>
  <c r="CS145" i="23"/>
  <c r="CX145" i="23"/>
  <c r="CY145" i="23"/>
  <c r="DD145" i="23"/>
  <c r="DE145" i="23"/>
  <c r="DF145" i="23"/>
  <c r="DJ145" i="23" s="1"/>
  <c r="F145" i="23" s="1"/>
  <c r="DG145" i="23"/>
  <c r="DH145" i="23"/>
  <c r="DI145" i="23"/>
  <c r="R146" i="23"/>
  <c r="S146" i="23"/>
  <c r="X146" i="23"/>
  <c r="Y146" i="23"/>
  <c r="AD146" i="23"/>
  <c r="AE146" i="23"/>
  <c r="AF146" i="23"/>
  <c r="AJ146" i="23" s="1"/>
  <c r="AG146" i="23"/>
  <c r="AH146" i="23"/>
  <c r="AI146" i="23"/>
  <c r="AP146" i="23"/>
  <c r="AQ146" i="23"/>
  <c r="AV146" i="23"/>
  <c r="AW146" i="23"/>
  <c r="BB146" i="23"/>
  <c r="BC146" i="23"/>
  <c r="BH146" i="23"/>
  <c r="BI146" i="23"/>
  <c r="BN146" i="23"/>
  <c r="BO146" i="23"/>
  <c r="BT146" i="23"/>
  <c r="BU146" i="23"/>
  <c r="BZ146" i="23"/>
  <c r="CA146" i="23"/>
  <c r="CF146" i="23"/>
  <c r="CG146" i="23"/>
  <c r="CL146" i="23"/>
  <c r="CM146" i="23"/>
  <c r="CR146" i="23"/>
  <c r="CS146" i="23"/>
  <c r="CX146" i="23"/>
  <c r="CY146" i="23"/>
  <c r="DD146" i="23"/>
  <c r="DE146" i="23"/>
  <c r="DF146" i="23"/>
  <c r="DJ146" i="23" s="1"/>
  <c r="F146" i="23" s="1"/>
  <c r="DG146" i="23"/>
  <c r="DH146" i="23"/>
  <c r="DI146" i="23"/>
  <c r="R147" i="23"/>
  <c r="S147" i="23"/>
  <c r="X147" i="23"/>
  <c r="Y147" i="23"/>
  <c r="AD147" i="23"/>
  <c r="AE147" i="23"/>
  <c r="AF147" i="23"/>
  <c r="AJ147" i="23" s="1"/>
  <c r="AG147" i="23"/>
  <c r="AK147" i="23" s="1"/>
  <c r="AH147" i="23"/>
  <c r="AI147" i="23"/>
  <c r="AP147" i="23"/>
  <c r="AQ147" i="23"/>
  <c r="AV147" i="23"/>
  <c r="AW147" i="23"/>
  <c r="BB147" i="23"/>
  <c r="BC147" i="23"/>
  <c r="BH147" i="23"/>
  <c r="BI147" i="23"/>
  <c r="BN147" i="23"/>
  <c r="BO147" i="23"/>
  <c r="BT147" i="23"/>
  <c r="BU147" i="23"/>
  <c r="BZ147" i="23"/>
  <c r="CA147" i="23"/>
  <c r="CF147" i="23"/>
  <c r="CG147" i="23"/>
  <c r="CL147" i="23"/>
  <c r="CM147" i="23"/>
  <c r="CR147" i="23"/>
  <c r="CS147" i="23"/>
  <c r="CX147" i="23"/>
  <c r="CY147" i="23"/>
  <c r="DD147" i="23"/>
  <c r="DE147" i="23"/>
  <c r="DF147" i="23"/>
  <c r="DJ147" i="23" s="1"/>
  <c r="F147" i="23" s="1"/>
  <c r="DG147" i="23"/>
  <c r="DH147" i="23"/>
  <c r="DI147" i="23"/>
  <c r="R148" i="23"/>
  <c r="S148" i="23"/>
  <c r="X148" i="23"/>
  <c r="Y148" i="23"/>
  <c r="AD148" i="23"/>
  <c r="AE148" i="23"/>
  <c r="AF148" i="23"/>
  <c r="AJ148" i="23" s="1"/>
  <c r="AG148" i="23"/>
  <c r="AK148" i="23" s="1"/>
  <c r="AH148" i="23"/>
  <c r="AI148" i="23"/>
  <c r="AP148" i="23"/>
  <c r="AQ148" i="23"/>
  <c r="AV148" i="23"/>
  <c r="AW148" i="23"/>
  <c r="BB148" i="23"/>
  <c r="BC148" i="23"/>
  <c r="BH148" i="23"/>
  <c r="BI148" i="23"/>
  <c r="BN148" i="23"/>
  <c r="BO148" i="23"/>
  <c r="BT148" i="23"/>
  <c r="BU148" i="23"/>
  <c r="BZ148" i="23"/>
  <c r="CA148" i="23"/>
  <c r="CF148" i="23"/>
  <c r="CG148" i="23"/>
  <c r="CL148" i="23"/>
  <c r="CM148" i="23"/>
  <c r="CR148" i="23"/>
  <c r="CS148" i="23"/>
  <c r="CX148" i="23"/>
  <c r="CY148" i="23"/>
  <c r="DD148" i="23"/>
  <c r="DE148" i="23"/>
  <c r="DF148" i="23"/>
  <c r="DJ148" i="23" s="1"/>
  <c r="F148" i="23" s="1"/>
  <c r="DG148" i="23"/>
  <c r="DH148" i="23"/>
  <c r="DI148" i="23"/>
  <c r="R149" i="23"/>
  <c r="S149" i="23"/>
  <c r="X149" i="23"/>
  <c r="Y149" i="23"/>
  <c r="AD149" i="23"/>
  <c r="AE149" i="23"/>
  <c r="AF149" i="23"/>
  <c r="AJ149" i="23" s="1"/>
  <c r="AG149" i="23"/>
  <c r="AK149" i="23" s="1"/>
  <c r="AH149" i="23"/>
  <c r="AI149" i="23"/>
  <c r="AP149" i="23"/>
  <c r="AQ149" i="23"/>
  <c r="AV149" i="23"/>
  <c r="AW149" i="23"/>
  <c r="BB149" i="23"/>
  <c r="BC149" i="23"/>
  <c r="BH149" i="23"/>
  <c r="BI149" i="23"/>
  <c r="BN149" i="23"/>
  <c r="BO149" i="23"/>
  <c r="BT149" i="23"/>
  <c r="BU149" i="23"/>
  <c r="BZ149" i="23"/>
  <c r="CA149" i="23"/>
  <c r="CF149" i="23"/>
  <c r="CG149" i="23"/>
  <c r="CL149" i="23"/>
  <c r="CM149" i="23"/>
  <c r="CR149" i="23"/>
  <c r="CS149" i="23"/>
  <c r="CX149" i="23"/>
  <c r="CY149" i="23"/>
  <c r="DD149" i="23"/>
  <c r="DE149" i="23"/>
  <c r="DF149" i="23"/>
  <c r="DJ149" i="23" s="1"/>
  <c r="F149" i="23" s="1"/>
  <c r="DG149" i="23"/>
  <c r="DH149" i="23"/>
  <c r="DI149" i="23"/>
  <c r="R150" i="23"/>
  <c r="S150" i="23"/>
  <c r="X150" i="23"/>
  <c r="Y150" i="23"/>
  <c r="AD150" i="23"/>
  <c r="AE150" i="23"/>
  <c r="AF150" i="23"/>
  <c r="AJ150" i="23" s="1"/>
  <c r="AG150" i="23"/>
  <c r="AH150" i="23"/>
  <c r="AI150" i="23"/>
  <c r="AP150" i="23"/>
  <c r="AQ150" i="23"/>
  <c r="AV150" i="23"/>
  <c r="AW150" i="23"/>
  <c r="BB150" i="23"/>
  <c r="BC150" i="23"/>
  <c r="BH150" i="23"/>
  <c r="BI150" i="23"/>
  <c r="BN150" i="23"/>
  <c r="BO150" i="23"/>
  <c r="BT150" i="23"/>
  <c r="BU150" i="23"/>
  <c r="BZ150" i="23"/>
  <c r="CA150" i="23"/>
  <c r="CF150" i="23"/>
  <c r="CG150" i="23"/>
  <c r="CL150" i="23"/>
  <c r="CM150" i="23"/>
  <c r="CR150" i="23"/>
  <c r="CS150" i="23"/>
  <c r="CX150" i="23"/>
  <c r="CY150" i="23"/>
  <c r="DD150" i="23"/>
  <c r="DE150" i="23"/>
  <c r="DF150" i="23"/>
  <c r="DJ150" i="23" s="1"/>
  <c r="F150" i="23" s="1"/>
  <c r="DG150" i="23"/>
  <c r="DH150" i="23"/>
  <c r="DI150" i="23"/>
  <c r="R151" i="23"/>
  <c r="S151" i="23"/>
  <c r="X151" i="23"/>
  <c r="Y151" i="23"/>
  <c r="AD151" i="23"/>
  <c r="AE151" i="23"/>
  <c r="AF151" i="23"/>
  <c r="AJ151" i="23" s="1"/>
  <c r="AG151" i="23"/>
  <c r="AH151" i="23"/>
  <c r="AI151" i="23"/>
  <c r="AP151" i="23"/>
  <c r="AQ151" i="23"/>
  <c r="AV151" i="23"/>
  <c r="AW151" i="23"/>
  <c r="BB151" i="23"/>
  <c r="BC151" i="23"/>
  <c r="BH151" i="23"/>
  <c r="BI151" i="23"/>
  <c r="BN151" i="23"/>
  <c r="BO151" i="23"/>
  <c r="BT151" i="23"/>
  <c r="BU151" i="23"/>
  <c r="BZ151" i="23"/>
  <c r="CA151" i="23"/>
  <c r="CF151" i="23"/>
  <c r="CG151" i="23"/>
  <c r="CL151" i="23"/>
  <c r="CM151" i="23"/>
  <c r="CR151" i="23"/>
  <c r="CS151" i="23"/>
  <c r="CX151" i="23"/>
  <c r="CY151" i="23"/>
  <c r="DD151" i="23"/>
  <c r="DE151" i="23"/>
  <c r="DF151" i="23"/>
  <c r="DJ151" i="23" s="1"/>
  <c r="F151" i="23" s="1"/>
  <c r="DG151" i="23"/>
  <c r="DH151" i="23"/>
  <c r="DI151" i="23"/>
  <c r="R152" i="23"/>
  <c r="S152" i="23"/>
  <c r="X152" i="23"/>
  <c r="Y152" i="23"/>
  <c r="AD152" i="23"/>
  <c r="AE152" i="23"/>
  <c r="AF152" i="23"/>
  <c r="AJ152" i="23" s="1"/>
  <c r="AG152" i="23"/>
  <c r="AK152" i="23" s="1"/>
  <c r="AH152" i="23"/>
  <c r="AI152" i="23"/>
  <c r="AP152" i="23"/>
  <c r="AQ152" i="23"/>
  <c r="AV152" i="23"/>
  <c r="AW152" i="23"/>
  <c r="BB152" i="23"/>
  <c r="BC152" i="23"/>
  <c r="BH152" i="23"/>
  <c r="BI152" i="23"/>
  <c r="BN152" i="23"/>
  <c r="BO152" i="23"/>
  <c r="BT152" i="23"/>
  <c r="BU152" i="23"/>
  <c r="BZ152" i="23"/>
  <c r="CA152" i="23"/>
  <c r="CF152" i="23"/>
  <c r="CG152" i="23"/>
  <c r="CL152" i="23"/>
  <c r="CM152" i="23"/>
  <c r="CR152" i="23"/>
  <c r="CS152" i="23"/>
  <c r="CX152" i="23"/>
  <c r="CY152" i="23"/>
  <c r="DD152" i="23"/>
  <c r="DE152" i="23"/>
  <c r="DF152" i="23"/>
  <c r="DJ152" i="23" s="1"/>
  <c r="F152" i="23" s="1"/>
  <c r="DG152" i="23"/>
  <c r="DH152" i="23"/>
  <c r="DI152" i="23"/>
  <c r="R153" i="23"/>
  <c r="S153" i="23"/>
  <c r="X153" i="23"/>
  <c r="Y153" i="23"/>
  <c r="AD153" i="23"/>
  <c r="AE153" i="23"/>
  <c r="AF153" i="23"/>
  <c r="AJ153" i="23" s="1"/>
  <c r="AG153" i="23"/>
  <c r="AH153" i="23"/>
  <c r="AI153" i="23"/>
  <c r="AP153" i="23"/>
  <c r="AQ153" i="23"/>
  <c r="AV153" i="23"/>
  <c r="AW153" i="23"/>
  <c r="BB153" i="23"/>
  <c r="BC153" i="23"/>
  <c r="BH153" i="23"/>
  <c r="BI153" i="23"/>
  <c r="BN153" i="23"/>
  <c r="BO153" i="23"/>
  <c r="BT153" i="23"/>
  <c r="BU153" i="23"/>
  <c r="BZ153" i="23"/>
  <c r="CA153" i="23"/>
  <c r="CF153" i="23"/>
  <c r="CG153" i="23"/>
  <c r="CL153" i="23"/>
  <c r="CM153" i="23"/>
  <c r="CR153" i="23"/>
  <c r="CS153" i="23"/>
  <c r="CX153" i="23"/>
  <c r="CY153" i="23"/>
  <c r="DD153" i="23"/>
  <c r="DE153" i="23"/>
  <c r="DF153" i="23"/>
  <c r="DJ153" i="23" s="1"/>
  <c r="F153" i="23" s="1"/>
  <c r="DG153" i="23"/>
  <c r="DH153" i="23"/>
  <c r="DI153" i="23"/>
  <c r="R154" i="23"/>
  <c r="S154" i="23"/>
  <c r="X154" i="23"/>
  <c r="Y154" i="23"/>
  <c r="AD154" i="23"/>
  <c r="AE154" i="23"/>
  <c r="AF154" i="23"/>
  <c r="AJ154" i="23" s="1"/>
  <c r="AG154" i="23"/>
  <c r="AH154" i="23"/>
  <c r="AI154" i="23"/>
  <c r="AP154" i="23"/>
  <c r="AQ154" i="23"/>
  <c r="AV154" i="23"/>
  <c r="AW154" i="23"/>
  <c r="BB154" i="23"/>
  <c r="BC154" i="23"/>
  <c r="BH154" i="23"/>
  <c r="BI154" i="23"/>
  <c r="BN154" i="23"/>
  <c r="BO154" i="23"/>
  <c r="BT154" i="23"/>
  <c r="BU154" i="23"/>
  <c r="BZ154" i="23"/>
  <c r="CA154" i="23"/>
  <c r="CF154" i="23"/>
  <c r="CG154" i="23"/>
  <c r="CL154" i="23"/>
  <c r="CM154" i="23"/>
  <c r="CR154" i="23"/>
  <c r="CS154" i="23"/>
  <c r="CX154" i="23"/>
  <c r="CY154" i="23"/>
  <c r="DD154" i="23"/>
  <c r="DE154" i="23"/>
  <c r="DF154" i="23"/>
  <c r="DJ154" i="23" s="1"/>
  <c r="F154" i="23" s="1"/>
  <c r="DG154" i="23"/>
  <c r="DH154" i="23"/>
  <c r="DI154" i="23"/>
  <c r="R155" i="23"/>
  <c r="S155" i="23"/>
  <c r="X155" i="23"/>
  <c r="Y155" i="23"/>
  <c r="AD155" i="23"/>
  <c r="AE155" i="23"/>
  <c r="AF155" i="23"/>
  <c r="AJ155" i="23" s="1"/>
  <c r="AG155" i="23"/>
  <c r="AK155" i="23" s="1"/>
  <c r="AH155" i="23"/>
  <c r="AI155" i="23"/>
  <c r="AP155" i="23"/>
  <c r="AQ155" i="23"/>
  <c r="AV155" i="23"/>
  <c r="AW155" i="23"/>
  <c r="BB155" i="23"/>
  <c r="BC155" i="23"/>
  <c r="BH155" i="23"/>
  <c r="BI155" i="23"/>
  <c r="BN155" i="23"/>
  <c r="BO155" i="23"/>
  <c r="BT155" i="23"/>
  <c r="BU155" i="23"/>
  <c r="BZ155" i="23"/>
  <c r="CA155" i="23"/>
  <c r="CF155" i="23"/>
  <c r="CG155" i="23"/>
  <c r="CL155" i="23"/>
  <c r="CM155" i="23"/>
  <c r="CR155" i="23"/>
  <c r="CS155" i="23"/>
  <c r="CX155" i="23"/>
  <c r="CY155" i="23"/>
  <c r="DD155" i="23"/>
  <c r="DE155" i="23"/>
  <c r="DF155" i="23"/>
  <c r="DJ155" i="23" s="1"/>
  <c r="F155" i="23" s="1"/>
  <c r="DG155" i="23"/>
  <c r="DH155" i="23"/>
  <c r="DI155" i="23"/>
  <c r="R156" i="23"/>
  <c r="S156" i="23"/>
  <c r="X156" i="23"/>
  <c r="Y156" i="23"/>
  <c r="AD156" i="23"/>
  <c r="AE156" i="23"/>
  <c r="AF156" i="23"/>
  <c r="AJ156" i="23" s="1"/>
  <c r="AG156" i="23"/>
  <c r="AK156" i="23" s="1"/>
  <c r="AH156" i="23"/>
  <c r="AI156" i="23"/>
  <c r="AP156" i="23"/>
  <c r="AQ156" i="23"/>
  <c r="AV156" i="23"/>
  <c r="AW156" i="23"/>
  <c r="BB156" i="23"/>
  <c r="BC156" i="23"/>
  <c r="BH156" i="23"/>
  <c r="BI156" i="23"/>
  <c r="BN156" i="23"/>
  <c r="BO156" i="23"/>
  <c r="BT156" i="23"/>
  <c r="BU156" i="23"/>
  <c r="BZ156" i="23"/>
  <c r="CA156" i="23"/>
  <c r="CF156" i="23"/>
  <c r="CG156" i="23"/>
  <c r="CL156" i="23"/>
  <c r="CM156" i="23"/>
  <c r="CR156" i="23"/>
  <c r="CS156" i="23"/>
  <c r="CX156" i="23"/>
  <c r="CY156" i="23"/>
  <c r="DD156" i="23"/>
  <c r="DE156" i="23"/>
  <c r="DF156" i="23"/>
  <c r="DJ156" i="23" s="1"/>
  <c r="F156" i="23" s="1"/>
  <c r="DG156" i="23"/>
  <c r="DH156" i="23"/>
  <c r="DI156" i="23"/>
  <c r="R157" i="23"/>
  <c r="S157" i="23"/>
  <c r="X157" i="23"/>
  <c r="Y157" i="23"/>
  <c r="AD157" i="23"/>
  <c r="AE157" i="23"/>
  <c r="AF157" i="23"/>
  <c r="AJ157" i="23" s="1"/>
  <c r="AG157" i="23"/>
  <c r="AK157" i="23" s="1"/>
  <c r="AH157" i="23"/>
  <c r="AI157" i="23"/>
  <c r="AP157" i="23"/>
  <c r="AQ157" i="23"/>
  <c r="AV157" i="23"/>
  <c r="AW157" i="23"/>
  <c r="BB157" i="23"/>
  <c r="BC157" i="23"/>
  <c r="BH157" i="23"/>
  <c r="BI157" i="23"/>
  <c r="BN157" i="23"/>
  <c r="BO157" i="23"/>
  <c r="BT157" i="23"/>
  <c r="BU157" i="23"/>
  <c r="BZ157" i="23"/>
  <c r="CA157" i="23"/>
  <c r="CF157" i="23"/>
  <c r="CG157" i="23"/>
  <c r="CL157" i="23"/>
  <c r="CM157" i="23"/>
  <c r="CR157" i="23"/>
  <c r="CS157" i="23"/>
  <c r="CX157" i="23"/>
  <c r="CY157" i="23"/>
  <c r="DD157" i="23"/>
  <c r="DE157" i="23"/>
  <c r="DF157" i="23"/>
  <c r="DJ157" i="23" s="1"/>
  <c r="F157" i="23" s="1"/>
  <c r="DG157" i="23"/>
  <c r="DH157" i="23"/>
  <c r="DI157" i="23"/>
  <c r="R158" i="23"/>
  <c r="S158" i="23"/>
  <c r="X158" i="23"/>
  <c r="Y158" i="23"/>
  <c r="AD158" i="23"/>
  <c r="AE158" i="23"/>
  <c r="AF158" i="23"/>
  <c r="AJ158" i="23" s="1"/>
  <c r="AG158" i="23"/>
  <c r="AH158" i="23"/>
  <c r="AI158" i="23"/>
  <c r="AP158" i="23"/>
  <c r="AQ158" i="23"/>
  <c r="AV158" i="23"/>
  <c r="AW158" i="23"/>
  <c r="BB158" i="23"/>
  <c r="BC158" i="23"/>
  <c r="BH158" i="23"/>
  <c r="BI158" i="23"/>
  <c r="BN158" i="23"/>
  <c r="BO158" i="23"/>
  <c r="BT158" i="23"/>
  <c r="BU158" i="23"/>
  <c r="BZ158" i="23"/>
  <c r="CA158" i="23"/>
  <c r="CF158" i="23"/>
  <c r="CG158" i="23"/>
  <c r="CL158" i="23"/>
  <c r="CM158" i="23"/>
  <c r="CR158" i="23"/>
  <c r="CS158" i="23"/>
  <c r="CX158" i="23"/>
  <c r="CY158" i="23"/>
  <c r="DD158" i="23"/>
  <c r="DE158" i="23"/>
  <c r="DF158" i="23"/>
  <c r="DJ158" i="23" s="1"/>
  <c r="F158" i="23" s="1"/>
  <c r="DG158" i="23"/>
  <c r="DH158" i="23"/>
  <c r="DI158" i="23"/>
  <c r="R159" i="23"/>
  <c r="S159" i="23"/>
  <c r="X159" i="23"/>
  <c r="Y159" i="23"/>
  <c r="AD159" i="23"/>
  <c r="AE159" i="23"/>
  <c r="AF159" i="23"/>
  <c r="AJ159" i="23" s="1"/>
  <c r="AG159" i="23"/>
  <c r="AH159" i="23"/>
  <c r="AI159" i="23"/>
  <c r="AP159" i="23"/>
  <c r="AQ159" i="23"/>
  <c r="AV159" i="23"/>
  <c r="AW159" i="23"/>
  <c r="BB159" i="23"/>
  <c r="BC159" i="23"/>
  <c r="BH159" i="23"/>
  <c r="BI159" i="23"/>
  <c r="BN159" i="23"/>
  <c r="BO159" i="23"/>
  <c r="BT159" i="23"/>
  <c r="BU159" i="23"/>
  <c r="BZ159" i="23"/>
  <c r="CA159" i="23"/>
  <c r="CF159" i="23"/>
  <c r="CG159" i="23"/>
  <c r="CL159" i="23"/>
  <c r="CM159" i="23"/>
  <c r="CR159" i="23"/>
  <c r="CS159" i="23"/>
  <c r="CX159" i="23"/>
  <c r="CY159" i="23"/>
  <c r="DD159" i="23"/>
  <c r="DE159" i="23"/>
  <c r="DF159" i="23"/>
  <c r="DJ159" i="23" s="1"/>
  <c r="F159" i="23" s="1"/>
  <c r="DG159" i="23"/>
  <c r="DH159" i="23"/>
  <c r="DI159" i="23"/>
  <c r="R160" i="23"/>
  <c r="S160" i="23"/>
  <c r="X160" i="23"/>
  <c r="Y160" i="23"/>
  <c r="AD160" i="23"/>
  <c r="AE160" i="23"/>
  <c r="AF160" i="23"/>
  <c r="AJ160" i="23" s="1"/>
  <c r="AG160" i="23"/>
  <c r="AK160" i="23" s="1"/>
  <c r="AH160" i="23"/>
  <c r="AI160" i="23"/>
  <c r="L160" i="23" s="1"/>
  <c r="AP160" i="23"/>
  <c r="AQ160" i="23"/>
  <c r="AV160" i="23"/>
  <c r="AW160" i="23"/>
  <c r="BB160" i="23"/>
  <c r="BC160" i="23"/>
  <c r="BH160" i="23"/>
  <c r="BI160" i="23"/>
  <c r="BN160" i="23"/>
  <c r="BO160" i="23"/>
  <c r="BT160" i="23"/>
  <c r="BU160" i="23"/>
  <c r="BZ160" i="23"/>
  <c r="CA160" i="23"/>
  <c r="CF160" i="23"/>
  <c r="CG160" i="23"/>
  <c r="CL160" i="23"/>
  <c r="CM160" i="23"/>
  <c r="CR160" i="23"/>
  <c r="CS160" i="23"/>
  <c r="CX160" i="23"/>
  <c r="CY160" i="23"/>
  <c r="DD160" i="23"/>
  <c r="DE160" i="23"/>
  <c r="DF160" i="23"/>
  <c r="DJ160" i="23" s="1"/>
  <c r="F160" i="23" s="1"/>
  <c r="DG160" i="23"/>
  <c r="DH160" i="23"/>
  <c r="DI160" i="23"/>
  <c r="DK160" i="23" s="1"/>
  <c r="L161" i="23"/>
  <c r="R161" i="23"/>
  <c r="S161" i="23"/>
  <c r="X161" i="23"/>
  <c r="Y161" i="23"/>
  <c r="AD161" i="23"/>
  <c r="AE161" i="23"/>
  <c r="AF161" i="23"/>
  <c r="AJ161" i="23" s="1"/>
  <c r="AG161" i="23"/>
  <c r="AK161" i="23" s="1"/>
  <c r="AH161" i="23"/>
  <c r="AI161" i="23"/>
  <c r="AP161" i="23"/>
  <c r="AQ161" i="23"/>
  <c r="AV161" i="23"/>
  <c r="AW161" i="23"/>
  <c r="BB161" i="23"/>
  <c r="BC161" i="23"/>
  <c r="BH161" i="23"/>
  <c r="BI161" i="23"/>
  <c r="BN161" i="23"/>
  <c r="BO161" i="23"/>
  <c r="BT161" i="23"/>
  <c r="BU161" i="23"/>
  <c r="BZ161" i="23"/>
  <c r="CA161" i="23"/>
  <c r="CF161" i="23"/>
  <c r="CG161" i="23"/>
  <c r="CL161" i="23"/>
  <c r="CM161" i="23"/>
  <c r="CR161" i="23"/>
  <c r="CS161" i="23"/>
  <c r="CX161" i="23"/>
  <c r="CY161" i="23"/>
  <c r="DD161" i="23"/>
  <c r="DE161" i="23"/>
  <c r="DF161" i="23"/>
  <c r="DG161" i="23"/>
  <c r="DH161" i="23"/>
  <c r="DI161" i="23"/>
  <c r="L162" i="23"/>
  <c r="R162" i="23"/>
  <c r="S162" i="23"/>
  <c r="X162" i="23"/>
  <c r="Y162" i="23"/>
  <c r="AD162" i="23"/>
  <c r="AE162" i="23"/>
  <c r="AF162" i="23"/>
  <c r="AJ162" i="23" s="1"/>
  <c r="AG162" i="23"/>
  <c r="AK162" i="23" s="1"/>
  <c r="AH162" i="23"/>
  <c r="AI162" i="23"/>
  <c r="AP162" i="23"/>
  <c r="AQ162" i="23"/>
  <c r="AV162" i="23"/>
  <c r="AW162" i="23"/>
  <c r="BB162" i="23"/>
  <c r="BC162" i="23"/>
  <c r="BH162" i="23"/>
  <c r="BI162" i="23"/>
  <c r="BN162" i="23"/>
  <c r="BO162" i="23"/>
  <c r="BT162" i="23"/>
  <c r="BU162" i="23"/>
  <c r="BZ162" i="23"/>
  <c r="CA162" i="23"/>
  <c r="CF162" i="23"/>
  <c r="CG162" i="23"/>
  <c r="CL162" i="23"/>
  <c r="CM162" i="23"/>
  <c r="CR162" i="23"/>
  <c r="CS162" i="23"/>
  <c r="CX162" i="23"/>
  <c r="CY162" i="23"/>
  <c r="DD162" i="23"/>
  <c r="DE162" i="23"/>
  <c r="DF162" i="23"/>
  <c r="DJ162" i="23" s="1"/>
  <c r="F162" i="23" s="1"/>
  <c r="DG162" i="23"/>
  <c r="DH162" i="23"/>
  <c r="DI162" i="23"/>
  <c r="L163" i="23"/>
  <c r="R163" i="23"/>
  <c r="S163" i="23"/>
  <c r="X163" i="23"/>
  <c r="Y163" i="23"/>
  <c r="AD163" i="23"/>
  <c r="AE163" i="23"/>
  <c r="AF163" i="23"/>
  <c r="AJ163" i="23" s="1"/>
  <c r="AG163" i="23"/>
  <c r="AK163" i="23" s="1"/>
  <c r="AH163" i="23"/>
  <c r="AI163" i="23"/>
  <c r="AP163" i="23"/>
  <c r="AQ163" i="23"/>
  <c r="AV163" i="23"/>
  <c r="AW163" i="23"/>
  <c r="BB163" i="23"/>
  <c r="BC163" i="23"/>
  <c r="BH163" i="23"/>
  <c r="BI163" i="23"/>
  <c r="BN163" i="23"/>
  <c r="BO163" i="23"/>
  <c r="BT163" i="23"/>
  <c r="BU163" i="23"/>
  <c r="BZ163" i="23"/>
  <c r="CA163" i="23"/>
  <c r="CF163" i="23"/>
  <c r="CG163" i="23"/>
  <c r="CL163" i="23"/>
  <c r="CM163" i="23"/>
  <c r="CR163" i="23"/>
  <c r="CS163" i="23"/>
  <c r="CX163" i="23"/>
  <c r="CY163" i="23"/>
  <c r="DD163" i="23"/>
  <c r="DE163" i="23"/>
  <c r="DF163" i="23"/>
  <c r="DG163" i="23"/>
  <c r="DH163" i="23"/>
  <c r="DI163" i="23"/>
  <c r="L164" i="23"/>
  <c r="R164" i="23"/>
  <c r="S164" i="23"/>
  <c r="X164" i="23"/>
  <c r="Y164" i="23"/>
  <c r="AD164" i="23"/>
  <c r="AE164" i="23"/>
  <c r="AF164" i="23"/>
  <c r="AJ164" i="23" s="1"/>
  <c r="AG164" i="23"/>
  <c r="AK164" i="23" s="1"/>
  <c r="AH164" i="23"/>
  <c r="AI164" i="23"/>
  <c r="AP164" i="23"/>
  <c r="AQ164" i="23"/>
  <c r="AV164" i="23"/>
  <c r="AW164" i="23"/>
  <c r="BB164" i="23"/>
  <c r="BC164" i="23"/>
  <c r="BH164" i="23"/>
  <c r="BI164" i="23"/>
  <c r="BN164" i="23"/>
  <c r="BO164" i="23"/>
  <c r="BT164" i="23"/>
  <c r="BU164" i="23"/>
  <c r="BZ164" i="23"/>
  <c r="CA164" i="23"/>
  <c r="CF164" i="23"/>
  <c r="CG164" i="23"/>
  <c r="CL164" i="23"/>
  <c r="CM164" i="23"/>
  <c r="CR164" i="23"/>
  <c r="CS164" i="23"/>
  <c r="CX164" i="23"/>
  <c r="CY164" i="23"/>
  <c r="DD164" i="23"/>
  <c r="DE164" i="23"/>
  <c r="DF164" i="23"/>
  <c r="DJ164" i="23" s="1"/>
  <c r="F164" i="23" s="1"/>
  <c r="DG164" i="23"/>
  <c r="DH164" i="23"/>
  <c r="DI164" i="23"/>
  <c r="R165" i="23"/>
  <c r="S165" i="23"/>
  <c r="X165" i="23"/>
  <c r="Y165" i="23"/>
  <c r="AD165" i="23"/>
  <c r="AE165" i="23"/>
  <c r="AF165" i="23"/>
  <c r="AJ165" i="23" s="1"/>
  <c r="AG165" i="23"/>
  <c r="AK165" i="23" s="1"/>
  <c r="AH165" i="23"/>
  <c r="AI165" i="23"/>
  <c r="L165" i="23" s="1"/>
  <c r="AP165" i="23"/>
  <c r="AQ165" i="23"/>
  <c r="AV165" i="23"/>
  <c r="AW165" i="23"/>
  <c r="BB165" i="23"/>
  <c r="BC165" i="23"/>
  <c r="BH165" i="23"/>
  <c r="BI165" i="23"/>
  <c r="BN165" i="23"/>
  <c r="BO165" i="23"/>
  <c r="BT165" i="23"/>
  <c r="BU165" i="23"/>
  <c r="BZ165" i="23"/>
  <c r="CA165" i="23"/>
  <c r="CF165" i="23"/>
  <c r="CG165" i="23"/>
  <c r="CL165" i="23"/>
  <c r="CM165" i="23"/>
  <c r="CR165" i="23"/>
  <c r="CS165" i="23"/>
  <c r="CX165" i="23"/>
  <c r="CY165" i="23"/>
  <c r="DD165" i="23"/>
  <c r="DE165" i="23"/>
  <c r="DF165" i="23"/>
  <c r="DG165" i="23"/>
  <c r="DH165" i="23"/>
  <c r="DI165" i="23"/>
  <c r="L166" i="23"/>
  <c r="R166" i="23"/>
  <c r="S166" i="23"/>
  <c r="X166" i="23"/>
  <c r="Y166" i="23"/>
  <c r="AD166" i="23"/>
  <c r="AE166" i="23"/>
  <c r="AF166" i="23"/>
  <c r="AJ166" i="23" s="1"/>
  <c r="AG166" i="23"/>
  <c r="AK166" i="23" s="1"/>
  <c r="AH166" i="23"/>
  <c r="AI166" i="23"/>
  <c r="AP166" i="23"/>
  <c r="AQ166" i="23"/>
  <c r="AV166" i="23"/>
  <c r="AW166" i="23"/>
  <c r="BB166" i="23"/>
  <c r="BC166" i="23"/>
  <c r="BH166" i="23"/>
  <c r="BI166" i="23"/>
  <c r="BN166" i="23"/>
  <c r="BO166" i="23"/>
  <c r="BT166" i="23"/>
  <c r="BU166" i="23"/>
  <c r="BZ166" i="23"/>
  <c r="CA166" i="23"/>
  <c r="CF166" i="23"/>
  <c r="CG166" i="23"/>
  <c r="CL166" i="23"/>
  <c r="CM166" i="23"/>
  <c r="CR166" i="23"/>
  <c r="CS166" i="23"/>
  <c r="CX166" i="23"/>
  <c r="CY166" i="23"/>
  <c r="DD166" i="23"/>
  <c r="DE166" i="23"/>
  <c r="DF166" i="23"/>
  <c r="DJ166" i="23" s="1"/>
  <c r="F166" i="23" s="1"/>
  <c r="DG166" i="23"/>
  <c r="DH166" i="23"/>
  <c r="DI166" i="23"/>
  <c r="L167" i="23"/>
  <c r="R167" i="23"/>
  <c r="S167" i="23"/>
  <c r="X167" i="23"/>
  <c r="Y167" i="23"/>
  <c r="AD167" i="23"/>
  <c r="AE167" i="23"/>
  <c r="AF167" i="23"/>
  <c r="AJ167" i="23" s="1"/>
  <c r="AG167" i="23"/>
  <c r="AK167" i="23" s="1"/>
  <c r="AH167" i="23"/>
  <c r="AI167" i="23"/>
  <c r="AP167" i="23"/>
  <c r="AQ167" i="23"/>
  <c r="AV167" i="23"/>
  <c r="AW167" i="23"/>
  <c r="BB167" i="23"/>
  <c r="BC167" i="23"/>
  <c r="BH167" i="23"/>
  <c r="BI167" i="23"/>
  <c r="BN167" i="23"/>
  <c r="BO167" i="23"/>
  <c r="BT167" i="23"/>
  <c r="BU167" i="23"/>
  <c r="BZ167" i="23"/>
  <c r="CA167" i="23"/>
  <c r="CF167" i="23"/>
  <c r="CG167" i="23"/>
  <c r="CL167" i="23"/>
  <c r="CM167" i="23"/>
  <c r="CR167" i="23"/>
  <c r="CS167" i="23"/>
  <c r="CX167" i="23"/>
  <c r="CY167" i="23"/>
  <c r="DD167" i="23"/>
  <c r="DE167" i="23"/>
  <c r="DF167" i="23"/>
  <c r="DG167" i="23"/>
  <c r="DH167" i="23"/>
  <c r="DI167" i="23"/>
  <c r="R168" i="23"/>
  <c r="S168" i="23"/>
  <c r="X168" i="23"/>
  <c r="Y168" i="23"/>
  <c r="AD168" i="23"/>
  <c r="AE168" i="23"/>
  <c r="AF168" i="23"/>
  <c r="AJ168" i="23" s="1"/>
  <c r="AG168" i="23"/>
  <c r="AK168" i="23" s="1"/>
  <c r="AH168" i="23"/>
  <c r="AI168" i="23"/>
  <c r="L168" i="23" s="1"/>
  <c r="AP168" i="23"/>
  <c r="AQ168" i="23"/>
  <c r="AV168" i="23"/>
  <c r="AW168" i="23"/>
  <c r="BB168" i="23"/>
  <c r="BC168" i="23"/>
  <c r="BH168" i="23"/>
  <c r="BI168" i="23"/>
  <c r="BN168" i="23"/>
  <c r="BO168" i="23"/>
  <c r="BT168" i="23"/>
  <c r="BU168" i="23"/>
  <c r="BZ168" i="23"/>
  <c r="CA168" i="23"/>
  <c r="CF168" i="23"/>
  <c r="CG168" i="23"/>
  <c r="CL168" i="23"/>
  <c r="CM168" i="23"/>
  <c r="CR168" i="23"/>
  <c r="CS168" i="23"/>
  <c r="CX168" i="23"/>
  <c r="CY168" i="23"/>
  <c r="DD168" i="23"/>
  <c r="DE168" i="23"/>
  <c r="DF168" i="23"/>
  <c r="DG168" i="23"/>
  <c r="DH168" i="23"/>
  <c r="DI168" i="23"/>
  <c r="R169" i="23"/>
  <c r="S169" i="23"/>
  <c r="X169" i="23"/>
  <c r="Y169" i="23"/>
  <c r="AD169" i="23"/>
  <c r="AE169" i="23"/>
  <c r="AF169" i="23"/>
  <c r="AG169" i="23"/>
  <c r="AK169" i="23" s="1"/>
  <c r="AH169" i="23"/>
  <c r="AI169" i="23"/>
  <c r="L169" i="23" s="1"/>
  <c r="AJ169" i="23"/>
  <c r="AP169" i="23"/>
  <c r="AQ169" i="23"/>
  <c r="AV169" i="23"/>
  <c r="AW169" i="23"/>
  <c r="BB169" i="23"/>
  <c r="BC169" i="23"/>
  <c r="BH169" i="23"/>
  <c r="BI169" i="23"/>
  <c r="BN169" i="23"/>
  <c r="BO169" i="23"/>
  <c r="BT169" i="23"/>
  <c r="BU169" i="23"/>
  <c r="BZ169" i="23"/>
  <c r="CA169" i="23"/>
  <c r="CF169" i="23"/>
  <c r="CG169" i="23"/>
  <c r="CL169" i="23"/>
  <c r="CM169" i="23"/>
  <c r="CR169" i="23"/>
  <c r="CS169" i="23"/>
  <c r="CX169" i="23"/>
  <c r="CY169" i="23"/>
  <c r="DD169" i="23"/>
  <c r="DE169" i="23"/>
  <c r="DF169" i="23"/>
  <c r="DJ169" i="23" s="1"/>
  <c r="F169" i="23" s="1"/>
  <c r="DG169" i="23"/>
  <c r="DH169" i="23"/>
  <c r="DI169" i="23"/>
  <c r="R170" i="23"/>
  <c r="S170" i="23"/>
  <c r="X170" i="23"/>
  <c r="Y170" i="23"/>
  <c r="AD170" i="23"/>
  <c r="AE170" i="23"/>
  <c r="AF170" i="23"/>
  <c r="AG170" i="23"/>
  <c r="AH170" i="23"/>
  <c r="AJ170" i="23" s="1"/>
  <c r="AI170" i="23"/>
  <c r="AK170" i="23" s="1"/>
  <c r="AP170" i="23"/>
  <c r="AQ170" i="23"/>
  <c r="AV170" i="23"/>
  <c r="AW170" i="23"/>
  <c r="BB170" i="23"/>
  <c r="BC170" i="23"/>
  <c r="BH170" i="23"/>
  <c r="BI170" i="23"/>
  <c r="BN170" i="23"/>
  <c r="BO170" i="23"/>
  <c r="BT170" i="23"/>
  <c r="BU170" i="23"/>
  <c r="BZ170" i="23"/>
  <c r="CA170" i="23"/>
  <c r="CF170" i="23"/>
  <c r="CG170" i="23"/>
  <c r="CL170" i="23"/>
  <c r="CM170" i="23"/>
  <c r="CR170" i="23"/>
  <c r="CS170" i="23"/>
  <c r="CX170" i="23"/>
  <c r="CY170" i="23"/>
  <c r="DD170" i="23"/>
  <c r="DE170" i="23"/>
  <c r="DF170" i="23"/>
  <c r="DG170" i="23"/>
  <c r="DH170" i="23"/>
  <c r="DI170" i="23"/>
  <c r="DJ170" i="23"/>
  <c r="F170" i="23" s="1"/>
  <c r="R171" i="23"/>
  <c r="S171" i="23"/>
  <c r="X171" i="23"/>
  <c r="Y171" i="23"/>
  <c r="AD171" i="23"/>
  <c r="AE171" i="23"/>
  <c r="AF171" i="23"/>
  <c r="AG171" i="23"/>
  <c r="AH171" i="23"/>
  <c r="AJ171" i="23" s="1"/>
  <c r="AI171" i="23"/>
  <c r="AK171" i="23" s="1"/>
  <c r="AP171" i="23"/>
  <c r="AQ171" i="23"/>
  <c r="AV171" i="23"/>
  <c r="AW171" i="23"/>
  <c r="BB171" i="23"/>
  <c r="BC171" i="23"/>
  <c r="BH171" i="23"/>
  <c r="BI171" i="23"/>
  <c r="BN171" i="23"/>
  <c r="BO171" i="23"/>
  <c r="BT171" i="23"/>
  <c r="BU171" i="23"/>
  <c r="BZ171" i="23"/>
  <c r="CA171" i="23"/>
  <c r="CF171" i="23"/>
  <c r="CG171" i="23"/>
  <c r="CL171" i="23"/>
  <c r="CM171" i="23"/>
  <c r="CR171" i="23"/>
  <c r="CS171" i="23"/>
  <c r="CX171" i="23"/>
  <c r="CY171" i="23"/>
  <c r="DD171" i="23"/>
  <c r="DE171" i="23"/>
  <c r="DF171" i="23"/>
  <c r="DG171" i="23"/>
  <c r="DH171" i="23"/>
  <c r="DI171" i="23"/>
  <c r="DJ171" i="23"/>
  <c r="F171" i="23" s="1"/>
  <c r="R172" i="23"/>
  <c r="S172" i="23"/>
  <c r="X172" i="23"/>
  <c r="Y172" i="23"/>
  <c r="AD172" i="23"/>
  <c r="AE172" i="23"/>
  <c r="AF172" i="23"/>
  <c r="AG172" i="23"/>
  <c r="AH172" i="23"/>
  <c r="AJ172" i="23" s="1"/>
  <c r="AI172" i="23"/>
  <c r="AK172" i="23" s="1"/>
  <c r="AP172" i="23"/>
  <c r="AQ172" i="23"/>
  <c r="AV172" i="23"/>
  <c r="AW172" i="23"/>
  <c r="BB172" i="23"/>
  <c r="BC172" i="23"/>
  <c r="BH172" i="23"/>
  <c r="BI172" i="23"/>
  <c r="BN172" i="23"/>
  <c r="BO172" i="23"/>
  <c r="BT172" i="23"/>
  <c r="BU172" i="23"/>
  <c r="BZ172" i="23"/>
  <c r="CA172" i="23"/>
  <c r="CF172" i="23"/>
  <c r="CG172" i="23"/>
  <c r="CL172" i="23"/>
  <c r="CM172" i="23"/>
  <c r="CR172" i="23"/>
  <c r="CS172" i="23"/>
  <c r="CX172" i="23"/>
  <c r="CY172" i="23"/>
  <c r="DD172" i="23"/>
  <c r="DE172" i="23"/>
  <c r="DF172" i="23"/>
  <c r="DG172" i="23"/>
  <c r="DH172" i="23"/>
  <c r="DI172" i="23"/>
  <c r="DJ172" i="23"/>
  <c r="F172" i="23" s="1"/>
  <c r="R173" i="23"/>
  <c r="S173" i="23"/>
  <c r="X173" i="23"/>
  <c r="Y173" i="23"/>
  <c r="AD173" i="23"/>
  <c r="AE173" i="23"/>
  <c r="AF173" i="23"/>
  <c r="AG173" i="23"/>
  <c r="AH173" i="23"/>
  <c r="AJ173" i="23" s="1"/>
  <c r="AI173" i="23"/>
  <c r="AK173" i="23" s="1"/>
  <c r="AP173" i="23"/>
  <c r="AQ173" i="23"/>
  <c r="AV173" i="23"/>
  <c r="AW173" i="23"/>
  <c r="BB173" i="23"/>
  <c r="BC173" i="23"/>
  <c r="BH173" i="23"/>
  <c r="BI173" i="23"/>
  <c r="BN173" i="23"/>
  <c r="BO173" i="23"/>
  <c r="BT173" i="23"/>
  <c r="BU173" i="23"/>
  <c r="BZ173" i="23"/>
  <c r="CA173" i="23"/>
  <c r="CF173" i="23"/>
  <c r="CG173" i="23"/>
  <c r="CL173" i="23"/>
  <c r="CM173" i="23"/>
  <c r="CR173" i="23"/>
  <c r="CS173" i="23"/>
  <c r="CX173" i="23"/>
  <c r="CY173" i="23"/>
  <c r="DD173" i="23"/>
  <c r="DE173" i="23"/>
  <c r="DF173" i="23"/>
  <c r="DG173" i="23"/>
  <c r="DH173" i="23"/>
  <c r="DI173" i="23"/>
  <c r="DJ173" i="23"/>
  <c r="F173" i="23" s="1"/>
  <c r="R174" i="23"/>
  <c r="S174" i="23"/>
  <c r="X174" i="23"/>
  <c r="Y174" i="23"/>
  <c r="AD174" i="23"/>
  <c r="AE174" i="23"/>
  <c r="AF174" i="23"/>
  <c r="AG174" i="23"/>
  <c r="AH174" i="23"/>
  <c r="AJ174" i="23" s="1"/>
  <c r="AI174" i="23"/>
  <c r="AK174" i="23" s="1"/>
  <c r="AP174" i="23"/>
  <c r="AQ174" i="23"/>
  <c r="AV174" i="23"/>
  <c r="AW174" i="23"/>
  <c r="BB174" i="23"/>
  <c r="BC174" i="23"/>
  <c r="BH174" i="23"/>
  <c r="BI174" i="23"/>
  <c r="BN174" i="23"/>
  <c r="BO174" i="23"/>
  <c r="BT174" i="23"/>
  <c r="BU174" i="23"/>
  <c r="BZ174" i="23"/>
  <c r="CA174" i="23"/>
  <c r="CF174" i="23"/>
  <c r="CG174" i="23"/>
  <c r="CL174" i="23"/>
  <c r="CM174" i="23"/>
  <c r="CR174" i="23"/>
  <c r="CS174" i="23"/>
  <c r="CX174" i="23"/>
  <c r="CY174" i="23"/>
  <c r="DD174" i="23"/>
  <c r="DE174" i="23"/>
  <c r="DF174" i="23"/>
  <c r="DG174" i="23"/>
  <c r="DH174" i="23"/>
  <c r="DI174" i="23"/>
  <c r="DJ174" i="23"/>
  <c r="F174" i="23" s="1"/>
  <c r="R175" i="23"/>
  <c r="S175" i="23"/>
  <c r="X175" i="23"/>
  <c r="Y175" i="23"/>
  <c r="AD175" i="23"/>
  <c r="AE175" i="23"/>
  <c r="AF175" i="23"/>
  <c r="AG175" i="23"/>
  <c r="AH175" i="23"/>
  <c r="AJ175" i="23" s="1"/>
  <c r="AI175" i="23"/>
  <c r="AK175" i="23" s="1"/>
  <c r="AP175" i="23"/>
  <c r="AQ175" i="23"/>
  <c r="AV175" i="23"/>
  <c r="AW175" i="23"/>
  <c r="BB175" i="23"/>
  <c r="BC175" i="23"/>
  <c r="BH175" i="23"/>
  <c r="BI175" i="23"/>
  <c r="BN175" i="23"/>
  <c r="BO175" i="23"/>
  <c r="BT175" i="23"/>
  <c r="BU175" i="23"/>
  <c r="BZ175" i="23"/>
  <c r="CA175" i="23"/>
  <c r="CF175" i="23"/>
  <c r="CG175" i="23"/>
  <c r="CL175" i="23"/>
  <c r="CM175" i="23"/>
  <c r="CR175" i="23"/>
  <c r="CS175" i="23"/>
  <c r="CX175" i="23"/>
  <c r="CY175" i="23"/>
  <c r="DD175" i="23"/>
  <c r="DE175" i="23"/>
  <c r="DF175" i="23"/>
  <c r="DG175" i="23"/>
  <c r="DH175" i="23"/>
  <c r="DI175" i="23"/>
  <c r="DJ175" i="23"/>
  <c r="F175" i="23" s="1"/>
  <c r="R176" i="23"/>
  <c r="S176" i="23"/>
  <c r="X176" i="23"/>
  <c r="Y176" i="23"/>
  <c r="AD176" i="23"/>
  <c r="AE176" i="23"/>
  <c r="AF176" i="23"/>
  <c r="AG176" i="23"/>
  <c r="AH176" i="23"/>
  <c r="AJ176" i="23" s="1"/>
  <c r="AI176" i="23"/>
  <c r="AK176" i="23" s="1"/>
  <c r="AP176" i="23"/>
  <c r="AQ176" i="23"/>
  <c r="AV176" i="23"/>
  <c r="AW176" i="23"/>
  <c r="BB176" i="23"/>
  <c r="BC176" i="23"/>
  <c r="BH176" i="23"/>
  <c r="BI176" i="23"/>
  <c r="BN176" i="23"/>
  <c r="BO176" i="23"/>
  <c r="BT176" i="23"/>
  <c r="BU176" i="23"/>
  <c r="BZ176" i="23"/>
  <c r="CA176" i="23"/>
  <c r="CF176" i="23"/>
  <c r="CG176" i="23"/>
  <c r="CL176" i="23"/>
  <c r="CM176" i="23"/>
  <c r="CR176" i="23"/>
  <c r="CS176" i="23"/>
  <c r="CX176" i="23"/>
  <c r="CY176" i="23"/>
  <c r="DD176" i="23"/>
  <c r="DE176" i="23"/>
  <c r="DF176" i="23"/>
  <c r="DG176" i="23"/>
  <c r="DH176" i="23"/>
  <c r="DI176" i="23"/>
  <c r="DJ176" i="23"/>
  <c r="F176" i="23" s="1"/>
  <c r="R31" i="23"/>
  <c r="S31" i="23"/>
  <c r="X31" i="23"/>
  <c r="Y31" i="23"/>
  <c r="AD31" i="23"/>
  <c r="AE31" i="23"/>
  <c r="AF31" i="23"/>
  <c r="AG31" i="23"/>
  <c r="AK31" i="23" s="1"/>
  <c r="AH31" i="23"/>
  <c r="AJ31" i="23" s="1"/>
  <c r="AI31" i="23"/>
  <c r="L31" i="23" s="1"/>
  <c r="AP31" i="23"/>
  <c r="AQ31" i="23"/>
  <c r="AV31" i="23"/>
  <c r="AW31" i="23"/>
  <c r="BB31" i="23"/>
  <c r="BC31" i="23"/>
  <c r="BH31" i="23"/>
  <c r="BI31" i="23"/>
  <c r="BN31" i="23"/>
  <c r="BO31" i="23"/>
  <c r="BT31" i="23"/>
  <c r="BU31" i="23"/>
  <c r="BZ31" i="23"/>
  <c r="CA31" i="23"/>
  <c r="CF31" i="23"/>
  <c r="CG31" i="23"/>
  <c r="CL31" i="23"/>
  <c r="CM31" i="23"/>
  <c r="CR31" i="23"/>
  <c r="CS31" i="23"/>
  <c r="CX31" i="23"/>
  <c r="CY31" i="23"/>
  <c r="DD31" i="23"/>
  <c r="DE31" i="23"/>
  <c r="DF31" i="23"/>
  <c r="DG31" i="23"/>
  <c r="DH31" i="23"/>
  <c r="DI31" i="23"/>
  <c r="DJ31" i="23"/>
  <c r="F31" i="23" s="1"/>
  <c r="R32" i="23"/>
  <c r="S32" i="23"/>
  <c r="X32" i="23"/>
  <c r="Y32" i="23"/>
  <c r="AD32" i="23"/>
  <c r="AE32" i="23"/>
  <c r="AF32" i="23"/>
  <c r="AJ32" i="23" s="1"/>
  <c r="AG32" i="23"/>
  <c r="AK32" i="23" s="1"/>
  <c r="AH32" i="23"/>
  <c r="AI32" i="23"/>
  <c r="L32" i="23" s="1"/>
  <c r="AP32" i="23"/>
  <c r="AQ32" i="23"/>
  <c r="AV32" i="23"/>
  <c r="AW32" i="23"/>
  <c r="BB32" i="23"/>
  <c r="BC32" i="23"/>
  <c r="BH32" i="23"/>
  <c r="BI32" i="23"/>
  <c r="BN32" i="23"/>
  <c r="BO32" i="23"/>
  <c r="BT32" i="23"/>
  <c r="BU32" i="23"/>
  <c r="BZ32" i="23"/>
  <c r="CA32" i="23"/>
  <c r="CF32" i="23"/>
  <c r="CG32" i="23"/>
  <c r="CL32" i="23"/>
  <c r="CM32" i="23"/>
  <c r="CR32" i="23"/>
  <c r="CS32" i="23"/>
  <c r="CX32" i="23"/>
  <c r="CY32" i="23"/>
  <c r="DD32" i="23"/>
  <c r="DE32" i="23"/>
  <c r="DF32" i="23"/>
  <c r="DG32" i="23"/>
  <c r="DH32" i="23"/>
  <c r="DI32" i="23"/>
  <c r="DJ32" i="23"/>
  <c r="F32" i="23" s="1"/>
  <c r="L33" i="23"/>
  <c r="R33" i="23"/>
  <c r="S33" i="23"/>
  <c r="X33" i="23"/>
  <c r="Y33" i="23"/>
  <c r="AD33" i="23"/>
  <c r="AE33" i="23"/>
  <c r="AF33" i="23"/>
  <c r="AG33" i="23"/>
  <c r="AK33" i="23" s="1"/>
  <c r="AH33" i="23"/>
  <c r="AI33" i="23"/>
  <c r="AP33" i="23"/>
  <c r="AQ33" i="23"/>
  <c r="AV33" i="23"/>
  <c r="AW33" i="23"/>
  <c r="BB33" i="23"/>
  <c r="BC33" i="23"/>
  <c r="BH33" i="23"/>
  <c r="BI33" i="23"/>
  <c r="BN33" i="23"/>
  <c r="BO33" i="23"/>
  <c r="BT33" i="23"/>
  <c r="BU33" i="23"/>
  <c r="BZ33" i="23"/>
  <c r="CA33" i="23"/>
  <c r="CF33" i="23"/>
  <c r="CG33" i="23"/>
  <c r="CL33" i="23"/>
  <c r="CM33" i="23"/>
  <c r="CR33" i="23"/>
  <c r="CS33" i="23"/>
  <c r="CX33" i="23"/>
  <c r="CY33" i="23"/>
  <c r="DD33" i="23"/>
  <c r="DE33" i="23"/>
  <c r="DF33" i="23"/>
  <c r="DG33" i="23"/>
  <c r="DH33" i="23"/>
  <c r="DI33" i="23"/>
  <c r="DJ33" i="23"/>
  <c r="F33" i="23" s="1"/>
  <c r="L34" i="23"/>
  <c r="R34" i="23"/>
  <c r="S34" i="23"/>
  <c r="X34" i="23"/>
  <c r="Y34" i="23"/>
  <c r="AD34" i="23"/>
  <c r="AE34" i="23"/>
  <c r="AF34" i="23"/>
  <c r="AJ34" i="23" s="1"/>
  <c r="AG34" i="23"/>
  <c r="AK34" i="23" s="1"/>
  <c r="AH34" i="23"/>
  <c r="AI34" i="23"/>
  <c r="AP34" i="23"/>
  <c r="AQ34" i="23"/>
  <c r="AV34" i="23"/>
  <c r="AW34" i="23"/>
  <c r="BB34" i="23"/>
  <c r="BC34" i="23"/>
  <c r="BH34" i="23"/>
  <c r="BI34" i="23"/>
  <c r="BN34" i="23"/>
  <c r="BO34" i="23"/>
  <c r="BT34" i="23"/>
  <c r="BU34" i="23"/>
  <c r="BZ34" i="23"/>
  <c r="CA34" i="23"/>
  <c r="CF34" i="23"/>
  <c r="CG34" i="23"/>
  <c r="CL34" i="23"/>
  <c r="CM34" i="23"/>
  <c r="CR34" i="23"/>
  <c r="CS34" i="23"/>
  <c r="CX34" i="23"/>
  <c r="CY34" i="23"/>
  <c r="DD34" i="23"/>
  <c r="DE34" i="23"/>
  <c r="DF34" i="23"/>
  <c r="DG34" i="23"/>
  <c r="DH34" i="23"/>
  <c r="DI34" i="23"/>
  <c r="DJ34" i="23"/>
  <c r="F34" i="23" s="1"/>
  <c r="L35" i="23"/>
  <c r="R35" i="23"/>
  <c r="S35" i="23"/>
  <c r="X35" i="23"/>
  <c r="Y35" i="23"/>
  <c r="AD35" i="23"/>
  <c r="AE35" i="23"/>
  <c r="AF35" i="23"/>
  <c r="AG35" i="23"/>
  <c r="AK35" i="23" s="1"/>
  <c r="AH35" i="23"/>
  <c r="AI35" i="23"/>
  <c r="AP35" i="23"/>
  <c r="AQ35" i="23"/>
  <c r="AV35" i="23"/>
  <c r="AW35" i="23"/>
  <c r="BB35" i="23"/>
  <c r="BC35" i="23"/>
  <c r="BH35" i="23"/>
  <c r="BI35" i="23"/>
  <c r="BN35" i="23"/>
  <c r="BO35" i="23"/>
  <c r="BT35" i="23"/>
  <c r="BU35" i="23"/>
  <c r="BZ35" i="23"/>
  <c r="CA35" i="23"/>
  <c r="CF35" i="23"/>
  <c r="CG35" i="23"/>
  <c r="CL35" i="23"/>
  <c r="CM35" i="23"/>
  <c r="CR35" i="23"/>
  <c r="CS35" i="23"/>
  <c r="CX35" i="23"/>
  <c r="CY35" i="23"/>
  <c r="DD35" i="23"/>
  <c r="DE35" i="23"/>
  <c r="DF35" i="23"/>
  <c r="DG35" i="23"/>
  <c r="DH35" i="23"/>
  <c r="DI35" i="23"/>
  <c r="DJ35" i="23"/>
  <c r="F35" i="23" s="1"/>
  <c r="L36" i="23"/>
  <c r="R36" i="23"/>
  <c r="S36" i="23"/>
  <c r="X36" i="23"/>
  <c r="Y36" i="23"/>
  <c r="AD36" i="23"/>
  <c r="AE36" i="23"/>
  <c r="AF36" i="23"/>
  <c r="AG36" i="23"/>
  <c r="AK36" i="23" s="1"/>
  <c r="AH36" i="23"/>
  <c r="AI36" i="23"/>
  <c r="AP36" i="23"/>
  <c r="AQ36" i="23"/>
  <c r="AV36" i="23"/>
  <c r="AW36" i="23"/>
  <c r="BB36" i="23"/>
  <c r="BC36" i="23"/>
  <c r="BH36" i="23"/>
  <c r="BI36" i="23"/>
  <c r="BN36" i="23"/>
  <c r="BO36" i="23"/>
  <c r="BT36" i="23"/>
  <c r="BU36" i="23"/>
  <c r="BZ36" i="23"/>
  <c r="CA36" i="23"/>
  <c r="CF36" i="23"/>
  <c r="CG36" i="23"/>
  <c r="CL36" i="23"/>
  <c r="CM36" i="23"/>
  <c r="CR36" i="23"/>
  <c r="CS36" i="23"/>
  <c r="CX36" i="23"/>
  <c r="CY36" i="23"/>
  <c r="DD36" i="23"/>
  <c r="DE36" i="23"/>
  <c r="DF36" i="23"/>
  <c r="DG36" i="23"/>
  <c r="DH36" i="23"/>
  <c r="DI36" i="23"/>
  <c r="DJ36" i="23"/>
  <c r="F36" i="23" s="1"/>
  <c r="L37" i="23"/>
  <c r="R37" i="23"/>
  <c r="S37" i="23"/>
  <c r="X37" i="23"/>
  <c r="Y37" i="23"/>
  <c r="AD37" i="23"/>
  <c r="AE37" i="23"/>
  <c r="AF37" i="23"/>
  <c r="AG37" i="23"/>
  <c r="AK37" i="23" s="1"/>
  <c r="AH37" i="23"/>
  <c r="AI37" i="23"/>
  <c r="AP37" i="23"/>
  <c r="AQ37" i="23"/>
  <c r="AV37" i="23"/>
  <c r="AW37" i="23"/>
  <c r="BB37" i="23"/>
  <c r="BC37" i="23"/>
  <c r="BH37" i="23"/>
  <c r="BI37" i="23"/>
  <c r="BN37" i="23"/>
  <c r="BO37" i="23"/>
  <c r="BT37" i="23"/>
  <c r="BU37" i="23"/>
  <c r="BZ37" i="23"/>
  <c r="CA37" i="23"/>
  <c r="CF37" i="23"/>
  <c r="CG37" i="23"/>
  <c r="CL37" i="23"/>
  <c r="CM37" i="23"/>
  <c r="CR37" i="23"/>
  <c r="CS37" i="23"/>
  <c r="CX37" i="23"/>
  <c r="CY37" i="23"/>
  <c r="DD37" i="23"/>
  <c r="DE37" i="23"/>
  <c r="DF37" i="23"/>
  <c r="DG37" i="23"/>
  <c r="DH37" i="23"/>
  <c r="DI37" i="23"/>
  <c r="DJ37" i="23"/>
  <c r="F37" i="23" s="1"/>
  <c r="L38" i="23"/>
  <c r="R38" i="23"/>
  <c r="S38" i="23"/>
  <c r="X38" i="23"/>
  <c r="Y38" i="23"/>
  <c r="AD38" i="23"/>
  <c r="AE38" i="23"/>
  <c r="AF38" i="23"/>
  <c r="AG38" i="23"/>
  <c r="AK38" i="23" s="1"/>
  <c r="AH38" i="23"/>
  <c r="AI38" i="23"/>
  <c r="AP38" i="23"/>
  <c r="AQ38" i="23"/>
  <c r="AV38" i="23"/>
  <c r="AW38" i="23"/>
  <c r="BB38" i="23"/>
  <c r="BC38" i="23"/>
  <c r="BH38" i="23"/>
  <c r="BI38" i="23"/>
  <c r="BN38" i="23"/>
  <c r="BO38" i="23"/>
  <c r="BT38" i="23"/>
  <c r="BU38" i="23"/>
  <c r="BZ38" i="23"/>
  <c r="CA38" i="23"/>
  <c r="CF38" i="23"/>
  <c r="CG38" i="23"/>
  <c r="CL38" i="23"/>
  <c r="CM38" i="23"/>
  <c r="CR38" i="23"/>
  <c r="CS38" i="23"/>
  <c r="CX38" i="23"/>
  <c r="CY38" i="23"/>
  <c r="DD38" i="23"/>
  <c r="DE38" i="23"/>
  <c r="DF38" i="23"/>
  <c r="DG38" i="23"/>
  <c r="DH38" i="23"/>
  <c r="DI38" i="23"/>
  <c r="DJ38" i="23"/>
  <c r="F38" i="23" s="1"/>
  <c r="L39" i="23"/>
  <c r="R39" i="23"/>
  <c r="S39" i="23"/>
  <c r="X39" i="23"/>
  <c r="Y39" i="23"/>
  <c r="AD39" i="23"/>
  <c r="AE39" i="23"/>
  <c r="AF39" i="23"/>
  <c r="AJ39" i="23" s="1"/>
  <c r="AG39" i="23"/>
  <c r="AK39" i="23" s="1"/>
  <c r="AH39" i="23"/>
  <c r="AI39" i="23"/>
  <c r="AP39" i="23"/>
  <c r="AQ39" i="23"/>
  <c r="AV39" i="23"/>
  <c r="AW39" i="23"/>
  <c r="BB39" i="23"/>
  <c r="BC39" i="23"/>
  <c r="BH39" i="23"/>
  <c r="BI39" i="23"/>
  <c r="BN39" i="23"/>
  <c r="BO39" i="23"/>
  <c r="BT39" i="23"/>
  <c r="BU39" i="23"/>
  <c r="BZ39" i="23"/>
  <c r="CA39" i="23"/>
  <c r="CF39" i="23"/>
  <c r="CG39" i="23"/>
  <c r="CL39" i="23"/>
  <c r="CM39" i="23"/>
  <c r="CR39" i="23"/>
  <c r="CS39" i="23"/>
  <c r="CX39" i="23"/>
  <c r="CY39" i="23"/>
  <c r="DD39" i="23"/>
  <c r="DE39" i="23"/>
  <c r="DF39" i="23"/>
  <c r="DG39" i="23"/>
  <c r="DH39" i="23"/>
  <c r="DI39" i="23"/>
  <c r="DJ39" i="23"/>
  <c r="F39" i="23" s="1"/>
  <c r="L40" i="23"/>
  <c r="R40" i="23"/>
  <c r="S40" i="23"/>
  <c r="X40" i="23"/>
  <c r="Y40" i="23"/>
  <c r="AD40" i="23"/>
  <c r="AE40" i="23"/>
  <c r="AF40" i="23"/>
  <c r="AJ40" i="23" s="1"/>
  <c r="AG40" i="23"/>
  <c r="AK40" i="23" s="1"/>
  <c r="AH40" i="23"/>
  <c r="AI40" i="23"/>
  <c r="AP40" i="23"/>
  <c r="AQ40" i="23"/>
  <c r="AV40" i="23"/>
  <c r="AW40" i="23"/>
  <c r="BB40" i="23"/>
  <c r="BC40" i="23"/>
  <c r="BH40" i="23"/>
  <c r="BI40" i="23"/>
  <c r="BN40" i="23"/>
  <c r="BO40" i="23"/>
  <c r="BT40" i="23"/>
  <c r="BU40" i="23"/>
  <c r="BZ40" i="23"/>
  <c r="CA40" i="23"/>
  <c r="CF40" i="23"/>
  <c r="CG40" i="23"/>
  <c r="CL40" i="23"/>
  <c r="CM40" i="23"/>
  <c r="CR40" i="23"/>
  <c r="CS40" i="23"/>
  <c r="CX40" i="23"/>
  <c r="CY40" i="23"/>
  <c r="DD40" i="23"/>
  <c r="DE40" i="23"/>
  <c r="DF40" i="23"/>
  <c r="DG40" i="23"/>
  <c r="DH40" i="23"/>
  <c r="DI40" i="23"/>
  <c r="DJ40" i="23"/>
  <c r="F40" i="23" s="1"/>
  <c r="L41" i="23"/>
  <c r="R41" i="23"/>
  <c r="S41" i="23"/>
  <c r="X41" i="23"/>
  <c r="Y41" i="23"/>
  <c r="AD41" i="23"/>
  <c r="AE41" i="23"/>
  <c r="AF41" i="23"/>
  <c r="AG41" i="23"/>
  <c r="AK41" i="23" s="1"/>
  <c r="AH41" i="23"/>
  <c r="AI41" i="23"/>
  <c r="AP41" i="23"/>
  <c r="AQ41" i="23"/>
  <c r="AV41" i="23"/>
  <c r="AW41" i="23"/>
  <c r="BB41" i="23"/>
  <c r="BC41" i="23"/>
  <c r="BH41" i="23"/>
  <c r="BI41" i="23"/>
  <c r="BN41" i="23"/>
  <c r="BO41" i="23"/>
  <c r="BT41" i="23"/>
  <c r="BU41" i="23"/>
  <c r="BZ41" i="23"/>
  <c r="CA41" i="23"/>
  <c r="CF41" i="23"/>
  <c r="CG41" i="23"/>
  <c r="CL41" i="23"/>
  <c r="CM41" i="23"/>
  <c r="CR41" i="23"/>
  <c r="CS41" i="23"/>
  <c r="CX41" i="23"/>
  <c r="CY41" i="23"/>
  <c r="DD41" i="23"/>
  <c r="DE41" i="23"/>
  <c r="DF41" i="23"/>
  <c r="DG41" i="23"/>
  <c r="DH41" i="23"/>
  <c r="DI41" i="23"/>
  <c r="DJ41" i="23"/>
  <c r="F41" i="23" s="1"/>
  <c r="L42" i="23"/>
  <c r="R42" i="23"/>
  <c r="S42" i="23"/>
  <c r="X42" i="23"/>
  <c r="Y42" i="23"/>
  <c r="AD42" i="23"/>
  <c r="AE42" i="23"/>
  <c r="AF42" i="23"/>
  <c r="AJ42" i="23" s="1"/>
  <c r="AG42" i="23"/>
  <c r="AK42" i="23" s="1"/>
  <c r="AH42" i="23"/>
  <c r="AI42" i="23"/>
  <c r="AP42" i="23"/>
  <c r="AQ42" i="23"/>
  <c r="AV42" i="23"/>
  <c r="AW42" i="23"/>
  <c r="BB42" i="23"/>
  <c r="BC42" i="23"/>
  <c r="BH42" i="23"/>
  <c r="BI42" i="23"/>
  <c r="BN42" i="23"/>
  <c r="BO42" i="23"/>
  <c r="BT42" i="23"/>
  <c r="BU42" i="23"/>
  <c r="BZ42" i="23"/>
  <c r="CA42" i="23"/>
  <c r="CF42" i="23"/>
  <c r="CG42" i="23"/>
  <c r="CL42" i="23"/>
  <c r="CM42" i="23"/>
  <c r="CR42" i="23"/>
  <c r="CS42" i="23"/>
  <c r="CX42" i="23"/>
  <c r="CY42" i="23"/>
  <c r="DD42" i="23"/>
  <c r="DE42" i="23"/>
  <c r="DF42" i="23"/>
  <c r="DG42" i="23"/>
  <c r="DH42" i="23"/>
  <c r="DI42" i="23"/>
  <c r="DJ42" i="23"/>
  <c r="F42" i="23" s="1"/>
  <c r="L43" i="23"/>
  <c r="R43" i="23"/>
  <c r="S43" i="23"/>
  <c r="X43" i="23"/>
  <c r="Y43" i="23"/>
  <c r="AD43" i="23"/>
  <c r="AE43" i="23"/>
  <c r="AF43" i="23"/>
  <c r="AG43" i="23"/>
  <c r="AK43" i="23" s="1"/>
  <c r="AH43" i="23"/>
  <c r="AI43" i="23"/>
  <c r="AP43" i="23"/>
  <c r="AQ43" i="23"/>
  <c r="AV43" i="23"/>
  <c r="AW43" i="23"/>
  <c r="BB43" i="23"/>
  <c r="BC43" i="23"/>
  <c r="BH43" i="23"/>
  <c r="BI43" i="23"/>
  <c r="BN43" i="23"/>
  <c r="BO43" i="23"/>
  <c r="BT43" i="23"/>
  <c r="BU43" i="23"/>
  <c r="BZ43" i="23"/>
  <c r="CA43" i="23"/>
  <c r="CF43" i="23"/>
  <c r="CG43" i="23"/>
  <c r="CL43" i="23"/>
  <c r="CM43" i="23"/>
  <c r="CR43" i="23"/>
  <c r="CS43" i="23"/>
  <c r="CX43" i="23"/>
  <c r="CY43" i="23"/>
  <c r="DD43" i="23"/>
  <c r="DE43" i="23"/>
  <c r="DF43" i="23"/>
  <c r="DG43" i="23"/>
  <c r="DH43" i="23"/>
  <c r="DI43" i="23"/>
  <c r="DJ43" i="23"/>
  <c r="F43" i="23" s="1"/>
  <c r="L44" i="23"/>
  <c r="R44" i="23"/>
  <c r="S44" i="23"/>
  <c r="X44" i="23"/>
  <c r="Y44" i="23"/>
  <c r="AD44" i="23"/>
  <c r="AE44" i="23"/>
  <c r="AF44" i="23"/>
  <c r="AG44" i="23"/>
  <c r="AK44" i="23" s="1"/>
  <c r="AH44" i="23"/>
  <c r="AI44" i="23"/>
  <c r="AP44" i="23"/>
  <c r="AQ44" i="23"/>
  <c r="AV44" i="23"/>
  <c r="AW44" i="23"/>
  <c r="BB44" i="23"/>
  <c r="BC44" i="23"/>
  <c r="BH44" i="23"/>
  <c r="BI44" i="23"/>
  <c r="BN44" i="23"/>
  <c r="BO44" i="23"/>
  <c r="BT44" i="23"/>
  <c r="BU44" i="23"/>
  <c r="BZ44" i="23"/>
  <c r="CA44" i="23"/>
  <c r="CF44" i="23"/>
  <c r="CG44" i="23"/>
  <c r="CL44" i="23"/>
  <c r="CM44" i="23"/>
  <c r="CR44" i="23"/>
  <c r="CS44" i="23"/>
  <c r="CX44" i="23"/>
  <c r="CY44" i="23"/>
  <c r="DD44" i="23"/>
  <c r="DE44" i="23"/>
  <c r="DF44" i="23"/>
  <c r="DG44" i="23"/>
  <c r="DH44" i="23"/>
  <c r="DI44" i="23"/>
  <c r="DJ44" i="23"/>
  <c r="F44" i="23" s="1"/>
  <c r="L45" i="23"/>
  <c r="R45" i="23"/>
  <c r="S45" i="23"/>
  <c r="X45" i="23"/>
  <c r="Y45" i="23"/>
  <c r="AD45" i="23"/>
  <c r="AE45" i="23"/>
  <c r="AF45" i="23"/>
  <c r="AG45" i="23"/>
  <c r="AK45" i="23" s="1"/>
  <c r="AH45" i="23"/>
  <c r="AI45" i="23"/>
  <c r="AP45" i="23"/>
  <c r="AQ45" i="23"/>
  <c r="AV45" i="23"/>
  <c r="AW45" i="23"/>
  <c r="BB45" i="23"/>
  <c r="BC45" i="23"/>
  <c r="BH45" i="23"/>
  <c r="BI45" i="23"/>
  <c r="BN45" i="23"/>
  <c r="BO45" i="23"/>
  <c r="BT45" i="23"/>
  <c r="BU45" i="23"/>
  <c r="BZ45" i="23"/>
  <c r="CA45" i="23"/>
  <c r="CF45" i="23"/>
  <c r="CG45" i="23"/>
  <c r="CL45" i="23"/>
  <c r="CM45" i="23"/>
  <c r="CR45" i="23"/>
  <c r="CS45" i="23"/>
  <c r="CX45" i="23"/>
  <c r="CY45" i="23"/>
  <c r="DD45" i="23"/>
  <c r="DE45" i="23"/>
  <c r="DF45" i="23"/>
  <c r="DG45" i="23"/>
  <c r="DH45" i="23"/>
  <c r="DI45" i="23"/>
  <c r="DJ45" i="23"/>
  <c r="F45" i="23" s="1"/>
  <c r="L46" i="23"/>
  <c r="R46" i="23"/>
  <c r="S46" i="23"/>
  <c r="X46" i="23"/>
  <c r="Y46" i="23"/>
  <c r="AD46" i="23"/>
  <c r="AE46" i="23"/>
  <c r="AF46" i="23"/>
  <c r="AG46" i="23"/>
  <c r="AK46" i="23" s="1"/>
  <c r="AH46" i="23"/>
  <c r="AI46" i="23"/>
  <c r="AP46" i="23"/>
  <c r="AQ46" i="23"/>
  <c r="AV46" i="23"/>
  <c r="AW46" i="23"/>
  <c r="BB46" i="23"/>
  <c r="BC46" i="23"/>
  <c r="BH46" i="23"/>
  <c r="BI46" i="23"/>
  <c r="BN46" i="23"/>
  <c r="BO46" i="23"/>
  <c r="BT46" i="23"/>
  <c r="BU46" i="23"/>
  <c r="BZ46" i="23"/>
  <c r="CA46" i="23"/>
  <c r="CF46" i="23"/>
  <c r="CG46" i="23"/>
  <c r="CL46" i="23"/>
  <c r="CM46" i="23"/>
  <c r="CR46" i="23"/>
  <c r="CS46" i="23"/>
  <c r="CX46" i="23"/>
  <c r="CY46" i="23"/>
  <c r="DD46" i="23"/>
  <c r="DE46" i="23"/>
  <c r="DF46" i="23"/>
  <c r="DG46" i="23"/>
  <c r="DH46" i="23"/>
  <c r="DI46" i="23"/>
  <c r="DJ46" i="23"/>
  <c r="F46" i="23" s="1"/>
  <c r="L47" i="23"/>
  <c r="R47" i="23"/>
  <c r="S47" i="23"/>
  <c r="X47" i="23"/>
  <c r="Y47" i="23"/>
  <c r="AD47" i="23"/>
  <c r="AE47" i="23"/>
  <c r="AF47" i="23"/>
  <c r="AJ47" i="23" s="1"/>
  <c r="AG47" i="23"/>
  <c r="AK47" i="23" s="1"/>
  <c r="AH47" i="23"/>
  <c r="AI47" i="23"/>
  <c r="AP47" i="23"/>
  <c r="AQ47" i="23"/>
  <c r="AV47" i="23"/>
  <c r="AW47" i="23"/>
  <c r="BB47" i="23"/>
  <c r="BC47" i="23"/>
  <c r="BH47" i="23"/>
  <c r="BI47" i="23"/>
  <c r="BN47" i="23"/>
  <c r="BO47" i="23"/>
  <c r="BT47" i="23"/>
  <c r="BU47" i="23"/>
  <c r="BZ47" i="23"/>
  <c r="CA47" i="23"/>
  <c r="CF47" i="23"/>
  <c r="CG47" i="23"/>
  <c r="CL47" i="23"/>
  <c r="CM47" i="23"/>
  <c r="CR47" i="23"/>
  <c r="CS47" i="23"/>
  <c r="CX47" i="23"/>
  <c r="CY47" i="23"/>
  <c r="DD47" i="23"/>
  <c r="DE47" i="23"/>
  <c r="DF47" i="23"/>
  <c r="DG47" i="23"/>
  <c r="DH47" i="23"/>
  <c r="DI47" i="23"/>
  <c r="DJ47" i="23"/>
  <c r="F47" i="23" s="1"/>
  <c r="L48" i="23"/>
  <c r="R48" i="23"/>
  <c r="S48" i="23"/>
  <c r="X48" i="23"/>
  <c r="Y48" i="23"/>
  <c r="AD48" i="23"/>
  <c r="AE48" i="23"/>
  <c r="AF48" i="23"/>
  <c r="AJ48" i="23" s="1"/>
  <c r="AG48" i="23"/>
  <c r="AK48" i="23" s="1"/>
  <c r="AH48" i="23"/>
  <c r="AI48" i="23"/>
  <c r="AP48" i="23"/>
  <c r="AQ48" i="23"/>
  <c r="AV48" i="23"/>
  <c r="AW48" i="23"/>
  <c r="BB48" i="23"/>
  <c r="BC48" i="23"/>
  <c r="BH48" i="23"/>
  <c r="BI48" i="23"/>
  <c r="BN48" i="23"/>
  <c r="BO48" i="23"/>
  <c r="BT48" i="23"/>
  <c r="BU48" i="23"/>
  <c r="BZ48" i="23"/>
  <c r="CA48" i="23"/>
  <c r="CF48" i="23"/>
  <c r="CG48" i="23"/>
  <c r="CL48" i="23"/>
  <c r="CM48" i="23"/>
  <c r="CR48" i="23"/>
  <c r="CS48" i="23"/>
  <c r="CX48" i="23"/>
  <c r="CY48" i="23"/>
  <c r="DD48" i="23"/>
  <c r="DE48" i="23"/>
  <c r="DF48" i="23"/>
  <c r="DG48" i="23"/>
  <c r="DH48" i="23"/>
  <c r="DI48" i="23"/>
  <c r="DJ48" i="23"/>
  <c r="F48" i="23" s="1"/>
  <c r="L49" i="23"/>
  <c r="R49" i="23"/>
  <c r="S49" i="23"/>
  <c r="X49" i="23"/>
  <c r="Y49" i="23"/>
  <c r="AD49" i="23"/>
  <c r="AE49" i="23"/>
  <c r="AF49" i="23"/>
  <c r="AG49" i="23"/>
  <c r="AK49" i="23" s="1"/>
  <c r="AH49" i="23"/>
  <c r="AI49" i="23"/>
  <c r="AP49" i="23"/>
  <c r="AQ49" i="23"/>
  <c r="AV49" i="23"/>
  <c r="AW49" i="23"/>
  <c r="BB49" i="23"/>
  <c r="BC49" i="23"/>
  <c r="BH49" i="23"/>
  <c r="BI49" i="23"/>
  <c r="BN49" i="23"/>
  <c r="BO49" i="23"/>
  <c r="BT49" i="23"/>
  <c r="BU49" i="23"/>
  <c r="BZ49" i="23"/>
  <c r="CA49" i="23"/>
  <c r="CF49" i="23"/>
  <c r="CG49" i="23"/>
  <c r="CL49" i="23"/>
  <c r="CM49" i="23"/>
  <c r="CR49" i="23"/>
  <c r="CS49" i="23"/>
  <c r="CX49" i="23"/>
  <c r="CY49" i="23"/>
  <c r="DD49" i="23"/>
  <c r="DE49" i="23"/>
  <c r="DF49" i="23"/>
  <c r="DG49" i="23"/>
  <c r="DH49" i="23"/>
  <c r="DI49" i="23"/>
  <c r="DJ49" i="23"/>
  <c r="F49" i="23" s="1"/>
  <c r="L50" i="23"/>
  <c r="R50" i="23"/>
  <c r="S50" i="23"/>
  <c r="X50" i="23"/>
  <c r="Y50" i="23"/>
  <c r="AD50" i="23"/>
  <c r="AE50" i="23"/>
  <c r="AF50" i="23"/>
  <c r="AJ50" i="23" s="1"/>
  <c r="AG50" i="23"/>
  <c r="AK50" i="23" s="1"/>
  <c r="AH50" i="23"/>
  <c r="AI50" i="23"/>
  <c r="AP50" i="23"/>
  <c r="AQ50" i="23"/>
  <c r="AV50" i="23"/>
  <c r="AW50" i="23"/>
  <c r="BB50" i="23"/>
  <c r="BC50" i="23"/>
  <c r="BH50" i="23"/>
  <c r="BI50" i="23"/>
  <c r="BN50" i="23"/>
  <c r="BO50" i="23"/>
  <c r="BT50" i="23"/>
  <c r="BU50" i="23"/>
  <c r="BZ50" i="23"/>
  <c r="CA50" i="23"/>
  <c r="CF50" i="23"/>
  <c r="CG50" i="23"/>
  <c r="CL50" i="23"/>
  <c r="CM50" i="23"/>
  <c r="CR50" i="23"/>
  <c r="CS50" i="23"/>
  <c r="CX50" i="23"/>
  <c r="CY50" i="23"/>
  <c r="DD50" i="23"/>
  <c r="DE50" i="23"/>
  <c r="DF50" i="23"/>
  <c r="DG50" i="23"/>
  <c r="DH50" i="23"/>
  <c r="DI50" i="23"/>
  <c r="DJ50" i="23"/>
  <c r="F50" i="23" s="1"/>
  <c r="L51" i="23"/>
  <c r="R51" i="23"/>
  <c r="S51" i="23"/>
  <c r="X51" i="23"/>
  <c r="Y51" i="23"/>
  <c r="AD51" i="23"/>
  <c r="AE51" i="23"/>
  <c r="AF51" i="23"/>
  <c r="AG51" i="23"/>
  <c r="AK51" i="23" s="1"/>
  <c r="AH51" i="23"/>
  <c r="AI51" i="23"/>
  <c r="AP51" i="23"/>
  <c r="AQ51" i="23"/>
  <c r="AV51" i="23"/>
  <c r="AW51" i="23"/>
  <c r="BB51" i="23"/>
  <c r="BC51" i="23"/>
  <c r="BH51" i="23"/>
  <c r="BI51" i="23"/>
  <c r="BN51" i="23"/>
  <c r="BO51" i="23"/>
  <c r="BT51" i="23"/>
  <c r="BU51" i="23"/>
  <c r="BZ51" i="23"/>
  <c r="CA51" i="23"/>
  <c r="CF51" i="23"/>
  <c r="CG51" i="23"/>
  <c r="CL51" i="23"/>
  <c r="CM51" i="23"/>
  <c r="CR51" i="23"/>
  <c r="CS51" i="23"/>
  <c r="CX51" i="23"/>
  <c r="CY51" i="23"/>
  <c r="DD51" i="23"/>
  <c r="DE51" i="23"/>
  <c r="DF51" i="23"/>
  <c r="DG51" i="23"/>
  <c r="DH51" i="23"/>
  <c r="DI51" i="23"/>
  <c r="DJ51" i="23"/>
  <c r="F51" i="23" s="1"/>
  <c r="L52" i="23"/>
  <c r="R52" i="23"/>
  <c r="S52" i="23"/>
  <c r="X52" i="23"/>
  <c r="Y52" i="23"/>
  <c r="AD52" i="23"/>
  <c r="AE52" i="23"/>
  <c r="AF52" i="23"/>
  <c r="AJ52" i="23" s="1"/>
  <c r="AG52" i="23"/>
  <c r="AK52" i="23" s="1"/>
  <c r="AH52" i="23"/>
  <c r="AI52" i="23"/>
  <c r="AP52" i="23"/>
  <c r="AQ52" i="23"/>
  <c r="AV52" i="23"/>
  <c r="AW52" i="23"/>
  <c r="BB52" i="23"/>
  <c r="BC52" i="23"/>
  <c r="BH52" i="23"/>
  <c r="BI52" i="23"/>
  <c r="BN52" i="23"/>
  <c r="BO52" i="23"/>
  <c r="BT52" i="23"/>
  <c r="BU52" i="23"/>
  <c r="BZ52" i="23"/>
  <c r="CA52" i="23"/>
  <c r="CF52" i="23"/>
  <c r="CG52" i="23"/>
  <c r="CL52" i="23"/>
  <c r="CM52" i="23"/>
  <c r="CR52" i="23"/>
  <c r="CS52" i="23"/>
  <c r="CX52" i="23"/>
  <c r="CY52" i="23"/>
  <c r="DD52" i="23"/>
  <c r="DE52" i="23"/>
  <c r="DF52" i="23"/>
  <c r="DG52" i="23"/>
  <c r="DH52" i="23"/>
  <c r="DI52" i="23"/>
  <c r="DJ52" i="23"/>
  <c r="F52" i="23" s="1"/>
  <c r="L53" i="23"/>
  <c r="R53" i="23"/>
  <c r="S53" i="23"/>
  <c r="X53" i="23"/>
  <c r="Y53" i="23"/>
  <c r="AD53" i="23"/>
  <c r="AE53" i="23"/>
  <c r="AF53" i="23"/>
  <c r="AG53" i="23"/>
  <c r="AK53" i="23" s="1"/>
  <c r="AH53" i="23"/>
  <c r="AI53" i="23"/>
  <c r="AP53" i="23"/>
  <c r="AQ53" i="23"/>
  <c r="AV53" i="23"/>
  <c r="AW53" i="23"/>
  <c r="BB53" i="23"/>
  <c r="BC53" i="23"/>
  <c r="BH53" i="23"/>
  <c r="BI53" i="23"/>
  <c r="BN53" i="23"/>
  <c r="BO53" i="23"/>
  <c r="BT53" i="23"/>
  <c r="BU53" i="23"/>
  <c r="BZ53" i="23"/>
  <c r="CA53" i="23"/>
  <c r="CF53" i="23"/>
  <c r="CG53" i="23"/>
  <c r="CL53" i="23"/>
  <c r="CM53" i="23"/>
  <c r="CR53" i="23"/>
  <c r="CS53" i="23"/>
  <c r="CX53" i="23"/>
  <c r="CY53" i="23"/>
  <c r="DD53" i="23"/>
  <c r="DE53" i="23"/>
  <c r="DF53" i="23"/>
  <c r="DG53" i="23"/>
  <c r="DH53" i="23"/>
  <c r="DI53" i="23"/>
  <c r="DJ53" i="23"/>
  <c r="F53" i="23" s="1"/>
  <c r="L54" i="23"/>
  <c r="R54" i="23"/>
  <c r="S54" i="23"/>
  <c r="X54" i="23"/>
  <c r="Y54" i="23"/>
  <c r="AD54" i="23"/>
  <c r="AE54" i="23"/>
  <c r="AF54" i="23"/>
  <c r="AG54" i="23"/>
  <c r="AK54" i="23" s="1"/>
  <c r="AH54" i="23"/>
  <c r="AI54" i="23"/>
  <c r="AP54" i="23"/>
  <c r="AQ54" i="23"/>
  <c r="AV54" i="23"/>
  <c r="AW54" i="23"/>
  <c r="BB54" i="23"/>
  <c r="BC54" i="23"/>
  <c r="BH54" i="23"/>
  <c r="BI54" i="23"/>
  <c r="BN54" i="23"/>
  <c r="BO54" i="23"/>
  <c r="BT54" i="23"/>
  <c r="BU54" i="23"/>
  <c r="BZ54" i="23"/>
  <c r="CA54" i="23"/>
  <c r="CF54" i="23"/>
  <c r="CG54" i="23"/>
  <c r="CL54" i="23"/>
  <c r="CM54" i="23"/>
  <c r="CR54" i="23"/>
  <c r="CS54" i="23"/>
  <c r="CX54" i="23"/>
  <c r="CY54" i="23"/>
  <c r="DD54" i="23"/>
  <c r="DE54" i="23"/>
  <c r="DF54" i="23"/>
  <c r="DG54" i="23"/>
  <c r="DH54" i="23"/>
  <c r="DI54" i="23"/>
  <c r="DJ54" i="23"/>
  <c r="F54" i="23" s="1"/>
  <c r="L55" i="23"/>
  <c r="R55" i="23"/>
  <c r="S55" i="23"/>
  <c r="X55" i="23"/>
  <c r="Y55" i="23"/>
  <c r="AD55" i="23"/>
  <c r="AE55" i="23"/>
  <c r="AF55" i="23"/>
  <c r="AJ55" i="23" s="1"/>
  <c r="AG55" i="23"/>
  <c r="AK55" i="23" s="1"/>
  <c r="AH55" i="23"/>
  <c r="AI55" i="23"/>
  <c r="AP55" i="23"/>
  <c r="AQ55" i="23"/>
  <c r="AV55" i="23"/>
  <c r="AW55" i="23"/>
  <c r="BB55" i="23"/>
  <c r="BC55" i="23"/>
  <c r="BH55" i="23"/>
  <c r="BI55" i="23"/>
  <c r="BN55" i="23"/>
  <c r="BO55" i="23"/>
  <c r="BT55" i="23"/>
  <c r="BU55" i="23"/>
  <c r="BZ55" i="23"/>
  <c r="CA55" i="23"/>
  <c r="CF55" i="23"/>
  <c r="CG55" i="23"/>
  <c r="CL55" i="23"/>
  <c r="CM55" i="23"/>
  <c r="CR55" i="23"/>
  <c r="CS55" i="23"/>
  <c r="CX55" i="23"/>
  <c r="CY55" i="23"/>
  <c r="DD55" i="23"/>
  <c r="DE55" i="23"/>
  <c r="DF55" i="23"/>
  <c r="DG55" i="23"/>
  <c r="DH55" i="23"/>
  <c r="DI55" i="23"/>
  <c r="DJ55" i="23"/>
  <c r="F55" i="23" s="1"/>
  <c r="L56" i="23"/>
  <c r="R56" i="23"/>
  <c r="S56" i="23"/>
  <c r="X56" i="23"/>
  <c r="Y56" i="23"/>
  <c r="AD56" i="23"/>
  <c r="AE56" i="23"/>
  <c r="AF56" i="23"/>
  <c r="AJ56" i="23" s="1"/>
  <c r="AG56" i="23"/>
  <c r="AK56" i="23" s="1"/>
  <c r="AH56" i="23"/>
  <c r="AI56" i="23"/>
  <c r="AP56" i="23"/>
  <c r="AQ56" i="23"/>
  <c r="AV56" i="23"/>
  <c r="AW56" i="23"/>
  <c r="BB56" i="23"/>
  <c r="BC56" i="23"/>
  <c r="BH56" i="23"/>
  <c r="BI56" i="23"/>
  <c r="BN56" i="23"/>
  <c r="BO56" i="23"/>
  <c r="BT56" i="23"/>
  <c r="BU56" i="23"/>
  <c r="BZ56" i="23"/>
  <c r="CA56" i="23"/>
  <c r="CF56" i="23"/>
  <c r="CG56" i="23"/>
  <c r="CL56" i="23"/>
  <c r="CM56" i="23"/>
  <c r="CR56" i="23"/>
  <c r="CS56" i="23"/>
  <c r="CX56" i="23"/>
  <c r="CY56" i="23"/>
  <c r="DD56" i="23"/>
  <c r="DE56" i="23"/>
  <c r="DF56" i="23"/>
  <c r="DG56" i="23"/>
  <c r="DH56" i="23"/>
  <c r="DI56" i="23"/>
  <c r="DJ56" i="23"/>
  <c r="F56" i="23" s="1"/>
  <c r="L57" i="23"/>
  <c r="R57" i="23"/>
  <c r="S57" i="23"/>
  <c r="X57" i="23"/>
  <c r="Y57" i="23"/>
  <c r="AD57" i="23"/>
  <c r="AE57" i="23"/>
  <c r="AF57" i="23"/>
  <c r="AG57" i="23"/>
  <c r="AK57" i="23" s="1"/>
  <c r="AH57" i="23"/>
  <c r="AI57" i="23"/>
  <c r="AP57" i="23"/>
  <c r="AQ57" i="23"/>
  <c r="AV57" i="23"/>
  <c r="AW57" i="23"/>
  <c r="BB57" i="23"/>
  <c r="BC57" i="23"/>
  <c r="BH57" i="23"/>
  <c r="BI57" i="23"/>
  <c r="BN57" i="23"/>
  <c r="BO57" i="23"/>
  <c r="BT57" i="23"/>
  <c r="BU57" i="23"/>
  <c r="BZ57" i="23"/>
  <c r="CA57" i="23"/>
  <c r="CF57" i="23"/>
  <c r="CG57" i="23"/>
  <c r="CL57" i="23"/>
  <c r="CM57" i="23"/>
  <c r="CR57" i="23"/>
  <c r="CS57" i="23"/>
  <c r="CX57" i="23"/>
  <c r="CY57" i="23"/>
  <c r="DD57" i="23"/>
  <c r="DE57" i="23"/>
  <c r="DF57" i="23"/>
  <c r="DG57" i="23"/>
  <c r="DH57" i="23"/>
  <c r="DI57" i="23"/>
  <c r="DJ57" i="23"/>
  <c r="F57" i="23" s="1"/>
  <c r="L58" i="23"/>
  <c r="R58" i="23"/>
  <c r="S58" i="23"/>
  <c r="X58" i="23"/>
  <c r="Y58" i="23"/>
  <c r="AD58" i="23"/>
  <c r="AE58" i="23"/>
  <c r="AF58" i="23"/>
  <c r="AG58" i="23"/>
  <c r="AK58" i="23" s="1"/>
  <c r="AH58" i="23"/>
  <c r="AI58" i="23"/>
  <c r="AP58" i="23"/>
  <c r="AQ58" i="23"/>
  <c r="AV58" i="23"/>
  <c r="AW58" i="23"/>
  <c r="BB58" i="23"/>
  <c r="BC58" i="23"/>
  <c r="BH58" i="23"/>
  <c r="BI58" i="23"/>
  <c r="BN58" i="23"/>
  <c r="BO58" i="23"/>
  <c r="BT58" i="23"/>
  <c r="BU58" i="23"/>
  <c r="BZ58" i="23"/>
  <c r="CA58" i="23"/>
  <c r="CF58" i="23"/>
  <c r="CG58" i="23"/>
  <c r="CL58" i="23"/>
  <c r="CM58" i="23"/>
  <c r="CR58" i="23"/>
  <c r="CS58" i="23"/>
  <c r="CX58" i="23"/>
  <c r="CY58" i="23"/>
  <c r="DD58" i="23"/>
  <c r="DE58" i="23"/>
  <c r="DF58" i="23"/>
  <c r="DG58" i="23"/>
  <c r="DH58" i="23"/>
  <c r="DI58" i="23"/>
  <c r="DJ58" i="23"/>
  <c r="F58" i="23" s="1"/>
  <c r="L59" i="23"/>
  <c r="R59" i="23"/>
  <c r="S59" i="23"/>
  <c r="X59" i="23"/>
  <c r="Y59" i="23"/>
  <c r="AD59" i="23"/>
  <c r="AE59" i="23"/>
  <c r="AF59" i="23"/>
  <c r="AG59" i="23"/>
  <c r="AK59" i="23" s="1"/>
  <c r="AH59" i="23"/>
  <c r="AI59" i="23"/>
  <c r="AP59" i="23"/>
  <c r="AQ59" i="23"/>
  <c r="AV59" i="23"/>
  <c r="AW59" i="23"/>
  <c r="BB59" i="23"/>
  <c r="BC59" i="23"/>
  <c r="BH59" i="23"/>
  <c r="BI59" i="23"/>
  <c r="BN59" i="23"/>
  <c r="BO59" i="23"/>
  <c r="BT59" i="23"/>
  <c r="BU59" i="23"/>
  <c r="BZ59" i="23"/>
  <c r="CA59" i="23"/>
  <c r="CF59" i="23"/>
  <c r="CG59" i="23"/>
  <c r="CL59" i="23"/>
  <c r="CM59" i="23"/>
  <c r="CR59" i="23"/>
  <c r="CS59" i="23"/>
  <c r="CX59" i="23"/>
  <c r="CY59" i="23"/>
  <c r="DD59" i="23"/>
  <c r="DE59" i="23"/>
  <c r="DF59" i="23"/>
  <c r="DG59" i="23"/>
  <c r="DH59" i="23"/>
  <c r="DI59" i="23"/>
  <c r="DJ59" i="23"/>
  <c r="F59" i="23" s="1"/>
  <c r="L60" i="23"/>
  <c r="R60" i="23"/>
  <c r="S60" i="23"/>
  <c r="X60" i="23"/>
  <c r="Y60" i="23"/>
  <c r="AD60" i="23"/>
  <c r="AE60" i="23"/>
  <c r="AF60" i="23"/>
  <c r="AJ60" i="23" s="1"/>
  <c r="AG60" i="23"/>
  <c r="AK60" i="23" s="1"/>
  <c r="AH60" i="23"/>
  <c r="AI60" i="23"/>
  <c r="AP60" i="23"/>
  <c r="AQ60" i="23"/>
  <c r="AV60" i="23"/>
  <c r="AW60" i="23"/>
  <c r="BB60" i="23"/>
  <c r="BC60" i="23"/>
  <c r="BH60" i="23"/>
  <c r="BI60" i="23"/>
  <c r="BN60" i="23"/>
  <c r="BO60" i="23"/>
  <c r="BT60" i="23"/>
  <c r="BU60" i="23"/>
  <c r="BZ60" i="23"/>
  <c r="CA60" i="23"/>
  <c r="CF60" i="23"/>
  <c r="CG60" i="23"/>
  <c r="CL60" i="23"/>
  <c r="CM60" i="23"/>
  <c r="CR60" i="23"/>
  <c r="CS60" i="23"/>
  <c r="CX60" i="23"/>
  <c r="CY60" i="23"/>
  <c r="DD60" i="23"/>
  <c r="DE60" i="23"/>
  <c r="DF60" i="23"/>
  <c r="DG60" i="23"/>
  <c r="DH60" i="23"/>
  <c r="DI60" i="23"/>
  <c r="DJ60" i="23"/>
  <c r="F60" i="23" s="1"/>
  <c r="L61" i="23"/>
  <c r="R61" i="23"/>
  <c r="S61" i="23"/>
  <c r="X61" i="23"/>
  <c r="Y61" i="23"/>
  <c r="AD61" i="23"/>
  <c r="AE61" i="23"/>
  <c r="AF61" i="23"/>
  <c r="AG61" i="23"/>
  <c r="AK61" i="23" s="1"/>
  <c r="AH61" i="23"/>
  <c r="AI61" i="23"/>
  <c r="AP61" i="23"/>
  <c r="AQ61" i="23"/>
  <c r="AV61" i="23"/>
  <c r="AW61" i="23"/>
  <c r="BB61" i="23"/>
  <c r="BC61" i="23"/>
  <c r="BH61" i="23"/>
  <c r="BI61" i="23"/>
  <c r="BN61" i="23"/>
  <c r="BO61" i="23"/>
  <c r="BT61" i="23"/>
  <c r="BU61" i="23"/>
  <c r="BZ61" i="23"/>
  <c r="CA61" i="23"/>
  <c r="CF61" i="23"/>
  <c r="CG61" i="23"/>
  <c r="CL61" i="23"/>
  <c r="CM61" i="23"/>
  <c r="CR61" i="23"/>
  <c r="CS61" i="23"/>
  <c r="CX61" i="23"/>
  <c r="CY61" i="23"/>
  <c r="DD61" i="23"/>
  <c r="DE61" i="23"/>
  <c r="DF61" i="23"/>
  <c r="DG61" i="23"/>
  <c r="DH61" i="23"/>
  <c r="DI61" i="23"/>
  <c r="DJ61" i="23"/>
  <c r="F61" i="23" s="1"/>
  <c r="L62" i="23"/>
  <c r="R62" i="23"/>
  <c r="S62" i="23"/>
  <c r="X62" i="23"/>
  <c r="Y62" i="23"/>
  <c r="AD62" i="23"/>
  <c r="AE62" i="23"/>
  <c r="AF62" i="23"/>
  <c r="AG62" i="23"/>
  <c r="AK62" i="23" s="1"/>
  <c r="AH62" i="23"/>
  <c r="AI62" i="23"/>
  <c r="AP62" i="23"/>
  <c r="AQ62" i="23"/>
  <c r="AV62" i="23"/>
  <c r="AW62" i="23"/>
  <c r="BB62" i="23"/>
  <c r="BC62" i="23"/>
  <c r="BH62" i="23"/>
  <c r="BI62" i="23"/>
  <c r="BN62" i="23"/>
  <c r="BO62" i="23"/>
  <c r="BT62" i="23"/>
  <c r="BU62" i="23"/>
  <c r="BZ62" i="23"/>
  <c r="CA62" i="23"/>
  <c r="CF62" i="23"/>
  <c r="CG62" i="23"/>
  <c r="CL62" i="23"/>
  <c r="CM62" i="23"/>
  <c r="CR62" i="23"/>
  <c r="CS62" i="23"/>
  <c r="CX62" i="23"/>
  <c r="CY62" i="23"/>
  <c r="DD62" i="23"/>
  <c r="DE62" i="23"/>
  <c r="DF62" i="23"/>
  <c r="DG62" i="23"/>
  <c r="DH62" i="23"/>
  <c r="DI62" i="23"/>
  <c r="DJ62" i="23"/>
  <c r="F62" i="23" s="1"/>
  <c r="L63" i="23"/>
  <c r="R63" i="23"/>
  <c r="S63" i="23"/>
  <c r="X63" i="23"/>
  <c r="Y63" i="23"/>
  <c r="AD63" i="23"/>
  <c r="AE63" i="23"/>
  <c r="AF63" i="23"/>
  <c r="AJ63" i="23" s="1"/>
  <c r="AG63" i="23"/>
  <c r="AK63" i="23" s="1"/>
  <c r="AH63" i="23"/>
  <c r="AI63" i="23"/>
  <c r="AP63" i="23"/>
  <c r="AQ63" i="23"/>
  <c r="AV63" i="23"/>
  <c r="AW63" i="23"/>
  <c r="BB63" i="23"/>
  <c r="BC63" i="23"/>
  <c r="BH63" i="23"/>
  <c r="BI63" i="23"/>
  <c r="BN63" i="23"/>
  <c r="BO63" i="23"/>
  <c r="BT63" i="23"/>
  <c r="BU63" i="23"/>
  <c r="BZ63" i="23"/>
  <c r="CA63" i="23"/>
  <c r="CF63" i="23"/>
  <c r="CG63" i="23"/>
  <c r="CL63" i="23"/>
  <c r="CM63" i="23"/>
  <c r="CR63" i="23"/>
  <c r="CS63" i="23"/>
  <c r="CX63" i="23"/>
  <c r="CY63" i="23"/>
  <c r="DD63" i="23"/>
  <c r="DE63" i="23"/>
  <c r="DF63" i="23"/>
  <c r="DG63" i="23"/>
  <c r="DH63" i="23"/>
  <c r="DI63" i="23"/>
  <c r="DJ63" i="23"/>
  <c r="F63" i="23" s="1"/>
  <c r="L64" i="23"/>
  <c r="R64" i="23"/>
  <c r="S64" i="23"/>
  <c r="X64" i="23"/>
  <c r="Y64" i="23"/>
  <c r="AD64" i="23"/>
  <c r="AE64" i="23"/>
  <c r="AF64" i="23"/>
  <c r="AG64" i="23"/>
  <c r="AK64" i="23" s="1"/>
  <c r="AH64" i="23"/>
  <c r="AI64" i="23"/>
  <c r="AP64" i="23"/>
  <c r="AQ64" i="23"/>
  <c r="AV64" i="23"/>
  <c r="AW64" i="23"/>
  <c r="BB64" i="23"/>
  <c r="BC64" i="23"/>
  <c r="BH64" i="23"/>
  <c r="BI64" i="23"/>
  <c r="BN64" i="23"/>
  <c r="BO64" i="23"/>
  <c r="BT64" i="23"/>
  <c r="BU64" i="23"/>
  <c r="BZ64" i="23"/>
  <c r="CA64" i="23"/>
  <c r="CF64" i="23"/>
  <c r="CG64" i="23"/>
  <c r="CL64" i="23"/>
  <c r="CM64" i="23"/>
  <c r="CR64" i="23"/>
  <c r="CS64" i="23"/>
  <c r="CX64" i="23"/>
  <c r="CY64" i="23"/>
  <c r="DD64" i="23"/>
  <c r="DE64" i="23"/>
  <c r="DF64" i="23"/>
  <c r="DJ64" i="23" s="1"/>
  <c r="F64" i="23" s="1"/>
  <c r="DG64" i="23"/>
  <c r="DH64" i="23"/>
  <c r="DI64" i="23"/>
  <c r="L65" i="23"/>
  <c r="R65" i="23"/>
  <c r="S65" i="23"/>
  <c r="X65" i="23"/>
  <c r="Y65" i="23"/>
  <c r="AD65" i="23"/>
  <c r="AE65" i="23"/>
  <c r="AF65" i="23"/>
  <c r="AG65" i="23"/>
  <c r="AK65" i="23" s="1"/>
  <c r="AH65" i="23"/>
  <c r="AI65" i="23"/>
  <c r="AP65" i="23"/>
  <c r="AQ65" i="23"/>
  <c r="AV65" i="23"/>
  <c r="AW65" i="23"/>
  <c r="BB65" i="23"/>
  <c r="BC65" i="23"/>
  <c r="BH65" i="23"/>
  <c r="BI65" i="23"/>
  <c r="BN65" i="23"/>
  <c r="BO65" i="23"/>
  <c r="BT65" i="23"/>
  <c r="BU65" i="23"/>
  <c r="BZ65" i="23"/>
  <c r="CA65" i="23"/>
  <c r="CF65" i="23"/>
  <c r="CG65" i="23"/>
  <c r="CL65" i="23"/>
  <c r="CM65" i="23"/>
  <c r="CR65" i="23"/>
  <c r="CS65" i="23"/>
  <c r="CX65" i="23"/>
  <c r="CY65" i="23"/>
  <c r="DD65" i="23"/>
  <c r="DE65" i="23"/>
  <c r="DF65" i="23"/>
  <c r="DJ65" i="23" s="1"/>
  <c r="F65" i="23" s="1"/>
  <c r="DG65" i="23"/>
  <c r="DH65" i="23"/>
  <c r="DI65" i="23"/>
  <c r="K66" i="23"/>
  <c r="M66" i="23" s="1"/>
  <c r="L66" i="23"/>
  <c r="R66" i="23"/>
  <c r="S66" i="23"/>
  <c r="X66" i="23"/>
  <c r="Y66" i="23"/>
  <c r="AD66" i="23"/>
  <c r="AE66" i="23"/>
  <c r="AF66" i="23"/>
  <c r="AG66" i="23"/>
  <c r="AK66" i="23" s="1"/>
  <c r="AH66" i="23"/>
  <c r="AI66" i="23"/>
  <c r="AP66" i="23"/>
  <c r="AQ66" i="23"/>
  <c r="AV66" i="23"/>
  <c r="AW66" i="23"/>
  <c r="BB66" i="23"/>
  <c r="BC66" i="23"/>
  <c r="BH66" i="23"/>
  <c r="BI66" i="23"/>
  <c r="BN66" i="23"/>
  <c r="BO66" i="23"/>
  <c r="BT66" i="23"/>
  <c r="BU66" i="23"/>
  <c r="BZ66" i="23"/>
  <c r="CA66" i="23"/>
  <c r="CF66" i="23"/>
  <c r="CG66" i="23"/>
  <c r="CL66" i="23"/>
  <c r="CM66" i="23"/>
  <c r="CR66" i="23"/>
  <c r="CS66" i="23"/>
  <c r="CX66" i="23"/>
  <c r="CY66" i="23"/>
  <c r="DD66" i="23"/>
  <c r="DE66" i="23"/>
  <c r="DF66" i="23"/>
  <c r="DG66" i="23"/>
  <c r="DH66" i="23"/>
  <c r="DI66" i="23"/>
  <c r="L67" i="23"/>
  <c r="R67" i="23"/>
  <c r="S67" i="23"/>
  <c r="X67" i="23"/>
  <c r="Y67" i="23"/>
  <c r="AD67" i="23"/>
  <c r="AE67" i="23"/>
  <c r="AF67" i="23"/>
  <c r="AJ67" i="23" s="1"/>
  <c r="AG67" i="23"/>
  <c r="AK67" i="23" s="1"/>
  <c r="AH67" i="23"/>
  <c r="AI67" i="23"/>
  <c r="AP67" i="23"/>
  <c r="AQ67" i="23"/>
  <c r="AV67" i="23"/>
  <c r="AW67" i="23"/>
  <c r="BB67" i="23"/>
  <c r="BC67" i="23"/>
  <c r="BH67" i="23"/>
  <c r="BI67" i="23"/>
  <c r="BN67" i="23"/>
  <c r="BO67" i="23"/>
  <c r="BT67" i="23"/>
  <c r="BU67" i="23"/>
  <c r="BZ67" i="23"/>
  <c r="CA67" i="23"/>
  <c r="CF67" i="23"/>
  <c r="CG67" i="23"/>
  <c r="CL67" i="23"/>
  <c r="CM67" i="23"/>
  <c r="CR67" i="23"/>
  <c r="CS67" i="23"/>
  <c r="CX67" i="23"/>
  <c r="CY67" i="23"/>
  <c r="DD67" i="23"/>
  <c r="DE67" i="23"/>
  <c r="DF67" i="23"/>
  <c r="DJ67" i="23" s="1"/>
  <c r="F67" i="23" s="1"/>
  <c r="DG67" i="23"/>
  <c r="DH67" i="23"/>
  <c r="DI67" i="23"/>
  <c r="K68" i="23"/>
  <c r="L68" i="23"/>
  <c r="M68" i="23"/>
  <c r="R68" i="23"/>
  <c r="S68" i="23"/>
  <c r="X68" i="23"/>
  <c r="Y68" i="23"/>
  <c r="AD68" i="23"/>
  <c r="AE68" i="23"/>
  <c r="AF68" i="23"/>
  <c r="AJ68" i="23" s="1"/>
  <c r="AG68" i="23"/>
  <c r="AK68" i="23" s="1"/>
  <c r="AH68" i="23"/>
  <c r="AI68" i="23"/>
  <c r="AP68" i="23"/>
  <c r="AQ68" i="23"/>
  <c r="AV68" i="23"/>
  <c r="AW68" i="23"/>
  <c r="BB68" i="23"/>
  <c r="BC68" i="23"/>
  <c r="BH68" i="23"/>
  <c r="BI68" i="23"/>
  <c r="BN68" i="23"/>
  <c r="BO68" i="23"/>
  <c r="BT68" i="23"/>
  <c r="BU68" i="23"/>
  <c r="BZ68" i="23"/>
  <c r="CA68" i="23"/>
  <c r="CF68" i="23"/>
  <c r="CG68" i="23"/>
  <c r="CL68" i="23"/>
  <c r="CM68" i="23"/>
  <c r="CR68" i="23"/>
  <c r="CS68" i="23"/>
  <c r="CX68" i="23"/>
  <c r="CY68" i="23"/>
  <c r="DD68" i="23"/>
  <c r="DE68" i="23"/>
  <c r="DF68" i="23"/>
  <c r="DG68" i="23"/>
  <c r="DH68" i="23"/>
  <c r="DI68" i="23"/>
  <c r="K69" i="23"/>
  <c r="L69" i="23"/>
  <c r="M69" i="23"/>
  <c r="R69" i="23"/>
  <c r="S69" i="23"/>
  <c r="X69" i="23"/>
  <c r="Y69" i="23"/>
  <c r="AD69" i="23"/>
  <c r="AE69" i="23"/>
  <c r="AF69" i="23"/>
  <c r="AJ69" i="23" s="1"/>
  <c r="AG69" i="23"/>
  <c r="AK69" i="23" s="1"/>
  <c r="AH69" i="23"/>
  <c r="AI69" i="23"/>
  <c r="AP69" i="23"/>
  <c r="AQ69" i="23"/>
  <c r="AV69" i="23"/>
  <c r="AW69" i="23"/>
  <c r="BB69" i="23"/>
  <c r="BC69" i="23"/>
  <c r="BH69" i="23"/>
  <c r="BI69" i="23"/>
  <c r="BN69" i="23"/>
  <c r="BO69" i="23"/>
  <c r="BT69" i="23"/>
  <c r="BU69" i="23"/>
  <c r="BZ69" i="23"/>
  <c r="CA69" i="23"/>
  <c r="CF69" i="23"/>
  <c r="CG69" i="23"/>
  <c r="CL69" i="23"/>
  <c r="CM69" i="23"/>
  <c r="CR69" i="23"/>
  <c r="CS69" i="23"/>
  <c r="CX69" i="23"/>
  <c r="CY69" i="23"/>
  <c r="DD69" i="23"/>
  <c r="DE69" i="23"/>
  <c r="DF69" i="23"/>
  <c r="DJ69" i="23" s="1"/>
  <c r="F69" i="23" s="1"/>
  <c r="DG69" i="23"/>
  <c r="DH69" i="23"/>
  <c r="DI69" i="23"/>
  <c r="F70" i="23"/>
  <c r="K70" i="23"/>
  <c r="M70" i="23" s="1"/>
  <c r="L70" i="23"/>
  <c r="R70" i="23"/>
  <c r="S70" i="23"/>
  <c r="X70" i="23"/>
  <c r="Y70" i="23"/>
  <c r="AD70" i="23"/>
  <c r="AE70" i="23"/>
  <c r="AF70" i="23"/>
  <c r="AJ70" i="23" s="1"/>
  <c r="AG70" i="23"/>
  <c r="AK70" i="23" s="1"/>
  <c r="AH70" i="23"/>
  <c r="AI70" i="23"/>
  <c r="AP70" i="23"/>
  <c r="AQ70" i="23"/>
  <c r="AV70" i="23"/>
  <c r="AW70" i="23"/>
  <c r="BB70" i="23"/>
  <c r="BC70" i="23"/>
  <c r="BH70" i="23"/>
  <c r="BI70" i="23"/>
  <c r="BN70" i="23"/>
  <c r="BO70" i="23"/>
  <c r="BT70" i="23"/>
  <c r="BU70" i="23"/>
  <c r="BZ70" i="23"/>
  <c r="CA70" i="23"/>
  <c r="CF70" i="23"/>
  <c r="CG70" i="23"/>
  <c r="CL70" i="23"/>
  <c r="CM70" i="23"/>
  <c r="CR70" i="23"/>
  <c r="CS70" i="23"/>
  <c r="CX70" i="23"/>
  <c r="CY70" i="23"/>
  <c r="DD70" i="23"/>
  <c r="DE70" i="23"/>
  <c r="DF70" i="23"/>
  <c r="DJ70" i="23" s="1"/>
  <c r="DG70" i="23"/>
  <c r="DH70" i="23"/>
  <c r="DI70" i="23"/>
  <c r="L71" i="23"/>
  <c r="R71" i="23"/>
  <c r="S71" i="23"/>
  <c r="X71" i="23"/>
  <c r="Y71" i="23"/>
  <c r="AD71" i="23"/>
  <c r="AE71" i="23"/>
  <c r="AF71" i="23"/>
  <c r="AJ71" i="23" s="1"/>
  <c r="AG71" i="23"/>
  <c r="AK71" i="23" s="1"/>
  <c r="AH71" i="23"/>
  <c r="AI71" i="23"/>
  <c r="AP71" i="23"/>
  <c r="AQ71" i="23"/>
  <c r="AV71" i="23"/>
  <c r="AW71" i="23"/>
  <c r="BB71" i="23"/>
  <c r="BC71" i="23"/>
  <c r="BH71" i="23"/>
  <c r="BI71" i="23"/>
  <c r="BN71" i="23"/>
  <c r="BO71" i="23"/>
  <c r="BT71" i="23"/>
  <c r="BU71" i="23"/>
  <c r="BZ71" i="23"/>
  <c r="CA71" i="23"/>
  <c r="CF71" i="23"/>
  <c r="CG71" i="23"/>
  <c r="CL71" i="23"/>
  <c r="CM71" i="23"/>
  <c r="CR71" i="23"/>
  <c r="CS71" i="23"/>
  <c r="CX71" i="23"/>
  <c r="CY71" i="23"/>
  <c r="DD71" i="23"/>
  <c r="DE71" i="23"/>
  <c r="DF71" i="23"/>
  <c r="DG71" i="23"/>
  <c r="DH71" i="23"/>
  <c r="DI71" i="23"/>
  <c r="DJ71" i="23"/>
  <c r="F71" i="23" s="1"/>
  <c r="L72" i="23"/>
  <c r="R72" i="23"/>
  <c r="S72" i="23"/>
  <c r="X72" i="23"/>
  <c r="Y72" i="23"/>
  <c r="AD72" i="23"/>
  <c r="AE72" i="23"/>
  <c r="AF72" i="23"/>
  <c r="AG72" i="23"/>
  <c r="AK72" i="23" s="1"/>
  <c r="AH72" i="23"/>
  <c r="AI72" i="23"/>
  <c r="AJ72" i="23"/>
  <c r="AP72" i="23"/>
  <c r="AQ72" i="23"/>
  <c r="AV72" i="23"/>
  <c r="AW72" i="23"/>
  <c r="BB72" i="23"/>
  <c r="BC72" i="23"/>
  <c r="BH72" i="23"/>
  <c r="BI72" i="23"/>
  <c r="BN72" i="23"/>
  <c r="BO72" i="23"/>
  <c r="BT72" i="23"/>
  <c r="BU72" i="23"/>
  <c r="BZ72" i="23"/>
  <c r="CA72" i="23"/>
  <c r="CF72" i="23"/>
  <c r="CG72" i="23"/>
  <c r="CL72" i="23"/>
  <c r="CM72" i="23"/>
  <c r="CR72" i="23"/>
  <c r="CS72" i="23"/>
  <c r="CX72" i="23"/>
  <c r="CY72" i="23"/>
  <c r="DD72" i="23"/>
  <c r="DE72" i="23"/>
  <c r="DF72" i="23"/>
  <c r="DG72" i="23"/>
  <c r="DH72" i="23"/>
  <c r="DI72" i="23"/>
  <c r="DJ72" i="23"/>
  <c r="F72" i="23" s="1"/>
  <c r="K73" i="23"/>
  <c r="M73" i="23" s="1"/>
  <c r="L73" i="23"/>
  <c r="R73" i="23"/>
  <c r="S73" i="23"/>
  <c r="X73" i="23"/>
  <c r="Y73" i="23"/>
  <c r="AD73" i="23"/>
  <c r="AE73" i="23"/>
  <c r="AF73" i="23"/>
  <c r="AG73" i="23"/>
  <c r="AK73" i="23" s="1"/>
  <c r="G73" i="23" s="1"/>
  <c r="AH73" i="23"/>
  <c r="AI73" i="23"/>
  <c r="AJ73" i="23"/>
  <c r="AP73" i="23"/>
  <c r="AQ73" i="23"/>
  <c r="AV73" i="23"/>
  <c r="AW73" i="23"/>
  <c r="BB73" i="23"/>
  <c r="BC73" i="23"/>
  <c r="BH73" i="23"/>
  <c r="BI73" i="23"/>
  <c r="BN73" i="23"/>
  <c r="BO73" i="23"/>
  <c r="BT73" i="23"/>
  <c r="BU73" i="23"/>
  <c r="BZ73" i="23"/>
  <c r="CA73" i="23"/>
  <c r="CF73" i="23"/>
  <c r="CG73" i="23"/>
  <c r="CL73" i="23"/>
  <c r="CM73" i="23"/>
  <c r="CR73" i="23"/>
  <c r="CS73" i="23"/>
  <c r="CX73" i="23"/>
  <c r="CY73" i="23"/>
  <c r="DD73" i="23"/>
  <c r="DE73" i="23"/>
  <c r="DF73" i="23"/>
  <c r="DJ73" i="23" s="1"/>
  <c r="F73" i="23" s="1"/>
  <c r="DG73" i="23"/>
  <c r="DH73" i="23"/>
  <c r="DI73" i="23"/>
  <c r="L74" i="23"/>
  <c r="R74" i="23"/>
  <c r="S74" i="23"/>
  <c r="X74" i="23"/>
  <c r="Y74" i="23"/>
  <c r="AD74" i="23"/>
  <c r="AE74" i="23"/>
  <c r="AF74" i="23"/>
  <c r="AG74" i="23"/>
  <c r="AK74" i="23" s="1"/>
  <c r="G74" i="23" s="1"/>
  <c r="AH74" i="23"/>
  <c r="AI74" i="23"/>
  <c r="AJ74" i="23"/>
  <c r="AP74" i="23"/>
  <c r="AQ74" i="23"/>
  <c r="AV74" i="23"/>
  <c r="AW74" i="23"/>
  <c r="BB74" i="23"/>
  <c r="BC74" i="23"/>
  <c r="BH74" i="23"/>
  <c r="BI74" i="23"/>
  <c r="BN74" i="23"/>
  <c r="BO74" i="23"/>
  <c r="BT74" i="23"/>
  <c r="BU74" i="23"/>
  <c r="BZ74" i="23"/>
  <c r="CA74" i="23"/>
  <c r="CF74" i="23"/>
  <c r="CG74" i="23"/>
  <c r="CL74" i="23"/>
  <c r="CM74" i="23"/>
  <c r="CR74" i="23"/>
  <c r="CS74" i="23"/>
  <c r="CX74" i="23"/>
  <c r="CY74" i="23"/>
  <c r="DD74" i="23"/>
  <c r="DE74" i="23"/>
  <c r="DF74" i="23"/>
  <c r="DJ74" i="23" s="1"/>
  <c r="F74" i="23" s="1"/>
  <c r="DG74" i="23"/>
  <c r="DH74" i="23"/>
  <c r="DI74" i="23"/>
  <c r="L75" i="23"/>
  <c r="R75" i="23"/>
  <c r="S75" i="23"/>
  <c r="X75" i="23"/>
  <c r="Y75" i="23"/>
  <c r="AD75" i="23"/>
  <c r="AE75" i="23"/>
  <c r="AF75" i="23"/>
  <c r="AG75" i="23"/>
  <c r="AK75" i="23" s="1"/>
  <c r="G75" i="23" s="1"/>
  <c r="AH75" i="23"/>
  <c r="AI75" i="23"/>
  <c r="AJ75" i="23"/>
  <c r="AP75" i="23"/>
  <c r="AQ75" i="23"/>
  <c r="AV75" i="23"/>
  <c r="AW75" i="23"/>
  <c r="BB75" i="23"/>
  <c r="BC75" i="23"/>
  <c r="BH75" i="23"/>
  <c r="BI75" i="23"/>
  <c r="BN75" i="23"/>
  <c r="BO75" i="23"/>
  <c r="BT75" i="23"/>
  <c r="BU75" i="23"/>
  <c r="BZ75" i="23"/>
  <c r="CA75" i="23"/>
  <c r="CF75" i="23"/>
  <c r="CG75" i="23"/>
  <c r="CL75" i="23"/>
  <c r="CM75" i="23"/>
  <c r="CR75" i="23"/>
  <c r="CS75" i="23"/>
  <c r="CX75" i="23"/>
  <c r="CY75" i="23"/>
  <c r="DD75" i="23"/>
  <c r="DE75" i="23"/>
  <c r="DF75" i="23"/>
  <c r="DJ75" i="23" s="1"/>
  <c r="F75" i="23" s="1"/>
  <c r="DG75" i="23"/>
  <c r="DH75" i="23"/>
  <c r="DI75" i="23"/>
  <c r="L76" i="23"/>
  <c r="R76" i="23"/>
  <c r="S76" i="23"/>
  <c r="X76" i="23"/>
  <c r="Y76" i="23"/>
  <c r="AD76" i="23"/>
  <c r="AE76" i="23"/>
  <c r="AF76" i="23"/>
  <c r="AG76" i="23"/>
  <c r="AK76" i="23" s="1"/>
  <c r="G76" i="23" s="1"/>
  <c r="AH76" i="23"/>
  <c r="AI76" i="23"/>
  <c r="AJ76" i="23"/>
  <c r="AP76" i="23"/>
  <c r="AQ76" i="23"/>
  <c r="AV76" i="23"/>
  <c r="AW76" i="23"/>
  <c r="BB76" i="23"/>
  <c r="BC76" i="23"/>
  <c r="BH76" i="23"/>
  <c r="BI76" i="23"/>
  <c r="BN76" i="23"/>
  <c r="BO76" i="23"/>
  <c r="BT76" i="23"/>
  <c r="BU76" i="23"/>
  <c r="BZ76" i="23"/>
  <c r="CA76" i="23"/>
  <c r="CF76" i="23"/>
  <c r="CG76" i="23"/>
  <c r="CL76" i="23"/>
  <c r="CM76" i="23"/>
  <c r="CR76" i="23"/>
  <c r="CS76" i="23"/>
  <c r="CX76" i="23"/>
  <c r="CY76" i="23"/>
  <c r="DD76" i="23"/>
  <c r="DE76" i="23"/>
  <c r="DF76" i="23"/>
  <c r="DJ76" i="23" s="1"/>
  <c r="F76" i="23" s="1"/>
  <c r="DG76" i="23"/>
  <c r="DH76" i="23"/>
  <c r="DI76" i="23"/>
  <c r="K77" i="23"/>
  <c r="M77" i="23" s="1"/>
  <c r="L77" i="23"/>
  <c r="R77" i="23"/>
  <c r="S77" i="23"/>
  <c r="X77" i="23"/>
  <c r="Y77" i="23"/>
  <c r="AD77" i="23"/>
  <c r="AE77" i="23"/>
  <c r="AF77" i="23"/>
  <c r="AG77" i="23"/>
  <c r="AK77" i="23" s="1"/>
  <c r="AH77" i="23"/>
  <c r="AI77" i="23"/>
  <c r="AJ77" i="23"/>
  <c r="AP77" i="23"/>
  <c r="AQ77" i="23"/>
  <c r="AV77" i="23"/>
  <c r="AW77" i="23"/>
  <c r="BB77" i="23"/>
  <c r="BC77" i="23"/>
  <c r="BH77" i="23"/>
  <c r="BI77" i="23"/>
  <c r="BN77" i="23"/>
  <c r="BO77" i="23"/>
  <c r="BT77" i="23"/>
  <c r="BU77" i="23"/>
  <c r="BZ77" i="23"/>
  <c r="CA77" i="23"/>
  <c r="CF77" i="23"/>
  <c r="CG77" i="23"/>
  <c r="CL77" i="23"/>
  <c r="CM77" i="23"/>
  <c r="CR77" i="23"/>
  <c r="CS77" i="23"/>
  <c r="CX77" i="23"/>
  <c r="CY77" i="23"/>
  <c r="DD77" i="23"/>
  <c r="DE77" i="23"/>
  <c r="DF77" i="23"/>
  <c r="DJ77" i="23" s="1"/>
  <c r="F77" i="23" s="1"/>
  <c r="DG77" i="23"/>
  <c r="DH77" i="23"/>
  <c r="DI77" i="23"/>
  <c r="L78" i="23"/>
  <c r="R78" i="23"/>
  <c r="S78" i="23"/>
  <c r="X78" i="23"/>
  <c r="Y78" i="23"/>
  <c r="AD78" i="23"/>
  <c r="AE78" i="23"/>
  <c r="AF78" i="23"/>
  <c r="AG78" i="23"/>
  <c r="AK78" i="23" s="1"/>
  <c r="K78" i="23" s="1"/>
  <c r="M78" i="23" s="1"/>
  <c r="AH78" i="23"/>
  <c r="AI78" i="23"/>
  <c r="AJ78" i="23"/>
  <c r="AP78" i="23"/>
  <c r="AQ78" i="23"/>
  <c r="AV78" i="23"/>
  <c r="AW78" i="23"/>
  <c r="BB78" i="23"/>
  <c r="BC78" i="23"/>
  <c r="BH78" i="23"/>
  <c r="BI78" i="23"/>
  <c r="BN78" i="23"/>
  <c r="BO78" i="23"/>
  <c r="BT78" i="23"/>
  <c r="BU78" i="23"/>
  <c r="BZ78" i="23"/>
  <c r="CA78" i="23"/>
  <c r="CF78" i="23"/>
  <c r="CG78" i="23"/>
  <c r="CL78" i="23"/>
  <c r="CM78" i="23"/>
  <c r="CR78" i="23"/>
  <c r="CS78" i="23"/>
  <c r="CX78" i="23"/>
  <c r="CY78" i="23"/>
  <c r="DD78" i="23"/>
  <c r="DE78" i="23"/>
  <c r="DF78" i="23"/>
  <c r="DJ78" i="23" s="1"/>
  <c r="F78" i="23" s="1"/>
  <c r="DG78" i="23"/>
  <c r="DH78" i="23"/>
  <c r="DI78" i="23"/>
  <c r="K79" i="23"/>
  <c r="M79" i="23" s="1"/>
  <c r="L79" i="23"/>
  <c r="R79" i="23"/>
  <c r="S79" i="23"/>
  <c r="X79" i="23"/>
  <c r="Y79" i="23"/>
  <c r="AD79" i="23"/>
  <c r="AE79" i="23"/>
  <c r="AF79" i="23"/>
  <c r="AG79" i="23"/>
  <c r="AK79" i="23" s="1"/>
  <c r="AH79" i="23"/>
  <c r="AI79" i="23"/>
  <c r="AJ79" i="23"/>
  <c r="AP79" i="23"/>
  <c r="AQ79" i="23"/>
  <c r="AV79" i="23"/>
  <c r="AW79" i="23"/>
  <c r="BB79" i="23"/>
  <c r="BC79" i="23"/>
  <c r="BH79" i="23"/>
  <c r="BI79" i="23"/>
  <c r="BN79" i="23"/>
  <c r="BO79" i="23"/>
  <c r="BT79" i="23"/>
  <c r="BU79" i="23"/>
  <c r="BZ79" i="23"/>
  <c r="CA79" i="23"/>
  <c r="CF79" i="23"/>
  <c r="CG79" i="23"/>
  <c r="CL79" i="23"/>
  <c r="CM79" i="23"/>
  <c r="CR79" i="23"/>
  <c r="CS79" i="23"/>
  <c r="CX79" i="23"/>
  <c r="CY79" i="23"/>
  <c r="DD79" i="23"/>
  <c r="DE79" i="23"/>
  <c r="DF79" i="23"/>
  <c r="DJ79" i="23" s="1"/>
  <c r="F79" i="23" s="1"/>
  <c r="DG79" i="23"/>
  <c r="DH79" i="23"/>
  <c r="DI79" i="23"/>
  <c r="L80" i="23"/>
  <c r="R80" i="23"/>
  <c r="S80" i="23"/>
  <c r="X80" i="23"/>
  <c r="Y80" i="23"/>
  <c r="AD80" i="23"/>
  <c r="AE80" i="23"/>
  <c r="AF80" i="23"/>
  <c r="AG80" i="23"/>
  <c r="AK80" i="23" s="1"/>
  <c r="AH80" i="23"/>
  <c r="AI80" i="23"/>
  <c r="AJ80" i="23"/>
  <c r="AP80" i="23"/>
  <c r="AQ80" i="23"/>
  <c r="AV80" i="23"/>
  <c r="AW80" i="23"/>
  <c r="BB80" i="23"/>
  <c r="BC80" i="23"/>
  <c r="BH80" i="23"/>
  <c r="BI80" i="23"/>
  <c r="BN80" i="23"/>
  <c r="BO80" i="23"/>
  <c r="BT80" i="23"/>
  <c r="BU80" i="23"/>
  <c r="BZ80" i="23"/>
  <c r="CA80" i="23"/>
  <c r="CF80" i="23"/>
  <c r="CG80" i="23"/>
  <c r="CL80" i="23"/>
  <c r="CM80" i="23"/>
  <c r="CR80" i="23"/>
  <c r="CS80" i="23"/>
  <c r="CX80" i="23"/>
  <c r="CY80" i="23"/>
  <c r="DD80" i="23"/>
  <c r="DE80" i="23"/>
  <c r="DF80" i="23"/>
  <c r="DJ80" i="23" s="1"/>
  <c r="F80" i="23" s="1"/>
  <c r="DG80" i="23"/>
  <c r="DH80" i="23"/>
  <c r="DI80" i="23"/>
  <c r="L81" i="23"/>
  <c r="R81" i="23"/>
  <c r="S81" i="23"/>
  <c r="X81" i="23"/>
  <c r="Y81" i="23"/>
  <c r="AD81" i="23"/>
  <c r="AE81" i="23"/>
  <c r="AF81" i="23"/>
  <c r="AG81" i="23"/>
  <c r="AK81" i="23" s="1"/>
  <c r="G81" i="23" s="1"/>
  <c r="AH81" i="23"/>
  <c r="AI81" i="23"/>
  <c r="AJ81" i="23"/>
  <c r="AP81" i="23"/>
  <c r="AQ81" i="23"/>
  <c r="AV81" i="23"/>
  <c r="AW81" i="23"/>
  <c r="BB81" i="23"/>
  <c r="BC81" i="23"/>
  <c r="BH81" i="23"/>
  <c r="BI81" i="23"/>
  <c r="BN81" i="23"/>
  <c r="BO81" i="23"/>
  <c r="BT81" i="23"/>
  <c r="BU81" i="23"/>
  <c r="BZ81" i="23"/>
  <c r="CA81" i="23"/>
  <c r="CF81" i="23"/>
  <c r="CG81" i="23"/>
  <c r="CL81" i="23"/>
  <c r="CM81" i="23"/>
  <c r="CR81" i="23"/>
  <c r="CS81" i="23"/>
  <c r="CX81" i="23"/>
  <c r="CY81" i="23"/>
  <c r="DD81" i="23"/>
  <c r="DE81" i="23"/>
  <c r="DF81" i="23"/>
  <c r="DJ81" i="23" s="1"/>
  <c r="F81" i="23" s="1"/>
  <c r="DG81" i="23"/>
  <c r="DH81" i="23"/>
  <c r="DI81" i="23"/>
  <c r="L82" i="23"/>
  <c r="R82" i="23"/>
  <c r="S82" i="23"/>
  <c r="X82" i="23"/>
  <c r="Y82" i="23"/>
  <c r="AD82" i="23"/>
  <c r="AE82" i="23"/>
  <c r="AF82" i="23"/>
  <c r="AG82" i="23"/>
  <c r="AK82" i="23" s="1"/>
  <c r="G82" i="23" s="1"/>
  <c r="AH82" i="23"/>
  <c r="AI82" i="23"/>
  <c r="AJ82" i="23"/>
  <c r="AP82" i="23"/>
  <c r="AQ82" i="23"/>
  <c r="AV82" i="23"/>
  <c r="AW82" i="23"/>
  <c r="BB82" i="23"/>
  <c r="BC82" i="23"/>
  <c r="BH82" i="23"/>
  <c r="BI82" i="23"/>
  <c r="BN82" i="23"/>
  <c r="BO82" i="23"/>
  <c r="BT82" i="23"/>
  <c r="BU82" i="23"/>
  <c r="BZ82" i="23"/>
  <c r="CA82" i="23"/>
  <c r="CF82" i="23"/>
  <c r="CG82" i="23"/>
  <c r="CL82" i="23"/>
  <c r="CM82" i="23"/>
  <c r="CR82" i="23"/>
  <c r="CS82" i="23"/>
  <c r="CX82" i="23"/>
  <c r="CY82" i="23"/>
  <c r="DD82" i="23"/>
  <c r="DE82" i="23"/>
  <c r="DF82" i="23"/>
  <c r="DJ82" i="23" s="1"/>
  <c r="F82" i="23" s="1"/>
  <c r="DG82" i="23"/>
  <c r="DH82" i="23"/>
  <c r="DI82" i="23"/>
  <c r="L83" i="23"/>
  <c r="R83" i="23"/>
  <c r="S83" i="23"/>
  <c r="X83" i="23"/>
  <c r="Y83" i="23"/>
  <c r="AD83" i="23"/>
  <c r="AE83" i="23"/>
  <c r="AF83" i="23"/>
  <c r="AG83" i="23"/>
  <c r="AK83" i="23" s="1"/>
  <c r="G83" i="23" s="1"/>
  <c r="AH83" i="23"/>
  <c r="AI83" i="23"/>
  <c r="AJ83" i="23"/>
  <c r="AP83" i="23"/>
  <c r="AQ83" i="23"/>
  <c r="AV83" i="23"/>
  <c r="AW83" i="23"/>
  <c r="BB83" i="23"/>
  <c r="BC83" i="23"/>
  <c r="BH83" i="23"/>
  <c r="BI83" i="23"/>
  <c r="BN83" i="23"/>
  <c r="BO83" i="23"/>
  <c r="BT83" i="23"/>
  <c r="BU83" i="23"/>
  <c r="BZ83" i="23"/>
  <c r="CA83" i="23"/>
  <c r="CF83" i="23"/>
  <c r="CG83" i="23"/>
  <c r="CL83" i="23"/>
  <c r="CM83" i="23"/>
  <c r="CR83" i="23"/>
  <c r="CS83" i="23"/>
  <c r="CX83" i="23"/>
  <c r="CY83" i="23"/>
  <c r="DD83" i="23"/>
  <c r="DE83" i="23"/>
  <c r="DF83" i="23"/>
  <c r="DJ83" i="23" s="1"/>
  <c r="F83" i="23" s="1"/>
  <c r="DG83" i="23"/>
  <c r="DH83" i="23"/>
  <c r="DI83" i="23"/>
  <c r="L84" i="23"/>
  <c r="R84" i="23"/>
  <c r="S84" i="23"/>
  <c r="X84" i="23"/>
  <c r="Y84" i="23"/>
  <c r="AD84" i="23"/>
  <c r="AE84" i="23"/>
  <c r="AF84" i="23"/>
  <c r="AG84" i="23"/>
  <c r="AK84" i="23" s="1"/>
  <c r="G84" i="23" s="1"/>
  <c r="AH84" i="23"/>
  <c r="AI84" i="23"/>
  <c r="AJ84" i="23"/>
  <c r="AP84" i="23"/>
  <c r="AQ84" i="23"/>
  <c r="AV84" i="23"/>
  <c r="AW84" i="23"/>
  <c r="BB84" i="23"/>
  <c r="BC84" i="23"/>
  <c r="BH84" i="23"/>
  <c r="BI84" i="23"/>
  <c r="BN84" i="23"/>
  <c r="BO84" i="23"/>
  <c r="BT84" i="23"/>
  <c r="BU84" i="23"/>
  <c r="BZ84" i="23"/>
  <c r="CA84" i="23"/>
  <c r="CF84" i="23"/>
  <c r="CG84" i="23"/>
  <c r="CL84" i="23"/>
  <c r="CM84" i="23"/>
  <c r="CR84" i="23"/>
  <c r="CS84" i="23"/>
  <c r="CX84" i="23"/>
  <c r="CY84" i="23"/>
  <c r="DD84" i="23"/>
  <c r="DE84" i="23"/>
  <c r="DF84" i="23"/>
  <c r="DJ84" i="23" s="1"/>
  <c r="F84" i="23" s="1"/>
  <c r="DG84" i="23"/>
  <c r="DH84" i="23"/>
  <c r="DI84" i="23"/>
  <c r="K85" i="23"/>
  <c r="M85" i="23" s="1"/>
  <c r="L85" i="23"/>
  <c r="R85" i="23"/>
  <c r="S85" i="23"/>
  <c r="X85" i="23"/>
  <c r="Y85" i="23"/>
  <c r="AD85" i="23"/>
  <c r="AE85" i="23"/>
  <c r="AF85" i="23"/>
  <c r="AG85" i="23"/>
  <c r="AK85" i="23" s="1"/>
  <c r="AH85" i="23"/>
  <c r="AI85" i="23"/>
  <c r="AJ85" i="23"/>
  <c r="AP85" i="23"/>
  <c r="AQ85" i="23"/>
  <c r="AV85" i="23"/>
  <c r="AW85" i="23"/>
  <c r="BB85" i="23"/>
  <c r="BC85" i="23"/>
  <c r="BH85" i="23"/>
  <c r="BI85" i="23"/>
  <c r="BN85" i="23"/>
  <c r="BO85" i="23"/>
  <c r="BT85" i="23"/>
  <c r="BU85" i="23"/>
  <c r="BZ85" i="23"/>
  <c r="CA85" i="23"/>
  <c r="CF85" i="23"/>
  <c r="CG85" i="23"/>
  <c r="CL85" i="23"/>
  <c r="CM85" i="23"/>
  <c r="CR85" i="23"/>
  <c r="CS85" i="23"/>
  <c r="CX85" i="23"/>
  <c r="CY85" i="23"/>
  <c r="DD85" i="23"/>
  <c r="DE85" i="23"/>
  <c r="DF85" i="23"/>
  <c r="DJ85" i="23" s="1"/>
  <c r="F85" i="23" s="1"/>
  <c r="DG85" i="23"/>
  <c r="DH85" i="23"/>
  <c r="DI85" i="23"/>
  <c r="L86" i="23"/>
  <c r="R86" i="23"/>
  <c r="S86" i="23"/>
  <c r="X86" i="23"/>
  <c r="Y86" i="23"/>
  <c r="AD86" i="23"/>
  <c r="AE86" i="23"/>
  <c r="AF86" i="23"/>
  <c r="AG86" i="23"/>
  <c r="AK86" i="23" s="1"/>
  <c r="K86" i="23" s="1"/>
  <c r="M86" i="23" s="1"/>
  <c r="AH86" i="23"/>
  <c r="AI86" i="23"/>
  <c r="AJ86" i="23"/>
  <c r="AP86" i="23"/>
  <c r="AQ86" i="23"/>
  <c r="AV86" i="23"/>
  <c r="AW86" i="23"/>
  <c r="BB86" i="23"/>
  <c r="BC86" i="23"/>
  <c r="BH86" i="23"/>
  <c r="BI86" i="23"/>
  <c r="BN86" i="23"/>
  <c r="BO86" i="23"/>
  <c r="BT86" i="23"/>
  <c r="BU86" i="23"/>
  <c r="BZ86" i="23"/>
  <c r="CA86" i="23"/>
  <c r="CF86" i="23"/>
  <c r="CG86" i="23"/>
  <c r="CL86" i="23"/>
  <c r="CM86" i="23"/>
  <c r="CR86" i="23"/>
  <c r="CS86" i="23"/>
  <c r="CX86" i="23"/>
  <c r="CY86" i="23"/>
  <c r="DD86" i="23"/>
  <c r="DE86" i="23"/>
  <c r="DF86" i="23"/>
  <c r="DJ86" i="23" s="1"/>
  <c r="F86" i="23" s="1"/>
  <c r="DG86" i="23"/>
  <c r="DH86" i="23"/>
  <c r="DI86" i="23"/>
  <c r="K87" i="23"/>
  <c r="M87" i="23" s="1"/>
  <c r="L87" i="23"/>
  <c r="R87" i="23"/>
  <c r="S87" i="23"/>
  <c r="X87" i="23"/>
  <c r="Y87" i="23"/>
  <c r="AD87" i="23"/>
  <c r="AE87" i="23"/>
  <c r="AF87" i="23"/>
  <c r="AG87" i="23"/>
  <c r="AK87" i="23" s="1"/>
  <c r="AH87" i="23"/>
  <c r="AI87" i="23"/>
  <c r="AJ87" i="23"/>
  <c r="AP87" i="23"/>
  <c r="AQ87" i="23"/>
  <c r="AV87" i="23"/>
  <c r="AW87" i="23"/>
  <c r="BB87" i="23"/>
  <c r="BC87" i="23"/>
  <c r="BH87" i="23"/>
  <c r="BI87" i="23"/>
  <c r="BN87" i="23"/>
  <c r="BO87" i="23"/>
  <c r="BT87" i="23"/>
  <c r="BU87" i="23"/>
  <c r="BZ87" i="23"/>
  <c r="CA87" i="23"/>
  <c r="CF87" i="23"/>
  <c r="CG87" i="23"/>
  <c r="CL87" i="23"/>
  <c r="CM87" i="23"/>
  <c r="CR87" i="23"/>
  <c r="CS87" i="23"/>
  <c r="CX87" i="23"/>
  <c r="CY87" i="23"/>
  <c r="DD87" i="23"/>
  <c r="DE87" i="23"/>
  <c r="DF87" i="23"/>
  <c r="DJ87" i="23" s="1"/>
  <c r="F87" i="23" s="1"/>
  <c r="DG87" i="23"/>
  <c r="DH87" i="23"/>
  <c r="DI87" i="23"/>
  <c r="L88" i="23"/>
  <c r="R88" i="23"/>
  <c r="S88" i="23"/>
  <c r="X88" i="23"/>
  <c r="Y88" i="23"/>
  <c r="AD88" i="23"/>
  <c r="AE88" i="23"/>
  <c r="AF88" i="23"/>
  <c r="AG88" i="23"/>
  <c r="AK88" i="23" s="1"/>
  <c r="AH88" i="23"/>
  <c r="AI88" i="23"/>
  <c r="AJ88" i="23"/>
  <c r="AP88" i="23"/>
  <c r="AQ88" i="23"/>
  <c r="AV88" i="23"/>
  <c r="AW88" i="23"/>
  <c r="BB88" i="23"/>
  <c r="BC88" i="23"/>
  <c r="BH88" i="23"/>
  <c r="BI88" i="23"/>
  <c r="BN88" i="23"/>
  <c r="BO88" i="23"/>
  <c r="BT88" i="23"/>
  <c r="BU88" i="23"/>
  <c r="BZ88" i="23"/>
  <c r="CA88" i="23"/>
  <c r="CF88" i="23"/>
  <c r="CG88" i="23"/>
  <c r="CL88" i="23"/>
  <c r="CM88" i="23"/>
  <c r="CR88" i="23"/>
  <c r="CS88" i="23"/>
  <c r="CX88" i="23"/>
  <c r="CY88" i="23"/>
  <c r="DD88" i="23"/>
  <c r="DE88" i="23"/>
  <c r="DF88" i="23"/>
  <c r="DJ88" i="23" s="1"/>
  <c r="F88" i="23" s="1"/>
  <c r="DG88" i="23"/>
  <c r="DH88" i="23"/>
  <c r="DI88" i="23"/>
  <c r="L89" i="23"/>
  <c r="R89" i="23"/>
  <c r="S89" i="23"/>
  <c r="X89" i="23"/>
  <c r="Y89" i="23"/>
  <c r="AD89" i="23"/>
  <c r="AE89" i="23"/>
  <c r="AF89" i="23"/>
  <c r="AG89" i="23"/>
  <c r="AK89" i="23" s="1"/>
  <c r="G89" i="23" s="1"/>
  <c r="AH89" i="23"/>
  <c r="AI89" i="23"/>
  <c r="AJ89" i="23"/>
  <c r="AP89" i="23"/>
  <c r="AQ89" i="23"/>
  <c r="AV89" i="23"/>
  <c r="AW89" i="23"/>
  <c r="BB89" i="23"/>
  <c r="BC89" i="23"/>
  <c r="BH89" i="23"/>
  <c r="BI89" i="23"/>
  <c r="BN89" i="23"/>
  <c r="BO89" i="23"/>
  <c r="BT89" i="23"/>
  <c r="BU89" i="23"/>
  <c r="BZ89" i="23"/>
  <c r="CA89" i="23"/>
  <c r="CF89" i="23"/>
  <c r="CG89" i="23"/>
  <c r="CL89" i="23"/>
  <c r="CM89" i="23"/>
  <c r="CR89" i="23"/>
  <c r="CS89" i="23"/>
  <c r="CX89" i="23"/>
  <c r="CY89" i="23"/>
  <c r="DD89" i="23"/>
  <c r="DE89" i="23"/>
  <c r="DF89" i="23"/>
  <c r="DJ89" i="23" s="1"/>
  <c r="F89" i="23" s="1"/>
  <c r="DG89" i="23"/>
  <c r="DH89" i="23"/>
  <c r="DI89" i="23"/>
  <c r="L90" i="23"/>
  <c r="R90" i="23"/>
  <c r="S90" i="23"/>
  <c r="X90" i="23"/>
  <c r="Y90" i="23"/>
  <c r="AD90" i="23"/>
  <c r="AE90" i="23"/>
  <c r="AF90" i="23"/>
  <c r="AG90" i="23"/>
  <c r="AK90" i="23" s="1"/>
  <c r="G90" i="23" s="1"/>
  <c r="AH90" i="23"/>
  <c r="AI90" i="23"/>
  <c r="AJ90" i="23"/>
  <c r="AP90" i="23"/>
  <c r="AQ90" i="23"/>
  <c r="AV90" i="23"/>
  <c r="AW90" i="23"/>
  <c r="BB90" i="23"/>
  <c r="BC90" i="23"/>
  <c r="BH90" i="23"/>
  <c r="BI90" i="23"/>
  <c r="BN90" i="23"/>
  <c r="BO90" i="23"/>
  <c r="BT90" i="23"/>
  <c r="BU90" i="23"/>
  <c r="BZ90" i="23"/>
  <c r="CA90" i="23"/>
  <c r="CF90" i="23"/>
  <c r="CG90" i="23"/>
  <c r="CL90" i="23"/>
  <c r="CM90" i="23"/>
  <c r="CR90" i="23"/>
  <c r="CS90" i="23"/>
  <c r="CX90" i="23"/>
  <c r="CY90" i="23"/>
  <c r="DD90" i="23"/>
  <c r="DE90" i="23"/>
  <c r="DF90" i="23"/>
  <c r="DJ90" i="23" s="1"/>
  <c r="F90" i="23" s="1"/>
  <c r="DG90" i="23"/>
  <c r="DH90" i="23"/>
  <c r="DI90" i="23"/>
  <c r="L91" i="23"/>
  <c r="R91" i="23"/>
  <c r="S91" i="23"/>
  <c r="X91" i="23"/>
  <c r="Y91" i="23"/>
  <c r="AD91" i="23"/>
  <c r="AE91" i="23"/>
  <c r="AF91" i="23"/>
  <c r="AG91" i="23"/>
  <c r="AK91" i="23" s="1"/>
  <c r="G91" i="23" s="1"/>
  <c r="AH91" i="23"/>
  <c r="AI91" i="23"/>
  <c r="AJ91" i="23"/>
  <c r="AP91" i="23"/>
  <c r="AQ91" i="23"/>
  <c r="AV91" i="23"/>
  <c r="AW91" i="23"/>
  <c r="BB91" i="23"/>
  <c r="BC91" i="23"/>
  <c r="BH91" i="23"/>
  <c r="BI91" i="23"/>
  <c r="BN91" i="23"/>
  <c r="BO91" i="23"/>
  <c r="BT91" i="23"/>
  <c r="BU91" i="23"/>
  <c r="BZ91" i="23"/>
  <c r="CA91" i="23"/>
  <c r="CF91" i="23"/>
  <c r="CG91" i="23"/>
  <c r="CL91" i="23"/>
  <c r="CM91" i="23"/>
  <c r="CR91" i="23"/>
  <c r="CS91" i="23"/>
  <c r="CX91" i="23"/>
  <c r="CY91" i="23"/>
  <c r="DD91" i="23"/>
  <c r="DE91" i="23"/>
  <c r="DF91" i="23"/>
  <c r="DJ91" i="23" s="1"/>
  <c r="F91" i="23" s="1"/>
  <c r="DG91" i="23"/>
  <c r="DH91" i="23"/>
  <c r="DI91" i="23"/>
  <c r="K92" i="23"/>
  <c r="M92" i="23" s="1"/>
  <c r="L92" i="23"/>
  <c r="R92" i="23"/>
  <c r="S92" i="23"/>
  <c r="X92" i="23"/>
  <c r="Y92" i="23"/>
  <c r="AD92" i="23"/>
  <c r="AE92" i="23"/>
  <c r="AF92" i="23"/>
  <c r="AG92" i="23"/>
  <c r="AK92" i="23" s="1"/>
  <c r="AH92" i="23"/>
  <c r="AI92" i="23"/>
  <c r="AJ92" i="23"/>
  <c r="AP92" i="23"/>
  <c r="AQ92" i="23"/>
  <c r="AV92" i="23"/>
  <c r="AW92" i="23"/>
  <c r="BB92" i="23"/>
  <c r="BC92" i="23"/>
  <c r="BH92" i="23"/>
  <c r="BI92" i="23"/>
  <c r="BN92" i="23"/>
  <c r="BO92" i="23"/>
  <c r="BT92" i="23"/>
  <c r="BU92" i="23"/>
  <c r="BZ92" i="23"/>
  <c r="CA92" i="23"/>
  <c r="CF92" i="23"/>
  <c r="CG92" i="23"/>
  <c r="CL92" i="23"/>
  <c r="CM92" i="23"/>
  <c r="CR92" i="23"/>
  <c r="CS92" i="23"/>
  <c r="CX92" i="23"/>
  <c r="CY92" i="23"/>
  <c r="DD92" i="23"/>
  <c r="DE92" i="23"/>
  <c r="DF92" i="23"/>
  <c r="DJ92" i="23" s="1"/>
  <c r="F92" i="23" s="1"/>
  <c r="DG92" i="23"/>
  <c r="DH92" i="23"/>
  <c r="DI92" i="23"/>
  <c r="L93" i="23"/>
  <c r="R93" i="23"/>
  <c r="S93" i="23"/>
  <c r="X93" i="23"/>
  <c r="Y93" i="23"/>
  <c r="AD93" i="23"/>
  <c r="AE93" i="23"/>
  <c r="AF93" i="23"/>
  <c r="AG93" i="23"/>
  <c r="AK93" i="23" s="1"/>
  <c r="K93" i="23" s="1"/>
  <c r="M93" i="23" s="1"/>
  <c r="AH93" i="23"/>
  <c r="AI93" i="23"/>
  <c r="AJ93" i="23"/>
  <c r="AP93" i="23"/>
  <c r="AQ93" i="23"/>
  <c r="AV93" i="23"/>
  <c r="AW93" i="23"/>
  <c r="BB93" i="23"/>
  <c r="BC93" i="23"/>
  <c r="BH93" i="23"/>
  <c r="BI93" i="23"/>
  <c r="BN93" i="23"/>
  <c r="BO93" i="23"/>
  <c r="BT93" i="23"/>
  <c r="BU93" i="23"/>
  <c r="BZ93" i="23"/>
  <c r="CA93" i="23"/>
  <c r="CF93" i="23"/>
  <c r="CG93" i="23"/>
  <c r="CL93" i="23"/>
  <c r="CM93" i="23"/>
  <c r="CR93" i="23"/>
  <c r="CS93" i="23"/>
  <c r="CX93" i="23"/>
  <c r="CY93" i="23"/>
  <c r="DD93" i="23"/>
  <c r="DE93" i="23"/>
  <c r="DF93" i="23"/>
  <c r="DJ93" i="23" s="1"/>
  <c r="F93" i="23" s="1"/>
  <c r="DG93" i="23"/>
  <c r="DH93" i="23"/>
  <c r="DI93" i="23"/>
  <c r="L94" i="23"/>
  <c r="R94" i="23"/>
  <c r="S94" i="23"/>
  <c r="X94" i="23"/>
  <c r="Y94" i="23"/>
  <c r="AD94" i="23"/>
  <c r="AE94" i="23"/>
  <c r="AF94" i="23"/>
  <c r="AG94" i="23"/>
  <c r="AK94" i="23" s="1"/>
  <c r="G94" i="23" s="1"/>
  <c r="AH94" i="23"/>
  <c r="AI94" i="23"/>
  <c r="AJ94" i="23"/>
  <c r="AP94" i="23"/>
  <c r="AQ94" i="23"/>
  <c r="AV94" i="23"/>
  <c r="AW94" i="23"/>
  <c r="BB94" i="23"/>
  <c r="BC94" i="23"/>
  <c r="BH94" i="23"/>
  <c r="BI94" i="23"/>
  <c r="BN94" i="23"/>
  <c r="BO94" i="23"/>
  <c r="BT94" i="23"/>
  <c r="BU94" i="23"/>
  <c r="BZ94" i="23"/>
  <c r="CA94" i="23"/>
  <c r="CF94" i="23"/>
  <c r="CG94" i="23"/>
  <c r="CL94" i="23"/>
  <c r="CM94" i="23"/>
  <c r="CR94" i="23"/>
  <c r="CS94" i="23"/>
  <c r="CX94" i="23"/>
  <c r="CY94" i="23"/>
  <c r="DD94" i="23"/>
  <c r="DE94" i="23"/>
  <c r="DF94" i="23"/>
  <c r="DJ94" i="23" s="1"/>
  <c r="F94" i="23" s="1"/>
  <c r="DG94" i="23"/>
  <c r="DH94" i="23"/>
  <c r="DI94" i="23"/>
  <c r="L95" i="23"/>
  <c r="R95" i="23"/>
  <c r="S95" i="23"/>
  <c r="X95" i="23"/>
  <c r="Y95" i="23"/>
  <c r="AD95" i="23"/>
  <c r="AE95" i="23"/>
  <c r="AF95" i="23"/>
  <c r="AG95" i="23"/>
  <c r="AK95" i="23" s="1"/>
  <c r="G95" i="23" s="1"/>
  <c r="AH95" i="23"/>
  <c r="AI95" i="23"/>
  <c r="AJ95" i="23"/>
  <c r="AP95" i="23"/>
  <c r="AQ95" i="23"/>
  <c r="AV95" i="23"/>
  <c r="AW95" i="23"/>
  <c r="BB95" i="23"/>
  <c r="BC95" i="23"/>
  <c r="BH95" i="23"/>
  <c r="BI95" i="23"/>
  <c r="BN95" i="23"/>
  <c r="BO95" i="23"/>
  <c r="BT95" i="23"/>
  <c r="BU95" i="23"/>
  <c r="BZ95" i="23"/>
  <c r="CA95" i="23"/>
  <c r="CF95" i="23"/>
  <c r="CG95" i="23"/>
  <c r="CL95" i="23"/>
  <c r="CM95" i="23"/>
  <c r="CR95" i="23"/>
  <c r="CS95" i="23"/>
  <c r="CX95" i="23"/>
  <c r="CY95" i="23"/>
  <c r="DD95" i="23"/>
  <c r="DE95" i="23"/>
  <c r="DF95" i="23"/>
  <c r="DJ95" i="23" s="1"/>
  <c r="F95" i="23" s="1"/>
  <c r="DG95" i="23"/>
  <c r="DH95" i="23"/>
  <c r="DI95" i="23"/>
  <c r="K96" i="23"/>
  <c r="M96" i="23" s="1"/>
  <c r="L96" i="23"/>
  <c r="R96" i="23"/>
  <c r="S96" i="23"/>
  <c r="X96" i="23"/>
  <c r="Y96" i="23"/>
  <c r="AD96" i="23"/>
  <c r="AE96" i="23"/>
  <c r="AF96" i="23"/>
  <c r="AG96" i="23"/>
  <c r="AK96" i="23" s="1"/>
  <c r="AH96" i="23"/>
  <c r="AI96" i="23"/>
  <c r="AJ96" i="23"/>
  <c r="AP96" i="23"/>
  <c r="AQ96" i="23"/>
  <c r="AV96" i="23"/>
  <c r="AW96" i="23"/>
  <c r="BB96" i="23"/>
  <c r="BC96" i="23"/>
  <c r="BH96" i="23"/>
  <c r="BI96" i="23"/>
  <c r="BN96" i="23"/>
  <c r="BO96" i="23"/>
  <c r="BT96" i="23"/>
  <c r="BU96" i="23"/>
  <c r="BZ96" i="23"/>
  <c r="CA96" i="23"/>
  <c r="CF96" i="23"/>
  <c r="CG96" i="23"/>
  <c r="CL96" i="23"/>
  <c r="CM96" i="23"/>
  <c r="CR96" i="23"/>
  <c r="CS96" i="23"/>
  <c r="CX96" i="23"/>
  <c r="CY96" i="23"/>
  <c r="DD96" i="23"/>
  <c r="DE96" i="23"/>
  <c r="DF96" i="23"/>
  <c r="DJ96" i="23" s="1"/>
  <c r="F96" i="23" s="1"/>
  <c r="DG96" i="23"/>
  <c r="DH96" i="23"/>
  <c r="DI96" i="23"/>
  <c r="L97" i="23"/>
  <c r="R97" i="23"/>
  <c r="S97" i="23"/>
  <c r="X97" i="23"/>
  <c r="Y97" i="23"/>
  <c r="AD97" i="23"/>
  <c r="AE97" i="23"/>
  <c r="AF97" i="23"/>
  <c r="AG97" i="23"/>
  <c r="AK97" i="23" s="1"/>
  <c r="K97" i="23" s="1"/>
  <c r="M97" i="23" s="1"/>
  <c r="AH97" i="23"/>
  <c r="AI97" i="23"/>
  <c r="AJ97" i="23"/>
  <c r="AP97" i="23"/>
  <c r="AQ97" i="23"/>
  <c r="AV97" i="23"/>
  <c r="AW97" i="23"/>
  <c r="BB97" i="23"/>
  <c r="BC97" i="23"/>
  <c r="BH97" i="23"/>
  <c r="BI97" i="23"/>
  <c r="BN97" i="23"/>
  <c r="BO97" i="23"/>
  <c r="BT97" i="23"/>
  <c r="BU97" i="23"/>
  <c r="BZ97" i="23"/>
  <c r="CA97" i="23"/>
  <c r="CF97" i="23"/>
  <c r="CG97" i="23"/>
  <c r="CL97" i="23"/>
  <c r="CM97" i="23"/>
  <c r="CR97" i="23"/>
  <c r="CS97" i="23"/>
  <c r="CX97" i="23"/>
  <c r="CY97" i="23"/>
  <c r="DD97" i="23"/>
  <c r="DE97" i="23"/>
  <c r="DF97" i="23"/>
  <c r="DJ97" i="23" s="1"/>
  <c r="F97" i="23" s="1"/>
  <c r="DG97" i="23"/>
  <c r="DH97" i="23"/>
  <c r="DI97" i="23"/>
  <c r="L98" i="23"/>
  <c r="R98" i="23"/>
  <c r="S98" i="23"/>
  <c r="X98" i="23"/>
  <c r="Y98" i="23"/>
  <c r="AD98" i="23"/>
  <c r="AE98" i="23"/>
  <c r="AF98" i="23"/>
  <c r="AG98" i="23"/>
  <c r="AK98" i="23" s="1"/>
  <c r="G98" i="23" s="1"/>
  <c r="AH98" i="23"/>
  <c r="AI98" i="23"/>
  <c r="AJ98" i="23"/>
  <c r="AP98" i="23"/>
  <c r="AQ98" i="23"/>
  <c r="AV98" i="23"/>
  <c r="AW98" i="23"/>
  <c r="BB98" i="23"/>
  <c r="BC98" i="23"/>
  <c r="BH98" i="23"/>
  <c r="BI98" i="23"/>
  <c r="BN98" i="23"/>
  <c r="BO98" i="23"/>
  <c r="BT98" i="23"/>
  <c r="BU98" i="23"/>
  <c r="BZ98" i="23"/>
  <c r="CA98" i="23"/>
  <c r="CF98" i="23"/>
  <c r="CG98" i="23"/>
  <c r="CL98" i="23"/>
  <c r="CM98" i="23"/>
  <c r="CR98" i="23"/>
  <c r="CS98" i="23"/>
  <c r="CX98" i="23"/>
  <c r="CY98" i="23"/>
  <c r="DD98" i="23"/>
  <c r="DE98" i="23"/>
  <c r="DF98" i="23"/>
  <c r="DJ98" i="23" s="1"/>
  <c r="F98" i="23" s="1"/>
  <c r="DG98" i="23"/>
  <c r="DH98" i="23"/>
  <c r="DI98" i="23"/>
  <c r="F99" i="23"/>
  <c r="K99" i="23"/>
  <c r="M99" i="23" s="1"/>
  <c r="L99" i="23"/>
  <c r="R99" i="23"/>
  <c r="S99" i="23"/>
  <c r="X99" i="23"/>
  <c r="Y99" i="23"/>
  <c r="AD99" i="23"/>
  <c r="AE99" i="23"/>
  <c r="AF99" i="23"/>
  <c r="AG99" i="23"/>
  <c r="AK99" i="23" s="1"/>
  <c r="AH99" i="23"/>
  <c r="AI99" i="23"/>
  <c r="AJ99" i="23"/>
  <c r="AP99" i="23"/>
  <c r="AQ99" i="23"/>
  <c r="AV99" i="23"/>
  <c r="AW99" i="23"/>
  <c r="BB99" i="23"/>
  <c r="BC99" i="23"/>
  <c r="BH99" i="23"/>
  <c r="BI99" i="23"/>
  <c r="BN99" i="23"/>
  <c r="BO99" i="23"/>
  <c r="BT99" i="23"/>
  <c r="BU99" i="23"/>
  <c r="BZ99" i="23"/>
  <c r="CA99" i="23"/>
  <c r="CF99" i="23"/>
  <c r="CG99" i="23"/>
  <c r="CL99" i="23"/>
  <c r="CM99" i="23"/>
  <c r="CR99" i="23"/>
  <c r="CS99" i="23"/>
  <c r="CX99" i="23"/>
  <c r="CY99" i="23"/>
  <c r="DD99" i="23"/>
  <c r="DE99" i="23"/>
  <c r="DF99" i="23"/>
  <c r="DJ99" i="23" s="1"/>
  <c r="DG99" i="23"/>
  <c r="DH99" i="23"/>
  <c r="DI99" i="23"/>
  <c r="K100" i="23"/>
  <c r="M100" i="23" s="1"/>
  <c r="L100" i="23"/>
  <c r="R100" i="23"/>
  <c r="S100" i="23"/>
  <c r="X100" i="23"/>
  <c r="Y100" i="23"/>
  <c r="AD100" i="23"/>
  <c r="AE100" i="23"/>
  <c r="AF100" i="23"/>
  <c r="AG100" i="23"/>
  <c r="AK100" i="23" s="1"/>
  <c r="AH100" i="23"/>
  <c r="AI100" i="23"/>
  <c r="AJ100" i="23"/>
  <c r="AP100" i="23"/>
  <c r="AQ100" i="23"/>
  <c r="AV100" i="23"/>
  <c r="AW100" i="23"/>
  <c r="BB100" i="23"/>
  <c r="BC100" i="23"/>
  <c r="BH100" i="23"/>
  <c r="BI100" i="23"/>
  <c r="BN100" i="23"/>
  <c r="BO100" i="23"/>
  <c r="BT100" i="23"/>
  <c r="BU100" i="23"/>
  <c r="BZ100" i="23"/>
  <c r="CA100" i="23"/>
  <c r="CF100" i="23"/>
  <c r="CG100" i="23"/>
  <c r="CL100" i="23"/>
  <c r="CM100" i="23"/>
  <c r="CR100" i="23"/>
  <c r="CS100" i="23"/>
  <c r="CX100" i="23"/>
  <c r="CY100" i="23"/>
  <c r="DD100" i="23"/>
  <c r="DE100" i="23"/>
  <c r="DF100" i="23"/>
  <c r="DJ100" i="23" s="1"/>
  <c r="F100" i="23" s="1"/>
  <c r="DG100" i="23"/>
  <c r="DH100" i="23"/>
  <c r="DI100" i="23"/>
  <c r="F101" i="23"/>
  <c r="L101" i="23"/>
  <c r="R101" i="23"/>
  <c r="S101" i="23"/>
  <c r="X101" i="23"/>
  <c r="Y101" i="23"/>
  <c r="AD101" i="23"/>
  <c r="AE101" i="23"/>
  <c r="AF101" i="23"/>
  <c r="AG101" i="23"/>
  <c r="AK101" i="23" s="1"/>
  <c r="G101" i="23" s="1"/>
  <c r="AH101" i="23"/>
  <c r="AI101" i="23"/>
  <c r="AJ101" i="23"/>
  <c r="AP101" i="23"/>
  <c r="AQ101" i="23"/>
  <c r="AV101" i="23"/>
  <c r="AW101" i="23"/>
  <c r="BB101" i="23"/>
  <c r="BC101" i="23"/>
  <c r="BH101" i="23"/>
  <c r="BI101" i="23"/>
  <c r="BN101" i="23"/>
  <c r="BO101" i="23"/>
  <c r="BT101" i="23"/>
  <c r="BU101" i="23"/>
  <c r="BZ101" i="23"/>
  <c r="CA101" i="23"/>
  <c r="CF101" i="23"/>
  <c r="CG101" i="23"/>
  <c r="CL101" i="23"/>
  <c r="CM101" i="23"/>
  <c r="CR101" i="23"/>
  <c r="CS101" i="23"/>
  <c r="CX101" i="23"/>
  <c r="CY101" i="23"/>
  <c r="DD101" i="23"/>
  <c r="DE101" i="23"/>
  <c r="DF101" i="23"/>
  <c r="DJ101" i="23" s="1"/>
  <c r="DG101" i="23"/>
  <c r="DH101" i="23"/>
  <c r="DI101" i="23"/>
  <c r="F102" i="23"/>
  <c r="K102" i="23"/>
  <c r="M102" i="23" s="1"/>
  <c r="L102" i="23"/>
  <c r="R102" i="23"/>
  <c r="S102" i="23"/>
  <c r="X102" i="23"/>
  <c r="Y102" i="23"/>
  <c r="AD102" i="23"/>
  <c r="AE102" i="23"/>
  <c r="AF102" i="23"/>
  <c r="AG102" i="23"/>
  <c r="AK102" i="23" s="1"/>
  <c r="AH102" i="23"/>
  <c r="AI102" i="23"/>
  <c r="AJ102" i="23"/>
  <c r="AP102" i="23"/>
  <c r="AQ102" i="23"/>
  <c r="AV102" i="23"/>
  <c r="AW102" i="23"/>
  <c r="BB102" i="23"/>
  <c r="BC102" i="23"/>
  <c r="BH102" i="23"/>
  <c r="BI102" i="23"/>
  <c r="BN102" i="23"/>
  <c r="BO102" i="23"/>
  <c r="BT102" i="23"/>
  <c r="BU102" i="23"/>
  <c r="BZ102" i="23"/>
  <c r="CA102" i="23"/>
  <c r="CF102" i="23"/>
  <c r="CG102" i="23"/>
  <c r="CL102" i="23"/>
  <c r="CM102" i="23"/>
  <c r="CR102" i="23"/>
  <c r="CS102" i="23"/>
  <c r="CX102" i="23"/>
  <c r="CY102" i="23"/>
  <c r="DD102" i="23"/>
  <c r="DE102" i="23"/>
  <c r="DF102" i="23"/>
  <c r="DJ102" i="23" s="1"/>
  <c r="DG102" i="23"/>
  <c r="DH102" i="23"/>
  <c r="DI102" i="23"/>
  <c r="L103" i="23"/>
  <c r="R103" i="23"/>
  <c r="S103" i="23"/>
  <c r="X103" i="23"/>
  <c r="Y103" i="23"/>
  <c r="AD103" i="23"/>
  <c r="AE103" i="23"/>
  <c r="AF103" i="23"/>
  <c r="AJ103" i="23" s="1"/>
  <c r="AG103" i="23"/>
  <c r="AK103" i="23" s="1"/>
  <c r="G103" i="23" s="1"/>
  <c r="AH103" i="23"/>
  <c r="AI103" i="23"/>
  <c r="AP103" i="23"/>
  <c r="AQ103" i="23"/>
  <c r="AV103" i="23"/>
  <c r="AW103" i="23"/>
  <c r="BB103" i="23"/>
  <c r="BC103" i="23"/>
  <c r="BH103" i="23"/>
  <c r="BI103" i="23"/>
  <c r="BN103" i="23"/>
  <c r="BO103" i="23"/>
  <c r="BT103" i="23"/>
  <c r="BU103" i="23"/>
  <c r="BZ103" i="23"/>
  <c r="CA103" i="23"/>
  <c r="CF103" i="23"/>
  <c r="CG103" i="23"/>
  <c r="CL103" i="23"/>
  <c r="CM103" i="23"/>
  <c r="CR103" i="23"/>
  <c r="CS103" i="23"/>
  <c r="CX103" i="23"/>
  <c r="CY103" i="23"/>
  <c r="DD103" i="23"/>
  <c r="DE103" i="23"/>
  <c r="DF103" i="23"/>
  <c r="DJ103" i="23" s="1"/>
  <c r="F103" i="23" s="1"/>
  <c r="DG103" i="23"/>
  <c r="DH103" i="23"/>
  <c r="DI103" i="23"/>
  <c r="K104" i="23"/>
  <c r="M104" i="23" s="1"/>
  <c r="R104" i="23"/>
  <c r="S104" i="23"/>
  <c r="X104" i="23"/>
  <c r="Y104" i="23"/>
  <c r="AD104" i="23"/>
  <c r="AE104" i="23"/>
  <c r="AF104" i="23"/>
  <c r="AG104" i="23"/>
  <c r="AH104" i="23"/>
  <c r="AI104" i="23"/>
  <c r="AJ104" i="23"/>
  <c r="AK104" i="23"/>
  <c r="AP104" i="23"/>
  <c r="AQ104" i="23"/>
  <c r="AV104" i="23"/>
  <c r="AW104" i="23"/>
  <c r="BB104" i="23"/>
  <c r="BC104" i="23"/>
  <c r="BH104" i="23"/>
  <c r="BI104" i="23"/>
  <c r="BN104" i="23"/>
  <c r="BO104" i="23"/>
  <c r="BT104" i="23"/>
  <c r="BU104" i="23"/>
  <c r="BZ104" i="23"/>
  <c r="CA104" i="23"/>
  <c r="CF104" i="23"/>
  <c r="CG104" i="23"/>
  <c r="CL104" i="23"/>
  <c r="CM104" i="23"/>
  <c r="CR104" i="23"/>
  <c r="CS104" i="23"/>
  <c r="CX104" i="23"/>
  <c r="CY104" i="23"/>
  <c r="DD104" i="23"/>
  <c r="DE104" i="23"/>
  <c r="DF104" i="23"/>
  <c r="DJ104" i="23" s="1"/>
  <c r="F104" i="23" s="1"/>
  <c r="DG104" i="23"/>
  <c r="DH104" i="23"/>
  <c r="DI104" i="23"/>
  <c r="K105" i="23"/>
  <c r="M105" i="23" s="1"/>
  <c r="R105" i="23"/>
  <c r="S105" i="23"/>
  <c r="X105" i="23"/>
  <c r="Y105" i="23"/>
  <c r="AD105" i="23"/>
  <c r="AE105" i="23"/>
  <c r="AF105" i="23"/>
  <c r="AG105" i="23"/>
  <c r="AH105" i="23"/>
  <c r="AI105" i="23"/>
  <c r="AJ105" i="23"/>
  <c r="AK105" i="23"/>
  <c r="AP105" i="23"/>
  <c r="AQ105" i="23"/>
  <c r="AV105" i="23"/>
  <c r="AW105" i="23"/>
  <c r="BB105" i="23"/>
  <c r="BC105" i="23"/>
  <c r="BH105" i="23"/>
  <c r="BI105" i="23"/>
  <c r="BN105" i="23"/>
  <c r="BO105" i="23"/>
  <c r="BT105" i="23"/>
  <c r="BU105" i="23"/>
  <c r="BZ105" i="23"/>
  <c r="CA105" i="23"/>
  <c r="CF105" i="23"/>
  <c r="CG105" i="23"/>
  <c r="CL105" i="23"/>
  <c r="CM105" i="23"/>
  <c r="CR105" i="23"/>
  <c r="CS105" i="23"/>
  <c r="CX105" i="23"/>
  <c r="CY105" i="23"/>
  <c r="DD105" i="23"/>
  <c r="DE105" i="23"/>
  <c r="DF105" i="23"/>
  <c r="DJ105" i="23" s="1"/>
  <c r="F105" i="23" s="1"/>
  <c r="DG105" i="23"/>
  <c r="DH105" i="23"/>
  <c r="DI105" i="23"/>
  <c r="K106" i="23"/>
  <c r="M106" i="23" s="1"/>
  <c r="R106" i="23"/>
  <c r="S106" i="23"/>
  <c r="X106" i="23"/>
  <c r="Y106" i="23"/>
  <c r="AD106" i="23"/>
  <c r="AE106" i="23"/>
  <c r="AF106" i="23"/>
  <c r="AG106" i="23"/>
  <c r="AH106" i="23"/>
  <c r="AI106" i="23"/>
  <c r="AJ106" i="23"/>
  <c r="AK106" i="23"/>
  <c r="G106" i="23" s="1"/>
  <c r="AP106" i="23"/>
  <c r="AQ106" i="23"/>
  <c r="AV106" i="23"/>
  <c r="AW106" i="23"/>
  <c r="BB106" i="23"/>
  <c r="BC106" i="23"/>
  <c r="BH106" i="23"/>
  <c r="BI106" i="23"/>
  <c r="BN106" i="23"/>
  <c r="BO106" i="23"/>
  <c r="BT106" i="23"/>
  <c r="BU106" i="23"/>
  <c r="BZ106" i="23"/>
  <c r="CA106" i="23"/>
  <c r="CF106" i="23"/>
  <c r="CG106" i="23"/>
  <c r="CL106" i="23"/>
  <c r="CM106" i="23"/>
  <c r="CR106" i="23"/>
  <c r="CS106" i="23"/>
  <c r="CX106" i="23"/>
  <c r="CY106" i="23"/>
  <c r="DD106" i="23"/>
  <c r="DE106" i="23"/>
  <c r="DF106" i="23"/>
  <c r="DJ106" i="23" s="1"/>
  <c r="F106" i="23" s="1"/>
  <c r="DG106" i="23"/>
  <c r="DH106" i="23"/>
  <c r="DI106" i="23"/>
  <c r="K107" i="23"/>
  <c r="M107" i="23" s="1"/>
  <c r="R107" i="23"/>
  <c r="S107" i="23"/>
  <c r="X107" i="23"/>
  <c r="Y107" i="23"/>
  <c r="AD107" i="23"/>
  <c r="AE107" i="23"/>
  <c r="AF107" i="23"/>
  <c r="AG107" i="23"/>
  <c r="AH107" i="23"/>
  <c r="AI107" i="23"/>
  <c r="AJ107" i="23"/>
  <c r="AK107" i="23"/>
  <c r="AP107" i="23"/>
  <c r="AQ107" i="23"/>
  <c r="AV107" i="23"/>
  <c r="AW107" i="23"/>
  <c r="BB107" i="23"/>
  <c r="BC107" i="23"/>
  <c r="BH107" i="23"/>
  <c r="BI107" i="23"/>
  <c r="BN107" i="23"/>
  <c r="BO107" i="23"/>
  <c r="BT107" i="23"/>
  <c r="BU107" i="23"/>
  <c r="BZ107" i="23"/>
  <c r="CA107" i="23"/>
  <c r="CF107" i="23"/>
  <c r="CG107" i="23"/>
  <c r="CL107" i="23"/>
  <c r="CM107" i="23"/>
  <c r="CR107" i="23"/>
  <c r="CS107" i="23"/>
  <c r="CX107" i="23"/>
  <c r="CY107" i="23"/>
  <c r="DD107" i="23"/>
  <c r="DE107" i="23"/>
  <c r="DF107" i="23"/>
  <c r="DJ107" i="23" s="1"/>
  <c r="F107" i="23" s="1"/>
  <c r="DG107" i="23"/>
  <c r="DH107" i="23"/>
  <c r="DI107" i="23"/>
  <c r="K108" i="23"/>
  <c r="M108" i="23" s="1"/>
  <c r="R108" i="23"/>
  <c r="S108" i="23"/>
  <c r="X108" i="23"/>
  <c r="Y108" i="23"/>
  <c r="AD108" i="23"/>
  <c r="AE108" i="23"/>
  <c r="AF108" i="23"/>
  <c r="AG108" i="23"/>
  <c r="AH108" i="23"/>
  <c r="AI108" i="23"/>
  <c r="AJ108" i="23"/>
  <c r="AK108" i="23"/>
  <c r="G108" i="23" s="1"/>
  <c r="AP108" i="23"/>
  <c r="AQ108" i="23"/>
  <c r="AV108" i="23"/>
  <c r="AW108" i="23"/>
  <c r="BB108" i="23"/>
  <c r="BC108" i="23"/>
  <c r="BH108" i="23"/>
  <c r="BI108" i="23"/>
  <c r="BN108" i="23"/>
  <c r="BO108" i="23"/>
  <c r="BT108" i="23"/>
  <c r="BU108" i="23"/>
  <c r="BZ108" i="23"/>
  <c r="CA108" i="23"/>
  <c r="CF108" i="23"/>
  <c r="CG108" i="23"/>
  <c r="CL108" i="23"/>
  <c r="CM108" i="23"/>
  <c r="CR108" i="23"/>
  <c r="CS108" i="23"/>
  <c r="CX108" i="23"/>
  <c r="CY108" i="23"/>
  <c r="DD108" i="23"/>
  <c r="DE108" i="23"/>
  <c r="DF108" i="23"/>
  <c r="DJ108" i="23" s="1"/>
  <c r="F108" i="23" s="1"/>
  <c r="DG108" i="23"/>
  <c r="DH108" i="23"/>
  <c r="DI108" i="23"/>
  <c r="K109" i="23"/>
  <c r="M109" i="23" s="1"/>
  <c r="R109" i="23"/>
  <c r="S109" i="23"/>
  <c r="X109" i="23"/>
  <c r="Y109" i="23"/>
  <c r="AD109" i="23"/>
  <c r="AE109" i="23"/>
  <c r="AF109" i="23"/>
  <c r="AG109" i="23"/>
  <c r="AH109" i="23"/>
  <c r="AI109" i="23"/>
  <c r="AJ109" i="23"/>
  <c r="AK109" i="23"/>
  <c r="G109" i="23" s="1"/>
  <c r="AP109" i="23"/>
  <c r="AQ109" i="23"/>
  <c r="AV109" i="23"/>
  <c r="AW109" i="23"/>
  <c r="BB109" i="23"/>
  <c r="BC109" i="23"/>
  <c r="BH109" i="23"/>
  <c r="BI109" i="23"/>
  <c r="BN109" i="23"/>
  <c r="BO109" i="23"/>
  <c r="BT109" i="23"/>
  <c r="BU109" i="23"/>
  <c r="BZ109" i="23"/>
  <c r="CA109" i="23"/>
  <c r="CF109" i="23"/>
  <c r="CG109" i="23"/>
  <c r="CL109" i="23"/>
  <c r="CM109" i="23"/>
  <c r="CR109" i="23"/>
  <c r="CS109" i="23"/>
  <c r="CX109" i="23"/>
  <c r="CY109" i="23"/>
  <c r="DD109" i="23"/>
  <c r="DE109" i="23"/>
  <c r="DF109" i="23"/>
  <c r="DJ109" i="23" s="1"/>
  <c r="F109" i="23" s="1"/>
  <c r="DG109" i="23"/>
  <c r="DH109" i="23"/>
  <c r="DI109" i="23"/>
  <c r="K110" i="23"/>
  <c r="M110" i="23" s="1"/>
  <c r="R110" i="23"/>
  <c r="S110" i="23"/>
  <c r="X110" i="23"/>
  <c r="Y110" i="23"/>
  <c r="AD110" i="23"/>
  <c r="AE110" i="23"/>
  <c r="AF110" i="23"/>
  <c r="AG110" i="23"/>
  <c r="AH110" i="23"/>
  <c r="AI110" i="23"/>
  <c r="AJ110" i="23"/>
  <c r="AK110" i="23"/>
  <c r="G110" i="23" s="1"/>
  <c r="AP110" i="23"/>
  <c r="AQ110" i="23"/>
  <c r="AV110" i="23"/>
  <c r="AW110" i="23"/>
  <c r="BB110" i="23"/>
  <c r="BC110" i="23"/>
  <c r="BH110" i="23"/>
  <c r="BI110" i="23"/>
  <c r="BN110" i="23"/>
  <c r="BO110" i="23"/>
  <c r="BT110" i="23"/>
  <c r="BU110" i="23"/>
  <c r="BZ110" i="23"/>
  <c r="CA110" i="23"/>
  <c r="CF110" i="23"/>
  <c r="CG110" i="23"/>
  <c r="CL110" i="23"/>
  <c r="CM110" i="23"/>
  <c r="CR110" i="23"/>
  <c r="CS110" i="23"/>
  <c r="CX110" i="23"/>
  <c r="CY110" i="23"/>
  <c r="DD110" i="23"/>
  <c r="DE110" i="23"/>
  <c r="DF110" i="23"/>
  <c r="DJ110" i="23" s="1"/>
  <c r="F110" i="23" s="1"/>
  <c r="DG110" i="23"/>
  <c r="DH110" i="23"/>
  <c r="DI110" i="23"/>
  <c r="K111" i="23"/>
  <c r="M111" i="23" s="1"/>
  <c r="R111" i="23"/>
  <c r="S111" i="23"/>
  <c r="X111" i="23"/>
  <c r="Y111" i="23"/>
  <c r="AD111" i="23"/>
  <c r="AE111" i="23"/>
  <c r="AF111" i="23"/>
  <c r="AG111" i="23"/>
  <c r="AH111" i="23"/>
  <c r="AI111" i="23"/>
  <c r="AJ111" i="23"/>
  <c r="AK111" i="23"/>
  <c r="AP111" i="23"/>
  <c r="AQ111" i="23"/>
  <c r="AV111" i="23"/>
  <c r="AW111" i="23"/>
  <c r="BB111" i="23"/>
  <c r="BC111" i="23"/>
  <c r="BH111" i="23"/>
  <c r="BI111" i="23"/>
  <c r="BN111" i="23"/>
  <c r="BO111" i="23"/>
  <c r="BT111" i="23"/>
  <c r="BU111" i="23"/>
  <c r="BZ111" i="23"/>
  <c r="CA111" i="23"/>
  <c r="CF111" i="23"/>
  <c r="CG111" i="23"/>
  <c r="CL111" i="23"/>
  <c r="CM111" i="23"/>
  <c r="CR111" i="23"/>
  <c r="CS111" i="23"/>
  <c r="CX111" i="23"/>
  <c r="CY111" i="23"/>
  <c r="DD111" i="23"/>
  <c r="DE111" i="23"/>
  <c r="DF111" i="23"/>
  <c r="DJ111" i="23" s="1"/>
  <c r="F111" i="23" s="1"/>
  <c r="DG111" i="23"/>
  <c r="DH111" i="23"/>
  <c r="DI111" i="23"/>
  <c r="K112" i="23"/>
  <c r="M112" i="23" s="1"/>
  <c r="R112" i="23"/>
  <c r="S112" i="23"/>
  <c r="X112" i="23"/>
  <c r="Y112" i="23"/>
  <c r="AD112" i="23"/>
  <c r="AE112" i="23"/>
  <c r="AF112" i="23"/>
  <c r="AG112" i="23"/>
  <c r="AH112" i="23"/>
  <c r="AI112" i="23"/>
  <c r="AJ112" i="23"/>
  <c r="AK112" i="23"/>
  <c r="G112" i="23" s="1"/>
  <c r="AP112" i="23"/>
  <c r="AQ112" i="23"/>
  <c r="AV112" i="23"/>
  <c r="AW112" i="23"/>
  <c r="BB112" i="23"/>
  <c r="BC112" i="23"/>
  <c r="BH112" i="23"/>
  <c r="BI112" i="23"/>
  <c r="BN112" i="23"/>
  <c r="BO112" i="23"/>
  <c r="BT112" i="23"/>
  <c r="BU112" i="23"/>
  <c r="BZ112" i="23"/>
  <c r="CA112" i="23"/>
  <c r="CF112" i="23"/>
  <c r="CG112" i="23"/>
  <c r="CL112" i="23"/>
  <c r="CM112" i="23"/>
  <c r="CR112" i="23"/>
  <c r="CS112" i="23"/>
  <c r="CX112" i="23"/>
  <c r="CY112" i="23"/>
  <c r="DD112" i="23"/>
  <c r="DE112" i="23"/>
  <c r="DF112" i="23"/>
  <c r="DJ112" i="23" s="1"/>
  <c r="F112" i="23" s="1"/>
  <c r="DG112" i="23"/>
  <c r="DH112" i="23"/>
  <c r="DI112" i="23"/>
  <c r="K113" i="23"/>
  <c r="M113" i="23" s="1"/>
  <c r="R113" i="23"/>
  <c r="S113" i="23"/>
  <c r="X113" i="23"/>
  <c r="Y113" i="23"/>
  <c r="AD113" i="23"/>
  <c r="AE113" i="23"/>
  <c r="AF113" i="23"/>
  <c r="AG113" i="23"/>
  <c r="AH113" i="23"/>
  <c r="AI113" i="23"/>
  <c r="AJ113" i="23"/>
  <c r="AK113" i="23"/>
  <c r="G113" i="23" s="1"/>
  <c r="AP113" i="23"/>
  <c r="AQ113" i="23"/>
  <c r="AV113" i="23"/>
  <c r="AW113" i="23"/>
  <c r="BB113" i="23"/>
  <c r="BC113" i="23"/>
  <c r="BH113" i="23"/>
  <c r="BI113" i="23"/>
  <c r="BN113" i="23"/>
  <c r="BO113" i="23"/>
  <c r="BT113" i="23"/>
  <c r="BU113" i="23"/>
  <c r="BZ113" i="23"/>
  <c r="CA113" i="23"/>
  <c r="CF113" i="23"/>
  <c r="CG113" i="23"/>
  <c r="CL113" i="23"/>
  <c r="CM113" i="23"/>
  <c r="CR113" i="23"/>
  <c r="CS113" i="23"/>
  <c r="CX113" i="23"/>
  <c r="CY113" i="23"/>
  <c r="DD113" i="23"/>
  <c r="DE113" i="23"/>
  <c r="DF113" i="23"/>
  <c r="DJ113" i="23" s="1"/>
  <c r="F113" i="23" s="1"/>
  <c r="DG113" i="23"/>
  <c r="DH113" i="23"/>
  <c r="DI113" i="23"/>
  <c r="K114" i="23"/>
  <c r="M114" i="23" s="1"/>
  <c r="R114" i="23"/>
  <c r="S114" i="23"/>
  <c r="X114" i="23"/>
  <c r="Y114" i="23"/>
  <c r="AD114" i="23"/>
  <c r="AE114" i="23"/>
  <c r="AF114" i="23"/>
  <c r="AG114" i="23"/>
  <c r="AH114" i="23"/>
  <c r="AI114" i="23"/>
  <c r="AJ114" i="23"/>
  <c r="AK114" i="23"/>
  <c r="G114" i="23" s="1"/>
  <c r="AP114" i="23"/>
  <c r="AQ114" i="23"/>
  <c r="AV114" i="23"/>
  <c r="AW114" i="23"/>
  <c r="BB114" i="23"/>
  <c r="BC114" i="23"/>
  <c r="BH114" i="23"/>
  <c r="BI114" i="23"/>
  <c r="BN114" i="23"/>
  <c r="BO114" i="23"/>
  <c r="BT114" i="23"/>
  <c r="BU114" i="23"/>
  <c r="BZ114" i="23"/>
  <c r="CA114" i="23"/>
  <c r="CF114" i="23"/>
  <c r="CG114" i="23"/>
  <c r="CL114" i="23"/>
  <c r="CM114" i="23"/>
  <c r="CR114" i="23"/>
  <c r="CS114" i="23"/>
  <c r="CX114" i="23"/>
  <c r="CY114" i="23"/>
  <c r="DD114" i="23"/>
  <c r="DE114" i="23"/>
  <c r="DF114" i="23"/>
  <c r="DJ114" i="23" s="1"/>
  <c r="F114" i="23" s="1"/>
  <c r="DG114" i="23"/>
  <c r="DH114" i="23"/>
  <c r="DI114" i="23"/>
  <c r="K115" i="23"/>
  <c r="M115" i="23" s="1"/>
  <c r="R115" i="23"/>
  <c r="S115" i="23"/>
  <c r="X115" i="23"/>
  <c r="Y115" i="23"/>
  <c r="AD115" i="23"/>
  <c r="AE115" i="23"/>
  <c r="AF115" i="23"/>
  <c r="AG115" i="23"/>
  <c r="AH115" i="23"/>
  <c r="AI115" i="23"/>
  <c r="AJ115" i="23"/>
  <c r="AK115" i="23"/>
  <c r="AP115" i="23"/>
  <c r="AQ115" i="23"/>
  <c r="AV115" i="23"/>
  <c r="AW115" i="23"/>
  <c r="BB115" i="23"/>
  <c r="BC115" i="23"/>
  <c r="BH115" i="23"/>
  <c r="BI115" i="23"/>
  <c r="BN115" i="23"/>
  <c r="BO115" i="23"/>
  <c r="BT115" i="23"/>
  <c r="BU115" i="23"/>
  <c r="BZ115" i="23"/>
  <c r="CA115" i="23"/>
  <c r="CF115" i="23"/>
  <c r="CG115" i="23"/>
  <c r="CL115" i="23"/>
  <c r="CM115" i="23"/>
  <c r="CR115" i="23"/>
  <c r="CS115" i="23"/>
  <c r="CX115" i="23"/>
  <c r="CY115" i="23"/>
  <c r="DD115" i="23"/>
  <c r="DE115" i="23"/>
  <c r="DF115" i="23"/>
  <c r="DJ115" i="23" s="1"/>
  <c r="F115" i="23" s="1"/>
  <c r="DG115" i="23"/>
  <c r="DH115" i="23"/>
  <c r="DI115" i="23"/>
  <c r="K116" i="23"/>
  <c r="M116" i="23" s="1"/>
  <c r="R116" i="23"/>
  <c r="S116" i="23"/>
  <c r="X116" i="23"/>
  <c r="Y116" i="23"/>
  <c r="AD116" i="23"/>
  <c r="AE116" i="23"/>
  <c r="AF116" i="23"/>
  <c r="AG116" i="23"/>
  <c r="AH116" i="23"/>
  <c r="AI116" i="23"/>
  <c r="AJ116" i="23"/>
  <c r="AK116" i="23"/>
  <c r="G116" i="23" s="1"/>
  <c r="AP116" i="23"/>
  <c r="AQ116" i="23"/>
  <c r="AV116" i="23"/>
  <c r="AW116" i="23"/>
  <c r="BB116" i="23"/>
  <c r="BC116" i="23"/>
  <c r="BH116" i="23"/>
  <c r="BI116" i="23"/>
  <c r="BN116" i="23"/>
  <c r="BO116" i="23"/>
  <c r="BT116" i="23"/>
  <c r="BU116" i="23"/>
  <c r="BZ116" i="23"/>
  <c r="CA116" i="23"/>
  <c r="CF116" i="23"/>
  <c r="CG116" i="23"/>
  <c r="CL116" i="23"/>
  <c r="CM116" i="23"/>
  <c r="CR116" i="23"/>
  <c r="CS116" i="23"/>
  <c r="CX116" i="23"/>
  <c r="CY116" i="23"/>
  <c r="DD116" i="23"/>
  <c r="DE116" i="23"/>
  <c r="DF116" i="23"/>
  <c r="DJ116" i="23" s="1"/>
  <c r="F116" i="23" s="1"/>
  <c r="DG116" i="23"/>
  <c r="DH116" i="23"/>
  <c r="DI116" i="23"/>
  <c r="K117" i="23"/>
  <c r="M117" i="23" s="1"/>
  <c r="R117" i="23"/>
  <c r="S117" i="23"/>
  <c r="X117" i="23"/>
  <c r="Y117" i="23"/>
  <c r="AD117" i="23"/>
  <c r="AE117" i="23"/>
  <c r="AF117" i="23"/>
  <c r="AJ117" i="23" s="1"/>
  <c r="AG117" i="23"/>
  <c r="AH117" i="23"/>
  <c r="AI117" i="23"/>
  <c r="AK117" i="23"/>
  <c r="AP117" i="23"/>
  <c r="AQ117" i="23"/>
  <c r="AV117" i="23"/>
  <c r="AW117" i="23"/>
  <c r="BB117" i="23"/>
  <c r="BC117" i="23"/>
  <c r="BH117" i="23"/>
  <c r="BI117" i="23"/>
  <c r="BN117" i="23"/>
  <c r="BO117" i="23"/>
  <c r="BT117" i="23"/>
  <c r="BU117" i="23"/>
  <c r="BZ117" i="23"/>
  <c r="CA117" i="23"/>
  <c r="CF117" i="23"/>
  <c r="CG117" i="23"/>
  <c r="CL117" i="23"/>
  <c r="CM117" i="23"/>
  <c r="CR117" i="23"/>
  <c r="CS117" i="23"/>
  <c r="CX117" i="23"/>
  <c r="CY117" i="23"/>
  <c r="DD117" i="23"/>
  <c r="DE117" i="23"/>
  <c r="DF117" i="23"/>
  <c r="DJ117" i="23" s="1"/>
  <c r="F117" i="23" s="1"/>
  <c r="DG117" i="23"/>
  <c r="DH117" i="23"/>
  <c r="DI117" i="23"/>
  <c r="K118" i="23"/>
  <c r="M118" i="23" s="1"/>
  <c r="R118" i="23"/>
  <c r="S118" i="23"/>
  <c r="X118" i="23"/>
  <c r="Y118" i="23"/>
  <c r="AD118" i="23"/>
  <c r="AE118" i="23"/>
  <c r="AF118" i="23"/>
  <c r="AJ118" i="23" s="1"/>
  <c r="AG118" i="23"/>
  <c r="AH118" i="23"/>
  <c r="AI118" i="23"/>
  <c r="AK118" i="23"/>
  <c r="G118" i="23" s="1"/>
  <c r="AP118" i="23"/>
  <c r="AQ118" i="23"/>
  <c r="AV118" i="23"/>
  <c r="AW118" i="23"/>
  <c r="BB118" i="23"/>
  <c r="BC118" i="23"/>
  <c r="BH118" i="23"/>
  <c r="BI118" i="23"/>
  <c r="BN118" i="23"/>
  <c r="BO118" i="23"/>
  <c r="BT118" i="23"/>
  <c r="BU118" i="23"/>
  <c r="BZ118" i="23"/>
  <c r="CA118" i="23"/>
  <c r="CF118" i="23"/>
  <c r="CG118" i="23"/>
  <c r="CL118" i="23"/>
  <c r="CM118" i="23"/>
  <c r="CR118" i="23"/>
  <c r="CS118" i="23"/>
  <c r="CX118" i="23"/>
  <c r="CY118" i="23"/>
  <c r="DD118" i="23"/>
  <c r="DE118" i="23"/>
  <c r="DF118" i="23"/>
  <c r="DJ118" i="23" s="1"/>
  <c r="F118" i="23" s="1"/>
  <c r="DG118" i="23"/>
  <c r="DH118" i="23"/>
  <c r="DI118" i="23"/>
  <c r="K119" i="23"/>
  <c r="M119" i="23" s="1"/>
  <c r="R119" i="23"/>
  <c r="S119" i="23"/>
  <c r="X119" i="23"/>
  <c r="Y119" i="23"/>
  <c r="AD119" i="23"/>
  <c r="AE119" i="23"/>
  <c r="AF119" i="23"/>
  <c r="AJ119" i="23" s="1"/>
  <c r="AG119" i="23"/>
  <c r="AH119" i="23"/>
  <c r="AI119" i="23"/>
  <c r="AK119" i="23"/>
  <c r="AP119" i="23"/>
  <c r="AQ119" i="23"/>
  <c r="AV119" i="23"/>
  <c r="AW119" i="23"/>
  <c r="BB119" i="23"/>
  <c r="BC119" i="23"/>
  <c r="BH119" i="23"/>
  <c r="BI119" i="23"/>
  <c r="BN119" i="23"/>
  <c r="BO119" i="23"/>
  <c r="BT119" i="23"/>
  <c r="BU119" i="23"/>
  <c r="BZ119" i="23"/>
  <c r="CA119" i="23"/>
  <c r="CF119" i="23"/>
  <c r="CG119" i="23"/>
  <c r="CL119" i="23"/>
  <c r="CM119" i="23"/>
  <c r="CR119" i="23"/>
  <c r="CS119" i="23"/>
  <c r="CX119" i="23"/>
  <c r="CY119" i="23"/>
  <c r="DD119" i="23"/>
  <c r="DE119" i="23"/>
  <c r="DF119" i="23"/>
  <c r="DJ119" i="23" s="1"/>
  <c r="F119" i="23" s="1"/>
  <c r="DG119" i="23"/>
  <c r="DH119" i="23"/>
  <c r="DI119" i="23"/>
  <c r="K120" i="23"/>
  <c r="M120" i="23" s="1"/>
  <c r="R120" i="23"/>
  <c r="S120" i="23"/>
  <c r="X120" i="23"/>
  <c r="Y120" i="23"/>
  <c r="AD120" i="23"/>
  <c r="AE120" i="23"/>
  <c r="AF120" i="23"/>
  <c r="AJ120" i="23" s="1"/>
  <c r="AG120" i="23"/>
  <c r="AH120" i="23"/>
  <c r="AI120" i="23"/>
  <c r="AK120" i="23"/>
  <c r="G120" i="23" s="1"/>
  <c r="AP120" i="23"/>
  <c r="AQ120" i="23"/>
  <c r="AV120" i="23"/>
  <c r="AW120" i="23"/>
  <c r="BB120" i="23"/>
  <c r="BC120" i="23"/>
  <c r="BH120" i="23"/>
  <c r="BI120" i="23"/>
  <c r="BN120" i="23"/>
  <c r="BO120" i="23"/>
  <c r="BT120" i="23"/>
  <c r="BU120" i="23"/>
  <c r="BZ120" i="23"/>
  <c r="CA120" i="23"/>
  <c r="CF120" i="23"/>
  <c r="CG120" i="23"/>
  <c r="CL120" i="23"/>
  <c r="CM120" i="23"/>
  <c r="CR120" i="23"/>
  <c r="CS120" i="23"/>
  <c r="CX120" i="23"/>
  <c r="CY120" i="23"/>
  <c r="DD120" i="23"/>
  <c r="DE120" i="23"/>
  <c r="DF120" i="23"/>
  <c r="DJ120" i="23" s="1"/>
  <c r="F120" i="23" s="1"/>
  <c r="DG120" i="23"/>
  <c r="DH120" i="23"/>
  <c r="DI120" i="23"/>
  <c r="K121" i="23"/>
  <c r="M121" i="23" s="1"/>
  <c r="R121" i="23"/>
  <c r="S121" i="23"/>
  <c r="X121" i="23"/>
  <c r="Y121" i="23"/>
  <c r="AD121" i="23"/>
  <c r="AE121" i="23"/>
  <c r="AF121" i="23"/>
  <c r="AJ121" i="23" s="1"/>
  <c r="AG121" i="23"/>
  <c r="AH121" i="23"/>
  <c r="AI121" i="23"/>
  <c r="AK121" i="23"/>
  <c r="AP121" i="23"/>
  <c r="AQ121" i="23"/>
  <c r="AV121" i="23"/>
  <c r="AW121" i="23"/>
  <c r="BB121" i="23"/>
  <c r="BC121" i="23"/>
  <c r="BH121" i="23"/>
  <c r="BI121" i="23"/>
  <c r="BN121" i="23"/>
  <c r="BO121" i="23"/>
  <c r="BT121" i="23"/>
  <c r="BU121" i="23"/>
  <c r="BZ121" i="23"/>
  <c r="CA121" i="23"/>
  <c r="CF121" i="23"/>
  <c r="CG121" i="23"/>
  <c r="CL121" i="23"/>
  <c r="CM121" i="23"/>
  <c r="CR121" i="23"/>
  <c r="CS121" i="23"/>
  <c r="CX121" i="23"/>
  <c r="CY121" i="23"/>
  <c r="DD121" i="23"/>
  <c r="DE121" i="23"/>
  <c r="DF121" i="23"/>
  <c r="DJ121" i="23" s="1"/>
  <c r="F121" i="23" s="1"/>
  <c r="DG121" i="23"/>
  <c r="DH121" i="23"/>
  <c r="DI121" i="23"/>
  <c r="K122" i="23"/>
  <c r="M122" i="23" s="1"/>
  <c r="R122" i="23"/>
  <c r="S122" i="23"/>
  <c r="X122" i="23"/>
  <c r="Y122" i="23"/>
  <c r="AD122" i="23"/>
  <c r="AE122" i="23"/>
  <c r="AF122" i="23"/>
  <c r="AJ122" i="23" s="1"/>
  <c r="AG122" i="23"/>
  <c r="AH122" i="23"/>
  <c r="AI122" i="23"/>
  <c r="AK122" i="23"/>
  <c r="AP122" i="23"/>
  <c r="AQ122" i="23"/>
  <c r="AV122" i="23"/>
  <c r="AW122" i="23"/>
  <c r="BB122" i="23"/>
  <c r="BC122" i="23"/>
  <c r="BH122" i="23"/>
  <c r="BI122" i="23"/>
  <c r="BN122" i="23"/>
  <c r="BO122" i="23"/>
  <c r="BT122" i="23"/>
  <c r="BU122" i="23"/>
  <c r="BZ122" i="23"/>
  <c r="CA122" i="23"/>
  <c r="CF122" i="23"/>
  <c r="CG122" i="23"/>
  <c r="CL122" i="23"/>
  <c r="CM122" i="23"/>
  <c r="CR122" i="23"/>
  <c r="CS122" i="23"/>
  <c r="CX122" i="23"/>
  <c r="CY122" i="23"/>
  <c r="DD122" i="23"/>
  <c r="DE122" i="23"/>
  <c r="DF122" i="23"/>
  <c r="DJ122" i="23" s="1"/>
  <c r="F122" i="23" s="1"/>
  <c r="DG122" i="23"/>
  <c r="DH122" i="23"/>
  <c r="DI122" i="23"/>
  <c r="K123" i="23"/>
  <c r="M123" i="23" s="1"/>
  <c r="R123" i="23"/>
  <c r="S123" i="23"/>
  <c r="X123" i="23"/>
  <c r="Y123" i="23"/>
  <c r="AD123" i="23"/>
  <c r="AE123" i="23"/>
  <c r="AF123" i="23"/>
  <c r="AJ123" i="23" s="1"/>
  <c r="AG123" i="23"/>
  <c r="AH123" i="23"/>
  <c r="AI123" i="23"/>
  <c r="AK123" i="23"/>
  <c r="G123" i="23" s="1"/>
  <c r="AP123" i="23"/>
  <c r="AQ123" i="23"/>
  <c r="AV123" i="23"/>
  <c r="AW123" i="23"/>
  <c r="BB123" i="23"/>
  <c r="BC123" i="23"/>
  <c r="BH123" i="23"/>
  <c r="BI123" i="23"/>
  <c r="BN123" i="23"/>
  <c r="BO123" i="23"/>
  <c r="BT123" i="23"/>
  <c r="BU123" i="23"/>
  <c r="BZ123" i="23"/>
  <c r="CA123" i="23"/>
  <c r="CF123" i="23"/>
  <c r="CG123" i="23"/>
  <c r="CL123" i="23"/>
  <c r="CM123" i="23"/>
  <c r="CR123" i="23"/>
  <c r="CS123" i="23"/>
  <c r="CX123" i="23"/>
  <c r="CY123" i="23"/>
  <c r="DD123" i="23"/>
  <c r="DE123" i="23"/>
  <c r="DF123" i="23"/>
  <c r="DJ123" i="23" s="1"/>
  <c r="F123" i="23" s="1"/>
  <c r="DG123" i="23"/>
  <c r="DH123" i="23"/>
  <c r="DI123" i="23"/>
  <c r="DK79" i="23" l="1"/>
  <c r="DK136" i="23"/>
  <c r="DK156" i="23"/>
  <c r="DK125" i="23"/>
  <c r="DK170" i="23"/>
  <c r="DK154" i="23"/>
  <c r="DK150" i="23"/>
  <c r="DK88" i="23"/>
  <c r="DK87" i="23"/>
  <c r="O87" i="23" s="1"/>
  <c r="DK86" i="23"/>
  <c r="O86" i="23" s="1"/>
  <c r="DK85" i="23"/>
  <c r="O85" i="23" s="1"/>
  <c r="DK80" i="23"/>
  <c r="DK152" i="23"/>
  <c r="DK128" i="23"/>
  <c r="DK117" i="23"/>
  <c r="O117" i="23" s="1"/>
  <c r="DK73" i="23"/>
  <c r="O73" i="23" s="1"/>
  <c r="DK157" i="23"/>
  <c r="O157" i="23" s="1"/>
  <c r="DK141" i="23"/>
  <c r="DK153" i="23"/>
  <c r="DK149" i="23"/>
  <c r="O149" i="23" s="1"/>
  <c r="DK145" i="23"/>
  <c r="DK132" i="23"/>
  <c r="DK124" i="23"/>
  <c r="DK114" i="23"/>
  <c r="O114" i="23" s="1"/>
  <c r="DK106" i="23"/>
  <c r="O106" i="23" s="1"/>
  <c r="DK146" i="23"/>
  <c r="DK113" i="23"/>
  <c r="O113" i="23" s="1"/>
  <c r="DK105" i="23"/>
  <c r="O105" i="23" s="1"/>
  <c r="DK112" i="23"/>
  <c r="DK171" i="23"/>
  <c r="O171" i="23" s="1"/>
  <c r="DK155" i="23"/>
  <c r="DK111" i="23"/>
  <c r="O111" i="23" s="1"/>
  <c r="DK103" i="23"/>
  <c r="DK172" i="23"/>
  <c r="O172" i="23" s="1"/>
  <c r="DK127" i="23"/>
  <c r="DK104" i="23"/>
  <c r="O104" i="23" s="1"/>
  <c r="DK137" i="23"/>
  <c r="DK133" i="23"/>
  <c r="O133" i="23" s="1"/>
  <c r="DK129" i="23"/>
  <c r="DK110" i="23"/>
  <c r="O110" i="23" s="1"/>
  <c r="DK173" i="23"/>
  <c r="O173" i="23" s="1"/>
  <c r="DK142" i="23"/>
  <c r="DK122" i="23"/>
  <c r="O122" i="23" s="1"/>
  <c r="DK121" i="23"/>
  <c r="O121" i="23" s="1"/>
  <c r="DK120" i="23"/>
  <c r="DK119" i="23"/>
  <c r="O119" i="23" s="1"/>
  <c r="DK118" i="23"/>
  <c r="O118" i="23" s="1"/>
  <c r="DK109" i="23"/>
  <c r="O109" i="23" s="1"/>
  <c r="DK174" i="23"/>
  <c r="DK161" i="23"/>
  <c r="DK151" i="23"/>
  <c r="DK147" i="23"/>
  <c r="DK138" i="23"/>
  <c r="DK134" i="23"/>
  <c r="DK130" i="23"/>
  <c r="DK123" i="23"/>
  <c r="O123" i="23" s="1"/>
  <c r="DK116" i="23"/>
  <c r="O116" i="23" s="1"/>
  <c r="DK108" i="23"/>
  <c r="O108" i="23" s="1"/>
  <c r="DK175" i="23"/>
  <c r="O175" i="23" s="1"/>
  <c r="DK168" i="23"/>
  <c r="O168" i="23" s="1"/>
  <c r="DK162" i="23"/>
  <c r="DK143" i="23"/>
  <c r="DK126" i="23"/>
  <c r="DK115" i="23"/>
  <c r="O115" i="23" s="1"/>
  <c r="DK107" i="23"/>
  <c r="O107" i="23" s="1"/>
  <c r="DK176" i="23"/>
  <c r="O176" i="23" s="1"/>
  <c r="DK163" i="23"/>
  <c r="O163" i="23" s="1"/>
  <c r="DK148" i="23"/>
  <c r="DK139" i="23"/>
  <c r="DK135" i="23"/>
  <c r="DK131" i="23"/>
  <c r="DK81" i="23"/>
  <c r="DK78" i="23"/>
  <c r="O78" i="23" s="1"/>
  <c r="DK77" i="23"/>
  <c r="O77" i="23" s="1"/>
  <c r="DK76" i="23"/>
  <c r="DK75" i="23"/>
  <c r="DK74" i="23"/>
  <c r="O74" i="23" s="1"/>
  <c r="DK89" i="23"/>
  <c r="DK159" i="23"/>
  <c r="DK84" i="23"/>
  <c r="O84" i="23" s="1"/>
  <c r="DK83" i="23"/>
  <c r="O83" i="23" s="1"/>
  <c r="DK82" i="23"/>
  <c r="O112" i="23"/>
  <c r="DK164" i="23"/>
  <c r="O120" i="23"/>
  <c r="DK97" i="23"/>
  <c r="DK72" i="23"/>
  <c r="DK70" i="23"/>
  <c r="O70" i="23" s="1"/>
  <c r="DK94" i="23"/>
  <c r="DK93" i="23"/>
  <c r="O93" i="23" s="1"/>
  <c r="DK64" i="23"/>
  <c r="O64" i="23" s="1"/>
  <c r="DK59" i="23"/>
  <c r="O59" i="23" s="1"/>
  <c r="DK58" i="23"/>
  <c r="DK55" i="23"/>
  <c r="DK51" i="23"/>
  <c r="DK50" i="23"/>
  <c r="O50" i="23" s="1"/>
  <c r="DK43" i="23"/>
  <c r="O43" i="23" s="1"/>
  <c r="DK42" i="23"/>
  <c r="DK35" i="23"/>
  <c r="DK34" i="23"/>
  <c r="O34" i="23" s="1"/>
  <c r="DK165" i="23"/>
  <c r="DK102" i="23"/>
  <c r="O102" i="23" s="1"/>
  <c r="DK90" i="23"/>
  <c r="DK166" i="23"/>
  <c r="DK167" i="23"/>
  <c r="DK158" i="23"/>
  <c r="K168" i="23"/>
  <c r="M168" i="23" s="1"/>
  <c r="G166" i="23"/>
  <c r="K166" i="23"/>
  <c r="M166" i="23" s="1"/>
  <c r="G167" i="23"/>
  <c r="K167" i="23"/>
  <c r="M167" i="23" s="1"/>
  <c r="G176" i="23"/>
  <c r="K176" i="23"/>
  <c r="M176" i="23" s="1"/>
  <c r="G175" i="23"/>
  <c r="K175" i="23"/>
  <c r="M175" i="23" s="1"/>
  <c r="G174" i="23"/>
  <c r="K174" i="23"/>
  <c r="M174" i="23" s="1"/>
  <c r="G173" i="23"/>
  <c r="K173" i="23"/>
  <c r="M173" i="23" s="1"/>
  <c r="G172" i="23"/>
  <c r="K172" i="23"/>
  <c r="M172" i="23" s="1"/>
  <c r="G171" i="23"/>
  <c r="K171" i="23"/>
  <c r="M171" i="23" s="1"/>
  <c r="G170" i="23"/>
  <c r="K170" i="23"/>
  <c r="M170" i="23" s="1"/>
  <c r="G169" i="23"/>
  <c r="K169" i="23"/>
  <c r="M169" i="23" s="1"/>
  <c r="DK169" i="23"/>
  <c r="K161" i="23"/>
  <c r="M161" i="23" s="1"/>
  <c r="L158" i="23"/>
  <c r="G156" i="23"/>
  <c r="K156" i="23"/>
  <c r="M156" i="23" s="1"/>
  <c r="L150" i="23"/>
  <c r="G148" i="23"/>
  <c r="K148" i="23"/>
  <c r="M148" i="23" s="1"/>
  <c r="L142" i="23"/>
  <c r="G140" i="23"/>
  <c r="K140" i="23"/>
  <c r="M140" i="23" s="1"/>
  <c r="L134" i="23"/>
  <c r="G132" i="23"/>
  <c r="K132" i="23"/>
  <c r="M132" i="23" s="1"/>
  <c r="AK126" i="23"/>
  <c r="L126" i="23"/>
  <c r="G149" i="23"/>
  <c r="K149" i="23"/>
  <c r="M149" i="23" s="1"/>
  <c r="L143" i="23"/>
  <c r="G133" i="23"/>
  <c r="K133" i="23"/>
  <c r="M133" i="23" s="1"/>
  <c r="DJ167" i="23"/>
  <c r="F167" i="23" s="1"/>
  <c r="AK159" i="23"/>
  <c r="L159" i="23"/>
  <c r="AK158" i="23"/>
  <c r="L152" i="23"/>
  <c r="O152" i="23"/>
  <c r="AK150" i="23"/>
  <c r="L144" i="23"/>
  <c r="AK142" i="23"/>
  <c r="L136" i="23"/>
  <c r="AK134" i="23"/>
  <c r="L128" i="23"/>
  <c r="G141" i="23"/>
  <c r="K141" i="23"/>
  <c r="M141" i="23" s="1"/>
  <c r="DJ168" i="23"/>
  <c r="F168" i="23" s="1"/>
  <c r="DJ163" i="23"/>
  <c r="F163" i="23" s="1"/>
  <c r="L153" i="23"/>
  <c r="AK151" i="23"/>
  <c r="L145" i="23"/>
  <c r="AK143" i="23"/>
  <c r="L137" i="23"/>
  <c r="AK135" i="23"/>
  <c r="L129" i="23"/>
  <c r="AK127" i="23"/>
  <c r="G157" i="23"/>
  <c r="K157" i="23"/>
  <c r="M157" i="23" s="1"/>
  <c r="L176" i="23"/>
  <c r="L175" i="23"/>
  <c r="L174" i="23"/>
  <c r="L173" i="23"/>
  <c r="L172" i="23"/>
  <c r="L171" i="23"/>
  <c r="L170" i="23"/>
  <c r="K165" i="23"/>
  <c r="G164" i="23"/>
  <c r="K164" i="23"/>
  <c r="M164" i="23" s="1"/>
  <c r="L154" i="23"/>
  <c r="G152" i="23"/>
  <c r="K152" i="23"/>
  <c r="M152" i="23" s="1"/>
  <c r="L146" i="23"/>
  <c r="G144" i="23"/>
  <c r="K144" i="23"/>
  <c r="M144" i="23" s="1"/>
  <c r="L138" i="23"/>
  <c r="AK136" i="23"/>
  <c r="L130" i="23"/>
  <c r="AK128" i="23"/>
  <c r="L135" i="23"/>
  <c r="DJ161" i="23"/>
  <c r="F161" i="23" s="1"/>
  <c r="L155" i="23"/>
  <c r="AK153" i="23"/>
  <c r="L147" i="23"/>
  <c r="AK145" i="23"/>
  <c r="L139" i="23"/>
  <c r="O139" i="23"/>
  <c r="AK137" i="23"/>
  <c r="L131" i="23"/>
  <c r="AK129" i="23"/>
  <c r="G160" i="23"/>
  <c r="K160" i="23"/>
  <c r="M160" i="23" s="1"/>
  <c r="L127" i="23"/>
  <c r="DJ165" i="23"/>
  <c r="F165" i="23" s="1"/>
  <c r="G163" i="23"/>
  <c r="K163" i="23"/>
  <c r="M163" i="23" s="1"/>
  <c r="L156" i="23"/>
  <c r="O156" i="23"/>
  <c r="AK154" i="23"/>
  <c r="L148" i="23"/>
  <c r="O148" i="23"/>
  <c r="AK146" i="23"/>
  <c r="L140" i="23"/>
  <c r="O140" i="23"/>
  <c r="AK138" i="23"/>
  <c r="L132" i="23"/>
  <c r="G130" i="23"/>
  <c r="K130" i="23"/>
  <c r="M130" i="23" s="1"/>
  <c r="AK124" i="23"/>
  <c r="L124" i="23"/>
  <c r="L151" i="23"/>
  <c r="G162" i="23"/>
  <c r="K162" i="23"/>
  <c r="M162" i="23" s="1"/>
  <c r="O160" i="23"/>
  <c r="L157" i="23"/>
  <c r="G155" i="23"/>
  <c r="K155" i="23"/>
  <c r="M155" i="23" s="1"/>
  <c r="L149" i="23"/>
  <c r="G147" i="23"/>
  <c r="K147" i="23"/>
  <c r="M147" i="23" s="1"/>
  <c r="L141" i="23"/>
  <c r="O141" i="23"/>
  <c r="G139" i="23"/>
  <c r="K139" i="23"/>
  <c r="M139" i="23" s="1"/>
  <c r="L133" i="23"/>
  <c r="G131" i="23"/>
  <c r="K131" i="23"/>
  <c r="M131" i="23" s="1"/>
  <c r="AK125" i="23"/>
  <c r="L125" i="23"/>
  <c r="G115" i="23"/>
  <c r="G111" i="23"/>
  <c r="G107" i="23"/>
  <c r="G121" i="23"/>
  <c r="O97" i="23"/>
  <c r="G119" i="23"/>
  <c r="G105" i="23"/>
  <c r="G122" i="23"/>
  <c r="G117" i="23"/>
  <c r="L123" i="23"/>
  <c r="L122" i="23"/>
  <c r="L121" i="23"/>
  <c r="L120" i="23"/>
  <c r="L119" i="23"/>
  <c r="L118" i="23"/>
  <c r="L117" i="23"/>
  <c r="L116" i="23"/>
  <c r="L115" i="23"/>
  <c r="L114" i="23"/>
  <c r="L113" i="23"/>
  <c r="L112" i="23"/>
  <c r="L111" i="23"/>
  <c r="L110" i="23"/>
  <c r="L109" i="23"/>
  <c r="L108" i="23"/>
  <c r="L107" i="23"/>
  <c r="L106" i="23"/>
  <c r="L105" i="23"/>
  <c r="L104" i="23"/>
  <c r="DK100" i="23"/>
  <c r="O100" i="23" s="1"/>
  <c r="G99" i="23"/>
  <c r="G96" i="23"/>
  <c r="G92" i="23"/>
  <c r="G85" i="23"/>
  <c r="G77" i="23"/>
  <c r="G38" i="23"/>
  <c r="K38" i="23"/>
  <c r="G104" i="23"/>
  <c r="G62" i="23"/>
  <c r="K62" i="23"/>
  <c r="DK99" i="23"/>
  <c r="O99" i="23" s="1"/>
  <c r="DK96" i="23"/>
  <c r="O96" i="23" s="1"/>
  <c r="DK92" i="23"/>
  <c r="O92" i="23" s="1"/>
  <c r="K91" i="23"/>
  <c r="M91" i="23" s="1"/>
  <c r="K83" i="23"/>
  <c r="M83" i="23" s="1"/>
  <c r="K75" i="23"/>
  <c r="M75" i="23" s="1"/>
  <c r="G55" i="23"/>
  <c r="K55" i="23"/>
  <c r="K101" i="23"/>
  <c r="K95" i="23"/>
  <c r="K90" i="23"/>
  <c r="M90" i="23" s="1"/>
  <c r="K82" i="23"/>
  <c r="M82" i="23" s="1"/>
  <c r="K74" i="23"/>
  <c r="M74" i="23" s="1"/>
  <c r="G54" i="23"/>
  <c r="K54" i="23"/>
  <c r="K84" i="23"/>
  <c r="M84" i="23" s="1"/>
  <c r="DK101" i="23"/>
  <c r="G100" i="23"/>
  <c r="K98" i="23"/>
  <c r="DK95" i="23"/>
  <c r="DK91" i="23"/>
  <c r="K89" i="23"/>
  <c r="M89" i="23" s="1"/>
  <c r="G88" i="23"/>
  <c r="K81" i="23"/>
  <c r="M81" i="23" s="1"/>
  <c r="G80" i="23"/>
  <c r="O58" i="23"/>
  <c r="G47" i="23"/>
  <c r="K47" i="23"/>
  <c r="K76" i="23"/>
  <c r="M76" i="23" s="1"/>
  <c r="K103" i="23"/>
  <c r="DK98" i="23"/>
  <c r="G97" i="23"/>
  <c r="K94" i="23"/>
  <c r="G93" i="23"/>
  <c r="K88" i="23"/>
  <c r="M88" i="23" s="1"/>
  <c r="G87" i="23"/>
  <c r="K80" i="23"/>
  <c r="M80" i="23" s="1"/>
  <c r="G79" i="23"/>
  <c r="G71" i="23"/>
  <c r="K71" i="23"/>
  <c r="M71" i="23" s="1"/>
  <c r="DJ68" i="23"/>
  <c r="F68" i="23" s="1"/>
  <c r="DJ66" i="23"/>
  <c r="F66" i="23" s="1"/>
  <c r="G46" i="23"/>
  <c r="K46" i="23"/>
  <c r="G65" i="23"/>
  <c r="K65" i="23"/>
  <c r="G102" i="23"/>
  <c r="G86" i="23"/>
  <c r="O79" i="23"/>
  <c r="G78" i="23"/>
  <c r="G39" i="23"/>
  <c r="K39" i="23"/>
  <c r="G69" i="23"/>
  <c r="DK68" i="23"/>
  <c r="O68" i="23" s="1"/>
  <c r="DK66" i="23"/>
  <c r="O66" i="23" s="1"/>
  <c r="AJ65" i="23"/>
  <c r="AJ62" i="23"/>
  <c r="G61" i="23"/>
  <c r="K61" i="23"/>
  <c r="M61" i="23" s="1"/>
  <c r="DK57" i="23"/>
  <c r="AJ54" i="23"/>
  <c r="G53" i="23"/>
  <c r="K53" i="23"/>
  <c r="M53" i="23" s="1"/>
  <c r="DK49" i="23"/>
  <c r="AJ46" i="23"/>
  <c r="G45" i="23"/>
  <c r="K45" i="23"/>
  <c r="M45" i="23" s="1"/>
  <c r="DK41" i="23"/>
  <c r="AJ38" i="23"/>
  <c r="G37" i="23"/>
  <c r="K37" i="23"/>
  <c r="M37" i="23" s="1"/>
  <c r="DK33" i="23"/>
  <c r="O33" i="23" s="1"/>
  <c r="G72" i="23"/>
  <c r="DK71" i="23"/>
  <c r="O71" i="23" s="1"/>
  <c r="G67" i="23"/>
  <c r="DK63" i="23"/>
  <c r="O63" i="23" s="1"/>
  <c r="AJ61" i="23"/>
  <c r="G60" i="23"/>
  <c r="K60" i="23"/>
  <c r="M60" i="23" s="1"/>
  <c r="DK56" i="23"/>
  <c r="O56" i="23" s="1"/>
  <c r="AJ53" i="23"/>
  <c r="G52" i="23"/>
  <c r="K52" i="23"/>
  <c r="M52" i="23" s="1"/>
  <c r="DK48" i="23"/>
  <c r="AJ45" i="23"/>
  <c r="G44" i="23"/>
  <c r="K44" i="23"/>
  <c r="M44" i="23" s="1"/>
  <c r="DK40" i="23"/>
  <c r="AJ37" i="23"/>
  <c r="G36" i="23"/>
  <c r="K36" i="23"/>
  <c r="M36" i="23" s="1"/>
  <c r="DK32" i="23"/>
  <c r="O32" i="23" s="1"/>
  <c r="DK31" i="23"/>
  <c r="O31" i="23" s="1"/>
  <c r="G64" i="23"/>
  <c r="G59" i="23"/>
  <c r="K59" i="23"/>
  <c r="M59" i="23" s="1"/>
  <c r="G51" i="23"/>
  <c r="K51" i="23"/>
  <c r="M51" i="23" s="1"/>
  <c r="DK47" i="23"/>
  <c r="AJ44" i="23"/>
  <c r="G43" i="23"/>
  <c r="K43" i="23"/>
  <c r="M43" i="23" s="1"/>
  <c r="DK39" i="23"/>
  <c r="AJ36" i="23"/>
  <c r="G35" i="23"/>
  <c r="K35" i="23"/>
  <c r="M35" i="23" s="1"/>
  <c r="G70" i="23"/>
  <c r="DK69" i="23"/>
  <c r="O69" i="23" s="1"/>
  <c r="DK65" i="23"/>
  <c r="AJ64" i="23"/>
  <c r="DK62" i="23"/>
  <c r="AJ59" i="23"/>
  <c r="G58" i="23"/>
  <c r="K58" i="23"/>
  <c r="M58" i="23" s="1"/>
  <c r="DK54" i="23"/>
  <c r="AJ51" i="23"/>
  <c r="G50" i="23"/>
  <c r="K50" i="23"/>
  <c r="M50" i="23" s="1"/>
  <c r="DK46" i="23"/>
  <c r="AJ43" i="23"/>
  <c r="G42" i="23"/>
  <c r="K42" i="23"/>
  <c r="M42" i="23" s="1"/>
  <c r="DK38" i="23"/>
  <c r="AJ35" i="23"/>
  <c r="G34" i="23"/>
  <c r="K34" i="23"/>
  <c r="M34" i="23" s="1"/>
  <c r="K72" i="23"/>
  <c r="K67" i="23"/>
  <c r="G66" i="23"/>
  <c r="DK61" i="23"/>
  <c r="AJ58" i="23"/>
  <c r="G57" i="23"/>
  <c r="K57" i="23"/>
  <c r="M57" i="23" s="1"/>
  <c r="DK53" i="23"/>
  <c r="O53" i="23" s="1"/>
  <c r="G49" i="23"/>
  <c r="K49" i="23"/>
  <c r="M49" i="23" s="1"/>
  <c r="DK45" i="23"/>
  <c r="G41" i="23"/>
  <c r="K41" i="23"/>
  <c r="M41" i="23" s="1"/>
  <c r="DK37" i="23"/>
  <c r="G33" i="23"/>
  <c r="K33" i="23"/>
  <c r="M33" i="23" s="1"/>
  <c r="G68" i="23"/>
  <c r="DK67" i="23"/>
  <c r="AJ66" i="23"/>
  <c r="K64" i="23"/>
  <c r="M64" i="23" s="1"/>
  <c r="G63" i="23"/>
  <c r="K63" i="23"/>
  <c r="M63" i="23" s="1"/>
  <c r="DK60" i="23"/>
  <c r="O60" i="23" s="1"/>
  <c r="AJ57" i="23"/>
  <c r="G56" i="23"/>
  <c r="K56" i="23"/>
  <c r="M56" i="23" s="1"/>
  <c r="DK52" i="23"/>
  <c r="AJ49" i="23"/>
  <c r="G48" i="23"/>
  <c r="K48" i="23"/>
  <c r="M48" i="23" s="1"/>
  <c r="DK44" i="23"/>
  <c r="O44" i="23" s="1"/>
  <c r="AJ41" i="23"/>
  <c r="G40" i="23"/>
  <c r="K40" i="23"/>
  <c r="M40" i="23" s="1"/>
  <c r="DK36" i="23"/>
  <c r="AJ33" i="23"/>
  <c r="G32" i="23"/>
  <c r="K32" i="23"/>
  <c r="M32" i="23" s="1"/>
  <c r="G31" i="23"/>
  <c r="K31" i="23"/>
  <c r="M31" i="23" s="1"/>
  <c r="BH9" i="14"/>
  <c r="G125" i="23" l="1"/>
  <c r="K125" i="23"/>
  <c r="G124" i="23"/>
  <c r="K124" i="23"/>
  <c r="G146" i="23"/>
  <c r="K146" i="23"/>
  <c r="O155" i="23"/>
  <c r="O170" i="23"/>
  <c r="G126" i="23"/>
  <c r="K126" i="23"/>
  <c r="G127" i="23"/>
  <c r="K127" i="23"/>
  <c r="G150" i="23"/>
  <c r="K150" i="23"/>
  <c r="O132" i="23"/>
  <c r="G154" i="23"/>
  <c r="K154" i="23"/>
  <c r="O162" i="23"/>
  <c r="G134" i="23"/>
  <c r="K134" i="23"/>
  <c r="G161" i="23"/>
  <c r="G145" i="23"/>
  <c r="K145" i="23"/>
  <c r="G135" i="23"/>
  <c r="K135" i="23"/>
  <c r="G158" i="23"/>
  <c r="K158" i="23"/>
  <c r="O174" i="23"/>
  <c r="O167" i="23"/>
  <c r="G151" i="23"/>
  <c r="K151" i="23"/>
  <c r="G138" i="23"/>
  <c r="K138" i="23"/>
  <c r="O147" i="23"/>
  <c r="G165" i="23"/>
  <c r="G137" i="23"/>
  <c r="K137" i="23"/>
  <c r="O161" i="23"/>
  <c r="G129" i="23"/>
  <c r="K129" i="23"/>
  <c r="G128" i="23"/>
  <c r="K128" i="23"/>
  <c r="G142" i="23"/>
  <c r="K142" i="23"/>
  <c r="G159" i="23"/>
  <c r="K159" i="23"/>
  <c r="O166" i="23"/>
  <c r="G168" i="23"/>
  <c r="G136" i="23"/>
  <c r="K136" i="23"/>
  <c r="O131" i="23"/>
  <c r="G153" i="23"/>
  <c r="K153" i="23"/>
  <c r="O130" i="23"/>
  <c r="O165" i="23"/>
  <c r="M165" i="23"/>
  <c r="G143" i="23"/>
  <c r="K143" i="23"/>
  <c r="O144" i="23"/>
  <c r="O169" i="23"/>
  <c r="O164" i="23"/>
  <c r="O40" i="23"/>
  <c r="M94" i="23"/>
  <c r="O94" i="23"/>
  <c r="M39" i="23"/>
  <c r="O39" i="23"/>
  <c r="O49" i="23"/>
  <c r="O89" i="23"/>
  <c r="O45" i="23"/>
  <c r="O90" i="23"/>
  <c r="O36" i="23"/>
  <c r="M65" i="23"/>
  <c r="O65" i="23"/>
  <c r="O57" i="23"/>
  <c r="O91" i="23"/>
  <c r="O82" i="23"/>
  <c r="M38" i="23"/>
  <c r="O38" i="23"/>
  <c r="O48" i="23"/>
  <c r="M46" i="23"/>
  <c r="O46" i="23"/>
  <c r="M103" i="23"/>
  <c r="O103" i="23"/>
  <c r="O42" i="23"/>
  <c r="O61" i="23"/>
  <c r="M54" i="23"/>
  <c r="O54" i="23"/>
  <c r="M95" i="23"/>
  <c r="O95" i="23"/>
  <c r="O37" i="23"/>
  <c r="O75" i="23"/>
  <c r="M62" i="23"/>
  <c r="O62" i="23"/>
  <c r="O81" i="23"/>
  <c r="O80" i="23"/>
  <c r="O35" i="23"/>
  <c r="M67" i="23"/>
  <c r="O67" i="23"/>
  <c r="M72" i="23"/>
  <c r="O72" i="23"/>
  <c r="O51" i="23"/>
  <c r="O88" i="23"/>
  <c r="M47" i="23"/>
  <c r="O47" i="23"/>
  <c r="M101" i="23"/>
  <c r="O101" i="23"/>
  <c r="M55" i="23"/>
  <c r="O55" i="23"/>
  <c r="O52" i="23"/>
  <c r="M98" i="23"/>
  <c r="O98" i="23"/>
  <c r="O41" i="23"/>
  <c r="O76" i="23"/>
  <c r="BK29" i="13"/>
  <c r="BK31" i="13"/>
  <c r="BK43" i="13"/>
  <c r="BK58" i="13"/>
  <c r="BK68" i="13"/>
  <c r="BK62" i="13"/>
  <c r="BK132" i="13"/>
  <c r="M159" i="23" l="1"/>
  <c r="O159" i="23"/>
  <c r="M129" i="23"/>
  <c r="O129" i="23"/>
  <c r="M153" i="23"/>
  <c r="O153" i="23"/>
  <c r="M137" i="23"/>
  <c r="O137" i="23"/>
  <c r="M151" i="23"/>
  <c r="O151" i="23"/>
  <c r="M142" i="23"/>
  <c r="O142" i="23"/>
  <c r="M134" i="23"/>
  <c r="O134" i="23"/>
  <c r="M127" i="23"/>
  <c r="O127" i="23"/>
  <c r="M124" i="23"/>
  <c r="O124" i="23"/>
  <c r="M145" i="23"/>
  <c r="O145" i="23"/>
  <c r="M150" i="23"/>
  <c r="O150" i="23"/>
  <c r="M158" i="23"/>
  <c r="O158" i="23"/>
  <c r="M146" i="23"/>
  <c r="O146" i="23"/>
  <c r="M143" i="23"/>
  <c r="O143" i="23"/>
  <c r="M136" i="23"/>
  <c r="O136" i="23"/>
  <c r="M128" i="23"/>
  <c r="O128" i="23"/>
  <c r="M126" i="23"/>
  <c r="O126" i="23"/>
  <c r="M125" i="23"/>
  <c r="O125" i="23"/>
  <c r="M138" i="23"/>
  <c r="O138" i="23"/>
  <c r="M135" i="23"/>
  <c r="O135" i="23"/>
  <c r="M154" i="23"/>
  <c r="O154" i="23"/>
  <c r="DL9" i="7"/>
  <c r="AY12" i="4"/>
  <c r="BA10" i="14"/>
  <c r="BA9" i="14" l="1"/>
  <c r="BA15" i="22" l="1"/>
  <c r="AY10" i="14" l="1"/>
  <c r="AY9" i="14"/>
  <c r="CC7" i="21"/>
  <c r="CD7" i="21"/>
  <c r="CE7" i="21"/>
  <c r="CF7" i="21"/>
  <c r="CI7" i="21"/>
  <c r="CJ7" i="21"/>
  <c r="CK7" i="21"/>
  <c r="CL7" i="21"/>
  <c r="CO7" i="21"/>
  <c r="CP7" i="21"/>
  <c r="CQ7" i="21"/>
  <c r="CR7" i="21"/>
  <c r="CU7" i="21"/>
  <c r="CV7" i="21"/>
  <c r="CW7" i="21"/>
  <c r="CX7" i="21"/>
  <c r="DA7" i="21"/>
  <c r="DB7" i="21"/>
  <c r="DC7" i="21"/>
  <c r="DD7" i="21"/>
  <c r="DG7" i="21"/>
  <c r="DH7" i="21"/>
  <c r="DI7" i="21"/>
  <c r="DJ7" i="21"/>
  <c r="BV7" i="21"/>
  <c r="BW7" i="21"/>
  <c r="BX7" i="21"/>
  <c r="BY7" i="21"/>
  <c r="CA7" i="21"/>
  <c r="BO7" i="21"/>
  <c r="BP7" i="21"/>
  <c r="BQ7" i="21"/>
  <c r="BR7" i="21"/>
  <c r="BT7" i="21"/>
  <c r="BK7" i="21"/>
  <c r="BM7" i="21"/>
  <c r="BH7" i="21"/>
  <c r="BI7" i="21"/>
  <c r="BJ7" i="21"/>
  <c r="BB7" i="21"/>
  <c r="BC7" i="21"/>
  <c r="BD7" i="21"/>
  <c r="BF7" i="21"/>
  <c r="BA7" i="21"/>
  <c r="AV7" i="21"/>
  <c r="BC10" i="3" l="1"/>
  <c r="I10" i="2" l="1"/>
  <c r="I11" i="2"/>
  <c r="I12" i="2"/>
  <c r="I13" i="2"/>
  <c r="I14" i="2"/>
  <c r="I15" i="2"/>
  <c r="I16" i="2"/>
  <c r="I17" i="2"/>
  <c r="I18" i="2"/>
  <c r="I19" i="2"/>
  <c r="I20" i="2"/>
  <c r="I21" i="2"/>
  <c r="I22" i="2"/>
  <c r="I23" i="2"/>
  <c r="I24" i="2"/>
  <c r="I25" i="2"/>
  <c r="I26" i="2"/>
  <c r="I27" i="2"/>
  <c r="I28" i="2"/>
  <c r="I9" i="2"/>
  <c r="I7" i="2"/>
  <c r="I2" i="2" s="1"/>
  <c r="BM19" i="2"/>
  <c r="BX11" i="3"/>
  <c r="I10" i="21" l="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I64" i="21"/>
  <c r="I65" i="21"/>
  <c r="I66" i="21"/>
  <c r="I67" i="21"/>
  <c r="I68" i="21"/>
  <c r="I69" i="21"/>
  <c r="I70" i="21"/>
  <c r="I71" i="21"/>
  <c r="I72" i="21"/>
  <c r="I73" i="21"/>
  <c r="I74" i="21"/>
  <c r="I75" i="21"/>
  <c r="I76" i="21"/>
  <c r="I77" i="21"/>
  <c r="I78" i="21"/>
  <c r="I79" i="21"/>
  <c r="I80" i="21"/>
  <c r="I81" i="21"/>
  <c r="I82" i="21"/>
  <c r="I83" i="21"/>
  <c r="I84" i="21"/>
  <c r="I85" i="21"/>
  <c r="I86" i="21"/>
  <c r="I87" i="21"/>
  <c r="I88" i="21"/>
  <c r="I89" i="21"/>
  <c r="I90" i="21"/>
  <c r="I91" i="21"/>
  <c r="I92" i="21"/>
  <c r="I93" i="21"/>
  <c r="I94" i="21"/>
  <c r="I95" i="21"/>
  <c r="I96" i="21"/>
  <c r="I97" i="21"/>
  <c r="I98" i="21"/>
  <c r="I99" i="21"/>
  <c r="I100" i="21"/>
  <c r="I101" i="21"/>
  <c r="I102" i="21"/>
  <c r="I103" i="21"/>
  <c r="I104" i="21"/>
  <c r="I105" i="21"/>
  <c r="I106" i="21"/>
  <c r="I107" i="21"/>
  <c r="I108" i="21"/>
  <c r="I109" i="21"/>
  <c r="I110" i="21"/>
  <c r="I111" i="21"/>
  <c r="I112" i="21"/>
  <c r="I113" i="21"/>
  <c r="I114" i="21"/>
  <c r="I115" i="21"/>
  <c r="I116" i="21"/>
  <c r="I117" i="21"/>
  <c r="I118" i="21"/>
  <c r="I119" i="21"/>
  <c r="I120" i="21"/>
  <c r="I121" i="21"/>
  <c r="I122" i="21"/>
  <c r="I123" i="21"/>
  <c r="I124" i="21"/>
  <c r="I125" i="21"/>
  <c r="I126" i="21"/>
  <c r="I127" i="21"/>
  <c r="I128" i="21"/>
  <c r="I129" i="21"/>
  <c r="I130" i="21"/>
  <c r="I131" i="21"/>
  <c r="I132" i="21"/>
  <c r="I133" i="21"/>
  <c r="I134" i="21"/>
  <c r="I135" i="21"/>
  <c r="I136" i="21"/>
  <c r="I137" i="21"/>
  <c r="I138" i="21"/>
  <c r="I139" i="21"/>
  <c r="I140" i="21"/>
  <c r="I9" i="21"/>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2" i="20"/>
  <c r="I83" i="20"/>
  <c r="I84" i="20"/>
  <c r="I85" i="20"/>
  <c r="I86" i="20"/>
  <c r="I87" i="20"/>
  <c r="I88" i="20"/>
  <c r="I89" i="20"/>
  <c r="I90" i="20"/>
  <c r="I91" i="20"/>
  <c r="I92" i="20"/>
  <c r="I93" i="20"/>
  <c r="I94" i="20"/>
  <c r="I95" i="20"/>
  <c r="I96" i="20"/>
  <c r="I97" i="20"/>
  <c r="I98" i="20"/>
  <c r="I99" i="20"/>
  <c r="I100" i="20"/>
  <c r="I101" i="20"/>
  <c r="I102" i="20"/>
  <c r="I103" i="20"/>
  <c r="I104" i="20"/>
  <c r="I105" i="20"/>
  <c r="I106" i="20"/>
  <c r="I107" i="20"/>
  <c r="I108" i="20"/>
  <c r="I109" i="20"/>
  <c r="I110" i="20"/>
  <c r="I111" i="20"/>
  <c r="I112" i="20"/>
  <c r="I113" i="20"/>
  <c r="I114" i="20"/>
  <c r="I115" i="20"/>
  <c r="I116" i="20"/>
  <c r="I117" i="20"/>
  <c r="I118" i="20"/>
  <c r="I119" i="20"/>
  <c r="I120" i="20"/>
  <c r="I121" i="20"/>
  <c r="I122" i="20"/>
  <c r="I123" i="20"/>
  <c r="I124" i="20"/>
  <c r="I125" i="20"/>
  <c r="I126" i="20"/>
  <c r="I127" i="20"/>
  <c r="I128" i="20"/>
  <c r="I129" i="20"/>
  <c r="I130" i="20"/>
  <c r="I131" i="20"/>
  <c r="I132" i="20"/>
  <c r="I133" i="20"/>
  <c r="I134" i="20"/>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CV7" i="20"/>
  <c r="CO7" i="20"/>
  <c r="BM7" i="20"/>
  <c r="I7" i="21" l="1"/>
  <c r="BF7" i="20"/>
  <c r="CA7" i="20"/>
  <c r="BT7" i="20"/>
  <c r="CH7" i="20"/>
  <c r="I7" i="20" l="1"/>
  <c r="DE140" i="21"/>
  <c r="DF140" i="21"/>
  <c r="DK140" i="21"/>
  <c r="DL140" i="21"/>
  <c r="DM140" i="21"/>
  <c r="DN140" i="21"/>
  <c r="DO140" i="21"/>
  <c r="DP140" i="21"/>
  <c r="BZ140" i="21"/>
  <c r="CB140" i="21"/>
  <c r="CG140" i="21"/>
  <c r="CH140" i="21"/>
  <c r="CM140" i="21"/>
  <c r="CN140" i="21"/>
  <c r="CS140" i="21"/>
  <c r="CT140" i="21"/>
  <c r="CY140" i="21"/>
  <c r="CZ140" i="21"/>
  <c r="BU140" i="21"/>
  <c r="BL140" i="21"/>
  <c r="BN140" i="21"/>
  <c r="BS140" i="21"/>
  <c r="BE140" i="21"/>
  <c r="BG140" i="21"/>
  <c r="AZ140" i="21"/>
  <c r="AY140" i="21"/>
  <c r="AG140" i="21"/>
  <c r="AH140" i="21"/>
  <c r="AI140" i="21"/>
  <c r="AJ140" i="21"/>
  <c r="AK140" i="21"/>
  <c r="AL140" i="21"/>
  <c r="O140" i="21" s="1"/>
  <c r="AS140" i="21"/>
  <c r="AT140" i="21"/>
  <c r="V140" i="21"/>
  <c r="AA140" i="21"/>
  <c r="AB140" i="21"/>
  <c r="U140" i="21"/>
  <c r="G140" i="21" l="1"/>
  <c r="AM140" i="21"/>
  <c r="DR140" i="21"/>
  <c r="DQ140" i="21"/>
  <c r="F140" i="21" s="1"/>
  <c r="AN140" i="21"/>
  <c r="H140" i="21" l="1"/>
  <c r="N140" i="21"/>
  <c r="J140" i="21"/>
  <c r="P140" i="21" l="1"/>
  <c r="Q140" i="21" s="1"/>
  <c r="R140" i="21"/>
  <c r="S13" i="26" l="1"/>
  <c r="U13" i="26"/>
  <c r="W13" i="26"/>
  <c r="Y13" i="26"/>
  <c r="AA13" i="26"/>
  <c r="AC13" i="26"/>
  <c r="AE13" i="26"/>
  <c r="AG13" i="26"/>
  <c r="Q13" i="26"/>
  <c r="O13" i="26"/>
  <c r="M13" i="26"/>
  <c r="K13" i="26"/>
  <c r="DJ14" i="15"/>
  <c r="F14" i="15" s="1"/>
  <c r="BB7" i="15"/>
  <c r="AG14" i="15"/>
  <c r="AI14" i="15" s="1"/>
  <c r="AH14" i="15"/>
  <c r="L14" i="15" s="1"/>
  <c r="W14" i="15"/>
  <c r="X14" i="15"/>
  <c r="AE14" i="15"/>
  <c r="AF14" i="15"/>
  <c r="AJ14" i="15" s="1"/>
  <c r="K14" i="15" s="1"/>
  <c r="R14" i="15"/>
  <c r="Q14" i="15"/>
  <c r="CG7" i="6"/>
  <c r="BZ7" i="6"/>
  <c r="BS7" i="6"/>
  <c r="BL7" i="6"/>
  <c r="BK1" i="6"/>
  <c r="BL1" i="6" s="1"/>
  <c r="BM1" i="6" s="1"/>
  <c r="BN1" i="6" s="1"/>
  <c r="BE7" i="6"/>
  <c r="AI13" i="26" l="1"/>
  <c r="G13" i="26"/>
  <c r="N14" i="15"/>
  <c r="M14" i="15"/>
  <c r="G14" i="15"/>
  <c r="I13" i="26" l="1"/>
  <c r="I49" i="26" s="1"/>
  <c r="DN7" i="8"/>
  <c r="DG7" i="8"/>
  <c r="CZ7" i="8"/>
  <c r="CS7" i="8"/>
  <c r="CL7" i="8"/>
  <c r="CE7" i="8"/>
  <c r="BX7" i="8"/>
  <c r="BQ7" i="8"/>
  <c r="BJ7" i="8"/>
  <c r="BC7" i="8"/>
  <c r="BX7" i="13" l="1"/>
  <c r="BQ7" i="13"/>
  <c r="BJ7" i="13"/>
  <c r="BX7" i="3" l="1"/>
  <c r="BQ7" i="3"/>
  <c r="BJ7" i="3"/>
  <c r="BC7" i="3"/>
  <c r="CH7" i="2"/>
  <c r="CA7" i="2"/>
  <c r="BT7" i="2"/>
  <c r="BM7" i="2"/>
  <c r="BF7" i="2"/>
  <c r="BA1" i="3" l="1"/>
  <c r="BB2" i="3" s="1"/>
  <c r="CU7" i="19"/>
  <c r="CN7" i="19"/>
  <c r="CG7" i="19"/>
  <c r="BZ7" i="19"/>
  <c r="BS7" i="19"/>
  <c r="BI1" i="19"/>
  <c r="BL7" i="19"/>
  <c r="BE7" i="19"/>
  <c r="BL7" i="18"/>
  <c r="BE7" i="18"/>
  <c r="BL7" i="11" l="1"/>
  <c r="BE7" i="11"/>
  <c r="F1" i="4" l="1"/>
  <c r="BC7" i="13" l="1"/>
  <c r="BC1" i="13" s="1"/>
  <c r="BJ7" i="14" l="1"/>
  <c r="BC7" i="14"/>
  <c r="BZ7" i="7"/>
  <c r="BS7" i="7"/>
  <c r="BL7" i="7"/>
  <c r="BE7" i="7"/>
  <c r="BJ7" i="4" l="1"/>
  <c r="BC7" i="4"/>
  <c r="AM2" i="11" l="1"/>
  <c r="T27" i="26" l="1"/>
  <c r="R27" i="26"/>
  <c r="P27" i="26"/>
  <c r="N27" i="26"/>
  <c r="N35" i="26"/>
  <c r="N17" i="26" l="1"/>
  <c r="AG54" i="26" l="1"/>
  <c r="AF54" i="26"/>
  <c r="AE54" i="26"/>
  <c r="AD54" i="26"/>
  <c r="AC54" i="26"/>
  <c r="AB54" i="26"/>
  <c r="AA54" i="26"/>
  <c r="Z54" i="26"/>
  <c r="Y54" i="26"/>
  <c r="X54" i="26"/>
  <c r="W54" i="26"/>
  <c r="V54" i="26"/>
  <c r="U54" i="26"/>
  <c r="T54" i="26"/>
  <c r="S54" i="26"/>
  <c r="R54" i="26"/>
  <c r="Q54" i="26"/>
  <c r="P54" i="26"/>
  <c r="O54" i="26"/>
  <c r="N54" i="26"/>
  <c r="M54" i="26"/>
  <c r="L54" i="26"/>
  <c r="K54" i="26"/>
  <c r="J54" i="26"/>
  <c r="E54" i="26"/>
  <c r="D54" i="26"/>
  <c r="C54" i="26"/>
  <c r="AF53" i="26"/>
  <c r="AD53" i="26"/>
  <c r="AB53" i="26"/>
  <c r="Z53" i="26"/>
  <c r="X53" i="26"/>
  <c r="V53" i="26"/>
  <c r="T53" i="26"/>
  <c r="R53" i="26"/>
  <c r="P53" i="26"/>
  <c r="N53" i="26"/>
  <c r="L53" i="26"/>
  <c r="J53" i="26"/>
  <c r="E53" i="26"/>
  <c r="D53" i="26"/>
  <c r="C53" i="26"/>
  <c r="AF52" i="26"/>
  <c r="AD52" i="26"/>
  <c r="AB52" i="26"/>
  <c r="Z52" i="26"/>
  <c r="X52" i="26"/>
  <c r="V52" i="26"/>
  <c r="T52" i="26"/>
  <c r="R52" i="26"/>
  <c r="P52" i="26"/>
  <c r="N52" i="26"/>
  <c r="L52" i="26"/>
  <c r="J52" i="26"/>
  <c r="E52" i="26"/>
  <c r="D52" i="26"/>
  <c r="C52" i="26"/>
  <c r="AF51" i="26"/>
  <c r="AD51" i="26"/>
  <c r="AB51" i="26"/>
  <c r="Z51" i="26"/>
  <c r="X51" i="26"/>
  <c r="V51" i="26"/>
  <c r="T51" i="26"/>
  <c r="R51" i="26"/>
  <c r="P51" i="26"/>
  <c r="N51" i="26"/>
  <c r="L51" i="26"/>
  <c r="J51" i="26"/>
  <c r="E51" i="26"/>
  <c r="D51" i="26"/>
  <c r="C51" i="26"/>
  <c r="AG50" i="26"/>
  <c r="AF50" i="26"/>
  <c r="AE50" i="26"/>
  <c r="AD50" i="26"/>
  <c r="AC50" i="26"/>
  <c r="AB50" i="26"/>
  <c r="AA50" i="26"/>
  <c r="Z50" i="26"/>
  <c r="Y50" i="26"/>
  <c r="X50" i="26"/>
  <c r="W50" i="26"/>
  <c r="V50" i="26"/>
  <c r="U50" i="26"/>
  <c r="T50" i="26"/>
  <c r="S50" i="26"/>
  <c r="R50" i="26"/>
  <c r="Q50" i="26"/>
  <c r="P50" i="26"/>
  <c r="O50" i="26"/>
  <c r="N50" i="26"/>
  <c r="M50" i="26"/>
  <c r="L50" i="26"/>
  <c r="K50" i="26"/>
  <c r="J50" i="26"/>
  <c r="G50" i="26"/>
  <c r="E50" i="26"/>
  <c r="D50" i="26"/>
  <c r="C50" i="26"/>
  <c r="AG49" i="26"/>
  <c r="AF49" i="26"/>
  <c r="AE49" i="26"/>
  <c r="AD49" i="26"/>
  <c r="AC49" i="26"/>
  <c r="AB49" i="26"/>
  <c r="AA49" i="26"/>
  <c r="Z49" i="26"/>
  <c r="Y49" i="26"/>
  <c r="X49" i="26"/>
  <c r="W49" i="26"/>
  <c r="V49" i="26"/>
  <c r="U49" i="26"/>
  <c r="T49" i="26"/>
  <c r="S49" i="26"/>
  <c r="R49" i="26"/>
  <c r="Q49" i="26"/>
  <c r="P49" i="26"/>
  <c r="O49" i="26"/>
  <c r="N49" i="26"/>
  <c r="M49" i="26"/>
  <c r="L49" i="26"/>
  <c r="K49" i="26"/>
  <c r="J49" i="26"/>
  <c r="G49" i="26"/>
  <c r="E49" i="26"/>
  <c r="D49" i="26"/>
  <c r="C49" i="26"/>
  <c r="AF48" i="26"/>
  <c r="AD48" i="26"/>
  <c r="AB48" i="26"/>
  <c r="Z48" i="26"/>
  <c r="X48" i="26"/>
  <c r="V48" i="26"/>
  <c r="T48" i="26"/>
  <c r="R48" i="26"/>
  <c r="L48" i="26"/>
  <c r="J48" i="26"/>
  <c r="D48" i="26"/>
  <c r="C48" i="26"/>
  <c r="AF47" i="26"/>
  <c r="AD47" i="26"/>
  <c r="AB47" i="26"/>
  <c r="Z47" i="26"/>
  <c r="X47" i="26"/>
  <c r="V47" i="26"/>
  <c r="T47" i="26"/>
  <c r="R47" i="26"/>
  <c r="P47" i="26"/>
  <c r="N47" i="26"/>
  <c r="L47" i="26"/>
  <c r="J47" i="26"/>
  <c r="E47" i="26"/>
  <c r="D47" i="26"/>
  <c r="C47" i="26"/>
  <c r="AF46" i="26"/>
  <c r="AD46" i="26"/>
  <c r="AB46" i="26"/>
  <c r="Z46" i="26"/>
  <c r="X46" i="26"/>
  <c r="V46" i="26"/>
  <c r="T46" i="26"/>
  <c r="R46" i="26"/>
  <c r="N46" i="26"/>
  <c r="L46" i="26"/>
  <c r="J46" i="26"/>
  <c r="E46" i="26"/>
  <c r="D46" i="26"/>
  <c r="C46" i="26"/>
  <c r="AF45" i="26"/>
  <c r="AD45" i="26"/>
  <c r="AB45" i="26"/>
  <c r="Z45" i="26"/>
  <c r="X45" i="26"/>
  <c r="V45" i="26"/>
  <c r="T45" i="26"/>
  <c r="R45" i="26"/>
  <c r="P45" i="26"/>
  <c r="L45" i="26"/>
  <c r="J45" i="26"/>
  <c r="E45" i="26"/>
  <c r="D45" i="26"/>
  <c r="C45" i="26"/>
  <c r="AF44" i="26"/>
  <c r="AD44" i="26"/>
  <c r="AB44" i="26"/>
  <c r="Z44" i="26"/>
  <c r="X44" i="26"/>
  <c r="V44" i="26"/>
  <c r="T44" i="26"/>
  <c r="R44" i="26"/>
  <c r="P44" i="26"/>
  <c r="N44" i="26"/>
  <c r="L44" i="26"/>
  <c r="J44" i="26"/>
  <c r="E44" i="26"/>
  <c r="D44" i="26"/>
  <c r="C44" i="26"/>
  <c r="AF43" i="26"/>
  <c r="AD43" i="26"/>
  <c r="AB43" i="26"/>
  <c r="Z43" i="26"/>
  <c r="X43" i="26"/>
  <c r="V43" i="26"/>
  <c r="T43" i="26"/>
  <c r="R43" i="26"/>
  <c r="P43" i="26"/>
  <c r="L43" i="26"/>
  <c r="J43" i="26"/>
  <c r="E43" i="26"/>
  <c r="D43" i="26"/>
  <c r="C43" i="26"/>
  <c r="G36" i="26"/>
  <c r="I36" i="26" s="1"/>
  <c r="M35" i="26"/>
  <c r="K35" i="26"/>
  <c r="E30" i="26"/>
  <c r="H30" i="26" s="1"/>
  <c r="H20" i="26" s="1"/>
  <c r="AG26" i="26"/>
  <c r="AE26" i="26"/>
  <c r="AC26" i="26"/>
  <c r="AA26" i="26"/>
  <c r="Y26" i="26"/>
  <c r="W26" i="26"/>
  <c r="U26" i="26"/>
  <c r="S26" i="26"/>
  <c r="Q26" i="26"/>
  <c r="O26" i="26"/>
  <c r="M26" i="26"/>
  <c r="K26" i="26"/>
  <c r="AF20" i="26"/>
  <c r="AD20" i="26"/>
  <c r="AB20" i="26"/>
  <c r="Z20" i="26"/>
  <c r="X20" i="26"/>
  <c r="V20" i="26"/>
  <c r="T20" i="26"/>
  <c r="R20" i="26"/>
  <c r="P20" i="26"/>
  <c r="N20" i="26"/>
  <c r="L20" i="26"/>
  <c r="J20" i="26"/>
  <c r="D20" i="26"/>
  <c r="C20" i="26"/>
  <c r="M17" i="26"/>
  <c r="P48" i="26"/>
  <c r="E12" i="26"/>
  <c r="H12" i="26" s="1"/>
  <c r="AF2" i="26"/>
  <c r="AD2" i="26"/>
  <c r="AB2" i="26"/>
  <c r="Z2" i="26"/>
  <c r="X2" i="26"/>
  <c r="V2" i="26"/>
  <c r="T2" i="26"/>
  <c r="R2" i="26"/>
  <c r="L2" i="26"/>
  <c r="J2" i="26"/>
  <c r="D2" i="26"/>
  <c r="C2" i="26"/>
  <c r="H48" i="26" l="1"/>
  <c r="H38" i="26" s="1"/>
  <c r="H2" i="26"/>
  <c r="I54" i="26"/>
  <c r="N2" i="26"/>
  <c r="N43" i="26"/>
  <c r="P46" i="26"/>
  <c r="N45" i="26"/>
  <c r="AI50" i="26"/>
  <c r="E2" i="26"/>
  <c r="C38" i="26"/>
  <c r="Z38" i="26"/>
  <c r="R38" i="26"/>
  <c r="AH2" i="26"/>
  <c r="AN2" i="26" s="1"/>
  <c r="X38" i="26"/>
  <c r="V38" i="26"/>
  <c r="E48" i="26"/>
  <c r="E38" i="26" s="1"/>
  <c r="J38" i="26"/>
  <c r="AH44" i="26"/>
  <c r="L38" i="26"/>
  <c r="T38" i="26"/>
  <c r="E20" i="26"/>
  <c r="AI26" i="26"/>
  <c r="AD38" i="26"/>
  <c r="D38" i="26"/>
  <c r="AF38" i="26"/>
  <c r="AB38" i="26"/>
  <c r="AI54" i="26"/>
  <c r="AH50" i="26"/>
  <c r="AH51" i="26"/>
  <c r="AH53" i="26"/>
  <c r="AH49" i="26"/>
  <c r="AI49" i="26"/>
  <c r="AH52" i="26"/>
  <c r="AH47" i="26"/>
  <c r="P2" i="26"/>
  <c r="AH20" i="26"/>
  <c r="AN20" i="26" s="1"/>
  <c r="N48" i="26"/>
  <c r="G26" i="26"/>
  <c r="I26" i="26" s="1"/>
  <c r="M53" i="26"/>
  <c r="G54" i="26"/>
  <c r="AH45" i="26" l="1"/>
  <c r="AH43" i="26"/>
  <c r="P38" i="26"/>
  <c r="AH46" i="26"/>
  <c r="AH48" i="26"/>
  <c r="N38" i="26"/>
  <c r="AH38" i="26" l="1"/>
  <c r="AN38" i="26" s="1"/>
  <c r="BI33" i="11" l="1"/>
  <c r="AV15" i="12" l="1"/>
  <c r="AS10" i="14" l="1"/>
  <c r="AS9" i="14"/>
  <c r="AU10" i="22"/>
  <c r="AS12" i="4"/>
  <c r="AU12" i="6" l="1"/>
  <c r="AU12" i="23" l="1"/>
  <c r="AM12" i="4" l="1"/>
  <c r="AM9" i="14" l="1"/>
  <c r="AP15" i="12" l="1"/>
  <c r="AO10" i="14" l="1"/>
  <c r="AO9" i="14"/>
  <c r="AM10" i="14"/>
  <c r="BL87" i="20" l="1"/>
  <c r="S7" i="21" l="1"/>
  <c r="T7" i="21"/>
  <c r="W7" i="21"/>
  <c r="X7" i="21"/>
  <c r="AC7" i="21"/>
  <c r="AE7" i="21"/>
  <c r="AF7" i="21"/>
  <c r="AO7" i="21"/>
  <c r="AP7" i="21"/>
  <c r="AQ7" i="21"/>
  <c r="AR7" i="21"/>
  <c r="AU7" i="21"/>
  <c r="AW7" i="21"/>
  <c r="AX7" i="21"/>
  <c r="B7" i="21"/>
  <c r="C7" i="21"/>
  <c r="D7" i="21"/>
  <c r="E7" i="21"/>
  <c r="A7" i="21"/>
  <c r="E2" i="21"/>
  <c r="A2" i="21"/>
  <c r="B2" i="21"/>
  <c r="C2" i="21"/>
  <c r="D2" i="21"/>
  <c r="U139" i="21"/>
  <c r="V139" i="21"/>
  <c r="AA139" i="21"/>
  <c r="AB139" i="21"/>
  <c r="AG139" i="21"/>
  <c r="AH139" i="21"/>
  <c r="AI139" i="21"/>
  <c r="AJ139" i="21"/>
  <c r="AK139" i="21"/>
  <c r="AL139" i="21"/>
  <c r="O139" i="21" s="1"/>
  <c r="AS139" i="21"/>
  <c r="AT139" i="21"/>
  <c r="AY139" i="21"/>
  <c r="AZ139" i="21"/>
  <c r="BE139" i="21"/>
  <c r="BG139" i="21"/>
  <c r="BL139" i="21"/>
  <c r="BN139" i="21"/>
  <c r="BS139" i="21"/>
  <c r="BU139" i="21"/>
  <c r="BZ139" i="21"/>
  <c r="CB139" i="21"/>
  <c r="CG139" i="21"/>
  <c r="CH139" i="21"/>
  <c r="CM139" i="21"/>
  <c r="CN139" i="21"/>
  <c r="CS139" i="21"/>
  <c r="CT139" i="21"/>
  <c r="CY139" i="21"/>
  <c r="CZ139" i="21"/>
  <c r="DE139" i="21"/>
  <c r="DF139" i="21"/>
  <c r="DK139" i="21"/>
  <c r="DL139" i="21"/>
  <c r="DM139" i="21"/>
  <c r="DN139" i="21"/>
  <c r="DO139" i="21"/>
  <c r="DP139" i="21"/>
  <c r="G139" i="21" l="1"/>
  <c r="AN139" i="21"/>
  <c r="N139" i="21" s="1"/>
  <c r="DR139" i="21"/>
  <c r="AM139" i="21"/>
  <c r="DQ139" i="21"/>
  <c r="F139" i="21" s="1"/>
  <c r="AQ26" i="12"/>
  <c r="AQ32" i="12"/>
  <c r="H139" i="21" l="1"/>
  <c r="P139" i="21"/>
  <c r="R139" i="21"/>
  <c r="J139" i="21"/>
  <c r="Q139" i="21" l="1"/>
  <c r="AA12" i="4"/>
  <c r="H7" i="17" l="1"/>
  <c r="I7" i="17"/>
  <c r="J7" i="17"/>
  <c r="O7" i="17"/>
  <c r="P7" i="17"/>
  <c r="S7" i="17"/>
  <c r="T7" i="17"/>
  <c r="U7" i="17"/>
  <c r="V7" i="17"/>
  <c r="Y7" i="17"/>
  <c r="Z7" i="17"/>
  <c r="AA7" i="17"/>
  <c r="AB7" i="17"/>
  <c r="AK7" i="17"/>
  <c r="AL7" i="17"/>
  <c r="AM7" i="17"/>
  <c r="AN7" i="17"/>
  <c r="AQ7" i="17"/>
  <c r="AR7" i="17"/>
  <c r="AS7" i="17"/>
  <c r="AT7" i="17"/>
  <c r="AU7" i="17"/>
  <c r="AV7" i="17"/>
  <c r="AW7" i="17"/>
  <c r="AX7" i="17"/>
  <c r="AY7" i="17"/>
  <c r="AZ7" i="17"/>
  <c r="BA7" i="17"/>
  <c r="BB7" i="17"/>
  <c r="BC7" i="17"/>
  <c r="BD7" i="17"/>
  <c r="BE7" i="17"/>
  <c r="BF7" i="17"/>
  <c r="BG7" i="17"/>
  <c r="BH7" i="17"/>
  <c r="BI7" i="17"/>
  <c r="BJ7" i="17"/>
  <c r="BK7" i="17"/>
  <c r="BL7" i="17"/>
  <c r="BM7" i="17"/>
  <c r="BN7" i="17"/>
  <c r="BO7" i="17"/>
  <c r="BP7" i="17"/>
  <c r="BQ7" i="17"/>
  <c r="BR7" i="17"/>
  <c r="BS7" i="17"/>
  <c r="BT7" i="17"/>
  <c r="BU7" i="17"/>
  <c r="BV7" i="17"/>
  <c r="BW7" i="17"/>
  <c r="BX7" i="17"/>
  <c r="BY7" i="17"/>
  <c r="BZ7" i="17"/>
  <c r="CA7" i="17"/>
  <c r="CB7" i="17"/>
  <c r="CC7" i="17"/>
  <c r="CD7" i="17"/>
  <c r="CE7" i="17"/>
  <c r="CF7" i="17"/>
  <c r="CG7" i="17"/>
  <c r="CH7" i="17"/>
  <c r="CI7" i="17"/>
  <c r="CJ7" i="17"/>
  <c r="CK7" i="17"/>
  <c r="CL7" i="17"/>
  <c r="CM7" i="17"/>
  <c r="CN7" i="17"/>
  <c r="CO7" i="17"/>
  <c r="CP7" i="17"/>
  <c r="CQ7" i="17"/>
  <c r="CR7" i="17"/>
  <c r="CS7" i="17"/>
  <c r="CT7" i="17"/>
  <c r="CU7" i="17"/>
  <c r="CV7" i="17"/>
  <c r="CW7" i="17"/>
  <c r="CX7" i="17"/>
  <c r="CY7" i="17"/>
  <c r="CZ7" i="17"/>
  <c r="DA7" i="17"/>
  <c r="DB7" i="17"/>
  <c r="DC7" i="17"/>
  <c r="DD7" i="17"/>
  <c r="DE7" i="17"/>
  <c r="DF7" i="17"/>
  <c r="DG7" i="17"/>
  <c r="DH7" i="17"/>
  <c r="DI7" i="17"/>
  <c r="DJ7" i="17"/>
  <c r="F12" i="17"/>
  <c r="Q12" i="17"/>
  <c r="R12" i="17"/>
  <c r="W12" i="17"/>
  <c r="X12" i="17"/>
  <c r="AC12" i="17"/>
  <c r="AD12" i="17"/>
  <c r="AE12" i="17"/>
  <c r="AF12" i="17"/>
  <c r="AG12" i="17"/>
  <c r="AH12" i="17"/>
  <c r="AJ12" i="17" s="1"/>
  <c r="K12" i="17" s="1"/>
  <c r="M12" i="17" s="1"/>
  <c r="AI12" i="17"/>
  <c r="AO12" i="17"/>
  <c r="AP12" i="17"/>
  <c r="L12" i="17" l="1"/>
  <c r="G12" i="17"/>
  <c r="N12" i="17"/>
  <c r="AA9" i="14" l="1"/>
  <c r="AC10" i="14"/>
  <c r="AC137" i="13" l="1"/>
  <c r="AC21" i="14" l="1"/>
  <c r="AC25" i="14" l="1"/>
  <c r="U10" i="14" l="1"/>
  <c r="U9" i="14"/>
  <c r="DH10" i="14"/>
  <c r="DI10" i="14"/>
  <c r="DJ10" i="14"/>
  <c r="DK10" i="14"/>
  <c r="DH11" i="14"/>
  <c r="DI11" i="14"/>
  <c r="DJ11" i="14"/>
  <c r="DK11" i="14"/>
  <c r="DH12" i="14"/>
  <c r="DI12" i="14"/>
  <c r="DJ12" i="14"/>
  <c r="DK12" i="14"/>
  <c r="DH13" i="14"/>
  <c r="DI13" i="14"/>
  <c r="DJ13" i="14"/>
  <c r="DK13" i="14"/>
  <c r="DH14" i="14"/>
  <c r="DI14" i="14"/>
  <c r="DJ14" i="14"/>
  <c r="DK14" i="14"/>
  <c r="DH15" i="14"/>
  <c r="DI15" i="14"/>
  <c r="DJ15" i="14"/>
  <c r="DK15" i="14"/>
  <c r="DH16" i="14"/>
  <c r="DI16" i="14"/>
  <c r="DJ16" i="14"/>
  <c r="DK16" i="14"/>
  <c r="DH17" i="14"/>
  <c r="DI17" i="14"/>
  <c r="DJ17" i="14"/>
  <c r="DK17" i="14"/>
  <c r="DH18" i="14"/>
  <c r="DI18" i="14"/>
  <c r="DJ18" i="14"/>
  <c r="DK18" i="14"/>
  <c r="DH19" i="14"/>
  <c r="DI19" i="14"/>
  <c r="DJ19" i="14"/>
  <c r="DK19" i="14"/>
  <c r="DH20" i="14"/>
  <c r="DI20" i="14"/>
  <c r="DJ20" i="14"/>
  <c r="DK20" i="14"/>
  <c r="DH21" i="14"/>
  <c r="DI21" i="14"/>
  <c r="DJ21" i="14"/>
  <c r="DK21" i="14"/>
  <c r="DH22" i="14"/>
  <c r="DI22" i="14"/>
  <c r="DJ22" i="14"/>
  <c r="DK22" i="14"/>
  <c r="DH23" i="14"/>
  <c r="DI23" i="14"/>
  <c r="DJ23" i="14"/>
  <c r="DK23" i="14"/>
  <c r="DH24" i="14"/>
  <c r="DI24" i="14"/>
  <c r="DJ24" i="14"/>
  <c r="DK24" i="14"/>
  <c r="DH25" i="14"/>
  <c r="DI25" i="14"/>
  <c r="DJ25" i="14"/>
  <c r="DK25" i="14"/>
  <c r="DH26" i="14"/>
  <c r="DI26" i="14"/>
  <c r="DJ26" i="14"/>
  <c r="DK26" i="14"/>
  <c r="DH27" i="14"/>
  <c r="DI27" i="14"/>
  <c r="DJ27" i="14"/>
  <c r="DK27" i="14"/>
  <c r="DH28" i="14"/>
  <c r="DI28" i="14"/>
  <c r="DJ28" i="14"/>
  <c r="DK28" i="14"/>
  <c r="DH29" i="14"/>
  <c r="DI29" i="14"/>
  <c r="DJ29" i="14"/>
  <c r="DK29" i="14"/>
  <c r="DH30" i="14"/>
  <c r="DI30" i="14"/>
  <c r="DJ30" i="14"/>
  <c r="DK30" i="14"/>
  <c r="DH31" i="14"/>
  <c r="DI31" i="14"/>
  <c r="DJ31" i="14"/>
  <c r="DK31" i="14"/>
  <c r="DH32" i="14"/>
  <c r="DI32" i="14"/>
  <c r="DJ32" i="14"/>
  <c r="DK32" i="14"/>
  <c r="DH33" i="14"/>
  <c r="DI33" i="14"/>
  <c r="DJ33" i="14"/>
  <c r="DK33" i="14"/>
  <c r="DH34" i="14"/>
  <c r="DI34" i="14"/>
  <c r="DJ34" i="14"/>
  <c r="DK34" i="14"/>
  <c r="DH35" i="14"/>
  <c r="DI35" i="14"/>
  <c r="DJ35" i="14"/>
  <c r="DK35" i="14"/>
  <c r="DH36" i="14"/>
  <c r="DI36" i="14"/>
  <c r="DJ36" i="14"/>
  <c r="DK36" i="14"/>
  <c r="DH37" i="14"/>
  <c r="DI37" i="14"/>
  <c r="DJ37" i="14"/>
  <c r="DK37" i="14"/>
  <c r="DH38" i="14"/>
  <c r="DI38" i="14"/>
  <c r="DJ38" i="14"/>
  <c r="DK38" i="14"/>
  <c r="DH39" i="14"/>
  <c r="DI39" i="14"/>
  <c r="DJ39" i="14"/>
  <c r="DK39" i="14"/>
  <c r="DH40" i="14"/>
  <c r="DI40" i="14"/>
  <c r="DJ40" i="14"/>
  <c r="DK40" i="14"/>
  <c r="DH41" i="14"/>
  <c r="DI41" i="14"/>
  <c r="DJ41" i="14"/>
  <c r="DK41" i="14"/>
  <c r="DH42" i="14"/>
  <c r="DI42" i="14"/>
  <c r="DJ42" i="14"/>
  <c r="DK42" i="14"/>
  <c r="DH43" i="14"/>
  <c r="DI43" i="14"/>
  <c r="DJ43" i="14"/>
  <c r="DK43" i="14"/>
  <c r="DH44" i="14"/>
  <c r="DI44" i="14"/>
  <c r="DJ44" i="14"/>
  <c r="DK44" i="14"/>
  <c r="DH45" i="14"/>
  <c r="DI45" i="14"/>
  <c r="DJ45" i="14"/>
  <c r="DK45" i="14"/>
  <c r="DH46" i="14"/>
  <c r="DI46" i="14"/>
  <c r="DJ46" i="14"/>
  <c r="DK46" i="14"/>
  <c r="DH47" i="14"/>
  <c r="DI47" i="14"/>
  <c r="DJ47" i="14"/>
  <c r="DK47" i="14"/>
  <c r="DH48" i="14"/>
  <c r="DI48" i="14"/>
  <c r="DJ48" i="14"/>
  <c r="DK48" i="14"/>
  <c r="DH49" i="14"/>
  <c r="DI49" i="14"/>
  <c r="DJ49" i="14"/>
  <c r="DK49" i="14"/>
  <c r="DH50" i="14"/>
  <c r="DI50" i="14"/>
  <c r="DJ50" i="14"/>
  <c r="DK50" i="14"/>
  <c r="DH51" i="14"/>
  <c r="DI51" i="14"/>
  <c r="DJ51" i="14"/>
  <c r="DK51" i="14"/>
  <c r="DH52" i="14"/>
  <c r="DI52" i="14"/>
  <c r="DJ52" i="14"/>
  <c r="DK52" i="14"/>
  <c r="DH53" i="14"/>
  <c r="DI53" i="14"/>
  <c r="DJ53" i="14"/>
  <c r="DK53" i="14"/>
  <c r="DH54" i="14"/>
  <c r="DI54" i="14"/>
  <c r="DJ54" i="14"/>
  <c r="DK54" i="14"/>
  <c r="DH55" i="14"/>
  <c r="DI55" i="14"/>
  <c r="DJ55" i="14"/>
  <c r="DK55" i="14"/>
  <c r="DH56" i="14"/>
  <c r="DI56" i="14"/>
  <c r="DJ56" i="14"/>
  <c r="DK56" i="14"/>
  <c r="DH57" i="14"/>
  <c r="DI57" i="14"/>
  <c r="DJ57" i="14"/>
  <c r="DK57" i="14"/>
  <c r="DH58" i="14"/>
  <c r="DI58" i="14"/>
  <c r="DJ58" i="14"/>
  <c r="DK58" i="14"/>
  <c r="DH59" i="14"/>
  <c r="DI59" i="14"/>
  <c r="DJ59" i="14"/>
  <c r="DK59" i="14"/>
  <c r="DI9" i="14"/>
  <c r="DJ9" i="14"/>
  <c r="DK9" i="14"/>
  <c r="AF10" i="14"/>
  <c r="AH10" i="14"/>
  <c r="AF11" i="14"/>
  <c r="AG11" i="14"/>
  <c r="AH11" i="14"/>
  <c r="AI11" i="14"/>
  <c r="AF12" i="14"/>
  <c r="AG12" i="14"/>
  <c r="AH12" i="14"/>
  <c r="AI12" i="14"/>
  <c r="AF13" i="14"/>
  <c r="AG13" i="14"/>
  <c r="AH13" i="14"/>
  <c r="AI13" i="14"/>
  <c r="AF14" i="14"/>
  <c r="AG14" i="14"/>
  <c r="AH14" i="14"/>
  <c r="AI14" i="14"/>
  <c r="AF15" i="14"/>
  <c r="AG15" i="14"/>
  <c r="AH15" i="14"/>
  <c r="AI15" i="14"/>
  <c r="AF16" i="14"/>
  <c r="AG16" i="14"/>
  <c r="AH16" i="14"/>
  <c r="AI16" i="14"/>
  <c r="AF17" i="14"/>
  <c r="AG17" i="14"/>
  <c r="AH17" i="14"/>
  <c r="AI17" i="14"/>
  <c r="AF18" i="14"/>
  <c r="AG18" i="14"/>
  <c r="AH18" i="14"/>
  <c r="AI18" i="14"/>
  <c r="AF19" i="14"/>
  <c r="AG19" i="14"/>
  <c r="AH19" i="14"/>
  <c r="AI19" i="14"/>
  <c r="AF20" i="14"/>
  <c r="AG20" i="14"/>
  <c r="AH20" i="14"/>
  <c r="AI20" i="14"/>
  <c r="AF21" i="14"/>
  <c r="AG21" i="14"/>
  <c r="AH21" i="14"/>
  <c r="AI21" i="14"/>
  <c r="AF22" i="14"/>
  <c r="AG22" i="14"/>
  <c r="AH22" i="14"/>
  <c r="AI22" i="14"/>
  <c r="AF23" i="14"/>
  <c r="AG23" i="14"/>
  <c r="AH23" i="14"/>
  <c r="AI23" i="14"/>
  <c r="AF24" i="14"/>
  <c r="AG24" i="14"/>
  <c r="AH24" i="14"/>
  <c r="AI24" i="14"/>
  <c r="AF25" i="14"/>
  <c r="AG25" i="14"/>
  <c r="AH25" i="14"/>
  <c r="AI25" i="14"/>
  <c r="AF26" i="14"/>
  <c r="AG26" i="14"/>
  <c r="AH26" i="14"/>
  <c r="AI26" i="14"/>
  <c r="AF27" i="14"/>
  <c r="AG27" i="14"/>
  <c r="AH27" i="14"/>
  <c r="AI27" i="14"/>
  <c r="AF28" i="14"/>
  <c r="AG28" i="14"/>
  <c r="AH28" i="14"/>
  <c r="AI28" i="14"/>
  <c r="AF29" i="14"/>
  <c r="AG29" i="14"/>
  <c r="AH29" i="14"/>
  <c r="AI29" i="14"/>
  <c r="AF30" i="14"/>
  <c r="AG30" i="14"/>
  <c r="AH30" i="14"/>
  <c r="AI30" i="14"/>
  <c r="AF31" i="14"/>
  <c r="AG31" i="14"/>
  <c r="AH31" i="14"/>
  <c r="AI31" i="14"/>
  <c r="AF32" i="14"/>
  <c r="AG32" i="14"/>
  <c r="AH32" i="14"/>
  <c r="AI32" i="14"/>
  <c r="AF33" i="14"/>
  <c r="AG33" i="14"/>
  <c r="AH33" i="14"/>
  <c r="AI33" i="14"/>
  <c r="AF34" i="14"/>
  <c r="AG34" i="14"/>
  <c r="AH34" i="14"/>
  <c r="AI34" i="14"/>
  <c r="AF35" i="14"/>
  <c r="AG35" i="14"/>
  <c r="AH35" i="14"/>
  <c r="AI35" i="14"/>
  <c r="AF36" i="14"/>
  <c r="AG36" i="14"/>
  <c r="AH36" i="14"/>
  <c r="AI36" i="14"/>
  <c r="AF37" i="14"/>
  <c r="AG37" i="14"/>
  <c r="AH37" i="14"/>
  <c r="AI37" i="14"/>
  <c r="AF38" i="14"/>
  <c r="AG38" i="14"/>
  <c r="AH38" i="14"/>
  <c r="AI38" i="14"/>
  <c r="AF39" i="14"/>
  <c r="AG39" i="14"/>
  <c r="AH39" i="14"/>
  <c r="AI39" i="14"/>
  <c r="AF40" i="14"/>
  <c r="AG40" i="14"/>
  <c r="AH40" i="14"/>
  <c r="AI40" i="14"/>
  <c r="AF41" i="14"/>
  <c r="AG41" i="14"/>
  <c r="AH41" i="14"/>
  <c r="AI41" i="14"/>
  <c r="AF42" i="14"/>
  <c r="AG42" i="14"/>
  <c r="AH42" i="14"/>
  <c r="AI42" i="14"/>
  <c r="AF43" i="14"/>
  <c r="AG43" i="14"/>
  <c r="AH43" i="14"/>
  <c r="AI43" i="14"/>
  <c r="AF44" i="14"/>
  <c r="AG44" i="14"/>
  <c r="AH44" i="14"/>
  <c r="AI44" i="14"/>
  <c r="AF45" i="14"/>
  <c r="AG45" i="14"/>
  <c r="AH45" i="14"/>
  <c r="AI45" i="14"/>
  <c r="AF46" i="14"/>
  <c r="AG46" i="14"/>
  <c r="AH46" i="14"/>
  <c r="AI46" i="14"/>
  <c r="AF47" i="14"/>
  <c r="AG47" i="14"/>
  <c r="AH47" i="14"/>
  <c r="AI47" i="14"/>
  <c r="AF48" i="14"/>
  <c r="AG48" i="14"/>
  <c r="AH48" i="14"/>
  <c r="AI48" i="14"/>
  <c r="AF49" i="14"/>
  <c r="AG49" i="14"/>
  <c r="AH49" i="14"/>
  <c r="AI49" i="14"/>
  <c r="AF50" i="14"/>
  <c r="AG50" i="14"/>
  <c r="AH50" i="14"/>
  <c r="AI50" i="14"/>
  <c r="AF51" i="14"/>
  <c r="AG51" i="14"/>
  <c r="AH51" i="14"/>
  <c r="AI51" i="14"/>
  <c r="AF52" i="14"/>
  <c r="AG52" i="14"/>
  <c r="AH52" i="14"/>
  <c r="AI52" i="14"/>
  <c r="AF53" i="14"/>
  <c r="AG53" i="14"/>
  <c r="AH53" i="14"/>
  <c r="AI53" i="14"/>
  <c r="AF54" i="14"/>
  <c r="AG54" i="14"/>
  <c r="AH54" i="14"/>
  <c r="AI54" i="14"/>
  <c r="AF55" i="14"/>
  <c r="AG55" i="14"/>
  <c r="AH55" i="14"/>
  <c r="AI55" i="14"/>
  <c r="AF56" i="14"/>
  <c r="AG56" i="14"/>
  <c r="AH56" i="14"/>
  <c r="AI56" i="14"/>
  <c r="AF57" i="14"/>
  <c r="AG57" i="14"/>
  <c r="AH57" i="14"/>
  <c r="AI57" i="14"/>
  <c r="AF58" i="14"/>
  <c r="AG58" i="14"/>
  <c r="AH58" i="14"/>
  <c r="AI58" i="14"/>
  <c r="AF59" i="14"/>
  <c r="AG59" i="14"/>
  <c r="AH59" i="14"/>
  <c r="AI59" i="14"/>
  <c r="AJ43" i="14" l="1"/>
  <c r="AJ58" i="14"/>
  <c r="AK57" i="14"/>
  <c r="AK51" i="14"/>
  <c r="AK50" i="14"/>
  <c r="AK44" i="14"/>
  <c r="AK42" i="14"/>
  <c r="AK40" i="14"/>
  <c r="AK38" i="14"/>
  <c r="AK34" i="14"/>
  <c r="AK32" i="14"/>
  <c r="AK30" i="14"/>
  <c r="AK28" i="14"/>
  <c r="AK26" i="14"/>
  <c r="AK24" i="14"/>
  <c r="AK22" i="14"/>
  <c r="AK20" i="14"/>
  <c r="AK18" i="14"/>
  <c r="AK16" i="14"/>
  <c r="AK14" i="14"/>
  <c r="AK12" i="14"/>
  <c r="AK55" i="14"/>
  <c r="AK48" i="14"/>
  <c r="AK59" i="14"/>
  <c r="AK53" i="14"/>
  <c r="AK46" i="14"/>
  <c r="AJ59" i="14"/>
  <c r="AJ57" i="14"/>
  <c r="AJ53" i="14"/>
  <c r="AJ50" i="14"/>
  <c r="AJ46" i="14"/>
  <c r="AJ38" i="14"/>
  <c r="AK39" i="14"/>
  <c r="AK19" i="14"/>
  <c r="AJ27" i="14"/>
  <c r="AJ55" i="14"/>
  <c r="AJ51" i="14"/>
  <c r="AJ48" i="14"/>
  <c r="AJ44" i="14"/>
  <c r="AJ42" i="14"/>
  <c r="AJ40" i="14"/>
  <c r="AJ34" i="14"/>
  <c r="AJ32" i="14"/>
  <c r="AJ30" i="14"/>
  <c r="AJ28" i="14"/>
  <c r="AJ26" i="14"/>
  <c r="AJ24" i="14"/>
  <c r="AJ22" i="14"/>
  <c r="AJ20" i="14"/>
  <c r="AJ18" i="14"/>
  <c r="AJ16" i="14"/>
  <c r="AJ14" i="14"/>
  <c r="AJ12" i="14"/>
  <c r="AJ10" i="14"/>
  <c r="AJ54" i="14"/>
  <c r="AJ49" i="14"/>
  <c r="AJ45" i="14"/>
  <c r="AJ39" i="14"/>
  <c r="AJ37" i="14"/>
  <c r="AJ33" i="14"/>
  <c r="AJ31" i="14"/>
  <c r="AJ29" i="14"/>
  <c r="AJ25" i="14"/>
  <c r="AJ23" i="14"/>
  <c r="AJ21" i="14"/>
  <c r="AJ19" i="14"/>
  <c r="AJ17" i="14"/>
  <c r="AJ15" i="14"/>
  <c r="AJ13" i="14"/>
  <c r="AJ11" i="14"/>
  <c r="AJ56" i="14"/>
  <c r="AJ52" i="14"/>
  <c r="AJ47" i="14"/>
  <c r="DM48" i="14"/>
  <c r="DM46" i="14"/>
  <c r="DM44" i="14"/>
  <c r="DM40" i="14"/>
  <c r="DM32" i="14"/>
  <c r="DL59" i="14"/>
  <c r="DL55" i="14"/>
  <c r="DL53" i="14"/>
  <c r="DL46" i="14"/>
  <c r="DL44" i="14"/>
  <c r="DL40" i="14"/>
  <c r="DL38" i="14"/>
  <c r="DL10" i="14"/>
  <c r="DM25" i="14"/>
  <c r="DM21" i="14"/>
  <c r="DL56" i="14"/>
  <c r="DM12" i="14"/>
  <c r="DM10" i="14"/>
  <c r="DL33" i="14"/>
  <c r="AK54" i="14"/>
  <c r="AK47" i="14"/>
  <c r="AK31" i="14"/>
  <c r="AK27" i="14"/>
  <c r="AK23" i="14"/>
  <c r="AK15" i="14"/>
  <c r="AK11" i="14"/>
  <c r="DM31" i="14"/>
  <c r="DM29" i="14"/>
  <c r="DM15" i="14"/>
  <c r="DM59" i="14"/>
  <c r="AJ35" i="14"/>
  <c r="AK36" i="14"/>
  <c r="AJ36" i="14"/>
  <c r="AK35" i="14"/>
  <c r="AK56" i="14"/>
  <c r="AK52" i="14"/>
  <c r="AK49" i="14"/>
  <c r="AK43" i="14"/>
  <c r="DM17" i="14"/>
  <c r="DL21" i="14"/>
  <c r="DL19" i="14"/>
  <c r="DL17" i="14"/>
  <c r="DL15" i="14"/>
  <c r="DM57" i="14"/>
  <c r="DM28" i="14"/>
  <c r="DM16" i="14"/>
  <c r="DM36" i="14"/>
  <c r="DL32" i="14"/>
  <c r="DL28" i="14"/>
  <c r="DL20" i="14"/>
  <c r="DL12" i="14"/>
  <c r="AK58" i="14"/>
  <c r="AK45" i="14"/>
  <c r="AK41" i="14"/>
  <c r="AK37" i="14"/>
  <c r="AK33" i="14"/>
  <c r="AK29" i="14"/>
  <c r="AK25" i="14"/>
  <c r="AK21" i="14"/>
  <c r="AK17" i="14"/>
  <c r="AK13" i="14"/>
  <c r="DM56" i="14"/>
  <c r="DM52" i="14"/>
  <c r="DM49" i="14"/>
  <c r="DM39" i="14"/>
  <c r="DM35" i="14"/>
  <c r="DM55" i="14"/>
  <c r="DM53" i="14"/>
  <c r="DM51" i="14"/>
  <c r="DL36" i="14"/>
  <c r="DL31" i="14"/>
  <c r="DL29" i="14"/>
  <c r="DL25" i="14"/>
  <c r="DL13" i="14"/>
  <c r="DM30" i="14"/>
  <c r="DM24" i="14"/>
  <c r="DM22" i="14"/>
  <c r="DM54" i="14"/>
  <c r="DL30" i="14"/>
  <c r="DL22" i="14"/>
  <c r="DM20" i="14"/>
  <c r="DM18" i="14"/>
  <c r="DL16" i="14"/>
  <c r="DL52" i="14"/>
  <c r="DL49" i="14"/>
  <c r="DM43" i="14"/>
  <c r="DL47" i="14"/>
  <c r="DL45" i="14"/>
  <c r="DL41" i="14"/>
  <c r="DL39" i="14"/>
  <c r="DL37" i="14"/>
  <c r="DL35" i="14"/>
  <c r="DM33" i="14"/>
  <c r="AJ41" i="14"/>
  <c r="DM47" i="14"/>
  <c r="DM38" i="14"/>
  <c r="DM58" i="14"/>
  <c r="DM50" i="14"/>
  <c r="DM34" i="14"/>
  <c r="DM27" i="14"/>
  <c r="DM11" i="14"/>
  <c r="DL58" i="14"/>
  <c r="DL51" i="14"/>
  <c r="DL50" i="14"/>
  <c r="DL48" i="14"/>
  <c r="DL43" i="14"/>
  <c r="DM41" i="14"/>
  <c r="DL34" i="14"/>
  <c r="DL27" i="14"/>
  <c r="DL18" i="14"/>
  <c r="DL11" i="14"/>
  <c r="DM23" i="14"/>
  <c r="DM14" i="14"/>
  <c r="DL57" i="14"/>
  <c r="DL54" i="14"/>
  <c r="DM37" i="14"/>
  <c r="DL23" i="14"/>
  <c r="DL14" i="14"/>
  <c r="DM42" i="14"/>
  <c r="DM26" i="14"/>
  <c r="DM19" i="14"/>
  <c r="DM45" i="14"/>
  <c r="DL42" i="14"/>
  <c r="DL26" i="14"/>
  <c r="DL24" i="14"/>
  <c r="DM13" i="14"/>
  <c r="S34" i="12" l="1"/>
  <c r="T34" i="12"/>
  <c r="Y34" i="12"/>
  <c r="Z34" i="12"/>
  <c r="AE34" i="12"/>
  <c r="AF34" i="12"/>
  <c r="AG34" i="12"/>
  <c r="AH34" i="12"/>
  <c r="AI34" i="12"/>
  <c r="AJ34" i="12"/>
  <c r="AQ34" i="12"/>
  <c r="AR34" i="12"/>
  <c r="AW34" i="12"/>
  <c r="AX34" i="12"/>
  <c r="BC34" i="12"/>
  <c r="BE34" i="12"/>
  <c r="BJ34" i="12"/>
  <c r="BL34" i="12"/>
  <c r="BQ34" i="12"/>
  <c r="BR34" i="12"/>
  <c r="BW34" i="12"/>
  <c r="BX34" i="12"/>
  <c r="CC34" i="12"/>
  <c r="CD34" i="12"/>
  <c r="CI34" i="12"/>
  <c r="CJ34" i="12"/>
  <c r="CO34" i="12"/>
  <c r="CP34" i="12"/>
  <c r="CU34" i="12"/>
  <c r="CV34" i="12"/>
  <c r="DA34" i="12"/>
  <c r="DB34" i="12"/>
  <c r="DG34" i="12"/>
  <c r="DH34" i="12"/>
  <c r="DI34" i="12"/>
  <c r="DJ34" i="12"/>
  <c r="DK34" i="12"/>
  <c r="DL34" i="12"/>
  <c r="T26" i="12"/>
  <c r="T67" i="12"/>
  <c r="Y67" i="12"/>
  <c r="Z67" i="12"/>
  <c r="AE67" i="12"/>
  <c r="AF67" i="12"/>
  <c r="AG67" i="12"/>
  <c r="AH67" i="12"/>
  <c r="AI67" i="12"/>
  <c r="AJ67" i="12"/>
  <c r="AQ67" i="12"/>
  <c r="AR67" i="12"/>
  <c r="AW67" i="12"/>
  <c r="AX67" i="12"/>
  <c r="BC67" i="12"/>
  <c r="BE67" i="12"/>
  <c r="BJ67" i="12"/>
  <c r="BL67" i="12"/>
  <c r="BQ67" i="12"/>
  <c r="BR67" i="12"/>
  <c r="BW67" i="12"/>
  <c r="BX67" i="12"/>
  <c r="CC67" i="12"/>
  <c r="CD67" i="12"/>
  <c r="CI67" i="12"/>
  <c r="CJ67" i="12"/>
  <c r="CO67" i="12"/>
  <c r="CP67" i="12"/>
  <c r="CU67" i="12"/>
  <c r="CV67" i="12"/>
  <c r="DA67" i="12"/>
  <c r="DB67" i="12"/>
  <c r="DG67" i="12"/>
  <c r="DH67" i="12"/>
  <c r="DI67" i="12"/>
  <c r="DJ67" i="12"/>
  <c r="DK67" i="12"/>
  <c r="DL67" i="12"/>
  <c r="T66" i="12"/>
  <c r="Y66" i="12"/>
  <c r="Z66" i="12"/>
  <c r="AE66" i="12"/>
  <c r="AF66" i="12"/>
  <c r="AG66" i="12"/>
  <c r="AH66" i="12"/>
  <c r="AI66" i="12"/>
  <c r="AJ66" i="12"/>
  <c r="AQ66" i="12"/>
  <c r="AR66" i="12"/>
  <c r="AW66" i="12"/>
  <c r="AX66" i="12"/>
  <c r="BC66" i="12"/>
  <c r="BE66" i="12"/>
  <c r="BJ66" i="12"/>
  <c r="BL66" i="12"/>
  <c r="BQ66" i="12"/>
  <c r="BR66" i="12"/>
  <c r="BW66" i="12"/>
  <c r="BX66" i="12"/>
  <c r="CC66" i="12"/>
  <c r="CD66" i="12"/>
  <c r="CI66" i="12"/>
  <c r="CJ66" i="12"/>
  <c r="CO66" i="12"/>
  <c r="CP66" i="12"/>
  <c r="CU66" i="12"/>
  <c r="CV66" i="12"/>
  <c r="DA66" i="12"/>
  <c r="DB66" i="12"/>
  <c r="DG66" i="12"/>
  <c r="DH66" i="12"/>
  <c r="DI66" i="12"/>
  <c r="DJ66" i="12"/>
  <c r="DK66" i="12"/>
  <c r="DL66" i="12"/>
  <c r="DN66" i="12" l="1"/>
  <c r="DN34" i="12"/>
  <c r="DM34" i="12"/>
  <c r="F34" i="12" s="1"/>
  <c r="AL34" i="12"/>
  <c r="L34" i="12" s="1"/>
  <c r="AK34" i="12"/>
  <c r="M34" i="12"/>
  <c r="AL66" i="12"/>
  <c r="L66" i="12" s="1"/>
  <c r="N66" i="12" s="1"/>
  <c r="AK66" i="12"/>
  <c r="DN67" i="12"/>
  <c r="DM66" i="12"/>
  <c r="F66" i="12" s="1"/>
  <c r="DM67" i="12"/>
  <c r="F67" i="12" s="1"/>
  <c r="AL67" i="12"/>
  <c r="L67" i="12" s="1"/>
  <c r="N67" i="12" s="1"/>
  <c r="AK67" i="12"/>
  <c r="N34" i="12" l="1"/>
  <c r="P34" i="12"/>
  <c r="H34" i="12"/>
  <c r="H66" i="12"/>
  <c r="O66" i="12" s="1"/>
  <c r="M67" i="12"/>
  <c r="M66" i="12"/>
  <c r="H67" i="12"/>
  <c r="O67" i="12" s="1"/>
  <c r="P67" i="12"/>
  <c r="P66" i="12"/>
  <c r="O34" i="12" l="1"/>
  <c r="J7" i="16"/>
  <c r="O7" i="16"/>
  <c r="P7" i="16"/>
  <c r="S7" i="16"/>
  <c r="T7" i="16"/>
  <c r="U7" i="16"/>
  <c r="V7" i="16"/>
  <c r="Y7" i="16"/>
  <c r="Z7" i="16"/>
  <c r="AA7" i="16"/>
  <c r="AB7" i="16"/>
  <c r="AK7" i="16"/>
  <c r="AL7" i="16"/>
  <c r="AM7" i="16"/>
  <c r="AN7" i="16"/>
  <c r="AQ7" i="16"/>
  <c r="AR7" i="16"/>
  <c r="AS7" i="16"/>
  <c r="AT7" i="16"/>
  <c r="AU7" i="16"/>
  <c r="AV7" i="16"/>
  <c r="AW7" i="16"/>
  <c r="AX7" i="16"/>
  <c r="AY7" i="16"/>
  <c r="AZ7" i="16"/>
  <c r="BA7" i="16"/>
  <c r="BB7" i="16"/>
  <c r="BC7" i="16"/>
  <c r="BD7" i="16"/>
  <c r="BE7" i="16"/>
  <c r="BF7" i="16"/>
  <c r="BG7" i="16"/>
  <c r="BH7" i="16"/>
  <c r="BI7" i="16"/>
  <c r="BJ7" i="16"/>
  <c r="BK7" i="16"/>
  <c r="BL7" i="16"/>
  <c r="BM7" i="16"/>
  <c r="BN7" i="16"/>
  <c r="BO7" i="16"/>
  <c r="BP7" i="16"/>
  <c r="BQ7" i="16"/>
  <c r="BR7" i="16"/>
  <c r="BS7" i="16"/>
  <c r="BT7" i="16"/>
  <c r="BU7" i="16"/>
  <c r="BV7" i="16"/>
  <c r="BW7" i="16"/>
  <c r="BX7" i="16"/>
  <c r="BY7" i="16"/>
  <c r="BZ7" i="16"/>
  <c r="CA7" i="16"/>
  <c r="CB7" i="16"/>
  <c r="CC7" i="16"/>
  <c r="CD7" i="16"/>
  <c r="CE7" i="16"/>
  <c r="CF7" i="16"/>
  <c r="CG7" i="16"/>
  <c r="CH7" i="16"/>
  <c r="CI7" i="16"/>
  <c r="CJ7" i="16"/>
  <c r="CK7" i="16"/>
  <c r="CL7" i="16"/>
  <c r="CM7" i="16"/>
  <c r="CN7" i="16"/>
  <c r="CO7" i="16"/>
  <c r="CP7" i="16"/>
  <c r="CQ7" i="16"/>
  <c r="CR7" i="16"/>
  <c r="CS7" i="16"/>
  <c r="CT7" i="16"/>
  <c r="CU7" i="16"/>
  <c r="CV7" i="16"/>
  <c r="CW7" i="16"/>
  <c r="CX7" i="16"/>
  <c r="CY7" i="16"/>
  <c r="CZ7" i="16"/>
  <c r="DA7" i="16"/>
  <c r="DB7" i="16"/>
  <c r="DC7" i="16"/>
  <c r="DD7" i="16"/>
  <c r="DE7" i="16"/>
  <c r="DF7" i="16"/>
  <c r="DG7" i="16"/>
  <c r="DH7" i="16"/>
  <c r="DI7" i="16"/>
  <c r="DJ7" i="16"/>
  <c r="I7" i="15"/>
  <c r="J7" i="15"/>
  <c r="H7" i="13" l="1"/>
  <c r="I7" i="13"/>
  <c r="J7" i="13"/>
  <c r="P7" i="13"/>
  <c r="Q7" i="13"/>
  <c r="T7" i="13"/>
  <c r="U7" i="13"/>
  <c r="V7" i="13"/>
  <c r="W7" i="13"/>
  <c r="Z7" i="13"/>
  <c r="AA7" i="13"/>
  <c r="AB7" i="13"/>
  <c r="AC7" i="13"/>
  <c r="AL7" i="13"/>
  <c r="AM7" i="13"/>
  <c r="AN7" i="13"/>
  <c r="AO7" i="13"/>
  <c r="AR7" i="13"/>
  <c r="AS7" i="13"/>
  <c r="AT7" i="13"/>
  <c r="AU7" i="13"/>
  <c r="AX7" i="13"/>
  <c r="AY7" i="13"/>
  <c r="AZ7" i="13"/>
  <c r="BA7" i="13"/>
  <c r="BE7" i="13"/>
  <c r="BF7" i="13"/>
  <c r="BG7" i="13"/>
  <c r="BH7" i="13"/>
  <c r="BL7" i="13"/>
  <c r="BM7" i="13"/>
  <c r="BN7" i="13"/>
  <c r="BO7" i="13"/>
  <c r="BS7" i="13"/>
  <c r="BT7" i="13"/>
  <c r="BU7" i="13"/>
  <c r="BV7" i="13"/>
  <c r="BZ7" i="13"/>
  <c r="CA7" i="13"/>
  <c r="CB7" i="13"/>
  <c r="CC7" i="13"/>
  <c r="CF7" i="13"/>
  <c r="CG7" i="13"/>
  <c r="CH7" i="13"/>
  <c r="CI7" i="13"/>
  <c r="CL7" i="13"/>
  <c r="CM7" i="13"/>
  <c r="CN7" i="13"/>
  <c r="CO7" i="13"/>
  <c r="CR7" i="13"/>
  <c r="CS7" i="13"/>
  <c r="CT7" i="13"/>
  <c r="CU7" i="13"/>
  <c r="CX7" i="13"/>
  <c r="CY7" i="13"/>
  <c r="CZ7" i="13"/>
  <c r="DA7" i="13"/>
  <c r="DD7" i="13"/>
  <c r="DE7" i="13"/>
  <c r="DF7" i="13"/>
  <c r="DG7" i="13"/>
  <c r="B7" i="13"/>
  <c r="C7" i="13"/>
  <c r="D7" i="13"/>
  <c r="E7" i="13"/>
  <c r="A7" i="13"/>
  <c r="R155" i="13"/>
  <c r="S155" i="13"/>
  <c r="X155" i="13"/>
  <c r="Y155" i="13"/>
  <c r="AD155" i="13"/>
  <c r="AE155" i="13"/>
  <c r="AF155" i="13"/>
  <c r="AG155" i="13"/>
  <c r="AH155" i="13"/>
  <c r="AI155" i="13"/>
  <c r="AP155" i="13"/>
  <c r="AQ155" i="13"/>
  <c r="AV155" i="13"/>
  <c r="AW155" i="13"/>
  <c r="BB155" i="13"/>
  <c r="BD155" i="13"/>
  <c r="BI155" i="13"/>
  <c r="BK155" i="13"/>
  <c r="BP155" i="13"/>
  <c r="BR155" i="13"/>
  <c r="BW155" i="13"/>
  <c r="BY155" i="13"/>
  <c r="CD155" i="13"/>
  <c r="CE155" i="13"/>
  <c r="CJ155" i="13"/>
  <c r="CK155" i="13"/>
  <c r="CP155" i="13"/>
  <c r="CQ155" i="13"/>
  <c r="CV155" i="13"/>
  <c r="CW155" i="13"/>
  <c r="DB155" i="13"/>
  <c r="DC155" i="13"/>
  <c r="DH155" i="13"/>
  <c r="DI155" i="13"/>
  <c r="DJ155" i="13"/>
  <c r="DK155" i="13"/>
  <c r="DM155" i="13"/>
  <c r="R154" i="13"/>
  <c r="S154" i="13"/>
  <c r="X154" i="13"/>
  <c r="Y154" i="13"/>
  <c r="AD154" i="13"/>
  <c r="AE154" i="13"/>
  <c r="AF154" i="13"/>
  <c r="AG154" i="13"/>
  <c r="AH154" i="13"/>
  <c r="AI154" i="13"/>
  <c r="AP154" i="13"/>
  <c r="AQ154" i="13"/>
  <c r="AV154" i="13"/>
  <c r="AW154" i="13"/>
  <c r="BB154" i="13"/>
  <c r="BD154" i="13"/>
  <c r="BI154" i="13"/>
  <c r="BK154" i="13"/>
  <c r="BP154" i="13"/>
  <c r="BR154" i="13"/>
  <c r="BW154" i="13"/>
  <c r="BY154" i="13"/>
  <c r="CD154" i="13"/>
  <c r="CE154" i="13"/>
  <c r="CJ154" i="13"/>
  <c r="CK154" i="13"/>
  <c r="CP154" i="13"/>
  <c r="CQ154" i="13"/>
  <c r="CV154" i="13"/>
  <c r="CW154" i="13"/>
  <c r="DB154" i="13"/>
  <c r="DC154" i="13"/>
  <c r="DH154" i="13"/>
  <c r="DI154" i="13"/>
  <c r="DJ154" i="13"/>
  <c r="DK154" i="13"/>
  <c r="DM154" i="13"/>
  <c r="DM120" i="13"/>
  <c r="DK120" i="13"/>
  <c r="DJ120" i="13"/>
  <c r="DI120" i="13"/>
  <c r="DH120" i="13"/>
  <c r="DC120" i="13"/>
  <c r="DB120" i="13"/>
  <c r="CW120" i="13"/>
  <c r="CV120" i="13"/>
  <c r="CQ120" i="13"/>
  <c r="CP120" i="13"/>
  <c r="CK120" i="13"/>
  <c r="CJ120" i="13"/>
  <c r="CE120" i="13"/>
  <c r="CD120" i="13"/>
  <c r="BY120" i="13"/>
  <c r="BW120" i="13"/>
  <c r="BR120" i="13"/>
  <c r="BP120" i="13"/>
  <c r="BK120" i="13"/>
  <c r="BI120" i="13"/>
  <c r="BD120" i="13"/>
  <c r="BB120" i="13"/>
  <c r="AW120" i="13"/>
  <c r="AV120" i="13"/>
  <c r="AQ120" i="13"/>
  <c r="AP120" i="13"/>
  <c r="AP119" i="13"/>
  <c r="AQ119" i="13"/>
  <c r="AI120" i="13"/>
  <c r="AH120" i="13"/>
  <c r="AG120" i="13"/>
  <c r="AF120" i="13"/>
  <c r="AE120" i="13"/>
  <c r="AD120" i="13"/>
  <c r="Y120" i="13"/>
  <c r="X120" i="13"/>
  <c r="DM138" i="13"/>
  <c r="DK138" i="13"/>
  <c r="DJ138" i="13"/>
  <c r="DI138" i="13"/>
  <c r="DH138" i="13"/>
  <c r="DC138" i="13"/>
  <c r="DB138" i="13"/>
  <c r="CW138" i="13"/>
  <c r="CV138" i="13"/>
  <c r="CQ138" i="13"/>
  <c r="CP138" i="13"/>
  <c r="CK138" i="13"/>
  <c r="CJ138" i="13"/>
  <c r="CE138" i="13"/>
  <c r="CD138" i="13"/>
  <c r="BY138" i="13"/>
  <c r="BW138" i="13"/>
  <c r="BR138" i="13"/>
  <c r="BP138" i="13"/>
  <c r="BK138" i="13"/>
  <c r="BI138" i="13"/>
  <c r="BD138" i="13"/>
  <c r="BB138" i="13"/>
  <c r="AW138" i="13"/>
  <c r="AV138" i="13"/>
  <c r="AQ138" i="13"/>
  <c r="AP138" i="13"/>
  <c r="AI138" i="13"/>
  <c r="AH138" i="13"/>
  <c r="AG138" i="13"/>
  <c r="AF138" i="13"/>
  <c r="AE138" i="13"/>
  <c r="AD138" i="13"/>
  <c r="Y138" i="13"/>
  <c r="X138" i="13"/>
  <c r="DM141" i="13"/>
  <c r="DK141" i="13"/>
  <c r="DJ141" i="13"/>
  <c r="DI141" i="13"/>
  <c r="DH141" i="13"/>
  <c r="DC141" i="13"/>
  <c r="DB141" i="13"/>
  <c r="CW141" i="13"/>
  <c r="CV141" i="13"/>
  <c r="CQ141" i="13"/>
  <c r="CP141" i="13"/>
  <c r="CK141" i="13"/>
  <c r="CJ141" i="13"/>
  <c r="CE141" i="13"/>
  <c r="CD141" i="13"/>
  <c r="BY141" i="13"/>
  <c r="BW141" i="13"/>
  <c r="BR141" i="13"/>
  <c r="BP141" i="13"/>
  <c r="BK141" i="13"/>
  <c r="BI141" i="13"/>
  <c r="BD141" i="13"/>
  <c r="BB141" i="13"/>
  <c r="AW141" i="13"/>
  <c r="AV141" i="13"/>
  <c r="AQ141" i="13"/>
  <c r="AP141" i="13"/>
  <c r="AI141" i="13"/>
  <c r="AH141" i="13"/>
  <c r="AG141" i="13"/>
  <c r="AF141" i="13"/>
  <c r="AE141" i="13"/>
  <c r="AD141" i="13"/>
  <c r="Y141" i="13"/>
  <c r="X141" i="13"/>
  <c r="DM110" i="13"/>
  <c r="DM109" i="13"/>
  <c r="DK110" i="13"/>
  <c r="DK109" i="13"/>
  <c r="DJ110" i="13"/>
  <c r="DJ109" i="13"/>
  <c r="DI110" i="13"/>
  <c r="DH110" i="13"/>
  <c r="DI109" i="13"/>
  <c r="DH109" i="13"/>
  <c r="DC110" i="13"/>
  <c r="DB110" i="13"/>
  <c r="DC109" i="13"/>
  <c r="DB109" i="13"/>
  <c r="CW110" i="13"/>
  <c r="CV110" i="13"/>
  <c r="CW109" i="13"/>
  <c r="CV109" i="13"/>
  <c r="CQ110" i="13"/>
  <c r="CP110" i="13"/>
  <c r="CQ109" i="13"/>
  <c r="CP109" i="13"/>
  <c r="CK110" i="13"/>
  <c r="CJ110" i="13"/>
  <c r="CK109" i="13"/>
  <c r="CJ109" i="13"/>
  <c r="CE110" i="13"/>
  <c r="CD110" i="13"/>
  <c r="CE109" i="13"/>
  <c r="CD109" i="13"/>
  <c r="BY110" i="13"/>
  <c r="BW110" i="13"/>
  <c r="BY109" i="13"/>
  <c r="BW109" i="13"/>
  <c r="BR110" i="13"/>
  <c r="BP110" i="13"/>
  <c r="BR109" i="13"/>
  <c r="BP109" i="13"/>
  <c r="BK110" i="13"/>
  <c r="BI110" i="13"/>
  <c r="BK109" i="13"/>
  <c r="BI109" i="13"/>
  <c r="BD110" i="13"/>
  <c r="BB110" i="13"/>
  <c r="BD109" i="13"/>
  <c r="BB109" i="13"/>
  <c r="AQ110" i="13"/>
  <c r="AP110" i="13"/>
  <c r="AQ109" i="13"/>
  <c r="AP109" i="13"/>
  <c r="AI110" i="13"/>
  <c r="AH110" i="13"/>
  <c r="AG110" i="13"/>
  <c r="AF110" i="13"/>
  <c r="AI109" i="13"/>
  <c r="AH109" i="13"/>
  <c r="AG109" i="13"/>
  <c r="AF109" i="13"/>
  <c r="AE110" i="13"/>
  <c r="AD110" i="13"/>
  <c r="AE109" i="13"/>
  <c r="AD109" i="13"/>
  <c r="Y110" i="13"/>
  <c r="X110" i="13"/>
  <c r="Y109" i="13"/>
  <c r="X109" i="13"/>
  <c r="DN120" i="13" l="1"/>
  <c r="DN155" i="13"/>
  <c r="F155" i="13" s="1"/>
  <c r="DO154" i="13"/>
  <c r="DN154" i="13"/>
  <c r="F154" i="13" s="1"/>
  <c r="AJ155" i="13"/>
  <c r="DO155" i="13"/>
  <c r="AK154" i="13"/>
  <c r="K154" i="13" s="1"/>
  <c r="AJ154" i="13"/>
  <c r="AK155" i="13"/>
  <c r="L155" i="13"/>
  <c r="L154" i="13"/>
  <c r="DO120" i="13"/>
  <c r="AJ120" i="13"/>
  <c r="AK120" i="13"/>
  <c r="AK138" i="13"/>
  <c r="AJ138" i="13"/>
  <c r="DN138" i="13"/>
  <c r="DO138" i="13"/>
  <c r="AJ109" i="13"/>
  <c r="AK109" i="13"/>
  <c r="AK141" i="13"/>
  <c r="DO141" i="13"/>
  <c r="AJ141" i="13"/>
  <c r="DO110" i="13"/>
  <c r="DN110" i="13"/>
  <c r="DO109" i="13"/>
  <c r="DN141" i="13"/>
  <c r="AK110" i="13"/>
  <c r="AJ110" i="13"/>
  <c r="DN109" i="13"/>
  <c r="AA18" i="21"/>
  <c r="AB18" i="21"/>
  <c r="AG18" i="21"/>
  <c r="AH18" i="21"/>
  <c r="AI18" i="21"/>
  <c r="AJ18" i="21"/>
  <c r="AK18" i="21"/>
  <c r="AL18" i="21"/>
  <c r="AS18" i="21"/>
  <c r="AT18" i="21"/>
  <c r="AY18" i="21"/>
  <c r="AZ18" i="21"/>
  <c r="BE18" i="21"/>
  <c r="BG18" i="21"/>
  <c r="BL18" i="21"/>
  <c r="BN18" i="21"/>
  <c r="BS18" i="21"/>
  <c r="BU18" i="21"/>
  <c r="BZ18" i="21"/>
  <c r="CB18" i="21"/>
  <c r="CG18" i="21"/>
  <c r="CH18" i="21"/>
  <c r="CM18" i="21"/>
  <c r="CN18" i="21"/>
  <c r="CS18" i="21"/>
  <c r="CT18" i="21"/>
  <c r="CY18" i="21"/>
  <c r="CZ18" i="21"/>
  <c r="DE18" i="21"/>
  <c r="DF18" i="21"/>
  <c r="DK18" i="21"/>
  <c r="DL18" i="21"/>
  <c r="DM18" i="21"/>
  <c r="DN18" i="21"/>
  <c r="DO18" i="21"/>
  <c r="DP18" i="21"/>
  <c r="V18" i="21"/>
  <c r="U18" i="21"/>
  <c r="M138" i="21"/>
  <c r="M7" i="21" s="1"/>
  <c r="L138" i="21"/>
  <c r="L7" i="21" s="1"/>
  <c r="G18" i="21" l="1"/>
  <c r="G155" i="13"/>
  <c r="G154" i="13"/>
  <c r="M154" i="13"/>
  <c r="O154" i="13"/>
  <c r="K155" i="13"/>
  <c r="AM18" i="21"/>
  <c r="DQ18" i="21"/>
  <c r="F18" i="21" s="1"/>
  <c r="DR18" i="21"/>
  <c r="AN18" i="21"/>
  <c r="O18" i="21" s="1"/>
  <c r="H18" i="21" l="1"/>
  <c r="R18" i="21"/>
  <c r="N154" i="13"/>
  <c r="M155" i="13"/>
  <c r="N155" i="13" s="1"/>
  <c r="O155" i="13"/>
  <c r="N18" i="21"/>
  <c r="P18" i="21" s="1"/>
  <c r="J18" i="21"/>
  <c r="Q18" i="21" l="1"/>
  <c r="DI30" i="23"/>
  <c r="DH30" i="23"/>
  <c r="DG30" i="23"/>
  <c r="DF30" i="23"/>
  <c r="DJ30" i="23" s="1"/>
  <c r="DE30" i="23"/>
  <c r="DD30" i="23"/>
  <c r="CY30" i="23"/>
  <c r="CX30" i="23"/>
  <c r="CS30" i="23"/>
  <c r="CR30" i="23"/>
  <c r="CM30" i="23"/>
  <c r="CL30" i="23"/>
  <c r="CG30" i="23"/>
  <c r="CF30" i="23"/>
  <c r="CA30" i="23"/>
  <c r="BZ30" i="23"/>
  <c r="BU30" i="23"/>
  <c r="BT30" i="23"/>
  <c r="BO30" i="23"/>
  <c r="BN30" i="23"/>
  <c r="BI30" i="23"/>
  <c r="BH30" i="23"/>
  <c r="BC30" i="23"/>
  <c r="BB30" i="23"/>
  <c r="AW30" i="23"/>
  <c r="AV30" i="23"/>
  <c r="AQ30" i="23"/>
  <c r="AP30" i="23"/>
  <c r="AI30" i="23"/>
  <c r="L30" i="23" s="1"/>
  <c r="AH30" i="23"/>
  <c r="AJ30" i="23" s="1"/>
  <c r="AG30" i="23"/>
  <c r="AK30" i="23" s="1"/>
  <c r="K30" i="23" s="1"/>
  <c r="AF30" i="23"/>
  <c r="AE30" i="23"/>
  <c r="AD30" i="23"/>
  <c r="Y30" i="23"/>
  <c r="X30" i="23"/>
  <c r="S30" i="23"/>
  <c r="R30" i="23"/>
  <c r="DI29" i="23"/>
  <c r="DH29" i="23"/>
  <c r="DG29" i="23"/>
  <c r="DF29" i="23"/>
  <c r="DJ29" i="23" s="1"/>
  <c r="F29" i="23" s="1"/>
  <c r="DE29" i="23"/>
  <c r="DD29" i="23"/>
  <c r="CY29" i="23"/>
  <c r="CX29" i="23"/>
  <c r="CS29" i="23"/>
  <c r="CR29" i="23"/>
  <c r="CM29" i="23"/>
  <c r="CL29" i="23"/>
  <c r="CG29" i="23"/>
  <c r="CF29" i="23"/>
  <c r="CA29" i="23"/>
  <c r="BZ29" i="23"/>
  <c r="BU29" i="23"/>
  <c r="BT29" i="23"/>
  <c r="BO29" i="23"/>
  <c r="BN29" i="23"/>
  <c r="BI29" i="23"/>
  <c r="BH29" i="23"/>
  <c r="BC29" i="23"/>
  <c r="BB29" i="23"/>
  <c r="AW29" i="23"/>
  <c r="AV29" i="23"/>
  <c r="AQ29" i="23"/>
  <c r="AP29" i="23"/>
  <c r="AI29" i="23"/>
  <c r="L29" i="23" s="1"/>
  <c r="AH29" i="23"/>
  <c r="AG29" i="23"/>
  <c r="AF29" i="23"/>
  <c r="AE29" i="23"/>
  <c r="AD29" i="23"/>
  <c r="Y29" i="23"/>
  <c r="X29" i="23"/>
  <c r="S29" i="23"/>
  <c r="R29" i="23"/>
  <c r="DI28" i="23"/>
  <c r="DH28" i="23"/>
  <c r="DG28" i="23"/>
  <c r="DF28" i="23"/>
  <c r="DE28" i="23"/>
  <c r="DD28" i="23"/>
  <c r="CY28" i="23"/>
  <c r="CX28" i="23"/>
  <c r="CS28" i="23"/>
  <c r="CR28" i="23"/>
  <c r="CM28" i="23"/>
  <c r="CL28" i="23"/>
  <c r="CG28" i="23"/>
  <c r="CF28" i="23"/>
  <c r="CA28" i="23"/>
  <c r="BZ28" i="23"/>
  <c r="BU28" i="23"/>
  <c r="BT28" i="23"/>
  <c r="BO28" i="23"/>
  <c r="BN28" i="23"/>
  <c r="BI28" i="23"/>
  <c r="BH28" i="23"/>
  <c r="BC28" i="23"/>
  <c r="BB28" i="23"/>
  <c r="AW28" i="23"/>
  <c r="AV28" i="23"/>
  <c r="AQ28" i="23"/>
  <c r="AP28" i="23"/>
  <c r="AI28" i="23"/>
  <c r="AH28" i="23"/>
  <c r="AG28" i="23"/>
  <c r="AK28" i="23" s="1"/>
  <c r="K28" i="23" s="1"/>
  <c r="AF28" i="23"/>
  <c r="AE28" i="23"/>
  <c r="AD28" i="23"/>
  <c r="Y28" i="23"/>
  <c r="X28" i="23"/>
  <c r="S28" i="23"/>
  <c r="R28" i="23"/>
  <c r="L28" i="23"/>
  <c r="DI27" i="23"/>
  <c r="DH27" i="23"/>
  <c r="DG27" i="23"/>
  <c r="DF27" i="23"/>
  <c r="DJ27" i="23" s="1"/>
  <c r="F27" i="23" s="1"/>
  <c r="DE27" i="23"/>
  <c r="DD27" i="23"/>
  <c r="CY27" i="23"/>
  <c r="CX27" i="23"/>
  <c r="CS27" i="23"/>
  <c r="CR27" i="23"/>
  <c r="CM27" i="23"/>
  <c r="CL27" i="23"/>
  <c r="CG27" i="23"/>
  <c r="CF27" i="23"/>
  <c r="CA27" i="23"/>
  <c r="BZ27" i="23"/>
  <c r="BU27" i="23"/>
  <c r="BT27" i="23"/>
  <c r="BO27" i="23"/>
  <c r="BN27" i="23"/>
  <c r="BI27" i="23"/>
  <c r="BH27" i="23"/>
  <c r="BC27" i="23"/>
  <c r="BB27" i="23"/>
  <c r="AW27" i="23"/>
  <c r="AV27" i="23"/>
  <c r="AQ27" i="23"/>
  <c r="AP27" i="23"/>
  <c r="AI27" i="23"/>
  <c r="AH27" i="23"/>
  <c r="AG27" i="23"/>
  <c r="AK27" i="23" s="1"/>
  <c r="K27" i="23" s="1"/>
  <c r="AF27" i="23"/>
  <c r="AE27" i="23"/>
  <c r="AD27" i="23"/>
  <c r="Y27" i="23"/>
  <c r="X27" i="23"/>
  <c r="S27" i="23"/>
  <c r="R27" i="23"/>
  <c r="L27" i="23"/>
  <c r="DI26" i="23"/>
  <c r="DH26" i="23"/>
  <c r="DG26" i="23"/>
  <c r="DK26" i="23" s="1"/>
  <c r="DF26" i="23"/>
  <c r="DJ26" i="23" s="1"/>
  <c r="DE26" i="23"/>
  <c r="DD26" i="23"/>
  <c r="CY26" i="23"/>
  <c r="CX26" i="23"/>
  <c r="CS26" i="23"/>
  <c r="CR26" i="23"/>
  <c r="CM26" i="23"/>
  <c r="CL26" i="23"/>
  <c r="CG26" i="23"/>
  <c r="CF26" i="23"/>
  <c r="CA26" i="23"/>
  <c r="BZ26" i="23"/>
  <c r="BU26" i="23"/>
  <c r="BT26" i="23"/>
  <c r="BO26" i="23"/>
  <c r="BN26" i="23"/>
  <c r="BI26" i="23"/>
  <c r="BH26" i="23"/>
  <c r="BC26" i="23"/>
  <c r="BB26" i="23"/>
  <c r="AW26" i="23"/>
  <c r="AV26" i="23"/>
  <c r="AQ26" i="23"/>
  <c r="AP26" i="23"/>
  <c r="AI26" i="23"/>
  <c r="L26" i="23" s="1"/>
  <c r="AH26" i="23"/>
  <c r="AG26" i="23"/>
  <c r="AK26" i="23" s="1"/>
  <c r="K26" i="23" s="1"/>
  <c r="AF26" i="23"/>
  <c r="AE26" i="23"/>
  <c r="AD26" i="23"/>
  <c r="Y26" i="23"/>
  <c r="X26" i="23"/>
  <c r="S26" i="23"/>
  <c r="R26" i="23"/>
  <c r="DI25" i="23"/>
  <c r="DH25" i="23"/>
  <c r="DG25" i="23"/>
  <c r="DF25" i="23"/>
  <c r="DE25" i="23"/>
  <c r="DD25" i="23"/>
  <c r="CY25" i="23"/>
  <c r="CX25" i="23"/>
  <c r="CS25" i="23"/>
  <c r="CR25" i="23"/>
  <c r="CM25" i="23"/>
  <c r="CL25" i="23"/>
  <c r="CG25" i="23"/>
  <c r="CF25" i="23"/>
  <c r="CA25" i="23"/>
  <c r="BZ25" i="23"/>
  <c r="BU25" i="23"/>
  <c r="BT25" i="23"/>
  <c r="BO25" i="23"/>
  <c r="BN25" i="23"/>
  <c r="BI25" i="23"/>
  <c r="BH25" i="23"/>
  <c r="BC25" i="23"/>
  <c r="BB25" i="23"/>
  <c r="AW25" i="23"/>
  <c r="AV25" i="23"/>
  <c r="AQ25" i="23"/>
  <c r="AP25" i="23"/>
  <c r="AI25" i="23"/>
  <c r="L25" i="23" s="1"/>
  <c r="AH25" i="23"/>
  <c r="AG25" i="23"/>
  <c r="AF25" i="23"/>
  <c r="AE25" i="23"/>
  <c r="AD25" i="23"/>
  <c r="Y25" i="23"/>
  <c r="X25" i="23"/>
  <c r="S25" i="23"/>
  <c r="R25" i="23"/>
  <c r="DI24" i="23"/>
  <c r="DH24" i="23"/>
  <c r="DG24" i="23"/>
  <c r="DF24" i="23"/>
  <c r="DE24" i="23"/>
  <c r="DD24" i="23"/>
  <c r="CY24" i="23"/>
  <c r="CX24" i="23"/>
  <c r="CS24" i="23"/>
  <c r="CR24" i="23"/>
  <c r="CM24" i="23"/>
  <c r="CL24" i="23"/>
  <c r="CG24" i="23"/>
  <c r="CF24" i="23"/>
  <c r="CA24" i="23"/>
  <c r="BZ24" i="23"/>
  <c r="BU24" i="23"/>
  <c r="BT24" i="23"/>
  <c r="BO24" i="23"/>
  <c r="BN24" i="23"/>
  <c r="BI24" i="23"/>
  <c r="BH24" i="23"/>
  <c r="BC24" i="23"/>
  <c r="BB24" i="23"/>
  <c r="AW24" i="23"/>
  <c r="AV24" i="23"/>
  <c r="AQ24" i="23"/>
  <c r="AP24" i="23"/>
  <c r="AI24" i="23"/>
  <c r="AH24" i="23"/>
  <c r="AG24" i="23"/>
  <c r="AK24" i="23" s="1"/>
  <c r="K24" i="23" s="1"/>
  <c r="AF24" i="23"/>
  <c r="AE24" i="23"/>
  <c r="AD24" i="23"/>
  <c r="Y24" i="23"/>
  <c r="X24" i="23"/>
  <c r="S24" i="23"/>
  <c r="R24" i="23"/>
  <c r="L24" i="23"/>
  <c r="DI23" i="23"/>
  <c r="DH23" i="23"/>
  <c r="DG23" i="23"/>
  <c r="DF23" i="23"/>
  <c r="DJ23" i="23" s="1"/>
  <c r="DE23" i="23"/>
  <c r="DD23" i="23"/>
  <c r="CY23" i="23"/>
  <c r="CX23" i="23"/>
  <c r="CS23" i="23"/>
  <c r="CR23" i="23"/>
  <c r="CM23" i="23"/>
  <c r="CL23" i="23"/>
  <c r="CG23" i="23"/>
  <c r="CF23" i="23"/>
  <c r="CA23" i="23"/>
  <c r="BZ23" i="23"/>
  <c r="BU23" i="23"/>
  <c r="BT23" i="23"/>
  <c r="BO23" i="23"/>
  <c r="BN23" i="23"/>
  <c r="BI23" i="23"/>
  <c r="BH23" i="23"/>
  <c r="BC23" i="23"/>
  <c r="BB23" i="23"/>
  <c r="AW23" i="23"/>
  <c r="AV23" i="23"/>
  <c r="AQ23" i="23"/>
  <c r="AP23" i="23"/>
  <c r="AI23" i="23"/>
  <c r="AH23" i="23"/>
  <c r="AG23" i="23"/>
  <c r="AK23" i="23" s="1"/>
  <c r="K23" i="23" s="1"/>
  <c r="AF23" i="23"/>
  <c r="AE23" i="23"/>
  <c r="AD23" i="23"/>
  <c r="Y23" i="23"/>
  <c r="X23" i="23"/>
  <c r="S23" i="23"/>
  <c r="R23" i="23"/>
  <c r="L23" i="23"/>
  <c r="DI22" i="23"/>
  <c r="DH22" i="23"/>
  <c r="DG22" i="23"/>
  <c r="DF22" i="23"/>
  <c r="DJ22" i="23" s="1"/>
  <c r="DE22" i="23"/>
  <c r="DD22" i="23"/>
  <c r="CY22" i="23"/>
  <c r="CX22" i="23"/>
  <c r="CS22" i="23"/>
  <c r="CR22" i="23"/>
  <c r="CM22" i="23"/>
  <c r="CL22" i="23"/>
  <c r="CG22" i="23"/>
  <c r="CF22" i="23"/>
  <c r="CA22" i="23"/>
  <c r="BZ22" i="23"/>
  <c r="BU22" i="23"/>
  <c r="BT22" i="23"/>
  <c r="BO22" i="23"/>
  <c r="BN22" i="23"/>
  <c r="BI22" i="23"/>
  <c r="BH22" i="23"/>
  <c r="BC22" i="23"/>
  <c r="BB22" i="23"/>
  <c r="AW22" i="23"/>
  <c r="AV22" i="23"/>
  <c r="AQ22" i="23"/>
  <c r="AP22" i="23"/>
  <c r="AI22" i="23"/>
  <c r="L22" i="23" s="1"/>
  <c r="AH22" i="23"/>
  <c r="AG22" i="23"/>
  <c r="AK22" i="23" s="1"/>
  <c r="K22" i="23" s="1"/>
  <c r="AF22" i="23"/>
  <c r="AE22" i="23"/>
  <c r="AD22" i="23"/>
  <c r="Y22" i="23"/>
  <c r="X22" i="23"/>
  <c r="S22" i="23"/>
  <c r="R22" i="23"/>
  <c r="DI21" i="23"/>
  <c r="DH21" i="23"/>
  <c r="DG21" i="23"/>
  <c r="DF21" i="23"/>
  <c r="DJ21" i="23" s="1"/>
  <c r="DE21" i="23"/>
  <c r="DD21" i="23"/>
  <c r="CY21" i="23"/>
  <c r="CX21" i="23"/>
  <c r="CS21" i="23"/>
  <c r="CR21" i="23"/>
  <c r="CM21" i="23"/>
  <c r="CL21" i="23"/>
  <c r="CG21" i="23"/>
  <c r="CF21" i="23"/>
  <c r="CA21" i="23"/>
  <c r="BZ21" i="23"/>
  <c r="BU21" i="23"/>
  <c r="BT21" i="23"/>
  <c r="BO21" i="23"/>
  <c r="BN21" i="23"/>
  <c r="BI21" i="23"/>
  <c r="BH21" i="23"/>
  <c r="BC21" i="23"/>
  <c r="BB21" i="23"/>
  <c r="AW21" i="23"/>
  <c r="AV21" i="23"/>
  <c r="AQ21" i="23"/>
  <c r="AP21" i="23"/>
  <c r="AI21" i="23"/>
  <c r="L21" i="23" s="1"/>
  <c r="AH21" i="23"/>
  <c r="AG21" i="23"/>
  <c r="AF21" i="23"/>
  <c r="AE21" i="23"/>
  <c r="AD21" i="23"/>
  <c r="Y21" i="23"/>
  <c r="X21" i="23"/>
  <c r="S21" i="23"/>
  <c r="R21" i="23"/>
  <c r="DI20" i="23"/>
  <c r="DH20" i="23"/>
  <c r="DG20" i="23"/>
  <c r="DF20" i="23"/>
  <c r="DE20" i="23"/>
  <c r="DD20" i="23"/>
  <c r="CY20" i="23"/>
  <c r="CX20" i="23"/>
  <c r="CS20" i="23"/>
  <c r="CR20" i="23"/>
  <c r="CM20" i="23"/>
  <c r="CL20" i="23"/>
  <c r="CG20" i="23"/>
  <c r="CF20" i="23"/>
  <c r="CA20" i="23"/>
  <c r="BZ20" i="23"/>
  <c r="BU20" i="23"/>
  <c r="BT20" i="23"/>
  <c r="BO20" i="23"/>
  <c r="BN20" i="23"/>
  <c r="BI20" i="23"/>
  <c r="BH20" i="23"/>
  <c r="BC20" i="23"/>
  <c r="BB20" i="23"/>
  <c r="AW20" i="23"/>
  <c r="AV20" i="23"/>
  <c r="AQ20" i="23"/>
  <c r="AP20" i="23"/>
  <c r="AI20" i="23"/>
  <c r="AH20" i="23"/>
  <c r="AG20" i="23"/>
  <c r="AK20" i="23" s="1"/>
  <c r="K20" i="23" s="1"/>
  <c r="AF20" i="23"/>
  <c r="AE20" i="23"/>
  <c r="AD20" i="23"/>
  <c r="Y20" i="23"/>
  <c r="X20" i="23"/>
  <c r="S20" i="23"/>
  <c r="R20" i="23"/>
  <c r="L20" i="23"/>
  <c r="DI19" i="23"/>
  <c r="DH19" i="23"/>
  <c r="DG19" i="23"/>
  <c r="DF19" i="23"/>
  <c r="DJ19" i="23" s="1"/>
  <c r="F19" i="23" s="1"/>
  <c r="DE19" i="23"/>
  <c r="DD19" i="23"/>
  <c r="CY19" i="23"/>
  <c r="CX19" i="23"/>
  <c r="CS19" i="23"/>
  <c r="CR19" i="23"/>
  <c r="CM19" i="23"/>
  <c r="CL19" i="23"/>
  <c r="CG19" i="23"/>
  <c r="CF19" i="23"/>
  <c r="CA19" i="23"/>
  <c r="BZ19" i="23"/>
  <c r="BU19" i="23"/>
  <c r="BT19" i="23"/>
  <c r="BO19" i="23"/>
  <c r="BO7" i="23" s="1"/>
  <c r="BN19" i="23"/>
  <c r="BI19" i="23"/>
  <c r="BH19" i="23"/>
  <c r="BC19" i="23"/>
  <c r="BB19" i="23"/>
  <c r="AW19" i="23"/>
  <c r="AV19" i="23"/>
  <c r="AQ19" i="23"/>
  <c r="AP19" i="23"/>
  <c r="AI19" i="23"/>
  <c r="AH19" i="23"/>
  <c r="AG19" i="23"/>
  <c r="AK19" i="23" s="1"/>
  <c r="AF19" i="23"/>
  <c r="AE19" i="23"/>
  <c r="AD19" i="23"/>
  <c r="Y19" i="23"/>
  <c r="X19" i="23"/>
  <c r="S19" i="23"/>
  <c r="R19" i="23"/>
  <c r="L19" i="23"/>
  <c r="DI18" i="23"/>
  <c r="DH18" i="23"/>
  <c r="DG18" i="23"/>
  <c r="DF18" i="23"/>
  <c r="DJ18" i="23" s="1"/>
  <c r="DE18" i="23"/>
  <c r="DD18" i="23"/>
  <c r="CY18" i="23"/>
  <c r="CX18" i="23"/>
  <c r="CS18" i="23"/>
  <c r="CR18" i="23"/>
  <c r="CM18" i="23"/>
  <c r="CL18" i="23"/>
  <c r="CG18" i="23"/>
  <c r="CF18" i="23"/>
  <c r="CA18" i="23"/>
  <c r="BZ18" i="23"/>
  <c r="BU18" i="23"/>
  <c r="BT18" i="23"/>
  <c r="BO18" i="23"/>
  <c r="BN18" i="23"/>
  <c r="BI18" i="23"/>
  <c r="BH18" i="23"/>
  <c r="BC18" i="23"/>
  <c r="BB18" i="23"/>
  <c r="AW18" i="23"/>
  <c r="AV18" i="23"/>
  <c r="AQ18" i="23"/>
  <c r="AP18" i="23"/>
  <c r="AI18" i="23"/>
  <c r="L18" i="23" s="1"/>
  <c r="AH18" i="23"/>
  <c r="AG18" i="23"/>
  <c r="AK18" i="23" s="1"/>
  <c r="K18" i="23" s="1"/>
  <c r="AF18" i="23"/>
  <c r="AE18" i="23"/>
  <c r="AD18" i="23"/>
  <c r="Y18" i="23"/>
  <c r="X18" i="23"/>
  <c r="S18" i="23"/>
  <c r="R18" i="23"/>
  <c r="DI17" i="23"/>
  <c r="DH17" i="23"/>
  <c r="DG17" i="23"/>
  <c r="DF17" i="23"/>
  <c r="DE17" i="23"/>
  <c r="DD17" i="23"/>
  <c r="CY17" i="23"/>
  <c r="CX17" i="23"/>
  <c r="CS17" i="23"/>
  <c r="CR17" i="23"/>
  <c r="CM17" i="23"/>
  <c r="CL17" i="23"/>
  <c r="CG17" i="23"/>
  <c r="CF17" i="23"/>
  <c r="CA17" i="23"/>
  <c r="BZ17" i="23"/>
  <c r="BU17" i="23"/>
  <c r="BT17" i="23"/>
  <c r="BO17" i="23"/>
  <c r="BN17" i="23"/>
  <c r="BI17" i="23"/>
  <c r="BH17" i="23"/>
  <c r="BC17" i="23"/>
  <c r="BB17" i="23"/>
  <c r="AW17" i="23"/>
  <c r="AV17" i="23"/>
  <c r="AQ17" i="23"/>
  <c r="AP17" i="23"/>
  <c r="AI17" i="23"/>
  <c r="L17" i="23" s="1"/>
  <c r="AH17" i="23"/>
  <c r="AG17" i="23"/>
  <c r="AF17" i="23"/>
  <c r="AE17" i="23"/>
  <c r="AD17" i="23"/>
  <c r="Y17" i="23"/>
  <c r="X17" i="23"/>
  <c r="S17" i="23"/>
  <c r="R17" i="23"/>
  <c r="DI16" i="23"/>
  <c r="DH16" i="23"/>
  <c r="DG16" i="23"/>
  <c r="DF16" i="23"/>
  <c r="DE16" i="23"/>
  <c r="DD16" i="23"/>
  <c r="CY16" i="23"/>
  <c r="CX16" i="23"/>
  <c r="CS16" i="23"/>
  <c r="CR16" i="23"/>
  <c r="CM16" i="23"/>
  <c r="CL16" i="23"/>
  <c r="CG16" i="23"/>
  <c r="CF16" i="23"/>
  <c r="CA16" i="23"/>
  <c r="BZ16" i="23"/>
  <c r="BU16" i="23"/>
  <c r="BT16" i="23"/>
  <c r="BO16" i="23"/>
  <c r="BN16" i="23"/>
  <c r="BI16" i="23"/>
  <c r="BH16" i="23"/>
  <c r="BC16" i="23"/>
  <c r="BB16" i="23"/>
  <c r="AW16" i="23"/>
  <c r="AV16" i="23"/>
  <c r="AQ16" i="23"/>
  <c r="AP16" i="23"/>
  <c r="AI16" i="23"/>
  <c r="AH16" i="23"/>
  <c r="AG16" i="23"/>
  <c r="AK16" i="23" s="1"/>
  <c r="K16" i="23" s="1"/>
  <c r="AF16" i="23"/>
  <c r="AE16" i="23"/>
  <c r="AD16" i="23"/>
  <c r="Y16" i="23"/>
  <c r="X16" i="23"/>
  <c r="S16" i="23"/>
  <c r="R16" i="23"/>
  <c r="L16" i="23"/>
  <c r="DI15" i="23"/>
  <c r="DH15" i="23"/>
  <c r="DG15" i="23"/>
  <c r="DF15" i="23"/>
  <c r="DJ15" i="23" s="1"/>
  <c r="DE15" i="23"/>
  <c r="DD15" i="23"/>
  <c r="CY15" i="23"/>
  <c r="CX15" i="23"/>
  <c r="CS15" i="23"/>
  <c r="CR15" i="23"/>
  <c r="CM15" i="23"/>
  <c r="CL15" i="23"/>
  <c r="CG15" i="23"/>
  <c r="CF15" i="23"/>
  <c r="CA15" i="23"/>
  <c r="BZ15" i="23"/>
  <c r="BU15" i="23"/>
  <c r="BT15" i="23"/>
  <c r="BO15" i="23"/>
  <c r="BN15" i="23"/>
  <c r="BI15" i="23"/>
  <c r="BH15" i="23"/>
  <c r="BC15" i="23"/>
  <c r="BB15" i="23"/>
  <c r="AW15" i="23"/>
  <c r="AV15" i="23"/>
  <c r="AQ15" i="23"/>
  <c r="AP15" i="23"/>
  <c r="AI15" i="23"/>
  <c r="AH15" i="23"/>
  <c r="AG15" i="23"/>
  <c r="AK15" i="23" s="1"/>
  <c r="K15" i="23" s="1"/>
  <c r="AF15" i="23"/>
  <c r="AE15" i="23"/>
  <c r="AD15" i="23"/>
  <c r="Y15" i="23"/>
  <c r="X15" i="23"/>
  <c r="S15" i="23"/>
  <c r="R15" i="23"/>
  <c r="L15" i="23"/>
  <c r="DI14" i="23"/>
  <c r="DH14" i="23"/>
  <c r="DG14" i="23"/>
  <c r="DF14" i="23"/>
  <c r="DJ14" i="23" s="1"/>
  <c r="F14" i="23" s="1"/>
  <c r="DE14" i="23"/>
  <c r="DD14" i="23"/>
  <c r="CY14" i="23"/>
  <c r="CX14" i="23"/>
  <c r="CS14" i="23"/>
  <c r="CR14" i="23"/>
  <c r="CM14" i="23"/>
  <c r="CL14" i="23"/>
  <c r="CG14" i="23"/>
  <c r="CF14" i="23"/>
  <c r="CA14" i="23"/>
  <c r="BZ14" i="23"/>
  <c r="BU14" i="23"/>
  <c r="BT14" i="23"/>
  <c r="BO14" i="23"/>
  <c r="BN14" i="23"/>
  <c r="BI14" i="23"/>
  <c r="BH14" i="23"/>
  <c r="BC14" i="23"/>
  <c r="BB14" i="23"/>
  <c r="AW14" i="23"/>
  <c r="AV14" i="23"/>
  <c r="AQ14" i="23"/>
  <c r="AP14" i="23"/>
  <c r="AI14" i="23"/>
  <c r="L14" i="23" s="1"/>
  <c r="AH14" i="23"/>
  <c r="AG14" i="23"/>
  <c r="AK14" i="23" s="1"/>
  <c r="AF14" i="23"/>
  <c r="AE14" i="23"/>
  <c r="AD14" i="23"/>
  <c r="Y14" i="23"/>
  <c r="X14" i="23"/>
  <c r="S14" i="23"/>
  <c r="R14" i="23"/>
  <c r="DI13" i="23"/>
  <c r="DH13" i="23"/>
  <c r="DG13" i="23"/>
  <c r="DF13" i="23"/>
  <c r="DE13" i="23"/>
  <c r="DD13" i="23"/>
  <c r="CY13" i="23"/>
  <c r="CX13" i="23"/>
  <c r="CS13" i="23"/>
  <c r="CR13" i="23"/>
  <c r="CM13" i="23"/>
  <c r="CL13" i="23"/>
  <c r="CG13" i="23"/>
  <c r="CF13" i="23"/>
  <c r="CA13" i="23"/>
  <c r="BZ13" i="23"/>
  <c r="BU13" i="23"/>
  <c r="BT13" i="23"/>
  <c r="BO13" i="23"/>
  <c r="BN13" i="23"/>
  <c r="BI13" i="23"/>
  <c r="BH13" i="23"/>
  <c r="BC13" i="23"/>
  <c r="BB13" i="23"/>
  <c r="AW13" i="23"/>
  <c r="AV13" i="23"/>
  <c r="AQ13" i="23"/>
  <c r="AP13" i="23"/>
  <c r="AI13" i="23"/>
  <c r="L13" i="23" s="1"/>
  <c r="AH13" i="23"/>
  <c r="AG13" i="23"/>
  <c r="AF13" i="23"/>
  <c r="AE13" i="23"/>
  <c r="AD13" i="23"/>
  <c r="Y13" i="23"/>
  <c r="X13" i="23"/>
  <c r="S13" i="23"/>
  <c r="R13" i="23"/>
  <c r="DI12" i="23"/>
  <c r="DH12" i="23"/>
  <c r="DG12" i="23"/>
  <c r="DF12" i="23"/>
  <c r="DE12" i="23"/>
  <c r="DD12" i="23"/>
  <c r="CY12" i="23"/>
  <c r="CX12" i="23"/>
  <c r="CS12" i="23"/>
  <c r="CR12" i="23"/>
  <c r="CM12" i="23"/>
  <c r="CL12" i="23"/>
  <c r="CG12" i="23"/>
  <c r="CF12" i="23"/>
  <c r="CA12" i="23"/>
  <c r="BZ12" i="23"/>
  <c r="BU12" i="23"/>
  <c r="BT12" i="23"/>
  <c r="BO12" i="23"/>
  <c r="BN12" i="23"/>
  <c r="BI12" i="23"/>
  <c r="BH12" i="23"/>
  <c r="BC12" i="23"/>
  <c r="BB12" i="23"/>
  <c r="AW12" i="23"/>
  <c r="AV12" i="23"/>
  <c r="AQ12" i="23"/>
  <c r="AP12" i="23"/>
  <c r="AI12" i="23"/>
  <c r="AH12" i="23"/>
  <c r="AG12" i="23"/>
  <c r="AK12" i="23" s="1"/>
  <c r="K12" i="23" s="1"/>
  <c r="AF12" i="23"/>
  <c r="AE12" i="23"/>
  <c r="AD12" i="23"/>
  <c r="Y12" i="23"/>
  <c r="X12" i="23"/>
  <c r="S12" i="23"/>
  <c r="R12" i="23"/>
  <c r="L12" i="23"/>
  <c r="DI11" i="23"/>
  <c r="DH11" i="23"/>
  <c r="DG11" i="23"/>
  <c r="DF11" i="23"/>
  <c r="DJ11" i="23" s="1"/>
  <c r="DE11" i="23"/>
  <c r="DD11" i="23"/>
  <c r="CY11" i="23"/>
  <c r="CX11" i="23"/>
  <c r="CS11" i="23"/>
  <c r="CR11" i="23"/>
  <c r="CM11" i="23"/>
  <c r="CL11" i="23"/>
  <c r="CG11" i="23"/>
  <c r="CF11" i="23"/>
  <c r="CA11" i="23"/>
  <c r="BZ11" i="23"/>
  <c r="BU11" i="23"/>
  <c r="BT11" i="23"/>
  <c r="BO11" i="23"/>
  <c r="BN11" i="23"/>
  <c r="BI11" i="23"/>
  <c r="BH11" i="23"/>
  <c r="BC11" i="23"/>
  <c r="BB11" i="23"/>
  <c r="AW11" i="23"/>
  <c r="AV11" i="23"/>
  <c r="AQ11" i="23"/>
  <c r="AP11" i="23"/>
  <c r="AI11" i="23"/>
  <c r="AH11" i="23"/>
  <c r="AG11" i="23"/>
  <c r="AK11" i="23" s="1"/>
  <c r="K11" i="23" s="1"/>
  <c r="AF11" i="23"/>
  <c r="AE11" i="23"/>
  <c r="AD11" i="23"/>
  <c r="Y11" i="23"/>
  <c r="X11" i="23"/>
  <c r="S11" i="23"/>
  <c r="R11" i="23"/>
  <c r="L11" i="23"/>
  <c r="DI10" i="23"/>
  <c r="DH10" i="23"/>
  <c r="DG10" i="23"/>
  <c r="DF10" i="23"/>
  <c r="DJ10" i="23" s="1"/>
  <c r="DE10" i="23"/>
  <c r="DD10" i="23"/>
  <c r="CY10" i="23"/>
  <c r="CX10" i="23"/>
  <c r="CS10" i="23"/>
  <c r="CR10" i="23"/>
  <c r="CM10" i="23"/>
  <c r="CL10" i="23"/>
  <c r="CG10" i="23"/>
  <c r="CF10" i="23"/>
  <c r="CA10" i="23"/>
  <c r="BZ10" i="23"/>
  <c r="BU10" i="23"/>
  <c r="BT10" i="23"/>
  <c r="BO10" i="23"/>
  <c r="BN10" i="23"/>
  <c r="BI10" i="23"/>
  <c r="BH10" i="23"/>
  <c r="BC10" i="23"/>
  <c r="BB10" i="23"/>
  <c r="AW10" i="23"/>
  <c r="AV10" i="23"/>
  <c r="AQ10" i="23"/>
  <c r="AP10" i="23"/>
  <c r="AI10" i="23"/>
  <c r="L10" i="23" s="1"/>
  <c r="AH10" i="23"/>
  <c r="AG10" i="23"/>
  <c r="AK10" i="23" s="1"/>
  <c r="K10" i="23" s="1"/>
  <c r="AF10" i="23"/>
  <c r="AF7" i="23" s="1"/>
  <c r="AE10" i="23"/>
  <c r="AD10" i="23"/>
  <c r="Y10" i="23"/>
  <c r="X10" i="23"/>
  <c r="S10" i="23"/>
  <c r="R10" i="23"/>
  <c r="DI9" i="23"/>
  <c r="DH9" i="23"/>
  <c r="DG9" i="23"/>
  <c r="DF9" i="23"/>
  <c r="DE9" i="23"/>
  <c r="DD9" i="23"/>
  <c r="CY9" i="23"/>
  <c r="CX9" i="23"/>
  <c r="CS9" i="23"/>
  <c r="CR9" i="23"/>
  <c r="CM9" i="23"/>
  <c r="CL9" i="23"/>
  <c r="CG9" i="23"/>
  <c r="CF9" i="23"/>
  <c r="CA9" i="23"/>
  <c r="CA7" i="23" s="1"/>
  <c r="W35" i="26" s="1"/>
  <c r="BZ9" i="23"/>
  <c r="BU9" i="23"/>
  <c r="BT9" i="23"/>
  <c r="BO9" i="23"/>
  <c r="BN9" i="23"/>
  <c r="BI9" i="23"/>
  <c r="BH9" i="23"/>
  <c r="BC9" i="23"/>
  <c r="BB9" i="23"/>
  <c r="AW9" i="23"/>
  <c r="AV9" i="23"/>
  <c r="AQ9" i="23"/>
  <c r="AP9" i="23"/>
  <c r="AI9" i="23"/>
  <c r="AH9" i="23"/>
  <c r="AG9" i="23"/>
  <c r="AF9" i="23"/>
  <c r="AE9" i="23"/>
  <c r="AD9" i="23"/>
  <c r="Y9" i="23"/>
  <c r="X9" i="23"/>
  <c r="S9" i="23"/>
  <c r="S7" i="23" s="1"/>
  <c r="R9" i="23"/>
  <c r="BG7" i="23"/>
  <c r="BF7" i="23"/>
  <c r="BE7" i="23"/>
  <c r="BD7" i="23"/>
  <c r="BA7" i="23"/>
  <c r="AZ7" i="23"/>
  <c r="AY7" i="23"/>
  <c r="AX7" i="23"/>
  <c r="AU7" i="23"/>
  <c r="AT7" i="23"/>
  <c r="AS7" i="23"/>
  <c r="AR7" i="23"/>
  <c r="AO7" i="23"/>
  <c r="AN7" i="23"/>
  <c r="AM7" i="23"/>
  <c r="AL7" i="23"/>
  <c r="AE7" i="23"/>
  <c r="AD7" i="23"/>
  <c r="AC7" i="23"/>
  <c r="AB7" i="23"/>
  <c r="AA7" i="23"/>
  <c r="Z7" i="23"/>
  <c r="W7" i="23"/>
  <c r="V7" i="23"/>
  <c r="U7" i="23"/>
  <c r="T7" i="23"/>
  <c r="Q7" i="23"/>
  <c r="P7" i="23"/>
  <c r="J7" i="23"/>
  <c r="I7" i="23"/>
  <c r="H7" i="23"/>
  <c r="E7" i="23"/>
  <c r="D7" i="23"/>
  <c r="C7" i="23"/>
  <c r="B7" i="23"/>
  <c r="A7" i="23"/>
  <c r="L10" i="22"/>
  <c r="L16" i="22"/>
  <c r="L22" i="22"/>
  <c r="R10" i="22"/>
  <c r="S10" i="22"/>
  <c r="X10" i="22"/>
  <c r="Y10" i="22"/>
  <c r="AD10" i="22"/>
  <c r="AE10" i="22"/>
  <c r="AF10" i="22"/>
  <c r="AG10" i="22"/>
  <c r="AH10" i="22"/>
  <c r="AI10" i="22"/>
  <c r="AP10" i="22"/>
  <c r="AQ10" i="22"/>
  <c r="AV10" i="22"/>
  <c r="AW10" i="22"/>
  <c r="BB10" i="22"/>
  <c r="BC10" i="22"/>
  <c r="BH10" i="22"/>
  <c r="BI10" i="22"/>
  <c r="BN10" i="22"/>
  <c r="BO10" i="22"/>
  <c r="BT10" i="22"/>
  <c r="BU10" i="22"/>
  <c r="BZ10" i="22"/>
  <c r="CA10" i="22"/>
  <c r="CF10" i="22"/>
  <c r="CG10" i="22"/>
  <c r="CL10" i="22"/>
  <c r="CM10" i="22"/>
  <c r="CR10" i="22"/>
  <c r="CS10" i="22"/>
  <c r="CX10" i="22"/>
  <c r="CY10" i="22"/>
  <c r="DD10" i="22"/>
  <c r="DE10" i="22"/>
  <c r="DF10" i="22"/>
  <c r="DG10" i="22"/>
  <c r="DH10" i="22"/>
  <c r="DI10" i="22"/>
  <c r="R12" i="22"/>
  <c r="S12" i="22"/>
  <c r="X12" i="22"/>
  <c r="Y12" i="22"/>
  <c r="AD12" i="22"/>
  <c r="AE12" i="22"/>
  <c r="AF12" i="22"/>
  <c r="AG12" i="22"/>
  <c r="AH12" i="22"/>
  <c r="AI12" i="22"/>
  <c r="L12" i="22" s="1"/>
  <c r="AP12" i="22"/>
  <c r="AQ12" i="22"/>
  <c r="AV12" i="22"/>
  <c r="AW12" i="22"/>
  <c r="BB12" i="22"/>
  <c r="BC12" i="22"/>
  <c r="BH12" i="22"/>
  <c r="BI12" i="22"/>
  <c r="BN12" i="22"/>
  <c r="BO12" i="22"/>
  <c r="BT12" i="22"/>
  <c r="BU12" i="22"/>
  <c r="BZ12" i="22"/>
  <c r="CA12" i="22"/>
  <c r="CF12" i="22"/>
  <c r="CG12" i="22"/>
  <c r="CL12" i="22"/>
  <c r="CM12" i="22"/>
  <c r="CR12" i="22"/>
  <c r="CS12" i="22"/>
  <c r="CX12" i="22"/>
  <c r="CY12" i="22"/>
  <c r="DD12" i="22"/>
  <c r="DE12" i="22"/>
  <c r="DF12" i="22"/>
  <c r="DG12" i="22"/>
  <c r="DH12" i="22"/>
  <c r="DI12" i="22"/>
  <c r="R13" i="22"/>
  <c r="S13" i="22"/>
  <c r="X13" i="22"/>
  <c r="Y13" i="22"/>
  <c r="AD13" i="22"/>
  <c r="AE13" i="22"/>
  <c r="AF13" i="22"/>
  <c r="AG13" i="22"/>
  <c r="AH13" i="22"/>
  <c r="AI13" i="22"/>
  <c r="L13" i="22" s="1"/>
  <c r="AP13" i="22"/>
  <c r="AQ13" i="22"/>
  <c r="AV13" i="22"/>
  <c r="AW13" i="22"/>
  <c r="BB13" i="22"/>
  <c r="BC13" i="22"/>
  <c r="BH13" i="22"/>
  <c r="BI13" i="22"/>
  <c r="BN13" i="22"/>
  <c r="BO13" i="22"/>
  <c r="BT13" i="22"/>
  <c r="BU13" i="22"/>
  <c r="BZ13" i="22"/>
  <c r="CA13" i="22"/>
  <c r="CF13" i="22"/>
  <c r="CG13" i="22"/>
  <c r="CL13" i="22"/>
  <c r="CM13" i="22"/>
  <c r="CR13" i="22"/>
  <c r="CS13" i="22"/>
  <c r="CX13" i="22"/>
  <c r="CY13" i="22"/>
  <c r="DD13" i="22"/>
  <c r="DE13" i="22"/>
  <c r="DF13" i="22"/>
  <c r="DG13" i="22"/>
  <c r="DH13" i="22"/>
  <c r="DI13" i="22"/>
  <c r="R14" i="22"/>
  <c r="S14" i="22"/>
  <c r="X14" i="22"/>
  <c r="Y14" i="22"/>
  <c r="AD14" i="22"/>
  <c r="AE14" i="22"/>
  <c r="AF14" i="22"/>
  <c r="AG14" i="22"/>
  <c r="AH14" i="22"/>
  <c r="AI14" i="22"/>
  <c r="L14" i="22" s="1"/>
  <c r="AP14" i="22"/>
  <c r="AQ14" i="22"/>
  <c r="AV14" i="22"/>
  <c r="AW14" i="22"/>
  <c r="BB14" i="22"/>
  <c r="BC14" i="22"/>
  <c r="BH14" i="22"/>
  <c r="BI14" i="22"/>
  <c r="BN14" i="22"/>
  <c r="BO14" i="22"/>
  <c r="BT14" i="22"/>
  <c r="BU14" i="22"/>
  <c r="BZ14" i="22"/>
  <c r="CA14" i="22"/>
  <c r="CF14" i="22"/>
  <c r="CG14" i="22"/>
  <c r="CL14" i="22"/>
  <c r="CM14" i="22"/>
  <c r="CR14" i="22"/>
  <c r="CS14" i="22"/>
  <c r="CX14" i="22"/>
  <c r="CY14" i="22"/>
  <c r="DD14" i="22"/>
  <c r="DE14" i="22"/>
  <c r="DF14" i="22"/>
  <c r="DG14" i="22"/>
  <c r="DH14" i="22"/>
  <c r="DI14" i="22"/>
  <c r="R15" i="22"/>
  <c r="S15" i="22"/>
  <c r="X15" i="22"/>
  <c r="Y15" i="22"/>
  <c r="AD15" i="22"/>
  <c r="AE15" i="22"/>
  <c r="AF15" i="22"/>
  <c r="AG15" i="22"/>
  <c r="AH15" i="22"/>
  <c r="AI15" i="22"/>
  <c r="L15" i="22" s="1"/>
  <c r="AP15" i="22"/>
  <c r="AQ15" i="22"/>
  <c r="AV15" i="22"/>
  <c r="AW15" i="22"/>
  <c r="BB15" i="22"/>
  <c r="BC15" i="22"/>
  <c r="BH15" i="22"/>
  <c r="BI15" i="22"/>
  <c r="BN15" i="22"/>
  <c r="BO15" i="22"/>
  <c r="BT15" i="22"/>
  <c r="BU15" i="22"/>
  <c r="BZ15" i="22"/>
  <c r="CA15" i="22"/>
  <c r="CF15" i="22"/>
  <c r="CG15" i="22"/>
  <c r="CL15" i="22"/>
  <c r="CM15" i="22"/>
  <c r="CR15" i="22"/>
  <c r="CS15" i="22"/>
  <c r="CX15" i="22"/>
  <c r="CY15" i="22"/>
  <c r="DD15" i="22"/>
  <c r="DE15" i="22"/>
  <c r="DF15" i="22"/>
  <c r="DG15" i="22"/>
  <c r="DH15" i="22"/>
  <c r="DI15" i="22"/>
  <c r="R16" i="22"/>
  <c r="S16" i="22"/>
  <c r="X16" i="22"/>
  <c r="Y16" i="22"/>
  <c r="AD16" i="22"/>
  <c r="AE16" i="22"/>
  <c r="AF16" i="22"/>
  <c r="AG16" i="22"/>
  <c r="AH16" i="22"/>
  <c r="AI16" i="22"/>
  <c r="AP16" i="22"/>
  <c r="AQ16" i="22"/>
  <c r="AV16" i="22"/>
  <c r="AW16" i="22"/>
  <c r="BB16" i="22"/>
  <c r="BC16" i="22"/>
  <c r="BH16" i="22"/>
  <c r="BI16" i="22"/>
  <c r="BN16" i="22"/>
  <c r="BO16" i="22"/>
  <c r="BT16" i="22"/>
  <c r="BU16" i="22"/>
  <c r="BZ16" i="22"/>
  <c r="CA16" i="22"/>
  <c r="CF16" i="22"/>
  <c r="CG16" i="22"/>
  <c r="CL16" i="22"/>
  <c r="CM16" i="22"/>
  <c r="CR16" i="22"/>
  <c r="CS16" i="22"/>
  <c r="CX16" i="22"/>
  <c r="CY16" i="22"/>
  <c r="DD16" i="22"/>
  <c r="DE16" i="22"/>
  <c r="DF16" i="22"/>
  <c r="DG16" i="22"/>
  <c r="DH16" i="22"/>
  <c r="DI16" i="22"/>
  <c r="R17" i="22"/>
  <c r="S17" i="22"/>
  <c r="X17" i="22"/>
  <c r="Y17" i="22"/>
  <c r="AD17" i="22"/>
  <c r="AE17" i="22"/>
  <c r="AF17" i="22"/>
  <c r="AG17" i="22"/>
  <c r="AH17" i="22"/>
  <c r="AI17" i="22"/>
  <c r="L17" i="22" s="1"/>
  <c r="AP17" i="22"/>
  <c r="AQ17" i="22"/>
  <c r="AV17" i="22"/>
  <c r="AW17" i="22"/>
  <c r="BB17" i="22"/>
  <c r="BC17" i="22"/>
  <c r="BH17" i="22"/>
  <c r="BI17" i="22"/>
  <c r="BN17" i="22"/>
  <c r="BO17" i="22"/>
  <c r="BT17" i="22"/>
  <c r="BU17" i="22"/>
  <c r="BZ17" i="22"/>
  <c r="CA17" i="22"/>
  <c r="CF17" i="22"/>
  <c r="CG17" i="22"/>
  <c r="CL17" i="22"/>
  <c r="CM17" i="22"/>
  <c r="CR17" i="22"/>
  <c r="CS17" i="22"/>
  <c r="CX17" i="22"/>
  <c r="CY17" i="22"/>
  <c r="DD17" i="22"/>
  <c r="DE17" i="22"/>
  <c r="DF17" i="22"/>
  <c r="DG17" i="22"/>
  <c r="DH17" i="22"/>
  <c r="DI17" i="22"/>
  <c r="R18" i="22"/>
  <c r="S18" i="22"/>
  <c r="X18" i="22"/>
  <c r="Y18" i="22"/>
  <c r="AD18" i="22"/>
  <c r="AE18" i="22"/>
  <c r="AF18" i="22"/>
  <c r="AG18" i="22"/>
  <c r="AH18" i="22"/>
  <c r="AI18" i="22"/>
  <c r="L18" i="22" s="1"/>
  <c r="AP18" i="22"/>
  <c r="AQ18" i="22"/>
  <c r="AV18" i="22"/>
  <c r="AW18" i="22"/>
  <c r="BB18" i="22"/>
  <c r="BC18" i="22"/>
  <c r="BH18" i="22"/>
  <c r="BI18" i="22"/>
  <c r="BN18" i="22"/>
  <c r="BO18" i="22"/>
  <c r="BT18" i="22"/>
  <c r="BU18" i="22"/>
  <c r="BZ18" i="22"/>
  <c r="CA18" i="22"/>
  <c r="CF18" i="22"/>
  <c r="CG18" i="22"/>
  <c r="CL18" i="22"/>
  <c r="CM18" i="22"/>
  <c r="CR18" i="22"/>
  <c r="CS18" i="22"/>
  <c r="CX18" i="22"/>
  <c r="CY18" i="22"/>
  <c r="DD18" i="22"/>
  <c r="DE18" i="22"/>
  <c r="DF18" i="22"/>
  <c r="DG18" i="22"/>
  <c r="DH18" i="22"/>
  <c r="DI18" i="22"/>
  <c r="R19" i="22"/>
  <c r="S19" i="22"/>
  <c r="X19" i="22"/>
  <c r="Y19" i="22"/>
  <c r="AD19" i="22"/>
  <c r="AE19" i="22"/>
  <c r="AF19" i="22"/>
  <c r="AG19" i="22"/>
  <c r="AH19" i="22"/>
  <c r="AI19" i="22"/>
  <c r="L19" i="22" s="1"/>
  <c r="AP19" i="22"/>
  <c r="AQ19" i="22"/>
  <c r="AV19" i="22"/>
  <c r="AW19" i="22"/>
  <c r="BB19" i="22"/>
  <c r="BC19" i="22"/>
  <c r="BH19" i="22"/>
  <c r="BI19" i="22"/>
  <c r="BN19" i="22"/>
  <c r="BO19" i="22"/>
  <c r="BT19" i="22"/>
  <c r="BU19" i="22"/>
  <c r="BZ19" i="22"/>
  <c r="CA19" i="22"/>
  <c r="CF19" i="22"/>
  <c r="CG19" i="22"/>
  <c r="CL19" i="22"/>
  <c r="CM19" i="22"/>
  <c r="CR19" i="22"/>
  <c r="CS19" i="22"/>
  <c r="CX19" i="22"/>
  <c r="CY19" i="22"/>
  <c r="DD19" i="22"/>
  <c r="DE19" i="22"/>
  <c r="DF19" i="22"/>
  <c r="DG19" i="22"/>
  <c r="DH19" i="22"/>
  <c r="DI19" i="22"/>
  <c r="R20" i="22"/>
  <c r="S20" i="22"/>
  <c r="X20" i="22"/>
  <c r="Y20" i="22"/>
  <c r="AD20" i="22"/>
  <c r="AE20" i="22"/>
  <c r="AF20" i="22"/>
  <c r="AG20" i="22"/>
  <c r="AH20" i="22"/>
  <c r="AI20" i="22"/>
  <c r="L20" i="22" s="1"/>
  <c r="AP20" i="22"/>
  <c r="AQ20" i="22"/>
  <c r="AV20" i="22"/>
  <c r="AW20" i="22"/>
  <c r="BB20" i="22"/>
  <c r="BC20" i="22"/>
  <c r="BH20" i="22"/>
  <c r="BI20" i="22"/>
  <c r="BN20" i="22"/>
  <c r="BO20" i="22"/>
  <c r="BT20" i="22"/>
  <c r="BU20" i="22"/>
  <c r="BZ20" i="22"/>
  <c r="CA20" i="22"/>
  <c r="CF20" i="22"/>
  <c r="CG20" i="22"/>
  <c r="CL20" i="22"/>
  <c r="CM20" i="22"/>
  <c r="CR20" i="22"/>
  <c r="CS20" i="22"/>
  <c r="CX20" i="22"/>
  <c r="CY20" i="22"/>
  <c r="DD20" i="22"/>
  <c r="DE20" i="22"/>
  <c r="DF20" i="22"/>
  <c r="DG20" i="22"/>
  <c r="DH20" i="22"/>
  <c r="DI20" i="22"/>
  <c r="R21" i="22"/>
  <c r="S21" i="22"/>
  <c r="X21" i="22"/>
  <c r="Y21" i="22"/>
  <c r="AD21" i="22"/>
  <c r="AE21" i="22"/>
  <c r="AF21" i="22"/>
  <c r="AG21" i="22"/>
  <c r="AH21" i="22"/>
  <c r="AI21" i="22"/>
  <c r="L21" i="22" s="1"/>
  <c r="AP21" i="22"/>
  <c r="AQ21" i="22"/>
  <c r="AV21" i="22"/>
  <c r="AW21" i="22"/>
  <c r="BB21" i="22"/>
  <c r="BC21" i="22"/>
  <c r="BH21" i="22"/>
  <c r="BI21" i="22"/>
  <c r="BN21" i="22"/>
  <c r="BO21" i="22"/>
  <c r="BT21" i="22"/>
  <c r="BU21" i="22"/>
  <c r="BZ21" i="22"/>
  <c r="CA21" i="22"/>
  <c r="CF21" i="22"/>
  <c r="CG21" i="22"/>
  <c r="CL21" i="22"/>
  <c r="CM21" i="22"/>
  <c r="CR21" i="22"/>
  <c r="CS21" i="22"/>
  <c r="CX21" i="22"/>
  <c r="CY21" i="22"/>
  <c r="DD21" i="22"/>
  <c r="DE21" i="22"/>
  <c r="DF21" i="22"/>
  <c r="DG21" i="22"/>
  <c r="DH21" i="22"/>
  <c r="DI21" i="22"/>
  <c r="R22" i="22"/>
  <c r="S22" i="22"/>
  <c r="X22" i="22"/>
  <c r="Y22" i="22"/>
  <c r="AD22" i="22"/>
  <c r="AE22" i="22"/>
  <c r="AF22" i="22"/>
  <c r="AG22" i="22"/>
  <c r="AH22" i="22"/>
  <c r="AI22" i="22"/>
  <c r="AP22" i="22"/>
  <c r="AQ22" i="22"/>
  <c r="AV22" i="22"/>
  <c r="AW22" i="22"/>
  <c r="BB22" i="22"/>
  <c r="BC22" i="22"/>
  <c r="BH22" i="22"/>
  <c r="BI22" i="22"/>
  <c r="BN22" i="22"/>
  <c r="BO22" i="22"/>
  <c r="BT22" i="22"/>
  <c r="BU22" i="22"/>
  <c r="BZ22" i="22"/>
  <c r="CA22" i="22"/>
  <c r="CF22" i="22"/>
  <c r="CG22" i="22"/>
  <c r="CL22" i="22"/>
  <c r="CM22" i="22"/>
  <c r="CR22" i="22"/>
  <c r="CS22" i="22"/>
  <c r="CX22" i="22"/>
  <c r="CY22" i="22"/>
  <c r="DD22" i="22"/>
  <c r="DE22" i="22"/>
  <c r="DF22" i="22"/>
  <c r="DG22" i="22"/>
  <c r="DH22" i="22"/>
  <c r="DI22" i="22"/>
  <c r="R23" i="22"/>
  <c r="S23" i="22"/>
  <c r="X23" i="22"/>
  <c r="Y23" i="22"/>
  <c r="AD23" i="22"/>
  <c r="AE23" i="22"/>
  <c r="AF23" i="22"/>
  <c r="AG23" i="22"/>
  <c r="AH23" i="22"/>
  <c r="AI23" i="22"/>
  <c r="L23" i="22" s="1"/>
  <c r="AP23" i="22"/>
  <c r="AQ23" i="22"/>
  <c r="AV23" i="22"/>
  <c r="AW23" i="22"/>
  <c r="BB23" i="22"/>
  <c r="BC23" i="22"/>
  <c r="BH23" i="22"/>
  <c r="BI23" i="22"/>
  <c r="BN23" i="22"/>
  <c r="BO23" i="22"/>
  <c r="BT23" i="22"/>
  <c r="BU23" i="22"/>
  <c r="BZ23" i="22"/>
  <c r="CA23" i="22"/>
  <c r="CF23" i="22"/>
  <c r="CG23" i="22"/>
  <c r="CL23" i="22"/>
  <c r="CM23" i="22"/>
  <c r="CR23" i="22"/>
  <c r="CS23" i="22"/>
  <c r="CX23" i="22"/>
  <c r="CY23" i="22"/>
  <c r="DD23" i="22"/>
  <c r="DE23" i="22"/>
  <c r="DF23" i="22"/>
  <c r="DG23" i="22"/>
  <c r="DH23" i="22"/>
  <c r="DI23" i="22"/>
  <c r="R24" i="22"/>
  <c r="S24" i="22"/>
  <c r="X24" i="22"/>
  <c r="Y24" i="22"/>
  <c r="AD24" i="22"/>
  <c r="AE24" i="22"/>
  <c r="AF24" i="22"/>
  <c r="AG24" i="22"/>
  <c r="AH24" i="22"/>
  <c r="AI24" i="22"/>
  <c r="L24" i="22" s="1"/>
  <c r="AP24" i="22"/>
  <c r="AQ24" i="22"/>
  <c r="AV24" i="22"/>
  <c r="AW24" i="22"/>
  <c r="BB24" i="22"/>
  <c r="BC24" i="22"/>
  <c r="BH24" i="22"/>
  <c r="BI24" i="22"/>
  <c r="BN24" i="22"/>
  <c r="BO24" i="22"/>
  <c r="BT24" i="22"/>
  <c r="BU24" i="22"/>
  <c r="BZ24" i="22"/>
  <c r="CA24" i="22"/>
  <c r="CF24" i="22"/>
  <c r="CG24" i="22"/>
  <c r="CL24" i="22"/>
  <c r="CM24" i="22"/>
  <c r="CR24" i="22"/>
  <c r="CS24" i="22"/>
  <c r="CX24" i="22"/>
  <c r="CY24" i="22"/>
  <c r="DD24" i="22"/>
  <c r="DE24" i="22"/>
  <c r="DF24" i="22"/>
  <c r="DG24" i="22"/>
  <c r="DH24" i="22"/>
  <c r="DI24" i="22"/>
  <c r="R25" i="22"/>
  <c r="S25" i="22"/>
  <c r="X25" i="22"/>
  <c r="Y25" i="22"/>
  <c r="AD25" i="22"/>
  <c r="AE25" i="22"/>
  <c r="AF25" i="22"/>
  <c r="AG25" i="22"/>
  <c r="AH25" i="22"/>
  <c r="AI25" i="22"/>
  <c r="L25" i="22" s="1"/>
  <c r="AP25" i="22"/>
  <c r="AQ25" i="22"/>
  <c r="AV25" i="22"/>
  <c r="AW25" i="22"/>
  <c r="BB25" i="22"/>
  <c r="BC25" i="22"/>
  <c r="BH25" i="22"/>
  <c r="BI25" i="22"/>
  <c r="BN25" i="22"/>
  <c r="BO25" i="22"/>
  <c r="BT25" i="22"/>
  <c r="BU25" i="22"/>
  <c r="BZ25" i="22"/>
  <c r="CA25" i="22"/>
  <c r="CF25" i="22"/>
  <c r="CG25" i="22"/>
  <c r="CL25" i="22"/>
  <c r="CM25" i="22"/>
  <c r="CR25" i="22"/>
  <c r="CS25" i="22"/>
  <c r="CX25" i="22"/>
  <c r="CY25" i="22"/>
  <c r="DD25" i="22"/>
  <c r="DE25" i="22"/>
  <c r="DF25" i="22"/>
  <c r="DG25" i="22"/>
  <c r="DH25" i="22"/>
  <c r="DI25" i="22"/>
  <c r="R26" i="22"/>
  <c r="S26" i="22"/>
  <c r="X26" i="22"/>
  <c r="Y26" i="22"/>
  <c r="AD26" i="22"/>
  <c r="AE26" i="22"/>
  <c r="AF26" i="22"/>
  <c r="AG26" i="22"/>
  <c r="AH26" i="22"/>
  <c r="AI26" i="22"/>
  <c r="L26" i="22" s="1"/>
  <c r="AP26" i="22"/>
  <c r="AQ26" i="22"/>
  <c r="AV26" i="22"/>
  <c r="AW26" i="22"/>
  <c r="BB26" i="22"/>
  <c r="BC26" i="22"/>
  <c r="BH26" i="22"/>
  <c r="BI26" i="22"/>
  <c r="BN26" i="22"/>
  <c r="BO26" i="22"/>
  <c r="BT26" i="22"/>
  <c r="BU26" i="22"/>
  <c r="BZ26" i="22"/>
  <c r="CA26" i="22"/>
  <c r="CF26" i="22"/>
  <c r="CG26" i="22"/>
  <c r="CL26" i="22"/>
  <c r="CM26" i="22"/>
  <c r="CR26" i="22"/>
  <c r="CS26" i="22"/>
  <c r="CX26" i="22"/>
  <c r="CY26" i="22"/>
  <c r="DD26" i="22"/>
  <c r="DE26" i="22"/>
  <c r="DF26" i="22"/>
  <c r="DG26" i="22"/>
  <c r="DH26" i="22"/>
  <c r="DI26" i="22"/>
  <c r="R27" i="22"/>
  <c r="S27" i="22"/>
  <c r="X27" i="22"/>
  <c r="Y27" i="22"/>
  <c r="AD27" i="22"/>
  <c r="AE27" i="22"/>
  <c r="AF27" i="22"/>
  <c r="AG27" i="22"/>
  <c r="AH27" i="22"/>
  <c r="AI27" i="22"/>
  <c r="L27" i="22" s="1"/>
  <c r="AP27" i="22"/>
  <c r="AQ27" i="22"/>
  <c r="AV27" i="22"/>
  <c r="AW27" i="22"/>
  <c r="BB27" i="22"/>
  <c r="BC27" i="22"/>
  <c r="BH27" i="22"/>
  <c r="BI27" i="22"/>
  <c r="BN27" i="22"/>
  <c r="BO27" i="22"/>
  <c r="BT27" i="22"/>
  <c r="BU27" i="22"/>
  <c r="BZ27" i="22"/>
  <c r="CA27" i="22"/>
  <c r="CF27" i="22"/>
  <c r="CG27" i="22"/>
  <c r="CL27" i="22"/>
  <c r="CM27" i="22"/>
  <c r="CR27" i="22"/>
  <c r="CS27" i="22"/>
  <c r="CX27" i="22"/>
  <c r="CY27" i="22"/>
  <c r="DD27" i="22"/>
  <c r="DE27" i="22"/>
  <c r="DF27" i="22"/>
  <c r="DG27" i="22"/>
  <c r="DH27" i="22"/>
  <c r="DI27" i="22"/>
  <c r="R28" i="22"/>
  <c r="S28" i="22"/>
  <c r="X28" i="22"/>
  <c r="Y28" i="22"/>
  <c r="AD28" i="22"/>
  <c r="AE28" i="22"/>
  <c r="AF28" i="22"/>
  <c r="AG28" i="22"/>
  <c r="AH28" i="22"/>
  <c r="AI28" i="22"/>
  <c r="L28" i="22" s="1"/>
  <c r="AP28" i="22"/>
  <c r="AQ28" i="22"/>
  <c r="AV28" i="22"/>
  <c r="AW28" i="22"/>
  <c r="BB28" i="22"/>
  <c r="BC28" i="22"/>
  <c r="BH28" i="22"/>
  <c r="BI28" i="22"/>
  <c r="BN28" i="22"/>
  <c r="BO28" i="22"/>
  <c r="BT28" i="22"/>
  <c r="BU28" i="22"/>
  <c r="BZ28" i="22"/>
  <c r="CA28" i="22"/>
  <c r="CF28" i="22"/>
  <c r="CG28" i="22"/>
  <c r="CL28" i="22"/>
  <c r="CM28" i="22"/>
  <c r="CR28" i="22"/>
  <c r="CS28" i="22"/>
  <c r="CX28" i="22"/>
  <c r="CY28" i="22"/>
  <c r="DD28" i="22"/>
  <c r="DE28" i="22"/>
  <c r="DF28" i="22"/>
  <c r="DG28" i="22"/>
  <c r="DH28" i="22"/>
  <c r="DI28" i="22"/>
  <c r="R29" i="22"/>
  <c r="S29" i="22"/>
  <c r="X29" i="22"/>
  <c r="Y29" i="22"/>
  <c r="AD29" i="22"/>
  <c r="AE29" i="22"/>
  <c r="AF29" i="22"/>
  <c r="AG29" i="22"/>
  <c r="AH29" i="22"/>
  <c r="AI29" i="22"/>
  <c r="AP29" i="22"/>
  <c r="AQ29" i="22"/>
  <c r="AV29" i="22"/>
  <c r="AW29" i="22"/>
  <c r="BB29" i="22"/>
  <c r="BC29" i="22"/>
  <c r="BH29" i="22"/>
  <c r="BI29" i="22"/>
  <c r="BN29" i="22"/>
  <c r="BO29" i="22"/>
  <c r="BT29" i="22"/>
  <c r="BU29" i="22"/>
  <c r="BZ29" i="22"/>
  <c r="CA29" i="22"/>
  <c r="CF29" i="22"/>
  <c r="CG29" i="22"/>
  <c r="CL29" i="22"/>
  <c r="CM29" i="22"/>
  <c r="CR29" i="22"/>
  <c r="CS29" i="22"/>
  <c r="CX29" i="22"/>
  <c r="CY29" i="22"/>
  <c r="DD29" i="22"/>
  <c r="DE29" i="22"/>
  <c r="DF29" i="22"/>
  <c r="DG29" i="22"/>
  <c r="DH29" i="22"/>
  <c r="DI29" i="22"/>
  <c r="R30" i="22"/>
  <c r="S30" i="22"/>
  <c r="X30" i="22"/>
  <c r="Y30" i="22"/>
  <c r="AD30" i="22"/>
  <c r="AE30" i="22"/>
  <c r="AF30" i="22"/>
  <c r="AG30" i="22"/>
  <c r="AH30" i="22"/>
  <c r="AI30" i="22"/>
  <c r="L30" i="22" s="1"/>
  <c r="AP30" i="22"/>
  <c r="AQ30" i="22"/>
  <c r="AV30" i="22"/>
  <c r="AW30" i="22"/>
  <c r="BB30" i="22"/>
  <c r="BC30" i="22"/>
  <c r="BH30" i="22"/>
  <c r="BI30" i="22"/>
  <c r="BN30" i="22"/>
  <c r="BO30" i="22"/>
  <c r="BT30" i="22"/>
  <c r="BU30" i="22"/>
  <c r="BZ30" i="22"/>
  <c r="CA30" i="22"/>
  <c r="CF30" i="22"/>
  <c r="CG30" i="22"/>
  <c r="CL30" i="22"/>
  <c r="CM30" i="22"/>
  <c r="CR30" i="22"/>
  <c r="CS30" i="22"/>
  <c r="CX30" i="22"/>
  <c r="CY30" i="22"/>
  <c r="DD30" i="22"/>
  <c r="DE30" i="22"/>
  <c r="DF30" i="22"/>
  <c r="DG30" i="22"/>
  <c r="DH30" i="22"/>
  <c r="DI30" i="22"/>
  <c r="A7" i="5"/>
  <c r="B7" i="5"/>
  <c r="C7" i="5"/>
  <c r="D7" i="5"/>
  <c r="E7" i="5"/>
  <c r="I7" i="5"/>
  <c r="J7" i="5"/>
  <c r="P7" i="5"/>
  <c r="Q7" i="5"/>
  <c r="T7" i="5"/>
  <c r="U7" i="5"/>
  <c r="V7" i="5"/>
  <c r="W7" i="5"/>
  <c r="Z7" i="5"/>
  <c r="AA7" i="5"/>
  <c r="AB7" i="5"/>
  <c r="AC7" i="5"/>
  <c r="AL7" i="5"/>
  <c r="AM7" i="5"/>
  <c r="AN7" i="5"/>
  <c r="AO7" i="5"/>
  <c r="AR7" i="5"/>
  <c r="AS7" i="5"/>
  <c r="AT7" i="5"/>
  <c r="AU7" i="5"/>
  <c r="AX7" i="5"/>
  <c r="AY7" i="5"/>
  <c r="AZ7" i="5"/>
  <c r="BA7" i="5"/>
  <c r="BD7" i="5"/>
  <c r="BE7" i="5"/>
  <c r="BF7" i="5"/>
  <c r="BG7" i="5"/>
  <c r="BJ7" i="5"/>
  <c r="BK7" i="5"/>
  <c r="BL7" i="5"/>
  <c r="BM7" i="5"/>
  <c r="BP7" i="5"/>
  <c r="BQ7" i="5"/>
  <c r="BR7" i="5"/>
  <c r="BS7" i="5"/>
  <c r="BV7" i="5"/>
  <c r="BW7" i="5"/>
  <c r="BX7" i="5"/>
  <c r="BY7" i="5"/>
  <c r="CB7" i="5"/>
  <c r="CC7" i="5"/>
  <c r="CD7" i="5"/>
  <c r="CE7" i="5"/>
  <c r="CH7" i="5"/>
  <c r="CI7" i="5"/>
  <c r="CJ7" i="5"/>
  <c r="CK7" i="5"/>
  <c r="CN7" i="5"/>
  <c r="CO7" i="5"/>
  <c r="CP7" i="5"/>
  <c r="CQ7" i="5"/>
  <c r="CT7" i="5"/>
  <c r="CU7" i="5"/>
  <c r="CV7" i="5"/>
  <c r="CW7" i="5"/>
  <c r="CZ7" i="5"/>
  <c r="DA7" i="5"/>
  <c r="DB7" i="5"/>
  <c r="DC7" i="5"/>
  <c r="H7" i="5"/>
  <c r="A7" i="4"/>
  <c r="B7" i="4"/>
  <c r="C7" i="4"/>
  <c r="D7" i="4"/>
  <c r="E7" i="4"/>
  <c r="I7" i="4"/>
  <c r="J7" i="4"/>
  <c r="P7" i="4"/>
  <c r="Q7" i="4"/>
  <c r="T7" i="4"/>
  <c r="V7" i="4"/>
  <c r="W7" i="4"/>
  <c r="Z7" i="4"/>
  <c r="AA7" i="4"/>
  <c r="AB7" i="4"/>
  <c r="AC7" i="4"/>
  <c r="AL7" i="4"/>
  <c r="AM7" i="4"/>
  <c r="AN7" i="4"/>
  <c r="AO7" i="4"/>
  <c r="AR7" i="4"/>
  <c r="AS7" i="4"/>
  <c r="AT7" i="4"/>
  <c r="AU7" i="4"/>
  <c r="AX7" i="4"/>
  <c r="AY7" i="4"/>
  <c r="AZ7" i="4"/>
  <c r="BA7" i="4"/>
  <c r="BE7" i="4"/>
  <c r="BF7" i="4"/>
  <c r="BG7" i="4"/>
  <c r="BH7" i="4"/>
  <c r="BL7" i="4"/>
  <c r="BM7" i="4"/>
  <c r="BN7" i="4"/>
  <c r="BO7" i="4"/>
  <c r="BR7" i="4"/>
  <c r="BS7" i="4"/>
  <c r="BT7" i="4"/>
  <c r="BU7" i="4"/>
  <c r="BX7" i="4"/>
  <c r="BY7" i="4"/>
  <c r="BZ7" i="4"/>
  <c r="CA7" i="4"/>
  <c r="CD7" i="4"/>
  <c r="CE7" i="4"/>
  <c r="CF7" i="4"/>
  <c r="CG7" i="4"/>
  <c r="CJ7" i="4"/>
  <c r="CK7" i="4"/>
  <c r="CL7" i="4"/>
  <c r="CM7" i="4"/>
  <c r="CP7" i="4"/>
  <c r="CQ7" i="4"/>
  <c r="CR7" i="4"/>
  <c r="CS7" i="4"/>
  <c r="CV7" i="4"/>
  <c r="CW7" i="4"/>
  <c r="CX7" i="4"/>
  <c r="CY7" i="4"/>
  <c r="DB7" i="4"/>
  <c r="DC7" i="4"/>
  <c r="DD7" i="4"/>
  <c r="DE7" i="4"/>
  <c r="H7" i="4"/>
  <c r="F10" i="17"/>
  <c r="F11" i="17"/>
  <c r="F9" i="17"/>
  <c r="A7" i="17"/>
  <c r="B7" i="17"/>
  <c r="C7" i="17"/>
  <c r="D7" i="17"/>
  <c r="E7" i="17"/>
  <c r="F10" i="16"/>
  <c r="F9" i="16"/>
  <c r="E7" i="16"/>
  <c r="A7" i="16"/>
  <c r="B7" i="16"/>
  <c r="C7" i="16"/>
  <c r="D7" i="16"/>
  <c r="I7" i="16"/>
  <c r="H7" i="16"/>
  <c r="F10" i="15"/>
  <c r="F11" i="15"/>
  <c r="F12" i="15"/>
  <c r="F7" i="15" s="1"/>
  <c r="F13" i="15"/>
  <c r="F9" i="15"/>
  <c r="O7" i="15"/>
  <c r="P7" i="15"/>
  <c r="S7" i="15"/>
  <c r="T7" i="15"/>
  <c r="U7" i="15"/>
  <c r="V7" i="15"/>
  <c r="Y7" i="15"/>
  <c r="Z7" i="15"/>
  <c r="AA7" i="15"/>
  <c r="AB7" i="15"/>
  <c r="AC7" i="15"/>
  <c r="AD7" i="15"/>
  <c r="AK7" i="15"/>
  <c r="AL7" i="15"/>
  <c r="AM7" i="15"/>
  <c r="AN7" i="15"/>
  <c r="AO7" i="15"/>
  <c r="AP7" i="15"/>
  <c r="AQ7" i="15"/>
  <c r="AR7" i="15"/>
  <c r="AS7" i="15"/>
  <c r="AT7" i="15"/>
  <c r="AU7" i="15"/>
  <c r="AV7" i="15"/>
  <c r="AW7" i="15"/>
  <c r="AX7" i="15"/>
  <c r="AY7" i="15"/>
  <c r="AZ7" i="15"/>
  <c r="BA7" i="15"/>
  <c r="BC7" i="15"/>
  <c r="BD7" i="15"/>
  <c r="BE7" i="15"/>
  <c r="BF7" i="15"/>
  <c r="BG7" i="15"/>
  <c r="BH7" i="15"/>
  <c r="BI7" i="15"/>
  <c r="BJ7" i="15"/>
  <c r="BK7" i="15"/>
  <c r="BL7" i="15"/>
  <c r="BM7" i="15"/>
  <c r="BN7" i="15"/>
  <c r="BO7" i="15"/>
  <c r="BP7" i="15"/>
  <c r="BQ7" i="15"/>
  <c r="BR7" i="15"/>
  <c r="BS7" i="15"/>
  <c r="BT7" i="15"/>
  <c r="BU7" i="15"/>
  <c r="BV7" i="15"/>
  <c r="BW7" i="15"/>
  <c r="BX7" i="15"/>
  <c r="BY7" i="15"/>
  <c r="BZ7" i="15"/>
  <c r="CA7" i="15"/>
  <c r="CB7" i="15"/>
  <c r="CC7" i="15"/>
  <c r="CD7" i="15"/>
  <c r="CE7" i="15"/>
  <c r="CF7" i="15"/>
  <c r="CG7" i="15"/>
  <c r="CH7" i="15"/>
  <c r="CI7" i="15"/>
  <c r="CJ7" i="15"/>
  <c r="CK7" i="15"/>
  <c r="CL7" i="15"/>
  <c r="CM7" i="15"/>
  <c r="CN7" i="15"/>
  <c r="CO7" i="15"/>
  <c r="CP7" i="15"/>
  <c r="CQ7" i="15"/>
  <c r="CR7" i="15"/>
  <c r="CS7" i="15"/>
  <c r="CT7" i="15"/>
  <c r="CU7" i="15"/>
  <c r="CV7" i="15"/>
  <c r="CW7" i="15"/>
  <c r="CX7" i="15"/>
  <c r="CY7" i="15"/>
  <c r="CZ7" i="15"/>
  <c r="DA7" i="15"/>
  <c r="DB7" i="15"/>
  <c r="DC7" i="15"/>
  <c r="DD7" i="15"/>
  <c r="DE7" i="15"/>
  <c r="DF7" i="15"/>
  <c r="DG7" i="15"/>
  <c r="DH7" i="15"/>
  <c r="DI7" i="15"/>
  <c r="DJ7" i="15"/>
  <c r="DK7" i="15"/>
  <c r="A7" i="15"/>
  <c r="B7" i="15"/>
  <c r="C7" i="15"/>
  <c r="D7" i="15"/>
  <c r="E7" i="15"/>
  <c r="H7" i="15"/>
  <c r="DE7" i="23" l="1"/>
  <c r="AG35" i="26" s="1"/>
  <c r="CY7" i="23"/>
  <c r="AE35" i="26" s="1"/>
  <c r="CS7" i="23"/>
  <c r="AC35" i="26" s="1"/>
  <c r="DK12" i="23"/>
  <c r="CM7" i="23"/>
  <c r="AA35" i="26" s="1"/>
  <c r="CG7" i="23"/>
  <c r="Y35" i="26" s="1"/>
  <c r="DG7" i="23"/>
  <c r="DK27" i="23"/>
  <c r="DK22" i="23"/>
  <c r="O22" i="23" s="1"/>
  <c r="BU7" i="23"/>
  <c r="U35" i="26" s="1"/>
  <c r="DK24" i="23"/>
  <c r="O24" i="23" s="1"/>
  <c r="DI7" i="23"/>
  <c r="DK23" i="23"/>
  <c r="O23" i="23" s="1"/>
  <c r="DK30" i="23"/>
  <c r="O30" i="23" s="1"/>
  <c r="BI7" i="23"/>
  <c r="Q35" i="26" s="1"/>
  <c r="DK20" i="23"/>
  <c r="DK19" i="23"/>
  <c r="DK18" i="23"/>
  <c r="O18" i="23" s="1"/>
  <c r="DK15" i="23"/>
  <c r="DK16" i="23"/>
  <c r="O16" i="23" s="1"/>
  <c r="DK14" i="23"/>
  <c r="DJ15" i="22"/>
  <c r="F15" i="22" s="1"/>
  <c r="X7" i="23"/>
  <c r="AV7" i="23"/>
  <c r="AJ13" i="23"/>
  <c r="DJ17" i="23"/>
  <c r="F17" i="23" s="1"/>
  <c r="AJ21" i="23"/>
  <c r="DJ25" i="23"/>
  <c r="S35" i="26"/>
  <c r="DK9" i="23"/>
  <c r="AW7" i="23"/>
  <c r="AJ11" i="23"/>
  <c r="AJ12" i="23"/>
  <c r="AK13" i="23"/>
  <c r="K13" i="23" s="1"/>
  <c r="DJ16" i="23"/>
  <c r="F16" i="23" s="1"/>
  <c r="DK17" i="23"/>
  <c r="O17" i="23" s="1"/>
  <c r="AJ19" i="23"/>
  <c r="AJ20" i="23"/>
  <c r="AK21" i="23"/>
  <c r="K21" i="23" s="1"/>
  <c r="DJ24" i="23"/>
  <c r="DK25" i="23"/>
  <c r="O25" i="23" s="1"/>
  <c r="AK29" i="23"/>
  <c r="K29" i="23" s="1"/>
  <c r="AJ9" i="23"/>
  <c r="BB7" i="23"/>
  <c r="AH7" i="23"/>
  <c r="DJ13" i="23"/>
  <c r="AJ17" i="23"/>
  <c r="AJ26" i="23"/>
  <c r="DK14" i="22"/>
  <c r="AK9" i="23"/>
  <c r="L9" i="23" s="1"/>
  <c r="L7" i="23" s="1"/>
  <c r="BC7" i="23"/>
  <c r="O35" i="26" s="1"/>
  <c r="DJ12" i="23"/>
  <c r="AJ15" i="23"/>
  <c r="AJ16" i="23"/>
  <c r="AK17" i="23"/>
  <c r="K17" i="23" s="1"/>
  <c r="DJ20" i="23"/>
  <c r="G20" i="23" s="1"/>
  <c r="DK21" i="23"/>
  <c r="AJ23" i="23"/>
  <c r="AJ24" i="23"/>
  <c r="AK25" i="23"/>
  <c r="K25" i="23" s="1"/>
  <c r="DJ28" i="23"/>
  <c r="F28" i="23" s="1"/>
  <c r="DK29" i="23"/>
  <c r="O29" i="23" s="1"/>
  <c r="AK17" i="22"/>
  <c r="K17" i="22" s="1"/>
  <c r="R7" i="23"/>
  <c r="BH7" i="23"/>
  <c r="DK28" i="23"/>
  <c r="O28" i="23" s="1"/>
  <c r="DK13" i="23"/>
  <c r="O13" i="23" s="1"/>
  <c r="DK10" i="23"/>
  <c r="O10" i="23" s="1"/>
  <c r="DK11" i="23"/>
  <c r="O11" i="23" s="1"/>
  <c r="M17" i="22"/>
  <c r="AG7" i="23"/>
  <c r="AK19" i="22"/>
  <c r="AI7" i="23"/>
  <c r="AK29" i="22"/>
  <c r="AJ27" i="23"/>
  <c r="L29" i="22"/>
  <c r="F7" i="17"/>
  <c r="AK10" i="22"/>
  <c r="AJ10" i="22"/>
  <c r="AJ25" i="23"/>
  <c r="AJ29" i="23"/>
  <c r="AK23" i="22"/>
  <c r="Y7" i="23"/>
  <c r="AP7" i="23"/>
  <c r="F7" i="16"/>
  <c r="AQ7" i="23"/>
  <c r="AJ28" i="23"/>
  <c r="AJ10" i="23"/>
  <c r="AJ14" i="23"/>
  <c r="AJ18" i="23"/>
  <c r="AJ22" i="23"/>
  <c r="DJ9" i="23"/>
  <c r="M10" i="23"/>
  <c r="M11" i="23"/>
  <c r="O12" i="23"/>
  <c r="M12" i="23"/>
  <c r="M13" i="23"/>
  <c r="G14" i="23"/>
  <c r="O15" i="23"/>
  <c r="M15" i="23"/>
  <c r="M16" i="23"/>
  <c r="M17" i="23"/>
  <c r="M18" i="23"/>
  <c r="G19" i="23"/>
  <c r="O20" i="23"/>
  <c r="M20" i="23"/>
  <c r="M22" i="23"/>
  <c r="M23" i="23"/>
  <c r="M24" i="23"/>
  <c r="M25" i="23"/>
  <c r="O26" i="23"/>
  <c r="M26" i="23"/>
  <c r="O27" i="23"/>
  <c r="M27" i="23"/>
  <c r="M28" i="23"/>
  <c r="M29" i="23"/>
  <c r="M30" i="23"/>
  <c r="G10" i="23"/>
  <c r="F10" i="23"/>
  <c r="G11" i="23"/>
  <c r="F11" i="23"/>
  <c r="G12" i="23"/>
  <c r="F12" i="23"/>
  <c r="F13" i="23"/>
  <c r="G13" i="23"/>
  <c r="G15" i="23"/>
  <c r="F15" i="23"/>
  <c r="G18" i="23"/>
  <c r="F18" i="23"/>
  <c r="F21" i="23"/>
  <c r="G22" i="23"/>
  <c r="F22" i="23"/>
  <c r="G23" i="23"/>
  <c r="F23" i="23"/>
  <c r="G24" i="23"/>
  <c r="F24" i="23"/>
  <c r="G25" i="23"/>
  <c r="F25" i="23"/>
  <c r="G26" i="23"/>
  <c r="F26" i="23"/>
  <c r="G30" i="23"/>
  <c r="F30" i="23"/>
  <c r="G16" i="23"/>
  <c r="G17" i="23"/>
  <c r="G27" i="23"/>
  <c r="G28" i="23"/>
  <c r="G29" i="23"/>
  <c r="K9" i="23"/>
  <c r="K14" i="23"/>
  <c r="K19" i="23"/>
  <c r="DK26" i="22"/>
  <c r="DK18" i="22"/>
  <c r="AK28" i="22"/>
  <c r="AK20" i="22"/>
  <c r="AK18" i="22"/>
  <c r="AJ29" i="22"/>
  <c r="DJ28" i="22"/>
  <c r="AJ21" i="22"/>
  <c r="DK25" i="22"/>
  <c r="DK17" i="22"/>
  <c r="O17" i="22" s="1"/>
  <c r="AJ24" i="22"/>
  <c r="DJ23" i="22"/>
  <c r="F23" i="22" s="1"/>
  <c r="DK15" i="22"/>
  <c r="DK27" i="22"/>
  <c r="AK25" i="22"/>
  <c r="DK23" i="22"/>
  <c r="AK21" i="22"/>
  <c r="AJ12" i="22"/>
  <c r="AK30" i="22"/>
  <c r="DK28" i="22"/>
  <c r="AJ14" i="22"/>
  <c r="AJ13" i="22"/>
  <c r="DJ12" i="22"/>
  <c r="F12" i="22" s="1"/>
  <c r="AJ30" i="22"/>
  <c r="AJ19" i="22"/>
  <c r="AK14" i="22"/>
  <c r="DK19" i="22"/>
  <c r="AJ16" i="22"/>
  <c r="AK12" i="22"/>
  <c r="AJ27" i="22"/>
  <c r="AK26" i="22"/>
  <c r="AK22" i="22"/>
  <c r="DJ20" i="22"/>
  <c r="F20" i="22" s="1"/>
  <c r="AJ18" i="22"/>
  <c r="DJ10" i="22"/>
  <c r="F10" i="22" s="1"/>
  <c r="DK30" i="22"/>
  <c r="AK27" i="22"/>
  <c r="AJ26" i="22"/>
  <c r="AJ22" i="22"/>
  <c r="DK20" i="22"/>
  <c r="AK13" i="22"/>
  <c r="DK10" i="22"/>
  <c r="AJ15" i="22"/>
  <c r="DJ27" i="22"/>
  <c r="F27" i="22" s="1"/>
  <c r="AK24" i="22"/>
  <c r="DK22" i="22"/>
  <c r="DJ18" i="22"/>
  <c r="F18" i="22" s="1"/>
  <c r="DJ17" i="22"/>
  <c r="DJ19" i="22"/>
  <c r="F19" i="22" s="1"/>
  <c r="DJ30" i="22"/>
  <c r="F30" i="22" s="1"/>
  <c r="DJ26" i="22"/>
  <c r="F26" i="22" s="1"/>
  <c r="AJ28" i="22"/>
  <c r="AJ25" i="22"/>
  <c r="DJ24" i="22"/>
  <c r="F24" i="22" s="1"/>
  <c r="DK21" i="22"/>
  <c r="DK24" i="22"/>
  <c r="DJ22" i="22"/>
  <c r="F22" i="22" s="1"/>
  <c r="DJ21" i="22"/>
  <c r="F21" i="22" s="1"/>
  <c r="AK16" i="22"/>
  <c r="AK15" i="22"/>
  <c r="DJ25" i="22"/>
  <c r="F25" i="22" s="1"/>
  <c r="DK12" i="22"/>
  <c r="DK29" i="22"/>
  <c r="AJ23" i="22"/>
  <c r="AJ20" i="22"/>
  <c r="AJ17" i="22"/>
  <c r="DJ16" i="22"/>
  <c r="F16" i="22" s="1"/>
  <c r="DK13" i="22"/>
  <c r="DJ29" i="22"/>
  <c r="F29" i="22" s="1"/>
  <c r="DK16" i="22"/>
  <c r="DJ14" i="22"/>
  <c r="F14" i="22" s="1"/>
  <c r="DJ13" i="22"/>
  <c r="F13" i="22" s="1"/>
  <c r="J7" i="11"/>
  <c r="K7" i="11"/>
  <c r="Q7" i="11"/>
  <c r="U7" i="11"/>
  <c r="V7" i="11"/>
  <c r="W7" i="11"/>
  <c r="X7" i="11"/>
  <c r="AA7" i="11"/>
  <c r="AB7" i="11"/>
  <c r="AC7" i="11"/>
  <c r="AD7" i="11"/>
  <c r="AN7" i="11"/>
  <c r="AO7" i="11"/>
  <c r="AQ7" i="11"/>
  <c r="AT7" i="11"/>
  <c r="AU7" i="11"/>
  <c r="AV7" i="11"/>
  <c r="AW7" i="11"/>
  <c r="AZ7" i="11"/>
  <c r="BA7" i="11"/>
  <c r="BB7" i="11"/>
  <c r="BC7" i="11"/>
  <c r="BG7" i="11"/>
  <c r="BH7" i="11"/>
  <c r="BJ7" i="11"/>
  <c r="BN7" i="11"/>
  <c r="BO7" i="11"/>
  <c r="BP7" i="11"/>
  <c r="BQ7" i="11"/>
  <c r="BT7" i="11"/>
  <c r="BU7" i="11"/>
  <c r="BV7" i="11"/>
  <c r="BW7" i="11"/>
  <c r="BZ7" i="11"/>
  <c r="CA7" i="11"/>
  <c r="CB7" i="11"/>
  <c r="CC7" i="11"/>
  <c r="CF7" i="11"/>
  <c r="CG7" i="11"/>
  <c r="CH7" i="11"/>
  <c r="CI7" i="11"/>
  <c r="CL7" i="11"/>
  <c r="CM7" i="11"/>
  <c r="CN7" i="11"/>
  <c r="CO7" i="11"/>
  <c r="CR7" i="11"/>
  <c r="CS7" i="11"/>
  <c r="CT7" i="11"/>
  <c r="CU7" i="11"/>
  <c r="CX7" i="11"/>
  <c r="CY7" i="11"/>
  <c r="CZ7" i="11"/>
  <c r="DA7" i="11"/>
  <c r="DD7" i="11"/>
  <c r="DE7" i="11"/>
  <c r="DF7" i="11"/>
  <c r="DG7" i="11"/>
  <c r="A7" i="11"/>
  <c r="B7" i="11"/>
  <c r="C7" i="11"/>
  <c r="D7" i="11"/>
  <c r="E7" i="11"/>
  <c r="F28" i="22" l="1"/>
  <c r="O21" i="23"/>
  <c r="DK7" i="23"/>
  <c r="AI35" i="26"/>
  <c r="G35" i="26"/>
  <c r="I35" i="26" s="1"/>
  <c r="AW2" i="23"/>
  <c r="AJ7" i="23"/>
  <c r="G9" i="23"/>
  <c r="AK7" i="23"/>
  <c r="G21" i="23"/>
  <c r="F20" i="23"/>
  <c r="M21" i="23"/>
  <c r="K27" i="22"/>
  <c r="G27" i="22"/>
  <c r="G18" i="22"/>
  <c r="K18" i="22"/>
  <c r="K20" i="22"/>
  <c r="G20" i="22"/>
  <c r="G19" i="22"/>
  <c r="K19" i="22"/>
  <c r="K16" i="22"/>
  <c r="G16" i="22"/>
  <c r="K14" i="22"/>
  <c r="G14" i="22"/>
  <c r="K29" i="22"/>
  <c r="G29" i="22"/>
  <c r="G26" i="22"/>
  <c r="K26" i="22"/>
  <c r="G12" i="22"/>
  <c r="K12" i="22"/>
  <c r="K23" i="22"/>
  <c r="G23" i="22"/>
  <c r="F9" i="23"/>
  <c r="F7" i="23" s="1"/>
  <c r="K30" i="22"/>
  <c r="G30" i="22"/>
  <c r="G24" i="22"/>
  <c r="K24" i="22"/>
  <c r="K15" i="22"/>
  <c r="G15" i="22"/>
  <c r="G28" i="22"/>
  <c r="K28" i="22"/>
  <c r="K21" i="22"/>
  <c r="G21" i="22"/>
  <c r="G13" i="22"/>
  <c r="K13" i="22"/>
  <c r="F17" i="22"/>
  <c r="G17" i="22"/>
  <c r="K22" i="22"/>
  <c r="G22" i="22"/>
  <c r="G25" i="22"/>
  <c r="K25" i="22"/>
  <c r="G10" i="22"/>
  <c r="K10" i="22"/>
  <c r="O14" i="23"/>
  <c r="M14" i="23"/>
  <c r="O19" i="23"/>
  <c r="M19" i="23"/>
  <c r="O9" i="23"/>
  <c r="M9" i="23"/>
  <c r="N9" i="23" s="1"/>
  <c r="N7" i="23" s="1"/>
  <c r="K7" i="23"/>
  <c r="G7" i="23"/>
  <c r="O15" i="22" l="1"/>
  <c r="M15" i="22"/>
  <c r="M30" i="22"/>
  <c r="O30" i="22"/>
  <c r="M25" i="22"/>
  <c r="O25" i="22"/>
  <c r="O7" i="23"/>
  <c r="M12" i="22"/>
  <c r="O12" i="22"/>
  <c r="M26" i="22"/>
  <c r="O26" i="22"/>
  <c r="O13" i="22"/>
  <c r="M13" i="22"/>
  <c r="M22" i="22"/>
  <c r="O22" i="22"/>
  <c r="M20" i="22"/>
  <c r="O20" i="22"/>
  <c r="M23" i="22"/>
  <c r="O23" i="22"/>
  <c r="M10" i="22"/>
  <c r="O10" i="22"/>
  <c r="M29" i="22"/>
  <c r="O29" i="22"/>
  <c r="M14" i="22"/>
  <c r="O14" i="22"/>
  <c r="M16" i="22"/>
  <c r="O16" i="22"/>
  <c r="O21" i="22"/>
  <c r="M21" i="22"/>
  <c r="M28" i="22"/>
  <c r="O28" i="22"/>
  <c r="M24" i="22"/>
  <c r="O24" i="22"/>
  <c r="O19" i="22"/>
  <c r="M19" i="22"/>
  <c r="M18" i="22"/>
  <c r="O18" i="22"/>
  <c r="M27" i="22"/>
  <c r="O27" i="22"/>
  <c r="M7" i="23"/>
  <c r="F35" i="14"/>
  <c r="G35" i="14"/>
  <c r="F36" i="14"/>
  <c r="G36" i="14"/>
  <c r="F42" i="14"/>
  <c r="G42" i="14"/>
  <c r="F43" i="14"/>
  <c r="G43" i="14"/>
  <c r="F45" i="14"/>
  <c r="G45" i="14"/>
  <c r="F46" i="14"/>
  <c r="G46" i="14"/>
  <c r="K35" i="14"/>
  <c r="M35" i="14" s="1"/>
  <c r="L35" i="14"/>
  <c r="O35" i="14"/>
  <c r="K36" i="14"/>
  <c r="M36" i="14" s="1"/>
  <c r="L36" i="14"/>
  <c r="K42" i="14"/>
  <c r="M42" i="14" s="1"/>
  <c r="L42" i="14"/>
  <c r="O42" i="14"/>
  <c r="K43" i="14"/>
  <c r="M43" i="14" s="1"/>
  <c r="L43" i="14"/>
  <c r="K45" i="14"/>
  <c r="M45" i="14" s="1"/>
  <c r="L45" i="14"/>
  <c r="K46" i="14"/>
  <c r="M46" i="14" s="1"/>
  <c r="L46" i="14"/>
  <c r="J7" i="14"/>
  <c r="P7" i="14"/>
  <c r="A7" i="14"/>
  <c r="B7" i="14"/>
  <c r="C7" i="14"/>
  <c r="D7" i="14"/>
  <c r="E7" i="14"/>
  <c r="I7" i="14"/>
  <c r="Q7" i="14"/>
  <c r="T7" i="14"/>
  <c r="U7" i="14"/>
  <c r="V7" i="14"/>
  <c r="W7" i="14"/>
  <c r="Z7" i="14"/>
  <c r="AB7" i="14"/>
  <c r="AL7" i="14"/>
  <c r="AM7" i="14"/>
  <c r="AN7" i="14"/>
  <c r="AO7" i="14"/>
  <c r="AR7" i="14"/>
  <c r="AS7" i="14"/>
  <c r="AT7" i="14"/>
  <c r="AU7" i="14"/>
  <c r="AX7" i="14"/>
  <c r="AY7" i="14"/>
  <c r="AZ7" i="14"/>
  <c r="BA7" i="14"/>
  <c r="BE7" i="14"/>
  <c r="BF7" i="14"/>
  <c r="BG7" i="14"/>
  <c r="BH7" i="14"/>
  <c r="BL7" i="14"/>
  <c r="BM7" i="14"/>
  <c r="BN7" i="14"/>
  <c r="BO7" i="14"/>
  <c r="BR7" i="14"/>
  <c r="BS7" i="14"/>
  <c r="BT7" i="14"/>
  <c r="BU7" i="14"/>
  <c r="BX7" i="14"/>
  <c r="BY7" i="14"/>
  <c r="BZ7" i="14"/>
  <c r="CA7" i="14"/>
  <c r="CD7" i="14"/>
  <c r="CE7" i="14"/>
  <c r="CF7" i="14"/>
  <c r="CG7" i="14"/>
  <c r="CJ7" i="14"/>
  <c r="CK7" i="14"/>
  <c r="CL7" i="14"/>
  <c r="CM7" i="14"/>
  <c r="CP7" i="14"/>
  <c r="CQ7" i="14"/>
  <c r="CR7" i="14"/>
  <c r="CS7" i="14"/>
  <c r="CV7" i="14"/>
  <c r="CW7" i="14"/>
  <c r="CX7" i="14"/>
  <c r="CY7" i="14"/>
  <c r="DB7" i="14"/>
  <c r="DC7" i="14"/>
  <c r="DD7" i="14"/>
  <c r="DE7" i="14"/>
  <c r="H7" i="14"/>
  <c r="F109" i="13"/>
  <c r="G109" i="13"/>
  <c r="F110" i="13"/>
  <c r="G110" i="13"/>
  <c r="F120" i="13"/>
  <c r="G120" i="13"/>
  <c r="F138" i="13"/>
  <c r="G138" i="13"/>
  <c r="F141" i="13"/>
  <c r="G141" i="13"/>
  <c r="K109" i="13"/>
  <c r="M109" i="13" s="1"/>
  <c r="L109" i="13"/>
  <c r="K110" i="13"/>
  <c r="M110" i="13" s="1"/>
  <c r="L110" i="13"/>
  <c r="K120" i="13"/>
  <c r="M120" i="13" s="1"/>
  <c r="L120" i="13"/>
  <c r="K138" i="13"/>
  <c r="M138" i="13" s="1"/>
  <c r="L138" i="13"/>
  <c r="K141" i="13"/>
  <c r="M141" i="13" s="1"/>
  <c r="L141" i="13"/>
  <c r="N46" i="14" l="1"/>
  <c r="N42" i="14"/>
  <c r="N36" i="14"/>
  <c r="N45" i="14"/>
  <c r="N35" i="14"/>
  <c r="N43" i="14"/>
  <c r="N109" i="13"/>
  <c r="N120" i="13"/>
  <c r="N141" i="13"/>
  <c r="N138" i="13"/>
  <c r="N110" i="13"/>
  <c r="O36" i="14"/>
  <c r="O46" i="14"/>
  <c r="O43" i="14"/>
  <c r="O45" i="14"/>
  <c r="O138" i="13"/>
  <c r="O110" i="13"/>
  <c r="O120" i="13"/>
  <c r="O109" i="13"/>
  <c r="O141" i="13"/>
  <c r="L7" i="20" l="1"/>
  <c r="M7" i="20"/>
  <c r="S7" i="20"/>
  <c r="W7" i="20"/>
  <c r="X7" i="20"/>
  <c r="Z7" i="20"/>
  <c r="AC7" i="20"/>
  <c r="AD7" i="20"/>
  <c r="AF7" i="20"/>
  <c r="AO7" i="20"/>
  <c r="AP7" i="20"/>
  <c r="AQ7" i="20"/>
  <c r="AR7" i="20"/>
  <c r="AU7" i="20"/>
  <c r="AV7" i="20"/>
  <c r="AW7" i="20"/>
  <c r="AX7" i="20"/>
  <c r="BA7" i="20"/>
  <c r="BB7" i="20"/>
  <c r="BC7" i="20"/>
  <c r="BD7" i="20"/>
  <c r="BH7" i="20"/>
  <c r="BI7" i="20"/>
  <c r="BJ7" i="20"/>
  <c r="BK7" i="20"/>
  <c r="BO7" i="20"/>
  <c r="BP7" i="20"/>
  <c r="BQ7" i="20"/>
  <c r="BR7" i="20"/>
  <c r="BV7" i="20"/>
  <c r="BW7" i="20"/>
  <c r="BX7" i="20"/>
  <c r="BY7" i="20"/>
  <c r="CC7" i="20"/>
  <c r="CD7" i="20"/>
  <c r="CE7" i="20"/>
  <c r="CF7" i="20"/>
  <c r="CJ7" i="20"/>
  <c r="CK7" i="20"/>
  <c r="CL7" i="20"/>
  <c r="CM7" i="20"/>
  <c r="CQ7" i="20"/>
  <c r="CR7" i="20"/>
  <c r="CS7" i="20"/>
  <c r="CT7" i="20"/>
  <c r="CX7" i="20"/>
  <c r="CY7" i="20"/>
  <c r="CZ7" i="20"/>
  <c r="DA7" i="20"/>
  <c r="DD7" i="20"/>
  <c r="DE7" i="20"/>
  <c r="DF7" i="20"/>
  <c r="DG7" i="20"/>
  <c r="DJ7" i="20"/>
  <c r="DK7" i="20"/>
  <c r="DL7" i="20"/>
  <c r="DM7" i="20"/>
  <c r="A7" i="20"/>
  <c r="B7" i="20"/>
  <c r="C7" i="20"/>
  <c r="D7" i="20"/>
  <c r="E7" i="20"/>
  <c r="H7" i="8" l="1"/>
  <c r="I7" i="8"/>
  <c r="J7" i="8"/>
  <c r="P7" i="8"/>
  <c r="Q7" i="8"/>
  <c r="T7" i="8"/>
  <c r="U7" i="8"/>
  <c r="V7" i="8"/>
  <c r="W7" i="8"/>
  <c r="Z7" i="8"/>
  <c r="AA7" i="8"/>
  <c r="AB7" i="8"/>
  <c r="AC7" i="8"/>
  <c r="AL7" i="8"/>
  <c r="AM7" i="8"/>
  <c r="AN7" i="8"/>
  <c r="AO7" i="8"/>
  <c r="AR7" i="8"/>
  <c r="AS7" i="8"/>
  <c r="AT7" i="8"/>
  <c r="AU7" i="8"/>
  <c r="AX7" i="8"/>
  <c r="AY7" i="8"/>
  <c r="AZ7" i="8"/>
  <c r="BA7" i="8"/>
  <c r="BE7" i="8"/>
  <c r="BF7" i="8"/>
  <c r="BG7" i="8"/>
  <c r="BH7" i="8"/>
  <c r="BL7" i="8"/>
  <c r="BM7" i="8"/>
  <c r="BN7" i="8"/>
  <c r="BO7" i="8"/>
  <c r="BS7" i="8"/>
  <c r="BT7" i="8"/>
  <c r="BU7" i="8"/>
  <c r="BV7" i="8"/>
  <c r="BY7" i="8"/>
  <c r="U10" i="26" s="1"/>
  <c r="U46" i="26" s="1"/>
  <c r="BZ7" i="8"/>
  <c r="CA7" i="8"/>
  <c r="CB7" i="8"/>
  <c r="CC7" i="8"/>
  <c r="CG7" i="8"/>
  <c r="CH7" i="8"/>
  <c r="CI7" i="8"/>
  <c r="CJ7" i="8"/>
  <c r="CN7" i="8"/>
  <c r="CO7" i="8"/>
  <c r="CP7" i="8"/>
  <c r="CQ7" i="8"/>
  <c r="CU7" i="8"/>
  <c r="CV7" i="8"/>
  <c r="CW7" i="8"/>
  <c r="CX7" i="8"/>
  <c r="DB7" i="8"/>
  <c r="DC7" i="8"/>
  <c r="DD7" i="8"/>
  <c r="DE7" i="8"/>
  <c r="DI7" i="8"/>
  <c r="DJ7" i="8"/>
  <c r="DK7" i="8"/>
  <c r="DL7" i="8"/>
  <c r="B7" i="8"/>
  <c r="C7" i="8"/>
  <c r="D7" i="8"/>
  <c r="E7" i="8"/>
  <c r="A7" i="8"/>
  <c r="R38" i="8"/>
  <c r="S38" i="8"/>
  <c r="X38" i="8"/>
  <c r="Y38" i="8"/>
  <c r="AD38" i="8"/>
  <c r="AE38" i="8"/>
  <c r="AF38" i="8"/>
  <c r="AG38" i="8"/>
  <c r="AH38" i="8"/>
  <c r="AI38" i="8"/>
  <c r="AP38" i="8"/>
  <c r="AQ38" i="8"/>
  <c r="AV38" i="8"/>
  <c r="AW38" i="8"/>
  <c r="BB38" i="8"/>
  <c r="BD38" i="8"/>
  <c r="BI38" i="8"/>
  <c r="BK38" i="8"/>
  <c r="BP38" i="8"/>
  <c r="BR38" i="8"/>
  <c r="CD38" i="8"/>
  <c r="CF38" i="8"/>
  <c r="CK38" i="8"/>
  <c r="CM38" i="8"/>
  <c r="CR38" i="8"/>
  <c r="CT38" i="8"/>
  <c r="CY38" i="8"/>
  <c r="DA38" i="8"/>
  <c r="DF38" i="8"/>
  <c r="DH38" i="8"/>
  <c r="DM38" i="8"/>
  <c r="DO38" i="8"/>
  <c r="DP38" i="8"/>
  <c r="DQ38" i="8"/>
  <c r="DR38" i="8"/>
  <c r="DS38" i="8"/>
  <c r="R37" i="8"/>
  <c r="S37" i="8"/>
  <c r="X37" i="8"/>
  <c r="Y37" i="8"/>
  <c r="AD37" i="8"/>
  <c r="AE37" i="8"/>
  <c r="AF37" i="8"/>
  <c r="AG37" i="8"/>
  <c r="AH37" i="8"/>
  <c r="AI37" i="8"/>
  <c r="AP37" i="8"/>
  <c r="AQ37" i="8"/>
  <c r="AV37" i="8"/>
  <c r="AW37" i="8"/>
  <c r="BB37" i="8"/>
  <c r="BD37" i="8"/>
  <c r="BI37" i="8"/>
  <c r="BK37" i="8"/>
  <c r="BP37" i="8"/>
  <c r="BR37" i="8"/>
  <c r="CD37" i="8"/>
  <c r="CF37" i="8"/>
  <c r="CK37" i="8"/>
  <c r="CM37" i="8"/>
  <c r="CR37" i="8"/>
  <c r="CT37" i="8"/>
  <c r="CY37" i="8"/>
  <c r="DA37" i="8"/>
  <c r="DF37" i="8"/>
  <c r="DH37" i="8"/>
  <c r="DM37" i="8"/>
  <c r="DO37" i="8"/>
  <c r="DP37" i="8"/>
  <c r="DQ37" i="8"/>
  <c r="DR37" i="8"/>
  <c r="DS37" i="8"/>
  <c r="R36" i="8"/>
  <c r="S36" i="8"/>
  <c r="X36" i="8"/>
  <c r="Y36" i="8"/>
  <c r="AD36" i="8"/>
  <c r="AE36" i="8"/>
  <c r="AF36" i="8"/>
  <c r="AG36" i="8"/>
  <c r="AH36" i="8"/>
  <c r="AI36" i="8"/>
  <c r="AP36" i="8"/>
  <c r="AQ36" i="8"/>
  <c r="AV36" i="8"/>
  <c r="AW36" i="8"/>
  <c r="BB36" i="8"/>
  <c r="BD36" i="8"/>
  <c r="BI36" i="8"/>
  <c r="BK36" i="8"/>
  <c r="BP36" i="8"/>
  <c r="BR36" i="8"/>
  <c r="CD36" i="8"/>
  <c r="CF36" i="8"/>
  <c r="CK36" i="8"/>
  <c r="CM36" i="8"/>
  <c r="CR36" i="8"/>
  <c r="CT36" i="8"/>
  <c r="CY36" i="8"/>
  <c r="DA36" i="8"/>
  <c r="DF36" i="8"/>
  <c r="DH36" i="8"/>
  <c r="DM36" i="8"/>
  <c r="DO36" i="8"/>
  <c r="DP36" i="8"/>
  <c r="DQ36" i="8"/>
  <c r="DR36" i="8"/>
  <c r="DS36" i="8"/>
  <c r="R35" i="8"/>
  <c r="S35" i="8"/>
  <c r="X35" i="8"/>
  <c r="Y35" i="8"/>
  <c r="AD35" i="8"/>
  <c r="AE35" i="8"/>
  <c r="AF35" i="8"/>
  <c r="AG35" i="8"/>
  <c r="AH35" i="8"/>
  <c r="AI35" i="8"/>
  <c r="AP35" i="8"/>
  <c r="AQ35" i="8"/>
  <c r="AV35" i="8"/>
  <c r="AW35" i="8"/>
  <c r="BB35" i="8"/>
  <c r="BD35" i="8"/>
  <c r="BI35" i="8"/>
  <c r="BK35" i="8"/>
  <c r="BP35" i="8"/>
  <c r="BR35" i="8"/>
  <c r="CD35" i="8"/>
  <c r="CF35" i="8"/>
  <c r="CK35" i="8"/>
  <c r="CM35" i="8"/>
  <c r="CR35" i="8"/>
  <c r="CT35" i="8"/>
  <c r="CY35" i="8"/>
  <c r="DA35" i="8"/>
  <c r="DF35" i="8"/>
  <c r="DH35" i="8"/>
  <c r="DM35" i="8"/>
  <c r="DO35" i="8"/>
  <c r="DP35" i="8"/>
  <c r="DQ35" i="8"/>
  <c r="DR35" i="8"/>
  <c r="DS35" i="8"/>
  <c r="DT36" i="8" l="1"/>
  <c r="F36" i="8" s="1"/>
  <c r="DT38" i="8"/>
  <c r="F38" i="8" s="1"/>
  <c r="AJ37" i="8"/>
  <c r="AK35" i="8"/>
  <c r="K35" i="8" s="1"/>
  <c r="M35" i="8" s="1"/>
  <c r="DT37" i="8"/>
  <c r="F37" i="8" s="1"/>
  <c r="DU36" i="8"/>
  <c r="L35" i="8"/>
  <c r="AK37" i="8"/>
  <c r="L37" i="8" s="1"/>
  <c r="DU38" i="8"/>
  <c r="AK38" i="8"/>
  <c r="O38" i="8" s="1"/>
  <c r="DU37" i="8"/>
  <c r="AK36" i="8"/>
  <c r="L36" i="8" s="1"/>
  <c r="AJ36" i="8"/>
  <c r="AJ38" i="8"/>
  <c r="DT35" i="8"/>
  <c r="F35" i="8" s="1"/>
  <c r="AJ35" i="8"/>
  <c r="DU35" i="8"/>
  <c r="K7" i="7"/>
  <c r="L7" i="7"/>
  <c r="R7" i="7"/>
  <c r="S7" i="7"/>
  <c r="V7" i="7"/>
  <c r="W7" i="7"/>
  <c r="X7" i="7"/>
  <c r="Y7" i="7"/>
  <c r="AB7" i="7"/>
  <c r="AC7" i="7"/>
  <c r="AD7" i="7"/>
  <c r="AE7" i="7"/>
  <c r="AN7" i="7"/>
  <c r="AO7" i="7"/>
  <c r="AP7" i="7"/>
  <c r="AQ7" i="7"/>
  <c r="AT7" i="7"/>
  <c r="AU7" i="7"/>
  <c r="AV7" i="7"/>
  <c r="AW7" i="7"/>
  <c r="AZ7" i="7"/>
  <c r="BA7" i="7"/>
  <c r="BB7" i="7"/>
  <c r="BC7" i="7"/>
  <c r="BG7" i="7"/>
  <c r="BH7" i="7"/>
  <c r="BI7" i="7"/>
  <c r="BJ7" i="7"/>
  <c r="BN7" i="7"/>
  <c r="BO7" i="7"/>
  <c r="BP7" i="7"/>
  <c r="BQ7" i="7"/>
  <c r="BU7" i="7"/>
  <c r="BV7" i="7"/>
  <c r="BW7" i="7"/>
  <c r="BX7" i="7"/>
  <c r="CB7" i="7"/>
  <c r="CC7" i="7"/>
  <c r="CD7" i="7"/>
  <c r="CE7" i="7"/>
  <c r="CH7" i="7"/>
  <c r="CI7" i="7"/>
  <c r="CJ7" i="7"/>
  <c r="CK7" i="7"/>
  <c r="CN7" i="7"/>
  <c r="CO7" i="7"/>
  <c r="CP7" i="7"/>
  <c r="CQ7" i="7"/>
  <c r="CT7" i="7"/>
  <c r="CU7" i="7"/>
  <c r="CV7" i="7"/>
  <c r="CW7" i="7"/>
  <c r="CZ7" i="7"/>
  <c r="DA7" i="7"/>
  <c r="DB7" i="7"/>
  <c r="DC7" i="7"/>
  <c r="DF7" i="7"/>
  <c r="DG7" i="7"/>
  <c r="DH7" i="7"/>
  <c r="DI7" i="7"/>
  <c r="A7" i="7"/>
  <c r="B7" i="7"/>
  <c r="C7" i="7"/>
  <c r="D7" i="7"/>
  <c r="E7" i="7"/>
  <c r="J7" i="7"/>
  <c r="O36" i="8" l="1"/>
  <c r="K38" i="8"/>
  <c r="M38" i="8" s="1"/>
  <c r="G38" i="8"/>
  <c r="G37" i="8"/>
  <c r="K37" i="8"/>
  <c r="M37" i="8" s="1"/>
  <c r="K36" i="8"/>
  <c r="M36" i="8" s="1"/>
  <c r="G36" i="8"/>
  <c r="O37" i="8"/>
  <c r="O35" i="8"/>
  <c r="L38" i="8"/>
  <c r="G35" i="8"/>
  <c r="N35" i="8" s="1"/>
  <c r="A7" i="6"/>
  <c r="B7" i="6"/>
  <c r="C7" i="6"/>
  <c r="D7" i="6"/>
  <c r="E7" i="6"/>
  <c r="K7" i="6"/>
  <c r="L7" i="6"/>
  <c r="R7" i="6"/>
  <c r="S7" i="6"/>
  <c r="V7" i="6"/>
  <c r="W7" i="6"/>
  <c r="X7" i="6"/>
  <c r="Y7" i="6"/>
  <c r="AB7" i="6"/>
  <c r="AC7" i="6"/>
  <c r="AD7" i="6"/>
  <c r="AE7" i="6"/>
  <c r="AN7" i="6"/>
  <c r="AO7" i="6"/>
  <c r="AP7" i="6"/>
  <c r="AQ7" i="6"/>
  <c r="AT7" i="6"/>
  <c r="AU7" i="6"/>
  <c r="AV7" i="6"/>
  <c r="AW7" i="6"/>
  <c r="AZ7" i="6"/>
  <c r="BA7" i="6"/>
  <c r="BB7" i="6"/>
  <c r="BC7" i="6"/>
  <c r="BG7" i="6"/>
  <c r="BH7" i="6"/>
  <c r="BI7" i="6"/>
  <c r="BJ7" i="6"/>
  <c r="BN7" i="6"/>
  <c r="BO7" i="6"/>
  <c r="BP7" i="6"/>
  <c r="BQ7" i="6"/>
  <c r="BU7" i="6"/>
  <c r="BV7" i="6"/>
  <c r="BW7" i="6"/>
  <c r="BX7" i="6"/>
  <c r="CB7" i="6"/>
  <c r="CC7" i="6"/>
  <c r="CD7" i="6"/>
  <c r="CE7" i="6"/>
  <c r="CI7" i="6"/>
  <c r="CJ7" i="6"/>
  <c r="CK7" i="6"/>
  <c r="CL7" i="6"/>
  <c r="CO7" i="6"/>
  <c r="CP7" i="6"/>
  <c r="CQ7" i="6"/>
  <c r="CR7" i="6"/>
  <c r="CU7" i="6"/>
  <c r="CV7" i="6"/>
  <c r="CW7" i="6"/>
  <c r="CX7" i="6"/>
  <c r="DA7" i="6"/>
  <c r="DB7" i="6"/>
  <c r="DC7" i="6"/>
  <c r="DD7" i="6"/>
  <c r="DG7" i="6"/>
  <c r="DH7" i="6"/>
  <c r="DI7" i="6"/>
  <c r="DJ7" i="6"/>
  <c r="J7" i="6"/>
  <c r="N36" i="8" l="1"/>
  <c r="N38" i="8"/>
  <c r="N37" i="8"/>
  <c r="E7" i="3"/>
  <c r="E7" i="2"/>
  <c r="E7" i="18"/>
  <c r="K7" i="19"/>
  <c r="L7" i="19"/>
  <c r="R7" i="19"/>
  <c r="S7" i="19"/>
  <c r="V7" i="19"/>
  <c r="W7" i="19"/>
  <c r="X7" i="19"/>
  <c r="Y7" i="19"/>
  <c r="AB7" i="19"/>
  <c r="AC7" i="19"/>
  <c r="AD7" i="19"/>
  <c r="AE7" i="19"/>
  <c r="AN7" i="19"/>
  <c r="AO7" i="19"/>
  <c r="AP7" i="19"/>
  <c r="AQ7" i="19"/>
  <c r="AT7" i="19"/>
  <c r="AU7" i="19"/>
  <c r="AV7" i="19"/>
  <c r="AW7" i="19"/>
  <c r="AZ7" i="19"/>
  <c r="BA7" i="19"/>
  <c r="BB7" i="19"/>
  <c r="BC7" i="19"/>
  <c r="BG7" i="19"/>
  <c r="BH7" i="19"/>
  <c r="BI7" i="19"/>
  <c r="BJ7" i="19"/>
  <c r="BN7" i="19"/>
  <c r="BO7" i="19"/>
  <c r="BP7" i="19"/>
  <c r="BQ7" i="19"/>
  <c r="BU7" i="19"/>
  <c r="BV7" i="19"/>
  <c r="BW7" i="19"/>
  <c r="BX7" i="19"/>
  <c r="CB7" i="19"/>
  <c r="CC7" i="19"/>
  <c r="CD7" i="19"/>
  <c r="CE7" i="19"/>
  <c r="CI7" i="19"/>
  <c r="CJ7" i="19"/>
  <c r="CK7" i="19"/>
  <c r="CL7" i="19"/>
  <c r="CP7" i="19"/>
  <c r="CQ7" i="19"/>
  <c r="CR7" i="19"/>
  <c r="CS7" i="19"/>
  <c r="CW7" i="19"/>
  <c r="CX7" i="19"/>
  <c r="CY7" i="19"/>
  <c r="CZ7" i="19"/>
  <c r="DC7" i="19"/>
  <c r="DD7" i="19"/>
  <c r="DE7" i="19"/>
  <c r="DF7" i="19"/>
  <c r="DI7" i="19"/>
  <c r="DJ7" i="19"/>
  <c r="DK7" i="19"/>
  <c r="DL7" i="19"/>
  <c r="A7" i="19"/>
  <c r="B7" i="19"/>
  <c r="C7" i="19"/>
  <c r="D7" i="19"/>
  <c r="E7" i="19"/>
  <c r="AT7" i="18" l="1"/>
  <c r="AU7" i="18"/>
  <c r="AV7" i="18"/>
  <c r="AW7" i="18"/>
  <c r="AZ7" i="18"/>
  <c r="BA7" i="18"/>
  <c r="BB7" i="18"/>
  <c r="BC7" i="18"/>
  <c r="BG7" i="18"/>
  <c r="BH7" i="18"/>
  <c r="BI7" i="18"/>
  <c r="BJ7" i="18"/>
  <c r="BN7" i="18"/>
  <c r="BO7" i="18"/>
  <c r="BP7" i="18"/>
  <c r="BQ7" i="18"/>
  <c r="BU7" i="18"/>
  <c r="BV7" i="18"/>
  <c r="BW7" i="18"/>
  <c r="BX7" i="18"/>
  <c r="CA7" i="18"/>
  <c r="CB7" i="18"/>
  <c r="CC7" i="18"/>
  <c r="CD7" i="18"/>
  <c r="CG7" i="18"/>
  <c r="CH7" i="18"/>
  <c r="CI7" i="18"/>
  <c r="CJ7" i="18"/>
  <c r="CM7" i="18"/>
  <c r="CN7" i="18"/>
  <c r="CO7" i="18"/>
  <c r="CP7" i="18"/>
  <c r="CS7" i="18"/>
  <c r="CT7" i="18"/>
  <c r="CU7" i="18"/>
  <c r="CV7" i="18"/>
  <c r="CY7" i="18"/>
  <c r="CZ7" i="18"/>
  <c r="DA7" i="18"/>
  <c r="DB7" i="18"/>
  <c r="DE7" i="18"/>
  <c r="DF7" i="18"/>
  <c r="DG7" i="18"/>
  <c r="DH7" i="18"/>
  <c r="AN7" i="18"/>
  <c r="AO7" i="18"/>
  <c r="AP7" i="18"/>
  <c r="AQ7" i="18"/>
  <c r="S7" i="18"/>
  <c r="V7" i="18"/>
  <c r="W7" i="18"/>
  <c r="X7" i="18"/>
  <c r="Y7" i="18"/>
  <c r="AB7" i="18"/>
  <c r="AC7" i="18"/>
  <c r="AD7" i="18"/>
  <c r="AE7" i="18"/>
  <c r="K7" i="18"/>
  <c r="L7" i="18"/>
  <c r="R7" i="18"/>
  <c r="J7" i="18"/>
  <c r="J7" i="3" l="1"/>
  <c r="P7" i="3"/>
  <c r="Z7" i="3"/>
  <c r="AA7" i="3"/>
  <c r="AB7" i="3"/>
  <c r="AC7" i="3"/>
  <c r="AL7" i="3"/>
  <c r="AM7" i="3"/>
  <c r="AN7" i="3"/>
  <c r="AO7" i="3"/>
  <c r="AR7" i="3"/>
  <c r="AS7" i="3"/>
  <c r="AT7" i="3"/>
  <c r="AU7" i="3"/>
  <c r="AX7" i="3"/>
  <c r="AY7" i="3"/>
  <c r="AZ7" i="3"/>
  <c r="BA7" i="3"/>
  <c r="BE7" i="3"/>
  <c r="BF7" i="3"/>
  <c r="BG7" i="3"/>
  <c r="BH7" i="3"/>
  <c r="BL7" i="3"/>
  <c r="BM7" i="3"/>
  <c r="BN7" i="3"/>
  <c r="BO7" i="3"/>
  <c r="BS7" i="3"/>
  <c r="BT7" i="3"/>
  <c r="BU7" i="3"/>
  <c r="BV7" i="3"/>
  <c r="BZ7" i="3"/>
  <c r="CA7" i="3"/>
  <c r="CB7" i="3"/>
  <c r="CC7" i="3"/>
  <c r="CF7" i="3"/>
  <c r="CG7" i="3"/>
  <c r="CH7" i="3"/>
  <c r="CI7" i="3"/>
  <c r="CL7" i="3"/>
  <c r="CM7" i="3"/>
  <c r="CN7" i="3"/>
  <c r="CO7" i="3"/>
  <c r="CR7" i="3"/>
  <c r="CS7" i="3"/>
  <c r="CT7" i="3"/>
  <c r="CU7" i="3"/>
  <c r="CX7" i="3"/>
  <c r="CY7" i="3"/>
  <c r="CZ7" i="3"/>
  <c r="DA7" i="3"/>
  <c r="DD7" i="3"/>
  <c r="DE7" i="3"/>
  <c r="DF7" i="3"/>
  <c r="DG7" i="3"/>
  <c r="H7" i="3"/>
  <c r="I7" i="3"/>
  <c r="Q7" i="3"/>
  <c r="T7" i="3"/>
  <c r="U7" i="3"/>
  <c r="V7" i="3"/>
  <c r="W7" i="3"/>
  <c r="V10" i="2" l="1"/>
  <c r="U10" i="2"/>
  <c r="U11" i="2"/>
  <c r="U12" i="2"/>
  <c r="U13" i="2"/>
  <c r="U14" i="2"/>
  <c r="U15" i="2"/>
  <c r="U16" i="2"/>
  <c r="U17" i="2"/>
  <c r="U18" i="2"/>
  <c r="U19" i="2"/>
  <c r="U20" i="2"/>
  <c r="U21" i="2"/>
  <c r="U22" i="2"/>
  <c r="U23" i="2"/>
  <c r="U24" i="2"/>
  <c r="U25" i="2"/>
  <c r="U26" i="2"/>
  <c r="U27" i="2"/>
  <c r="U28" i="2"/>
  <c r="U9" i="2"/>
  <c r="L7" i="2"/>
  <c r="T7" i="2"/>
  <c r="W7" i="2"/>
  <c r="X7" i="2"/>
  <c r="Y7" i="2"/>
  <c r="Z7" i="2"/>
  <c r="AC7" i="2"/>
  <c r="AD7" i="2"/>
  <c r="AE7" i="2"/>
  <c r="AF7" i="2"/>
  <c r="AO7" i="2"/>
  <c r="AP7" i="2"/>
  <c r="AQ7" i="2"/>
  <c r="AR7" i="2"/>
  <c r="AU7" i="2"/>
  <c r="AV7" i="2"/>
  <c r="AW7" i="2"/>
  <c r="AX7" i="2"/>
  <c r="BA7" i="2"/>
  <c r="BB7" i="2"/>
  <c r="BC7" i="2"/>
  <c r="BD7" i="2"/>
  <c r="BH7" i="2"/>
  <c r="BI7" i="2"/>
  <c r="BJ7" i="2"/>
  <c r="BK7" i="2"/>
  <c r="BO7" i="2"/>
  <c r="BP7" i="2"/>
  <c r="BQ7" i="2"/>
  <c r="BR7" i="2"/>
  <c r="BV7" i="2"/>
  <c r="BW7" i="2"/>
  <c r="BX7" i="2"/>
  <c r="BY7" i="2"/>
  <c r="CC7" i="2"/>
  <c r="CD7" i="2"/>
  <c r="CE7" i="2"/>
  <c r="CF7" i="2"/>
  <c r="CJ7" i="2"/>
  <c r="CK7" i="2"/>
  <c r="CL7" i="2"/>
  <c r="CM7" i="2"/>
  <c r="CP7" i="2"/>
  <c r="CQ7" i="2"/>
  <c r="CR7" i="2"/>
  <c r="CS7" i="2"/>
  <c r="CV7" i="2"/>
  <c r="CW7" i="2"/>
  <c r="CX7" i="2"/>
  <c r="CY7" i="2"/>
  <c r="DB7" i="2"/>
  <c r="DC7" i="2"/>
  <c r="DD7" i="2"/>
  <c r="DE7" i="2"/>
  <c r="DH7" i="2"/>
  <c r="DI7" i="2"/>
  <c r="DJ7" i="2"/>
  <c r="DK7" i="2"/>
  <c r="K7" i="2"/>
  <c r="M7" i="2"/>
  <c r="S7" i="2"/>
  <c r="DQ9" i="2" l="1"/>
  <c r="AC9" i="14" l="1"/>
  <c r="AC7" i="14" s="1"/>
  <c r="AI10" i="14" l="1"/>
  <c r="AA10" i="14" l="1"/>
  <c r="AA7" i="14" s="1"/>
  <c r="U12" i="4" l="1"/>
  <c r="U7" i="4" s="1"/>
  <c r="AD138" i="21" l="1"/>
  <c r="AD7" i="21" l="1"/>
  <c r="AG10" i="14"/>
  <c r="AK10" i="14" s="1"/>
  <c r="Z11" i="21" l="1"/>
  <c r="Z7" i="21" s="1"/>
  <c r="R10" i="14" l="1"/>
  <c r="S10" i="14"/>
  <c r="R11" i="14"/>
  <c r="S11" i="14"/>
  <c r="R12" i="14"/>
  <c r="S12" i="14"/>
  <c r="R13" i="14"/>
  <c r="S13" i="14"/>
  <c r="R14" i="14"/>
  <c r="S14" i="14"/>
  <c r="R15" i="14"/>
  <c r="S15" i="14"/>
  <c r="R16" i="14"/>
  <c r="S16" i="14"/>
  <c r="R17" i="14"/>
  <c r="S17" i="14"/>
  <c r="R18" i="14"/>
  <c r="S18" i="14"/>
  <c r="R19" i="14"/>
  <c r="S19" i="14"/>
  <c r="R20" i="14"/>
  <c r="S20" i="14"/>
  <c r="R21" i="14"/>
  <c r="S21" i="14"/>
  <c r="R22" i="14"/>
  <c r="S22" i="14"/>
  <c r="R23" i="14"/>
  <c r="S23" i="14"/>
  <c r="R24" i="14"/>
  <c r="S24" i="14"/>
  <c r="R25" i="14"/>
  <c r="S25" i="14"/>
  <c r="R26" i="14"/>
  <c r="S26" i="14"/>
  <c r="R27" i="14"/>
  <c r="S27" i="14"/>
  <c r="R28" i="14"/>
  <c r="S28" i="14"/>
  <c r="R29" i="14"/>
  <c r="S29" i="14"/>
  <c r="R30" i="14"/>
  <c r="S30" i="14"/>
  <c r="R31" i="14"/>
  <c r="S31" i="14"/>
  <c r="R32" i="14"/>
  <c r="S32" i="14"/>
  <c r="R33" i="14"/>
  <c r="S33" i="14"/>
  <c r="R34" i="14"/>
  <c r="S34" i="14"/>
  <c r="R35" i="14"/>
  <c r="S35" i="14"/>
  <c r="R36" i="14"/>
  <c r="S36" i="14"/>
  <c r="R37" i="14"/>
  <c r="S37" i="14"/>
  <c r="R38" i="14"/>
  <c r="S38" i="14"/>
  <c r="R39" i="14"/>
  <c r="S39" i="14"/>
  <c r="R40" i="14"/>
  <c r="S40" i="14"/>
  <c r="R41" i="14"/>
  <c r="S41" i="14"/>
  <c r="R42" i="14"/>
  <c r="S42" i="14"/>
  <c r="R43" i="14"/>
  <c r="S43" i="14"/>
  <c r="R44" i="14"/>
  <c r="S44" i="14"/>
  <c r="R45" i="14"/>
  <c r="S45" i="14"/>
  <c r="R46" i="14"/>
  <c r="S46" i="14"/>
  <c r="R47" i="14"/>
  <c r="S47" i="14"/>
  <c r="R48" i="14"/>
  <c r="S48" i="14"/>
  <c r="R49" i="14"/>
  <c r="S49" i="14"/>
  <c r="R50" i="14"/>
  <c r="S50" i="14"/>
  <c r="R51" i="14"/>
  <c r="S51" i="14"/>
  <c r="R52" i="14"/>
  <c r="S52" i="14"/>
  <c r="R53" i="14"/>
  <c r="S53" i="14"/>
  <c r="R54" i="14"/>
  <c r="S54" i="14"/>
  <c r="R55" i="14"/>
  <c r="S55" i="14"/>
  <c r="R56" i="14"/>
  <c r="S56" i="14"/>
  <c r="R57" i="14"/>
  <c r="S57" i="14"/>
  <c r="R58" i="14"/>
  <c r="S58" i="14"/>
  <c r="R59" i="14"/>
  <c r="S59" i="14"/>
  <c r="R10" i="13"/>
  <c r="S10" i="13"/>
  <c r="R11" i="13"/>
  <c r="S11" i="13"/>
  <c r="R12" i="13"/>
  <c r="S12" i="13"/>
  <c r="R13" i="13"/>
  <c r="S13" i="13"/>
  <c r="R14" i="13"/>
  <c r="S14" i="13"/>
  <c r="R15" i="13"/>
  <c r="S15" i="13"/>
  <c r="R16" i="13"/>
  <c r="S16" i="13"/>
  <c r="R17" i="13"/>
  <c r="S17" i="13"/>
  <c r="R18" i="13"/>
  <c r="S18" i="13"/>
  <c r="R19" i="13"/>
  <c r="S19" i="13"/>
  <c r="R20" i="13"/>
  <c r="S20" i="13"/>
  <c r="R21" i="13"/>
  <c r="S21" i="13"/>
  <c r="R22" i="13"/>
  <c r="S22" i="13"/>
  <c r="R23" i="13"/>
  <c r="S23" i="13"/>
  <c r="R24" i="13"/>
  <c r="S24" i="13"/>
  <c r="R25" i="13"/>
  <c r="S25" i="13"/>
  <c r="R26" i="13"/>
  <c r="S26" i="13"/>
  <c r="R27" i="13"/>
  <c r="S27" i="13"/>
  <c r="R28" i="13"/>
  <c r="S28" i="13"/>
  <c r="R29" i="13"/>
  <c r="S29" i="13"/>
  <c r="R30" i="13"/>
  <c r="S30" i="13"/>
  <c r="R31" i="13"/>
  <c r="S31" i="13"/>
  <c r="R32" i="13"/>
  <c r="S32" i="13"/>
  <c r="R33" i="13"/>
  <c r="S33" i="13"/>
  <c r="R34" i="13"/>
  <c r="S34" i="13"/>
  <c r="R35" i="13"/>
  <c r="S35" i="13"/>
  <c r="R36" i="13"/>
  <c r="S36" i="13"/>
  <c r="R37" i="13"/>
  <c r="S37" i="13"/>
  <c r="R38" i="13"/>
  <c r="S38" i="13"/>
  <c r="R39" i="13"/>
  <c r="S39" i="13"/>
  <c r="R40" i="13"/>
  <c r="S40" i="13"/>
  <c r="R41" i="13"/>
  <c r="S41" i="13"/>
  <c r="R42" i="13"/>
  <c r="S42" i="13"/>
  <c r="R43" i="13"/>
  <c r="S43" i="13"/>
  <c r="R44" i="13"/>
  <c r="S44" i="13"/>
  <c r="R45" i="13"/>
  <c r="S45" i="13"/>
  <c r="R46" i="13"/>
  <c r="S46" i="13"/>
  <c r="R47" i="13"/>
  <c r="S47" i="13"/>
  <c r="R48" i="13"/>
  <c r="S48" i="13"/>
  <c r="R49" i="13"/>
  <c r="S49" i="13"/>
  <c r="R50" i="13"/>
  <c r="S50" i="13"/>
  <c r="R51" i="13"/>
  <c r="S51" i="13"/>
  <c r="R52" i="13"/>
  <c r="S52" i="13"/>
  <c r="R53" i="13"/>
  <c r="S53" i="13"/>
  <c r="R54" i="13"/>
  <c r="S54" i="13"/>
  <c r="R55" i="13"/>
  <c r="S55" i="13"/>
  <c r="R56" i="13"/>
  <c r="S56" i="13"/>
  <c r="R57" i="13"/>
  <c r="S57" i="13"/>
  <c r="R58" i="13"/>
  <c r="S58" i="13"/>
  <c r="R59" i="13"/>
  <c r="S59" i="13"/>
  <c r="R60" i="13"/>
  <c r="S60" i="13"/>
  <c r="R61" i="13"/>
  <c r="S61" i="13"/>
  <c r="R62" i="13"/>
  <c r="S62" i="13"/>
  <c r="R63" i="13"/>
  <c r="S63" i="13"/>
  <c r="R64" i="13"/>
  <c r="S64" i="13"/>
  <c r="R65" i="13"/>
  <c r="S65" i="13"/>
  <c r="R66" i="13"/>
  <c r="S66" i="13"/>
  <c r="R67" i="13"/>
  <c r="S67" i="13"/>
  <c r="R68" i="13"/>
  <c r="S68" i="13"/>
  <c r="R69" i="13"/>
  <c r="S69" i="13"/>
  <c r="R70" i="13"/>
  <c r="S70" i="13"/>
  <c r="R71" i="13"/>
  <c r="S71" i="13"/>
  <c r="R72" i="13"/>
  <c r="S72" i="13"/>
  <c r="R73" i="13"/>
  <c r="S73" i="13"/>
  <c r="R74" i="13"/>
  <c r="S74" i="13"/>
  <c r="R75" i="13"/>
  <c r="S75" i="13"/>
  <c r="R76" i="13"/>
  <c r="S76" i="13"/>
  <c r="R77" i="13"/>
  <c r="S77" i="13"/>
  <c r="R78" i="13"/>
  <c r="S78" i="13"/>
  <c r="R79" i="13"/>
  <c r="S79" i="13"/>
  <c r="R80" i="13"/>
  <c r="S80" i="13"/>
  <c r="R81" i="13"/>
  <c r="S81" i="13"/>
  <c r="R82" i="13"/>
  <c r="S82" i="13"/>
  <c r="R83" i="13"/>
  <c r="S83" i="13"/>
  <c r="R84" i="13"/>
  <c r="S84" i="13"/>
  <c r="R85" i="13"/>
  <c r="S85" i="13"/>
  <c r="R86" i="13"/>
  <c r="S86" i="13"/>
  <c r="R87" i="13"/>
  <c r="S87" i="13"/>
  <c r="R88" i="13"/>
  <c r="S88" i="13"/>
  <c r="R89" i="13"/>
  <c r="S89" i="13"/>
  <c r="R90" i="13"/>
  <c r="S90" i="13"/>
  <c r="R91" i="13"/>
  <c r="S91" i="13"/>
  <c r="R92" i="13"/>
  <c r="S92" i="13"/>
  <c r="R93" i="13"/>
  <c r="S93" i="13"/>
  <c r="R94" i="13"/>
  <c r="S94" i="13"/>
  <c r="R95" i="13"/>
  <c r="S95" i="13"/>
  <c r="R96" i="13"/>
  <c r="S96" i="13"/>
  <c r="R97" i="13"/>
  <c r="S97" i="13"/>
  <c r="R98" i="13"/>
  <c r="S98" i="13"/>
  <c r="R99" i="13"/>
  <c r="S99" i="13"/>
  <c r="R100" i="13"/>
  <c r="S100" i="13"/>
  <c r="R101" i="13"/>
  <c r="S101" i="13"/>
  <c r="R102" i="13"/>
  <c r="S102" i="13"/>
  <c r="R103" i="13"/>
  <c r="S103" i="13"/>
  <c r="R104" i="13"/>
  <c r="S104" i="13"/>
  <c r="R105" i="13"/>
  <c r="S105" i="13"/>
  <c r="R106" i="13"/>
  <c r="S106" i="13"/>
  <c r="R107" i="13"/>
  <c r="S107" i="13"/>
  <c r="R108" i="13"/>
  <c r="S108" i="13"/>
  <c r="R109" i="13"/>
  <c r="S109" i="13"/>
  <c r="R110" i="13"/>
  <c r="S110" i="13"/>
  <c r="R111" i="13"/>
  <c r="S111" i="13"/>
  <c r="R112" i="13"/>
  <c r="S112" i="13"/>
  <c r="R113" i="13"/>
  <c r="S113" i="13"/>
  <c r="R114" i="13"/>
  <c r="S114" i="13"/>
  <c r="R115" i="13"/>
  <c r="S115" i="13"/>
  <c r="R116" i="13"/>
  <c r="S116" i="13"/>
  <c r="R117" i="13"/>
  <c r="S117" i="13"/>
  <c r="R118" i="13"/>
  <c r="S118" i="13"/>
  <c r="R119" i="13"/>
  <c r="S119" i="13"/>
  <c r="R120" i="13"/>
  <c r="S120" i="13"/>
  <c r="R121" i="13"/>
  <c r="S121" i="13"/>
  <c r="R122" i="13"/>
  <c r="S122" i="13"/>
  <c r="R123" i="13"/>
  <c r="S123" i="13"/>
  <c r="R124" i="13"/>
  <c r="S124" i="13"/>
  <c r="R125" i="13"/>
  <c r="S125" i="13"/>
  <c r="R126" i="13"/>
  <c r="S126" i="13"/>
  <c r="R127" i="13"/>
  <c r="S127" i="13"/>
  <c r="R128" i="13"/>
  <c r="S128" i="13"/>
  <c r="R129" i="13"/>
  <c r="S129" i="13"/>
  <c r="R130" i="13"/>
  <c r="S130" i="13"/>
  <c r="R131" i="13"/>
  <c r="S131" i="13"/>
  <c r="R132" i="13"/>
  <c r="S132" i="13"/>
  <c r="R133" i="13"/>
  <c r="S133" i="13"/>
  <c r="R134" i="13"/>
  <c r="S134" i="13"/>
  <c r="R135" i="13"/>
  <c r="S135" i="13"/>
  <c r="R136" i="13"/>
  <c r="S136" i="13"/>
  <c r="R137" i="13"/>
  <c r="S137" i="13"/>
  <c r="R138" i="13"/>
  <c r="S138" i="13"/>
  <c r="R139" i="13"/>
  <c r="S139" i="13"/>
  <c r="R140" i="13"/>
  <c r="S140" i="13"/>
  <c r="R141" i="13"/>
  <c r="S141" i="13"/>
  <c r="R142" i="13"/>
  <c r="S142" i="13"/>
  <c r="R143" i="13"/>
  <c r="S143" i="13"/>
  <c r="R144" i="13"/>
  <c r="S144" i="13"/>
  <c r="R145" i="13"/>
  <c r="S145" i="13"/>
  <c r="R146" i="13"/>
  <c r="S146" i="13"/>
  <c r="R147" i="13"/>
  <c r="S147" i="13"/>
  <c r="R148" i="13"/>
  <c r="S148" i="13"/>
  <c r="R149" i="13"/>
  <c r="S149" i="13"/>
  <c r="R150" i="13"/>
  <c r="S150" i="13"/>
  <c r="R151" i="13"/>
  <c r="S151" i="13"/>
  <c r="R152" i="13"/>
  <c r="S152" i="13"/>
  <c r="R153" i="13"/>
  <c r="S153" i="13"/>
  <c r="DI11" i="22" l="1"/>
  <c r="DH11" i="22"/>
  <c r="DG11" i="22"/>
  <c r="DF11" i="22"/>
  <c r="DE11" i="22"/>
  <c r="DD11" i="22"/>
  <c r="CY11" i="22"/>
  <c r="CX11" i="22"/>
  <c r="CS11" i="22"/>
  <c r="CR11" i="22"/>
  <c r="CM11" i="22"/>
  <c r="CL11" i="22"/>
  <c r="CG11" i="22"/>
  <c r="CF11" i="22"/>
  <c r="CA11" i="22"/>
  <c r="BZ11" i="22"/>
  <c r="BU11" i="22"/>
  <c r="BT11" i="22"/>
  <c r="BO11" i="22"/>
  <c r="BN11" i="22"/>
  <c r="BI11" i="22"/>
  <c r="BH11" i="22"/>
  <c r="BC11" i="22"/>
  <c r="BB11" i="22"/>
  <c r="AW11" i="22"/>
  <c r="AV11" i="22"/>
  <c r="AQ11" i="22"/>
  <c r="AP11" i="22"/>
  <c r="AI11" i="22"/>
  <c r="L11" i="22" s="1"/>
  <c r="AH11" i="22"/>
  <c r="AG11" i="22"/>
  <c r="AF11" i="22"/>
  <c r="AE11" i="22"/>
  <c r="AD11" i="22"/>
  <c r="Y11" i="22"/>
  <c r="X11" i="22"/>
  <c r="S11" i="22"/>
  <c r="R11" i="22"/>
  <c r="DI9" i="22"/>
  <c r="DH9" i="22"/>
  <c r="DG9" i="22"/>
  <c r="DF9" i="22"/>
  <c r="DE9" i="22"/>
  <c r="AG17" i="26" s="1"/>
  <c r="AG53" i="26" s="1"/>
  <c r="DD9" i="22"/>
  <c r="CY9" i="22"/>
  <c r="CX9" i="22"/>
  <c r="CS9" i="22"/>
  <c r="AC17" i="26" s="1"/>
  <c r="AC53" i="26" s="1"/>
  <c r="CR9" i="22"/>
  <c r="CM9" i="22"/>
  <c r="AA17" i="26" s="1"/>
  <c r="AA53" i="26" s="1"/>
  <c r="CL9" i="22"/>
  <c r="CG9" i="22"/>
  <c r="CF9" i="22"/>
  <c r="CA9" i="22"/>
  <c r="BZ9" i="22"/>
  <c r="BU9" i="22"/>
  <c r="U17" i="26" s="1"/>
  <c r="U53" i="26" s="1"/>
  <c r="BT9" i="22"/>
  <c r="BO9" i="22"/>
  <c r="BN9" i="22"/>
  <c r="BI9" i="22"/>
  <c r="BH9" i="22"/>
  <c r="BC9" i="22"/>
  <c r="BB9" i="22"/>
  <c r="AW9" i="22"/>
  <c r="AV9" i="22"/>
  <c r="AQ9" i="22"/>
  <c r="AP9" i="22"/>
  <c r="AI9" i="22"/>
  <c r="AH9" i="22"/>
  <c r="AG9" i="22"/>
  <c r="AF9" i="22"/>
  <c r="AE9" i="22"/>
  <c r="AD9" i="22"/>
  <c r="Y9" i="22"/>
  <c r="X9" i="22"/>
  <c r="S9" i="22"/>
  <c r="R9" i="22"/>
  <c r="AE17" i="26" l="1"/>
  <c r="AW2" i="22"/>
  <c r="DK11" i="22"/>
  <c r="O9" i="22"/>
  <c r="W17" i="26"/>
  <c r="W53" i="26" s="1"/>
  <c r="O17" i="26"/>
  <c r="Q17" i="26"/>
  <c r="Y17" i="26"/>
  <c r="Y53" i="26" s="1"/>
  <c r="K17" i="26"/>
  <c r="S17" i="26"/>
  <c r="S53" i="26" s="1"/>
  <c r="DK9" i="22"/>
  <c r="AJ11" i="22"/>
  <c r="AK11" i="22"/>
  <c r="DJ11" i="22"/>
  <c r="F11" i="22" s="1"/>
  <c r="DJ9" i="22"/>
  <c r="AJ9" i="22"/>
  <c r="AK9" i="22"/>
  <c r="J22" i="19"/>
  <c r="J7" i="19" s="1"/>
  <c r="AE53" i="26" l="1"/>
  <c r="F9" i="22"/>
  <c r="Q53" i="26"/>
  <c r="O53" i="26"/>
  <c r="AI17" i="26"/>
  <c r="K53" i="26"/>
  <c r="G17" i="26"/>
  <c r="K11" i="22"/>
  <c r="G11" i="22"/>
  <c r="K9" i="22"/>
  <c r="G9" i="22"/>
  <c r="L9" i="22"/>
  <c r="T22" i="19"/>
  <c r="U22" i="19"/>
  <c r="Z22" i="19"/>
  <c r="AA22" i="19"/>
  <c r="AF22" i="19"/>
  <c r="AG22" i="19"/>
  <c r="AH22" i="19"/>
  <c r="AI22" i="19"/>
  <c r="AJ22" i="19"/>
  <c r="AK22" i="19"/>
  <c r="AR22" i="19"/>
  <c r="AS22" i="19"/>
  <c r="AX22" i="19"/>
  <c r="AY22" i="19"/>
  <c r="BD22" i="19"/>
  <c r="BF22" i="19"/>
  <c r="BK22" i="19"/>
  <c r="BM22" i="19"/>
  <c r="BR22" i="19"/>
  <c r="BT22" i="19"/>
  <c r="BY22" i="19"/>
  <c r="CA22" i="19"/>
  <c r="CF22" i="19"/>
  <c r="CH22" i="19"/>
  <c r="CM22" i="19"/>
  <c r="CO22" i="19"/>
  <c r="CT22" i="19"/>
  <c r="CV22" i="19"/>
  <c r="DA22" i="19"/>
  <c r="DB22" i="19"/>
  <c r="DG22" i="19"/>
  <c r="DH22" i="19"/>
  <c r="DM22" i="19"/>
  <c r="DN22" i="19"/>
  <c r="DO22" i="19"/>
  <c r="DP22" i="19"/>
  <c r="DQ22" i="19"/>
  <c r="DR22" i="19"/>
  <c r="DP138" i="21"/>
  <c r="DO138" i="21"/>
  <c r="DN138" i="21"/>
  <c r="DM138" i="21"/>
  <c r="DL138" i="21"/>
  <c r="DK138" i="21"/>
  <c r="DF138" i="21"/>
  <c r="DE138" i="21"/>
  <c r="CZ138" i="21"/>
  <c r="CY138" i="21"/>
  <c r="CT138" i="21"/>
  <c r="CS138" i="21"/>
  <c r="CN138" i="21"/>
  <c r="CM138" i="21"/>
  <c r="CH138" i="21"/>
  <c r="CG138" i="21"/>
  <c r="CB138" i="21"/>
  <c r="BZ138" i="21"/>
  <c r="BU138" i="21"/>
  <c r="BS138" i="21"/>
  <c r="BN138" i="21"/>
  <c r="BL138" i="21"/>
  <c r="BG138" i="21"/>
  <c r="BE138" i="21"/>
  <c r="AZ138" i="21"/>
  <c r="AY138" i="21"/>
  <c r="AT138" i="21"/>
  <c r="AS138" i="21"/>
  <c r="AL138" i="21"/>
  <c r="AK138" i="21"/>
  <c r="AJ138" i="21"/>
  <c r="AI138" i="21"/>
  <c r="AH138" i="21"/>
  <c r="AG138" i="21"/>
  <c r="AB138" i="21"/>
  <c r="AA138" i="21"/>
  <c r="V138" i="21"/>
  <c r="U138" i="21"/>
  <c r="DP137" i="21"/>
  <c r="DO137" i="21"/>
  <c r="DN137" i="21"/>
  <c r="DM137" i="21"/>
  <c r="DL137" i="21"/>
  <c r="DK137" i="21"/>
  <c r="DF137" i="21"/>
  <c r="DE137" i="21"/>
  <c r="CZ137" i="21"/>
  <c r="CY137" i="21"/>
  <c r="CT137" i="21"/>
  <c r="CS137" i="21"/>
  <c r="CN137" i="21"/>
  <c r="CM137" i="21"/>
  <c r="CH137" i="21"/>
  <c r="CG137" i="21"/>
  <c r="CB137" i="21"/>
  <c r="BZ137" i="21"/>
  <c r="BU137" i="21"/>
  <c r="BS137" i="21"/>
  <c r="BN137" i="21"/>
  <c r="BL137" i="21"/>
  <c r="BG137" i="21"/>
  <c r="BE137" i="21"/>
  <c r="AZ137" i="21"/>
  <c r="AY137" i="21"/>
  <c r="AT137" i="21"/>
  <c r="AS137" i="21"/>
  <c r="AL137" i="21"/>
  <c r="AK137" i="21"/>
  <c r="AJ137" i="21"/>
  <c r="AI137" i="21"/>
  <c r="AH137" i="21"/>
  <c r="AG137" i="21"/>
  <c r="AB137" i="21"/>
  <c r="AA137" i="21"/>
  <c r="V137" i="21"/>
  <c r="U137" i="21"/>
  <c r="DP136" i="21"/>
  <c r="DO136" i="21"/>
  <c r="DN136" i="21"/>
  <c r="DM136" i="21"/>
  <c r="DL136" i="21"/>
  <c r="DK136" i="21"/>
  <c r="DF136" i="21"/>
  <c r="DE136" i="21"/>
  <c r="CZ136" i="21"/>
  <c r="CY136" i="21"/>
  <c r="CT136" i="21"/>
  <c r="CS136" i="21"/>
  <c r="CN136" i="21"/>
  <c r="CM136" i="21"/>
  <c r="CH136" i="21"/>
  <c r="CG136" i="21"/>
  <c r="CB136" i="21"/>
  <c r="BZ136" i="21"/>
  <c r="BU136" i="21"/>
  <c r="BS136" i="21"/>
  <c r="BN136" i="21"/>
  <c r="BL136" i="21"/>
  <c r="BG136" i="21"/>
  <c r="BE136" i="21"/>
  <c r="AZ136" i="21"/>
  <c r="AY136" i="21"/>
  <c r="AT136" i="21"/>
  <c r="AS136" i="21"/>
  <c r="AL136" i="21"/>
  <c r="AK136" i="21"/>
  <c r="AJ136" i="21"/>
  <c r="AI136" i="21"/>
  <c r="AH136" i="21"/>
  <c r="AG136" i="21"/>
  <c r="AB136" i="21"/>
  <c r="AA136" i="21"/>
  <c r="V136" i="21"/>
  <c r="U136" i="21"/>
  <c r="DP135" i="21"/>
  <c r="DO135" i="21"/>
  <c r="DN135" i="21"/>
  <c r="DM135" i="21"/>
  <c r="DL135" i="21"/>
  <c r="DK135" i="21"/>
  <c r="DF135" i="21"/>
  <c r="DE135" i="21"/>
  <c r="CZ135" i="21"/>
  <c r="CY135" i="21"/>
  <c r="CT135" i="21"/>
  <c r="CS135" i="21"/>
  <c r="CN135" i="21"/>
  <c r="CM135" i="21"/>
  <c r="CH135" i="21"/>
  <c r="CG135" i="21"/>
  <c r="CB135" i="21"/>
  <c r="BZ135" i="21"/>
  <c r="BU135" i="21"/>
  <c r="BS135" i="21"/>
  <c r="BN135" i="21"/>
  <c r="BL135" i="21"/>
  <c r="BG135" i="21"/>
  <c r="BE135" i="21"/>
  <c r="AZ135" i="21"/>
  <c r="AY135" i="21"/>
  <c r="AT135" i="21"/>
  <c r="AS135" i="21"/>
  <c r="AL135" i="21"/>
  <c r="AK135" i="21"/>
  <c r="AJ135" i="21"/>
  <c r="AI135" i="21"/>
  <c r="AH135" i="21"/>
  <c r="AG135" i="21"/>
  <c r="AB135" i="21"/>
  <c r="AA135" i="21"/>
  <c r="V135" i="21"/>
  <c r="U135" i="21"/>
  <c r="DP134" i="21"/>
  <c r="DO134" i="21"/>
  <c r="DN134" i="21"/>
  <c r="DM134" i="21"/>
  <c r="DL134" i="21"/>
  <c r="DK134" i="21"/>
  <c r="DF134" i="21"/>
  <c r="DE134" i="21"/>
  <c r="CZ134" i="21"/>
  <c r="CY134" i="21"/>
  <c r="CT134" i="21"/>
  <c r="CS134" i="21"/>
  <c r="CN134" i="21"/>
  <c r="CM134" i="21"/>
  <c r="CH134" i="21"/>
  <c r="CG134" i="21"/>
  <c r="CB134" i="21"/>
  <c r="BZ134" i="21"/>
  <c r="BU134" i="21"/>
  <c r="BS134" i="21"/>
  <c r="BN134" i="21"/>
  <c r="BL134" i="21"/>
  <c r="BG134" i="21"/>
  <c r="BE134" i="21"/>
  <c r="AZ134" i="21"/>
  <c r="AY134" i="21"/>
  <c r="AT134" i="21"/>
  <c r="AS134" i="21"/>
  <c r="AL134" i="21"/>
  <c r="AK134" i="21"/>
  <c r="AJ134" i="21"/>
  <c r="AI134" i="21"/>
  <c r="AH134" i="21"/>
  <c r="AG134" i="21"/>
  <c r="AB134" i="21"/>
  <c r="AA134" i="21"/>
  <c r="V134" i="21"/>
  <c r="U134" i="21"/>
  <c r="DP133" i="21"/>
  <c r="DO133" i="21"/>
  <c r="DN133" i="21"/>
  <c r="DM133" i="21"/>
  <c r="DL133" i="21"/>
  <c r="DK133" i="21"/>
  <c r="DF133" i="21"/>
  <c r="DE133" i="21"/>
  <c r="CZ133" i="21"/>
  <c r="CY133" i="21"/>
  <c r="CT133" i="21"/>
  <c r="CS133" i="21"/>
  <c r="CN133" i="21"/>
  <c r="CM133" i="21"/>
  <c r="CH133" i="21"/>
  <c r="CG133" i="21"/>
  <c r="CB133" i="21"/>
  <c r="BZ133" i="21"/>
  <c r="BU133" i="21"/>
  <c r="BS133" i="21"/>
  <c r="BN133" i="21"/>
  <c r="BL133" i="21"/>
  <c r="BG133" i="21"/>
  <c r="BE133" i="21"/>
  <c r="AZ133" i="21"/>
  <c r="AY133" i="21"/>
  <c r="AT133" i="21"/>
  <c r="AS133" i="21"/>
  <c r="AL133" i="21"/>
  <c r="AK133" i="21"/>
  <c r="AJ133" i="21"/>
  <c r="AI133" i="21"/>
  <c r="AH133" i="21"/>
  <c r="AG133" i="21"/>
  <c r="AB133" i="21"/>
  <c r="AA133" i="21"/>
  <c r="V133" i="21"/>
  <c r="U133" i="21"/>
  <c r="DP132" i="21"/>
  <c r="DO132" i="21"/>
  <c r="DN132" i="21"/>
  <c r="DM132" i="21"/>
  <c r="DL132" i="21"/>
  <c r="DK132" i="21"/>
  <c r="DF132" i="21"/>
  <c r="DE132" i="21"/>
  <c r="CZ132" i="21"/>
  <c r="CY132" i="21"/>
  <c r="CT132" i="21"/>
  <c r="CS132" i="21"/>
  <c r="CN132" i="21"/>
  <c r="CM132" i="21"/>
  <c r="CH132" i="21"/>
  <c r="CG132" i="21"/>
  <c r="CB132" i="21"/>
  <c r="BZ132" i="21"/>
  <c r="BU132" i="21"/>
  <c r="BS132" i="21"/>
  <c r="BN132" i="21"/>
  <c r="BL132" i="21"/>
  <c r="BG132" i="21"/>
  <c r="BE132" i="21"/>
  <c r="AZ132" i="21"/>
  <c r="AY132" i="21"/>
  <c r="AT132" i="21"/>
  <c r="AS132" i="21"/>
  <c r="AL132" i="21"/>
  <c r="AK132" i="21"/>
  <c r="AJ132" i="21"/>
  <c r="AI132" i="21"/>
  <c r="AH132" i="21"/>
  <c r="AG132" i="21"/>
  <c r="AB132" i="21"/>
  <c r="AA132" i="21"/>
  <c r="V132" i="21"/>
  <c r="U132" i="21"/>
  <c r="DP131" i="21"/>
  <c r="DO131" i="21"/>
  <c r="DN131" i="21"/>
  <c r="DM131" i="21"/>
  <c r="DL131" i="21"/>
  <c r="DK131" i="21"/>
  <c r="DF131" i="21"/>
  <c r="DE131" i="21"/>
  <c r="CZ131" i="21"/>
  <c r="CY131" i="21"/>
  <c r="CT131" i="21"/>
  <c r="CS131" i="21"/>
  <c r="CN131" i="21"/>
  <c r="CM131" i="21"/>
  <c r="CH131" i="21"/>
  <c r="CG131" i="21"/>
  <c r="CB131" i="21"/>
  <c r="BZ131" i="21"/>
  <c r="BU131" i="21"/>
  <c r="BS131" i="21"/>
  <c r="BN131" i="21"/>
  <c r="BL131" i="21"/>
  <c r="BG131" i="21"/>
  <c r="BE131" i="21"/>
  <c r="AZ131" i="21"/>
  <c r="AY131" i="21"/>
  <c r="AT131" i="21"/>
  <c r="AS131" i="21"/>
  <c r="AL131" i="21"/>
  <c r="AK131" i="21"/>
  <c r="AJ131" i="21"/>
  <c r="AI131" i="21"/>
  <c r="AH131" i="21"/>
  <c r="AG131" i="21"/>
  <c r="AB131" i="21"/>
  <c r="AA131" i="21"/>
  <c r="V131" i="21"/>
  <c r="U131" i="21"/>
  <c r="DP130" i="21"/>
  <c r="DO130" i="21"/>
  <c r="DN130" i="21"/>
  <c r="DM130" i="21"/>
  <c r="DL130" i="21"/>
  <c r="DK130" i="21"/>
  <c r="DF130" i="21"/>
  <c r="DE130" i="21"/>
  <c r="CZ130" i="21"/>
  <c r="CY130" i="21"/>
  <c r="CT130" i="21"/>
  <c r="CS130" i="21"/>
  <c r="CN130" i="21"/>
  <c r="CM130" i="21"/>
  <c r="CH130" i="21"/>
  <c r="CG130" i="21"/>
  <c r="CB130" i="21"/>
  <c r="BZ130" i="21"/>
  <c r="BU130" i="21"/>
  <c r="BS130" i="21"/>
  <c r="BN130" i="21"/>
  <c r="BL130" i="21"/>
  <c r="BG130" i="21"/>
  <c r="BE130" i="21"/>
  <c r="AZ130" i="21"/>
  <c r="AY130" i="21"/>
  <c r="AT130" i="21"/>
  <c r="AS130" i="21"/>
  <c r="AL130" i="21"/>
  <c r="AK130" i="21"/>
  <c r="AJ130" i="21"/>
  <c r="AI130" i="21"/>
  <c r="AH130" i="21"/>
  <c r="AG130" i="21"/>
  <c r="AB130" i="21"/>
  <c r="AA130" i="21"/>
  <c r="V130" i="21"/>
  <c r="U130" i="21"/>
  <c r="DP129" i="21"/>
  <c r="DO129" i="21"/>
  <c r="DN129" i="21"/>
  <c r="DM129" i="21"/>
  <c r="DL129" i="21"/>
  <c r="DK129" i="21"/>
  <c r="DF129" i="21"/>
  <c r="DE129" i="21"/>
  <c r="CZ129" i="21"/>
  <c r="CY129" i="21"/>
  <c r="CT129" i="21"/>
  <c r="CS129" i="21"/>
  <c r="CN129" i="21"/>
  <c r="CM129" i="21"/>
  <c r="CH129" i="21"/>
  <c r="CG129" i="21"/>
  <c r="CB129" i="21"/>
  <c r="BZ129" i="21"/>
  <c r="BU129" i="21"/>
  <c r="BS129" i="21"/>
  <c r="BN129" i="21"/>
  <c r="BL129" i="21"/>
  <c r="BG129" i="21"/>
  <c r="BE129" i="21"/>
  <c r="AZ129" i="21"/>
  <c r="AY129" i="21"/>
  <c r="AT129" i="21"/>
  <c r="AS129" i="21"/>
  <c r="AL129" i="21"/>
  <c r="AK129" i="21"/>
  <c r="AJ129" i="21"/>
  <c r="AI129" i="21"/>
  <c r="AH129" i="21"/>
  <c r="AG129" i="21"/>
  <c r="AB129" i="21"/>
  <c r="AA129" i="21"/>
  <c r="V129" i="21"/>
  <c r="U129" i="21"/>
  <c r="DP128" i="21"/>
  <c r="DO128" i="21"/>
  <c r="DN128" i="21"/>
  <c r="DM128" i="21"/>
  <c r="DL128" i="21"/>
  <c r="DK128" i="21"/>
  <c r="DF128" i="21"/>
  <c r="DE128" i="21"/>
  <c r="CZ128" i="21"/>
  <c r="CY128" i="21"/>
  <c r="CT128" i="21"/>
  <c r="CS128" i="21"/>
  <c r="CN128" i="21"/>
  <c r="CM128" i="21"/>
  <c r="CH128" i="21"/>
  <c r="CG128" i="21"/>
  <c r="CB128" i="21"/>
  <c r="BZ128" i="21"/>
  <c r="BU128" i="21"/>
  <c r="BS128" i="21"/>
  <c r="BN128" i="21"/>
  <c r="BL128" i="21"/>
  <c r="BG128" i="21"/>
  <c r="BE128" i="21"/>
  <c r="AZ128" i="21"/>
  <c r="AY128" i="21"/>
  <c r="AT128" i="21"/>
  <c r="AS128" i="21"/>
  <c r="AL128" i="21"/>
  <c r="AK128" i="21"/>
  <c r="AJ128" i="21"/>
  <c r="AI128" i="21"/>
  <c r="AH128" i="21"/>
  <c r="AG128" i="21"/>
  <c r="AB128" i="21"/>
  <c r="AA128" i="21"/>
  <c r="V128" i="21"/>
  <c r="U128" i="21"/>
  <c r="DP127" i="21"/>
  <c r="DO127" i="21"/>
  <c r="DN127" i="21"/>
  <c r="DM127" i="21"/>
  <c r="DL127" i="21"/>
  <c r="DK127" i="21"/>
  <c r="DF127" i="21"/>
  <c r="DE127" i="21"/>
  <c r="CZ127" i="21"/>
  <c r="CY127" i="21"/>
  <c r="CT127" i="21"/>
  <c r="CS127" i="21"/>
  <c r="CN127" i="21"/>
  <c r="CM127" i="21"/>
  <c r="CH127" i="21"/>
  <c r="CG127" i="21"/>
  <c r="CB127" i="21"/>
  <c r="BZ127" i="21"/>
  <c r="BU127" i="21"/>
  <c r="BS127" i="21"/>
  <c r="BN127" i="21"/>
  <c r="BL127" i="21"/>
  <c r="BG127" i="21"/>
  <c r="BE127" i="21"/>
  <c r="AZ127" i="21"/>
  <c r="AY127" i="21"/>
  <c r="AT127" i="21"/>
  <c r="AS127" i="21"/>
  <c r="AL127" i="21"/>
  <c r="AK127" i="21"/>
  <c r="AJ127" i="21"/>
  <c r="AI127" i="21"/>
  <c r="AH127" i="21"/>
  <c r="AG127" i="21"/>
  <c r="AB127" i="21"/>
  <c r="AA127" i="21"/>
  <c r="V127" i="21"/>
  <c r="U127" i="21"/>
  <c r="DP126" i="21"/>
  <c r="DO126" i="21"/>
  <c r="DN126" i="21"/>
  <c r="DM126" i="21"/>
  <c r="DL126" i="21"/>
  <c r="DK126" i="21"/>
  <c r="DF126" i="21"/>
  <c r="DE126" i="21"/>
  <c r="CZ126" i="21"/>
  <c r="CY126" i="21"/>
  <c r="CT126" i="21"/>
  <c r="CS126" i="21"/>
  <c r="CN126" i="21"/>
  <c r="CM126" i="21"/>
  <c r="CH126" i="21"/>
  <c r="CG126" i="21"/>
  <c r="CB126" i="21"/>
  <c r="BZ126" i="21"/>
  <c r="BU126" i="21"/>
  <c r="BS126" i="21"/>
  <c r="BN126" i="21"/>
  <c r="BL126" i="21"/>
  <c r="BG126" i="21"/>
  <c r="BE126" i="21"/>
  <c r="AZ126" i="21"/>
  <c r="AY126" i="21"/>
  <c r="AT126" i="21"/>
  <c r="AS126" i="21"/>
  <c r="AL126" i="21"/>
  <c r="AK126" i="21"/>
  <c r="AJ126" i="21"/>
  <c r="AI126" i="21"/>
  <c r="AH126" i="21"/>
  <c r="AG126" i="21"/>
  <c r="AB126" i="21"/>
  <c r="AA126" i="21"/>
  <c r="V126" i="21"/>
  <c r="U126" i="21"/>
  <c r="DP125" i="21"/>
  <c r="DO125" i="21"/>
  <c r="DN125" i="21"/>
  <c r="DM125" i="21"/>
  <c r="DL125" i="21"/>
  <c r="DK125" i="21"/>
  <c r="DF125" i="21"/>
  <c r="DE125" i="21"/>
  <c r="CZ125" i="21"/>
  <c r="CY125" i="21"/>
  <c r="CT125" i="21"/>
  <c r="CS125" i="21"/>
  <c r="CN125" i="21"/>
  <c r="CM125" i="21"/>
  <c r="CH125" i="21"/>
  <c r="CG125" i="21"/>
  <c r="CB125" i="21"/>
  <c r="BZ125" i="21"/>
  <c r="BU125" i="21"/>
  <c r="BS125" i="21"/>
  <c r="BN125" i="21"/>
  <c r="BL125" i="21"/>
  <c r="BG125" i="21"/>
  <c r="BE125" i="21"/>
  <c r="AZ125" i="21"/>
  <c r="AY125" i="21"/>
  <c r="AT125" i="21"/>
  <c r="AS125" i="21"/>
  <c r="AL125" i="21"/>
  <c r="AK125" i="21"/>
  <c r="AJ125" i="21"/>
  <c r="AI125" i="21"/>
  <c r="AH125" i="21"/>
  <c r="AG125" i="21"/>
  <c r="AB125" i="21"/>
  <c r="AA125" i="21"/>
  <c r="V125" i="21"/>
  <c r="U125" i="21"/>
  <c r="DP124" i="21"/>
  <c r="DO124" i="21"/>
  <c r="DN124" i="21"/>
  <c r="DM124" i="21"/>
  <c r="DL124" i="21"/>
  <c r="DK124" i="21"/>
  <c r="DF124" i="21"/>
  <c r="DE124" i="21"/>
  <c r="CZ124" i="21"/>
  <c r="CY124" i="21"/>
  <c r="CT124" i="21"/>
  <c r="CS124" i="21"/>
  <c r="CN124" i="21"/>
  <c r="CM124" i="21"/>
  <c r="CH124" i="21"/>
  <c r="CG124" i="21"/>
  <c r="CB124" i="21"/>
  <c r="BZ124" i="21"/>
  <c r="BU124" i="21"/>
  <c r="BS124" i="21"/>
  <c r="BN124" i="21"/>
  <c r="BL124" i="21"/>
  <c r="BG124" i="21"/>
  <c r="BE124" i="21"/>
  <c r="AZ124" i="21"/>
  <c r="AY124" i="21"/>
  <c r="AT124" i="21"/>
  <c r="AS124" i="21"/>
  <c r="AL124" i="21"/>
  <c r="AK124" i="21"/>
  <c r="AJ124" i="21"/>
  <c r="AI124" i="21"/>
  <c r="AH124" i="21"/>
  <c r="AG124" i="21"/>
  <c r="AB124" i="21"/>
  <c r="AA124" i="21"/>
  <c r="V124" i="21"/>
  <c r="U124" i="21"/>
  <c r="DP123" i="21"/>
  <c r="DO123" i="21"/>
  <c r="DN123" i="21"/>
  <c r="DM123" i="21"/>
  <c r="DL123" i="21"/>
  <c r="DK123" i="21"/>
  <c r="DF123" i="21"/>
  <c r="DE123" i="21"/>
  <c r="CZ123" i="21"/>
  <c r="CY123" i="21"/>
  <c r="CT123" i="21"/>
  <c r="CS123" i="21"/>
  <c r="CN123" i="21"/>
  <c r="CM123" i="21"/>
  <c r="CH123" i="21"/>
  <c r="CG123" i="21"/>
  <c r="CB123" i="21"/>
  <c r="BZ123" i="21"/>
  <c r="BU123" i="21"/>
  <c r="BS123" i="21"/>
  <c r="BN123" i="21"/>
  <c r="BL123" i="21"/>
  <c r="BG123" i="21"/>
  <c r="BE123" i="21"/>
  <c r="AZ123" i="21"/>
  <c r="AY123" i="21"/>
  <c r="AT123" i="21"/>
  <c r="AS123" i="21"/>
  <c r="AL123" i="21"/>
  <c r="AK123" i="21"/>
  <c r="AJ123" i="21"/>
  <c r="AI123" i="21"/>
  <c r="AH123" i="21"/>
  <c r="AG123" i="21"/>
  <c r="AB123" i="21"/>
  <c r="AA123" i="21"/>
  <c r="V123" i="21"/>
  <c r="U123" i="21"/>
  <c r="DP122" i="21"/>
  <c r="DO122" i="21"/>
  <c r="DN122" i="21"/>
  <c r="DM122" i="21"/>
  <c r="DL122" i="21"/>
  <c r="DK122" i="21"/>
  <c r="DF122" i="21"/>
  <c r="DE122" i="21"/>
  <c r="CZ122" i="21"/>
  <c r="CY122" i="21"/>
  <c r="CT122" i="21"/>
  <c r="CS122" i="21"/>
  <c r="CN122" i="21"/>
  <c r="CM122" i="21"/>
  <c r="CH122" i="21"/>
  <c r="CG122" i="21"/>
  <c r="CB122" i="21"/>
  <c r="BZ122" i="21"/>
  <c r="BU122" i="21"/>
  <c r="BS122" i="21"/>
  <c r="BN122" i="21"/>
  <c r="BL122" i="21"/>
  <c r="BG122" i="21"/>
  <c r="BE122" i="21"/>
  <c r="AZ122" i="21"/>
  <c r="AY122" i="21"/>
  <c r="AT122" i="21"/>
  <c r="AS122" i="21"/>
  <c r="AL122" i="21"/>
  <c r="AK122" i="21"/>
  <c r="AJ122" i="21"/>
  <c r="AI122" i="21"/>
  <c r="AH122" i="21"/>
  <c r="AG122" i="21"/>
  <c r="AB122" i="21"/>
  <c r="AA122" i="21"/>
  <c r="V122" i="21"/>
  <c r="U122" i="21"/>
  <c r="DP121" i="21"/>
  <c r="DO121" i="21"/>
  <c r="DN121" i="21"/>
  <c r="DM121" i="21"/>
  <c r="DL121" i="21"/>
  <c r="DK121" i="21"/>
  <c r="DF121" i="21"/>
  <c r="DE121" i="21"/>
  <c r="CZ121" i="21"/>
  <c r="CY121" i="21"/>
  <c r="CT121" i="21"/>
  <c r="CS121" i="21"/>
  <c r="CN121" i="21"/>
  <c r="CM121" i="21"/>
  <c r="CH121" i="21"/>
  <c r="CG121" i="21"/>
  <c r="CB121" i="21"/>
  <c r="BZ121" i="21"/>
  <c r="BU121" i="21"/>
  <c r="BS121" i="21"/>
  <c r="BN121" i="21"/>
  <c r="BL121" i="21"/>
  <c r="BG121" i="21"/>
  <c r="BE121" i="21"/>
  <c r="AZ121" i="21"/>
  <c r="AY121" i="21"/>
  <c r="AT121" i="21"/>
  <c r="AS121" i="21"/>
  <c r="AL121" i="21"/>
  <c r="AK121" i="21"/>
  <c r="AJ121" i="21"/>
  <c r="AI121" i="21"/>
  <c r="AH121" i="21"/>
  <c r="AG121" i="21"/>
  <c r="AB121" i="21"/>
  <c r="AA121" i="21"/>
  <c r="V121" i="21"/>
  <c r="U121" i="21"/>
  <c r="DP120" i="21"/>
  <c r="DO120" i="21"/>
  <c r="DN120" i="21"/>
  <c r="DM120" i="21"/>
  <c r="DL120" i="21"/>
  <c r="DK120" i="21"/>
  <c r="DF120" i="21"/>
  <c r="DE120" i="21"/>
  <c r="CZ120" i="21"/>
  <c r="CY120" i="21"/>
  <c r="CT120" i="21"/>
  <c r="CS120" i="21"/>
  <c r="CN120" i="21"/>
  <c r="CM120" i="21"/>
  <c r="CH120" i="21"/>
  <c r="CG120" i="21"/>
  <c r="CB120" i="21"/>
  <c r="BZ120" i="21"/>
  <c r="BU120" i="21"/>
  <c r="BS120" i="21"/>
  <c r="BN120" i="21"/>
  <c r="BL120" i="21"/>
  <c r="BG120" i="21"/>
  <c r="BE120" i="21"/>
  <c r="AZ120" i="21"/>
  <c r="AY120" i="21"/>
  <c r="AT120" i="21"/>
  <c r="AS120" i="21"/>
  <c r="AL120" i="21"/>
  <c r="AK120" i="21"/>
  <c r="AJ120" i="21"/>
  <c r="AI120" i="21"/>
  <c r="AH120" i="21"/>
  <c r="AG120" i="21"/>
  <c r="AB120" i="21"/>
  <c r="AA120" i="21"/>
  <c r="V120" i="21"/>
  <c r="U120" i="21"/>
  <c r="DP119" i="21"/>
  <c r="DO119" i="21"/>
  <c r="DN119" i="21"/>
  <c r="DM119" i="21"/>
  <c r="DL119" i="21"/>
  <c r="DK119" i="21"/>
  <c r="DF119" i="21"/>
  <c r="DE119" i="21"/>
  <c r="CZ119" i="21"/>
  <c r="CY119" i="21"/>
  <c r="CT119" i="21"/>
  <c r="CS119" i="21"/>
  <c r="CN119" i="21"/>
  <c r="CM119" i="21"/>
  <c r="CH119" i="21"/>
  <c r="CG119" i="21"/>
  <c r="CB119" i="21"/>
  <c r="BZ119" i="21"/>
  <c r="BU119" i="21"/>
  <c r="BS119" i="21"/>
  <c r="BN119" i="21"/>
  <c r="BL119" i="21"/>
  <c r="BG119" i="21"/>
  <c r="BE119" i="21"/>
  <c r="AZ119" i="21"/>
  <c r="AY119" i="21"/>
  <c r="AT119" i="21"/>
  <c r="AS119" i="21"/>
  <c r="AL119" i="21"/>
  <c r="AK119" i="21"/>
  <c r="AJ119" i="21"/>
  <c r="AI119" i="21"/>
  <c r="AH119" i="21"/>
  <c r="AG119" i="21"/>
  <c r="AB119" i="21"/>
  <c r="AA119" i="21"/>
  <c r="V119" i="21"/>
  <c r="U119" i="21"/>
  <c r="DP118" i="21"/>
  <c r="DO118" i="21"/>
  <c r="DN118" i="21"/>
  <c r="DM118" i="21"/>
  <c r="DL118" i="21"/>
  <c r="DK118" i="21"/>
  <c r="DF118" i="21"/>
  <c r="DE118" i="21"/>
  <c r="CZ118" i="21"/>
  <c r="CY118" i="21"/>
  <c r="CT118" i="21"/>
  <c r="CS118" i="21"/>
  <c r="CN118" i="21"/>
  <c r="CM118" i="21"/>
  <c r="CH118" i="21"/>
  <c r="CG118" i="21"/>
  <c r="CB118" i="21"/>
  <c r="BZ118" i="21"/>
  <c r="BU118" i="21"/>
  <c r="BS118" i="21"/>
  <c r="BN118" i="21"/>
  <c r="BL118" i="21"/>
  <c r="BG118" i="21"/>
  <c r="BE118" i="21"/>
  <c r="AZ118" i="21"/>
  <c r="AY118" i="21"/>
  <c r="AT118" i="21"/>
  <c r="AS118" i="21"/>
  <c r="AL118" i="21"/>
  <c r="AK118" i="21"/>
  <c r="AJ118" i="21"/>
  <c r="AI118" i="21"/>
  <c r="AH118" i="21"/>
  <c r="AG118" i="21"/>
  <c r="AB118" i="21"/>
  <c r="AA118" i="21"/>
  <c r="V118" i="21"/>
  <c r="U118" i="21"/>
  <c r="DP117" i="21"/>
  <c r="DO117" i="21"/>
  <c r="DN117" i="21"/>
  <c r="DM117" i="21"/>
  <c r="DL117" i="21"/>
  <c r="DK117" i="21"/>
  <c r="DF117" i="21"/>
  <c r="DE117" i="21"/>
  <c r="CZ117" i="21"/>
  <c r="CY117" i="21"/>
  <c r="CT117" i="21"/>
  <c r="CS117" i="21"/>
  <c r="CN117" i="21"/>
  <c r="CM117" i="21"/>
  <c r="CH117" i="21"/>
  <c r="CG117" i="21"/>
  <c r="CB117" i="21"/>
  <c r="BZ117" i="21"/>
  <c r="BU117" i="21"/>
  <c r="BS117" i="21"/>
  <c r="BN117" i="21"/>
  <c r="BL117" i="21"/>
  <c r="BG117" i="21"/>
  <c r="BE117" i="21"/>
  <c r="AZ117" i="21"/>
  <c r="AY117" i="21"/>
  <c r="AT117" i="21"/>
  <c r="AS117" i="21"/>
  <c r="AL117" i="21"/>
  <c r="AK117" i="21"/>
  <c r="AJ117" i="21"/>
  <c r="AI117" i="21"/>
  <c r="AH117" i="21"/>
  <c r="AG117" i="21"/>
  <c r="AB117" i="21"/>
  <c r="AA117" i="21"/>
  <c r="V117" i="21"/>
  <c r="U117" i="21"/>
  <c r="DP116" i="21"/>
  <c r="DO116" i="21"/>
  <c r="DN116" i="21"/>
  <c r="DM116" i="21"/>
  <c r="DL116" i="21"/>
  <c r="DK116" i="21"/>
  <c r="DF116" i="21"/>
  <c r="DE116" i="21"/>
  <c r="CZ116" i="21"/>
  <c r="CY116" i="21"/>
  <c r="CT116" i="21"/>
  <c r="CS116" i="21"/>
  <c r="CN116" i="21"/>
  <c r="CM116" i="21"/>
  <c r="CH116" i="21"/>
  <c r="CG116" i="21"/>
  <c r="CB116" i="21"/>
  <c r="BZ116" i="21"/>
  <c r="BU116" i="21"/>
  <c r="BS116" i="21"/>
  <c r="BN116" i="21"/>
  <c r="BL116" i="21"/>
  <c r="BG116" i="21"/>
  <c r="BE116" i="21"/>
  <c r="AZ116" i="21"/>
  <c r="AY116" i="21"/>
  <c r="AT116" i="21"/>
  <c r="AS116" i="21"/>
  <c r="AL116" i="21"/>
  <c r="AK116" i="21"/>
  <c r="AJ116" i="21"/>
  <c r="AI116" i="21"/>
  <c r="AH116" i="21"/>
  <c r="AG116" i="21"/>
  <c r="AB116" i="21"/>
  <c r="AA116" i="21"/>
  <c r="V116" i="21"/>
  <c r="U116" i="21"/>
  <c r="DP115" i="21"/>
  <c r="DO115" i="21"/>
  <c r="DN115" i="21"/>
  <c r="DM115" i="21"/>
  <c r="DL115" i="21"/>
  <c r="DK115" i="21"/>
  <c r="DF115" i="21"/>
  <c r="DE115" i="21"/>
  <c r="CZ115" i="21"/>
  <c r="CY115" i="21"/>
  <c r="CT115" i="21"/>
  <c r="CS115" i="21"/>
  <c r="CN115" i="21"/>
  <c r="CM115" i="21"/>
  <c r="CH115" i="21"/>
  <c r="CG115" i="21"/>
  <c r="CB115" i="21"/>
  <c r="BZ115" i="21"/>
  <c r="BU115" i="21"/>
  <c r="BS115" i="21"/>
  <c r="BN115" i="21"/>
  <c r="BL115" i="21"/>
  <c r="BG115" i="21"/>
  <c r="BE115" i="21"/>
  <c r="AZ115" i="21"/>
  <c r="AY115" i="21"/>
  <c r="AT115" i="21"/>
  <c r="AS115" i="21"/>
  <c r="AL115" i="21"/>
  <c r="AK115" i="21"/>
  <c r="AJ115" i="21"/>
  <c r="AI115" i="21"/>
  <c r="AH115" i="21"/>
  <c r="AG115" i="21"/>
  <c r="AB115" i="21"/>
  <c r="AA115" i="21"/>
  <c r="V115" i="21"/>
  <c r="U115" i="21"/>
  <c r="DP114" i="21"/>
  <c r="DO114" i="21"/>
  <c r="DN114" i="21"/>
  <c r="DM114" i="21"/>
  <c r="DL114" i="21"/>
  <c r="DK114" i="21"/>
  <c r="DF114" i="21"/>
  <c r="DE114" i="21"/>
  <c r="CZ114" i="21"/>
  <c r="CY114" i="21"/>
  <c r="CT114" i="21"/>
  <c r="CS114" i="21"/>
  <c r="CN114" i="21"/>
  <c r="CM114" i="21"/>
  <c r="CH114" i="21"/>
  <c r="CG114" i="21"/>
  <c r="CB114" i="21"/>
  <c r="BZ114" i="21"/>
  <c r="BU114" i="21"/>
  <c r="BS114" i="21"/>
  <c r="BN114" i="21"/>
  <c r="BL114" i="21"/>
  <c r="BG114" i="21"/>
  <c r="BE114" i="21"/>
  <c r="AZ114" i="21"/>
  <c r="AY114" i="21"/>
  <c r="AT114" i="21"/>
  <c r="AS114" i="21"/>
  <c r="AL114" i="21"/>
  <c r="AK114" i="21"/>
  <c r="AJ114" i="21"/>
  <c r="AI114" i="21"/>
  <c r="AH114" i="21"/>
  <c r="AG114" i="21"/>
  <c r="AB114" i="21"/>
  <c r="AA114" i="21"/>
  <c r="V114" i="21"/>
  <c r="U114" i="21"/>
  <c r="DP113" i="21"/>
  <c r="DO113" i="21"/>
  <c r="DN113" i="21"/>
  <c r="DM113" i="21"/>
  <c r="DL113" i="21"/>
  <c r="DK113" i="21"/>
  <c r="DF113" i="21"/>
  <c r="DE113" i="21"/>
  <c r="CZ113" i="21"/>
  <c r="CY113" i="21"/>
  <c r="CT113" i="21"/>
  <c r="CS113" i="21"/>
  <c r="CN113" i="21"/>
  <c r="CM113" i="21"/>
  <c r="CH113" i="21"/>
  <c r="CG113" i="21"/>
  <c r="CB113" i="21"/>
  <c r="BZ113" i="21"/>
  <c r="BU113" i="21"/>
  <c r="BS113" i="21"/>
  <c r="BN113" i="21"/>
  <c r="BL113" i="21"/>
  <c r="BG113" i="21"/>
  <c r="BE113" i="21"/>
  <c r="AZ113" i="21"/>
  <c r="AY113" i="21"/>
  <c r="AT113" i="21"/>
  <c r="AS113" i="21"/>
  <c r="AL113" i="21"/>
  <c r="AK113" i="21"/>
  <c r="AJ113" i="21"/>
  <c r="AI113" i="21"/>
  <c r="AH113" i="21"/>
  <c r="AG113" i="21"/>
  <c r="AB113" i="21"/>
  <c r="AA113" i="21"/>
  <c r="V113" i="21"/>
  <c r="U113" i="21"/>
  <c r="DP112" i="21"/>
  <c r="DO112" i="21"/>
  <c r="DN112" i="21"/>
  <c r="DM112" i="21"/>
  <c r="DL112" i="21"/>
  <c r="DK112" i="21"/>
  <c r="DF112" i="21"/>
  <c r="DE112" i="21"/>
  <c r="CZ112" i="21"/>
  <c r="CY112" i="21"/>
  <c r="CT112" i="21"/>
  <c r="CS112" i="21"/>
  <c r="CN112" i="21"/>
  <c r="CM112" i="21"/>
  <c r="CH112" i="21"/>
  <c r="CG112" i="21"/>
  <c r="CB112" i="21"/>
  <c r="BZ112" i="21"/>
  <c r="BU112" i="21"/>
  <c r="BS112" i="21"/>
  <c r="BN112" i="21"/>
  <c r="BL112" i="21"/>
  <c r="BG112" i="21"/>
  <c r="BE112" i="21"/>
  <c r="AZ112" i="21"/>
  <c r="AY112" i="21"/>
  <c r="AT112" i="21"/>
  <c r="AS112" i="21"/>
  <c r="AL112" i="21"/>
  <c r="AK112" i="21"/>
  <c r="AJ112" i="21"/>
  <c r="AI112" i="21"/>
  <c r="AH112" i="21"/>
  <c r="AG112" i="21"/>
  <c r="AB112" i="21"/>
  <c r="AA112" i="21"/>
  <c r="V112" i="21"/>
  <c r="U112" i="21"/>
  <c r="DP111" i="21"/>
  <c r="DO111" i="21"/>
  <c r="DN111" i="21"/>
  <c r="DM111" i="21"/>
  <c r="DL111" i="21"/>
  <c r="DK111" i="21"/>
  <c r="DF111" i="21"/>
  <c r="DE111" i="21"/>
  <c r="CZ111" i="21"/>
  <c r="CY111" i="21"/>
  <c r="CT111" i="21"/>
  <c r="CS111" i="21"/>
  <c r="CN111" i="21"/>
  <c r="CM111" i="21"/>
  <c r="CH111" i="21"/>
  <c r="CG111" i="21"/>
  <c r="CB111" i="21"/>
  <c r="BZ111" i="21"/>
  <c r="BU111" i="21"/>
  <c r="BS111" i="21"/>
  <c r="BN111" i="21"/>
  <c r="BL111" i="21"/>
  <c r="BG111" i="21"/>
  <c r="BE111" i="21"/>
  <c r="AZ111" i="21"/>
  <c r="AY111" i="21"/>
  <c r="AT111" i="21"/>
  <c r="AS111" i="21"/>
  <c r="AL111" i="21"/>
  <c r="AK111" i="21"/>
  <c r="AJ111" i="21"/>
  <c r="AI111" i="21"/>
  <c r="AH111" i="21"/>
  <c r="AG111" i="21"/>
  <c r="AB111" i="21"/>
  <c r="AA111" i="21"/>
  <c r="V111" i="21"/>
  <c r="U111" i="21"/>
  <c r="DP110" i="21"/>
  <c r="DO110" i="21"/>
  <c r="DN110" i="21"/>
  <c r="DM110" i="21"/>
  <c r="DL110" i="21"/>
  <c r="DK110" i="21"/>
  <c r="DF110" i="21"/>
  <c r="DE110" i="21"/>
  <c r="CZ110" i="21"/>
  <c r="CY110" i="21"/>
  <c r="CT110" i="21"/>
  <c r="CS110" i="21"/>
  <c r="CN110" i="21"/>
  <c r="CM110" i="21"/>
  <c r="CH110" i="21"/>
  <c r="CG110" i="21"/>
  <c r="CB110" i="21"/>
  <c r="BZ110" i="21"/>
  <c r="BU110" i="21"/>
  <c r="BS110" i="21"/>
  <c r="BN110" i="21"/>
  <c r="BL110" i="21"/>
  <c r="BG110" i="21"/>
  <c r="BE110" i="21"/>
  <c r="AZ110" i="21"/>
  <c r="AY110" i="21"/>
  <c r="AT110" i="21"/>
  <c r="AS110" i="21"/>
  <c r="AL110" i="21"/>
  <c r="AK110" i="21"/>
  <c r="AJ110" i="21"/>
  <c r="AI110" i="21"/>
  <c r="AH110" i="21"/>
  <c r="AG110" i="21"/>
  <c r="AB110" i="21"/>
  <c r="AA110" i="21"/>
  <c r="V110" i="21"/>
  <c r="U110" i="21"/>
  <c r="DP109" i="21"/>
  <c r="DO109" i="21"/>
  <c r="DN109" i="21"/>
  <c r="DM109" i="21"/>
  <c r="DL109" i="21"/>
  <c r="DK109" i="21"/>
  <c r="DF109" i="21"/>
  <c r="DE109" i="21"/>
  <c r="CZ109" i="21"/>
  <c r="CY109" i="21"/>
  <c r="CT109" i="21"/>
  <c r="CS109" i="21"/>
  <c r="CN109" i="21"/>
  <c r="CM109" i="21"/>
  <c r="CH109" i="21"/>
  <c r="CG109" i="21"/>
  <c r="CB109" i="21"/>
  <c r="BZ109" i="21"/>
  <c r="BU109" i="21"/>
  <c r="BS109" i="21"/>
  <c r="BN109" i="21"/>
  <c r="BL109" i="21"/>
  <c r="BG109" i="21"/>
  <c r="BE109" i="21"/>
  <c r="AZ109" i="21"/>
  <c r="AY109" i="21"/>
  <c r="AT109" i="21"/>
  <c r="AS109" i="21"/>
  <c r="AL109" i="21"/>
  <c r="AK109" i="21"/>
  <c r="AJ109" i="21"/>
  <c r="AI109" i="21"/>
  <c r="AH109" i="21"/>
  <c r="AG109" i="21"/>
  <c r="AB109" i="21"/>
  <c r="AA109" i="21"/>
  <c r="V109" i="21"/>
  <c r="U109" i="21"/>
  <c r="DP108" i="21"/>
  <c r="DO108" i="21"/>
  <c r="DN108" i="21"/>
  <c r="DM108" i="21"/>
  <c r="DL108" i="21"/>
  <c r="DK108" i="21"/>
  <c r="DF108" i="21"/>
  <c r="DE108" i="21"/>
  <c r="CZ108" i="21"/>
  <c r="CY108" i="21"/>
  <c r="CT108" i="21"/>
  <c r="CS108" i="21"/>
  <c r="CN108" i="21"/>
  <c r="CM108" i="21"/>
  <c r="CH108" i="21"/>
  <c r="CG108" i="21"/>
  <c r="CB108" i="21"/>
  <c r="BZ108" i="21"/>
  <c r="BU108" i="21"/>
  <c r="BS108" i="21"/>
  <c r="BN108" i="21"/>
  <c r="BL108" i="21"/>
  <c r="BG108" i="21"/>
  <c r="BE108" i="21"/>
  <c r="AZ108" i="21"/>
  <c r="AY108" i="21"/>
  <c r="AT108" i="21"/>
  <c r="AS108" i="21"/>
  <c r="AL108" i="21"/>
  <c r="AK108" i="21"/>
  <c r="AJ108" i="21"/>
  <c r="AI108" i="21"/>
  <c r="AH108" i="21"/>
  <c r="AG108" i="21"/>
  <c r="AB108" i="21"/>
  <c r="AA108" i="21"/>
  <c r="V108" i="21"/>
  <c r="U108" i="21"/>
  <c r="DP107" i="21"/>
  <c r="DO107" i="21"/>
  <c r="DN107" i="21"/>
  <c r="DM107" i="21"/>
  <c r="DL107" i="21"/>
  <c r="DK107" i="21"/>
  <c r="DF107" i="21"/>
  <c r="DE107" i="21"/>
  <c r="CZ107" i="21"/>
  <c r="CY107" i="21"/>
  <c r="CT107" i="21"/>
  <c r="CS107" i="21"/>
  <c r="CN107" i="21"/>
  <c r="CM107" i="21"/>
  <c r="CH107" i="21"/>
  <c r="CG107" i="21"/>
  <c r="CB107" i="21"/>
  <c r="BZ107" i="21"/>
  <c r="BU107" i="21"/>
  <c r="BS107" i="21"/>
  <c r="BN107" i="21"/>
  <c r="BL107" i="21"/>
  <c r="BG107" i="21"/>
  <c r="BE107" i="21"/>
  <c r="AZ107" i="21"/>
  <c r="AY107" i="21"/>
  <c r="AT107" i="21"/>
  <c r="AS107" i="21"/>
  <c r="AL107" i="21"/>
  <c r="AK107" i="21"/>
  <c r="AJ107" i="21"/>
  <c r="AI107" i="21"/>
  <c r="AH107" i="21"/>
  <c r="AG107" i="21"/>
  <c r="AB107" i="21"/>
  <c r="AA107" i="21"/>
  <c r="V107" i="21"/>
  <c r="U107" i="21"/>
  <c r="DP106" i="21"/>
  <c r="DO106" i="21"/>
  <c r="DN106" i="21"/>
  <c r="DM106" i="21"/>
  <c r="DL106" i="21"/>
  <c r="DK106" i="21"/>
  <c r="DF106" i="21"/>
  <c r="DE106" i="21"/>
  <c r="CZ106" i="21"/>
  <c r="CY106" i="21"/>
  <c r="CT106" i="21"/>
  <c r="CS106" i="21"/>
  <c r="CN106" i="21"/>
  <c r="CM106" i="21"/>
  <c r="CH106" i="21"/>
  <c r="CG106" i="21"/>
  <c r="CB106" i="21"/>
  <c r="BZ106" i="21"/>
  <c r="BU106" i="21"/>
  <c r="BS106" i="21"/>
  <c r="BN106" i="21"/>
  <c r="BL106" i="21"/>
  <c r="BG106" i="21"/>
  <c r="BE106" i="21"/>
  <c r="AZ106" i="21"/>
  <c r="AY106" i="21"/>
  <c r="AT106" i="21"/>
  <c r="AS106" i="21"/>
  <c r="AL106" i="21"/>
  <c r="AK106" i="21"/>
  <c r="AJ106" i="21"/>
  <c r="AI106" i="21"/>
  <c r="AH106" i="21"/>
  <c r="AG106" i="21"/>
  <c r="AB106" i="21"/>
  <c r="AA106" i="21"/>
  <c r="V106" i="21"/>
  <c r="U106" i="21"/>
  <c r="DP105" i="21"/>
  <c r="DO105" i="21"/>
  <c r="DN105" i="21"/>
  <c r="DM105" i="21"/>
  <c r="DL105" i="21"/>
  <c r="DK105" i="21"/>
  <c r="DF105" i="21"/>
  <c r="DE105" i="21"/>
  <c r="CZ105" i="21"/>
  <c r="CY105" i="21"/>
  <c r="CT105" i="21"/>
  <c r="CS105" i="21"/>
  <c r="CN105" i="21"/>
  <c r="CM105" i="21"/>
  <c r="CH105" i="21"/>
  <c r="CG105" i="21"/>
  <c r="CB105" i="21"/>
  <c r="BZ105" i="21"/>
  <c r="BU105" i="21"/>
  <c r="BS105" i="21"/>
  <c r="BN105" i="21"/>
  <c r="BL105" i="21"/>
  <c r="BG105" i="21"/>
  <c r="BE105" i="21"/>
  <c r="AZ105" i="21"/>
  <c r="AY105" i="21"/>
  <c r="AT105" i="21"/>
  <c r="AS105" i="21"/>
  <c r="AL105" i="21"/>
  <c r="AK105" i="21"/>
  <c r="AJ105" i="21"/>
  <c r="AI105" i="21"/>
  <c r="AH105" i="21"/>
  <c r="AG105" i="21"/>
  <c r="AB105" i="21"/>
  <c r="AA105" i="21"/>
  <c r="V105" i="21"/>
  <c r="U105" i="21"/>
  <c r="DP104" i="21"/>
  <c r="DO104" i="21"/>
  <c r="DN104" i="21"/>
  <c r="DM104" i="21"/>
  <c r="DL104" i="21"/>
  <c r="DK104" i="21"/>
  <c r="DF104" i="21"/>
  <c r="DE104" i="21"/>
  <c r="CZ104" i="21"/>
  <c r="CY104" i="21"/>
  <c r="CT104" i="21"/>
  <c r="CS104" i="21"/>
  <c r="CN104" i="21"/>
  <c r="CM104" i="21"/>
  <c r="CH104" i="21"/>
  <c r="CG104" i="21"/>
  <c r="CB104" i="21"/>
  <c r="BZ104" i="21"/>
  <c r="BU104" i="21"/>
  <c r="BS104" i="21"/>
  <c r="BN104" i="21"/>
  <c r="BL104" i="21"/>
  <c r="BG104" i="21"/>
  <c r="BE104" i="21"/>
  <c r="AZ104" i="21"/>
  <c r="AY104" i="21"/>
  <c r="AT104" i="21"/>
  <c r="AS104" i="21"/>
  <c r="AL104" i="21"/>
  <c r="AK104" i="21"/>
  <c r="AJ104" i="21"/>
  <c r="AI104" i="21"/>
  <c r="AH104" i="21"/>
  <c r="AG104" i="21"/>
  <c r="AB104" i="21"/>
  <c r="AA104" i="21"/>
  <c r="V104" i="21"/>
  <c r="U104" i="21"/>
  <c r="DP103" i="21"/>
  <c r="DO103" i="21"/>
  <c r="DN103" i="21"/>
  <c r="DM103" i="21"/>
  <c r="DL103" i="21"/>
  <c r="DK103" i="21"/>
  <c r="DF103" i="21"/>
  <c r="DE103" i="21"/>
  <c r="CZ103" i="21"/>
  <c r="CY103" i="21"/>
  <c r="CT103" i="21"/>
  <c r="CS103" i="21"/>
  <c r="CN103" i="21"/>
  <c r="CM103" i="21"/>
  <c r="CH103" i="21"/>
  <c r="CG103" i="21"/>
  <c r="CB103" i="21"/>
  <c r="BZ103" i="21"/>
  <c r="BU103" i="21"/>
  <c r="BS103" i="21"/>
  <c r="BN103" i="21"/>
  <c r="BL103" i="21"/>
  <c r="BG103" i="21"/>
  <c r="BE103" i="21"/>
  <c r="AZ103" i="21"/>
  <c r="AY103" i="21"/>
  <c r="AT103" i="21"/>
  <c r="AS103" i="21"/>
  <c r="AL103" i="21"/>
  <c r="AK103" i="21"/>
  <c r="AJ103" i="21"/>
  <c r="AI103" i="21"/>
  <c r="AH103" i="21"/>
  <c r="AG103" i="21"/>
  <c r="AB103" i="21"/>
  <c r="AA103" i="21"/>
  <c r="V103" i="21"/>
  <c r="U103" i="21"/>
  <c r="DP102" i="21"/>
  <c r="DO102" i="21"/>
  <c r="DN102" i="21"/>
  <c r="DM102" i="21"/>
  <c r="DL102" i="21"/>
  <c r="DK102" i="21"/>
  <c r="DF102" i="21"/>
  <c r="DE102" i="21"/>
  <c r="CZ102" i="21"/>
  <c r="CY102" i="21"/>
  <c r="CT102" i="21"/>
  <c r="CS102" i="21"/>
  <c r="CN102" i="21"/>
  <c r="CM102" i="21"/>
  <c r="CH102" i="21"/>
  <c r="CG102" i="21"/>
  <c r="CB102" i="21"/>
  <c r="BZ102" i="21"/>
  <c r="BU102" i="21"/>
  <c r="BS102" i="21"/>
  <c r="BN102" i="21"/>
  <c r="BL102" i="21"/>
  <c r="BG102" i="21"/>
  <c r="BE102" i="21"/>
  <c r="AZ102" i="21"/>
  <c r="AY102" i="21"/>
  <c r="AT102" i="21"/>
  <c r="AS102" i="21"/>
  <c r="AL102" i="21"/>
  <c r="AK102" i="21"/>
  <c r="AJ102" i="21"/>
  <c r="AI102" i="21"/>
  <c r="AH102" i="21"/>
  <c r="AG102" i="21"/>
  <c r="AB102" i="21"/>
  <c r="AA102" i="21"/>
  <c r="V102" i="21"/>
  <c r="U102" i="21"/>
  <c r="DP101" i="21"/>
  <c r="DO101" i="21"/>
  <c r="DN101" i="21"/>
  <c r="DM101" i="21"/>
  <c r="DL101" i="21"/>
  <c r="DK101" i="21"/>
  <c r="DF101" i="21"/>
  <c r="DE101" i="21"/>
  <c r="CZ101" i="21"/>
  <c r="CY101" i="21"/>
  <c r="CT101" i="21"/>
  <c r="CS101" i="21"/>
  <c r="CN101" i="21"/>
  <c r="CM101" i="21"/>
  <c r="CH101" i="21"/>
  <c r="CG101" i="21"/>
  <c r="CB101" i="21"/>
  <c r="BZ101" i="21"/>
  <c r="BU101" i="21"/>
  <c r="BS101" i="21"/>
  <c r="BN101" i="21"/>
  <c r="BL101" i="21"/>
  <c r="BG101" i="21"/>
  <c r="BE101" i="21"/>
  <c r="AZ101" i="21"/>
  <c r="AY101" i="21"/>
  <c r="AT101" i="21"/>
  <c r="AS101" i="21"/>
  <c r="AL101" i="21"/>
  <c r="AK101" i="21"/>
  <c r="AJ101" i="21"/>
  <c r="AI101" i="21"/>
  <c r="AH101" i="21"/>
  <c r="AG101" i="21"/>
  <c r="AB101" i="21"/>
  <c r="AA101" i="21"/>
  <c r="V101" i="21"/>
  <c r="U101" i="21"/>
  <c r="DP100" i="21"/>
  <c r="DO100" i="21"/>
  <c r="DN100" i="21"/>
  <c r="DM100" i="21"/>
  <c r="DL100" i="21"/>
  <c r="DK100" i="21"/>
  <c r="DF100" i="21"/>
  <c r="DE100" i="21"/>
  <c r="CZ100" i="21"/>
  <c r="CY100" i="21"/>
  <c r="CT100" i="21"/>
  <c r="CS100" i="21"/>
  <c r="CN100" i="21"/>
  <c r="CM100" i="21"/>
  <c r="CH100" i="21"/>
  <c r="CG100" i="21"/>
  <c r="CB100" i="21"/>
  <c r="BZ100" i="21"/>
  <c r="BU100" i="21"/>
  <c r="BS100" i="21"/>
  <c r="BN100" i="21"/>
  <c r="BL100" i="21"/>
  <c r="BG100" i="21"/>
  <c r="BE100" i="21"/>
  <c r="AZ100" i="21"/>
  <c r="AY100" i="21"/>
  <c r="AT100" i="21"/>
  <c r="AS100" i="21"/>
  <c r="AL100" i="21"/>
  <c r="AK100" i="21"/>
  <c r="AJ100" i="21"/>
  <c r="AI100" i="21"/>
  <c r="AH100" i="21"/>
  <c r="AG100" i="21"/>
  <c r="AB100" i="21"/>
  <c r="AA100" i="21"/>
  <c r="V100" i="21"/>
  <c r="U100" i="21"/>
  <c r="DP99" i="21"/>
  <c r="DO99" i="21"/>
  <c r="DN99" i="21"/>
  <c r="DM99" i="21"/>
  <c r="DL99" i="21"/>
  <c r="DK99" i="21"/>
  <c r="DF99" i="21"/>
  <c r="DE99" i="21"/>
  <c r="CZ99" i="21"/>
  <c r="CY99" i="21"/>
  <c r="CT99" i="21"/>
  <c r="CS99" i="21"/>
  <c r="CN99" i="21"/>
  <c r="CM99" i="21"/>
  <c r="CH99" i="21"/>
  <c r="CG99" i="21"/>
  <c r="CB99" i="21"/>
  <c r="BZ99" i="21"/>
  <c r="BU99" i="21"/>
  <c r="BS99" i="21"/>
  <c r="BN99" i="21"/>
  <c r="BL99" i="21"/>
  <c r="BG99" i="21"/>
  <c r="BE99" i="21"/>
  <c r="AZ99" i="21"/>
  <c r="AY99" i="21"/>
  <c r="AT99" i="21"/>
  <c r="AS99" i="21"/>
  <c r="AL99" i="21"/>
  <c r="AK99" i="21"/>
  <c r="AJ99" i="21"/>
  <c r="AI99" i="21"/>
  <c r="AH99" i="21"/>
  <c r="AG99" i="21"/>
  <c r="AB99" i="21"/>
  <c r="AA99" i="21"/>
  <c r="V99" i="21"/>
  <c r="U99" i="21"/>
  <c r="DP98" i="21"/>
  <c r="DO98" i="21"/>
  <c r="DN98" i="21"/>
  <c r="DM98" i="21"/>
  <c r="DL98" i="21"/>
  <c r="DK98" i="21"/>
  <c r="DF98" i="21"/>
  <c r="DE98" i="21"/>
  <c r="CZ98" i="21"/>
  <c r="CY98" i="21"/>
  <c r="CT98" i="21"/>
  <c r="CS98" i="21"/>
  <c r="CN98" i="21"/>
  <c r="CM98" i="21"/>
  <c r="CH98" i="21"/>
  <c r="CG98" i="21"/>
  <c r="CB98" i="21"/>
  <c r="BZ98" i="21"/>
  <c r="BU98" i="21"/>
  <c r="BS98" i="21"/>
  <c r="BN98" i="21"/>
  <c r="BL98" i="21"/>
  <c r="BG98" i="21"/>
  <c r="BE98" i="21"/>
  <c r="AZ98" i="21"/>
  <c r="AY98" i="21"/>
  <c r="AT98" i="21"/>
  <c r="AS98" i="21"/>
  <c r="AL98" i="21"/>
  <c r="AK98" i="21"/>
  <c r="AJ98" i="21"/>
  <c r="AI98" i="21"/>
  <c r="AH98" i="21"/>
  <c r="AG98" i="21"/>
  <c r="AB98" i="21"/>
  <c r="AA98" i="21"/>
  <c r="V98" i="21"/>
  <c r="U98" i="21"/>
  <c r="DP97" i="21"/>
  <c r="DO97" i="21"/>
  <c r="DN97" i="21"/>
  <c r="DM97" i="21"/>
  <c r="DL97" i="21"/>
  <c r="DK97" i="21"/>
  <c r="DF97" i="21"/>
  <c r="DE97" i="21"/>
  <c r="CZ97" i="21"/>
  <c r="CY97" i="21"/>
  <c r="CT97" i="21"/>
  <c r="CS97" i="21"/>
  <c r="CN97" i="21"/>
  <c r="CM97" i="21"/>
  <c r="CH97" i="21"/>
  <c r="CG97" i="21"/>
  <c r="CB97" i="21"/>
  <c r="BZ97" i="21"/>
  <c r="BU97" i="21"/>
  <c r="BS97" i="21"/>
  <c r="BN97" i="21"/>
  <c r="BL97" i="21"/>
  <c r="BG97" i="21"/>
  <c r="BE97" i="21"/>
  <c r="AZ97" i="21"/>
  <c r="AY97" i="21"/>
  <c r="AT97" i="21"/>
  <c r="AS97" i="21"/>
  <c r="AL97" i="21"/>
  <c r="AJ97" i="21"/>
  <c r="AI97" i="21"/>
  <c r="AH97" i="21"/>
  <c r="AG97" i="21"/>
  <c r="AB97" i="21"/>
  <c r="Y97" i="21"/>
  <c r="AA97" i="21" s="1"/>
  <c r="V97" i="21"/>
  <c r="U97" i="21"/>
  <c r="DP96" i="21"/>
  <c r="DO96" i="21"/>
  <c r="DN96" i="21"/>
  <c r="DM96" i="21"/>
  <c r="DL96" i="21"/>
  <c r="DK96" i="21"/>
  <c r="DF96" i="21"/>
  <c r="DE96" i="21"/>
  <c r="CZ96" i="21"/>
  <c r="CY96" i="21"/>
  <c r="CT96" i="21"/>
  <c r="CS96" i="21"/>
  <c r="CN96" i="21"/>
  <c r="CM96" i="21"/>
  <c r="CH96" i="21"/>
  <c r="CG96" i="21"/>
  <c r="CB96" i="21"/>
  <c r="BZ96" i="21"/>
  <c r="BU96" i="21"/>
  <c r="BS96" i="21"/>
  <c r="BN96" i="21"/>
  <c r="BL96" i="21"/>
  <c r="BG96" i="21"/>
  <c r="BE96" i="21"/>
  <c r="AZ96" i="21"/>
  <c r="AY96" i="21"/>
  <c r="AT96" i="21"/>
  <c r="AS96" i="21"/>
  <c r="AL96" i="21"/>
  <c r="AK96" i="21"/>
  <c r="AJ96" i="21"/>
  <c r="AI96" i="21"/>
  <c r="AH96" i="21"/>
  <c r="AG96" i="21"/>
  <c r="AB96" i="21"/>
  <c r="AA96" i="21"/>
  <c r="V96" i="21"/>
  <c r="U96" i="21"/>
  <c r="DP95" i="21"/>
  <c r="DO95" i="21"/>
  <c r="DN95" i="21"/>
  <c r="DM95" i="21"/>
  <c r="DL95" i="21"/>
  <c r="DK95" i="21"/>
  <c r="DF95" i="21"/>
  <c r="DE95" i="21"/>
  <c r="CZ95" i="21"/>
  <c r="CY95" i="21"/>
  <c r="CT95" i="21"/>
  <c r="CS95" i="21"/>
  <c r="CN95" i="21"/>
  <c r="CM95" i="21"/>
  <c r="CH95" i="21"/>
  <c r="CG95" i="21"/>
  <c r="CB95" i="21"/>
  <c r="BZ95" i="21"/>
  <c r="BU95" i="21"/>
  <c r="BS95" i="21"/>
  <c r="BN95" i="21"/>
  <c r="BL95" i="21"/>
  <c r="BG95" i="21"/>
  <c r="BE95" i="21"/>
  <c r="AZ95" i="21"/>
  <c r="AY95" i="21"/>
  <c r="AT95" i="21"/>
  <c r="AS95" i="21"/>
  <c r="AL95" i="21"/>
  <c r="AK95" i="21"/>
  <c r="AJ95" i="21"/>
  <c r="AI95" i="21"/>
  <c r="AH95" i="21"/>
  <c r="AG95" i="21"/>
  <c r="AB95" i="21"/>
  <c r="AA95" i="21"/>
  <c r="V95" i="21"/>
  <c r="U95" i="21"/>
  <c r="DP94" i="21"/>
  <c r="DO94" i="21"/>
  <c r="DN94" i="21"/>
  <c r="DM94" i="21"/>
  <c r="DL94" i="21"/>
  <c r="DK94" i="21"/>
  <c r="DF94" i="21"/>
  <c r="DE94" i="21"/>
  <c r="CZ94" i="21"/>
  <c r="CY94" i="21"/>
  <c r="CT94" i="21"/>
  <c r="CS94" i="21"/>
  <c r="CN94" i="21"/>
  <c r="CM94" i="21"/>
  <c r="CH94" i="21"/>
  <c r="CG94" i="21"/>
  <c r="CB94" i="21"/>
  <c r="BZ94" i="21"/>
  <c r="BU94" i="21"/>
  <c r="BS94" i="21"/>
  <c r="BN94" i="21"/>
  <c r="BL94" i="21"/>
  <c r="BG94" i="21"/>
  <c r="BE94" i="21"/>
  <c r="AZ94" i="21"/>
  <c r="AY94" i="21"/>
  <c r="AT94" i="21"/>
  <c r="AS94" i="21"/>
  <c r="AL94" i="21"/>
  <c r="AK94" i="21"/>
  <c r="AJ94" i="21"/>
  <c r="AI94" i="21"/>
  <c r="AH94" i="21"/>
  <c r="AG94" i="21"/>
  <c r="AB94" i="21"/>
  <c r="AA94" i="21"/>
  <c r="V94" i="21"/>
  <c r="U94" i="21"/>
  <c r="DP93" i="21"/>
  <c r="DO93" i="21"/>
  <c r="DN93" i="21"/>
  <c r="DM93" i="21"/>
  <c r="DL93" i="21"/>
  <c r="DK93" i="21"/>
  <c r="DF93" i="21"/>
  <c r="DE93" i="21"/>
  <c r="CZ93" i="21"/>
  <c r="CY93" i="21"/>
  <c r="CT93" i="21"/>
  <c r="CS93" i="21"/>
  <c r="CN93" i="21"/>
  <c r="CM93" i="21"/>
  <c r="CH93" i="21"/>
  <c r="CG93" i="21"/>
  <c r="CB93" i="21"/>
  <c r="BZ93" i="21"/>
  <c r="BU93" i="21"/>
  <c r="BS93" i="21"/>
  <c r="BN93" i="21"/>
  <c r="BL93" i="21"/>
  <c r="BG93" i="21"/>
  <c r="BE93" i="21"/>
  <c r="AZ93" i="21"/>
  <c r="AY93" i="21"/>
  <c r="AT93" i="21"/>
  <c r="AS93" i="21"/>
  <c r="AL93" i="21"/>
  <c r="AK93" i="21"/>
  <c r="AJ93" i="21"/>
  <c r="AI93" i="21"/>
  <c r="AH93" i="21"/>
  <c r="AG93" i="21"/>
  <c r="AB93" i="21"/>
  <c r="AA93" i="21"/>
  <c r="V93" i="21"/>
  <c r="U93" i="21"/>
  <c r="DP92" i="21"/>
  <c r="DO92" i="21"/>
  <c r="DN92" i="21"/>
  <c r="DM92" i="21"/>
  <c r="DL92" i="21"/>
  <c r="DK92" i="21"/>
  <c r="DF92" i="21"/>
  <c r="DE92" i="21"/>
  <c r="CZ92" i="21"/>
  <c r="CY92" i="21"/>
  <c r="CT92" i="21"/>
  <c r="CS92" i="21"/>
  <c r="CN92" i="21"/>
  <c r="CM92" i="21"/>
  <c r="CH92" i="21"/>
  <c r="CG92" i="21"/>
  <c r="CB92" i="21"/>
  <c r="BZ92" i="21"/>
  <c r="BU92" i="21"/>
  <c r="BS92" i="21"/>
  <c r="BN92" i="21"/>
  <c r="BL92" i="21"/>
  <c r="BG92" i="21"/>
  <c r="BE92" i="21"/>
  <c r="AZ92" i="21"/>
  <c r="AY92" i="21"/>
  <c r="AT92" i="21"/>
  <c r="AS92" i="21"/>
  <c r="AL92" i="21"/>
  <c r="AK92" i="21"/>
  <c r="AJ92" i="21"/>
  <c r="AI92" i="21"/>
  <c r="AH92" i="21"/>
  <c r="AG92" i="21"/>
  <c r="AB92" i="21"/>
  <c r="AA92" i="21"/>
  <c r="V92" i="21"/>
  <c r="U92" i="21"/>
  <c r="DP91" i="21"/>
  <c r="DO91" i="21"/>
  <c r="DN91" i="21"/>
  <c r="DM91" i="21"/>
  <c r="DL91" i="21"/>
  <c r="DK91" i="21"/>
  <c r="DF91" i="21"/>
  <c r="DE91" i="21"/>
  <c r="CZ91" i="21"/>
  <c r="CY91" i="21"/>
  <c r="CT91" i="21"/>
  <c r="CS91" i="21"/>
  <c r="CN91" i="21"/>
  <c r="CM91" i="21"/>
  <c r="CH91" i="21"/>
  <c r="CG91" i="21"/>
  <c r="CB91" i="21"/>
  <c r="BZ91" i="21"/>
  <c r="BU91" i="21"/>
  <c r="BS91" i="21"/>
  <c r="BN91" i="21"/>
  <c r="BL91" i="21"/>
  <c r="BG91" i="21"/>
  <c r="BE91" i="21"/>
  <c r="AZ91" i="21"/>
  <c r="AY91" i="21"/>
  <c r="AT91" i="21"/>
  <c r="AS91" i="21"/>
  <c r="AL91" i="21"/>
  <c r="AK91" i="21"/>
  <c r="AJ91" i="21"/>
  <c r="AI91" i="21"/>
  <c r="AH91" i="21"/>
  <c r="AG91" i="21"/>
  <c r="AB91" i="21"/>
  <c r="AA91" i="21"/>
  <c r="V91" i="21"/>
  <c r="U91" i="21"/>
  <c r="DP90" i="21"/>
  <c r="DO90" i="21"/>
  <c r="DN90" i="21"/>
  <c r="DM90" i="21"/>
  <c r="DL90" i="21"/>
  <c r="DK90" i="21"/>
  <c r="DF90" i="21"/>
  <c r="DE90" i="21"/>
  <c r="CZ90" i="21"/>
  <c r="CY90" i="21"/>
  <c r="CT90" i="21"/>
  <c r="CS90" i="21"/>
  <c r="CN90" i="21"/>
  <c r="CM90" i="21"/>
  <c r="CH90" i="21"/>
  <c r="CG90" i="21"/>
  <c r="CB90" i="21"/>
  <c r="BZ90" i="21"/>
  <c r="BU90" i="21"/>
  <c r="BS90" i="21"/>
  <c r="BN90" i="21"/>
  <c r="BL90" i="21"/>
  <c r="BG90" i="21"/>
  <c r="BE90" i="21"/>
  <c r="AZ90" i="21"/>
  <c r="AY90" i="21"/>
  <c r="AT90" i="21"/>
  <c r="AS90" i="21"/>
  <c r="AL90" i="21"/>
  <c r="AK90" i="21"/>
  <c r="AJ90" i="21"/>
  <c r="AI90" i="21"/>
  <c r="AH90" i="21"/>
  <c r="AG90" i="21"/>
  <c r="AB90" i="21"/>
  <c r="AA90" i="21"/>
  <c r="V90" i="21"/>
  <c r="U90" i="21"/>
  <c r="DP89" i="21"/>
  <c r="DO89" i="21"/>
  <c r="DN89" i="21"/>
  <c r="DM89" i="21"/>
  <c r="DL89" i="21"/>
  <c r="DK89" i="21"/>
  <c r="DF89" i="21"/>
  <c r="DE89" i="21"/>
  <c r="CZ89" i="21"/>
  <c r="CY89" i="21"/>
  <c r="CT89" i="21"/>
  <c r="CS89" i="21"/>
  <c r="CN89" i="21"/>
  <c r="CM89" i="21"/>
  <c r="CH89" i="21"/>
  <c r="CG89" i="21"/>
  <c r="CB89" i="21"/>
  <c r="BZ89" i="21"/>
  <c r="BU89" i="21"/>
  <c r="BS89" i="21"/>
  <c r="BN89" i="21"/>
  <c r="BL89" i="21"/>
  <c r="BG89" i="21"/>
  <c r="BE89" i="21"/>
  <c r="AZ89" i="21"/>
  <c r="AY89" i="21"/>
  <c r="AT89" i="21"/>
  <c r="AS89" i="21"/>
  <c r="AL89" i="21"/>
  <c r="AK89" i="21"/>
  <c r="AJ89" i="21"/>
  <c r="AI89" i="21"/>
  <c r="AH89" i="21"/>
  <c r="AG89" i="21"/>
  <c r="AB89" i="21"/>
  <c r="AA89" i="21"/>
  <c r="V89" i="21"/>
  <c r="U89" i="21"/>
  <c r="DP88" i="21"/>
  <c r="DO88" i="21"/>
  <c r="DN88" i="21"/>
  <c r="DM88" i="21"/>
  <c r="DL88" i="21"/>
  <c r="DK88" i="21"/>
  <c r="DF88" i="21"/>
  <c r="DE88" i="21"/>
  <c r="CZ88" i="21"/>
  <c r="CY88" i="21"/>
  <c r="CT88" i="21"/>
  <c r="CS88" i="21"/>
  <c r="CN88" i="21"/>
  <c r="CM88" i="21"/>
  <c r="CH88" i="21"/>
  <c r="CG88" i="21"/>
  <c r="CB88" i="21"/>
  <c r="BZ88" i="21"/>
  <c r="BU88" i="21"/>
  <c r="BS88" i="21"/>
  <c r="BN88" i="21"/>
  <c r="BL88" i="21"/>
  <c r="BG88" i="21"/>
  <c r="BE88" i="21"/>
  <c r="AZ88" i="21"/>
  <c r="AY88" i="21"/>
  <c r="AT88" i="21"/>
  <c r="AS88" i="21"/>
  <c r="AL88" i="21"/>
  <c r="AK88" i="21"/>
  <c r="AJ88" i="21"/>
  <c r="AI88" i="21"/>
  <c r="AH88" i="21"/>
  <c r="AG88" i="21"/>
  <c r="AB88" i="21"/>
  <c r="AA88" i="21"/>
  <c r="V88" i="21"/>
  <c r="U88" i="21"/>
  <c r="DP87" i="21"/>
  <c r="DO87" i="21"/>
  <c r="DN87" i="21"/>
  <c r="DM87" i="21"/>
  <c r="DL87" i="21"/>
  <c r="DK87" i="21"/>
  <c r="DF87" i="21"/>
  <c r="DE87" i="21"/>
  <c r="CZ87" i="21"/>
  <c r="CY87" i="21"/>
  <c r="CT87" i="21"/>
  <c r="CS87" i="21"/>
  <c r="CN87" i="21"/>
  <c r="CM87" i="21"/>
  <c r="CH87" i="21"/>
  <c r="CG87" i="21"/>
  <c r="CB87" i="21"/>
  <c r="BZ87" i="21"/>
  <c r="BU87" i="21"/>
  <c r="BS87" i="21"/>
  <c r="BN87" i="21"/>
  <c r="BL87" i="21"/>
  <c r="BG87" i="21"/>
  <c r="BE87" i="21"/>
  <c r="AZ87" i="21"/>
  <c r="AY87" i="21"/>
  <c r="AT87" i="21"/>
  <c r="AS87" i="21"/>
  <c r="AL87" i="21"/>
  <c r="AK87" i="21"/>
  <c r="AJ87" i="21"/>
  <c r="AI87" i="21"/>
  <c r="AH87" i="21"/>
  <c r="AG87" i="21"/>
  <c r="AB87" i="21"/>
  <c r="AA87" i="21"/>
  <c r="V87" i="21"/>
  <c r="U87" i="21"/>
  <c r="DP86" i="21"/>
  <c r="DO86" i="21"/>
  <c r="DN86" i="21"/>
  <c r="DM86" i="21"/>
  <c r="DL86" i="21"/>
  <c r="DK86" i="21"/>
  <c r="DF86" i="21"/>
  <c r="DE86" i="21"/>
  <c r="CZ86" i="21"/>
  <c r="CY86" i="21"/>
  <c r="CT86" i="21"/>
  <c r="CS86" i="21"/>
  <c r="CN86" i="21"/>
  <c r="CM86" i="21"/>
  <c r="CH86" i="21"/>
  <c r="CG86" i="21"/>
  <c r="CB86" i="21"/>
  <c r="BZ86" i="21"/>
  <c r="BU86" i="21"/>
  <c r="BS86" i="21"/>
  <c r="BN86" i="21"/>
  <c r="BL86" i="21"/>
  <c r="BG86" i="21"/>
  <c r="BE86" i="21"/>
  <c r="AZ86" i="21"/>
  <c r="AY86" i="21"/>
  <c r="AT86" i="21"/>
  <c r="AS86" i="21"/>
  <c r="AL86" i="21"/>
  <c r="AK86" i="21"/>
  <c r="AJ86" i="21"/>
  <c r="AI86" i="21"/>
  <c r="AH86" i="21"/>
  <c r="AG86" i="21"/>
  <c r="AB86" i="21"/>
  <c r="AA86" i="21"/>
  <c r="V86" i="21"/>
  <c r="U86" i="21"/>
  <c r="DP85" i="21"/>
  <c r="DO85" i="21"/>
  <c r="DN85" i="21"/>
  <c r="DM85" i="21"/>
  <c r="DL85" i="21"/>
  <c r="DK85" i="21"/>
  <c r="DF85" i="21"/>
  <c r="DE85" i="21"/>
  <c r="CZ85" i="21"/>
  <c r="CY85" i="21"/>
  <c r="CT85" i="21"/>
  <c r="CS85" i="21"/>
  <c r="CN85" i="21"/>
  <c r="CM85" i="21"/>
  <c r="CH85" i="21"/>
  <c r="CG85" i="21"/>
  <c r="CB85" i="21"/>
  <c r="BZ85" i="21"/>
  <c r="BU85" i="21"/>
  <c r="BS85" i="21"/>
  <c r="BN85" i="21"/>
  <c r="BL85" i="21"/>
  <c r="BG85" i="21"/>
  <c r="BE85" i="21"/>
  <c r="AZ85" i="21"/>
  <c r="AY85" i="21"/>
  <c r="AT85" i="21"/>
  <c r="AS85" i="21"/>
  <c r="AL85" i="21"/>
  <c r="AK85" i="21"/>
  <c r="AJ85" i="21"/>
  <c r="AI85" i="21"/>
  <c r="AH85" i="21"/>
  <c r="AG85" i="21"/>
  <c r="AB85" i="21"/>
  <c r="AA85" i="21"/>
  <c r="V85" i="21"/>
  <c r="U85" i="21"/>
  <c r="DP84" i="21"/>
  <c r="DO84" i="21"/>
  <c r="DN84" i="21"/>
  <c r="DM84" i="21"/>
  <c r="DL84" i="21"/>
  <c r="DK84" i="21"/>
  <c r="DF84" i="21"/>
  <c r="DE84" i="21"/>
  <c r="CZ84" i="21"/>
  <c r="CY84" i="21"/>
  <c r="CT84" i="21"/>
  <c r="CS84" i="21"/>
  <c r="CN84" i="21"/>
  <c r="CM84" i="21"/>
  <c r="CH84" i="21"/>
  <c r="CG84" i="21"/>
  <c r="CB84" i="21"/>
  <c r="BZ84" i="21"/>
  <c r="BU84" i="21"/>
  <c r="BS84" i="21"/>
  <c r="BN84" i="21"/>
  <c r="BL84" i="21"/>
  <c r="BG84" i="21"/>
  <c r="BE84" i="21"/>
  <c r="AZ84" i="21"/>
  <c r="AY84" i="21"/>
  <c r="AT84" i="21"/>
  <c r="AS84" i="21"/>
  <c r="AL84" i="21"/>
  <c r="AK84" i="21"/>
  <c r="AJ84" i="21"/>
  <c r="AI84" i="21"/>
  <c r="AH84" i="21"/>
  <c r="AG84" i="21"/>
  <c r="AB84" i="21"/>
  <c r="AA84" i="21"/>
  <c r="V84" i="21"/>
  <c r="U84" i="21"/>
  <c r="DP83" i="21"/>
  <c r="DO83" i="21"/>
  <c r="DN83" i="21"/>
  <c r="DM83" i="21"/>
  <c r="DL83" i="21"/>
  <c r="DK83" i="21"/>
  <c r="DF83" i="21"/>
  <c r="DE83" i="21"/>
  <c r="CZ83" i="21"/>
  <c r="CY83" i="21"/>
  <c r="CT83" i="21"/>
  <c r="CS83" i="21"/>
  <c r="CN83" i="21"/>
  <c r="CM83" i="21"/>
  <c r="CH83" i="21"/>
  <c r="CG83" i="21"/>
  <c r="CB83" i="21"/>
  <c r="BZ83" i="21"/>
  <c r="BU83" i="21"/>
  <c r="BS83" i="21"/>
  <c r="BN83" i="21"/>
  <c r="BL83" i="21"/>
  <c r="BG83" i="21"/>
  <c r="BE83" i="21"/>
  <c r="AZ83" i="21"/>
  <c r="AY83" i="21"/>
  <c r="AT83" i="21"/>
  <c r="AS83" i="21"/>
  <c r="AL83" i="21"/>
  <c r="AK83" i="21"/>
  <c r="AJ83" i="21"/>
  <c r="AI83" i="21"/>
  <c r="AH83" i="21"/>
  <c r="AG83" i="21"/>
  <c r="AB83" i="21"/>
  <c r="AA83" i="21"/>
  <c r="V83" i="21"/>
  <c r="U83" i="21"/>
  <c r="DP82" i="21"/>
  <c r="DO82" i="21"/>
  <c r="DN82" i="21"/>
  <c r="DM82" i="21"/>
  <c r="DL82" i="21"/>
  <c r="DK82" i="21"/>
  <c r="DF82" i="21"/>
  <c r="DE82" i="21"/>
  <c r="CZ82" i="21"/>
  <c r="CY82" i="21"/>
  <c r="CT82" i="21"/>
  <c r="CS82" i="21"/>
  <c r="CN82" i="21"/>
  <c r="CM82" i="21"/>
  <c r="CH82" i="21"/>
  <c r="CG82" i="21"/>
  <c r="CB82" i="21"/>
  <c r="BZ82" i="21"/>
  <c r="BU82" i="21"/>
  <c r="BS82" i="21"/>
  <c r="BN82" i="21"/>
  <c r="BL82" i="21"/>
  <c r="BG82" i="21"/>
  <c r="BE82" i="21"/>
  <c r="AZ82" i="21"/>
  <c r="AY82" i="21"/>
  <c r="AT82" i="21"/>
  <c r="AS82" i="21"/>
  <c r="AL82" i="21"/>
  <c r="AK82" i="21"/>
  <c r="AJ82" i="21"/>
  <c r="AI82" i="21"/>
  <c r="AH82" i="21"/>
  <c r="AG82" i="21"/>
  <c r="AB82" i="21"/>
  <c r="AA82" i="21"/>
  <c r="V82" i="21"/>
  <c r="U82" i="21"/>
  <c r="DP81" i="21"/>
  <c r="DO81" i="21"/>
  <c r="DN81" i="21"/>
  <c r="DM81" i="21"/>
  <c r="DL81" i="21"/>
  <c r="DK81" i="21"/>
  <c r="DF81" i="21"/>
  <c r="DE81" i="21"/>
  <c r="CZ81" i="21"/>
  <c r="CY81" i="21"/>
  <c r="CT81" i="21"/>
  <c r="CS81" i="21"/>
  <c r="CN81" i="21"/>
  <c r="CM81" i="21"/>
  <c r="CH81" i="21"/>
  <c r="CG81" i="21"/>
  <c r="CB81" i="21"/>
  <c r="BZ81" i="21"/>
  <c r="BU81" i="21"/>
  <c r="BS81" i="21"/>
  <c r="BN81" i="21"/>
  <c r="BL81" i="21"/>
  <c r="BG81" i="21"/>
  <c r="BE81" i="21"/>
  <c r="AZ81" i="21"/>
  <c r="AY81" i="21"/>
  <c r="AT81" i="21"/>
  <c r="AS81" i="21"/>
  <c r="AL81" i="21"/>
  <c r="AK81" i="21"/>
  <c r="AJ81" i="21"/>
  <c r="AI81" i="21"/>
  <c r="AH81" i="21"/>
  <c r="AG81" i="21"/>
  <c r="AB81" i="21"/>
  <c r="AA81" i="21"/>
  <c r="V81" i="21"/>
  <c r="U81" i="21"/>
  <c r="DP80" i="21"/>
  <c r="DO80" i="21"/>
  <c r="DN80" i="21"/>
  <c r="DM80" i="21"/>
  <c r="DL80" i="21"/>
  <c r="DK80" i="21"/>
  <c r="DF80" i="21"/>
  <c r="DE80" i="21"/>
  <c r="CZ80" i="21"/>
  <c r="CY80" i="21"/>
  <c r="CT80" i="21"/>
  <c r="CS80" i="21"/>
  <c r="CN80" i="21"/>
  <c r="CM80" i="21"/>
  <c r="CH80" i="21"/>
  <c r="CG80" i="21"/>
  <c r="CB80" i="21"/>
  <c r="BZ80" i="21"/>
  <c r="BU80" i="21"/>
  <c r="BS80" i="21"/>
  <c r="BN80" i="21"/>
  <c r="BL80" i="21"/>
  <c r="BG80" i="21"/>
  <c r="BE80" i="21"/>
  <c r="AZ80" i="21"/>
  <c r="AY80" i="21"/>
  <c r="AT80" i="21"/>
  <c r="AS80" i="21"/>
  <c r="AL80" i="21"/>
  <c r="AK80" i="21"/>
  <c r="AJ80" i="21"/>
  <c r="AI80" i="21"/>
  <c r="AH80" i="21"/>
  <c r="AG80" i="21"/>
  <c r="AB80" i="21"/>
  <c r="AA80" i="21"/>
  <c r="V80" i="21"/>
  <c r="U80" i="21"/>
  <c r="DP79" i="21"/>
  <c r="DO79" i="21"/>
  <c r="DN79" i="21"/>
  <c r="DM79" i="21"/>
  <c r="DL79" i="21"/>
  <c r="DK79" i="21"/>
  <c r="DF79" i="21"/>
  <c r="DE79" i="21"/>
  <c r="CZ79" i="21"/>
  <c r="CY79" i="21"/>
  <c r="CT79" i="21"/>
  <c r="CS79" i="21"/>
  <c r="CN79" i="21"/>
  <c r="CM79" i="21"/>
  <c r="CH79" i="21"/>
  <c r="CG79" i="21"/>
  <c r="CB79" i="21"/>
  <c r="BZ79" i="21"/>
  <c r="BU79" i="21"/>
  <c r="BS79" i="21"/>
  <c r="BN79" i="21"/>
  <c r="BL79" i="21"/>
  <c r="BG79" i="21"/>
  <c r="BE79" i="21"/>
  <c r="AZ79" i="21"/>
  <c r="AY79" i="21"/>
  <c r="AT79" i="21"/>
  <c r="AS79" i="21"/>
  <c r="AL79" i="21"/>
  <c r="AK79" i="21"/>
  <c r="AJ79" i="21"/>
  <c r="AI79" i="21"/>
  <c r="AH79" i="21"/>
  <c r="AG79" i="21"/>
  <c r="AB79" i="21"/>
  <c r="AA79" i="21"/>
  <c r="V79" i="21"/>
  <c r="U79" i="21"/>
  <c r="DP78" i="21"/>
  <c r="DO78" i="21"/>
  <c r="DN78" i="21"/>
  <c r="DM78" i="21"/>
  <c r="DL78" i="21"/>
  <c r="DK78" i="21"/>
  <c r="DF78" i="21"/>
  <c r="DE78" i="21"/>
  <c r="CZ78" i="21"/>
  <c r="CY78" i="21"/>
  <c r="CT78" i="21"/>
  <c r="CS78" i="21"/>
  <c r="CN78" i="21"/>
  <c r="CM78" i="21"/>
  <c r="CH78" i="21"/>
  <c r="CG78" i="21"/>
  <c r="CB78" i="21"/>
  <c r="BZ78" i="21"/>
  <c r="BU78" i="21"/>
  <c r="BS78" i="21"/>
  <c r="BN78" i="21"/>
  <c r="BL78" i="21"/>
  <c r="BG78" i="21"/>
  <c r="BE78" i="21"/>
  <c r="AZ78" i="21"/>
  <c r="AY78" i="21"/>
  <c r="AT78" i="21"/>
  <c r="AS78" i="21"/>
  <c r="AL78" i="21"/>
  <c r="AK78" i="21"/>
  <c r="AJ78" i="21"/>
  <c r="AI78" i="21"/>
  <c r="AH78" i="21"/>
  <c r="AG78" i="21"/>
  <c r="AB78" i="21"/>
  <c r="AA78" i="21"/>
  <c r="V78" i="21"/>
  <c r="U78" i="21"/>
  <c r="DP77" i="21"/>
  <c r="DO77" i="21"/>
  <c r="DN77" i="21"/>
  <c r="DM77" i="21"/>
  <c r="DL77" i="21"/>
  <c r="DK77" i="21"/>
  <c r="DF77" i="21"/>
  <c r="DE77" i="21"/>
  <c r="CZ77" i="21"/>
  <c r="CY77" i="21"/>
  <c r="CT77" i="21"/>
  <c r="CS77" i="21"/>
  <c r="CN77" i="21"/>
  <c r="CM77" i="21"/>
  <c r="CH77" i="21"/>
  <c r="CG77" i="21"/>
  <c r="CB77" i="21"/>
  <c r="BZ77" i="21"/>
  <c r="BU77" i="21"/>
  <c r="BS77" i="21"/>
  <c r="BN77" i="21"/>
  <c r="BL77" i="21"/>
  <c r="BG77" i="21"/>
  <c r="BE77" i="21"/>
  <c r="AZ77" i="21"/>
  <c r="AY77" i="21"/>
  <c r="AT77" i="21"/>
  <c r="AS77" i="21"/>
  <c r="AL77" i="21"/>
  <c r="AK77" i="21"/>
  <c r="AJ77" i="21"/>
  <c r="AI77" i="21"/>
  <c r="AH77" i="21"/>
  <c r="AG77" i="21"/>
  <c r="AB77" i="21"/>
  <c r="AA77" i="21"/>
  <c r="V77" i="21"/>
  <c r="U77" i="21"/>
  <c r="DP76" i="21"/>
  <c r="DO76" i="21"/>
  <c r="DN76" i="21"/>
  <c r="DM76" i="21"/>
  <c r="DL76" i="21"/>
  <c r="DK76" i="21"/>
  <c r="DF76" i="21"/>
  <c r="DE76" i="21"/>
  <c r="CZ76" i="21"/>
  <c r="CY76" i="21"/>
  <c r="CT76" i="21"/>
  <c r="CS76" i="21"/>
  <c r="CN76" i="21"/>
  <c r="CM76" i="21"/>
  <c r="CH76" i="21"/>
  <c r="CG76" i="21"/>
  <c r="CB76" i="21"/>
  <c r="BZ76" i="21"/>
  <c r="BU76" i="21"/>
  <c r="BS76" i="21"/>
  <c r="BN76" i="21"/>
  <c r="BL76" i="21"/>
  <c r="BG76" i="21"/>
  <c r="BE76" i="21"/>
  <c r="AZ76" i="21"/>
  <c r="AY76" i="21"/>
  <c r="AT76" i="21"/>
  <c r="AS76" i="21"/>
  <c r="AL76" i="21"/>
  <c r="AK76" i="21"/>
  <c r="AJ76" i="21"/>
  <c r="AI76" i="21"/>
  <c r="AH76" i="21"/>
  <c r="AG76" i="21"/>
  <c r="AB76" i="21"/>
  <c r="AA76" i="21"/>
  <c r="V76" i="21"/>
  <c r="U76" i="21"/>
  <c r="DP75" i="21"/>
  <c r="DO75" i="21"/>
  <c r="DN75" i="21"/>
  <c r="DM75" i="21"/>
  <c r="DL75" i="21"/>
  <c r="DK75" i="21"/>
  <c r="DF75" i="21"/>
  <c r="DE75" i="21"/>
  <c r="CZ75" i="21"/>
  <c r="CY75" i="21"/>
  <c r="CT75" i="21"/>
  <c r="CS75" i="21"/>
  <c r="CN75" i="21"/>
  <c r="CM75" i="21"/>
  <c r="CH75" i="21"/>
  <c r="CG75" i="21"/>
  <c r="CB75" i="21"/>
  <c r="BZ75" i="21"/>
  <c r="BU75" i="21"/>
  <c r="BS75" i="21"/>
  <c r="BN75" i="21"/>
  <c r="BL75" i="21"/>
  <c r="BG75" i="21"/>
  <c r="BE75" i="21"/>
  <c r="AZ75" i="21"/>
  <c r="AY75" i="21"/>
  <c r="AT75" i="21"/>
  <c r="AS75" i="21"/>
  <c r="AL75" i="21"/>
  <c r="AK75" i="21"/>
  <c r="AJ75" i="21"/>
  <c r="AI75" i="21"/>
  <c r="AH75" i="21"/>
  <c r="AG75" i="21"/>
  <c r="AB75" i="21"/>
  <c r="AA75" i="21"/>
  <c r="V75" i="21"/>
  <c r="U75" i="21"/>
  <c r="DP74" i="21"/>
  <c r="DO74" i="21"/>
  <c r="DN74" i="21"/>
  <c r="DM74" i="21"/>
  <c r="DL74" i="21"/>
  <c r="DK74" i="21"/>
  <c r="DF74" i="21"/>
  <c r="DE74" i="21"/>
  <c r="CZ74" i="21"/>
  <c r="CY74" i="21"/>
  <c r="CT74" i="21"/>
  <c r="CS74" i="21"/>
  <c r="CN74" i="21"/>
  <c r="CM74" i="21"/>
  <c r="CH74" i="21"/>
  <c r="CG74" i="21"/>
  <c r="CB74" i="21"/>
  <c r="BZ74" i="21"/>
  <c r="BU74" i="21"/>
  <c r="BS74" i="21"/>
  <c r="BN74" i="21"/>
  <c r="BL74" i="21"/>
  <c r="BG74" i="21"/>
  <c r="BE74" i="21"/>
  <c r="AZ74" i="21"/>
  <c r="AY74" i="21"/>
  <c r="AT74" i="21"/>
  <c r="AS74" i="21"/>
  <c r="AL74" i="21"/>
  <c r="AK74" i="21"/>
  <c r="AJ74" i="21"/>
  <c r="AI74" i="21"/>
  <c r="AH74" i="21"/>
  <c r="AG74" i="21"/>
  <c r="AB74" i="21"/>
  <c r="AA74" i="21"/>
  <c r="V74" i="21"/>
  <c r="U74" i="21"/>
  <c r="DP73" i="21"/>
  <c r="DO73" i="21"/>
  <c r="DN73" i="21"/>
  <c r="DM73" i="21"/>
  <c r="DL73" i="21"/>
  <c r="DK73" i="21"/>
  <c r="DF73" i="21"/>
  <c r="DE73" i="21"/>
  <c r="CZ73" i="21"/>
  <c r="CY73" i="21"/>
  <c r="CT73" i="21"/>
  <c r="CS73" i="21"/>
  <c r="CN73" i="21"/>
  <c r="CM73" i="21"/>
  <c r="CH73" i="21"/>
  <c r="CG73" i="21"/>
  <c r="CB73" i="21"/>
  <c r="BZ73" i="21"/>
  <c r="BU73" i="21"/>
  <c r="BS73" i="21"/>
  <c r="BN73" i="21"/>
  <c r="BL73" i="21"/>
  <c r="BG73" i="21"/>
  <c r="BE73" i="21"/>
  <c r="AZ73" i="21"/>
  <c r="AY73" i="21"/>
  <c r="AT73" i="21"/>
  <c r="AS73" i="21"/>
  <c r="AL73" i="21"/>
  <c r="AK73" i="21"/>
  <c r="AJ73" i="21"/>
  <c r="AI73" i="21"/>
  <c r="AH73" i="21"/>
  <c r="AG73" i="21"/>
  <c r="AB73" i="21"/>
  <c r="AA73" i="21"/>
  <c r="V73" i="21"/>
  <c r="U73" i="21"/>
  <c r="DP72" i="21"/>
  <c r="DO72" i="21"/>
  <c r="DN72" i="21"/>
  <c r="DM72" i="21"/>
  <c r="DL72" i="21"/>
  <c r="DK72" i="21"/>
  <c r="DF72" i="21"/>
  <c r="DE72" i="21"/>
  <c r="CZ72" i="21"/>
  <c r="CY72" i="21"/>
  <c r="CT72" i="21"/>
  <c r="CS72" i="21"/>
  <c r="CN72" i="21"/>
  <c r="CM72" i="21"/>
  <c r="CH72" i="21"/>
  <c r="CG72" i="21"/>
  <c r="CB72" i="21"/>
  <c r="BZ72" i="21"/>
  <c r="BU72" i="21"/>
  <c r="BS72" i="21"/>
  <c r="BN72" i="21"/>
  <c r="BL72" i="21"/>
  <c r="BG72" i="21"/>
  <c r="BE72" i="21"/>
  <c r="AZ72" i="21"/>
  <c r="AY72" i="21"/>
  <c r="AT72" i="21"/>
  <c r="AS72" i="21"/>
  <c r="AL72" i="21"/>
  <c r="AK72" i="21"/>
  <c r="AJ72" i="21"/>
  <c r="AI72" i="21"/>
  <c r="AH72" i="21"/>
  <c r="AG72" i="21"/>
  <c r="AB72" i="21"/>
  <c r="AA72" i="21"/>
  <c r="V72" i="21"/>
  <c r="U72" i="21"/>
  <c r="DP71" i="21"/>
  <c r="DO71" i="21"/>
  <c r="DN71" i="21"/>
  <c r="DM71" i="21"/>
  <c r="DL71" i="21"/>
  <c r="DK71" i="21"/>
  <c r="DF71" i="21"/>
  <c r="DE71" i="21"/>
  <c r="CZ71" i="21"/>
  <c r="CY71" i="21"/>
  <c r="CT71" i="21"/>
  <c r="CS71" i="21"/>
  <c r="CN71" i="21"/>
  <c r="CM71" i="21"/>
  <c r="CH71" i="21"/>
  <c r="CG71" i="21"/>
  <c r="CB71" i="21"/>
  <c r="BZ71" i="21"/>
  <c r="BU71" i="21"/>
  <c r="BS71" i="21"/>
  <c r="BN71" i="21"/>
  <c r="BL71" i="21"/>
  <c r="BG71" i="21"/>
  <c r="BE71" i="21"/>
  <c r="AZ71" i="21"/>
  <c r="AY71" i="21"/>
  <c r="AT71" i="21"/>
  <c r="AS71" i="21"/>
  <c r="AL71" i="21"/>
  <c r="AK71" i="21"/>
  <c r="AJ71" i="21"/>
  <c r="AI71" i="21"/>
  <c r="AH71" i="21"/>
  <c r="AG71" i="21"/>
  <c r="AB71" i="21"/>
  <c r="AA71" i="21"/>
  <c r="V71" i="21"/>
  <c r="U71" i="21"/>
  <c r="DP70" i="21"/>
  <c r="DO70" i="21"/>
  <c r="DN70" i="21"/>
  <c r="DM70" i="21"/>
  <c r="DL70" i="21"/>
  <c r="DK70" i="21"/>
  <c r="DF70" i="21"/>
  <c r="DE70" i="21"/>
  <c r="CZ70" i="21"/>
  <c r="CY70" i="21"/>
  <c r="CT70" i="21"/>
  <c r="CS70" i="21"/>
  <c r="CN70" i="21"/>
  <c r="CM70" i="21"/>
  <c r="CH70" i="21"/>
  <c r="CG70" i="21"/>
  <c r="CB70" i="21"/>
  <c r="BZ70" i="21"/>
  <c r="BU70" i="21"/>
  <c r="BS70" i="21"/>
  <c r="BN70" i="21"/>
  <c r="BL70" i="21"/>
  <c r="BG70" i="21"/>
  <c r="BE70" i="21"/>
  <c r="AZ70" i="21"/>
  <c r="AY70" i="21"/>
  <c r="AT70" i="21"/>
  <c r="AS70" i="21"/>
  <c r="AL70" i="21"/>
  <c r="AK70" i="21"/>
  <c r="AJ70" i="21"/>
  <c r="AI70" i="21"/>
  <c r="AH70" i="21"/>
  <c r="AG70" i="21"/>
  <c r="AB70" i="21"/>
  <c r="AA70" i="21"/>
  <c r="V70" i="21"/>
  <c r="U70" i="21"/>
  <c r="DP69" i="21"/>
  <c r="DO69" i="21"/>
  <c r="DN69" i="21"/>
  <c r="DM69" i="21"/>
  <c r="DL69" i="21"/>
  <c r="DK69" i="21"/>
  <c r="DF69" i="21"/>
  <c r="DE69" i="21"/>
  <c r="CZ69" i="21"/>
  <c r="CY69" i="21"/>
  <c r="CT69" i="21"/>
  <c r="CS69" i="21"/>
  <c r="CN69" i="21"/>
  <c r="CM69" i="21"/>
  <c r="CH69" i="21"/>
  <c r="CG69" i="21"/>
  <c r="CB69" i="21"/>
  <c r="BZ69" i="21"/>
  <c r="BU69" i="21"/>
  <c r="BS69" i="21"/>
  <c r="BN69" i="21"/>
  <c r="BL69" i="21"/>
  <c r="BG69" i="21"/>
  <c r="BE69" i="21"/>
  <c r="AZ69" i="21"/>
  <c r="AY69" i="21"/>
  <c r="AT69" i="21"/>
  <c r="AS69" i="21"/>
  <c r="AL69" i="21"/>
  <c r="AJ69" i="21"/>
  <c r="AI69" i="21"/>
  <c r="AH69" i="21"/>
  <c r="AG69" i="21"/>
  <c r="AB69" i="21"/>
  <c r="Y69" i="21"/>
  <c r="AA69" i="21" s="1"/>
  <c r="V69" i="21"/>
  <c r="U69" i="21"/>
  <c r="DP68" i="21"/>
  <c r="DO68" i="21"/>
  <c r="DN68" i="21"/>
  <c r="DM68" i="21"/>
  <c r="DL68" i="21"/>
  <c r="DK68" i="21"/>
  <c r="DF68" i="21"/>
  <c r="DE68" i="21"/>
  <c r="CZ68" i="21"/>
  <c r="CY68" i="21"/>
  <c r="CT68" i="21"/>
  <c r="CS68" i="21"/>
  <c r="CN68" i="21"/>
  <c r="CM68" i="21"/>
  <c r="CH68" i="21"/>
  <c r="CG68" i="21"/>
  <c r="CB68" i="21"/>
  <c r="BZ68" i="21"/>
  <c r="BU68" i="21"/>
  <c r="BS68" i="21"/>
  <c r="BN68" i="21"/>
  <c r="BL68" i="21"/>
  <c r="BG68" i="21"/>
  <c r="BE68" i="21"/>
  <c r="AZ68" i="21"/>
  <c r="AY68" i="21"/>
  <c r="AT68" i="21"/>
  <c r="AS68" i="21"/>
  <c r="AL68" i="21"/>
  <c r="AK68" i="21"/>
  <c r="AJ68" i="21"/>
  <c r="AI68" i="21"/>
  <c r="AH68" i="21"/>
  <c r="AG68" i="21"/>
  <c r="AB68" i="21"/>
  <c r="AA68" i="21"/>
  <c r="V68" i="21"/>
  <c r="U68" i="21"/>
  <c r="DP67" i="21"/>
  <c r="DO67" i="21"/>
  <c r="DN67" i="21"/>
  <c r="DM67" i="21"/>
  <c r="DL67" i="21"/>
  <c r="DK67" i="21"/>
  <c r="DF67" i="21"/>
  <c r="DE67" i="21"/>
  <c r="CZ67" i="21"/>
  <c r="CY67" i="21"/>
  <c r="CT67" i="21"/>
  <c r="CS67" i="21"/>
  <c r="CN67" i="21"/>
  <c r="CM67" i="21"/>
  <c r="CH67" i="21"/>
  <c r="CG67" i="21"/>
  <c r="CB67" i="21"/>
  <c r="BZ67" i="21"/>
  <c r="BU67" i="21"/>
  <c r="BS67" i="21"/>
  <c r="BN67" i="21"/>
  <c r="BL67" i="21"/>
  <c r="BG67" i="21"/>
  <c r="BE67" i="21"/>
  <c r="AZ67" i="21"/>
  <c r="AY67" i="21"/>
  <c r="AT67" i="21"/>
  <c r="AS67" i="21"/>
  <c r="AL67" i="21"/>
  <c r="AK67" i="21"/>
  <c r="AJ67" i="21"/>
  <c r="AI67" i="21"/>
  <c r="AH67" i="21"/>
  <c r="AG67" i="21"/>
  <c r="AB67" i="21"/>
  <c r="AA67" i="21"/>
  <c r="V67" i="21"/>
  <c r="U67" i="21"/>
  <c r="DP66" i="21"/>
  <c r="DO66" i="21"/>
  <c r="DN66" i="21"/>
  <c r="DM66" i="21"/>
  <c r="DL66" i="21"/>
  <c r="DK66" i="21"/>
  <c r="DF66" i="21"/>
  <c r="DE66" i="21"/>
  <c r="CZ66" i="21"/>
  <c r="CY66" i="21"/>
  <c r="CT66" i="21"/>
  <c r="CS66" i="21"/>
  <c r="CN66" i="21"/>
  <c r="CM66" i="21"/>
  <c r="CH66" i="21"/>
  <c r="CG66" i="21"/>
  <c r="CB66" i="21"/>
  <c r="BZ66" i="21"/>
  <c r="BU66" i="21"/>
  <c r="BS66" i="21"/>
  <c r="BN66" i="21"/>
  <c r="BL66" i="21"/>
  <c r="BG66" i="21"/>
  <c r="BE66" i="21"/>
  <c r="AZ66" i="21"/>
  <c r="AY66" i="21"/>
  <c r="AT66" i="21"/>
  <c r="AS66" i="21"/>
  <c r="AL66" i="21"/>
  <c r="AJ66" i="21"/>
  <c r="AI66" i="21"/>
  <c r="AH66" i="21"/>
  <c r="AG66" i="21"/>
  <c r="AB66" i="21"/>
  <c r="Y66" i="21"/>
  <c r="AA66" i="21" s="1"/>
  <c r="V66" i="21"/>
  <c r="U66" i="21"/>
  <c r="DP65" i="21"/>
  <c r="DO65" i="21"/>
  <c r="DN65" i="21"/>
  <c r="DM65" i="21"/>
  <c r="DL65" i="21"/>
  <c r="DK65" i="21"/>
  <c r="DF65" i="21"/>
  <c r="DE65" i="21"/>
  <c r="CZ65" i="21"/>
  <c r="CY65" i="21"/>
  <c r="CT65" i="21"/>
  <c r="CS65" i="21"/>
  <c r="CN65" i="21"/>
  <c r="CM65" i="21"/>
  <c r="CH65" i="21"/>
  <c r="CG65" i="21"/>
  <c r="CB65" i="21"/>
  <c r="BZ65" i="21"/>
  <c r="BU65" i="21"/>
  <c r="BS65" i="21"/>
  <c r="BN65" i="21"/>
  <c r="BL65" i="21"/>
  <c r="BG65" i="21"/>
  <c r="BE65" i="21"/>
  <c r="AZ65" i="21"/>
  <c r="AY65" i="21"/>
  <c r="AT65" i="21"/>
  <c r="AS65" i="21"/>
  <c r="AL65" i="21"/>
  <c r="AK65" i="21"/>
  <c r="AJ65" i="21"/>
  <c r="AI65" i="21"/>
  <c r="AH65" i="21"/>
  <c r="AG65" i="21"/>
  <c r="AB65" i="21"/>
  <c r="AA65" i="21"/>
  <c r="V65" i="21"/>
  <c r="U65" i="21"/>
  <c r="DP64" i="21"/>
  <c r="DO64" i="21"/>
  <c r="DN64" i="21"/>
  <c r="DM64" i="21"/>
  <c r="DL64" i="21"/>
  <c r="DK64" i="21"/>
  <c r="DF64" i="21"/>
  <c r="DE64" i="21"/>
  <c r="CZ64" i="21"/>
  <c r="CY64" i="21"/>
  <c r="CT64" i="21"/>
  <c r="CS64" i="21"/>
  <c r="CN64" i="21"/>
  <c r="CM64" i="21"/>
  <c r="CH64" i="21"/>
  <c r="CG64" i="21"/>
  <c r="CB64" i="21"/>
  <c r="BZ64" i="21"/>
  <c r="BU64" i="21"/>
  <c r="BS64" i="21"/>
  <c r="BN64" i="21"/>
  <c r="BL64" i="21"/>
  <c r="BG64" i="21"/>
  <c r="BE64" i="21"/>
  <c r="AZ64" i="21"/>
  <c r="AY64" i="21"/>
  <c r="AT64" i="21"/>
  <c r="AS64" i="21"/>
  <c r="AL64" i="21"/>
  <c r="AK64" i="21"/>
  <c r="AJ64" i="21"/>
  <c r="AI64" i="21"/>
  <c r="AH64" i="21"/>
  <c r="AG64" i="21"/>
  <c r="AB64" i="21"/>
  <c r="AA64" i="21"/>
  <c r="V64" i="21"/>
  <c r="U64" i="21"/>
  <c r="DP63" i="21"/>
  <c r="DO63" i="21"/>
  <c r="DN63" i="21"/>
  <c r="DM63" i="21"/>
  <c r="DL63" i="21"/>
  <c r="DK63" i="21"/>
  <c r="DF63" i="21"/>
  <c r="DE63" i="21"/>
  <c r="CZ63" i="21"/>
  <c r="CY63" i="21"/>
  <c r="CT63" i="21"/>
  <c r="CS63" i="21"/>
  <c r="CN63" i="21"/>
  <c r="CM63" i="21"/>
  <c r="CH63" i="21"/>
  <c r="CG63" i="21"/>
  <c r="CB63" i="21"/>
  <c r="BZ63" i="21"/>
  <c r="BU63" i="21"/>
  <c r="BS63" i="21"/>
  <c r="BN63" i="21"/>
  <c r="BL63" i="21"/>
  <c r="BG63" i="21"/>
  <c r="BE63" i="21"/>
  <c r="AZ63" i="21"/>
  <c r="AY63" i="21"/>
  <c r="AT63" i="21"/>
  <c r="AS63" i="21"/>
  <c r="AL63" i="21"/>
  <c r="AK63" i="21"/>
  <c r="AJ63" i="21"/>
  <c r="AI63" i="21"/>
  <c r="AH63" i="21"/>
  <c r="AG63" i="21"/>
  <c r="AB63" i="21"/>
  <c r="AA63" i="21"/>
  <c r="V63" i="21"/>
  <c r="U63" i="21"/>
  <c r="DP62" i="21"/>
  <c r="DO62" i="21"/>
  <c r="DN62" i="21"/>
  <c r="DM62" i="21"/>
  <c r="DL62" i="21"/>
  <c r="DK62" i="21"/>
  <c r="DF62" i="21"/>
  <c r="DE62" i="21"/>
  <c r="CZ62" i="21"/>
  <c r="CY62" i="21"/>
  <c r="CT62" i="21"/>
  <c r="CS62" i="21"/>
  <c r="CN62" i="21"/>
  <c r="CM62" i="21"/>
  <c r="CH62" i="21"/>
  <c r="CG62" i="21"/>
  <c r="CB62" i="21"/>
  <c r="BZ62" i="21"/>
  <c r="BU62" i="21"/>
  <c r="BS62" i="21"/>
  <c r="BN62" i="21"/>
  <c r="BL62" i="21"/>
  <c r="BG62" i="21"/>
  <c r="BE62" i="21"/>
  <c r="AZ62" i="21"/>
  <c r="AY62" i="21"/>
  <c r="AT62" i="21"/>
  <c r="AS62" i="21"/>
  <c r="AL62" i="21"/>
  <c r="AK62" i="21"/>
  <c r="AJ62" i="21"/>
  <c r="AI62" i="21"/>
  <c r="AH62" i="21"/>
  <c r="AG62" i="21"/>
  <c r="AB62" i="21"/>
  <c r="AA62" i="21"/>
  <c r="V62" i="21"/>
  <c r="U62" i="21"/>
  <c r="DP61" i="21"/>
  <c r="DO61" i="21"/>
  <c r="DN61" i="21"/>
  <c r="DM61" i="21"/>
  <c r="DL61" i="21"/>
  <c r="DK61" i="21"/>
  <c r="DF61" i="21"/>
  <c r="DE61" i="21"/>
  <c r="CZ61" i="21"/>
  <c r="CY61" i="21"/>
  <c r="CT61" i="21"/>
  <c r="CS61" i="21"/>
  <c r="CN61" i="21"/>
  <c r="CM61" i="21"/>
  <c r="CH61" i="21"/>
  <c r="CG61" i="21"/>
  <c r="CB61" i="21"/>
  <c r="BZ61" i="21"/>
  <c r="BU61" i="21"/>
  <c r="BS61" i="21"/>
  <c r="BN61" i="21"/>
  <c r="BL61" i="21"/>
  <c r="BG61" i="21"/>
  <c r="BE61" i="21"/>
  <c r="AZ61" i="21"/>
  <c r="AY61" i="21"/>
  <c r="AT61" i="21"/>
  <c r="AS61" i="21"/>
  <c r="AL61" i="21"/>
  <c r="AK61" i="21"/>
  <c r="AJ61" i="21"/>
  <c r="AI61" i="21"/>
  <c r="AH61" i="21"/>
  <c r="AG61" i="21"/>
  <c r="AB61" i="21"/>
  <c r="AA61" i="21"/>
  <c r="V61" i="21"/>
  <c r="U61" i="21"/>
  <c r="DP60" i="21"/>
  <c r="DO60" i="21"/>
  <c r="DN60" i="21"/>
  <c r="DM60" i="21"/>
  <c r="DL60" i="21"/>
  <c r="DK60" i="21"/>
  <c r="DF60" i="21"/>
  <c r="DE60" i="21"/>
  <c r="CZ60" i="21"/>
  <c r="CY60" i="21"/>
  <c r="CT60" i="21"/>
  <c r="CS60" i="21"/>
  <c r="CN60" i="21"/>
  <c r="CM60" i="21"/>
  <c r="CH60" i="21"/>
  <c r="CG60" i="21"/>
  <c r="CB60" i="21"/>
  <c r="BZ60" i="21"/>
  <c r="BU60" i="21"/>
  <c r="BS60" i="21"/>
  <c r="BN60" i="21"/>
  <c r="BL60" i="21"/>
  <c r="BG60" i="21"/>
  <c r="BE60" i="21"/>
  <c r="AZ60" i="21"/>
  <c r="AY60" i="21"/>
  <c r="AT60" i="21"/>
  <c r="AS60" i="21"/>
  <c r="AL60" i="21"/>
  <c r="AK60" i="21"/>
  <c r="AJ60" i="21"/>
  <c r="AI60" i="21"/>
  <c r="AH60" i="21"/>
  <c r="AG60" i="21"/>
  <c r="AB60" i="21"/>
  <c r="AA60" i="21"/>
  <c r="V60" i="21"/>
  <c r="U60" i="21"/>
  <c r="DP59" i="21"/>
  <c r="DO59" i="21"/>
  <c r="DN59" i="21"/>
  <c r="DM59" i="21"/>
  <c r="DL59" i="21"/>
  <c r="DK59" i="21"/>
  <c r="DF59" i="21"/>
  <c r="DE59" i="21"/>
  <c r="CZ59" i="21"/>
  <c r="CY59" i="21"/>
  <c r="CT59" i="21"/>
  <c r="CS59" i="21"/>
  <c r="CN59" i="21"/>
  <c r="CM59" i="21"/>
  <c r="CH59" i="21"/>
  <c r="CG59" i="21"/>
  <c r="CB59" i="21"/>
  <c r="BZ59" i="21"/>
  <c r="BU59" i="21"/>
  <c r="BS59" i="21"/>
  <c r="BN59" i="21"/>
  <c r="BL59" i="21"/>
  <c r="BG59" i="21"/>
  <c r="BE59" i="21"/>
  <c r="AZ59" i="21"/>
  <c r="AY59" i="21"/>
  <c r="AT59" i="21"/>
  <c r="AS59" i="21"/>
  <c r="AL59" i="21"/>
  <c r="AK59" i="21"/>
  <c r="AJ59" i="21"/>
  <c r="AI59" i="21"/>
  <c r="AH59" i="21"/>
  <c r="AG59" i="21"/>
  <c r="AB59" i="21"/>
  <c r="AA59" i="21"/>
  <c r="V59" i="21"/>
  <c r="U59" i="21"/>
  <c r="DP58" i="21"/>
  <c r="DO58" i="21"/>
  <c r="DN58" i="21"/>
  <c r="DM58" i="21"/>
  <c r="DL58" i="21"/>
  <c r="DK58" i="21"/>
  <c r="DF58" i="21"/>
  <c r="DE58" i="21"/>
  <c r="CZ58" i="21"/>
  <c r="CY58" i="21"/>
  <c r="CT58" i="21"/>
  <c r="CS58" i="21"/>
  <c r="CN58" i="21"/>
  <c r="CM58" i="21"/>
  <c r="CH58" i="21"/>
  <c r="CG58" i="21"/>
  <c r="CB58" i="21"/>
  <c r="BZ58" i="21"/>
  <c r="BU58" i="21"/>
  <c r="BS58" i="21"/>
  <c r="BN58" i="21"/>
  <c r="BL58" i="21"/>
  <c r="BG58" i="21"/>
  <c r="BE58" i="21"/>
  <c r="AZ58" i="21"/>
  <c r="AY58" i="21"/>
  <c r="AT58" i="21"/>
  <c r="AS58" i="21"/>
  <c r="AL58" i="21"/>
  <c r="AK58" i="21"/>
  <c r="AJ58" i="21"/>
  <c r="AI58" i="21"/>
  <c r="AH58" i="21"/>
  <c r="AG58" i="21"/>
  <c r="AB58" i="21"/>
  <c r="AA58" i="21"/>
  <c r="V58" i="21"/>
  <c r="U58" i="21"/>
  <c r="DP57" i="21"/>
  <c r="DO57" i="21"/>
  <c r="DN57" i="21"/>
  <c r="DM57" i="21"/>
  <c r="DL57" i="21"/>
  <c r="DK57" i="21"/>
  <c r="DF57" i="21"/>
  <c r="DE57" i="21"/>
  <c r="CZ57" i="21"/>
  <c r="CY57" i="21"/>
  <c r="CT57" i="21"/>
  <c r="CS57" i="21"/>
  <c r="CN57" i="21"/>
  <c r="CM57" i="21"/>
  <c r="CH57" i="21"/>
  <c r="CG57" i="21"/>
  <c r="CB57" i="21"/>
  <c r="BZ57" i="21"/>
  <c r="BU57" i="21"/>
  <c r="BS57" i="21"/>
  <c r="BN57" i="21"/>
  <c r="BL57" i="21"/>
  <c r="BG57" i="21"/>
  <c r="BE57" i="21"/>
  <c r="AZ57" i="21"/>
  <c r="AY57" i="21"/>
  <c r="AT57" i="21"/>
  <c r="AS57" i="21"/>
  <c r="AL57" i="21"/>
  <c r="AK57" i="21"/>
  <c r="AJ57" i="21"/>
  <c r="AI57" i="21"/>
  <c r="AH57" i="21"/>
  <c r="AG57" i="21"/>
  <c r="AB57" i="21"/>
  <c r="AA57" i="21"/>
  <c r="V57" i="21"/>
  <c r="U57" i="21"/>
  <c r="DP56" i="21"/>
  <c r="DO56" i="21"/>
  <c r="DN56" i="21"/>
  <c r="DM56" i="21"/>
  <c r="DL56" i="21"/>
  <c r="DK56" i="21"/>
  <c r="DF56" i="21"/>
  <c r="DE56" i="21"/>
  <c r="CZ56" i="21"/>
  <c r="CY56" i="21"/>
  <c r="CT56" i="21"/>
  <c r="CS56" i="21"/>
  <c r="CN56" i="21"/>
  <c r="CM56" i="21"/>
  <c r="CH56" i="21"/>
  <c r="CG56" i="21"/>
  <c r="CB56" i="21"/>
  <c r="BZ56" i="21"/>
  <c r="BU56" i="21"/>
  <c r="BS56" i="21"/>
  <c r="BN56" i="21"/>
  <c r="BL56" i="21"/>
  <c r="BG56" i="21"/>
  <c r="BE56" i="21"/>
  <c r="AZ56" i="21"/>
  <c r="AY56" i="21"/>
  <c r="AT56" i="21"/>
  <c r="AS56" i="21"/>
  <c r="AL56" i="21"/>
  <c r="AK56" i="21"/>
  <c r="AJ56" i="21"/>
  <c r="AI56" i="21"/>
  <c r="AH56" i="21"/>
  <c r="AG56" i="21"/>
  <c r="AB56" i="21"/>
  <c r="AA56" i="21"/>
  <c r="V56" i="21"/>
  <c r="U56" i="21"/>
  <c r="DP55" i="21"/>
  <c r="DO55" i="21"/>
  <c r="DN55" i="21"/>
  <c r="DM55" i="21"/>
  <c r="DL55" i="21"/>
  <c r="DK55" i="21"/>
  <c r="DF55" i="21"/>
  <c r="DE55" i="21"/>
  <c r="CZ55" i="21"/>
  <c r="CY55" i="21"/>
  <c r="CT55" i="21"/>
  <c r="CS55" i="21"/>
  <c r="CN55" i="21"/>
  <c r="CM55" i="21"/>
  <c r="CH55" i="21"/>
  <c r="CG55" i="21"/>
  <c r="CB55" i="21"/>
  <c r="BZ55" i="21"/>
  <c r="BU55" i="21"/>
  <c r="BS55" i="21"/>
  <c r="BN55" i="21"/>
  <c r="BL55" i="21"/>
  <c r="BG55" i="21"/>
  <c r="BE55" i="21"/>
  <c r="AZ55" i="21"/>
  <c r="AY55" i="21"/>
  <c r="AT55" i="21"/>
  <c r="AS55" i="21"/>
  <c r="AL55" i="21"/>
  <c r="AK55" i="21"/>
  <c r="AJ55" i="21"/>
  <c r="AI55" i="21"/>
  <c r="AH55" i="21"/>
  <c r="AG55" i="21"/>
  <c r="AB55" i="21"/>
  <c r="AA55" i="21"/>
  <c r="V55" i="21"/>
  <c r="U55" i="21"/>
  <c r="DP54" i="21"/>
  <c r="DO54" i="21"/>
  <c r="DN54" i="21"/>
  <c r="DM54" i="21"/>
  <c r="DL54" i="21"/>
  <c r="DK54" i="21"/>
  <c r="DF54" i="21"/>
  <c r="DE54" i="21"/>
  <c r="CZ54" i="21"/>
  <c r="CY54" i="21"/>
  <c r="CT54" i="21"/>
  <c r="CS54" i="21"/>
  <c r="CN54" i="21"/>
  <c r="CM54" i="21"/>
  <c r="CH54" i="21"/>
  <c r="CG54" i="21"/>
  <c r="CB54" i="21"/>
  <c r="BZ54" i="21"/>
  <c r="BU54" i="21"/>
  <c r="BS54" i="21"/>
  <c r="BN54" i="21"/>
  <c r="BL54" i="21"/>
  <c r="BG54" i="21"/>
  <c r="BE54" i="21"/>
  <c r="AZ54" i="21"/>
  <c r="AY54" i="21"/>
  <c r="AT54" i="21"/>
  <c r="AS54" i="21"/>
  <c r="AL54" i="21"/>
  <c r="AK54" i="21"/>
  <c r="AJ54" i="21"/>
  <c r="AI54" i="21"/>
  <c r="AH54" i="21"/>
  <c r="AG54" i="21"/>
  <c r="AB54" i="21"/>
  <c r="AA54" i="21"/>
  <c r="V54" i="21"/>
  <c r="U54" i="21"/>
  <c r="DP53" i="21"/>
  <c r="DO53" i="21"/>
  <c r="DN53" i="21"/>
  <c r="DM53" i="21"/>
  <c r="DL53" i="21"/>
  <c r="DK53" i="21"/>
  <c r="DF53" i="21"/>
  <c r="DE53" i="21"/>
  <c r="CZ53" i="21"/>
  <c r="CY53" i="21"/>
  <c r="CT53" i="21"/>
  <c r="CS53" i="21"/>
  <c r="CN53" i="21"/>
  <c r="CM53" i="21"/>
  <c r="CH53" i="21"/>
  <c r="CG53" i="21"/>
  <c r="CB53" i="21"/>
  <c r="BZ53" i="21"/>
  <c r="BU53" i="21"/>
  <c r="BS53" i="21"/>
  <c r="BN53" i="21"/>
  <c r="BL53" i="21"/>
  <c r="BG53" i="21"/>
  <c r="BE53" i="21"/>
  <c r="AZ53" i="21"/>
  <c r="AY53" i="21"/>
  <c r="AT53" i="21"/>
  <c r="AS53" i="21"/>
  <c r="AL53" i="21"/>
  <c r="AK53" i="21"/>
  <c r="AJ53" i="21"/>
  <c r="AI53" i="21"/>
  <c r="AH53" i="21"/>
  <c r="AG53" i="21"/>
  <c r="AB53" i="21"/>
  <c r="AA53" i="21"/>
  <c r="V53" i="21"/>
  <c r="U53" i="21"/>
  <c r="DP52" i="21"/>
  <c r="DO52" i="21"/>
  <c r="DN52" i="21"/>
  <c r="DM52" i="21"/>
  <c r="DL52" i="21"/>
  <c r="DK52" i="21"/>
  <c r="DF52" i="21"/>
  <c r="DE52" i="21"/>
  <c r="CZ52" i="21"/>
  <c r="CY52" i="21"/>
  <c r="CT52" i="21"/>
  <c r="CS52" i="21"/>
  <c r="CN52" i="21"/>
  <c r="CM52" i="21"/>
  <c r="CH52" i="21"/>
  <c r="CG52" i="21"/>
  <c r="CB52" i="21"/>
  <c r="BZ52" i="21"/>
  <c r="BU52" i="21"/>
  <c r="BS52" i="21"/>
  <c r="BN52" i="21"/>
  <c r="BL52" i="21"/>
  <c r="BG52" i="21"/>
  <c r="BE52" i="21"/>
  <c r="AZ52" i="21"/>
  <c r="AY52" i="21"/>
  <c r="AT52" i="21"/>
  <c r="AS52" i="21"/>
  <c r="AL52" i="21"/>
  <c r="AK52" i="21"/>
  <c r="AJ52" i="21"/>
  <c r="AI52" i="21"/>
  <c r="AH52" i="21"/>
  <c r="AG52" i="21"/>
  <c r="AB52" i="21"/>
  <c r="AA52" i="21"/>
  <c r="V52" i="21"/>
  <c r="U52" i="21"/>
  <c r="DP51" i="21"/>
  <c r="DO51" i="21"/>
  <c r="DN51" i="21"/>
  <c r="DM51" i="21"/>
  <c r="DL51" i="21"/>
  <c r="DK51" i="21"/>
  <c r="DF51" i="21"/>
  <c r="DE51" i="21"/>
  <c r="CZ51" i="21"/>
  <c r="CY51" i="21"/>
  <c r="CT51" i="21"/>
  <c r="CS51" i="21"/>
  <c r="CN51" i="21"/>
  <c r="CM51" i="21"/>
  <c r="CH51" i="21"/>
  <c r="CG51" i="21"/>
  <c r="CB51" i="21"/>
  <c r="BZ51" i="21"/>
  <c r="BU51" i="21"/>
  <c r="BS51" i="21"/>
  <c r="BN51" i="21"/>
  <c r="BL51" i="21"/>
  <c r="BG51" i="21"/>
  <c r="BE51" i="21"/>
  <c r="AZ51" i="21"/>
  <c r="AY51" i="21"/>
  <c r="AT51" i="21"/>
  <c r="AS51" i="21"/>
  <c r="AL51" i="21"/>
  <c r="AK51" i="21"/>
  <c r="AJ51" i="21"/>
  <c r="AI51" i="21"/>
  <c r="AH51" i="21"/>
  <c r="AG51" i="21"/>
  <c r="AB51" i="21"/>
  <c r="AA51" i="21"/>
  <c r="V51" i="21"/>
  <c r="U51" i="21"/>
  <c r="DP50" i="21"/>
  <c r="DO50" i="21"/>
  <c r="DN50" i="21"/>
  <c r="DM50" i="21"/>
  <c r="DL50" i="21"/>
  <c r="DK50" i="21"/>
  <c r="DF50" i="21"/>
  <c r="DE50" i="21"/>
  <c r="CZ50" i="21"/>
  <c r="CY50" i="21"/>
  <c r="CT50" i="21"/>
  <c r="CS50" i="21"/>
  <c r="CN50" i="21"/>
  <c r="CM50" i="21"/>
  <c r="CH50" i="21"/>
  <c r="CG50" i="21"/>
  <c r="CB50" i="21"/>
  <c r="BZ50" i="21"/>
  <c r="BU50" i="21"/>
  <c r="BS50" i="21"/>
  <c r="BN50" i="21"/>
  <c r="BL50" i="21"/>
  <c r="BG50" i="21"/>
  <c r="BE50" i="21"/>
  <c r="AZ50" i="21"/>
  <c r="AY50" i="21"/>
  <c r="AT50" i="21"/>
  <c r="AS50" i="21"/>
  <c r="AL50" i="21"/>
  <c r="AK50" i="21"/>
  <c r="AJ50" i="21"/>
  <c r="AI50" i="21"/>
  <c r="AH50" i="21"/>
  <c r="AG50" i="21"/>
  <c r="AB50" i="21"/>
  <c r="AA50" i="21"/>
  <c r="V50" i="21"/>
  <c r="U50" i="21"/>
  <c r="DP49" i="21"/>
  <c r="DO49" i="21"/>
  <c r="DN49" i="21"/>
  <c r="DM49" i="21"/>
  <c r="DL49" i="21"/>
  <c r="DK49" i="21"/>
  <c r="DF49" i="21"/>
  <c r="DE49" i="21"/>
  <c r="CZ49" i="21"/>
  <c r="CY49" i="21"/>
  <c r="CT49" i="21"/>
  <c r="CS49" i="21"/>
  <c r="CN49" i="21"/>
  <c r="CM49" i="21"/>
  <c r="CH49" i="21"/>
  <c r="CG49" i="21"/>
  <c r="CB49" i="21"/>
  <c r="BZ49" i="21"/>
  <c r="BU49" i="21"/>
  <c r="BS49" i="21"/>
  <c r="BN49" i="21"/>
  <c r="BL49" i="21"/>
  <c r="BG49" i="21"/>
  <c r="BE49" i="21"/>
  <c r="AZ49" i="21"/>
  <c r="AY49" i="21"/>
  <c r="AT49" i="21"/>
  <c r="AS49" i="21"/>
  <c r="AL49" i="21"/>
  <c r="AK49" i="21"/>
  <c r="AJ49" i="21"/>
  <c r="AI49" i="21"/>
  <c r="AH49" i="21"/>
  <c r="AG49" i="21"/>
  <c r="AB49" i="21"/>
  <c r="AA49" i="21"/>
  <c r="V49" i="21"/>
  <c r="U49" i="21"/>
  <c r="DP48" i="21"/>
  <c r="DO48" i="21"/>
  <c r="DN48" i="21"/>
  <c r="DM48" i="21"/>
  <c r="DL48" i="21"/>
  <c r="DK48" i="21"/>
  <c r="DF48" i="21"/>
  <c r="DE48" i="21"/>
  <c r="CZ48" i="21"/>
  <c r="CY48" i="21"/>
  <c r="CT48" i="21"/>
  <c r="CS48" i="21"/>
  <c r="CN48" i="21"/>
  <c r="CM48" i="21"/>
  <c r="CH48" i="21"/>
  <c r="CG48" i="21"/>
  <c r="CB48" i="21"/>
  <c r="BZ48" i="21"/>
  <c r="BU48" i="21"/>
  <c r="BS48" i="21"/>
  <c r="BN48" i="21"/>
  <c r="BL48" i="21"/>
  <c r="BG48" i="21"/>
  <c r="BE48" i="21"/>
  <c r="AZ48" i="21"/>
  <c r="AY48" i="21"/>
  <c r="AT48" i="21"/>
  <c r="AS48" i="21"/>
  <c r="AL48" i="21"/>
  <c r="AK48" i="21"/>
  <c r="AJ48" i="21"/>
  <c r="AI48" i="21"/>
  <c r="AH48" i="21"/>
  <c r="AG48" i="21"/>
  <c r="AB48" i="21"/>
  <c r="AA48" i="21"/>
  <c r="V48" i="21"/>
  <c r="U48" i="21"/>
  <c r="DP47" i="21"/>
  <c r="DO47" i="21"/>
  <c r="DN47" i="21"/>
  <c r="DM47" i="21"/>
  <c r="DL47" i="21"/>
  <c r="DK47" i="21"/>
  <c r="DF47" i="21"/>
  <c r="DE47" i="21"/>
  <c r="CZ47" i="21"/>
  <c r="CY47" i="21"/>
  <c r="CT47" i="21"/>
  <c r="CS47" i="21"/>
  <c r="CN47" i="21"/>
  <c r="CM47" i="21"/>
  <c r="CH47" i="21"/>
  <c r="CG47" i="21"/>
  <c r="CB47" i="21"/>
  <c r="BZ47" i="21"/>
  <c r="BU47" i="21"/>
  <c r="BS47" i="21"/>
  <c r="BN47" i="21"/>
  <c r="BL47" i="21"/>
  <c r="BG47" i="21"/>
  <c r="BE47" i="21"/>
  <c r="AZ47" i="21"/>
  <c r="AY47" i="21"/>
  <c r="AT47" i="21"/>
  <c r="AS47" i="21"/>
  <c r="AL47" i="21"/>
  <c r="AK47" i="21"/>
  <c r="AJ47" i="21"/>
  <c r="AI47" i="21"/>
  <c r="AH47" i="21"/>
  <c r="AG47" i="21"/>
  <c r="AB47" i="21"/>
  <c r="AA47" i="21"/>
  <c r="V47" i="21"/>
  <c r="U47" i="21"/>
  <c r="DP46" i="21"/>
  <c r="DO46" i="21"/>
  <c r="DN46" i="21"/>
  <c r="DM46" i="21"/>
  <c r="DL46" i="21"/>
  <c r="DK46" i="21"/>
  <c r="DF46" i="21"/>
  <c r="DE46" i="21"/>
  <c r="CZ46" i="21"/>
  <c r="CY46" i="21"/>
  <c r="CT46" i="21"/>
  <c r="CS46" i="21"/>
  <c r="CN46" i="21"/>
  <c r="CM46" i="21"/>
  <c r="CH46" i="21"/>
  <c r="CG46" i="21"/>
  <c r="CB46" i="21"/>
  <c r="BZ46" i="21"/>
  <c r="BU46" i="21"/>
  <c r="BS46" i="21"/>
  <c r="BN46" i="21"/>
  <c r="BL46" i="21"/>
  <c r="BG46" i="21"/>
  <c r="BE46" i="21"/>
  <c r="AZ46" i="21"/>
  <c r="AY46" i="21"/>
  <c r="AT46" i="21"/>
  <c r="AS46" i="21"/>
  <c r="AL46" i="21"/>
  <c r="AK46" i="21"/>
  <c r="AJ46" i="21"/>
  <c r="AI46" i="21"/>
  <c r="AH46" i="21"/>
  <c r="AG46" i="21"/>
  <c r="AB46" i="21"/>
  <c r="AA46" i="21"/>
  <c r="V46" i="21"/>
  <c r="U46" i="21"/>
  <c r="DP45" i="21"/>
  <c r="DO45" i="21"/>
  <c r="DN45" i="21"/>
  <c r="DM45" i="21"/>
  <c r="DL45" i="21"/>
  <c r="DK45" i="21"/>
  <c r="DF45" i="21"/>
  <c r="DE45" i="21"/>
  <c r="CZ45" i="21"/>
  <c r="CY45" i="21"/>
  <c r="CT45" i="21"/>
  <c r="CS45" i="21"/>
  <c r="CN45" i="21"/>
  <c r="CM45" i="21"/>
  <c r="CH45" i="21"/>
  <c r="CG45" i="21"/>
  <c r="CB45" i="21"/>
  <c r="BZ45" i="21"/>
  <c r="BU45" i="21"/>
  <c r="BS45" i="21"/>
  <c r="BN45" i="21"/>
  <c r="BL45" i="21"/>
  <c r="BG45" i="21"/>
  <c r="BE45" i="21"/>
  <c r="AZ45" i="21"/>
  <c r="AY45" i="21"/>
  <c r="AT45" i="21"/>
  <c r="AS45" i="21"/>
  <c r="AL45" i="21"/>
  <c r="AK45" i="21"/>
  <c r="AJ45" i="21"/>
  <c r="AI45" i="21"/>
  <c r="AH45" i="21"/>
  <c r="AG45" i="21"/>
  <c r="AB45" i="21"/>
  <c r="AA45" i="21"/>
  <c r="V45" i="21"/>
  <c r="U45" i="21"/>
  <c r="DP44" i="21"/>
  <c r="DO44" i="21"/>
  <c r="DN44" i="21"/>
  <c r="DM44" i="21"/>
  <c r="DL44" i="21"/>
  <c r="DK44" i="21"/>
  <c r="DF44" i="21"/>
  <c r="DE44" i="21"/>
  <c r="CZ44" i="21"/>
  <c r="CY44" i="21"/>
  <c r="CT44" i="21"/>
  <c r="CS44" i="21"/>
  <c r="CN44" i="21"/>
  <c r="CM44" i="21"/>
  <c r="CH44" i="21"/>
  <c r="CG44" i="21"/>
  <c r="CB44" i="21"/>
  <c r="BZ44" i="21"/>
  <c r="BU44" i="21"/>
  <c r="BS44" i="21"/>
  <c r="BN44" i="21"/>
  <c r="BL44" i="21"/>
  <c r="BG44" i="21"/>
  <c r="BE44" i="21"/>
  <c r="AZ44" i="21"/>
  <c r="AY44" i="21"/>
  <c r="AT44" i="21"/>
  <c r="AS44" i="21"/>
  <c r="AL44" i="21"/>
  <c r="AK44" i="21"/>
  <c r="AJ44" i="21"/>
  <c r="AI44" i="21"/>
  <c r="AH44" i="21"/>
  <c r="AG44" i="21"/>
  <c r="AB44" i="21"/>
  <c r="AA44" i="21"/>
  <c r="V44" i="21"/>
  <c r="U44" i="21"/>
  <c r="DP43" i="21"/>
  <c r="DO43" i="21"/>
  <c r="DN43" i="21"/>
  <c r="DM43" i="21"/>
  <c r="DL43" i="21"/>
  <c r="DK43" i="21"/>
  <c r="DF43" i="21"/>
  <c r="DE43" i="21"/>
  <c r="CZ43" i="21"/>
  <c r="CY43" i="21"/>
  <c r="CT43" i="21"/>
  <c r="CS43" i="21"/>
  <c r="CN43" i="21"/>
  <c r="CM43" i="21"/>
  <c r="CH43" i="21"/>
  <c r="CG43" i="21"/>
  <c r="CB43" i="21"/>
  <c r="BZ43" i="21"/>
  <c r="BU43" i="21"/>
  <c r="BS43" i="21"/>
  <c r="BN43" i="21"/>
  <c r="BL43" i="21"/>
  <c r="BG43" i="21"/>
  <c r="BE43" i="21"/>
  <c r="AZ43" i="21"/>
  <c r="AY43" i="21"/>
  <c r="AT43" i="21"/>
  <c r="AS43" i="21"/>
  <c r="AL43" i="21"/>
  <c r="AJ43" i="21"/>
  <c r="AI43" i="21"/>
  <c r="AH43" i="21"/>
  <c r="AG43" i="21"/>
  <c r="AB43" i="21"/>
  <c r="Y43" i="21"/>
  <c r="AA43" i="21" s="1"/>
  <c r="V43" i="21"/>
  <c r="U43" i="21"/>
  <c r="DP42" i="21"/>
  <c r="DO42" i="21"/>
  <c r="DN42" i="21"/>
  <c r="DM42" i="21"/>
  <c r="DL42" i="21"/>
  <c r="DK42" i="21"/>
  <c r="DF42" i="21"/>
  <c r="DE42" i="21"/>
  <c r="CZ42" i="21"/>
  <c r="CY42" i="21"/>
  <c r="CT42" i="21"/>
  <c r="CS42" i="21"/>
  <c r="CN42" i="21"/>
  <c r="CM42" i="21"/>
  <c r="CH42" i="21"/>
  <c r="CG42" i="21"/>
  <c r="CB42" i="21"/>
  <c r="BZ42" i="21"/>
  <c r="BU42" i="21"/>
  <c r="BS42" i="21"/>
  <c r="BN42" i="21"/>
  <c r="BL42" i="21"/>
  <c r="BG42" i="21"/>
  <c r="BE42" i="21"/>
  <c r="AZ42" i="21"/>
  <c r="AY42" i="21"/>
  <c r="AT42" i="21"/>
  <c r="AS42" i="21"/>
  <c r="AL42" i="21"/>
  <c r="AK42" i="21"/>
  <c r="AJ42" i="21"/>
  <c r="AI42" i="21"/>
  <c r="AH42" i="21"/>
  <c r="AG42" i="21"/>
  <c r="AB42" i="21"/>
  <c r="AA42" i="21"/>
  <c r="V42" i="21"/>
  <c r="U42" i="21"/>
  <c r="DP41" i="21"/>
  <c r="DO41" i="21"/>
  <c r="DN41" i="21"/>
  <c r="DM41" i="21"/>
  <c r="DL41" i="21"/>
  <c r="DK41" i="21"/>
  <c r="DF41" i="21"/>
  <c r="DE41" i="21"/>
  <c r="CZ41" i="21"/>
  <c r="CY41" i="21"/>
  <c r="CT41" i="21"/>
  <c r="CS41" i="21"/>
  <c r="CN41" i="21"/>
  <c r="CM41" i="21"/>
  <c r="CH41" i="21"/>
  <c r="CG41" i="21"/>
  <c r="CB41" i="21"/>
  <c r="BZ41" i="21"/>
  <c r="BU41" i="21"/>
  <c r="BS41" i="21"/>
  <c r="BN41" i="21"/>
  <c r="BL41" i="21"/>
  <c r="BG41" i="21"/>
  <c r="BE41" i="21"/>
  <c r="AZ41" i="21"/>
  <c r="AY41" i="21"/>
  <c r="AT41" i="21"/>
  <c r="AS41" i="21"/>
  <c r="AL41" i="21"/>
  <c r="AJ41" i="21"/>
  <c r="AI41" i="21"/>
  <c r="AH41" i="21"/>
  <c r="AG41" i="21"/>
  <c r="AB41" i="21"/>
  <c r="Y41" i="21"/>
  <c r="AK41" i="21" s="1"/>
  <c r="V41" i="21"/>
  <c r="U41" i="21"/>
  <c r="DP40" i="21"/>
  <c r="DO40" i="21"/>
  <c r="DN40" i="21"/>
  <c r="DM40" i="21"/>
  <c r="DL40" i="21"/>
  <c r="DK40" i="21"/>
  <c r="DF40" i="21"/>
  <c r="DE40" i="21"/>
  <c r="CZ40" i="21"/>
  <c r="CY40" i="21"/>
  <c r="CT40" i="21"/>
  <c r="CS40" i="21"/>
  <c r="CN40" i="21"/>
  <c r="CM40" i="21"/>
  <c r="CH40" i="21"/>
  <c r="CG40" i="21"/>
  <c r="CB40" i="21"/>
  <c r="BZ40" i="21"/>
  <c r="BU40" i="21"/>
  <c r="BS40" i="21"/>
  <c r="BN40" i="21"/>
  <c r="BL40" i="21"/>
  <c r="BG40" i="21"/>
  <c r="BE40" i="21"/>
  <c r="AZ40" i="21"/>
  <c r="AY40" i="21"/>
  <c r="AT40" i="21"/>
  <c r="AS40" i="21"/>
  <c r="AL40" i="21"/>
  <c r="AK40" i="21"/>
  <c r="AJ40" i="21"/>
  <c r="AI40" i="21"/>
  <c r="AH40" i="21"/>
  <c r="AG40" i="21"/>
  <c r="AB40" i="21"/>
  <c r="AA40" i="21"/>
  <c r="V40" i="21"/>
  <c r="U40" i="21"/>
  <c r="DP39" i="21"/>
  <c r="DO39" i="21"/>
  <c r="DN39" i="21"/>
  <c r="DM39" i="21"/>
  <c r="DL39" i="21"/>
  <c r="DK39" i="21"/>
  <c r="DF39" i="21"/>
  <c r="DE39" i="21"/>
  <c r="CZ39" i="21"/>
  <c r="CY39" i="21"/>
  <c r="CT39" i="21"/>
  <c r="CS39" i="21"/>
  <c r="CN39" i="21"/>
  <c r="CM39" i="21"/>
  <c r="CH39" i="21"/>
  <c r="CG39" i="21"/>
  <c r="CB39" i="21"/>
  <c r="BZ39" i="21"/>
  <c r="BU39" i="21"/>
  <c r="BS39" i="21"/>
  <c r="BN39" i="21"/>
  <c r="BL39" i="21"/>
  <c r="BG39" i="21"/>
  <c r="BE39" i="21"/>
  <c r="AZ39" i="21"/>
  <c r="AY39" i="21"/>
  <c r="AT39" i="21"/>
  <c r="AS39" i="21"/>
  <c r="AL39" i="21"/>
  <c r="AK39" i="21"/>
  <c r="AJ39" i="21"/>
  <c r="AI39" i="21"/>
  <c r="AH39" i="21"/>
  <c r="AG39" i="21"/>
  <c r="AB39" i="21"/>
  <c r="AA39" i="21"/>
  <c r="V39" i="21"/>
  <c r="U39" i="21"/>
  <c r="DP38" i="21"/>
  <c r="DO38" i="21"/>
  <c r="DN38" i="21"/>
  <c r="DM38" i="21"/>
  <c r="DL38" i="21"/>
  <c r="DK38" i="21"/>
  <c r="DF38" i="21"/>
  <c r="DE38" i="21"/>
  <c r="CZ38" i="21"/>
  <c r="CY38" i="21"/>
  <c r="CT38" i="21"/>
  <c r="CS38" i="21"/>
  <c r="CN38" i="21"/>
  <c r="CM38" i="21"/>
  <c r="CH38" i="21"/>
  <c r="CG38" i="21"/>
  <c r="CB38" i="21"/>
  <c r="BZ38" i="21"/>
  <c r="BU38" i="21"/>
  <c r="BS38" i="21"/>
  <c r="BN38" i="21"/>
  <c r="BL38" i="21"/>
  <c r="BG38" i="21"/>
  <c r="BE38" i="21"/>
  <c r="AZ38" i="21"/>
  <c r="AY38" i="21"/>
  <c r="AT38" i="21"/>
  <c r="AS38" i="21"/>
  <c r="AL38" i="21"/>
  <c r="AK38" i="21"/>
  <c r="AJ38" i="21"/>
  <c r="AI38" i="21"/>
  <c r="AH38" i="21"/>
  <c r="AG38" i="21"/>
  <c r="AB38" i="21"/>
  <c r="AA38" i="21"/>
  <c r="V38" i="21"/>
  <c r="U38" i="21"/>
  <c r="DP37" i="21"/>
  <c r="DO37" i="21"/>
  <c r="DN37" i="21"/>
  <c r="DM37" i="21"/>
  <c r="DL37" i="21"/>
  <c r="DK37" i="21"/>
  <c r="DF37" i="21"/>
  <c r="DE37" i="21"/>
  <c r="CZ37" i="21"/>
  <c r="CY37" i="21"/>
  <c r="CT37" i="21"/>
  <c r="CS37" i="21"/>
  <c r="CN37" i="21"/>
  <c r="CM37" i="21"/>
  <c r="CH37" i="21"/>
  <c r="CG37" i="21"/>
  <c r="CB37" i="21"/>
  <c r="BZ37" i="21"/>
  <c r="BU37" i="21"/>
  <c r="BS37" i="21"/>
  <c r="BN37" i="21"/>
  <c r="BL37" i="21"/>
  <c r="BG37" i="21"/>
  <c r="BE37" i="21"/>
  <c r="AZ37" i="21"/>
  <c r="AY37" i="21"/>
  <c r="AT37" i="21"/>
  <c r="AS37" i="21"/>
  <c r="AL37" i="21"/>
  <c r="AJ37" i="21"/>
  <c r="AI37" i="21"/>
  <c r="AH37" i="21"/>
  <c r="AG37" i="21"/>
  <c r="AB37" i="21"/>
  <c r="Y37" i="21"/>
  <c r="V37" i="21"/>
  <c r="U37" i="21"/>
  <c r="DP36" i="21"/>
  <c r="DO36" i="21"/>
  <c r="DN36" i="21"/>
  <c r="DM36" i="21"/>
  <c r="DL36" i="21"/>
  <c r="DK36" i="21"/>
  <c r="DF36" i="21"/>
  <c r="DE36" i="21"/>
  <c r="CZ36" i="21"/>
  <c r="CY36" i="21"/>
  <c r="CT36" i="21"/>
  <c r="CS36" i="21"/>
  <c r="CN36" i="21"/>
  <c r="CM36" i="21"/>
  <c r="CH36" i="21"/>
  <c r="CG36" i="21"/>
  <c r="CB36" i="21"/>
  <c r="BZ36" i="21"/>
  <c r="BU36" i="21"/>
  <c r="BS36" i="21"/>
  <c r="BN36" i="21"/>
  <c r="BL36" i="21"/>
  <c r="BG36" i="21"/>
  <c r="BE36" i="21"/>
  <c r="AZ36" i="21"/>
  <c r="AY36" i="21"/>
  <c r="AT36" i="21"/>
  <c r="AS36" i="21"/>
  <c r="AL36" i="21"/>
  <c r="AK36" i="21"/>
  <c r="AJ36" i="21"/>
  <c r="AI36" i="21"/>
  <c r="AH36" i="21"/>
  <c r="AG36" i="21"/>
  <c r="AB36" i="21"/>
  <c r="AA36" i="21"/>
  <c r="V36" i="21"/>
  <c r="U36" i="21"/>
  <c r="DP35" i="21"/>
  <c r="DO35" i="21"/>
  <c r="DN35" i="21"/>
  <c r="DM35" i="21"/>
  <c r="DL35" i="21"/>
  <c r="DK35" i="21"/>
  <c r="DF35" i="21"/>
  <c r="DE35" i="21"/>
  <c r="CZ35" i="21"/>
  <c r="CY35" i="21"/>
  <c r="CT35" i="21"/>
  <c r="CS35" i="21"/>
  <c r="CN35" i="21"/>
  <c r="CM35" i="21"/>
  <c r="CH35" i="21"/>
  <c r="CG35" i="21"/>
  <c r="CB35" i="21"/>
  <c r="BZ35" i="21"/>
  <c r="BU35" i="21"/>
  <c r="BS35" i="21"/>
  <c r="BN35" i="21"/>
  <c r="BL35" i="21"/>
  <c r="BG35" i="21"/>
  <c r="BE35" i="21"/>
  <c r="AZ35" i="21"/>
  <c r="AY35" i="21"/>
  <c r="AT35" i="21"/>
  <c r="AS35" i="21"/>
  <c r="AL35" i="21"/>
  <c r="AK35" i="21"/>
  <c r="AJ35" i="21"/>
  <c r="AI35" i="21"/>
  <c r="AH35" i="21"/>
  <c r="AG35" i="21"/>
  <c r="AB35" i="21"/>
  <c r="AA35" i="21"/>
  <c r="V35" i="21"/>
  <c r="U35" i="21"/>
  <c r="DP34" i="21"/>
  <c r="DO34" i="21"/>
  <c r="DN34" i="21"/>
  <c r="DM34" i="21"/>
  <c r="DL34" i="21"/>
  <c r="DK34" i="21"/>
  <c r="DF34" i="21"/>
  <c r="DE34" i="21"/>
  <c r="CZ34" i="21"/>
  <c r="CY34" i="21"/>
  <c r="CT34" i="21"/>
  <c r="CS34" i="21"/>
  <c r="CN34" i="21"/>
  <c r="CM34" i="21"/>
  <c r="CH34" i="21"/>
  <c r="CG34" i="21"/>
  <c r="CB34" i="21"/>
  <c r="BZ34" i="21"/>
  <c r="BU34" i="21"/>
  <c r="BS34" i="21"/>
  <c r="BN34" i="21"/>
  <c r="BL34" i="21"/>
  <c r="BG34" i="21"/>
  <c r="BE34" i="21"/>
  <c r="AZ34" i="21"/>
  <c r="AY34" i="21"/>
  <c r="AT34" i="21"/>
  <c r="AS34" i="21"/>
  <c r="AL34" i="21"/>
  <c r="AK34" i="21"/>
  <c r="AJ34" i="21"/>
  <c r="AI34" i="21"/>
  <c r="AH34" i="21"/>
  <c r="AG34" i="21"/>
  <c r="AB34" i="21"/>
  <c r="AA34" i="21"/>
  <c r="V34" i="21"/>
  <c r="U34" i="21"/>
  <c r="DP33" i="21"/>
  <c r="DO33" i="21"/>
  <c r="DN33" i="21"/>
  <c r="DM33" i="21"/>
  <c r="DL33" i="21"/>
  <c r="DK33" i="21"/>
  <c r="DF33" i="21"/>
  <c r="DE33" i="21"/>
  <c r="CZ33" i="21"/>
  <c r="CY33" i="21"/>
  <c r="CT33" i="21"/>
  <c r="CS33" i="21"/>
  <c r="CN33" i="21"/>
  <c r="CM33" i="21"/>
  <c r="CH33" i="21"/>
  <c r="CG33" i="21"/>
  <c r="CB33" i="21"/>
  <c r="BZ33" i="21"/>
  <c r="BU33" i="21"/>
  <c r="BS33" i="21"/>
  <c r="BN33" i="21"/>
  <c r="BL33" i="21"/>
  <c r="BG33" i="21"/>
  <c r="BE33" i="21"/>
  <c r="AZ33" i="21"/>
  <c r="AY33" i="21"/>
  <c r="AT33" i="21"/>
  <c r="AS33" i="21"/>
  <c r="AL33" i="21"/>
  <c r="AK33" i="21"/>
  <c r="AJ33" i="21"/>
  <c r="AI33" i="21"/>
  <c r="AH33" i="21"/>
  <c r="AG33" i="21"/>
  <c r="AB33" i="21"/>
  <c r="AA33" i="21"/>
  <c r="V33" i="21"/>
  <c r="U33" i="21"/>
  <c r="DP32" i="21"/>
  <c r="DO32" i="21"/>
  <c r="DN32" i="21"/>
  <c r="DM32" i="21"/>
  <c r="DL32" i="21"/>
  <c r="DK32" i="21"/>
  <c r="DF32" i="21"/>
  <c r="DE32" i="21"/>
  <c r="CZ32" i="21"/>
  <c r="CY32" i="21"/>
  <c r="CT32" i="21"/>
  <c r="CS32" i="21"/>
  <c r="CN32" i="21"/>
  <c r="CM32" i="21"/>
  <c r="CH32" i="21"/>
  <c r="CG32" i="21"/>
  <c r="CB32" i="21"/>
  <c r="BZ32" i="21"/>
  <c r="BU32" i="21"/>
  <c r="BS32" i="21"/>
  <c r="BN32" i="21"/>
  <c r="BL32" i="21"/>
  <c r="BG32" i="21"/>
  <c r="BE32" i="21"/>
  <c r="AZ32" i="21"/>
  <c r="AY32" i="21"/>
  <c r="AT32" i="21"/>
  <c r="AS32" i="21"/>
  <c r="AL32" i="21"/>
  <c r="AK32" i="21"/>
  <c r="AJ32" i="21"/>
  <c r="AI32" i="21"/>
  <c r="AH32" i="21"/>
  <c r="AG32" i="21"/>
  <c r="AB32" i="21"/>
  <c r="AA32" i="21"/>
  <c r="V32" i="21"/>
  <c r="U32" i="21"/>
  <c r="DP31" i="21"/>
  <c r="DO31" i="21"/>
  <c r="DN31" i="21"/>
  <c r="DM31" i="21"/>
  <c r="DL31" i="21"/>
  <c r="DK31" i="21"/>
  <c r="DF31" i="21"/>
  <c r="DE31" i="21"/>
  <c r="CZ31" i="21"/>
  <c r="CY31" i="21"/>
  <c r="CT31" i="21"/>
  <c r="CS31" i="21"/>
  <c r="CN31" i="21"/>
  <c r="CM31" i="21"/>
  <c r="CH31" i="21"/>
  <c r="CG31" i="21"/>
  <c r="CB31" i="21"/>
  <c r="BZ31" i="21"/>
  <c r="BU31" i="21"/>
  <c r="BS31" i="21"/>
  <c r="BN31" i="21"/>
  <c r="BL31" i="21"/>
  <c r="BG31" i="21"/>
  <c r="BE31" i="21"/>
  <c r="AZ31" i="21"/>
  <c r="AY31" i="21"/>
  <c r="AT31" i="21"/>
  <c r="AS31" i="21"/>
  <c r="AL31" i="21"/>
  <c r="AK31" i="21"/>
  <c r="AJ31" i="21"/>
  <c r="AI31" i="21"/>
  <c r="AH31" i="21"/>
  <c r="AG31" i="21"/>
  <c r="AB31" i="21"/>
  <c r="AA31" i="21"/>
  <c r="V31" i="21"/>
  <c r="U31" i="21"/>
  <c r="DP30" i="21"/>
  <c r="DO30" i="21"/>
  <c r="DN30" i="21"/>
  <c r="DM30" i="21"/>
  <c r="DL30" i="21"/>
  <c r="DK30" i="21"/>
  <c r="DF30" i="21"/>
  <c r="DE30" i="21"/>
  <c r="CZ30" i="21"/>
  <c r="CY30" i="21"/>
  <c r="CT30" i="21"/>
  <c r="CS30" i="21"/>
  <c r="CN30" i="21"/>
  <c r="CM30" i="21"/>
  <c r="CH30" i="21"/>
  <c r="CG30" i="21"/>
  <c r="CB30" i="21"/>
  <c r="BZ30" i="21"/>
  <c r="BU30" i="21"/>
  <c r="BS30" i="21"/>
  <c r="BN30" i="21"/>
  <c r="BL30" i="21"/>
  <c r="BG30" i="21"/>
  <c r="BE30" i="21"/>
  <c r="AZ30" i="21"/>
  <c r="AY30" i="21"/>
  <c r="AT30" i="21"/>
  <c r="AS30" i="21"/>
  <c r="AL30" i="21"/>
  <c r="AK30" i="21"/>
  <c r="AJ30" i="21"/>
  <c r="AI30" i="21"/>
  <c r="AH30" i="21"/>
  <c r="AG30" i="21"/>
  <c r="AB30" i="21"/>
  <c r="AA30" i="21"/>
  <c r="V30" i="21"/>
  <c r="U30" i="21"/>
  <c r="DP29" i="21"/>
  <c r="DO29" i="21"/>
  <c r="DN29" i="21"/>
  <c r="DM29" i="21"/>
  <c r="DL29" i="21"/>
  <c r="DK29" i="21"/>
  <c r="DF29" i="21"/>
  <c r="DE29" i="21"/>
  <c r="CZ29" i="21"/>
  <c r="CY29" i="21"/>
  <c r="CT29" i="21"/>
  <c r="CS29" i="21"/>
  <c r="CN29" i="21"/>
  <c r="CM29" i="21"/>
  <c r="CH29" i="21"/>
  <c r="CG29" i="21"/>
  <c r="CB29" i="21"/>
  <c r="BZ29" i="21"/>
  <c r="BU29" i="21"/>
  <c r="BS29" i="21"/>
  <c r="BN29" i="21"/>
  <c r="BL29" i="21"/>
  <c r="BG29" i="21"/>
  <c r="BE29" i="21"/>
  <c r="AZ29" i="21"/>
  <c r="AY29" i="21"/>
  <c r="AT29" i="21"/>
  <c r="AS29" i="21"/>
  <c r="AL29" i="21"/>
  <c r="AK29" i="21"/>
  <c r="AJ29" i="21"/>
  <c r="AI29" i="21"/>
  <c r="AH29" i="21"/>
  <c r="AG29" i="21"/>
  <c r="AB29" i="21"/>
  <c r="AA29" i="21"/>
  <c r="V29" i="21"/>
  <c r="U29" i="21"/>
  <c r="DP28" i="21"/>
  <c r="DO28" i="21"/>
  <c r="DN28" i="21"/>
  <c r="DM28" i="21"/>
  <c r="DL28" i="21"/>
  <c r="DK28" i="21"/>
  <c r="DF28" i="21"/>
  <c r="DE28" i="21"/>
  <c r="CZ28" i="21"/>
  <c r="CY28" i="21"/>
  <c r="CT28" i="21"/>
  <c r="CS28" i="21"/>
  <c r="CN28" i="21"/>
  <c r="CM28" i="21"/>
  <c r="CH28" i="21"/>
  <c r="CG28" i="21"/>
  <c r="CB28" i="21"/>
  <c r="BZ28" i="21"/>
  <c r="BU28" i="21"/>
  <c r="BS28" i="21"/>
  <c r="BN28" i="21"/>
  <c r="BL28" i="21"/>
  <c r="BG28" i="21"/>
  <c r="BE28" i="21"/>
  <c r="AZ28" i="21"/>
  <c r="AY28" i="21"/>
  <c r="AT28" i="21"/>
  <c r="AS28" i="21"/>
  <c r="AL28" i="21"/>
  <c r="AK28" i="21"/>
  <c r="AJ28" i="21"/>
  <c r="AI28" i="21"/>
  <c r="AH28" i="21"/>
  <c r="AG28" i="21"/>
  <c r="AB28" i="21"/>
  <c r="AA28" i="21"/>
  <c r="V28" i="21"/>
  <c r="U28" i="21"/>
  <c r="DP27" i="21"/>
  <c r="DO27" i="21"/>
  <c r="DN27" i="21"/>
  <c r="DM27" i="21"/>
  <c r="DL27" i="21"/>
  <c r="DK27" i="21"/>
  <c r="DF27" i="21"/>
  <c r="DE27" i="21"/>
  <c r="CZ27" i="21"/>
  <c r="CY27" i="21"/>
  <c r="CT27" i="21"/>
  <c r="CS27" i="21"/>
  <c r="CN27" i="21"/>
  <c r="CM27" i="21"/>
  <c r="CH27" i="21"/>
  <c r="CG27" i="21"/>
  <c r="CB27" i="21"/>
  <c r="BZ27" i="21"/>
  <c r="BU27" i="21"/>
  <c r="BS27" i="21"/>
  <c r="BN27" i="21"/>
  <c r="BL27" i="21"/>
  <c r="BG27" i="21"/>
  <c r="BE27" i="21"/>
  <c r="AZ27" i="21"/>
  <c r="AY27" i="21"/>
  <c r="AT27" i="21"/>
  <c r="AS27" i="21"/>
  <c r="AL27" i="21"/>
  <c r="AK27" i="21"/>
  <c r="AJ27" i="21"/>
  <c r="AI27" i="21"/>
  <c r="AH27" i="21"/>
  <c r="AG27" i="21"/>
  <c r="AB27" i="21"/>
  <c r="AA27" i="21"/>
  <c r="V27" i="21"/>
  <c r="U27" i="21"/>
  <c r="DP26" i="21"/>
  <c r="DO26" i="21"/>
  <c r="DN26" i="21"/>
  <c r="DM26" i="21"/>
  <c r="DL26" i="21"/>
  <c r="DK26" i="21"/>
  <c r="DF26" i="21"/>
  <c r="DE26" i="21"/>
  <c r="CZ26" i="21"/>
  <c r="CY26" i="21"/>
  <c r="CT26" i="21"/>
  <c r="CS26" i="21"/>
  <c r="CN26" i="21"/>
  <c r="CM26" i="21"/>
  <c r="CH26" i="21"/>
  <c r="CG26" i="21"/>
  <c r="CB26" i="21"/>
  <c r="BZ26" i="21"/>
  <c r="BU26" i="21"/>
  <c r="BS26" i="21"/>
  <c r="BN26" i="21"/>
  <c r="BL26" i="21"/>
  <c r="BG26" i="21"/>
  <c r="BE26" i="21"/>
  <c r="AZ26" i="21"/>
  <c r="AY26" i="21"/>
  <c r="AT26" i="21"/>
  <c r="AS26" i="21"/>
  <c r="AL26" i="21"/>
  <c r="AK26" i="21"/>
  <c r="AJ26" i="21"/>
  <c r="AI26" i="21"/>
  <c r="AH26" i="21"/>
  <c r="AG26" i="21"/>
  <c r="AB26" i="21"/>
  <c r="AA26" i="21"/>
  <c r="V26" i="21"/>
  <c r="U26" i="21"/>
  <c r="DP25" i="21"/>
  <c r="DO25" i="21"/>
  <c r="DN25" i="21"/>
  <c r="DM25" i="21"/>
  <c r="DL25" i="21"/>
  <c r="DK25" i="21"/>
  <c r="DF25" i="21"/>
  <c r="DE25" i="21"/>
  <c r="CZ25" i="21"/>
  <c r="CY25" i="21"/>
  <c r="CT25" i="21"/>
  <c r="CS25" i="21"/>
  <c r="CN25" i="21"/>
  <c r="CM25" i="21"/>
  <c r="CH25" i="21"/>
  <c r="CG25" i="21"/>
  <c r="CB25" i="21"/>
  <c r="BZ25" i="21"/>
  <c r="BU25" i="21"/>
  <c r="BS25" i="21"/>
  <c r="BN25" i="21"/>
  <c r="BL25" i="21"/>
  <c r="BG25" i="21"/>
  <c r="BE25" i="21"/>
  <c r="AZ25" i="21"/>
  <c r="AY25" i="21"/>
  <c r="AT25" i="21"/>
  <c r="AS25" i="21"/>
  <c r="AL25" i="21"/>
  <c r="AK25" i="21"/>
  <c r="AJ25" i="21"/>
  <c r="AI25" i="21"/>
  <c r="AH25" i="21"/>
  <c r="AG25" i="21"/>
  <c r="AB25" i="21"/>
  <c r="AA25" i="21"/>
  <c r="V25" i="21"/>
  <c r="U25" i="21"/>
  <c r="DP24" i="21"/>
  <c r="DO24" i="21"/>
  <c r="DN24" i="21"/>
  <c r="DM24" i="21"/>
  <c r="DL24" i="21"/>
  <c r="DK24" i="21"/>
  <c r="DF24" i="21"/>
  <c r="DE24" i="21"/>
  <c r="CZ24" i="21"/>
  <c r="CY24" i="21"/>
  <c r="CT24" i="21"/>
  <c r="CS24" i="21"/>
  <c r="CN24" i="21"/>
  <c r="CM24" i="21"/>
  <c r="CH24" i="21"/>
  <c r="CG24" i="21"/>
  <c r="CB24" i="21"/>
  <c r="BZ24" i="21"/>
  <c r="BU24" i="21"/>
  <c r="BS24" i="21"/>
  <c r="BN24" i="21"/>
  <c r="BL24" i="21"/>
  <c r="BG24" i="21"/>
  <c r="BE24" i="21"/>
  <c r="AZ24" i="21"/>
  <c r="AY24" i="21"/>
  <c r="AT24" i="21"/>
  <c r="AS24" i="21"/>
  <c r="AL24" i="21"/>
  <c r="AK24" i="21"/>
  <c r="AJ24" i="21"/>
  <c r="AI24" i="21"/>
  <c r="AH24" i="21"/>
  <c r="AG24" i="21"/>
  <c r="AB24" i="21"/>
  <c r="AA24" i="21"/>
  <c r="V24" i="21"/>
  <c r="U24" i="21"/>
  <c r="DP23" i="21"/>
  <c r="DO23" i="21"/>
  <c r="DN23" i="21"/>
  <c r="DM23" i="21"/>
  <c r="DL23" i="21"/>
  <c r="DK23" i="21"/>
  <c r="DF23" i="21"/>
  <c r="DE23" i="21"/>
  <c r="CZ23" i="21"/>
  <c r="CY23" i="21"/>
  <c r="CT23" i="21"/>
  <c r="CS23" i="21"/>
  <c r="CN23" i="21"/>
  <c r="CM23" i="21"/>
  <c r="CH23" i="21"/>
  <c r="CG23" i="21"/>
  <c r="CB23" i="21"/>
  <c r="BZ23" i="21"/>
  <c r="BU23" i="21"/>
  <c r="BS23" i="21"/>
  <c r="BN23" i="21"/>
  <c r="BL23" i="21"/>
  <c r="BG23" i="21"/>
  <c r="BE23" i="21"/>
  <c r="AZ23" i="21"/>
  <c r="AY23" i="21"/>
  <c r="AT23" i="21"/>
  <c r="AS23" i="21"/>
  <c r="AL23" i="21"/>
  <c r="AK23" i="21"/>
  <c r="AJ23" i="21"/>
  <c r="AI23" i="21"/>
  <c r="AH23" i="21"/>
  <c r="AG23" i="21"/>
  <c r="AB23" i="21"/>
  <c r="AA23" i="21"/>
  <c r="V23" i="21"/>
  <c r="U23" i="21"/>
  <c r="DP22" i="21"/>
  <c r="DO22" i="21"/>
  <c r="DN22" i="21"/>
  <c r="DM22" i="21"/>
  <c r="DL22" i="21"/>
  <c r="DK22" i="21"/>
  <c r="DF22" i="21"/>
  <c r="DE22" i="21"/>
  <c r="CZ22" i="21"/>
  <c r="CY22" i="21"/>
  <c r="CT22" i="21"/>
  <c r="CS22" i="21"/>
  <c r="CN22" i="21"/>
  <c r="CM22" i="21"/>
  <c r="CH22" i="21"/>
  <c r="CG22" i="21"/>
  <c r="CB22" i="21"/>
  <c r="BZ22" i="21"/>
  <c r="BU22" i="21"/>
  <c r="BS22" i="21"/>
  <c r="BN22" i="21"/>
  <c r="BL22" i="21"/>
  <c r="BG22" i="21"/>
  <c r="BE22" i="21"/>
  <c r="AZ22" i="21"/>
  <c r="AY22" i="21"/>
  <c r="AT22" i="21"/>
  <c r="AS22" i="21"/>
  <c r="AL22" i="21"/>
  <c r="AK22" i="21"/>
  <c r="AJ22" i="21"/>
  <c r="AI22" i="21"/>
  <c r="AH22" i="21"/>
  <c r="AG22" i="21"/>
  <c r="AB22" i="21"/>
  <c r="AA22" i="21"/>
  <c r="V22" i="21"/>
  <c r="U22" i="21"/>
  <c r="DP21" i="21"/>
  <c r="DO21" i="21"/>
  <c r="DN21" i="21"/>
  <c r="DM21" i="21"/>
  <c r="DL21" i="21"/>
  <c r="DK21" i="21"/>
  <c r="DF21" i="21"/>
  <c r="DE21" i="21"/>
  <c r="CZ21" i="21"/>
  <c r="CY21" i="21"/>
  <c r="CT21" i="21"/>
  <c r="CS21" i="21"/>
  <c r="CN21" i="21"/>
  <c r="CM21" i="21"/>
  <c r="CH21" i="21"/>
  <c r="CG21" i="21"/>
  <c r="CB21" i="21"/>
  <c r="BZ21" i="21"/>
  <c r="BU21" i="21"/>
  <c r="BS21" i="21"/>
  <c r="BN21" i="21"/>
  <c r="BL21" i="21"/>
  <c r="BG21" i="21"/>
  <c r="BE21" i="21"/>
  <c r="AZ21" i="21"/>
  <c r="AY21" i="21"/>
  <c r="AT21" i="21"/>
  <c r="AS21" i="21"/>
  <c r="AL21" i="21"/>
  <c r="AK21" i="21"/>
  <c r="AJ21" i="21"/>
  <c r="AI21" i="21"/>
  <c r="AH21" i="21"/>
  <c r="AG21" i="21"/>
  <c r="AB21" i="21"/>
  <c r="AA21" i="21"/>
  <c r="V21" i="21"/>
  <c r="U21" i="21"/>
  <c r="DP20" i="21"/>
  <c r="DO20" i="21"/>
  <c r="DN20" i="21"/>
  <c r="DM20" i="21"/>
  <c r="DL20" i="21"/>
  <c r="DK20" i="21"/>
  <c r="DF20" i="21"/>
  <c r="DE20" i="21"/>
  <c r="CZ20" i="21"/>
  <c r="CY20" i="21"/>
  <c r="CT20" i="21"/>
  <c r="CS20" i="21"/>
  <c r="CN20" i="21"/>
  <c r="CM20" i="21"/>
  <c r="CH20" i="21"/>
  <c r="CG20" i="21"/>
  <c r="CB20" i="21"/>
  <c r="BZ20" i="21"/>
  <c r="BU20" i="21"/>
  <c r="BS20" i="21"/>
  <c r="BN20" i="21"/>
  <c r="BL20" i="21"/>
  <c r="BG20" i="21"/>
  <c r="BE20" i="21"/>
  <c r="AZ20" i="21"/>
  <c r="AY20" i="21"/>
  <c r="AT20" i="21"/>
  <c r="AS20" i="21"/>
  <c r="AL20" i="21"/>
  <c r="AK20" i="21"/>
  <c r="AJ20" i="21"/>
  <c r="AI20" i="21"/>
  <c r="AH20" i="21"/>
  <c r="AG20" i="21"/>
  <c r="AB20" i="21"/>
  <c r="AA20" i="21"/>
  <c r="V20" i="21"/>
  <c r="U20" i="21"/>
  <c r="DP19" i="21"/>
  <c r="DO19" i="21"/>
  <c r="DN19" i="21"/>
  <c r="DM19" i="21"/>
  <c r="DL19" i="21"/>
  <c r="DK19" i="21"/>
  <c r="DF19" i="21"/>
  <c r="DE19" i="21"/>
  <c r="CZ19" i="21"/>
  <c r="CY19" i="21"/>
  <c r="CT19" i="21"/>
  <c r="CS19" i="21"/>
  <c r="CN19" i="21"/>
  <c r="CM19" i="21"/>
  <c r="CH19" i="21"/>
  <c r="CG19" i="21"/>
  <c r="CB19" i="21"/>
  <c r="BZ19" i="21"/>
  <c r="BU19" i="21"/>
  <c r="BS19" i="21"/>
  <c r="BN19" i="21"/>
  <c r="BL19" i="21"/>
  <c r="BG19" i="21"/>
  <c r="BE19" i="21"/>
  <c r="AZ19" i="21"/>
  <c r="AY19" i="21"/>
  <c r="AT19" i="21"/>
  <c r="AS19" i="21"/>
  <c r="AL19" i="21"/>
  <c r="AK19" i="21"/>
  <c r="AJ19" i="21"/>
  <c r="AI19" i="21"/>
  <c r="AH19" i="21"/>
  <c r="AG19" i="21"/>
  <c r="AB19" i="21"/>
  <c r="AA19" i="21"/>
  <c r="V19" i="21"/>
  <c r="U19" i="21"/>
  <c r="DP17" i="21"/>
  <c r="DO17" i="21"/>
  <c r="DN17" i="21"/>
  <c r="DM17" i="21"/>
  <c r="DL17" i="21"/>
  <c r="DK17" i="21"/>
  <c r="DF17" i="21"/>
  <c r="DE17" i="21"/>
  <c r="CZ17" i="21"/>
  <c r="CY17" i="21"/>
  <c r="CT17" i="21"/>
  <c r="CS17" i="21"/>
  <c r="CN17" i="21"/>
  <c r="CM17" i="21"/>
  <c r="CH17" i="21"/>
  <c r="CG17" i="21"/>
  <c r="CB17" i="21"/>
  <c r="BZ17" i="21"/>
  <c r="BU17" i="21"/>
  <c r="BS17" i="21"/>
  <c r="BN17" i="21"/>
  <c r="BL17" i="21"/>
  <c r="BG17" i="21"/>
  <c r="BE17" i="21"/>
  <c r="AZ17" i="21"/>
  <c r="AY17" i="21"/>
  <c r="AT17" i="21"/>
  <c r="AS17" i="21"/>
  <c r="AL17" i="21"/>
  <c r="AK17" i="21"/>
  <c r="AJ17" i="21"/>
  <c r="AI17" i="21"/>
  <c r="AH17" i="21"/>
  <c r="AG17" i="21"/>
  <c r="AB17" i="21"/>
  <c r="AA17" i="21"/>
  <c r="V17" i="21"/>
  <c r="U17" i="21"/>
  <c r="DP16" i="21"/>
  <c r="DO16" i="21"/>
  <c r="DN16" i="21"/>
  <c r="DM16" i="21"/>
  <c r="DL16" i="21"/>
  <c r="DK16" i="21"/>
  <c r="DF16" i="21"/>
  <c r="DE16" i="21"/>
  <c r="CZ16" i="21"/>
  <c r="CY16" i="21"/>
  <c r="CT16" i="21"/>
  <c r="CS16" i="21"/>
  <c r="CN16" i="21"/>
  <c r="CM16" i="21"/>
  <c r="CH16" i="21"/>
  <c r="CG16" i="21"/>
  <c r="CB16" i="21"/>
  <c r="BZ16" i="21"/>
  <c r="BU16" i="21"/>
  <c r="BS16" i="21"/>
  <c r="BN16" i="21"/>
  <c r="BL16" i="21"/>
  <c r="BG16" i="21"/>
  <c r="BE16" i="21"/>
  <c r="AZ16" i="21"/>
  <c r="AY16" i="21"/>
  <c r="AT16" i="21"/>
  <c r="AS16" i="21"/>
  <c r="AL16" i="21"/>
  <c r="AK16" i="21"/>
  <c r="AJ16" i="21"/>
  <c r="AI16" i="21"/>
  <c r="AH16" i="21"/>
  <c r="AG16" i="21"/>
  <c r="AB16" i="21"/>
  <c r="AA16" i="21"/>
  <c r="V16" i="21"/>
  <c r="U16" i="21"/>
  <c r="K16" i="21"/>
  <c r="DP15" i="21"/>
  <c r="DO15" i="21"/>
  <c r="DN15" i="21"/>
  <c r="DM15" i="21"/>
  <c r="DL15" i="21"/>
  <c r="DK15" i="21"/>
  <c r="DF15" i="21"/>
  <c r="DE15" i="21"/>
  <c r="CZ15" i="21"/>
  <c r="CY15" i="21"/>
  <c r="CT15" i="21"/>
  <c r="CS15" i="21"/>
  <c r="CN15" i="21"/>
  <c r="CM15" i="21"/>
  <c r="CH15" i="21"/>
  <c r="CG15" i="21"/>
  <c r="CB15" i="21"/>
  <c r="BZ15" i="21"/>
  <c r="BU15" i="21"/>
  <c r="BS15" i="21"/>
  <c r="BN15" i="21"/>
  <c r="BL15" i="21"/>
  <c r="BG15" i="21"/>
  <c r="BE15" i="21"/>
  <c r="AZ15" i="21"/>
  <c r="AY15" i="21"/>
  <c r="AT15" i="21"/>
  <c r="AS15" i="21"/>
  <c r="AL15" i="21"/>
  <c r="AK15" i="21"/>
  <c r="AJ15" i="21"/>
  <c r="AI15" i="21"/>
  <c r="AH15" i="21"/>
  <c r="AG15" i="21"/>
  <c r="AB15" i="21"/>
  <c r="AA15" i="21"/>
  <c r="V15" i="21"/>
  <c r="U15" i="21"/>
  <c r="DP14" i="21"/>
  <c r="DO14" i="21"/>
  <c r="DN14" i="21"/>
  <c r="DM14" i="21"/>
  <c r="DL14" i="21"/>
  <c r="DK14" i="21"/>
  <c r="DF14" i="21"/>
  <c r="DE14" i="21"/>
  <c r="CZ14" i="21"/>
  <c r="CY14" i="21"/>
  <c r="CT14" i="21"/>
  <c r="CS14" i="21"/>
  <c r="CN14" i="21"/>
  <c r="CM14" i="21"/>
  <c r="CH14" i="21"/>
  <c r="CG14" i="21"/>
  <c r="CB14" i="21"/>
  <c r="BZ14" i="21"/>
  <c r="BU14" i="21"/>
  <c r="BS14" i="21"/>
  <c r="BN14" i="21"/>
  <c r="BL14" i="21"/>
  <c r="BG14" i="21"/>
  <c r="BE14" i="21"/>
  <c r="AZ14" i="21"/>
  <c r="AY14" i="21"/>
  <c r="AT14" i="21"/>
  <c r="AS14" i="21"/>
  <c r="AL14" i="21"/>
  <c r="AK14" i="21"/>
  <c r="AJ14" i="21"/>
  <c r="AI14" i="21"/>
  <c r="AH14" i="21"/>
  <c r="AG14" i="21"/>
  <c r="AB14" i="21"/>
  <c r="AA14" i="21"/>
  <c r="V14" i="21"/>
  <c r="U14" i="21"/>
  <c r="DP13" i="21"/>
  <c r="DO13" i="21"/>
  <c r="DN13" i="21"/>
  <c r="DM13" i="21"/>
  <c r="DL13" i="21"/>
  <c r="DK13" i="21"/>
  <c r="DF13" i="21"/>
  <c r="DE13" i="21"/>
  <c r="CZ13" i="21"/>
  <c r="CY13" i="21"/>
  <c r="CT13" i="21"/>
  <c r="CS13" i="21"/>
  <c r="CN13" i="21"/>
  <c r="CM13" i="21"/>
  <c r="CH13" i="21"/>
  <c r="CG13" i="21"/>
  <c r="CB13" i="21"/>
  <c r="BZ13" i="21"/>
  <c r="BU13" i="21"/>
  <c r="BS13" i="21"/>
  <c r="BN13" i="21"/>
  <c r="BL13" i="21"/>
  <c r="BG13" i="21"/>
  <c r="BE13" i="21"/>
  <c r="AZ13" i="21"/>
  <c r="AY13" i="21"/>
  <c r="AT13" i="21"/>
  <c r="AS13" i="21"/>
  <c r="AL13" i="21"/>
  <c r="AK13" i="21"/>
  <c r="AJ13" i="21"/>
  <c r="AI13" i="21"/>
  <c r="AH13" i="21"/>
  <c r="AG13" i="21"/>
  <c r="AB13" i="21"/>
  <c r="AA13" i="21"/>
  <c r="V13" i="21"/>
  <c r="U13" i="21"/>
  <c r="DP12" i="21"/>
  <c r="DO12" i="21"/>
  <c r="DN12" i="21"/>
  <c r="DM12" i="21"/>
  <c r="DL12" i="21"/>
  <c r="DK12" i="21"/>
  <c r="DF12" i="21"/>
  <c r="DE12" i="21"/>
  <c r="CZ12" i="21"/>
  <c r="CY12" i="21"/>
  <c r="CT12" i="21"/>
  <c r="CS12" i="21"/>
  <c r="CN12" i="21"/>
  <c r="CM12" i="21"/>
  <c r="CH12" i="21"/>
  <c r="CG12" i="21"/>
  <c r="CB12" i="21"/>
  <c r="BZ12" i="21"/>
  <c r="BU12" i="21"/>
  <c r="BS12" i="21"/>
  <c r="BN12" i="21"/>
  <c r="BL12" i="21"/>
  <c r="BG12" i="21"/>
  <c r="BE12" i="21"/>
  <c r="AZ12" i="21"/>
  <c r="AY12" i="21"/>
  <c r="AT12" i="21"/>
  <c r="AS12" i="21"/>
  <c r="AL12" i="21"/>
  <c r="AK12" i="21"/>
  <c r="AJ12" i="21"/>
  <c r="AI12" i="21"/>
  <c r="AH12" i="21"/>
  <c r="AG12" i="21"/>
  <c r="AB12" i="21"/>
  <c r="AA12" i="21"/>
  <c r="V12" i="21"/>
  <c r="U12" i="21"/>
  <c r="K12" i="21"/>
  <c r="DP11" i="21"/>
  <c r="DO11" i="21"/>
  <c r="DN11" i="21"/>
  <c r="DM11" i="21"/>
  <c r="DL11" i="21"/>
  <c r="DK11" i="21"/>
  <c r="DF11" i="21"/>
  <c r="DE11" i="21"/>
  <c r="CZ11" i="21"/>
  <c r="CY11" i="21"/>
  <c r="CT11" i="21"/>
  <c r="CS11" i="21"/>
  <c r="CN11" i="21"/>
  <c r="CM11" i="21"/>
  <c r="CH11" i="21"/>
  <c r="CG11" i="21"/>
  <c r="CB11" i="21"/>
  <c r="BZ11" i="21"/>
  <c r="BU11" i="21"/>
  <c r="BS11" i="21"/>
  <c r="BN11" i="21"/>
  <c r="BL11" i="21"/>
  <c r="BG11" i="21"/>
  <c r="BE11" i="21"/>
  <c r="AZ11" i="21"/>
  <c r="AY11" i="21"/>
  <c r="AT11" i="21"/>
  <c r="AS11" i="21"/>
  <c r="AL11" i="21"/>
  <c r="AK11" i="21"/>
  <c r="AJ11" i="21"/>
  <c r="AI11" i="21"/>
  <c r="AH11" i="21"/>
  <c r="AG11" i="21"/>
  <c r="AB11" i="21"/>
  <c r="AA11" i="21"/>
  <c r="V11" i="21"/>
  <c r="U11" i="21"/>
  <c r="DP10" i="21"/>
  <c r="DO10" i="21"/>
  <c r="DN10" i="21"/>
  <c r="DM10" i="21"/>
  <c r="DL10" i="21"/>
  <c r="DK10" i="21"/>
  <c r="DF10" i="21"/>
  <c r="DE10" i="21"/>
  <c r="CZ10" i="21"/>
  <c r="CY10" i="21"/>
  <c r="CT10" i="21"/>
  <c r="CS10" i="21"/>
  <c r="CN10" i="21"/>
  <c r="CM10" i="21"/>
  <c r="CH10" i="21"/>
  <c r="CG10" i="21"/>
  <c r="CB10" i="21"/>
  <c r="BZ10" i="21"/>
  <c r="BU10" i="21"/>
  <c r="BS10" i="21"/>
  <c r="BN10" i="21"/>
  <c r="BL10" i="21"/>
  <c r="BG10" i="21"/>
  <c r="BE10" i="21"/>
  <c r="AZ10" i="21"/>
  <c r="AY10" i="21"/>
  <c r="AT10" i="21"/>
  <c r="AS10" i="21"/>
  <c r="AL10" i="21"/>
  <c r="AK10" i="21"/>
  <c r="AJ10" i="21"/>
  <c r="AI10" i="21"/>
  <c r="AH10" i="21"/>
  <c r="AG10" i="21"/>
  <c r="AB10" i="21"/>
  <c r="AA10" i="21"/>
  <c r="V10" i="21"/>
  <c r="U10" i="21"/>
  <c r="DP9" i="21"/>
  <c r="DO9" i="21"/>
  <c r="DN9" i="21"/>
  <c r="DM9" i="21"/>
  <c r="DL9" i="21"/>
  <c r="DK9" i="21"/>
  <c r="DF9" i="21"/>
  <c r="DE9" i="21"/>
  <c r="CZ9" i="21"/>
  <c r="CY9" i="21"/>
  <c r="CT9" i="21"/>
  <c r="CS9" i="21"/>
  <c r="CN9" i="21"/>
  <c r="CM9" i="21"/>
  <c r="CH9" i="21"/>
  <c r="CG9" i="21"/>
  <c r="CB9" i="21"/>
  <c r="BZ9" i="21"/>
  <c r="BU9" i="21"/>
  <c r="BS9" i="21"/>
  <c r="BN9" i="21"/>
  <c r="BL9" i="21"/>
  <c r="BG9" i="21"/>
  <c r="BE9" i="21"/>
  <c r="AZ9" i="21"/>
  <c r="AY9" i="21"/>
  <c r="AT9" i="21"/>
  <c r="AS9" i="21"/>
  <c r="AL9" i="21"/>
  <c r="AK9" i="21"/>
  <c r="AJ9" i="21"/>
  <c r="AI9" i="21"/>
  <c r="AH9" i="21"/>
  <c r="AG9" i="21"/>
  <c r="AB9" i="21"/>
  <c r="AA9" i="21"/>
  <c r="V9" i="21"/>
  <c r="U9" i="21"/>
  <c r="DS134" i="20"/>
  <c r="DR134" i="20"/>
  <c r="DQ134" i="20"/>
  <c r="DP134" i="20"/>
  <c r="DO134" i="20"/>
  <c r="DN134" i="20"/>
  <c r="DI134" i="20"/>
  <c r="DH134" i="20"/>
  <c r="DC134" i="20"/>
  <c r="DB134" i="20"/>
  <c r="CW134" i="20"/>
  <c r="CU134" i="20"/>
  <c r="CP134" i="20"/>
  <c r="CN134" i="20"/>
  <c r="CI134" i="20"/>
  <c r="CG134" i="20"/>
  <c r="CB134" i="20"/>
  <c r="BZ134" i="20"/>
  <c r="BU134" i="20"/>
  <c r="BS134" i="20"/>
  <c r="BN134" i="20"/>
  <c r="BL134" i="20"/>
  <c r="BG134" i="20"/>
  <c r="BE134" i="20"/>
  <c r="AZ134" i="20"/>
  <c r="AY134" i="20"/>
  <c r="AT134" i="20"/>
  <c r="AS134" i="20"/>
  <c r="AL134" i="20"/>
  <c r="AK134" i="20"/>
  <c r="AJ134" i="20"/>
  <c r="AI134" i="20"/>
  <c r="AH134" i="20"/>
  <c r="AG134" i="20"/>
  <c r="AB134" i="20"/>
  <c r="AA134" i="20"/>
  <c r="V134" i="20"/>
  <c r="U134" i="20"/>
  <c r="DS133" i="20"/>
  <c r="DR133" i="20"/>
  <c r="DQ133" i="20"/>
  <c r="DP133" i="20"/>
  <c r="DO133" i="20"/>
  <c r="DN133" i="20"/>
  <c r="DI133" i="20"/>
  <c r="DH133" i="20"/>
  <c r="DC133" i="20"/>
  <c r="DB133" i="20"/>
  <c r="CW133" i="20"/>
  <c r="CU133" i="20"/>
  <c r="CP133" i="20"/>
  <c r="CN133" i="20"/>
  <c r="CI133" i="20"/>
  <c r="CG133" i="20"/>
  <c r="CB133" i="20"/>
  <c r="BZ133" i="20"/>
  <c r="BU133" i="20"/>
  <c r="BS133" i="20"/>
  <c r="BN133" i="20"/>
  <c r="BL133" i="20"/>
  <c r="BG133" i="20"/>
  <c r="BE133" i="20"/>
  <c r="AZ133" i="20"/>
  <c r="AY133" i="20"/>
  <c r="AT133" i="20"/>
  <c r="AS133" i="20"/>
  <c r="AL133" i="20"/>
  <c r="AK133" i="20"/>
  <c r="AJ133" i="20"/>
  <c r="AI133" i="20"/>
  <c r="AH133" i="20"/>
  <c r="AG133" i="20"/>
  <c r="AB133" i="20"/>
  <c r="AA133" i="20"/>
  <c r="V133" i="20"/>
  <c r="U133" i="20"/>
  <c r="DS132" i="20"/>
  <c r="DR132" i="20"/>
  <c r="DQ132" i="20"/>
  <c r="DP132" i="20"/>
  <c r="DO132" i="20"/>
  <c r="DN132" i="20"/>
  <c r="DI132" i="20"/>
  <c r="DH132" i="20"/>
  <c r="DC132" i="20"/>
  <c r="DB132" i="20"/>
  <c r="CW132" i="20"/>
  <c r="CU132" i="20"/>
  <c r="CP132" i="20"/>
  <c r="CN132" i="20"/>
  <c r="CI132" i="20"/>
  <c r="CG132" i="20"/>
  <c r="CB132" i="20"/>
  <c r="BZ132" i="20"/>
  <c r="BU132" i="20"/>
  <c r="BS132" i="20"/>
  <c r="BN132" i="20"/>
  <c r="BL132" i="20"/>
  <c r="BG132" i="20"/>
  <c r="BE132" i="20"/>
  <c r="AZ132" i="20"/>
  <c r="AY132" i="20"/>
  <c r="AT132" i="20"/>
  <c r="AS132" i="20"/>
  <c r="AL132" i="20"/>
  <c r="AK132" i="20"/>
  <c r="AJ132" i="20"/>
  <c r="AI132" i="20"/>
  <c r="AH132" i="20"/>
  <c r="AG132" i="20"/>
  <c r="AB132" i="20"/>
  <c r="AA132" i="20"/>
  <c r="V132" i="20"/>
  <c r="U132" i="20"/>
  <c r="DS131" i="20"/>
  <c r="DR131" i="20"/>
  <c r="DQ131" i="20"/>
  <c r="DP131" i="20"/>
  <c r="DO131" i="20"/>
  <c r="DN131" i="20"/>
  <c r="DI131" i="20"/>
  <c r="DH131" i="20"/>
  <c r="DC131" i="20"/>
  <c r="DB131" i="20"/>
  <c r="CW131" i="20"/>
  <c r="CU131" i="20"/>
  <c r="CP131" i="20"/>
  <c r="CN131" i="20"/>
  <c r="CI131" i="20"/>
  <c r="CG131" i="20"/>
  <c r="CB131" i="20"/>
  <c r="BZ131" i="20"/>
  <c r="BU131" i="20"/>
  <c r="BS131" i="20"/>
  <c r="BN131" i="20"/>
  <c r="BL131" i="20"/>
  <c r="BG131" i="20"/>
  <c r="BE131" i="20"/>
  <c r="AZ131" i="20"/>
  <c r="AY131" i="20"/>
  <c r="AT131" i="20"/>
  <c r="AS131" i="20"/>
  <c r="AL131" i="20"/>
  <c r="AK131" i="20"/>
  <c r="AJ131" i="20"/>
  <c r="AI131" i="20"/>
  <c r="AH131" i="20"/>
  <c r="AG131" i="20"/>
  <c r="AB131" i="20"/>
  <c r="AA131" i="20"/>
  <c r="V131" i="20"/>
  <c r="U131" i="20"/>
  <c r="DS130" i="20"/>
  <c r="DR130" i="20"/>
  <c r="DQ130" i="20"/>
  <c r="DP130" i="20"/>
  <c r="DO130" i="20"/>
  <c r="DN130" i="20"/>
  <c r="DI130" i="20"/>
  <c r="DH130" i="20"/>
  <c r="DC130" i="20"/>
  <c r="DB130" i="20"/>
  <c r="CW130" i="20"/>
  <c r="CU130" i="20"/>
  <c r="CP130" i="20"/>
  <c r="CN130" i="20"/>
  <c r="CI130" i="20"/>
  <c r="CG130" i="20"/>
  <c r="CB130" i="20"/>
  <c r="BZ130" i="20"/>
  <c r="BU130" i="20"/>
  <c r="BS130" i="20"/>
  <c r="BN130" i="20"/>
  <c r="BL130" i="20"/>
  <c r="BG130" i="20"/>
  <c r="BE130" i="20"/>
  <c r="AZ130" i="20"/>
  <c r="AY130" i="20"/>
  <c r="AT130" i="20"/>
  <c r="AS130" i="20"/>
  <c r="AL130" i="20"/>
  <c r="AK130" i="20"/>
  <c r="AJ130" i="20"/>
  <c r="AI130" i="20"/>
  <c r="AH130" i="20"/>
  <c r="AG130" i="20"/>
  <c r="AB130" i="20"/>
  <c r="AA130" i="20"/>
  <c r="V130" i="20"/>
  <c r="U130" i="20"/>
  <c r="DS129" i="20"/>
  <c r="DR129" i="20"/>
  <c r="DQ129" i="20"/>
  <c r="DP129" i="20"/>
  <c r="DO129" i="20"/>
  <c r="DN129" i="20"/>
  <c r="DI129" i="20"/>
  <c r="DH129" i="20"/>
  <c r="DC129" i="20"/>
  <c r="DB129" i="20"/>
  <c r="CW129" i="20"/>
  <c r="CU129" i="20"/>
  <c r="CP129" i="20"/>
  <c r="CN129" i="20"/>
  <c r="CI129" i="20"/>
  <c r="CG129" i="20"/>
  <c r="CB129" i="20"/>
  <c r="BZ129" i="20"/>
  <c r="BU129" i="20"/>
  <c r="BS129" i="20"/>
  <c r="BN129" i="20"/>
  <c r="BL129" i="20"/>
  <c r="BG129" i="20"/>
  <c r="BE129" i="20"/>
  <c r="AZ129" i="20"/>
  <c r="AY129" i="20"/>
  <c r="AT129" i="20"/>
  <c r="AS129" i="20"/>
  <c r="AL129" i="20"/>
  <c r="AK129" i="20"/>
  <c r="AJ129" i="20"/>
  <c r="AI129" i="20"/>
  <c r="AH129" i="20"/>
  <c r="AG129" i="20"/>
  <c r="AB129" i="20"/>
  <c r="AA129" i="20"/>
  <c r="V129" i="20"/>
  <c r="U129" i="20"/>
  <c r="DS128" i="20"/>
  <c r="DR128" i="20"/>
  <c r="DQ128" i="20"/>
  <c r="DP128" i="20"/>
  <c r="DO128" i="20"/>
  <c r="DN128" i="20"/>
  <c r="DI128" i="20"/>
  <c r="DH128" i="20"/>
  <c r="DC128" i="20"/>
  <c r="DB128" i="20"/>
  <c r="CW128" i="20"/>
  <c r="CU128" i="20"/>
  <c r="CP128" i="20"/>
  <c r="CN128" i="20"/>
  <c r="CI128" i="20"/>
  <c r="CG128" i="20"/>
  <c r="CB128" i="20"/>
  <c r="BZ128" i="20"/>
  <c r="BU128" i="20"/>
  <c r="BS128" i="20"/>
  <c r="BN128" i="20"/>
  <c r="BL128" i="20"/>
  <c r="BG128" i="20"/>
  <c r="BE128" i="20"/>
  <c r="AZ128" i="20"/>
  <c r="AY128" i="20"/>
  <c r="AT128" i="20"/>
  <c r="AS128" i="20"/>
  <c r="AL128" i="20"/>
  <c r="AK128" i="20"/>
  <c r="AJ128" i="20"/>
  <c r="AI128" i="20"/>
  <c r="AH128" i="20"/>
  <c r="AG128" i="20"/>
  <c r="AB128" i="20"/>
  <c r="AA128" i="20"/>
  <c r="V128" i="20"/>
  <c r="U128" i="20"/>
  <c r="DS127" i="20"/>
  <c r="DR127" i="20"/>
  <c r="DQ127" i="20"/>
  <c r="DP127" i="20"/>
  <c r="DO127" i="20"/>
  <c r="DN127" i="20"/>
  <c r="DI127" i="20"/>
  <c r="DH127" i="20"/>
  <c r="DC127" i="20"/>
  <c r="DB127" i="20"/>
  <c r="CW127" i="20"/>
  <c r="CU127" i="20"/>
  <c r="CP127" i="20"/>
  <c r="CN127" i="20"/>
  <c r="CI127" i="20"/>
  <c r="CG127" i="20"/>
  <c r="CB127" i="20"/>
  <c r="BZ127" i="20"/>
  <c r="BU127" i="20"/>
  <c r="BS127" i="20"/>
  <c r="BN127" i="20"/>
  <c r="BL127" i="20"/>
  <c r="BG127" i="20"/>
  <c r="BE127" i="20"/>
  <c r="AZ127" i="20"/>
  <c r="AY127" i="20"/>
  <c r="AT127" i="20"/>
  <c r="AS127" i="20"/>
  <c r="AL127" i="20"/>
  <c r="AK127" i="20"/>
  <c r="AJ127" i="20"/>
  <c r="AI127" i="20"/>
  <c r="AH127" i="20"/>
  <c r="AG127" i="20"/>
  <c r="AB127" i="20"/>
  <c r="AA127" i="20"/>
  <c r="V127" i="20"/>
  <c r="U127" i="20"/>
  <c r="DS126" i="20"/>
  <c r="DR126" i="20"/>
  <c r="DQ126" i="20"/>
  <c r="DP126" i="20"/>
  <c r="DO126" i="20"/>
  <c r="DN126" i="20"/>
  <c r="DI126" i="20"/>
  <c r="DH126" i="20"/>
  <c r="DC126" i="20"/>
  <c r="DB126" i="20"/>
  <c r="CW126" i="20"/>
  <c r="CU126" i="20"/>
  <c r="CP126" i="20"/>
  <c r="CN126" i="20"/>
  <c r="CI126" i="20"/>
  <c r="CG126" i="20"/>
  <c r="CB126" i="20"/>
  <c r="BZ126" i="20"/>
  <c r="BU126" i="20"/>
  <c r="BS126" i="20"/>
  <c r="BN126" i="20"/>
  <c r="BL126" i="20"/>
  <c r="BG126" i="20"/>
  <c r="BE126" i="20"/>
  <c r="AZ126" i="20"/>
  <c r="AY126" i="20"/>
  <c r="AT126" i="20"/>
  <c r="AS126" i="20"/>
  <c r="AL126" i="20"/>
  <c r="AK126" i="20"/>
  <c r="AJ126" i="20"/>
  <c r="AI126" i="20"/>
  <c r="AH126" i="20"/>
  <c r="AG126" i="20"/>
  <c r="AB126" i="20"/>
  <c r="AA126" i="20"/>
  <c r="V126" i="20"/>
  <c r="U126" i="20"/>
  <c r="DS125" i="20"/>
  <c r="DR125" i="20"/>
  <c r="DQ125" i="20"/>
  <c r="DP125" i="20"/>
  <c r="DO125" i="20"/>
  <c r="DN125" i="20"/>
  <c r="DI125" i="20"/>
  <c r="DH125" i="20"/>
  <c r="DC125" i="20"/>
  <c r="DB125" i="20"/>
  <c r="CW125" i="20"/>
  <c r="CU125" i="20"/>
  <c r="CP125" i="20"/>
  <c r="CN125" i="20"/>
  <c r="CI125" i="20"/>
  <c r="CG125" i="20"/>
  <c r="CB125" i="20"/>
  <c r="BZ125" i="20"/>
  <c r="BU125" i="20"/>
  <c r="BS125" i="20"/>
  <c r="BN125" i="20"/>
  <c r="BL125" i="20"/>
  <c r="BG125" i="20"/>
  <c r="BE125" i="20"/>
  <c r="AZ125" i="20"/>
  <c r="AY125" i="20"/>
  <c r="AT125" i="20"/>
  <c r="AS125" i="20"/>
  <c r="AL125" i="20"/>
  <c r="AK125" i="20"/>
  <c r="AJ125" i="20"/>
  <c r="AI125" i="20"/>
  <c r="AH125" i="20"/>
  <c r="AG125" i="20"/>
  <c r="AB125" i="20"/>
  <c r="AA125" i="20"/>
  <c r="V125" i="20"/>
  <c r="U125" i="20"/>
  <c r="DS124" i="20"/>
  <c r="DR124" i="20"/>
  <c r="DQ124" i="20"/>
  <c r="DP124" i="20"/>
  <c r="DO124" i="20"/>
  <c r="DN124" i="20"/>
  <c r="DI124" i="20"/>
  <c r="DH124" i="20"/>
  <c r="DC124" i="20"/>
  <c r="DB124" i="20"/>
  <c r="CW124" i="20"/>
  <c r="CU124" i="20"/>
  <c r="CP124" i="20"/>
  <c r="CN124" i="20"/>
  <c r="CI124" i="20"/>
  <c r="CG124" i="20"/>
  <c r="CB124" i="20"/>
  <c r="BZ124" i="20"/>
  <c r="BU124" i="20"/>
  <c r="BS124" i="20"/>
  <c r="BN124" i="20"/>
  <c r="BL124" i="20"/>
  <c r="BG124" i="20"/>
  <c r="BE124" i="20"/>
  <c r="AZ124" i="20"/>
  <c r="AY124" i="20"/>
  <c r="AT124" i="20"/>
  <c r="AS124" i="20"/>
  <c r="AL124" i="20"/>
  <c r="AK124" i="20"/>
  <c r="AJ124" i="20"/>
  <c r="AI124" i="20"/>
  <c r="AH124" i="20"/>
  <c r="AG124" i="20"/>
  <c r="AB124" i="20"/>
  <c r="AA124" i="20"/>
  <c r="V124" i="20"/>
  <c r="U124" i="20"/>
  <c r="DS123" i="20"/>
  <c r="DR123" i="20"/>
  <c r="DQ123" i="20"/>
  <c r="DP123" i="20"/>
  <c r="DO123" i="20"/>
  <c r="DN123" i="20"/>
  <c r="DI123" i="20"/>
  <c r="DH123" i="20"/>
  <c r="DC123" i="20"/>
  <c r="DB123" i="20"/>
  <c r="CW123" i="20"/>
  <c r="CU123" i="20"/>
  <c r="CP123" i="20"/>
  <c r="CN123" i="20"/>
  <c r="CI123" i="20"/>
  <c r="CG123" i="20"/>
  <c r="CB123" i="20"/>
  <c r="BZ123" i="20"/>
  <c r="BU123" i="20"/>
  <c r="BS123" i="20"/>
  <c r="BN123" i="20"/>
  <c r="BL123" i="20"/>
  <c r="BG123" i="20"/>
  <c r="BE123" i="20"/>
  <c r="AZ123" i="20"/>
  <c r="AY123" i="20"/>
  <c r="AT123" i="20"/>
  <c r="AS123" i="20"/>
  <c r="AL123" i="20"/>
  <c r="AK123" i="20"/>
  <c r="AJ123" i="20"/>
  <c r="AI123" i="20"/>
  <c r="AH123" i="20"/>
  <c r="AG123" i="20"/>
  <c r="AB123" i="20"/>
  <c r="AA123" i="20"/>
  <c r="V123" i="20"/>
  <c r="U123" i="20"/>
  <c r="DS122" i="20"/>
  <c r="DR122" i="20"/>
  <c r="DQ122" i="20"/>
  <c r="DP122" i="20"/>
  <c r="DO122" i="20"/>
  <c r="DN122" i="20"/>
  <c r="DI122" i="20"/>
  <c r="DH122" i="20"/>
  <c r="DC122" i="20"/>
  <c r="DB122" i="20"/>
  <c r="CW122" i="20"/>
  <c r="CU122" i="20"/>
  <c r="CP122" i="20"/>
  <c r="CN122" i="20"/>
  <c r="CI122" i="20"/>
  <c r="CG122" i="20"/>
  <c r="CB122" i="20"/>
  <c r="BZ122" i="20"/>
  <c r="BU122" i="20"/>
  <c r="BS122" i="20"/>
  <c r="BN122" i="20"/>
  <c r="BL122" i="20"/>
  <c r="BG122" i="20"/>
  <c r="BE122" i="20"/>
  <c r="AZ122" i="20"/>
  <c r="AY122" i="20"/>
  <c r="AT122" i="20"/>
  <c r="AS122" i="20"/>
  <c r="AL122" i="20"/>
  <c r="AK122" i="20"/>
  <c r="AJ122" i="20"/>
  <c r="AI122" i="20"/>
  <c r="AH122" i="20"/>
  <c r="AG122" i="20"/>
  <c r="AB122" i="20"/>
  <c r="AA122" i="20"/>
  <c r="V122" i="20"/>
  <c r="U122" i="20"/>
  <c r="DS121" i="20"/>
  <c r="DR121" i="20"/>
  <c r="DQ121" i="20"/>
  <c r="DP121" i="20"/>
  <c r="DO121" i="20"/>
  <c r="DN121" i="20"/>
  <c r="DI121" i="20"/>
  <c r="DH121" i="20"/>
  <c r="DC121" i="20"/>
  <c r="DB121" i="20"/>
  <c r="CW121" i="20"/>
  <c r="CU121" i="20"/>
  <c r="CP121" i="20"/>
  <c r="CN121" i="20"/>
  <c r="CI121" i="20"/>
  <c r="CG121" i="20"/>
  <c r="CB121" i="20"/>
  <c r="BZ121" i="20"/>
  <c r="BU121" i="20"/>
  <c r="BS121" i="20"/>
  <c r="BN121" i="20"/>
  <c r="BL121" i="20"/>
  <c r="BG121" i="20"/>
  <c r="BE121" i="20"/>
  <c r="AZ121" i="20"/>
  <c r="AY121" i="20"/>
  <c r="AT121" i="20"/>
  <c r="AS121" i="20"/>
  <c r="AL121" i="20"/>
  <c r="AK121" i="20"/>
  <c r="AJ121" i="20"/>
  <c r="AI121" i="20"/>
  <c r="AH121" i="20"/>
  <c r="AG121" i="20"/>
  <c r="AB121" i="20"/>
  <c r="AA121" i="20"/>
  <c r="V121" i="20"/>
  <c r="U121" i="20"/>
  <c r="DS120" i="20"/>
  <c r="DR120" i="20"/>
  <c r="DQ120" i="20"/>
  <c r="DP120" i="20"/>
  <c r="DO120" i="20"/>
  <c r="DN120" i="20"/>
  <c r="DI120" i="20"/>
  <c r="DH120" i="20"/>
  <c r="DC120" i="20"/>
  <c r="DB120" i="20"/>
  <c r="CW120" i="20"/>
  <c r="CU120" i="20"/>
  <c r="CP120" i="20"/>
  <c r="CN120" i="20"/>
  <c r="CI120" i="20"/>
  <c r="CG120" i="20"/>
  <c r="CB120" i="20"/>
  <c r="BZ120" i="20"/>
  <c r="BU120" i="20"/>
  <c r="BS120" i="20"/>
  <c r="BN120" i="20"/>
  <c r="BL120" i="20"/>
  <c r="BG120" i="20"/>
  <c r="BE120" i="20"/>
  <c r="AZ120" i="20"/>
  <c r="AY120" i="20"/>
  <c r="AT120" i="20"/>
  <c r="AS120" i="20"/>
  <c r="AL120" i="20"/>
  <c r="AK120" i="20"/>
  <c r="AJ120" i="20"/>
  <c r="AI120" i="20"/>
  <c r="AH120" i="20"/>
  <c r="AG120" i="20"/>
  <c r="AB120" i="20"/>
  <c r="AA120" i="20"/>
  <c r="V120" i="20"/>
  <c r="U120" i="20"/>
  <c r="DS119" i="20"/>
  <c r="DR119" i="20"/>
  <c r="DQ119" i="20"/>
  <c r="DP119" i="20"/>
  <c r="DO119" i="20"/>
  <c r="DN119" i="20"/>
  <c r="DI119" i="20"/>
  <c r="DH119" i="20"/>
  <c r="DC119" i="20"/>
  <c r="DB119" i="20"/>
  <c r="CW119" i="20"/>
  <c r="CU119" i="20"/>
  <c r="CP119" i="20"/>
  <c r="CN119" i="20"/>
  <c r="CI119" i="20"/>
  <c r="CG119" i="20"/>
  <c r="CB119" i="20"/>
  <c r="BZ119" i="20"/>
  <c r="BU119" i="20"/>
  <c r="BS119" i="20"/>
  <c r="BN119" i="20"/>
  <c r="BL119" i="20"/>
  <c r="BG119" i="20"/>
  <c r="BE119" i="20"/>
  <c r="AZ119" i="20"/>
  <c r="AY119" i="20"/>
  <c r="AT119" i="20"/>
  <c r="AS119" i="20"/>
  <c r="AL119" i="20"/>
  <c r="AK119" i="20"/>
  <c r="AJ119" i="20"/>
  <c r="AI119" i="20"/>
  <c r="AH119" i="20"/>
  <c r="AG119" i="20"/>
  <c r="AB119" i="20"/>
  <c r="AA119" i="20"/>
  <c r="V119" i="20"/>
  <c r="U119" i="20"/>
  <c r="DS118" i="20"/>
  <c r="DR118" i="20"/>
  <c r="DQ118" i="20"/>
  <c r="DP118" i="20"/>
  <c r="DO118" i="20"/>
  <c r="DN118" i="20"/>
  <c r="DI118" i="20"/>
  <c r="DH118" i="20"/>
  <c r="DC118" i="20"/>
  <c r="DB118" i="20"/>
  <c r="CW118" i="20"/>
  <c r="CU118" i="20"/>
  <c r="CP118" i="20"/>
  <c r="CN118" i="20"/>
  <c r="CI118" i="20"/>
  <c r="CG118" i="20"/>
  <c r="CB118" i="20"/>
  <c r="BZ118" i="20"/>
  <c r="BU118" i="20"/>
  <c r="BS118" i="20"/>
  <c r="BN118" i="20"/>
  <c r="BL118" i="20"/>
  <c r="BG118" i="20"/>
  <c r="BE118" i="20"/>
  <c r="AZ118" i="20"/>
  <c r="AY118" i="20"/>
  <c r="AT118" i="20"/>
  <c r="AS118" i="20"/>
  <c r="AL118" i="20"/>
  <c r="AK118" i="20"/>
  <c r="AJ118" i="20"/>
  <c r="AI118" i="20"/>
  <c r="AH118" i="20"/>
  <c r="AG118" i="20"/>
  <c r="AB118" i="20"/>
  <c r="AA118" i="20"/>
  <c r="V118" i="20"/>
  <c r="U118" i="20"/>
  <c r="DS117" i="20"/>
  <c r="DR117" i="20"/>
  <c r="DQ117" i="20"/>
  <c r="DP117" i="20"/>
  <c r="DO117" i="20"/>
  <c r="DN117" i="20"/>
  <c r="DI117" i="20"/>
  <c r="DH117" i="20"/>
  <c r="DC117" i="20"/>
  <c r="DB117" i="20"/>
  <c r="CW117" i="20"/>
  <c r="CU117" i="20"/>
  <c r="CP117" i="20"/>
  <c r="CN117" i="20"/>
  <c r="CI117" i="20"/>
  <c r="CG117" i="20"/>
  <c r="CB117" i="20"/>
  <c r="BZ117" i="20"/>
  <c r="BU117" i="20"/>
  <c r="BS117" i="20"/>
  <c r="BN117" i="20"/>
  <c r="BL117" i="20"/>
  <c r="BG117" i="20"/>
  <c r="BE117" i="20"/>
  <c r="AZ117" i="20"/>
  <c r="AY117" i="20"/>
  <c r="AT117" i="20"/>
  <c r="AS117" i="20"/>
  <c r="AL117" i="20"/>
  <c r="AK117" i="20"/>
  <c r="AJ117" i="20"/>
  <c r="AI117" i="20"/>
  <c r="AH117" i="20"/>
  <c r="AG117" i="20"/>
  <c r="AB117" i="20"/>
  <c r="AA117" i="20"/>
  <c r="V117" i="20"/>
  <c r="U117" i="20"/>
  <c r="DS116" i="20"/>
  <c r="DR116" i="20"/>
  <c r="DQ116" i="20"/>
  <c r="DP116" i="20"/>
  <c r="DO116" i="20"/>
  <c r="DN116" i="20"/>
  <c r="DI116" i="20"/>
  <c r="DH116" i="20"/>
  <c r="DC116" i="20"/>
  <c r="DB116" i="20"/>
  <c r="CW116" i="20"/>
  <c r="CU116" i="20"/>
  <c r="CP116" i="20"/>
  <c r="CN116" i="20"/>
  <c r="CI116" i="20"/>
  <c r="CG116" i="20"/>
  <c r="CB116" i="20"/>
  <c r="BZ116" i="20"/>
  <c r="BU116" i="20"/>
  <c r="BS116" i="20"/>
  <c r="BN116" i="20"/>
  <c r="BL116" i="20"/>
  <c r="BG116" i="20"/>
  <c r="BE116" i="20"/>
  <c r="AZ116" i="20"/>
  <c r="AY116" i="20"/>
  <c r="AT116" i="20"/>
  <c r="AS116" i="20"/>
  <c r="AL116" i="20"/>
  <c r="AK116" i="20"/>
  <c r="AJ116" i="20"/>
  <c r="AI116" i="20"/>
  <c r="AH116" i="20"/>
  <c r="AG116" i="20"/>
  <c r="AB116" i="20"/>
  <c r="AA116" i="20"/>
  <c r="V116" i="20"/>
  <c r="U116" i="20"/>
  <c r="DS115" i="20"/>
  <c r="DR115" i="20"/>
  <c r="DQ115" i="20"/>
  <c r="DP115" i="20"/>
  <c r="DO115" i="20"/>
  <c r="DN115" i="20"/>
  <c r="DI115" i="20"/>
  <c r="DH115" i="20"/>
  <c r="DC115" i="20"/>
  <c r="DB115" i="20"/>
  <c r="CW115" i="20"/>
  <c r="CU115" i="20"/>
  <c r="CP115" i="20"/>
  <c r="CN115" i="20"/>
  <c r="CI115" i="20"/>
  <c r="CG115" i="20"/>
  <c r="CB115" i="20"/>
  <c r="BZ115" i="20"/>
  <c r="BU115" i="20"/>
  <c r="BS115" i="20"/>
  <c r="BN115" i="20"/>
  <c r="BL115" i="20"/>
  <c r="BG115" i="20"/>
  <c r="BE115" i="20"/>
  <c r="AZ115" i="20"/>
  <c r="AY115" i="20"/>
  <c r="AT115" i="20"/>
  <c r="AS115" i="20"/>
  <c r="AL115" i="20"/>
  <c r="AK115" i="20"/>
  <c r="AJ115" i="20"/>
  <c r="AI115" i="20"/>
  <c r="AH115" i="20"/>
  <c r="AG115" i="20"/>
  <c r="AB115" i="20"/>
  <c r="AA115" i="20"/>
  <c r="V115" i="20"/>
  <c r="U115" i="20"/>
  <c r="DS114" i="20"/>
  <c r="DR114" i="20"/>
  <c r="DQ114" i="20"/>
  <c r="DP114" i="20"/>
  <c r="DO114" i="20"/>
  <c r="DN114" i="20"/>
  <c r="DI114" i="20"/>
  <c r="DH114" i="20"/>
  <c r="DC114" i="20"/>
  <c r="DB114" i="20"/>
  <c r="CW114" i="20"/>
  <c r="CU114" i="20"/>
  <c r="CP114" i="20"/>
  <c r="CN114" i="20"/>
  <c r="CI114" i="20"/>
  <c r="CG114" i="20"/>
  <c r="CB114" i="20"/>
  <c r="BZ114" i="20"/>
  <c r="BU114" i="20"/>
  <c r="BS114" i="20"/>
  <c r="BN114" i="20"/>
  <c r="BL114" i="20"/>
  <c r="BG114" i="20"/>
  <c r="BE114" i="20"/>
  <c r="AZ114" i="20"/>
  <c r="AY114" i="20"/>
  <c r="AT114" i="20"/>
  <c r="AS114" i="20"/>
  <c r="AL114" i="20"/>
  <c r="AK114" i="20"/>
  <c r="AJ114" i="20"/>
  <c r="AI114" i="20"/>
  <c r="AH114" i="20"/>
  <c r="AG114" i="20"/>
  <c r="AB114" i="20"/>
  <c r="AA114" i="20"/>
  <c r="V114" i="20"/>
  <c r="U114" i="20"/>
  <c r="DS113" i="20"/>
  <c r="DR113" i="20"/>
  <c r="DQ113" i="20"/>
  <c r="DP113" i="20"/>
  <c r="DO113" i="20"/>
  <c r="DN113" i="20"/>
  <c r="DI113" i="20"/>
  <c r="DH113" i="20"/>
  <c r="DC113" i="20"/>
  <c r="DB113" i="20"/>
  <c r="CW113" i="20"/>
  <c r="CU113" i="20"/>
  <c r="CP113" i="20"/>
  <c r="CN113" i="20"/>
  <c r="CI113" i="20"/>
  <c r="CG113" i="20"/>
  <c r="CB113" i="20"/>
  <c r="BZ113" i="20"/>
  <c r="BU113" i="20"/>
  <c r="BS113" i="20"/>
  <c r="BN113" i="20"/>
  <c r="BL113" i="20"/>
  <c r="BG113" i="20"/>
  <c r="BE113" i="20"/>
  <c r="AZ113" i="20"/>
  <c r="AY113" i="20"/>
  <c r="AT113" i="20"/>
  <c r="AS113" i="20"/>
  <c r="AL113" i="20"/>
  <c r="AK113" i="20"/>
  <c r="AJ113" i="20"/>
  <c r="AI113" i="20"/>
  <c r="AH113" i="20"/>
  <c r="AG113" i="20"/>
  <c r="AB113" i="20"/>
  <c r="AA113" i="20"/>
  <c r="V113" i="20"/>
  <c r="U113" i="20"/>
  <c r="DS112" i="20"/>
  <c r="DR112" i="20"/>
  <c r="DQ112" i="20"/>
  <c r="DP112" i="20"/>
  <c r="DO112" i="20"/>
  <c r="DN112" i="20"/>
  <c r="DI112" i="20"/>
  <c r="DH112" i="20"/>
  <c r="DC112" i="20"/>
  <c r="DB112" i="20"/>
  <c r="CW112" i="20"/>
  <c r="CU112" i="20"/>
  <c r="CP112" i="20"/>
  <c r="CN112" i="20"/>
  <c r="CI112" i="20"/>
  <c r="CG112" i="20"/>
  <c r="CB112" i="20"/>
  <c r="BZ112" i="20"/>
  <c r="BU112" i="20"/>
  <c r="BS112" i="20"/>
  <c r="BN112" i="20"/>
  <c r="BL112" i="20"/>
  <c r="BG112" i="20"/>
  <c r="BE112" i="20"/>
  <c r="AZ112" i="20"/>
  <c r="AY112" i="20"/>
  <c r="AT112" i="20"/>
  <c r="AS112" i="20"/>
  <c r="AL112" i="20"/>
  <c r="AK112" i="20"/>
  <c r="AJ112" i="20"/>
  <c r="AI112" i="20"/>
  <c r="AH112" i="20"/>
  <c r="AG112" i="20"/>
  <c r="AB112" i="20"/>
  <c r="AA112" i="20"/>
  <c r="V112" i="20"/>
  <c r="U112" i="20"/>
  <c r="DS111" i="20"/>
  <c r="DR111" i="20"/>
  <c r="DQ111" i="20"/>
  <c r="DP111" i="20"/>
  <c r="DO111" i="20"/>
  <c r="DN111" i="20"/>
  <c r="DI111" i="20"/>
  <c r="DH111" i="20"/>
  <c r="DC111" i="20"/>
  <c r="DB111" i="20"/>
  <c r="CW111" i="20"/>
  <c r="CU111" i="20"/>
  <c r="CP111" i="20"/>
  <c r="CN111" i="20"/>
  <c r="CI111" i="20"/>
  <c r="CG111" i="20"/>
  <c r="CB111" i="20"/>
  <c r="BZ111" i="20"/>
  <c r="BU111" i="20"/>
  <c r="BS111" i="20"/>
  <c r="BN111" i="20"/>
  <c r="BL111" i="20"/>
  <c r="BG111" i="20"/>
  <c r="BE111" i="20"/>
  <c r="AZ111" i="20"/>
  <c r="AY111" i="20"/>
  <c r="AT111" i="20"/>
  <c r="AS111" i="20"/>
  <c r="AL111" i="20"/>
  <c r="AK111" i="20"/>
  <c r="AJ111" i="20"/>
  <c r="AI111" i="20"/>
  <c r="AH111" i="20"/>
  <c r="AG111" i="20"/>
  <c r="AB111" i="20"/>
  <c r="AA111" i="20"/>
  <c r="V111" i="20"/>
  <c r="U111" i="20"/>
  <c r="DS110" i="20"/>
  <c r="DR110" i="20"/>
  <c r="DQ110" i="20"/>
  <c r="DP110" i="20"/>
  <c r="DO110" i="20"/>
  <c r="DN110" i="20"/>
  <c r="DI110" i="20"/>
  <c r="DH110" i="20"/>
  <c r="DC110" i="20"/>
  <c r="DB110" i="20"/>
  <c r="CW110" i="20"/>
  <c r="CU110" i="20"/>
  <c r="CP110" i="20"/>
  <c r="CN110" i="20"/>
  <c r="CI110" i="20"/>
  <c r="CG110" i="20"/>
  <c r="CB110" i="20"/>
  <c r="BZ110" i="20"/>
  <c r="BU110" i="20"/>
  <c r="BS110" i="20"/>
  <c r="BN110" i="20"/>
  <c r="BL110" i="20"/>
  <c r="BG110" i="20"/>
  <c r="BE110" i="20"/>
  <c r="AZ110" i="20"/>
  <c r="AY110" i="20"/>
  <c r="AT110" i="20"/>
  <c r="AS110" i="20"/>
  <c r="AL110" i="20"/>
  <c r="AK110" i="20"/>
  <c r="AJ110" i="20"/>
  <c r="AI110" i="20"/>
  <c r="AH110" i="20"/>
  <c r="AG110" i="20"/>
  <c r="AB110" i="20"/>
  <c r="AA110" i="20"/>
  <c r="V110" i="20"/>
  <c r="U110" i="20"/>
  <c r="DS109" i="20"/>
  <c r="DR109" i="20"/>
  <c r="DQ109" i="20"/>
  <c r="DP109" i="20"/>
  <c r="DO109" i="20"/>
  <c r="DN109" i="20"/>
  <c r="DI109" i="20"/>
  <c r="DH109" i="20"/>
  <c r="DC109" i="20"/>
  <c r="DB109" i="20"/>
  <c r="CW109" i="20"/>
  <c r="CU109" i="20"/>
  <c r="CP109" i="20"/>
  <c r="CN109" i="20"/>
  <c r="CI109" i="20"/>
  <c r="CG109" i="20"/>
  <c r="CB109" i="20"/>
  <c r="BZ109" i="20"/>
  <c r="BU109" i="20"/>
  <c r="BS109" i="20"/>
  <c r="BN109" i="20"/>
  <c r="BL109" i="20"/>
  <c r="BG109" i="20"/>
  <c r="BE109" i="20"/>
  <c r="AZ109" i="20"/>
  <c r="AY109" i="20"/>
  <c r="AT109" i="20"/>
  <c r="AS109" i="20"/>
  <c r="AL109" i="20"/>
  <c r="AK109" i="20"/>
  <c r="AJ109" i="20"/>
  <c r="AI109" i="20"/>
  <c r="AH109" i="20"/>
  <c r="AG109" i="20"/>
  <c r="AB109" i="20"/>
  <c r="AA109" i="20"/>
  <c r="V109" i="20"/>
  <c r="U109" i="20"/>
  <c r="DS108" i="20"/>
  <c r="DR108" i="20"/>
  <c r="DQ108" i="20"/>
  <c r="DP108" i="20"/>
  <c r="DO108" i="20"/>
  <c r="DN108" i="20"/>
  <c r="DI108" i="20"/>
  <c r="DH108" i="20"/>
  <c r="DC108" i="20"/>
  <c r="DB108" i="20"/>
  <c r="CW108" i="20"/>
  <c r="CU108" i="20"/>
  <c r="CP108" i="20"/>
  <c r="CN108" i="20"/>
  <c r="CI108" i="20"/>
  <c r="CG108" i="20"/>
  <c r="CB108" i="20"/>
  <c r="BZ108" i="20"/>
  <c r="BU108" i="20"/>
  <c r="BS108" i="20"/>
  <c r="BN108" i="20"/>
  <c r="BL108" i="20"/>
  <c r="BG108" i="20"/>
  <c r="BE108" i="20"/>
  <c r="AZ108" i="20"/>
  <c r="AY108" i="20"/>
  <c r="AT108" i="20"/>
  <c r="AS108" i="20"/>
  <c r="AL108" i="20"/>
  <c r="AK108" i="20"/>
  <c r="AJ108" i="20"/>
  <c r="AI108" i="20"/>
  <c r="AH108" i="20"/>
  <c r="AG108" i="20"/>
  <c r="AB108" i="20"/>
  <c r="AA108" i="20"/>
  <c r="V108" i="20"/>
  <c r="U108" i="20"/>
  <c r="DS107" i="20"/>
  <c r="DR107" i="20"/>
  <c r="DQ107" i="20"/>
  <c r="DP107" i="20"/>
  <c r="DO107" i="20"/>
  <c r="DN107" i="20"/>
  <c r="DI107" i="20"/>
  <c r="DH107" i="20"/>
  <c r="DC107" i="20"/>
  <c r="DB107" i="20"/>
  <c r="CW107" i="20"/>
  <c r="CU107" i="20"/>
  <c r="CP107" i="20"/>
  <c r="CN107" i="20"/>
  <c r="CI107" i="20"/>
  <c r="CG107" i="20"/>
  <c r="CB107" i="20"/>
  <c r="BZ107" i="20"/>
  <c r="BU107" i="20"/>
  <c r="BS107" i="20"/>
  <c r="BN107" i="20"/>
  <c r="BL107" i="20"/>
  <c r="BG107" i="20"/>
  <c r="BE107" i="20"/>
  <c r="AZ107" i="20"/>
  <c r="AY107" i="20"/>
  <c r="AT107" i="20"/>
  <c r="AS107" i="20"/>
  <c r="AL107" i="20"/>
  <c r="AK107" i="20"/>
  <c r="AJ107" i="20"/>
  <c r="AI107" i="20"/>
  <c r="AH107" i="20"/>
  <c r="AG107" i="20"/>
  <c r="AB107" i="20"/>
  <c r="AA107" i="20"/>
  <c r="V107" i="20"/>
  <c r="U107" i="20"/>
  <c r="DS106" i="20"/>
  <c r="DR106" i="20"/>
  <c r="DQ106" i="20"/>
  <c r="DP106" i="20"/>
  <c r="DO106" i="20"/>
  <c r="DN106" i="20"/>
  <c r="DI106" i="20"/>
  <c r="DH106" i="20"/>
  <c r="DC106" i="20"/>
  <c r="DB106" i="20"/>
  <c r="CW106" i="20"/>
  <c r="CU106" i="20"/>
  <c r="CP106" i="20"/>
  <c r="CN106" i="20"/>
  <c r="CI106" i="20"/>
  <c r="CG106" i="20"/>
  <c r="CB106" i="20"/>
  <c r="BZ106" i="20"/>
  <c r="BU106" i="20"/>
  <c r="BS106" i="20"/>
  <c r="BN106" i="20"/>
  <c r="BL106" i="20"/>
  <c r="BG106" i="20"/>
  <c r="BE106" i="20"/>
  <c r="AZ106" i="20"/>
  <c r="AY106" i="20"/>
  <c r="AT106" i="20"/>
  <c r="AS106" i="20"/>
  <c r="AL106" i="20"/>
  <c r="AK106" i="20"/>
  <c r="AJ106" i="20"/>
  <c r="AI106" i="20"/>
  <c r="AH106" i="20"/>
  <c r="AG106" i="20"/>
  <c r="AB106" i="20"/>
  <c r="AA106" i="20"/>
  <c r="V106" i="20"/>
  <c r="U106" i="20"/>
  <c r="DS105" i="20"/>
  <c r="DR105" i="20"/>
  <c r="DQ105" i="20"/>
  <c r="DP105" i="20"/>
  <c r="DO105" i="20"/>
  <c r="DN105" i="20"/>
  <c r="DI105" i="20"/>
  <c r="DH105" i="20"/>
  <c r="DC105" i="20"/>
  <c r="DB105" i="20"/>
  <c r="CW105" i="20"/>
  <c r="CU105" i="20"/>
  <c r="CP105" i="20"/>
  <c r="CN105" i="20"/>
  <c r="CI105" i="20"/>
  <c r="CG105" i="20"/>
  <c r="CB105" i="20"/>
  <c r="BZ105" i="20"/>
  <c r="BU105" i="20"/>
  <c r="BS105" i="20"/>
  <c r="BN105" i="20"/>
  <c r="BL105" i="20"/>
  <c r="BG105" i="20"/>
  <c r="BE105" i="20"/>
  <c r="AZ105" i="20"/>
  <c r="AY105" i="20"/>
  <c r="AT105" i="20"/>
  <c r="AS105" i="20"/>
  <c r="AL105" i="20"/>
  <c r="AK105" i="20"/>
  <c r="AJ105" i="20"/>
  <c r="AI105" i="20"/>
  <c r="AH105" i="20"/>
  <c r="AG105" i="20"/>
  <c r="AB105" i="20"/>
  <c r="AA105" i="20"/>
  <c r="V105" i="20"/>
  <c r="U105" i="20"/>
  <c r="DS104" i="20"/>
  <c r="DR104" i="20"/>
  <c r="DQ104" i="20"/>
  <c r="DP104" i="20"/>
  <c r="DO104" i="20"/>
  <c r="DN104" i="20"/>
  <c r="DI104" i="20"/>
  <c r="DH104" i="20"/>
  <c r="DC104" i="20"/>
  <c r="DB104" i="20"/>
  <c r="CW104" i="20"/>
  <c r="CU104" i="20"/>
  <c r="CP104" i="20"/>
  <c r="CN104" i="20"/>
  <c r="CI104" i="20"/>
  <c r="CG104" i="20"/>
  <c r="CB104" i="20"/>
  <c r="BZ104" i="20"/>
  <c r="BU104" i="20"/>
  <c r="BS104" i="20"/>
  <c r="BN104" i="20"/>
  <c r="BL104" i="20"/>
  <c r="BG104" i="20"/>
  <c r="BE104" i="20"/>
  <c r="AZ104" i="20"/>
  <c r="AY104" i="20"/>
  <c r="AT104" i="20"/>
  <c r="AS104" i="20"/>
  <c r="AL104" i="20"/>
  <c r="AK104" i="20"/>
  <c r="AJ104" i="20"/>
  <c r="AI104" i="20"/>
  <c r="AH104" i="20"/>
  <c r="AG104" i="20"/>
  <c r="AB104" i="20"/>
  <c r="AA104" i="20"/>
  <c r="V104" i="20"/>
  <c r="U104" i="20"/>
  <c r="DS103" i="20"/>
  <c r="DR103" i="20"/>
  <c r="DQ103" i="20"/>
  <c r="DP103" i="20"/>
  <c r="DO103" i="20"/>
  <c r="DN103" i="20"/>
  <c r="DI103" i="20"/>
  <c r="DH103" i="20"/>
  <c r="DC103" i="20"/>
  <c r="DB103" i="20"/>
  <c r="CW103" i="20"/>
  <c r="CU103" i="20"/>
  <c r="CP103" i="20"/>
  <c r="CN103" i="20"/>
  <c r="CI103" i="20"/>
  <c r="CG103" i="20"/>
  <c r="CB103" i="20"/>
  <c r="BZ103" i="20"/>
  <c r="BU103" i="20"/>
  <c r="BS103" i="20"/>
  <c r="BN103" i="20"/>
  <c r="BL103" i="20"/>
  <c r="BG103" i="20"/>
  <c r="BE103" i="20"/>
  <c r="AZ103" i="20"/>
  <c r="AY103" i="20"/>
  <c r="AT103" i="20"/>
  <c r="AS103" i="20"/>
  <c r="AL103" i="20"/>
  <c r="AK103" i="20"/>
  <c r="AJ103" i="20"/>
  <c r="AI103" i="20"/>
  <c r="AH103" i="20"/>
  <c r="AG103" i="20"/>
  <c r="AB103" i="20"/>
  <c r="AA103" i="20"/>
  <c r="V103" i="20"/>
  <c r="U103" i="20"/>
  <c r="DS102" i="20"/>
  <c r="DR102" i="20"/>
  <c r="DQ102" i="20"/>
  <c r="DP102" i="20"/>
  <c r="DO102" i="20"/>
  <c r="DN102" i="20"/>
  <c r="DI102" i="20"/>
  <c r="DH102" i="20"/>
  <c r="DC102" i="20"/>
  <c r="DB102" i="20"/>
  <c r="CW102" i="20"/>
  <c r="CU102" i="20"/>
  <c r="CP102" i="20"/>
  <c r="CN102" i="20"/>
  <c r="CI102" i="20"/>
  <c r="CG102" i="20"/>
  <c r="CB102" i="20"/>
  <c r="BZ102" i="20"/>
  <c r="BU102" i="20"/>
  <c r="BS102" i="20"/>
  <c r="BN102" i="20"/>
  <c r="BL102" i="20"/>
  <c r="BG102" i="20"/>
  <c r="BE102" i="20"/>
  <c r="AZ102" i="20"/>
  <c r="AY102" i="20"/>
  <c r="AT102" i="20"/>
  <c r="AS102" i="20"/>
  <c r="AL102" i="20"/>
  <c r="AK102" i="20"/>
  <c r="AJ102" i="20"/>
  <c r="AI102" i="20"/>
  <c r="AH102" i="20"/>
  <c r="AG102" i="20"/>
  <c r="AB102" i="20"/>
  <c r="AA102" i="20"/>
  <c r="V102" i="20"/>
  <c r="U102" i="20"/>
  <c r="DS101" i="20"/>
  <c r="DR101" i="20"/>
  <c r="DQ101" i="20"/>
  <c r="DP101" i="20"/>
  <c r="DO101" i="20"/>
  <c r="DN101" i="20"/>
  <c r="DI101" i="20"/>
  <c r="DH101" i="20"/>
  <c r="DC101" i="20"/>
  <c r="DB101" i="20"/>
  <c r="CW101" i="20"/>
  <c r="CU101" i="20"/>
  <c r="CP101" i="20"/>
  <c r="CN101" i="20"/>
  <c r="CI101" i="20"/>
  <c r="CG101" i="20"/>
  <c r="CB101" i="20"/>
  <c r="BZ101" i="20"/>
  <c r="BU101" i="20"/>
  <c r="BS101" i="20"/>
  <c r="BN101" i="20"/>
  <c r="BL101" i="20"/>
  <c r="BG101" i="20"/>
  <c r="BE101" i="20"/>
  <c r="AZ101" i="20"/>
  <c r="AY101" i="20"/>
  <c r="AT101" i="20"/>
  <c r="AS101" i="20"/>
  <c r="AL101" i="20"/>
  <c r="AK101" i="20"/>
  <c r="AJ101" i="20"/>
  <c r="AI101" i="20"/>
  <c r="AH101" i="20"/>
  <c r="AG101" i="20"/>
  <c r="AB101" i="20"/>
  <c r="AA101" i="20"/>
  <c r="V101" i="20"/>
  <c r="U101" i="20"/>
  <c r="DS100" i="20"/>
  <c r="DR100" i="20"/>
  <c r="DQ100" i="20"/>
  <c r="DP100" i="20"/>
  <c r="DO100" i="20"/>
  <c r="DN100" i="20"/>
  <c r="DI100" i="20"/>
  <c r="DH100" i="20"/>
  <c r="DC100" i="20"/>
  <c r="DB100" i="20"/>
  <c r="CW100" i="20"/>
  <c r="CU100" i="20"/>
  <c r="CP100" i="20"/>
  <c r="CN100" i="20"/>
  <c r="CI100" i="20"/>
  <c r="CG100" i="20"/>
  <c r="CB100" i="20"/>
  <c r="BZ100" i="20"/>
  <c r="BU100" i="20"/>
  <c r="BS100" i="20"/>
  <c r="BN100" i="20"/>
  <c r="BL100" i="20"/>
  <c r="BG100" i="20"/>
  <c r="BE100" i="20"/>
  <c r="AZ100" i="20"/>
  <c r="AY100" i="20"/>
  <c r="AT100" i="20"/>
  <c r="AS100" i="20"/>
  <c r="AL100" i="20"/>
  <c r="AK100" i="20"/>
  <c r="AJ100" i="20"/>
  <c r="AI100" i="20"/>
  <c r="AH100" i="20"/>
  <c r="AG100" i="20"/>
  <c r="AB100" i="20"/>
  <c r="AA100" i="20"/>
  <c r="V100" i="20"/>
  <c r="U100" i="20"/>
  <c r="DS99" i="20"/>
  <c r="DR99" i="20"/>
  <c r="DQ99" i="20"/>
  <c r="DP99" i="20"/>
  <c r="DO99" i="20"/>
  <c r="DN99" i="20"/>
  <c r="DI99" i="20"/>
  <c r="DH99" i="20"/>
  <c r="DC99" i="20"/>
  <c r="DB99" i="20"/>
  <c r="CW99" i="20"/>
  <c r="CU99" i="20"/>
  <c r="CP99" i="20"/>
  <c r="CN99" i="20"/>
  <c r="CI99" i="20"/>
  <c r="CG99" i="20"/>
  <c r="CB99" i="20"/>
  <c r="BZ99" i="20"/>
  <c r="BU99" i="20"/>
  <c r="BS99" i="20"/>
  <c r="BN99" i="20"/>
  <c r="BL99" i="20"/>
  <c r="BG99" i="20"/>
  <c r="BE99" i="20"/>
  <c r="AZ99" i="20"/>
  <c r="AY99" i="20"/>
  <c r="AT99" i="20"/>
  <c r="AS99" i="20"/>
  <c r="AL99" i="20"/>
  <c r="AK99" i="20"/>
  <c r="AJ99" i="20"/>
  <c r="AI99" i="20"/>
  <c r="AH99" i="20"/>
  <c r="AG99" i="20"/>
  <c r="AB99" i="20"/>
  <c r="AA99" i="20"/>
  <c r="V99" i="20"/>
  <c r="U99" i="20"/>
  <c r="DS98" i="20"/>
  <c r="DR98" i="20"/>
  <c r="DQ98" i="20"/>
  <c r="DP98" i="20"/>
  <c r="DO98" i="20"/>
  <c r="DN98" i="20"/>
  <c r="DI98" i="20"/>
  <c r="DH98" i="20"/>
  <c r="DC98" i="20"/>
  <c r="DB98" i="20"/>
  <c r="CW98" i="20"/>
  <c r="CU98" i="20"/>
  <c r="CP98" i="20"/>
  <c r="CN98" i="20"/>
  <c r="CI98" i="20"/>
  <c r="CG98" i="20"/>
  <c r="CB98" i="20"/>
  <c r="BZ98" i="20"/>
  <c r="BU98" i="20"/>
  <c r="BS98" i="20"/>
  <c r="BN98" i="20"/>
  <c r="BL98" i="20"/>
  <c r="BG98" i="20"/>
  <c r="BE98" i="20"/>
  <c r="AZ98" i="20"/>
  <c r="AY98" i="20"/>
  <c r="AT98" i="20"/>
  <c r="AS98" i="20"/>
  <c r="AL98" i="20"/>
  <c r="AK98" i="20"/>
  <c r="AJ98" i="20"/>
  <c r="AI98" i="20"/>
  <c r="AH98" i="20"/>
  <c r="AG98" i="20"/>
  <c r="AB98" i="20"/>
  <c r="AA98" i="20"/>
  <c r="V98" i="20"/>
  <c r="U98" i="20"/>
  <c r="DS97" i="20"/>
  <c r="DR97" i="20"/>
  <c r="DQ97" i="20"/>
  <c r="DP97" i="20"/>
  <c r="DO97" i="20"/>
  <c r="DN97" i="20"/>
  <c r="DI97" i="20"/>
  <c r="DH97" i="20"/>
  <c r="DC97" i="20"/>
  <c r="DB97" i="20"/>
  <c r="CW97" i="20"/>
  <c r="CU97" i="20"/>
  <c r="CP97" i="20"/>
  <c r="CN97" i="20"/>
  <c r="CI97" i="20"/>
  <c r="CG97" i="20"/>
  <c r="CB97" i="20"/>
  <c r="BZ97" i="20"/>
  <c r="BU97" i="20"/>
  <c r="BS97" i="20"/>
  <c r="BN97" i="20"/>
  <c r="BL97" i="20"/>
  <c r="BG97" i="20"/>
  <c r="BE97" i="20"/>
  <c r="AZ97" i="20"/>
  <c r="AY97" i="20"/>
  <c r="AT97" i="20"/>
  <c r="AS97" i="20"/>
  <c r="AL97" i="20"/>
  <c r="AK97" i="20"/>
  <c r="AJ97" i="20"/>
  <c r="AI97" i="20"/>
  <c r="AH97" i="20"/>
  <c r="AG97" i="20"/>
  <c r="AB97" i="20"/>
  <c r="AA97" i="20"/>
  <c r="V97" i="20"/>
  <c r="U97" i="20"/>
  <c r="DS96" i="20"/>
  <c r="DR96" i="20"/>
  <c r="DQ96" i="20"/>
  <c r="DP96" i="20"/>
  <c r="DO96" i="20"/>
  <c r="DN96" i="20"/>
  <c r="DI96" i="20"/>
  <c r="DH96" i="20"/>
  <c r="DC96" i="20"/>
  <c r="DB96" i="20"/>
  <c r="CW96" i="20"/>
  <c r="CU96" i="20"/>
  <c r="CP96" i="20"/>
  <c r="CN96" i="20"/>
  <c r="CI96" i="20"/>
  <c r="CG96" i="20"/>
  <c r="CB96" i="20"/>
  <c r="BZ96" i="20"/>
  <c r="BU96" i="20"/>
  <c r="BS96" i="20"/>
  <c r="BN96" i="20"/>
  <c r="BL96" i="20"/>
  <c r="BG96" i="20"/>
  <c r="BE96" i="20"/>
  <c r="AZ96" i="20"/>
  <c r="AY96" i="20"/>
  <c r="AT96" i="20"/>
  <c r="AS96" i="20"/>
  <c r="AL96" i="20"/>
  <c r="AK96" i="20"/>
  <c r="AJ96" i="20"/>
  <c r="AI96" i="20"/>
  <c r="AH96" i="20"/>
  <c r="AG96" i="20"/>
  <c r="AB96" i="20"/>
  <c r="AA96" i="20"/>
  <c r="V96" i="20"/>
  <c r="U96" i="20"/>
  <c r="DS95" i="20"/>
  <c r="DR95" i="20"/>
  <c r="DQ95" i="20"/>
  <c r="DP95" i="20"/>
  <c r="DO95" i="20"/>
  <c r="DN95" i="20"/>
  <c r="DI95" i="20"/>
  <c r="DH95" i="20"/>
  <c r="DC95" i="20"/>
  <c r="DB95" i="20"/>
  <c r="CW95" i="20"/>
  <c r="CU95" i="20"/>
  <c r="CP95" i="20"/>
  <c r="CN95" i="20"/>
  <c r="CI95" i="20"/>
  <c r="CB95" i="20"/>
  <c r="BZ95" i="20"/>
  <c r="BU95" i="20"/>
  <c r="BS95" i="20"/>
  <c r="BN95" i="20"/>
  <c r="BL95" i="20"/>
  <c r="BG95" i="20"/>
  <c r="BE95" i="20"/>
  <c r="AZ95" i="20"/>
  <c r="AY95" i="20"/>
  <c r="AT95" i="20"/>
  <c r="AS95" i="20"/>
  <c r="AL95" i="20"/>
  <c r="AK95" i="20"/>
  <c r="AJ95" i="20"/>
  <c r="AI95" i="20"/>
  <c r="AH95" i="20"/>
  <c r="AG95" i="20"/>
  <c r="AB95" i="20"/>
  <c r="AA95" i="20"/>
  <c r="V95" i="20"/>
  <c r="U95" i="20"/>
  <c r="DS94" i="20"/>
  <c r="DR94" i="20"/>
  <c r="DQ94" i="20"/>
  <c r="DP94" i="20"/>
  <c r="DO94" i="20"/>
  <c r="DN94" i="20"/>
  <c r="DI94" i="20"/>
  <c r="DH94" i="20"/>
  <c r="DC94" i="20"/>
  <c r="DB94" i="20"/>
  <c r="CW94" i="20"/>
  <c r="CU94" i="20"/>
  <c r="CP94" i="20"/>
  <c r="CN94" i="20"/>
  <c r="CI94" i="20"/>
  <c r="CG94" i="20"/>
  <c r="CB94" i="20"/>
  <c r="BZ94" i="20"/>
  <c r="BU94" i="20"/>
  <c r="BS94" i="20"/>
  <c r="BN94" i="20"/>
  <c r="BL94" i="20"/>
  <c r="BG94" i="20"/>
  <c r="BE94" i="20"/>
  <c r="AZ94" i="20"/>
  <c r="AY94" i="20"/>
  <c r="AT94" i="20"/>
  <c r="AS94" i="20"/>
  <c r="AL94" i="20"/>
  <c r="AK94" i="20"/>
  <c r="AJ94" i="20"/>
  <c r="AI94" i="20"/>
  <c r="AH94" i="20"/>
  <c r="AG94" i="20"/>
  <c r="AB94" i="20"/>
  <c r="AA94" i="20"/>
  <c r="V94" i="20"/>
  <c r="U94" i="20"/>
  <c r="DS93" i="20"/>
  <c r="DR93" i="20"/>
  <c r="DQ93" i="20"/>
  <c r="DP93" i="20"/>
  <c r="DO93" i="20"/>
  <c r="DN93" i="20"/>
  <c r="DI93" i="20"/>
  <c r="DH93" i="20"/>
  <c r="DC93" i="20"/>
  <c r="DB93" i="20"/>
  <c r="CW93" i="20"/>
  <c r="CU93" i="20"/>
  <c r="CP93" i="20"/>
  <c r="CN93" i="20"/>
  <c r="CI93" i="20"/>
  <c r="CG93" i="20"/>
  <c r="CB93" i="20"/>
  <c r="BZ93" i="20"/>
  <c r="BU93" i="20"/>
  <c r="BS93" i="20"/>
  <c r="BN93" i="20"/>
  <c r="BL93" i="20"/>
  <c r="BG93" i="20"/>
  <c r="BE93" i="20"/>
  <c r="AZ93" i="20"/>
  <c r="AY93" i="20"/>
  <c r="AT93" i="20"/>
  <c r="AS93" i="20"/>
  <c r="AL93" i="20"/>
  <c r="AK93" i="20"/>
  <c r="AJ93" i="20"/>
  <c r="AI93" i="20"/>
  <c r="AH93" i="20"/>
  <c r="AG93" i="20"/>
  <c r="AB93" i="20"/>
  <c r="AA93" i="20"/>
  <c r="V93" i="20"/>
  <c r="U93" i="20"/>
  <c r="DS92" i="20"/>
  <c r="DR92" i="20"/>
  <c r="DQ92" i="20"/>
  <c r="DO92" i="20"/>
  <c r="DN92" i="20"/>
  <c r="DI92" i="20"/>
  <c r="DH92" i="20"/>
  <c r="DC92" i="20"/>
  <c r="DB92" i="20"/>
  <c r="CW92" i="20"/>
  <c r="CU92" i="20"/>
  <c r="CP92" i="20"/>
  <c r="CN92" i="20"/>
  <c r="CI92" i="20"/>
  <c r="CG92" i="20"/>
  <c r="CB92" i="20"/>
  <c r="BZ92" i="20"/>
  <c r="BU92" i="20"/>
  <c r="BS92" i="20"/>
  <c r="BN92" i="20"/>
  <c r="BL92" i="20"/>
  <c r="BG92" i="20"/>
  <c r="BE92" i="20"/>
  <c r="AZ92" i="20"/>
  <c r="AY92" i="20"/>
  <c r="AT92" i="20"/>
  <c r="AS92" i="20"/>
  <c r="AL92" i="20"/>
  <c r="AK92" i="20"/>
  <c r="AJ92" i="20"/>
  <c r="AI92" i="20"/>
  <c r="AH92" i="20"/>
  <c r="AG92" i="20"/>
  <c r="AB92" i="20"/>
  <c r="AA92" i="20"/>
  <c r="V92" i="20"/>
  <c r="U92" i="20"/>
  <c r="DS91" i="20"/>
  <c r="DR91" i="20"/>
  <c r="DQ91" i="20"/>
  <c r="DP91" i="20"/>
  <c r="DO91" i="20"/>
  <c r="DN91" i="20"/>
  <c r="DI91" i="20"/>
  <c r="DH91" i="20"/>
  <c r="DC91" i="20"/>
  <c r="DB91" i="20"/>
  <c r="CW91" i="20"/>
  <c r="CU91" i="20"/>
  <c r="CP91" i="20"/>
  <c r="CN91" i="20"/>
  <c r="CI91" i="20"/>
  <c r="CG91" i="20"/>
  <c r="CB91" i="20"/>
  <c r="BZ91" i="20"/>
  <c r="BU91" i="20"/>
  <c r="BS91" i="20"/>
  <c r="BN91" i="20"/>
  <c r="BL91" i="20"/>
  <c r="BG91" i="20"/>
  <c r="BE91" i="20"/>
  <c r="AZ91" i="20"/>
  <c r="AY91" i="20"/>
  <c r="AT91" i="20"/>
  <c r="AS91" i="20"/>
  <c r="AL91" i="20"/>
  <c r="AK91" i="20"/>
  <c r="AJ91" i="20"/>
  <c r="AI91" i="20"/>
  <c r="AH91" i="20"/>
  <c r="AG91" i="20"/>
  <c r="AB91" i="20"/>
  <c r="AA91" i="20"/>
  <c r="V91" i="20"/>
  <c r="U91" i="20"/>
  <c r="DS90" i="20"/>
  <c r="DR90" i="20"/>
  <c r="DQ90" i="20"/>
  <c r="DP90" i="20"/>
  <c r="DO90" i="20"/>
  <c r="DN90" i="20"/>
  <c r="DI90" i="20"/>
  <c r="DH90" i="20"/>
  <c r="DC90" i="20"/>
  <c r="DB90" i="20"/>
  <c r="CW90" i="20"/>
  <c r="CU90" i="20"/>
  <c r="CP90" i="20"/>
  <c r="CN90" i="20"/>
  <c r="CI90" i="20"/>
  <c r="CG90" i="20"/>
  <c r="CB90" i="20"/>
  <c r="BZ90" i="20"/>
  <c r="BU90" i="20"/>
  <c r="BS90" i="20"/>
  <c r="BN90" i="20"/>
  <c r="BL90" i="20"/>
  <c r="BG90" i="20"/>
  <c r="BE90" i="20"/>
  <c r="AZ90" i="20"/>
  <c r="AY90" i="20"/>
  <c r="AT90" i="20"/>
  <c r="AS90" i="20"/>
  <c r="AL90" i="20"/>
  <c r="AK90" i="20"/>
  <c r="AJ90" i="20"/>
  <c r="AI90" i="20"/>
  <c r="AH90" i="20"/>
  <c r="AG90" i="20"/>
  <c r="AB90" i="20"/>
  <c r="AA90" i="20"/>
  <c r="V90" i="20"/>
  <c r="U90" i="20"/>
  <c r="DS89" i="20"/>
  <c r="DR89" i="20"/>
  <c r="DQ89" i="20"/>
  <c r="DP89" i="20"/>
  <c r="DO89" i="20"/>
  <c r="DN89" i="20"/>
  <c r="DI89" i="20"/>
  <c r="DH89" i="20"/>
  <c r="DC89" i="20"/>
  <c r="DB89" i="20"/>
  <c r="CW89" i="20"/>
  <c r="CU89" i="20"/>
  <c r="CP89" i="20"/>
  <c r="CN89" i="20"/>
  <c r="CI89" i="20"/>
  <c r="CG89" i="20"/>
  <c r="CB89" i="20"/>
  <c r="BZ89" i="20"/>
  <c r="BU89" i="20"/>
  <c r="BS89" i="20"/>
  <c r="BN89" i="20"/>
  <c r="BL89" i="20"/>
  <c r="BG89" i="20"/>
  <c r="BE89" i="20"/>
  <c r="AZ89" i="20"/>
  <c r="AY89" i="20"/>
  <c r="AT89" i="20"/>
  <c r="AS89" i="20"/>
  <c r="AL89" i="20"/>
  <c r="AK89" i="20"/>
  <c r="AJ89" i="20"/>
  <c r="AI89" i="20"/>
  <c r="AH89" i="20"/>
  <c r="AG89" i="20"/>
  <c r="AB89" i="20"/>
  <c r="AA89" i="20"/>
  <c r="V89" i="20"/>
  <c r="U89" i="20"/>
  <c r="DS88" i="20"/>
  <c r="DR88" i="20"/>
  <c r="DQ88" i="20"/>
  <c r="DP88" i="20"/>
  <c r="DO88" i="20"/>
  <c r="DN88" i="20"/>
  <c r="DI88" i="20"/>
  <c r="DH88" i="20"/>
  <c r="DC88" i="20"/>
  <c r="DB88" i="20"/>
  <c r="CW88" i="20"/>
  <c r="CU88" i="20"/>
  <c r="CP88" i="20"/>
  <c r="CN88" i="20"/>
  <c r="CI88" i="20"/>
  <c r="CG88" i="20"/>
  <c r="CB88" i="20"/>
  <c r="BZ88" i="20"/>
  <c r="BU88" i="20"/>
  <c r="BS88" i="20"/>
  <c r="BN88" i="20"/>
  <c r="BL88" i="20"/>
  <c r="BG88" i="20"/>
  <c r="BE88" i="20"/>
  <c r="AZ88" i="20"/>
  <c r="AY88" i="20"/>
  <c r="AT88" i="20"/>
  <c r="AS88" i="20"/>
  <c r="AL88" i="20"/>
  <c r="AK88" i="20"/>
  <c r="AJ88" i="20"/>
  <c r="AI88" i="20"/>
  <c r="AH88" i="20"/>
  <c r="AG88" i="20"/>
  <c r="AB88" i="20"/>
  <c r="AA88" i="20"/>
  <c r="V88" i="20"/>
  <c r="U88" i="20"/>
  <c r="DS87" i="20"/>
  <c r="DR87" i="20"/>
  <c r="DQ87" i="20"/>
  <c r="DP87" i="20"/>
  <c r="DO87" i="20"/>
  <c r="DN87" i="20"/>
  <c r="DI87" i="20"/>
  <c r="DH87" i="20"/>
  <c r="DC87" i="20"/>
  <c r="DB87" i="20"/>
  <c r="CW87" i="20"/>
  <c r="CU87" i="20"/>
  <c r="CP87" i="20"/>
  <c r="CN87" i="20"/>
  <c r="CI87" i="20"/>
  <c r="CG87" i="20"/>
  <c r="CB87" i="20"/>
  <c r="BZ87" i="20"/>
  <c r="BU87" i="20"/>
  <c r="BS87" i="20"/>
  <c r="BN87" i="20"/>
  <c r="BG87" i="20"/>
  <c r="BE87" i="20"/>
  <c r="AZ87" i="20"/>
  <c r="AY87" i="20"/>
  <c r="AT87" i="20"/>
  <c r="AS87" i="20"/>
  <c r="AL87" i="20"/>
  <c r="AK87" i="20"/>
  <c r="AJ87" i="20"/>
  <c r="AI87" i="20"/>
  <c r="AH87" i="20"/>
  <c r="AG87" i="20"/>
  <c r="AB87" i="20"/>
  <c r="AA87" i="20"/>
  <c r="V87" i="20"/>
  <c r="U87" i="20"/>
  <c r="DS86" i="20"/>
  <c r="DR86" i="20"/>
  <c r="DQ86" i="20"/>
  <c r="DP86" i="20"/>
  <c r="DO86" i="20"/>
  <c r="DN86" i="20"/>
  <c r="DI86" i="20"/>
  <c r="DH86" i="20"/>
  <c r="DC86" i="20"/>
  <c r="DB86" i="20"/>
  <c r="CW86" i="20"/>
  <c r="CU86" i="20"/>
  <c r="CP86" i="20"/>
  <c r="CN86" i="20"/>
  <c r="CI86" i="20"/>
  <c r="CG86" i="20"/>
  <c r="CB86" i="20"/>
  <c r="BZ86" i="20"/>
  <c r="BU86" i="20"/>
  <c r="BS86" i="20"/>
  <c r="BN86" i="20"/>
  <c r="BL86" i="20"/>
  <c r="BG86" i="20"/>
  <c r="BE86" i="20"/>
  <c r="AZ86" i="20"/>
  <c r="AY86" i="20"/>
  <c r="AT86" i="20"/>
  <c r="AS86" i="20"/>
  <c r="AL86" i="20"/>
  <c r="AK86" i="20"/>
  <c r="AJ86" i="20"/>
  <c r="AI86" i="20"/>
  <c r="AH86" i="20"/>
  <c r="AG86" i="20"/>
  <c r="AB86" i="20"/>
  <c r="AA86" i="20"/>
  <c r="V86" i="20"/>
  <c r="U86" i="20"/>
  <c r="DS85" i="20"/>
  <c r="DR85" i="20"/>
  <c r="DQ85" i="20"/>
  <c r="DP85" i="20"/>
  <c r="DO85" i="20"/>
  <c r="DN85" i="20"/>
  <c r="DI85" i="20"/>
  <c r="DH85" i="20"/>
  <c r="DC85" i="20"/>
  <c r="DB85" i="20"/>
  <c r="CW85" i="20"/>
  <c r="CU85" i="20"/>
  <c r="CP85" i="20"/>
  <c r="CN85" i="20"/>
  <c r="CI85" i="20"/>
  <c r="CG85" i="20"/>
  <c r="CB85" i="20"/>
  <c r="BZ85" i="20"/>
  <c r="BU85" i="20"/>
  <c r="BS85" i="20"/>
  <c r="BN85" i="20"/>
  <c r="BL85" i="20"/>
  <c r="BG85" i="20"/>
  <c r="BE85" i="20"/>
  <c r="AZ85" i="20"/>
  <c r="AY85" i="20"/>
  <c r="AT85" i="20"/>
  <c r="AS85" i="20"/>
  <c r="AL85" i="20"/>
  <c r="AJ85" i="20"/>
  <c r="AI85" i="20"/>
  <c r="AH85" i="20"/>
  <c r="AG85" i="20"/>
  <c r="AB85" i="20"/>
  <c r="Y85" i="20"/>
  <c r="V85" i="20"/>
  <c r="U85" i="20"/>
  <c r="DS84" i="20"/>
  <c r="DR84" i="20"/>
  <c r="DQ84" i="20"/>
  <c r="DP84" i="20"/>
  <c r="DO84" i="20"/>
  <c r="DN84" i="20"/>
  <c r="DI84" i="20"/>
  <c r="DH84" i="20"/>
  <c r="DC84" i="20"/>
  <c r="DB84" i="20"/>
  <c r="CW84" i="20"/>
  <c r="CU84" i="20"/>
  <c r="CP84" i="20"/>
  <c r="CN84" i="20"/>
  <c r="CI84" i="20"/>
  <c r="CG84" i="20"/>
  <c r="CB84" i="20"/>
  <c r="BZ84" i="20"/>
  <c r="BU84" i="20"/>
  <c r="BS84" i="20"/>
  <c r="BN84" i="20"/>
  <c r="BL84" i="20"/>
  <c r="BG84" i="20"/>
  <c r="BE84" i="20"/>
  <c r="AZ84" i="20"/>
  <c r="AY84" i="20"/>
  <c r="AT84" i="20"/>
  <c r="AS84" i="20"/>
  <c r="AL84" i="20"/>
  <c r="AK84" i="20"/>
  <c r="AJ84" i="20"/>
  <c r="AI84" i="20"/>
  <c r="AH84" i="20"/>
  <c r="AG84" i="20"/>
  <c r="AB84" i="20"/>
  <c r="AA84" i="20"/>
  <c r="V84" i="20"/>
  <c r="U84" i="20"/>
  <c r="DS83" i="20"/>
  <c r="DR83" i="20"/>
  <c r="DQ83" i="20"/>
  <c r="DP83" i="20"/>
  <c r="DO83" i="20"/>
  <c r="DN83" i="20"/>
  <c r="DI83" i="20"/>
  <c r="DH83" i="20"/>
  <c r="DC83" i="20"/>
  <c r="DB83" i="20"/>
  <c r="CW83" i="20"/>
  <c r="CU83" i="20"/>
  <c r="CP83" i="20"/>
  <c r="CN83" i="20"/>
  <c r="CI83" i="20"/>
  <c r="CG83" i="20"/>
  <c r="CB83" i="20"/>
  <c r="BZ83" i="20"/>
  <c r="BU83" i="20"/>
  <c r="BS83" i="20"/>
  <c r="BN83" i="20"/>
  <c r="BL83" i="20"/>
  <c r="BG83" i="20"/>
  <c r="BE83" i="20"/>
  <c r="AZ83" i="20"/>
  <c r="AY83" i="20"/>
  <c r="AT83" i="20"/>
  <c r="AS83" i="20"/>
  <c r="AL83" i="20"/>
  <c r="AK83" i="20"/>
  <c r="AJ83" i="20"/>
  <c r="AI83" i="20"/>
  <c r="AH83" i="20"/>
  <c r="AG83" i="20"/>
  <c r="AB83" i="20"/>
  <c r="AA83" i="20"/>
  <c r="V83" i="20"/>
  <c r="U83" i="20"/>
  <c r="DS82" i="20"/>
  <c r="DR82" i="20"/>
  <c r="DQ82" i="20"/>
  <c r="DP82" i="20"/>
  <c r="DO82" i="20"/>
  <c r="DN82" i="20"/>
  <c r="DI82" i="20"/>
  <c r="DH82" i="20"/>
  <c r="DC82" i="20"/>
  <c r="DB82" i="20"/>
  <c r="CW82" i="20"/>
  <c r="CU82" i="20"/>
  <c r="CP82" i="20"/>
  <c r="CN82" i="20"/>
  <c r="CI82" i="20"/>
  <c r="CG82" i="20"/>
  <c r="CB82" i="20"/>
  <c r="BZ82" i="20"/>
  <c r="BU82" i="20"/>
  <c r="BS82" i="20"/>
  <c r="BN82" i="20"/>
  <c r="BL82" i="20"/>
  <c r="BG82" i="20"/>
  <c r="BE82" i="20"/>
  <c r="AZ82" i="20"/>
  <c r="AY82" i="20"/>
  <c r="AT82" i="20"/>
  <c r="AS82" i="20"/>
  <c r="AL82" i="20"/>
  <c r="AK82" i="20"/>
  <c r="AJ82" i="20"/>
  <c r="AI82" i="20"/>
  <c r="AH82" i="20"/>
  <c r="AG82" i="20"/>
  <c r="AB82" i="20"/>
  <c r="AA82" i="20"/>
  <c r="V82" i="20"/>
  <c r="U82" i="20"/>
  <c r="DS81" i="20"/>
  <c r="DR81" i="20"/>
  <c r="DQ81" i="20"/>
  <c r="DP81" i="20"/>
  <c r="DO81" i="20"/>
  <c r="DN81" i="20"/>
  <c r="DI81" i="20"/>
  <c r="DH81" i="20"/>
  <c r="DC81" i="20"/>
  <c r="DB81" i="20"/>
  <c r="CW81" i="20"/>
  <c r="CU81" i="20"/>
  <c r="CP81" i="20"/>
  <c r="CN81" i="20"/>
  <c r="CI81" i="20"/>
  <c r="CG81" i="20"/>
  <c r="CB81" i="20"/>
  <c r="BZ81" i="20"/>
  <c r="BU81" i="20"/>
  <c r="BS81" i="20"/>
  <c r="BN81" i="20"/>
  <c r="BL81" i="20"/>
  <c r="BG81" i="20"/>
  <c r="BE81" i="20"/>
  <c r="AZ81" i="20"/>
  <c r="AY81" i="20"/>
  <c r="AT81" i="20"/>
  <c r="AS81" i="20"/>
  <c r="AL81" i="20"/>
  <c r="AK81" i="20"/>
  <c r="AJ81" i="20"/>
  <c r="AI81" i="20"/>
  <c r="AH81" i="20"/>
  <c r="AG81" i="20"/>
  <c r="AB81" i="20"/>
  <c r="AA81" i="20"/>
  <c r="V81" i="20"/>
  <c r="U81" i="20"/>
  <c r="DS80" i="20"/>
  <c r="DR80" i="20"/>
  <c r="DQ80" i="20"/>
  <c r="DP80" i="20"/>
  <c r="DO80" i="20"/>
  <c r="DN80" i="20"/>
  <c r="DI80" i="20"/>
  <c r="DH80" i="20"/>
  <c r="DC80" i="20"/>
  <c r="DB80" i="20"/>
  <c r="CW80" i="20"/>
  <c r="CU80" i="20"/>
  <c r="CP80" i="20"/>
  <c r="CN80" i="20"/>
  <c r="CI80" i="20"/>
  <c r="CG80" i="20"/>
  <c r="CB80" i="20"/>
  <c r="BZ80" i="20"/>
  <c r="BU80" i="20"/>
  <c r="BS80" i="20"/>
  <c r="BN80" i="20"/>
  <c r="BL80" i="20"/>
  <c r="BG80" i="20"/>
  <c r="BE80" i="20"/>
  <c r="AZ80" i="20"/>
  <c r="AY80" i="20"/>
  <c r="AT80" i="20"/>
  <c r="AS80" i="20"/>
  <c r="AL80" i="20"/>
  <c r="AK80" i="20"/>
  <c r="AJ80" i="20"/>
  <c r="AI80" i="20"/>
  <c r="AH80" i="20"/>
  <c r="AG80" i="20"/>
  <c r="AB80" i="20"/>
  <c r="AA80" i="20"/>
  <c r="V80" i="20"/>
  <c r="U80" i="20"/>
  <c r="DS79" i="20"/>
  <c r="DR79" i="20"/>
  <c r="DQ79" i="20"/>
  <c r="DP79" i="20"/>
  <c r="DO79" i="20"/>
  <c r="DN79" i="20"/>
  <c r="DI79" i="20"/>
  <c r="DH79" i="20"/>
  <c r="DC79" i="20"/>
  <c r="DB79" i="20"/>
  <c r="CW79" i="20"/>
  <c r="CU79" i="20"/>
  <c r="CP79" i="20"/>
  <c r="CN79" i="20"/>
  <c r="CI79" i="20"/>
  <c r="CG79" i="20"/>
  <c r="CB79" i="20"/>
  <c r="BZ79" i="20"/>
  <c r="BU79" i="20"/>
  <c r="BS79" i="20"/>
  <c r="BN79" i="20"/>
  <c r="BL79" i="20"/>
  <c r="BG79" i="20"/>
  <c r="BE79" i="20"/>
  <c r="AZ79" i="20"/>
  <c r="AY79" i="20"/>
  <c r="AT79" i="20"/>
  <c r="AS79" i="20"/>
  <c r="AL79" i="20"/>
  <c r="AK79" i="20"/>
  <c r="AJ79" i="20"/>
  <c r="AI79" i="20"/>
  <c r="AH79" i="20"/>
  <c r="AG79" i="20"/>
  <c r="AB79" i="20"/>
  <c r="AA79" i="20"/>
  <c r="V79" i="20"/>
  <c r="U79" i="20"/>
  <c r="DS78" i="20"/>
  <c r="DR78" i="20"/>
  <c r="DQ78" i="20"/>
  <c r="DP78" i="20"/>
  <c r="DO78" i="20"/>
  <c r="DN78" i="20"/>
  <c r="DI78" i="20"/>
  <c r="DH78" i="20"/>
  <c r="DC78" i="20"/>
  <c r="DB78" i="20"/>
  <c r="CW78" i="20"/>
  <c r="CU78" i="20"/>
  <c r="CP78" i="20"/>
  <c r="CN78" i="20"/>
  <c r="CI78" i="20"/>
  <c r="CG78" i="20"/>
  <c r="CB78" i="20"/>
  <c r="BZ78" i="20"/>
  <c r="BU78" i="20"/>
  <c r="BS78" i="20"/>
  <c r="BN78" i="20"/>
  <c r="BL78" i="20"/>
  <c r="BG78" i="20"/>
  <c r="BE78" i="20"/>
  <c r="AZ78" i="20"/>
  <c r="AY78" i="20"/>
  <c r="AT78" i="20"/>
  <c r="AS78" i="20"/>
  <c r="AL78" i="20"/>
  <c r="AK78" i="20"/>
  <c r="AJ78" i="20"/>
  <c r="AI78" i="20"/>
  <c r="AH78" i="20"/>
  <c r="AG78" i="20"/>
  <c r="AB78" i="20"/>
  <c r="AA78" i="20"/>
  <c r="V78" i="20"/>
  <c r="U78" i="20"/>
  <c r="DS77" i="20"/>
  <c r="DR77" i="20"/>
  <c r="DQ77" i="20"/>
  <c r="DP77" i="20"/>
  <c r="DO77" i="20"/>
  <c r="DN77" i="20"/>
  <c r="DI77" i="20"/>
  <c r="DH77" i="20"/>
  <c r="DC77" i="20"/>
  <c r="DB77" i="20"/>
  <c r="CW77" i="20"/>
  <c r="CU77" i="20"/>
  <c r="CP77" i="20"/>
  <c r="CN77" i="20"/>
  <c r="CI77" i="20"/>
  <c r="CG77" i="20"/>
  <c r="CB77" i="20"/>
  <c r="BZ77" i="20"/>
  <c r="BU77" i="20"/>
  <c r="BS77" i="20"/>
  <c r="BN77" i="20"/>
  <c r="BL77" i="20"/>
  <c r="BG77" i="20"/>
  <c r="BE77" i="20"/>
  <c r="AZ77" i="20"/>
  <c r="AY77" i="20"/>
  <c r="AT77" i="20"/>
  <c r="AS77" i="20"/>
  <c r="AJ77" i="20"/>
  <c r="AI77" i="20"/>
  <c r="AH77" i="20"/>
  <c r="AG77" i="20"/>
  <c r="AB77" i="20"/>
  <c r="AA77" i="20"/>
  <c r="U77" i="20"/>
  <c r="T77" i="20"/>
  <c r="DS76" i="20"/>
  <c r="DR76" i="20"/>
  <c r="DQ76" i="20"/>
  <c r="DP76" i="20"/>
  <c r="DO76" i="20"/>
  <c r="DN76" i="20"/>
  <c r="DI76" i="20"/>
  <c r="DH76" i="20"/>
  <c r="DC76" i="20"/>
  <c r="DB76" i="20"/>
  <c r="CW76" i="20"/>
  <c r="CU76" i="20"/>
  <c r="CP76" i="20"/>
  <c r="CN76" i="20"/>
  <c r="CI76" i="20"/>
  <c r="CG76" i="20"/>
  <c r="CB76" i="20"/>
  <c r="BZ76" i="20"/>
  <c r="BU76" i="20"/>
  <c r="BS76" i="20"/>
  <c r="BN76" i="20"/>
  <c r="BL76" i="20"/>
  <c r="BG76" i="20"/>
  <c r="BE76" i="20"/>
  <c r="AZ76" i="20"/>
  <c r="AY76" i="20"/>
  <c r="AT76" i="20"/>
  <c r="AS76" i="20"/>
  <c r="AL76" i="20"/>
  <c r="AK76" i="20"/>
  <c r="AJ76" i="20"/>
  <c r="AI76" i="20"/>
  <c r="AH76" i="20"/>
  <c r="AG76" i="20"/>
  <c r="AB76" i="20"/>
  <c r="AA76" i="20"/>
  <c r="V76" i="20"/>
  <c r="U76" i="20"/>
  <c r="DS75" i="20"/>
  <c r="DR75" i="20"/>
  <c r="DQ75" i="20"/>
  <c r="DP75" i="20"/>
  <c r="DO75" i="20"/>
  <c r="DN75" i="20"/>
  <c r="DI75" i="20"/>
  <c r="DH75" i="20"/>
  <c r="DC75" i="20"/>
  <c r="DB75" i="20"/>
  <c r="CW75" i="20"/>
  <c r="CU75" i="20"/>
  <c r="CP75" i="20"/>
  <c r="CN75" i="20"/>
  <c r="CI75" i="20"/>
  <c r="CG75" i="20"/>
  <c r="CB75" i="20"/>
  <c r="BZ75" i="20"/>
  <c r="BU75" i="20"/>
  <c r="BS75" i="20"/>
  <c r="BN75" i="20"/>
  <c r="BL75" i="20"/>
  <c r="BG75" i="20"/>
  <c r="BE75" i="20"/>
  <c r="AZ75" i="20"/>
  <c r="AY75" i="20"/>
  <c r="AT75" i="20"/>
  <c r="AS75" i="20"/>
  <c r="AL75" i="20"/>
  <c r="AK75" i="20"/>
  <c r="AJ75" i="20"/>
  <c r="AI75" i="20"/>
  <c r="AH75" i="20"/>
  <c r="AG75" i="20"/>
  <c r="AB75" i="20"/>
  <c r="AA75" i="20"/>
  <c r="V75" i="20"/>
  <c r="U75" i="20"/>
  <c r="DS74" i="20"/>
  <c r="DR74" i="20"/>
  <c r="DQ74" i="20"/>
  <c r="DP74" i="20"/>
  <c r="DO74" i="20"/>
  <c r="DN74" i="20"/>
  <c r="DI74" i="20"/>
  <c r="DH74" i="20"/>
  <c r="DC74" i="20"/>
  <c r="DB74" i="20"/>
  <c r="CW74" i="20"/>
  <c r="CU74" i="20"/>
  <c r="CP74" i="20"/>
  <c r="CN74" i="20"/>
  <c r="CI74" i="20"/>
  <c r="CG74" i="20"/>
  <c r="CB74" i="20"/>
  <c r="BZ74" i="20"/>
  <c r="BU74" i="20"/>
  <c r="BS74" i="20"/>
  <c r="BN74" i="20"/>
  <c r="BL74" i="20"/>
  <c r="BG74" i="20"/>
  <c r="BE74" i="20"/>
  <c r="AZ74" i="20"/>
  <c r="AY74" i="20"/>
  <c r="AT74" i="20"/>
  <c r="AS74" i="20"/>
  <c r="AL74" i="20"/>
  <c r="AK74" i="20"/>
  <c r="AJ74" i="20"/>
  <c r="AI74" i="20"/>
  <c r="AH74" i="20"/>
  <c r="AG74" i="20"/>
  <c r="AB74" i="20"/>
  <c r="AA74" i="20"/>
  <c r="V74" i="20"/>
  <c r="U74" i="20"/>
  <c r="DS73" i="20"/>
  <c r="DR73" i="20"/>
  <c r="DQ73" i="20"/>
  <c r="DP73" i="20"/>
  <c r="DO73" i="20"/>
  <c r="DN73" i="20"/>
  <c r="DI73" i="20"/>
  <c r="DH73" i="20"/>
  <c r="DC73" i="20"/>
  <c r="DB73" i="20"/>
  <c r="CW73" i="20"/>
  <c r="CU73" i="20"/>
  <c r="CP73" i="20"/>
  <c r="CN73" i="20"/>
  <c r="CI73" i="20"/>
  <c r="CG73" i="20"/>
  <c r="CB73" i="20"/>
  <c r="BZ73" i="20"/>
  <c r="BU73" i="20"/>
  <c r="BS73" i="20"/>
  <c r="BN73" i="20"/>
  <c r="BL73" i="20"/>
  <c r="BG73" i="20"/>
  <c r="BE73" i="20"/>
  <c r="AZ73" i="20"/>
  <c r="AY73" i="20"/>
  <c r="AT73" i="20"/>
  <c r="AS73" i="20"/>
  <c r="AL73" i="20"/>
  <c r="AK73" i="20"/>
  <c r="AJ73" i="20"/>
  <c r="AI73" i="20"/>
  <c r="AH73" i="20"/>
  <c r="AG73" i="20"/>
  <c r="AB73" i="20"/>
  <c r="AA73" i="20"/>
  <c r="V73" i="20"/>
  <c r="U73" i="20"/>
  <c r="DS72" i="20"/>
  <c r="DR72" i="20"/>
  <c r="DQ72" i="20"/>
  <c r="DP72" i="20"/>
  <c r="DO72" i="20"/>
  <c r="DN72" i="20"/>
  <c r="DI72" i="20"/>
  <c r="DH72" i="20"/>
  <c r="DC72" i="20"/>
  <c r="DB72" i="20"/>
  <c r="CW72" i="20"/>
  <c r="CU72" i="20"/>
  <c r="CP72" i="20"/>
  <c r="CN72" i="20"/>
  <c r="CI72" i="20"/>
  <c r="CG72" i="20"/>
  <c r="CB72" i="20"/>
  <c r="BZ72" i="20"/>
  <c r="BU72" i="20"/>
  <c r="BS72" i="20"/>
  <c r="BN72" i="20"/>
  <c r="BL72" i="20"/>
  <c r="BG72" i="20"/>
  <c r="BE72" i="20"/>
  <c r="AZ72" i="20"/>
  <c r="AY72" i="20"/>
  <c r="AT72" i="20"/>
  <c r="AS72" i="20"/>
  <c r="AL72" i="20"/>
  <c r="AK72" i="20"/>
  <c r="AJ72" i="20"/>
  <c r="AI72" i="20"/>
  <c r="AH72" i="20"/>
  <c r="AG72" i="20"/>
  <c r="AB72" i="20"/>
  <c r="AA72" i="20"/>
  <c r="V72" i="20"/>
  <c r="U72" i="20"/>
  <c r="DS71" i="20"/>
  <c r="DR71" i="20"/>
  <c r="DQ71" i="20"/>
  <c r="DP71" i="20"/>
  <c r="DO71" i="20"/>
  <c r="DN71" i="20"/>
  <c r="DI71" i="20"/>
  <c r="DH71" i="20"/>
  <c r="DC71" i="20"/>
  <c r="DB71" i="20"/>
  <c r="CW71" i="20"/>
  <c r="CU71" i="20"/>
  <c r="CP71" i="20"/>
  <c r="CN71" i="20"/>
  <c r="CI71" i="20"/>
  <c r="CG71" i="20"/>
  <c r="CB71" i="20"/>
  <c r="BZ71" i="20"/>
  <c r="BU71" i="20"/>
  <c r="BS71" i="20"/>
  <c r="BN71" i="20"/>
  <c r="BL71" i="20"/>
  <c r="BG71" i="20"/>
  <c r="BE71" i="20"/>
  <c r="AZ71" i="20"/>
  <c r="AY71" i="20"/>
  <c r="AT71" i="20"/>
  <c r="AS71" i="20"/>
  <c r="AL71" i="20"/>
  <c r="AK71" i="20"/>
  <c r="AJ71" i="20"/>
  <c r="AI71" i="20"/>
  <c r="AH71" i="20"/>
  <c r="AG71" i="20"/>
  <c r="AB71" i="20"/>
  <c r="AA71" i="20"/>
  <c r="V71" i="20"/>
  <c r="U71" i="20"/>
  <c r="DS70" i="20"/>
  <c r="DR70" i="20"/>
  <c r="DQ70" i="20"/>
  <c r="DP70" i="20"/>
  <c r="DO70" i="20"/>
  <c r="DN70" i="20"/>
  <c r="DI70" i="20"/>
  <c r="DH70" i="20"/>
  <c r="DC70" i="20"/>
  <c r="DB70" i="20"/>
  <c r="CW70" i="20"/>
  <c r="CU70" i="20"/>
  <c r="CP70" i="20"/>
  <c r="CN70" i="20"/>
  <c r="CI70" i="20"/>
  <c r="CG70" i="20"/>
  <c r="CB70" i="20"/>
  <c r="BZ70" i="20"/>
  <c r="BU70" i="20"/>
  <c r="BS70" i="20"/>
  <c r="BN70" i="20"/>
  <c r="BL70" i="20"/>
  <c r="BG70" i="20"/>
  <c r="BE70" i="20"/>
  <c r="AZ70" i="20"/>
  <c r="AY70" i="20"/>
  <c r="AT70" i="20"/>
  <c r="AS70" i="20"/>
  <c r="AL70" i="20"/>
  <c r="AK70" i="20"/>
  <c r="AJ70" i="20"/>
  <c r="AI70" i="20"/>
  <c r="AH70" i="20"/>
  <c r="AG70" i="20"/>
  <c r="AB70" i="20"/>
  <c r="AA70" i="20"/>
  <c r="V70" i="20"/>
  <c r="U70" i="20"/>
  <c r="DS69" i="20"/>
  <c r="DR69" i="20"/>
  <c r="DQ69" i="20"/>
  <c r="DP69" i="20"/>
  <c r="DO69" i="20"/>
  <c r="DN69" i="20"/>
  <c r="DI69" i="20"/>
  <c r="DH69" i="20"/>
  <c r="DC69" i="20"/>
  <c r="DB69" i="20"/>
  <c r="CW69" i="20"/>
  <c r="CU69" i="20"/>
  <c r="CP69" i="20"/>
  <c r="CN69" i="20"/>
  <c r="CI69" i="20"/>
  <c r="CG69" i="20"/>
  <c r="CB69" i="20"/>
  <c r="BZ69" i="20"/>
  <c r="BU69" i="20"/>
  <c r="BS69" i="20"/>
  <c r="BN69" i="20"/>
  <c r="BL69" i="20"/>
  <c r="BG69" i="20"/>
  <c r="BE69" i="20"/>
  <c r="AZ69" i="20"/>
  <c r="AY69" i="20"/>
  <c r="AT69" i="20"/>
  <c r="AS69" i="20"/>
  <c r="AL69" i="20"/>
  <c r="AK69" i="20"/>
  <c r="AJ69" i="20"/>
  <c r="AI69" i="20"/>
  <c r="AH69" i="20"/>
  <c r="AG69" i="20"/>
  <c r="AB69" i="20"/>
  <c r="AA69" i="20"/>
  <c r="V69" i="20"/>
  <c r="U69" i="20"/>
  <c r="DS68" i="20"/>
  <c r="DR68" i="20"/>
  <c r="DQ68" i="20"/>
  <c r="DP68" i="20"/>
  <c r="DO68" i="20"/>
  <c r="DN68" i="20"/>
  <c r="DI68" i="20"/>
  <c r="DH68" i="20"/>
  <c r="DC68" i="20"/>
  <c r="DB68" i="20"/>
  <c r="CW68" i="20"/>
  <c r="CU68" i="20"/>
  <c r="CP68" i="20"/>
  <c r="CN68" i="20"/>
  <c r="CI68" i="20"/>
  <c r="CG68" i="20"/>
  <c r="CB68" i="20"/>
  <c r="BZ68" i="20"/>
  <c r="BU68" i="20"/>
  <c r="BS68" i="20"/>
  <c r="BN68" i="20"/>
  <c r="BL68" i="20"/>
  <c r="BG68" i="20"/>
  <c r="BE68" i="20"/>
  <c r="AZ68" i="20"/>
  <c r="AY68" i="20"/>
  <c r="AT68" i="20"/>
  <c r="AS68" i="20"/>
  <c r="AL68" i="20"/>
  <c r="AK68" i="20"/>
  <c r="AJ68" i="20"/>
  <c r="AI68" i="20"/>
  <c r="AH68" i="20"/>
  <c r="AG68" i="20"/>
  <c r="AB68" i="20"/>
  <c r="AA68" i="20"/>
  <c r="V68" i="20"/>
  <c r="U68" i="20"/>
  <c r="DS67" i="20"/>
  <c r="DR67" i="20"/>
  <c r="DQ67" i="20"/>
  <c r="DP67" i="20"/>
  <c r="DO67" i="20"/>
  <c r="DN67" i="20"/>
  <c r="DI67" i="20"/>
  <c r="DH67" i="20"/>
  <c r="DC67" i="20"/>
  <c r="DB67" i="20"/>
  <c r="CW67" i="20"/>
  <c r="CU67" i="20"/>
  <c r="CP67" i="20"/>
  <c r="CN67" i="20"/>
  <c r="CI67" i="20"/>
  <c r="CG67" i="20"/>
  <c r="CB67" i="20"/>
  <c r="BZ67" i="20"/>
  <c r="BU67" i="20"/>
  <c r="BS67" i="20"/>
  <c r="BN67" i="20"/>
  <c r="BL67" i="20"/>
  <c r="BG67" i="20"/>
  <c r="BE67" i="20"/>
  <c r="AZ67" i="20"/>
  <c r="AY67" i="20"/>
  <c r="AT67" i="20"/>
  <c r="AS67" i="20"/>
  <c r="AL67" i="20"/>
  <c r="AK67" i="20"/>
  <c r="AJ67" i="20"/>
  <c r="AI67" i="20"/>
  <c r="AH67" i="20"/>
  <c r="AG67" i="20"/>
  <c r="AB67" i="20"/>
  <c r="AA67" i="20"/>
  <c r="V67" i="20"/>
  <c r="U67" i="20"/>
  <c r="DS66" i="20"/>
  <c r="DR66" i="20"/>
  <c r="DQ66" i="20"/>
  <c r="DP66" i="20"/>
  <c r="DO66" i="20"/>
  <c r="DN66" i="20"/>
  <c r="DI66" i="20"/>
  <c r="DH66" i="20"/>
  <c r="DC66" i="20"/>
  <c r="DB66" i="20"/>
  <c r="CW66" i="20"/>
  <c r="CU66" i="20"/>
  <c r="CP66" i="20"/>
  <c r="CN66" i="20"/>
  <c r="CI66" i="20"/>
  <c r="CG66" i="20"/>
  <c r="CB66" i="20"/>
  <c r="BZ66" i="20"/>
  <c r="BU66" i="20"/>
  <c r="BS66" i="20"/>
  <c r="BN66" i="20"/>
  <c r="BL66" i="20"/>
  <c r="BG66" i="20"/>
  <c r="BE66" i="20"/>
  <c r="AZ66" i="20"/>
  <c r="AY66" i="20"/>
  <c r="AT66" i="20"/>
  <c r="AS66" i="20"/>
  <c r="AL66" i="20"/>
  <c r="AK66" i="20"/>
  <c r="AJ66" i="20"/>
  <c r="AI66" i="20"/>
  <c r="AH66" i="20"/>
  <c r="AG66" i="20"/>
  <c r="AB66" i="20"/>
  <c r="AA66" i="20"/>
  <c r="V66" i="20"/>
  <c r="U66" i="20"/>
  <c r="DS65" i="20"/>
  <c r="DR65" i="20"/>
  <c r="DQ65" i="20"/>
  <c r="DP65" i="20"/>
  <c r="DO65" i="20"/>
  <c r="DN65" i="20"/>
  <c r="DI65" i="20"/>
  <c r="DH65" i="20"/>
  <c r="DC65" i="20"/>
  <c r="DB65" i="20"/>
  <c r="CW65" i="20"/>
  <c r="CU65" i="20"/>
  <c r="CP65" i="20"/>
  <c r="CN65" i="20"/>
  <c r="CI65" i="20"/>
  <c r="CG65" i="20"/>
  <c r="CB65" i="20"/>
  <c r="BZ65" i="20"/>
  <c r="BU65" i="20"/>
  <c r="BS65" i="20"/>
  <c r="BN65" i="20"/>
  <c r="BL65" i="20"/>
  <c r="BG65" i="20"/>
  <c r="BE65" i="20"/>
  <c r="AZ65" i="20"/>
  <c r="AY65" i="20"/>
  <c r="AT65" i="20"/>
  <c r="AS65" i="20"/>
  <c r="AL65" i="20"/>
  <c r="AK65" i="20"/>
  <c r="AJ65" i="20"/>
  <c r="AI65" i="20"/>
  <c r="AH65" i="20"/>
  <c r="AG65" i="20"/>
  <c r="AB65" i="20"/>
  <c r="AA65" i="20"/>
  <c r="V65" i="20"/>
  <c r="U65" i="20"/>
  <c r="DS64" i="20"/>
  <c r="DR64" i="20"/>
  <c r="DQ64" i="20"/>
  <c r="DP64" i="20"/>
  <c r="DO64" i="20"/>
  <c r="DN64" i="20"/>
  <c r="DI64" i="20"/>
  <c r="DH64" i="20"/>
  <c r="DC64" i="20"/>
  <c r="DB64" i="20"/>
  <c r="CW64" i="20"/>
  <c r="CU64" i="20"/>
  <c r="CP64" i="20"/>
  <c r="CN64" i="20"/>
  <c r="CI64" i="20"/>
  <c r="CG64" i="20"/>
  <c r="CB64" i="20"/>
  <c r="BZ64" i="20"/>
  <c r="BU64" i="20"/>
  <c r="BS64" i="20"/>
  <c r="BN64" i="20"/>
  <c r="BL64" i="20"/>
  <c r="BG64" i="20"/>
  <c r="BE64" i="20"/>
  <c r="AZ64" i="20"/>
  <c r="AY64" i="20"/>
  <c r="AT64" i="20"/>
  <c r="AS64" i="20"/>
  <c r="AL64" i="20"/>
  <c r="AK64" i="20"/>
  <c r="AJ64" i="20"/>
  <c r="AI64" i="20"/>
  <c r="AH64" i="20"/>
  <c r="AG64" i="20"/>
  <c r="AB64" i="20"/>
  <c r="AA64" i="20"/>
  <c r="V64" i="20"/>
  <c r="U64" i="20"/>
  <c r="DS63" i="20"/>
  <c r="DR63" i="20"/>
  <c r="DQ63" i="20"/>
  <c r="DP63" i="20"/>
  <c r="DO63" i="20"/>
  <c r="DN63" i="20"/>
  <c r="DI63" i="20"/>
  <c r="DH63" i="20"/>
  <c r="DC63" i="20"/>
  <c r="DB63" i="20"/>
  <c r="CW63" i="20"/>
  <c r="CU63" i="20"/>
  <c r="CP63" i="20"/>
  <c r="CN63" i="20"/>
  <c r="CI63" i="20"/>
  <c r="CG63" i="20"/>
  <c r="CB63" i="20"/>
  <c r="BZ63" i="20"/>
  <c r="BU63" i="20"/>
  <c r="BS63" i="20"/>
  <c r="BN63" i="20"/>
  <c r="BL63" i="20"/>
  <c r="BG63" i="20"/>
  <c r="BE63" i="20"/>
  <c r="AZ63" i="20"/>
  <c r="AY63" i="20"/>
  <c r="AT63" i="20"/>
  <c r="AS63" i="20"/>
  <c r="AL63" i="20"/>
  <c r="AK63" i="20"/>
  <c r="AJ63" i="20"/>
  <c r="AI63" i="20"/>
  <c r="AH63" i="20"/>
  <c r="AG63" i="20"/>
  <c r="AB63" i="20"/>
  <c r="AA63" i="20"/>
  <c r="V63" i="20"/>
  <c r="U63" i="20"/>
  <c r="DS62" i="20"/>
  <c r="DR62" i="20"/>
  <c r="DQ62" i="20"/>
  <c r="DP62" i="20"/>
  <c r="DO62" i="20"/>
  <c r="DN62" i="20"/>
  <c r="DI62" i="20"/>
  <c r="DH62" i="20"/>
  <c r="DC62" i="20"/>
  <c r="DB62" i="20"/>
  <c r="CW62" i="20"/>
  <c r="CU62" i="20"/>
  <c r="CP62" i="20"/>
  <c r="CN62" i="20"/>
  <c r="CI62" i="20"/>
  <c r="CG62" i="20"/>
  <c r="CB62" i="20"/>
  <c r="BZ62" i="20"/>
  <c r="BU62" i="20"/>
  <c r="BS62" i="20"/>
  <c r="BN62" i="20"/>
  <c r="BL62" i="20"/>
  <c r="BG62" i="20"/>
  <c r="BE62" i="20"/>
  <c r="AZ62" i="20"/>
  <c r="AY62" i="20"/>
  <c r="AT62" i="20"/>
  <c r="AS62" i="20"/>
  <c r="AL62" i="20"/>
  <c r="AK62" i="20"/>
  <c r="AJ62" i="20"/>
  <c r="AI62" i="20"/>
  <c r="AH62" i="20"/>
  <c r="AG62" i="20"/>
  <c r="AB62" i="20"/>
  <c r="AA62" i="20"/>
  <c r="V62" i="20"/>
  <c r="U62" i="20"/>
  <c r="DS61" i="20"/>
  <c r="DR61" i="20"/>
  <c r="DQ61" i="20"/>
  <c r="DP61" i="20"/>
  <c r="DO61" i="20"/>
  <c r="DN61" i="20"/>
  <c r="DI61" i="20"/>
  <c r="DH61" i="20"/>
  <c r="DC61" i="20"/>
  <c r="DB61" i="20"/>
  <c r="CW61" i="20"/>
  <c r="CU61" i="20"/>
  <c r="CP61" i="20"/>
  <c r="CN61" i="20"/>
  <c r="CI61" i="20"/>
  <c r="CG61" i="20"/>
  <c r="CB61" i="20"/>
  <c r="BZ61" i="20"/>
  <c r="BU61" i="20"/>
  <c r="BS61" i="20"/>
  <c r="BN61" i="20"/>
  <c r="BL61" i="20"/>
  <c r="BG61" i="20"/>
  <c r="BE61" i="20"/>
  <c r="AZ61" i="20"/>
  <c r="AY61" i="20"/>
  <c r="AT61" i="20"/>
  <c r="AS61" i="20"/>
  <c r="AL61" i="20"/>
  <c r="AK61" i="20"/>
  <c r="AJ61" i="20"/>
  <c r="AI61" i="20"/>
  <c r="AH61" i="20"/>
  <c r="AG61" i="20"/>
  <c r="AB61" i="20"/>
  <c r="AA61" i="20"/>
  <c r="V61" i="20"/>
  <c r="U61" i="20"/>
  <c r="DS60" i="20"/>
  <c r="DR60" i="20"/>
  <c r="DQ60" i="20"/>
  <c r="DP60" i="20"/>
  <c r="DO60" i="20"/>
  <c r="DN60" i="20"/>
  <c r="DI60" i="20"/>
  <c r="DH60" i="20"/>
  <c r="DC60" i="20"/>
  <c r="DB60" i="20"/>
  <c r="CW60" i="20"/>
  <c r="CU60" i="20"/>
  <c r="CP60" i="20"/>
  <c r="CN60" i="20"/>
  <c r="CI60" i="20"/>
  <c r="CG60" i="20"/>
  <c r="CB60" i="20"/>
  <c r="BZ60" i="20"/>
  <c r="BU60" i="20"/>
  <c r="BS60" i="20"/>
  <c r="BN60" i="20"/>
  <c r="BL60" i="20"/>
  <c r="BG60" i="20"/>
  <c r="BE60" i="20"/>
  <c r="AZ60" i="20"/>
  <c r="AY60" i="20"/>
  <c r="AT60" i="20"/>
  <c r="AS60" i="20"/>
  <c r="AL60" i="20"/>
  <c r="AK60" i="20"/>
  <c r="AJ60" i="20"/>
  <c r="AI60" i="20"/>
  <c r="AH60" i="20"/>
  <c r="AG60" i="20"/>
  <c r="AB60" i="20"/>
  <c r="AA60" i="20"/>
  <c r="V60" i="20"/>
  <c r="U60" i="20"/>
  <c r="DS59" i="20"/>
  <c r="DR59" i="20"/>
  <c r="DQ59" i="20"/>
  <c r="DP59" i="20"/>
  <c r="DO59" i="20"/>
  <c r="DN59" i="20"/>
  <c r="DI59" i="20"/>
  <c r="DH59" i="20"/>
  <c r="DC59" i="20"/>
  <c r="DB59" i="20"/>
  <c r="CW59" i="20"/>
  <c r="CU59" i="20"/>
  <c r="CP59" i="20"/>
  <c r="CN59" i="20"/>
  <c r="CI59" i="20"/>
  <c r="CG59" i="20"/>
  <c r="CB59" i="20"/>
  <c r="BZ59" i="20"/>
  <c r="BU59" i="20"/>
  <c r="BS59" i="20"/>
  <c r="BN59" i="20"/>
  <c r="BL59" i="20"/>
  <c r="BG59" i="20"/>
  <c r="BE59" i="20"/>
  <c r="AZ59" i="20"/>
  <c r="AY59" i="20"/>
  <c r="AT59" i="20"/>
  <c r="AS59" i="20"/>
  <c r="AL59" i="20"/>
  <c r="AK59" i="20"/>
  <c r="AJ59" i="20"/>
  <c r="AI59" i="20"/>
  <c r="AH59" i="20"/>
  <c r="AG59" i="20"/>
  <c r="AB59" i="20"/>
  <c r="AA59" i="20"/>
  <c r="V59" i="20"/>
  <c r="U59" i="20"/>
  <c r="DS58" i="20"/>
  <c r="DR58" i="20"/>
  <c r="DQ58" i="20"/>
  <c r="DP58" i="20"/>
  <c r="DO58" i="20"/>
  <c r="DN58" i="20"/>
  <c r="DI58" i="20"/>
  <c r="DH58" i="20"/>
  <c r="DC58" i="20"/>
  <c r="DB58" i="20"/>
  <c r="CW58" i="20"/>
  <c r="CU58" i="20"/>
  <c r="CP58" i="20"/>
  <c r="CN58" i="20"/>
  <c r="CI58" i="20"/>
  <c r="CG58" i="20"/>
  <c r="CB58" i="20"/>
  <c r="BZ58" i="20"/>
  <c r="BU58" i="20"/>
  <c r="BS58" i="20"/>
  <c r="BN58" i="20"/>
  <c r="BL58" i="20"/>
  <c r="BG58" i="20"/>
  <c r="BE58" i="20"/>
  <c r="AZ58" i="20"/>
  <c r="AY58" i="20"/>
  <c r="AT58" i="20"/>
  <c r="AS58" i="20"/>
  <c r="AL58" i="20"/>
  <c r="AK58" i="20"/>
  <c r="AJ58" i="20"/>
  <c r="AI58" i="20"/>
  <c r="AH58" i="20"/>
  <c r="AG58" i="20"/>
  <c r="AB58" i="20"/>
  <c r="AA58" i="20"/>
  <c r="V58" i="20"/>
  <c r="U58" i="20"/>
  <c r="DS57" i="20"/>
  <c r="DR57" i="20"/>
  <c r="DQ57" i="20"/>
  <c r="DP57" i="20"/>
  <c r="DO57" i="20"/>
  <c r="DN57" i="20"/>
  <c r="DI57" i="20"/>
  <c r="DH57" i="20"/>
  <c r="DC57" i="20"/>
  <c r="DB57" i="20"/>
  <c r="CW57" i="20"/>
  <c r="CU57" i="20"/>
  <c r="CP57" i="20"/>
  <c r="CN57" i="20"/>
  <c r="CI57" i="20"/>
  <c r="CG57" i="20"/>
  <c r="CB57" i="20"/>
  <c r="BZ57" i="20"/>
  <c r="BU57" i="20"/>
  <c r="BS57" i="20"/>
  <c r="BN57" i="20"/>
  <c r="BL57" i="20"/>
  <c r="BG57" i="20"/>
  <c r="BE57" i="20"/>
  <c r="AZ57" i="20"/>
  <c r="AY57" i="20"/>
  <c r="AT57" i="20"/>
  <c r="AS57" i="20"/>
  <c r="AL57" i="20"/>
  <c r="AK57" i="20"/>
  <c r="AJ57" i="20"/>
  <c r="AI57" i="20"/>
  <c r="AH57" i="20"/>
  <c r="AG57" i="20"/>
  <c r="AB57" i="20"/>
  <c r="AA57" i="20"/>
  <c r="V57" i="20"/>
  <c r="U57" i="20"/>
  <c r="DS56" i="20"/>
  <c r="DR56" i="20"/>
  <c r="DQ56" i="20"/>
  <c r="DP56" i="20"/>
  <c r="DO56" i="20"/>
  <c r="DN56" i="20"/>
  <c r="DI56" i="20"/>
  <c r="DH56" i="20"/>
  <c r="DC56" i="20"/>
  <c r="DB56" i="20"/>
  <c r="CW56" i="20"/>
  <c r="CU56" i="20"/>
  <c r="CP56" i="20"/>
  <c r="CN56" i="20"/>
  <c r="CI56" i="20"/>
  <c r="CG56" i="20"/>
  <c r="CB56" i="20"/>
  <c r="BZ56" i="20"/>
  <c r="BU56" i="20"/>
  <c r="BS56" i="20"/>
  <c r="BN56" i="20"/>
  <c r="BL56" i="20"/>
  <c r="BG56" i="20"/>
  <c r="BE56" i="20"/>
  <c r="AZ56" i="20"/>
  <c r="AY56" i="20"/>
  <c r="AT56" i="20"/>
  <c r="AS56" i="20"/>
  <c r="AL56" i="20"/>
  <c r="AK56" i="20"/>
  <c r="AJ56" i="20"/>
  <c r="AI56" i="20"/>
  <c r="AH56" i="20"/>
  <c r="AG56" i="20"/>
  <c r="AB56" i="20"/>
  <c r="AA56" i="20"/>
  <c r="V56" i="20"/>
  <c r="U56" i="20"/>
  <c r="DS55" i="20"/>
  <c r="DR55" i="20"/>
  <c r="DQ55" i="20"/>
  <c r="DP55" i="20"/>
  <c r="DO55" i="20"/>
  <c r="DN55" i="20"/>
  <c r="DI55" i="20"/>
  <c r="DH55" i="20"/>
  <c r="DC55" i="20"/>
  <c r="DB55" i="20"/>
  <c r="CW55" i="20"/>
  <c r="CU55" i="20"/>
  <c r="CP55" i="20"/>
  <c r="CN55" i="20"/>
  <c r="CI55" i="20"/>
  <c r="CG55" i="20"/>
  <c r="CB55" i="20"/>
  <c r="BZ55" i="20"/>
  <c r="BU55" i="20"/>
  <c r="BS55" i="20"/>
  <c r="BN55" i="20"/>
  <c r="BL55" i="20"/>
  <c r="BG55" i="20"/>
  <c r="BE55" i="20"/>
  <c r="AZ55" i="20"/>
  <c r="AY55" i="20"/>
  <c r="AT55" i="20"/>
  <c r="AS55" i="20"/>
  <c r="AL55" i="20"/>
  <c r="AJ55" i="20"/>
  <c r="AI55" i="20"/>
  <c r="AH55" i="20"/>
  <c r="AB55" i="20"/>
  <c r="AA55" i="20"/>
  <c r="V55" i="20"/>
  <c r="U55" i="20"/>
  <c r="AE55" i="20" s="1"/>
  <c r="DS54" i="20"/>
  <c r="DR54" i="20"/>
  <c r="DQ54" i="20"/>
  <c r="DP54" i="20"/>
  <c r="DO54" i="20"/>
  <c r="DN54" i="20"/>
  <c r="DI54" i="20"/>
  <c r="DH54" i="20"/>
  <c r="DC54" i="20"/>
  <c r="DB54" i="20"/>
  <c r="CW54" i="20"/>
  <c r="CU54" i="20"/>
  <c r="CP54" i="20"/>
  <c r="CN54" i="20"/>
  <c r="CI54" i="20"/>
  <c r="CG54" i="20"/>
  <c r="CB54" i="20"/>
  <c r="BZ54" i="20"/>
  <c r="BU54" i="20"/>
  <c r="BS54" i="20"/>
  <c r="BN54" i="20"/>
  <c r="BL54" i="20"/>
  <c r="BG54" i="20"/>
  <c r="BE54" i="20"/>
  <c r="AZ54" i="20"/>
  <c r="AY54" i="20"/>
  <c r="AT54" i="20"/>
  <c r="AS54" i="20"/>
  <c r="AL54" i="20"/>
  <c r="AK54" i="20"/>
  <c r="AJ54" i="20"/>
  <c r="AI54" i="20"/>
  <c r="AH54" i="20"/>
  <c r="AG54" i="20"/>
  <c r="AB54" i="20"/>
  <c r="AA54" i="20"/>
  <c r="V54" i="20"/>
  <c r="U54" i="20"/>
  <c r="DS53" i="20"/>
  <c r="DR53" i="20"/>
  <c r="DQ53" i="20"/>
  <c r="DP53" i="20"/>
  <c r="DO53" i="20"/>
  <c r="DN53" i="20"/>
  <c r="DI53" i="20"/>
  <c r="DH53" i="20"/>
  <c r="DC53" i="20"/>
  <c r="DB53" i="20"/>
  <c r="CW53" i="20"/>
  <c r="CU53" i="20"/>
  <c r="CP53" i="20"/>
  <c r="CN53" i="20"/>
  <c r="CI53" i="20"/>
  <c r="CG53" i="20"/>
  <c r="CB53" i="20"/>
  <c r="BZ53" i="20"/>
  <c r="BU53" i="20"/>
  <c r="BS53" i="20"/>
  <c r="BN53" i="20"/>
  <c r="BL53" i="20"/>
  <c r="BG53" i="20"/>
  <c r="BE53" i="20"/>
  <c r="AZ53" i="20"/>
  <c r="AY53" i="20"/>
  <c r="AT53" i="20"/>
  <c r="AS53" i="20"/>
  <c r="AL53" i="20"/>
  <c r="AK53" i="20"/>
  <c r="AJ53" i="20"/>
  <c r="AI53" i="20"/>
  <c r="AH53" i="20"/>
  <c r="AG53" i="20"/>
  <c r="AB53" i="20"/>
  <c r="AA53" i="20"/>
  <c r="V53" i="20"/>
  <c r="U53" i="20"/>
  <c r="DS52" i="20"/>
  <c r="DR52" i="20"/>
  <c r="DQ52" i="20"/>
  <c r="DP52" i="20"/>
  <c r="DO52" i="20"/>
  <c r="DN52" i="20"/>
  <c r="DI52" i="20"/>
  <c r="DH52" i="20"/>
  <c r="DC52" i="20"/>
  <c r="DB52" i="20"/>
  <c r="CW52" i="20"/>
  <c r="CU52" i="20"/>
  <c r="CP52" i="20"/>
  <c r="CN52" i="20"/>
  <c r="CI52" i="20"/>
  <c r="CG52" i="20"/>
  <c r="CB52" i="20"/>
  <c r="BZ52" i="20"/>
  <c r="BU52" i="20"/>
  <c r="BS52" i="20"/>
  <c r="BN52" i="20"/>
  <c r="BL52" i="20"/>
  <c r="BG52" i="20"/>
  <c r="BE52" i="20"/>
  <c r="AZ52" i="20"/>
  <c r="AY52" i="20"/>
  <c r="AT52" i="20"/>
  <c r="AS52" i="20"/>
  <c r="AL52" i="20"/>
  <c r="AK52" i="20"/>
  <c r="AJ52" i="20"/>
  <c r="AI52" i="20"/>
  <c r="AH52" i="20"/>
  <c r="AG52" i="20"/>
  <c r="AB52" i="20"/>
  <c r="AA52" i="20"/>
  <c r="V52" i="20"/>
  <c r="U52" i="20"/>
  <c r="DS51" i="20"/>
  <c r="DR51" i="20"/>
  <c r="DQ51" i="20"/>
  <c r="DP51" i="20"/>
  <c r="DO51" i="20"/>
  <c r="DN51" i="20"/>
  <c r="DI51" i="20"/>
  <c r="DH51" i="20"/>
  <c r="DC51" i="20"/>
  <c r="DB51" i="20"/>
  <c r="CW51" i="20"/>
  <c r="CU51" i="20"/>
  <c r="CP51" i="20"/>
  <c r="CN51" i="20"/>
  <c r="CI51" i="20"/>
  <c r="CG51" i="20"/>
  <c r="CB51" i="20"/>
  <c r="BZ51" i="20"/>
  <c r="BU51" i="20"/>
  <c r="BS51" i="20"/>
  <c r="BN51" i="20"/>
  <c r="BL51" i="20"/>
  <c r="BG51" i="20"/>
  <c r="BE51" i="20"/>
  <c r="AZ51" i="20"/>
  <c r="AY51" i="20"/>
  <c r="AT51" i="20"/>
  <c r="AS51" i="20"/>
  <c r="AL51" i="20"/>
  <c r="AK51" i="20"/>
  <c r="AJ51" i="20"/>
  <c r="AI51" i="20"/>
  <c r="AH51" i="20"/>
  <c r="AG51" i="20"/>
  <c r="AB51" i="20"/>
  <c r="AA51" i="20"/>
  <c r="V51" i="20"/>
  <c r="U51" i="20"/>
  <c r="DS50" i="20"/>
  <c r="DR50" i="20"/>
  <c r="DQ50" i="20"/>
  <c r="DP50" i="20"/>
  <c r="DO50" i="20"/>
  <c r="DN50" i="20"/>
  <c r="DI50" i="20"/>
  <c r="DH50" i="20"/>
  <c r="DC50" i="20"/>
  <c r="DB50" i="20"/>
  <c r="CW50" i="20"/>
  <c r="CU50" i="20"/>
  <c r="CP50" i="20"/>
  <c r="CN50" i="20"/>
  <c r="CI50" i="20"/>
  <c r="CG50" i="20"/>
  <c r="CB50" i="20"/>
  <c r="BZ50" i="20"/>
  <c r="BU50" i="20"/>
  <c r="BS50" i="20"/>
  <c r="BN50" i="20"/>
  <c r="BL50" i="20"/>
  <c r="BG50" i="20"/>
  <c r="BE50" i="20"/>
  <c r="AZ50" i="20"/>
  <c r="AY50" i="20"/>
  <c r="AT50" i="20"/>
  <c r="AS50" i="20"/>
  <c r="AL50" i="20"/>
  <c r="AK50" i="20"/>
  <c r="AJ50" i="20"/>
  <c r="AI50" i="20"/>
  <c r="AH50" i="20"/>
  <c r="AG50" i="20"/>
  <c r="AB50" i="20"/>
  <c r="AA50" i="20"/>
  <c r="V50" i="20"/>
  <c r="U50" i="20"/>
  <c r="DS49" i="20"/>
  <c r="DR49" i="20"/>
  <c r="DQ49" i="20"/>
  <c r="DP49" i="20"/>
  <c r="DO49" i="20"/>
  <c r="DN49" i="20"/>
  <c r="DI49" i="20"/>
  <c r="DH49" i="20"/>
  <c r="DC49" i="20"/>
  <c r="DB49" i="20"/>
  <c r="CW49" i="20"/>
  <c r="CU49" i="20"/>
  <c r="CP49" i="20"/>
  <c r="CN49" i="20"/>
  <c r="CI49" i="20"/>
  <c r="CG49" i="20"/>
  <c r="CB49" i="20"/>
  <c r="BZ49" i="20"/>
  <c r="BU49" i="20"/>
  <c r="BS49" i="20"/>
  <c r="BN49" i="20"/>
  <c r="BL49" i="20"/>
  <c r="BG49" i="20"/>
  <c r="BE49" i="20"/>
  <c r="AZ49" i="20"/>
  <c r="AY49" i="20"/>
  <c r="AT49" i="20"/>
  <c r="AS49" i="20"/>
  <c r="AL49" i="20"/>
  <c r="AK49" i="20"/>
  <c r="AJ49" i="20"/>
  <c r="AI49" i="20"/>
  <c r="AH49" i="20"/>
  <c r="AG49" i="20"/>
  <c r="AB49" i="20"/>
  <c r="AA49" i="20"/>
  <c r="V49" i="20"/>
  <c r="U49" i="20"/>
  <c r="DS48" i="20"/>
  <c r="DR48" i="20"/>
  <c r="DQ48" i="20"/>
  <c r="DP48" i="20"/>
  <c r="DO48" i="20"/>
  <c r="DN48" i="20"/>
  <c r="DI48" i="20"/>
  <c r="DH48" i="20"/>
  <c r="DC48" i="20"/>
  <c r="DB48" i="20"/>
  <c r="CW48" i="20"/>
  <c r="CU48" i="20"/>
  <c r="CP48" i="20"/>
  <c r="CN48" i="20"/>
  <c r="CI48" i="20"/>
  <c r="CG48" i="20"/>
  <c r="CB48" i="20"/>
  <c r="BZ48" i="20"/>
  <c r="BU48" i="20"/>
  <c r="BS48" i="20"/>
  <c r="BN48" i="20"/>
  <c r="BL48" i="20"/>
  <c r="BG48" i="20"/>
  <c r="BE48" i="20"/>
  <c r="AZ48" i="20"/>
  <c r="AY48" i="20"/>
  <c r="AT48" i="20"/>
  <c r="AS48" i="20"/>
  <c r="AL48" i="20"/>
  <c r="AK48" i="20"/>
  <c r="AJ48" i="20"/>
  <c r="AI48" i="20"/>
  <c r="AH48" i="20"/>
  <c r="AG48" i="20"/>
  <c r="AB48" i="20"/>
  <c r="AA48" i="20"/>
  <c r="V48" i="20"/>
  <c r="U48" i="20"/>
  <c r="DS47" i="20"/>
  <c r="DR47" i="20"/>
  <c r="DQ47" i="20"/>
  <c r="DP47" i="20"/>
  <c r="DO47" i="20"/>
  <c r="DN47" i="20"/>
  <c r="DI47" i="20"/>
  <c r="DH47" i="20"/>
  <c r="DC47" i="20"/>
  <c r="DB47" i="20"/>
  <c r="CW47" i="20"/>
  <c r="CU47" i="20"/>
  <c r="CP47" i="20"/>
  <c r="CN47" i="20"/>
  <c r="CI47" i="20"/>
  <c r="CG47" i="20"/>
  <c r="CB47" i="20"/>
  <c r="BZ47" i="20"/>
  <c r="BU47" i="20"/>
  <c r="BS47" i="20"/>
  <c r="BN47" i="20"/>
  <c r="BL47" i="20"/>
  <c r="BG47" i="20"/>
  <c r="BE47" i="20"/>
  <c r="AZ47" i="20"/>
  <c r="AY47" i="20"/>
  <c r="AT47" i="20"/>
  <c r="AS47" i="20"/>
  <c r="AL47" i="20"/>
  <c r="AK47" i="20"/>
  <c r="AJ47" i="20"/>
  <c r="AI47" i="20"/>
  <c r="AH47" i="20"/>
  <c r="AG47" i="20"/>
  <c r="AB47" i="20"/>
  <c r="AA47" i="20"/>
  <c r="V47" i="20"/>
  <c r="U47" i="20"/>
  <c r="DS46" i="20"/>
  <c r="DR46" i="20"/>
  <c r="DQ46" i="20"/>
  <c r="DP46" i="20"/>
  <c r="DO46" i="20"/>
  <c r="DN46" i="20"/>
  <c r="DI46" i="20"/>
  <c r="DH46" i="20"/>
  <c r="DC46" i="20"/>
  <c r="DB46" i="20"/>
  <c r="CW46" i="20"/>
  <c r="CU46" i="20"/>
  <c r="CP46" i="20"/>
  <c r="CN46" i="20"/>
  <c r="CI46" i="20"/>
  <c r="CG46" i="20"/>
  <c r="CB46" i="20"/>
  <c r="BZ46" i="20"/>
  <c r="BU46" i="20"/>
  <c r="BS46" i="20"/>
  <c r="BN46" i="20"/>
  <c r="BL46" i="20"/>
  <c r="BG46" i="20"/>
  <c r="BE46" i="20"/>
  <c r="AZ46" i="20"/>
  <c r="AY46" i="20"/>
  <c r="AT46" i="20"/>
  <c r="AS46" i="20"/>
  <c r="AL46" i="20"/>
  <c r="AK46" i="20"/>
  <c r="AJ46" i="20"/>
  <c r="AI46" i="20"/>
  <c r="AH46" i="20"/>
  <c r="AG46" i="20"/>
  <c r="AB46" i="20"/>
  <c r="AA46" i="20"/>
  <c r="V46" i="20"/>
  <c r="U46" i="20"/>
  <c r="DS45" i="20"/>
  <c r="DR45" i="20"/>
  <c r="DQ45" i="20"/>
  <c r="DP45" i="20"/>
  <c r="DO45" i="20"/>
  <c r="DN45" i="20"/>
  <c r="DI45" i="20"/>
  <c r="DH45" i="20"/>
  <c r="DC45" i="20"/>
  <c r="DB45" i="20"/>
  <c r="CW45" i="20"/>
  <c r="CU45" i="20"/>
  <c r="CP45" i="20"/>
  <c r="CN45" i="20"/>
  <c r="CI45" i="20"/>
  <c r="CG45" i="20"/>
  <c r="CB45" i="20"/>
  <c r="BZ45" i="20"/>
  <c r="BU45" i="20"/>
  <c r="BS45" i="20"/>
  <c r="BN45" i="20"/>
  <c r="BL45" i="20"/>
  <c r="BG45" i="20"/>
  <c r="BE45" i="20"/>
  <c r="AZ45" i="20"/>
  <c r="AY45" i="20"/>
  <c r="AT45" i="20"/>
  <c r="AS45" i="20"/>
  <c r="AL45" i="20"/>
  <c r="AK45" i="20"/>
  <c r="AJ45" i="20"/>
  <c r="AI45" i="20"/>
  <c r="AH45" i="20"/>
  <c r="AG45" i="20"/>
  <c r="AB45" i="20"/>
  <c r="AA45" i="20"/>
  <c r="V45" i="20"/>
  <c r="U45" i="20"/>
  <c r="DS44" i="20"/>
  <c r="DR44" i="20"/>
  <c r="DQ44" i="20"/>
  <c r="DP44" i="20"/>
  <c r="DO44" i="20"/>
  <c r="DN44" i="20"/>
  <c r="DI44" i="20"/>
  <c r="DH44" i="20"/>
  <c r="DC44" i="20"/>
  <c r="DB44" i="20"/>
  <c r="CW44" i="20"/>
  <c r="CU44" i="20"/>
  <c r="CP44" i="20"/>
  <c r="CN44" i="20"/>
  <c r="CI44" i="20"/>
  <c r="CG44" i="20"/>
  <c r="CB44" i="20"/>
  <c r="BZ44" i="20"/>
  <c r="BU44" i="20"/>
  <c r="BS44" i="20"/>
  <c r="BN44" i="20"/>
  <c r="BL44" i="20"/>
  <c r="BG44" i="20"/>
  <c r="BE44" i="20"/>
  <c r="AZ44" i="20"/>
  <c r="AY44" i="20"/>
  <c r="AT44" i="20"/>
  <c r="AS44" i="20"/>
  <c r="AL44" i="20"/>
  <c r="AK44" i="20"/>
  <c r="AJ44" i="20"/>
  <c r="AI44" i="20"/>
  <c r="AH44" i="20"/>
  <c r="AG44" i="20"/>
  <c r="AB44" i="20"/>
  <c r="AA44" i="20"/>
  <c r="V44" i="20"/>
  <c r="U44" i="20"/>
  <c r="DS43" i="20"/>
  <c r="DR43" i="20"/>
  <c r="DQ43" i="20"/>
  <c r="DP43" i="20"/>
  <c r="DO43" i="20"/>
  <c r="DN43" i="20"/>
  <c r="DI43" i="20"/>
  <c r="DH43" i="20"/>
  <c r="DC43" i="20"/>
  <c r="DB43" i="20"/>
  <c r="CW43" i="20"/>
  <c r="CU43" i="20"/>
  <c r="CP43" i="20"/>
  <c r="CN43" i="20"/>
  <c r="CI43" i="20"/>
  <c r="CG43" i="20"/>
  <c r="CB43" i="20"/>
  <c r="BZ43" i="20"/>
  <c r="BU43" i="20"/>
  <c r="BS43" i="20"/>
  <c r="BN43" i="20"/>
  <c r="BL43" i="20"/>
  <c r="BG43" i="20"/>
  <c r="BE43" i="20"/>
  <c r="AZ43" i="20"/>
  <c r="AY43" i="20"/>
  <c r="AT43" i="20"/>
  <c r="AS43" i="20"/>
  <c r="AL43" i="20"/>
  <c r="AJ43" i="20"/>
  <c r="AI43" i="20"/>
  <c r="AH43" i="20"/>
  <c r="AE43" i="20"/>
  <c r="AG43" i="20" s="1"/>
  <c r="AB43" i="20"/>
  <c r="AA43" i="20"/>
  <c r="V43" i="20"/>
  <c r="U43" i="20"/>
  <c r="DS42" i="20"/>
  <c r="DR42" i="20"/>
  <c r="DQ42" i="20"/>
  <c r="DP42" i="20"/>
  <c r="DO42" i="20"/>
  <c r="DN42" i="20"/>
  <c r="DI42" i="20"/>
  <c r="DH42" i="20"/>
  <c r="DC42" i="20"/>
  <c r="DB42" i="20"/>
  <c r="CW42" i="20"/>
  <c r="CU42" i="20"/>
  <c r="CP42" i="20"/>
  <c r="CN42" i="20"/>
  <c r="CI42" i="20"/>
  <c r="CG42" i="20"/>
  <c r="CB42" i="20"/>
  <c r="BZ42" i="20"/>
  <c r="BU42" i="20"/>
  <c r="BS42" i="20"/>
  <c r="BN42" i="20"/>
  <c r="BL42" i="20"/>
  <c r="BG42" i="20"/>
  <c r="BE42" i="20"/>
  <c r="AZ42" i="20"/>
  <c r="AY42" i="20"/>
  <c r="AT42" i="20"/>
  <c r="AS42" i="20"/>
  <c r="AL42" i="20"/>
  <c r="AK42" i="20"/>
  <c r="AJ42" i="20"/>
  <c r="AI42" i="20"/>
  <c r="AH42" i="20"/>
  <c r="AG42" i="20"/>
  <c r="AB42" i="20"/>
  <c r="AA42" i="20"/>
  <c r="V42" i="20"/>
  <c r="U42" i="20"/>
  <c r="DS41" i="20"/>
  <c r="DR41" i="20"/>
  <c r="DQ41" i="20"/>
  <c r="DP41" i="20"/>
  <c r="DO41" i="20"/>
  <c r="DN41" i="20"/>
  <c r="DI41" i="20"/>
  <c r="DH41" i="20"/>
  <c r="DC41" i="20"/>
  <c r="DB41" i="20"/>
  <c r="CW41" i="20"/>
  <c r="CU41" i="20"/>
  <c r="CP41" i="20"/>
  <c r="CN41" i="20"/>
  <c r="CI41" i="20"/>
  <c r="CG41" i="20"/>
  <c r="CB41" i="20"/>
  <c r="BZ41" i="20"/>
  <c r="BU41" i="20"/>
  <c r="BS41" i="20"/>
  <c r="BN41" i="20"/>
  <c r="BL41" i="20"/>
  <c r="BG41" i="20"/>
  <c r="BE41" i="20"/>
  <c r="AZ41" i="20"/>
  <c r="AY41" i="20"/>
  <c r="AT41" i="20"/>
  <c r="AS41" i="20"/>
  <c r="AL41" i="20"/>
  <c r="AK41" i="20"/>
  <c r="AJ41" i="20"/>
  <c r="AI41" i="20"/>
  <c r="AH41" i="20"/>
  <c r="AG41" i="20"/>
  <c r="AB41" i="20"/>
  <c r="AA41" i="20"/>
  <c r="V41" i="20"/>
  <c r="U41" i="20"/>
  <c r="DS40" i="20"/>
  <c r="DR40" i="20"/>
  <c r="DQ40" i="20"/>
  <c r="DP40" i="20"/>
  <c r="DO40" i="20"/>
  <c r="DN40" i="20"/>
  <c r="DI40" i="20"/>
  <c r="DH40" i="20"/>
  <c r="DC40" i="20"/>
  <c r="DB40" i="20"/>
  <c r="CW40" i="20"/>
  <c r="CU40" i="20"/>
  <c r="CP40" i="20"/>
  <c r="CN40" i="20"/>
  <c r="CI40" i="20"/>
  <c r="CG40" i="20"/>
  <c r="CB40" i="20"/>
  <c r="BZ40" i="20"/>
  <c r="BU40" i="20"/>
  <c r="BS40" i="20"/>
  <c r="BN40" i="20"/>
  <c r="BL40" i="20"/>
  <c r="BG40" i="20"/>
  <c r="BE40" i="20"/>
  <c r="AZ40" i="20"/>
  <c r="AY40" i="20"/>
  <c r="AT40" i="20"/>
  <c r="AS40" i="20"/>
  <c r="AL40" i="20"/>
  <c r="AK40" i="20"/>
  <c r="AJ40" i="20"/>
  <c r="AI40" i="20"/>
  <c r="AH40" i="20"/>
  <c r="AG40" i="20"/>
  <c r="AB40" i="20"/>
  <c r="AA40" i="20"/>
  <c r="V40" i="20"/>
  <c r="U40" i="20"/>
  <c r="DS39" i="20"/>
  <c r="DR39" i="20"/>
  <c r="DQ39" i="20"/>
  <c r="DP39" i="20"/>
  <c r="DO39" i="20"/>
  <c r="DN39" i="20"/>
  <c r="DI39" i="20"/>
  <c r="DH39" i="20"/>
  <c r="DC39" i="20"/>
  <c r="DB39" i="20"/>
  <c r="CW39" i="20"/>
  <c r="CU39" i="20"/>
  <c r="CP39" i="20"/>
  <c r="CN39" i="20"/>
  <c r="CI39" i="20"/>
  <c r="CG39" i="20"/>
  <c r="CB39" i="20"/>
  <c r="BZ39" i="20"/>
  <c r="BU39" i="20"/>
  <c r="BS39" i="20"/>
  <c r="BN39" i="20"/>
  <c r="BL39" i="20"/>
  <c r="BG39" i="20"/>
  <c r="BE39" i="20"/>
  <c r="AZ39" i="20"/>
  <c r="AY39" i="20"/>
  <c r="AT39" i="20"/>
  <c r="AS39" i="20"/>
  <c r="AL39" i="20"/>
  <c r="AK39" i="20"/>
  <c r="AJ39" i="20"/>
  <c r="AI39" i="20"/>
  <c r="AH39" i="20"/>
  <c r="AG39" i="20"/>
  <c r="AB39" i="20"/>
  <c r="AA39" i="20"/>
  <c r="V39" i="20"/>
  <c r="U39" i="20"/>
  <c r="DS38" i="20"/>
  <c r="DR38" i="20"/>
  <c r="DQ38" i="20"/>
  <c r="DP38" i="20"/>
  <c r="DO38" i="20"/>
  <c r="DN38" i="20"/>
  <c r="DI38" i="20"/>
  <c r="DH38" i="20"/>
  <c r="DC38" i="20"/>
  <c r="DB38" i="20"/>
  <c r="CW38" i="20"/>
  <c r="CU38" i="20"/>
  <c r="CP38" i="20"/>
  <c r="CN38" i="20"/>
  <c r="CI38" i="20"/>
  <c r="CG38" i="20"/>
  <c r="CB38" i="20"/>
  <c r="BZ38" i="20"/>
  <c r="BU38" i="20"/>
  <c r="BS38" i="20"/>
  <c r="BN38" i="20"/>
  <c r="BL38" i="20"/>
  <c r="BG38" i="20"/>
  <c r="BE38" i="20"/>
  <c r="AZ38" i="20"/>
  <c r="AY38" i="20"/>
  <c r="AT38" i="20"/>
  <c r="AS38" i="20"/>
  <c r="AL38" i="20"/>
  <c r="AK38" i="20"/>
  <c r="AJ38" i="20"/>
  <c r="AI38" i="20"/>
  <c r="AH38" i="20"/>
  <c r="AG38" i="20"/>
  <c r="AB38" i="20"/>
  <c r="AA38" i="20"/>
  <c r="V38" i="20"/>
  <c r="U38" i="20"/>
  <c r="DS37" i="20"/>
  <c r="DR37" i="20"/>
  <c r="DQ37" i="20"/>
  <c r="DP37" i="20"/>
  <c r="DO37" i="20"/>
  <c r="DN37" i="20"/>
  <c r="DI37" i="20"/>
  <c r="DH37" i="20"/>
  <c r="DC37" i="20"/>
  <c r="DB37" i="20"/>
  <c r="CW37" i="20"/>
  <c r="CU37" i="20"/>
  <c r="CP37" i="20"/>
  <c r="CN37" i="20"/>
  <c r="CI37" i="20"/>
  <c r="CG37" i="20"/>
  <c r="CB37" i="20"/>
  <c r="BZ37" i="20"/>
  <c r="BU37" i="20"/>
  <c r="BS37" i="20"/>
  <c r="BN37" i="20"/>
  <c r="BL37" i="20"/>
  <c r="BG37" i="20"/>
  <c r="BE37" i="20"/>
  <c r="AZ37" i="20"/>
  <c r="AY37" i="20"/>
  <c r="AT37" i="20"/>
  <c r="AS37" i="20"/>
  <c r="AL37" i="20"/>
  <c r="AK37" i="20"/>
  <c r="AJ37" i="20"/>
  <c r="AI37" i="20"/>
  <c r="AH37" i="20"/>
  <c r="AG37" i="20"/>
  <c r="AB37" i="20"/>
  <c r="AA37" i="20"/>
  <c r="V37" i="20"/>
  <c r="U37" i="20"/>
  <c r="DS36" i="20"/>
  <c r="DR36" i="20"/>
  <c r="DQ36" i="20"/>
  <c r="DP36" i="20"/>
  <c r="DO36" i="20"/>
  <c r="DN36" i="20"/>
  <c r="DI36" i="20"/>
  <c r="DH36" i="20"/>
  <c r="DC36" i="20"/>
  <c r="DB36" i="20"/>
  <c r="CW36" i="20"/>
  <c r="CU36" i="20"/>
  <c r="CP36" i="20"/>
  <c r="CN36" i="20"/>
  <c r="CI36" i="20"/>
  <c r="CG36" i="20"/>
  <c r="CB36" i="20"/>
  <c r="BZ36" i="20"/>
  <c r="BU36" i="20"/>
  <c r="BS36" i="20"/>
  <c r="BN36" i="20"/>
  <c r="BL36" i="20"/>
  <c r="BG36" i="20"/>
  <c r="BE36" i="20"/>
  <c r="AZ36" i="20"/>
  <c r="AY36" i="20"/>
  <c r="AT36" i="20"/>
  <c r="AS36" i="20"/>
  <c r="AL36" i="20"/>
  <c r="AK36" i="20"/>
  <c r="AJ36" i="20"/>
  <c r="AI36" i="20"/>
  <c r="AH36" i="20"/>
  <c r="AG36" i="20"/>
  <c r="AB36" i="20"/>
  <c r="AA36" i="20"/>
  <c r="V36" i="20"/>
  <c r="U36" i="20"/>
  <c r="DS35" i="20"/>
  <c r="DR35" i="20"/>
  <c r="DQ35" i="20"/>
  <c r="DP35" i="20"/>
  <c r="DO35" i="20"/>
  <c r="DN35" i="20"/>
  <c r="DI35" i="20"/>
  <c r="DH35" i="20"/>
  <c r="DC35" i="20"/>
  <c r="DB35" i="20"/>
  <c r="CW35" i="20"/>
  <c r="CU35" i="20"/>
  <c r="CP35" i="20"/>
  <c r="CN35" i="20"/>
  <c r="CI35" i="20"/>
  <c r="CG35" i="20"/>
  <c r="CB35" i="20"/>
  <c r="BZ35" i="20"/>
  <c r="BU35" i="20"/>
  <c r="BS35" i="20"/>
  <c r="BN35" i="20"/>
  <c r="BL35" i="20"/>
  <c r="BG35" i="20"/>
  <c r="BE35" i="20"/>
  <c r="AZ35" i="20"/>
  <c r="AY35" i="20"/>
  <c r="AT35" i="20"/>
  <c r="AS35" i="20"/>
  <c r="AL35" i="20"/>
  <c r="AK35" i="20"/>
  <c r="AJ35" i="20"/>
  <c r="AI35" i="20"/>
  <c r="AH35" i="20"/>
  <c r="AG35" i="20"/>
  <c r="AB35" i="20"/>
  <c r="AA35" i="20"/>
  <c r="V35" i="20"/>
  <c r="U35" i="20"/>
  <c r="DS34" i="20"/>
  <c r="DR34" i="20"/>
  <c r="DQ34" i="20"/>
  <c r="DP34" i="20"/>
  <c r="DO34" i="20"/>
  <c r="DN34" i="20"/>
  <c r="DI34" i="20"/>
  <c r="DH34" i="20"/>
  <c r="DC34" i="20"/>
  <c r="DB34" i="20"/>
  <c r="CW34" i="20"/>
  <c r="CU34" i="20"/>
  <c r="CP34" i="20"/>
  <c r="CN34" i="20"/>
  <c r="CI34" i="20"/>
  <c r="CG34" i="20"/>
  <c r="CB34" i="20"/>
  <c r="BZ34" i="20"/>
  <c r="BU34" i="20"/>
  <c r="BS34" i="20"/>
  <c r="BN34" i="20"/>
  <c r="BL34" i="20"/>
  <c r="BG34" i="20"/>
  <c r="BE34" i="20"/>
  <c r="AZ34" i="20"/>
  <c r="AY34" i="20"/>
  <c r="AT34" i="20"/>
  <c r="AS34" i="20"/>
  <c r="AL34" i="20"/>
  <c r="AK34" i="20"/>
  <c r="AJ34" i="20"/>
  <c r="AI34" i="20"/>
  <c r="AH34" i="20"/>
  <c r="AG34" i="20"/>
  <c r="AB34" i="20"/>
  <c r="AA34" i="20"/>
  <c r="V34" i="20"/>
  <c r="U34" i="20"/>
  <c r="DS33" i="20"/>
  <c r="DR33" i="20"/>
  <c r="DQ33" i="20"/>
  <c r="DP33" i="20"/>
  <c r="DO33" i="20"/>
  <c r="DN33" i="20"/>
  <c r="DI33" i="20"/>
  <c r="DH33" i="20"/>
  <c r="DC33" i="20"/>
  <c r="DB33" i="20"/>
  <c r="CW33" i="20"/>
  <c r="CU33" i="20"/>
  <c r="CP33" i="20"/>
  <c r="CN33" i="20"/>
  <c r="CI33" i="20"/>
  <c r="CG33" i="20"/>
  <c r="CB33" i="20"/>
  <c r="BZ33" i="20"/>
  <c r="BU33" i="20"/>
  <c r="BS33" i="20"/>
  <c r="BN33" i="20"/>
  <c r="BL33" i="20"/>
  <c r="BG33" i="20"/>
  <c r="BE33" i="20"/>
  <c r="AZ33" i="20"/>
  <c r="AY33" i="20"/>
  <c r="AT33" i="20"/>
  <c r="AS33" i="20"/>
  <c r="AL33" i="20"/>
  <c r="AK33" i="20"/>
  <c r="AJ33" i="20"/>
  <c r="AI33" i="20"/>
  <c r="AH33" i="20"/>
  <c r="AG33" i="20"/>
  <c r="AB33" i="20"/>
  <c r="AA33" i="20"/>
  <c r="V33" i="20"/>
  <c r="U33" i="20"/>
  <c r="DS32" i="20"/>
  <c r="DR32" i="20"/>
  <c r="DQ32" i="20"/>
  <c r="DP32" i="20"/>
  <c r="DO32" i="20"/>
  <c r="DN32" i="20"/>
  <c r="DI32" i="20"/>
  <c r="DH32" i="20"/>
  <c r="DC32" i="20"/>
  <c r="DB32" i="20"/>
  <c r="CW32" i="20"/>
  <c r="CU32" i="20"/>
  <c r="CP32" i="20"/>
  <c r="CN32" i="20"/>
  <c r="CI32" i="20"/>
  <c r="CG32" i="20"/>
  <c r="CB32" i="20"/>
  <c r="BZ32" i="20"/>
  <c r="BU32" i="20"/>
  <c r="BS32" i="20"/>
  <c r="BN32" i="20"/>
  <c r="BL32" i="20"/>
  <c r="BG32" i="20"/>
  <c r="BE32" i="20"/>
  <c r="AZ32" i="20"/>
  <c r="AY32" i="20"/>
  <c r="AT32" i="20"/>
  <c r="AS32" i="20"/>
  <c r="AL32" i="20"/>
  <c r="AK32" i="20"/>
  <c r="AJ32" i="20"/>
  <c r="AI32" i="20"/>
  <c r="AH32" i="20"/>
  <c r="AG32" i="20"/>
  <c r="AB32" i="20"/>
  <c r="AA32" i="20"/>
  <c r="V32" i="20"/>
  <c r="U32" i="20"/>
  <c r="DS31" i="20"/>
  <c r="DR31" i="20"/>
  <c r="DQ31" i="20"/>
  <c r="DP31" i="20"/>
  <c r="DO31" i="20"/>
  <c r="DN31" i="20"/>
  <c r="DI31" i="20"/>
  <c r="DH31" i="20"/>
  <c r="DC31" i="20"/>
  <c r="DB31" i="20"/>
  <c r="CW31" i="20"/>
  <c r="CU31" i="20"/>
  <c r="CP31" i="20"/>
  <c r="CN31" i="20"/>
  <c r="CI31" i="20"/>
  <c r="CG31" i="20"/>
  <c r="CB31" i="20"/>
  <c r="BZ31" i="20"/>
  <c r="BU31" i="20"/>
  <c r="BS31" i="20"/>
  <c r="BN31" i="20"/>
  <c r="BL31" i="20"/>
  <c r="BG31" i="20"/>
  <c r="BE31" i="20"/>
  <c r="AZ31" i="20"/>
  <c r="AY31" i="20"/>
  <c r="AT31" i="20"/>
  <c r="AS31" i="20"/>
  <c r="AL31" i="20"/>
  <c r="AK31" i="20"/>
  <c r="AJ31" i="20"/>
  <c r="AI31" i="20"/>
  <c r="AH31" i="20"/>
  <c r="AG31" i="20"/>
  <c r="AB31" i="20"/>
  <c r="AA31" i="20"/>
  <c r="V31" i="20"/>
  <c r="U31" i="20"/>
  <c r="DS30" i="20"/>
  <c r="DR30" i="20"/>
  <c r="DQ30" i="20"/>
  <c r="DP30" i="20"/>
  <c r="DO30" i="20"/>
  <c r="DN30" i="20"/>
  <c r="DI30" i="20"/>
  <c r="DH30" i="20"/>
  <c r="DC30" i="20"/>
  <c r="DB30" i="20"/>
  <c r="CW30" i="20"/>
  <c r="CU30" i="20"/>
  <c r="CP30" i="20"/>
  <c r="CN30" i="20"/>
  <c r="CI30" i="20"/>
  <c r="CG30" i="20"/>
  <c r="CB30" i="20"/>
  <c r="BZ30" i="20"/>
  <c r="BU30" i="20"/>
  <c r="BS30" i="20"/>
  <c r="BN30" i="20"/>
  <c r="BL30" i="20"/>
  <c r="BG30" i="20"/>
  <c r="BE30" i="20"/>
  <c r="AZ30" i="20"/>
  <c r="AY30" i="20"/>
  <c r="AT30" i="20"/>
  <c r="AS30" i="20"/>
  <c r="AL30" i="20"/>
  <c r="AK30" i="20"/>
  <c r="AJ30" i="20"/>
  <c r="AI30" i="20"/>
  <c r="AH30" i="20"/>
  <c r="AG30" i="20"/>
  <c r="AB30" i="20"/>
  <c r="AA30" i="20"/>
  <c r="V30" i="20"/>
  <c r="U30" i="20"/>
  <c r="DS29" i="20"/>
  <c r="DR29" i="20"/>
  <c r="DQ29" i="20"/>
  <c r="DP29" i="20"/>
  <c r="DO29" i="20"/>
  <c r="DN29" i="20"/>
  <c r="DI29" i="20"/>
  <c r="DH29" i="20"/>
  <c r="DC29" i="20"/>
  <c r="DB29" i="20"/>
  <c r="CW29" i="20"/>
  <c r="CU29" i="20"/>
  <c r="CP29" i="20"/>
  <c r="CN29" i="20"/>
  <c r="CI29" i="20"/>
  <c r="CG29" i="20"/>
  <c r="CB29" i="20"/>
  <c r="BZ29" i="20"/>
  <c r="BU29" i="20"/>
  <c r="BS29" i="20"/>
  <c r="BN29" i="20"/>
  <c r="BL29" i="20"/>
  <c r="BG29" i="20"/>
  <c r="BE29" i="20"/>
  <c r="AZ29" i="20"/>
  <c r="AY29" i="20"/>
  <c r="AT29" i="20"/>
  <c r="AS29" i="20"/>
  <c r="AL29" i="20"/>
  <c r="AK29" i="20"/>
  <c r="AJ29" i="20"/>
  <c r="AI29" i="20"/>
  <c r="AH29" i="20"/>
  <c r="AG29" i="20"/>
  <c r="AB29" i="20"/>
  <c r="AA29" i="20"/>
  <c r="V29" i="20"/>
  <c r="U29" i="20"/>
  <c r="DS28" i="20"/>
  <c r="DR28" i="20"/>
  <c r="DQ28" i="20"/>
  <c r="DP28" i="20"/>
  <c r="DO28" i="20"/>
  <c r="DN28" i="20"/>
  <c r="DI28" i="20"/>
  <c r="DH28" i="20"/>
  <c r="DC28" i="20"/>
  <c r="DB28" i="20"/>
  <c r="CW28" i="20"/>
  <c r="CU28" i="20"/>
  <c r="CP28" i="20"/>
  <c r="CN28" i="20"/>
  <c r="CI28" i="20"/>
  <c r="CG28" i="20"/>
  <c r="CB28" i="20"/>
  <c r="BZ28" i="20"/>
  <c r="BU28" i="20"/>
  <c r="BS28" i="20"/>
  <c r="BN28" i="20"/>
  <c r="BL28" i="20"/>
  <c r="BG28" i="20"/>
  <c r="BE28" i="20"/>
  <c r="AZ28" i="20"/>
  <c r="AY28" i="20"/>
  <c r="AT28" i="20"/>
  <c r="AS28" i="20"/>
  <c r="AL28" i="20"/>
  <c r="AK28" i="20"/>
  <c r="AJ28" i="20"/>
  <c r="AI28" i="20"/>
  <c r="AH28" i="20"/>
  <c r="AG28" i="20"/>
  <c r="AB28" i="20"/>
  <c r="AA28" i="20"/>
  <c r="V28" i="20"/>
  <c r="U28" i="20"/>
  <c r="K28" i="20"/>
  <c r="DS27" i="20"/>
  <c r="DR27" i="20"/>
  <c r="DQ27" i="20"/>
  <c r="DP27" i="20"/>
  <c r="DO27" i="20"/>
  <c r="DN27" i="20"/>
  <c r="DI27" i="20"/>
  <c r="DH27" i="20"/>
  <c r="DC27" i="20"/>
  <c r="DB27" i="20"/>
  <c r="CW27" i="20"/>
  <c r="CU27" i="20"/>
  <c r="CP27" i="20"/>
  <c r="CN27" i="20"/>
  <c r="CI27" i="20"/>
  <c r="CG27" i="20"/>
  <c r="CB27" i="20"/>
  <c r="BZ27" i="20"/>
  <c r="BU27" i="20"/>
  <c r="BS27" i="20"/>
  <c r="BN27" i="20"/>
  <c r="BL27" i="20"/>
  <c r="BG27" i="20"/>
  <c r="BE27" i="20"/>
  <c r="AZ27" i="20"/>
  <c r="AY27" i="20"/>
  <c r="AT27" i="20"/>
  <c r="AS27" i="20"/>
  <c r="AL27" i="20"/>
  <c r="AK27" i="20"/>
  <c r="AJ27" i="20"/>
  <c r="AI27" i="20"/>
  <c r="AH27" i="20"/>
  <c r="AG27" i="20"/>
  <c r="AB27" i="20"/>
  <c r="AA27" i="20"/>
  <c r="V27" i="20"/>
  <c r="U27" i="20"/>
  <c r="DS26" i="20"/>
  <c r="DR26" i="20"/>
  <c r="DQ26" i="20"/>
  <c r="DP26" i="20"/>
  <c r="DO26" i="20"/>
  <c r="DN26" i="20"/>
  <c r="DI26" i="20"/>
  <c r="DH26" i="20"/>
  <c r="DC26" i="20"/>
  <c r="DB26" i="20"/>
  <c r="CW26" i="20"/>
  <c r="CU26" i="20"/>
  <c r="CP26" i="20"/>
  <c r="CN26" i="20"/>
  <c r="CI26" i="20"/>
  <c r="CG26" i="20"/>
  <c r="CB26" i="20"/>
  <c r="BZ26" i="20"/>
  <c r="BU26" i="20"/>
  <c r="BS26" i="20"/>
  <c r="BN26" i="20"/>
  <c r="BL26" i="20"/>
  <c r="BG26" i="20"/>
  <c r="BE26" i="20"/>
  <c r="AZ26" i="20"/>
  <c r="AY26" i="20"/>
  <c r="AT26" i="20"/>
  <c r="AS26" i="20"/>
  <c r="AL26" i="20"/>
  <c r="AK26" i="20"/>
  <c r="AJ26" i="20"/>
  <c r="AI26" i="20"/>
  <c r="AH26" i="20"/>
  <c r="AG26" i="20"/>
  <c r="AB26" i="20"/>
  <c r="AA26" i="20"/>
  <c r="V26" i="20"/>
  <c r="U26" i="20"/>
  <c r="DS25" i="20"/>
  <c r="DR25" i="20"/>
  <c r="DQ25" i="20"/>
  <c r="DP25" i="20"/>
  <c r="DO25" i="20"/>
  <c r="DN25" i="20"/>
  <c r="DI25" i="20"/>
  <c r="DH25" i="20"/>
  <c r="DC25" i="20"/>
  <c r="DB25" i="20"/>
  <c r="CW25" i="20"/>
  <c r="CU25" i="20"/>
  <c r="CP25" i="20"/>
  <c r="CN25" i="20"/>
  <c r="CI25" i="20"/>
  <c r="CG25" i="20"/>
  <c r="CB25" i="20"/>
  <c r="BZ25" i="20"/>
  <c r="BU25" i="20"/>
  <c r="BS25" i="20"/>
  <c r="BN25" i="20"/>
  <c r="BL25" i="20"/>
  <c r="BG25" i="20"/>
  <c r="BE25" i="20"/>
  <c r="AZ25" i="20"/>
  <c r="AY25" i="20"/>
  <c r="AT25" i="20"/>
  <c r="AS25" i="20"/>
  <c r="AL25" i="20"/>
  <c r="AK25" i="20"/>
  <c r="AJ25" i="20"/>
  <c r="AI25" i="20"/>
  <c r="AH25" i="20"/>
  <c r="AG25" i="20"/>
  <c r="AB25" i="20"/>
  <c r="AA25" i="20"/>
  <c r="V25" i="20"/>
  <c r="U25" i="20"/>
  <c r="DS24" i="20"/>
  <c r="DR24" i="20"/>
  <c r="DQ24" i="20"/>
  <c r="DP24" i="20"/>
  <c r="DO24" i="20"/>
  <c r="DN24" i="20"/>
  <c r="DI24" i="20"/>
  <c r="DH24" i="20"/>
  <c r="DC24" i="20"/>
  <c r="DB24" i="20"/>
  <c r="CW24" i="20"/>
  <c r="CU24" i="20"/>
  <c r="CP24" i="20"/>
  <c r="CN24" i="20"/>
  <c r="CI24" i="20"/>
  <c r="CG24" i="20"/>
  <c r="CB24" i="20"/>
  <c r="BZ24" i="20"/>
  <c r="BU24" i="20"/>
  <c r="BS24" i="20"/>
  <c r="BN24" i="20"/>
  <c r="BL24" i="20"/>
  <c r="BG24" i="20"/>
  <c r="BE24" i="20"/>
  <c r="AZ24" i="20"/>
  <c r="AY24" i="20"/>
  <c r="AT24" i="20"/>
  <c r="AS24" i="20"/>
  <c r="AL24" i="20"/>
  <c r="AK24" i="20"/>
  <c r="AJ24" i="20"/>
  <c r="AI24" i="20"/>
  <c r="AH24" i="20"/>
  <c r="AG24" i="20"/>
  <c r="AB24" i="20"/>
  <c r="AA24" i="20"/>
  <c r="V24" i="20"/>
  <c r="U24" i="20"/>
  <c r="DS23" i="20"/>
  <c r="DR23" i="20"/>
  <c r="DQ23" i="20"/>
  <c r="DP23" i="20"/>
  <c r="DO23" i="20"/>
  <c r="DN23" i="20"/>
  <c r="DI23" i="20"/>
  <c r="DH23" i="20"/>
  <c r="DC23" i="20"/>
  <c r="DB23" i="20"/>
  <c r="CW23" i="20"/>
  <c r="CU23" i="20"/>
  <c r="CP23" i="20"/>
  <c r="CN23" i="20"/>
  <c r="CI23" i="20"/>
  <c r="CG23" i="20"/>
  <c r="CB23" i="20"/>
  <c r="BZ23" i="20"/>
  <c r="BU23" i="20"/>
  <c r="BS23" i="20"/>
  <c r="BN23" i="20"/>
  <c r="BL23" i="20"/>
  <c r="BG23" i="20"/>
  <c r="BE23" i="20"/>
  <c r="AZ23" i="20"/>
  <c r="AY23" i="20"/>
  <c r="AT23" i="20"/>
  <c r="AS23" i="20"/>
  <c r="AL23" i="20"/>
  <c r="AK23" i="20"/>
  <c r="AJ23" i="20"/>
  <c r="AI23" i="20"/>
  <c r="AH23" i="20"/>
  <c r="AG23" i="20"/>
  <c r="AB23" i="20"/>
  <c r="AA23" i="20"/>
  <c r="V23" i="20"/>
  <c r="U23" i="20"/>
  <c r="DS22" i="20"/>
  <c r="DR22" i="20"/>
  <c r="DQ22" i="20"/>
  <c r="DP22" i="20"/>
  <c r="DO22" i="20"/>
  <c r="DN22" i="20"/>
  <c r="DI22" i="20"/>
  <c r="DH22" i="20"/>
  <c r="DC22" i="20"/>
  <c r="DB22" i="20"/>
  <c r="CW22" i="20"/>
  <c r="CU22" i="20"/>
  <c r="CP22" i="20"/>
  <c r="CN22" i="20"/>
  <c r="CI22" i="20"/>
  <c r="CG22" i="20"/>
  <c r="CB22" i="20"/>
  <c r="BZ22" i="20"/>
  <c r="BU22" i="20"/>
  <c r="BS22" i="20"/>
  <c r="BN22" i="20"/>
  <c r="BL22" i="20"/>
  <c r="BG22" i="20"/>
  <c r="BE22" i="20"/>
  <c r="AZ22" i="20"/>
  <c r="AY22" i="20"/>
  <c r="AT22" i="20"/>
  <c r="AS22" i="20"/>
  <c r="AL22" i="20"/>
  <c r="AK22" i="20"/>
  <c r="AJ22" i="20"/>
  <c r="AI22" i="20"/>
  <c r="AH22" i="20"/>
  <c r="AG22" i="20"/>
  <c r="AB22" i="20"/>
  <c r="AA22" i="20"/>
  <c r="V22" i="20"/>
  <c r="U22" i="20"/>
  <c r="DS21" i="20"/>
  <c r="DR21" i="20"/>
  <c r="DQ21" i="20"/>
  <c r="DP21" i="20"/>
  <c r="DO21" i="20"/>
  <c r="DN21" i="20"/>
  <c r="DI21" i="20"/>
  <c r="DH21" i="20"/>
  <c r="DC21" i="20"/>
  <c r="DB21" i="20"/>
  <c r="CW21" i="20"/>
  <c r="CU21" i="20"/>
  <c r="CP21" i="20"/>
  <c r="CN21" i="20"/>
  <c r="CI21" i="20"/>
  <c r="CG21" i="20"/>
  <c r="CB21" i="20"/>
  <c r="BZ21" i="20"/>
  <c r="BU21" i="20"/>
  <c r="BS21" i="20"/>
  <c r="BN21" i="20"/>
  <c r="BL21" i="20"/>
  <c r="BG21" i="20"/>
  <c r="BE21" i="20"/>
  <c r="AZ21" i="20"/>
  <c r="AY21" i="20"/>
  <c r="AT21" i="20"/>
  <c r="AS21" i="20"/>
  <c r="AL21" i="20"/>
  <c r="AK21" i="20"/>
  <c r="AJ21" i="20"/>
  <c r="AI21" i="20"/>
  <c r="AH21" i="20"/>
  <c r="AG21" i="20"/>
  <c r="AB21" i="20"/>
  <c r="AA21" i="20"/>
  <c r="V21" i="20"/>
  <c r="U21" i="20"/>
  <c r="DS20" i="20"/>
  <c r="DR20" i="20"/>
  <c r="DQ20" i="20"/>
  <c r="DP20" i="20"/>
  <c r="DO20" i="20"/>
  <c r="DN20" i="20"/>
  <c r="DI20" i="20"/>
  <c r="DH20" i="20"/>
  <c r="DC20" i="20"/>
  <c r="DB20" i="20"/>
  <c r="CW20" i="20"/>
  <c r="CU20" i="20"/>
  <c r="CP20" i="20"/>
  <c r="CN20" i="20"/>
  <c r="CI20" i="20"/>
  <c r="CG20" i="20"/>
  <c r="CB20" i="20"/>
  <c r="BZ20" i="20"/>
  <c r="BU20" i="20"/>
  <c r="BS20" i="20"/>
  <c r="BN20" i="20"/>
  <c r="BL20" i="20"/>
  <c r="BG20" i="20"/>
  <c r="BE20" i="20"/>
  <c r="AZ20" i="20"/>
  <c r="AY20" i="20"/>
  <c r="AT20" i="20"/>
  <c r="AS20" i="20"/>
  <c r="AL20" i="20"/>
  <c r="AK20" i="20"/>
  <c r="AJ20" i="20"/>
  <c r="AI20" i="20"/>
  <c r="AH20" i="20"/>
  <c r="AG20" i="20"/>
  <c r="AB20" i="20"/>
  <c r="AA20" i="20"/>
  <c r="V20" i="20"/>
  <c r="U20" i="20"/>
  <c r="DS19" i="20"/>
  <c r="DR19" i="20"/>
  <c r="DQ19" i="20"/>
  <c r="DP19" i="20"/>
  <c r="DO19" i="20"/>
  <c r="DN19" i="20"/>
  <c r="DI19" i="20"/>
  <c r="DH19" i="20"/>
  <c r="DC19" i="20"/>
  <c r="DB19" i="20"/>
  <c r="CW19" i="20"/>
  <c r="CU19" i="20"/>
  <c r="CP19" i="20"/>
  <c r="CN19" i="20"/>
  <c r="CI19" i="20"/>
  <c r="CG19" i="20"/>
  <c r="CB19" i="20"/>
  <c r="BZ19" i="20"/>
  <c r="BU19" i="20"/>
  <c r="BS19" i="20"/>
  <c r="BN19" i="20"/>
  <c r="BL19" i="20"/>
  <c r="BG19" i="20"/>
  <c r="BE19" i="20"/>
  <c r="AZ19" i="20"/>
  <c r="AY19" i="20"/>
  <c r="AT19" i="20"/>
  <c r="AS19" i="20"/>
  <c r="AL19" i="20"/>
  <c r="AK19" i="20"/>
  <c r="AJ19" i="20"/>
  <c r="AI19" i="20"/>
  <c r="AH19" i="20"/>
  <c r="AG19" i="20"/>
  <c r="AB19" i="20"/>
  <c r="AA19" i="20"/>
  <c r="V19" i="20"/>
  <c r="U19" i="20"/>
  <c r="DS18" i="20"/>
  <c r="DR18" i="20"/>
  <c r="DQ18" i="20"/>
  <c r="DP18" i="20"/>
  <c r="DO18" i="20"/>
  <c r="DN18" i="20"/>
  <c r="DI18" i="20"/>
  <c r="DH18" i="20"/>
  <c r="DC18" i="20"/>
  <c r="DB18" i="20"/>
  <c r="CW18" i="20"/>
  <c r="CU18" i="20"/>
  <c r="CP18" i="20"/>
  <c r="CN18" i="20"/>
  <c r="CI18" i="20"/>
  <c r="CG18" i="20"/>
  <c r="CB18" i="20"/>
  <c r="BZ18" i="20"/>
  <c r="BU18" i="20"/>
  <c r="BS18" i="20"/>
  <c r="BN18" i="20"/>
  <c r="BL18" i="20"/>
  <c r="BG18" i="20"/>
  <c r="BE18" i="20"/>
  <c r="AZ18" i="20"/>
  <c r="AY18" i="20"/>
  <c r="AT18" i="20"/>
  <c r="AS18" i="20"/>
  <c r="AL18" i="20"/>
  <c r="AK18" i="20"/>
  <c r="AJ18" i="20"/>
  <c r="AI18" i="20"/>
  <c r="AH18" i="20"/>
  <c r="AG18" i="20"/>
  <c r="AB18" i="20"/>
  <c r="AA18" i="20"/>
  <c r="V18" i="20"/>
  <c r="U18" i="20"/>
  <c r="DS17" i="20"/>
  <c r="DR17" i="20"/>
  <c r="DQ17" i="20"/>
  <c r="DP17" i="20"/>
  <c r="DO17" i="20"/>
  <c r="DN17" i="20"/>
  <c r="DI17" i="20"/>
  <c r="DH17" i="20"/>
  <c r="DC17" i="20"/>
  <c r="DB17" i="20"/>
  <c r="CW17" i="20"/>
  <c r="CU17" i="20"/>
  <c r="CP17" i="20"/>
  <c r="CN17" i="20"/>
  <c r="CI17" i="20"/>
  <c r="CG17" i="20"/>
  <c r="CB17" i="20"/>
  <c r="BZ17" i="20"/>
  <c r="BU17" i="20"/>
  <c r="BS17" i="20"/>
  <c r="BN17" i="20"/>
  <c r="BL17" i="20"/>
  <c r="BG17" i="20"/>
  <c r="BE17" i="20"/>
  <c r="AZ17" i="20"/>
  <c r="AY17" i="20"/>
  <c r="AT17" i="20"/>
  <c r="AS17" i="20"/>
  <c r="AL17" i="20"/>
  <c r="AK17" i="20"/>
  <c r="AJ17" i="20"/>
  <c r="AI17" i="20"/>
  <c r="AH17" i="20"/>
  <c r="AG17" i="20"/>
  <c r="AB17" i="20"/>
  <c r="AA17" i="20"/>
  <c r="V17" i="20"/>
  <c r="U17" i="20"/>
  <c r="DS16" i="20"/>
  <c r="DR16" i="20"/>
  <c r="DQ16" i="20"/>
  <c r="DP16" i="20"/>
  <c r="DO16" i="20"/>
  <c r="DN16" i="20"/>
  <c r="DI16" i="20"/>
  <c r="DH16" i="20"/>
  <c r="DC16" i="20"/>
  <c r="DB16" i="20"/>
  <c r="CW16" i="20"/>
  <c r="CU16" i="20"/>
  <c r="CP16" i="20"/>
  <c r="CN16" i="20"/>
  <c r="CI16" i="20"/>
  <c r="CG16" i="20"/>
  <c r="CB16" i="20"/>
  <c r="BZ16" i="20"/>
  <c r="BU16" i="20"/>
  <c r="BS16" i="20"/>
  <c r="BN16" i="20"/>
  <c r="BL16" i="20"/>
  <c r="BG16" i="20"/>
  <c r="BE16" i="20"/>
  <c r="AZ16" i="20"/>
  <c r="AY16" i="20"/>
  <c r="AT16" i="20"/>
  <c r="AS16" i="20"/>
  <c r="AL16" i="20"/>
  <c r="AK16" i="20"/>
  <c r="AJ16" i="20"/>
  <c r="AI16" i="20"/>
  <c r="AH16" i="20"/>
  <c r="AG16" i="20"/>
  <c r="AB16" i="20"/>
  <c r="AA16" i="20"/>
  <c r="V16" i="20"/>
  <c r="U16" i="20"/>
  <c r="DS15" i="20"/>
  <c r="DR15" i="20"/>
  <c r="DQ15" i="20"/>
  <c r="DP15" i="20"/>
  <c r="DO15" i="20"/>
  <c r="DN15" i="20"/>
  <c r="DI15" i="20"/>
  <c r="DH15" i="20"/>
  <c r="DC15" i="20"/>
  <c r="DB15" i="20"/>
  <c r="CW15" i="20"/>
  <c r="CU15" i="20"/>
  <c r="CP15" i="20"/>
  <c r="CN15" i="20"/>
  <c r="CI15" i="20"/>
  <c r="CG15" i="20"/>
  <c r="CB15" i="20"/>
  <c r="BZ15" i="20"/>
  <c r="BU15" i="20"/>
  <c r="BS15" i="20"/>
  <c r="BN15" i="20"/>
  <c r="BL15" i="20"/>
  <c r="BG15" i="20"/>
  <c r="BE15" i="20"/>
  <c r="AZ15" i="20"/>
  <c r="AY15" i="20"/>
  <c r="AT15" i="20"/>
  <c r="AS15" i="20"/>
  <c r="AL15" i="20"/>
  <c r="AK15" i="20"/>
  <c r="AJ15" i="20"/>
  <c r="AI15" i="20"/>
  <c r="AH15" i="20"/>
  <c r="AG15" i="20"/>
  <c r="AB15" i="20"/>
  <c r="AA15" i="20"/>
  <c r="V15" i="20"/>
  <c r="U15" i="20"/>
  <c r="DS14" i="20"/>
  <c r="DR14" i="20"/>
  <c r="DQ14" i="20"/>
  <c r="DP14" i="20"/>
  <c r="DO14" i="20"/>
  <c r="DN14" i="20"/>
  <c r="DI14" i="20"/>
  <c r="DH14" i="20"/>
  <c r="DC14" i="20"/>
  <c r="DB14" i="20"/>
  <c r="CW14" i="20"/>
  <c r="CU14" i="20"/>
  <c r="CP14" i="20"/>
  <c r="CN14" i="20"/>
  <c r="CI14" i="20"/>
  <c r="CG14" i="20"/>
  <c r="CB14" i="20"/>
  <c r="BZ14" i="20"/>
  <c r="BU14" i="20"/>
  <c r="BS14" i="20"/>
  <c r="BN14" i="20"/>
  <c r="BL14" i="20"/>
  <c r="BG14" i="20"/>
  <c r="BE14" i="20"/>
  <c r="AZ14" i="20"/>
  <c r="AY14" i="20"/>
  <c r="AT14" i="20"/>
  <c r="AS14" i="20"/>
  <c r="AL14" i="20"/>
  <c r="AK14" i="20"/>
  <c r="AJ14" i="20"/>
  <c r="AI14" i="20"/>
  <c r="AH14" i="20"/>
  <c r="AG14" i="20"/>
  <c r="AB14" i="20"/>
  <c r="AA14" i="20"/>
  <c r="V14" i="20"/>
  <c r="U14" i="20"/>
  <c r="DS13" i="20"/>
  <c r="DR13" i="20"/>
  <c r="DQ13" i="20"/>
  <c r="DP13" i="20"/>
  <c r="DO13" i="20"/>
  <c r="DN13" i="20"/>
  <c r="DI13" i="20"/>
  <c r="DH13" i="20"/>
  <c r="DC13" i="20"/>
  <c r="DB13" i="20"/>
  <c r="CW13" i="20"/>
  <c r="CU13" i="20"/>
  <c r="CP13" i="20"/>
  <c r="CN13" i="20"/>
  <c r="CI13" i="20"/>
  <c r="CG13" i="20"/>
  <c r="CB13" i="20"/>
  <c r="BZ13" i="20"/>
  <c r="BU13" i="20"/>
  <c r="BS13" i="20"/>
  <c r="BN13" i="20"/>
  <c r="BL13" i="20"/>
  <c r="BG13" i="20"/>
  <c r="BE13" i="20"/>
  <c r="AZ13" i="20"/>
  <c r="AY13" i="20"/>
  <c r="AT13" i="20"/>
  <c r="AS13" i="20"/>
  <c r="AL13" i="20"/>
  <c r="AK13" i="20"/>
  <c r="AJ13" i="20"/>
  <c r="AI13" i="20"/>
  <c r="AH13" i="20"/>
  <c r="AG13" i="20"/>
  <c r="AB13" i="20"/>
  <c r="AA13" i="20"/>
  <c r="V13" i="20"/>
  <c r="U13" i="20"/>
  <c r="DS12" i="20"/>
  <c r="DR12" i="20"/>
  <c r="DQ12" i="20"/>
  <c r="DP12" i="20"/>
  <c r="DO12" i="20"/>
  <c r="DN12" i="20"/>
  <c r="DI12" i="20"/>
  <c r="DH12" i="20"/>
  <c r="DC12" i="20"/>
  <c r="DB12" i="20"/>
  <c r="CW12" i="20"/>
  <c r="CU12" i="20"/>
  <c r="CP12" i="20"/>
  <c r="CN12" i="20"/>
  <c r="CI12" i="20"/>
  <c r="CG12" i="20"/>
  <c r="CB12" i="20"/>
  <c r="BZ12" i="20"/>
  <c r="BU12" i="20"/>
  <c r="BS12" i="20"/>
  <c r="BN12" i="20"/>
  <c r="BL12" i="20"/>
  <c r="BG12" i="20"/>
  <c r="BE12" i="20"/>
  <c r="AZ12" i="20"/>
  <c r="AY12" i="20"/>
  <c r="AT12" i="20"/>
  <c r="AS12" i="20"/>
  <c r="AL12" i="20"/>
  <c r="AK12" i="20"/>
  <c r="AJ12" i="20"/>
  <c r="AI12" i="20"/>
  <c r="AH12" i="20"/>
  <c r="AG12" i="20"/>
  <c r="AB12" i="20"/>
  <c r="AA12" i="20"/>
  <c r="V12" i="20"/>
  <c r="U12" i="20"/>
  <c r="K12" i="20"/>
  <c r="DS11" i="20"/>
  <c r="DR11" i="20"/>
  <c r="DQ11" i="20"/>
  <c r="DP11" i="20"/>
  <c r="DO11" i="20"/>
  <c r="DN11" i="20"/>
  <c r="DI11" i="20"/>
  <c r="DH11" i="20"/>
  <c r="DC11" i="20"/>
  <c r="DB11" i="20"/>
  <c r="CW11" i="20"/>
  <c r="CU11" i="20"/>
  <c r="CP11" i="20"/>
  <c r="CN11" i="20"/>
  <c r="CI11" i="20"/>
  <c r="CG11" i="20"/>
  <c r="CB11" i="20"/>
  <c r="BZ11" i="20"/>
  <c r="BU11" i="20"/>
  <c r="BS11" i="20"/>
  <c r="BN11" i="20"/>
  <c r="BL11" i="20"/>
  <c r="BG11" i="20"/>
  <c r="BE11" i="20"/>
  <c r="AZ11" i="20"/>
  <c r="AY11" i="20"/>
  <c r="AT11" i="20"/>
  <c r="AS11" i="20"/>
  <c r="AL11" i="20"/>
  <c r="AK11" i="20"/>
  <c r="AJ11" i="20"/>
  <c r="AI11" i="20"/>
  <c r="AH11" i="20"/>
  <c r="AG11" i="20"/>
  <c r="AB11" i="20"/>
  <c r="AA11" i="20"/>
  <c r="V11" i="20"/>
  <c r="U11" i="20"/>
  <c r="DS10" i="20"/>
  <c r="DR10" i="20"/>
  <c r="DQ10" i="20"/>
  <c r="DP10" i="20"/>
  <c r="DO10" i="20"/>
  <c r="DN10" i="20"/>
  <c r="DI10" i="20"/>
  <c r="DH10" i="20"/>
  <c r="DC10" i="20"/>
  <c r="DB10" i="20"/>
  <c r="CW10" i="20"/>
  <c r="CU10" i="20"/>
  <c r="CP10" i="20"/>
  <c r="CN10" i="20"/>
  <c r="CI10" i="20"/>
  <c r="CG10" i="20"/>
  <c r="CB10" i="20"/>
  <c r="BZ10" i="20"/>
  <c r="BU10" i="20"/>
  <c r="BS10" i="20"/>
  <c r="BN10" i="20"/>
  <c r="BL10" i="20"/>
  <c r="BG10" i="20"/>
  <c r="BE10" i="20"/>
  <c r="AZ10" i="20"/>
  <c r="AY10" i="20"/>
  <c r="AT10" i="20"/>
  <c r="AS10" i="20"/>
  <c r="AL10" i="20"/>
  <c r="AK10" i="20"/>
  <c r="AJ10" i="20"/>
  <c r="AI10" i="20"/>
  <c r="AH10" i="20"/>
  <c r="AG10" i="20"/>
  <c r="AB10" i="20"/>
  <c r="AA10" i="20"/>
  <c r="V10" i="20"/>
  <c r="U10" i="20"/>
  <c r="DS9" i="20"/>
  <c r="DR9" i="20"/>
  <c r="DQ9" i="20"/>
  <c r="DP9" i="20"/>
  <c r="DO9" i="20"/>
  <c r="DN9" i="20"/>
  <c r="DI9" i="20"/>
  <c r="DH9" i="20"/>
  <c r="DC9" i="20"/>
  <c r="DB9" i="20"/>
  <c r="CW9" i="20"/>
  <c r="CU9" i="20"/>
  <c r="CP9" i="20"/>
  <c r="CN9" i="20"/>
  <c r="CI9" i="20"/>
  <c r="CG9" i="20"/>
  <c r="CB9" i="20"/>
  <c r="BZ9" i="20"/>
  <c r="BU9" i="20"/>
  <c r="BS9" i="20"/>
  <c r="BN9" i="20"/>
  <c r="BL9" i="20"/>
  <c r="BG9" i="20"/>
  <c r="BE9" i="20"/>
  <c r="AZ9" i="20"/>
  <c r="AY9" i="20"/>
  <c r="AT9" i="20"/>
  <c r="AS9" i="20"/>
  <c r="AL9" i="20"/>
  <c r="AK9" i="20"/>
  <c r="AJ9" i="20"/>
  <c r="AI9" i="20"/>
  <c r="AH9" i="20"/>
  <c r="AG9" i="20"/>
  <c r="AB9" i="20"/>
  <c r="AA9" i="20"/>
  <c r="V9" i="20"/>
  <c r="U9" i="20"/>
  <c r="C2" i="20"/>
  <c r="B2" i="20"/>
  <c r="A2" i="20"/>
  <c r="G58" i="20" l="1"/>
  <c r="I17" i="26"/>
  <c r="I53" i="26" s="1"/>
  <c r="G22" i="19"/>
  <c r="AI53" i="26"/>
  <c r="G9" i="21"/>
  <c r="G53" i="26"/>
  <c r="BS7" i="21"/>
  <c r="CS7" i="21"/>
  <c r="DM7" i="21"/>
  <c r="BU7" i="21"/>
  <c r="AY7" i="21"/>
  <c r="BZ7" i="21"/>
  <c r="CY7" i="21"/>
  <c r="DO7" i="21"/>
  <c r="AZ7" i="21"/>
  <c r="M34" i="26" s="1"/>
  <c r="CB7" i="21"/>
  <c r="U34" i="26" s="1"/>
  <c r="CZ7" i="21"/>
  <c r="DP7" i="21"/>
  <c r="CT7" i="21"/>
  <c r="AA34" i="26" s="1"/>
  <c r="BE7" i="21"/>
  <c r="CG7" i="21"/>
  <c r="DE7" i="21"/>
  <c r="DN7" i="21"/>
  <c r="BG7" i="21"/>
  <c r="CH7" i="21"/>
  <c r="W34" i="26" s="1"/>
  <c r="DF7" i="21"/>
  <c r="AE34" i="26" s="1"/>
  <c r="BL7" i="21"/>
  <c r="CM7" i="21"/>
  <c r="DK7" i="21"/>
  <c r="BN7" i="21"/>
  <c r="Q34" i="26" s="1"/>
  <c r="CN7" i="21"/>
  <c r="Y34" i="26" s="1"/>
  <c r="DL7" i="21"/>
  <c r="G19" i="21"/>
  <c r="G23" i="21"/>
  <c r="G27" i="21"/>
  <c r="G31" i="21"/>
  <c r="G35" i="21"/>
  <c r="G42" i="21"/>
  <c r="G100" i="21"/>
  <c r="G104" i="21"/>
  <c r="G108" i="21"/>
  <c r="G112" i="21"/>
  <c r="G116" i="21"/>
  <c r="G120" i="21"/>
  <c r="G124" i="21"/>
  <c r="G128" i="21"/>
  <c r="G132" i="21"/>
  <c r="G136" i="21"/>
  <c r="G13" i="21"/>
  <c r="G38" i="21"/>
  <c r="G49" i="21"/>
  <c r="G53" i="21"/>
  <c r="G57" i="21"/>
  <c r="G61" i="21"/>
  <c r="G65" i="21"/>
  <c r="G72" i="21"/>
  <c r="G76" i="21"/>
  <c r="G80" i="21"/>
  <c r="G84" i="21"/>
  <c r="G92" i="21"/>
  <c r="G96" i="21"/>
  <c r="G34" i="21"/>
  <c r="G41" i="21"/>
  <c r="G68" i="21"/>
  <c r="G99" i="21"/>
  <c r="G103" i="21"/>
  <c r="G107" i="21"/>
  <c r="G111" i="21"/>
  <c r="G115" i="21"/>
  <c r="G119" i="21"/>
  <c r="G123" i="21"/>
  <c r="G127" i="21"/>
  <c r="G131" i="21"/>
  <c r="G135" i="21"/>
  <c r="G88" i="21"/>
  <c r="G22" i="21"/>
  <c r="G26" i="21"/>
  <c r="G12" i="21"/>
  <c r="G37" i="21"/>
  <c r="G44" i="21"/>
  <c r="G48" i="21"/>
  <c r="G52" i="21"/>
  <c r="G56" i="21"/>
  <c r="G60" i="21"/>
  <c r="G64" i="21"/>
  <c r="G71" i="21"/>
  <c r="G75" i="21"/>
  <c r="G79" i="21"/>
  <c r="G83" i="21"/>
  <c r="G87" i="21"/>
  <c r="G91" i="21"/>
  <c r="G95" i="21"/>
  <c r="G11" i="21"/>
  <c r="G16" i="21"/>
  <c r="G21" i="21"/>
  <c r="G25" i="21"/>
  <c r="G29" i="21"/>
  <c r="G33" i="21"/>
  <c r="G67" i="21"/>
  <c r="G98" i="21"/>
  <c r="G102" i="21"/>
  <c r="G106" i="21"/>
  <c r="G110" i="21"/>
  <c r="G114" i="21"/>
  <c r="G118" i="21"/>
  <c r="G122" i="21"/>
  <c r="G126" i="21"/>
  <c r="G130" i="21"/>
  <c r="G134" i="21"/>
  <c r="G138" i="21"/>
  <c r="G30" i="21"/>
  <c r="G15" i="21"/>
  <c r="G40" i="21"/>
  <c r="G43" i="21"/>
  <c r="G47" i="21"/>
  <c r="G51" i="21"/>
  <c r="G55" i="21"/>
  <c r="G59" i="21"/>
  <c r="G63" i="21"/>
  <c r="G70" i="21"/>
  <c r="G74" i="21"/>
  <c r="G78" i="21"/>
  <c r="G82" i="21"/>
  <c r="G86" i="21"/>
  <c r="G90" i="21"/>
  <c r="G94" i="21"/>
  <c r="G17" i="21"/>
  <c r="G10" i="21"/>
  <c r="G20" i="21"/>
  <c r="G24" i="21"/>
  <c r="G28" i="21"/>
  <c r="G32" i="21"/>
  <c r="G36" i="21"/>
  <c r="G66" i="21"/>
  <c r="G97" i="21"/>
  <c r="G101" i="21"/>
  <c r="G105" i="21"/>
  <c r="G109" i="21"/>
  <c r="G113" i="21"/>
  <c r="G117" i="21"/>
  <c r="G121" i="21"/>
  <c r="G125" i="21"/>
  <c r="G129" i="21"/>
  <c r="G133" i="21"/>
  <c r="G137" i="21"/>
  <c r="G45" i="21"/>
  <c r="G14" i="21"/>
  <c r="G39" i="21"/>
  <c r="G46" i="21"/>
  <c r="G50" i="21"/>
  <c r="G54" i="21"/>
  <c r="G58" i="21"/>
  <c r="G62" i="21"/>
  <c r="G69" i="21"/>
  <c r="G73" i="21"/>
  <c r="G77" i="21"/>
  <c r="G81" i="21"/>
  <c r="G85" i="21"/>
  <c r="G89" i="21"/>
  <c r="G93" i="21"/>
  <c r="K7" i="20"/>
  <c r="K7" i="21"/>
  <c r="G53" i="20"/>
  <c r="G56" i="20"/>
  <c r="G60" i="20"/>
  <c r="G64" i="20"/>
  <c r="G76" i="20"/>
  <c r="G90" i="20"/>
  <c r="G102" i="20"/>
  <c r="G106" i="20"/>
  <c r="G110" i="20"/>
  <c r="G122" i="20"/>
  <c r="G126" i="20"/>
  <c r="G130" i="20"/>
  <c r="G13" i="20"/>
  <c r="G25" i="20"/>
  <c r="G45" i="20"/>
  <c r="Y7" i="21"/>
  <c r="AA41" i="21"/>
  <c r="G98" i="20"/>
  <c r="G118" i="20"/>
  <c r="G68" i="20"/>
  <c r="G94" i="20"/>
  <c r="G79" i="20"/>
  <c r="G21" i="20"/>
  <c r="G134" i="20"/>
  <c r="G10" i="20"/>
  <c r="G31" i="20"/>
  <c r="G35" i="20"/>
  <c r="G39" i="20"/>
  <c r="G9" i="20"/>
  <c r="G30" i="20"/>
  <c r="G34" i="20"/>
  <c r="G38" i="20"/>
  <c r="G42" i="20"/>
  <c r="G87" i="20"/>
  <c r="G72" i="20"/>
  <c r="G83" i="20"/>
  <c r="G29" i="20"/>
  <c r="G33" i="20"/>
  <c r="G37" i="20"/>
  <c r="G41" i="20"/>
  <c r="G86" i="20"/>
  <c r="G12" i="20"/>
  <c r="G16" i="20"/>
  <c r="G20" i="20"/>
  <c r="G24" i="20"/>
  <c r="G44" i="20"/>
  <c r="G48" i="20"/>
  <c r="G52" i="20"/>
  <c r="G55" i="20"/>
  <c r="G59" i="20"/>
  <c r="G63" i="20"/>
  <c r="G67" i="20"/>
  <c r="G71" i="20"/>
  <c r="G75" i="20"/>
  <c r="G78" i="20"/>
  <c r="G82" i="20"/>
  <c r="G89" i="20"/>
  <c r="G93" i="20"/>
  <c r="G97" i="20"/>
  <c r="G101" i="20"/>
  <c r="G105" i="20"/>
  <c r="G109" i="20"/>
  <c r="G113" i="20"/>
  <c r="G117" i="20"/>
  <c r="G121" i="20"/>
  <c r="G125" i="20"/>
  <c r="G129" i="20"/>
  <c r="G133" i="20"/>
  <c r="G114" i="20"/>
  <c r="G11" i="20"/>
  <c r="G28" i="20"/>
  <c r="G32" i="20"/>
  <c r="G36" i="20"/>
  <c r="G40" i="20"/>
  <c r="G85" i="20"/>
  <c r="G17" i="20"/>
  <c r="G15" i="20"/>
  <c r="G19" i="20"/>
  <c r="G23" i="20"/>
  <c r="G27" i="20"/>
  <c r="G43" i="20"/>
  <c r="G47" i="20"/>
  <c r="G51" i="20"/>
  <c r="G62" i="20"/>
  <c r="G66" i="20"/>
  <c r="G70" i="20"/>
  <c r="G74" i="20"/>
  <c r="G77" i="20"/>
  <c r="G81" i="20"/>
  <c r="G88" i="20"/>
  <c r="G92" i="20"/>
  <c r="G96" i="20"/>
  <c r="G100" i="20"/>
  <c r="G104" i="20"/>
  <c r="G108" i="20"/>
  <c r="G112" i="20"/>
  <c r="G116" i="20"/>
  <c r="G120" i="20"/>
  <c r="G124" i="20"/>
  <c r="G128" i="20"/>
  <c r="G132" i="20"/>
  <c r="G49" i="20"/>
  <c r="G14" i="20"/>
  <c r="G18" i="20"/>
  <c r="G22" i="20"/>
  <c r="G26" i="20"/>
  <c r="G46" i="20"/>
  <c r="G50" i="20"/>
  <c r="G54" i="20"/>
  <c r="G57" i="20"/>
  <c r="G61" i="20"/>
  <c r="G65" i="20"/>
  <c r="G69" i="20"/>
  <c r="G73" i="20"/>
  <c r="G80" i="20"/>
  <c r="G84" i="20"/>
  <c r="G91" i="20"/>
  <c r="G95" i="20"/>
  <c r="G99" i="20"/>
  <c r="G103" i="20"/>
  <c r="G107" i="20"/>
  <c r="G111" i="20"/>
  <c r="G115" i="20"/>
  <c r="G119" i="20"/>
  <c r="G123" i="20"/>
  <c r="G127" i="20"/>
  <c r="G131" i="20"/>
  <c r="O11" i="22"/>
  <c r="M11" i="22"/>
  <c r="AI7" i="21"/>
  <c r="AJ7" i="21"/>
  <c r="U7" i="21"/>
  <c r="AH7" i="21"/>
  <c r="V7" i="21"/>
  <c r="AL7" i="21"/>
  <c r="AS7" i="21"/>
  <c r="AB7" i="21"/>
  <c r="AT7" i="21"/>
  <c r="K34" i="26" s="1"/>
  <c r="AG7" i="21"/>
  <c r="AL22" i="19"/>
  <c r="N22" i="19"/>
  <c r="M9" i="22"/>
  <c r="AA37" i="21"/>
  <c r="O10" i="21"/>
  <c r="O24" i="21"/>
  <c r="O36" i="21"/>
  <c r="O43" i="21"/>
  <c r="O47" i="21"/>
  <c r="O51" i="21"/>
  <c r="O59" i="21"/>
  <c r="O63" i="21"/>
  <c r="O70" i="21"/>
  <c r="O74" i="21"/>
  <c r="O78" i="21"/>
  <c r="O82" i="21"/>
  <c r="O86" i="21"/>
  <c r="O90" i="21"/>
  <c r="O94" i="21"/>
  <c r="O14" i="21"/>
  <c r="O39" i="21"/>
  <c r="O97" i="21"/>
  <c r="O101" i="21"/>
  <c r="O128" i="21"/>
  <c r="O132" i="21"/>
  <c r="O138" i="21"/>
  <c r="O23" i="21"/>
  <c r="O27" i="21"/>
  <c r="O31" i="21"/>
  <c r="O35" i="21"/>
  <c r="O46" i="21"/>
  <c r="O58" i="21"/>
  <c r="O62" i="21"/>
  <c r="O73" i="21"/>
  <c r="O77" i="21"/>
  <c r="O89" i="21"/>
  <c r="O42" i="21"/>
  <c r="O104" i="21"/>
  <c r="O111" i="21"/>
  <c r="O115" i="21"/>
  <c r="O119" i="21"/>
  <c r="O123" i="21"/>
  <c r="O127" i="21"/>
  <c r="O131" i="21"/>
  <c r="O135" i="21"/>
  <c r="O137" i="21"/>
  <c r="O30" i="21"/>
  <c r="O34" i="21"/>
  <c r="O45" i="21"/>
  <c r="O49" i="21"/>
  <c r="O53" i="21"/>
  <c r="O57" i="21"/>
  <c r="O61" i="21"/>
  <c r="O65" i="21"/>
  <c r="O72" i="21"/>
  <c r="O76" i="21"/>
  <c r="O84" i="21"/>
  <c r="O96" i="21"/>
  <c r="O68" i="21"/>
  <c r="O99" i="21"/>
  <c r="O122" i="21"/>
  <c r="O136" i="21"/>
  <c r="O16" i="21"/>
  <c r="O29" i="21"/>
  <c r="O33" i="21"/>
  <c r="O44" i="21"/>
  <c r="O48" i="21"/>
  <c r="O52" i="21"/>
  <c r="O56" i="21"/>
  <c r="O60" i="21"/>
  <c r="O64" i="21"/>
  <c r="O71" i="21"/>
  <c r="O79" i="21"/>
  <c r="O91" i="21"/>
  <c r="O15" i="21"/>
  <c r="O40" i="21"/>
  <c r="O98" i="21"/>
  <c r="O102" i="21"/>
  <c r="O109" i="21"/>
  <c r="O113" i="21"/>
  <c r="O117" i="21"/>
  <c r="O121" i="21"/>
  <c r="O125" i="21"/>
  <c r="AH7" i="20"/>
  <c r="AZ7" i="20"/>
  <c r="M16" i="26" s="1"/>
  <c r="CB7" i="20"/>
  <c r="U16" i="26" s="1"/>
  <c r="AI7" i="20"/>
  <c r="AJ7" i="20"/>
  <c r="BG7" i="20"/>
  <c r="O16" i="26" s="1"/>
  <c r="CI7" i="20"/>
  <c r="W16" i="26" s="1"/>
  <c r="DI7" i="20"/>
  <c r="AE16" i="26" s="1"/>
  <c r="U7" i="20"/>
  <c r="BL7" i="20"/>
  <c r="CN7" i="20"/>
  <c r="DN7" i="20"/>
  <c r="AS7" i="20"/>
  <c r="BS7" i="20"/>
  <c r="CU7" i="20"/>
  <c r="DP7" i="20"/>
  <c r="BN7" i="20"/>
  <c r="Q16" i="26" s="1"/>
  <c r="CP7" i="20"/>
  <c r="Y16" i="26" s="1"/>
  <c r="DO7" i="20"/>
  <c r="AG16" i="26" s="1"/>
  <c r="AB7" i="20"/>
  <c r="AT7" i="20"/>
  <c r="BU7" i="20"/>
  <c r="S16" i="26" s="1"/>
  <c r="CW7" i="20"/>
  <c r="AA16" i="26" s="1"/>
  <c r="DQ7" i="20"/>
  <c r="O29" i="20"/>
  <c r="O33" i="20"/>
  <c r="O37" i="20"/>
  <c r="O41" i="20"/>
  <c r="O45" i="20"/>
  <c r="O58" i="20"/>
  <c r="O70" i="20"/>
  <c r="O74" i="20"/>
  <c r="AY7" i="20"/>
  <c r="BZ7" i="20"/>
  <c r="DB7" i="20"/>
  <c r="DR7" i="20"/>
  <c r="O12" i="20"/>
  <c r="O20" i="20"/>
  <c r="O24" i="20"/>
  <c r="AL77" i="20"/>
  <c r="AN77" i="20" s="1"/>
  <c r="T7" i="20"/>
  <c r="AA85" i="20"/>
  <c r="AA7" i="20" s="1"/>
  <c r="Y7" i="20"/>
  <c r="O88" i="20"/>
  <c r="O92" i="20"/>
  <c r="O96" i="20"/>
  <c r="O100" i="20"/>
  <c r="O104" i="20"/>
  <c r="O108" i="20"/>
  <c r="O112" i="20"/>
  <c r="O127" i="20"/>
  <c r="O131" i="20"/>
  <c r="O9" i="20"/>
  <c r="DC7" i="20"/>
  <c r="AC16" i="26" s="1"/>
  <c r="DS7" i="20"/>
  <c r="O28" i="20"/>
  <c r="O44" i="20"/>
  <c r="O48" i="20"/>
  <c r="O52" i="20"/>
  <c r="O55" i="20"/>
  <c r="O57" i="20"/>
  <c r="O65" i="20"/>
  <c r="O69" i="20"/>
  <c r="O80" i="20"/>
  <c r="O84" i="20"/>
  <c r="BE7" i="20"/>
  <c r="CG7" i="20"/>
  <c r="DH7" i="20"/>
  <c r="O19" i="20"/>
  <c r="O23" i="20"/>
  <c r="O87" i="20"/>
  <c r="O95" i="20"/>
  <c r="O103" i="20"/>
  <c r="O107" i="20"/>
  <c r="O111" i="20"/>
  <c r="O115" i="20"/>
  <c r="O119" i="20"/>
  <c r="O126" i="20"/>
  <c r="O130" i="20"/>
  <c r="O134" i="20"/>
  <c r="O10" i="20"/>
  <c r="O31" i="20"/>
  <c r="O35" i="20"/>
  <c r="O39" i="20"/>
  <c r="O43" i="20"/>
  <c r="O47" i="20"/>
  <c r="O51" i="20"/>
  <c r="O60" i="20"/>
  <c r="O68" i="20"/>
  <c r="O72" i="20"/>
  <c r="O76" i="20"/>
  <c r="O83" i="20"/>
  <c r="O14" i="20"/>
  <c r="O18" i="20"/>
  <c r="O22" i="20"/>
  <c r="O26" i="20"/>
  <c r="O86" i="20"/>
  <c r="O90" i="20"/>
  <c r="O94" i="20"/>
  <c r="O102" i="20"/>
  <c r="O106" i="20"/>
  <c r="O110" i="20"/>
  <c r="O118" i="20"/>
  <c r="O122" i="20"/>
  <c r="O125" i="20"/>
  <c r="O133" i="20"/>
  <c r="O34" i="20"/>
  <c r="O38" i="20"/>
  <c r="O42" i="20"/>
  <c r="O46" i="20"/>
  <c r="O50" i="20"/>
  <c r="O59" i="20"/>
  <c r="O63" i="20"/>
  <c r="O78" i="20"/>
  <c r="O82" i="20"/>
  <c r="O13" i="20"/>
  <c r="O17" i="20"/>
  <c r="O21" i="20"/>
  <c r="O25" i="20"/>
  <c r="AK43" i="20"/>
  <c r="AM43" i="20" s="1"/>
  <c r="AE7" i="20"/>
  <c r="O89" i="20"/>
  <c r="O93" i="20"/>
  <c r="O105" i="20"/>
  <c r="O109" i="20"/>
  <c r="O121" i="20"/>
  <c r="O128" i="20"/>
  <c r="O132" i="20"/>
  <c r="AK69" i="21"/>
  <c r="AM69" i="21" s="1"/>
  <c r="AK43" i="21"/>
  <c r="AM43" i="21" s="1"/>
  <c r="K2" i="20"/>
  <c r="AK77" i="20"/>
  <c r="AM77" i="20" s="1"/>
  <c r="DT52" i="20"/>
  <c r="F52" i="20" s="1"/>
  <c r="DT112" i="20"/>
  <c r="F112" i="20" s="1"/>
  <c r="DT44" i="20"/>
  <c r="F44" i="20" s="1"/>
  <c r="DT48" i="20"/>
  <c r="F48" i="20" s="1"/>
  <c r="AM75" i="20"/>
  <c r="AN68" i="20"/>
  <c r="DU74" i="20"/>
  <c r="DU113" i="20"/>
  <c r="DU117" i="20"/>
  <c r="AM65" i="21"/>
  <c r="AM22" i="19"/>
  <c r="AM79" i="20"/>
  <c r="DT81" i="20"/>
  <c r="F81" i="20" s="1"/>
  <c r="DU97" i="20"/>
  <c r="AN115" i="20"/>
  <c r="DU77" i="20"/>
  <c r="AN98" i="20"/>
  <c r="DU119" i="20"/>
  <c r="DT74" i="20"/>
  <c r="F74" i="20" s="1"/>
  <c r="DU78" i="20"/>
  <c r="DT117" i="20"/>
  <c r="F117" i="20" s="1"/>
  <c r="AM134" i="20"/>
  <c r="AN123" i="20"/>
  <c r="O123" i="20" s="1"/>
  <c r="AN78" i="20"/>
  <c r="AM102" i="20"/>
  <c r="AM106" i="20"/>
  <c r="AN86" i="20"/>
  <c r="AN114" i="20"/>
  <c r="O114" i="20" s="1"/>
  <c r="DT34" i="20"/>
  <c r="F34" i="20" s="1"/>
  <c r="DT42" i="20"/>
  <c r="F42" i="20" s="1"/>
  <c r="AM76" i="20"/>
  <c r="DT93" i="20"/>
  <c r="F93" i="20" s="1"/>
  <c r="DT17" i="20"/>
  <c r="F17" i="20" s="1"/>
  <c r="AN60" i="20"/>
  <c r="AN87" i="20"/>
  <c r="DU31" i="20"/>
  <c r="DT25" i="20"/>
  <c r="F25" i="20" s="1"/>
  <c r="AM80" i="20"/>
  <c r="DT82" i="20"/>
  <c r="F82" i="20" s="1"/>
  <c r="DU98" i="20"/>
  <c r="AN100" i="20"/>
  <c r="AN131" i="20"/>
  <c r="AM38" i="20"/>
  <c r="AN43" i="20"/>
  <c r="DU32" i="20"/>
  <c r="DU36" i="20"/>
  <c r="AN38" i="20"/>
  <c r="DU40" i="20"/>
  <c r="AN42" i="20"/>
  <c r="DU44" i="20"/>
  <c r="AN46" i="20"/>
  <c r="DU120" i="20"/>
  <c r="DU124" i="20"/>
  <c r="DU131" i="20"/>
  <c r="AN133" i="20"/>
  <c r="DU14" i="20"/>
  <c r="AM104" i="20"/>
  <c r="DU21" i="20"/>
  <c r="AM95" i="20"/>
  <c r="DT12" i="20"/>
  <c r="F12" i="20" s="1"/>
  <c r="DU10" i="20"/>
  <c r="AM12" i="20"/>
  <c r="DT14" i="20"/>
  <c r="F14" i="20" s="1"/>
  <c r="AM16" i="20"/>
  <c r="DT18" i="20"/>
  <c r="F18" i="20" s="1"/>
  <c r="AM20" i="20"/>
  <c r="DT22" i="20"/>
  <c r="F22" i="20" s="1"/>
  <c r="DT56" i="20"/>
  <c r="F56" i="20" s="1"/>
  <c r="DT72" i="20"/>
  <c r="F72" i="20" s="1"/>
  <c r="DU112" i="20"/>
  <c r="DQ107" i="21"/>
  <c r="F107" i="21" s="1"/>
  <c r="DR107" i="21"/>
  <c r="DR131" i="21"/>
  <c r="DR137" i="21"/>
  <c r="DR73" i="21"/>
  <c r="DQ39" i="21"/>
  <c r="F39" i="21" s="1"/>
  <c r="DQ52" i="21"/>
  <c r="F52" i="21" s="1"/>
  <c r="DQ56" i="21"/>
  <c r="F56" i="21" s="1"/>
  <c r="DQ64" i="21"/>
  <c r="F64" i="21" s="1"/>
  <c r="AM78" i="21"/>
  <c r="DQ80" i="21"/>
  <c r="F80" i="21" s="1"/>
  <c r="AN133" i="21"/>
  <c r="O133" i="21" s="1"/>
  <c r="AN17" i="21"/>
  <c r="R17" i="21" s="1"/>
  <c r="DR22" i="21"/>
  <c r="AN24" i="21"/>
  <c r="AN28" i="21"/>
  <c r="AM44" i="21"/>
  <c r="DQ46" i="21"/>
  <c r="F46" i="21" s="1"/>
  <c r="DQ50" i="21"/>
  <c r="F50" i="21" s="1"/>
  <c r="AN68" i="21"/>
  <c r="DR109" i="21"/>
  <c r="DR129" i="21"/>
  <c r="DR133" i="21"/>
  <c r="DQ67" i="21"/>
  <c r="F67" i="21" s="1"/>
  <c r="DU37" i="20"/>
  <c r="AM126" i="20"/>
  <c r="AM11" i="20"/>
  <c r="AN33" i="20"/>
  <c r="AM114" i="20"/>
  <c r="AM118" i="20"/>
  <c r="AM122" i="20"/>
  <c r="AN72" i="20"/>
  <c r="DT51" i="20"/>
  <c r="F51" i="20" s="1"/>
  <c r="DU60" i="20"/>
  <c r="DU64" i="20"/>
  <c r="AN75" i="20"/>
  <c r="O75" i="20" s="1"/>
  <c r="AM86" i="20"/>
  <c r="AN102" i="20"/>
  <c r="AN103" i="20"/>
  <c r="AN107" i="20"/>
  <c r="DU108" i="20"/>
  <c r="AN110" i="20"/>
  <c r="AN130" i="20"/>
  <c r="DT84" i="20"/>
  <c r="F84" i="20" s="1"/>
  <c r="DT95" i="20"/>
  <c r="F95" i="20" s="1"/>
  <c r="DT111" i="20"/>
  <c r="F111" i="20" s="1"/>
  <c r="DT115" i="20"/>
  <c r="F115" i="20" s="1"/>
  <c r="DT123" i="20"/>
  <c r="F123" i="20" s="1"/>
  <c r="DT126" i="20"/>
  <c r="DT130" i="20"/>
  <c r="F130" i="20" s="1"/>
  <c r="DT134" i="20"/>
  <c r="F134" i="20" s="1"/>
  <c r="DU83" i="20"/>
  <c r="DT86" i="20"/>
  <c r="F86" i="20" s="1"/>
  <c r="DU87" i="20"/>
  <c r="DU103" i="20"/>
  <c r="AM24" i="20"/>
  <c r="AM64" i="20"/>
  <c r="AN105" i="20"/>
  <c r="DU15" i="20"/>
  <c r="DT57" i="20"/>
  <c r="F57" i="20" s="1"/>
  <c r="DU99" i="20"/>
  <c r="AN119" i="20"/>
  <c r="DU9" i="20"/>
  <c r="DT13" i="20"/>
  <c r="F13" i="20" s="1"/>
  <c r="DT21" i="20"/>
  <c r="F21" i="20" s="1"/>
  <c r="AM32" i="20"/>
  <c r="AM66" i="20"/>
  <c r="AN71" i="20"/>
  <c r="R71" i="20" s="1"/>
  <c r="DU73" i="20"/>
  <c r="AN91" i="20"/>
  <c r="O91" i="20" s="1"/>
  <c r="AN95" i="20"/>
  <c r="AM99" i="20"/>
  <c r="DU102" i="20"/>
  <c r="AN125" i="20"/>
  <c r="AN129" i="20"/>
  <c r="O129" i="20" s="1"/>
  <c r="DU54" i="20"/>
  <c r="AM57" i="20"/>
  <c r="AM70" i="20"/>
  <c r="AM83" i="20"/>
  <c r="AM90" i="20"/>
  <c r="AM94" i="20"/>
  <c r="DU101" i="20"/>
  <c r="AM128" i="20"/>
  <c r="AM51" i="20"/>
  <c r="DT53" i="20"/>
  <c r="F53" i="20" s="1"/>
  <c r="AM56" i="20"/>
  <c r="DU59" i="20"/>
  <c r="DT63" i="20"/>
  <c r="F63" i="20" s="1"/>
  <c r="DT67" i="20"/>
  <c r="F67" i="20" s="1"/>
  <c r="DU88" i="20"/>
  <c r="AN90" i="20"/>
  <c r="AM120" i="20"/>
  <c r="AN121" i="20"/>
  <c r="DU126" i="20"/>
  <c r="AM27" i="20"/>
  <c r="AN39" i="20"/>
  <c r="AN47" i="20"/>
  <c r="DU49" i="20"/>
  <c r="AN51" i="20"/>
  <c r="DU53" i="20"/>
  <c r="AN56" i="20"/>
  <c r="O56" i="20" s="1"/>
  <c r="DU63" i="20"/>
  <c r="DT87" i="20"/>
  <c r="F87" i="20" s="1"/>
  <c r="AM110" i="20"/>
  <c r="AM115" i="20"/>
  <c r="AN116" i="20"/>
  <c r="DU118" i="20"/>
  <c r="DT122" i="20"/>
  <c r="F122" i="20" s="1"/>
  <c r="DU41" i="20"/>
  <c r="DU69" i="20"/>
  <c r="DT102" i="20"/>
  <c r="F102" i="20" s="1"/>
  <c r="AM119" i="20"/>
  <c r="AM132" i="20"/>
  <c r="DT9" i="20"/>
  <c r="DU13" i="20"/>
  <c r="AN15" i="20"/>
  <c r="O15" i="20" s="1"/>
  <c r="DU17" i="20"/>
  <c r="DU18" i="20"/>
  <c r="AN19" i="20"/>
  <c r="DU22" i="20"/>
  <c r="AN23" i="20"/>
  <c r="DU25" i="20"/>
  <c r="DU30" i="20"/>
  <c r="AM33" i="20"/>
  <c r="AM36" i="20"/>
  <c r="AN37" i="20"/>
  <c r="DT43" i="20"/>
  <c r="F43" i="20" s="1"/>
  <c r="DT47" i="20"/>
  <c r="F47" i="20" s="1"/>
  <c r="AM49" i="20"/>
  <c r="AN54" i="20"/>
  <c r="O54" i="20" s="1"/>
  <c r="DU58" i="20"/>
  <c r="AN65" i="20"/>
  <c r="DU67" i="20"/>
  <c r="DT68" i="20"/>
  <c r="F68" i="20" s="1"/>
  <c r="AM69" i="20"/>
  <c r="DT71" i="20"/>
  <c r="F71" i="20" s="1"/>
  <c r="DU72" i="20"/>
  <c r="AN76" i="20"/>
  <c r="DT77" i="20"/>
  <c r="F77" i="20" s="1"/>
  <c r="AM78" i="20"/>
  <c r="DU81" i="20"/>
  <c r="AN84" i="20"/>
  <c r="DT85" i="20"/>
  <c r="F85" i="20" s="1"/>
  <c r="DU86" i="20"/>
  <c r="DU92" i="20"/>
  <c r="AN94" i="20"/>
  <c r="DT96" i="20"/>
  <c r="F96" i="20" s="1"/>
  <c r="AM98" i="20"/>
  <c r="DT100" i="20"/>
  <c r="F100" i="20" s="1"/>
  <c r="AN104" i="20"/>
  <c r="DU107" i="20"/>
  <c r="AN109" i="20"/>
  <c r="DU111" i="20"/>
  <c r="DT116" i="20"/>
  <c r="F116" i="20" s="1"/>
  <c r="AM123" i="20"/>
  <c r="AM124" i="20"/>
  <c r="DT125" i="20"/>
  <c r="F125" i="20" s="1"/>
  <c r="DT129" i="20"/>
  <c r="F129" i="20" s="1"/>
  <c r="DU130" i="20"/>
  <c r="AN10" i="20"/>
  <c r="AM19" i="20"/>
  <c r="DT24" i="20"/>
  <c r="F24" i="20" s="1"/>
  <c r="AN27" i="20"/>
  <c r="O27" i="20" s="1"/>
  <c r="DT30" i="20"/>
  <c r="F30" i="20" s="1"/>
  <c r="DU34" i="20"/>
  <c r="AN36" i="20"/>
  <c r="O36" i="20" s="1"/>
  <c r="DT38" i="20"/>
  <c r="F38" i="20" s="1"/>
  <c r="AN41" i="20"/>
  <c r="DU47" i="20"/>
  <c r="AM53" i="20"/>
  <c r="AM54" i="20"/>
  <c r="DU55" i="20"/>
  <c r="AM59" i="20"/>
  <c r="DU62" i="20"/>
  <c r="AN64" i="20"/>
  <c r="DT66" i="20"/>
  <c r="F66" i="20" s="1"/>
  <c r="AN69" i="20"/>
  <c r="DT76" i="20"/>
  <c r="F76" i="20" s="1"/>
  <c r="DT80" i="20"/>
  <c r="F80" i="20" s="1"/>
  <c r="AN83" i="20"/>
  <c r="AM84" i="20"/>
  <c r="DU85" i="20"/>
  <c r="DT91" i="20"/>
  <c r="F91" i="20" s="1"/>
  <c r="DU96" i="20"/>
  <c r="AN99" i="20"/>
  <c r="O99" i="20" s="1"/>
  <c r="DT105" i="20"/>
  <c r="F105" i="20" s="1"/>
  <c r="DU106" i="20"/>
  <c r="DT107" i="20"/>
  <c r="F107" i="20" s="1"/>
  <c r="AM108" i="20"/>
  <c r="DT110" i="20"/>
  <c r="F110" i="20" s="1"/>
  <c r="AM113" i="20"/>
  <c r="DU116" i="20"/>
  <c r="AN118" i="20"/>
  <c r="DT120" i="20"/>
  <c r="F120" i="20" s="1"/>
  <c r="DU121" i="20"/>
  <c r="AN124" i="20"/>
  <c r="O124" i="20" s="1"/>
  <c r="AN127" i="20"/>
  <c r="DU129" i="20"/>
  <c r="DT133" i="20"/>
  <c r="F133" i="20" s="1"/>
  <c r="AM9" i="20"/>
  <c r="AN18" i="20"/>
  <c r="DU20" i="20"/>
  <c r="AN22" i="20"/>
  <c r="AM26" i="20"/>
  <c r="DU29" i="20"/>
  <c r="AN31" i="20"/>
  <c r="DT33" i="20"/>
  <c r="F33" i="20" s="1"/>
  <c r="AM35" i="20"/>
  <c r="AM40" i="20"/>
  <c r="AM44" i="20"/>
  <c r="DT46" i="20"/>
  <c r="F46" i="20" s="1"/>
  <c r="DT50" i="20"/>
  <c r="F50" i="20" s="1"/>
  <c r="DU51" i="20"/>
  <c r="DU57" i="20"/>
  <c r="AM63" i="20"/>
  <c r="DU66" i="20"/>
  <c r="DT70" i="20"/>
  <c r="F70" i="20" s="1"/>
  <c r="AM72" i="20"/>
  <c r="AM73" i="20"/>
  <c r="AN74" i="20"/>
  <c r="DU76" i="20"/>
  <c r="AM82" i="20"/>
  <c r="AN88" i="20"/>
  <c r="DT90" i="20"/>
  <c r="F90" i="20" s="1"/>
  <c r="DU91" i="20"/>
  <c r="AN93" i="20"/>
  <c r="DU95" i="20"/>
  <c r="AM97" i="20"/>
  <c r="DT99" i="20"/>
  <c r="F99" i="20" s="1"/>
  <c r="AM101" i="20"/>
  <c r="DU105" i="20"/>
  <c r="AM112" i="20"/>
  <c r="AN113" i="20"/>
  <c r="O113" i="20" s="1"/>
  <c r="AN9" i="20"/>
  <c r="AM13" i="20"/>
  <c r="DT15" i="20"/>
  <c r="F15" i="20" s="1"/>
  <c r="AM17" i="20"/>
  <c r="DT19" i="20"/>
  <c r="F19" i="20" s="1"/>
  <c r="AM25" i="20"/>
  <c r="DT28" i="20"/>
  <c r="F28" i="20" s="1"/>
  <c r="AM30" i="20"/>
  <c r="AN35" i="20"/>
  <c r="DT37" i="20"/>
  <c r="F37" i="20" s="1"/>
  <c r="DU42" i="20"/>
  <c r="AN44" i="20"/>
  <c r="AN48" i="20"/>
  <c r="DU50" i="20"/>
  <c r="DU56" i="20"/>
  <c r="AM58" i="20"/>
  <c r="DU61" i="20"/>
  <c r="DU70" i="20"/>
  <c r="DT75" i="20"/>
  <c r="F75" i="20" s="1"/>
  <c r="DT79" i="20"/>
  <c r="F79" i="20" s="1"/>
  <c r="AM81" i="20"/>
  <c r="AN82" i="20"/>
  <c r="DT89" i="20"/>
  <c r="F89" i="20" s="1"/>
  <c r="DU90" i="20"/>
  <c r="AM92" i="20"/>
  <c r="AN97" i="20"/>
  <c r="R97" i="20" s="1"/>
  <c r="DT104" i="20"/>
  <c r="F104" i="20" s="1"/>
  <c r="DT109" i="20"/>
  <c r="F109" i="20" s="1"/>
  <c r="AM111" i="20"/>
  <c r="DT114" i="20"/>
  <c r="F114" i="20" s="1"/>
  <c r="DT119" i="20"/>
  <c r="F119" i="20" s="1"/>
  <c r="AN126" i="20"/>
  <c r="DU128" i="20"/>
  <c r="DT132" i="20"/>
  <c r="F132" i="20" s="1"/>
  <c r="AN13" i="20"/>
  <c r="AN17" i="20"/>
  <c r="AN21" i="20"/>
  <c r="DU23" i="20"/>
  <c r="DT27" i="20"/>
  <c r="F27" i="20" s="1"/>
  <c r="DU28" i="20"/>
  <c r="AM34" i="20"/>
  <c r="DT41" i="20"/>
  <c r="F41" i="20" s="1"/>
  <c r="DT45" i="20"/>
  <c r="F45" i="20" s="1"/>
  <c r="AM47" i="20"/>
  <c r="AN52" i="20"/>
  <c r="AN58" i="20"/>
  <c r="DT60" i="20"/>
  <c r="F60" i="20" s="1"/>
  <c r="AM62" i="20"/>
  <c r="DU75" i="20"/>
  <c r="DU84" i="20"/>
  <c r="DU89" i="20"/>
  <c r="AM96" i="20"/>
  <c r="DT103" i="20"/>
  <c r="DU104" i="20"/>
  <c r="AN106" i="20"/>
  <c r="AN111" i="20"/>
  <c r="AM116" i="20"/>
  <c r="AM121" i="20"/>
  <c r="DT124" i="20"/>
  <c r="F124" i="20" s="1"/>
  <c r="DT127" i="20"/>
  <c r="F127" i="20" s="1"/>
  <c r="DU132" i="20"/>
  <c r="AN134" i="20"/>
  <c r="DU127" i="20"/>
  <c r="DU100" i="20"/>
  <c r="DU65" i="20"/>
  <c r="DU79" i="20"/>
  <c r="AN11" i="20"/>
  <c r="AN12" i="20"/>
  <c r="DU16" i="20"/>
  <c r="AM18" i="20"/>
  <c r="AN24" i="20"/>
  <c r="AN25" i="20"/>
  <c r="AN26" i="20"/>
  <c r="DT29" i="20"/>
  <c r="F29" i="20" s="1"/>
  <c r="AM31" i="20"/>
  <c r="AN32" i="20"/>
  <c r="DU35" i="20"/>
  <c r="AM37" i="20"/>
  <c r="DT40" i="20"/>
  <c r="F40" i="20" s="1"/>
  <c r="DU46" i="20"/>
  <c r="AM48" i="20"/>
  <c r="AN49" i="20"/>
  <c r="DU52" i="20"/>
  <c r="AN55" i="20"/>
  <c r="AN59" i="20"/>
  <c r="DT62" i="20"/>
  <c r="F62" i="20" s="1"/>
  <c r="AM65" i="20"/>
  <c r="AN66" i="20"/>
  <c r="AM71" i="20"/>
  <c r="AN73" i="20"/>
  <c r="DT78" i="20"/>
  <c r="F78" i="20" s="1"/>
  <c r="DU80" i="20"/>
  <c r="DT92" i="20"/>
  <c r="F92" i="20" s="1"/>
  <c r="DU93" i="20"/>
  <c r="DU94" i="20"/>
  <c r="AM100" i="20"/>
  <c r="AN101" i="20"/>
  <c r="O101" i="20" s="1"/>
  <c r="DT108" i="20"/>
  <c r="F108" i="20" s="1"/>
  <c r="DU109" i="20"/>
  <c r="DU110" i="20"/>
  <c r="DT118" i="20"/>
  <c r="F118" i="20" s="1"/>
  <c r="AN122" i="20"/>
  <c r="DU125" i="20"/>
  <c r="AM127" i="20"/>
  <c r="AN128" i="20"/>
  <c r="AM133" i="20"/>
  <c r="AM10" i="20"/>
  <c r="DT16" i="20"/>
  <c r="F16" i="20" s="1"/>
  <c r="DT35" i="20"/>
  <c r="F35" i="20" s="1"/>
  <c r="DT69" i="20"/>
  <c r="F69" i="20" s="1"/>
  <c r="DU82" i="20"/>
  <c r="AN85" i="20"/>
  <c r="O85" i="20" s="1"/>
  <c r="DT94" i="20"/>
  <c r="F94" i="20" s="1"/>
  <c r="DT131" i="20"/>
  <c r="F131" i="20" s="1"/>
  <c r="AM15" i="20"/>
  <c r="AN16" i="20"/>
  <c r="DU19" i="20"/>
  <c r="DT20" i="20"/>
  <c r="F20" i="20" s="1"/>
  <c r="AM21" i="20"/>
  <c r="AM22" i="20"/>
  <c r="AM23" i="20"/>
  <c r="DT26" i="20"/>
  <c r="F26" i="20" s="1"/>
  <c r="DU27" i="20"/>
  <c r="AN30" i="20"/>
  <c r="O30" i="20" s="1"/>
  <c r="DT32" i="20"/>
  <c r="F32" i="20" s="1"/>
  <c r="DU33" i="20"/>
  <c r="DU38" i="20"/>
  <c r="DU39" i="20"/>
  <c r="AM41" i="20"/>
  <c r="AM42" i="20"/>
  <c r="AM46" i="20"/>
  <c r="DT49" i="20"/>
  <c r="F49" i="20" s="1"/>
  <c r="AM52" i="20"/>
  <c r="AN53" i="20"/>
  <c r="AN57" i="20"/>
  <c r="DT59" i="20"/>
  <c r="F59" i="20" s="1"/>
  <c r="DT61" i="20"/>
  <c r="F61" i="20" s="1"/>
  <c r="AN63" i="20"/>
  <c r="DU68" i="20"/>
  <c r="AN70" i="20"/>
  <c r="AN79" i="20"/>
  <c r="AN80" i="20"/>
  <c r="AN81" i="20"/>
  <c r="O81" i="20" s="1"/>
  <c r="AM91" i="20"/>
  <c r="AM93" i="20"/>
  <c r="AN96" i="20"/>
  <c r="DT101" i="20"/>
  <c r="F101" i="20" s="1"/>
  <c r="DT106" i="20"/>
  <c r="F106" i="20" s="1"/>
  <c r="AM107" i="20"/>
  <c r="AM109" i="20"/>
  <c r="AN112" i="20"/>
  <c r="AN120" i="20"/>
  <c r="O120" i="20" s="1"/>
  <c r="AM125" i="20"/>
  <c r="DT128" i="20"/>
  <c r="F128" i="20" s="1"/>
  <c r="AM130" i="20"/>
  <c r="AM131" i="20"/>
  <c r="AN132" i="20"/>
  <c r="DT11" i="20"/>
  <c r="F11" i="20" s="1"/>
  <c r="DT39" i="20"/>
  <c r="F39" i="20" s="1"/>
  <c r="DU45" i="20"/>
  <c r="DT55" i="20"/>
  <c r="F55" i="20" s="1"/>
  <c r="DT88" i="20"/>
  <c r="F88" i="20" s="1"/>
  <c r="DT10" i="20"/>
  <c r="F10" i="20" s="1"/>
  <c r="DU11" i="20"/>
  <c r="DU12" i="20"/>
  <c r="AM14" i="20"/>
  <c r="AN20" i="20"/>
  <c r="DT23" i="20"/>
  <c r="F23" i="20" s="1"/>
  <c r="DU24" i="20"/>
  <c r="AM28" i="20"/>
  <c r="AN29" i="20"/>
  <c r="DT31" i="20"/>
  <c r="F31" i="20" s="1"/>
  <c r="AN34" i="20"/>
  <c r="DT36" i="20"/>
  <c r="F36" i="20" s="1"/>
  <c r="AM39" i="20"/>
  <c r="AN40" i="20"/>
  <c r="DU43" i="20"/>
  <c r="AM45" i="20"/>
  <c r="DU48" i="20"/>
  <c r="AM50" i="20"/>
  <c r="DT54" i="20"/>
  <c r="F54" i="20" s="1"/>
  <c r="DT58" i="20"/>
  <c r="AM60" i="20"/>
  <c r="AM61" i="20"/>
  <c r="AN62" i="20"/>
  <c r="DT64" i="20"/>
  <c r="F64" i="20" s="1"/>
  <c r="AM67" i="20"/>
  <c r="AM68" i="20"/>
  <c r="DU71" i="20"/>
  <c r="DT73" i="20"/>
  <c r="F73" i="20" s="1"/>
  <c r="H73" i="20" s="1"/>
  <c r="DT83" i="20"/>
  <c r="F83" i="20" s="1"/>
  <c r="AM87" i="20"/>
  <c r="AM89" i="20"/>
  <c r="AN92" i="20"/>
  <c r="DT97" i="20"/>
  <c r="F97" i="20" s="1"/>
  <c r="DT98" i="20"/>
  <c r="F98" i="20" s="1"/>
  <c r="AM103" i="20"/>
  <c r="AM105" i="20"/>
  <c r="AN108" i="20"/>
  <c r="DT113" i="20"/>
  <c r="F113" i="20" s="1"/>
  <c r="DU114" i="20"/>
  <c r="AM117" i="20"/>
  <c r="DT121" i="20"/>
  <c r="F121" i="20" s="1"/>
  <c r="DU122" i="20"/>
  <c r="AM129" i="20"/>
  <c r="DU133" i="20"/>
  <c r="DU134" i="20"/>
  <c r="AN14" i="20"/>
  <c r="DU26" i="20"/>
  <c r="AN28" i="20"/>
  <c r="AM29" i="20"/>
  <c r="AN45" i="20"/>
  <c r="AN50" i="20"/>
  <c r="AN61" i="20"/>
  <c r="O61" i="20" s="1"/>
  <c r="DT65" i="20"/>
  <c r="F65" i="20" s="1"/>
  <c r="AN67" i="20"/>
  <c r="AM74" i="20"/>
  <c r="AM88" i="20"/>
  <c r="AN89" i="20"/>
  <c r="DU115" i="20"/>
  <c r="AN117" i="20"/>
  <c r="O117" i="20" s="1"/>
  <c r="DU123" i="20"/>
  <c r="AN71" i="21"/>
  <c r="DR65" i="21"/>
  <c r="AN75" i="21"/>
  <c r="DR81" i="21"/>
  <c r="DR85" i="21"/>
  <c r="AM129" i="21"/>
  <c r="DR68" i="21"/>
  <c r="DR72" i="21"/>
  <c r="DR80" i="21"/>
  <c r="DQ99" i="21"/>
  <c r="F99" i="21" s="1"/>
  <c r="DQ106" i="21"/>
  <c r="F106" i="21" s="1"/>
  <c r="DQ110" i="21"/>
  <c r="F110" i="21" s="1"/>
  <c r="DQ114" i="21"/>
  <c r="F114" i="21" s="1"/>
  <c r="DQ122" i="21"/>
  <c r="F122" i="21" s="1"/>
  <c r="DQ136" i="21"/>
  <c r="F136" i="21" s="1"/>
  <c r="DQ22" i="21"/>
  <c r="F22" i="21" s="1"/>
  <c r="DQ26" i="21"/>
  <c r="F26" i="21" s="1"/>
  <c r="DR38" i="21"/>
  <c r="DQ81" i="21"/>
  <c r="F81" i="21" s="1"/>
  <c r="AM83" i="21"/>
  <c r="DQ85" i="21"/>
  <c r="F85" i="21" s="1"/>
  <c r="AM87" i="21"/>
  <c r="AM91" i="21"/>
  <c r="DQ93" i="21"/>
  <c r="F93" i="21" s="1"/>
  <c r="AN99" i="21"/>
  <c r="AN114" i="21"/>
  <c r="AN118" i="21"/>
  <c r="O118" i="21" s="1"/>
  <c r="DR14" i="21"/>
  <c r="AM16" i="21"/>
  <c r="DQ19" i="21"/>
  <c r="F19" i="21" s="1"/>
  <c r="AM21" i="21"/>
  <c r="DQ23" i="21"/>
  <c r="F23" i="21" s="1"/>
  <c r="DQ31" i="21"/>
  <c r="F31" i="21" s="1"/>
  <c r="AM33" i="21"/>
  <c r="DQ35" i="21"/>
  <c r="F35" i="21" s="1"/>
  <c r="DR52" i="21"/>
  <c r="DR56" i="21"/>
  <c r="DR64" i="21"/>
  <c r="AN82" i="21"/>
  <c r="AM110" i="21"/>
  <c r="DQ112" i="21"/>
  <c r="F112" i="21" s="1"/>
  <c r="DQ128" i="21"/>
  <c r="F128" i="21" s="1"/>
  <c r="AM130" i="21"/>
  <c r="AN10" i="21"/>
  <c r="AN22" i="21"/>
  <c r="R22" i="21" s="1"/>
  <c r="AN26" i="21"/>
  <c r="AN31" i="21"/>
  <c r="AN34" i="21"/>
  <c r="AM70" i="21"/>
  <c r="AN130" i="21"/>
  <c r="AM29" i="21"/>
  <c r="AM41" i="21"/>
  <c r="AN50" i="21"/>
  <c r="AN62" i="21"/>
  <c r="AM113" i="21"/>
  <c r="DQ123" i="21"/>
  <c r="F123" i="21" s="1"/>
  <c r="DR19" i="21"/>
  <c r="DR31" i="21"/>
  <c r="DQ87" i="21"/>
  <c r="F87" i="21" s="1"/>
  <c r="AN65" i="21"/>
  <c r="DQ66" i="21"/>
  <c r="F66" i="21" s="1"/>
  <c r="DR71" i="21"/>
  <c r="AN81" i="21"/>
  <c r="DR83" i="21"/>
  <c r="AM30" i="21"/>
  <c r="DR49" i="21"/>
  <c r="AN51" i="21"/>
  <c r="DR61" i="21"/>
  <c r="AN122" i="21"/>
  <c r="AN127" i="21"/>
  <c r="AM53" i="21"/>
  <c r="AN94" i="21"/>
  <c r="AM101" i="21"/>
  <c r="AM122" i="21"/>
  <c r="AM126" i="21"/>
  <c r="AN136" i="21"/>
  <c r="AM14" i="21"/>
  <c r="DR23" i="21"/>
  <c r="DQ43" i="21"/>
  <c r="F43" i="21" s="1"/>
  <c r="DQ59" i="21"/>
  <c r="F59" i="21" s="1"/>
  <c r="DQ63" i="21"/>
  <c r="F63" i="21" s="1"/>
  <c r="AM116" i="21"/>
  <c r="DQ11" i="21"/>
  <c r="F11" i="21" s="1"/>
  <c r="DR12" i="21"/>
  <c r="AN14" i="21"/>
  <c r="AM23" i="21"/>
  <c r="AM27" i="21"/>
  <c r="DQ29" i="21"/>
  <c r="F29" i="21" s="1"/>
  <c r="DR37" i="21"/>
  <c r="AN39" i="21"/>
  <c r="DQ42" i="21"/>
  <c r="F42" i="21" s="1"/>
  <c r="AN44" i="21"/>
  <c r="AN48" i="21"/>
  <c r="DR58" i="21"/>
  <c r="AN60" i="21"/>
  <c r="AN64" i="21"/>
  <c r="DR79" i="21"/>
  <c r="AM81" i="21"/>
  <c r="AN108" i="21"/>
  <c r="DR114" i="21"/>
  <c r="AN116" i="21"/>
  <c r="O116" i="21" s="1"/>
  <c r="DR118" i="21"/>
  <c r="DR119" i="21"/>
  <c r="AN120" i="21"/>
  <c r="DR126" i="21"/>
  <c r="AM99" i="21"/>
  <c r="DQ101" i="21"/>
  <c r="F101" i="21" s="1"/>
  <c r="AM103" i="21"/>
  <c r="DQ121" i="21"/>
  <c r="F121" i="21" s="1"/>
  <c r="DQ125" i="21"/>
  <c r="F125" i="21" s="1"/>
  <c r="AM9" i="21"/>
  <c r="DQ10" i="21"/>
  <c r="F10" i="21" s="1"/>
  <c r="AN13" i="21"/>
  <c r="O13" i="21" s="1"/>
  <c r="AM17" i="21"/>
  <c r="DQ20" i="21"/>
  <c r="F20" i="21" s="1"/>
  <c r="AM22" i="21"/>
  <c r="DQ32" i="21"/>
  <c r="F32" i="21" s="1"/>
  <c r="AM34" i="21"/>
  <c r="DQ36" i="21"/>
  <c r="F36" i="21" s="1"/>
  <c r="AN38" i="21"/>
  <c r="O38" i="21" s="1"/>
  <c r="AM42" i="21"/>
  <c r="AN43" i="21"/>
  <c r="AN47" i="21"/>
  <c r="AN52" i="21"/>
  <c r="DR53" i="21"/>
  <c r="AN55" i="21"/>
  <c r="AN56" i="21"/>
  <c r="AN63" i="21"/>
  <c r="DQ65" i="21"/>
  <c r="F65" i="21" s="1"/>
  <c r="DQ74" i="21"/>
  <c r="F74" i="21" s="1"/>
  <c r="AM75" i="21"/>
  <c r="DQ77" i="21"/>
  <c r="F77" i="21" s="1"/>
  <c r="DR86" i="21"/>
  <c r="AN88" i="21"/>
  <c r="DR90" i="21"/>
  <c r="DR91" i="21"/>
  <c r="AN92" i="21"/>
  <c r="DR102" i="21"/>
  <c r="AM107" i="21"/>
  <c r="AM108" i="21"/>
  <c r="AM109" i="21"/>
  <c r="DR111" i="21"/>
  <c r="AN113" i="21"/>
  <c r="DR123" i="21"/>
  <c r="AN21" i="21"/>
  <c r="DR28" i="21"/>
  <c r="AN37" i="21"/>
  <c r="O37" i="21" s="1"/>
  <c r="AN70" i="21"/>
  <c r="AN74" i="21"/>
  <c r="AN78" i="21"/>
  <c r="AM98" i="21"/>
  <c r="DQ100" i="21"/>
  <c r="F100" i="21" s="1"/>
  <c r="AM102" i="21"/>
  <c r="AM105" i="21"/>
  <c r="DQ113" i="21"/>
  <c r="F113" i="21" s="1"/>
  <c r="AM115" i="21"/>
  <c r="DQ130" i="21"/>
  <c r="F130" i="21" s="1"/>
  <c r="AM132" i="21"/>
  <c r="DQ135" i="21"/>
  <c r="F135" i="21" s="1"/>
  <c r="AN12" i="21"/>
  <c r="DR13" i="21"/>
  <c r="AN15" i="21"/>
  <c r="DQ27" i="21"/>
  <c r="F27" i="21" s="1"/>
  <c r="AM28" i="21"/>
  <c r="DQ30" i="21"/>
  <c r="F30" i="21" s="1"/>
  <c r="DR43" i="21"/>
  <c r="DR44" i="21"/>
  <c r="AN45" i="21"/>
  <c r="DR48" i="21"/>
  <c r="DR67" i="21"/>
  <c r="DQ71" i="21"/>
  <c r="F71" i="21" s="1"/>
  <c r="DQ79" i="21"/>
  <c r="F79" i="21" s="1"/>
  <c r="AN86" i="21"/>
  <c r="DR88" i="21"/>
  <c r="AN90" i="21"/>
  <c r="AM94" i="21"/>
  <c r="DQ96" i="21"/>
  <c r="F96" i="21" s="1"/>
  <c r="DR100" i="21"/>
  <c r="AN102" i="21"/>
  <c r="AN105" i="21"/>
  <c r="DQ108" i="21"/>
  <c r="F108" i="21" s="1"/>
  <c r="DR113" i="21"/>
  <c r="DR125" i="21"/>
  <c r="DR27" i="21"/>
  <c r="AN77" i="21"/>
  <c r="AM131" i="21"/>
  <c r="AN9" i="21"/>
  <c r="O9" i="21" s="1"/>
  <c r="DR11" i="21"/>
  <c r="DR21" i="21"/>
  <c r="DR33" i="21"/>
  <c r="AM38" i="21"/>
  <c r="AM47" i="21"/>
  <c r="DQ57" i="21"/>
  <c r="F57" i="21" s="1"/>
  <c r="DQ58" i="21"/>
  <c r="F58" i="21" s="1"/>
  <c r="AM59" i="21"/>
  <c r="DQ62" i="21"/>
  <c r="F62" i="21" s="1"/>
  <c r="AM67" i="21"/>
  <c r="AN80" i="21"/>
  <c r="O80" i="21" s="1"/>
  <c r="AM84" i="21"/>
  <c r="AM88" i="21"/>
  <c r="AM92" i="21"/>
  <c r="DR95" i="21"/>
  <c r="DR96" i="21"/>
  <c r="DQ115" i="21"/>
  <c r="F115" i="21" s="1"/>
  <c r="AM117" i="21"/>
  <c r="AM121" i="21"/>
  <c r="DQ127" i="21"/>
  <c r="F127" i="21" s="1"/>
  <c r="DQ132" i="21"/>
  <c r="F132" i="21" s="1"/>
  <c r="AM134" i="21"/>
  <c r="AM136" i="21"/>
  <c r="AN19" i="21"/>
  <c r="O19" i="21" s="1"/>
  <c r="DR42" i="21"/>
  <c r="DQ47" i="21"/>
  <c r="F47" i="21" s="1"/>
  <c r="AN49" i="21"/>
  <c r="AM50" i="21"/>
  <c r="DR57" i="21"/>
  <c r="AN59" i="21"/>
  <c r="AM63" i="21"/>
  <c r="AM68" i="21"/>
  <c r="DQ72" i="21"/>
  <c r="F72" i="21" s="1"/>
  <c r="DQ73" i="21"/>
  <c r="F73" i="21" s="1"/>
  <c r="AM74" i="21"/>
  <c r="AN79" i="21"/>
  <c r="AM80" i="21"/>
  <c r="DR82" i="21"/>
  <c r="AM85" i="21"/>
  <c r="DR87" i="21"/>
  <c r="AN89" i="21"/>
  <c r="DR92" i="21"/>
  <c r="AN93" i="21"/>
  <c r="O93" i="21" s="1"/>
  <c r="DQ95" i="21"/>
  <c r="F95" i="21" s="1"/>
  <c r="AN98" i="21"/>
  <c r="AN103" i="21"/>
  <c r="AN106" i="21"/>
  <c r="R106" i="21" s="1"/>
  <c r="DQ109" i="21"/>
  <c r="F109" i="21" s="1"/>
  <c r="DR110" i="21"/>
  <c r="DR115" i="21"/>
  <c r="AN117" i="21"/>
  <c r="DR120" i="21"/>
  <c r="AN121" i="21"/>
  <c r="DQ124" i="21"/>
  <c r="F124" i="21" s="1"/>
  <c r="DQ129" i="21"/>
  <c r="F129" i="21" s="1"/>
  <c r="DR130" i="21"/>
  <c r="DR134" i="21"/>
  <c r="DR135" i="21"/>
  <c r="DR136" i="21"/>
  <c r="AN35" i="21"/>
  <c r="DQ41" i="21"/>
  <c r="F41" i="21" s="1"/>
  <c r="AM49" i="21"/>
  <c r="AM54" i="21"/>
  <c r="AM106" i="21"/>
  <c r="DQ134" i="21"/>
  <c r="F134" i="21" s="1"/>
  <c r="AM12" i="21"/>
  <c r="AM15" i="21"/>
  <c r="DQ40" i="21"/>
  <c r="F40" i="21" s="1"/>
  <c r="DQ119" i="21"/>
  <c r="F119" i="21" s="1"/>
  <c r="DQ17" i="21"/>
  <c r="F17" i="21" s="1"/>
  <c r="AM25" i="21"/>
  <c r="AM26" i="21"/>
  <c r="DR35" i="21"/>
  <c r="DQ54" i="21"/>
  <c r="F54" i="21" s="1"/>
  <c r="DR55" i="21"/>
  <c r="AM57" i="21"/>
  <c r="AM61" i="21"/>
  <c r="DR76" i="21"/>
  <c r="DQ90" i="21"/>
  <c r="F90" i="21" s="1"/>
  <c r="AN97" i="21"/>
  <c r="DQ104" i="21"/>
  <c r="F104" i="21" s="1"/>
  <c r="DQ118" i="21"/>
  <c r="F118" i="21" s="1"/>
  <c r="AN126" i="21"/>
  <c r="O126" i="21" s="1"/>
  <c r="AM137" i="21"/>
  <c r="AM10" i="21"/>
  <c r="DQ15" i="21"/>
  <c r="F15" i="21" s="1"/>
  <c r="DQ16" i="21"/>
  <c r="F16" i="21" s="1"/>
  <c r="DR17" i="21"/>
  <c r="DR24" i="21"/>
  <c r="AN25" i="21"/>
  <c r="O25" i="21" s="1"/>
  <c r="DQ34" i="21"/>
  <c r="F34" i="21" s="1"/>
  <c r="AM40" i="21"/>
  <c r="AN41" i="21"/>
  <c r="DR45" i="21"/>
  <c r="AN46" i="21"/>
  <c r="DR54" i="21"/>
  <c r="AM56" i="21"/>
  <c r="DR59" i="21"/>
  <c r="DR60" i="21"/>
  <c r="AN61" i="21"/>
  <c r="DQ69" i="21"/>
  <c r="F69" i="21" s="1"/>
  <c r="DR70" i="21"/>
  <c r="AM72" i="21"/>
  <c r="AM76" i="21"/>
  <c r="AN83" i="21"/>
  <c r="O83" i="21" s="1"/>
  <c r="DQ84" i="21"/>
  <c r="F84" i="21" s="1"/>
  <c r="AM86" i="21"/>
  <c r="AN87" i="21"/>
  <c r="DR89" i="21"/>
  <c r="AN91" i="21"/>
  <c r="AN96" i="21"/>
  <c r="DQ98" i="21"/>
  <c r="F98" i="21" s="1"/>
  <c r="DR99" i="21"/>
  <c r="AN101" i="21"/>
  <c r="DR103" i="21"/>
  <c r="DR104" i="21"/>
  <c r="AN111" i="21"/>
  <c r="AM114" i="21"/>
  <c r="DR117" i="21"/>
  <c r="AM123" i="21"/>
  <c r="AM124" i="21"/>
  <c r="AM125" i="21"/>
  <c r="DR127" i="21"/>
  <c r="AN129" i="21"/>
  <c r="AN131" i="21"/>
  <c r="AN134" i="21"/>
  <c r="O134" i="21" s="1"/>
  <c r="AN137" i="21"/>
  <c r="DQ13" i="21"/>
  <c r="F13" i="21" s="1"/>
  <c r="DQ14" i="21"/>
  <c r="F14" i="21" s="1"/>
  <c r="DR15" i="21"/>
  <c r="DR16" i="21"/>
  <c r="AM24" i="21"/>
  <c r="AN30" i="21"/>
  <c r="DQ33" i="21"/>
  <c r="F33" i="21" s="1"/>
  <c r="DR34" i="21"/>
  <c r="AN40" i="21"/>
  <c r="AM45" i="21"/>
  <c r="DQ53" i="21"/>
  <c r="F53" i="21" s="1"/>
  <c r="AM60" i="21"/>
  <c r="AN66" i="21"/>
  <c r="R66" i="21" s="1"/>
  <c r="DQ68" i="21"/>
  <c r="DR69" i="21"/>
  <c r="AM71" i="21"/>
  <c r="DR74" i="21"/>
  <c r="DR75" i="21"/>
  <c r="AN76" i="21"/>
  <c r="DQ83" i="21"/>
  <c r="F83" i="21" s="1"/>
  <c r="DR84" i="21"/>
  <c r="DQ88" i="21"/>
  <c r="F88" i="21" s="1"/>
  <c r="DQ89" i="21"/>
  <c r="F89" i="21" s="1"/>
  <c r="AM90" i="21"/>
  <c r="AN95" i="21"/>
  <c r="AM96" i="21"/>
  <c r="DQ97" i="21"/>
  <c r="F97" i="21" s="1"/>
  <c r="DR98" i="21"/>
  <c r="AM100" i="21"/>
  <c r="DQ103" i="21"/>
  <c r="F103" i="21" s="1"/>
  <c r="DQ105" i="21"/>
  <c r="F105" i="21" s="1"/>
  <c r="AN110" i="21"/>
  <c r="O110" i="21" s="1"/>
  <c r="DQ111" i="21"/>
  <c r="F111" i="21" s="1"/>
  <c r="DQ116" i="21"/>
  <c r="F116" i="21" s="1"/>
  <c r="AM118" i="21"/>
  <c r="AN124" i="21"/>
  <c r="O124" i="21" s="1"/>
  <c r="DQ126" i="21"/>
  <c r="F126" i="21" s="1"/>
  <c r="DQ131" i="21"/>
  <c r="F131" i="21" s="1"/>
  <c r="AM133" i="21"/>
  <c r="DQ137" i="21"/>
  <c r="F137" i="21" s="1"/>
  <c r="DQ138" i="21"/>
  <c r="F138" i="21" s="1"/>
  <c r="DR10" i="21"/>
  <c r="AM104" i="21"/>
  <c r="AM119" i="21"/>
  <c r="AM120" i="21"/>
  <c r="AM135" i="21"/>
  <c r="DR20" i="21"/>
  <c r="AN27" i="21"/>
  <c r="DR36" i="21"/>
  <c r="AM39" i="21"/>
  <c r="AM46" i="21"/>
  <c r="DQ55" i="21"/>
  <c r="F55" i="21" s="1"/>
  <c r="AM62" i="21"/>
  <c r="DQ70" i="21"/>
  <c r="F70" i="21" s="1"/>
  <c r="AM77" i="21"/>
  <c r="DQ86" i="21"/>
  <c r="F86" i="21" s="1"/>
  <c r="AM93" i="21"/>
  <c r="DR101" i="21"/>
  <c r="AN107" i="21"/>
  <c r="O107" i="21" s="1"/>
  <c r="DR116" i="21"/>
  <c r="AN123" i="21"/>
  <c r="DR132" i="21"/>
  <c r="AM11" i="21"/>
  <c r="DQ12" i="21"/>
  <c r="F12" i="21" s="1"/>
  <c r="AM13" i="21"/>
  <c r="AM19" i="21"/>
  <c r="AM20" i="21"/>
  <c r="DQ28" i="21"/>
  <c r="F28" i="21" s="1"/>
  <c r="DR29" i="21"/>
  <c r="DR30" i="21"/>
  <c r="AM35" i="21"/>
  <c r="AM36" i="21"/>
  <c r="AN42" i="21"/>
  <c r="DQ48" i="21"/>
  <c r="F48" i="21" s="1"/>
  <c r="DQ49" i="21"/>
  <c r="F49" i="21" s="1"/>
  <c r="DR50" i="21"/>
  <c r="DR51" i="21"/>
  <c r="AM55" i="21"/>
  <c r="AN57" i="21"/>
  <c r="AN58" i="21"/>
  <c r="AN72" i="21"/>
  <c r="AN73" i="21"/>
  <c r="AN16" i="21"/>
  <c r="AN20" i="21"/>
  <c r="AN23" i="21"/>
  <c r="DQ25" i="21"/>
  <c r="F25" i="21" s="1"/>
  <c r="DR32" i="21"/>
  <c r="AN33" i="21"/>
  <c r="AN36" i="21"/>
  <c r="DQ51" i="21"/>
  <c r="F51" i="21" s="1"/>
  <c r="AM52" i="21"/>
  <c r="AM58" i="21"/>
  <c r="DR66" i="21"/>
  <c r="AN67" i="21"/>
  <c r="O67" i="21" s="1"/>
  <c r="AM73" i="21"/>
  <c r="DQ82" i="21"/>
  <c r="F82" i="21" s="1"/>
  <c r="AM89" i="21"/>
  <c r="DR97" i="21"/>
  <c r="AN104" i="21"/>
  <c r="DR112" i="21"/>
  <c r="AN119" i="21"/>
  <c r="DR128" i="21"/>
  <c r="AN132" i="21"/>
  <c r="AN135" i="21"/>
  <c r="DR138" i="21"/>
  <c r="DQ24" i="21"/>
  <c r="F24" i="21" s="1"/>
  <c r="DR25" i="21"/>
  <c r="DR26" i="21"/>
  <c r="AM31" i="21"/>
  <c r="AM32" i="21"/>
  <c r="DQ37" i="21"/>
  <c r="F37" i="21" s="1"/>
  <c r="DQ38" i="21"/>
  <c r="F38" i="21" s="1"/>
  <c r="DR39" i="21"/>
  <c r="DR40" i="21"/>
  <c r="DQ44" i="21"/>
  <c r="F44" i="21" s="1"/>
  <c r="DQ45" i="21"/>
  <c r="F45" i="21" s="1"/>
  <c r="H45" i="21" s="1"/>
  <c r="DR46" i="21"/>
  <c r="DR47" i="21"/>
  <c r="AM51" i="21"/>
  <c r="AN53" i="21"/>
  <c r="AN54" i="21"/>
  <c r="O54" i="21" s="1"/>
  <c r="DQ60" i="21"/>
  <c r="F60" i="21" s="1"/>
  <c r="DQ61" i="21"/>
  <c r="DR62" i="21"/>
  <c r="DR63" i="21"/>
  <c r="AN69" i="21"/>
  <c r="O69" i="21" s="1"/>
  <c r="DQ75" i="21"/>
  <c r="F75" i="21" s="1"/>
  <c r="DQ76" i="21"/>
  <c r="F76" i="21" s="1"/>
  <c r="DR77" i="21"/>
  <c r="DR78" i="21"/>
  <c r="AM82" i="21"/>
  <c r="AN84" i="21"/>
  <c r="AN85" i="21"/>
  <c r="DQ91" i="21"/>
  <c r="F91" i="21" s="1"/>
  <c r="DQ92" i="21"/>
  <c r="F92" i="21" s="1"/>
  <c r="DR93" i="21"/>
  <c r="DR94" i="21"/>
  <c r="DR105" i="21"/>
  <c r="DR106" i="21"/>
  <c r="AM111" i="21"/>
  <c r="AM112" i="21"/>
  <c r="DQ120" i="21"/>
  <c r="F120" i="21" s="1"/>
  <c r="DR121" i="21"/>
  <c r="DR122" i="21"/>
  <c r="AM127" i="21"/>
  <c r="AM128" i="21"/>
  <c r="AM138" i="21"/>
  <c r="AN11" i="21"/>
  <c r="DQ21" i="21"/>
  <c r="F21" i="21" s="1"/>
  <c r="AN29" i="21"/>
  <c r="AN32" i="21"/>
  <c r="R32" i="21" s="1"/>
  <c r="DR41" i="21"/>
  <c r="AM48" i="21"/>
  <c r="AM64" i="21"/>
  <c r="DQ78" i="21"/>
  <c r="F78" i="21" s="1"/>
  <c r="AM79" i="21"/>
  <c r="DQ94" i="21"/>
  <c r="F94" i="21" s="1"/>
  <c r="AM95" i="21"/>
  <c r="AN100" i="21"/>
  <c r="O100" i="21" s="1"/>
  <c r="DQ102" i="21"/>
  <c r="F102" i="21" s="1"/>
  <c r="DR108" i="21"/>
  <c r="AN109" i="21"/>
  <c r="AN112" i="21"/>
  <c r="R112" i="21" s="1"/>
  <c r="AN115" i="21"/>
  <c r="DQ117" i="21"/>
  <c r="F117" i="21" s="1"/>
  <c r="DR124" i="21"/>
  <c r="AN125" i="21"/>
  <c r="AN128" i="21"/>
  <c r="DQ133" i="21"/>
  <c r="F133" i="21" s="1"/>
  <c r="AN138" i="21"/>
  <c r="DT22" i="19"/>
  <c r="DS22" i="19"/>
  <c r="F22" i="19" s="1"/>
  <c r="AK66" i="21"/>
  <c r="AK97" i="21"/>
  <c r="AM97" i="21" s="1"/>
  <c r="DQ9" i="21"/>
  <c r="F9" i="21" s="1"/>
  <c r="DR9" i="21"/>
  <c r="AK37" i="21"/>
  <c r="AM37" i="21" s="1"/>
  <c r="AG55" i="20"/>
  <c r="AG7" i="20" s="1"/>
  <c r="AK55" i="20"/>
  <c r="V77" i="20"/>
  <c r="AK85" i="20"/>
  <c r="AM85" i="20" s="1"/>
  <c r="DR21" i="19"/>
  <c r="DQ21" i="19"/>
  <c r="DP21" i="19"/>
  <c r="DO21" i="19"/>
  <c r="DN21" i="19"/>
  <c r="DM21" i="19"/>
  <c r="DH21" i="19"/>
  <c r="DG21" i="19"/>
  <c r="DB21" i="19"/>
  <c r="DA21" i="19"/>
  <c r="CV21" i="19"/>
  <c r="CT21" i="19"/>
  <c r="CO21" i="19"/>
  <c r="CM21" i="19"/>
  <c r="CH21" i="19"/>
  <c r="CF21" i="19"/>
  <c r="CA21" i="19"/>
  <c r="BY21" i="19"/>
  <c r="BT21" i="19"/>
  <c r="BR21" i="19"/>
  <c r="BM21" i="19"/>
  <c r="BK21" i="19"/>
  <c r="BF21" i="19"/>
  <c r="BD21" i="19"/>
  <c r="AY21" i="19"/>
  <c r="AX21" i="19"/>
  <c r="AS21" i="19"/>
  <c r="AR21" i="19"/>
  <c r="AK21" i="19"/>
  <c r="AJ21" i="19"/>
  <c r="AI21" i="19"/>
  <c r="AH21" i="19"/>
  <c r="AG21" i="19"/>
  <c r="AF21" i="19"/>
  <c r="AA21" i="19"/>
  <c r="Z21" i="19"/>
  <c r="U21" i="19"/>
  <c r="T21" i="19"/>
  <c r="DR20" i="19"/>
  <c r="DQ20" i="19"/>
  <c r="DP20" i="19"/>
  <c r="DO20" i="19"/>
  <c r="DN20" i="19"/>
  <c r="DM20" i="19"/>
  <c r="DH20" i="19"/>
  <c r="DG20" i="19"/>
  <c r="DB20" i="19"/>
  <c r="DA20" i="19"/>
  <c r="CV20" i="19"/>
  <c r="CT20" i="19"/>
  <c r="CO20" i="19"/>
  <c r="CM20" i="19"/>
  <c r="CH20" i="19"/>
  <c r="CF20" i="19"/>
  <c r="CA20" i="19"/>
  <c r="BY20" i="19"/>
  <c r="BT20" i="19"/>
  <c r="BR20" i="19"/>
  <c r="BM20" i="19"/>
  <c r="BK20" i="19"/>
  <c r="BF20" i="19"/>
  <c r="BD20" i="19"/>
  <c r="AY20" i="19"/>
  <c r="AX20" i="19"/>
  <c r="AS20" i="19"/>
  <c r="AR20" i="19"/>
  <c r="AK20" i="19"/>
  <c r="AJ20" i="19"/>
  <c r="AI20" i="19"/>
  <c r="AH20" i="19"/>
  <c r="AG20" i="19"/>
  <c r="AF20" i="19"/>
  <c r="AA20" i="19"/>
  <c r="Z20" i="19"/>
  <c r="U20" i="19"/>
  <c r="T20" i="19"/>
  <c r="DR19" i="19"/>
  <c r="DQ19" i="19"/>
  <c r="DP19" i="19"/>
  <c r="DO19" i="19"/>
  <c r="DN19" i="19"/>
  <c r="DM19" i="19"/>
  <c r="DH19" i="19"/>
  <c r="DG19" i="19"/>
  <c r="DB19" i="19"/>
  <c r="DA19" i="19"/>
  <c r="CV19" i="19"/>
  <c r="CT19" i="19"/>
  <c r="CO19" i="19"/>
  <c r="CM19" i="19"/>
  <c r="CH19" i="19"/>
  <c r="CF19" i="19"/>
  <c r="CA19" i="19"/>
  <c r="BY19" i="19"/>
  <c r="BT19" i="19"/>
  <c r="BR19" i="19"/>
  <c r="BM19" i="19"/>
  <c r="BK19" i="19"/>
  <c r="BF19" i="19"/>
  <c r="BD19" i="19"/>
  <c r="AY19" i="19"/>
  <c r="AX19" i="19"/>
  <c r="AS19" i="19"/>
  <c r="AR19" i="19"/>
  <c r="AK19" i="19"/>
  <c r="AJ19" i="19"/>
  <c r="AI19" i="19"/>
  <c r="AH19" i="19"/>
  <c r="AG19" i="19"/>
  <c r="AF19" i="19"/>
  <c r="AA19" i="19"/>
  <c r="Z19" i="19"/>
  <c r="U19" i="19"/>
  <c r="T19" i="19"/>
  <c r="DR18" i="19"/>
  <c r="DQ18" i="19"/>
  <c r="DP18" i="19"/>
  <c r="DO18" i="19"/>
  <c r="DN18" i="19"/>
  <c r="DM18" i="19"/>
  <c r="DH18" i="19"/>
  <c r="DG18" i="19"/>
  <c r="DB18" i="19"/>
  <c r="DA18" i="19"/>
  <c r="CV18" i="19"/>
  <c r="CT18" i="19"/>
  <c r="CO18" i="19"/>
  <c r="CM18" i="19"/>
  <c r="CH18" i="19"/>
  <c r="CF18" i="19"/>
  <c r="CA18" i="19"/>
  <c r="BY18" i="19"/>
  <c r="BT18" i="19"/>
  <c r="BR18" i="19"/>
  <c r="BM18" i="19"/>
  <c r="BK18" i="19"/>
  <c r="BF18" i="19"/>
  <c r="BD18" i="19"/>
  <c r="AY18" i="19"/>
  <c r="AX18" i="19"/>
  <c r="AS18" i="19"/>
  <c r="AR18" i="19"/>
  <c r="AK18" i="19"/>
  <c r="AJ18" i="19"/>
  <c r="AI18" i="19"/>
  <c r="AH18" i="19"/>
  <c r="AG18" i="19"/>
  <c r="AF18" i="19"/>
  <c r="AA18" i="19"/>
  <c r="Z18" i="19"/>
  <c r="U18" i="19"/>
  <c r="T18" i="19"/>
  <c r="DR17" i="19"/>
  <c r="DQ17" i="19"/>
  <c r="DP17" i="19"/>
  <c r="DO17" i="19"/>
  <c r="DN17" i="19"/>
  <c r="DM17" i="19"/>
  <c r="DH17" i="19"/>
  <c r="DG17" i="19"/>
  <c r="DB17" i="19"/>
  <c r="DA17" i="19"/>
  <c r="CV17" i="19"/>
  <c r="CT17" i="19"/>
  <c r="CO17" i="19"/>
  <c r="CM17" i="19"/>
  <c r="CH17" i="19"/>
  <c r="CF17" i="19"/>
  <c r="CA17" i="19"/>
  <c r="BY17" i="19"/>
  <c r="BT17" i="19"/>
  <c r="BR17" i="19"/>
  <c r="BM17" i="19"/>
  <c r="BK17" i="19"/>
  <c r="BF17" i="19"/>
  <c r="BD17" i="19"/>
  <c r="AY17" i="19"/>
  <c r="AX17" i="19"/>
  <c r="AS17" i="19"/>
  <c r="AR17" i="19"/>
  <c r="AK17" i="19"/>
  <c r="AJ17" i="19"/>
  <c r="AI17" i="19"/>
  <c r="AH17" i="19"/>
  <c r="AG17" i="19"/>
  <c r="AF17" i="19"/>
  <c r="AA17" i="19"/>
  <c r="Z17" i="19"/>
  <c r="U17" i="19"/>
  <c r="T17" i="19"/>
  <c r="DR16" i="19"/>
  <c r="DQ16" i="19"/>
  <c r="DP16" i="19"/>
  <c r="DO16" i="19"/>
  <c r="DN16" i="19"/>
  <c r="DM16" i="19"/>
  <c r="DH16" i="19"/>
  <c r="DG16" i="19"/>
  <c r="DB16" i="19"/>
  <c r="DA16" i="19"/>
  <c r="CV16" i="19"/>
  <c r="CT16" i="19"/>
  <c r="CO16" i="19"/>
  <c r="CM16" i="19"/>
  <c r="CH16" i="19"/>
  <c r="CF16" i="19"/>
  <c r="CA16" i="19"/>
  <c r="BY16" i="19"/>
  <c r="BT16" i="19"/>
  <c r="BR16" i="19"/>
  <c r="BM16" i="19"/>
  <c r="BK16" i="19"/>
  <c r="BF16" i="19"/>
  <c r="BD16" i="19"/>
  <c r="AY16" i="19"/>
  <c r="AX16" i="19"/>
  <c r="AS16" i="19"/>
  <c r="AR16" i="19"/>
  <c r="AK16" i="19"/>
  <c r="AJ16" i="19"/>
  <c r="AI16" i="19"/>
  <c r="AH16" i="19"/>
  <c r="AG16" i="19"/>
  <c r="AF16" i="19"/>
  <c r="AA16" i="19"/>
  <c r="Z16" i="19"/>
  <c r="U16" i="19"/>
  <c r="T16" i="19"/>
  <c r="DR15" i="19"/>
  <c r="DQ15" i="19"/>
  <c r="DP15" i="19"/>
  <c r="DO15" i="19"/>
  <c r="DN15" i="19"/>
  <c r="DM15" i="19"/>
  <c r="DH15" i="19"/>
  <c r="DG15" i="19"/>
  <c r="DB15" i="19"/>
  <c r="DA15" i="19"/>
  <c r="CV15" i="19"/>
  <c r="CT15" i="19"/>
  <c r="CO15" i="19"/>
  <c r="CM15" i="19"/>
  <c r="CH15" i="19"/>
  <c r="CF15" i="19"/>
  <c r="CA15" i="19"/>
  <c r="BY15" i="19"/>
  <c r="BT15" i="19"/>
  <c r="BR15" i="19"/>
  <c r="BM15" i="19"/>
  <c r="BK15" i="19"/>
  <c r="BF15" i="19"/>
  <c r="BD15" i="19"/>
  <c r="AY15" i="19"/>
  <c r="AX15" i="19"/>
  <c r="AS15" i="19"/>
  <c r="AR15" i="19"/>
  <c r="AK15" i="19"/>
  <c r="AJ15" i="19"/>
  <c r="AI15" i="19"/>
  <c r="AH15" i="19"/>
  <c r="AG15" i="19"/>
  <c r="AF15" i="19"/>
  <c r="AA15" i="19"/>
  <c r="Z15" i="19"/>
  <c r="U15" i="19"/>
  <c r="T15" i="19"/>
  <c r="DR14" i="19"/>
  <c r="DQ14" i="19"/>
  <c r="DP14" i="19"/>
  <c r="DO14" i="19"/>
  <c r="DN14" i="19"/>
  <c r="DM14" i="19"/>
  <c r="DH14" i="19"/>
  <c r="DG14" i="19"/>
  <c r="DB14" i="19"/>
  <c r="DA14" i="19"/>
  <c r="CV14" i="19"/>
  <c r="CT14" i="19"/>
  <c r="CO14" i="19"/>
  <c r="CM14" i="19"/>
  <c r="CH14" i="19"/>
  <c r="CF14" i="19"/>
  <c r="CA14" i="19"/>
  <c r="BY14" i="19"/>
  <c r="BT14" i="19"/>
  <c r="BR14" i="19"/>
  <c r="BM14" i="19"/>
  <c r="BK14" i="19"/>
  <c r="BF14" i="19"/>
  <c r="BD14" i="19"/>
  <c r="AY14" i="19"/>
  <c r="AX14" i="19"/>
  <c r="AS14" i="19"/>
  <c r="AR14" i="19"/>
  <c r="AK14" i="19"/>
  <c r="AJ14" i="19"/>
  <c r="AI14" i="19"/>
  <c r="AH14" i="19"/>
  <c r="AG14" i="19"/>
  <c r="AF14" i="19"/>
  <c r="AA14" i="19"/>
  <c r="Z14" i="19"/>
  <c r="U14" i="19"/>
  <c r="T14" i="19"/>
  <c r="DR13" i="19"/>
  <c r="DQ13" i="19"/>
  <c r="DP13" i="19"/>
  <c r="DO13" i="19"/>
  <c r="DN13" i="19"/>
  <c r="DM13" i="19"/>
  <c r="DH13" i="19"/>
  <c r="DG13" i="19"/>
  <c r="DB13" i="19"/>
  <c r="DA13" i="19"/>
  <c r="CV13" i="19"/>
  <c r="CT13" i="19"/>
  <c r="CO13" i="19"/>
  <c r="CM13" i="19"/>
  <c r="CH13" i="19"/>
  <c r="CF13" i="19"/>
  <c r="CA13" i="19"/>
  <c r="BY13" i="19"/>
  <c r="BT13" i="19"/>
  <c r="BR13" i="19"/>
  <c r="BM13" i="19"/>
  <c r="BK13" i="19"/>
  <c r="BF13" i="19"/>
  <c r="BD13" i="19"/>
  <c r="AY13" i="19"/>
  <c r="AX13" i="19"/>
  <c r="AS13" i="19"/>
  <c r="AR13" i="19"/>
  <c r="AK13" i="19"/>
  <c r="AJ13" i="19"/>
  <c r="AI13" i="19"/>
  <c r="AH13" i="19"/>
  <c r="AG13" i="19"/>
  <c r="AF13" i="19"/>
  <c r="AA13" i="19"/>
  <c r="Z13" i="19"/>
  <c r="U13" i="19"/>
  <c r="T13" i="19"/>
  <c r="DR12" i="19"/>
  <c r="DQ12" i="19"/>
  <c r="DP12" i="19"/>
  <c r="DO12" i="19"/>
  <c r="DN12" i="19"/>
  <c r="DM12" i="19"/>
  <c r="DH12" i="19"/>
  <c r="DG12" i="19"/>
  <c r="DB12" i="19"/>
  <c r="DA12" i="19"/>
  <c r="CV12" i="19"/>
  <c r="CT12" i="19"/>
  <c r="CO12" i="19"/>
  <c r="CM12" i="19"/>
  <c r="CH12" i="19"/>
  <c r="CF12" i="19"/>
  <c r="CA12" i="19"/>
  <c r="BY12" i="19"/>
  <c r="BT12" i="19"/>
  <c r="BR12" i="19"/>
  <c r="BM12" i="19"/>
  <c r="BK12" i="19"/>
  <c r="BF12" i="19"/>
  <c r="BD12" i="19"/>
  <c r="AY12" i="19"/>
  <c r="AX12" i="19"/>
  <c r="AS12" i="19"/>
  <c r="AR12" i="19"/>
  <c r="AK12" i="19"/>
  <c r="AJ12" i="19"/>
  <c r="AI12" i="19"/>
  <c r="AH12" i="19"/>
  <c r="AG12" i="19"/>
  <c r="AF12" i="19"/>
  <c r="AA12" i="19"/>
  <c r="Z12" i="19"/>
  <c r="U12" i="19"/>
  <c r="T12" i="19"/>
  <c r="DR11" i="19"/>
  <c r="DQ11" i="19"/>
  <c r="DP11" i="19"/>
  <c r="DO11" i="19"/>
  <c r="DN11" i="19"/>
  <c r="DM11" i="19"/>
  <c r="DH11" i="19"/>
  <c r="DG11" i="19"/>
  <c r="DB11" i="19"/>
  <c r="DA11" i="19"/>
  <c r="CV11" i="19"/>
  <c r="CT11" i="19"/>
  <c r="CO11" i="19"/>
  <c r="CM11" i="19"/>
  <c r="CH11" i="19"/>
  <c r="CF11" i="19"/>
  <c r="CA11" i="19"/>
  <c r="BY11" i="19"/>
  <c r="BT11" i="19"/>
  <c r="BR11" i="19"/>
  <c r="BM11" i="19"/>
  <c r="BK11" i="19"/>
  <c r="BF11" i="19"/>
  <c r="BD11" i="19"/>
  <c r="AY11" i="19"/>
  <c r="AX11" i="19"/>
  <c r="AS11" i="19"/>
  <c r="AR11" i="19"/>
  <c r="AK11" i="19"/>
  <c r="AJ11" i="19"/>
  <c r="AI11" i="19"/>
  <c r="AH11" i="19"/>
  <c r="AG11" i="19"/>
  <c r="AF11" i="19"/>
  <c r="AA11" i="19"/>
  <c r="Z11" i="19"/>
  <c r="U11" i="19"/>
  <c r="T11" i="19"/>
  <c r="DR10" i="19"/>
  <c r="DQ10" i="19"/>
  <c r="DP10" i="19"/>
  <c r="DO10" i="19"/>
  <c r="DN10" i="19"/>
  <c r="DM10" i="19"/>
  <c r="DH10" i="19"/>
  <c r="DG10" i="19"/>
  <c r="DB10" i="19"/>
  <c r="DA10" i="19"/>
  <c r="CV10" i="19"/>
  <c r="CT10" i="19"/>
  <c r="CO10" i="19"/>
  <c r="CM10" i="19"/>
  <c r="CH10" i="19"/>
  <c r="CF10" i="19"/>
  <c r="CA10" i="19"/>
  <c r="BY10" i="19"/>
  <c r="BT10" i="19"/>
  <c r="BR10" i="19"/>
  <c r="BM10" i="19"/>
  <c r="BK10" i="19"/>
  <c r="BF10" i="19"/>
  <c r="BD10" i="19"/>
  <c r="AY10" i="19"/>
  <c r="AX10" i="19"/>
  <c r="AS10" i="19"/>
  <c r="AR10" i="19"/>
  <c r="AK10" i="19"/>
  <c r="AJ10" i="19"/>
  <c r="AI10" i="19"/>
  <c r="AH10" i="19"/>
  <c r="AG10" i="19"/>
  <c r="AF10" i="19"/>
  <c r="AA10" i="19"/>
  <c r="Z10" i="19"/>
  <c r="U10" i="19"/>
  <c r="T10" i="19"/>
  <c r="DR9" i="19"/>
  <c r="DQ9" i="19"/>
  <c r="DP9" i="19"/>
  <c r="DO9" i="19"/>
  <c r="DN9" i="19"/>
  <c r="DM9" i="19"/>
  <c r="DH9" i="19"/>
  <c r="DG9" i="19"/>
  <c r="DB9" i="19"/>
  <c r="DA9" i="19"/>
  <c r="CV9" i="19"/>
  <c r="CT9" i="19"/>
  <c r="CO9" i="19"/>
  <c r="CM9" i="19"/>
  <c r="CH9" i="19"/>
  <c r="CF9" i="19"/>
  <c r="CA9" i="19"/>
  <c r="BY9" i="19"/>
  <c r="BT9" i="19"/>
  <c r="BR9" i="19"/>
  <c r="BM9" i="19"/>
  <c r="BK9" i="19"/>
  <c r="BF9" i="19"/>
  <c r="BD9" i="19"/>
  <c r="AY9" i="19"/>
  <c r="AX9" i="19"/>
  <c r="AS9" i="19"/>
  <c r="AR9" i="19"/>
  <c r="AK9" i="19"/>
  <c r="AJ9" i="19"/>
  <c r="AI9" i="19"/>
  <c r="AH9" i="19"/>
  <c r="AG9" i="19"/>
  <c r="AF9" i="19"/>
  <c r="AA9" i="19"/>
  <c r="Z9" i="19"/>
  <c r="U9" i="19"/>
  <c r="T9" i="19"/>
  <c r="DN11" i="18"/>
  <c r="DM11" i="18"/>
  <c r="DL11" i="18"/>
  <c r="DK11" i="18"/>
  <c r="DJ11" i="18"/>
  <c r="DI11" i="18"/>
  <c r="DD11" i="18"/>
  <c r="DC11" i="18"/>
  <c r="CX11" i="18"/>
  <c r="CW11" i="18"/>
  <c r="CR11" i="18"/>
  <c r="CQ11" i="18"/>
  <c r="CL11" i="18"/>
  <c r="CK11" i="18"/>
  <c r="CF11" i="18"/>
  <c r="CE11" i="18"/>
  <c r="BZ11" i="18"/>
  <c r="BY11" i="18"/>
  <c r="BT11" i="18"/>
  <c r="BR11" i="18"/>
  <c r="BM11" i="18"/>
  <c r="BK11" i="18"/>
  <c r="BF11" i="18"/>
  <c r="BD11" i="18"/>
  <c r="AY11" i="18"/>
  <c r="AX11" i="18"/>
  <c r="AS11" i="18"/>
  <c r="AR11" i="18"/>
  <c r="AK11" i="18"/>
  <c r="AJ11" i="18"/>
  <c r="AI11" i="18"/>
  <c r="AH11" i="18"/>
  <c r="AG11" i="18"/>
  <c r="AF11" i="18"/>
  <c r="AA11" i="18"/>
  <c r="Z11" i="18"/>
  <c r="U11" i="18"/>
  <c r="T11" i="18"/>
  <c r="DN10" i="18"/>
  <c r="DM10" i="18"/>
  <c r="DL10" i="18"/>
  <c r="DK10" i="18"/>
  <c r="DJ10" i="18"/>
  <c r="DI10" i="18"/>
  <c r="DD10" i="18"/>
  <c r="DC10" i="18"/>
  <c r="CX10" i="18"/>
  <c r="CW10" i="18"/>
  <c r="CR10" i="18"/>
  <c r="CQ10" i="18"/>
  <c r="CL10" i="18"/>
  <c r="CK10" i="18"/>
  <c r="CF10" i="18"/>
  <c r="CE10" i="18"/>
  <c r="BZ10" i="18"/>
  <c r="BY10" i="18"/>
  <c r="BT10" i="18"/>
  <c r="BR10" i="18"/>
  <c r="BM10" i="18"/>
  <c r="BK10" i="18"/>
  <c r="BF10" i="18"/>
  <c r="BD10" i="18"/>
  <c r="AY10" i="18"/>
  <c r="AX10" i="18"/>
  <c r="AS10" i="18"/>
  <c r="AR10" i="18"/>
  <c r="AK10" i="18"/>
  <c r="N10" i="18" s="1"/>
  <c r="AJ10" i="18"/>
  <c r="AI10" i="18"/>
  <c r="AH10" i="18"/>
  <c r="AG10" i="18"/>
  <c r="AF10" i="18"/>
  <c r="AA10" i="18"/>
  <c r="Z10" i="18"/>
  <c r="U10" i="18"/>
  <c r="T10" i="18"/>
  <c r="DN9" i="18"/>
  <c r="DM9" i="18"/>
  <c r="DL9" i="18"/>
  <c r="DK9" i="18"/>
  <c r="DJ9" i="18"/>
  <c r="DI9" i="18"/>
  <c r="DD9" i="18"/>
  <c r="DC9" i="18"/>
  <c r="CX9" i="18"/>
  <c r="CW9" i="18"/>
  <c r="CR9" i="18"/>
  <c r="CQ9" i="18"/>
  <c r="CL9" i="18"/>
  <c r="CK9" i="18"/>
  <c r="CF9" i="18"/>
  <c r="CE9" i="18"/>
  <c r="BZ9" i="18"/>
  <c r="BY9" i="18"/>
  <c r="BT9" i="18"/>
  <c r="BR9" i="18"/>
  <c r="BM9" i="18"/>
  <c r="BK9" i="18"/>
  <c r="BF9" i="18"/>
  <c r="BD9" i="18"/>
  <c r="AY9" i="18"/>
  <c r="AX9" i="18"/>
  <c r="AS9" i="18"/>
  <c r="AR9" i="18"/>
  <c r="AK9" i="18"/>
  <c r="AJ9" i="18"/>
  <c r="AI9" i="18"/>
  <c r="AH9" i="18"/>
  <c r="AG9" i="18"/>
  <c r="AF9" i="18"/>
  <c r="AA9" i="18"/>
  <c r="Z9" i="18"/>
  <c r="U9" i="18"/>
  <c r="T9" i="18"/>
  <c r="H85" i="20" l="1"/>
  <c r="H72" i="20"/>
  <c r="G10" i="19"/>
  <c r="G14" i="19"/>
  <c r="G18" i="19"/>
  <c r="G12" i="19"/>
  <c r="G13" i="19"/>
  <c r="G17" i="19"/>
  <c r="G21" i="19"/>
  <c r="G16" i="19"/>
  <c r="G20" i="19"/>
  <c r="G11" i="19"/>
  <c r="G15" i="19"/>
  <c r="G19" i="19"/>
  <c r="DM7" i="18"/>
  <c r="G9" i="18"/>
  <c r="H9" i="18" s="1"/>
  <c r="H7" i="18" s="1"/>
  <c r="CW7" i="18"/>
  <c r="G11" i="18"/>
  <c r="G10" i="18"/>
  <c r="H10" i="18" s="1"/>
  <c r="H109" i="21"/>
  <c r="H87" i="21"/>
  <c r="H38" i="21"/>
  <c r="H103" i="21"/>
  <c r="H69" i="21"/>
  <c r="H23" i="21"/>
  <c r="H52" i="21"/>
  <c r="H53" i="20"/>
  <c r="H86" i="20"/>
  <c r="H65" i="20"/>
  <c r="H89" i="20"/>
  <c r="H42" i="20"/>
  <c r="H90" i="20"/>
  <c r="H66" i="20"/>
  <c r="H122" i="21"/>
  <c r="H9" i="21"/>
  <c r="H42" i="21"/>
  <c r="H123" i="20"/>
  <c r="H62" i="20"/>
  <c r="H114" i="20"/>
  <c r="H48" i="20"/>
  <c r="H113" i="20"/>
  <c r="H23" i="20"/>
  <c r="H70" i="20"/>
  <c r="H21" i="20"/>
  <c r="H40" i="21"/>
  <c r="H136" i="21"/>
  <c r="H108" i="21"/>
  <c r="H104" i="21"/>
  <c r="H83" i="21"/>
  <c r="H19" i="21"/>
  <c r="H118" i="21"/>
  <c r="H48" i="21"/>
  <c r="H62" i="21"/>
  <c r="H13" i="21"/>
  <c r="H20" i="21"/>
  <c r="H74" i="21"/>
  <c r="H137" i="21"/>
  <c r="H99" i="21"/>
  <c r="H105" i="21"/>
  <c r="H76" i="21"/>
  <c r="H131" i="21"/>
  <c r="H41" i="21"/>
  <c r="H132" i="21"/>
  <c r="H100" i="21"/>
  <c r="H29" i="21"/>
  <c r="H123" i="21"/>
  <c r="G9" i="19"/>
  <c r="H126" i="21"/>
  <c r="H28" i="21"/>
  <c r="BG2" i="21"/>
  <c r="H36" i="20"/>
  <c r="H43" i="20"/>
  <c r="H61" i="20"/>
  <c r="H122" i="20"/>
  <c r="H107" i="20"/>
  <c r="H92" i="20"/>
  <c r="H110" i="20"/>
  <c r="H68" i="20"/>
  <c r="H121" i="20"/>
  <c r="H10" i="20"/>
  <c r="H112" i="20"/>
  <c r="H77" i="20"/>
  <c r="H18" i="20"/>
  <c r="H55" i="20"/>
  <c r="H60" i="20"/>
  <c r="H63" i="20"/>
  <c r="H35" i="20"/>
  <c r="H118" i="20"/>
  <c r="H129" i="20"/>
  <c r="H111" i="20"/>
  <c r="H16" i="20"/>
  <c r="H97" i="20"/>
  <c r="H88" i="20"/>
  <c r="H26" i="20"/>
  <c r="H120" i="20"/>
  <c r="H51" i="20"/>
  <c r="H91" i="21"/>
  <c r="H88" i="21"/>
  <c r="H49" i="21"/>
  <c r="H84" i="21"/>
  <c r="H73" i="21"/>
  <c r="H47" i="21"/>
  <c r="H116" i="21"/>
  <c r="H14" i="21"/>
  <c r="H27" i="21"/>
  <c r="H113" i="21"/>
  <c r="H82" i="21"/>
  <c r="H107" i="21"/>
  <c r="H67" i="21"/>
  <c r="H56" i="21"/>
  <c r="H35" i="21"/>
  <c r="H92" i="21"/>
  <c r="H33" i="21"/>
  <c r="H15" i="21"/>
  <c r="H112" i="21"/>
  <c r="H31" i="21"/>
  <c r="H135" i="21"/>
  <c r="H43" i="21"/>
  <c r="H78" i="21"/>
  <c r="H24" i="21"/>
  <c r="H80" i="21"/>
  <c r="H120" i="21"/>
  <c r="H53" i="21"/>
  <c r="H130" i="21"/>
  <c r="H32" i="21"/>
  <c r="DR7" i="21"/>
  <c r="H124" i="21"/>
  <c r="H57" i="21"/>
  <c r="H96" i="21"/>
  <c r="H128" i="21"/>
  <c r="H119" i="21"/>
  <c r="H59" i="21"/>
  <c r="H94" i="21"/>
  <c r="H55" i="21"/>
  <c r="F61" i="21"/>
  <c r="H61" i="21" s="1"/>
  <c r="DQ7" i="21"/>
  <c r="H75" i="21"/>
  <c r="H37" i="21"/>
  <c r="H89" i="21"/>
  <c r="H17" i="21"/>
  <c r="H65" i="21"/>
  <c r="H63" i="21"/>
  <c r="H54" i="21"/>
  <c r="H30" i="21"/>
  <c r="H66" i="21"/>
  <c r="H85" i="21"/>
  <c r="H114" i="21"/>
  <c r="H25" i="21"/>
  <c r="H70" i="21"/>
  <c r="H93" i="21"/>
  <c r="H21" i="21"/>
  <c r="H127" i="21"/>
  <c r="H44" i="21"/>
  <c r="H97" i="21"/>
  <c r="H72" i="21"/>
  <c r="H79" i="21"/>
  <c r="H110" i="21"/>
  <c r="H50" i="21"/>
  <c r="H10" i="21"/>
  <c r="H133" i="21"/>
  <c r="H138" i="21"/>
  <c r="H71" i="21"/>
  <c r="H101" i="21"/>
  <c r="H106" i="21"/>
  <c r="H34" i="21"/>
  <c r="H125" i="21"/>
  <c r="H12" i="21"/>
  <c r="H16" i="21"/>
  <c r="H129" i="21"/>
  <c r="H58" i="21"/>
  <c r="H60" i="21"/>
  <c r="H51" i="21"/>
  <c r="H134" i="21"/>
  <c r="H115" i="21"/>
  <c r="H77" i="21"/>
  <c r="H111" i="21"/>
  <c r="H98" i="21"/>
  <c r="H11" i="21"/>
  <c r="H81" i="21"/>
  <c r="H46" i="21"/>
  <c r="H102" i="21"/>
  <c r="H86" i="21"/>
  <c r="H90" i="21"/>
  <c r="H64" i="21"/>
  <c r="H26" i="21"/>
  <c r="H121" i="21"/>
  <c r="H22" i="21"/>
  <c r="H117" i="21"/>
  <c r="H95" i="21"/>
  <c r="H36" i="21"/>
  <c r="H39" i="21"/>
  <c r="G7" i="21"/>
  <c r="H40" i="20"/>
  <c r="H47" i="20"/>
  <c r="H69" i="20"/>
  <c r="H87" i="20"/>
  <c r="H81" i="20"/>
  <c r="H56" i="20"/>
  <c r="H12" i="20"/>
  <c r="H98" i="20"/>
  <c r="H31" i="20"/>
  <c r="H125" i="20"/>
  <c r="H22" i="20"/>
  <c r="H116" i="20"/>
  <c r="H93" i="20"/>
  <c r="H59" i="20"/>
  <c r="H28" i="20"/>
  <c r="H20" i="20"/>
  <c r="H133" i="20"/>
  <c r="H102" i="20"/>
  <c r="H115" i="20"/>
  <c r="H34" i="20"/>
  <c r="H49" i="20"/>
  <c r="H127" i="20"/>
  <c r="H95" i="20"/>
  <c r="H78" i="20"/>
  <c r="H45" i="20"/>
  <c r="H104" i="20"/>
  <c r="H57" i="20"/>
  <c r="H37" i="20"/>
  <c r="H27" i="20"/>
  <c r="H38" i="20"/>
  <c r="H117" i="20"/>
  <c r="H32" i="20"/>
  <c r="H106" i="20"/>
  <c r="H99" i="20"/>
  <c r="H74" i="20"/>
  <c r="H131" i="20"/>
  <c r="H108" i="20"/>
  <c r="H41" i="20"/>
  <c r="H134" i="20"/>
  <c r="H52" i="20"/>
  <c r="H14" i="20"/>
  <c r="H82" i="20"/>
  <c r="H83" i="20"/>
  <c r="H39" i="20"/>
  <c r="H101" i="20"/>
  <c r="H124" i="20"/>
  <c r="H64" i="20"/>
  <c r="H46" i="20"/>
  <c r="H80" i="20"/>
  <c r="H130" i="20"/>
  <c r="H67" i="20"/>
  <c r="F58" i="20"/>
  <c r="H58" i="20" s="1"/>
  <c r="F103" i="20"/>
  <c r="H103" i="20" s="1"/>
  <c r="F126" i="20"/>
  <c r="H126" i="20" s="1"/>
  <c r="H54" i="20"/>
  <c r="H19" i="20"/>
  <c r="H33" i="20"/>
  <c r="H25" i="20"/>
  <c r="H109" i="20"/>
  <c r="H79" i="20"/>
  <c r="H100" i="20"/>
  <c r="H44" i="20"/>
  <c r="H75" i="20"/>
  <c r="H30" i="20"/>
  <c r="H91" i="20"/>
  <c r="H132" i="20"/>
  <c r="H11" i="20"/>
  <c r="H17" i="20"/>
  <c r="H119" i="20"/>
  <c r="H71" i="20"/>
  <c r="H13" i="20"/>
  <c r="H15" i="20"/>
  <c r="H50" i="20"/>
  <c r="H84" i="20"/>
  <c r="H128" i="20"/>
  <c r="H29" i="20"/>
  <c r="H96" i="20"/>
  <c r="H94" i="20"/>
  <c r="H105" i="20"/>
  <c r="H76" i="20"/>
  <c r="H24" i="20"/>
  <c r="Q52" i="26"/>
  <c r="O34" i="26"/>
  <c r="Y52" i="26"/>
  <c r="W52" i="26"/>
  <c r="AL11" i="18"/>
  <c r="AA7" i="18"/>
  <c r="DP11" i="18"/>
  <c r="DC7" i="18"/>
  <c r="AC34" i="26"/>
  <c r="AC52" i="26" s="1"/>
  <c r="U52" i="26"/>
  <c r="S34" i="26"/>
  <c r="S52" i="26" s="1"/>
  <c r="AG34" i="26"/>
  <c r="AG52" i="26" s="1"/>
  <c r="AE52" i="26"/>
  <c r="AA52" i="26"/>
  <c r="AT2" i="20"/>
  <c r="K16" i="26"/>
  <c r="M52" i="26"/>
  <c r="AZ2" i="20"/>
  <c r="AT2" i="21"/>
  <c r="BN2" i="21"/>
  <c r="AZ2" i="21"/>
  <c r="AG7" i="18"/>
  <c r="CX7" i="18"/>
  <c r="AC15" i="26" s="1"/>
  <c r="AM10" i="18"/>
  <c r="M10" i="18" s="1"/>
  <c r="O10" i="18" s="1"/>
  <c r="AA7" i="21"/>
  <c r="DJ7" i="18"/>
  <c r="AG15" i="26" s="1"/>
  <c r="G7" i="20"/>
  <c r="DS20" i="19"/>
  <c r="F20" i="19" s="1"/>
  <c r="DL7" i="18"/>
  <c r="CE7" i="18"/>
  <c r="CL7" i="18"/>
  <c r="Y15" i="26" s="1"/>
  <c r="CR7" i="18"/>
  <c r="AA15" i="26" s="1"/>
  <c r="AX7" i="18"/>
  <c r="N9" i="18"/>
  <c r="AS7" i="18"/>
  <c r="K15" i="26" s="1"/>
  <c r="DO11" i="18"/>
  <c r="F11" i="18" s="1"/>
  <c r="BM7" i="18"/>
  <c r="Q15" i="26" s="1"/>
  <c r="BD7" i="18"/>
  <c r="BT7" i="18"/>
  <c r="S15" i="26" s="1"/>
  <c r="AM11" i="18"/>
  <c r="N9" i="22"/>
  <c r="DP10" i="18"/>
  <c r="DN7" i="18"/>
  <c r="DO10" i="18"/>
  <c r="U7" i="19"/>
  <c r="BM7" i="19"/>
  <c r="Q33" i="26" s="1"/>
  <c r="CO7" i="19"/>
  <c r="Y33" i="26" s="1"/>
  <c r="DN7" i="19"/>
  <c r="AG33" i="26" s="1"/>
  <c r="AK7" i="21"/>
  <c r="AN7" i="21"/>
  <c r="F68" i="21"/>
  <c r="AA7" i="19"/>
  <c r="AS7" i="19"/>
  <c r="K33" i="26" s="1"/>
  <c r="BT7" i="19"/>
  <c r="S33" i="26" s="1"/>
  <c r="DP7" i="19"/>
  <c r="CV7" i="19"/>
  <c r="AA33" i="26" s="1"/>
  <c r="DR7" i="19"/>
  <c r="AG7" i="19"/>
  <c r="AY7" i="19"/>
  <c r="M33" i="26" s="1"/>
  <c r="CA7" i="19"/>
  <c r="U33" i="26" s="1"/>
  <c r="DB7" i="19"/>
  <c r="AC33" i="26" s="1"/>
  <c r="AI7" i="19"/>
  <c r="BF7" i="19"/>
  <c r="O33" i="26" s="1"/>
  <c r="CH7" i="19"/>
  <c r="W33" i="26" s="1"/>
  <c r="DH7" i="19"/>
  <c r="AE33" i="26" s="1"/>
  <c r="T7" i="19"/>
  <c r="AJ7" i="19"/>
  <c r="BK7" i="19"/>
  <c r="CM7" i="19"/>
  <c r="DM7" i="19"/>
  <c r="N12" i="19"/>
  <c r="N11" i="19"/>
  <c r="N10" i="19"/>
  <c r="AK7" i="19"/>
  <c r="N9" i="19"/>
  <c r="M22" i="19"/>
  <c r="I22" i="19"/>
  <c r="AL7" i="20"/>
  <c r="R133" i="21"/>
  <c r="N29" i="21"/>
  <c r="J29" i="21"/>
  <c r="N85" i="21"/>
  <c r="P85" i="21" s="1"/>
  <c r="J85" i="21"/>
  <c r="N20" i="21"/>
  <c r="P20" i="21" s="1"/>
  <c r="J20" i="21"/>
  <c r="N129" i="21"/>
  <c r="P129" i="21" s="1"/>
  <c r="J129" i="21"/>
  <c r="N41" i="21"/>
  <c r="P41" i="21" s="1"/>
  <c r="J41" i="21"/>
  <c r="N97" i="21"/>
  <c r="J97" i="21"/>
  <c r="N77" i="21"/>
  <c r="J77" i="21"/>
  <c r="N15" i="21"/>
  <c r="J15" i="21"/>
  <c r="J43" i="21"/>
  <c r="N43" i="21"/>
  <c r="N44" i="21"/>
  <c r="J44" i="21"/>
  <c r="N122" i="21"/>
  <c r="J122" i="21"/>
  <c r="N50" i="21"/>
  <c r="P50" i="21" s="1"/>
  <c r="J50" i="21"/>
  <c r="N26" i="21"/>
  <c r="P26" i="21" s="1"/>
  <c r="J26" i="21"/>
  <c r="N28" i="21"/>
  <c r="P28" i="21" s="1"/>
  <c r="J28" i="21"/>
  <c r="R83" i="21"/>
  <c r="R25" i="21"/>
  <c r="R126" i="21"/>
  <c r="R100" i="21"/>
  <c r="R93" i="21"/>
  <c r="R19" i="21"/>
  <c r="R116" i="21"/>
  <c r="R28" i="21"/>
  <c r="N84" i="21"/>
  <c r="J84" i="21"/>
  <c r="N104" i="21"/>
  <c r="J104" i="21"/>
  <c r="N16" i="21"/>
  <c r="J16" i="21"/>
  <c r="N95" i="21"/>
  <c r="P95" i="21" s="1"/>
  <c r="J95" i="21"/>
  <c r="N40" i="21"/>
  <c r="J40" i="21"/>
  <c r="N87" i="21"/>
  <c r="P87" i="21" s="1"/>
  <c r="J87" i="21"/>
  <c r="N61" i="21"/>
  <c r="J61" i="21"/>
  <c r="N89" i="21"/>
  <c r="J89" i="21"/>
  <c r="N80" i="21"/>
  <c r="P80" i="21" s="1"/>
  <c r="J80" i="21"/>
  <c r="N21" i="21"/>
  <c r="P21" i="21" s="1"/>
  <c r="J21" i="21"/>
  <c r="N92" i="21"/>
  <c r="P92" i="21" s="1"/>
  <c r="J92" i="21"/>
  <c r="N13" i="21"/>
  <c r="J13" i="21"/>
  <c r="N108" i="21"/>
  <c r="P108" i="21" s="1"/>
  <c r="J108" i="21"/>
  <c r="N136" i="21"/>
  <c r="J136" i="21"/>
  <c r="N65" i="21"/>
  <c r="J65" i="21"/>
  <c r="N22" i="21"/>
  <c r="P22" i="21" s="1"/>
  <c r="J22" i="21"/>
  <c r="N24" i="21"/>
  <c r="J24" i="21"/>
  <c r="R80" i="21"/>
  <c r="O22" i="21"/>
  <c r="O28" i="21"/>
  <c r="N115" i="21"/>
  <c r="J115" i="21"/>
  <c r="N11" i="21"/>
  <c r="P11" i="21" s="1"/>
  <c r="J11" i="21"/>
  <c r="J27" i="21"/>
  <c r="N27" i="21"/>
  <c r="N110" i="21"/>
  <c r="J110" i="21"/>
  <c r="J19" i="21"/>
  <c r="N19" i="21"/>
  <c r="P19" i="21" s="1"/>
  <c r="N45" i="21"/>
  <c r="J45" i="21"/>
  <c r="N12" i="21"/>
  <c r="P12" i="21" s="1"/>
  <c r="J12" i="21"/>
  <c r="J63" i="21"/>
  <c r="N63" i="21"/>
  <c r="N38" i="21"/>
  <c r="J38" i="21"/>
  <c r="J39" i="21"/>
  <c r="N39" i="21"/>
  <c r="J51" i="21"/>
  <c r="N51" i="21"/>
  <c r="J10" i="21"/>
  <c r="N10" i="21"/>
  <c r="O129" i="21"/>
  <c r="R95" i="21"/>
  <c r="R21" i="21"/>
  <c r="R41" i="21"/>
  <c r="R92" i="21"/>
  <c r="R54" i="21"/>
  <c r="N112" i="21"/>
  <c r="P112" i="21" s="1"/>
  <c r="J112" i="21"/>
  <c r="N36" i="21"/>
  <c r="J36" i="21"/>
  <c r="N101" i="21"/>
  <c r="J101" i="21"/>
  <c r="N25" i="21"/>
  <c r="P25" i="21" s="1"/>
  <c r="J25" i="21"/>
  <c r="N106" i="21"/>
  <c r="P106" i="21" s="1"/>
  <c r="J106" i="21"/>
  <c r="N90" i="21"/>
  <c r="J90" i="21"/>
  <c r="N113" i="21"/>
  <c r="J113" i="21"/>
  <c r="N56" i="21"/>
  <c r="J56" i="21"/>
  <c r="N118" i="21"/>
  <c r="J118" i="21"/>
  <c r="N17" i="21"/>
  <c r="P17" i="21" s="1"/>
  <c r="J17" i="21"/>
  <c r="R129" i="21"/>
  <c r="O95" i="21"/>
  <c r="O21" i="21"/>
  <c r="O106" i="21"/>
  <c r="O41" i="21"/>
  <c r="O92" i="21"/>
  <c r="O17" i="21"/>
  <c r="O112" i="21"/>
  <c r="N138" i="21"/>
  <c r="J138" i="21"/>
  <c r="N109" i="21"/>
  <c r="J109" i="21"/>
  <c r="N54" i="21"/>
  <c r="P54" i="21" s="1"/>
  <c r="J54" i="21"/>
  <c r="N135" i="21"/>
  <c r="J135" i="21"/>
  <c r="N33" i="21"/>
  <c r="J33" i="21"/>
  <c r="N73" i="21"/>
  <c r="J73" i="21"/>
  <c r="N30" i="21"/>
  <c r="J30" i="21"/>
  <c r="N83" i="21"/>
  <c r="P83" i="21" s="1"/>
  <c r="J83" i="21"/>
  <c r="J35" i="21"/>
  <c r="N35" i="21"/>
  <c r="N103" i="21"/>
  <c r="P103" i="21" s="1"/>
  <c r="J103" i="21"/>
  <c r="J59" i="21"/>
  <c r="N59" i="21"/>
  <c r="N78" i="21"/>
  <c r="J78" i="21"/>
  <c r="N88" i="21"/>
  <c r="P88" i="21" s="1"/>
  <c r="J88" i="21"/>
  <c r="J55" i="21"/>
  <c r="N55" i="21"/>
  <c r="P55" i="21" s="1"/>
  <c r="N120" i="21"/>
  <c r="P120" i="21" s="1"/>
  <c r="J120" i="21"/>
  <c r="J64" i="21"/>
  <c r="N64" i="21"/>
  <c r="N130" i="21"/>
  <c r="P130" i="21" s="1"/>
  <c r="J130" i="21"/>
  <c r="N114" i="21"/>
  <c r="P114" i="21" s="1"/>
  <c r="J114" i="21"/>
  <c r="N75" i="21"/>
  <c r="P75" i="21" s="1"/>
  <c r="J75" i="21"/>
  <c r="J68" i="21"/>
  <c r="N68" i="21"/>
  <c r="R75" i="21"/>
  <c r="R134" i="21"/>
  <c r="R103" i="21"/>
  <c r="R37" i="21"/>
  <c r="R88" i="21"/>
  <c r="R107" i="21"/>
  <c r="R85" i="21"/>
  <c r="R69" i="21"/>
  <c r="R50" i="21"/>
  <c r="R124" i="21"/>
  <c r="R108" i="21"/>
  <c r="R55" i="21"/>
  <c r="R20" i="21"/>
  <c r="N53" i="21"/>
  <c r="J53" i="21"/>
  <c r="N132" i="21"/>
  <c r="J132" i="21"/>
  <c r="J72" i="21"/>
  <c r="N72" i="21"/>
  <c r="N42" i="21"/>
  <c r="J42" i="21"/>
  <c r="N123" i="21"/>
  <c r="J123" i="21"/>
  <c r="J66" i="21"/>
  <c r="N66" i="21"/>
  <c r="P66" i="21" s="1"/>
  <c r="N137" i="21"/>
  <c r="J137" i="21"/>
  <c r="N126" i="21"/>
  <c r="P126" i="21" s="1"/>
  <c r="J126" i="21"/>
  <c r="N121" i="21"/>
  <c r="J121" i="21"/>
  <c r="N98" i="21"/>
  <c r="J98" i="21"/>
  <c r="N9" i="21"/>
  <c r="J9" i="21"/>
  <c r="N105" i="21"/>
  <c r="P105" i="21" s="1"/>
  <c r="J105" i="21"/>
  <c r="N86" i="21"/>
  <c r="J86" i="21"/>
  <c r="N74" i="21"/>
  <c r="J74" i="21"/>
  <c r="N60" i="21"/>
  <c r="J60" i="21"/>
  <c r="N94" i="21"/>
  <c r="J94" i="21"/>
  <c r="N99" i="21"/>
  <c r="J99" i="21"/>
  <c r="N133" i="21"/>
  <c r="P133" i="21" s="1"/>
  <c r="J133" i="21"/>
  <c r="O75" i="21"/>
  <c r="O103" i="21"/>
  <c r="O88" i="21"/>
  <c r="O85" i="21"/>
  <c r="O50" i="21"/>
  <c r="O108" i="21"/>
  <c r="O66" i="21"/>
  <c r="O55" i="21"/>
  <c r="O20" i="21"/>
  <c r="N128" i="21"/>
  <c r="J128" i="21"/>
  <c r="N67" i="21"/>
  <c r="J67" i="21"/>
  <c r="N58" i="21"/>
  <c r="J58" i="21"/>
  <c r="N124" i="21"/>
  <c r="P124" i="21" s="1"/>
  <c r="J124" i="21"/>
  <c r="N134" i="21"/>
  <c r="P134" i="21" s="1"/>
  <c r="J134" i="21"/>
  <c r="N96" i="21"/>
  <c r="J96" i="21"/>
  <c r="N46" i="21"/>
  <c r="J46" i="21"/>
  <c r="N79" i="21"/>
  <c r="J79" i="21"/>
  <c r="J70" i="21"/>
  <c r="N70" i="21"/>
  <c r="N52" i="21"/>
  <c r="J52" i="21"/>
  <c r="N81" i="21"/>
  <c r="P81" i="21" s="1"/>
  <c r="J81" i="21"/>
  <c r="N34" i="21"/>
  <c r="J34" i="21"/>
  <c r="N71" i="21"/>
  <c r="J71" i="21"/>
  <c r="R105" i="21"/>
  <c r="R87" i="21"/>
  <c r="R11" i="21"/>
  <c r="R130" i="21"/>
  <c r="R114" i="21"/>
  <c r="R12" i="21"/>
  <c r="R26" i="21"/>
  <c r="R81" i="21"/>
  <c r="O120" i="21"/>
  <c r="N125" i="21"/>
  <c r="J125" i="21"/>
  <c r="N100" i="21"/>
  <c r="P100" i="21" s="1"/>
  <c r="J100" i="21"/>
  <c r="N32" i="21"/>
  <c r="P32" i="21" s="1"/>
  <c r="J32" i="21"/>
  <c r="N69" i="21"/>
  <c r="P69" i="21" s="1"/>
  <c r="J69" i="21"/>
  <c r="N119" i="21"/>
  <c r="J119" i="21"/>
  <c r="J23" i="21"/>
  <c r="N23" i="21"/>
  <c r="N57" i="21"/>
  <c r="J57" i="21"/>
  <c r="N107" i="21"/>
  <c r="P107" i="21" s="1"/>
  <c r="J107" i="21"/>
  <c r="N76" i="21"/>
  <c r="J76" i="21"/>
  <c r="N131" i="21"/>
  <c r="J131" i="21"/>
  <c r="N111" i="21"/>
  <c r="J111" i="21"/>
  <c r="N91" i="21"/>
  <c r="J91" i="21"/>
  <c r="N117" i="21"/>
  <c r="J117" i="21"/>
  <c r="N93" i="21"/>
  <c r="P93" i="21" s="1"/>
  <c r="J93" i="21"/>
  <c r="N49" i="21"/>
  <c r="J49" i="21"/>
  <c r="N102" i="21"/>
  <c r="J102" i="21"/>
  <c r="N37" i="21"/>
  <c r="P37" i="21" s="1"/>
  <c r="J37" i="21"/>
  <c r="J47" i="21"/>
  <c r="N47" i="21"/>
  <c r="N116" i="21"/>
  <c r="P116" i="21" s="1"/>
  <c r="J116" i="21"/>
  <c r="N48" i="21"/>
  <c r="J48" i="21"/>
  <c r="J14" i="21"/>
  <c r="N14" i="21"/>
  <c r="N127" i="21"/>
  <c r="J127" i="21"/>
  <c r="N62" i="21"/>
  <c r="J62" i="21"/>
  <c r="J31" i="21"/>
  <c r="N31" i="21"/>
  <c r="N82" i="21"/>
  <c r="J82" i="21"/>
  <c r="O105" i="21"/>
  <c r="O87" i="21"/>
  <c r="O11" i="21"/>
  <c r="O130" i="21"/>
  <c r="O114" i="21"/>
  <c r="O12" i="21"/>
  <c r="O26" i="21"/>
  <c r="O81" i="21"/>
  <c r="R120" i="21"/>
  <c r="O32" i="21"/>
  <c r="AK7" i="20"/>
  <c r="N45" i="20"/>
  <c r="J45" i="20"/>
  <c r="N29" i="20"/>
  <c r="J29" i="20"/>
  <c r="N80" i="20"/>
  <c r="J80" i="20"/>
  <c r="N13" i="20"/>
  <c r="J13" i="20"/>
  <c r="J44" i="20"/>
  <c r="N44" i="20"/>
  <c r="N23" i="20"/>
  <c r="J23" i="20"/>
  <c r="N107" i="20"/>
  <c r="J107" i="20"/>
  <c r="N72" i="20"/>
  <c r="J72" i="20"/>
  <c r="J42" i="20"/>
  <c r="N42" i="20"/>
  <c r="J100" i="20"/>
  <c r="N100" i="20"/>
  <c r="R123" i="20"/>
  <c r="O77" i="20"/>
  <c r="R77" i="20"/>
  <c r="N77" i="20"/>
  <c r="P77" i="20" s="1"/>
  <c r="J77" i="20"/>
  <c r="J62" i="20"/>
  <c r="N62" i="20"/>
  <c r="P62" i="20" s="1"/>
  <c r="N132" i="20"/>
  <c r="J132" i="20"/>
  <c r="J79" i="20"/>
  <c r="N79" i="20"/>
  <c r="P79" i="20" s="1"/>
  <c r="N53" i="20"/>
  <c r="P53" i="20" s="1"/>
  <c r="J53" i="20"/>
  <c r="N55" i="20"/>
  <c r="J55" i="20"/>
  <c r="J32" i="20"/>
  <c r="N32" i="20"/>
  <c r="P32" i="20" s="1"/>
  <c r="N88" i="20"/>
  <c r="J88" i="20"/>
  <c r="N64" i="20"/>
  <c r="P64" i="20" s="1"/>
  <c r="J64" i="20"/>
  <c r="J41" i="20"/>
  <c r="N41" i="20"/>
  <c r="J10" i="20"/>
  <c r="N10" i="20"/>
  <c r="N109" i="20"/>
  <c r="J109" i="20"/>
  <c r="N56" i="20"/>
  <c r="J56" i="20"/>
  <c r="J95" i="20"/>
  <c r="N95" i="20"/>
  <c r="DU7" i="20"/>
  <c r="J103" i="20"/>
  <c r="N103" i="20"/>
  <c r="J78" i="20"/>
  <c r="N78" i="20"/>
  <c r="J98" i="20"/>
  <c r="N98" i="20"/>
  <c r="P98" i="20" s="1"/>
  <c r="R113" i="20"/>
  <c r="O71" i="20"/>
  <c r="R61" i="20"/>
  <c r="R32" i="20"/>
  <c r="R124" i="20"/>
  <c r="J108" i="20"/>
  <c r="N108" i="20"/>
  <c r="J70" i="20"/>
  <c r="N70" i="20"/>
  <c r="N73" i="20"/>
  <c r="P73" i="20" s="1"/>
  <c r="J73" i="20"/>
  <c r="J12" i="20"/>
  <c r="N12" i="20"/>
  <c r="J111" i="20"/>
  <c r="N111" i="20"/>
  <c r="N97" i="20"/>
  <c r="P97" i="20" s="1"/>
  <c r="J97" i="20"/>
  <c r="N31" i="20"/>
  <c r="J31" i="20"/>
  <c r="N19" i="20"/>
  <c r="J19" i="20"/>
  <c r="N121" i="20"/>
  <c r="J121" i="20"/>
  <c r="N91" i="20"/>
  <c r="J91" i="20"/>
  <c r="J119" i="20"/>
  <c r="N119" i="20"/>
  <c r="J102" i="20"/>
  <c r="N102" i="20"/>
  <c r="J133" i="20"/>
  <c r="N133" i="20"/>
  <c r="N38" i="20"/>
  <c r="J38" i="20"/>
  <c r="N123" i="20"/>
  <c r="P123" i="20" s="1"/>
  <c r="J123" i="20"/>
  <c r="O97" i="20"/>
  <c r="R15" i="20"/>
  <c r="O32" i="20"/>
  <c r="N67" i="20"/>
  <c r="P67" i="20" s="1"/>
  <c r="J67" i="20"/>
  <c r="J28" i="20"/>
  <c r="N28" i="20"/>
  <c r="J40" i="20"/>
  <c r="N40" i="20"/>
  <c r="P40" i="20" s="1"/>
  <c r="N30" i="20"/>
  <c r="P30" i="20" s="1"/>
  <c r="J30" i="20"/>
  <c r="J16" i="20"/>
  <c r="N16" i="20"/>
  <c r="P16" i="20" s="1"/>
  <c r="N128" i="20"/>
  <c r="J128" i="20"/>
  <c r="N101" i="20"/>
  <c r="P101" i="20" s="1"/>
  <c r="J101" i="20"/>
  <c r="J49" i="20"/>
  <c r="N49" i="20"/>
  <c r="P49" i="20" s="1"/>
  <c r="N11" i="20"/>
  <c r="P11" i="20" s="1"/>
  <c r="J11" i="20"/>
  <c r="J106" i="20"/>
  <c r="N106" i="20"/>
  <c r="J126" i="20"/>
  <c r="N126" i="20"/>
  <c r="N35" i="20"/>
  <c r="J35" i="20"/>
  <c r="N127" i="20"/>
  <c r="J127" i="20"/>
  <c r="J36" i="20"/>
  <c r="N36" i="20"/>
  <c r="P36" i="20" s="1"/>
  <c r="N104" i="20"/>
  <c r="J104" i="20"/>
  <c r="J84" i="20"/>
  <c r="N84" i="20"/>
  <c r="J37" i="20"/>
  <c r="N37" i="20"/>
  <c r="N115" i="20"/>
  <c r="J115" i="20"/>
  <c r="R67" i="20"/>
  <c r="R54" i="20"/>
  <c r="R114" i="20"/>
  <c r="R98" i="20"/>
  <c r="R73" i="20"/>
  <c r="J20" i="20"/>
  <c r="N20" i="20"/>
  <c r="N96" i="20"/>
  <c r="J96" i="20"/>
  <c r="J63" i="20"/>
  <c r="N63" i="20"/>
  <c r="N85" i="20"/>
  <c r="P85" i="20" s="1"/>
  <c r="J85" i="20"/>
  <c r="J66" i="20"/>
  <c r="N66" i="20"/>
  <c r="P66" i="20" s="1"/>
  <c r="J26" i="20"/>
  <c r="N26" i="20"/>
  <c r="J134" i="20"/>
  <c r="N134" i="20"/>
  <c r="J58" i="20"/>
  <c r="N58" i="20"/>
  <c r="J74" i="20"/>
  <c r="N74" i="20"/>
  <c r="J124" i="20"/>
  <c r="N124" i="20"/>
  <c r="P124" i="20" s="1"/>
  <c r="N83" i="20"/>
  <c r="J83" i="20"/>
  <c r="J116" i="20"/>
  <c r="N116" i="20"/>
  <c r="P116" i="20" s="1"/>
  <c r="N51" i="20"/>
  <c r="J51" i="20"/>
  <c r="J90" i="20"/>
  <c r="N90" i="20"/>
  <c r="J71" i="20"/>
  <c r="N71" i="20"/>
  <c r="P71" i="20" s="1"/>
  <c r="N75" i="20"/>
  <c r="P75" i="20" s="1"/>
  <c r="J75" i="20"/>
  <c r="J33" i="20"/>
  <c r="N33" i="20"/>
  <c r="J68" i="20"/>
  <c r="N68" i="20"/>
  <c r="O67" i="20"/>
  <c r="O98" i="20"/>
  <c r="R27" i="20"/>
  <c r="O73" i="20"/>
  <c r="V7" i="20"/>
  <c r="R66" i="20"/>
  <c r="R53" i="20"/>
  <c r="N117" i="20"/>
  <c r="P117" i="20" s="1"/>
  <c r="J117" i="20"/>
  <c r="N61" i="20"/>
  <c r="P61" i="20" s="1"/>
  <c r="J61" i="20"/>
  <c r="N14" i="20"/>
  <c r="J14" i="20"/>
  <c r="J25" i="20"/>
  <c r="N25" i="20"/>
  <c r="N22" i="20"/>
  <c r="J22" i="20"/>
  <c r="N65" i="20"/>
  <c r="J65" i="20"/>
  <c r="N15" i="20"/>
  <c r="P15" i="20" s="1"/>
  <c r="J15" i="20"/>
  <c r="J129" i="20"/>
  <c r="N129" i="20"/>
  <c r="N130" i="20"/>
  <c r="J130" i="20"/>
  <c r="N43" i="20"/>
  <c r="J43" i="20"/>
  <c r="J114" i="20"/>
  <c r="N114" i="20"/>
  <c r="P114" i="20" s="1"/>
  <c r="R11" i="20"/>
  <c r="R116" i="20"/>
  <c r="R16" i="20"/>
  <c r="O66" i="20"/>
  <c r="O53" i="20"/>
  <c r="N34" i="20"/>
  <c r="J34" i="20"/>
  <c r="N120" i="20"/>
  <c r="J120" i="20"/>
  <c r="J122" i="20"/>
  <c r="N122" i="20"/>
  <c r="J24" i="20"/>
  <c r="N24" i="20"/>
  <c r="J52" i="20"/>
  <c r="N52" i="20"/>
  <c r="J21" i="20"/>
  <c r="N21" i="20"/>
  <c r="J82" i="20"/>
  <c r="N82" i="20"/>
  <c r="J9" i="20"/>
  <c r="N9" i="20"/>
  <c r="AN7" i="20"/>
  <c r="N93" i="20"/>
  <c r="J93" i="20"/>
  <c r="N27" i="20"/>
  <c r="P27" i="20" s="1"/>
  <c r="J27" i="20"/>
  <c r="N47" i="20"/>
  <c r="J47" i="20"/>
  <c r="J125" i="20"/>
  <c r="N125" i="20"/>
  <c r="N105" i="20"/>
  <c r="J105" i="20"/>
  <c r="J110" i="20"/>
  <c r="N110" i="20"/>
  <c r="N46" i="20"/>
  <c r="J46" i="20"/>
  <c r="J87" i="20"/>
  <c r="N87" i="20"/>
  <c r="J86" i="20"/>
  <c r="N86" i="20"/>
  <c r="O79" i="20"/>
  <c r="R64" i="20"/>
  <c r="O40" i="20"/>
  <c r="O11" i="20"/>
  <c r="O116" i="20"/>
  <c r="O16" i="20"/>
  <c r="R62" i="20"/>
  <c r="O49" i="20"/>
  <c r="N89" i="20"/>
  <c r="J89" i="20"/>
  <c r="N50" i="20"/>
  <c r="J50" i="20"/>
  <c r="J92" i="20"/>
  <c r="N92" i="20"/>
  <c r="N112" i="20"/>
  <c r="J112" i="20"/>
  <c r="N81" i="20"/>
  <c r="J81" i="20"/>
  <c r="N57" i="20"/>
  <c r="J57" i="20"/>
  <c r="N59" i="20"/>
  <c r="J59" i="20"/>
  <c r="J17" i="20"/>
  <c r="N17" i="20"/>
  <c r="J48" i="20"/>
  <c r="N48" i="20"/>
  <c r="N113" i="20"/>
  <c r="P113" i="20" s="1"/>
  <c r="J113" i="20"/>
  <c r="N18" i="20"/>
  <c r="J18" i="20"/>
  <c r="J118" i="20"/>
  <c r="N118" i="20"/>
  <c r="N99" i="20"/>
  <c r="J99" i="20"/>
  <c r="N69" i="20"/>
  <c r="J69" i="20"/>
  <c r="J94" i="20"/>
  <c r="N94" i="20"/>
  <c r="J76" i="20"/>
  <c r="N76" i="20"/>
  <c r="J54" i="20"/>
  <c r="N54" i="20"/>
  <c r="P54" i="20" s="1"/>
  <c r="F9" i="20"/>
  <c r="H9" i="20" s="1"/>
  <c r="DT7" i="20"/>
  <c r="N39" i="20"/>
  <c r="J39" i="20"/>
  <c r="J131" i="20"/>
  <c r="N131" i="20"/>
  <c r="J60" i="20"/>
  <c r="N60" i="20"/>
  <c r="R117" i="20"/>
  <c r="R101" i="20"/>
  <c r="R85" i="20"/>
  <c r="R75" i="20"/>
  <c r="R30" i="20"/>
  <c r="R79" i="20"/>
  <c r="O64" i="20"/>
  <c r="R36" i="20"/>
  <c r="O62" i="20"/>
  <c r="R49" i="20"/>
  <c r="Z7" i="19"/>
  <c r="AR7" i="19"/>
  <c r="BR7" i="19"/>
  <c r="CT7" i="19"/>
  <c r="DO7" i="19"/>
  <c r="AF7" i="19"/>
  <c r="AX7" i="19"/>
  <c r="BY7" i="19"/>
  <c r="DA7" i="19"/>
  <c r="DQ7" i="19"/>
  <c r="AH7" i="19"/>
  <c r="BD7" i="19"/>
  <c r="CF7" i="19"/>
  <c r="DG7" i="19"/>
  <c r="AL21" i="19"/>
  <c r="AY7" i="18"/>
  <c r="M15" i="26" s="1"/>
  <c r="BZ7" i="18"/>
  <c r="U15" i="26" s="1"/>
  <c r="AI7" i="18"/>
  <c r="BF7" i="18"/>
  <c r="O15" i="26" s="1"/>
  <c r="CF7" i="18"/>
  <c r="W15" i="26" s="1"/>
  <c r="DD7" i="18"/>
  <c r="AE15" i="26" s="1"/>
  <c r="DI7" i="18"/>
  <c r="U7" i="18"/>
  <c r="AK7" i="18"/>
  <c r="T7" i="18"/>
  <c r="CK7" i="18"/>
  <c r="Z7" i="18"/>
  <c r="AR7" i="18"/>
  <c r="BR7" i="18"/>
  <c r="CQ7" i="18"/>
  <c r="DK7" i="18"/>
  <c r="BK7" i="18"/>
  <c r="AL9" i="18"/>
  <c r="AH7" i="18"/>
  <c r="AJ7" i="18"/>
  <c r="AF7" i="18"/>
  <c r="BY7" i="18"/>
  <c r="AL10" i="18"/>
  <c r="DS13" i="19"/>
  <c r="F13" i="19" s="1"/>
  <c r="DS17" i="19"/>
  <c r="F17" i="19" s="1"/>
  <c r="V2" i="20"/>
  <c r="AM18" i="19"/>
  <c r="DS11" i="19"/>
  <c r="F11" i="19" s="1"/>
  <c r="AL13" i="19"/>
  <c r="DT19" i="19"/>
  <c r="AM21" i="19"/>
  <c r="N21" i="19" s="1"/>
  <c r="DT11" i="19"/>
  <c r="AL16" i="19"/>
  <c r="AM17" i="19"/>
  <c r="Q17" i="19" s="1"/>
  <c r="DT10" i="19"/>
  <c r="AM12" i="19"/>
  <c r="DT14" i="19"/>
  <c r="AM16" i="19"/>
  <c r="DS18" i="19"/>
  <c r="F18" i="19" s="1"/>
  <c r="AL20" i="19"/>
  <c r="DS10" i="19"/>
  <c r="F10" i="19" s="1"/>
  <c r="AL12" i="19"/>
  <c r="DS9" i="19"/>
  <c r="F9" i="19" s="1"/>
  <c r="AL15" i="19"/>
  <c r="DT18" i="19"/>
  <c r="AM20" i="19"/>
  <c r="Q20" i="19" s="1"/>
  <c r="DT9" i="19"/>
  <c r="DT12" i="19"/>
  <c r="AM14" i="19"/>
  <c r="N14" i="19" s="1"/>
  <c r="DT21" i="19"/>
  <c r="AM10" i="19"/>
  <c r="DS12" i="19"/>
  <c r="F12" i="19" s="1"/>
  <c r="AL14" i="19"/>
  <c r="DS16" i="19"/>
  <c r="F16" i="19" s="1"/>
  <c r="DS21" i="19"/>
  <c r="F21" i="19" s="1"/>
  <c r="AM13" i="19"/>
  <c r="N13" i="19" s="1"/>
  <c r="DT13" i="19"/>
  <c r="AM15" i="19"/>
  <c r="DT17" i="19"/>
  <c r="DS19" i="19"/>
  <c r="F19" i="19" s="1"/>
  <c r="DT20" i="19"/>
  <c r="AM9" i="19"/>
  <c r="DS15" i="19"/>
  <c r="F15" i="19" s="1"/>
  <c r="DT16" i="19"/>
  <c r="AL19" i="19"/>
  <c r="AL11" i="19"/>
  <c r="AL9" i="19"/>
  <c r="AL10" i="19"/>
  <c r="AM11" i="19"/>
  <c r="DS14" i="19"/>
  <c r="F14" i="19" s="1"/>
  <c r="DT15" i="19"/>
  <c r="AL17" i="19"/>
  <c r="AL18" i="19"/>
  <c r="AM19" i="19"/>
  <c r="AM66" i="21"/>
  <c r="AM7" i="21" s="1"/>
  <c r="AM55" i="20"/>
  <c r="AM7" i="20" s="1"/>
  <c r="DO9" i="18"/>
  <c r="DP9" i="18"/>
  <c r="AM9" i="18"/>
  <c r="G7" i="19" l="1"/>
  <c r="M9" i="18"/>
  <c r="AM7" i="18"/>
  <c r="G7" i="18"/>
  <c r="W51" i="26"/>
  <c r="O51" i="26"/>
  <c r="O52" i="26"/>
  <c r="F7" i="21"/>
  <c r="F2" i="21" s="1"/>
  <c r="H68" i="21"/>
  <c r="H7" i="21" s="1"/>
  <c r="H7" i="20"/>
  <c r="I2" i="20" s="1"/>
  <c r="AE51" i="26"/>
  <c r="AA51" i="26"/>
  <c r="G33" i="26"/>
  <c r="I33" i="26" s="1"/>
  <c r="AI33" i="26"/>
  <c r="Y51" i="26"/>
  <c r="U51" i="26"/>
  <c r="S51" i="26"/>
  <c r="AG51" i="26"/>
  <c r="Q51" i="26"/>
  <c r="AC51" i="26"/>
  <c r="Q10" i="18"/>
  <c r="AI15" i="26"/>
  <c r="G15" i="26"/>
  <c r="I15" i="26" s="1"/>
  <c r="K51" i="26"/>
  <c r="M51" i="26"/>
  <c r="I10" i="18"/>
  <c r="P10" i="18" s="1"/>
  <c r="G34" i="26"/>
  <c r="I34" i="26" s="1"/>
  <c r="AI34" i="26"/>
  <c r="AI16" i="26"/>
  <c r="K52" i="26"/>
  <c r="G16" i="26"/>
  <c r="I16" i="26" s="1"/>
  <c r="DP7" i="18"/>
  <c r="Q126" i="21"/>
  <c r="Q107" i="21"/>
  <c r="Q81" i="21"/>
  <c r="Q17" i="21"/>
  <c r="Q21" i="21"/>
  <c r="Q50" i="21"/>
  <c r="Q129" i="21"/>
  <c r="Q93" i="21"/>
  <c r="Q100" i="21"/>
  <c r="Q133" i="21"/>
  <c r="Q22" i="21"/>
  <c r="Q95" i="21"/>
  <c r="Q28" i="21"/>
  <c r="Q85" i="21"/>
  <c r="Q116" i="21"/>
  <c r="Q32" i="21"/>
  <c r="Q108" i="21"/>
  <c r="Q80" i="21"/>
  <c r="Q37" i="21"/>
  <c r="Q92" i="21"/>
  <c r="Q26" i="21"/>
  <c r="Q41" i="21"/>
  <c r="Q20" i="21"/>
  <c r="I11" i="18"/>
  <c r="M11" i="18"/>
  <c r="O11" i="18" s="1"/>
  <c r="Q83" i="21"/>
  <c r="Q11" i="18"/>
  <c r="Q69" i="21"/>
  <c r="Q105" i="21"/>
  <c r="Q87" i="21"/>
  <c r="N11" i="18"/>
  <c r="N7" i="18" s="1"/>
  <c r="Q55" i="21"/>
  <c r="I9" i="18"/>
  <c r="P9" i="18" s="1"/>
  <c r="Q9" i="18"/>
  <c r="Q124" i="20"/>
  <c r="Q30" i="20"/>
  <c r="Q61" i="20"/>
  <c r="Q27" i="20"/>
  <c r="Q32" i="20"/>
  <c r="Q97" i="20"/>
  <c r="Q113" i="20"/>
  <c r="Q117" i="20"/>
  <c r="Q101" i="20"/>
  <c r="Q71" i="20"/>
  <c r="Q116" i="20"/>
  <c r="Q15" i="20"/>
  <c r="Q11" i="20"/>
  <c r="Q67" i="20"/>
  <c r="Q79" i="20"/>
  <c r="F10" i="18"/>
  <c r="Q75" i="21"/>
  <c r="Q120" i="21"/>
  <c r="Q54" i="21"/>
  <c r="Q106" i="21"/>
  <c r="Q112" i="21"/>
  <c r="Q19" i="21"/>
  <c r="Q134" i="21"/>
  <c r="Q114" i="21"/>
  <c r="Q103" i="21"/>
  <c r="Q25" i="21"/>
  <c r="Q12" i="21"/>
  <c r="Q66" i="21"/>
  <c r="Q124" i="21"/>
  <c r="Q130" i="21"/>
  <c r="Q88" i="21"/>
  <c r="Q11" i="21"/>
  <c r="Q40" i="20"/>
  <c r="Q123" i="20"/>
  <c r="Q73" i="20"/>
  <c r="Q66" i="20"/>
  <c r="Q62" i="20"/>
  <c r="Q114" i="20"/>
  <c r="Q75" i="20"/>
  <c r="Q85" i="20"/>
  <c r="Q16" i="20"/>
  <c r="Q98" i="20"/>
  <c r="Q64" i="20"/>
  <c r="Q53" i="20"/>
  <c r="Q77" i="20"/>
  <c r="Q54" i="20"/>
  <c r="Q49" i="20"/>
  <c r="Q36" i="20"/>
  <c r="O7" i="21"/>
  <c r="J7" i="21"/>
  <c r="N7" i="21"/>
  <c r="R40" i="20"/>
  <c r="F7" i="19"/>
  <c r="N20" i="19"/>
  <c r="M11" i="19"/>
  <c r="I11" i="19"/>
  <c r="M14" i="19"/>
  <c r="O14" i="19" s="1"/>
  <c r="H14" i="19" s="1"/>
  <c r="I14" i="19"/>
  <c r="M18" i="19"/>
  <c r="O18" i="19" s="1"/>
  <c r="H18" i="19" s="1"/>
  <c r="I18" i="19"/>
  <c r="Q14" i="19"/>
  <c r="M13" i="19"/>
  <c r="O13" i="19" s="1"/>
  <c r="H13" i="19" s="1"/>
  <c r="I13" i="19"/>
  <c r="Q13" i="19"/>
  <c r="M15" i="19"/>
  <c r="O15" i="19" s="1"/>
  <c r="H15" i="19" s="1"/>
  <c r="I15" i="19"/>
  <c r="M19" i="19"/>
  <c r="O19" i="19" s="1"/>
  <c r="H19" i="19" s="1"/>
  <c r="I19" i="19"/>
  <c r="M21" i="19"/>
  <c r="O21" i="19" s="1"/>
  <c r="H21" i="19" s="1"/>
  <c r="I21" i="19"/>
  <c r="M20" i="19"/>
  <c r="O20" i="19" s="1"/>
  <c r="H20" i="19" s="1"/>
  <c r="I20" i="19"/>
  <c r="M16" i="19"/>
  <c r="O16" i="19" s="1"/>
  <c r="H16" i="19" s="1"/>
  <c r="I16" i="19"/>
  <c r="O22" i="19"/>
  <c r="Q22" i="19"/>
  <c r="N19" i="19"/>
  <c r="N16" i="19"/>
  <c r="Q19" i="19"/>
  <c r="Q16" i="19"/>
  <c r="M12" i="19"/>
  <c r="I12" i="19"/>
  <c r="Q21" i="19"/>
  <c r="N18" i="19"/>
  <c r="N15" i="19"/>
  <c r="M17" i="19"/>
  <c r="O17" i="19" s="1"/>
  <c r="H17" i="19" s="1"/>
  <c r="I17" i="19"/>
  <c r="M9" i="19"/>
  <c r="I9" i="19"/>
  <c r="M10" i="19"/>
  <c r="I10" i="19"/>
  <c r="N17" i="19"/>
  <c r="Q18" i="19"/>
  <c r="Q15" i="19"/>
  <c r="P135" i="21"/>
  <c r="Q135" i="21" s="1"/>
  <c r="R135" i="21"/>
  <c r="P90" i="21"/>
  <c r="Q90" i="21" s="1"/>
  <c r="R90" i="21"/>
  <c r="P36" i="21"/>
  <c r="Q36" i="21" s="1"/>
  <c r="R36" i="21"/>
  <c r="P38" i="21"/>
  <c r="Q38" i="21" s="1"/>
  <c r="R38" i="21"/>
  <c r="P115" i="21"/>
  <c r="Q115" i="21" s="1"/>
  <c r="R115" i="21"/>
  <c r="P13" i="21"/>
  <c r="Q13" i="21" s="1"/>
  <c r="R13" i="21"/>
  <c r="P89" i="21"/>
  <c r="Q89" i="21" s="1"/>
  <c r="R89" i="21"/>
  <c r="P62" i="21"/>
  <c r="Q62" i="21" s="1"/>
  <c r="R62" i="21"/>
  <c r="P49" i="21"/>
  <c r="Q49" i="21" s="1"/>
  <c r="R49" i="21"/>
  <c r="P91" i="21"/>
  <c r="Q91" i="21" s="1"/>
  <c r="R91" i="21"/>
  <c r="P52" i="21"/>
  <c r="Q52" i="21" s="1"/>
  <c r="R52" i="21"/>
  <c r="P96" i="21"/>
  <c r="Q96" i="21" s="1"/>
  <c r="R96" i="21"/>
  <c r="P67" i="21"/>
  <c r="Q67" i="21" s="1"/>
  <c r="R67" i="21"/>
  <c r="P99" i="21"/>
  <c r="Q99" i="21" s="1"/>
  <c r="R99" i="21"/>
  <c r="P86" i="21"/>
  <c r="Q86" i="21" s="1"/>
  <c r="R86" i="21"/>
  <c r="P121" i="21"/>
  <c r="Q121" i="21" s="1"/>
  <c r="R121" i="21"/>
  <c r="P123" i="21"/>
  <c r="Q123" i="21" s="1"/>
  <c r="R123" i="21"/>
  <c r="P53" i="21"/>
  <c r="Q53" i="21" s="1"/>
  <c r="R53" i="21"/>
  <c r="P10" i="21"/>
  <c r="Q10" i="21" s="1"/>
  <c r="R10" i="21"/>
  <c r="P63" i="21"/>
  <c r="Q63" i="21" s="1"/>
  <c r="R63" i="21"/>
  <c r="P65" i="21"/>
  <c r="Q65" i="21" s="1"/>
  <c r="R65" i="21"/>
  <c r="P122" i="21"/>
  <c r="Q122" i="21" s="1"/>
  <c r="R122" i="21"/>
  <c r="P77" i="21"/>
  <c r="Q77" i="21" s="1"/>
  <c r="R77" i="21"/>
  <c r="P47" i="21"/>
  <c r="Q47" i="21" s="1"/>
  <c r="R47" i="21"/>
  <c r="P70" i="21"/>
  <c r="Q70" i="21" s="1"/>
  <c r="R70" i="21"/>
  <c r="P30" i="21"/>
  <c r="Q30" i="21" s="1"/>
  <c r="R30" i="21"/>
  <c r="P118" i="21"/>
  <c r="Q118" i="21" s="1"/>
  <c r="R118" i="21"/>
  <c r="P110" i="21"/>
  <c r="Q110" i="21" s="1"/>
  <c r="R110" i="21"/>
  <c r="P61" i="21"/>
  <c r="Q61" i="21" s="1"/>
  <c r="R61" i="21"/>
  <c r="P16" i="21"/>
  <c r="Q16" i="21" s="1"/>
  <c r="R16" i="21"/>
  <c r="P127" i="21"/>
  <c r="Q127" i="21" s="1"/>
  <c r="R127" i="21"/>
  <c r="P111" i="21"/>
  <c r="Q111" i="21" s="1"/>
  <c r="R111" i="21"/>
  <c r="P57" i="21"/>
  <c r="Q57" i="21" s="1"/>
  <c r="R57" i="21"/>
  <c r="P71" i="21"/>
  <c r="Q71" i="21" s="1"/>
  <c r="R71" i="21"/>
  <c r="P128" i="21"/>
  <c r="Q128" i="21" s="1"/>
  <c r="R128" i="21"/>
  <c r="P94" i="21"/>
  <c r="Q94" i="21" s="1"/>
  <c r="R94" i="21"/>
  <c r="P42" i="21"/>
  <c r="Q42" i="21" s="1"/>
  <c r="R42" i="21"/>
  <c r="P68" i="21"/>
  <c r="Q68" i="21" s="1"/>
  <c r="R68" i="21"/>
  <c r="P64" i="21"/>
  <c r="Q64" i="21" s="1"/>
  <c r="R64" i="21"/>
  <c r="P35" i="21"/>
  <c r="Q35" i="21" s="1"/>
  <c r="R35" i="21"/>
  <c r="P51" i="21"/>
  <c r="Q51" i="21" s="1"/>
  <c r="R51" i="21"/>
  <c r="P27" i="21"/>
  <c r="Q27" i="21" s="1"/>
  <c r="R27" i="21"/>
  <c r="P136" i="21"/>
  <c r="Q136" i="21" s="1"/>
  <c r="R136" i="21"/>
  <c r="P44" i="21"/>
  <c r="Q44" i="21" s="1"/>
  <c r="R44" i="21"/>
  <c r="P97" i="21"/>
  <c r="Q97" i="21" s="1"/>
  <c r="R97" i="21"/>
  <c r="P14" i="21"/>
  <c r="Q14" i="21" s="1"/>
  <c r="R14" i="21"/>
  <c r="P23" i="21"/>
  <c r="Q23" i="21" s="1"/>
  <c r="R23" i="21"/>
  <c r="P72" i="21"/>
  <c r="Q72" i="21" s="1"/>
  <c r="R72" i="21"/>
  <c r="P73" i="21"/>
  <c r="Q73" i="21" s="1"/>
  <c r="R73" i="21"/>
  <c r="P109" i="21"/>
  <c r="Q109" i="21" s="1"/>
  <c r="R109" i="21"/>
  <c r="P56" i="21"/>
  <c r="Q56" i="21" s="1"/>
  <c r="R56" i="21"/>
  <c r="P104" i="21"/>
  <c r="Q104" i="21" s="1"/>
  <c r="R104" i="21"/>
  <c r="P43" i="21"/>
  <c r="Q43" i="21" s="1"/>
  <c r="R43" i="21"/>
  <c r="P82" i="21"/>
  <c r="Q82" i="21" s="1"/>
  <c r="R82" i="21"/>
  <c r="P117" i="21"/>
  <c r="Q117" i="21" s="1"/>
  <c r="R117" i="21"/>
  <c r="P131" i="21"/>
  <c r="Q131" i="21" s="1"/>
  <c r="R131" i="21"/>
  <c r="P34" i="21"/>
  <c r="Q34" i="21" s="1"/>
  <c r="R34" i="21"/>
  <c r="P79" i="21"/>
  <c r="Q79" i="21" s="1"/>
  <c r="R79" i="21"/>
  <c r="P60" i="21"/>
  <c r="Q60" i="21" s="1"/>
  <c r="R60" i="21"/>
  <c r="P9" i="21"/>
  <c r="Q9" i="21" s="1"/>
  <c r="R9" i="21"/>
  <c r="P137" i="21"/>
  <c r="Q137" i="21" s="1"/>
  <c r="R137" i="21"/>
  <c r="P39" i="21"/>
  <c r="Q39" i="21" s="1"/>
  <c r="R39" i="21"/>
  <c r="P24" i="21"/>
  <c r="Q24" i="21" s="1"/>
  <c r="R24" i="21"/>
  <c r="P31" i="21"/>
  <c r="Q31" i="21" s="1"/>
  <c r="R31" i="21"/>
  <c r="P78" i="21"/>
  <c r="Q78" i="21" s="1"/>
  <c r="R78" i="21"/>
  <c r="P33" i="21"/>
  <c r="Q33" i="21" s="1"/>
  <c r="R33" i="21"/>
  <c r="P138" i="21"/>
  <c r="Q138" i="21" s="1"/>
  <c r="R138" i="21"/>
  <c r="P113" i="21"/>
  <c r="Q113" i="21" s="1"/>
  <c r="R113" i="21"/>
  <c r="P101" i="21"/>
  <c r="Q101" i="21" s="1"/>
  <c r="R101" i="21"/>
  <c r="P45" i="21"/>
  <c r="Q45" i="21" s="1"/>
  <c r="R45" i="21"/>
  <c r="P40" i="21"/>
  <c r="Q40" i="21" s="1"/>
  <c r="R40" i="21"/>
  <c r="P84" i="21"/>
  <c r="Q84" i="21" s="1"/>
  <c r="R84" i="21"/>
  <c r="P48" i="21"/>
  <c r="Q48" i="21" s="1"/>
  <c r="R48" i="21"/>
  <c r="P102" i="21"/>
  <c r="Q102" i="21" s="1"/>
  <c r="R102" i="21"/>
  <c r="P76" i="21"/>
  <c r="Q76" i="21" s="1"/>
  <c r="R76" i="21"/>
  <c r="P119" i="21"/>
  <c r="Q119" i="21" s="1"/>
  <c r="R119" i="21"/>
  <c r="P125" i="21"/>
  <c r="Q125" i="21" s="1"/>
  <c r="R125" i="21"/>
  <c r="P46" i="21"/>
  <c r="Q46" i="21" s="1"/>
  <c r="R46" i="21"/>
  <c r="P58" i="21"/>
  <c r="Q58" i="21" s="1"/>
  <c r="R58" i="21"/>
  <c r="P74" i="21"/>
  <c r="Q74" i="21" s="1"/>
  <c r="R74" i="21"/>
  <c r="P98" i="21"/>
  <c r="Q98" i="21" s="1"/>
  <c r="R98" i="21"/>
  <c r="P132" i="21"/>
  <c r="Q132" i="21" s="1"/>
  <c r="R132" i="21"/>
  <c r="P59" i="21"/>
  <c r="Q59" i="21" s="1"/>
  <c r="R59" i="21"/>
  <c r="P15" i="21"/>
  <c r="Q15" i="21" s="1"/>
  <c r="R15" i="21"/>
  <c r="P29" i="21"/>
  <c r="Q29" i="21" s="1"/>
  <c r="R29" i="21"/>
  <c r="O7" i="20"/>
  <c r="J7" i="20"/>
  <c r="P112" i="20"/>
  <c r="Q112" i="20" s="1"/>
  <c r="R112" i="20"/>
  <c r="P105" i="20"/>
  <c r="Q105" i="20" s="1"/>
  <c r="R105" i="20"/>
  <c r="P93" i="20"/>
  <c r="Q93" i="20" s="1"/>
  <c r="R93" i="20"/>
  <c r="P52" i="20"/>
  <c r="Q52" i="20" s="1"/>
  <c r="R52" i="20"/>
  <c r="P130" i="20"/>
  <c r="Q130" i="20" s="1"/>
  <c r="R130" i="20"/>
  <c r="P22" i="20"/>
  <c r="Q22" i="20" s="1"/>
  <c r="R22" i="20"/>
  <c r="P37" i="20"/>
  <c r="Q37" i="20" s="1"/>
  <c r="R37" i="20"/>
  <c r="P72" i="20"/>
  <c r="Q72" i="20" s="1"/>
  <c r="R72" i="20"/>
  <c r="P94" i="20"/>
  <c r="Q94" i="20" s="1"/>
  <c r="R94" i="20"/>
  <c r="P92" i="20"/>
  <c r="Q92" i="20" s="1"/>
  <c r="R92" i="20"/>
  <c r="P87" i="20"/>
  <c r="Q87" i="20" s="1"/>
  <c r="R87" i="20"/>
  <c r="P125" i="20"/>
  <c r="Q125" i="20" s="1"/>
  <c r="R125" i="20"/>
  <c r="P34" i="20"/>
  <c r="Q34" i="20" s="1"/>
  <c r="R34" i="20"/>
  <c r="P129" i="20"/>
  <c r="Q129" i="20" s="1"/>
  <c r="R129" i="20"/>
  <c r="P25" i="20"/>
  <c r="Q25" i="20" s="1"/>
  <c r="R25" i="20"/>
  <c r="P68" i="20"/>
  <c r="Q68" i="20" s="1"/>
  <c r="R68" i="20"/>
  <c r="P90" i="20"/>
  <c r="Q90" i="20" s="1"/>
  <c r="R90" i="20"/>
  <c r="P134" i="20"/>
  <c r="Q134" i="20" s="1"/>
  <c r="R134" i="20"/>
  <c r="P63" i="20"/>
  <c r="Q63" i="20" s="1"/>
  <c r="R63" i="20"/>
  <c r="P127" i="20"/>
  <c r="Q127" i="20" s="1"/>
  <c r="R127" i="20"/>
  <c r="P38" i="20"/>
  <c r="Q38" i="20" s="1"/>
  <c r="R38" i="20"/>
  <c r="P91" i="20"/>
  <c r="Q91" i="20" s="1"/>
  <c r="R91" i="20"/>
  <c r="P31" i="20"/>
  <c r="Q31" i="20" s="1"/>
  <c r="R31" i="20"/>
  <c r="P103" i="20"/>
  <c r="Q103" i="20" s="1"/>
  <c r="R103" i="20"/>
  <c r="P109" i="20"/>
  <c r="Q109" i="20" s="1"/>
  <c r="R109" i="20"/>
  <c r="P88" i="20"/>
  <c r="Q88" i="20" s="1"/>
  <c r="R88" i="20"/>
  <c r="P13" i="20"/>
  <c r="Q13" i="20" s="1"/>
  <c r="R13" i="20"/>
  <c r="P39" i="20"/>
  <c r="Q39" i="20" s="1"/>
  <c r="R39" i="20"/>
  <c r="P18" i="20"/>
  <c r="Q18" i="20" s="1"/>
  <c r="R18" i="20"/>
  <c r="P59" i="20"/>
  <c r="Q59" i="20" s="1"/>
  <c r="R59" i="20"/>
  <c r="P9" i="20"/>
  <c r="Q9" i="20" s="1"/>
  <c r="N7" i="20"/>
  <c r="R9" i="20"/>
  <c r="P24" i="20"/>
  <c r="Q24" i="20" s="1"/>
  <c r="R24" i="20"/>
  <c r="P83" i="20"/>
  <c r="Q83" i="20" s="1"/>
  <c r="R83" i="20"/>
  <c r="P84" i="20"/>
  <c r="Q84" i="20" s="1"/>
  <c r="R84" i="20"/>
  <c r="P133" i="20"/>
  <c r="Q133" i="20" s="1"/>
  <c r="R133" i="20"/>
  <c r="P70" i="20"/>
  <c r="Q70" i="20" s="1"/>
  <c r="R70" i="20"/>
  <c r="P10" i="20"/>
  <c r="Q10" i="20" s="1"/>
  <c r="R10" i="20"/>
  <c r="P107" i="20"/>
  <c r="Q107" i="20" s="1"/>
  <c r="R107" i="20"/>
  <c r="P33" i="20"/>
  <c r="Q33" i="20" s="1"/>
  <c r="R33" i="20"/>
  <c r="P26" i="20"/>
  <c r="Q26" i="20" s="1"/>
  <c r="R26" i="20"/>
  <c r="P35" i="20"/>
  <c r="Q35" i="20" s="1"/>
  <c r="R35" i="20"/>
  <c r="P121" i="20"/>
  <c r="Q121" i="20" s="1"/>
  <c r="R121" i="20"/>
  <c r="P132" i="20"/>
  <c r="Q132" i="20" s="1"/>
  <c r="R132" i="20"/>
  <c r="P100" i="20"/>
  <c r="Q100" i="20" s="1"/>
  <c r="R100" i="20"/>
  <c r="P80" i="20"/>
  <c r="Q80" i="20" s="1"/>
  <c r="R80" i="20"/>
  <c r="F7" i="20"/>
  <c r="P69" i="20"/>
  <c r="Q69" i="20" s="1"/>
  <c r="R69" i="20"/>
  <c r="P57" i="20"/>
  <c r="Q57" i="20" s="1"/>
  <c r="R57" i="20"/>
  <c r="P50" i="20"/>
  <c r="Q50" i="20" s="1"/>
  <c r="R50" i="20"/>
  <c r="P46" i="20"/>
  <c r="Q46" i="20" s="1"/>
  <c r="R46" i="20"/>
  <c r="P47" i="20"/>
  <c r="Q47" i="20" s="1"/>
  <c r="R47" i="20"/>
  <c r="P82" i="20"/>
  <c r="Q82" i="20" s="1"/>
  <c r="R82" i="20"/>
  <c r="P122" i="20"/>
  <c r="Q122" i="20" s="1"/>
  <c r="R122" i="20"/>
  <c r="P14" i="20"/>
  <c r="Q14" i="20" s="1"/>
  <c r="R14" i="20"/>
  <c r="P51" i="20"/>
  <c r="Q51" i="20" s="1"/>
  <c r="R51" i="20"/>
  <c r="P96" i="20"/>
  <c r="Q96" i="20" s="1"/>
  <c r="R96" i="20"/>
  <c r="P126" i="20"/>
  <c r="Q126" i="20" s="1"/>
  <c r="R126" i="20"/>
  <c r="P102" i="20"/>
  <c r="Q102" i="20" s="1"/>
  <c r="R102" i="20"/>
  <c r="P111" i="20"/>
  <c r="Q111" i="20" s="1"/>
  <c r="R111" i="20"/>
  <c r="P108" i="20"/>
  <c r="Q108" i="20" s="1"/>
  <c r="R108" i="20"/>
  <c r="P95" i="20"/>
  <c r="Q95" i="20" s="1"/>
  <c r="R95" i="20"/>
  <c r="P41" i="20"/>
  <c r="Q41" i="20" s="1"/>
  <c r="R41" i="20"/>
  <c r="P23" i="20"/>
  <c r="Q23" i="20" s="1"/>
  <c r="R23" i="20"/>
  <c r="P60" i="20"/>
  <c r="Q60" i="20" s="1"/>
  <c r="R60" i="20"/>
  <c r="P48" i="20"/>
  <c r="Q48" i="20" s="1"/>
  <c r="R48" i="20"/>
  <c r="P110" i="20"/>
  <c r="Q110" i="20" s="1"/>
  <c r="R110" i="20"/>
  <c r="P74" i="20"/>
  <c r="Q74" i="20" s="1"/>
  <c r="R74" i="20"/>
  <c r="P20" i="20"/>
  <c r="Q20" i="20" s="1"/>
  <c r="R20" i="20"/>
  <c r="P104" i="20"/>
  <c r="Q104" i="20" s="1"/>
  <c r="R104" i="20"/>
  <c r="P55" i="20"/>
  <c r="Q55" i="20" s="1"/>
  <c r="R55" i="20"/>
  <c r="P42" i="20"/>
  <c r="Q42" i="20" s="1"/>
  <c r="R42" i="20"/>
  <c r="P29" i="20"/>
  <c r="Q29" i="20" s="1"/>
  <c r="R29" i="20"/>
  <c r="P99" i="20"/>
  <c r="Q99" i="20" s="1"/>
  <c r="R99" i="20"/>
  <c r="P81" i="20"/>
  <c r="Q81" i="20" s="1"/>
  <c r="R81" i="20"/>
  <c r="P89" i="20"/>
  <c r="Q89" i="20" s="1"/>
  <c r="R89" i="20"/>
  <c r="P21" i="20"/>
  <c r="Q21" i="20" s="1"/>
  <c r="R21" i="20"/>
  <c r="P43" i="20"/>
  <c r="Q43" i="20" s="1"/>
  <c r="R43" i="20"/>
  <c r="P65" i="20"/>
  <c r="Q65" i="20" s="1"/>
  <c r="R65" i="20"/>
  <c r="P106" i="20"/>
  <c r="Q106" i="20" s="1"/>
  <c r="R106" i="20"/>
  <c r="P28" i="20"/>
  <c r="Q28" i="20" s="1"/>
  <c r="R28" i="20"/>
  <c r="P119" i="20"/>
  <c r="Q119" i="20" s="1"/>
  <c r="R119" i="20"/>
  <c r="P12" i="20"/>
  <c r="Q12" i="20" s="1"/>
  <c r="R12" i="20"/>
  <c r="P44" i="20"/>
  <c r="Q44" i="20" s="1"/>
  <c r="R44" i="20"/>
  <c r="P131" i="20"/>
  <c r="Q131" i="20" s="1"/>
  <c r="R131" i="20"/>
  <c r="P76" i="20"/>
  <c r="Q76" i="20" s="1"/>
  <c r="R76" i="20"/>
  <c r="P118" i="20"/>
  <c r="Q118" i="20" s="1"/>
  <c r="R118" i="20"/>
  <c r="P17" i="20"/>
  <c r="Q17" i="20" s="1"/>
  <c r="R17" i="20"/>
  <c r="P86" i="20"/>
  <c r="Q86" i="20" s="1"/>
  <c r="R86" i="20"/>
  <c r="P120" i="20"/>
  <c r="Q120" i="20" s="1"/>
  <c r="R120" i="20"/>
  <c r="P58" i="20"/>
  <c r="Q58" i="20" s="1"/>
  <c r="R58" i="20"/>
  <c r="P115" i="20"/>
  <c r="Q115" i="20" s="1"/>
  <c r="R115" i="20"/>
  <c r="P128" i="20"/>
  <c r="Q128" i="20" s="1"/>
  <c r="R128" i="20"/>
  <c r="P19" i="20"/>
  <c r="Q19" i="20" s="1"/>
  <c r="R19" i="20"/>
  <c r="P78" i="20"/>
  <c r="Q78" i="20" s="1"/>
  <c r="R78" i="20"/>
  <c r="P56" i="20"/>
  <c r="Q56" i="20" s="1"/>
  <c r="R56" i="20"/>
  <c r="P45" i="20"/>
  <c r="Q45" i="20" s="1"/>
  <c r="R45" i="20"/>
  <c r="DS7" i="19"/>
  <c r="DT7" i="19"/>
  <c r="AL7" i="19"/>
  <c r="AM7" i="19"/>
  <c r="AL7" i="18"/>
  <c r="DO7" i="18"/>
  <c r="F9" i="18"/>
  <c r="F7" i="18" s="1"/>
  <c r="I52" i="26" l="1"/>
  <c r="P22" i="19"/>
  <c r="H22" i="19"/>
  <c r="I51" i="26"/>
  <c r="AI52" i="26"/>
  <c r="Q7" i="18"/>
  <c r="P16" i="19"/>
  <c r="P15" i="19"/>
  <c r="P14" i="19"/>
  <c r="AI51" i="26"/>
  <c r="G51" i="26"/>
  <c r="P11" i="18"/>
  <c r="P7" i="18" s="1"/>
  <c r="G52" i="26"/>
  <c r="N7" i="19"/>
  <c r="P18" i="19"/>
  <c r="P13" i="19"/>
  <c r="P17" i="19"/>
  <c r="P19" i="19"/>
  <c r="I7" i="18"/>
  <c r="P20" i="19"/>
  <c r="P21" i="19"/>
  <c r="Q7" i="21"/>
  <c r="Q7" i="20"/>
  <c r="R7" i="21"/>
  <c r="P7" i="21"/>
  <c r="M7" i="19"/>
  <c r="I7" i="19"/>
  <c r="O10" i="19"/>
  <c r="Q10" i="19"/>
  <c r="O12" i="19"/>
  <c r="Q12" i="19"/>
  <c r="O9" i="19"/>
  <c r="Q9" i="19"/>
  <c r="O11" i="19"/>
  <c r="Q11" i="19"/>
  <c r="P7" i="20"/>
  <c r="R7" i="20"/>
  <c r="M7" i="18"/>
  <c r="O7" i="18"/>
  <c r="AP11" i="17"/>
  <c r="AO11" i="17"/>
  <c r="AH11" i="17"/>
  <c r="AG11" i="17"/>
  <c r="AF11" i="17"/>
  <c r="AJ11" i="17" s="1"/>
  <c r="AE11" i="17"/>
  <c r="AD11" i="17"/>
  <c r="AC11" i="17"/>
  <c r="X11" i="17"/>
  <c r="W11" i="17"/>
  <c r="R11" i="17"/>
  <c r="Q11" i="17"/>
  <c r="AP10" i="17"/>
  <c r="AO10" i="17"/>
  <c r="AH10" i="17"/>
  <c r="AG10" i="17"/>
  <c r="AF10" i="17"/>
  <c r="AJ10" i="17" s="1"/>
  <c r="AE10" i="17"/>
  <c r="AD10" i="17"/>
  <c r="AC10" i="17"/>
  <c r="X10" i="17"/>
  <c r="W10" i="17"/>
  <c r="R10" i="17"/>
  <c r="Q10" i="17"/>
  <c r="AP9" i="17"/>
  <c r="AO9" i="17"/>
  <c r="AO7" i="17" s="1"/>
  <c r="AH9" i="17"/>
  <c r="AG9" i="17"/>
  <c r="AF9" i="17"/>
  <c r="AE9" i="17"/>
  <c r="AD9" i="17"/>
  <c r="AD7" i="17" s="1"/>
  <c r="AC9" i="17"/>
  <c r="X9" i="17"/>
  <c r="W9" i="17"/>
  <c r="R9" i="17"/>
  <c r="Q9" i="17"/>
  <c r="P9" i="19" l="1"/>
  <c r="H9" i="19"/>
  <c r="P11" i="19"/>
  <c r="H11" i="19"/>
  <c r="P12" i="19"/>
  <c r="H12" i="19"/>
  <c r="P10" i="19"/>
  <c r="P7" i="19" s="1"/>
  <c r="H10" i="19"/>
  <c r="H7" i="19" s="1"/>
  <c r="AI11" i="17"/>
  <c r="G10" i="17"/>
  <c r="K10" i="17"/>
  <c r="M10" i="17" s="1"/>
  <c r="N10" i="17"/>
  <c r="L10" i="17"/>
  <c r="K11" i="17"/>
  <c r="M11" i="17" s="1"/>
  <c r="G11" i="17"/>
  <c r="Q7" i="17"/>
  <c r="AE7" i="17"/>
  <c r="AG7" i="17"/>
  <c r="AH7" i="17"/>
  <c r="R7" i="17"/>
  <c r="X7" i="17"/>
  <c r="AC7" i="17"/>
  <c r="AJ9" i="17"/>
  <c r="N9" i="17" s="1"/>
  <c r="N7" i="17" s="1"/>
  <c r="AF7" i="17"/>
  <c r="AP7" i="17"/>
  <c r="W7" i="17"/>
  <c r="L11" i="17"/>
  <c r="N11" i="17"/>
  <c r="AI10" i="17"/>
  <c r="O7" i="19"/>
  <c r="Q7" i="19"/>
  <c r="AI9" i="17"/>
  <c r="AJ7" i="17" l="1"/>
  <c r="K9" i="17"/>
  <c r="G9" i="17"/>
  <c r="G7" i="17" s="1"/>
  <c r="L9" i="17"/>
  <c r="L7" i="17" s="1"/>
  <c r="AI7" i="17"/>
  <c r="AH10" i="16"/>
  <c r="AG10" i="16"/>
  <c r="AF10" i="16"/>
  <c r="AE10" i="16"/>
  <c r="X10" i="16"/>
  <c r="W10" i="16"/>
  <c r="R10" i="16"/>
  <c r="Q10" i="16"/>
  <c r="AP9" i="16"/>
  <c r="AP7" i="16" s="1"/>
  <c r="AO9" i="16"/>
  <c r="AO7" i="16" s="1"/>
  <c r="AH9" i="16"/>
  <c r="AG9" i="16"/>
  <c r="AF9" i="16"/>
  <c r="AE9" i="16"/>
  <c r="AE7" i="16" s="1"/>
  <c r="AD9" i="16"/>
  <c r="AD7" i="16" s="1"/>
  <c r="AC9" i="16"/>
  <c r="AC7" i="16" s="1"/>
  <c r="X9" i="16"/>
  <c r="X7" i="16" s="1"/>
  <c r="W9" i="16"/>
  <c r="W7" i="16" s="1"/>
  <c r="R9" i="16"/>
  <c r="Q9" i="16"/>
  <c r="AH13" i="15"/>
  <c r="AG13" i="15"/>
  <c r="AF13" i="15"/>
  <c r="AE13" i="15"/>
  <c r="X13" i="15"/>
  <c r="W13" i="15"/>
  <c r="R13" i="15"/>
  <c r="Q13" i="15"/>
  <c r="AH12" i="15"/>
  <c r="AG12" i="15"/>
  <c r="AF12" i="15"/>
  <c r="AE12" i="15"/>
  <c r="X12" i="15"/>
  <c r="W12" i="15"/>
  <c r="R12" i="15"/>
  <c r="Q12" i="15"/>
  <c r="AH11" i="15"/>
  <c r="AG11" i="15"/>
  <c r="AF11" i="15"/>
  <c r="AE11" i="15"/>
  <c r="X11" i="15"/>
  <c r="W11" i="15"/>
  <c r="R11" i="15"/>
  <c r="Q11" i="15"/>
  <c r="AH10" i="15"/>
  <c r="AG10" i="15"/>
  <c r="AF10" i="15"/>
  <c r="AE10" i="15"/>
  <c r="X10" i="15"/>
  <c r="W10" i="15"/>
  <c r="R10" i="15"/>
  <c r="Q10" i="15"/>
  <c r="AH9" i="15"/>
  <c r="AG9" i="15"/>
  <c r="AG7" i="15" s="1"/>
  <c r="AF9" i="15"/>
  <c r="AE9" i="15"/>
  <c r="X9" i="15"/>
  <c r="X7" i="15" s="1"/>
  <c r="W9" i="15"/>
  <c r="R9" i="15"/>
  <c r="Q9" i="15"/>
  <c r="AI10" i="15" l="1"/>
  <c r="AI11" i="15"/>
  <c r="AI13" i="15"/>
  <c r="Q7" i="16"/>
  <c r="AJ9" i="16"/>
  <c r="AF7" i="16"/>
  <c r="R7" i="16"/>
  <c r="AH7" i="16"/>
  <c r="L9" i="16"/>
  <c r="N9" i="16"/>
  <c r="Q7" i="15"/>
  <c r="R7" i="15"/>
  <c r="K7" i="17"/>
  <c r="M9" i="17"/>
  <c r="M7" i="17" s="1"/>
  <c r="AI9" i="16"/>
  <c r="AG7" i="16"/>
  <c r="W7" i="15"/>
  <c r="AI10" i="16"/>
  <c r="AJ10" i="16"/>
  <c r="AI9" i="15"/>
  <c r="AE7" i="15"/>
  <c r="AJ9" i="15"/>
  <c r="G9" i="15" s="1"/>
  <c r="AF7" i="15"/>
  <c r="AJ10" i="15"/>
  <c r="N10" i="15" s="1"/>
  <c r="AH7" i="15"/>
  <c r="N9" i="15"/>
  <c r="AJ13" i="15"/>
  <c r="AI12" i="15"/>
  <c r="AJ11" i="15"/>
  <c r="AJ12" i="15"/>
  <c r="AI7" i="16" l="1"/>
  <c r="L9" i="15"/>
  <c r="K13" i="15"/>
  <c r="M13" i="15" s="1"/>
  <c r="G13" i="15"/>
  <c r="G10" i="16"/>
  <c r="K10" i="16"/>
  <c r="M10" i="16" s="1"/>
  <c r="L10" i="16"/>
  <c r="K10" i="15"/>
  <c r="M10" i="15" s="1"/>
  <c r="G10" i="15"/>
  <c r="N10" i="16"/>
  <c r="N7" i="16" s="1"/>
  <c r="L7" i="16"/>
  <c r="N13" i="15"/>
  <c r="K12" i="15"/>
  <c r="M12" i="15" s="1"/>
  <c r="G12" i="15"/>
  <c r="K11" i="15"/>
  <c r="M11" i="15" s="1"/>
  <c r="G11" i="15"/>
  <c r="AJ7" i="16"/>
  <c r="G9" i="16"/>
  <c r="G7" i="16" s="1"/>
  <c r="K9" i="16"/>
  <c r="N11" i="15"/>
  <c r="L13" i="15"/>
  <c r="L11" i="15"/>
  <c r="AJ7" i="15"/>
  <c r="K9" i="15"/>
  <c r="L12" i="15"/>
  <c r="N12" i="15"/>
  <c r="L10" i="15"/>
  <c r="AI7" i="15"/>
  <c r="DG59" i="14"/>
  <c r="DF59" i="14"/>
  <c r="DA59" i="14"/>
  <c r="CZ59" i="14"/>
  <c r="CU59" i="14"/>
  <c r="CT59" i="14"/>
  <c r="CO59" i="14"/>
  <c r="CN59" i="14"/>
  <c r="CI59" i="14"/>
  <c r="CH59" i="14"/>
  <c r="CC59" i="14"/>
  <c r="CB59" i="14"/>
  <c r="BW59" i="14"/>
  <c r="BV59" i="14"/>
  <c r="BQ59" i="14"/>
  <c r="BP59" i="14"/>
  <c r="BK59" i="14"/>
  <c r="BI59" i="14"/>
  <c r="BD59" i="14"/>
  <c r="BB59" i="14"/>
  <c r="AW59" i="14"/>
  <c r="AV59" i="14"/>
  <c r="AQ59" i="14"/>
  <c r="AP59" i="14"/>
  <c r="AE59" i="14"/>
  <c r="AD59" i="14"/>
  <c r="Y59" i="14"/>
  <c r="X59" i="14"/>
  <c r="DG58" i="14"/>
  <c r="DF58" i="14"/>
  <c r="DA58" i="14"/>
  <c r="CZ58" i="14"/>
  <c r="CU58" i="14"/>
  <c r="CT58" i="14"/>
  <c r="CO58" i="14"/>
  <c r="CN58" i="14"/>
  <c r="CI58" i="14"/>
  <c r="CH58" i="14"/>
  <c r="CC58" i="14"/>
  <c r="CB58" i="14"/>
  <c r="BW58" i="14"/>
  <c r="BV58" i="14"/>
  <c r="BQ58" i="14"/>
  <c r="BP58" i="14"/>
  <c r="BK58" i="14"/>
  <c r="BI58" i="14"/>
  <c r="BD58" i="14"/>
  <c r="BB58" i="14"/>
  <c r="AW58" i="14"/>
  <c r="AV58" i="14"/>
  <c r="AQ58" i="14"/>
  <c r="AP58" i="14"/>
  <c r="AE58" i="14"/>
  <c r="AD58" i="14"/>
  <c r="Y58" i="14"/>
  <c r="X58" i="14"/>
  <c r="DG57" i="14"/>
  <c r="DF57" i="14"/>
  <c r="DA57" i="14"/>
  <c r="CZ57" i="14"/>
  <c r="CU57" i="14"/>
  <c r="CT57" i="14"/>
  <c r="CO57" i="14"/>
  <c r="CN57" i="14"/>
  <c r="CI57" i="14"/>
  <c r="CH57" i="14"/>
  <c r="CC57" i="14"/>
  <c r="CB57" i="14"/>
  <c r="BW57" i="14"/>
  <c r="BV57" i="14"/>
  <c r="BQ57" i="14"/>
  <c r="BP57" i="14"/>
  <c r="BK57" i="14"/>
  <c r="BI57" i="14"/>
  <c r="BD57" i="14"/>
  <c r="BB57" i="14"/>
  <c r="AW57" i="14"/>
  <c r="AV57" i="14"/>
  <c r="AQ57" i="14"/>
  <c r="AP57" i="14"/>
  <c r="AE57" i="14"/>
  <c r="AD57" i="14"/>
  <c r="Y57" i="14"/>
  <c r="X57" i="14"/>
  <c r="DG56" i="14"/>
  <c r="DF56" i="14"/>
  <c r="DA56" i="14"/>
  <c r="CZ56" i="14"/>
  <c r="CU56" i="14"/>
  <c r="CT56" i="14"/>
  <c r="CO56" i="14"/>
  <c r="CN56" i="14"/>
  <c r="CI56" i="14"/>
  <c r="CH56" i="14"/>
  <c r="CC56" i="14"/>
  <c r="CB56" i="14"/>
  <c r="BW56" i="14"/>
  <c r="BV56" i="14"/>
  <c r="BQ56" i="14"/>
  <c r="BP56" i="14"/>
  <c r="BK56" i="14"/>
  <c r="BI56" i="14"/>
  <c r="BD56" i="14"/>
  <c r="BB56" i="14"/>
  <c r="AW56" i="14"/>
  <c r="AV56" i="14"/>
  <c r="AQ56" i="14"/>
  <c r="AP56" i="14"/>
  <c r="AE56" i="14"/>
  <c r="AD56" i="14"/>
  <c r="Y56" i="14"/>
  <c r="X56" i="14"/>
  <c r="DG55" i="14"/>
  <c r="DF55" i="14"/>
  <c r="DA55" i="14"/>
  <c r="CZ55" i="14"/>
  <c r="CU55" i="14"/>
  <c r="CT55" i="14"/>
  <c r="CO55" i="14"/>
  <c r="CN55" i="14"/>
  <c r="CI55" i="14"/>
  <c r="CH55" i="14"/>
  <c r="CC55" i="14"/>
  <c r="CB55" i="14"/>
  <c r="BW55" i="14"/>
  <c r="BV55" i="14"/>
  <c r="BQ55" i="14"/>
  <c r="BP55" i="14"/>
  <c r="BK55" i="14"/>
  <c r="BI55" i="14"/>
  <c r="BD55" i="14"/>
  <c r="BB55" i="14"/>
  <c r="AW55" i="14"/>
  <c r="AV55" i="14"/>
  <c r="AQ55" i="14"/>
  <c r="AP55" i="14"/>
  <c r="AE55" i="14"/>
  <c r="AD55" i="14"/>
  <c r="Y55" i="14"/>
  <c r="X55" i="14"/>
  <c r="DG54" i="14"/>
  <c r="DF54" i="14"/>
  <c r="DA54" i="14"/>
  <c r="CZ54" i="14"/>
  <c r="CU54" i="14"/>
  <c r="CT54" i="14"/>
  <c r="CO54" i="14"/>
  <c r="CN54" i="14"/>
  <c r="CI54" i="14"/>
  <c r="CH54" i="14"/>
  <c r="CC54" i="14"/>
  <c r="CB54" i="14"/>
  <c r="BW54" i="14"/>
  <c r="BV54" i="14"/>
  <c r="BQ54" i="14"/>
  <c r="BP54" i="14"/>
  <c r="BK54" i="14"/>
  <c r="BI54" i="14"/>
  <c r="BD54" i="14"/>
  <c r="BB54" i="14"/>
  <c r="AW54" i="14"/>
  <c r="AV54" i="14"/>
  <c r="AQ54" i="14"/>
  <c r="AP54" i="14"/>
  <c r="AE54" i="14"/>
  <c r="AD54" i="14"/>
  <c r="Y54" i="14"/>
  <c r="X54" i="14"/>
  <c r="DG53" i="14"/>
  <c r="DF53" i="14"/>
  <c r="DA53" i="14"/>
  <c r="CZ53" i="14"/>
  <c r="CU53" i="14"/>
  <c r="CT53" i="14"/>
  <c r="CO53" i="14"/>
  <c r="CN53" i="14"/>
  <c r="CI53" i="14"/>
  <c r="CH53" i="14"/>
  <c r="CC53" i="14"/>
  <c r="CB53" i="14"/>
  <c r="BW53" i="14"/>
  <c r="BV53" i="14"/>
  <c r="BQ53" i="14"/>
  <c r="BP53" i="14"/>
  <c r="BK53" i="14"/>
  <c r="BI53" i="14"/>
  <c r="BD53" i="14"/>
  <c r="BB53" i="14"/>
  <c r="AW53" i="14"/>
  <c r="AV53" i="14"/>
  <c r="AQ53" i="14"/>
  <c r="AP53" i="14"/>
  <c r="AE53" i="14"/>
  <c r="AD53" i="14"/>
  <c r="Y53" i="14"/>
  <c r="X53" i="14"/>
  <c r="DG52" i="14"/>
  <c r="DF52" i="14"/>
  <c r="DA52" i="14"/>
  <c r="CZ52" i="14"/>
  <c r="CU52" i="14"/>
  <c r="CT52" i="14"/>
  <c r="CO52" i="14"/>
  <c r="CN52" i="14"/>
  <c r="CI52" i="14"/>
  <c r="CH52" i="14"/>
  <c r="CC52" i="14"/>
  <c r="CB52" i="14"/>
  <c r="BW52" i="14"/>
  <c r="BV52" i="14"/>
  <c r="BQ52" i="14"/>
  <c r="BP52" i="14"/>
  <c r="BK52" i="14"/>
  <c r="BI52" i="14"/>
  <c r="BD52" i="14"/>
  <c r="BB52" i="14"/>
  <c r="AW52" i="14"/>
  <c r="AV52" i="14"/>
  <c r="AQ52" i="14"/>
  <c r="AP52" i="14"/>
  <c r="AE52" i="14"/>
  <c r="AD52" i="14"/>
  <c r="Y52" i="14"/>
  <c r="X52" i="14"/>
  <c r="DG51" i="14"/>
  <c r="DF51" i="14"/>
  <c r="DA51" i="14"/>
  <c r="CZ51" i="14"/>
  <c r="CU51" i="14"/>
  <c r="CT51" i="14"/>
  <c r="CO51" i="14"/>
  <c r="CN51" i="14"/>
  <c r="CI51" i="14"/>
  <c r="CH51" i="14"/>
  <c r="CC51" i="14"/>
  <c r="CB51" i="14"/>
  <c r="BW51" i="14"/>
  <c r="BV51" i="14"/>
  <c r="BQ51" i="14"/>
  <c r="BP51" i="14"/>
  <c r="BK51" i="14"/>
  <c r="BI51" i="14"/>
  <c r="BD51" i="14"/>
  <c r="BB51" i="14"/>
  <c r="AW51" i="14"/>
  <c r="AV51" i="14"/>
  <c r="AQ51" i="14"/>
  <c r="AP51" i="14"/>
  <c r="AE51" i="14"/>
  <c r="AD51" i="14"/>
  <c r="Y51" i="14"/>
  <c r="X51" i="14"/>
  <c r="DG50" i="14"/>
  <c r="DF50" i="14"/>
  <c r="DA50" i="14"/>
  <c r="CZ50" i="14"/>
  <c r="CU50" i="14"/>
  <c r="CT50" i="14"/>
  <c r="CO50" i="14"/>
  <c r="CN50" i="14"/>
  <c r="CI50" i="14"/>
  <c r="CH50" i="14"/>
  <c r="CC50" i="14"/>
  <c r="CB50" i="14"/>
  <c r="BW50" i="14"/>
  <c r="BV50" i="14"/>
  <c r="BQ50" i="14"/>
  <c r="BP50" i="14"/>
  <c r="BK50" i="14"/>
  <c r="BI50" i="14"/>
  <c r="BD50" i="14"/>
  <c r="BB50" i="14"/>
  <c r="AW50" i="14"/>
  <c r="AV50" i="14"/>
  <c r="AQ50" i="14"/>
  <c r="AP50" i="14"/>
  <c r="AE50" i="14"/>
  <c r="AD50" i="14"/>
  <c r="Y50" i="14"/>
  <c r="X50" i="14"/>
  <c r="DG49" i="14"/>
  <c r="DF49" i="14"/>
  <c r="DA49" i="14"/>
  <c r="CZ49" i="14"/>
  <c r="CU49" i="14"/>
  <c r="CT49" i="14"/>
  <c r="CO49" i="14"/>
  <c r="CN49" i="14"/>
  <c r="CI49" i="14"/>
  <c r="CH49" i="14"/>
  <c r="CC49" i="14"/>
  <c r="CB49" i="14"/>
  <c r="BW49" i="14"/>
  <c r="BV49" i="14"/>
  <c r="BQ49" i="14"/>
  <c r="BP49" i="14"/>
  <c r="BK49" i="14"/>
  <c r="BI49" i="14"/>
  <c r="BD49" i="14"/>
  <c r="BB49" i="14"/>
  <c r="AW49" i="14"/>
  <c r="AV49" i="14"/>
  <c r="AQ49" i="14"/>
  <c r="AP49" i="14"/>
  <c r="AE49" i="14"/>
  <c r="AD49" i="14"/>
  <c r="Y49" i="14"/>
  <c r="X49" i="14"/>
  <c r="DG48" i="14"/>
  <c r="DF48" i="14"/>
  <c r="DA48" i="14"/>
  <c r="CZ48" i="14"/>
  <c r="CU48" i="14"/>
  <c r="CT48" i="14"/>
  <c r="CO48" i="14"/>
  <c r="CN48" i="14"/>
  <c r="CI48" i="14"/>
  <c r="CH48" i="14"/>
  <c r="CC48" i="14"/>
  <c r="CB48" i="14"/>
  <c r="BW48" i="14"/>
  <c r="BV48" i="14"/>
  <c r="BQ48" i="14"/>
  <c r="BP48" i="14"/>
  <c r="BK48" i="14"/>
  <c r="BI48" i="14"/>
  <c r="BD48" i="14"/>
  <c r="BB48" i="14"/>
  <c r="AW48" i="14"/>
  <c r="AV48" i="14"/>
  <c r="AQ48" i="14"/>
  <c r="AP48" i="14"/>
  <c r="AE48" i="14"/>
  <c r="AD48" i="14"/>
  <c r="Y48" i="14"/>
  <c r="X48" i="14"/>
  <c r="DG47" i="14"/>
  <c r="DF47" i="14"/>
  <c r="DA47" i="14"/>
  <c r="CZ47" i="14"/>
  <c r="CU47" i="14"/>
  <c r="CT47" i="14"/>
  <c r="CO47" i="14"/>
  <c r="CN47" i="14"/>
  <c r="CI47" i="14"/>
  <c r="CH47" i="14"/>
  <c r="CC47" i="14"/>
  <c r="CB47" i="14"/>
  <c r="BW47" i="14"/>
  <c r="BV47" i="14"/>
  <c r="BQ47" i="14"/>
  <c r="BP47" i="14"/>
  <c r="BK47" i="14"/>
  <c r="BI47" i="14"/>
  <c r="BD47" i="14"/>
  <c r="BB47" i="14"/>
  <c r="AW47" i="14"/>
  <c r="AV47" i="14"/>
  <c r="AQ47" i="14"/>
  <c r="AP47" i="14"/>
  <c r="AE47" i="14"/>
  <c r="AD47" i="14"/>
  <c r="Y47" i="14"/>
  <c r="X47" i="14"/>
  <c r="DG44" i="14"/>
  <c r="DF44" i="14"/>
  <c r="DA44" i="14"/>
  <c r="CZ44" i="14"/>
  <c r="CU44" i="14"/>
  <c r="CT44" i="14"/>
  <c r="CO44" i="14"/>
  <c r="CN44" i="14"/>
  <c r="CI44" i="14"/>
  <c r="CH44" i="14"/>
  <c r="CC44" i="14"/>
  <c r="CB44" i="14"/>
  <c r="BW44" i="14"/>
  <c r="BV44" i="14"/>
  <c r="BQ44" i="14"/>
  <c r="BP44" i="14"/>
  <c r="BK44" i="14"/>
  <c r="BI44" i="14"/>
  <c r="BD44" i="14"/>
  <c r="BB44" i="14"/>
  <c r="AW44" i="14"/>
  <c r="AV44" i="14"/>
  <c r="AQ44" i="14"/>
  <c r="AP44" i="14"/>
  <c r="AE44" i="14"/>
  <c r="AD44" i="14"/>
  <c r="Y44" i="14"/>
  <c r="X44" i="14"/>
  <c r="DG41" i="14"/>
  <c r="DF41" i="14"/>
  <c r="DA41" i="14"/>
  <c r="CZ41" i="14"/>
  <c r="CU41" i="14"/>
  <c r="CT41" i="14"/>
  <c r="CO41" i="14"/>
  <c r="CN41" i="14"/>
  <c r="CI41" i="14"/>
  <c r="CH41" i="14"/>
  <c r="CC41" i="14"/>
  <c r="CB41" i="14"/>
  <c r="BW41" i="14"/>
  <c r="BV41" i="14"/>
  <c r="BQ41" i="14"/>
  <c r="BP41" i="14"/>
  <c r="BK41" i="14"/>
  <c r="BI41" i="14"/>
  <c r="BD41" i="14"/>
  <c r="BB41" i="14"/>
  <c r="AW41" i="14"/>
  <c r="AV41" i="14"/>
  <c r="AQ41" i="14"/>
  <c r="AP41" i="14"/>
  <c r="AE41" i="14"/>
  <c r="AD41" i="14"/>
  <c r="Y41" i="14"/>
  <c r="X41" i="14"/>
  <c r="DG40" i="14"/>
  <c r="DF40" i="14"/>
  <c r="DA40" i="14"/>
  <c r="CZ40" i="14"/>
  <c r="CU40" i="14"/>
  <c r="CT40" i="14"/>
  <c r="CO40" i="14"/>
  <c r="CN40" i="14"/>
  <c r="CI40" i="14"/>
  <c r="CH40" i="14"/>
  <c r="CC40" i="14"/>
  <c r="CB40" i="14"/>
  <c r="BW40" i="14"/>
  <c r="BV40" i="14"/>
  <c r="BQ40" i="14"/>
  <c r="BP40" i="14"/>
  <c r="BK40" i="14"/>
  <c r="BI40" i="14"/>
  <c r="BD40" i="14"/>
  <c r="BB40" i="14"/>
  <c r="AW40" i="14"/>
  <c r="AV40" i="14"/>
  <c r="AQ40" i="14"/>
  <c r="AP40" i="14"/>
  <c r="AE40" i="14"/>
  <c r="AD40" i="14"/>
  <c r="Y40" i="14"/>
  <c r="X40" i="14"/>
  <c r="DG39" i="14"/>
  <c r="DF39" i="14"/>
  <c r="DA39" i="14"/>
  <c r="CZ39" i="14"/>
  <c r="CU39" i="14"/>
  <c r="CT39" i="14"/>
  <c r="CO39" i="14"/>
  <c r="CN39" i="14"/>
  <c r="CI39" i="14"/>
  <c r="CH39" i="14"/>
  <c r="CC39" i="14"/>
  <c r="CB39" i="14"/>
  <c r="BW39" i="14"/>
  <c r="BV39" i="14"/>
  <c r="BQ39" i="14"/>
  <c r="BP39" i="14"/>
  <c r="BK39" i="14"/>
  <c r="BI39" i="14"/>
  <c r="BD39" i="14"/>
  <c r="BB39" i="14"/>
  <c r="AW39" i="14"/>
  <c r="AV39" i="14"/>
  <c r="AQ39" i="14"/>
  <c r="AP39" i="14"/>
  <c r="AE39" i="14"/>
  <c r="AD39" i="14"/>
  <c r="Y39" i="14"/>
  <c r="X39" i="14"/>
  <c r="DG38" i="14"/>
  <c r="DF38" i="14"/>
  <c r="DA38" i="14"/>
  <c r="CZ38" i="14"/>
  <c r="CU38" i="14"/>
  <c r="CT38" i="14"/>
  <c r="CO38" i="14"/>
  <c r="CN38" i="14"/>
  <c r="CI38" i="14"/>
  <c r="CH38" i="14"/>
  <c r="CC38" i="14"/>
  <c r="CB38" i="14"/>
  <c r="BW38" i="14"/>
  <c r="BV38" i="14"/>
  <c r="BQ38" i="14"/>
  <c r="BP38" i="14"/>
  <c r="BK38" i="14"/>
  <c r="BI38" i="14"/>
  <c r="BD38" i="14"/>
  <c r="BB38" i="14"/>
  <c r="AW38" i="14"/>
  <c r="AV38" i="14"/>
  <c r="AQ38" i="14"/>
  <c r="AP38" i="14"/>
  <c r="AE38" i="14"/>
  <c r="AD38" i="14"/>
  <c r="Y38" i="14"/>
  <c r="X38" i="14"/>
  <c r="DG37" i="14"/>
  <c r="DF37" i="14"/>
  <c r="DA37" i="14"/>
  <c r="CZ37" i="14"/>
  <c r="CU37" i="14"/>
  <c r="CT37" i="14"/>
  <c r="CO37" i="14"/>
  <c r="CN37" i="14"/>
  <c r="CI37" i="14"/>
  <c r="CH37" i="14"/>
  <c r="CC37" i="14"/>
  <c r="CB37" i="14"/>
  <c r="BW37" i="14"/>
  <c r="BV37" i="14"/>
  <c r="BQ37" i="14"/>
  <c r="BP37" i="14"/>
  <c r="BK37" i="14"/>
  <c r="BI37" i="14"/>
  <c r="BD37" i="14"/>
  <c r="BB37" i="14"/>
  <c r="AW37" i="14"/>
  <c r="AV37" i="14"/>
  <c r="AQ37" i="14"/>
  <c r="AP37" i="14"/>
  <c r="AE37" i="14"/>
  <c r="AD37" i="14"/>
  <c r="Y37" i="14"/>
  <c r="X37" i="14"/>
  <c r="DG34" i="14"/>
  <c r="DF34" i="14"/>
  <c r="DA34" i="14"/>
  <c r="CZ34" i="14"/>
  <c r="CU34" i="14"/>
  <c r="CT34" i="14"/>
  <c r="CO34" i="14"/>
  <c r="CN34" i="14"/>
  <c r="CI34" i="14"/>
  <c r="CH34" i="14"/>
  <c r="CC34" i="14"/>
  <c r="CB34" i="14"/>
  <c r="BW34" i="14"/>
  <c r="BV34" i="14"/>
  <c r="BQ34" i="14"/>
  <c r="BP34" i="14"/>
  <c r="BK34" i="14"/>
  <c r="BI34" i="14"/>
  <c r="BD34" i="14"/>
  <c r="BB34" i="14"/>
  <c r="AW34" i="14"/>
  <c r="AV34" i="14"/>
  <c r="AQ34" i="14"/>
  <c r="AP34" i="14"/>
  <c r="AE34" i="14"/>
  <c r="AD34" i="14"/>
  <c r="Y34" i="14"/>
  <c r="X34" i="14"/>
  <c r="DG33" i="14"/>
  <c r="DF33" i="14"/>
  <c r="DA33" i="14"/>
  <c r="CZ33" i="14"/>
  <c r="CU33" i="14"/>
  <c r="CT33" i="14"/>
  <c r="CO33" i="14"/>
  <c r="CN33" i="14"/>
  <c r="CI33" i="14"/>
  <c r="CH33" i="14"/>
  <c r="CC33" i="14"/>
  <c r="CB33" i="14"/>
  <c r="BW33" i="14"/>
  <c r="BV33" i="14"/>
  <c r="BQ33" i="14"/>
  <c r="BP33" i="14"/>
  <c r="BK33" i="14"/>
  <c r="BI33" i="14"/>
  <c r="BD33" i="14"/>
  <c r="BB33" i="14"/>
  <c r="AW33" i="14"/>
  <c r="AV33" i="14"/>
  <c r="AQ33" i="14"/>
  <c r="AP33" i="14"/>
  <c r="AE33" i="14"/>
  <c r="AD33" i="14"/>
  <c r="Y33" i="14"/>
  <c r="X33" i="14"/>
  <c r="DG32" i="14"/>
  <c r="DF32" i="14"/>
  <c r="DA32" i="14"/>
  <c r="CZ32" i="14"/>
  <c r="CU32" i="14"/>
  <c r="CT32" i="14"/>
  <c r="CO32" i="14"/>
  <c r="CN32" i="14"/>
  <c r="CI32" i="14"/>
  <c r="CH32" i="14"/>
  <c r="CC32" i="14"/>
  <c r="CB32" i="14"/>
  <c r="BW32" i="14"/>
  <c r="BV32" i="14"/>
  <c r="BQ32" i="14"/>
  <c r="BP32" i="14"/>
  <c r="BK32" i="14"/>
  <c r="BI32" i="14"/>
  <c r="BD32" i="14"/>
  <c r="BB32" i="14"/>
  <c r="AW32" i="14"/>
  <c r="AV32" i="14"/>
  <c r="AQ32" i="14"/>
  <c r="AP32" i="14"/>
  <c r="AE32" i="14"/>
  <c r="AD32" i="14"/>
  <c r="Y32" i="14"/>
  <c r="X32" i="14"/>
  <c r="DG31" i="14"/>
  <c r="DF31" i="14"/>
  <c r="DA31" i="14"/>
  <c r="CZ31" i="14"/>
  <c r="CU31" i="14"/>
  <c r="CT31" i="14"/>
  <c r="CO31" i="14"/>
  <c r="CN31" i="14"/>
  <c r="CI31" i="14"/>
  <c r="CH31" i="14"/>
  <c r="CC31" i="14"/>
  <c r="CB31" i="14"/>
  <c r="BW31" i="14"/>
  <c r="BV31" i="14"/>
  <c r="BQ31" i="14"/>
  <c r="BP31" i="14"/>
  <c r="BK31" i="14"/>
  <c r="BI31" i="14"/>
  <c r="BD31" i="14"/>
  <c r="BB31" i="14"/>
  <c r="AW31" i="14"/>
  <c r="AV31" i="14"/>
  <c r="AQ31" i="14"/>
  <c r="AP31" i="14"/>
  <c r="AE31" i="14"/>
  <c r="AD31" i="14"/>
  <c r="Y31" i="14"/>
  <c r="X31" i="14"/>
  <c r="DG30" i="14"/>
  <c r="DF30" i="14"/>
  <c r="DA30" i="14"/>
  <c r="CZ30" i="14"/>
  <c r="CU30" i="14"/>
  <c r="CT30" i="14"/>
  <c r="CO30" i="14"/>
  <c r="CN30" i="14"/>
  <c r="CI30" i="14"/>
  <c r="CH30" i="14"/>
  <c r="CC30" i="14"/>
  <c r="CB30" i="14"/>
  <c r="BW30" i="14"/>
  <c r="BV30" i="14"/>
  <c r="BQ30" i="14"/>
  <c r="BP30" i="14"/>
  <c r="BK30" i="14"/>
  <c r="BI30" i="14"/>
  <c r="BD30" i="14"/>
  <c r="BB30" i="14"/>
  <c r="AW30" i="14"/>
  <c r="AV30" i="14"/>
  <c r="AQ30" i="14"/>
  <c r="AP30" i="14"/>
  <c r="AE30" i="14"/>
  <c r="AD30" i="14"/>
  <c r="Y30" i="14"/>
  <c r="X30" i="14"/>
  <c r="DG29" i="14"/>
  <c r="DF29" i="14"/>
  <c r="DA29" i="14"/>
  <c r="CZ29" i="14"/>
  <c r="CU29" i="14"/>
  <c r="CT29" i="14"/>
  <c r="CO29" i="14"/>
  <c r="CN29" i="14"/>
  <c r="CI29" i="14"/>
  <c r="CH29" i="14"/>
  <c r="CC29" i="14"/>
  <c r="CB29" i="14"/>
  <c r="BW29" i="14"/>
  <c r="BV29" i="14"/>
  <c r="BQ29" i="14"/>
  <c r="BP29" i="14"/>
  <c r="BK29" i="14"/>
  <c r="BI29" i="14"/>
  <c r="BD29" i="14"/>
  <c r="BB29" i="14"/>
  <c r="AW29" i="14"/>
  <c r="AV29" i="14"/>
  <c r="AQ29" i="14"/>
  <c r="AP29" i="14"/>
  <c r="AE29" i="14"/>
  <c r="AD29" i="14"/>
  <c r="Y29" i="14"/>
  <c r="X29" i="14"/>
  <c r="DG28" i="14"/>
  <c r="DF28" i="14"/>
  <c r="DA28" i="14"/>
  <c r="CZ28" i="14"/>
  <c r="CU28" i="14"/>
  <c r="CT28" i="14"/>
  <c r="CO28" i="14"/>
  <c r="CN28" i="14"/>
  <c r="CI28" i="14"/>
  <c r="CH28" i="14"/>
  <c r="CC28" i="14"/>
  <c r="CB28" i="14"/>
  <c r="BW28" i="14"/>
  <c r="BV28" i="14"/>
  <c r="BQ28" i="14"/>
  <c r="BP28" i="14"/>
  <c r="BK28" i="14"/>
  <c r="BI28" i="14"/>
  <c r="BD28" i="14"/>
  <c r="BB28" i="14"/>
  <c r="AW28" i="14"/>
  <c r="AV28" i="14"/>
  <c r="AQ28" i="14"/>
  <c r="AP28" i="14"/>
  <c r="AE28" i="14"/>
  <c r="AD28" i="14"/>
  <c r="Y28" i="14"/>
  <c r="X28" i="14"/>
  <c r="DG27" i="14"/>
  <c r="DF27" i="14"/>
  <c r="DA27" i="14"/>
  <c r="CZ27" i="14"/>
  <c r="CU27" i="14"/>
  <c r="CT27" i="14"/>
  <c r="CO27" i="14"/>
  <c r="CN27" i="14"/>
  <c r="CI27" i="14"/>
  <c r="CH27" i="14"/>
  <c r="CC27" i="14"/>
  <c r="CB27" i="14"/>
  <c r="BW27" i="14"/>
  <c r="BV27" i="14"/>
  <c r="BQ27" i="14"/>
  <c r="BP27" i="14"/>
  <c r="BK27" i="14"/>
  <c r="BI27" i="14"/>
  <c r="BD27" i="14"/>
  <c r="BB27" i="14"/>
  <c r="AW27" i="14"/>
  <c r="AV27" i="14"/>
  <c r="AQ27" i="14"/>
  <c r="AP27" i="14"/>
  <c r="AE27" i="14"/>
  <c r="AD27" i="14"/>
  <c r="Y27" i="14"/>
  <c r="X27" i="14"/>
  <c r="DG26" i="14"/>
  <c r="DF26" i="14"/>
  <c r="DA26" i="14"/>
  <c r="CZ26" i="14"/>
  <c r="CU26" i="14"/>
  <c r="CT26" i="14"/>
  <c r="CO26" i="14"/>
  <c r="CN26" i="14"/>
  <c r="CI26" i="14"/>
  <c r="CH26" i="14"/>
  <c r="CC26" i="14"/>
  <c r="CB26" i="14"/>
  <c r="BW26" i="14"/>
  <c r="BV26" i="14"/>
  <c r="BQ26" i="14"/>
  <c r="BP26" i="14"/>
  <c r="BK26" i="14"/>
  <c r="BI26" i="14"/>
  <c r="BD26" i="14"/>
  <c r="BB26" i="14"/>
  <c r="AW26" i="14"/>
  <c r="AV26" i="14"/>
  <c r="AQ26" i="14"/>
  <c r="AP26" i="14"/>
  <c r="AE26" i="14"/>
  <c r="AD26" i="14"/>
  <c r="Y26" i="14"/>
  <c r="X26" i="14"/>
  <c r="DG25" i="14"/>
  <c r="DF25" i="14"/>
  <c r="DA25" i="14"/>
  <c r="CZ25" i="14"/>
  <c r="CU25" i="14"/>
  <c r="CT25" i="14"/>
  <c r="CO25" i="14"/>
  <c r="CN25" i="14"/>
  <c r="CI25" i="14"/>
  <c r="CH25" i="14"/>
  <c r="CC25" i="14"/>
  <c r="CB25" i="14"/>
  <c r="BW25" i="14"/>
  <c r="BV25" i="14"/>
  <c r="BQ25" i="14"/>
  <c r="BP25" i="14"/>
  <c r="BK25" i="14"/>
  <c r="BI25" i="14"/>
  <c r="BD25" i="14"/>
  <c r="BB25" i="14"/>
  <c r="AW25" i="14"/>
  <c r="AV25" i="14"/>
  <c r="AQ25" i="14"/>
  <c r="AP25" i="14"/>
  <c r="AE25" i="14"/>
  <c r="AD25" i="14"/>
  <c r="Y25" i="14"/>
  <c r="X25" i="14"/>
  <c r="DG24" i="14"/>
  <c r="DF24" i="14"/>
  <c r="DA24" i="14"/>
  <c r="CZ24" i="14"/>
  <c r="CU24" i="14"/>
  <c r="CT24" i="14"/>
  <c r="CO24" i="14"/>
  <c r="CN24" i="14"/>
  <c r="CI24" i="14"/>
  <c r="CH24" i="14"/>
  <c r="CC24" i="14"/>
  <c r="CB24" i="14"/>
  <c r="BW24" i="14"/>
  <c r="BV24" i="14"/>
  <c r="BQ24" i="14"/>
  <c r="BP24" i="14"/>
  <c r="BK24" i="14"/>
  <c r="BI24" i="14"/>
  <c r="BD24" i="14"/>
  <c r="BB24" i="14"/>
  <c r="AW24" i="14"/>
  <c r="AV24" i="14"/>
  <c r="AQ24" i="14"/>
  <c r="AP24" i="14"/>
  <c r="AE24" i="14"/>
  <c r="AD24" i="14"/>
  <c r="Y24" i="14"/>
  <c r="X24" i="14"/>
  <c r="DG23" i="14"/>
  <c r="DF23" i="14"/>
  <c r="DA23" i="14"/>
  <c r="CZ23" i="14"/>
  <c r="CU23" i="14"/>
  <c r="CT23" i="14"/>
  <c r="CO23" i="14"/>
  <c r="CN23" i="14"/>
  <c r="CI23" i="14"/>
  <c r="CH23" i="14"/>
  <c r="CC23" i="14"/>
  <c r="CB23" i="14"/>
  <c r="BW23" i="14"/>
  <c r="BV23" i="14"/>
  <c r="BQ23" i="14"/>
  <c r="BP23" i="14"/>
  <c r="BK23" i="14"/>
  <c r="BI23" i="14"/>
  <c r="BD23" i="14"/>
  <c r="BB23" i="14"/>
  <c r="AW23" i="14"/>
  <c r="AV23" i="14"/>
  <c r="AQ23" i="14"/>
  <c r="AP23" i="14"/>
  <c r="AE23" i="14"/>
  <c r="AD23" i="14"/>
  <c r="Y23" i="14"/>
  <c r="X23" i="14"/>
  <c r="DG22" i="14"/>
  <c r="DF22" i="14"/>
  <c r="DA22" i="14"/>
  <c r="CZ22" i="14"/>
  <c r="CU22" i="14"/>
  <c r="CT22" i="14"/>
  <c r="CO22" i="14"/>
  <c r="CN22" i="14"/>
  <c r="CI22" i="14"/>
  <c r="CH22" i="14"/>
  <c r="CC22" i="14"/>
  <c r="CB22" i="14"/>
  <c r="BW22" i="14"/>
  <c r="BV22" i="14"/>
  <c r="BQ22" i="14"/>
  <c r="BP22" i="14"/>
  <c r="BK22" i="14"/>
  <c r="BI22" i="14"/>
  <c r="BD22" i="14"/>
  <c r="BB22" i="14"/>
  <c r="AW22" i="14"/>
  <c r="AV22" i="14"/>
  <c r="AQ22" i="14"/>
  <c r="AP22" i="14"/>
  <c r="AE22" i="14"/>
  <c r="AD22" i="14"/>
  <c r="Y22" i="14"/>
  <c r="X22" i="14"/>
  <c r="DG21" i="14"/>
  <c r="DF21" i="14"/>
  <c r="DA21" i="14"/>
  <c r="CZ21" i="14"/>
  <c r="CU21" i="14"/>
  <c r="CT21" i="14"/>
  <c r="CO21" i="14"/>
  <c r="CN21" i="14"/>
  <c r="CI21" i="14"/>
  <c r="CH21" i="14"/>
  <c r="CC21" i="14"/>
  <c r="CB21" i="14"/>
  <c r="BW21" i="14"/>
  <c r="BV21" i="14"/>
  <c r="BQ21" i="14"/>
  <c r="BP21" i="14"/>
  <c r="BK21" i="14"/>
  <c r="BI21" i="14"/>
  <c r="BD21" i="14"/>
  <c r="BB21" i="14"/>
  <c r="AW21" i="14"/>
  <c r="AV21" i="14"/>
  <c r="AQ21" i="14"/>
  <c r="AP21" i="14"/>
  <c r="AE21" i="14"/>
  <c r="AD21" i="14"/>
  <c r="Y21" i="14"/>
  <c r="X21" i="14"/>
  <c r="DG20" i="14"/>
  <c r="DF20" i="14"/>
  <c r="DA20" i="14"/>
  <c r="CZ20" i="14"/>
  <c r="CU20" i="14"/>
  <c r="CT20" i="14"/>
  <c r="CO20" i="14"/>
  <c r="CN20" i="14"/>
  <c r="CI20" i="14"/>
  <c r="CH20" i="14"/>
  <c r="CC20" i="14"/>
  <c r="CB20" i="14"/>
  <c r="BW20" i="14"/>
  <c r="BV20" i="14"/>
  <c r="BQ20" i="14"/>
  <c r="BP20" i="14"/>
  <c r="BK20" i="14"/>
  <c r="BI20" i="14"/>
  <c r="BD20" i="14"/>
  <c r="BB20" i="14"/>
  <c r="AW20" i="14"/>
  <c r="AV20" i="14"/>
  <c r="AQ20" i="14"/>
  <c r="AP20" i="14"/>
  <c r="AE20" i="14"/>
  <c r="AD20" i="14"/>
  <c r="Y20" i="14"/>
  <c r="X20" i="14"/>
  <c r="DG19" i="14"/>
  <c r="DF19" i="14"/>
  <c r="DA19" i="14"/>
  <c r="CZ19" i="14"/>
  <c r="CU19" i="14"/>
  <c r="CT19" i="14"/>
  <c r="CO19" i="14"/>
  <c r="CN19" i="14"/>
  <c r="CI19" i="14"/>
  <c r="CH19" i="14"/>
  <c r="CC19" i="14"/>
  <c r="CB19" i="14"/>
  <c r="BW19" i="14"/>
  <c r="BV19" i="14"/>
  <c r="BQ19" i="14"/>
  <c r="BP19" i="14"/>
  <c r="BK19" i="14"/>
  <c r="BI19" i="14"/>
  <c r="BD19" i="14"/>
  <c r="BB19" i="14"/>
  <c r="AW19" i="14"/>
  <c r="AV19" i="14"/>
  <c r="AQ19" i="14"/>
  <c r="AP19" i="14"/>
  <c r="AE19" i="14"/>
  <c r="AD19" i="14"/>
  <c r="Y19" i="14"/>
  <c r="X19" i="14"/>
  <c r="DG18" i="14"/>
  <c r="DF18" i="14"/>
  <c r="DA18" i="14"/>
  <c r="CZ18" i="14"/>
  <c r="CU18" i="14"/>
  <c r="CT18" i="14"/>
  <c r="CO18" i="14"/>
  <c r="CN18" i="14"/>
  <c r="CI18" i="14"/>
  <c r="CH18" i="14"/>
  <c r="CC18" i="14"/>
  <c r="CB18" i="14"/>
  <c r="BW18" i="14"/>
  <c r="BV18" i="14"/>
  <c r="BQ18" i="14"/>
  <c r="BP18" i="14"/>
  <c r="BK18" i="14"/>
  <c r="BI18" i="14"/>
  <c r="BD18" i="14"/>
  <c r="BB18" i="14"/>
  <c r="AW18" i="14"/>
  <c r="AV18" i="14"/>
  <c r="AQ18" i="14"/>
  <c r="AP18" i="14"/>
  <c r="AE18" i="14"/>
  <c r="AD18" i="14"/>
  <c r="Y18" i="14"/>
  <c r="X18" i="14"/>
  <c r="DG17" i="14"/>
  <c r="DF17" i="14"/>
  <c r="DA17" i="14"/>
  <c r="CZ17" i="14"/>
  <c r="CU17" i="14"/>
  <c r="CT17" i="14"/>
  <c r="CO17" i="14"/>
  <c r="CN17" i="14"/>
  <c r="CI17" i="14"/>
  <c r="CH17" i="14"/>
  <c r="CC17" i="14"/>
  <c r="CB17" i="14"/>
  <c r="BW17" i="14"/>
  <c r="BV17" i="14"/>
  <c r="BQ17" i="14"/>
  <c r="BP17" i="14"/>
  <c r="BK17" i="14"/>
  <c r="BI17" i="14"/>
  <c r="BD17" i="14"/>
  <c r="BB17" i="14"/>
  <c r="AW17" i="14"/>
  <c r="AV17" i="14"/>
  <c r="AQ17" i="14"/>
  <c r="AP17" i="14"/>
  <c r="AE17" i="14"/>
  <c r="AD17" i="14"/>
  <c r="Y17" i="14"/>
  <c r="X17" i="14"/>
  <c r="DG16" i="14"/>
  <c r="DF16" i="14"/>
  <c r="DA16" i="14"/>
  <c r="CZ16" i="14"/>
  <c r="CU16" i="14"/>
  <c r="CT16" i="14"/>
  <c r="CO16" i="14"/>
  <c r="CN16" i="14"/>
  <c r="CI16" i="14"/>
  <c r="CH16" i="14"/>
  <c r="CC16" i="14"/>
  <c r="CB16" i="14"/>
  <c r="BW16" i="14"/>
  <c r="BV16" i="14"/>
  <c r="BQ16" i="14"/>
  <c r="BP16" i="14"/>
  <c r="BK16" i="14"/>
  <c r="BI16" i="14"/>
  <c r="BD16" i="14"/>
  <c r="BB16" i="14"/>
  <c r="AW16" i="14"/>
  <c r="AV16" i="14"/>
  <c r="AQ16" i="14"/>
  <c r="AP16" i="14"/>
  <c r="AE16" i="14"/>
  <c r="AD16" i="14"/>
  <c r="Y16" i="14"/>
  <c r="X16" i="14"/>
  <c r="DG15" i="14"/>
  <c r="DF15" i="14"/>
  <c r="DA15" i="14"/>
  <c r="CZ15" i="14"/>
  <c r="CU15" i="14"/>
  <c r="CT15" i="14"/>
  <c r="CO15" i="14"/>
  <c r="CN15" i="14"/>
  <c r="CI15" i="14"/>
  <c r="CH15" i="14"/>
  <c r="CC15" i="14"/>
  <c r="CB15" i="14"/>
  <c r="BW15" i="14"/>
  <c r="BV15" i="14"/>
  <c r="BQ15" i="14"/>
  <c r="BP15" i="14"/>
  <c r="BK15" i="14"/>
  <c r="BI15" i="14"/>
  <c r="BD15" i="14"/>
  <c r="BB15" i="14"/>
  <c r="AW15" i="14"/>
  <c r="AV15" i="14"/>
  <c r="AQ15" i="14"/>
  <c r="AP15" i="14"/>
  <c r="AE15" i="14"/>
  <c r="AD15" i="14"/>
  <c r="Y15" i="14"/>
  <c r="X15" i="14"/>
  <c r="DG14" i="14"/>
  <c r="DF14" i="14"/>
  <c r="DA14" i="14"/>
  <c r="CZ14" i="14"/>
  <c r="CU14" i="14"/>
  <c r="CT14" i="14"/>
  <c r="CO14" i="14"/>
  <c r="CN14" i="14"/>
  <c r="CI14" i="14"/>
  <c r="CH14" i="14"/>
  <c r="CC14" i="14"/>
  <c r="CB14" i="14"/>
  <c r="BW14" i="14"/>
  <c r="BV14" i="14"/>
  <c r="BQ14" i="14"/>
  <c r="BP14" i="14"/>
  <c r="BK14" i="14"/>
  <c r="BI14" i="14"/>
  <c r="BD14" i="14"/>
  <c r="BB14" i="14"/>
  <c r="AW14" i="14"/>
  <c r="AV14" i="14"/>
  <c r="AQ14" i="14"/>
  <c r="AP14" i="14"/>
  <c r="AE14" i="14"/>
  <c r="AD14" i="14"/>
  <c r="Y14" i="14"/>
  <c r="X14" i="14"/>
  <c r="DG13" i="14"/>
  <c r="DF13" i="14"/>
  <c r="DA13" i="14"/>
  <c r="CZ13" i="14"/>
  <c r="CU13" i="14"/>
  <c r="CT13" i="14"/>
  <c r="CO13" i="14"/>
  <c r="CN13" i="14"/>
  <c r="CI13" i="14"/>
  <c r="CH13" i="14"/>
  <c r="CC13" i="14"/>
  <c r="CB13" i="14"/>
  <c r="BW13" i="14"/>
  <c r="BV13" i="14"/>
  <c r="BQ13" i="14"/>
  <c r="BP13" i="14"/>
  <c r="BK13" i="14"/>
  <c r="BI13" i="14"/>
  <c r="BD13" i="14"/>
  <c r="BB13" i="14"/>
  <c r="AW13" i="14"/>
  <c r="AV13" i="14"/>
  <c r="AQ13" i="14"/>
  <c r="AP13" i="14"/>
  <c r="AE13" i="14"/>
  <c r="AD13" i="14"/>
  <c r="Y13" i="14"/>
  <c r="X13" i="14"/>
  <c r="DG12" i="14"/>
  <c r="DF12" i="14"/>
  <c r="DA12" i="14"/>
  <c r="CZ12" i="14"/>
  <c r="CU12" i="14"/>
  <c r="CT12" i="14"/>
  <c r="CO12" i="14"/>
  <c r="CN12" i="14"/>
  <c r="CI12" i="14"/>
  <c r="CH12" i="14"/>
  <c r="CC12" i="14"/>
  <c r="CB12" i="14"/>
  <c r="BW12" i="14"/>
  <c r="BV12" i="14"/>
  <c r="BQ12" i="14"/>
  <c r="BP12" i="14"/>
  <c r="BK12" i="14"/>
  <c r="BI12" i="14"/>
  <c r="BD12" i="14"/>
  <c r="BB12" i="14"/>
  <c r="AW12" i="14"/>
  <c r="AV12" i="14"/>
  <c r="AQ12" i="14"/>
  <c r="AP12" i="14"/>
  <c r="AE12" i="14"/>
  <c r="AD12" i="14"/>
  <c r="Y12" i="14"/>
  <c r="X12" i="14"/>
  <c r="DG11" i="14"/>
  <c r="DF11" i="14"/>
  <c r="DA11" i="14"/>
  <c r="CZ11" i="14"/>
  <c r="CU11" i="14"/>
  <c r="CT11" i="14"/>
  <c r="CO11" i="14"/>
  <c r="CN11" i="14"/>
  <c r="CI11" i="14"/>
  <c r="CH11" i="14"/>
  <c r="CC11" i="14"/>
  <c r="CB11" i="14"/>
  <c r="BW11" i="14"/>
  <c r="BV11" i="14"/>
  <c r="BQ11" i="14"/>
  <c r="BP11" i="14"/>
  <c r="BK11" i="14"/>
  <c r="BI11" i="14"/>
  <c r="BD11" i="14"/>
  <c r="BB11" i="14"/>
  <c r="AW11" i="14"/>
  <c r="AV11" i="14"/>
  <c r="AQ11" i="14"/>
  <c r="AP11" i="14"/>
  <c r="AE11" i="14"/>
  <c r="AD11" i="14"/>
  <c r="Y11" i="14"/>
  <c r="X11" i="14"/>
  <c r="DG10" i="14"/>
  <c r="DF10" i="14"/>
  <c r="DA10" i="14"/>
  <c r="CZ10" i="14"/>
  <c r="CU10" i="14"/>
  <c r="CT10" i="14"/>
  <c r="CO10" i="14"/>
  <c r="CN10" i="14"/>
  <c r="CI10" i="14"/>
  <c r="CH10" i="14"/>
  <c r="CC10" i="14"/>
  <c r="CB10" i="14"/>
  <c r="BW10" i="14"/>
  <c r="BV10" i="14"/>
  <c r="BQ10" i="14"/>
  <c r="BP10" i="14"/>
  <c r="BK10" i="14"/>
  <c r="BI10" i="14"/>
  <c r="BD10" i="14"/>
  <c r="BB10" i="14"/>
  <c r="AW10" i="14"/>
  <c r="AV10" i="14"/>
  <c r="AQ10" i="14"/>
  <c r="AP10" i="14"/>
  <c r="AE10" i="14"/>
  <c r="AD10" i="14"/>
  <c r="Y10" i="14"/>
  <c r="X10" i="14"/>
  <c r="DK7" i="14"/>
  <c r="DH9" i="14"/>
  <c r="DG9" i="14"/>
  <c r="DF9" i="14"/>
  <c r="DA9" i="14"/>
  <c r="CZ9" i="14"/>
  <c r="CU9" i="14"/>
  <c r="CT9" i="14"/>
  <c r="CO9" i="14"/>
  <c r="CN9" i="14"/>
  <c r="CI9" i="14"/>
  <c r="CH9" i="14"/>
  <c r="CC9" i="14"/>
  <c r="CB9" i="14"/>
  <c r="BW9" i="14"/>
  <c r="BV9" i="14"/>
  <c r="BQ9" i="14"/>
  <c r="BP9" i="14"/>
  <c r="BK9" i="14"/>
  <c r="BI9" i="14"/>
  <c r="BD9" i="14"/>
  <c r="BB9" i="14"/>
  <c r="AW9" i="14"/>
  <c r="AV9" i="14"/>
  <c r="AQ9" i="14"/>
  <c r="AP9" i="14"/>
  <c r="AI9" i="14"/>
  <c r="AH9" i="14"/>
  <c r="AG9" i="14"/>
  <c r="AF9" i="14"/>
  <c r="AF7" i="14" s="1"/>
  <c r="AE9" i="14"/>
  <c r="AD9" i="14"/>
  <c r="Y9" i="14"/>
  <c r="X9" i="14"/>
  <c r="S9" i="14"/>
  <c r="S7" i="14" s="1"/>
  <c r="R9" i="14"/>
  <c r="R7" i="14" s="1"/>
  <c r="DM153" i="13"/>
  <c r="DK153" i="13"/>
  <c r="DJ153" i="13"/>
  <c r="DI153" i="13"/>
  <c r="DH153" i="13"/>
  <c r="DC153" i="13"/>
  <c r="DB153" i="13"/>
  <c r="CW153" i="13"/>
  <c r="CV153" i="13"/>
  <c r="CQ153" i="13"/>
  <c r="CP153" i="13"/>
  <c r="CK153" i="13"/>
  <c r="CJ153" i="13"/>
  <c r="CE153" i="13"/>
  <c r="CD153" i="13"/>
  <c r="BY153" i="13"/>
  <c r="BW153" i="13"/>
  <c r="BR153" i="13"/>
  <c r="BP153" i="13"/>
  <c r="BK153" i="13"/>
  <c r="BI153" i="13"/>
  <c r="BD153" i="13"/>
  <c r="BB153" i="13"/>
  <c r="AW153" i="13"/>
  <c r="AV153" i="13"/>
  <c r="AQ153" i="13"/>
  <c r="AP153" i="13"/>
  <c r="AI153" i="13"/>
  <c r="AH153" i="13"/>
  <c r="AG153" i="13"/>
  <c r="AF153" i="13"/>
  <c r="AE153" i="13"/>
  <c r="AD153" i="13"/>
  <c r="Y153" i="13"/>
  <c r="X153" i="13"/>
  <c r="DM152" i="13"/>
  <c r="DK152" i="13"/>
  <c r="DJ152" i="13"/>
  <c r="DI152" i="13"/>
  <c r="DH152" i="13"/>
  <c r="DC152" i="13"/>
  <c r="DB152" i="13"/>
  <c r="CW152" i="13"/>
  <c r="CV152" i="13"/>
  <c r="CQ152" i="13"/>
  <c r="CP152" i="13"/>
  <c r="CK152" i="13"/>
  <c r="CJ152" i="13"/>
  <c r="CE152" i="13"/>
  <c r="CD152" i="13"/>
  <c r="BY152" i="13"/>
  <c r="BW152" i="13"/>
  <c r="BR152" i="13"/>
  <c r="BP152" i="13"/>
  <c r="BK152" i="13"/>
  <c r="BI152" i="13"/>
  <c r="BD152" i="13"/>
  <c r="BB152" i="13"/>
  <c r="AW152" i="13"/>
  <c r="AV152" i="13"/>
  <c r="AQ152" i="13"/>
  <c r="AP152" i="13"/>
  <c r="AI152" i="13"/>
  <c r="AH152" i="13"/>
  <c r="AG152" i="13"/>
  <c r="AF152" i="13"/>
  <c r="AE152" i="13"/>
  <c r="AD152" i="13"/>
  <c r="Y152" i="13"/>
  <c r="X152" i="13"/>
  <c r="DM151" i="13"/>
  <c r="DK151" i="13"/>
  <c r="DJ151" i="13"/>
  <c r="DI151" i="13"/>
  <c r="DH151" i="13"/>
  <c r="DC151" i="13"/>
  <c r="DB151" i="13"/>
  <c r="CW151" i="13"/>
  <c r="CV151" i="13"/>
  <c r="CQ151" i="13"/>
  <c r="CP151" i="13"/>
  <c r="CK151" i="13"/>
  <c r="CJ151" i="13"/>
  <c r="CE151" i="13"/>
  <c r="CD151" i="13"/>
  <c r="BY151" i="13"/>
  <c r="BW151" i="13"/>
  <c r="BR151" i="13"/>
  <c r="BP151" i="13"/>
  <c r="BK151" i="13"/>
  <c r="BI151" i="13"/>
  <c r="BD151" i="13"/>
  <c r="BB151" i="13"/>
  <c r="AW151" i="13"/>
  <c r="AV151" i="13"/>
  <c r="AQ151" i="13"/>
  <c r="AP151" i="13"/>
  <c r="AI151" i="13"/>
  <c r="AH151" i="13"/>
  <c r="AG151" i="13"/>
  <c r="AF151" i="13"/>
  <c r="AE151" i="13"/>
  <c r="AD151" i="13"/>
  <c r="Y151" i="13"/>
  <c r="X151" i="13"/>
  <c r="DM150" i="13"/>
  <c r="DK150" i="13"/>
  <c r="DJ150" i="13"/>
  <c r="DI150" i="13"/>
  <c r="DH150" i="13"/>
  <c r="DC150" i="13"/>
  <c r="DB150" i="13"/>
  <c r="CW150" i="13"/>
  <c r="CV150" i="13"/>
  <c r="CQ150" i="13"/>
  <c r="CP150" i="13"/>
  <c r="CK150" i="13"/>
  <c r="CJ150" i="13"/>
  <c r="CE150" i="13"/>
  <c r="CD150" i="13"/>
  <c r="BY150" i="13"/>
  <c r="BW150" i="13"/>
  <c r="BR150" i="13"/>
  <c r="BP150" i="13"/>
  <c r="BK150" i="13"/>
  <c r="BI150" i="13"/>
  <c r="BD150" i="13"/>
  <c r="BB150" i="13"/>
  <c r="AW150" i="13"/>
  <c r="AV150" i="13"/>
  <c r="AQ150" i="13"/>
  <c r="AP150" i="13"/>
  <c r="AI150" i="13"/>
  <c r="AH150" i="13"/>
  <c r="AG150" i="13"/>
  <c r="AF150" i="13"/>
  <c r="AE150" i="13"/>
  <c r="AD150" i="13"/>
  <c r="Y150" i="13"/>
  <c r="X150" i="13"/>
  <c r="DM149" i="13"/>
  <c r="DK149" i="13"/>
  <c r="DJ149" i="13"/>
  <c r="DI149" i="13"/>
  <c r="DH149" i="13"/>
  <c r="DC149" i="13"/>
  <c r="DB149" i="13"/>
  <c r="CW149" i="13"/>
  <c r="CV149" i="13"/>
  <c r="CQ149" i="13"/>
  <c r="CP149" i="13"/>
  <c r="CK149" i="13"/>
  <c r="CJ149" i="13"/>
  <c r="CE149" i="13"/>
  <c r="CD149" i="13"/>
  <c r="BY149" i="13"/>
  <c r="BW149" i="13"/>
  <c r="BR149" i="13"/>
  <c r="BP149" i="13"/>
  <c r="BK149" i="13"/>
  <c r="BI149" i="13"/>
  <c r="BD149" i="13"/>
  <c r="BB149" i="13"/>
  <c r="AW149" i="13"/>
  <c r="AV149" i="13"/>
  <c r="AQ149" i="13"/>
  <c r="AP149" i="13"/>
  <c r="AI149" i="13"/>
  <c r="AH149" i="13"/>
  <c r="AG149" i="13"/>
  <c r="AF149" i="13"/>
  <c r="AE149" i="13"/>
  <c r="AD149" i="13"/>
  <c r="Y149" i="13"/>
  <c r="X149" i="13"/>
  <c r="DM148" i="13"/>
  <c r="DK148" i="13"/>
  <c r="DJ148" i="13"/>
  <c r="DI148" i="13"/>
  <c r="DH148" i="13"/>
  <c r="DC148" i="13"/>
  <c r="DB148" i="13"/>
  <c r="CW148" i="13"/>
  <c r="CV148" i="13"/>
  <c r="CQ148" i="13"/>
  <c r="CP148" i="13"/>
  <c r="CK148" i="13"/>
  <c r="CJ148" i="13"/>
  <c r="CE148" i="13"/>
  <c r="CD148" i="13"/>
  <c r="BY148" i="13"/>
  <c r="BW148" i="13"/>
  <c r="BR148" i="13"/>
  <c r="BP148" i="13"/>
  <c r="BK148" i="13"/>
  <c r="BI148" i="13"/>
  <c r="BD148" i="13"/>
  <c r="BB148" i="13"/>
  <c r="AW148" i="13"/>
  <c r="AV148" i="13"/>
  <c r="AQ148" i="13"/>
  <c r="AP148" i="13"/>
  <c r="AI148" i="13"/>
  <c r="AH148" i="13"/>
  <c r="AG148" i="13"/>
  <c r="AF148" i="13"/>
  <c r="AE148" i="13"/>
  <c r="AD148" i="13"/>
  <c r="Y148" i="13"/>
  <c r="X148" i="13"/>
  <c r="DM147" i="13"/>
  <c r="DK147" i="13"/>
  <c r="DJ147" i="13"/>
  <c r="DI147" i="13"/>
  <c r="DH147" i="13"/>
  <c r="DC147" i="13"/>
  <c r="DB147" i="13"/>
  <c r="CW147" i="13"/>
  <c r="CV147" i="13"/>
  <c r="CQ147" i="13"/>
  <c r="CP147" i="13"/>
  <c r="CK147" i="13"/>
  <c r="CJ147" i="13"/>
  <c r="CE147" i="13"/>
  <c r="CD147" i="13"/>
  <c r="BY147" i="13"/>
  <c r="BW147" i="13"/>
  <c r="BR147" i="13"/>
  <c r="BP147" i="13"/>
  <c r="BK147" i="13"/>
  <c r="BI147" i="13"/>
  <c r="BD147" i="13"/>
  <c r="BB147" i="13"/>
  <c r="AW147" i="13"/>
  <c r="AV147" i="13"/>
  <c r="AQ147" i="13"/>
  <c r="AP147" i="13"/>
  <c r="AI147" i="13"/>
  <c r="AH147" i="13"/>
  <c r="AG147" i="13"/>
  <c r="AF147" i="13"/>
  <c r="AE147" i="13"/>
  <c r="AD147" i="13"/>
  <c r="Y147" i="13"/>
  <c r="X147" i="13"/>
  <c r="DM146" i="13"/>
  <c r="DK146" i="13"/>
  <c r="DJ146" i="13"/>
  <c r="DI146" i="13"/>
  <c r="DH146" i="13"/>
  <c r="DC146" i="13"/>
  <c r="DB146" i="13"/>
  <c r="CW146" i="13"/>
  <c r="CV146" i="13"/>
  <c r="CQ146" i="13"/>
  <c r="CP146" i="13"/>
  <c r="CK146" i="13"/>
  <c r="CJ146" i="13"/>
  <c r="CE146" i="13"/>
  <c r="CD146" i="13"/>
  <c r="BY146" i="13"/>
  <c r="BW146" i="13"/>
  <c r="BR146" i="13"/>
  <c r="BP146" i="13"/>
  <c r="BK146" i="13"/>
  <c r="BI146" i="13"/>
  <c r="BD146" i="13"/>
  <c r="BB146" i="13"/>
  <c r="AW146" i="13"/>
  <c r="AV146" i="13"/>
  <c r="AQ146" i="13"/>
  <c r="AP146" i="13"/>
  <c r="AI146" i="13"/>
  <c r="AH146" i="13"/>
  <c r="AG146" i="13"/>
  <c r="AF146" i="13"/>
  <c r="AE146" i="13"/>
  <c r="AD146" i="13"/>
  <c r="Y146" i="13"/>
  <c r="X146" i="13"/>
  <c r="DM145" i="13"/>
  <c r="DK145" i="13"/>
  <c r="DJ145" i="13"/>
  <c r="DI145" i="13"/>
  <c r="DH145" i="13"/>
  <c r="DC145" i="13"/>
  <c r="DB145" i="13"/>
  <c r="CW145" i="13"/>
  <c r="CV145" i="13"/>
  <c r="CQ145" i="13"/>
  <c r="CP145" i="13"/>
  <c r="CK145" i="13"/>
  <c r="CJ145" i="13"/>
  <c r="CE145" i="13"/>
  <c r="CD145" i="13"/>
  <c r="BY145" i="13"/>
  <c r="BW145" i="13"/>
  <c r="BR145" i="13"/>
  <c r="BP145" i="13"/>
  <c r="BK145" i="13"/>
  <c r="BI145" i="13"/>
  <c r="BD145" i="13"/>
  <c r="BB145" i="13"/>
  <c r="AW145" i="13"/>
  <c r="AV145" i="13"/>
  <c r="AQ145" i="13"/>
  <c r="AP145" i="13"/>
  <c r="AI145" i="13"/>
  <c r="AH145" i="13"/>
  <c r="AG145" i="13"/>
  <c r="AF145" i="13"/>
  <c r="AE145" i="13"/>
  <c r="AD145" i="13"/>
  <c r="Y145" i="13"/>
  <c r="X145" i="13"/>
  <c r="DM144" i="13"/>
  <c r="DK144" i="13"/>
  <c r="DJ144" i="13"/>
  <c r="DI144" i="13"/>
  <c r="DH144" i="13"/>
  <c r="DC144" i="13"/>
  <c r="DB144" i="13"/>
  <c r="CW144" i="13"/>
  <c r="CV144" i="13"/>
  <c r="CQ144" i="13"/>
  <c r="CP144" i="13"/>
  <c r="CK144" i="13"/>
  <c r="CJ144" i="13"/>
  <c r="CE144" i="13"/>
  <c r="CD144" i="13"/>
  <c r="BY144" i="13"/>
  <c r="BW144" i="13"/>
  <c r="BR144" i="13"/>
  <c r="BP144" i="13"/>
  <c r="BK144" i="13"/>
  <c r="BI144" i="13"/>
  <c r="BD144" i="13"/>
  <c r="BB144" i="13"/>
  <c r="AW144" i="13"/>
  <c r="AV144" i="13"/>
  <c r="AQ144" i="13"/>
  <c r="AP144" i="13"/>
  <c r="AI144" i="13"/>
  <c r="AH144" i="13"/>
  <c r="AG144" i="13"/>
  <c r="AF144" i="13"/>
  <c r="AE144" i="13"/>
  <c r="AD144" i="13"/>
  <c r="Y144" i="13"/>
  <c r="X144" i="13"/>
  <c r="DM143" i="13"/>
  <c r="DK143" i="13"/>
  <c r="DJ143" i="13"/>
  <c r="DI143" i="13"/>
  <c r="DH143" i="13"/>
  <c r="DC143" i="13"/>
  <c r="DB143" i="13"/>
  <c r="CW143" i="13"/>
  <c r="CV143" i="13"/>
  <c r="CQ143" i="13"/>
  <c r="CP143" i="13"/>
  <c r="CK143" i="13"/>
  <c r="CJ143" i="13"/>
  <c r="CE143" i="13"/>
  <c r="CD143" i="13"/>
  <c r="BY143" i="13"/>
  <c r="BW143" i="13"/>
  <c r="BR143" i="13"/>
  <c r="BP143" i="13"/>
  <c r="BK143" i="13"/>
  <c r="BI143" i="13"/>
  <c r="BD143" i="13"/>
  <c r="BB143" i="13"/>
  <c r="AW143" i="13"/>
  <c r="AV143" i="13"/>
  <c r="AQ143" i="13"/>
  <c r="AP143" i="13"/>
  <c r="AI143" i="13"/>
  <c r="AH143" i="13"/>
  <c r="AG143" i="13"/>
  <c r="AF143" i="13"/>
  <c r="AE143" i="13"/>
  <c r="AD143" i="13"/>
  <c r="Y143" i="13"/>
  <c r="X143" i="13"/>
  <c r="DM142" i="13"/>
  <c r="DK142" i="13"/>
  <c r="DJ142" i="13"/>
  <c r="DI142" i="13"/>
  <c r="DH142" i="13"/>
  <c r="DC142" i="13"/>
  <c r="DB142" i="13"/>
  <c r="CW142" i="13"/>
  <c r="CV142" i="13"/>
  <c r="CQ142" i="13"/>
  <c r="CP142" i="13"/>
  <c r="CK142" i="13"/>
  <c r="CJ142" i="13"/>
  <c r="CE142" i="13"/>
  <c r="CD142" i="13"/>
  <c r="BY142" i="13"/>
  <c r="BW142" i="13"/>
  <c r="BR142" i="13"/>
  <c r="BP142" i="13"/>
  <c r="BK142" i="13"/>
  <c r="BI142" i="13"/>
  <c r="BD142" i="13"/>
  <c r="BB142" i="13"/>
  <c r="AW142" i="13"/>
  <c r="AV142" i="13"/>
  <c r="AQ142" i="13"/>
  <c r="AP142" i="13"/>
  <c r="AI142" i="13"/>
  <c r="AH142" i="13"/>
  <c r="AG142" i="13"/>
  <c r="AF142" i="13"/>
  <c r="AE142" i="13"/>
  <c r="AD142" i="13"/>
  <c r="Y142" i="13"/>
  <c r="X142" i="13"/>
  <c r="DM140" i="13"/>
  <c r="DK140" i="13"/>
  <c r="DJ140" i="13"/>
  <c r="DI140" i="13"/>
  <c r="DH140" i="13"/>
  <c r="DC140" i="13"/>
  <c r="DB140" i="13"/>
  <c r="CW140" i="13"/>
  <c r="CV140" i="13"/>
  <c r="CQ140" i="13"/>
  <c r="CP140" i="13"/>
  <c r="CK140" i="13"/>
  <c r="CJ140" i="13"/>
  <c r="CE140" i="13"/>
  <c r="CD140" i="13"/>
  <c r="BY140" i="13"/>
  <c r="BW140" i="13"/>
  <c r="BR140" i="13"/>
  <c r="BP140" i="13"/>
  <c r="BK140" i="13"/>
  <c r="BI140" i="13"/>
  <c r="BD140" i="13"/>
  <c r="BB140" i="13"/>
  <c r="AW140" i="13"/>
  <c r="AV140" i="13"/>
  <c r="AQ140" i="13"/>
  <c r="AP140" i="13"/>
  <c r="AI140" i="13"/>
  <c r="AH140" i="13"/>
  <c r="AG140" i="13"/>
  <c r="AF140" i="13"/>
  <c r="AE140" i="13"/>
  <c r="AD140" i="13"/>
  <c r="Y140" i="13"/>
  <c r="X140" i="13"/>
  <c r="DM139" i="13"/>
  <c r="DK139" i="13"/>
  <c r="DJ139" i="13"/>
  <c r="DI139" i="13"/>
  <c r="DH139" i="13"/>
  <c r="DC139" i="13"/>
  <c r="DB139" i="13"/>
  <c r="CW139" i="13"/>
  <c r="CV139" i="13"/>
  <c r="CQ139" i="13"/>
  <c r="CP139" i="13"/>
  <c r="CK139" i="13"/>
  <c r="CJ139" i="13"/>
  <c r="CE139" i="13"/>
  <c r="CD139" i="13"/>
  <c r="BY139" i="13"/>
  <c r="BW139" i="13"/>
  <c r="BR139" i="13"/>
  <c r="BP139" i="13"/>
  <c r="BK139" i="13"/>
  <c r="BI139" i="13"/>
  <c r="BD139" i="13"/>
  <c r="BB139" i="13"/>
  <c r="AW139" i="13"/>
  <c r="AV139" i="13"/>
  <c r="AQ139" i="13"/>
  <c r="AP139" i="13"/>
  <c r="AI139" i="13"/>
  <c r="AH139" i="13"/>
  <c r="AG139" i="13"/>
  <c r="AF139" i="13"/>
  <c r="AE139" i="13"/>
  <c r="AD139" i="13"/>
  <c r="Y139" i="13"/>
  <c r="X139" i="13"/>
  <c r="DM137" i="13"/>
  <c r="DK137" i="13"/>
  <c r="DJ137" i="13"/>
  <c r="DI137" i="13"/>
  <c r="DH137" i="13"/>
  <c r="DC137" i="13"/>
  <c r="DB137" i="13"/>
  <c r="CW137" i="13"/>
  <c r="CV137" i="13"/>
  <c r="CQ137" i="13"/>
  <c r="CP137" i="13"/>
  <c r="CK137" i="13"/>
  <c r="CJ137" i="13"/>
  <c r="CE137" i="13"/>
  <c r="CD137" i="13"/>
  <c r="BY137" i="13"/>
  <c r="BW137" i="13"/>
  <c r="BR137" i="13"/>
  <c r="BP137" i="13"/>
  <c r="BK137" i="13"/>
  <c r="BI137" i="13"/>
  <c r="BD137" i="13"/>
  <c r="BB137" i="13"/>
  <c r="AW137" i="13"/>
  <c r="AV137" i="13"/>
  <c r="AQ137" i="13"/>
  <c r="AP137" i="13"/>
  <c r="AI137" i="13"/>
  <c r="AH137" i="13"/>
  <c r="AG137" i="13"/>
  <c r="AF137" i="13"/>
  <c r="AE137" i="13"/>
  <c r="AD137" i="13"/>
  <c r="Y137" i="13"/>
  <c r="X137" i="13"/>
  <c r="DM136" i="13"/>
  <c r="DK136" i="13"/>
  <c r="DJ136" i="13"/>
  <c r="DI136" i="13"/>
  <c r="DH136" i="13"/>
  <c r="DC136" i="13"/>
  <c r="DB136" i="13"/>
  <c r="CW136" i="13"/>
  <c r="CV136" i="13"/>
  <c r="CQ136" i="13"/>
  <c r="CP136" i="13"/>
  <c r="CK136" i="13"/>
  <c r="CJ136" i="13"/>
  <c r="CE136" i="13"/>
  <c r="CD136" i="13"/>
  <c r="BY136" i="13"/>
  <c r="BW136" i="13"/>
  <c r="BR136" i="13"/>
  <c r="BP136" i="13"/>
  <c r="BK136" i="13"/>
  <c r="BI136" i="13"/>
  <c r="BD136" i="13"/>
  <c r="BB136" i="13"/>
  <c r="AW136" i="13"/>
  <c r="AV136" i="13"/>
  <c r="AQ136" i="13"/>
  <c r="AP136" i="13"/>
  <c r="AI136" i="13"/>
  <c r="AH136" i="13"/>
  <c r="AG136" i="13"/>
  <c r="AF136" i="13"/>
  <c r="AE136" i="13"/>
  <c r="AD136" i="13"/>
  <c r="Y136" i="13"/>
  <c r="X136" i="13"/>
  <c r="DM135" i="13"/>
  <c r="DK135" i="13"/>
  <c r="DJ135" i="13"/>
  <c r="DI135" i="13"/>
  <c r="DH135" i="13"/>
  <c r="DC135" i="13"/>
  <c r="DB135" i="13"/>
  <c r="CW135" i="13"/>
  <c r="CV135" i="13"/>
  <c r="CQ135" i="13"/>
  <c r="CP135" i="13"/>
  <c r="CK135" i="13"/>
  <c r="CJ135" i="13"/>
  <c r="CE135" i="13"/>
  <c r="CD135" i="13"/>
  <c r="BY135" i="13"/>
  <c r="BW135" i="13"/>
  <c r="BR135" i="13"/>
  <c r="BP135" i="13"/>
  <c r="BK135" i="13"/>
  <c r="BI135" i="13"/>
  <c r="BD135" i="13"/>
  <c r="BB135" i="13"/>
  <c r="AW135" i="13"/>
  <c r="AV135" i="13"/>
  <c r="AQ135" i="13"/>
  <c r="AP135" i="13"/>
  <c r="AI135" i="13"/>
  <c r="AH135" i="13"/>
  <c r="AG135" i="13"/>
  <c r="AF135" i="13"/>
  <c r="AE135" i="13"/>
  <c r="AD135" i="13"/>
  <c r="Y135" i="13"/>
  <c r="X135" i="13"/>
  <c r="DM134" i="13"/>
  <c r="DK134" i="13"/>
  <c r="DJ134" i="13"/>
  <c r="DI134" i="13"/>
  <c r="DH134" i="13"/>
  <c r="DC134" i="13"/>
  <c r="DB134" i="13"/>
  <c r="CW134" i="13"/>
  <c r="CV134" i="13"/>
  <c r="CQ134" i="13"/>
  <c r="CP134" i="13"/>
  <c r="CK134" i="13"/>
  <c r="CJ134" i="13"/>
  <c r="CE134" i="13"/>
  <c r="CD134" i="13"/>
  <c r="BY134" i="13"/>
  <c r="BW134" i="13"/>
  <c r="BR134" i="13"/>
  <c r="BP134" i="13"/>
  <c r="BK134" i="13"/>
  <c r="BI134" i="13"/>
  <c r="BD134" i="13"/>
  <c r="BB134" i="13"/>
  <c r="AW134" i="13"/>
  <c r="AV134" i="13"/>
  <c r="AQ134" i="13"/>
  <c r="AP134" i="13"/>
  <c r="AI134" i="13"/>
  <c r="AH134" i="13"/>
  <c r="AG134" i="13"/>
  <c r="AF134" i="13"/>
  <c r="AE134" i="13"/>
  <c r="AD134" i="13"/>
  <c r="Y134" i="13"/>
  <c r="X134" i="13"/>
  <c r="DM133" i="13"/>
  <c r="DK133" i="13"/>
  <c r="DJ133" i="13"/>
  <c r="DI133" i="13"/>
  <c r="DH133" i="13"/>
  <c r="DC133" i="13"/>
  <c r="DB133" i="13"/>
  <c r="CW133" i="13"/>
  <c r="CV133" i="13"/>
  <c r="CQ133" i="13"/>
  <c r="CP133" i="13"/>
  <c r="CK133" i="13"/>
  <c r="CJ133" i="13"/>
  <c r="CE133" i="13"/>
  <c r="CD133" i="13"/>
  <c r="BY133" i="13"/>
  <c r="BW133" i="13"/>
  <c r="BR133" i="13"/>
  <c r="BP133" i="13"/>
  <c r="BK133" i="13"/>
  <c r="BI133" i="13"/>
  <c r="BD133" i="13"/>
  <c r="BB133" i="13"/>
  <c r="AW133" i="13"/>
  <c r="AV133" i="13"/>
  <c r="AQ133" i="13"/>
  <c r="AP133" i="13"/>
  <c r="AI133" i="13"/>
  <c r="AH133" i="13"/>
  <c r="AG133" i="13"/>
  <c r="AF133" i="13"/>
  <c r="AE133" i="13"/>
  <c r="AD133" i="13"/>
  <c r="Y133" i="13"/>
  <c r="X133" i="13"/>
  <c r="DM132" i="13"/>
  <c r="DK132" i="13"/>
  <c r="DJ132" i="13"/>
  <c r="DI132" i="13"/>
  <c r="DH132" i="13"/>
  <c r="DC132" i="13"/>
  <c r="DB132" i="13"/>
  <c r="CW132" i="13"/>
  <c r="CV132" i="13"/>
  <c r="CQ132" i="13"/>
  <c r="CP132" i="13"/>
  <c r="CK132" i="13"/>
  <c r="CJ132" i="13"/>
  <c r="CE132" i="13"/>
  <c r="CD132" i="13"/>
  <c r="BY132" i="13"/>
  <c r="BW132" i="13"/>
  <c r="BR132" i="13"/>
  <c r="BP132" i="13"/>
  <c r="BI132" i="13"/>
  <c r="BD132" i="13"/>
  <c r="BB132" i="13"/>
  <c r="AW132" i="13"/>
  <c r="AV132" i="13"/>
  <c r="AQ132" i="13"/>
  <c r="AP132" i="13"/>
  <c r="AI132" i="13"/>
  <c r="AH132" i="13"/>
  <c r="AG132" i="13"/>
  <c r="AF132" i="13"/>
  <c r="AE132" i="13"/>
  <c r="AD132" i="13"/>
  <c r="Y132" i="13"/>
  <c r="X132" i="13"/>
  <c r="DM131" i="13"/>
  <c r="DK131" i="13"/>
  <c r="DJ131" i="13"/>
  <c r="DI131" i="13"/>
  <c r="DH131" i="13"/>
  <c r="DC131" i="13"/>
  <c r="DB131" i="13"/>
  <c r="CW131" i="13"/>
  <c r="CV131" i="13"/>
  <c r="CQ131" i="13"/>
  <c r="CP131" i="13"/>
  <c r="CK131" i="13"/>
  <c r="CJ131" i="13"/>
  <c r="CE131" i="13"/>
  <c r="CD131" i="13"/>
  <c r="BY131" i="13"/>
  <c r="BW131" i="13"/>
  <c r="BR131" i="13"/>
  <c r="BP131" i="13"/>
  <c r="BK131" i="13"/>
  <c r="BI131" i="13"/>
  <c r="BD131" i="13"/>
  <c r="BB131" i="13"/>
  <c r="AW131" i="13"/>
  <c r="AV131" i="13"/>
  <c r="AQ131" i="13"/>
  <c r="AP131" i="13"/>
  <c r="AI131" i="13"/>
  <c r="AH131" i="13"/>
  <c r="AG131" i="13"/>
  <c r="AF131" i="13"/>
  <c r="AE131" i="13"/>
  <c r="AD131" i="13"/>
  <c r="Y131" i="13"/>
  <c r="X131" i="13"/>
  <c r="DM130" i="13"/>
  <c r="DK130" i="13"/>
  <c r="DJ130" i="13"/>
  <c r="DI130" i="13"/>
  <c r="DH130" i="13"/>
  <c r="DC130" i="13"/>
  <c r="DB130" i="13"/>
  <c r="CW130" i="13"/>
  <c r="CV130" i="13"/>
  <c r="CQ130" i="13"/>
  <c r="CP130" i="13"/>
  <c r="CK130" i="13"/>
  <c r="CJ130" i="13"/>
  <c r="CE130" i="13"/>
  <c r="CD130" i="13"/>
  <c r="BY130" i="13"/>
  <c r="BW130" i="13"/>
  <c r="BR130" i="13"/>
  <c r="BP130" i="13"/>
  <c r="BK130" i="13"/>
  <c r="BI130" i="13"/>
  <c r="BD130" i="13"/>
  <c r="BB130" i="13"/>
  <c r="AW130" i="13"/>
  <c r="AV130" i="13"/>
  <c r="AQ130" i="13"/>
  <c r="AP130" i="13"/>
  <c r="AI130" i="13"/>
  <c r="AH130" i="13"/>
  <c r="AG130" i="13"/>
  <c r="AF130" i="13"/>
  <c r="AE130" i="13"/>
  <c r="AD130" i="13"/>
  <c r="Y130" i="13"/>
  <c r="X130" i="13"/>
  <c r="DM129" i="13"/>
  <c r="DK129" i="13"/>
  <c r="DJ129" i="13"/>
  <c r="DI129" i="13"/>
  <c r="DH129" i="13"/>
  <c r="DC129" i="13"/>
  <c r="DB129" i="13"/>
  <c r="CW129" i="13"/>
  <c r="CV129" i="13"/>
  <c r="CQ129" i="13"/>
  <c r="CP129" i="13"/>
  <c r="CK129" i="13"/>
  <c r="CJ129" i="13"/>
  <c r="CE129" i="13"/>
  <c r="CD129" i="13"/>
  <c r="BY129" i="13"/>
  <c r="BW129" i="13"/>
  <c r="BR129" i="13"/>
  <c r="BP129" i="13"/>
  <c r="BK129" i="13"/>
  <c r="BI129" i="13"/>
  <c r="BD129" i="13"/>
  <c r="BB129" i="13"/>
  <c r="AW129" i="13"/>
  <c r="AV129" i="13"/>
  <c r="AQ129" i="13"/>
  <c r="AP129" i="13"/>
  <c r="AI129" i="13"/>
  <c r="AH129" i="13"/>
  <c r="AG129" i="13"/>
  <c r="AF129" i="13"/>
  <c r="AE129" i="13"/>
  <c r="AD129" i="13"/>
  <c r="Y129" i="13"/>
  <c r="X129" i="13"/>
  <c r="DM128" i="13"/>
  <c r="DK128" i="13"/>
  <c r="DJ128" i="13"/>
  <c r="DI128" i="13"/>
  <c r="DH128" i="13"/>
  <c r="DC128" i="13"/>
  <c r="DB128" i="13"/>
  <c r="CW128" i="13"/>
  <c r="CV128" i="13"/>
  <c r="CQ128" i="13"/>
  <c r="CP128" i="13"/>
  <c r="CK128" i="13"/>
  <c r="CJ128" i="13"/>
  <c r="CE128" i="13"/>
  <c r="CD128" i="13"/>
  <c r="BY128" i="13"/>
  <c r="BW128" i="13"/>
  <c r="BR128" i="13"/>
  <c r="BP128" i="13"/>
  <c r="BK128" i="13"/>
  <c r="BI128" i="13"/>
  <c r="BD128" i="13"/>
  <c r="BB128" i="13"/>
  <c r="AW128" i="13"/>
  <c r="AV128" i="13"/>
  <c r="AQ128" i="13"/>
  <c r="AP128" i="13"/>
  <c r="AI128" i="13"/>
  <c r="AH128" i="13"/>
  <c r="AG128" i="13"/>
  <c r="AF128" i="13"/>
  <c r="AE128" i="13"/>
  <c r="AD128" i="13"/>
  <c r="Y128" i="13"/>
  <c r="X128" i="13"/>
  <c r="DM127" i="13"/>
  <c r="DK127" i="13"/>
  <c r="DJ127" i="13"/>
  <c r="DI127" i="13"/>
  <c r="DH127" i="13"/>
  <c r="DC127" i="13"/>
  <c r="DB127" i="13"/>
  <c r="CW127" i="13"/>
  <c r="CV127" i="13"/>
  <c r="CQ127" i="13"/>
  <c r="CP127" i="13"/>
  <c r="CK127" i="13"/>
  <c r="CJ127" i="13"/>
  <c r="CE127" i="13"/>
  <c r="CD127" i="13"/>
  <c r="BY127" i="13"/>
  <c r="BW127" i="13"/>
  <c r="BR127" i="13"/>
  <c r="BP127" i="13"/>
  <c r="BK127" i="13"/>
  <c r="BI127" i="13"/>
  <c r="BD127" i="13"/>
  <c r="BB127" i="13"/>
  <c r="AW127" i="13"/>
  <c r="AV127" i="13"/>
  <c r="AQ127" i="13"/>
  <c r="AP127" i="13"/>
  <c r="AI127" i="13"/>
  <c r="AH127" i="13"/>
  <c r="AG127" i="13"/>
  <c r="AF127" i="13"/>
  <c r="AE127" i="13"/>
  <c r="AD127" i="13"/>
  <c r="Y127" i="13"/>
  <c r="X127" i="13"/>
  <c r="DM126" i="13"/>
  <c r="DK126" i="13"/>
  <c r="DJ126" i="13"/>
  <c r="DI126" i="13"/>
  <c r="DH126" i="13"/>
  <c r="DC126" i="13"/>
  <c r="DB126" i="13"/>
  <c r="CW126" i="13"/>
  <c r="CV126" i="13"/>
  <c r="CQ126" i="13"/>
  <c r="CP126" i="13"/>
  <c r="CK126" i="13"/>
  <c r="CJ126" i="13"/>
  <c r="CE126" i="13"/>
  <c r="CD126" i="13"/>
  <c r="BY126" i="13"/>
  <c r="BW126" i="13"/>
  <c r="BR126" i="13"/>
  <c r="BP126" i="13"/>
  <c r="BK126" i="13"/>
  <c r="BI126" i="13"/>
  <c r="BD126" i="13"/>
  <c r="BB126" i="13"/>
  <c r="AW126" i="13"/>
  <c r="AV126" i="13"/>
  <c r="AQ126" i="13"/>
  <c r="AP126" i="13"/>
  <c r="AI126" i="13"/>
  <c r="AH126" i="13"/>
  <c r="AG126" i="13"/>
  <c r="AF126" i="13"/>
  <c r="AE126" i="13"/>
  <c r="AD126" i="13"/>
  <c r="Y126" i="13"/>
  <c r="X126" i="13"/>
  <c r="DM125" i="13"/>
  <c r="DK125" i="13"/>
  <c r="DJ125" i="13"/>
  <c r="DI125" i="13"/>
  <c r="DH125" i="13"/>
  <c r="DC125" i="13"/>
  <c r="DB125" i="13"/>
  <c r="CW125" i="13"/>
  <c r="CV125" i="13"/>
  <c r="CQ125" i="13"/>
  <c r="CP125" i="13"/>
  <c r="CK125" i="13"/>
  <c r="CJ125" i="13"/>
  <c r="CE125" i="13"/>
  <c r="CD125" i="13"/>
  <c r="BY125" i="13"/>
  <c r="BW125" i="13"/>
  <c r="BR125" i="13"/>
  <c r="BP125" i="13"/>
  <c r="BK125" i="13"/>
  <c r="BI125" i="13"/>
  <c r="BD125" i="13"/>
  <c r="BB125" i="13"/>
  <c r="AW125" i="13"/>
  <c r="AV125" i="13"/>
  <c r="AQ125" i="13"/>
  <c r="AP125" i="13"/>
  <c r="AI125" i="13"/>
  <c r="AH125" i="13"/>
  <c r="AG125" i="13"/>
  <c r="AF125" i="13"/>
  <c r="AE125" i="13"/>
  <c r="AD125" i="13"/>
  <c r="Y125" i="13"/>
  <c r="X125" i="13"/>
  <c r="DM124" i="13"/>
  <c r="DK124" i="13"/>
  <c r="DJ124" i="13"/>
  <c r="DI124" i="13"/>
  <c r="DH124" i="13"/>
  <c r="DC124" i="13"/>
  <c r="DB124" i="13"/>
  <c r="CW124" i="13"/>
  <c r="CV124" i="13"/>
  <c r="CQ124" i="13"/>
  <c r="CP124" i="13"/>
  <c r="CK124" i="13"/>
  <c r="CJ124" i="13"/>
  <c r="CE124" i="13"/>
  <c r="CD124" i="13"/>
  <c r="BY124" i="13"/>
  <c r="BW124" i="13"/>
  <c r="BR124" i="13"/>
  <c r="BP124" i="13"/>
  <c r="BK124" i="13"/>
  <c r="BI124" i="13"/>
  <c r="BD124" i="13"/>
  <c r="BB124" i="13"/>
  <c r="AW124" i="13"/>
  <c r="AV124" i="13"/>
  <c r="AQ124" i="13"/>
  <c r="AP124" i="13"/>
  <c r="AI124" i="13"/>
  <c r="AH124" i="13"/>
  <c r="AG124" i="13"/>
  <c r="AF124" i="13"/>
  <c r="AE124" i="13"/>
  <c r="AD124" i="13"/>
  <c r="Y124" i="13"/>
  <c r="X124" i="13"/>
  <c r="DM123" i="13"/>
  <c r="DK123" i="13"/>
  <c r="DJ123" i="13"/>
  <c r="DI123" i="13"/>
  <c r="DH123" i="13"/>
  <c r="DC123" i="13"/>
  <c r="DB123" i="13"/>
  <c r="CW123" i="13"/>
  <c r="CV123" i="13"/>
  <c r="CQ123" i="13"/>
  <c r="CP123" i="13"/>
  <c r="CK123" i="13"/>
  <c r="CJ123" i="13"/>
  <c r="CE123" i="13"/>
  <c r="CD123" i="13"/>
  <c r="BY123" i="13"/>
  <c r="BW123" i="13"/>
  <c r="BR123" i="13"/>
  <c r="BP123" i="13"/>
  <c r="BK123" i="13"/>
  <c r="BI123" i="13"/>
  <c r="BD123" i="13"/>
  <c r="BB123" i="13"/>
  <c r="AW123" i="13"/>
  <c r="AV123" i="13"/>
  <c r="AQ123" i="13"/>
  <c r="AP123" i="13"/>
  <c r="AI123" i="13"/>
  <c r="AH123" i="13"/>
  <c r="AG123" i="13"/>
  <c r="AF123" i="13"/>
  <c r="AE123" i="13"/>
  <c r="AD123" i="13"/>
  <c r="Y123" i="13"/>
  <c r="X123" i="13"/>
  <c r="DM122" i="13"/>
  <c r="DK122" i="13"/>
  <c r="DJ122" i="13"/>
  <c r="DI122" i="13"/>
  <c r="DH122" i="13"/>
  <c r="DC122" i="13"/>
  <c r="DB122" i="13"/>
  <c r="CW122" i="13"/>
  <c r="CV122" i="13"/>
  <c r="CQ122" i="13"/>
  <c r="CP122" i="13"/>
  <c r="CK122" i="13"/>
  <c r="CJ122" i="13"/>
  <c r="CE122" i="13"/>
  <c r="CD122" i="13"/>
  <c r="BY122" i="13"/>
  <c r="BW122" i="13"/>
  <c r="BR122" i="13"/>
  <c r="BP122" i="13"/>
  <c r="BK122" i="13"/>
  <c r="BI122" i="13"/>
  <c r="BD122" i="13"/>
  <c r="BB122" i="13"/>
  <c r="AW122" i="13"/>
  <c r="AV122" i="13"/>
  <c r="AQ122" i="13"/>
  <c r="AP122" i="13"/>
  <c r="AI122" i="13"/>
  <c r="AH122" i="13"/>
  <c r="AG122" i="13"/>
  <c r="AF122" i="13"/>
  <c r="AE122" i="13"/>
  <c r="AD122" i="13"/>
  <c r="Y122" i="13"/>
  <c r="X122" i="13"/>
  <c r="DM121" i="13"/>
  <c r="DK121" i="13"/>
  <c r="DJ121" i="13"/>
  <c r="DI121" i="13"/>
  <c r="DH121" i="13"/>
  <c r="DC121" i="13"/>
  <c r="DB121" i="13"/>
  <c r="CW121" i="13"/>
  <c r="CV121" i="13"/>
  <c r="CQ121" i="13"/>
  <c r="CP121" i="13"/>
  <c r="CK121" i="13"/>
  <c r="CJ121" i="13"/>
  <c r="CE121" i="13"/>
  <c r="CD121" i="13"/>
  <c r="BY121" i="13"/>
  <c r="BW121" i="13"/>
  <c r="BR121" i="13"/>
  <c r="BP121" i="13"/>
  <c r="BK121" i="13"/>
  <c r="BI121" i="13"/>
  <c r="BD121" i="13"/>
  <c r="BB121" i="13"/>
  <c r="AW121" i="13"/>
  <c r="AV121" i="13"/>
  <c r="AQ121" i="13"/>
  <c r="AP121" i="13"/>
  <c r="AI121" i="13"/>
  <c r="AH121" i="13"/>
  <c r="AG121" i="13"/>
  <c r="AF121" i="13"/>
  <c r="AE121" i="13"/>
  <c r="AD121" i="13"/>
  <c r="Y121" i="13"/>
  <c r="X121" i="13"/>
  <c r="DM119" i="13"/>
  <c r="DK119" i="13"/>
  <c r="DJ119" i="13"/>
  <c r="DI119" i="13"/>
  <c r="DH119" i="13"/>
  <c r="DC119" i="13"/>
  <c r="DB119" i="13"/>
  <c r="CW119" i="13"/>
  <c r="CV119" i="13"/>
  <c r="CQ119" i="13"/>
  <c r="CP119" i="13"/>
  <c r="CK119" i="13"/>
  <c r="CJ119" i="13"/>
  <c r="CE119" i="13"/>
  <c r="CD119" i="13"/>
  <c r="BY119" i="13"/>
  <c r="BW119" i="13"/>
  <c r="BR119" i="13"/>
  <c r="BP119" i="13"/>
  <c r="BK119" i="13"/>
  <c r="BI119" i="13"/>
  <c r="BD119" i="13"/>
  <c r="BB119" i="13"/>
  <c r="AW119" i="13"/>
  <c r="AV119" i="13"/>
  <c r="AI119" i="13"/>
  <c r="AH119" i="13"/>
  <c r="AG119" i="13"/>
  <c r="AF119" i="13"/>
  <c r="AE119" i="13"/>
  <c r="AD119" i="13"/>
  <c r="Y119" i="13"/>
  <c r="X119" i="13"/>
  <c r="DM118" i="13"/>
  <c r="DK118" i="13"/>
  <c r="DJ118" i="13"/>
  <c r="DI118" i="13"/>
  <c r="DH118" i="13"/>
  <c r="DC118" i="13"/>
  <c r="DB118" i="13"/>
  <c r="CW118" i="13"/>
  <c r="CV118" i="13"/>
  <c r="CQ118" i="13"/>
  <c r="CP118" i="13"/>
  <c r="CK118" i="13"/>
  <c r="CJ118" i="13"/>
  <c r="CE118" i="13"/>
  <c r="CD118" i="13"/>
  <c r="BY118" i="13"/>
  <c r="BW118" i="13"/>
  <c r="BR118" i="13"/>
  <c r="BP118" i="13"/>
  <c r="BK118" i="13"/>
  <c r="BI118" i="13"/>
  <c r="BD118" i="13"/>
  <c r="BB118" i="13"/>
  <c r="AW118" i="13"/>
  <c r="AV118" i="13"/>
  <c r="AQ118" i="13"/>
  <c r="AP118" i="13"/>
  <c r="AI118" i="13"/>
  <c r="AH118" i="13"/>
  <c r="AG118" i="13"/>
  <c r="AF118" i="13"/>
  <c r="AE118" i="13"/>
  <c r="AD118" i="13"/>
  <c r="Y118" i="13"/>
  <c r="X118" i="13"/>
  <c r="DM117" i="13"/>
  <c r="DK117" i="13"/>
  <c r="DJ117" i="13"/>
  <c r="DI117" i="13"/>
  <c r="DH117" i="13"/>
  <c r="DC117" i="13"/>
  <c r="DB117" i="13"/>
  <c r="CW117" i="13"/>
  <c r="CV117" i="13"/>
  <c r="CQ117" i="13"/>
  <c r="CP117" i="13"/>
  <c r="CK117" i="13"/>
  <c r="CJ117" i="13"/>
  <c r="CE117" i="13"/>
  <c r="CD117" i="13"/>
  <c r="BY117" i="13"/>
  <c r="BW117" i="13"/>
  <c r="BR117" i="13"/>
  <c r="BP117" i="13"/>
  <c r="BK117" i="13"/>
  <c r="BI117" i="13"/>
  <c r="BD117" i="13"/>
  <c r="BB117" i="13"/>
  <c r="AW117" i="13"/>
  <c r="AV117" i="13"/>
  <c r="AQ117" i="13"/>
  <c r="AP117" i="13"/>
  <c r="AI117" i="13"/>
  <c r="AH117" i="13"/>
  <c r="AG117" i="13"/>
  <c r="AF117" i="13"/>
  <c r="AE117" i="13"/>
  <c r="AD117" i="13"/>
  <c r="Y117" i="13"/>
  <c r="X117" i="13"/>
  <c r="DM116" i="13"/>
  <c r="DK116" i="13"/>
  <c r="DJ116" i="13"/>
  <c r="DI116" i="13"/>
  <c r="DH116" i="13"/>
  <c r="DC116" i="13"/>
  <c r="DB116" i="13"/>
  <c r="CW116" i="13"/>
  <c r="CV116" i="13"/>
  <c r="CQ116" i="13"/>
  <c r="CP116" i="13"/>
  <c r="CK116" i="13"/>
  <c r="CJ116" i="13"/>
  <c r="CE116" i="13"/>
  <c r="CD116" i="13"/>
  <c r="BY116" i="13"/>
  <c r="BW116" i="13"/>
  <c r="BR116" i="13"/>
  <c r="BP116" i="13"/>
  <c r="BK116" i="13"/>
  <c r="BI116" i="13"/>
  <c r="BD116" i="13"/>
  <c r="BB116" i="13"/>
  <c r="AW116" i="13"/>
  <c r="AV116" i="13"/>
  <c r="AQ116" i="13"/>
  <c r="AP116" i="13"/>
  <c r="AI116" i="13"/>
  <c r="AH116" i="13"/>
  <c r="AG116" i="13"/>
  <c r="AF116" i="13"/>
  <c r="AE116" i="13"/>
  <c r="AD116" i="13"/>
  <c r="Y116" i="13"/>
  <c r="X116" i="13"/>
  <c r="DM115" i="13"/>
  <c r="DK115" i="13"/>
  <c r="DJ115" i="13"/>
  <c r="DI115" i="13"/>
  <c r="DH115" i="13"/>
  <c r="DC115" i="13"/>
  <c r="DB115" i="13"/>
  <c r="CW115" i="13"/>
  <c r="CV115" i="13"/>
  <c r="CQ115" i="13"/>
  <c r="CP115" i="13"/>
  <c r="CK115" i="13"/>
  <c r="CJ115" i="13"/>
  <c r="CE115" i="13"/>
  <c r="CD115" i="13"/>
  <c r="BY115" i="13"/>
  <c r="BW115" i="13"/>
  <c r="BR115" i="13"/>
  <c r="BP115" i="13"/>
  <c r="BK115" i="13"/>
  <c r="BI115" i="13"/>
  <c r="BD115" i="13"/>
  <c r="BB115" i="13"/>
  <c r="AW115" i="13"/>
  <c r="AV115" i="13"/>
  <c r="AQ115" i="13"/>
  <c r="AP115" i="13"/>
  <c r="AI115" i="13"/>
  <c r="AH115" i="13"/>
  <c r="AG115" i="13"/>
  <c r="AF115" i="13"/>
  <c r="AE115" i="13"/>
  <c r="AD115" i="13"/>
  <c r="Y115" i="13"/>
  <c r="X115" i="13"/>
  <c r="DM114" i="13"/>
  <c r="DK114" i="13"/>
  <c r="DJ114" i="13"/>
  <c r="DI114" i="13"/>
  <c r="DH114" i="13"/>
  <c r="DC114" i="13"/>
  <c r="DB114" i="13"/>
  <c r="CW114" i="13"/>
  <c r="CV114" i="13"/>
  <c r="CQ114" i="13"/>
  <c r="CP114" i="13"/>
  <c r="CK114" i="13"/>
  <c r="CJ114" i="13"/>
  <c r="CE114" i="13"/>
  <c r="CD114" i="13"/>
  <c r="BY114" i="13"/>
  <c r="BW114" i="13"/>
  <c r="BR114" i="13"/>
  <c r="BP114" i="13"/>
  <c r="BK114" i="13"/>
  <c r="BI114" i="13"/>
  <c r="BD114" i="13"/>
  <c r="BB114" i="13"/>
  <c r="AW114" i="13"/>
  <c r="AV114" i="13"/>
  <c r="AQ114" i="13"/>
  <c r="AP114" i="13"/>
  <c r="AI114" i="13"/>
  <c r="AH114" i="13"/>
  <c r="AG114" i="13"/>
  <c r="AF114" i="13"/>
  <c r="AE114" i="13"/>
  <c r="AD114" i="13"/>
  <c r="Y114" i="13"/>
  <c r="X114" i="13"/>
  <c r="DM113" i="13"/>
  <c r="DK113" i="13"/>
  <c r="DJ113" i="13"/>
  <c r="DI113" i="13"/>
  <c r="DH113" i="13"/>
  <c r="DC113" i="13"/>
  <c r="DB113" i="13"/>
  <c r="CW113" i="13"/>
  <c r="CV113" i="13"/>
  <c r="CQ113" i="13"/>
  <c r="CP113" i="13"/>
  <c r="CK113" i="13"/>
  <c r="CJ113" i="13"/>
  <c r="CE113" i="13"/>
  <c r="CD113" i="13"/>
  <c r="BY113" i="13"/>
  <c r="BW113" i="13"/>
  <c r="BR113" i="13"/>
  <c r="BP113" i="13"/>
  <c r="BK113" i="13"/>
  <c r="BI113" i="13"/>
  <c r="BD113" i="13"/>
  <c r="BB113" i="13"/>
  <c r="AW113" i="13"/>
  <c r="AV113" i="13"/>
  <c r="AQ113" i="13"/>
  <c r="AP113" i="13"/>
  <c r="AI113" i="13"/>
  <c r="AH113" i="13"/>
  <c r="AG113" i="13"/>
  <c r="AF113" i="13"/>
  <c r="AE113" i="13"/>
  <c r="AD113" i="13"/>
  <c r="Y113" i="13"/>
  <c r="X113" i="13"/>
  <c r="DM112" i="13"/>
  <c r="DK112" i="13"/>
  <c r="DJ112" i="13"/>
  <c r="DI112" i="13"/>
  <c r="DH112" i="13"/>
  <c r="DC112" i="13"/>
  <c r="DB112" i="13"/>
  <c r="CW112" i="13"/>
  <c r="CV112" i="13"/>
  <c r="CQ112" i="13"/>
  <c r="CP112" i="13"/>
  <c r="CK112" i="13"/>
  <c r="CJ112" i="13"/>
  <c r="CE112" i="13"/>
  <c r="CD112" i="13"/>
  <c r="BY112" i="13"/>
  <c r="BW112" i="13"/>
  <c r="BR112" i="13"/>
  <c r="BP112" i="13"/>
  <c r="BK112" i="13"/>
  <c r="BI112" i="13"/>
  <c r="BD112" i="13"/>
  <c r="BB112" i="13"/>
  <c r="AW112" i="13"/>
  <c r="AV112" i="13"/>
  <c r="AQ112" i="13"/>
  <c r="AP112" i="13"/>
  <c r="AI112" i="13"/>
  <c r="AH112" i="13"/>
  <c r="AG112" i="13"/>
  <c r="AF112" i="13"/>
  <c r="AE112" i="13"/>
  <c r="AD112" i="13"/>
  <c r="Y112" i="13"/>
  <c r="X112" i="13"/>
  <c r="DM111" i="13"/>
  <c r="DK111" i="13"/>
  <c r="DJ111" i="13"/>
  <c r="DI111" i="13"/>
  <c r="DH111" i="13"/>
  <c r="DC111" i="13"/>
  <c r="DB111" i="13"/>
  <c r="CW111" i="13"/>
  <c r="CV111" i="13"/>
  <c r="CQ111" i="13"/>
  <c r="CP111" i="13"/>
  <c r="CK111" i="13"/>
  <c r="CJ111" i="13"/>
  <c r="CE111" i="13"/>
  <c r="CD111" i="13"/>
  <c r="BY111" i="13"/>
  <c r="BW111" i="13"/>
  <c r="BR111" i="13"/>
  <c r="BP111" i="13"/>
  <c r="BK111" i="13"/>
  <c r="BI111" i="13"/>
  <c r="BD111" i="13"/>
  <c r="BB111" i="13"/>
  <c r="AW111" i="13"/>
  <c r="AV111" i="13"/>
  <c r="AQ111" i="13"/>
  <c r="AP111" i="13"/>
  <c r="AI111" i="13"/>
  <c r="AH111" i="13"/>
  <c r="AG111" i="13"/>
  <c r="AF111" i="13"/>
  <c r="AE111" i="13"/>
  <c r="AD111" i="13"/>
  <c r="Y111" i="13"/>
  <c r="X111" i="13"/>
  <c r="DM108" i="13"/>
  <c r="DK108" i="13"/>
  <c r="DJ108" i="13"/>
  <c r="DI108" i="13"/>
  <c r="DH108" i="13"/>
  <c r="DC108" i="13"/>
  <c r="DB108" i="13"/>
  <c r="CW108" i="13"/>
  <c r="CV108" i="13"/>
  <c r="CQ108" i="13"/>
  <c r="CP108" i="13"/>
  <c r="CK108" i="13"/>
  <c r="CJ108" i="13"/>
  <c r="CE108" i="13"/>
  <c r="CD108" i="13"/>
  <c r="BY108" i="13"/>
  <c r="BW108" i="13"/>
  <c r="BR108" i="13"/>
  <c r="BP108" i="13"/>
  <c r="BK108" i="13"/>
  <c r="BI108" i="13"/>
  <c r="BD108" i="13"/>
  <c r="BB108" i="13"/>
  <c r="AW108" i="13"/>
  <c r="AV108" i="13"/>
  <c r="AQ108" i="13"/>
  <c r="AP108" i="13"/>
  <c r="AI108" i="13"/>
  <c r="AH108" i="13"/>
  <c r="AG108" i="13"/>
  <c r="AF108" i="13"/>
  <c r="AE108" i="13"/>
  <c r="AD108" i="13"/>
  <c r="Y108" i="13"/>
  <c r="X108" i="13"/>
  <c r="DM107" i="13"/>
  <c r="DK107" i="13"/>
  <c r="DJ107" i="13"/>
  <c r="DI107" i="13"/>
  <c r="DH107" i="13"/>
  <c r="DC107" i="13"/>
  <c r="DB107" i="13"/>
  <c r="CW107" i="13"/>
  <c r="CV107" i="13"/>
  <c r="CQ107" i="13"/>
  <c r="CP107" i="13"/>
  <c r="CK107" i="13"/>
  <c r="CJ107" i="13"/>
  <c r="CE107" i="13"/>
  <c r="CD107" i="13"/>
  <c r="BY107" i="13"/>
  <c r="BW107" i="13"/>
  <c r="BR107" i="13"/>
  <c r="BP107" i="13"/>
  <c r="BK107" i="13"/>
  <c r="BI107" i="13"/>
  <c r="BD107" i="13"/>
  <c r="BB107" i="13"/>
  <c r="AW107" i="13"/>
  <c r="AV107" i="13"/>
  <c r="AQ107" i="13"/>
  <c r="AP107" i="13"/>
  <c r="AI107" i="13"/>
  <c r="AH107" i="13"/>
  <c r="AG107" i="13"/>
  <c r="AF107" i="13"/>
  <c r="AE107" i="13"/>
  <c r="AD107" i="13"/>
  <c r="Y107" i="13"/>
  <c r="X107" i="13"/>
  <c r="DM106" i="13"/>
  <c r="DK106" i="13"/>
  <c r="DJ106" i="13"/>
  <c r="DI106" i="13"/>
  <c r="DH106" i="13"/>
  <c r="DC106" i="13"/>
  <c r="DB106" i="13"/>
  <c r="CW106" i="13"/>
  <c r="CV106" i="13"/>
  <c r="CQ106" i="13"/>
  <c r="CP106" i="13"/>
  <c r="CK106" i="13"/>
  <c r="CJ106" i="13"/>
  <c r="CE106" i="13"/>
  <c r="CD106" i="13"/>
  <c r="BY106" i="13"/>
  <c r="BW106" i="13"/>
  <c r="BR106" i="13"/>
  <c r="BP106" i="13"/>
  <c r="BK106" i="13"/>
  <c r="BI106" i="13"/>
  <c r="BD106" i="13"/>
  <c r="BB106" i="13"/>
  <c r="AW106" i="13"/>
  <c r="AV106" i="13"/>
  <c r="AQ106" i="13"/>
  <c r="AP106" i="13"/>
  <c r="AI106" i="13"/>
  <c r="AH106" i="13"/>
  <c r="AG106" i="13"/>
  <c r="AF106" i="13"/>
  <c r="AE106" i="13"/>
  <c r="AD106" i="13"/>
  <c r="Y106" i="13"/>
  <c r="X106" i="13"/>
  <c r="DM105" i="13"/>
  <c r="DK105" i="13"/>
  <c r="DJ105" i="13"/>
  <c r="DI105" i="13"/>
  <c r="DH105" i="13"/>
  <c r="DC105" i="13"/>
  <c r="DB105" i="13"/>
  <c r="CW105" i="13"/>
  <c r="CV105" i="13"/>
  <c r="CQ105" i="13"/>
  <c r="CP105" i="13"/>
  <c r="CK105" i="13"/>
  <c r="CJ105" i="13"/>
  <c r="CE105" i="13"/>
  <c r="CD105" i="13"/>
  <c r="BY105" i="13"/>
  <c r="BW105" i="13"/>
  <c r="BR105" i="13"/>
  <c r="BP105" i="13"/>
  <c r="BK105" i="13"/>
  <c r="BI105" i="13"/>
  <c r="BD105" i="13"/>
  <c r="BB105" i="13"/>
  <c r="AW105" i="13"/>
  <c r="AV105" i="13"/>
  <c r="AQ105" i="13"/>
  <c r="AP105" i="13"/>
  <c r="AI105" i="13"/>
  <c r="AH105" i="13"/>
  <c r="AG105" i="13"/>
  <c r="AF105" i="13"/>
  <c r="AE105" i="13"/>
  <c r="AD105" i="13"/>
  <c r="Y105" i="13"/>
  <c r="X105" i="13"/>
  <c r="DM104" i="13"/>
  <c r="DK104" i="13"/>
  <c r="DJ104" i="13"/>
  <c r="DI104" i="13"/>
  <c r="DH104" i="13"/>
  <c r="DC104" i="13"/>
  <c r="DB104" i="13"/>
  <c r="CW104" i="13"/>
  <c r="CV104" i="13"/>
  <c r="CQ104" i="13"/>
  <c r="CP104" i="13"/>
  <c r="CK104" i="13"/>
  <c r="CJ104" i="13"/>
  <c r="CE104" i="13"/>
  <c r="CD104" i="13"/>
  <c r="BY104" i="13"/>
  <c r="BW104" i="13"/>
  <c r="BR104" i="13"/>
  <c r="BP104" i="13"/>
  <c r="BK104" i="13"/>
  <c r="BI104" i="13"/>
  <c r="BD104" i="13"/>
  <c r="BB104" i="13"/>
  <c r="AW104" i="13"/>
  <c r="AV104" i="13"/>
  <c r="AQ104" i="13"/>
  <c r="AP104" i="13"/>
  <c r="AI104" i="13"/>
  <c r="AH104" i="13"/>
  <c r="AG104" i="13"/>
  <c r="AF104" i="13"/>
  <c r="AE104" i="13"/>
  <c r="AD104" i="13"/>
  <c r="Y104" i="13"/>
  <c r="X104" i="13"/>
  <c r="DM103" i="13"/>
  <c r="DK103" i="13"/>
  <c r="DJ103" i="13"/>
  <c r="DI103" i="13"/>
  <c r="DH103" i="13"/>
  <c r="DC103" i="13"/>
  <c r="DB103" i="13"/>
  <c r="CW103" i="13"/>
  <c r="CV103" i="13"/>
  <c r="CQ103" i="13"/>
  <c r="CP103" i="13"/>
  <c r="CK103" i="13"/>
  <c r="CJ103" i="13"/>
  <c r="CE103" i="13"/>
  <c r="CD103" i="13"/>
  <c r="BY103" i="13"/>
  <c r="BW103" i="13"/>
  <c r="BR103" i="13"/>
  <c r="BP103" i="13"/>
  <c r="BK103" i="13"/>
  <c r="BI103" i="13"/>
  <c r="BD103" i="13"/>
  <c r="BB103" i="13"/>
  <c r="AW103" i="13"/>
  <c r="AV103" i="13"/>
  <c r="AQ103" i="13"/>
  <c r="AP103" i="13"/>
  <c r="AI103" i="13"/>
  <c r="AH103" i="13"/>
  <c r="AG103" i="13"/>
  <c r="AF103" i="13"/>
  <c r="AE103" i="13"/>
  <c r="AD103" i="13"/>
  <c r="Y103" i="13"/>
  <c r="X103" i="13"/>
  <c r="DM102" i="13"/>
  <c r="DK102" i="13"/>
  <c r="DJ102" i="13"/>
  <c r="DI102" i="13"/>
  <c r="DH102" i="13"/>
  <c r="DC102" i="13"/>
  <c r="DB102" i="13"/>
  <c r="CW102" i="13"/>
  <c r="CV102" i="13"/>
  <c r="CQ102" i="13"/>
  <c r="CP102" i="13"/>
  <c r="CK102" i="13"/>
  <c r="CJ102" i="13"/>
  <c r="CE102" i="13"/>
  <c r="CD102" i="13"/>
  <c r="BY102" i="13"/>
  <c r="BW102" i="13"/>
  <c r="BR102" i="13"/>
  <c r="BP102" i="13"/>
  <c r="BK102" i="13"/>
  <c r="BI102" i="13"/>
  <c r="BD102" i="13"/>
  <c r="BB102" i="13"/>
  <c r="AW102" i="13"/>
  <c r="AV102" i="13"/>
  <c r="AQ102" i="13"/>
  <c r="AP102" i="13"/>
  <c r="AI102" i="13"/>
  <c r="AH102" i="13"/>
  <c r="AG102" i="13"/>
  <c r="AF102" i="13"/>
  <c r="AE102" i="13"/>
  <c r="AD102" i="13"/>
  <c r="Y102" i="13"/>
  <c r="X102" i="13"/>
  <c r="DM101" i="13"/>
  <c r="DK101" i="13"/>
  <c r="DJ101" i="13"/>
  <c r="DI101" i="13"/>
  <c r="DH101" i="13"/>
  <c r="DC101" i="13"/>
  <c r="DB101" i="13"/>
  <c r="CW101" i="13"/>
  <c r="CV101" i="13"/>
  <c r="CQ101" i="13"/>
  <c r="CP101" i="13"/>
  <c r="CK101" i="13"/>
  <c r="CJ101" i="13"/>
  <c r="CE101" i="13"/>
  <c r="CD101" i="13"/>
  <c r="BY101" i="13"/>
  <c r="BW101" i="13"/>
  <c r="BR101" i="13"/>
  <c r="BP101" i="13"/>
  <c r="BK101" i="13"/>
  <c r="BI101" i="13"/>
  <c r="BD101" i="13"/>
  <c r="BB101" i="13"/>
  <c r="AW101" i="13"/>
  <c r="AV101" i="13"/>
  <c r="AQ101" i="13"/>
  <c r="AP101" i="13"/>
  <c r="AI101" i="13"/>
  <c r="AH101" i="13"/>
  <c r="AG101" i="13"/>
  <c r="AF101" i="13"/>
  <c r="AE101" i="13"/>
  <c r="AD101" i="13"/>
  <c r="Y101" i="13"/>
  <c r="X101" i="13"/>
  <c r="DM100" i="13"/>
  <c r="DK100" i="13"/>
  <c r="DJ100" i="13"/>
  <c r="DI100" i="13"/>
  <c r="DH100" i="13"/>
  <c r="DC100" i="13"/>
  <c r="DB100" i="13"/>
  <c r="CW100" i="13"/>
  <c r="CV100" i="13"/>
  <c r="CQ100" i="13"/>
  <c r="CP100" i="13"/>
  <c r="CK100" i="13"/>
  <c r="CJ100" i="13"/>
  <c r="CE100" i="13"/>
  <c r="CD100" i="13"/>
  <c r="BY100" i="13"/>
  <c r="BW100" i="13"/>
  <c r="BR100" i="13"/>
  <c r="BP100" i="13"/>
  <c r="BK100" i="13"/>
  <c r="BI100" i="13"/>
  <c r="BD100" i="13"/>
  <c r="BB100" i="13"/>
  <c r="AW100" i="13"/>
  <c r="AV100" i="13"/>
  <c r="AQ100" i="13"/>
  <c r="AP100" i="13"/>
  <c r="AI100" i="13"/>
  <c r="AH100" i="13"/>
  <c r="AG100" i="13"/>
  <c r="AF100" i="13"/>
  <c r="AE100" i="13"/>
  <c r="AD100" i="13"/>
  <c r="Y100" i="13"/>
  <c r="X100" i="13"/>
  <c r="DM99" i="13"/>
  <c r="DK99" i="13"/>
  <c r="DJ99" i="13"/>
  <c r="DI99" i="13"/>
  <c r="DH99" i="13"/>
  <c r="DC99" i="13"/>
  <c r="DB99" i="13"/>
  <c r="CW99" i="13"/>
  <c r="CV99" i="13"/>
  <c r="CQ99" i="13"/>
  <c r="CP99" i="13"/>
  <c r="CK99" i="13"/>
  <c r="CJ99" i="13"/>
  <c r="CE99" i="13"/>
  <c r="CD99" i="13"/>
  <c r="BY99" i="13"/>
  <c r="BW99" i="13"/>
  <c r="BR99" i="13"/>
  <c r="BP99" i="13"/>
  <c r="BK99" i="13"/>
  <c r="BI99" i="13"/>
  <c r="BD99" i="13"/>
  <c r="BB99" i="13"/>
  <c r="AW99" i="13"/>
  <c r="AV99" i="13"/>
  <c r="AQ99" i="13"/>
  <c r="AP99" i="13"/>
  <c r="AI99" i="13"/>
  <c r="AH99" i="13"/>
  <c r="AG99" i="13"/>
  <c r="AF99" i="13"/>
  <c r="AE99" i="13"/>
  <c r="AD99" i="13"/>
  <c r="Y99" i="13"/>
  <c r="X99" i="13"/>
  <c r="DM98" i="13"/>
  <c r="DK98" i="13"/>
  <c r="DJ98" i="13"/>
  <c r="DI98" i="13"/>
  <c r="DH98" i="13"/>
  <c r="DC98" i="13"/>
  <c r="DB98" i="13"/>
  <c r="CW98" i="13"/>
  <c r="CV98" i="13"/>
  <c r="CQ98" i="13"/>
  <c r="CP98" i="13"/>
  <c r="CK98" i="13"/>
  <c r="CJ98" i="13"/>
  <c r="CE98" i="13"/>
  <c r="CD98" i="13"/>
  <c r="BY98" i="13"/>
  <c r="BW98" i="13"/>
  <c r="BR98" i="13"/>
  <c r="BP98" i="13"/>
  <c r="BK98" i="13"/>
  <c r="BI98" i="13"/>
  <c r="BD98" i="13"/>
  <c r="BB98" i="13"/>
  <c r="AW98" i="13"/>
  <c r="AV98" i="13"/>
  <c r="AQ98" i="13"/>
  <c r="AP98" i="13"/>
  <c r="AI98" i="13"/>
  <c r="AH98" i="13"/>
  <c r="AG98" i="13"/>
  <c r="AF98" i="13"/>
  <c r="AE98" i="13"/>
  <c r="AD98" i="13"/>
  <c r="Y98" i="13"/>
  <c r="X98" i="13"/>
  <c r="DM97" i="13"/>
  <c r="DK97" i="13"/>
  <c r="DJ97" i="13"/>
  <c r="DI97" i="13"/>
  <c r="DH97" i="13"/>
  <c r="DC97" i="13"/>
  <c r="DB97" i="13"/>
  <c r="CW97" i="13"/>
  <c r="CV97" i="13"/>
  <c r="CQ97" i="13"/>
  <c r="CP97" i="13"/>
  <c r="CK97" i="13"/>
  <c r="CJ97" i="13"/>
  <c r="CE97" i="13"/>
  <c r="CD97" i="13"/>
  <c r="BY97" i="13"/>
  <c r="BW97" i="13"/>
  <c r="BR97" i="13"/>
  <c r="BP97" i="13"/>
  <c r="BK97" i="13"/>
  <c r="BI97" i="13"/>
  <c r="BD97" i="13"/>
  <c r="BB97" i="13"/>
  <c r="AW97" i="13"/>
  <c r="AV97" i="13"/>
  <c r="AQ97" i="13"/>
  <c r="AP97" i="13"/>
  <c r="AI97" i="13"/>
  <c r="AH97" i="13"/>
  <c r="AG97" i="13"/>
  <c r="AF97" i="13"/>
  <c r="AE97" i="13"/>
  <c r="AD97" i="13"/>
  <c r="Y97" i="13"/>
  <c r="X97" i="13"/>
  <c r="DM96" i="13"/>
  <c r="DK96" i="13"/>
  <c r="DJ96" i="13"/>
  <c r="DI96" i="13"/>
  <c r="DH96" i="13"/>
  <c r="DC96" i="13"/>
  <c r="DB96" i="13"/>
  <c r="CW96" i="13"/>
  <c r="CV96" i="13"/>
  <c r="CQ96" i="13"/>
  <c r="CP96" i="13"/>
  <c r="CK96" i="13"/>
  <c r="CJ96" i="13"/>
  <c r="CE96" i="13"/>
  <c r="CD96" i="13"/>
  <c r="BY96" i="13"/>
  <c r="BW96" i="13"/>
  <c r="BR96" i="13"/>
  <c r="BP96" i="13"/>
  <c r="BK96" i="13"/>
  <c r="BI96" i="13"/>
  <c r="BD96" i="13"/>
  <c r="BB96" i="13"/>
  <c r="AW96" i="13"/>
  <c r="AV96" i="13"/>
  <c r="AQ96" i="13"/>
  <c r="AP96" i="13"/>
  <c r="AI96" i="13"/>
  <c r="AH96" i="13"/>
  <c r="AG96" i="13"/>
  <c r="AF96" i="13"/>
  <c r="AE96" i="13"/>
  <c r="AD96" i="13"/>
  <c r="Y96" i="13"/>
  <c r="X96" i="13"/>
  <c r="DM95" i="13"/>
  <c r="DK95" i="13"/>
  <c r="DJ95" i="13"/>
  <c r="DI95" i="13"/>
  <c r="DH95" i="13"/>
  <c r="DC95" i="13"/>
  <c r="DB95" i="13"/>
  <c r="CW95" i="13"/>
  <c r="CV95" i="13"/>
  <c r="CQ95" i="13"/>
  <c r="CP95" i="13"/>
  <c r="CK95" i="13"/>
  <c r="CJ95" i="13"/>
  <c r="CE95" i="13"/>
  <c r="CD95" i="13"/>
  <c r="BY95" i="13"/>
  <c r="BW95" i="13"/>
  <c r="BR95" i="13"/>
  <c r="BP95" i="13"/>
  <c r="BK95" i="13"/>
  <c r="BI95" i="13"/>
  <c r="BD95" i="13"/>
  <c r="BB95" i="13"/>
  <c r="AW95" i="13"/>
  <c r="AV95" i="13"/>
  <c r="AQ95" i="13"/>
  <c r="AP95" i="13"/>
  <c r="AI95" i="13"/>
  <c r="AH95" i="13"/>
  <c r="AG95" i="13"/>
  <c r="AF95" i="13"/>
  <c r="AE95" i="13"/>
  <c r="AD95" i="13"/>
  <c r="Y95" i="13"/>
  <c r="X95" i="13"/>
  <c r="DM94" i="13"/>
  <c r="DK94" i="13"/>
  <c r="DJ94" i="13"/>
  <c r="DI94" i="13"/>
  <c r="DH94" i="13"/>
  <c r="DC94" i="13"/>
  <c r="DB94" i="13"/>
  <c r="CW94" i="13"/>
  <c r="CV94" i="13"/>
  <c r="CQ94" i="13"/>
  <c r="CP94" i="13"/>
  <c r="CK94" i="13"/>
  <c r="CJ94" i="13"/>
  <c r="CE94" i="13"/>
  <c r="CD94" i="13"/>
  <c r="BY94" i="13"/>
  <c r="BW94" i="13"/>
  <c r="BR94" i="13"/>
  <c r="BP94" i="13"/>
  <c r="BK94" i="13"/>
  <c r="BI94" i="13"/>
  <c r="BD94" i="13"/>
  <c r="BB94" i="13"/>
  <c r="AW94" i="13"/>
  <c r="AV94" i="13"/>
  <c r="AQ94" i="13"/>
  <c r="AP94" i="13"/>
  <c r="AI94" i="13"/>
  <c r="AH94" i="13"/>
  <c r="AG94" i="13"/>
  <c r="AF94" i="13"/>
  <c r="AE94" i="13"/>
  <c r="AD94" i="13"/>
  <c r="Y94" i="13"/>
  <c r="X94" i="13"/>
  <c r="DM93" i="13"/>
  <c r="DK93" i="13"/>
  <c r="DJ93" i="13"/>
  <c r="DI93" i="13"/>
  <c r="DH93" i="13"/>
  <c r="DC93" i="13"/>
  <c r="DB93" i="13"/>
  <c r="CW93" i="13"/>
  <c r="CV93" i="13"/>
  <c r="CQ93" i="13"/>
  <c r="CP93" i="13"/>
  <c r="CK93" i="13"/>
  <c r="CJ93" i="13"/>
  <c r="CE93" i="13"/>
  <c r="CD93" i="13"/>
  <c r="BY93" i="13"/>
  <c r="BW93" i="13"/>
  <c r="BR93" i="13"/>
  <c r="BP93" i="13"/>
  <c r="BK93" i="13"/>
  <c r="BI93" i="13"/>
  <c r="BD93" i="13"/>
  <c r="BB93" i="13"/>
  <c r="AW93" i="13"/>
  <c r="AV93" i="13"/>
  <c r="AQ93" i="13"/>
  <c r="AP93" i="13"/>
  <c r="AI93" i="13"/>
  <c r="AH93" i="13"/>
  <c r="AG93" i="13"/>
  <c r="AF93" i="13"/>
  <c r="AE93" i="13"/>
  <c r="AD93" i="13"/>
  <c r="Y93" i="13"/>
  <c r="X93" i="13"/>
  <c r="DM92" i="13"/>
  <c r="DK92" i="13"/>
  <c r="DJ92" i="13"/>
  <c r="DI92" i="13"/>
  <c r="DH92" i="13"/>
  <c r="DC92" i="13"/>
  <c r="DB92" i="13"/>
  <c r="CW92" i="13"/>
  <c r="CV92" i="13"/>
  <c r="CQ92" i="13"/>
  <c r="CP92" i="13"/>
  <c r="CK92" i="13"/>
  <c r="CJ92" i="13"/>
  <c r="CE92" i="13"/>
  <c r="CD92" i="13"/>
  <c r="BY92" i="13"/>
  <c r="BW92" i="13"/>
  <c r="BR92" i="13"/>
  <c r="BP92" i="13"/>
  <c r="BK92" i="13"/>
  <c r="BI92" i="13"/>
  <c r="BD92" i="13"/>
  <c r="BB92" i="13"/>
  <c r="AW92" i="13"/>
  <c r="AV92" i="13"/>
  <c r="AQ92" i="13"/>
  <c r="AP92" i="13"/>
  <c r="AI92" i="13"/>
  <c r="AH92" i="13"/>
  <c r="AG92" i="13"/>
  <c r="AF92" i="13"/>
  <c r="AE92" i="13"/>
  <c r="AD92" i="13"/>
  <c r="Y92" i="13"/>
  <c r="X92" i="13"/>
  <c r="DM91" i="13"/>
  <c r="DK91" i="13"/>
  <c r="DJ91" i="13"/>
  <c r="DI91" i="13"/>
  <c r="DH91" i="13"/>
  <c r="DC91" i="13"/>
  <c r="DB91" i="13"/>
  <c r="CW91" i="13"/>
  <c r="CV91" i="13"/>
  <c r="CQ91" i="13"/>
  <c r="CP91" i="13"/>
  <c r="CK91" i="13"/>
  <c r="CJ91" i="13"/>
  <c r="CE91" i="13"/>
  <c r="CD91" i="13"/>
  <c r="BY91" i="13"/>
  <c r="BW91" i="13"/>
  <c r="BR91" i="13"/>
  <c r="BP91" i="13"/>
  <c r="BK91" i="13"/>
  <c r="BI91" i="13"/>
  <c r="BD91" i="13"/>
  <c r="BB91" i="13"/>
  <c r="AW91" i="13"/>
  <c r="AV91" i="13"/>
  <c r="AQ91" i="13"/>
  <c r="AP91" i="13"/>
  <c r="AI91" i="13"/>
  <c r="AH91" i="13"/>
  <c r="AG91" i="13"/>
  <c r="AF91" i="13"/>
  <c r="AE91" i="13"/>
  <c r="AD91" i="13"/>
  <c r="Y91" i="13"/>
  <c r="X91" i="13"/>
  <c r="DM90" i="13"/>
  <c r="DK90" i="13"/>
  <c r="DJ90" i="13"/>
  <c r="DI90" i="13"/>
  <c r="DH90" i="13"/>
  <c r="DC90" i="13"/>
  <c r="DB90" i="13"/>
  <c r="CW90" i="13"/>
  <c r="CV90" i="13"/>
  <c r="CQ90" i="13"/>
  <c r="CP90" i="13"/>
  <c r="CK90" i="13"/>
  <c r="CJ90" i="13"/>
  <c r="CE90" i="13"/>
  <c r="CD90" i="13"/>
  <c r="BY90" i="13"/>
  <c r="BW90" i="13"/>
  <c r="BR90" i="13"/>
  <c r="BP90" i="13"/>
  <c r="BK90" i="13"/>
  <c r="BI90" i="13"/>
  <c r="BD90" i="13"/>
  <c r="BB90" i="13"/>
  <c r="AW90" i="13"/>
  <c r="AV90" i="13"/>
  <c r="AQ90" i="13"/>
  <c r="AP90" i="13"/>
  <c r="AI90" i="13"/>
  <c r="AH90" i="13"/>
  <c r="AG90" i="13"/>
  <c r="AF90" i="13"/>
  <c r="AE90" i="13"/>
  <c r="AD90" i="13"/>
  <c r="Y90" i="13"/>
  <c r="X90" i="13"/>
  <c r="DM89" i="13"/>
  <c r="DK89" i="13"/>
  <c r="DJ89" i="13"/>
  <c r="DI89" i="13"/>
  <c r="DH89" i="13"/>
  <c r="DC89" i="13"/>
  <c r="DB89" i="13"/>
  <c r="CW89" i="13"/>
  <c r="CV89" i="13"/>
  <c r="CQ89" i="13"/>
  <c r="CP89" i="13"/>
  <c r="CK89" i="13"/>
  <c r="CJ89" i="13"/>
  <c r="CE89" i="13"/>
  <c r="CD89" i="13"/>
  <c r="BY89" i="13"/>
  <c r="BW89" i="13"/>
  <c r="BR89" i="13"/>
  <c r="BP89" i="13"/>
  <c r="BK89" i="13"/>
  <c r="BI89" i="13"/>
  <c r="BD89" i="13"/>
  <c r="BB89" i="13"/>
  <c r="AW89" i="13"/>
  <c r="AV89" i="13"/>
  <c r="AQ89" i="13"/>
  <c r="AP89" i="13"/>
  <c r="AI89" i="13"/>
  <c r="AH89" i="13"/>
  <c r="AG89" i="13"/>
  <c r="AF89" i="13"/>
  <c r="AE89" i="13"/>
  <c r="AD89" i="13"/>
  <c r="Y89" i="13"/>
  <c r="X89" i="13"/>
  <c r="DM88" i="13"/>
  <c r="DK88" i="13"/>
  <c r="DJ88" i="13"/>
  <c r="DI88" i="13"/>
  <c r="DH88" i="13"/>
  <c r="DC88" i="13"/>
  <c r="DB88" i="13"/>
  <c r="CW88" i="13"/>
  <c r="CV88" i="13"/>
  <c r="CQ88" i="13"/>
  <c r="CP88" i="13"/>
  <c r="CK88" i="13"/>
  <c r="CJ88" i="13"/>
  <c r="CE88" i="13"/>
  <c r="CD88" i="13"/>
  <c r="BY88" i="13"/>
  <c r="BW88" i="13"/>
  <c r="BR88" i="13"/>
  <c r="BP88" i="13"/>
  <c r="BK88" i="13"/>
  <c r="BI88" i="13"/>
  <c r="BD88" i="13"/>
  <c r="BB88" i="13"/>
  <c r="AW88" i="13"/>
  <c r="AV88" i="13"/>
  <c r="AQ88" i="13"/>
  <c r="AP88" i="13"/>
  <c r="AI88" i="13"/>
  <c r="AH88" i="13"/>
  <c r="AG88" i="13"/>
  <c r="AF88" i="13"/>
  <c r="AE88" i="13"/>
  <c r="AD88" i="13"/>
  <c r="Y88" i="13"/>
  <c r="X88" i="13"/>
  <c r="DM87" i="13"/>
  <c r="DK87" i="13"/>
  <c r="DJ87" i="13"/>
  <c r="DI87" i="13"/>
  <c r="DH87" i="13"/>
  <c r="DC87" i="13"/>
  <c r="DB87" i="13"/>
  <c r="CW87" i="13"/>
  <c r="CV87" i="13"/>
  <c r="CQ87" i="13"/>
  <c r="CP87" i="13"/>
  <c r="CK87" i="13"/>
  <c r="CJ87" i="13"/>
  <c r="CE87" i="13"/>
  <c r="CD87" i="13"/>
  <c r="BY87" i="13"/>
  <c r="BW87" i="13"/>
  <c r="BR87" i="13"/>
  <c r="BP87" i="13"/>
  <c r="BK87" i="13"/>
  <c r="BI87" i="13"/>
  <c r="BD87" i="13"/>
  <c r="BB87" i="13"/>
  <c r="AW87" i="13"/>
  <c r="AV87" i="13"/>
  <c r="AQ87" i="13"/>
  <c r="AP87" i="13"/>
  <c r="AI87" i="13"/>
  <c r="AH87" i="13"/>
  <c r="AG87" i="13"/>
  <c r="AF87" i="13"/>
  <c r="AE87" i="13"/>
  <c r="AD87" i="13"/>
  <c r="Y87" i="13"/>
  <c r="X87" i="13"/>
  <c r="DM86" i="13"/>
  <c r="DK86" i="13"/>
  <c r="DJ86" i="13"/>
  <c r="DI86" i="13"/>
  <c r="DH86" i="13"/>
  <c r="DC86" i="13"/>
  <c r="DB86" i="13"/>
  <c r="CW86" i="13"/>
  <c r="CV86" i="13"/>
  <c r="CQ86" i="13"/>
  <c r="CP86" i="13"/>
  <c r="CK86" i="13"/>
  <c r="CJ86" i="13"/>
  <c r="CE86" i="13"/>
  <c r="CD86" i="13"/>
  <c r="BY86" i="13"/>
  <c r="BW86" i="13"/>
  <c r="BR86" i="13"/>
  <c r="BP86" i="13"/>
  <c r="BK86" i="13"/>
  <c r="BI86" i="13"/>
  <c r="BD86" i="13"/>
  <c r="BB86" i="13"/>
  <c r="AW86" i="13"/>
  <c r="AV86" i="13"/>
  <c r="AQ86" i="13"/>
  <c r="AP86" i="13"/>
  <c r="AI86" i="13"/>
  <c r="AH86" i="13"/>
  <c r="AG86" i="13"/>
  <c r="AF86" i="13"/>
  <c r="AE86" i="13"/>
  <c r="AD86" i="13"/>
  <c r="Y86" i="13"/>
  <c r="X86" i="13"/>
  <c r="DM85" i="13"/>
  <c r="DK85" i="13"/>
  <c r="DJ85" i="13"/>
  <c r="DI85" i="13"/>
  <c r="DH85" i="13"/>
  <c r="DC85" i="13"/>
  <c r="DB85" i="13"/>
  <c r="CW85" i="13"/>
  <c r="CV85" i="13"/>
  <c r="CQ85" i="13"/>
  <c r="CP85" i="13"/>
  <c r="CK85" i="13"/>
  <c r="CJ85" i="13"/>
  <c r="CE85" i="13"/>
  <c r="CD85" i="13"/>
  <c r="BY85" i="13"/>
  <c r="BW85" i="13"/>
  <c r="BR85" i="13"/>
  <c r="BP85" i="13"/>
  <c r="BK85" i="13"/>
  <c r="BI85" i="13"/>
  <c r="BD85" i="13"/>
  <c r="BB85" i="13"/>
  <c r="AW85" i="13"/>
  <c r="AV85" i="13"/>
  <c r="AQ85" i="13"/>
  <c r="AP85" i="13"/>
  <c r="AI85" i="13"/>
  <c r="AH85" i="13"/>
  <c r="AG85" i="13"/>
  <c r="AF85" i="13"/>
  <c r="AE85" i="13"/>
  <c r="AD85" i="13"/>
  <c r="Y85" i="13"/>
  <c r="X85" i="13"/>
  <c r="DM84" i="13"/>
  <c r="DK84" i="13"/>
  <c r="DJ84" i="13"/>
  <c r="DI84" i="13"/>
  <c r="DH84" i="13"/>
  <c r="DC84" i="13"/>
  <c r="DB84" i="13"/>
  <c r="CW84" i="13"/>
  <c r="CV84" i="13"/>
  <c r="CQ84" i="13"/>
  <c r="CP84" i="13"/>
  <c r="CK84" i="13"/>
  <c r="CJ84" i="13"/>
  <c r="CE84" i="13"/>
  <c r="CD84" i="13"/>
  <c r="BY84" i="13"/>
  <c r="BW84" i="13"/>
  <c r="BR84" i="13"/>
  <c r="BP84" i="13"/>
  <c r="BK84" i="13"/>
  <c r="BI84" i="13"/>
  <c r="BD84" i="13"/>
  <c r="BB84" i="13"/>
  <c r="AW84" i="13"/>
  <c r="AV84" i="13"/>
  <c r="AQ84" i="13"/>
  <c r="AP84" i="13"/>
  <c r="AI84" i="13"/>
  <c r="AH84" i="13"/>
  <c r="AG84" i="13"/>
  <c r="AF84" i="13"/>
  <c r="AE84" i="13"/>
  <c r="AD84" i="13"/>
  <c r="Y84" i="13"/>
  <c r="X84" i="13"/>
  <c r="DM83" i="13"/>
  <c r="DK83" i="13"/>
  <c r="DJ83" i="13"/>
  <c r="DI83" i="13"/>
  <c r="DH83" i="13"/>
  <c r="DC83" i="13"/>
  <c r="DB83" i="13"/>
  <c r="CW83" i="13"/>
  <c r="CV83" i="13"/>
  <c r="CQ83" i="13"/>
  <c r="CP83" i="13"/>
  <c r="CK83" i="13"/>
  <c r="CJ83" i="13"/>
  <c r="CE83" i="13"/>
  <c r="CD83" i="13"/>
  <c r="BY83" i="13"/>
  <c r="BW83" i="13"/>
  <c r="BR83" i="13"/>
  <c r="BP83" i="13"/>
  <c r="BK83" i="13"/>
  <c r="BI83" i="13"/>
  <c r="BD83" i="13"/>
  <c r="BB83" i="13"/>
  <c r="AW83" i="13"/>
  <c r="AV83" i="13"/>
  <c r="AQ83" i="13"/>
  <c r="AP83" i="13"/>
  <c r="AI83" i="13"/>
  <c r="AH83" i="13"/>
  <c r="AG83" i="13"/>
  <c r="AF83" i="13"/>
  <c r="AE83" i="13"/>
  <c r="AD83" i="13"/>
  <c r="Y83" i="13"/>
  <c r="X83" i="13"/>
  <c r="DM82" i="13"/>
  <c r="DK82" i="13"/>
  <c r="DJ82" i="13"/>
  <c r="DI82" i="13"/>
  <c r="DH82" i="13"/>
  <c r="DC82" i="13"/>
  <c r="DB82" i="13"/>
  <c r="CW82" i="13"/>
  <c r="CV82" i="13"/>
  <c r="CQ82" i="13"/>
  <c r="CP82" i="13"/>
  <c r="CK82" i="13"/>
  <c r="CJ82" i="13"/>
  <c r="CE82" i="13"/>
  <c r="CD82" i="13"/>
  <c r="BY82" i="13"/>
  <c r="BW82" i="13"/>
  <c r="BR82" i="13"/>
  <c r="BP82" i="13"/>
  <c r="BK82" i="13"/>
  <c r="BI82" i="13"/>
  <c r="BD82" i="13"/>
  <c r="BB82" i="13"/>
  <c r="AW82" i="13"/>
  <c r="AV82" i="13"/>
  <c r="AQ82" i="13"/>
  <c r="AP82" i="13"/>
  <c r="AI82" i="13"/>
  <c r="AH82" i="13"/>
  <c r="AG82" i="13"/>
  <c r="AF82" i="13"/>
  <c r="AE82" i="13"/>
  <c r="AD82" i="13"/>
  <c r="Y82" i="13"/>
  <c r="X82" i="13"/>
  <c r="DM81" i="13"/>
  <c r="DK81" i="13"/>
  <c r="DJ81" i="13"/>
  <c r="DI81" i="13"/>
  <c r="DH81" i="13"/>
  <c r="DC81" i="13"/>
  <c r="DB81" i="13"/>
  <c r="CW81" i="13"/>
  <c r="CV81" i="13"/>
  <c r="CQ81" i="13"/>
  <c r="CP81" i="13"/>
  <c r="CK81" i="13"/>
  <c r="CJ81" i="13"/>
  <c r="CE81" i="13"/>
  <c r="CD81" i="13"/>
  <c r="BY81" i="13"/>
  <c r="BW81" i="13"/>
  <c r="BR81" i="13"/>
  <c r="BP81" i="13"/>
  <c r="BK81" i="13"/>
  <c r="BI81" i="13"/>
  <c r="BD81" i="13"/>
  <c r="BB81" i="13"/>
  <c r="AW81" i="13"/>
  <c r="AV81" i="13"/>
  <c r="AQ81" i="13"/>
  <c r="AP81" i="13"/>
  <c r="AI81" i="13"/>
  <c r="AH81" i="13"/>
  <c r="AG81" i="13"/>
  <c r="AF81" i="13"/>
  <c r="AE81" i="13"/>
  <c r="AD81" i="13"/>
  <c r="Y81" i="13"/>
  <c r="X81" i="13"/>
  <c r="DM80" i="13"/>
  <c r="DK80" i="13"/>
  <c r="DJ80" i="13"/>
  <c r="DI80" i="13"/>
  <c r="DH80" i="13"/>
  <c r="DC80" i="13"/>
  <c r="DB80" i="13"/>
  <c r="CW80" i="13"/>
  <c r="CV80" i="13"/>
  <c r="CQ80" i="13"/>
  <c r="CP80" i="13"/>
  <c r="CK80" i="13"/>
  <c r="CJ80" i="13"/>
  <c r="CE80" i="13"/>
  <c r="CD80" i="13"/>
  <c r="BY80" i="13"/>
  <c r="BW80" i="13"/>
  <c r="BR80" i="13"/>
  <c r="BP80" i="13"/>
  <c r="BK80" i="13"/>
  <c r="BI80" i="13"/>
  <c r="BD80" i="13"/>
  <c r="BB80" i="13"/>
  <c r="AW80" i="13"/>
  <c r="AV80" i="13"/>
  <c r="AQ80" i="13"/>
  <c r="AP80" i="13"/>
  <c r="AI80" i="13"/>
  <c r="AH80" i="13"/>
  <c r="AG80" i="13"/>
  <c r="AF80" i="13"/>
  <c r="AE80" i="13"/>
  <c r="AD80" i="13"/>
  <c r="Y80" i="13"/>
  <c r="X80" i="13"/>
  <c r="DM79" i="13"/>
  <c r="DK79" i="13"/>
  <c r="DJ79" i="13"/>
  <c r="DI79" i="13"/>
  <c r="DH79" i="13"/>
  <c r="DC79" i="13"/>
  <c r="DB79" i="13"/>
  <c r="CW79" i="13"/>
  <c r="CV79" i="13"/>
  <c r="CQ79" i="13"/>
  <c r="CP79" i="13"/>
  <c r="CK79" i="13"/>
  <c r="CJ79" i="13"/>
  <c r="CE79" i="13"/>
  <c r="CD79" i="13"/>
  <c r="BY79" i="13"/>
  <c r="BW79" i="13"/>
  <c r="BR79" i="13"/>
  <c r="BP79" i="13"/>
  <c r="BK79" i="13"/>
  <c r="BI79" i="13"/>
  <c r="BD79" i="13"/>
  <c r="BB79" i="13"/>
  <c r="AW79" i="13"/>
  <c r="AV79" i="13"/>
  <c r="AQ79" i="13"/>
  <c r="AP79" i="13"/>
  <c r="AI79" i="13"/>
  <c r="AH79" i="13"/>
  <c r="AG79" i="13"/>
  <c r="AF79" i="13"/>
  <c r="AE79" i="13"/>
  <c r="AD79" i="13"/>
  <c r="Y79" i="13"/>
  <c r="X79" i="13"/>
  <c r="DM78" i="13"/>
  <c r="DK78" i="13"/>
  <c r="DJ78" i="13"/>
  <c r="DI78" i="13"/>
  <c r="DH78" i="13"/>
  <c r="DC78" i="13"/>
  <c r="DB78" i="13"/>
  <c r="CW78" i="13"/>
  <c r="CV78" i="13"/>
  <c r="CQ78" i="13"/>
  <c r="CP78" i="13"/>
  <c r="CK78" i="13"/>
  <c r="CJ78" i="13"/>
  <c r="CE78" i="13"/>
  <c r="CD78" i="13"/>
  <c r="BY78" i="13"/>
  <c r="BW78" i="13"/>
  <c r="BR78" i="13"/>
  <c r="BP78" i="13"/>
  <c r="BK78" i="13"/>
  <c r="BI78" i="13"/>
  <c r="BD78" i="13"/>
  <c r="BB78" i="13"/>
  <c r="AW78" i="13"/>
  <c r="AV78" i="13"/>
  <c r="AQ78" i="13"/>
  <c r="AP78" i="13"/>
  <c r="AI78" i="13"/>
  <c r="AH78" i="13"/>
  <c r="AG78" i="13"/>
  <c r="AF78" i="13"/>
  <c r="AE78" i="13"/>
  <c r="AD78" i="13"/>
  <c r="Y78" i="13"/>
  <c r="X78" i="13"/>
  <c r="DM77" i="13"/>
  <c r="DK77" i="13"/>
  <c r="DJ77" i="13"/>
  <c r="DI77" i="13"/>
  <c r="DH77" i="13"/>
  <c r="DC77" i="13"/>
  <c r="DB77" i="13"/>
  <c r="CW77" i="13"/>
  <c r="CV77" i="13"/>
  <c r="CQ77" i="13"/>
  <c r="CP77" i="13"/>
  <c r="CK77" i="13"/>
  <c r="CJ77" i="13"/>
  <c r="CE77" i="13"/>
  <c r="CD77" i="13"/>
  <c r="BY77" i="13"/>
  <c r="BW77" i="13"/>
  <c r="BR77" i="13"/>
  <c r="BP77" i="13"/>
  <c r="BK77" i="13"/>
  <c r="BI77" i="13"/>
  <c r="BD77" i="13"/>
  <c r="BB77" i="13"/>
  <c r="AW77" i="13"/>
  <c r="AV77" i="13"/>
  <c r="AQ77" i="13"/>
  <c r="AP77" i="13"/>
  <c r="AI77" i="13"/>
  <c r="AH77" i="13"/>
  <c r="AG77" i="13"/>
  <c r="AF77" i="13"/>
  <c r="AE77" i="13"/>
  <c r="AD77" i="13"/>
  <c r="Y77" i="13"/>
  <c r="X77" i="13"/>
  <c r="DM76" i="13"/>
  <c r="DK76" i="13"/>
  <c r="DJ76" i="13"/>
  <c r="DI76" i="13"/>
  <c r="DH76" i="13"/>
  <c r="DC76" i="13"/>
  <c r="DB76" i="13"/>
  <c r="CW76" i="13"/>
  <c r="CV76" i="13"/>
  <c r="CQ76" i="13"/>
  <c r="CP76" i="13"/>
  <c r="CK76" i="13"/>
  <c r="CJ76" i="13"/>
  <c r="CE76" i="13"/>
  <c r="CD76" i="13"/>
  <c r="BY76" i="13"/>
  <c r="BW76" i="13"/>
  <c r="BR76" i="13"/>
  <c r="BP76" i="13"/>
  <c r="BK76" i="13"/>
  <c r="BI76" i="13"/>
  <c r="BD76" i="13"/>
  <c r="BB76" i="13"/>
  <c r="AW76" i="13"/>
  <c r="AV76" i="13"/>
  <c r="AQ76" i="13"/>
  <c r="AP76" i="13"/>
  <c r="AI76" i="13"/>
  <c r="AH76" i="13"/>
  <c r="AG76" i="13"/>
  <c r="AF76" i="13"/>
  <c r="AE76" i="13"/>
  <c r="AD76" i="13"/>
  <c r="Y76" i="13"/>
  <c r="X76" i="13"/>
  <c r="DM75" i="13"/>
  <c r="DK75" i="13"/>
  <c r="DJ75" i="13"/>
  <c r="DI75" i="13"/>
  <c r="DH75" i="13"/>
  <c r="DC75" i="13"/>
  <c r="DB75" i="13"/>
  <c r="CW75" i="13"/>
  <c r="CV75" i="13"/>
  <c r="CQ75" i="13"/>
  <c r="CP75" i="13"/>
  <c r="CK75" i="13"/>
  <c r="CJ75" i="13"/>
  <c r="CE75" i="13"/>
  <c r="CD75" i="13"/>
  <c r="BY75" i="13"/>
  <c r="BW75" i="13"/>
  <c r="BR75" i="13"/>
  <c r="BP75" i="13"/>
  <c r="BK75" i="13"/>
  <c r="BI75" i="13"/>
  <c r="BD75" i="13"/>
  <c r="BB75" i="13"/>
  <c r="AW75" i="13"/>
  <c r="AV75" i="13"/>
  <c r="AQ75" i="13"/>
  <c r="AP75" i="13"/>
  <c r="AI75" i="13"/>
  <c r="AH75" i="13"/>
  <c r="AG75" i="13"/>
  <c r="AF75" i="13"/>
  <c r="AE75" i="13"/>
  <c r="AD75" i="13"/>
  <c r="Y75" i="13"/>
  <c r="X75" i="13"/>
  <c r="DM74" i="13"/>
  <c r="DK74" i="13"/>
  <c r="DJ74" i="13"/>
  <c r="DI74" i="13"/>
  <c r="DH74" i="13"/>
  <c r="DC74" i="13"/>
  <c r="DB74" i="13"/>
  <c r="CW74" i="13"/>
  <c r="CV74" i="13"/>
  <c r="CQ74" i="13"/>
  <c r="CP74" i="13"/>
  <c r="CK74" i="13"/>
  <c r="CJ74" i="13"/>
  <c r="CE74" i="13"/>
  <c r="CD74" i="13"/>
  <c r="BY74" i="13"/>
  <c r="BW74" i="13"/>
  <c r="BR74" i="13"/>
  <c r="BP74" i="13"/>
  <c r="BK74" i="13"/>
  <c r="BI74" i="13"/>
  <c r="BD74" i="13"/>
  <c r="BB74" i="13"/>
  <c r="AW74" i="13"/>
  <c r="AV74" i="13"/>
  <c r="AQ74" i="13"/>
  <c r="AP74" i="13"/>
  <c r="AI74" i="13"/>
  <c r="AH74" i="13"/>
  <c r="AG74" i="13"/>
  <c r="AF74" i="13"/>
  <c r="AE74" i="13"/>
  <c r="AD74" i="13"/>
  <c r="Y74" i="13"/>
  <c r="X74" i="13"/>
  <c r="DM73" i="13"/>
  <c r="DK73" i="13"/>
  <c r="DJ73" i="13"/>
  <c r="DI73" i="13"/>
  <c r="DH73" i="13"/>
  <c r="DC73" i="13"/>
  <c r="DB73" i="13"/>
  <c r="CW73" i="13"/>
  <c r="CV73" i="13"/>
  <c r="CQ73" i="13"/>
  <c r="CP73" i="13"/>
  <c r="CK73" i="13"/>
  <c r="CJ73" i="13"/>
  <c r="CE73" i="13"/>
  <c r="CD73" i="13"/>
  <c r="BY73" i="13"/>
  <c r="BW73" i="13"/>
  <c r="BR73" i="13"/>
  <c r="BP73" i="13"/>
  <c r="BK73" i="13"/>
  <c r="BI73" i="13"/>
  <c r="BD73" i="13"/>
  <c r="BB73" i="13"/>
  <c r="AW73" i="13"/>
  <c r="AV73" i="13"/>
  <c r="AQ73" i="13"/>
  <c r="AP73" i="13"/>
  <c r="AI73" i="13"/>
  <c r="AH73" i="13"/>
  <c r="AG73" i="13"/>
  <c r="AF73" i="13"/>
  <c r="AE73" i="13"/>
  <c r="AD73" i="13"/>
  <c r="Y73" i="13"/>
  <c r="X73" i="13"/>
  <c r="DM72" i="13"/>
  <c r="DK72" i="13"/>
  <c r="DJ72" i="13"/>
  <c r="DI72" i="13"/>
  <c r="DH72" i="13"/>
  <c r="DC72" i="13"/>
  <c r="DB72" i="13"/>
  <c r="CW72" i="13"/>
  <c r="CV72" i="13"/>
  <c r="CQ72" i="13"/>
  <c r="CP72" i="13"/>
  <c r="CK72" i="13"/>
  <c r="CJ72" i="13"/>
  <c r="CE72" i="13"/>
  <c r="CD72" i="13"/>
  <c r="BY72" i="13"/>
  <c r="BW72" i="13"/>
  <c r="BR72" i="13"/>
  <c r="BP72" i="13"/>
  <c r="BK72" i="13"/>
  <c r="BI72" i="13"/>
  <c r="BD72" i="13"/>
  <c r="BB72" i="13"/>
  <c r="AW72" i="13"/>
  <c r="AV72" i="13"/>
  <c r="AQ72" i="13"/>
  <c r="AP72" i="13"/>
  <c r="AI72" i="13"/>
  <c r="AH72" i="13"/>
  <c r="AG72" i="13"/>
  <c r="AF72" i="13"/>
  <c r="AE72" i="13"/>
  <c r="AD72" i="13"/>
  <c r="Y72" i="13"/>
  <c r="X72" i="13"/>
  <c r="DM71" i="13"/>
  <c r="DK71" i="13"/>
  <c r="DJ71" i="13"/>
  <c r="DI71" i="13"/>
  <c r="DH71" i="13"/>
  <c r="DC71" i="13"/>
  <c r="DB71" i="13"/>
  <c r="CW71" i="13"/>
  <c r="CV71" i="13"/>
  <c r="CQ71" i="13"/>
  <c r="CP71" i="13"/>
  <c r="CK71" i="13"/>
  <c r="CJ71" i="13"/>
  <c r="CE71" i="13"/>
  <c r="CD71" i="13"/>
  <c r="BY71" i="13"/>
  <c r="BW71" i="13"/>
  <c r="BR71" i="13"/>
  <c r="BP71" i="13"/>
  <c r="BK71" i="13"/>
  <c r="BI71" i="13"/>
  <c r="BD71" i="13"/>
  <c r="BB71" i="13"/>
  <c r="AW71" i="13"/>
  <c r="AV71" i="13"/>
  <c r="AQ71" i="13"/>
  <c r="AP71" i="13"/>
  <c r="AI71" i="13"/>
  <c r="AH71" i="13"/>
  <c r="AG71" i="13"/>
  <c r="AF71" i="13"/>
  <c r="AE71" i="13"/>
  <c r="AD71" i="13"/>
  <c r="Y71" i="13"/>
  <c r="X71" i="13"/>
  <c r="DM70" i="13"/>
  <c r="DK70" i="13"/>
  <c r="DJ70" i="13"/>
  <c r="DI70" i="13"/>
  <c r="DH70" i="13"/>
  <c r="DC70" i="13"/>
  <c r="DB70" i="13"/>
  <c r="CW70" i="13"/>
  <c r="CV70" i="13"/>
  <c r="CQ70" i="13"/>
  <c r="CP70" i="13"/>
  <c r="CK70" i="13"/>
  <c r="CJ70" i="13"/>
  <c r="CE70" i="13"/>
  <c r="CD70" i="13"/>
  <c r="BY70" i="13"/>
  <c r="BW70" i="13"/>
  <c r="BR70" i="13"/>
  <c r="BP70" i="13"/>
  <c r="BK70" i="13"/>
  <c r="BI70" i="13"/>
  <c r="BD70" i="13"/>
  <c r="BB70" i="13"/>
  <c r="AW70" i="13"/>
  <c r="AV70" i="13"/>
  <c r="AQ70" i="13"/>
  <c r="AP70" i="13"/>
  <c r="AI70" i="13"/>
  <c r="AH70" i="13"/>
  <c r="AG70" i="13"/>
  <c r="AF70" i="13"/>
  <c r="AE70" i="13"/>
  <c r="AD70" i="13"/>
  <c r="Y70" i="13"/>
  <c r="X70" i="13"/>
  <c r="DM69" i="13"/>
  <c r="DK69" i="13"/>
  <c r="DJ69" i="13"/>
  <c r="DI69" i="13"/>
  <c r="DH69" i="13"/>
  <c r="DC69" i="13"/>
  <c r="DB69" i="13"/>
  <c r="CW69" i="13"/>
  <c r="CV69" i="13"/>
  <c r="CQ69" i="13"/>
  <c r="CP69" i="13"/>
  <c r="CK69" i="13"/>
  <c r="CJ69" i="13"/>
  <c r="CE69" i="13"/>
  <c r="CD69" i="13"/>
  <c r="BY69" i="13"/>
  <c r="BW69" i="13"/>
  <c r="BR69" i="13"/>
  <c r="BP69" i="13"/>
  <c r="BK69" i="13"/>
  <c r="BI69" i="13"/>
  <c r="BD69" i="13"/>
  <c r="BB69" i="13"/>
  <c r="AW69" i="13"/>
  <c r="AV69" i="13"/>
  <c r="AQ69" i="13"/>
  <c r="AP69" i="13"/>
  <c r="AI69" i="13"/>
  <c r="AH69" i="13"/>
  <c r="AG69" i="13"/>
  <c r="AF69" i="13"/>
  <c r="AE69" i="13"/>
  <c r="AD69" i="13"/>
  <c r="Y69" i="13"/>
  <c r="X69" i="13"/>
  <c r="DM68" i="13"/>
  <c r="DK68" i="13"/>
  <c r="DJ68" i="13"/>
  <c r="DI68" i="13"/>
  <c r="DH68" i="13"/>
  <c r="DC68" i="13"/>
  <c r="DB68" i="13"/>
  <c r="CW68" i="13"/>
  <c r="CV68" i="13"/>
  <c r="CQ68" i="13"/>
  <c r="CP68" i="13"/>
  <c r="CK68" i="13"/>
  <c r="CJ68" i="13"/>
  <c r="CE68" i="13"/>
  <c r="CD68" i="13"/>
  <c r="BY68" i="13"/>
  <c r="BW68" i="13"/>
  <c r="BR68" i="13"/>
  <c r="BP68" i="13"/>
  <c r="BI68" i="13"/>
  <c r="BD68" i="13"/>
  <c r="BB68" i="13"/>
  <c r="AW68" i="13"/>
  <c r="AV68" i="13"/>
  <c r="AQ68" i="13"/>
  <c r="AP68" i="13"/>
  <c r="AI68" i="13"/>
  <c r="AH68" i="13"/>
  <c r="AG68" i="13"/>
  <c r="AF68" i="13"/>
  <c r="AE68" i="13"/>
  <c r="AD68" i="13"/>
  <c r="Y68" i="13"/>
  <c r="X68" i="13"/>
  <c r="DM67" i="13"/>
  <c r="DK67" i="13"/>
  <c r="DJ67" i="13"/>
  <c r="DI67" i="13"/>
  <c r="DH67" i="13"/>
  <c r="DC67" i="13"/>
  <c r="DB67" i="13"/>
  <c r="CW67" i="13"/>
  <c r="CV67" i="13"/>
  <c r="CQ67" i="13"/>
  <c r="CP67" i="13"/>
  <c r="CK67" i="13"/>
  <c r="CJ67" i="13"/>
  <c r="CE67" i="13"/>
  <c r="CD67" i="13"/>
  <c r="BY67" i="13"/>
  <c r="BW67" i="13"/>
  <c r="BR67" i="13"/>
  <c r="BP67" i="13"/>
  <c r="BK67" i="13"/>
  <c r="BI67" i="13"/>
  <c r="BD67" i="13"/>
  <c r="BB67" i="13"/>
  <c r="AW67" i="13"/>
  <c r="AV67" i="13"/>
  <c r="AQ67" i="13"/>
  <c r="AP67" i="13"/>
  <c r="AI67" i="13"/>
  <c r="AH67" i="13"/>
  <c r="AG67" i="13"/>
  <c r="AF67" i="13"/>
  <c r="AE67" i="13"/>
  <c r="AD67" i="13"/>
  <c r="Y67" i="13"/>
  <c r="X67" i="13"/>
  <c r="DM66" i="13"/>
  <c r="DK66" i="13"/>
  <c r="DJ66" i="13"/>
  <c r="DI66" i="13"/>
  <c r="DH66" i="13"/>
  <c r="DC66" i="13"/>
  <c r="DB66" i="13"/>
  <c r="CW66" i="13"/>
  <c r="CV66" i="13"/>
  <c r="CQ66" i="13"/>
  <c r="CP66" i="13"/>
  <c r="CK66" i="13"/>
  <c r="CJ66" i="13"/>
  <c r="CE66" i="13"/>
  <c r="CD66" i="13"/>
  <c r="BY66" i="13"/>
  <c r="BW66" i="13"/>
  <c r="BR66" i="13"/>
  <c r="BP66" i="13"/>
  <c r="BK66" i="13"/>
  <c r="BI66" i="13"/>
  <c r="BD66" i="13"/>
  <c r="BB66" i="13"/>
  <c r="AW66" i="13"/>
  <c r="AV66" i="13"/>
  <c r="AQ66" i="13"/>
  <c r="AP66" i="13"/>
  <c r="AI66" i="13"/>
  <c r="AH66" i="13"/>
  <c r="AG66" i="13"/>
  <c r="AF66" i="13"/>
  <c r="AE66" i="13"/>
  <c r="AD66" i="13"/>
  <c r="Y66" i="13"/>
  <c r="X66" i="13"/>
  <c r="DM65" i="13"/>
  <c r="DK65" i="13"/>
  <c r="DJ65" i="13"/>
  <c r="DI65" i="13"/>
  <c r="DH65" i="13"/>
  <c r="DC65" i="13"/>
  <c r="DB65" i="13"/>
  <c r="CW65" i="13"/>
  <c r="CV65" i="13"/>
  <c r="CQ65" i="13"/>
  <c r="CP65" i="13"/>
  <c r="CK65" i="13"/>
  <c r="CJ65" i="13"/>
  <c r="CE65" i="13"/>
  <c r="CD65" i="13"/>
  <c r="BY65" i="13"/>
  <c r="BW65" i="13"/>
  <c r="BR65" i="13"/>
  <c r="BP65" i="13"/>
  <c r="BK65" i="13"/>
  <c r="BI65" i="13"/>
  <c r="BD65" i="13"/>
  <c r="BB65" i="13"/>
  <c r="AW65" i="13"/>
  <c r="AV65" i="13"/>
  <c r="AQ65" i="13"/>
  <c r="AP65" i="13"/>
  <c r="AI65" i="13"/>
  <c r="AH65" i="13"/>
  <c r="AG65" i="13"/>
  <c r="AF65" i="13"/>
  <c r="AE65" i="13"/>
  <c r="AD65" i="13"/>
  <c r="Y65" i="13"/>
  <c r="X65" i="13"/>
  <c r="DM64" i="13"/>
  <c r="DK64" i="13"/>
  <c r="DJ64" i="13"/>
  <c r="DI64" i="13"/>
  <c r="DH64" i="13"/>
  <c r="DC64" i="13"/>
  <c r="DB64" i="13"/>
  <c r="CW64" i="13"/>
  <c r="CV64" i="13"/>
  <c r="CQ64" i="13"/>
  <c r="CP64" i="13"/>
  <c r="CK64" i="13"/>
  <c r="CJ64" i="13"/>
  <c r="CE64" i="13"/>
  <c r="CD64" i="13"/>
  <c r="BY64" i="13"/>
  <c r="BW64" i="13"/>
  <c r="BR64" i="13"/>
  <c r="BP64" i="13"/>
  <c r="BK64" i="13"/>
  <c r="BI64" i="13"/>
  <c r="BD64" i="13"/>
  <c r="BB64" i="13"/>
  <c r="AW64" i="13"/>
  <c r="AV64" i="13"/>
  <c r="AQ64" i="13"/>
  <c r="AP64" i="13"/>
  <c r="AI64" i="13"/>
  <c r="AH64" i="13"/>
  <c r="AG64" i="13"/>
  <c r="AF64" i="13"/>
  <c r="AE64" i="13"/>
  <c r="AD64" i="13"/>
  <c r="Y64" i="13"/>
  <c r="X64" i="13"/>
  <c r="DM63" i="13"/>
  <c r="DK63" i="13"/>
  <c r="DJ63" i="13"/>
  <c r="DI63" i="13"/>
  <c r="DH63" i="13"/>
  <c r="DC63" i="13"/>
  <c r="DB63" i="13"/>
  <c r="CW63" i="13"/>
  <c r="CV63" i="13"/>
  <c r="CQ63" i="13"/>
  <c r="CP63" i="13"/>
  <c r="CK63" i="13"/>
  <c r="CJ63" i="13"/>
  <c r="CE63" i="13"/>
  <c r="CD63" i="13"/>
  <c r="BY63" i="13"/>
  <c r="BW63" i="13"/>
  <c r="BR63" i="13"/>
  <c r="BP63" i="13"/>
  <c r="BK63" i="13"/>
  <c r="BI63" i="13"/>
  <c r="BD63" i="13"/>
  <c r="BB63" i="13"/>
  <c r="AW63" i="13"/>
  <c r="AV63" i="13"/>
  <c r="AQ63" i="13"/>
  <c r="AP63" i="13"/>
  <c r="AI63" i="13"/>
  <c r="AH63" i="13"/>
  <c r="AG63" i="13"/>
  <c r="AF63" i="13"/>
  <c r="AE63" i="13"/>
  <c r="AD63" i="13"/>
  <c r="Y63" i="13"/>
  <c r="X63" i="13"/>
  <c r="DM62" i="13"/>
  <c r="DK62" i="13"/>
  <c r="DJ62" i="13"/>
  <c r="DI62" i="13"/>
  <c r="DH62" i="13"/>
  <c r="DC62" i="13"/>
  <c r="DB62" i="13"/>
  <c r="CW62" i="13"/>
  <c r="CV62" i="13"/>
  <c r="CQ62" i="13"/>
  <c r="CP62" i="13"/>
  <c r="CK62" i="13"/>
  <c r="CJ62" i="13"/>
  <c r="CE62" i="13"/>
  <c r="CD62" i="13"/>
  <c r="BY62" i="13"/>
  <c r="BW62" i="13"/>
  <c r="BR62" i="13"/>
  <c r="BP62" i="13"/>
  <c r="BI62" i="13"/>
  <c r="BD62" i="13"/>
  <c r="BB62" i="13"/>
  <c r="AW62" i="13"/>
  <c r="AV62" i="13"/>
  <c r="AQ62" i="13"/>
  <c r="AP62" i="13"/>
  <c r="AI62" i="13"/>
  <c r="AH62" i="13"/>
  <c r="AG62" i="13"/>
  <c r="AF62" i="13"/>
  <c r="AE62" i="13"/>
  <c r="AD62" i="13"/>
  <c r="Y62" i="13"/>
  <c r="X62" i="13"/>
  <c r="DM61" i="13"/>
  <c r="DK61" i="13"/>
  <c r="DJ61" i="13"/>
  <c r="DI61" i="13"/>
  <c r="DH61" i="13"/>
  <c r="DC61" i="13"/>
  <c r="DB61" i="13"/>
  <c r="CW61" i="13"/>
  <c r="CV61" i="13"/>
  <c r="CQ61" i="13"/>
  <c r="CP61" i="13"/>
  <c r="CK61" i="13"/>
  <c r="CJ61" i="13"/>
  <c r="CE61" i="13"/>
  <c r="CD61" i="13"/>
  <c r="BY61" i="13"/>
  <c r="BW61" i="13"/>
  <c r="BR61" i="13"/>
  <c r="BP61" i="13"/>
  <c r="BK61" i="13"/>
  <c r="BI61" i="13"/>
  <c r="BD61" i="13"/>
  <c r="BB61" i="13"/>
  <c r="AW61" i="13"/>
  <c r="AV61" i="13"/>
  <c r="AQ61" i="13"/>
  <c r="AP61" i="13"/>
  <c r="AI61" i="13"/>
  <c r="AH61" i="13"/>
  <c r="AG61" i="13"/>
  <c r="AF61" i="13"/>
  <c r="AE61" i="13"/>
  <c r="AD61" i="13"/>
  <c r="Y61" i="13"/>
  <c r="X61" i="13"/>
  <c r="DM60" i="13"/>
  <c r="DK60" i="13"/>
  <c r="DJ60" i="13"/>
  <c r="DI60" i="13"/>
  <c r="DH60" i="13"/>
  <c r="DC60" i="13"/>
  <c r="DB60" i="13"/>
  <c r="CW60" i="13"/>
  <c r="CV60" i="13"/>
  <c r="CQ60" i="13"/>
  <c r="CP60" i="13"/>
  <c r="CK60" i="13"/>
  <c r="CJ60" i="13"/>
  <c r="CE60" i="13"/>
  <c r="CD60" i="13"/>
  <c r="BY60" i="13"/>
  <c r="BW60" i="13"/>
  <c r="BR60" i="13"/>
  <c r="BP60" i="13"/>
  <c r="BK60" i="13"/>
  <c r="BI60" i="13"/>
  <c r="BD60" i="13"/>
  <c r="BB60" i="13"/>
  <c r="AW60" i="13"/>
  <c r="AV60" i="13"/>
  <c r="AQ60" i="13"/>
  <c r="AP60" i="13"/>
  <c r="AI60" i="13"/>
  <c r="AH60" i="13"/>
  <c r="AG60" i="13"/>
  <c r="AF60" i="13"/>
  <c r="AE60" i="13"/>
  <c r="AD60" i="13"/>
  <c r="Y60" i="13"/>
  <c r="X60" i="13"/>
  <c r="DM59" i="13"/>
  <c r="DK59" i="13"/>
  <c r="DJ59" i="13"/>
  <c r="DI59" i="13"/>
  <c r="DH59" i="13"/>
  <c r="DC59" i="13"/>
  <c r="DB59" i="13"/>
  <c r="CW59" i="13"/>
  <c r="CV59" i="13"/>
  <c r="CQ59" i="13"/>
  <c r="CP59" i="13"/>
  <c r="CK59" i="13"/>
  <c r="CJ59" i="13"/>
  <c r="CE59" i="13"/>
  <c r="CD59" i="13"/>
  <c r="BY59" i="13"/>
  <c r="BW59" i="13"/>
  <c r="BR59" i="13"/>
  <c r="BP59" i="13"/>
  <c r="BK59" i="13"/>
  <c r="BI59" i="13"/>
  <c r="BD59" i="13"/>
  <c r="BB59" i="13"/>
  <c r="AW59" i="13"/>
  <c r="AV59" i="13"/>
  <c r="AQ59" i="13"/>
  <c r="AP59" i="13"/>
  <c r="AI59" i="13"/>
  <c r="AH59" i="13"/>
  <c r="AG59" i="13"/>
  <c r="AF59" i="13"/>
  <c r="AE59" i="13"/>
  <c r="AD59" i="13"/>
  <c r="Y59" i="13"/>
  <c r="X59" i="13"/>
  <c r="DM58" i="13"/>
  <c r="DK58" i="13"/>
  <c r="DJ58" i="13"/>
  <c r="DI58" i="13"/>
  <c r="DH58" i="13"/>
  <c r="DC58" i="13"/>
  <c r="DB58" i="13"/>
  <c r="CW58" i="13"/>
  <c r="CV58" i="13"/>
  <c r="CQ58" i="13"/>
  <c r="CP58" i="13"/>
  <c r="CK58" i="13"/>
  <c r="CJ58" i="13"/>
  <c r="CE58" i="13"/>
  <c r="CD58" i="13"/>
  <c r="BY58" i="13"/>
  <c r="BW58" i="13"/>
  <c r="BR58" i="13"/>
  <c r="BP58" i="13"/>
  <c r="BI58" i="13"/>
  <c r="BD58" i="13"/>
  <c r="BB58" i="13"/>
  <c r="AW58" i="13"/>
  <c r="AV58" i="13"/>
  <c r="AQ58" i="13"/>
  <c r="AP58" i="13"/>
  <c r="AI58" i="13"/>
  <c r="AH58" i="13"/>
  <c r="AG58" i="13"/>
  <c r="AF58" i="13"/>
  <c r="AE58" i="13"/>
  <c r="AD58" i="13"/>
  <c r="Y58" i="13"/>
  <c r="X58" i="13"/>
  <c r="DM57" i="13"/>
  <c r="DK57" i="13"/>
  <c r="DJ57" i="13"/>
  <c r="DI57" i="13"/>
  <c r="DH57" i="13"/>
  <c r="DC57" i="13"/>
  <c r="DB57" i="13"/>
  <c r="CW57" i="13"/>
  <c r="CV57" i="13"/>
  <c r="CQ57" i="13"/>
  <c r="CP57" i="13"/>
  <c r="CK57" i="13"/>
  <c r="CJ57" i="13"/>
  <c r="CE57" i="13"/>
  <c r="CD57" i="13"/>
  <c r="BY57" i="13"/>
  <c r="BW57" i="13"/>
  <c r="BR57" i="13"/>
  <c r="BP57" i="13"/>
  <c r="BK57" i="13"/>
  <c r="BI57" i="13"/>
  <c r="BD57" i="13"/>
  <c r="BB57" i="13"/>
  <c r="AW57" i="13"/>
  <c r="AV57" i="13"/>
  <c r="AQ57" i="13"/>
  <c r="AP57" i="13"/>
  <c r="AI57" i="13"/>
  <c r="AH57" i="13"/>
  <c r="AG57" i="13"/>
  <c r="AF57" i="13"/>
  <c r="AE57" i="13"/>
  <c r="AD57" i="13"/>
  <c r="Y57" i="13"/>
  <c r="X57" i="13"/>
  <c r="DM56" i="13"/>
  <c r="DK56" i="13"/>
  <c r="DJ56" i="13"/>
  <c r="DI56" i="13"/>
  <c r="DH56" i="13"/>
  <c r="DC56" i="13"/>
  <c r="DB56" i="13"/>
  <c r="CW56" i="13"/>
  <c r="CV56" i="13"/>
  <c r="CQ56" i="13"/>
  <c r="CP56" i="13"/>
  <c r="CK56" i="13"/>
  <c r="CJ56" i="13"/>
  <c r="CE56" i="13"/>
  <c r="CD56" i="13"/>
  <c r="BY56" i="13"/>
  <c r="BW56" i="13"/>
  <c r="BR56" i="13"/>
  <c r="BP56" i="13"/>
  <c r="BK56" i="13"/>
  <c r="BI56" i="13"/>
  <c r="BD56" i="13"/>
  <c r="BB56" i="13"/>
  <c r="AW56" i="13"/>
  <c r="AV56" i="13"/>
  <c r="AQ56" i="13"/>
  <c r="AP56" i="13"/>
  <c r="AI56" i="13"/>
  <c r="AH56" i="13"/>
  <c r="AG56" i="13"/>
  <c r="AF56" i="13"/>
  <c r="AE56" i="13"/>
  <c r="AD56" i="13"/>
  <c r="Y56" i="13"/>
  <c r="X56" i="13"/>
  <c r="DM55" i="13"/>
  <c r="DK55" i="13"/>
  <c r="DJ55" i="13"/>
  <c r="DI55" i="13"/>
  <c r="DH55" i="13"/>
  <c r="DC55" i="13"/>
  <c r="DB55" i="13"/>
  <c r="CW55" i="13"/>
  <c r="CV55" i="13"/>
  <c r="CQ55" i="13"/>
  <c r="CP55" i="13"/>
  <c r="CK55" i="13"/>
  <c r="CJ55" i="13"/>
  <c r="CE55" i="13"/>
  <c r="CD55" i="13"/>
  <c r="BY55" i="13"/>
  <c r="BW55" i="13"/>
  <c r="BR55" i="13"/>
  <c r="BP55" i="13"/>
  <c r="BK55" i="13"/>
  <c r="BI55" i="13"/>
  <c r="BD55" i="13"/>
  <c r="BB55" i="13"/>
  <c r="AW55" i="13"/>
  <c r="AV55" i="13"/>
  <c r="AQ55" i="13"/>
  <c r="AP55" i="13"/>
  <c r="AI55" i="13"/>
  <c r="AH55" i="13"/>
  <c r="AG55" i="13"/>
  <c r="AF55" i="13"/>
  <c r="AE55" i="13"/>
  <c r="AD55" i="13"/>
  <c r="Y55" i="13"/>
  <c r="X55" i="13"/>
  <c r="DM54" i="13"/>
  <c r="DK54" i="13"/>
  <c r="DJ54" i="13"/>
  <c r="DI54" i="13"/>
  <c r="DH54" i="13"/>
  <c r="DC54" i="13"/>
  <c r="DB54" i="13"/>
  <c r="CW54" i="13"/>
  <c r="CV54" i="13"/>
  <c r="CQ54" i="13"/>
  <c r="CP54" i="13"/>
  <c r="CK54" i="13"/>
  <c r="CJ54" i="13"/>
  <c r="CE54" i="13"/>
  <c r="CD54" i="13"/>
  <c r="BY54" i="13"/>
  <c r="BW54" i="13"/>
  <c r="BR54" i="13"/>
  <c r="BP54" i="13"/>
  <c r="BK54" i="13"/>
  <c r="BI54" i="13"/>
  <c r="BD54" i="13"/>
  <c r="BB54" i="13"/>
  <c r="AW54" i="13"/>
  <c r="AV54" i="13"/>
  <c r="AQ54" i="13"/>
  <c r="AP54" i="13"/>
  <c r="AI54" i="13"/>
  <c r="AH54" i="13"/>
  <c r="AG54" i="13"/>
  <c r="AF54" i="13"/>
  <c r="AE54" i="13"/>
  <c r="AD54" i="13"/>
  <c r="Y54" i="13"/>
  <c r="X54" i="13"/>
  <c r="DM53" i="13"/>
  <c r="DK53" i="13"/>
  <c r="DJ53" i="13"/>
  <c r="DI53" i="13"/>
  <c r="DH53" i="13"/>
  <c r="DC53" i="13"/>
  <c r="DB53" i="13"/>
  <c r="CW53" i="13"/>
  <c r="CV53" i="13"/>
  <c r="CQ53" i="13"/>
  <c r="CP53" i="13"/>
  <c r="CK53" i="13"/>
  <c r="CJ53" i="13"/>
  <c r="CE53" i="13"/>
  <c r="CD53" i="13"/>
  <c r="BY53" i="13"/>
  <c r="BW53" i="13"/>
  <c r="BR53" i="13"/>
  <c r="BP53" i="13"/>
  <c r="BK53" i="13"/>
  <c r="BI53" i="13"/>
  <c r="BD53" i="13"/>
  <c r="BB53" i="13"/>
  <c r="AW53" i="13"/>
  <c r="AV53" i="13"/>
  <c r="AQ53" i="13"/>
  <c r="AP53" i="13"/>
  <c r="AI53" i="13"/>
  <c r="AH53" i="13"/>
  <c r="AG53" i="13"/>
  <c r="AF53" i="13"/>
  <c r="AE53" i="13"/>
  <c r="AD53" i="13"/>
  <c r="Y53" i="13"/>
  <c r="X53" i="13"/>
  <c r="DM52" i="13"/>
  <c r="DK52" i="13"/>
  <c r="DJ52" i="13"/>
  <c r="DI52" i="13"/>
  <c r="DH52" i="13"/>
  <c r="DC52" i="13"/>
  <c r="DB52" i="13"/>
  <c r="CW52" i="13"/>
  <c r="CV52" i="13"/>
  <c r="CQ52" i="13"/>
  <c r="CP52" i="13"/>
  <c r="CK52" i="13"/>
  <c r="CJ52" i="13"/>
  <c r="CE52" i="13"/>
  <c r="CD52" i="13"/>
  <c r="BY52" i="13"/>
  <c r="BW52" i="13"/>
  <c r="BR52" i="13"/>
  <c r="BP52" i="13"/>
  <c r="BK52" i="13"/>
  <c r="BI52" i="13"/>
  <c r="BD52" i="13"/>
  <c r="BB52" i="13"/>
  <c r="AW52" i="13"/>
  <c r="AV52" i="13"/>
  <c r="AQ52" i="13"/>
  <c r="AP52" i="13"/>
  <c r="AI52" i="13"/>
  <c r="AH52" i="13"/>
  <c r="AG52" i="13"/>
  <c r="AF52" i="13"/>
  <c r="AE52" i="13"/>
  <c r="AD52" i="13"/>
  <c r="Y52" i="13"/>
  <c r="X52" i="13"/>
  <c r="DM51" i="13"/>
  <c r="DK51" i="13"/>
  <c r="DJ51" i="13"/>
  <c r="DI51" i="13"/>
  <c r="DH51" i="13"/>
  <c r="DC51" i="13"/>
  <c r="DB51" i="13"/>
  <c r="CW51" i="13"/>
  <c r="CV51" i="13"/>
  <c r="CQ51" i="13"/>
  <c r="CP51" i="13"/>
  <c r="CK51" i="13"/>
  <c r="CJ51" i="13"/>
  <c r="CE51" i="13"/>
  <c r="CD51" i="13"/>
  <c r="BY51" i="13"/>
  <c r="BW51" i="13"/>
  <c r="BR51" i="13"/>
  <c r="BP51" i="13"/>
  <c r="BK51" i="13"/>
  <c r="BI51" i="13"/>
  <c r="BD51" i="13"/>
  <c r="BB51" i="13"/>
  <c r="AW51" i="13"/>
  <c r="AV51" i="13"/>
  <c r="AQ51" i="13"/>
  <c r="AP51" i="13"/>
  <c r="AI51" i="13"/>
  <c r="AH51" i="13"/>
  <c r="AG51" i="13"/>
  <c r="AF51" i="13"/>
  <c r="AE51" i="13"/>
  <c r="AD51" i="13"/>
  <c r="Y51" i="13"/>
  <c r="X51" i="13"/>
  <c r="DM50" i="13"/>
  <c r="DK50" i="13"/>
  <c r="DJ50" i="13"/>
  <c r="DI50" i="13"/>
  <c r="DH50" i="13"/>
  <c r="DC50" i="13"/>
  <c r="DB50" i="13"/>
  <c r="CW50" i="13"/>
  <c r="CV50" i="13"/>
  <c r="CQ50" i="13"/>
  <c r="CP50" i="13"/>
  <c r="CK50" i="13"/>
  <c r="CJ50" i="13"/>
  <c r="CE50" i="13"/>
  <c r="CD50" i="13"/>
  <c r="BY50" i="13"/>
  <c r="BW50" i="13"/>
  <c r="BR50" i="13"/>
  <c r="BP50" i="13"/>
  <c r="BK50" i="13"/>
  <c r="BI50" i="13"/>
  <c r="BD50" i="13"/>
  <c r="BB50" i="13"/>
  <c r="AW50" i="13"/>
  <c r="AV50" i="13"/>
  <c r="AQ50" i="13"/>
  <c r="AP50" i="13"/>
  <c r="AI50" i="13"/>
  <c r="AH50" i="13"/>
  <c r="AG50" i="13"/>
  <c r="AF50" i="13"/>
  <c r="AE50" i="13"/>
  <c r="AD50" i="13"/>
  <c r="Y50" i="13"/>
  <c r="X50" i="13"/>
  <c r="DM49" i="13"/>
  <c r="DK49" i="13"/>
  <c r="DJ49" i="13"/>
  <c r="DI49" i="13"/>
  <c r="DH49" i="13"/>
  <c r="DC49" i="13"/>
  <c r="DB49" i="13"/>
  <c r="CW49" i="13"/>
  <c r="CV49" i="13"/>
  <c r="CQ49" i="13"/>
  <c r="CP49" i="13"/>
  <c r="CK49" i="13"/>
  <c r="CJ49" i="13"/>
  <c r="CE49" i="13"/>
  <c r="CD49" i="13"/>
  <c r="BY49" i="13"/>
  <c r="BW49" i="13"/>
  <c r="BR49" i="13"/>
  <c r="BP49" i="13"/>
  <c r="BK49" i="13"/>
  <c r="BI49" i="13"/>
  <c r="BD49" i="13"/>
  <c r="BB49" i="13"/>
  <c r="AW49" i="13"/>
  <c r="AV49" i="13"/>
  <c r="AQ49" i="13"/>
  <c r="AP49" i="13"/>
  <c r="AI49" i="13"/>
  <c r="AH49" i="13"/>
  <c r="AG49" i="13"/>
  <c r="AF49" i="13"/>
  <c r="AE49" i="13"/>
  <c r="AD49" i="13"/>
  <c r="Y49" i="13"/>
  <c r="X49" i="13"/>
  <c r="DM48" i="13"/>
  <c r="DK48" i="13"/>
  <c r="DJ48" i="13"/>
  <c r="DI48" i="13"/>
  <c r="DH48" i="13"/>
  <c r="DC48" i="13"/>
  <c r="DB48" i="13"/>
  <c r="CW48" i="13"/>
  <c r="CV48" i="13"/>
  <c r="CQ48" i="13"/>
  <c r="CP48" i="13"/>
  <c r="CK48" i="13"/>
  <c r="CJ48" i="13"/>
  <c r="CE48" i="13"/>
  <c r="CD48" i="13"/>
  <c r="BY48" i="13"/>
  <c r="BW48" i="13"/>
  <c r="BR48" i="13"/>
  <c r="BP48" i="13"/>
  <c r="BK48" i="13"/>
  <c r="BI48" i="13"/>
  <c r="BD48" i="13"/>
  <c r="BB48" i="13"/>
  <c r="AW48" i="13"/>
  <c r="AV48" i="13"/>
  <c r="AQ48" i="13"/>
  <c r="AP48" i="13"/>
  <c r="AI48" i="13"/>
  <c r="AH48" i="13"/>
  <c r="AG48" i="13"/>
  <c r="AF48" i="13"/>
  <c r="AE48" i="13"/>
  <c r="AD48" i="13"/>
  <c r="Y48" i="13"/>
  <c r="X48" i="13"/>
  <c r="DM47" i="13"/>
  <c r="DK47" i="13"/>
  <c r="DJ47" i="13"/>
  <c r="DI47" i="13"/>
  <c r="DH47" i="13"/>
  <c r="DC47" i="13"/>
  <c r="DB47" i="13"/>
  <c r="CW47" i="13"/>
  <c r="CV47" i="13"/>
  <c r="CQ47" i="13"/>
  <c r="CP47" i="13"/>
  <c r="CK47" i="13"/>
  <c r="CJ47" i="13"/>
  <c r="CE47" i="13"/>
  <c r="CD47" i="13"/>
  <c r="BY47" i="13"/>
  <c r="BW47" i="13"/>
  <c r="BR47" i="13"/>
  <c r="BP47" i="13"/>
  <c r="BK47" i="13"/>
  <c r="BI47" i="13"/>
  <c r="BD47" i="13"/>
  <c r="BB47" i="13"/>
  <c r="AW47" i="13"/>
  <c r="AV47" i="13"/>
  <c r="AQ47" i="13"/>
  <c r="AP47" i="13"/>
  <c r="AI47" i="13"/>
  <c r="AH47" i="13"/>
  <c r="AG47" i="13"/>
  <c r="AF47" i="13"/>
  <c r="AE47" i="13"/>
  <c r="AD47" i="13"/>
  <c r="Y47" i="13"/>
  <c r="X47" i="13"/>
  <c r="DM46" i="13"/>
  <c r="DK46" i="13"/>
  <c r="DJ46" i="13"/>
  <c r="DI46" i="13"/>
  <c r="DH46" i="13"/>
  <c r="DC46" i="13"/>
  <c r="DB46" i="13"/>
  <c r="CW46" i="13"/>
  <c r="CV46" i="13"/>
  <c r="CQ46" i="13"/>
  <c r="CP46" i="13"/>
  <c r="CK46" i="13"/>
  <c r="CJ46" i="13"/>
  <c r="CE46" i="13"/>
  <c r="CD46" i="13"/>
  <c r="BY46" i="13"/>
  <c r="BW46" i="13"/>
  <c r="BR46" i="13"/>
  <c r="BP46" i="13"/>
  <c r="BK46" i="13"/>
  <c r="BI46" i="13"/>
  <c r="BD46" i="13"/>
  <c r="BB46" i="13"/>
  <c r="AW46" i="13"/>
  <c r="AV46" i="13"/>
  <c r="AQ46" i="13"/>
  <c r="AP46" i="13"/>
  <c r="AI46" i="13"/>
  <c r="AH46" i="13"/>
  <c r="AG46" i="13"/>
  <c r="AF46" i="13"/>
  <c r="AE46" i="13"/>
  <c r="AD46" i="13"/>
  <c r="Y46" i="13"/>
  <c r="X46" i="13"/>
  <c r="DM45" i="13"/>
  <c r="DK45" i="13"/>
  <c r="DJ45" i="13"/>
  <c r="DI45" i="13"/>
  <c r="DH45" i="13"/>
  <c r="DC45" i="13"/>
  <c r="DB45" i="13"/>
  <c r="CW45" i="13"/>
  <c r="CV45" i="13"/>
  <c r="CQ45" i="13"/>
  <c r="CP45" i="13"/>
  <c r="CK45" i="13"/>
  <c r="CJ45" i="13"/>
  <c r="CE45" i="13"/>
  <c r="CD45" i="13"/>
  <c r="BY45" i="13"/>
  <c r="BW45" i="13"/>
  <c r="BR45" i="13"/>
  <c r="BP45" i="13"/>
  <c r="BK45" i="13"/>
  <c r="BI45" i="13"/>
  <c r="BD45" i="13"/>
  <c r="BB45" i="13"/>
  <c r="AW45" i="13"/>
  <c r="AV45" i="13"/>
  <c r="AQ45" i="13"/>
  <c r="AP45" i="13"/>
  <c r="AI45" i="13"/>
  <c r="AH45" i="13"/>
  <c r="AG45" i="13"/>
  <c r="AF45" i="13"/>
  <c r="AE45" i="13"/>
  <c r="AD45" i="13"/>
  <c r="Y45" i="13"/>
  <c r="X45" i="13"/>
  <c r="DM44" i="13"/>
  <c r="DK44" i="13"/>
  <c r="DJ44" i="13"/>
  <c r="DI44" i="13"/>
  <c r="DH44" i="13"/>
  <c r="DC44" i="13"/>
  <c r="DB44" i="13"/>
  <c r="CW44" i="13"/>
  <c r="CV44" i="13"/>
  <c r="CQ44" i="13"/>
  <c r="CP44" i="13"/>
  <c r="CK44" i="13"/>
  <c r="CJ44" i="13"/>
  <c r="CE44" i="13"/>
  <c r="CD44" i="13"/>
  <c r="BY44" i="13"/>
  <c r="BW44" i="13"/>
  <c r="BR44" i="13"/>
  <c r="BP44" i="13"/>
  <c r="BK44" i="13"/>
  <c r="BI44" i="13"/>
  <c r="BD44" i="13"/>
  <c r="BB44" i="13"/>
  <c r="AW44" i="13"/>
  <c r="AV44" i="13"/>
  <c r="AQ44" i="13"/>
  <c r="AP44" i="13"/>
  <c r="AI44" i="13"/>
  <c r="AH44" i="13"/>
  <c r="AG44" i="13"/>
  <c r="AF44" i="13"/>
  <c r="AE44" i="13"/>
  <c r="AD44" i="13"/>
  <c r="Y44" i="13"/>
  <c r="X44" i="13"/>
  <c r="DM43" i="13"/>
  <c r="DK43" i="13"/>
  <c r="DJ43" i="13"/>
  <c r="DI43" i="13"/>
  <c r="DH43" i="13"/>
  <c r="DC43" i="13"/>
  <c r="DB43" i="13"/>
  <c r="CW43" i="13"/>
  <c r="CV43" i="13"/>
  <c r="CQ43" i="13"/>
  <c r="CP43" i="13"/>
  <c r="CK43" i="13"/>
  <c r="CJ43" i="13"/>
  <c r="CE43" i="13"/>
  <c r="CD43" i="13"/>
  <c r="BY43" i="13"/>
  <c r="BW43" i="13"/>
  <c r="BR43" i="13"/>
  <c r="BP43" i="13"/>
  <c r="BI43" i="13"/>
  <c r="BD43" i="13"/>
  <c r="BB43" i="13"/>
  <c r="AW43" i="13"/>
  <c r="AV43" i="13"/>
  <c r="AQ43" i="13"/>
  <c r="AP43" i="13"/>
  <c r="AI43" i="13"/>
  <c r="AH43" i="13"/>
  <c r="AG43" i="13"/>
  <c r="AF43" i="13"/>
  <c r="AE43" i="13"/>
  <c r="AD43" i="13"/>
  <c r="Y43" i="13"/>
  <c r="X43" i="13"/>
  <c r="DM42" i="13"/>
  <c r="DK42" i="13"/>
  <c r="DJ42" i="13"/>
  <c r="DI42" i="13"/>
  <c r="DH42" i="13"/>
  <c r="DC42" i="13"/>
  <c r="DB42" i="13"/>
  <c r="CW42" i="13"/>
  <c r="CV42" i="13"/>
  <c r="CQ42" i="13"/>
  <c r="CP42" i="13"/>
  <c r="CK42" i="13"/>
  <c r="CJ42" i="13"/>
  <c r="CE42" i="13"/>
  <c r="CD42" i="13"/>
  <c r="BY42" i="13"/>
  <c r="BW42" i="13"/>
  <c r="BR42" i="13"/>
  <c r="BP42" i="13"/>
  <c r="BK42" i="13"/>
  <c r="BI42" i="13"/>
  <c r="BD42" i="13"/>
  <c r="BB42" i="13"/>
  <c r="AW42" i="13"/>
  <c r="AV42" i="13"/>
  <c r="AQ42" i="13"/>
  <c r="AP42" i="13"/>
  <c r="AI42" i="13"/>
  <c r="AH42" i="13"/>
  <c r="AG42" i="13"/>
  <c r="AF42" i="13"/>
  <c r="AE42" i="13"/>
  <c r="AD42" i="13"/>
  <c r="Y42" i="13"/>
  <c r="X42" i="13"/>
  <c r="DM41" i="13"/>
  <c r="DK41" i="13"/>
  <c r="DJ41" i="13"/>
  <c r="DI41" i="13"/>
  <c r="DH41" i="13"/>
  <c r="DC41" i="13"/>
  <c r="DB41" i="13"/>
  <c r="CW41" i="13"/>
  <c r="CV41" i="13"/>
  <c r="CQ41" i="13"/>
  <c r="CP41" i="13"/>
  <c r="CK41" i="13"/>
  <c r="CJ41" i="13"/>
  <c r="CE41" i="13"/>
  <c r="CD41" i="13"/>
  <c r="BY41" i="13"/>
  <c r="BW41" i="13"/>
  <c r="BR41" i="13"/>
  <c r="BP41" i="13"/>
  <c r="BK41" i="13"/>
  <c r="BI41" i="13"/>
  <c r="BD41" i="13"/>
  <c r="BB41" i="13"/>
  <c r="AW41" i="13"/>
  <c r="AV41" i="13"/>
  <c r="AQ41" i="13"/>
  <c r="AP41" i="13"/>
  <c r="AI41" i="13"/>
  <c r="AH41" i="13"/>
  <c r="AG41" i="13"/>
  <c r="AF41" i="13"/>
  <c r="AE41" i="13"/>
  <c r="AD41" i="13"/>
  <c r="Y41" i="13"/>
  <c r="X41" i="13"/>
  <c r="DM40" i="13"/>
  <c r="DK40" i="13"/>
  <c r="DJ40" i="13"/>
  <c r="DI40" i="13"/>
  <c r="DH40" i="13"/>
  <c r="DC40" i="13"/>
  <c r="DB40" i="13"/>
  <c r="CW40" i="13"/>
  <c r="CV40" i="13"/>
  <c r="CQ40" i="13"/>
  <c r="CP40" i="13"/>
  <c r="CK40" i="13"/>
  <c r="CJ40" i="13"/>
  <c r="CE40" i="13"/>
  <c r="CD40" i="13"/>
  <c r="BY40" i="13"/>
  <c r="BW40" i="13"/>
  <c r="BR40" i="13"/>
  <c r="BP40" i="13"/>
  <c r="BK40" i="13"/>
  <c r="BI40" i="13"/>
  <c r="BD40" i="13"/>
  <c r="BB40" i="13"/>
  <c r="AW40" i="13"/>
  <c r="AV40" i="13"/>
  <c r="AQ40" i="13"/>
  <c r="AP40" i="13"/>
  <c r="AI40" i="13"/>
  <c r="AH40" i="13"/>
  <c r="AG40" i="13"/>
  <c r="AF40" i="13"/>
  <c r="AE40" i="13"/>
  <c r="AD40" i="13"/>
  <c r="Y40" i="13"/>
  <c r="X40" i="13"/>
  <c r="DM39" i="13"/>
  <c r="DK39" i="13"/>
  <c r="DJ39" i="13"/>
  <c r="DI39" i="13"/>
  <c r="DH39" i="13"/>
  <c r="DC39" i="13"/>
  <c r="DB39" i="13"/>
  <c r="CW39" i="13"/>
  <c r="CV39" i="13"/>
  <c r="CQ39" i="13"/>
  <c r="CP39" i="13"/>
  <c r="CK39" i="13"/>
  <c r="CJ39" i="13"/>
  <c r="CE39" i="13"/>
  <c r="CD39" i="13"/>
  <c r="BY39" i="13"/>
  <c r="BW39" i="13"/>
  <c r="BR39" i="13"/>
  <c r="BP39" i="13"/>
  <c r="BK39" i="13"/>
  <c r="BI39" i="13"/>
  <c r="BD39" i="13"/>
  <c r="BB39" i="13"/>
  <c r="AW39" i="13"/>
  <c r="AV39" i="13"/>
  <c r="AQ39" i="13"/>
  <c r="AP39" i="13"/>
  <c r="AI39" i="13"/>
  <c r="AH39" i="13"/>
  <c r="AG39" i="13"/>
  <c r="AF39" i="13"/>
  <c r="AE39" i="13"/>
  <c r="AD39" i="13"/>
  <c r="Y39" i="13"/>
  <c r="X39" i="13"/>
  <c r="DM38" i="13"/>
  <c r="DK38" i="13"/>
  <c r="DJ38" i="13"/>
  <c r="DI38" i="13"/>
  <c r="DH38" i="13"/>
  <c r="DC38" i="13"/>
  <c r="DB38" i="13"/>
  <c r="CW38" i="13"/>
  <c r="CV38" i="13"/>
  <c r="CQ38" i="13"/>
  <c r="CP38" i="13"/>
  <c r="CK38" i="13"/>
  <c r="CJ38" i="13"/>
  <c r="CE38" i="13"/>
  <c r="CD38" i="13"/>
  <c r="BY38" i="13"/>
  <c r="BW38" i="13"/>
  <c r="BR38" i="13"/>
  <c r="BP38" i="13"/>
  <c r="BK38" i="13"/>
  <c r="BI38" i="13"/>
  <c r="BD38" i="13"/>
  <c r="BB38" i="13"/>
  <c r="AW38" i="13"/>
  <c r="AV38" i="13"/>
  <c r="AQ38" i="13"/>
  <c r="AP38" i="13"/>
  <c r="AI38" i="13"/>
  <c r="AH38" i="13"/>
  <c r="AG38" i="13"/>
  <c r="AF38" i="13"/>
  <c r="AE38" i="13"/>
  <c r="AD38" i="13"/>
  <c r="Y38" i="13"/>
  <c r="X38" i="13"/>
  <c r="DM37" i="13"/>
  <c r="DK37" i="13"/>
  <c r="DJ37" i="13"/>
  <c r="DI37" i="13"/>
  <c r="DH37" i="13"/>
  <c r="DC37" i="13"/>
  <c r="DB37" i="13"/>
  <c r="CW37" i="13"/>
  <c r="CV37" i="13"/>
  <c r="CQ37" i="13"/>
  <c r="CP37" i="13"/>
  <c r="CK37" i="13"/>
  <c r="CJ37" i="13"/>
  <c r="CE37" i="13"/>
  <c r="CD37" i="13"/>
  <c r="BY37" i="13"/>
  <c r="BW37" i="13"/>
  <c r="BR37" i="13"/>
  <c r="BP37" i="13"/>
  <c r="BK37" i="13"/>
  <c r="BI37" i="13"/>
  <c r="BD37" i="13"/>
  <c r="BB37" i="13"/>
  <c r="AW37" i="13"/>
  <c r="AV37" i="13"/>
  <c r="AQ37" i="13"/>
  <c r="AP37" i="13"/>
  <c r="AI37" i="13"/>
  <c r="AH37" i="13"/>
  <c r="AG37" i="13"/>
  <c r="AF37" i="13"/>
  <c r="AE37" i="13"/>
  <c r="AD37" i="13"/>
  <c r="Y37" i="13"/>
  <c r="X37" i="13"/>
  <c r="DM36" i="13"/>
  <c r="DK36" i="13"/>
  <c r="DJ36" i="13"/>
  <c r="DI36" i="13"/>
  <c r="DH36" i="13"/>
  <c r="DC36" i="13"/>
  <c r="DB36" i="13"/>
  <c r="CW36" i="13"/>
  <c r="CV36" i="13"/>
  <c r="CQ36" i="13"/>
  <c r="CP36" i="13"/>
  <c r="CK36" i="13"/>
  <c r="CJ36" i="13"/>
  <c r="CE36" i="13"/>
  <c r="CD36" i="13"/>
  <c r="BY36" i="13"/>
  <c r="BW36" i="13"/>
  <c r="BR36" i="13"/>
  <c r="BP36" i="13"/>
  <c r="BK36" i="13"/>
  <c r="BI36" i="13"/>
  <c r="BD36" i="13"/>
  <c r="BB36" i="13"/>
  <c r="AW36" i="13"/>
  <c r="AV36" i="13"/>
  <c r="AQ36" i="13"/>
  <c r="AP36" i="13"/>
  <c r="AI36" i="13"/>
  <c r="AH36" i="13"/>
  <c r="AG36" i="13"/>
  <c r="AF36" i="13"/>
  <c r="AE36" i="13"/>
  <c r="AD36" i="13"/>
  <c r="Y36" i="13"/>
  <c r="X36" i="13"/>
  <c r="DM35" i="13"/>
  <c r="DK35" i="13"/>
  <c r="DJ35" i="13"/>
  <c r="DI35" i="13"/>
  <c r="DH35" i="13"/>
  <c r="DC35" i="13"/>
  <c r="DB35" i="13"/>
  <c r="CW35" i="13"/>
  <c r="CV35" i="13"/>
  <c r="CQ35" i="13"/>
  <c r="CP35" i="13"/>
  <c r="CK35" i="13"/>
  <c r="CJ35" i="13"/>
  <c r="CE35" i="13"/>
  <c r="CD35" i="13"/>
  <c r="BY35" i="13"/>
  <c r="BW35" i="13"/>
  <c r="BR35" i="13"/>
  <c r="BP35" i="13"/>
  <c r="BK35" i="13"/>
  <c r="BI35" i="13"/>
  <c r="BD35" i="13"/>
  <c r="BB35" i="13"/>
  <c r="AW35" i="13"/>
  <c r="AV35" i="13"/>
  <c r="AQ35" i="13"/>
  <c r="AP35" i="13"/>
  <c r="AI35" i="13"/>
  <c r="AH35" i="13"/>
  <c r="AG35" i="13"/>
  <c r="AF35" i="13"/>
  <c r="AE35" i="13"/>
  <c r="AD35" i="13"/>
  <c r="Y35" i="13"/>
  <c r="X35" i="13"/>
  <c r="DM34" i="13"/>
  <c r="DK34" i="13"/>
  <c r="DJ34" i="13"/>
  <c r="DI34" i="13"/>
  <c r="DH34" i="13"/>
  <c r="DC34" i="13"/>
  <c r="DB34" i="13"/>
  <c r="CW34" i="13"/>
  <c r="CV34" i="13"/>
  <c r="CQ34" i="13"/>
  <c r="CP34" i="13"/>
  <c r="CK34" i="13"/>
  <c r="CJ34" i="13"/>
  <c r="CE34" i="13"/>
  <c r="CD34" i="13"/>
  <c r="BY34" i="13"/>
  <c r="BW34" i="13"/>
  <c r="BR34" i="13"/>
  <c r="BP34" i="13"/>
  <c r="BK34" i="13"/>
  <c r="BI34" i="13"/>
  <c r="BD34" i="13"/>
  <c r="BB34" i="13"/>
  <c r="AW34" i="13"/>
  <c r="AV34" i="13"/>
  <c r="AQ34" i="13"/>
  <c r="AP34" i="13"/>
  <c r="AI34" i="13"/>
  <c r="AH34" i="13"/>
  <c r="AG34" i="13"/>
  <c r="AF34" i="13"/>
  <c r="AE34" i="13"/>
  <c r="AD34" i="13"/>
  <c r="Y34" i="13"/>
  <c r="X34" i="13"/>
  <c r="DM33" i="13"/>
  <c r="DK33" i="13"/>
  <c r="DJ33" i="13"/>
  <c r="DI33" i="13"/>
  <c r="DH33" i="13"/>
  <c r="DC33" i="13"/>
  <c r="DB33" i="13"/>
  <c r="CW33" i="13"/>
  <c r="CV33" i="13"/>
  <c r="CQ33" i="13"/>
  <c r="CP33" i="13"/>
  <c r="CK33" i="13"/>
  <c r="CJ33" i="13"/>
  <c r="CE33" i="13"/>
  <c r="CD33" i="13"/>
  <c r="BY33" i="13"/>
  <c r="BW33" i="13"/>
  <c r="BR33" i="13"/>
  <c r="BP33" i="13"/>
  <c r="BK33" i="13"/>
  <c r="BI33" i="13"/>
  <c r="BD33" i="13"/>
  <c r="BB33" i="13"/>
  <c r="AW33" i="13"/>
  <c r="AV33" i="13"/>
  <c r="AQ33" i="13"/>
  <c r="AP33" i="13"/>
  <c r="AI33" i="13"/>
  <c r="AH33" i="13"/>
  <c r="AG33" i="13"/>
  <c r="AF33" i="13"/>
  <c r="AE33" i="13"/>
  <c r="AD33" i="13"/>
  <c r="Y33" i="13"/>
  <c r="X33" i="13"/>
  <c r="DM32" i="13"/>
  <c r="DK32" i="13"/>
  <c r="DJ32" i="13"/>
  <c r="DI32" i="13"/>
  <c r="DH32" i="13"/>
  <c r="DC32" i="13"/>
  <c r="DB32" i="13"/>
  <c r="CW32" i="13"/>
  <c r="CV32" i="13"/>
  <c r="CQ32" i="13"/>
  <c r="CP32" i="13"/>
  <c r="CK32" i="13"/>
  <c r="CJ32" i="13"/>
  <c r="CE32" i="13"/>
  <c r="CD32" i="13"/>
  <c r="BY32" i="13"/>
  <c r="BW32" i="13"/>
  <c r="BR32" i="13"/>
  <c r="BP32" i="13"/>
  <c r="BK32" i="13"/>
  <c r="BI32" i="13"/>
  <c r="BD32" i="13"/>
  <c r="BB32" i="13"/>
  <c r="AW32" i="13"/>
  <c r="AV32" i="13"/>
  <c r="AQ32" i="13"/>
  <c r="AP32" i="13"/>
  <c r="AI32" i="13"/>
  <c r="AH32" i="13"/>
  <c r="AG32" i="13"/>
  <c r="AF32" i="13"/>
  <c r="AE32" i="13"/>
  <c r="AD32" i="13"/>
  <c r="Y32" i="13"/>
  <c r="X32" i="13"/>
  <c r="DM31" i="13"/>
  <c r="DK31" i="13"/>
  <c r="DJ31" i="13"/>
  <c r="DI31" i="13"/>
  <c r="DH31" i="13"/>
  <c r="DC31" i="13"/>
  <c r="DB31" i="13"/>
  <c r="CW31" i="13"/>
  <c r="CV31" i="13"/>
  <c r="CQ31" i="13"/>
  <c r="CP31" i="13"/>
  <c r="CK31" i="13"/>
  <c r="CJ31" i="13"/>
  <c r="CE31" i="13"/>
  <c r="CD31" i="13"/>
  <c r="BY31" i="13"/>
  <c r="BW31" i="13"/>
  <c r="BR31" i="13"/>
  <c r="BP31" i="13"/>
  <c r="BI31" i="13"/>
  <c r="BD31" i="13"/>
  <c r="BB31" i="13"/>
  <c r="AW31" i="13"/>
  <c r="AV31" i="13"/>
  <c r="AQ31" i="13"/>
  <c r="AP31" i="13"/>
  <c r="AI31" i="13"/>
  <c r="AH31" i="13"/>
  <c r="AG31" i="13"/>
  <c r="AF31" i="13"/>
  <c r="AE31" i="13"/>
  <c r="AD31" i="13"/>
  <c r="Y31" i="13"/>
  <c r="X31" i="13"/>
  <c r="DM30" i="13"/>
  <c r="DK30" i="13"/>
  <c r="DJ30" i="13"/>
  <c r="DI30" i="13"/>
  <c r="DH30" i="13"/>
  <c r="DC30" i="13"/>
  <c r="DB30" i="13"/>
  <c r="CW30" i="13"/>
  <c r="CV30" i="13"/>
  <c r="CQ30" i="13"/>
  <c r="CP30" i="13"/>
  <c r="CK30" i="13"/>
  <c r="CJ30" i="13"/>
  <c r="CE30" i="13"/>
  <c r="CD30" i="13"/>
  <c r="BY30" i="13"/>
  <c r="BW30" i="13"/>
  <c r="BR30" i="13"/>
  <c r="BP30" i="13"/>
  <c r="BK30" i="13"/>
  <c r="BI30" i="13"/>
  <c r="BD30" i="13"/>
  <c r="BB30" i="13"/>
  <c r="AW30" i="13"/>
  <c r="AV30" i="13"/>
  <c r="AQ30" i="13"/>
  <c r="AP30" i="13"/>
  <c r="AI30" i="13"/>
  <c r="AH30" i="13"/>
  <c r="AG30" i="13"/>
  <c r="AF30" i="13"/>
  <c r="AE30" i="13"/>
  <c r="AD30" i="13"/>
  <c r="Y30" i="13"/>
  <c r="X30" i="13"/>
  <c r="DM29" i="13"/>
  <c r="DK29" i="13"/>
  <c r="DJ29" i="13"/>
  <c r="DI29" i="13"/>
  <c r="DH29" i="13"/>
  <c r="DC29" i="13"/>
  <c r="DB29" i="13"/>
  <c r="CW29" i="13"/>
  <c r="CV29" i="13"/>
  <c r="CQ29" i="13"/>
  <c r="CP29" i="13"/>
  <c r="CK29" i="13"/>
  <c r="CJ29" i="13"/>
  <c r="CE29" i="13"/>
  <c r="CD29" i="13"/>
  <c r="BY29" i="13"/>
  <c r="BW29" i="13"/>
  <c r="BR29" i="13"/>
  <c r="BP29" i="13"/>
  <c r="BI29" i="13"/>
  <c r="BD29" i="13"/>
  <c r="BB29" i="13"/>
  <c r="AW29" i="13"/>
  <c r="AV29" i="13"/>
  <c r="AQ29" i="13"/>
  <c r="AP29" i="13"/>
  <c r="AI29" i="13"/>
  <c r="AH29" i="13"/>
  <c r="AG29" i="13"/>
  <c r="AF29" i="13"/>
  <c r="AE29" i="13"/>
  <c r="AD29" i="13"/>
  <c r="Y29" i="13"/>
  <c r="X29" i="13"/>
  <c r="DM28" i="13"/>
  <c r="DK28" i="13"/>
  <c r="DJ28" i="13"/>
  <c r="DI28" i="13"/>
  <c r="DH28" i="13"/>
  <c r="DC28" i="13"/>
  <c r="DB28" i="13"/>
  <c r="CW28" i="13"/>
  <c r="CV28" i="13"/>
  <c r="CQ28" i="13"/>
  <c r="CP28" i="13"/>
  <c r="CK28" i="13"/>
  <c r="CJ28" i="13"/>
  <c r="CE28" i="13"/>
  <c r="CD28" i="13"/>
  <c r="BY28" i="13"/>
  <c r="BW28" i="13"/>
  <c r="BR28" i="13"/>
  <c r="BP28" i="13"/>
  <c r="BK28" i="13"/>
  <c r="BI28" i="13"/>
  <c r="BD28" i="13"/>
  <c r="BB28" i="13"/>
  <c r="AW28" i="13"/>
  <c r="AV28" i="13"/>
  <c r="AQ28" i="13"/>
  <c r="AP28" i="13"/>
  <c r="AI28" i="13"/>
  <c r="AH28" i="13"/>
  <c r="AG28" i="13"/>
  <c r="AF28" i="13"/>
  <c r="AE28" i="13"/>
  <c r="AD28" i="13"/>
  <c r="Y28" i="13"/>
  <c r="X28" i="13"/>
  <c r="DM27" i="13"/>
  <c r="DK27" i="13"/>
  <c r="DJ27" i="13"/>
  <c r="DI27" i="13"/>
  <c r="DH27" i="13"/>
  <c r="DC27" i="13"/>
  <c r="DB27" i="13"/>
  <c r="CW27" i="13"/>
  <c r="CV27" i="13"/>
  <c r="CQ27" i="13"/>
  <c r="CP27" i="13"/>
  <c r="CK27" i="13"/>
  <c r="CJ27" i="13"/>
  <c r="CE27" i="13"/>
  <c r="CD27" i="13"/>
  <c r="BY27" i="13"/>
  <c r="BW27" i="13"/>
  <c r="BR27" i="13"/>
  <c r="BP27" i="13"/>
  <c r="BK27" i="13"/>
  <c r="BI27" i="13"/>
  <c r="BD27" i="13"/>
  <c r="BB27" i="13"/>
  <c r="AW27" i="13"/>
  <c r="AV27" i="13"/>
  <c r="AQ27" i="13"/>
  <c r="AP27" i="13"/>
  <c r="AI27" i="13"/>
  <c r="AH27" i="13"/>
  <c r="AG27" i="13"/>
  <c r="AF27" i="13"/>
  <c r="AE27" i="13"/>
  <c r="AD27" i="13"/>
  <c r="Y27" i="13"/>
  <c r="X27" i="13"/>
  <c r="DM26" i="13"/>
  <c r="DK26" i="13"/>
  <c r="DJ26" i="13"/>
  <c r="DI26" i="13"/>
  <c r="DH26" i="13"/>
  <c r="DC26" i="13"/>
  <c r="DB26" i="13"/>
  <c r="CW26" i="13"/>
  <c r="CV26" i="13"/>
  <c r="CQ26" i="13"/>
  <c r="CP26" i="13"/>
  <c r="CK26" i="13"/>
  <c r="CJ26" i="13"/>
  <c r="CE26" i="13"/>
  <c r="CD26" i="13"/>
  <c r="BY26" i="13"/>
  <c r="BW26" i="13"/>
  <c r="BR26" i="13"/>
  <c r="BP26" i="13"/>
  <c r="BK26" i="13"/>
  <c r="BI26" i="13"/>
  <c r="BD26" i="13"/>
  <c r="BB26" i="13"/>
  <c r="AW26" i="13"/>
  <c r="AV26" i="13"/>
  <c r="AQ26" i="13"/>
  <c r="AP26" i="13"/>
  <c r="AI26" i="13"/>
  <c r="AH26" i="13"/>
  <c r="AG26" i="13"/>
  <c r="AF26" i="13"/>
  <c r="AE26" i="13"/>
  <c r="AD26" i="13"/>
  <c r="Y26" i="13"/>
  <c r="X26" i="13"/>
  <c r="DM25" i="13"/>
  <c r="DK25" i="13"/>
  <c r="DJ25" i="13"/>
  <c r="DI25" i="13"/>
  <c r="DH25" i="13"/>
  <c r="DC25" i="13"/>
  <c r="DB25" i="13"/>
  <c r="CW25" i="13"/>
  <c r="CV25" i="13"/>
  <c r="CQ25" i="13"/>
  <c r="CP25" i="13"/>
  <c r="CK25" i="13"/>
  <c r="CJ25" i="13"/>
  <c r="CE25" i="13"/>
  <c r="CD25" i="13"/>
  <c r="BY25" i="13"/>
  <c r="BW25" i="13"/>
  <c r="BR25" i="13"/>
  <c r="BP25" i="13"/>
  <c r="BK25" i="13"/>
  <c r="BI25" i="13"/>
  <c r="BD25" i="13"/>
  <c r="BB25" i="13"/>
  <c r="AW25" i="13"/>
  <c r="AV25" i="13"/>
  <c r="AQ25" i="13"/>
  <c r="AP25" i="13"/>
  <c r="AI25" i="13"/>
  <c r="AH25" i="13"/>
  <c r="AG25" i="13"/>
  <c r="AF25" i="13"/>
  <c r="AE25" i="13"/>
  <c r="AD25" i="13"/>
  <c r="Y25" i="13"/>
  <c r="X25" i="13"/>
  <c r="DM24" i="13"/>
  <c r="DK24" i="13"/>
  <c r="DJ24" i="13"/>
  <c r="DI24" i="13"/>
  <c r="DH24" i="13"/>
  <c r="DC24" i="13"/>
  <c r="DB24" i="13"/>
  <c r="CW24" i="13"/>
  <c r="CV24" i="13"/>
  <c r="CQ24" i="13"/>
  <c r="CP24" i="13"/>
  <c r="CK24" i="13"/>
  <c r="CJ24" i="13"/>
  <c r="CE24" i="13"/>
  <c r="CD24" i="13"/>
  <c r="BY24" i="13"/>
  <c r="BW24" i="13"/>
  <c r="BR24" i="13"/>
  <c r="BP24" i="13"/>
  <c r="BK24" i="13"/>
  <c r="BI24" i="13"/>
  <c r="BD24" i="13"/>
  <c r="BB24" i="13"/>
  <c r="AW24" i="13"/>
  <c r="AV24" i="13"/>
  <c r="AQ24" i="13"/>
  <c r="AP24" i="13"/>
  <c r="AI24" i="13"/>
  <c r="AH24" i="13"/>
  <c r="AG24" i="13"/>
  <c r="AF24" i="13"/>
  <c r="AE24" i="13"/>
  <c r="AD24" i="13"/>
  <c r="Y24" i="13"/>
  <c r="X24" i="13"/>
  <c r="DM23" i="13"/>
  <c r="DK23" i="13"/>
  <c r="DJ23" i="13"/>
  <c r="DI23" i="13"/>
  <c r="DH23" i="13"/>
  <c r="DC23" i="13"/>
  <c r="DB23" i="13"/>
  <c r="CW23" i="13"/>
  <c r="CV23" i="13"/>
  <c r="CQ23" i="13"/>
  <c r="CP23" i="13"/>
  <c r="CK23" i="13"/>
  <c r="CJ23" i="13"/>
  <c r="CE23" i="13"/>
  <c r="CD23" i="13"/>
  <c r="BY23" i="13"/>
  <c r="BW23" i="13"/>
  <c r="BR23" i="13"/>
  <c r="BP23" i="13"/>
  <c r="BK23" i="13"/>
  <c r="BI23" i="13"/>
  <c r="BD23" i="13"/>
  <c r="BB23" i="13"/>
  <c r="AW23" i="13"/>
  <c r="AV23" i="13"/>
  <c r="AQ23" i="13"/>
  <c r="AP23" i="13"/>
  <c r="AI23" i="13"/>
  <c r="AH23" i="13"/>
  <c r="AG23" i="13"/>
  <c r="AF23" i="13"/>
  <c r="AE23" i="13"/>
  <c r="AD23" i="13"/>
  <c r="Y23" i="13"/>
  <c r="X23" i="13"/>
  <c r="DM22" i="13"/>
  <c r="DK22" i="13"/>
  <c r="DJ22" i="13"/>
  <c r="DI22" i="13"/>
  <c r="DH22" i="13"/>
  <c r="DC22" i="13"/>
  <c r="DB22" i="13"/>
  <c r="CW22" i="13"/>
  <c r="CV22" i="13"/>
  <c r="CQ22" i="13"/>
  <c r="CP22" i="13"/>
  <c r="CK22" i="13"/>
  <c r="CJ22" i="13"/>
  <c r="CE22" i="13"/>
  <c r="CD22" i="13"/>
  <c r="BY22" i="13"/>
  <c r="BW22" i="13"/>
  <c r="BR22" i="13"/>
  <c r="BP22" i="13"/>
  <c r="BK22" i="13"/>
  <c r="BI22" i="13"/>
  <c r="BD22" i="13"/>
  <c r="BB22" i="13"/>
  <c r="AW22" i="13"/>
  <c r="AV22" i="13"/>
  <c r="AQ22" i="13"/>
  <c r="AP22" i="13"/>
  <c r="AI22" i="13"/>
  <c r="AH22" i="13"/>
  <c r="AG22" i="13"/>
  <c r="AF22" i="13"/>
  <c r="AE22" i="13"/>
  <c r="AD22" i="13"/>
  <c r="Y22" i="13"/>
  <c r="X22" i="13"/>
  <c r="DM21" i="13"/>
  <c r="DK21" i="13"/>
  <c r="DJ21" i="13"/>
  <c r="DI21" i="13"/>
  <c r="DH21" i="13"/>
  <c r="DC21" i="13"/>
  <c r="DB21" i="13"/>
  <c r="CW21" i="13"/>
  <c r="CV21" i="13"/>
  <c r="CQ21" i="13"/>
  <c r="CP21" i="13"/>
  <c r="CK21" i="13"/>
  <c r="CJ21" i="13"/>
  <c r="CE21" i="13"/>
  <c r="CD21" i="13"/>
  <c r="BY21" i="13"/>
  <c r="BW21" i="13"/>
  <c r="BR21" i="13"/>
  <c r="BP21" i="13"/>
  <c r="BK21" i="13"/>
  <c r="BI21" i="13"/>
  <c r="BD21" i="13"/>
  <c r="BB21" i="13"/>
  <c r="AW21" i="13"/>
  <c r="AV21" i="13"/>
  <c r="AQ21" i="13"/>
  <c r="AP21" i="13"/>
  <c r="AI21" i="13"/>
  <c r="AH21" i="13"/>
  <c r="AG21" i="13"/>
  <c r="AF21" i="13"/>
  <c r="AE21" i="13"/>
  <c r="AD21" i="13"/>
  <c r="Y21" i="13"/>
  <c r="X21" i="13"/>
  <c r="DM20" i="13"/>
  <c r="DK20" i="13"/>
  <c r="DJ20" i="13"/>
  <c r="DI20" i="13"/>
  <c r="DH20" i="13"/>
  <c r="DC20" i="13"/>
  <c r="DB20" i="13"/>
  <c r="CW20" i="13"/>
  <c r="CV20" i="13"/>
  <c r="CQ20" i="13"/>
  <c r="CP20" i="13"/>
  <c r="CK20" i="13"/>
  <c r="CJ20" i="13"/>
  <c r="CE20" i="13"/>
  <c r="CD20" i="13"/>
  <c r="BY20" i="13"/>
  <c r="BW20" i="13"/>
  <c r="BR20" i="13"/>
  <c r="BP20" i="13"/>
  <c r="BK20" i="13"/>
  <c r="BI20" i="13"/>
  <c r="BD20" i="13"/>
  <c r="BB20" i="13"/>
  <c r="AW20" i="13"/>
  <c r="AV20" i="13"/>
  <c r="AQ20" i="13"/>
  <c r="AP20" i="13"/>
  <c r="AI20" i="13"/>
  <c r="AH20" i="13"/>
  <c r="AG20" i="13"/>
  <c r="AF20" i="13"/>
  <c r="AE20" i="13"/>
  <c r="AD20" i="13"/>
  <c r="Y20" i="13"/>
  <c r="X20" i="13"/>
  <c r="DM19" i="13"/>
  <c r="DK19" i="13"/>
  <c r="DJ19" i="13"/>
  <c r="DI19" i="13"/>
  <c r="DH19" i="13"/>
  <c r="DC19" i="13"/>
  <c r="DB19" i="13"/>
  <c r="CW19" i="13"/>
  <c r="CV19" i="13"/>
  <c r="CQ19" i="13"/>
  <c r="CP19" i="13"/>
  <c r="CK19" i="13"/>
  <c r="CJ19" i="13"/>
  <c r="CE19" i="13"/>
  <c r="CD19" i="13"/>
  <c r="BY19" i="13"/>
  <c r="BW19" i="13"/>
  <c r="BR19" i="13"/>
  <c r="BP19" i="13"/>
  <c r="BK19" i="13"/>
  <c r="BI19" i="13"/>
  <c r="BD19" i="13"/>
  <c r="BB19" i="13"/>
  <c r="AW19" i="13"/>
  <c r="AV19" i="13"/>
  <c r="AQ19" i="13"/>
  <c r="AP19" i="13"/>
  <c r="AI19" i="13"/>
  <c r="AH19" i="13"/>
  <c r="AG19" i="13"/>
  <c r="AF19" i="13"/>
  <c r="AE19" i="13"/>
  <c r="AD19" i="13"/>
  <c r="Y19" i="13"/>
  <c r="X19" i="13"/>
  <c r="DM18" i="13"/>
  <c r="DK18" i="13"/>
  <c r="DJ18" i="13"/>
  <c r="DI18" i="13"/>
  <c r="DH18" i="13"/>
  <c r="DC18" i="13"/>
  <c r="DB18" i="13"/>
  <c r="CW18" i="13"/>
  <c r="CV18" i="13"/>
  <c r="CQ18" i="13"/>
  <c r="CP18" i="13"/>
  <c r="CK18" i="13"/>
  <c r="CJ18" i="13"/>
  <c r="CE18" i="13"/>
  <c r="CD18" i="13"/>
  <c r="BY18" i="13"/>
  <c r="BW18" i="13"/>
  <c r="BR18" i="13"/>
  <c r="BP18" i="13"/>
  <c r="BK18" i="13"/>
  <c r="BI18" i="13"/>
  <c r="BD18" i="13"/>
  <c r="BB18" i="13"/>
  <c r="AW18" i="13"/>
  <c r="AV18" i="13"/>
  <c r="AQ18" i="13"/>
  <c r="AP18" i="13"/>
  <c r="AI18" i="13"/>
  <c r="AH18" i="13"/>
  <c r="AG18" i="13"/>
  <c r="AF18" i="13"/>
  <c r="AE18" i="13"/>
  <c r="AD18" i="13"/>
  <c r="Y18" i="13"/>
  <c r="X18" i="13"/>
  <c r="DM17" i="13"/>
  <c r="DK17" i="13"/>
  <c r="DJ17" i="13"/>
  <c r="DI17" i="13"/>
  <c r="DH17" i="13"/>
  <c r="DC17" i="13"/>
  <c r="DB17" i="13"/>
  <c r="CW17" i="13"/>
  <c r="CV17" i="13"/>
  <c r="CQ17" i="13"/>
  <c r="CP17" i="13"/>
  <c r="CK17" i="13"/>
  <c r="CJ17" i="13"/>
  <c r="CE17" i="13"/>
  <c r="CD17" i="13"/>
  <c r="BY17" i="13"/>
  <c r="BW17" i="13"/>
  <c r="BR17" i="13"/>
  <c r="BP17" i="13"/>
  <c r="BK17" i="13"/>
  <c r="BI17" i="13"/>
  <c r="BD17" i="13"/>
  <c r="BB17" i="13"/>
  <c r="AW17" i="13"/>
  <c r="AV17" i="13"/>
  <c r="AQ17" i="13"/>
  <c r="AP17" i="13"/>
  <c r="AI17" i="13"/>
  <c r="AH17" i="13"/>
  <c r="AG17" i="13"/>
  <c r="AF17" i="13"/>
  <c r="AE17" i="13"/>
  <c r="AD17" i="13"/>
  <c r="Y17" i="13"/>
  <c r="X17" i="13"/>
  <c r="DM16" i="13"/>
  <c r="DK16" i="13"/>
  <c r="DJ16" i="13"/>
  <c r="DI16" i="13"/>
  <c r="DH16" i="13"/>
  <c r="DC16" i="13"/>
  <c r="DB16" i="13"/>
  <c r="CW16" i="13"/>
  <c r="CV16" i="13"/>
  <c r="CQ16" i="13"/>
  <c r="CP16" i="13"/>
  <c r="CK16" i="13"/>
  <c r="CJ16" i="13"/>
  <c r="CE16" i="13"/>
  <c r="CD16" i="13"/>
  <c r="BY16" i="13"/>
  <c r="BW16" i="13"/>
  <c r="BR16" i="13"/>
  <c r="BP16" i="13"/>
  <c r="BK16" i="13"/>
  <c r="BI16" i="13"/>
  <c r="BD16" i="13"/>
  <c r="BB16" i="13"/>
  <c r="AW16" i="13"/>
  <c r="AV16" i="13"/>
  <c r="AQ16" i="13"/>
  <c r="AP16" i="13"/>
  <c r="AI16" i="13"/>
  <c r="AH16" i="13"/>
  <c r="AG16" i="13"/>
  <c r="AF16" i="13"/>
  <c r="AE16" i="13"/>
  <c r="AD16" i="13"/>
  <c r="Y16" i="13"/>
  <c r="X16" i="13"/>
  <c r="DM15" i="13"/>
  <c r="DK15" i="13"/>
  <c r="DJ15" i="13"/>
  <c r="DI15" i="13"/>
  <c r="DH15" i="13"/>
  <c r="DC15" i="13"/>
  <c r="DB15" i="13"/>
  <c r="CW15" i="13"/>
  <c r="CV15" i="13"/>
  <c r="CQ15" i="13"/>
  <c r="CP15" i="13"/>
  <c r="CK15" i="13"/>
  <c r="CJ15" i="13"/>
  <c r="CE15" i="13"/>
  <c r="CD15" i="13"/>
  <c r="BY15" i="13"/>
  <c r="BW15" i="13"/>
  <c r="BR15" i="13"/>
  <c r="BP15" i="13"/>
  <c r="BK15" i="13"/>
  <c r="BI15" i="13"/>
  <c r="BD15" i="13"/>
  <c r="BB15" i="13"/>
  <c r="AW15" i="13"/>
  <c r="AV15" i="13"/>
  <c r="AQ15" i="13"/>
  <c r="AP15" i="13"/>
  <c r="AI15" i="13"/>
  <c r="AH15" i="13"/>
  <c r="AG15" i="13"/>
  <c r="AF15" i="13"/>
  <c r="AE15" i="13"/>
  <c r="AD15" i="13"/>
  <c r="Y15" i="13"/>
  <c r="X15" i="13"/>
  <c r="DM14" i="13"/>
  <c r="DK14" i="13"/>
  <c r="DJ14" i="13"/>
  <c r="DI14" i="13"/>
  <c r="DH14" i="13"/>
  <c r="DC14" i="13"/>
  <c r="DB14" i="13"/>
  <c r="CW14" i="13"/>
  <c r="CV14" i="13"/>
  <c r="CQ14" i="13"/>
  <c r="CP14" i="13"/>
  <c r="CK14" i="13"/>
  <c r="CJ14" i="13"/>
  <c r="CE14" i="13"/>
  <c r="CD14" i="13"/>
  <c r="BY14" i="13"/>
  <c r="BW14" i="13"/>
  <c r="BR14" i="13"/>
  <c r="BP14" i="13"/>
  <c r="BK14" i="13"/>
  <c r="BI14" i="13"/>
  <c r="BD14" i="13"/>
  <c r="BB14" i="13"/>
  <c r="AW14" i="13"/>
  <c r="AV14" i="13"/>
  <c r="AQ14" i="13"/>
  <c r="AP14" i="13"/>
  <c r="AI14" i="13"/>
  <c r="AH14" i="13"/>
  <c r="AG14" i="13"/>
  <c r="AF14" i="13"/>
  <c r="AE14" i="13"/>
  <c r="AD14" i="13"/>
  <c r="Y14" i="13"/>
  <c r="X14" i="13"/>
  <c r="DM13" i="13"/>
  <c r="DK13" i="13"/>
  <c r="DJ13" i="13"/>
  <c r="DI13" i="13"/>
  <c r="DH13" i="13"/>
  <c r="DC13" i="13"/>
  <c r="DB13" i="13"/>
  <c r="CW13" i="13"/>
  <c r="CV13" i="13"/>
  <c r="CQ13" i="13"/>
  <c r="CP13" i="13"/>
  <c r="CK13" i="13"/>
  <c r="CJ13" i="13"/>
  <c r="CE13" i="13"/>
  <c r="CD13" i="13"/>
  <c r="BY13" i="13"/>
  <c r="BW13" i="13"/>
  <c r="BR13" i="13"/>
  <c r="BP13" i="13"/>
  <c r="BK13" i="13"/>
  <c r="BI13" i="13"/>
  <c r="BD13" i="13"/>
  <c r="BB13" i="13"/>
  <c r="AW13" i="13"/>
  <c r="AV13" i="13"/>
  <c r="AQ13" i="13"/>
  <c r="AP13" i="13"/>
  <c r="AI13" i="13"/>
  <c r="AH13" i="13"/>
  <c r="AG13" i="13"/>
  <c r="AF13" i="13"/>
  <c r="AE13" i="13"/>
  <c r="AD13" i="13"/>
  <c r="Y13" i="13"/>
  <c r="X13" i="13"/>
  <c r="DM12" i="13"/>
  <c r="DK12" i="13"/>
  <c r="DJ12" i="13"/>
  <c r="DI12" i="13"/>
  <c r="DH12" i="13"/>
  <c r="DC12" i="13"/>
  <c r="DB12" i="13"/>
  <c r="CW12" i="13"/>
  <c r="CV12" i="13"/>
  <c r="CQ12" i="13"/>
  <c r="CP12" i="13"/>
  <c r="CK12" i="13"/>
  <c r="CJ12" i="13"/>
  <c r="CE12" i="13"/>
  <c r="CD12" i="13"/>
  <c r="BY12" i="13"/>
  <c r="BW12" i="13"/>
  <c r="BR12" i="13"/>
  <c r="BP12" i="13"/>
  <c r="BK12" i="13"/>
  <c r="BI12" i="13"/>
  <c r="BD12" i="13"/>
  <c r="BB12" i="13"/>
  <c r="AW12" i="13"/>
  <c r="AV12" i="13"/>
  <c r="AQ12" i="13"/>
  <c r="AP12" i="13"/>
  <c r="AI12" i="13"/>
  <c r="AH12" i="13"/>
  <c r="AG12" i="13"/>
  <c r="AF12" i="13"/>
  <c r="AE12" i="13"/>
  <c r="AD12" i="13"/>
  <c r="Y12" i="13"/>
  <c r="X12" i="13"/>
  <c r="DM11" i="13"/>
  <c r="DK11" i="13"/>
  <c r="DJ11" i="13"/>
  <c r="DI11" i="13"/>
  <c r="DH11" i="13"/>
  <c r="DC11" i="13"/>
  <c r="DB11" i="13"/>
  <c r="CW11" i="13"/>
  <c r="CV11" i="13"/>
  <c r="CQ11" i="13"/>
  <c r="CP11" i="13"/>
  <c r="CK11" i="13"/>
  <c r="CJ11" i="13"/>
  <c r="CE11" i="13"/>
  <c r="CD11" i="13"/>
  <c r="BY11" i="13"/>
  <c r="BW11" i="13"/>
  <c r="BR11" i="13"/>
  <c r="BP11" i="13"/>
  <c r="BK11" i="13"/>
  <c r="BI11" i="13"/>
  <c r="BD11" i="13"/>
  <c r="BB11" i="13"/>
  <c r="AW11" i="13"/>
  <c r="AV11" i="13"/>
  <c r="AQ11" i="13"/>
  <c r="AP11" i="13"/>
  <c r="AI11" i="13"/>
  <c r="AH11" i="13"/>
  <c r="AG11" i="13"/>
  <c r="AF11" i="13"/>
  <c r="AE11" i="13"/>
  <c r="AD11" i="13"/>
  <c r="Y11" i="13"/>
  <c r="X11" i="13"/>
  <c r="DM10" i="13"/>
  <c r="DK10" i="13"/>
  <c r="DJ10" i="13"/>
  <c r="DI10" i="13"/>
  <c r="DH10" i="13"/>
  <c r="DC10" i="13"/>
  <c r="DB10" i="13"/>
  <c r="CW10" i="13"/>
  <c r="CV10" i="13"/>
  <c r="CQ10" i="13"/>
  <c r="CP10" i="13"/>
  <c r="CK10" i="13"/>
  <c r="CJ10" i="13"/>
  <c r="CE10" i="13"/>
  <c r="CD10" i="13"/>
  <c r="BY10" i="13"/>
  <c r="BW10" i="13"/>
  <c r="BR10" i="13"/>
  <c r="BP10" i="13"/>
  <c r="BK10" i="13"/>
  <c r="BI10" i="13"/>
  <c r="BD10" i="13"/>
  <c r="BB10" i="13"/>
  <c r="AW10" i="13"/>
  <c r="AV10" i="13"/>
  <c r="AQ10" i="13"/>
  <c r="AP10" i="13"/>
  <c r="AI10" i="13"/>
  <c r="AH10" i="13"/>
  <c r="AG10" i="13"/>
  <c r="AF10" i="13"/>
  <c r="AE10" i="13"/>
  <c r="AD10" i="13"/>
  <c r="Y10" i="13"/>
  <c r="X10" i="13"/>
  <c r="DM9" i="13"/>
  <c r="DK9" i="13"/>
  <c r="DJ9" i="13"/>
  <c r="DI9" i="13"/>
  <c r="DH9" i="13"/>
  <c r="DC9" i="13"/>
  <c r="DB9" i="13"/>
  <c r="CW9" i="13"/>
  <c r="CV9" i="13"/>
  <c r="CQ9" i="13"/>
  <c r="CP9" i="13"/>
  <c r="CK9" i="13"/>
  <c r="CJ9" i="13"/>
  <c r="CE9" i="13"/>
  <c r="CD9" i="13"/>
  <c r="BY9" i="13"/>
  <c r="BW9" i="13"/>
  <c r="BR9" i="13"/>
  <c r="BP9" i="13"/>
  <c r="BK9" i="13"/>
  <c r="BI9" i="13"/>
  <c r="BD9" i="13"/>
  <c r="BB9" i="13"/>
  <c r="AW9" i="13"/>
  <c r="AV9" i="13"/>
  <c r="AQ9" i="13"/>
  <c r="AP9" i="13"/>
  <c r="AI9" i="13"/>
  <c r="AH9" i="13"/>
  <c r="AG9" i="13"/>
  <c r="AF9" i="13"/>
  <c r="AE9" i="13"/>
  <c r="AD9" i="13"/>
  <c r="Y9" i="13"/>
  <c r="X9" i="13"/>
  <c r="S9" i="13"/>
  <c r="S7" i="13" s="1"/>
  <c r="R9" i="13"/>
  <c r="R7" i="13" s="1"/>
  <c r="L7" i="15" l="1"/>
  <c r="N7" i="15"/>
  <c r="K7" i="15"/>
  <c r="K7" i="16"/>
  <c r="M9" i="16"/>
  <c r="M7" i="16" s="1"/>
  <c r="G7" i="15"/>
  <c r="BK7" i="14"/>
  <c r="Q29" i="26" s="1"/>
  <c r="CI7" i="14"/>
  <c r="Y29" i="26" s="1"/>
  <c r="DG7" i="14"/>
  <c r="AG29" i="26" s="1"/>
  <c r="AE7" i="14"/>
  <c r="AW7" i="14"/>
  <c r="M29" i="26" s="1"/>
  <c r="BW7" i="14"/>
  <c r="U29" i="26" s="1"/>
  <c r="BB7" i="14"/>
  <c r="CB7" i="14"/>
  <c r="CZ7" i="14"/>
  <c r="CU7" i="14"/>
  <c r="AC29" i="26" s="1"/>
  <c r="AD7" i="14"/>
  <c r="AV7" i="14"/>
  <c r="BV7" i="14"/>
  <c r="CT7" i="14"/>
  <c r="DJ7" i="14"/>
  <c r="Y7" i="14"/>
  <c r="AQ7" i="14"/>
  <c r="K29" i="26" s="1"/>
  <c r="BQ7" i="14"/>
  <c r="S29" i="26" s="1"/>
  <c r="CO7" i="14"/>
  <c r="AA29" i="26" s="1"/>
  <c r="DI7" i="14"/>
  <c r="F22" i="14"/>
  <c r="F47" i="14"/>
  <c r="AH7" i="14"/>
  <c r="BI7" i="14"/>
  <c r="CH7" i="14"/>
  <c r="DF7" i="14"/>
  <c r="K58" i="14"/>
  <c r="M58" i="14" s="1"/>
  <c r="L12" i="14"/>
  <c r="L14" i="14"/>
  <c r="L16" i="14"/>
  <c r="L20" i="14"/>
  <c r="L22" i="14"/>
  <c r="L24" i="14"/>
  <c r="L26" i="14"/>
  <c r="L28" i="14"/>
  <c r="L30" i="14"/>
  <c r="L37" i="14"/>
  <c r="L39" i="14"/>
  <c r="L41" i="14"/>
  <c r="L47" i="14"/>
  <c r="L49" i="14"/>
  <c r="L58" i="14"/>
  <c r="AG7" i="14"/>
  <c r="BD7" i="14"/>
  <c r="O29" i="26" s="1"/>
  <c r="CC7" i="14"/>
  <c r="W29" i="26" s="1"/>
  <c r="DA7" i="14"/>
  <c r="AE29" i="26" s="1"/>
  <c r="AI7" i="14"/>
  <c r="L11" i="14"/>
  <c r="L13" i="14"/>
  <c r="L15" i="14"/>
  <c r="L17" i="14"/>
  <c r="L19" i="14"/>
  <c r="L23" i="14"/>
  <c r="L32" i="14"/>
  <c r="L34" i="14"/>
  <c r="L38" i="14"/>
  <c r="L40" i="14"/>
  <c r="L44" i="14"/>
  <c r="L48" i="14"/>
  <c r="L51" i="14"/>
  <c r="L59" i="14"/>
  <c r="X7" i="14"/>
  <c r="AP7" i="14"/>
  <c r="BP7" i="14"/>
  <c r="CN7" i="14"/>
  <c r="DH7" i="14"/>
  <c r="Y7" i="13"/>
  <c r="BR7" i="13"/>
  <c r="S11" i="26" s="1"/>
  <c r="DK7" i="13"/>
  <c r="AQ7" i="13"/>
  <c r="K11" i="26" s="1"/>
  <c r="CQ7" i="13"/>
  <c r="AA11" i="26" s="1"/>
  <c r="BW7" i="13"/>
  <c r="CV7" i="13"/>
  <c r="DL7" i="13"/>
  <c r="DM7" i="13"/>
  <c r="AV7" i="13"/>
  <c r="CW7" i="13"/>
  <c r="AC11" i="26" s="1"/>
  <c r="BB7" i="13"/>
  <c r="DB7" i="13"/>
  <c r="AE7" i="13"/>
  <c r="CD7" i="13"/>
  <c r="BY7" i="13"/>
  <c r="U11" i="26" s="1"/>
  <c r="AD7" i="13"/>
  <c r="AW7" i="13"/>
  <c r="AF7" i="13"/>
  <c r="AI7" i="13"/>
  <c r="BK7" i="13"/>
  <c r="Q11" i="26" s="1"/>
  <c r="DI7" i="13"/>
  <c r="AG11" i="26" s="1"/>
  <c r="X7" i="13"/>
  <c r="AP7" i="13"/>
  <c r="BP7" i="13"/>
  <c r="CP7" i="13"/>
  <c r="DJ7" i="13"/>
  <c r="AG7" i="13"/>
  <c r="DC7" i="13"/>
  <c r="AE11" i="26" s="1"/>
  <c r="BD7" i="13"/>
  <c r="O11" i="26" s="1"/>
  <c r="CE7" i="13"/>
  <c r="W11" i="26" s="1"/>
  <c r="AH7" i="13"/>
  <c r="BI7" i="13"/>
  <c r="CJ7" i="13"/>
  <c r="DH7" i="13"/>
  <c r="CK7" i="13"/>
  <c r="Y11" i="26" s="1"/>
  <c r="DO150" i="13"/>
  <c r="DO148" i="13"/>
  <c r="L9" i="13"/>
  <c r="L19" i="13"/>
  <c r="L23" i="13"/>
  <c r="L43" i="13"/>
  <c r="L79" i="13"/>
  <c r="L97" i="13"/>
  <c r="L113" i="13"/>
  <c r="L142" i="13"/>
  <c r="L144" i="13"/>
  <c r="L49" i="13"/>
  <c r="L71" i="13"/>
  <c r="L99" i="13"/>
  <c r="L111" i="13"/>
  <c r="L122" i="13"/>
  <c r="L134" i="13"/>
  <c r="L21" i="13"/>
  <c r="L27" i="13"/>
  <c r="L29" i="13"/>
  <c r="L31" i="13"/>
  <c r="L130" i="13"/>
  <c r="L139" i="13"/>
  <c r="L37" i="13"/>
  <c r="L41" i="13"/>
  <c r="L47" i="13"/>
  <c r="L91" i="13"/>
  <c r="L93" i="13"/>
  <c r="L101" i="13"/>
  <c r="L105" i="13"/>
  <c r="L107" i="13"/>
  <c r="L126" i="13"/>
  <c r="L132" i="13"/>
  <c r="L146" i="13"/>
  <c r="L152" i="13"/>
  <c r="L14" i="13"/>
  <c r="L16" i="13"/>
  <c r="L18" i="13"/>
  <c r="L20" i="13"/>
  <c r="L22" i="13"/>
  <c r="L24" i="13"/>
  <c r="L26" i="13"/>
  <c r="L28" i="13"/>
  <c r="L32" i="13"/>
  <c r="L34" i="13"/>
  <c r="L36" i="13"/>
  <c r="L50" i="13"/>
  <c r="L52" i="13"/>
  <c r="L54" i="13"/>
  <c r="L56" i="13"/>
  <c r="L58" i="13"/>
  <c r="L60" i="13"/>
  <c r="L62" i="13"/>
  <c r="L66" i="13"/>
  <c r="L68" i="13"/>
  <c r="L72" i="13"/>
  <c r="L74" i="13"/>
  <c r="L76" i="13"/>
  <c r="L78" i="13"/>
  <c r="L82" i="13"/>
  <c r="L84" i="13"/>
  <c r="L86" i="13"/>
  <c r="L88" i="13"/>
  <c r="L90" i="13"/>
  <c r="L94" i="13"/>
  <c r="L96" i="13"/>
  <c r="L98" i="13"/>
  <c r="L100" i="13"/>
  <c r="L102" i="13"/>
  <c r="L106" i="13"/>
  <c r="L112" i="13"/>
  <c r="L114" i="13"/>
  <c r="L118" i="13"/>
  <c r="L121" i="13"/>
  <c r="L123" i="13"/>
  <c r="L127" i="13"/>
  <c r="L140" i="13"/>
  <c r="L45" i="13"/>
  <c r="L51" i="13"/>
  <c r="L53" i="13"/>
  <c r="L15" i="13"/>
  <c r="L17" i="13"/>
  <c r="L25" i="13"/>
  <c r="L35" i="13"/>
  <c r="L55" i="13"/>
  <c r="L81" i="13"/>
  <c r="L83" i="13"/>
  <c r="L89" i="13"/>
  <c r="DO153" i="13"/>
  <c r="M9" i="15"/>
  <c r="M7" i="15" s="1"/>
  <c r="DL9" i="14"/>
  <c r="F40" i="14"/>
  <c r="DN142" i="13"/>
  <c r="F142" i="13" s="1"/>
  <c r="DN144" i="13"/>
  <c r="F144" i="13" s="1"/>
  <c r="DN146" i="13"/>
  <c r="F146" i="13" s="1"/>
  <c r="DN148" i="13"/>
  <c r="F148" i="13" s="1"/>
  <c r="AJ149" i="13"/>
  <c r="DN150" i="13"/>
  <c r="F150" i="13" s="1"/>
  <c r="AJ135" i="13"/>
  <c r="DN119" i="13"/>
  <c r="F119" i="13" s="1"/>
  <c r="DN143" i="13"/>
  <c r="F143" i="13" s="1"/>
  <c r="AJ152" i="13"/>
  <c r="DN75" i="13"/>
  <c r="F75" i="13" s="1"/>
  <c r="DN77" i="13"/>
  <c r="F77" i="13" s="1"/>
  <c r="AJ78" i="13"/>
  <c r="AJ137" i="13"/>
  <c r="AJ151" i="13"/>
  <c r="DN101" i="13"/>
  <c r="F101" i="13" s="1"/>
  <c r="DN145" i="13"/>
  <c r="F145" i="13" s="1"/>
  <c r="DN79" i="13"/>
  <c r="F79" i="13" s="1"/>
  <c r="DN124" i="13"/>
  <c r="F124" i="13" s="1"/>
  <c r="DO20" i="13"/>
  <c r="DO22" i="13"/>
  <c r="DO24" i="13"/>
  <c r="DO26" i="13"/>
  <c r="DO32" i="13"/>
  <c r="AK33" i="13"/>
  <c r="O33" i="13" s="1"/>
  <c r="AK35" i="13"/>
  <c r="DO36" i="13"/>
  <c r="AK37" i="13"/>
  <c r="DO40" i="13"/>
  <c r="AK41" i="13"/>
  <c r="AK43" i="13"/>
  <c r="DO46" i="13"/>
  <c r="AK47" i="13"/>
  <c r="DO54" i="13"/>
  <c r="DO58" i="13"/>
  <c r="DO66" i="13"/>
  <c r="AK69" i="13"/>
  <c r="L69" i="13" s="1"/>
  <c r="AK75" i="13"/>
  <c r="DO76" i="13"/>
  <c r="AK79" i="13"/>
  <c r="DO84" i="13"/>
  <c r="DO88" i="13"/>
  <c r="DO108" i="13"/>
  <c r="DO112" i="13"/>
  <c r="DO114" i="13"/>
  <c r="DO129" i="13"/>
  <c r="DO131" i="13"/>
  <c r="DO133" i="13"/>
  <c r="DO135" i="13"/>
  <c r="AK136" i="13"/>
  <c r="L136" i="13" s="1"/>
  <c r="DO145" i="13"/>
  <c r="AK9" i="13"/>
  <c r="AJ124" i="13"/>
  <c r="DO45" i="13"/>
  <c r="DO53" i="13"/>
  <c r="AK56" i="13"/>
  <c r="DO57" i="13"/>
  <c r="DO63" i="13"/>
  <c r="AK68" i="13"/>
  <c r="AK70" i="13"/>
  <c r="L70" i="13" s="1"/>
  <c r="DO75" i="13"/>
  <c r="DO77" i="13"/>
  <c r="DO79" i="13"/>
  <c r="DO81" i="13"/>
  <c r="AK82" i="13"/>
  <c r="DO83" i="13"/>
  <c r="AK88" i="13"/>
  <c r="DO91" i="13"/>
  <c r="DO107" i="13"/>
  <c r="AK114" i="13"/>
  <c r="DO126" i="13"/>
  <c r="DO128" i="13"/>
  <c r="DO132" i="13"/>
  <c r="AK135" i="13"/>
  <c r="L135" i="13" s="1"/>
  <c r="AK137" i="13"/>
  <c r="L137" i="13" s="1"/>
  <c r="AK140" i="13"/>
  <c r="DO142" i="13"/>
  <c r="DO144" i="13"/>
  <c r="DO146" i="13"/>
  <c r="AK153" i="13"/>
  <c r="DO62" i="13"/>
  <c r="AK73" i="13"/>
  <c r="L73" i="13" s="1"/>
  <c r="DO86" i="13"/>
  <c r="AK150" i="13"/>
  <c r="AJ80" i="13"/>
  <c r="AJ84" i="13"/>
  <c r="AJ125" i="13"/>
  <c r="AK38" i="13"/>
  <c r="L38" i="13" s="1"/>
  <c r="AK72" i="13"/>
  <c r="AK84" i="13"/>
  <c r="DO89" i="13"/>
  <c r="DO93" i="13"/>
  <c r="DO124" i="13"/>
  <c r="DO130" i="13"/>
  <c r="AJ9" i="13"/>
  <c r="AJ13" i="13"/>
  <c r="AJ37" i="13"/>
  <c r="DN40" i="13"/>
  <c r="F40" i="13" s="1"/>
  <c r="AJ41" i="13"/>
  <c r="AJ43" i="13"/>
  <c r="DN72" i="13"/>
  <c r="F72" i="13" s="1"/>
  <c r="DN74" i="13"/>
  <c r="F74" i="13" s="1"/>
  <c r="DN78" i="13"/>
  <c r="F78" i="13" s="1"/>
  <c r="DN94" i="13"/>
  <c r="F94" i="13" s="1"/>
  <c r="DN108" i="13"/>
  <c r="F108" i="13" s="1"/>
  <c r="DN127" i="13"/>
  <c r="F127" i="13" s="1"/>
  <c r="AJ128" i="13"/>
  <c r="DN137" i="13"/>
  <c r="F137" i="13" s="1"/>
  <c r="DN147" i="13"/>
  <c r="F147" i="13" s="1"/>
  <c r="DN35" i="13"/>
  <c r="F35" i="13" s="1"/>
  <c r="DN41" i="13"/>
  <c r="F41" i="13" s="1"/>
  <c r="DN81" i="13"/>
  <c r="F81" i="13" s="1"/>
  <c r="DN85" i="13"/>
  <c r="F85" i="13" s="1"/>
  <c r="DN87" i="13"/>
  <c r="F87" i="13" s="1"/>
  <c r="DN89" i="13"/>
  <c r="F89" i="13" s="1"/>
  <c r="DN103" i="13"/>
  <c r="F103" i="13" s="1"/>
  <c r="DN105" i="13"/>
  <c r="F105" i="13" s="1"/>
  <c r="DN111" i="13"/>
  <c r="F111" i="13" s="1"/>
  <c r="DN128" i="13"/>
  <c r="F128" i="13" s="1"/>
  <c r="DO11" i="13"/>
  <c r="AK12" i="13"/>
  <c r="AK14" i="13"/>
  <c r="AK16" i="13"/>
  <c r="AK18" i="13"/>
  <c r="DO19" i="13"/>
  <c r="DO25" i="13"/>
  <c r="DO27" i="13"/>
  <c r="DO31" i="13"/>
  <c r="AK32" i="13"/>
  <c r="AK131" i="13"/>
  <c r="O131" i="13" s="1"/>
  <c r="DN20" i="13"/>
  <c r="F20" i="13" s="1"/>
  <c r="AJ21" i="13"/>
  <c r="AJ49" i="13"/>
  <c r="DN58" i="13"/>
  <c r="F58" i="13" s="1"/>
  <c r="DN88" i="13"/>
  <c r="F88" i="13" s="1"/>
  <c r="DN106" i="13"/>
  <c r="F106" i="13" s="1"/>
  <c r="AJ146" i="13"/>
  <c r="DO98" i="13"/>
  <c r="AJ92" i="13"/>
  <c r="DO59" i="13"/>
  <c r="AJ53" i="13"/>
  <c r="DN90" i="13"/>
  <c r="F90" i="13" s="1"/>
  <c r="AJ95" i="13"/>
  <c r="DN133" i="13"/>
  <c r="F133" i="13" s="1"/>
  <c r="DO12" i="13"/>
  <c r="AK115" i="13"/>
  <c r="O115" i="13" s="1"/>
  <c r="DO143" i="13"/>
  <c r="DN49" i="13"/>
  <c r="F49" i="13" s="1"/>
  <c r="AJ64" i="13"/>
  <c r="AJ127" i="13"/>
  <c r="DN132" i="13"/>
  <c r="F132" i="13" s="1"/>
  <c r="AK20" i="13"/>
  <c r="AK60" i="13"/>
  <c r="DO61" i="13"/>
  <c r="AK100" i="13"/>
  <c r="DN22" i="13"/>
  <c r="F22" i="13" s="1"/>
  <c r="AJ23" i="13"/>
  <c r="DN30" i="13"/>
  <c r="F30" i="13" s="1"/>
  <c r="DN62" i="13"/>
  <c r="F62" i="13" s="1"/>
  <c r="AJ63" i="13"/>
  <c r="AJ65" i="13"/>
  <c r="AJ97" i="13"/>
  <c r="AJ134" i="13"/>
  <c r="AJ148" i="13"/>
  <c r="AK65" i="13"/>
  <c r="L65" i="13" s="1"/>
  <c r="AK117" i="13"/>
  <c r="L117" i="13" s="1"/>
  <c r="AJ34" i="13"/>
  <c r="DN51" i="13"/>
  <c r="F51" i="13" s="1"/>
  <c r="AJ52" i="13"/>
  <c r="DN53" i="13"/>
  <c r="F53" i="13" s="1"/>
  <c r="AJ68" i="13"/>
  <c r="DN93" i="13"/>
  <c r="F93" i="13" s="1"/>
  <c r="AJ96" i="13"/>
  <c r="AJ145" i="13"/>
  <c r="AK28" i="13"/>
  <c r="DO33" i="13"/>
  <c r="AK64" i="13"/>
  <c r="O64" i="13" s="1"/>
  <c r="AJ29" i="13"/>
  <c r="AJ89" i="13"/>
  <c r="DN92" i="13"/>
  <c r="F92" i="13" s="1"/>
  <c r="AJ111" i="13"/>
  <c r="DN112" i="13"/>
  <c r="F112" i="13" s="1"/>
  <c r="DN125" i="13"/>
  <c r="F125" i="13" s="1"/>
  <c r="AJ139" i="13"/>
  <c r="AK124" i="13"/>
  <c r="O124" i="13" s="1"/>
  <c r="DO125" i="13"/>
  <c r="AJ38" i="13"/>
  <c r="AJ42" i="13"/>
  <c r="AJ48" i="13"/>
  <c r="DN57" i="13"/>
  <c r="F57" i="13" s="1"/>
  <c r="AJ60" i="13"/>
  <c r="DO41" i="13"/>
  <c r="AK48" i="13"/>
  <c r="L48" i="13" s="1"/>
  <c r="AK125" i="13"/>
  <c r="AK149" i="13"/>
  <c r="O149" i="13" s="1"/>
  <c r="AJ40" i="13"/>
  <c r="DN26" i="13"/>
  <c r="F26" i="13" s="1"/>
  <c r="AJ33" i="13"/>
  <c r="AJ115" i="13"/>
  <c r="DO14" i="13"/>
  <c r="AJ57" i="13"/>
  <c r="DN98" i="13"/>
  <c r="F98" i="13" s="1"/>
  <c r="DN116" i="13"/>
  <c r="F116" i="13" s="1"/>
  <c r="DN21" i="13"/>
  <c r="F21" i="13" s="1"/>
  <c r="DN122" i="13"/>
  <c r="F122" i="13" s="1"/>
  <c r="DO21" i="13"/>
  <c r="DN65" i="13"/>
  <c r="F65" i="13" s="1"/>
  <c r="DN73" i="13"/>
  <c r="F73" i="13" s="1"/>
  <c r="DO49" i="13"/>
  <c r="AK52" i="13"/>
  <c r="AK96" i="13"/>
  <c r="DO101" i="13"/>
  <c r="DO17" i="13"/>
  <c r="DN33" i="13"/>
  <c r="F33" i="13" s="1"/>
  <c r="DN61" i="13"/>
  <c r="F61" i="13" s="1"/>
  <c r="DN71" i="13"/>
  <c r="F71" i="13" s="1"/>
  <c r="AJ74" i="13"/>
  <c r="AJ104" i="13"/>
  <c r="DN140" i="13"/>
  <c r="F140" i="13" s="1"/>
  <c r="AJ17" i="13"/>
  <c r="DN18" i="13"/>
  <c r="F18" i="13" s="1"/>
  <c r="DN50" i="13"/>
  <c r="F50" i="13" s="1"/>
  <c r="AK97" i="13"/>
  <c r="AJ99" i="13"/>
  <c r="AJ101" i="13"/>
  <c r="AJ103" i="13"/>
  <c r="AJ105" i="13"/>
  <c r="AJ114" i="13"/>
  <c r="AJ142" i="13"/>
  <c r="DO44" i="13"/>
  <c r="DN52" i="13"/>
  <c r="F52" i="13" s="1"/>
  <c r="DO69" i="13"/>
  <c r="AJ76" i="13"/>
  <c r="DO115" i="13"/>
  <c r="AJ25" i="13"/>
  <c r="DN34" i="13"/>
  <c r="F34" i="13" s="1"/>
  <c r="DN42" i="13"/>
  <c r="F42" i="13" s="1"/>
  <c r="AJ45" i="13"/>
  <c r="DO52" i="13"/>
  <c r="DN56" i="13"/>
  <c r="F56" i="13" s="1"/>
  <c r="AK76" i="13"/>
  <c r="AK80" i="13"/>
  <c r="O80" i="13" s="1"/>
  <c r="DN130" i="13"/>
  <c r="F130" i="13" s="1"/>
  <c r="DN9" i="13"/>
  <c r="F9" i="13" s="1"/>
  <c r="DN17" i="13"/>
  <c r="F17" i="13" s="1"/>
  <c r="DN19" i="13"/>
  <c r="F19" i="13" s="1"/>
  <c r="AJ20" i="13"/>
  <c r="DO95" i="13"/>
  <c r="DO119" i="13"/>
  <c r="AJ24" i="13"/>
  <c r="DN27" i="13"/>
  <c r="F27" i="13" s="1"/>
  <c r="AJ28" i="13"/>
  <c r="DN39" i="13"/>
  <c r="F39" i="13" s="1"/>
  <c r="DO80" i="13"/>
  <c r="DN82" i="13"/>
  <c r="F82" i="13" s="1"/>
  <c r="AJ119" i="13"/>
  <c r="DN123" i="13"/>
  <c r="F123" i="13" s="1"/>
  <c r="DO51" i="13"/>
  <c r="DO82" i="13"/>
  <c r="AJ85" i="13"/>
  <c r="AK102" i="13"/>
  <c r="AK104" i="13"/>
  <c r="O104" i="13" s="1"/>
  <c r="DO105" i="13"/>
  <c r="DN107" i="13"/>
  <c r="F107" i="13" s="1"/>
  <c r="DO136" i="13"/>
  <c r="AK145" i="13"/>
  <c r="L145" i="13" s="1"/>
  <c r="F14" i="14"/>
  <c r="F23" i="14"/>
  <c r="F26" i="14"/>
  <c r="AK9" i="14"/>
  <c r="O9" i="14" s="1"/>
  <c r="F44" i="14"/>
  <c r="AJ69" i="13"/>
  <c r="AJ73" i="13"/>
  <c r="DN76" i="13"/>
  <c r="F76" i="13" s="1"/>
  <c r="DO78" i="13"/>
  <c r="DN83" i="13"/>
  <c r="F83" i="13" s="1"/>
  <c r="DN84" i="13"/>
  <c r="F84" i="13" s="1"/>
  <c r="DO85" i="13"/>
  <c r="DO90" i="13"/>
  <c r="AK92" i="13"/>
  <c r="L92" i="13" s="1"/>
  <c r="DO94" i="13"/>
  <c r="AK101" i="13"/>
  <c r="DO104" i="13"/>
  <c r="AK105" i="13"/>
  <c r="AJ113" i="13"/>
  <c r="AJ118" i="13"/>
  <c r="AK152" i="13"/>
  <c r="DO37" i="13"/>
  <c r="AK44" i="13"/>
  <c r="O44" i="13" s="1"/>
  <c r="DO72" i="13"/>
  <c r="AJ81" i="13"/>
  <c r="AJ100" i="13"/>
  <c r="DO111" i="13"/>
  <c r="DO116" i="13"/>
  <c r="AK118" i="13"/>
  <c r="AK123" i="13"/>
  <c r="DN126" i="13"/>
  <c r="F126" i="13" s="1"/>
  <c r="DO127" i="13"/>
  <c r="AJ140" i="13"/>
  <c r="DN149" i="13"/>
  <c r="F149" i="13" s="1"/>
  <c r="AJ12" i="13"/>
  <c r="AJ16" i="13"/>
  <c r="AJ22" i="13"/>
  <c r="AK23" i="13"/>
  <c r="AK24" i="13"/>
  <c r="DN46" i="13"/>
  <c r="F46" i="13" s="1"/>
  <c r="AJ122" i="13"/>
  <c r="AJ123" i="13"/>
  <c r="DN131" i="13"/>
  <c r="F131" i="13" s="1"/>
  <c r="DO149" i="13"/>
  <c r="DN45" i="13"/>
  <c r="F45" i="13" s="1"/>
  <c r="AJ150" i="13"/>
  <c r="DN14" i="13"/>
  <c r="F14" i="13" s="1"/>
  <c r="DN29" i="13"/>
  <c r="F29" i="13" s="1"/>
  <c r="AJ31" i="13"/>
  <c r="AJ36" i="13"/>
  <c r="DN38" i="13"/>
  <c r="F38" i="13" s="1"/>
  <c r="AJ46" i="13"/>
  <c r="DN55" i="13"/>
  <c r="F55" i="13" s="1"/>
  <c r="DO56" i="13"/>
  <c r="DN60" i="13"/>
  <c r="F60" i="13" s="1"/>
  <c r="DN66" i="13"/>
  <c r="F66" i="13" s="1"/>
  <c r="AJ67" i="13"/>
  <c r="DN69" i="13"/>
  <c r="F69" i="13" s="1"/>
  <c r="AJ71" i="13"/>
  <c r="AJ72" i="13"/>
  <c r="AK77" i="13"/>
  <c r="O77" i="13" s="1"/>
  <c r="AK78" i="13"/>
  <c r="DO87" i="13"/>
  <c r="DO92" i="13"/>
  <c r="DO97" i="13"/>
  <c r="AK99" i="13"/>
  <c r="DN115" i="13"/>
  <c r="F115" i="13" s="1"/>
  <c r="AJ116" i="13"/>
  <c r="AJ132" i="13"/>
  <c r="DO152" i="13"/>
  <c r="DO9" i="13"/>
  <c r="AK11" i="13"/>
  <c r="L11" i="13" s="1"/>
  <c r="DO13" i="13"/>
  <c r="DN23" i="13"/>
  <c r="F23" i="13" s="1"/>
  <c r="DO29" i="13"/>
  <c r="DO34" i="13"/>
  <c r="AK36" i="13"/>
  <c r="AK40" i="13"/>
  <c r="L40" i="13" s="1"/>
  <c r="DO43" i="13"/>
  <c r="AK46" i="13"/>
  <c r="L46" i="13" s="1"/>
  <c r="DN48" i="13"/>
  <c r="F48" i="13" s="1"/>
  <c r="DO55" i="13"/>
  <c r="DO60" i="13"/>
  <c r="DO65" i="13"/>
  <c r="AK67" i="13"/>
  <c r="O67" i="13" s="1"/>
  <c r="DO73" i="13"/>
  <c r="AJ77" i="13"/>
  <c r="DN80" i="13"/>
  <c r="F80" i="13" s="1"/>
  <c r="DN86" i="13"/>
  <c r="F86" i="13" s="1"/>
  <c r="AJ88" i="13"/>
  <c r="DN91" i="13"/>
  <c r="F91" i="13" s="1"/>
  <c r="AJ93" i="13"/>
  <c r="DO96" i="13"/>
  <c r="DN97" i="13"/>
  <c r="F97" i="13" s="1"/>
  <c r="AJ98" i="13"/>
  <c r="DN104" i="13"/>
  <c r="F104" i="13" s="1"/>
  <c r="AJ107" i="13"/>
  <c r="DO113" i="13"/>
  <c r="AK121" i="13"/>
  <c r="DN129" i="13"/>
  <c r="F129" i="13" s="1"/>
  <c r="AJ131" i="13"/>
  <c r="DO134" i="13"/>
  <c r="AJ136" i="13"/>
  <c r="DN139" i="13"/>
  <c r="F139" i="13" s="1"/>
  <c r="AJ143" i="13"/>
  <c r="AK144" i="13"/>
  <c r="DO147" i="13"/>
  <c r="DN151" i="13"/>
  <c r="F151" i="13" s="1"/>
  <c r="AJ153" i="13"/>
  <c r="DN13" i="13"/>
  <c r="F13" i="13" s="1"/>
  <c r="DN16" i="13"/>
  <c r="F16" i="13" s="1"/>
  <c r="DO23" i="13"/>
  <c r="AK26" i="13"/>
  <c r="DN28" i="13"/>
  <c r="F28" i="13" s="1"/>
  <c r="AJ35" i="13"/>
  <c r="DN37" i="13"/>
  <c r="F37" i="13" s="1"/>
  <c r="AJ39" i="13"/>
  <c r="AK45" i="13"/>
  <c r="DN47" i="13"/>
  <c r="F47" i="13" s="1"/>
  <c r="DO48" i="13"/>
  <c r="AK50" i="13"/>
  <c r="DN54" i="13"/>
  <c r="F54" i="13" s="1"/>
  <c r="AJ56" i="13"/>
  <c r="DN59" i="13"/>
  <c r="F59" i="13" s="1"/>
  <c r="AJ61" i="13"/>
  <c r="DO64" i="13"/>
  <c r="AJ66" i="13"/>
  <c r="AJ70" i="13"/>
  <c r="AJ75" i="13"/>
  <c r="AJ106" i="13"/>
  <c r="AK107" i="13"/>
  <c r="AK108" i="13"/>
  <c r="AK126" i="13"/>
  <c r="AK127" i="13"/>
  <c r="AK142" i="13"/>
  <c r="AK143" i="13"/>
  <c r="DN11" i="13"/>
  <c r="F11" i="13" s="1"/>
  <c r="DN12" i="13"/>
  <c r="F12" i="13" s="1"/>
  <c r="DO15" i="13"/>
  <c r="DO16" i="13"/>
  <c r="DN24" i="13"/>
  <c r="F24" i="13" s="1"/>
  <c r="DO30" i="13"/>
  <c r="DN36" i="13"/>
  <c r="F36" i="13" s="1"/>
  <c r="DO42" i="13"/>
  <c r="AJ44" i="13"/>
  <c r="AJ51" i="13"/>
  <c r="AK53" i="13"/>
  <c r="DN136" i="13"/>
  <c r="F136" i="13" s="1"/>
  <c r="AJ11" i="13"/>
  <c r="AK13" i="13"/>
  <c r="L13" i="13" s="1"/>
  <c r="AK15" i="13"/>
  <c r="DO39" i="13"/>
  <c r="DO68" i="13"/>
  <c r="DO100" i="13"/>
  <c r="DO118" i="13"/>
  <c r="DO10" i="13"/>
  <c r="AJ14" i="13"/>
  <c r="DO28" i="13"/>
  <c r="AJ10" i="13"/>
  <c r="DN10" i="13"/>
  <c r="AK10" i="13"/>
  <c r="DN15" i="13"/>
  <c r="F15" i="13" s="1"/>
  <c r="AJ19" i="13"/>
  <c r="AK21" i="13"/>
  <c r="DN25" i="13"/>
  <c r="F25" i="13" s="1"/>
  <c r="AJ32" i="13"/>
  <c r="AJ54" i="13"/>
  <c r="DN70" i="13"/>
  <c r="F70" i="13" s="1"/>
  <c r="DN102" i="13"/>
  <c r="F102" i="13" s="1"/>
  <c r="DN121" i="13"/>
  <c r="F121" i="13" s="1"/>
  <c r="AJ15" i="13"/>
  <c r="AK17" i="13"/>
  <c r="AJ18" i="13"/>
  <c r="AK19" i="13"/>
  <c r="AK22" i="13"/>
  <c r="DN31" i="13"/>
  <c r="F31" i="13" s="1"/>
  <c r="DN32" i="13"/>
  <c r="F32" i="13" s="1"/>
  <c r="DO35" i="13"/>
  <c r="DO38" i="13"/>
  <c r="AJ47" i="13"/>
  <c r="AK49" i="13"/>
  <c r="AJ50" i="13"/>
  <c r="AK51" i="13"/>
  <c r="AK54" i="13"/>
  <c r="DN63" i="13"/>
  <c r="F63" i="13" s="1"/>
  <c r="DN64" i="13"/>
  <c r="F64" i="13" s="1"/>
  <c r="DO67" i="13"/>
  <c r="DO70" i="13"/>
  <c r="AJ79" i="13"/>
  <c r="AK81" i="13"/>
  <c r="AJ82" i="13"/>
  <c r="AK83" i="13"/>
  <c r="AK86" i="13"/>
  <c r="DN95" i="13"/>
  <c r="F95" i="13" s="1"/>
  <c r="DN96" i="13"/>
  <c r="F96" i="13" s="1"/>
  <c r="DO99" i="13"/>
  <c r="DO102" i="13"/>
  <c r="AJ108" i="13"/>
  <c r="DN113" i="13"/>
  <c r="F113" i="13" s="1"/>
  <c r="DN114" i="13"/>
  <c r="F114" i="13" s="1"/>
  <c r="DO117" i="13"/>
  <c r="DO121" i="13"/>
  <c r="AJ126" i="13"/>
  <c r="AK129" i="13"/>
  <c r="L129" i="13" s="1"/>
  <c r="DN134" i="13"/>
  <c r="F134" i="13" s="1"/>
  <c r="DN135" i="13"/>
  <c r="F135" i="13" s="1"/>
  <c r="DO137" i="13"/>
  <c r="AJ144" i="13"/>
  <c r="AK147" i="13"/>
  <c r="L147" i="13" s="1"/>
  <c r="DN152" i="13"/>
  <c r="F152" i="13" s="1"/>
  <c r="DN153" i="13"/>
  <c r="F153" i="13" s="1"/>
  <c r="AK39" i="13"/>
  <c r="AK42" i="13"/>
  <c r="AK71" i="13"/>
  <c r="AK74" i="13"/>
  <c r="AJ102" i="13"/>
  <c r="AK103" i="13"/>
  <c r="O103" i="13" s="1"/>
  <c r="AK106" i="13"/>
  <c r="AJ117" i="13"/>
  <c r="AK119" i="13"/>
  <c r="AJ121" i="13"/>
  <c r="AK122" i="13"/>
  <c r="AK139" i="13"/>
  <c r="DO151" i="13"/>
  <c r="DO18" i="13"/>
  <c r="AJ27" i="13"/>
  <c r="AK29" i="13"/>
  <c r="AJ30" i="13"/>
  <c r="AK31" i="13"/>
  <c r="AK34" i="13"/>
  <c r="DN43" i="13"/>
  <c r="F43" i="13" s="1"/>
  <c r="DN44" i="13"/>
  <c r="F44" i="13" s="1"/>
  <c r="DO47" i="13"/>
  <c r="DO50" i="13"/>
  <c r="AJ59" i="13"/>
  <c r="AK61" i="13"/>
  <c r="O61" i="13" s="1"/>
  <c r="AJ62" i="13"/>
  <c r="AK63" i="13"/>
  <c r="L63" i="13" s="1"/>
  <c r="AK66" i="13"/>
  <c r="AJ91" i="13"/>
  <c r="AK93" i="13"/>
  <c r="AJ94" i="13"/>
  <c r="AK95" i="13"/>
  <c r="O95" i="13" s="1"/>
  <c r="AK98" i="13"/>
  <c r="AK111" i="13"/>
  <c r="AJ112" i="13"/>
  <c r="AK113" i="13"/>
  <c r="AK116" i="13"/>
  <c r="O116" i="13" s="1"/>
  <c r="AK132" i="13"/>
  <c r="AJ133" i="13"/>
  <c r="AK134" i="13"/>
  <c r="AK25" i="13"/>
  <c r="AJ26" i="13"/>
  <c r="AK27" i="13"/>
  <c r="AK30" i="13"/>
  <c r="O30" i="13" s="1"/>
  <c r="AJ55" i="13"/>
  <c r="AK57" i="13"/>
  <c r="AJ58" i="13"/>
  <c r="AK59" i="13"/>
  <c r="L59" i="13" s="1"/>
  <c r="AK62" i="13"/>
  <c r="AJ87" i="13"/>
  <c r="AK89" i="13"/>
  <c r="AJ90" i="13"/>
  <c r="AK91" i="13"/>
  <c r="AK94" i="13"/>
  <c r="AK112" i="13"/>
  <c r="AJ130" i="13"/>
  <c r="AK133" i="13"/>
  <c r="L133" i="13" s="1"/>
  <c r="AK151" i="13"/>
  <c r="O151" i="13" s="1"/>
  <c r="AK55" i="13"/>
  <c r="AK58" i="13"/>
  <c r="DN67" i="13"/>
  <c r="F67" i="13" s="1"/>
  <c r="DN68" i="13"/>
  <c r="F68" i="13" s="1"/>
  <c r="DO71" i="13"/>
  <c r="DO74" i="13"/>
  <c r="AJ83" i="13"/>
  <c r="AK85" i="13"/>
  <c r="L85" i="13" s="1"/>
  <c r="AJ86" i="13"/>
  <c r="AK87" i="13"/>
  <c r="L87" i="13" s="1"/>
  <c r="AK90" i="13"/>
  <c r="DN99" i="13"/>
  <c r="F99" i="13" s="1"/>
  <c r="DN100" i="13"/>
  <c r="F100" i="13" s="1"/>
  <c r="DO103" i="13"/>
  <c r="DO106" i="13"/>
  <c r="DN117" i="13"/>
  <c r="F117" i="13" s="1"/>
  <c r="DN118" i="13"/>
  <c r="F118" i="13" s="1"/>
  <c r="DO122" i="13"/>
  <c r="DO123" i="13"/>
  <c r="AK128" i="13"/>
  <c r="O128" i="13" s="1"/>
  <c r="AJ129" i="13"/>
  <c r="AK130" i="13"/>
  <c r="DO139" i="13"/>
  <c r="DO140" i="13"/>
  <c r="AK146" i="13"/>
  <c r="AJ147" i="13"/>
  <c r="AK148" i="13"/>
  <c r="O148" i="13" s="1"/>
  <c r="F33" i="14"/>
  <c r="F39" i="14"/>
  <c r="L56" i="14"/>
  <c r="F12" i="14"/>
  <c r="F16" i="14"/>
  <c r="F20" i="14"/>
  <c r="F37" i="14"/>
  <c r="F41" i="14"/>
  <c r="F49" i="14"/>
  <c r="F52" i="14"/>
  <c r="F56" i="14"/>
  <c r="F55" i="14"/>
  <c r="F24" i="14"/>
  <c r="F25" i="14"/>
  <c r="F28" i="14"/>
  <c r="F31" i="14"/>
  <c r="F15" i="14"/>
  <c r="L55" i="14"/>
  <c r="F17" i="14"/>
  <c r="F10" i="14"/>
  <c r="F29" i="14"/>
  <c r="F11" i="14"/>
  <c r="O18" i="14"/>
  <c r="F21" i="14"/>
  <c r="L25" i="14"/>
  <c r="F27" i="14"/>
  <c r="F48" i="14"/>
  <c r="F50" i="14"/>
  <c r="F54" i="14"/>
  <c r="F57" i="14"/>
  <c r="F32" i="14"/>
  <c r="DM9" i="14"/>
  <c r="F13" i="14"/>
  <c r="F18" i="14"/>
  <c r="F19" i="14"/>
  <c r="F30" i="14"/>
  <c r="F38" i="14"/>
  <c r="F34" i="14"/>
  <c r="F51" i="14"/>
  <c r="F53" i="14"/>
  <c r="F58" i="14"/>
  <c r="F59" i="14"/>
  <c r="AJ9" i="14"/>
  <c r="G29" i="26" l="1"/>
  <c r="I29" i="26" s="1"/>
  <c r="AI29" i="26"/>
  <c r="AE47" i="26"/>
  <c r="Q47" i="26"/>
  <c r="AA47" i="26"/>
  <c r="Y47" i="26"/>
  <c r="K47" i="26"/>
  <c r="AC47" i="26"/>
  <c r="M11" i="26"/>
  <c r="AW2" i="13"/>
  <c r="S47" i="26"/>
  <c r="O47" i="26"/>
  <c r="AG47" i="26"/>
  <c r="U47" i="26"/>
  <c r="W47" i="26"/>
  <c r="AW2" i="14"/>
  <c r="AQ2" i="14"/>
  <c r="AQ2" i="13"/>
  <c r="O58" i="14"/>
  <c r="DM7" i="14"/>
  <c r="G27" i="14"/>
  <c r="K27" i="14"/>
  <c r="M27" i="14" s="1"/>
  <c r="AJ7" i="14"/>
  <c r="K16" i="14"/>
  <c r="G16" i="14"/>
  <c r="K30" i="14"/>
  <c r="G30" i="14"/>
  <c r="K53" i="14"/>
  <c r="M53" i="14" s="1"/>
  <c r="G53" i="14"/>
  <c r="G15" i="14"/>
  <c r="K15" i="14"/>
  <c r="G29" i="14"/>
  <c r="K29" i="14"/>
  <c r="M29" i="14" s="1"/>
  <c r="K23" i="14"/>
  <c r="G23" i="14"/>
  <c r="O27" i="14"/>
  <c r="G52" i="14"/>
  <c r="K52" i="14"/>
  <c r="M52" i="14" s="1"/>
  <c r="K19" i="14"/>
  <c r="G19" i="14"/>
  <c r="G59" i="14"/>
  <c r="K59" i="14"/>
  <c r="K54" i="14"/>
  <c r="M54" i="14" s="1"/>
  <c r="G54" i="14"/>
  <c r="G21" i="14"/>
  <c r="K21" i="14"/>
  <c r="M21" i="14" s="1"/>
  <c r="F9" i="14"/>
  <c r="F7" i="14" s="1"/>
  <c r="DL7" i="14"/>
  <c r="O53" i="14"/>
  <c r="O25" i="14"/>
  <c r="G40" i="14"/>
  <c r="K40" i="14"/>
  <c r="K14" i="14"/>
  <c r="G14" i="14"/>
  <c r="G33" i="14"/>
  <c r="K33" i="14"/>
  <c r="M33" i="14" s="1"/>
  <c r="G41" i="14"/>
  <c r="K41" i="14"/>
  <c r="L53" i="14"/>
  <c r="O56" i="14"/>
  <c r="G11" i="14"/>
  <c r="K11" i="14"/>
  <c r="G17" i="14"/>
  <c r="K17" i="14"/>
  <c r="G25" i="14"/>
  <c r="K25" i="14"/>
  <c r="M25" i="14" s="1"/>
  <c r="K39" i="14"/>
  <c r="G39" i="14"/>
  <c r="K50" i="14"/>
  <c r="M50" i="14" s="1"/>
  <c r="G50" i="14"/>
  <c r="K28" i="14"/>
  <c r="G28" i="14"/>
  <c r="G44" i="14"/>
  <c r="K44" i="14"/>
  <c r="K24" i="14"/>
  <c r="G24" i="14"/>
  <c r="G9" i="14"/>
  <c r="AK7" i="14"/>
  <c r="K9" i="14"/>
  <c r="L9" i="14"/>
  <c r="G49" i="14"/>
  <c r="K49" i="14"/>
  <c r="G37" i="14"/>
  <c r="K37" i="14"/>
  <c r="G26" i="14"/>
  <c r="K26" i="14"/>
  <c r="G10" i="14"/>
  <c r="K10" i="14"/>
  <c r="M10" i="14" s="1"/>
  <c r="L54" i="14"/>
  <c r="O33" i="14"/>
  <c r="O10" i="14"/>
  <c r="G57" i="14"/>
  <c r="K57" i="14"/>
  <c r="M57" i="14" s="1"/>
  <c r="G32" i="14"/>
  <c r="K32" i="14"/>
  <c r="G22" i="14"/>
  <c r="K22" i="14"/>
  <c r="K12" i="14"/>
  <c r="G12" i="14"/>
  <c r="G18" i="14"/>
  <c r="K18" i="14"/>
  <c r="M18" i="14" s="1"/>
  <c r="K38" i="14"/>
  <c r="G38" i="14"/>
  <c r="K47" i="14"/>
  <c r="G47" i="14"/>
  <c r="G55" i="14"/>
  <c r="K55" i="14"/>
  <c r="M55" i="14" s="1"/>
  <c r="G51" i="14"/>
  <c r="K51" i="14"/>
  <c r="L57" i="14"/>
  <c r="L50" i="14"/>
  <c r="L29" i="14"/>
  <c r="O21" i="14"/>
  <c r="O54" i="14"/>
  <c r="L33" i="14"/>
  <c r="L18" i="14"/>
  <c r="L10" i="14"/>
  <c r="K34" i="14"/>
  <c r="G34" i="14"/>
  <c r="G13" i="14"/>
  <c r="K13" i="14"/>
  <c r="G56" i="14"/>
  <c r="K56" i="14"/>
  <c r="M56" i="14" s="1"/>
  <c r="K31" i="14"/>
  <c r="M31" i="14" s="1"/>
  <c r="G31" i="14"/>
  <c r="O57" i="14"/>
  <c r="O50" i="14"/>
  <c r="O29" i="14"/>
  <c r="L21" i="14"/>
  <c r="O52" i="14"/>
  <c r="O31" i="14"/>
  <c r="G58" i="14"/>
  <c r="N58" i="14" s="1"/>
  <c r="G48" i="14"/>
  <c r="K48" i="14"/>
  <c r="G20" i="14"/>
  <c r="K20" i="14"/>
  <c r="O55" i="14"/>
  <c r="L27" i="14"/>
  <c r="L52" i="14"/>
  <c r="L31" i="14"/>
  <c r="DO7" i="13"/>
  <c r="AK7" i="13"/>
  <c r="DN7" i="13"/>
  <c r="AJ7" i="13"/>
  <c r="L124" i="13"/>
  <c r="L131" i="13"/>
  <c r="L148" i="13"/>
  <c r="L33" i="13"/>
  <c r="L80" i="13"/>
  <c r="L103" i="13"/>
  <c r="O63" i="13"/>
  <c r="L149" i="13"/>
  <c r="O73" i="13"/>
  <c r="L64" i="13"/>
  <c r="O48" i="13"/>
  <c r="O135" i="13"/>
  <c r="K17" i="13"/>
  <c r="K76" i="13"/>
  <c r="G76" i="13"/>
  <c r="K20" i="13"/>
  <c r="G20" i="13"/>
  <c r="K32" i="13"/>
  <c r="G32" i="13"/>
  <c r="K12" i="13"/>
  <c r="M12" i="13" s="1"/>
  <c r="G12" i="13"/>
  <c r="G75" i="13"/>
  <c r="K75" i="13"/>
  <c r="M75" i="13" s="1"/>
  <c r="G41" i="13"/>
  <c r="K41" i="13"/>
  <c r="O40" i="13"/>
  <c r="O117" i="13"/>
  <c r="K21" i="13"/>
  <c r="K72" i="13"/>
  <c r="G72" i="13"/>
  <c r="G36" i="13"/>
  <c r="K36" i="13"/>
  <c r="K102" i="13"/>
  <c r="G102" i="13"/>
  <c r="K96" i="13"/>
  <c r="G96" i="13"/>
  <c r="G153" i="13"/>
  <c r="K153" i="13"/>
  <c r="M153" i="13" s="1"/>
  <c r="K111" i="13"/>
  <c r="G111" i="13"/>
  <c r="K63" i="13"/>
  <c r="M63" i="13" s="1"/>
  <c r="G63" i="13"/>
  <c r="K34" i="13"/>
  <c r="G34" i="13"/>
  <c r="G122" i="13"/>
  <c r="K122" i="13"/>
  <c r="K71" i="13"/>
  <c r="G71" i="13"/>
  <c r="G10" i="13"/>
  <c r="K10" i="13"/>
  <c r="G108" i="13"/>
  <c r="K108" i="13"/>
  <c r="M108" i="13" s="1"/>
  <c r="K45" i="13"/>
  <c r="G45" i="13"/>
  <c r="G78" i="13"/>
  <c r="K78" i="13"/>
  <c r="G97" i="13"/>
  <c r="K97" i="13"/>
  <c r="K52" i="13"/>
  <c r="G52" i="13"/>
  <c r="G149" i="13"/>
  <c r="K149" i="13"/>
  <c r="M149" i="13" s="1"/>
  <c r="G65" i="13"/>
  <c r="K65" i="13"/>
  <c r="G70" i="13"/>
  <c r="K70" i="13"/>
  <c r="G9" i="13"/>
  <c r="K9" i="13"/>
  <c r="G37" i="13"/>
  <c r="K37" i="13"/>
  <c r="O85" i="13"/>
  <c r="L61" i="13"/>
  <c r="O147" i="13"/>
  <c r="O129" i="13"/>
  <c r="O46" i="13"/>
  <c r="O38" i="13"/>
  <c r="L10" i="13"/>
  <c r="L115" i="13"/>
  <c r="O13" i="13"/>
  <c r="G30" i="13"/>
  <c r="K30" i="13"/>
  <c r="M30" i="13" s="1"/>
  <c r="K104" i="13"/>
  <c r="M104" i="13" s="1"/>
  <c r="G104" i="13"/>
  <c r="K28" i="13"/>
  <c r="G28" i="13"/>
  <c r="G89" i="13"/>
  <c r="K89" i="13"/>
  <c r="G152" i="13"/>
  <c r="K152" i="13"/>
  <c r="G69" i="13"/>
  <c r="K69" i="13"/>
  <c r="L104" i="13"/>
  <c r="G130" i="13"/>
  <c r="K130" i="13"/>
  <c r="K90" i="13"/>
  <c r="G90" i="13"/>
  <c r="K62" i="13"/>
  <c r="G62" i="13"/>
  <c r="G25" i="13"/>
  <c r="K25" i="13"/>
  <c r="K31" i="13"/>
  <c r="G42" i="13"/>
  <c r="K42" i="13"/>
  <c r="M42" i="13" s="1"/>
  <c r="G86" i="13"/>
  <c r="K86" i="13"/>
  <c r="G53" i="13"/>
  <c r="K53" i="13"/>
  <c r="G77" i="13"/>
  <c r="K77" i="13"/>
  <c r="M77" i="13" s="1"/>
  <c r="G24" i="13"/>
  <c r="K24" i="13"/>
  <c r="G125" i="13"/>
  <c r="K125" i="13"/>
  <c r="M125" i="13" s="1"/>
  <c r="K114" i="13"/>
  <c r="G114" i="13"/>
  <c r="K88" i="13"/>
  <c r="G88" i="13"/>
  <c r="K68" i="13"/>
  <c r="G68" i="13"/>
  <c r="L30" i="13"/>
  <c r="O10" i="13"/>
  <c r="L77" i="13"/>
  <c r="K35" i="13"/>
  <c r="G35" i="13"/>
  <c r="O59" i="13"/>
  <c r="L75" i="13"/>
  <c r="O153" i="13"/>
  <c r="O145" i="13"/>
  <c r="O92" i="13"/>
  <c r="L44" i="13"/>
  <c r="O12" i="13"/>
  <c r="O87" i="13"/>
  <c r="L67" i="13"/>
  <c r="O11" i="13"/>
  <c r="K27" i="13"/>
  <c r="G27" i="13"/>
  <c r="K74" i="13"/>
  <c r="G74" i="13"/>
  <c r="G134" i="13"/>
  <c r="K134" i="13"/>
  <c r="G61" i="13"/>
  <c r="K61" i="13"/>
  <c r="M61" i="13" s="1"/>
  <c r="G39" i="13"/>
  <c r="K39" i="13"/>
  <c r="M39" i="13" s="1"/>
  <c r="K54" i="13"/>
  <c r="G54" i="13"/>
  <c r="G136" i="13"/>
  <c r="K136" i="13"/>
  <c r="G128" i="13"/>
  <c r="K128" i="13"/>
  <c r="M128" i="13" s="1"/>
  <c r="K55" i="13"/>
  <c r="G55" i="13"/>
  <c r="K95" i="13"/>
  <c r="M95" i="13" s="1"/>
  <c r="G95" i="13"/>
  <c r="K29" i="13"/>
  <c r="G29" i="13"/>
  <c r="K51" i="13"/>
  <c r="G51" i="13"/>
  <c r="K22" i="13"/>
  <c r="F10" i="13"/>
  <c r="F7" i="13" s="1"/>
  <c r="F2" i="13" s="1"/>
  <c r="K143" i="13"/>
  <c r="M143" i="13" s="1"/>
  <c r="G143" i="13"/>
  <c r="K107" i="13"/>
  <c r="G107" i="13"/>
  <c r="G105" i="13"/>
  <c r="K105" i="13"/>
  <c r="K48" i="13"/>
  <c r="M48" i="13" s="1"/>
  <c r="G48" i="13"/>
  <c r="G100" i="13"/>
  <c r="K100" i="13"/>
  <c r="G18" i="13"/>
  <c r="K18" i="13"/>
  <c r="G150" i="13"/>
  <c r="K150" i="13"/>
  <c r="M150" i="13" s="1"/>
  <c r="G140" i="13"/>
  <c r="K140" i="13"/>
  <c r="K82" i="13"/>
  <c r="G82" i="13"/>
  <c r="K47" i="13"/>
  <c r="G47" i="13"/>
  <c r="G33" i="13"/>
  <c r="K33" i="13"/>
  <c r="M33" i="13" s="1"/>
  <c r="L95" i="13"/>
  <c r="O75" i="13"/>
  <c r="L153" i="13"/>
  <c r="L12" i="13"/>
  <c r="L128" i="13"/>
  <c r="G146" i="13"/>
  <c r="K146" i="13"/>
  <c r="K113" i="13"/>
  <c r="G113" i="13"/>
  <c r="G126" i="13"/>
  <c r="K126" i="13"/>
  <c r="K40" i="13"/>
  <c r="M40" i="13" s="1"/>
  <c r="G40" i="13"/>
  <c r="G112" i="13"/>
  <c r="K112" i="13"/>
  <c r="G66" i="13"/>
  <c r="K66" i="13"/>
  <c r="G139" i="13"/>
  <c r="K139" i="13"/>
  <c r="K67" i="13"/>
  <c r="M67" i="13" s="1"/>
  <c r="G67" i="13"/>
  <c r="G92" i="13"/>
  <c r="K92" i="13"/>
  <c r="M92" i="13" s="1"/>
  <c r="G117" i="13"/>
  <c r="K117" i="13"/>
  <c r="M117" i="13" s="1"/>
  <c r="G38" i="13"/>
  <c r="K38" i="13"/>
  <c r="M38" i="13" s="1"/>
  <c r="K87" i="13"/>
  <c r="M87" i="13" s="1"/>
  <c r="G87" i="13"/>
  <c r="G58" i="13"/>
  <c r="K58" i="13"/>
  <c r="K59" i="13"/>
  <c r="M59" i="13" s="1"/>
  <c r="G59" i="13"/>
  <c r="G98" i="13"/>
  <c r="K98" i="13"/>
  <c r="K119" i="13"/>
  <c r="M119" i="13" s="1"/>
  <c r="G119" i="13"/>
  <c r="G129" i="13"/>
  <c r="K129" i="13"/>
  <c r="M129" i="13" s="1"/>
  <c r="K83" i="13"/>
  <c r="G83" i="13"/>
  <c r="G23" i="13"/>
  <c r="K23" i="13"/>
  <c r="G145" i="13"/>
  <c r="K145" i="13"/>
  <c r="M145" i="13" s="1"/>
  <c r="G85" i="13"/>
  <c r="K85" i="13"/>
  <c r="M85" i="13" s="1"/>
  <c r="G57" i="13"/>
  <c r="K57" i="13"/>
  <c r="M57" i="13" s="1"/>
  <c r="K81" i="13"/>
  <c r="G81" i="13"/>
  <c r="K15" i="13"/>
  <c r="G15" i="13"/>
  <c r="G142" i="13"/>
  <c r="K142" i="13"/>
  <c r="G121" i="13"/>
  <c r="K121" i="13"/>
  <c r="K46" i="13"/>
  <c r="M46" i="13" s="1"/>
  <c r="G46" i="13"/>
  <c r="K11" i="13"/>
  <c r="M11" i="13" s="1"/>
  <c r="G11" i="13"/>
  <c r="K99" i="13"/>
  <c r="G99" i="13"/>
  <c r="K123" i="13"/>
  <c r="G123" i="13"/>
  <c r="G124" i="13"/>
  <c r="K124" i="13"/>
  <c r="M124" i="13" s="1"/>
  <c r="G64" i="13"/>
  <c r="K64" i="13"/>
  <c r="M64" i="13" s="1"/>
  <c r="G115" i="13"/>
  <c r="K115" i="13"/>
  <c r="M115" i="13" s="1"/>
  <c r="K16" i="13"/>
  <c r="G16" i="13"/>
  <c r="G137" i="13"/>
  <c r="K137" i="13"/>
  <c r="G56" i="13"/>
  <c r="K56" i="13"/>
  <c r="K79" i="13"/>
  <c r="G79" i="13"/>
  <c r="O57" i="13"/>
  <c r="O143" i="13"/>
  <c r="O125" i="13"/>
  <c r="L108" i="13"/>
  <c r="O42" i="13"/>
  <c r="O150" i="13"/>
  <c r="L39" i="13"/>
  <c r="O119" i="13"/>
  <c r="G148" i="13"/>
  <c r="K148" i="13"/>
  <c r="M148" i="13" s="1"/>
  <c r="K151" i="13"/>
  <c r="M151" i="13" s="1"/>
  <c r="G151" i="13"/>
  <c r="G94" i="13"/>
  <c r="K94" i="13"/>
  <c r="G132" i="13"/>
  <c r="K132" i="13"/>
  <c r="G106" i="13"/>
  <c r="K106" i="13"/>
  <c r="K19" i="13"/>
  <c r="G19" i="13"/>
  <c r="G133" i="13"/>
  <c r="K133" i="13"/>
  <c r="K91" i="13"/>
  <c r="G91" i="13"/>
  <c r="K116" i="13"/>
  <c r="M116" i="13" s="1"/>
  <c r="G116" i="13"/>
  <c r="G93" i="13"/>
  <c r="K93" i="13"/>
  <c r="G103" i="13"/>
  <c r="K103" i="13"/>
  <c r="M103" i="13" s="1"/>
  <c r="G147" i="13"/>
  <c r="K147" i="13"/>
  <c r="M147" i="13" s="1"/>
  <c r="G49" i="13"/>
  <c r="K49" i="13"/>
  <c r="G13" i="13"/>
  <c r="K13" i="13"/>
  <c r="M13" i="13" s="1"/>
  <c r="G127" i="13"/>
  <c r="K127" i="13"/>
  <c r="G50" i="13"/>
  <c r="K50" i="13"/>
  <c r="G26" i="13"/>
  <c r="K26" i="13"/>
  <c r="G144" i="13"/>
  <c r="K144" i="13"/>
  <c r="G118" i="13"/>
  <c r="K118" i="13"/>
  <c r="G44" i="13"/>
  <c r="K44" i="13"/>
  <c r="M44" i="13" s="1"/>
  <c r="K101" i="13"/>
  <c r="G101" i="13"/>
  <c r="K80" i="13"/>
  <c r="M80" i="13" s="1"/>
  <c r="G80" i="13"/>
  <c r="K60" i="13"/>
  <c r="G60" i="13"/>
  <c r="G131" i="13"/>
  <c r="K131" i="13"/>
  <c r="M131" i="13" s="1"/>
  <c r="K14" i="13"/>
  <c r="G14" i="13"/>
  <c r="K84" i="13"/>
  <c r="G84" i="13"/>
  <c r="G73" i="13"/>
  <c r="K73" i="13"/>
  <c r="M73" i="13" s="1"/>
  <c r="K135" i="13"/>
  <c r="M135" i="13" s="1"/>
  <c r="G135" i="13"/>
  <c r="K43" i="13"/>
  <c r="G43" i="13"/>
  <c r="L57" i="13"/>
  <c r="L151" i="13"/>
  <c r="L143" i="13"/>
  <c r="L125" i="13"/>
  <c r="L116" i="13"/>
  <c r="O108" i="13"/>
  <c r="L42" i="13"/>
  <c r="L150" i="13"/>
  <c r="O39" i="13"/>
  <c r="L119" i="13"/>
  <c r="DL72" i="12"/>
  <c r="DK72" i="12"/>
  <c r="DJ72" i="12"/>
  <c r="DI72" i="12"/>
  <c r="DH72" i="12"/>
  <c r="DG72" i="12"/>
  <c r="DB72" i="12"/>
  <c r="DA72" i="12"/>
  <c r="CV72" i="12"/>
  <c r="CU72" i="12"/>
  <c r="CP72" i="12"/>
  <c r="CO72" i="12"/>
  <c r="CJ72" i="12"/>
  <c r="CI72" i="12"/>
  <c r="CD72" i="12"/>
  <c r="CC72" i="12"/>
  <c r="BX72" i="12"/>
  <c r="BW72" i="12"/>
  <c r="BR72" i="12"/>
  <c r="BQ72" i="12"/>
  <c r="BL72" i="12"/>
  <c r="BJ72" i="12"/>
  <c r="BE72" i="12"/>
  <c r="BC72" i="12"/>
  <c r="AX72" i="12"/>
  <c r="AW72" i="12"/>
  <c r="AR72" i="12"/>
  <c r="AQ72" i="12"/>
  <c r="AJ72" i="12"/>
  <c r="AI72" i="12"/>
  <c r="AH72" i="12"/>
  <c r="AG72" i="12"/>
  <c r="AF72" i="12"/>
  <c r="AE72" i="12"/>
  <c r="Z72" i="12"/>
  <c r="Y72" i="12"/>
  <c r="T72" i="12"/>
  <c r="DL71" i="12"/>
  <c r="DJ71" i="12"/>
  <c r="DI71" i="12"/>
  <c r="DH71" i="12"/>
  <c r="DG71" i="12"/>
  <c r="DB71" i="12"/>
  <c r="DA71" i="12"/>
  <c r="CV71" i="12"/>
  <c r="CU71" i="12"/>
  <c r="CP71" i="12"/>
  <c r="CO71" i="12"/>
  <c r="CJ71" i="12"/>
  <c r="CI71" i="12"/>
  <c r="CD71" i="12"/>
  <c r="CC71" i="12"/>
  <c r="BX71" i="12"/>
  <c r="BW71" i="12"/>
  <c r="BR71" i="12"/>
  <c r="BO71" i="12"/>
  <c r="BL71" i="12"/>
  <c r="BJ71" i="12"/>
  <c r="BE71" i="12"/>
  <c r="BC71" i="12"/>
  <c r="AX71" i="12"/>
  <c r="AW71" i="12"/>
  <c r="AR71" i="12"/>
  <c r="AQ71" i="12"/>
  <c r="AJ71" i="12"/>
  <c r="AI71" i="12"/>
  <c r="AH71" i="12"/>
  <c r="AG71" i="12"/>
  <c r="AF71" i="12"/>
  <c r="AE71" i="12"/>
  <c r="Z71" i="12"/>
  <c r="Y71" i="12"/>
  <c r="T71" i="12"/>
  <c r="DL70" i="12"/>
  <c r="DK70" i="12"/>
  <c r="DJ70" i="12"/>
  <c r="DI70" i="12"/>
  <c r="DH70" i="12"/>
  <c r="DG70" i="12"/>
  <c r="DB70" i="12"/>
  <c r="DA70" i="12"/>
  <c r="CV70" i="12"/>
  <c r="CU70" i="12"/>
  <c r="CP70" i="12"/>
  <c r="CO70" i="12"/>
  <c r="CJ70" i="12"/>
  <c r="CI70" i="12"/>
  <c r="CD70" i="12"/>
  <c r="CC70" i="12"/>
  <c r="BX70" i="12"/>
  <c r="BW70" i="12"/>
  <c r="BR70" i="12"/>
  <c r="BQ70" i="12"/>
  <c r="BL70" i="12"/>
  <c r="BJ70" i="12"/>
  <c r="BE70" i="12"/>
  <c r="BC70" i="12"/>
  <c r="AX70" i="12"/>
  <c r="AW70" i="12"/>
  <c r="AR70" i="12"/>
  <c r="AQ70" i="12"/>
  <c r="AJ70" i="12"/>
  <c r="AI70" i="12"/>
  <c r="AH70" i="12"/>
  <c r="AG70" i="12"/>
  <c r="AF70" i="12"/>
  <c r="AE70" i="12"/>
  <c r="Z70" i="12"/>
  <c r="Y70" i="12"/>
  <c r="T70" i="12"/>
  <c r="DL69" i="12"/>
  <c r="DJ69" i="12"/>
  <c r="DI69" i="12"/>
  <c r="DH69" i="12"/>
  <c r="DG69" i="12"/>
  <c r="DB69" i="12"/>
  <c r="DA69" i="12"/>
  <c r="CV69" i="12"/>
  <c r="CU69" i="12"/>
  <c r="CP69" i="12"/>
  <c r="CO69" i="12"/>
  <c r="CJ69" i="12"/>
  <c r="CI69" i="12"/>
  <c r="CD69" i="12"/>
  <c r="CC69" i="12"/>
  <c r="BX69" i="12"/>
  <c r="BW69" i="12"/>
  <c r="BR69" i="12"/>
  <c r="BQ69" i="12"/>
  <c r="BL69" i="12"/>
  <c r="BJ69" i="12"/>
  <c r="BE69" i="12"/>
  <c r="BC69" i="12"/>
  <c r="AX69" i="12"/>
  <c r="AU69" i="12"/>
  <c r="AR69" i="12"/>
  <c r="AQ69" i="12"/>
  <c r="AJ69" i="12"/>
  <c r="AI69" i="12"/>
  <c r="AH69" i="12"/>
  <c r="AG69" i="12"/>
  <c r="AF69" i="12"/>
  <c r="AE69" i="12"/>
  <c r="Z69" i="12"/>
  <c r="Y69" i="12"/>
  <c r="T69" i="12"/>
  <c r="DL68" i="12"/>
  <c r="DJ68" i="12"/>
  <c r="DI68" i="12"/>
  <c r="DH68" i="12"/>
  <c r="DG68" i="12"/>
  <c r="DB68" i="12"/>
  <c r="DA68" i="12"/>
  <c r="CV68" i="12"/>
  <c r="CU68" i="12"/>
  <c r="CP68" i="12"/>
  <c r="CO68" i="12"/>
  <c r="CJ68" i="12"/>
  <c r="CI68" i="12"/>
  <c r="CD68" i="12"/>
  <c r="CC68" i="12"/>
  <c r="BX68" i="12"/>
  <c r="BR68" i="12"/>
  <c r="BQ68" i="12"/>
  <c r="BL68" i="12"/>
  <c r="BJ68" i="12"/>
  <c r="BE68" i="12"/>
  <c r="BC68" i="12"/>
  <c r="AX68" i="12"/>
  <c r="AW68" i="12"/>
  <c r="AR68" i="12"/>
  <c r="AQ68" i="12"/>
  <c r="AJ68" i="12"/>
  <c r="AI68" i="12"/>
  <c r="AH68" i="12"/>
  <c r="AG68" i="12"/>
  <c r="AF68" i="12"/>
  <c r="AE68" i="12"/>
  <c r="Z68" i="12"/>
  <c r="Y68" i="12"/>
  <c r="T68" i="12"/>
  <c r="DL65" i="12"/>
  <c r="DK65" i="12"/>
  <c r="DJ65" i="12"/>
  <c r="DI65" i="12"/>
  <c r="DH65" i="12"/>
  <c r="DG65" i="12"/>
  <c r="DB65" i="12"/>
  <c r="DA65" i="12"/>
  <c r="CV65" i="12"/>
  <c r="CU65" i="12"/>
  <c r="CP65" i="12"/>
  <c r="CO65" i="12"/>
  <c r="CJ65" i="12"/>
  <c r="CI65" i="12"/>
  <c r="CD65" i="12"/>
  <c r="CC65" i="12"/>
  <c r="BX65" i="12"/>
  <c r="BW65" i="12"/>
  <c r="BR65" i="12"/>
  <c r="BQ65" i="12"/>
  <c r="BL65" i="12"/>
  <c r="BJ65" i="12"/>
  <c r="BE65" i="12"/>
  <c r="BC65" i="12"/>
  <c r="AX65" i="12"/>
  <c r="AW65" i="12"/>
  <c r="AR65" i="12"/>
  <c r="AQ65" i="12"/>
  <c r="AJ65" i="12"/>
  <c r="AI65" i="12"/>
  <c r="AH65" i="12"/>
  <c r="AG65" i="12"/>
  <c r="AF65" i="12"/>
  <c r="AE65" i="12"/>
  <c r="Z65" i="12"/>
  <c r="Y65" i="12"/>
  <c r="T65" i="12"/>
  <c r="DL64" i="12"/>
  <c r="DK64" i="12"/>
  <c r="DJ64" i="12"/>
  <c r="DI64" i="12"/>
  <c r="DH64" i="12"/>
  <c r="DG64" i="12"/>
  <c r="DB64" i="12"/>
  <c r="DA64" i="12"/>
  <c r="CV64" i="12"/>
  <c r="CU64" i="12"/>
  <c r="CP64" i="12"/>
  <c r="CO64" i="12"/>
  <c r="CJ64" i="12"/>
  <c r="CI64" i="12"/>
  <c r="CD64" i="12"/>
  <c r="CC64" i="12"/>
  <c r="BX64" i="12"/>
  <c r="BW64" i="12"/>
  <c r="BR64" i="12"/>
  <c r="BQ64" i="12"/>
  <c r="BL64" i="12"/>
  <c r="BJ64" i="12"/>
  <c r="BE64" i="12"/>
  <c r="BC64" i="12"/>
  <c r="AX64" i="12"/>
  <c r="AW64" i="12"/>
  <c r="AR64" i="12"/>
  <c r="AQ64" i="12"/>
  <c r="AJ64" i="12"/>
  <c r="AI64" i="12"/>
  <c r="AH64" i="12"/>
  <c r="AG64" i="12"/>
  <c r="AF64" i="12"/>
  <c r="AE64" i="12"/>
  <c r="Z64" i="12"/>
  <c r="Y64" i="12"/>
  <c r="T64" i="12"/>
  <c r="S64" i="12"/>
  <c r="DL63" i="12"/>
  <c r="DK63" i="12"/>
  <c r="DJ63" i="12"/>
  <c r="DI63" i="12"/>
  <c r="DH63" i="12"/>
  <c r="DG63" i="12"/>
  <c r="DB63" i="12"/>
  <c r="DA63" i="12"/>
  <c r="CV63" i="12"/>
  <c r="CU63" i="12"/>
  <c r="CP63" i="12"/>
  <c r="CO63" i="12"/>
  <c r="CJ63" i="12"/>
  <c r="CI63" i="12"/>
  <c r="CD63" i="12"/>
  <c r="CC63" i="12"/>
  <c r="BX63" i="12"/>
  <c r="BW63" i="12"/>
  <c r="BR63" i="12"/>
  <c r="BQ63" i="12"/>
  <c r="BL63" i="12"/>
  <c r="BJ63" i="12"/>
  <c r="BE63" i="12"/>
  <c r="BC63" i="12"/>
  <c r="AX63" i="12"/>
  <c r="AW63" i="12"/>
  <c r="AR63" i="12"/>
  <c r="AQ63" i="12"/>
  <c r="AJ63" i="12"/>
  <c r="AI63" i="12"/>
  <c r="AH63" i="12"/>
  <c r="AG63" i="12"/>
  <c r="AF63" i="12"/>
  <c r="AE63" i="12"/>
  <c r="Z63" i="12"/>
  <c r="Y63" i="12"/>
  <c r="T63" i="12"/>
  <c r="S63" i="12"/>
  <c r="DL62" i="12"/>
  <c r="DK62" i="12"/>
  <c r="DJ62" i="12"/>
  <c r="DI62" i="12"/>
  <c r="DH62" i="12"/>
  <c r="DG62" i="12"/>
  <c r="DB62" i="12"/>
  <c r="DA62" i="12"/>
  <c r="CV62" i="12"/>
  <c r="CU62" i="12"/>
  <c r="CP62" i="12"/>
  <c r="CO62" i="12"/>
  <c r="CJ62" i="12"/>
  <c r="CI62" i="12"/>
  <c r="CD62" i="12"/>
  <c r="CC62" i="12"/>
  <c r="BX62" i="12"/>
  <c r="BR62" i="12"/>
  <c r="BQ62" i="12"/>
  <c r="BL62" i="12"/>
  <c r="BJ62" i="12"/>
  <c r="BE62" i="12"/>
  <c r="BC62" i="12"/>
  <c r="AX62" i="12"/>
  <c r="AW62" i="12"/>
  <c r="AR62" i="12"/>
  <c r="AQ62" i="12"/>
  <c r="AJ62" i="12"/>
  <c r="AI62" i="12"/>
  <c r="AH62" i="12"/>
  <c r="AG62" i="12"/>
  <c r="AF62" i="12"/>
  <c r="AE62" i="12"/>
  <c r="Z62" i="12"/>
  <c r="Y62" i="12"/>
  <c r="T62" i="12"/>
  <c r="S62" i="12"/>
  <c r="DL61" i="12"/>
  <c r="DK61" i="12"/>
  <c r="DJ61" i="12"/>
  <c r="DI61" i="12"/>
  <c r="DH61" i="12"/>
  <c r="DG61" i="12"/>
  <c r="DB61" i="12"/>
  <c r="DA61" i="12"/>
  <c r="CV61" i="12"/>
  <c r="CU61" i="12"/>
  <c r="CP61" i="12"/>
  <c r="CO61" i="12"/>
  <c r="CJ61" i="12"/>
  <c r="CI61" i="12"/>
  <c r="CD61" i="12"/>
  <c r="CC61" i="12"/>
  <c r="BX61" i="12"/>
  <c r="BW61" i="12"/>
  <c r="BR61" i="12"/>
  <c r="BQ61" i="12"/>
  <c r="BL61" i="12"/>
  <c r="BJ61" i="12"/>
  <c r="BE61" i="12"/>
  <c r="BC61" i="12"/>
  <c r="AX61" i="12"/>
  <c r="AW61" i="12"/>
  <c r="AR61" i="12"/>
  <c r="AQ61" i="12"/>
  <c r="AJ61" i="12"/>
  <c r="AI61" i="12"/>
  <c r="AH61" i="12"/>
  <c r="AG61" i="12"/>
  <c r="AF61" i="12"/>
  <c r="AE61" i="12"/>
  <c r="Z61" i="12"/>
  <c r="Y61" i="12"/>
  <c r="T61" i="12"/>
  <c r="S61" i="12"/>
  <c r="DL60" i="12"/>
  <c r="DK60" i="12"/>
  <c r="DJ60" i="12"/>
  <c r="DI60" i="12"/>
  <c r="DH60" i="12"/>
  <c r="DG60" i="12"/>
  <c r="DB60" i="12"/>
  <c r="DA60" i="12"/>
  <c r="CV60" i="12"/>
  <c r="CU60" i="12"/>
  <c r="CP60" i="12"/>
  <c r="CO60" i="12"/>
  <c r="CJ60" i="12"/>
  <c r="CI60" i="12"/>
  <c r="CD60" i="12"/>
  <c r="CC60" i="12"/>
  <c r="BX60" i="12"/>
  <c r="BW60" i="12"/>
  <c r="BR60" i="12"/>
  <c r="BQ60" i="12"/>
  <c r="BL60" i="12"/>
  <c r="BJ60" i="12"/>
  <c r="BE60" i="12"/>
  <c r="BC60" i="12"/>
  <c r="AX60" i="12"/>
  <c r="AW60" i="12"/>
  <c r="AR60" i="12"/>
  <c r="AQ60" i="12"/>
  <c r="AJ60" i="12"/>
  <c r="AI60" i="12"/>
  <c r="AH60" i="12"/>
  <c r="AG60" i="12"/>
  <c r="AF60" i="12"/>
  <c r="AE60" i="12"/>
  <c r="Z60" i="12"/>
  <c r="Y60" i="12"/>
  <c r="T60" i="12"/>
  <c r="S60" i="12"/>
  <c r="DL59" i="12"/>
  <c r="DK59" i="12"/>
  <c r="DJ59" i="12"/>
  <c r="DI59" i="12"/>
  <c r="DH59" i="12"/>
  <c r="DG59" i="12"/>
  <c r="DB59" i="12"/>
  <c r="DA59" i="12"/>
  <c r="CV59" i="12"/>
  <c r="CU59" i="12"/>
  <c r="CP59" i="12"/>
  <c r="CO59" i="12"/>
  <c r="CJ59" i="12"/>
  <c r="CI59" i="12"/>
  <c r="CD59" i="12"/>
  <c r="CC59" i="12"/>
  <c r="BX59" i="12"/>
  <c r="BW59" i="12"/>
  <c r="BR59" i="12"/>
  <c r="BQ59" i="12"/>
  <c r="BL59" i="12"/>
  <c r="BJ59" i="12"/>
  <c r="BE59" i="12"/>
  <c r="BC59" i="12"/>
  <c r="AX59" i="12"/>
  <c r="AW59" i="12"/>
  <c r="AR59" i="12"/>
  <c r="AQ59" i="12"/>
  <c r="AJ59" i="12"/>
  <c r="AI59" i="12"/>
  <c r="AH59" i="12"/>
  <c r="AG59" i="12"/>
  <c r="AF59" i="12"/>
  <c r="AE59" i="12"/>
  <c r="Z59" i="12"/>
  <c r="Y59" i="12"/>
  <c r="T59" i="12"/>
  <c r="S59" i="12"/>
  <c r="DL58" i="12"/>
  <c r="DJ58" i="12"/>
  <c r="DI58" i="12"/>
  <c r="DH58" i="12"/>
  <c r="DG58" i="12"/>
  <c r="DB58" i="12"/>
  <c r="DA58" i="12"/>
  <c r="CV58" i="12"/>
  <c r="CU58" i="12"/>
  <c r="CP58" i="12"/>
  <c r="CO58" i="12"/>
  <c r="CJ58" i="12"/>
  <c r="CI58" i="12"/>
  <c r="CD58" i="12"/>
  <c r="CC58" i="12"/>
  <c r="BX58" i="12"/>
  <c r="BW58" i="12"/>
  <c r="BR58" i="12"/>
  <c r="BQ58" i="12"/>
  <c r="BL58" i="12"/>
  <c r="BJ58" i="12"/>
  <c r="BE58" i="12"/>
  <c r="BC58" i="12"/>
  <c r="AX58" i="12"/>
  <c r="AW58" i="12"/>
  <c r="AR58" i="12"/>
  <c r="AQ58" i="12"/>
  <c r="AJ58" i="12"/>
  <c r="AI58" i="12"/>
  <c r="AH58" i="12"/>
  <c r="AG58" i="12"/>
  <c r="AF58" i="12"/>
  <c r="AE58" i="12"/>
  <c r="Z58" i="12"/>
  <c r="Y58" i="12"/>
  <c r="T58" i="12"/>
  <c r="S58" i="12"/>
  <c r="DL57" i="12"/>
  <c r="DK57" i="12"/>
  <c r="DJ57" i="12"/>
  <c r="DI57" i="12"/>
  <c r="DH57" i="12"/>
  <c r="DG57" i="12"/>
  <c r="DB57" i="12"/>
  <c r="DA57" i="12"/>
  <c r="CV57" i="12"/>
  <c r="CU57" i="12"/>
  <c r="CP57" i="12"/>
  <c r="CO57" i="12"/>
  <c r="CJ57" i="12"/>
  <c r="CI57" i="12"/>
  <c r="CD57" i="12"/>
  <c r="CC57" i="12"/>
  <c r="BX57" i="12"/>
  <c r="BW57" i="12"/>
  <c r="BR57" i="12"/>
  <c r="BQ57" i="12"/>
  <c r="BL57" i="12"/>
  <c r="BJ57" i="12"/>
  <c r="BE57" i="12"/>
  <c r="BC57" i="12"/>
  <c r="AX57" i="12"/>
  <c r="AW57" i="12"/>
  <c r="AR57" i="12"/>
  <c r="AQ57" i="12"/>
  <c r="AJ57" i="12"/>
  <c r="AI57" i="12"/>
  <c r="AH57" i="12"/>
  <c r="AG57" i="12"/>
  <c r="AF57" i="12"/>
  <c r="AE57" i="12"/>
  <c r="Z57" i="12"/>
  <c r="Y57" i="12"/>
  <c r="T57" i="12"/>
  <c r="S57" i="12"/>
  <c r="DL56" i="12"/>
  <c r="DJ56" i="12"/>
  <c r="DI56" i="12"/>
  <c r="DH56" i="12"/>
  <c r="DG56" i="12"/>
  <c r="DB56" i="12"/>
  <c r="DA56" i="12"/>
  <c r="CV56" i="12"/>
  <c r="CU56" i="12"/>
  <c r="CP56" i="12"/>
  <c r="CO56" i="12"/>
  <c r="CJ56" i="12"/>
  <c r="CI56" i="12"/>
  <c r="CD56" i="12"/>
  <c r="CC56" i="12"/>
  <c r="BX56" i="12"/>
  <c r="BW56" i="12"/>
  <c r="BR56" i="12"/>
  <c r="BQ56" i="12"/>
  <c r="BL56" i="12"/>
  <c r="BJ56" i="12"/>
  <c r="BE56" i="12"/>
  <c r="BC56" i="12"/>
  <c r="AX56" i="12"/>
  <c r="AW56" i="12"/>
  <c r="AR56" i="12"/>
  <c r="AJ56" i="12"/>
  <c r="AI56" i="12"/>
  <c r="AH56" i="12"/>
  <c r="AG56" i="12"/>
  <c r="AF56" i="12"/>
  <c r="AE56" i="12"/>
  <c r="Z56" i="12"/>
  <c r="Y56" i="12"/>
  <c r="T56" i="12"/>
  <c r="S56" i="12"/>
  <c r="DL55" i="12"/>
  <c r="DK55" i="12"/>
  <c r="DJ55" i="12"/>
  <c r="DI55" i="12"/>
  <c r="DH55" i="12"/>
  <c r="DG55" i="12"/>
  <c r="DB55" i="12"/>
  <c r="DA55" i="12"/>
  <c r="CV55" i="12"/>
  <c r="CU55" i="12"/>
  <c r="CP55" i="12"/>
  <c r="CO55" i="12"/>
  <c r="CJ55" i="12"/>
  <c r="CI55" i="12"/>
  <c r="CD55" i="12"/>
  <c r="CC55" i="12"/>
  <c r="BX55" i="12"/>
  <c r="BW55" i="12"/>
  <c r="BR55" i="12"/>
  <c r="BQ55" i="12"/>
  <c r="BL55" i="12"/>
  <c r="BJ55" i="12"/>
  <c r="BE55" i="12"/>
  <c r="BC55" i="12"/>
  <c r="AX55" i="12"/>
  <c r="AW55" i="12"/>
  <c r="AR55" i="12"/>
  <c r="AQ55" i="12"/>
  <c r="AJ55" i="12"/>
  <c r="AI55" i="12"/>
  <c r="AH55" i="12"/>
  <c r="AG55" i="12"/>
  <c r="AF55" i="12"/>
  <c r="AE55" i="12"/>
  <c r="Z55" i="12"/>
  <c r="Y55" i="12"/>
  <c r="T55" i="12"/>
  <c r="S55" i="12"/>
  <c r="DL54" i="12"/>
  <c r="DK54" i="12"/>
  <c r="DJ54" i="12"/>
  <c r="DI54" i="12"/>
  <c r="DH54" i="12"/>
  <c r="DG54" i="12"/>
  <c r="DB54" i="12"/>
  <c r="DA54" i="12"/>
  <c r="CV54" i="12"/>
  <c r="CU54" i="12"/>
  <c r="CP54" i="12"/>
  <c r="CO54" i="12"/>
  <c r="CJ54" i="12"/>
  <c r="CI54" i="12"/>
  <c r="CD54" i="12"/>
  <c r="CC54" i="12"/>
  <c r="BX54" i="12"/>
  <c r="BW54" i="12"/>
  <c r="BR54" i="12"/>
  <c r="BQ54" i="12"/>
  <c r="BL54" i="12"/>
  <c r="BJ54" i="12"/>
  <c r="BE54" i="12"/>
  <c r="BC54" i="12"/>
  <c r="AX54" i="12"/>
  <c r="AW54" i="12"/>
  <c r="AR54" i="12"/>
  <c r="AQ54" i="12"/>
  <c r="AJ54" i="12"/>
  <c r="AH54" i="12"/>
  <c r="AG54" i="12"/>
  <c r="AF54" i="12"/>
  <c r="AC54" i="12"/>
  <c r="AE54" i="12" s="1"/>
  <c r="Z54" i="12"/>
  <c r="Y54" i="12"/>
  <c r="T54" i="12"/>
  <c r="S54" i="12"/>
  <c r="DL53" i="12"/>
  <c r="DK53" i="12"/>
  <c r="DJ53" i="12"/>
  <c r="DI53" i="12"/>
  <c r="DH53" i="12"/>
  <c r="DG53" i="12"/>
  <c r="DB53" i="12"/>
  <c r="DA53" i="12"/>
  <c r="CV53" i="12"/>
  <c r="CU53" i="12"/>
  <c r="CP53" i="12"/>
  <c r="CO53" i="12"/>
  <c r="CJ53" i="12"/>
  <c r="CI53" i="12"/>
  <c r="CD53" i="12"/>
  <c r="CC53" i="12"/>
  <c r="BX53" i="12"/>
  <c r="BW53" i="12"/>
  <c r="BR53" i="12"/>
  <c r="BQ53" i="12"/>
  <c r="BL53" i="12"/>
  <c r="BJ53" i="12"/>
  <c r="BE53" i="12"/>
  <c r="BC53" i="12"/>
  <c r="AX53" i="12"/>
  <c r="AW53" i="12"/>
  <c r="AR53" i="12"/>
  <c r="AQ53" i="12"/>
  <c r="AJ53" i="12"/>
  <c r="AI53" i="12"/>
  <c r="AH53" i="12"/>
  <c r="AG53" i="12"/>
  <c r="AF53" i="12"/>
  <c r="AE53" i="12"/>
  <c r="Z53" i="12"/>
  <c r="Y53" i="12"/>
  <c r="T53" i="12"/>
  <c r="S53" i="12"/>
  <c r="DL52" i="12"/>
  <c r="DK52" i="12"/>
  <c r="DJ52" i="12"/>
  <c r="DI52" i="12"/>
  <c r="DH52" i="12"/>
  <c r="DG52" i="12"/>
  <c r="DB52" i="12"/>
  <c r="DA52" i="12"/>
  <c r="CV52" i="12"/>
  <c r="CU52" i="12"/>
  <c r="CP52" i="12"/>
  <c r="CO52" i="12"/>
  <c r="CJ52" i="12"/>
  <c r="CI52" i="12"/>
  <c r="CD52" i="12"/>
  <c r="CC52" i="12"/>
  <c r="BX52" i="12"/>
  <c r="BW52" i="12"/>
  <c r="BR52" i="12"/>
  <c r="BQ52" i="12"/>
  <c r="BL52" i="12"/>
  <c r="BJ52" i="12"/>
  <c r="BE52" i="12"/>
  <c r="BC52" i="12"/>
  <c r="AX52" i="12"/>
  <c r="AW52" i="12"/>
  <c r="AR52" i="12"/>
  <c r="AQ52" i="12"/>
  <c r="AJ52" i="12"/>
  <c r="AI52" i="12"/>
  <c r="AH52" i="12"/>
  <c r="AG52" i="12"/>
  <c r="AF52" i="12"/>
  <c r="AE52" i="12"/>
  <c r="Z52" i="12"/>
  <c r="Y52" i="12"/>
  <c r="T52" i="12"/>
  <c r="S52" i="12"/>
  <c r="DL51" i="12"/>
  <c r="DK51" i="12"/>
  <c r="DJ51" i="12"/>
  <c r="DI51" i="12"/>
  <c r="DH51" i="12"/>
  <c r="DG51" i="12"/>
  <c r="DB51" i="12"/>
  <c r="DA51" i="12"/>
  <c r="CV51" i="12"/>
  <c r="CU51" i="12"/>
  <c r="CP51" i="12"/>
  <c r="CO51" i="12"/>
  <c r="CJ51" i="12"/>
  <c r="CI51" i="12"/>
  <c r="CD51" i="12"/>
  <c r="CC51" i="12"/>
  <c r="BX51" i="12"/>
  <c r="BW51" i="12"/>
  <c r="BR51" i="12"/>
  <c r="BQ51" i="12"/>
  <c r="BL51" i="12"/>
  <c r="BJ51" i="12"/>
  <c r="BE51" i="12"/>
  <c r="BC51" i="12"/>
  <c r="AX51" i="12"/>
  <c r="AW51" i="12"/>
  <c r="AR51" i="12"/>
  <c r="AQ51" i="12"/>
  <c r="AJ51" i="12"/>
  <c r="AI51" i="12"/>
  <c r="AH51" i="12"/>
  <c r="AG51" i="12"/>
  <c r="AF51" i="12"/>
  <c r="AE51" i="12"/>
  <c r="Z51" i="12"/>
  <c r="Y51" i="12"/>
  <c r="T51" i="12"/>
  <c r="S51" i="12"/>
  <c r="DL50" i="12"/>
  <c r="DK50" i="12"/>
  <c r="DJ50" i="12"/>
  <c r="DI50" i="12"/>
  <c r="DH50" i="12"/>
  <c r="DG50" i="12"/>
  <c r="DB50" i="12"/>
  <c r="DA50" i="12"/>
  <c r="CV50" i="12"/>
  <c r="CU50" i="12"/>
  <c r="CP50" i="12"/>
  <c r="CO50" i="12"/>
  <c r="CJ50" i="12"/>
  <c r="CI50" i="12"/>
  <c r="CD50" i="12"/>
  <c r="CC50" i="12"/>
  <c r="BX50" i="12"/>
  <c r="BW50" i="12"/>
  <c r="BR50" i="12"/>
  <c r="BQ50" i="12"/>
  <c r="BL50" i="12"/>
  <c r="BJ50" i="12"/>
  <c r="BE50" i="12"/>
  <c r="BC50" i="12"/>
  <c r="AX50" i="12"/>
  <c r="AW50" i="12"/>
  <c r="AR50" i="12"/>
  <c r="AQ50" i="12"/>
  <c r="AH50" i="12"/>
  <c r="AG50" i="12"/>
  <c r="AF50" i="12"/>
  <c r="AE50" i="12"/>
  <c r="Z50" i="12"/>
  <c r="Y50" i="12"/>
  <c r="S50" i="12"/>
  <c r="R50" i="12"/>
  <c r="AJ50" i="12" s="1"/>
  <c r="DL49" i="12"/>
  <c r="DK49" i="12"/>
  <c r="DJ49" i="12"/>
  <c r="DI49" i="12"/>
  <c r="DH49" i="12"/>
  <c r="DG49" i="12"/>
  <c r="DB49" i="12"/>
  <c r="DA49" i="12"/>
  <c r="CV49" i="12"/>
  <c r="CU49" i="12"/>
  <c r="CP49" i="12"/>
  <c r="CO49" i="12"/>
  <c r="CJ49" i="12"/>
  <c r="CI49" i="12"/>
  <c r="CD49" i="12"/>
  <c r="CC49" i="12"/>
  <c r="BX49" i="12"/>
  <c r="BW49" i="12"/>
  <c r="BR49" i="12"/>
  <c r="BQ49" i="12"/>
  <c r="BL49" i="12"/>
  <c r="BJ49" i="12"/>
  <c r="BE49" i="12"/>
  <c r="BC49" i="12"/>
  <c r="AX49" i="12"/>
  <c r="AW49" i="12"/>
  <c r="AR49" i="12"/>
  <c r="AQ49" i="12"/>
  <c r="AJ49" i="12"/>
  <c r="AI49" i="12"/>
  <c r="AH49" i="12"/>
  <c r="AG49" i="12"/>
  <c r="AF49" i="12"/>
  <c r="AE49" i="12"/>
  <c r="Z49" i="12"/>
  <c r="Y49" i="12"/>
  <c r="T49" i="12"/>
  <c r="S49" i="12"/>
  <c r="DL48" i="12"/>
  <c r="DK48" i="12"/>
  <c r="DJ48" i="12"/>
  <c r="DI48" i="12"/>
  <c r="DH48" i="12"/>
  <c r="DG48" i="12"/>
  <c r="DB48" i="12"/>
  <c r="DA48" i="12"/>
  <c r="CV48" i="12"/>
  <c r="CU48" i="12"/>
  <c r="CP48" i="12"/>
  <c r="CO48" i="12"/>
  <c r="CJ48" i="12"/>
  <c r="CI48" i="12"/>
  <c r="CD48" i="12"/>
  <c r="CC48" i="12"/>
  <c r="BX48" i="12"/>
  <c r="BW48" i="12"/>
  <c r="BR48" i="12"/>
  <c r="BQ48" i="12"/>
  <c r="BL48" i="12"/>
  <c r="BJ48" i="12"/>
  <c r="BE48" i="12"/>
  <c r="BC48" i="12"/>
  <c r="AX48" i="12"/>
  <c r="AW48" i="12"/>
  <c r="AR48" i="12"/>
  <c r="AQ48" i="12"/>
  <c r="AJ48" i="12"/>
  <c r="AH48" i="12"/>
  <c r="AG48" i="12"/>
  <c r="AF48" i="12"/>
  <c r="AC48" i="12"/>
  <c r="AI48" i="12" s="1"/>
  <c r="Z48" i="12"/>
  <c r="Y48" i="12"/>
  <c r="T48" i="12"/>
  <c r="S48" i="12"/>
  <c r="DL47" i="12"/>
  <c r="DK47" i="12"/>
  <c r="DJ47" i="12"/>
  <c r="DI47" i="12"/>
  <c r="DH47" i="12"/>
  <c r="DG47" i="12"/>
  <c r="DB47" i="12"/>
  <c r="DA47" i="12"/>
  <c r="CV47" i="12"/>
  <c r="CU47" i="12"/>
  <c r="CP47" i="12"/>
  <c r="CO47" i="12"/>
  <c r="CJ47" i="12"/>
  <c r="CI47" i="12"/>
  <c r="CD47" i="12"/>
  <c r="CC47" i="12"/>
  <c r="BX47" i="12"/>
  <c r="BW47" i="12"/>
  <c r="BR47" i="12"/>
  <c r="BQ47" i="12"/>
  <c r="BL47" i="12"/>
  <c r="BJ47" i="12"/>
  <c r="BE47" i="12"/>
  <c r="BC47" i="12"/>
  <c r="AX47" i="12"/>
  <c r="AW47" i="12"/>
  <c r="AR47" i="12"/>
  <c r="AQ47" i="12"/>
  <c r="AJ47" i="12"/>
  <c r="AI47" i="12"/>
  <c r="AH47" i="12"/>
  <c r="AG47" i="12"/>
  <c r="AF47" i="12"/>
  <c r="AE47" i="12"/>
  <c r="Z47" i="12"/>
  <c r="Y47" i="12"/>
  <c r="T47" i="12"/>
  <c r="S47" i="12"/>
  <c r="DL46" i="12"/>
  <c r="DK46" i="12"/>
  <c r="DJ46" i="12"/>
  <c r="DI46" i="12"/>
  <c r="DH46" i="12"/>
  <c r="DG46" i="12"/>
  <c r="DB46" i="12"/>
  <c r="DA46" i="12"/>
  <c r="CV46" i="12"/>
  <c r="CU46" i="12"/>
  <c r="CP46" i="12"/>
  <c r="CO46" i="12"/>
  <c r="CJ46" i="12"/>
  <c r="CI46" i="12"/>
  <c r="CD46" i="12"/>
  <c r="CC46" i="12"/>
  <c r="BX46" i="12"/>
  <c r="BW46" i="12"/>
  <c r="BR46" i="12"/>
  <c r="BQ46" i="12"/>
  <c r="BL46" i="12"/>
  <c r="BJ46" i="12"/>
  <c r="BE46" i="12"/>
  <c r="BC46" i="12"/>
  <c r="AX46" i="12"/>
  <c r="AW46" i="12"/>
  <c r="AR46" i="12"/>
  <c r="AQ46" i="12"/>
  <c r="AH46" i="12"/>
  <c r="AG46" i="12"/>
  <c r="AF46" i="12"/>
  <c r="AE46" i="12"/>
  <c r="Z46" i="12"/>
  <c r="Y46" i="12"/>
  <c r="S46" i="12"/>
  <c r="R46" i="12"/>
  <c r="AJ46" i="12" s="1"/>
  <c r="DL45" i="12"/>
  <c r="DK45" i="12"/>
  <c r="DJ45" i="12"/>
  <c r="DI45" i="12"/>
  <c r="DH45" i="12"/>
  <c r="DG45" i="12"/>
  <c r="DB45" i="12"/>
  <c r="DA45" i="12"/>
  <c r="CV45" i="12"/>
  <c r="CU45" i="12"/>
  <c r="CP45" i="12"/>
  <c r="CO45" i="12"/>
  <c r="CJ45" i="12"/>
  <c r="CI45" i="12"/>
  <c r="CD45" i="12"/>
  <c r="CC45" i="12"/>
  <c r="BX45" i="12"/>
  <c r="BW45" i="12"/>
  <c r="BR45" i="12"/>
  <c r="BQ45" i="12"/>
  <c r="BL45" i="12"/>
  <c r="BJ45" i="12"/>
  <c r="BE45" i="12"/>
  <c r="BC45" i="12"/>
  <c r="AX45" i="12"/>
  <c r="AW45" i="12"/>
  <c r="AR45" i="12"/>
  <c r="AQ45" i="12"/>
  <c r="AJ45" i="12"/>
  <c r="AI45" i="12"/>
  <c r="AH45" i="12"/>
  <c r="AG45" i="12"/>
  <c r="AF45" i="12"/>
  <c r="AE45" i="12"/>
  <c r="Z45" i="12"/>
  <c r="Y45" i="12"/>
  <c r="T45" i="12"/>
  <c r="S45" i="12"/>
  <c r="DL44" i="12"/>
  <c r="DK44" i="12"/>
  <c r="DJ44" i="12"/>
  <c r="DI44" i="12"/>
  <c r="DH44" i="12"/>
  <c r="DG44" i="12"/>
  <c r="DB44" i="12"/>
  <c r="DA44" i="12"/>
  <c r="CV44" i="12"/>
  <c r="CU44" i="12"/>
  <c r="CP44" i="12"/>
  <c r="CO44" i="12"/>
  <c r="CJ44" i="12"/>
  <c r="CI44" i="12"/>
  <c r="CD44" i="12"/>
  <c r="CC44" i="12"/>
  <c r="BX44" i="12"/>
  <c r="BW44" i="12"/>
  <c r="BR44" i="12"/>
  <c r="BQ44" i="12"/>
  <c r="BL44" i="12"/>
  <c r="BJ44" i="12"/>
  <c r="BE44" i="12"/>
  <c r="BC44" i="12"/>
  <c r="AX44" i="12"/>
  <c r="AW44" i="12"/>
  <c r="AR44" i="12"/>
  <c r="AQ44" i="12"/>
  <c r="AJ44" i="12"/>
  <c r="AI44" i="12"/>
  <c r="AH44" i="12"/>
  <c r="AG44" i="12"/>
  <c r="AF44" i="12"/>
  <c r="AE44" i="12"/>
  <c r="Z44" i="12"/>
  <c r="Y44" i="12"/>
  <c r="T44" i="12"/>
  <c r="S44" i="12"/>
  <c r="DL43" i="12"/>
  <c r="DK43" i="12"/>
  <c r="DJ43" i="12"/>
  <c r="DI43" i="12"/>
  <c r="DH43" i="12"/>
  <c r="DG43" i="12"/>
  <c r="DB43" i="12"/>
  <c r="DA43" i="12"/>
  <c r="CV43" i="12"/>
  <c r="CU43" i="12"/>
  <c r="CP43" i="12"/>
  <c r="CO43" i="12"/>
  <c r="CJ43" i="12"/>
  <c r="CI43" i="12"/>
  <c r="CD43" i="12"/>
  <c r="CC43" i="12"/>
  <c r="BX43" i="12"/>
  <c r="BW43" i="12"/>
  <c r="BR43" i="12"/>
  <c r="BQ43" i="12"/>
  <c r="BL43" i="12"/>
  <c r="BJ43" i="12"/>
  <c r="BE43" i="12"/>
  <c r="BC43" i="12"/>
  <c r="AX43" i="12"/>
  <c r="AW43" i="12"/>
  <c r="AR43" i="12"/>
  <c r="AQ43" i="12"/>
  <c r="AJ43" i="12"/>
  <c r="AI43" i="12"/>
  <c r="AH43" i="12"/>
  <c r="AG43" i="12"/>
  <c r="AF43" i="12"/>
  <c r="AE43" i="12"/>
  <c r="Z43" i="12"/>
  <c r="Y43" i="12"/>
  <c r="T43" i="12"/>
  <c r="S43" i="12"/>
  <c r="DL42" i="12"/>
  <c r="DK42" i="12"/>
  <c r="DJ42" i="12"/>
  <c r="DI42" i="12"/>
  <c r="DH42" i="12"/>
  <c r="DG42" i="12"/>
  <c r="DB42" i="12"/>
  <c r="DA42" i="12"/>
  <c r="CV42" i="12"/>
  <c r="CU42" i="12"/>
  <c r="CP42" i="12"/>
  <c r="CO42" i="12"/>
  <c r="CJ42" i="12"/>
  <c r="CI42" i="12"/>
  <c r="CD42" i="12"/>
  <c r="CC42" i="12"/>
  <c r="BX42" i="12"/>
  <c r="BW42" i="12"/>
  <c r="BR42" i="12"/>
  <c r="BQ42" i="12"/>
  <c r="BL42" i="12"/>
  <c r="BJ42" i="12"/>
  <c r="BE42" i="12"/>
  <c r="BC42" i="12"/>
  <c r="AX42" i="12"/>
  <c r="AW42" i="12"/>
  <c r="AR42" i="12"/>
  <c r="AQ42" i="12"/>
  <c r="AJ42" i="12"/>
  <c r="AH42" i="12"/>
  <c r="AG42" i="12"/>
  <c r="AF42" i="12"/>
  <c r="AC42" i="12"/>
  <c r="AI42" i="12" s="1"/>
  <c r="Z42" i="12"/>
  <c r="Y42" i="12"/>
  <c r="T42" i="12"/>
  <c r="S42" i="12"/>
  <c r="DL41" i="12"/>
  <c r="DK41" i="12"/>
  <c r="DJ41" i="12"/>
  <c r="DI41" i="12"/>
  <c r="DH41" i="12"/>
  <c r="DG41" i="12"/>
  <c r="DB41" i="12"/>
  <c r="DA41" i="12"/>
  <c r="CV41" i="12"/>
  <c r="CU41" i="12"/>
  <c r="CP41" i="12"/>
  <c r="CO41" i="12"/>
  <c r="CJ41" i="12"/>
  <c r="CI41" i="12"/>
  <c r="CD41" i="12"/>
  <c r="CC41" i="12"/>
  <c r="BX41" i="12"/>
  <c r="BW41" i="12"/>
  <c r="BR41" i="12"/>
  <c r="BQ41" i="12"/>
  <c r="BL41" i="12"/>
  <c r="BJ41" i="12"/>
  <c r="BE41" i="12"/>
  <c r="BC41" i="12"/>
  <c r="AX41" i="12"/>
  <c r="AW41" i="12"/>
  <c r="AR41" i="12"/>
  <c r="AQ41" i="12"/>
  <c r="AJ41" i="12"/>
  <c r="AI41" i="12"/>
  <c r="AH41" i="12"/>
  <c r="AG41" i="12"/>
  <c r="AF41" i="12"/>
  <c r="AE41" i="12"/>
  <c r="Z41" i="12"/>
  <c r="Y41" i="12"/>
  <c r="T41" i="12"/>
  <c r="S41" i="12"/>
  <c r="DL40" i="12"/>
  <c r="DK40" i="12"/>
  <c r="DJ40" i="12"/>
  <c r="DI40" i="12"/>
  <c r="DH40" i="12"/>
  <c r="DG40" i="12"/>
  <c r="DB40" i="12"/>
  <c r="DA40" i="12"/>
  <c r="CV40" i="12"/>
  <c r="CU40" i="12"/>
  <c r="CP40" i="12"/>
  <c r="CO40" i="12"/>
  <c r="CJ40" i="12"/>
  <c r="CI40" i="12"/>
  <c r="CD40" i="12"/>
  <c r="CC40" i="12"/>
  <c r="BX40" i="12"/>
  <c r="BW40" i="12"/>
  <c r="BR40" i="12"/>
  <c r="BQ40" i="12"/>
  <c r="BL40" i="12"/>
  <c r="BJ40" i="12"/>
  <c r="BE40" i="12"/>
  <c r="BC40" i="12"/>
  <c r="AX40" i="12"/>
  <c r="AW40" i="12"/>
  <c r="AR40" i="12"/>
  <c r="AQ40" i="12"/>
  <c r="AH40" i="12"/>
  <c r="AG40" i="12"/>
  <c r="AF40" i="12"/>
  <c r="AE40" i="12"/>
  <c r="Z40" i="12"/>
  <c r="Y40" i="12"/>
  <c r="S40" i="12"/>
  <c r="R40" i="12"/>
  <c r="AJ40" i="12" s="1"/>
  <c r="DL39" i="12"/>
  <c r="DK39" i="12"/>
  <c r="DJ39" i="12"/>
  <c r="DI39" i="12"/>
  <c r="DH39" i="12"/>
  <c r="DG39" i="12"/>
  <c r="DB39" i="12"/>
  <c r="DA39" i="12"/>
  <c r="CV39" i="12"/>
  <c r="CU39" i="12"/>
  <c r="CP39" i="12"/>
  <c r="CO39" i="12"/>
  <c r="CJ39" i="12"/>
  <c r="CI39" i="12"/>
  <c r="CD39" i="12"/>
  <c r="CC39" i="12"/>
  <c r="BX39" i="12"/>
  <c r="BW39" i="12"/>
  <c r="BR39" i="12"/>
  <c r="BQ39" i="12"/>
  <c r="BL39" i="12"/>
  <c r="BJ39" i="12"/>
  <c r="BE39" i="12"/>
  <c r="BC39" i="12"/>
  <c r="AX39" i="12"/>
  <c r="AW39" i="12"/>
  <c r="AR39" i="12"/>
  <c r="AQ39" i="12"/>
  <c r="AJ39" i="12"/>
  <c r="AI39" i="12"/>
  <c r="AH39" i="12"/>
  <c r="AG39" i="12"/>
  <c r="AF39" i="12"/>
  <c r="AE39" i="12"/>
  <c r="Z39" i="12"/>
  <c r="Y39" i="12"/>
  <c r="T39" i="12"/>
  <c r="S39" i="12"/>
  <c r="DL38" i="12"/>
  <c r="DK38" i="12"/>
  <c r="DJ38" i="12"/>
  <c r="DI38" i="12"/>
  <c r="DH38" i="12"/>
  <c r="DG38" i="12"/>
  <c r="DB38" i="12"/>
  <c r="DA38" i="12"/>
  <c r="CV38" i="12"/>
  <c r="CU38" i="12"/>
  <c r="CP38" i="12"/>
  <c r="CO38" i="12"/>
  <c r="CJ38" i="12"/>
  <c r="CI38" i="12"/>
  <c r="CD38" i="12"/>
  <c r="CC38" i="12"/>
  <c r="BX38" i="12"/>
  <c r="BW38" i="12"/>
  <c r="BR38" i="12"/>
  <c r="BQ38" i="12"/>
  <c r="BL38" i="12"/>
  <c r="BJ38" i="12"/>
  <c r="BE38" i="12"/>
  <c r="BC38" i="12"/>
  <c r="AX38" i="12"/>
  <c r="AW38" i="12"/>
  <c r="AR38" i="12"/>
  <c r="AQ38" i="12"/>
  <c r="AJ38" i="12"/>
  <c r="AI38" i="12"/>
  <c r="AH38" i="12"/>
  <c r="AG38" i="12"/>
  <c r="AF38" i="12"/>
  <c r="AE38" i="12"/>
  <c r="Z38" i="12"/>
  <c r="Y38" i="12"/>
  <c r="T38" i="12"/>
  <c r="S38" i="12"/>
  <c r="DL37" i="12"/>
  <c r="DJ37" i="12"/>
  <c r="DI37" i="12"/>
  <c r="DH37" i="12"/>
  <c r="DG37" i="12"/>
  <c r="DB37" i="12"/>
  <c r="DA37" i="12"/>
  <c r="CV37" i="12"/>
  <c r="CU37" i="12"/>
  <c r="CP37" i="12"/>
  <c r="CO37" i="12"/>
  <c r="CJ37" i="12"/>
  <c r="CI37" i="12"/>
  <c r="CD37" i="12"/>
  <c r="CC37" i="12"/>
  <c r="BX37" i="12"/>
  <c r="BW37" i="12"/>
  <c r="BR37" i="12"/>
  <c r="BQ37" i="12"/>
  <c r="BL37" i="12"/>
  <c r="BJ37" i="12"/>
  <c r="BE37" i="12"/>
  <c r="BA37" i="12"/>
  <c r="AX37" i="12"/>
  <c r="AW37" i="12"/>
  <c r="AR37" i="12"/>
  <c r="AQ37" i="12"/>
  <c r="AJ37" i="12"/>
  <c r="AI37" i="12"/>
  <c r="AH37" i="12"/>
  <c r="AG37" i="12"/>
  <c r="AF37" i="12"/>
  <c r="AE37" i="12"/>
  <c r="Z37" i="12"/>
  <c r="Y37" i="12"/>
  <c r="T37" i="12"/>
  <c r="S37" i="12"/>
  <c r="DL36" i="12"/>
  <c r="DK36" i="12"/>
  <c r="DJ36" i="12"/>
  <c r="DI36" i="12"/>
  <c r="DH36" i="12"/>
  <c r="DG36" i="12"/>
  <c r="DB36" i="12"/>
  <c r="DA36" i="12"/>
  <c r="CV36" i="12"/>
  <c r="CU36" i="12"/>
  <c r="CP36" i="12"/>
  <c r="CO36" i="12"/>
  <c r="CJ36" i="12"/>
  <c r="CI36" i="12"/>
  <c r="CD36" i="12"/>
  <c r="CC36" i="12"/>
  <c r="BX36" i="12"/>
  <c r="BW36" i="12"/>
  <c r="BR36" i="12"/>
  <c r="BQ36" i="12"/>
  <c r="BL36" i="12"/>
  <c r="BJ36" i="12"/>
  <c r="BE36" i="12"/>
  <c r="BC36" i="12"/>
  <c r="AX36" i="12"/>
  <c r="AW36" i="12"/>
  <c r="AR36" i="12"/>
  <c r="AQ36" i="12"/>
  <c r="AH36" i="12"/>
  <c r="AG36" i="12"/>
  <c r="AF36" i="12"/>
  <c r="AE36" i="12"/>
  <c r="Z36" i="12"/>
  <c r="Y36" i="12"/>
  <c r="S36" i="12"/>
  <c r="R36" i="12"/>
  <c r="AJ36" i="12" s="1"/>
  <c r="DL35" i="12"/>
  <c r="DK35" i="12"/>
  <c r="DJ35" i="12"/>
  <c r="DI35" i="12"/>
  <c r="DH35" i="12"/>
  <c r="DG35" i="12"/>
  <c r="DB35" i="12"/>
  <c r="DA35" i="12"/>
  <c r="CV35" i="12"/>
  <c r="CU35" i="12"/>
  <c r="CP35" i="12"/>
  <c r="CO35" i="12"/>
  <c r="CJ35" i="12"/>
  <c r="CI35" i="12"/>
  <c r="CD35" i="12"/>
  <c r="CC35" i="12"/>
  <c r="BX35" i="12"/>
  <c r="BW35" i="12"/>
  <c r="BR35" i="12"/>
  <c r="BQ35" i="12"/>
  <c r="BL35" i="12"/>
  <c r="BJ35" i="12"/>
  <c r="BE35" i="12"/>
  <c r="BC35" i="12"/>
  <c r="AX35" i="12"/>
  <c r="AW35" i="12"/>
  <c r="AR35" i="12"/>
  <c r="AQ35" i="12"/>
  <c r="AJ35" i="12"/>
  <c r="AI35" i="12"/>
  <c r="AH35" i="12"/>
  <c r="AG35" i="12"/>
  <c r="AF35" i="12"/>
  <c r="AE35" i="12"/>
  <c r="Z35" i="12"/>
  <c r="Y35" i="12"/>
  <c r="T35" i="12"/>
  <c r="S35" i="12"/>
  <c r="DL33" i="12"/>
  <c r="DK33" i="12"/>
  <c r="DJ33" i="12"/>
  <c r="DI33" i="12"/>
  <c r="DH33" i="12"/>
  <c r="DG33" i="12"/>
  <c r="DB33" i="12"/>
  <c r="DA33" i="12"/>
  <c r="CV33" i="12"/>
  <c r="CU33" i="12"/>
  <c r="CP33" i="12"/>
  <c r="CO33" i="12"/>
  <c r="CJ33" i="12"/>
  <c r="CI33" i="12"/>
  <c r="CD33" i="12"/>
  <c r="CC33" i="12"/>
  <c r="BX33" i="12"/>
  <c r="BW33" i="12"/>
  <c r="BR33" i="12"/>
  <c r="BQ33" i="12"/>
  <c r="BL33" i="12"/>
  <c r="BJ33" i="12"/>
  <c r="BE33" i="12"/>
  <c r="BC33" i="12"/>
  <c r="AX33" i="12"/>
  <c r="AW33" i="12"/>
  <c r="AR33" i="12"/>
  <c r="AQ33" i="12"/>
  <c r="AJ33" i="12"/>
  <c r="AI33" i="12"/>
  <c r="AH33" i="12"/>
  <c r="AG33" i="12"/>
  <c r="AF33" i="12"/>
  <c r="AE33" i="12"/>
  <c r="Z33" i="12"/>
  <c r="Y33" i="12"/>
  <c r="T33" i="12"/>
  <c r="S33" i="12"/>
  <c r="DL32" i="12"/>
  <c r="DK32" i="12"/>
  <c r="DJ32" i="12"/>
  <c r="DI32" i="12"/>
  <c r="DH32" i="12"/>
  <c r="DG32" i="12"/>
  <c r="DB32" i="12"/>
  <c r="DA32" i="12"/>
  <c r="CV32" i="12"/>
  <c r="CU32" i="12"/>
  <c r="CP32" i="12"/>
  <c r="CO32" i="12"/>
  <c r="CJ32" i="12"/>
  <c r="CI32" i="12"/>
  <c r="CD32" i="12"/>
  <c r="CC32" i="12"/>
  <c r="BX32" i="12"/>
  <c r="BW32" i="12"/>
  <c r="BR32" i="12"/>
  <c r="BQ32" i="12"/>
  <c r="BL32" i="12"/>
  <c r="BJ32" i="12"/>
  <c r="BE32" i="12"/>
  <c r="BC32" i="12"/>
  <c r="AX32" i="12"/>
  <c r="AW32" i="12"/>
  <c r="AR32" i="12"/>
  <c r="AJ32" i="12"/>
  <c r="AI32" i="12"/>
  <c r="AH32" i="12"/>
  <c r="AG32" i="12"/>
  <c r="AF32" i="12"/>
  <c r="AE32" i="12"/>
  <c r="Z32" i="12"/>
  <c r="Y32" i="12"/>
  <c r="T32" i="12"/>
  <c r="S32" i="12"/>
  <c r="DL31" i="12"/>
  <c r="DK31" i="12"/>
  <c r="DJ31" i="12"/>
  <c r="DI31" i="12"/>
  <c r="DH31" i="12"/>
  <c r="DG31" i="12"/>
  <c r="DB31" i="12"/>
  <c r="DA31" i="12"/>
  <c r="CV31" i="12"/>
  <c r="CU31" i="12"/>
  <c r="CP31" i="12"/>
  <c r="CO31" i="12"/>
  <c r="CJ31" i="12"/>
  <c r="CI31" i="12"/>
  <c r="CD31" i="12"/>
  <c r="CC31" i="12"/>
  <c r="BX31" i="12"/>
  <c r="BW31" i="12"/>
  <c r="BR31" i="12"/>
  <c r="BQ31" i="12"/>
  <c r="BL31" i="12"/>
  <c r="BJ31" i="12"/>
  <c r="BE31" i="12"/>
  <c r="BC31" i="12"/>
  <c r="AX31" i="12"/>
  <c r="AW31" i="12"/>
  <c r="AR31" i="12"/>
  <c r="AQ31" i="12"/>
  <c r="AJ31" i="12"/>
  <c r="AI31" i="12"/>
  <c r="AH31" i="12"/>
  <c r="AG31" i="12"/>
  <c r="AF31" i="12"/>
  <c r="AE31" i="12"/>
  <c r="Z31" i="12"/>
  <c r="Y31" i="12"/>
  <c r="T31" i="12"/>
  <c r="S31" i="12"/>
  <c r="DL30" i="12"/>
  <c r="DK30" i="12"/>
  <c r="DJ30" i="12"/>
  <c r="DI30" i="12"/>
  <c r="DH30" i="12"/>
  <c r="DG30" i="12"/>
  <c r="DB30" i="12"/>
  <c r="DA30" i="12"/>
  <c r="CV30" i="12"/>
  <c r="CU30" i="12"/>
  <c r="CP30" i="12"/>
  <c r="CO30" i="12"/>
  <c r="CJ30" i="12"/>
  <c r="CI30" i="12"/>
  <c r="CD30" i="12"/>
  <c r="CC30" i="12"/>
  <c r="BX30" i="12"/>
  <c r="BW30" i="12"/>
  <c r="BR30" i="12"/>
  <c r="BQ30" i="12"/>
  <c r="BL30" i="12"/>
  <c r="BJ30" i="12"/>
  <c r="BE30" i="12"/>
  <c r="BC30" i="12"/>
  <c r="AX30" i="12"/>
  <c r="AW30" i="12"/>
  <c r="AR30" i="12"/>
  <c r="AQ30" i="12"/>
  <c r="AJ30" i="12"/>
  <c r="AH30" i="12"/>
  <c r="AG30" i="12"/>
  <c r="AF30" i="12"/>
  <c r="AC30" i="12"/>
  <c r="AE30" i="12" s="1"/>
  <c r="Z30" i="12"/>
  <c r="Y30" i="12"/>
  <c r="T30" i="12"/>
  <c r="S30" i="12"/>
  <c r="DL29" i="12"/>
  <c r="DK29" i="12"/>
  <c r="DJ29" i="12"/>
  <c r="DI29" i="12"/>
  <c r="DH29" i="12"/>
  <c r="DG29" i="12"/>
  <c r="DB29" i="12"/>
  <c r="DA29" i="12"/>
  <c r="CV29" i="12"/>
  <c r="CU29" i="12"/>
  <c r="CP29" i="12"/>
  <c r="CO29" i="12"/>
  <c r="CJ29" i="12"/>
  <c r="CI29" i="12"/>
  <c r="CD29" i="12"/>
  <c r="CC29" i="12"/>
  <c r="BX29" i="12"/>
  <c r="BW29" i="12"/>
  <c r="BR29" i="12"/>
  <c r="BQ29" i="12"/>
  <c r="BL29" i="12"/>
  <c r="BJ29" i="12"/>
  <c r="BE29" i="12"/>
  <c r="BC29" i="12"/>
  <c r="AX29" i="12"/>
  <c r="AW29" i="12"/>
  <c r="AR29" i="12"/>
  <c r="AQ29" i="12"/>
  <c r="AJ29" i="12"/>
  <c r="AI29" i="12"/>
  <c r="AH29" i="12"/>
  <c r="AG29" i="12"/>
  <c r="AF29" i="12"/>
  <c r="AE29" i="12"/>
  <c r="Z29" i="12"/>
  <c r="Y29" i="12"/>
  <c r="T29" i="12"/>
  <c r="S29" i="12"/>
  <c r="DL28" i="12"/>
  <c r="DJ28" i="12"/>
  <c r="DI28" i="12"/>
  <c r="DH28" i="12"/>
  <c r="DG28" i="12"/>
  <c r="DB28" i="12"/>
  <c r="DA28" i="12"/>
  <c r="CV28" i="12"/>
  <c r="CU28" i="12"/>
  <c r="CP28" i="12"/>
  <c r="CO28" i="12"/>
  <c r="CJ28" i="12"/>
  <c r="CI28" i="12"/>
  <c r="CD28" i="12"/>
  <c r="CC28" i="12"/>
  <c r="BX28" i="12"/>
  <c r="BW28" i="12"/>
  <c r="BR28" i="12"/>
  <c r="BQ28" i="12"/>
  <c r="BL28" i="12"/>
  <c r="BJ28" i="12"/>
  <c r="BE28" i="12"/>
  <c r="BC28" i="12"/>
  <c r="AX28" i="12"/>
  <c r="AW28" i="12"/>
  <c r="AR28" i="12"/>
  <c r="DK28" i="12"/>
  <c r="AJ28" i="12"/>
  <c r="AI28" i="12"/>
  <c r="AH28" i="12"/>
  <c r="AG28" i="12"/>
  <c r="AF28" i="12"/>
  <c r="AE28" i="12"/>
  <c r="Z28" i="12"/>
  <c r="Y28" i="12"/>
  <c r="T28" i="12"/>
  <c r="S28" i="12"/>
  <c r="DL27" i="12"/>
  <c r="DK27" i="12"/>
  <c r="DJ27" i="12"/>
  <c r="DI27" i="12"/>
  <c r="DH27" i="12"/>
  <c r="DG27" i="12"/>
  <c r="DB27" i="12"/>
  <c r="DA27" i="12"/>
  <c r="CV27" i="12"/>
  <c r="CU27" i="12"/>
  <c r="CP27" i="12"/>
  <c r="CO27" i="12"/>
  <c r="CJ27" i="12"/>
  <c r="CI27" i="12"/>
  <c r="CD27" i="12"/>
  <c r="CC27" i="12"/>
  <c r="BX27" i="12"/>
  <c r="BW27" i="12"/>
  <c r="BR27" i="12"/>
  <c r="BQ27" i="12"/>
  <c r="BL27" i="12"/>
  <c r="BJ27" i="12"/>
  <c r="BE27" i="12"/>
  <c r="BC27" i="12"/>
  <c r="AX27" i="12"/>
  <c r="AW27" i="12"/>
  <c r="AR27" i="12"/>
  <c r="AQ27" i="12"/>
  <c r="AJ27" i="12"/>
  <c r="AI27" i="12"/>
  <c r="AH27" i="12"/>
  <c r="AG27" i="12"/>
  <c r="AF27" i="12"/>
  <c r="AE27" i="12"/>
  <c r="Z27" i="12"/>
  <c r="Y27" i="12"/>
  <c r="T27" i="12"/>
  <c r="S27" i="12"/>
  <c r="DL26" i="12"/>
  <c r="DK26" i="12"/>
  <c r="DJ26" i="12"/>
  <c r="DI26" i="12"/>
  <c r="DH26" i="12"/>
  <c r="DG26" i="12"/>
  <c r="DB26" i="12"/>
  <c r="DA26" i="12"/>
  <c r="CV26" i="12"/>
  <c r="CU26" i="12"/>
  <c r="CP26" i="12"/>
  <c r="CO26" i="12"/>
  <c r="CJ26" i="12"/>
  <c r="CI26" i="12"/>
  <c r="CD26" i="12"/>
  <c r="CC26" i="12"/>
  <c r="BX26" i="12"/>
  <c r="BW26" i="12"/>
  <c r="BR26" i="12"/>
  <c r="BQ26" i="12"/>
  <c r="BL26" i="12"/>
  <c r="BJ26" i="12"/>
  <c r="BE26" i="12"/>
  <c r="BC26" i="12"/>
  <c r="AX26" i="12"/>
  <c r="AW26" i="12"/>
  <c r="AR26" i="12"/>
  <c r="AJ26" i="12"/>
  <c r="AI26" i="12"/>
  <c r="AH26" i="12"/>
  <c r="AG26" i="12"/>
  <c r="AF26" i="12"/>
  <c r="AE26" i="12"/>
  <c r="Z26" i="12"/>
  <c r="Y26" i="12"/>
  <c r="S26" i="12"/>
  <c r="DL25" i="12"/>
  <c r="DK25" i="12"/>
  <c r="DJ25" i="12"/>
  <c r="DI25" i="12"/>
  <c r="DH25" i="12"/>
  <c r="DG25" i="12"/>
  <c r="DB25" i="12"/>
  <c r="DA25" i="12"/>
  <c r="CV25" i="12"/>
  <c r="CU25" i="12"/>
  <c r="CP25" i="12"/>
  <c r="CO25" i="12"/>
  <c r="CJ25" i="12"/>
  <c r="CI25" i="12"/>
  <c r="CD25" i="12"/>
  <c r="CC25" i="12"/>
  <c r="BX25" i="12"/>
  <c r="BW25" i="12"/>
  <c r="BR25" i="12"/>
  <c r="BQ25" i="12"/>
  <c r="BL25" i="12"/>
  <c r="BJ25" i="12"/>
  <c r="BE25" i="12"/>
  <c r="BC25" i="12"/>
  <c r="AX25" i="12"/>
  <c r="AW25" i="12"/>
  <c r="AR25" i="12"/>
  <c r="AQ25" i="12"/>
  <c r="AH25" i="12"/>
  <c r="AG25" i="12"/>
  <c r="AF25" i="12"/>
  <c r="AE25" i="12"/>
  <c r="Z25" i="12"/>
  <c r="Y25" i="12"/>
  <c r="S25" i="12"/>
  <c r="R25" i="12"/>
  <c r="AJ25" i="12" s="1"/>
  <c r="DL24" i="12"/>
  <c r="DK24" i="12"/>
  <c r="DJ24" i="12"/>
  <c r="DI24" i="12"/>
  <c r="DH24" i="12"/>
  <c r="DG24" i="12"/>
  <c r="DB24" i="12"/>
  <c r="DA24" i="12"/>
  <c r="CV24" i="12"/>
  <c r="CU24" i="12"/>
  <c r="CP24" i="12"/>
  <c r="CO24" i="12"/>
  <c r="CJ24" i="12"/>
  <c r="CI24" i="12"/>
  <c r="CD24" i="12"/>
  <c r="CC24" i="12"/>
  <c r="BX24" i="12"/>
  <c r="BW24" i="12"/>
  <c r="BR24" i="12"/>
  <c r="BQ24" i="12"/>
  <c r="BL24" i="12"/>
  <c r="BJ24" i="12"/>
  <c r="BE24" i="12"/>
  <c r="BC24" i="12"/>
  <c r="AX24" i="12"/>
  <c r="AW24" i="12"/>
  <c r="AR24" i="12"/>
  <c r="AQ24" i="12"/>
  <c r="AJ24" i="12"/>
  <c r="AI24" i="12"/>
  <c r="AH24" i="12"/>
  <c r="AG24" i="12"/>
  <c r="AF24" i="12"/>
  <c r="AE24" i="12"/>
  <c r="Z24" i="12"/>
  <c r="Y24" i="12"/>
  <c r="T24" i="12"/>
  <c r="S24" i="12"/>
  <c r="DL23" i="12"/>
  <c r="DK23" i="12"/>
  <c r="DJ23" i="12"/>
  <c r="DI23" i="12"/>
  <c r="DH23" i="12"/>
  <c r="DG23" i="12"/>
  <c r="DB23" i="12"/>
  <c r="DA23" i="12"/>
  <c r="CV23" i="12"/>
  <c r="CU23" i="12"/>
  <c r="CP23" i="12"/>
  <c r="CO23" i="12"/>
  <c r="CJ23" i="12"/>
  <c r="CI23" i="12"/>
  <c r="CD23" i="12"/>
  <c r="CC23" i="12"/>
  <c r="BX23" i="12"/>
  <c r="BW23" i="12"/>
  <c r="BR23" i="12"/>
  <c r="BQ23" i="12"/>
  <c r="BL23" i="12"/>
  <c r="BJ23" i="12"/>
  <c r="BE23" i="12"/>
  <c r="BC23" i="12"/>
  <c r="AX23" i="12"/>
  <c r="AW23" i="12"/>
  <c r="AR23" i="12"/>
  <c r="AQ23" i="12"/>
  <c r="AJ23" i="12"/>
  <c r="AI23" i="12"/>
  <c r="AH23" i="12"/>
  <c r="AG23" i="12"/>
  <c r="AF23" i="12"/>
  <c r="AE23" i="12"/>
  <c r="Z23" i="12"/>
  <c r="Y23" i="12"/>
  <c r="T23" i="12"/>
  <c r="S23" i="12"/>
  <c r="DL22" i="12"/>
  <c r="DK22" i="12"/>
  <c r="DJ22" i="12"/>
  <c r="DI22" i="12"/>
  <c r="DH22" i="12"/>
  <c r="DG22" i="12"/>
  <c r="DB22" i="12"/>
  <c r="DA22" i="12"/>
  <c r="CV22" i="12"/>
  <c r="CU22" i="12"/>
  <c r="CP22" i="12"/>
  <c r="CO22" i="12"/>
  <c r="CJ22" i="12"/>
  <c r="CI22" i="12"/>
  <c r="CD22" i="12"/>
  <c r="CC22" i="12"/>
  <c r="BX22" i="12"/>
  <c r="BW22" i="12"/>
  <c r="BR22" i="12"/>
  <c r="BQ22" i="12"/>
  <c r="BL22" i="12"/>
  <c r="BJ22" i="12"/>
  <c r="BE22" i="12"/>
  <c r="BC22" i="12"/>
  <c r="AX22" i="12"/>
  <c r="AW22" i="12"/>
  <c r="AR22" i="12"/>
  <c r="AQ22" i="12"/>
  <c r="AJ22" i="12"/>
  <c r="AI22" i="12"/>
  <c r="AH22" i="12"/>
  <c r="AG22" i="12"/>
  <c r="AF22" i="12"/>
  <c r="AE22" i="12"/>
  <c r="Z22" i="12"/>
  <c r="Y22" i="12"/>
  <c r="T22" i="12"/>
  <c r="S22" i="12"/>
  <c r="DL21" i="12"/>
  <c r="DK21" i="12"/>
  <c r="DJ21" i="12"/>
  <c r="DI21" i="12"/>
  <c r="DH21" i="12"/>
  <c r="DG21" i="12"/>
  <c r="DB21" i="12"/>
  <c r="DA21" i="12"/>
  <c r="CV21" i="12"/>
  <c r="CU21" i="12"/>
  <c r="CP21" i="12"/>
  <c r="CO21" i="12"/>
  <c r="CJ21" i="12"/>
  <c r="CI21" i="12"/>
  <c r="CD21" i="12"/>
  <c r="CC21" i="12"/>
  <c r="BX21" i="12"/>
  <c r="BW21" i="12"/>
  <c r="BR21" i="12"/>
  <c r="BQ21" i="12"/>
  <c r="BL21" i="12"/>
  <c r="BJ21" i="12"/>
  <c r="BE21" i="12"/>
  <c r="BC21" i="12"/>
  <c r="AX21" i="12"/>
  <c r="AW21" i="12"/>
  <c r="AR21" i="12"/>
  <c r="AQ21" i="12"/>
  <c r="AJ21" i="12"/>
  <c r="AI21" i="12"/>
  <c r="AH21" i="12"/>
  <c r="AG21" i="12"/>
  <c r="AF21" i="12"/>
  <c r="AE21" i="12"/>
  <c r="Z21" i="12"/>
  <c r="Y21" i="12"/>
  <c r="T21" i="12"/>
  <c r="S21" i="12"/>
  <c r="DL20" i="12"/>
  <c r="DK20" i="12"/>
  <c r="DJ20" i="12"/>
  <c r="DI20" i="12"/>
  <c r="DH20" i="12"/>
  <c r="DG20" i="12"/>
  <c r="DB20" i="12"/>
  <c r="DA20" i="12"/>
  <c r="CV20" i="12"/>
  <c r="CU20" i="12"/>
  <c r="CP20" i="12"/>
  <c r="CO20" i="12"/>
  <c r="CJ20" i="12"/>
  <c r="CI20" i="12"/>
  <c r="CD20" i="12"/>
  <c r="CC20" i="12"/>
  <c r="BX20" i="12"/>
  <c r="BW20" i="12"/>
  <c r="BR20" i="12"/>
  <c r="BQ20" i="12"/>
  <c r="BL20" i="12"/>
  <c r="BJ20" i="12"/>
  <c r="BE20" i="12"/>
  <c r="BC20" i="12"/>
  <c r="AX20" i="12"/>
  <c r="AW20" i="12"/>
  <c r="AR20" i="12"/>
  <c r="AQ20" i="12"/>
  <c r="AJ20" i="12"/>
  <c r="AI20" i="12"/>
  <c r="AH20" i="12"/>
  <c r="AG20" i="12"/>
  <c r="AF20" i="12"/>
  <c r="AE20" i="12"/>
  <c r="Z20" i="12"/>
  <c r="Y20" i="12"/>
  <c r="T20" i="12"/>
  <c r="S20" i="12"/>
  <c r="DL19" i="12"/>
  <c r="DK19" i="12"/>
  <c r="DJ19" i="12"/>
  <c r="DI19" i="12"/>
  <c r="DH19" i="12"/>
  <c r="DG19" i="12"/>
  <c r="DB19" i="12"/>
  <c r="DA19" i="12"/>
  <c r="CV19" i="12"/>
  <c r="CU19" i="12"/>
  <c r="CP19" i="12"/>
  <c r="CO19" i="12"/>
  <c r="CJ19" i="12"/>
  <c r="CI19" i="12"/>
  <c r="CD19" i="12"/>
  <c r="CC19" i="12"/>
  <c r="BX19" i="12"/>
  <c r="BW19" i="12"/>
  <c r="BR19" i="12"/>
  <c r="BQ19" i="12"/>
  <c r="BL19" i="12"/>
  <c r="BJ19" i="12"/>
  <c r="BE19" i="12"/>
  <c r="BC19" i="12"/>
  <c r="AX19" i="12"/>
  <c r="AW19" i="12"/>
  <c r="AR19" i="12"/>
  <c r="AQ19" i="12"/>
  <c r="AJ19" i="12"/>
  <c r="AI19" i="12"/>
  <c r="AH19" i="12"/>
  <c r="AG19" i="12"/>
  <c r="AF19" i="12"/>
  <c r="AE19" i="12"/>
  <c r="Z19" i="12"/>
  <c r="Y19" i="12"/>
  <c r="T19" i="12"/>
  <c r="S19" i="12"/>
  <c r="DL18" i="12"/>
  <c r="DK18" i="12"/>
  <c r="DJ18" i="12"/>
  <c r="DI18" i="12"/>
  <c r="DH18" i="12"/>
  <c r="DG18" i="12"/>
  <c r="DB18" i="12"/>
  <c r="DA18" i="12"/>
  <c r="CV18" i="12"/>
  <c r="CU18" i="12"/>
  <c r="CP18" i="12"/>
  <c r="CO18" i="12"/>
  <c r="CJ18" i="12"/>
  <c r="CI18" i="12"/>
  <c r="CD18" i="12"/>
  <c r="CC18" i="12"/>
  <c r="BX18" i="12"/>
  <c r="BW18" i="12"/>
  <c r="BR18" i="12"/>
  <c r="BQ18" i="12"/>
  <c r="BL18" i="12"/>
  <c r="BJ18" i="12"/>
  <c r="BE18" i="12"/>
  <c r="BC18" i="12"/>
  <c r="AX18" i="12"/>
  <c r="AW18" i="12"/>
  <c r="AR18" i="12"/>
  <c r="AQ18" i="12"/>
  <c r="AJ18" i="12"/>
  <c r="AI18" i="12"/>
  <c r="AH18" i="12"/>
  <c r="AG18" i="12"/>
  <c r="AF18" i="12"/>
  <c r="AE18" i="12"/>
  <c r="Z18" i="12"/>
  <c r="Y18" i="12"/>
  <c r="T18" i="12"/>
  <c r="S18" i="12"/>
  <c r="DL17" i="12"/>
  <c r="DK17" i="12"/>
  <c r="DJ17" i="12"/>
  <c r="DI17" i="12"/>
  <c r="DH17" i="12"/>
  <c r="DG17" i="12"/>
  <c r="DB17" i="12"/>
  <c r="DA17" i="12"/>
  <c r="CV17" i="12"/>
  <c r="CU17" i="12"/>
  <c r="CP17" i="12"/>
  <c r="CO17" i="12"/>
  <c r="CJ17" i="12"/>
  <c r="CI17" i="12"/>
  <c r="CD17" i="12"/>
  <c r="CC17" i="12"/>
  <c r="BX17" i="12"/>
  <c r="BW17" i="12"/>
  <c r="BR17" i="12"/>
  <c r="BQ17" i="12"/>
  <c r="BL17" i="12"/>
  <c r="BJ17" i="12"/>
  <c r="BE17" i="12"/>
  <c r="BC17" i="12"/>
  <c r="AX17" i="12"/>
  <c r="AW17" i="12"/>
  <c r="AR17" i="12"/>
  <c r="AQ17" i="12"/>
  <c r="AJ17" i="12"/>
  <c r="AI17" i="12"/>
  <c r="AH17" i="12"/>
  <c r="AG17" i="12"/>
  <c r="AF17" i="12"/>
  <c r="AE17" i="12"/>
  <c r="Z17" i="12"/>
  <c r="Y17" i="12"/>
  <c r="T17" i="12"/>
  <c r="S17" i="12"/>
  <c r="DL16" i="12"/>
  <c r="DJ16" i="12"/>
  <c r="DI16" i="12"/>
  <c r="DH16" i="12"/>
  <c r="DG16" i="12"/>
  <c r="DB16" i="12"/>
  <c r="DA16" i="12"/>
  <c r="CV16" i="12"/>
  <c r="CU16" i="12"/>
  <c r="CP16" i="12"/>
  <c r="CO16" i="12"/>
  <c r="CJ16" i="12"/>
  <c r="CI16" i="12"/>
  <c r="CD16" i="12"/>
  <c r="CC16" i="12"/>
  <c r="BX16" i="12"/>
  <c r="BW16" i="12"/>
  <c r="BR16" i="12"/>
  <c r="BQ16" i="12"/>
  <c r="BL16" i="12"/>
  <c r="BH16" i="12"/>
  <c r="BE16" i="12"/>
  <c r="BC16" i="12"/>
  <c r="AX16" i="12"/>
  <c r="AW16" i="12"/>
  <c r="AR16" i="12"/>
  <c r="AQ16" i="12"/>
  <c r="AJ16" i="12"/>
  <c r="AI16" i="12"/>
  <c r="AH16" i="12"/>
  <c r="AG16" i="12"/>
  <c r="AF16" i="12"/>
  <c r="AE16" i="12"/>
  <c r="Z16" i="12"/>
  <c r="Y16" i="12"/>
  <c r="T16" i="12"/>
  <c r="S16" i="12"/>
  <c r="DL15" i="12"/>
  <c r="DK15" i="12"/>
  <c r="DJ15" i="12"/>
  <c r="DI15" i="12"/>
  <c r="DH15" i="12"/>
  <c r="DG15" i="12"/>
  <c r="DB15" i="12"/>
  <c r="DA15" i="12"/>
  <c r="CV15" i="12"/>
  <c r="CU15" i="12"/>
  <c r="CP15" i="12"/>
  <c r="CO15" i="12"/>
  <c r="CJ15" i="12"/>
  <c r="CI15" i="12"/>
  <c r="CD15" i="12"/>
  <c r="CC15" i="12"/>
  <c r="BX15" i="12"/>
  <c r="BW15" i="12"/>
  <c r="BR15" i="12"/>
  <c r="BQ15" i="12"/>
  <c r="BL15" i="12"/>
  <c r="BJ15" i="12"/>
  <c r="BE15" i="12"/>
  <c r="BC15" i="12"/>
  <c r="AX15" i="12"/>
  <c r="AW15" i="12"/>
  <c r="AR15" i="12"/>
  <c r="AQ15" i="12"/>
  <c r="AJ15" i="12"/>
  <c r="AI15" i="12"/>
  <c r="AH15" i="12"/>
  <c r="AG15" i="12"/>
  <c r="AF15" i="12"/>
  <c r="AE15" i="12"/>
  <c r="Z15" i="12"/>
  <c r="Y15" i="12"/>
  <c r="T15" i="12"/>
  <c r="S15" i="12"/>
  <c r="DL14" i="12"/>
  <c r="DK14" i="12"/>
  <c r="DJ14" i="12"/>
  <c r="DI14" i="12"/>
  <c r="DH14" i="12"/>
  <c r="DG14" i="12"/>
  <c r="DB14" i="12"/>
  <c r="DA14" i="12"/>
  <c r="CV14" i="12"/>
  <c r="CU14" i="12"/>
  <c r="CP14" i="12"/>
  <c r="CO14" i="12"/>
  <c r="CJ14" i="12"/>
  <c r="CI14" i="12"/>
  <c r="CD14" i="12"/>
  <c r="CC14" i="12"/>
  <c r="BX14" i="12"/>
  <c r="BW14" i="12"/>
  <c r="BR14" i="12"/>
  <c r="BQ14" i="12"/>
  <c r="BL14" i="12"/>
  <c r="BJ14" i="12"/>
  <c r="BE14" i="12"/>
  <c r="BC14" i="12"/>
  <c r="AX14" i="12"/>
  <c r="AW14" i="12"/>
  <c r="AR14" i="12"/>
  <c r="AQ14" i="12"/>
  <c r="AH14" i="12"/>
  <c r="AG14" i="12"/>
  <c r="AF14" i="12"/>
  <c r="AE14" i="12"/>
  <c r="Z14" i="12"/>
  <c r="Y14" i="12"/>
  <c r="S14" i="12"/>
  <c r="R14" i="12"/>
  <c r="AJ14" i="12" s="1"/>
  <c r="DL13" i="12"/>
  <c r="DK13" i="12"/>
  <c r="DJ13" i="12"/>
  <c r="DI13" i="12"/>
  <c r="DH13" i="12"/>
  <c r="DG13" i="12"/>
  <c r="DB13" i="12"/>
  <c r="DA13" i="12"/>
  <c r="CV13" i="12"/>
  <c r="CU13" i="12"/>
  <c r="CP13" i="12"/>
  <c r="CO13" i="12"/>
  <c r="CJ13" i="12"/>
  <c r="CI13" i="12"/>
  <c r="CD13" i="12"/>
  <c r="CC13" i="12"/>
  <c r="BX13" i="12"/>
  <c r="BW13" i="12"/>
  <c r="BR13" i="12"/>
  <c r="BQ13" i="12"/>
  <c r="BL13" i="12"/>
  <c r="BJ13" i="12"/>
  <c r="BE13" i="12"/>
  <c r="BC13" i="12"/>
  <c r="AX13" i="12"/>
  <c r="AW13" i="12"/>
  <c r="AR13" i="12"/>
  <c r="AQ13" i="12"/>
  <c r="AJ13" i="12"/>
  <c r="AI13" i="12"/>
  <c r="AH13" i="12"/>
  <c r="AG13" i="12"/>
  <c r="AF13" i="12"/>
  <c r="AE13" i="12"/>
  <c r="Z13" i="12"/>
  <c r="Y13" i="12"/>
  <c r="T13" i="12"/>
  <c r="S13" i="12"/>
  <c r="DL12" i="12"/>
  <c r="DK12" i="12"/>
  <c r="DJ12" i="12"/>
  <c r="DI12" i="12"/>
  <c r="DH12" i="12"/>
  <c r="DG12" i="12"/>
  <c r="DB12" i="12"/>
  <c r="DA12" i="12"/>
  <c r="CV12" i="12"/>
  <c r="CU12" i="12"/>
  <c r="CP12" i="12"/>
  <c r="CO12" i="12"/>
  <c r="CJ12" i="12"/>
  <c r="CI12" i="12"/>
  <c r="CD12" i="12"/>
  <c r="CC12" i="12"/>
  <c r="BX12" i="12"/>
  <c r="BW12" i="12"/>
  <c r="BR12" i="12"/>
  <c r="BQ12" i="12"/>
  <c r="BL12" i="12"/>
  <c r="BJ12" i="12"/>
  <c r="BE12" i="12"/>
  <c r="BC12" i="12"/>
  <c r="AX12" i="12"/>
  <c r="AW12" i="12"/>
  <c r="AR12" i="12"/>
  <c r="AQ12" i="12"/>
  <c r="AJ12" i="12"/>
  <c r="AI12" i="12"/>
  <c r="AH12" i="12"/>
  <c r="AG12" i="12"/>
  <c r="AF12" i="12"/>
  <c r="AE12" i="12"/>
  <c r="Z12" i="12"/>
  <c r="Y12" i="12"/>
  <c r="T12" i="12"/>
  <c r="S12" i="12"/>
  <c r="DL11" i="12"/>
  <c r="DK11" i="12"/>
  <c r="DJ11" i="12"/>
  <c r="DI11" i="12"/>
  <c r="DH11" i="12"/>
  <c r="DG11" i="12"/>
  <c r="DB11" i="12"/>
  <c r="DA11" i="12"/>
  <c r="CV11" i="12"/>
  <c r="CU11" i="12"/>
  <c r="CP11" i="12"/>
  <c r="CO11" i="12"/>
  <c r="CJ11" i="12"/>
  <c r="CI11" i="12"/>
  <c r="CD11" i="12"/>
  <c r="CC11" i="12"/>
  <c r="BX11" i="12"/>
  <c r="BW11" i="12"/>
  <c r="BR11" i="12"/>
  <c r="BQ11" i="12"/>
  <c r="BL11" i="12"/>
  <c r="BJ11" i="12"/>
  <c r="BE11" i="12"/>
  <c r="BC11" i="12"/>
  <c r="AX11" i="12"/>
  <c r="AW11" i="12"/>
  <c r="AR11" i="12"/>
  <c r="AQ11" i="12"/>
  <c r="AH11" i="12"/>
  <c r="AG11" i="12"/>
  <c r="AF11" i="12"/>
  <c r="AE11" i="12"/>
  <c r="Z11" i="12"/>
  <c r="Y11" i="12"/>
  <c r="S11" i="12"/>
  <c r="R11" i="12"/>
  <c r="DL10" i="12"/>
  <c r="DK10" i="12"/>
  <c r="DJ10" i="12"/>
  <c r="DI10" i="12"/>
  <c r="DH10" i="12"/>
  <c r="DG10" i="12"/>
  <c r="DB10" i="12"/>
  <c r="DA10" i="12"/>
  <c r="CV10" i="12"/>
  <c r="CU10" i="12"/>
  <c r="CP10" i="12"/>
  <c r="CO10" i="12"/>
  <c r="CJ10" i="12"/>
  <c r="CI10" i="12"/>
  <c r="CD10" i="12"/>
  <c r="CC10" i="12"/>
  <c r="BX10" i="12"/>
  <c r="BW10" i="12"/>
  <c r="BR10" i="12"/>
  <c r="BQ10" i="12"/>
  <c r="BL10" i="12"/>
  <c r="BJ10" i="12"/>
  <c r="BE10" i="12"/>
  <c r="BC10" i="12"/>
  <c r="AX10" i="12"/>
  <c r="AW10" i="12"/>
  <c r="AR10" i="12"/>
  <c r="AQ10" i="12"/>
  <c r="AJ10" i="12"/>
  <c r="AI10" i="12"/>
  <c r="AH10" i="12"/>
  <c r="AG10" i="12"/>
  <c r="AF10" i="12"/>
  <c r="AE10" i="12"/>
  <c r="Z10" i="12"/>
  <c r="Y10" i="12"/>
  <c r="T10" i="12"/>
  <c r="S10" i="12"/>
  <c r="DL9" i="12"/>
  <c r="DK9" i="12"/>
  <c r="DJ9" i="12"/>
  <c r="DI9" i="12"/>
  <c r="DH9" i="12"/>
  <c r="DG9" i="12"/>
  <c r="DB9" i="12"/>
  <c r="DA9" i="12"/>
  <c r="CV9" i="12"/>
  <c r="CU9" i="12"/>
  <c r="CP9" i="12"/>
  <c r="CO9" i="12"/>
  <c r="CJ9" i="12"/>
  <c r="CI9" i="12"/>
  <c r="CD9" i="12"/>
  <c r="CC9" i="12"/>
  <c r="BX9" i="12"/>
  <c r="BW9" i="12"/>
  <c r="BR9" i="12"/>
  <c r="BQ9" i="12"/>
  <c r="BL9" i="12"/>
  <c r="BJ9" i="12"/>
  <c r="BE9" i="12"/>
  <c r="BC9" i="12"/>
  <c r="AX9" i="12"/>
  <c r="AW9" i="12"/>
  <c r="AR9" i="12"/>
  <c r="AQ9" i="12"/>
  <c r="AJ9" i="12"/>
  <c r="AI9" i="12"/>
  <c r="AH9" i="12"/>
  <c r="AG9" i="12"/>
  <c r="AF9" i="12"/>
  <c r="AE9" i="12"/>
  <c r="Z9" i="12"/>
  <c r="Y9" i="12"/>
  <c r="T9" i="12"/>
  <c r="S9" i="12"/>
  <c r="D2" i="12"/>
  <c r="DM84" i="11"/>
  <c r="DL84" i="11"/>
  <c r="DK84" i="11"/>
  <c r="DJ84" i="11"/>
  <c r="DI84" i="11"/>
  <c r="DH84" i="11"/>
  <c r="DC84" i="11"/>
  <c r="DB84" i="11"/>
  <c r="CW84" i="11"/>
  <c r="CV84" i="11"/>
  <c r="CQ84" i="11"/>
  <c r="CP84" i="11"/>
  <c r="CK84" i="11"/>
  <c r="CJ84" i="11"/>
  <c r="CE84" i="11"/>
  <c r="CD84" i="11"/>
  <c r="BY84" i="11"/>
  <c r="BX84" i="11"/>
  <c r="BS84" i="11"/>
  <c r="BR84" i="11"/>
  <c r="BM84" i="11"/>
  <c r="BK84" i="11"/>
  <c r="BF84" i="11"/>
  <c r="BD84" i="11"/>
  <c r="AY84" i="11"/>
  <c r="AX84" i="11"/>
  <c r="AS84" i="11"/>
  <c r="AR84" i="11"/>
  <c r="AJ84" i="11"/>
  <c r="AI84" i="11"/>
  <c r="AH84" i="11"/>
  <c r="AG84" i="11"/>
  <c r="AF84" i="11"/>
  <c r="AE84" i="11"/>
  <c r="Z84" i="11"/>
  <c r="Y84" i="11"/>
  <c r="T84" i="11"/>
  <c r="S84" i="11"/>
  <c r="DM83" i="11"/>
  <c r="DK83" i="11"/>
  <c r="DJ83" i="11"/>
  <c r="DI83" i="11"/>
  <c r="DH83" i="11"/>
  <c r="DC83" i="11"/>
  <c r="DB83" i="11"/>
  <c r="CW83" i="11"/>
  <c r="CV83" i="11"/>
  <c r="CQ83" i="11"/>
  <c r="CP83" i="11"/>
  <c r="CK83" i="11"/>
  <c r="CJ83" i="11"/>
  <c r="CE83" i="11"/>
  <c r="CD83" i="11"/>
  <c r="BY83" i="11"/>
  <c r="BX83" i="11"/>
  <c r="BS83" i="11"/>
  <c r="BR83" i="11"/>
  <c r="BM83" i="11"/>
  <c r="BK83" i="11"/>
  <c r="BF83" i="11"/>
  <c r="BD83" i="11"/>
  <c r="AY83" i="11"/>
  <c r="AX83" i="11"/>
  <c r="AS83" i="11"/>
  <c r="AJ83" i="11"/>
  <c r="AI83" i="11"/>
  <c r="AH83" i="11"/>
  <c r="AG83" i="11"/>
  <c r="AF83" i="11"/>
  <c r="AE83" i="11"/>
  <c r="Z83" i="11"/>
  <c r="Y83" i="11"/>
  <c r="T83" i="11"/>
  <c r="S83" i="11"/>
  <c r="DM82" i="11"/>
  <c r="DL82" i="11"/>
  <c r="DK82" i="11"/>
  <c r="DJ82" i="11"/>
  <c r="DI82" i="11"/>
  <c r="DH82" i="11"/>
  <c r="DC82" i="11"/>
  <c r="DB82" i="11"/>
  <c r="CW82" i="11"/>
  <c r="CV82" i="11"/>
  <c r="CQ82" i="11"/>
  <c r="CP82" i="11"/>
  <c r="CK82" i="11"/>
  <c r="CJ82" i="11"/>
  <c r="CE82" i="11"/>
  <c r="CD82" i="11"/>
  <c r="BY82" i="11"/>
  <c r="BX82" i="11"/>
  <c r="BS82" i="11"/>
  <c r="BR82" i="11"/>
  <c r="BM82" i="11"/>
  <c r="BK82" i="11"/>
  <c r="BF82" i="11"/>
  <c r="BD82" i="11"/>
  <c r="AY82" i="11"/>
  <c r="AX82" i="11"/>
  <c r="AS82" i="11"/>
  <c r="AR82" i="11"/>
  <c r="AJ82" i="11"/>
  <c r="AI82" i="11"/>
  <c r="AH82" i="11"/>
  <c r="AG82" i="11"/>
  <c r="AF82" i="11"/>
  <c r="AE82" i="11"/>
  <c r="Z82" i="11"/>
  <c r="Y82" i="11"/>
  <c r="T82" i="11"/>
  <c r="S82" i="11"/>
  <c r="DM81" i="11"/>
  <c r="DK81" i="11"/>
  <c r="DJ81" i="11"/>
  <c r="DI81" i="11"/>
  <c r="DH81" i="11"/>
  <c r="DC81" i="11"/>
  <c r="DB81" i="11"/>
  <c r="CW81" i="11"/>
  <c r="CV81" i="11"/>
  <c r="CQ81" i="11"/>
  <c r="CP81" i="11"/>
  <c r="CK81" i="11"/>
  <c r="CJ81" i="11"/>
  <c r="CE81" i="11"/>
  <c r="CD81" i="11"/>
  <c r="BY81" i="11"/>
  <c r="BX81" i="11"/>
  <c r="BS81" i="11"/>
  <c r="BR81" i="11"/>
  <c r="BM81" i="11"/>
  <c r="BF81" i="11"/>
  <c r="BD81" i="11"/>
  <c r="AY81" i="11"/>
  <c r="AX81" i="11"/>
  <c r="AS81" i="11"/>
  <c r="AR81" i="11"/>
  <c r="AJ81" i="11"/>
  <c r="AI81" i="11"/>
  <c r="AH81" i="11"/>
  <c r="AG81" i="11"/>
  <c r="AF81" i="11"/>
  <c r="AE81" i="11"/>
  <c r="Z81" i="11"/>
  <c r="Y81" i="11"/>
  <c r="T81" i="11"/>
  <c r="S81" i="11"/>
  <c r="DM80" i="11"/>
  <c r="DL80" i="11"/>
  <c r="DK80" i="11"/>
  <c r="DJ80" i="11"/>
  <c r="DI80" i="11"/>
  <c r="DH80" i="11"/>
  <c r="DC80" i="11"/>
  <c r="DB80" i="11"/>
  <c r="CW80" i="11"/>
  <c r="CV80" i="11"/>
  <c r="CQ80" i="11"/>
  <c r="CP80" i="11"/>
  <c r="CK80" i="11"/>
  <c r="CJ80" i="11"/>
  <c r="CE80" i="11"/>
  <c r="CD80" i="11"/>
  <c r="BY80" i="11"/>
  <c r="BX80" i="11"/>
  <c r="BS80" i="11"/>
  <c r="BR80" i="11"/>
  <c r="BM80" i="11"/>
  <c r="BK80" i="11"/>
  <c r="BF80" i="11"/>
  <c r="BD80" i="11"/>
  <c r="AY80" i="11"/>
  <c r="AX80" i="11"/>
  <c r="AS80" i="11"/>
  <c r="AR80" i="11"/>
  <c r="AJ80" i="11"/>
  <c r="AI80" i="11"/>
  <c r="AH80" i="11"/>
  <c r="AG80" i="11"/>
  <c r="AF80" i="11"/>
  <c r="AE80" i="11"/>
  <c r="Z80" i="11"/>
  <c r="Y80" i="11"/>
  <c r="T80" i="11"/>
  <c r="S80" i="11"/>
  <c r="DM79" i="11"/>
  <c r="DL79" i="11"/>
  <c r="DK79" i="11"/>
  <c r="DJ79" i="11"/>
  <c r="DI79" i="11"/>
  <c r="DH79" i="11"/>
  <c r="DC79" i="11"/>
  <c r="DB79" i="11"/>
  <c r="CW79" i="11"/>
  <c r="CV79" i="11"/>
  <c r="CQ79" i="11"/>
  <c r="CP79" i="11"/>
  <c r="CK79" i="11"/>
  <c r="CJ79" i="11"/>
  <c r="CE79" i="11"/>
  <c r="CD79" i="11"/>
  <c r="BY79" i="11"/>
  <c r="BX79" i="11"/>
  <c r="BS79" i="11"/>
  <c r="BR79" i="11"/>
  <c r="BM79" i="11"/>
  <c r="BK79" i="11"/>
  <c r="BF79" i="11"/>
  <c r="BD79" i="11"/>
  <c r="AY79" i="11"/>
  <c r="AX79" i="11"/>
  <c r="AS79" i="11"/>
  <c r="AR79" i="11"/>
  <c r="AJ79" i="11"/>
  <c r="AI79" i="11"/>
  <c r="AH79" i="11"/>
  <c r="AG79" i="11"/>
  <c r="AF79" i="11"/>
  <c r="AE79" i="11"/>
  <c r="Z79" i="11"/>
  <c r="Y79" i="11"/>
  <c r="T79" i="11"/>
  <c r="S79" i="11"/>
  <c r="I79" i="11"/>
  <c r="I7" i="11" s="1"/>
  <c r="DM78" i="11"/>
  <c r="DL78" i="11"/>
  <c r="DK78" i="11"/>
  <c r="DJ78" i="11"/>
  <c r="DI78" i="11"/>
  <c r="DH78" i="11"/>
  <c r="DC78" i="11"/>
  <c r="DB78" i="11"/>
  <c r="CW78" i="11"/>
  <c r="CV78" i="11"/>
  <c r="CQ78" i="11"/>
  <c r="CP78" i="11"/>
  <c r="CK78" i="11"/>
  <c r="CJ78" i="11"/>
  <c r="CE78" i="11"/>
  <c r="CD78" i="11"/>
  <c r="BY78" i="11"/>
  <c r="BX78" i="11"/>
  <c r="BS78" i="11"/>
  <c r="BR78" i="11"/>
  <c r="BM78" i="11"/>
  <c r="BK78" i="11"/>
  <c r="BF78" i="11"/>
  <c r="BD78" i="11"/>
  <c r="AY78" i="11"/>
  <c r="AX78" i="11"/>
  <c r="AS78" i="11"/>
  <c r="AR78" i="11"/>
  <c r="AJ78" i="11"/>
  <c r="AI78" i="11"/>
  <c r="AH78" i="11"/>
  <c r="AG78" i="11"/>
  <c r="AF78" i="11"/>
  <c r="AE78" i="11"/>
  <c r="Z78" i="11"/>
  <c r="Y78" i="11"/>
  <c r="T78" i="11"/>
  <c r="S78" i="11"/>
  <c r="DM77" i="11"/>
  <c r="DL77" i="11"/>
  <c r="DK77" i="11"/>
  <c r="DJ77" i="11"/>
  <c r="DI77" i="11"/>
  <c r="DH77" i="11"/>
  <c r="DC77" i="11"/>
  <c r="DB77" i="11"/>
  <c r="CW77" i="11"/>
  <c r="CV77" i="11"/>
  <c r="CQ77" i="11"/>
  <c r="CP77" i="11"/>
  <c r="CK77" i="11"/>
  <c r="CJ77" i="11"/>
  <c r="CE77" i="11"/>
  <c r="CD77" i="11"/>
  <c r="BY77" i="11"/>
  <c r="BX77" i="11"/>
  <c r="BS77" i="11"/>
  <c r="BR77" i="11"/>
  <c r="BM77" i="11"/>
  <c r="BK77" i="11"/>
  <c r="BF77" i="11"/>
  <c r="BD77" i="11"/>
  <c r="AY77" i="11"/>
  <c r="AX77" i="11"/>
  <c r="AS77" i="11"/>
  <c r="AR77" i="11"/>
  <c r="AJ77" i="11"/>
  <c r="AI77" i="11"/>
  <c r="AH77" i="11"/>
  <c r="AG77" i="11"/>
  <c r="AF77" i="11"/>
  <c r="AE77" i="11"/>
  <c r="Z77" i="11"/>
  <c r="Y77" i="11"/>
  <c r="T77" i="11"/>
  <c r="S77" i="11"/>
  <c r="DM76" i="11"/>
  <c r="DL76" i="11"/>
  <c r="DK76" i="11"/>
  <c r="DJ76" i="11"/>
  <c r="DI76" i="11"/>
  <c r="DH76" i="11"/>
  <c r="DC76" i="11"/>
  <c r="DB76" i="11"/>
  <c r="CW76" i="11"/>
  <c r="CV76" i="11"/>
  <c r="CQ76" i="11"/>
  <c r="CP76" i="11"/>
  <c r="CK76" i="11"/>
  <c r="CJ76" i="11"/>
  <c r="CE76" i="11"/>
  <c r="CD76" i="11"/>
  <c r="BY76" i="11"/>
  <c r="BX76" i="11"/>
  <c r="BS76" i="11"/>
  <c r="BR76" i="11"/>
  <c r="BM76" i="11"/>
  <c r="BK76" i="11"/>
  <c r="BF76" i="11"/>
  <c r="BD76" i="11"/>
  <c r="AY76" i="11"/>
  <c r="AX76" i="11"/>
  <c r="AS76" i="11"/>
  <c r="AR76" i="11"/>
  <c r="AH76" i="11"/>
  <c r="AG76" i="11"/>
  <c r="AF76" i="11"/>
  <c r="AE76" i="11"/>
  <c r="Z76" i="11"/>
  <c r="Y76" i="11"/>
  <c r="S76" i="11"/>
  <c r="R76" i="11"/>
  <c r="AJ76" i="11" s="1"/>
  <c r="DM75" i="11"/>
  <c r="DL75" i="11"/>
  <c r="DK75" i="11"/>
  <c r="DJ75" i="11"/>
  <c r="DI75" i="11"/>
  <c r="DH75" i="11"/>
  <c r="DC75" i="11"/>
  <c r="DB75" i="11"/>
  <c r="CW75" i="11"/>
  <c r="CV75" i="11"/>
  <c r="CQ75" i="11"/>
  <c r="CP75" i="11"/>
  <c r="CK75" i="11"/>
  <c r="CJ75" i="11"/>
  <c r="CE75" i="11"/>
  <c r="CD75" i="11"/>
  <c r="BY75" i="11"/>
  <c r="BX75" i="11"/>
  <c r="BS75" i="11"/>
  <c r="BR75" i="11"/>
  <c r="BM75" i="11"/>
  <c r="BK75" i="11"/>
  <c r="BF75" i="11"/>
  <c r="BD75" i="11"/>
  <c r="AY75" i="11"/>
  <c r="AX75" i="11"/>
  <c r="AS75" i="11"/>
  <c r="AR75" i="11"/>
  <c r="AJ75" i="11"/>
  <c r="AI75" i="11"/>
  <c r="AH75" i="11"/>
  <c r="AG75" i="11"/>
  <c r="AF75" i="11"/>
  <c r="AE75" i="11"/>
  <c r="Z75" i="11"/>
  <c r="Y75" i="11"/>
  <c r="T75" i="11"/>
  <c r="S75" i="11"/>
  <c r="DM74" i="11"/>
  <c r="DL74" i="11"/>
  <c r="DK74" i="11"/>
  <c r="DJ74" i="11"/>
  <c r="DI74" i="11"/>
  <c r="DH74" i="11"/>
  <c r="DC74" i="11"/>
  <c r="DB74" i="11"/>
  <c r="CW74" i="11"/>
  <c r="CV74" i="11"/>
  <c r="CQ74" i="11"/>
  <c r="CP74" i="11"/>
  <c r="CK74" i="11"/>
  <c r="CJ74" i="11"/>
  <c r="CE74" i="11"/>
  <c r="CD74" i="11"/>
  <c r="BY74" i="11"/>
  <c r="BX74" i="11"/>
  <c r="BS74" i="11"/>
  <c r="BR74" i="11"/>
  <c r="BM74" i="11"/>
  <c r="BK74" i="11"/>
  <c r="BF74" i="11"/>
  <c r="BD74" i="11"/>
  <c r="AY74" i="11"/>
  <c r="AX74" i="11"/>
  <c r="AS74" i="11"/>
  <c r="AR74" i="11"/>
  <c r="AJ74" i="11"/>
  <c r="AI74" i="11"/>
  <c r="AH74" i="11"/>
  <c r="AG74" i="11"/>
  <c r="AF74" i="11"/>
  <c r="AE74" i="11"/>
  <c r="Z74" i="11"/>
  <c r="Y74" i="11"/>
  <c r="T74" i="11"/>
  <c r="S74" i="11"/>
  <c r="DM73" i="11"/>
  <c r="DL73" i="11"/>
  <c r="DK73" i="11"/>
  <c r="DJ73" i="11"/>
  <c r="DI73" i="11"/>
  <c r="DH73" i="11"/>
  <c r="DC73" i="11"/>
  <c r="DB73" i="11"/>
  <c r="CW73" i="11"/>
  <c r="CV73" i="11"/>
  <c r="CQ73" i="11"/>
  <c r="CP73" i="11"/>
  <c r="CK73" i="11"/>
  <c r="CJ73" i="11"/>
  <c r="CE73" i="11"/>
  <c r="CD73" i="11"/>
  <c r="BY73" i="11"/>
  <c r="BX73" i="11"/>
  <c r="BS73" i="11"/>
  <c r="BR73" i="11"/>
  <c r="BM73" i="11"/>
  <c r="BK73" i="11"/>
  <c r="BF73" i="11"/>
  <c r="BD73" i="11"/>
  <c r="AY73" i="11"/>
  <c r="AX73" i="11"/>
  <c r="AS73" i="11"/>
  <c r="AR73" i="11"/>
  <c r="AJ73" i="11"/>
  <c r="AI73" i="11"/>
  <c r="AH73" i="11"/>
  <c r="AG73" i="11"/>
  <c r="AF73" i="11"/>
  <c r="AE73" i="11"/>
  <c r="Z73" i="11"/>
  <c r="Y73" i="11"/>
  <c r="T73" i="11"/>
  <c r="S73" i="11"/>
  <c r="DM72" i="11"/>
  <c r="DL72" i="11"/>
  <c r="DK72" i="11"/>
  <c r="DJ72" i="11"/>
  <c r="DI72" i="11"/>
  <c r="DH72" i="11"/>
  <c r="DC72" i="11"/>
  <c r="DB72" i="11"/>
  <c r="CW72" i="11"/>
  <c r="CV72" i="11"/>
  <c r="CQ72" i="11"/>
  <c r="CP72" i="11"/>
  <c r="CK72" i="11"/>
  <c r="CJ72" i="11"/>
  <c r="CE72" i="11"/>
  <c r="CD72" i="11"/>
  <c r="BY72" i="11"/>
  <c r="BX72" i="11"/>
  <c r="BS72" i="11"/>
  <c r="BR72" i="11"/>
  <c r="BM72" i="11"/>
  <c r="BK72" i="11"/>
  <c r="BF72" i="11"/>
  <c r="BD72" i="11"/>
  <c r="AY72" i="11"/>
  <c r="AX72" i="11"/>
  <c r="AS72" i="11"/>
  <c r="AR72" i="11"/>
  <c r="AJ72" i="11"/>
  <c r="AI72" i="11"/>
  <c r="AH72" i="11"/>
  <c r="AG72" i="11"/>
  <c r="AF72" i="11"/>
  <c r="AE72" i="11"/>
  <c r="Z72" i="11"/>
  <c r="Y72" i="11"/>
  <c r="T72" i="11"/>
  <c r="S72" i="11"/>
  <c r="DM71" i="11"/>
  <c r="DL71" i="11"/>
  <c r="DK71" i="11"/>
  <c r="DJ71" i="11"/>
  <c r="DI71" i="11"/>
  <c r="DH71" i="11"/>
  <c r="DC71" i="11"/>
  <c r="DB71" i="11"/>
  <c r="CW71" i="11"/>
  <c r="CV71" i="11"/>
  <c r="CQ71" i="11"/>
  <c r="CP71" i="11"/>
  <c r="CK71" i="11"/>
  <c r="CJ71" i="11"/>
  <c r="CE71" i="11"/>
  <c r="CD71" i="11"/>
  <c r="BY71" i="11"/>
  <c r="BX71" i="11"/>
  <c r="BS71" i="11"/>
  <c r="BR71" i="11"/>
  <c r="BM71" i="11"/>
  <c r="BK71" i="11"/>
  <c r="BF71" i="11"/>
  <c r="BD71" i="11"/>
  <c r="AY71" i="11"/>
  <c r="AX71" i="11"/>
  <c r="AS71" i="11"/>
  <c r="AR71" i="11"/>
  <c r="AJ71" i="11"/>
  <c r="AI71" i="11"/>
  <c r="AH71" i="11"/>
  <c r="AG71" i="11"/>
  <c r="AF71" i="11"/>
  <c r="AE71" i="11"/>
  <c r="Z71" i="11"/>
  <c r="Y71" i="11"/>
  <c r="T71" i="11"/>
  <c r="S71" i="11"/>
  <c r="DM70" i="11"/>
  <c r="DL70" i="11"/>
  <c r="DK70" i="11"/>
  <c r="DJ70" i="11"/>
  <c r="DI70" i="11"/>
  <c r="DH70" i="11"/>
  <c r="DC70" i="11"/>
  <c r="DB70" i="11"/>
  <c r="CW70" i="11"/>
  <c r="CV70" i="11"/>
  <c r="CQ70" i="11"/>
  <c r="CP70" i="11"/>
  <c r="CK70" i="11"/>
  <c r="CJ70" i="11"/>
  <c r="CE70" i="11"/>
  <c r="CD70" i="11"/>
  <c r="BY70" i="11"/>
  <c r="BX70" i="11"/>
  <c r="BS70" i="11"/>
  <c r="BR70" i="11"/>
  <c r="BM70" i="11"/>
  <c r="BK70" i="11"/>
  <c r="BF70" i="11"/>
  <c r="BD70" i="11"/>
  <c r="AY70" i="11"/>
  <c r="AX70" i="11"/>
  <c r="AS70" i="11"/>
  <c r="AR70" i="11"/>
  <c r="AJ70" i="11"/>
  <c r="AI70" i="11"/>
  <c r="AH70" i="11"/>
  <c r="AG70" i="11"/>
  <c r="AF70" i="11"/>
  <c r="AE70" i="11"/>
  <c r="Z70" i="11"/>
  <c r="Y70" i="11"/>
  <c r="T70" i="11"/>
  <c r="S70" i="11"/>
  <c r="DM69" i="11"/>
  <c r="DL69" i="11"/>
  <c r="DK69" i="11"/>
  <c r="DJ69" i="11"/>
  <c r="DI69" i="11"/>
  <c r="DH69" i="11"/>
  <c r="DC69" i="11"/>
  <c r="DB69" i="11"/>
  <c r="CW69" i="11"/>
  <c r="CV69" i="11"/>
  <c r="CQ69" i="11"/>
  <c r="CP69" i="11"/>
  <c r="CK69" i="11"/>
  <c r="CJ69" i="11"/>
  <c r="CE69" i="11"/>
  <c r="CD69" i="11"/>
  <c r="BY69" i="11"/>
  <c r="BX69" i="11"/>
  <c r="BS69" i="11"/>
  <c r="BR69" i="11"/>
  <c r="BM69" i="11"/>
  <c r="BK69" i="11"/>
  <c r="BF69" i="11"/>
  <c r="BD69" i="11"/>
  <c r="AY69" i="11"/>
  <c r="AX69" i="11"/>
  <c r="AS69" i="11"/>
  <c r="AR69" i="11"/>
  <c r="AJ69" i="11"/>
  <c r="AI69" i="11"/>
  <c r="AH69" i="11"/>
  <c r="AG69" i="11"/>
  <c r="AF69" i="11"/>
  <c r="AE69" i="11"/>
  <c r="Z69" i="11"/>
  <c r="Y69" i="11"/>
  <c r="T69" i="11"/>
  <c r="S69" i="11"/>
  <c r="DM68" i="11"/>
  <c r="DL68" i="11"/>
  <c r="DK68" i="11"/>
  <c r="DJ68" i="11"/>
  <c r="DI68" i="11"/>
  <c r="DH68" i="11"/>
  <c r="DC68" i="11"/>
  <c r="DB68" i="11"/>
  <c r="CW68" i="11"/>
  <c r="CV68" i="11"/>
  <c r="CQ68" i="11"/>
  <c r="CP68" i="11"/>
  <c r="CK68" i="11"/>
  <c r="CJ68" i="11"/>
  <c r="CE68" i="11"/>
  <c r="CD68" i="11"/>
  <c r="BY68" i="11"/>
  <c r="BX68" i="11"/>
  <c r="BS68" i="11"/>
  <c r="BR68" i="11"/>
  <c r="BM68" i="11"/>
  <c r="BK68" i="11"/>
  <c r="BF68" i="11"/>
  <c r="BD68" i="11"/>
  <c r="AY68" i="11"/>
  <c r="AX68" i="11"/>
  <c r="AS68" i="11"/>
  <c r="AR68" i="11"/>
  <c r="AJ68" i="11"/>
  <c r="AI68" i="11"/>
  <c r="AH68" i="11"/>
  <c r="AG68" i="11"/>
  <c r="AF68" i="11"/>
  <c r="AE68" i="11"/>
  <c r="Z68" i="11"/>
  <c r="Y68" i="11"/>
  <c r="T68" i="11"/>
  <c r="S68" i="11"/>
  <c r="DM67" i="11"/>
  <c r="DL67" i="11"/>
  <c r="DK67" i="11"/>
  <c r="DJ67" i="11"/>
  <c r="DI67" i="11"/>
  <c r="DH67" i="11"/>
  <c r="DC67" i="11"/>
  <c r="DB67" i="11"/>
  <c r="CW67" i="11"/>
  <c r="CV67" i="11"/>
  <c r="CQ67" i="11"/>
  <c r="CP67" i="11"/>
  <c r="CK67" i="11"/>
  <c r="CJ67" i="11"/>
  <c r="CE67" i="11"/>
  <c r="CD67" i="11"/>
  <c r="BY67" i="11"/>
  <c r="BX67" i="11"/>
  <c r="BS67" i="11"/>
  <c r="BR67" i="11"/>
  <c r="BM67" i="11"/>
  <c r="BK67" i="11"/>
  <c r="BF67" i="11"/>
  <c r="BD67" i="11"/>
  <c r="AY67" i="11"/>
  <c r="AX67" i="11"/>
  <c r="AS67" i="11"/>
  <c r="AR67" i="11"/>
  <c r="AJ67" i="11"/>
  <c r="AI67" i="11"/>
  <c r="AH67" i="11"/>
  <c r="AG67" i="11"/>
  <c r="AF67" i="11"/>
  <c r="AE67" i="11"/>
  <c r="Z67" i="11"/>
  <c r="Y67" i="11"/>
  <c r="T67" i="11"/>
  <c r="S67" i="11"/>
  <c r="DM66" i="11"/>
  <c r="DL66" i="11"/>
  <c r="DK66" i="11"/>
  <c r="DJ66" i="11"/>
  <c r="DI66" i="11"/>
  <c r="DH66" i="11"/>
  <c r="DC66" i="11"/>
  <c r="DB66" i="11"/>
  <c r="CW66" i="11"/>
  <c r="CV66" i="11"/>
  <c r="CQ66" i="11"/>
  <c r="CP66" i="11"/>
  <c r="CK66" i="11"/>
  <c r="CJ66" i="11"/>
  <c r="CE66" i="11"/>
  <c r="CD66" i="11"/>
  <c r="BY66" i="11"/>
  <c r="BX66" i="11"/>
  <c r="BS66" i="11"/>
  <c r="BR66" i="11"/>
  <c r="BM66" i="11"/>
  <c r="BK66" i="11"/>
  <c r="BF66" i="11"/>
  <c r="BD66" i="11"/>
  <c r="AY66" i="11"/>
  <c r="AX66" i="11"/>
  <c r="AS66" i="11"/>
  <c r="AR66" i="11"/>
  <c r="AJ66" i="11"/>
  <c r="AI66" i="11"/>
  <c r="AH66" i="11"/>
  <c r="AG66" i="11"/>
  <c r="AF66" i="11"/>
  <c r="AE66" i="11"/>
  <c r="Z66" i="11"/>
  <c r="Y66" i="11"/>
  <c r="T66" i="11"/>
  <c r="S66" i="11"/>
  <c r="DM65" i="11"/>
  <c r="DL65" i="11"/>
  <c r="DK65" i="11"/>
  <c r="DJ65" i="11"/>
  <c r="DI65" i="11"/>
  <c r="DH65" i="11"/>
  <c r="DC65" i="11"/>
  <c r="DB65" i="11"/>
  <c r="CW65" i="11"/>
  <c r="CV65" i="11"/>
  <c r="CQ65" i="11"/>
  <c r="CP65" i="11"/>
  <c r="CK65" i="11"/>
  <c r="CJ65" i="11"/>
  <c r="CE65" i="11"/>
  <c r="CD65" i="11"/>
  <c r="BY65" i="11"/>
  <c r="BX65" i="11"/>
  <c r="BS65" i="11"/>
  <c r="BR65" i="11"/>
  <c r="BM65" i="11"/>
  <c r="BK65" i="11"/>
  <c r="BF65" i="11"/>
  <c r="BD65" i="11"/>
  <c r="AY65" i="11"/>
  <c r="AX65" i="11"/>
  <c r="AS65" i="11"/>
  <c r="AR65" i="11"/>
  <c r="AJ65" i="11"/>
  <c r="AI65" i="11"/>
  <c r="AH65" i="11"/>
  <c r="AG65" i="11"/>
  <c r="AF65" i="11"/>
  <c r="AE65" i="11"/>
  <c r="Z65" i="11"/>
  <c r="Y65" i="11"/>
  <c r="T65" i="11"/>
  <c r="S65" i="11"/>
  <c r="DM64" i="11"/>
  <c r="DL64" i="11"/>
  <c r="DK64" i="11"/>
  <c r="DJ64" i="11"/>
  <c r="DI64" i="11"/>
  <c r="DH64" i="11"/>
  <c r="DC64" i="11"/>
  <c r="DB64" i="11"/>
  <c r="CW64" i="11"/>
  <c r="CV64" i="11"/>
  <c r="CQ64" i="11"/>
  <c r="CP64" i="11"/>
  <c r="CK64" i="11"/>
  <c r="CJ64" i="11"/>
  <c r="CE64" i="11"/>
  <c r="CD64" i="11"/>
  <c r="BY64" i="11"/>
  <c r="BX64" i="11"/>
  <c r="BS64" i="11"/>
  <c r="BR64" i="11"/>
  <c r="BM64" i="11"/>
  <c r="BK64" i="11"/>
  <c r="BF64" i="11"/>
  <c r="BD64" i="11"/>
  <c r="AY64" i="11"/>
  <c r="AX64" i="11"/>
  <c r="AS64" i="11"/>
  <c r="AR64" i="11"/>
  <c r="AJ64" i="11"/>
  <c r="AI64" i="11"/>
  <c r="AH64" i="11"/>
  <c r="AG64" i="11"/>
  <c r="AF64" i="11"/>
  <c r="AE64" i="11"/>
  <c r="Z64" i="11"/>
  <c r="Y64" i="11"/>
  <c r="T64" i="11"/>
  <c r="S64" i="11"/>
  <c r="DM63" i="11"/>
  <c r="DL63" i="11"/>
  <c r="DK63" i="11"/>
  <c r="DJ63" i="11"/>
  <c r="DI63" i="11"/>
  <c r="DH63" i="11"/>
  <c r="DC63" i="11"/>
  <c r="DB63" i="11"/>
  <c r="CW63" i="11"/>
  <c r="CV63" i="11"/>
  <c r="CQ63" i="11"/>
  <c r="CP63" i="11"/>
  <c r="CK63" i="11"/>
  <c r="CJ63" i="11"/>
  <c r="CE63" i="11"/>
  <c r="CD63" i="11"/>
  <c r="BY63" i="11"/>
  <c r="BX63" i="11"/>
  <c r="BS63" i="11"/>
  <c r="BR63" i="11"/>
  <c r="BM63" i="11"/>
  <c r="BK63" i="11"/>
  <c r="BF63" i="11"/>
  <c r="BD63" i="11"/>
  <c r="AY63" i="11"/>
  <c r="AX63" i="11"/>
  <c r="AS63" i="11"/>
  <c r="AR63" i="11"/>
  <c r="AJ63" i="11"/>
  <c r="AI63" i="11"/>
  <c r="AH63" i="11"/>
  <c r="AG63" i="11"/>
  <c r="AF63" i="11"/>
  <c r="AE63" i="11"/>
  <c r="Z63" i="11"/>
  <c r="Y63" i="11"/>
  <c r="T63" i="11"/>
  <c r="S63" i="11"/>
  <c r="DM62" i="11"/>
  <c r="DL62" i="11"/>
  <c r="DK62" i="11"/>
  <c r="DJ62" i="11"/>
  <c r="DI62" i="11"/>
  <c r="DH62" i="11"/>
  <c r="DC62" i="11"/>
  <c r="DB62" i="11"/>
  <c r="CW62" i="11"/>
  <c r="CV62" i="11"/>
  <c r="CQ62" i="11"/>
  <c r="CP62" i="11"/>
  <c r="CK62" i="11"/>
  <c r="CJ62" i="11"/>
  <c r="CE62" i="11"/>
  <c r="CD62" i="11"/>
  <c r="BY62" i="11"/>
  <c r="BX62" i="11"/>
  <c r="BS62" i="11"/>
  <c r="BR62" i="11"/>
  <c r="BM62" i="11"/>
  <c r="BK62" i="11"/>
  <c r="BF62" i="11"/>
  <c r="BD62" i="11"/>
  <c r="AY62" i="11"/>
  <c r="AX62" i="11"/>
  <c r="AS62" i="11"/>
  <c r="AR62" i="11"/>
  <c r="AJ62" i="11"/>
  <c r="AI62" i="11"/>
  <c r="AH62" i="11"/>
  <c r="AG62" i="11"/>
  <c r="AF62" i="11"/>
  <c r="AE62" i="11"/>
  <c r="Z62" i="11"/>
  <c r="Y62" i="11"/>
  <c r="T62" i="11"/>
  <c r="S62" i="11"/>
  <c r="DM61" i="11"/>
  <c r="DL61" i="11"/>
  <c r="DK61" i="11"/>
  <c r="DJ61" i="11"/>
  <c r="DI61" i="11"/>
  <c r="DH61" i="11"/>
  <c r="DC61" i="11"/>
  <c r="DB61" i="11"/>
  <c r="CW61" i="11"/>
  <c r="CV61" i="11"/>
  <c r="CQ61" i="11"/>
  <c r="CP61" i="11"/>
  <c r="CK61" i="11"/>
  <c r="CJ61" i="11"/>
  <c r="CE61" i="11"/>
  <c r="CD61" i="11"/>
  <c r="BY61" i="11"/>
  <c r="BX61" i="11"/>
  <c r="BS61" i="11"/>
  <c r="BR61" i="11"/>
  <c r="BM61" i="11"/>
  <c r="BK61" i="11"/>
  <c r="BF61" i="11"/>
  <c r="BD61" i="11"/>
  <c r="AY61" i="11"/>
  <c r="AX61" i="11"/>
  <c r="AS61" i="11"/>
  <c r="AR61" i="11"/>
  <c r="AJ61" i="11"/>
  <c r="AI61" i="11"/>
  <c r="AH61" i="11"/>
  <c r="AG61" i="11"/>
  <c r="AF61" i="11"/>
  <c r="AE61" i="11"/>
  <c r="Z61" i="11"/>
  <c r="Y61" i="11"/>
  <c r="T61" i="11"/>
  <c r="S61" i="11"/>
  <c r="DM60" i="11"/>
  <c r="DL60" i="11"/>
  <c r="DK60" i="11"/>
  <c r="DJ60" i="11"/>
  <c r="DI60" i="11"/>
  <c r="DH60" i="11"/>
  <c r="DC60" i="11"/>
  <c r="DB60" i="11"/>
  <c r="CW60" i="11"/>
  <c r="CV60" i="11"/>
  <c r="CQ60" i="11"/>
  <c r="CP60" i="11"/>
  <c r="CK60" i="11"/>
  <c r="CJ60" i="11"/>
  <c r="CE60" i="11"/>
  <c r="CD60" i="11"/>
  <c r="BY60" i="11"/>
  <c r="BX60" i="11"/>
  <c r="BS60" i="11"/>
  <c r="BR60" i="11"/>
  <c r="BM60" i="11"/>
  <c r="BK60" i="11"/>
  <c r="BF60" i="11"/>
  <c r="BD60" i="11"/>
  <c r="AY60" i="11"/>
  <c r="AX60" i="11"/>
  <c r="AS60" i="11"/>
  <c r="AR60" i="11"/>
  <c r="AJ60" i="11"/>
  <c r="AI60" i="11"/>
  <c r="AH60" i="11"/>
  <c r="AG60" i="11"/>
  <c r="AF60" i="11"/>
  <c r="AE60" i="11"/>
  <c r="Z60" i="11"/>
  <c r="Y60" i="11"/>
  <c r="T60" i="11"/>
  <c r="S60" i="11"/>
  <c r="DM59" i="11"/>
  <c r="DL59" i="11"/>
  <c r="DK59" i="11"/>
  <c r="DJ59" i="11"/>
  <c r="DI59" i="11"/>
  <c r="DH59" i="11"/>
  <c r="DC59" i="11"/>
  <c r="DB59" i="11"/>
  <c r="CW59" i="11"/>
  <c r="CV59" i="11"/>
  <c r="CQ59" i="11"/>
  <c r="CP59" i="11"/>
  <c r="CK59" i="11"/>
  <c r="CJ59" i="11"/>
  <c r="CE59" i="11"/>
  <c r="CD59" i="11"/>
  <c r="BY59" i="11"/>
  <c r="BX59" i="11"/>
  <c r="BS59" i="11"/>
  <c r="BR59" i="11"/>
  <c r="BM59" i="11"/>
  <c r="BK59" i="11"/>
  <c r="BF59" i="11"/>
  <c r="BD59" i="11"/>
  <c r="AY59" i="11"/>
  <c r="AX59" i="11"/>
  <c r="AS59" i="11"/>
  <c r="AR59" i="11"/>
  <c r="AJ59" i="11"/>
  <c r="AI59" i="11"/>
  <c r="AH59" i="11"/>
  <c r="AG59" i="11"/>
  <c r="AF59" i="11"/>
  <c r="AE59" i="11"/>
  <c r="Z59" i="11"/>
  <c r="Y59" i="11"/>
  <c r="T59" i="11"/>
  <c r="S59" i="11"/>
  <c r="DM58" i="11"/>
  <c r="DL58" i="11"/>
  <c r="DK58" i="11"/>
  <c r="DJ58" i="11"/>
  <c r="DI58" i="11"/>
  <c r="DH58" i="11"/>
  <c r="DC58" i="11"/>
  <c r="DB58" i="11"/>
  <c r="CW58" i="11"/>
  <c r="CV58" i="11"/>
  <c r="CQ58" i="11"/>
  <c r="CP58" i="11"/>
  <c r="CK58" i="11"/>
  <c r="CJ58" i="11"/>
  <c r="CE58" i="11"/>
  <c r="CD58" i="11"/>
  <c r="BY58" i="11"/>
  <c r="BX58" i="11"/>
  <c r="BS58" i="11"/>
  <c r="BR58" i="11"/>
  <c r="BM58" i="11"/>
  <c r="BK58" i="11"/>
  <c r="BF58" i="11"/>
  <c r="BD58" i="11"/>
  <c r="AY58" i="11"/>
  <c r="AX58" i="11"/>
  <c r="AS58" i="11"/>
  <c r="AR58" i="11"/>
  <c r="AJ58" i="11"/>
  <c r="AI58" i="11"/>
  <c r="AH58" i="11"/>
  <c r="AG58" i="11"/>
  <c r="AF58" i="11"/>
  <c r="AE58" i="11"/>
  <c r="Z58" i="11"/>
  <c r="Y58" i="11"/>
  <c r="T58" i="11"/>
  <c r="S58" i="11"/>
  <c r="DM57" i="11"/>
  <c r="DL57" i="11"/>
  <c r="DK57" i="11"/>
  <c r="DJ57" i="11"/>
  <c r="DI57" i="11"/>
  <c r="DH57" i="11"/>
  <c r="DC57" i="11"/>
  <c r="DB57" i="11"/>
  <c r="CW57" i="11"/>
  <c r="CV57" i="11"/>
  <c r="CQ57" i="11"/>
  <c r="CP57" i="11"/>
  <c r="CK57" i="11"/>
  <c r="CJ57" i="11"/>
  <c r="CE57" i="11"/>
  <c r="CD57" i="11"/>
  <c r="BY57" i="11"/>
  <c r="BX57" i="11"/>
  <c r="BS57" i="11"/>
  <c r="BR57" i="11"/>
  <c r="BM57" i="11"/>
  <c r="BK57" i="11"/>
  <c r="BF57" i="11"/>
  <c r="BD57" i="11"/>
  <c r="AY57" i="11"/>
  <c r="AX57" i="11"/>
  <c r="AS57" i="11"/>
  <c r="AR57" i="11"/>
  <c r="AJ57" i="11"/>
  <c r="AI57" i="11"/>
  <c r="AH57" i="11"/>
  <c r="AG57" i="11"/>
  <c r="AF57" i="11"/>
  <c r="AE57" i="11"/>
  <c r="Z57" i="11"/>
  <c r="Y57" i="11"/>
  <c r="T57" i="11"/>
  <c r="S57" i="11"/>
  <c r="DM56" i="11"/>
  <c r="DL56" i="11"/>
  <c r="DK56" i="11"/>
  <c r="DJ56" i="11"/>
  <c r="DI56" i="11"/>
  <c r="DH56" i="11"/>
  <c r="DC56" i="11"/>
  <c r="DB56" i="11"/>
  <c r="CW56" i="11"/>
  <c r="CV56" i="11"/>
  <c r="CQ56" i="11"/>
  <c r="CP56" i="11"/>
  <c r="CK56" i="11"/>
  <c r="CJ56" i="11"/>
  <c r="CE56" i="11"/>
  <c r="CD56" i="11"/>
  <c r="BY56" i="11"/>
  <c r="BX56" i="11"/>
  <c r="BS56" i="11"/>
  <c r="BR56" i="11"/>
  <c r="BM56" i="11"/>
  <c r="BK56" i="11"/>
  <c r="BF56" i="11"/>
  <c r="BD56" i="11"/>
  <c r="AY56" i="11"/>
  <c r="AX56" i="11"/>
  <c r="AS56" i="11"/>
  <c r="AR56" i="11"/>
  <c r="AJ56" i="11"/>
  <c r="AI56" i="11"/>
  <c r="AH56" i="11"/>
  <c r="AG56" i="11"/>
  <c r="AF56" i="11"/>
  <c r="AE56" i="11"/>
  <c r="Z56" i="11"/>
  <c r="Y56" i="11"/>
  <c r="T56" i="11"/>
  <c r="S56" i="11"/>
  <c r="DM55" i="11"/>
  <c r="DL55" i="11"/>
  <c r="DK55" i="11"/>
  <c r="DJ55" i="11"/>
  <c r="DI55" i="11"/>
  <c r="DH55" i="11"/>
  <c r="DC55" i="11"/>
  <c r="DB55" i="11"/>
  <c r="CW55" i="11"/>
  <c r="CV55" i="11"/>
  <c r="CQ55" i="11"/>
  <c r="CP55" i="11"/>
  <c r="CK55" i="11"/>
  <c r="CJ55" i="11"/>
  <c r="CE55" i="11"/>
  <c r="CD55" i="11"/>
  <c r="BY55" i="11"/>
  <c r="BX55" i="11"/>
  <c r="BS55" i="11"/>
  <c r="BR55" i="11"/>
  <c r="BM55" i="11"/>
  <c r="BK55" i="11"/>
  <c r="BF55" i="11"/>
  <c r="BD55" i="11"/>
  <c r="AY55" i="11"/>
  <c r="AX55" i="11"/>
  <c r="AS55" i="11"/>
  <c r="AR55" i="11"/>
  <c r="AJ55" i="11"/>
  <c r="AI55" i="11"/>
  <c r="AH55" i="11"/>
  <c r="AG55" i="11"/>
  <c r="AF55" i="11"/>
  <c r="AE55" i="11"/>
  <c r="Z55" i="11"/>
  <c r="Y55" i="11"/>
  <c r="T55" i="11"/>
  <c r="S55" i="11"/>
  <c r="DM54" i="11"/>
  <c r="DL54" i="11"/>
  <c r="DK54" i="11"/>
  <c r="DJ54" i="11"/>
  <c r="DI54" i="11"/>
  <c r="DH54" i="11"/>
  <c r="DC54" i="11"/>
  <c r="DB54" i="11"/>
  <c r="CW54" i="11"/>
  <c r="CV54" i="11"/>
  <c r="CQ54" i="11"/>
  <c r="CP54" i="11"/>
  <c r="CK54" i="11"/>
  <c r="CJ54" i="11"/>
  <c r="CE54" i="11"/>
  <c r="CD54" i="11"/>
  <c r="BY54" i="11"/>
  <c r="BX54" i="11"/>
  <c r="BS54" i="11"/>
  <c r="BR54" i="11"/>
  <c r="BM54" i="11"/>
  <c r="BK54" i="11"/>
  <c r="BF54" i="11"/>
  <c r="BD54" i="11"/>
  <c r="AY54" i="11"/>
  <c r="AX54" i="11"/>
  <c r="AS54" i="11"/>
  <c r="AR54" i="11"/>
  <c r="AJ54" i="11"/>
  <c r="AI54" i="11"/>
  <c r="AH54" i="11"/>
  <c r="AG54" i="11"/>
  <c r="AF54" i="11"/>
  <c r="AE54" i="11"/>
  <c r="Z54" i="11"/>
  <c r="Y54" i="11"/>
  <c r="T54" i="11"/>
  <c r="S54" i="11"/>
  <c r="DM53" i="11"/>
  <c r="DL53" i="11"/>
  <c r="DK53" i="11"/>
  <c r="DJ53" i="11"/>
  <c r="DI53" i="11"/>
  <c r="DH53" i="11"/>
  <c r="DC53" i="11"/>
  <c r="DB53" i="11"/>
  <c r="CW53" i="11"/>
  <c r="CV53" i="11"/>
  <c r="CQ53" i="11"/>
  <c r="CP53" i="11"/>
  <c r="CK53" i="11"/>
  <c r="CJ53" i="11"/>
  <c r="CE53" i="11"/>
  <c r="CD53" i="11"/>
  <c r="BY53" i="11"/>
  <c r="BX53" i="11"/>
  <c r="BS53" i="11"/>
  <c r="BR53" i="11"/>
  <c r="BM53" i="11"/>
  <c r="BK53" i="11"/>
  <c r="BF53" i="11"/>
  <c r="BD53" i="11"/>
  <c r="AY53" i="11"/>
  <c r="AX53" i="11"/>
  <c r="AS53" i="11"/>
  <c r="AR53" i="11"/>
  <c r="AJ53" i="11"/>
  <c r="AI53" i="11"/>
  <c r="AH53" i="11"/>
  <c r="AG53" i="11"/>
  <c r="AF53" i="11"/>
  <c r="AE53" i="11"/>
  <c r="Z53" i="11"/>
  <c r="Y53" i="11"/>
  <c r="T53" i="11"/>
  <c r="S53" i="11"/>
  <c r="DM52" i="11"/>
  <c r="DL52" i="11"/>
  <c r="DK52" i="11"/>
  <c r="DJ52" i="11"/>
  <c r="DI52" i="11"/>
  <c r="DH52" i="11"/>
  <c r="DC52" i="11"/>
  <c r="DB52" i="11"/>
  <c r="CW52" i="11"/>
  <c r="CV52" i="11"/>
  <c r="CQ52" i="11"/>
  <c r="CP52" i="11"/>
  <c r="CK52" i="11"/>
  <c r="CJ52" i="11"/>
  <c r="CE52" i="11"/>
  <c r="CD52" i="11"/>
  <c r="BY52" i="11"/>
  <c r="BX52" i="11"/>
  <c r="BS52" i="11"/>
  <c r="BR52" i="11"/>
  <c r="BM52" i="11"/>
  <c r="BK52" i="11"/>
  <c r="BF52" i="11"/>
  <c r="BD52" i="11"/>
  <c r="AY52" i="11"/>
  <c r="AX52" i="11"/>
  <c r="AS52" i="11"/>
  <c r="AR52" i="11"/>
  <c r="AJ52" i="11"/>
  <c r="AI52" i="11"/>
  <c r="AH52" i="11"/>
  <c r="AG52" i="11"/>
  <c r="AF52" i="11"/>
  <c r="AE52" i="11"/>
  <c r="Z52" i="11"/>
  <c r="Y52" i="11"/>
  <c r="T52" i="11"/>
  <c r="S52" i="11"/>
  <c r="DM51" i="11"/>
  <c r="DL51" i="11"/>
  <c r="DK51" i="11"/>
  <c r="DJ51" i="11"/>
  <c r="DI51" i="11"/>
  <c r="DH51" i="11"/>
  <c r="DC51" i="11"/>
  <c r="DB51" i="11"/>
  <c r="CW51" i="11"/>
  <c r="CV51" i="11"/>
  <c r="CQ51" i="11"/>
  <c r="CP51" i="11"/>
  <c r="CK51" i="11"/>
  <c r="CJ51" i="11"/>
  <c r="CE51" i="11"/>
  <c r="CD51" i="11"/>
  <c r="BY51" i="11"/>
  <c r="BX51" i="11"/>
  <c r="BS51" i="11"/>
  <c r="BR51" i="11"/>
  <c r="BM51" i="11"/>
  <c r="BK51" i="11"/>
  <c r="BF51" i="11"/>
  <c r="BD51" i="11"/>
  <c r="AY51" i="11"/>
  <c r="AX51" i="11"/>
  <c r="AS51" i="11"/>
  <c r="AR51" i="11"/>
  <c r="AJ51" i="11"/>
  <c r="AI51" i="11"/>
  <c r="AH51" i="11"/>
  <c r="AG51" i="11"/>
  <c r="AF51" i="11"/>
  <c r="AE51" i="11"/>
  <c r="Z51" i="11"/>
  <c r="Y51" i="11"/>
  <c r="T51" i="11"/>
  <c r="S51" i="11"/>
  <c r="DM50" i="11"/>
  <c r="DL50" i="11"/>
  <c r="DK50" i="11"/>
  <c r="DJ50" i="11"/>
  <c r="DI50" i="11"/>
  <c r="DH50" i="11"/>
  <c r="DC50" i="11"/>
  <c r="DB50" i="11"/>
  <c r="CW50" i="11"/>
  <c r="CV50" i="11"/>
  <c r="CQ50" i="11"/>
  <c r="CP50" i="11"/>
  <c r="CK50" i="11"/>
  <c r="CJ50" i="11"/>
  <c r="CE50" i="11"/>
  <c r="CD50" i="11"/>
  <c r="BY50" i="11"/>
  <c r="BX50" i="11"/>
  <c r="BS50" i="11"/>
  <c r="BR50" i="11"/>
  <c r="BM50" i="11"/>
  <c r="BK50" i="11"/>
  <c r="BF50" i="11"/>
  <c r="BD50" i="11"/>
  <c r="AY50" i="11"/>
  <c r="AX50" i="11"/>
  <c r="AS50" i="11"/>
  <c r="AR50" i="11"/>
  <c r="AJ50" i="11"/>
  <c r="AI50" i="11"/>
  <c r="AH50" i="11"/>
  <c r="AG50" i="11"/>
  <c r="AF50" i="11"/>
  <c r="AE50" i="11"/>
  <c r="Z50" i="11"/>
  <c r="Y50" i="11"/>
  <c r="T50" i="11"/>
  <c r="S50" i="11"/>
  <c r="DM49" i="11"/>
  <c r="DL49" i="11"/>
  <c r="DK49" i="11"/>
  <c r="DJ49" i="11"/>
  <c r="DI49" i="11"/>
  <c r="DH49" i="11"/>
  <c r="DC49" i="11"/>
  <c r="DB49" i="11"/>
  <c r="CW49" i="11"/>
  <c r="CV49" i="11"/>
  <c r="CQ49" i="11"/>
  <c r="CP49" i="11"/>
  <c r="CK49" i="11"/>
  <c r="CJ49" i="11"/>
  <c r="CE49" i="11"/>
  <c r="CD49" i="11"/>
  <c r="BY49" i="11"/>
  <c r="BX49" i="11"/>
  <c r="BS49" i="11"/>
  <c r="BR49" i="11"/>
  <c r="BM49" i="11"/>
  <c r="BK49" i="11"/>
  <c r="BF49" i="11"/>
  <c r="BD49" i="11"/>
  <c r="AY49" i="11"/>
  <c r="AX49" i="11"/>
  <c r="AS49" i="11"/>
  <c r="AR49" i="11"/>
  <c r="AJ49" i="11"/>
  <c r="AI49" i="11"/>
  <c r="AH49" i="11"/>
  <c r="AG49" i="11"/>
  <c r="AF49" i="11"/>
  <c r="AE49" i="11"/>
  <c r="Z49" i="11"/>
  <c r="Y49" i="11"/>
  <c r="T49" i="11"/>
  <c r="S49" i="11"/>
  <c r="DM48" i="11"/>
  <c r="DL48" i="11"/>
  <c r="DK48" i="11"/>
  <c r="DJ48" i="11"/>
  <c r="DI48" i="11"/>
  <c r="DH48" i="11"/>
  <c r="DC48" i="11"/>
  <c r="DB48" i="11"/>
  <c r="CW48" i="11"/>
  <c r="CV48" i="11"/>
  <c r="CQ48" i="11"/>
  <c r="CP48" i="11"/>
  <c r="CK48" i="11"/>
  <c r="CJ48" i="11"/>
  <c r="CE48" i="11"/>
  <c r="CD48" i="11"/>
  <c r="BY48" i="11"/>
  <c r="BX48" i="11"/>
  <c r="BS48" i="11"/>
  <c r="BR48" i="11"/>
  <c r="BM48" i="11"/>
  <c r="BK48" i="11"/>
  <c r="BF48" i="11"/>
  <c r="BD48" i="11"/>
  <c r="AY48" i="11"/>
  <c r="AX48" i="11"/>
  <c r="AS48" i="11"/>
  <c r="AR48" i="11"/>
  <c r="AJ48" i="11"/>
  <c r="AI48" i="11"/>
  <c r="AH48" i="11"/>
  <c r="AG48" i="11"/>
  <c r="AF48" i="11"/>
  <c r="AE48" i="11"/>
  <c r="Z48" i="11"/>
  <c r="Y48" i="11"/>
  <c r="T48" i="11"/>
  <c r="S48" i="11"/>
  <c r="DM47" i="11"/>
  <c r="DL47" i="11"/>
  <c r="DK47" i="11"/>
  <c r="DJ47" i="11"/>
  <c r="DI47" i="11"/>
  <c r="DH47" i="11"/>
  <c r="DC47" i="11"/>
  <c r="DB47" i="11"/>
  <c r="CW47" i="11"/>
  <c r="CV47" i="11"/>
  <c r="CQ47" i="11"/>
  <c r="CP47" i="11"/>
  <c r="CK47" i="11"/>
  <c r="CJ47" i="11"/>
  <c r="CE47" i="11"/>
  <c r="CD47" i="11"/>
  <c r="BY47" i="11"/>
  <c r="BX47" i="11"/>
  <c r="BS47" i="11"/>
  <c r="BR47" i="11"/>
  <c r="BM47" i="11"/>
  <c r="BK47" i="11"/>
  <c r="BF47" i="11"/>
  <c r="BD47" i="11"/>
  <c r="AY47" i="11"/>
  <c r="AX47" i="11"/>
  <c r="AS47" i="11"/>
  <c r="AR47" i="11"/>
  <c r="AJ47" i="11"/>
  <c r="AI47" i="11"/>
  <c r="AH47" i="11"/>
  <c r="AG47" i="11"/>
  <c r="AF47" i="11"/>
  <c r="AE47" i="11"/>
  <c r="Z47" i="11"/>
  <c r="Y47" i="11"/>
  <c r="T47" i="11"/>
  <c r="S47" i="11"/>
  <c r="DM46" i="11"/>
  <c r="DL46" i="11"/>
  <c r="DK46" i="11"/>
  <c r="DJ46" i="11"/>
  <c r="DI46" i="11"/>
  <c r="DH46" i="11"/>
  <c r="DC46" i="11"/>
  <c r="DB46" i="11"/>
  <c r="CW46" i="11"/>
  <c r="CV46" i="11"/>
  <c r="CQ46" i="11"/>
  <c r="CP46" i="11"/>
  <c r="CK46" i="11"/>
  <c r="CJ46" i="11"/>
  <c r="CE46" i="11"/>
  <c r="CD46" i="11"/>
  <c r="BY46" i="11"/>
  <c r="BX46" i="11"/>
  <c r="BS46" i="11"/>
  <c r="BR46" i="11"/>
  <c r="BM46" i="11"/>
  <c r="BK46" i="11"/>
  <c r="BF46" i="11"/>
  <c r="BD46" i="11"/>
  <c r="AY46" i="11"/>
  <c r="AX46" i="11"/>
  <c r="AS46" i="11"/>
  <c r="AR46" i="11"/>
  <c r="AJ46" i="11"/>
  <c r="AI46" i="11"/>
  <c r="AH46" i="11"/>
  <c r="AG46" i="11"/>
  <c r="AF46" i="11"/>
  <c r="AE46" i="11"/>
  <c r="Z46" i="11"/>
  <c r="Y46" i="11"/>
  <c r="T46" i="11"/>
  <c r="S46" i="11"/>
  <c r="DM45" i="11"/>
  <c r="DL45" i="11"/>
  <c r="DK45" i="11"/>
  <c r="DJ45" i="11"/>
  <c r="DI45" i="11"/>
  <c r="DH45" i="11"/>
  <c r="DC45" i="11"/>
  <c r="DB45" i="11"/>
  <c r="CW45" i="11"/>
  <c r="CV45" i="11"/>
  <c r="CQ45" i="11"/>
  <c r="CP45" i="11"/>
  <c r="CK45" i="11"/>
  <c r="CJ45" i="11"/>
  <c r="CE45" i="11"/>
  <c r="CD45" i="11"/>
  <c r="BY45" i="11"/>
  <c r="BX45" i="11"/>
  <c r="BS45" i="11"/>
  <c r="BR45" i="11"/>
  <c r="BM45" i="11"/>
  <c r="BK45" i="11"/>
  <c r="BF45" i="11"/>
  <c r="BD45" i="11"/>
  <c r="AY45" i="11"/>
  <c r="AX45" i="11"/>
  <c r="AS45" i="11"/>
  <c r="AR45" i="11"/>
  <c r="AJ45" i="11"/>
  <c r="AI45" i="11"/>
  <c r="AH45" i="11"/>
  <c r="AG45" i="11"/>
  <c r="AF45" i="11"/>
  <c r="AE45" i="11"/>
  <c r="Z45" i="11"/>
  <c r="Y45" i="11"/>
  <c r="T45" i="11"/>
  <c r="S45" i="11"/>
  <c r="DM44" i="11"/>
  <c r="DL44" i="11"/>
  <c r="DK44" i="11"/>
  <c r="DJ44" i="11"/>
  <c r="DI44" i="11"/>
  <c r="DH44" i="11"/>
  <c r="DC44" i="11"/>
  <c r="DB44" i="11"/>
  <c r="CW44" i="11"/>
  <c r="CV44" i="11"/>
  <c r="CQ44" i="11"/>
  <c r="CP44" i="11"/>
  <c r="CK44" i="11"/>
  <c r="CJ44" i="11"/>
  <c r="CE44" i="11"/>
  <c r="CD44" i="11"/>
  <c r="BY44" i="11"/>
  <c r="BX44" i="11"/>
  <c r="BS44" i="11"/>
  <c r="BR44" i="11"/>
  <c r="BM44" i="11"/>
  <c r="BK44" i="11"/>
  <c r="BF44" i="11"/>
  <c r="BD44" i="11"/>
  <c r="AY44" i="11"/>
  <c r="AX44" i="11"/>
  <c r="AS44" i="11"/>
  <c r="AR44" i="11"/>
  <c r="AJ44" i="11"/>
  <c r="AI44" i="11"/>
  <c r="AH44" i="11"/>
  <c r="AG44" i="11"/>
  <c r="AF44" i="11"/>
  <c r="AE44" i="11"/>
  <c r="Z44" i="11"/>
  <c r="Y44" i="11"/>
  <c r="T44" i="11"/>
  <c r="S44" i="11"/>
  <c r="DM43" i="11"/>
  <c r="DL43" i="11"/>
  <c r="DK43" i="11"/>
  <c r="DJ43" i="11"/>
  <c r="DI43" i="11"/>
  <c r="DH43" i="11"/>
  <c r="DC43" i="11"/>
  <c r="DB43" i="11"/>
  <c r="CW43" i="11"/>
  <c r="CV43" i="11"/>
  <c r="CQ43" i="11"/>
  <c r="CP43" i="11"/>
  <c r="CK43" i="11"/>
  <c r="CJ43" i="11"/>
  <c r="CE43" i="11"/>
  <c r="CD43" i="11"/>
  <c r="BY43" i="11"/>
  <c r="BX43" i="11"/>
  <c r="BS43" i="11"/>
  <c r="BR43" i="11"/>
  <c r="BM43" i="11"/>
  <c r="BK43" i="11"/>
  <c r="BF43" i="11"/>
  <c r="BD43" i="11"/>
  <c r="AY43" i="11"/>
  <c r="AX43" i="11"/>
  <c r="AS43" i="11"/>
  <c r="AR43" i="11"/>
  <c r="AJ43" i="11"/>
  <c r="AI43" i="11"/>
  <c r="AH43" i="11"/>
  <c r="AG43" i="11"/>
  <c r="AF43" i="11"/>
  <c r="AE43" i="11"/>
  <c r="Z43" i="11"/>
  <c r="Y43" i="11"/>
  <c r="T43" i="11"/>
  <c r="S43" i="11"/>
  <c r="DM42" i="11"/>
  <c r="DL42" i="11"/>
  <c r="DK42" i="11"/>
  <c r="DJ42" i="11"/>
  <c r="DI42" i="11"/>
  <c r="DH42" i="11"/>
  <c r="DC42" i="11"/>
  <c r="DB42" i="11"/>
  <c r="CW42" i="11"/>
  <c r="CV42" i="11"/>
  <c r="CQ42" i="11"/>
  <c r="CP42" i="11"/>
  <c r="CK42" i="11"/>
  <c r="CJ42" i="11"/>
  <c r="CE42" i="11"/>
  <c r="CD42" i="11"/>
  <c r="BY42" i="11"/>
  <c r="BX42" i="11"/>
  <c r="BS42" i="11"/>
  <c r="BR42" i="11"/>
  <c r="BM42" i="11"/>
  <c r="BK42" i="11"/>
  <c r="BF42" i="11"/>
  <c r="BD42" i="11"/>
  <c r="AY42" i="11"/>
  <c r="AX42" i="11"/>
  <c r="AS42" i="11"/>
  <c r="AR42" i="11"/>
  <c r="AJ42" i="11"/>
  <c r="AI42" i="11"/>
  <c r="AH42" i="11"/>
  <c r="AG42" i="11"/>
  <c r="AF42" i="11"/>
  <c r="AE42" i="11"/>
  <c r="Z42" i="11"/>
  <c r="Y42" i="11"/>
  <c r="T42" i="11"/>
  <c r="S42" i="11"/>
  <c r="DM41" i="11"/>
  <c r="DL41" i="11"/>
  <c r="DK41" i="11"/>
  <c r="DJ41" i="11"/>
  <c r="DI41" i="11"/>
  <c r="DH41" i="11"/>
  <c r="DC41" i="11"/>
  <c r="DB41" i="11"/>
  <c r="CW41" i="11"/>
  <c r="CV41" i="11"/>
  <c r="CQ41" i="11"/>
  <c r="CP41" i="11"/>
  <c r="CK41" i="11"/>
  <c r="CJ41" i="11"/>
  <c r="CE41" i="11"/>
  <c r="CD41" i="11"/>
  <c r="BY41" i="11"/>
  <c r="BX41" i="11"/>
  <c r="BS41" i="11"/>
  <c r="BR41" i="11"/>
  <c r="BM41" i="11"/>
  <c r="BK41" i="11"/>
  <c r="BF41" i="11"/>
  <c r="BD41" i="11"/>
  <c r="AY41" i="11"/>
  <c r="AX41" i="11"/>
  <c r="AS41" i="11"/>
  <c r="AR41" i="11"/>
  <c r="AJ41" i="11"/>
  <c r="AI41" i="11"/>
  <c r="AH41" i="11"/>
  <c r="AG41" i="11"/>
  <c r="AF41" i="11"/>
  <c r="AE41" i="11"/>
  <c r="Z41" i="11"/>
  <c r="Y41" i="11"/>
  <c r="T41" i="11"/>
  <c r="S41" i="11"/>
  <c r="DM40" i="11"/>
  <c r="DL40" i="11"/>
  <c r="DK40" i="11"/>
  <c r="DJ40" i="11"/>
  <c r="DI40" i="11"/>
  <c r="DH40" i="11"/>
  <c r="DC40" i="11"/>
  <c r="DB40" i="11"/>
  <c r="CW40" i="11"/>
  <c r="CV40" i="11"/>
  <c r="CQ40" i="11"/>
  <c r="CP40" i="11"/>
  <c r="CK40" i="11"/>
  <c r="CJ40" i="11"/>
  <c r="CE40" i="11"/>
  <c r="CD40" i="11"/>
  <c r="BY40" i="11"/>
  <c r="BX40" i="11"/>
  <c r="BS40" i="11"/>
  <c r="BR40" i="11"/>
  <c r="BM40" i="11"/>
  <c r="BK40" i="11"/>
  <c r="BF40" i="11"/>
  <c r="BD40" i="11"/>
  <c r="AY40" i="11"/>
  <c r="AX40" i="11"/>
  <c r="AS40" i="11"/>
  <c r="AR40" i="11"/>
  <c r="AH40" i="11"/>
  <c r="AG40" i="11"/>
  <c r="AF40" i="11"/>
  <c r="AE40" i="11"/>
  <c r="Z40" i="11"/>
  <c r="Y40" i="11"/>
  <c r="S40" i="11"/>
  <c r="R40" i="11"/>
  <c r="AJ40" i="11" s="1"/>
  <c r="DM39" i="11"/>
  <c r="DL39" i="11"/>
  <c r="DK39" i="11"/>
  <c r="DJ39" i="11"/>
  <c r="DI39" i="11"/>
  <c r="DH39" i="11"/>
  <c r="DC39" i="11"/>
  <c r="DB39" i="11"/>
  <c r="CW39" i="11"/>
  <c r="CV39" i="11"/>
  <c r="CQ39" i="11"/>
  <c r="CP39" i="11"/>
  <c r="CK39" i="11"/>
  <c r="CJ39" i="11"/>
  <c r="CE39" i="11"/>
  <c r="CD39" i="11"/>
  <c r="BY39" i="11"/>
  <c r="BX39" i="11"/>
  <c r="BS39" i="11"/>
  <c r="BR39" i="11"/>
  <c r="BM39" i="11"/>
  <c r="BK39" i="11"/>
  <c r="BF39" i="11"/>
  <c r="BD39" i="11"/>
  <c r="AY39" i="11"/>
  <c r="AX39" i="11"/>
  <c r="AS39" i="11"/>
  <c r="AR39" i="11"/>
  <c r="AJ39" i="11"/>
  <c r="AI39" i="11"/>
  <c r="AH39" i="11"/>
  <c r="AG39" i="11"/>
  <c r="AF39" i="11"/>
  <c r="AE39" i="11"/>
  <c r="Z39" i="11"/>
  <c r="Y39" i="11"/>
  <c r="T39" i="11"/>
  <c r="S39" i="11"/>
  <c r="DM38" i="11"/>
  <c r="DL38" i="11"/>
  <c r="DK38" i="11"/>
  <c r="DJ38" i="11"/>
  <c r="DI38" i="11"/>
  <c r="DH38" i="11"/>
  <c r="DC38" i="11"/>
  <c r="DB38" i="11"/>
  <c r="CW38" i="11"/>
  <c r="CV38" i="11"/>
  <c r="CQ38" i="11"/>
  <c r="CP38" i="11"/>
  <c r="CK38" i="11"/>
  <c r="CJ38" i="11"/>
  <c r="CE38" i="11"/>
  <c r="CD38" i="11"/>
  <c r="BY38" i="11"/>
  <c r="BX38" i="11"/>
  <c r="BS38" i="11"/>
  <c r="BR38" i="11"/>
  <c r="BM38" i="11"/>
  <c r="BK38" i="11"/>
  <c r="BF38" i="11"/>
  <c r="BD38" i="11"/>
  <c r="AY38" i="11"/>
  <c r="AX38" i="11"/>
  <c r="AS38" i="11"/>
  <c r="AR38" i="11"/>
  <c r="AJ38" i="11"/>
  <c r="AI38" i="11"/>
  <c r="AH38" i="11"/>
  <c r="AG38" i="11"/>
  <c r="AF38" i="11"/>
  <c r="AE38" i="11"/>
  <c r="Z38" i="11"/>
  <c r="Y38" i="11"/>
  <c r="T38" i="11"/>
  <c r="S38" i="11"/>
  <c r="DM37" i="11"/>
  <c r="DL37" i="11"/>
  <c r="DK37" i="11"/>
  <c r="DJ37" i="11"/>
  <c r="DI37" i="11"/>
  <c r="DH37" i="11"/>
  <c r="DC37" i="11"/>
  <c r="DB37" i="11"/>
  <c r="CW37" i="11"/>
  <c r="CV37" i="11"/>
  <c r="CQ37" i="11"/>
  <c r="CP37" i="11"/>
  <c r="CK37" i="11"/>
  <c r="CJ37" i="11"/>
  <c r="CE37" i="11"/>
  <c r="CD37" i="11"/>
  <c r="BY37" i="11"/>
  <c r="BX37" i="11"/>
  <c r="BS37" i="11"/>
  <c r="BR37" i="11"/>
  <c r="BM37" i="11"/>
  <c r="BK37" i="11"/>
  <c r="BF37" i="11"/>
  <c r="BD37" i="11"/>
  <c r="AY37" i="11"/>
  <c r="AX37" i="11"/>
  <c r="AS37" i="11"/>
  <c r="AR37" i="11"/>
  <c r="AJ37" i="11"/>
  <c r="AI37" i="11"/>
  <c r="AH37" i="11"/>
  <c r="AG37" i="11"/>
  <c r="AF37" i="11"/>
  <c r="AE37" i="11"/>
  <c r="Z37" i="11"/>
  <c r="Y37" i="11"/>
  <c r="T37" i="11"/>
  <c r="S37" i="11"/>
  <c r="DM36" i="11"/>
  <c r="DL36" i="11"/>
  <c r="DK36" i="11"/>
  <c r="DJ36" i="11"/>
  <c r="DI36" i="11"/>
  <c r="DH36" i="11"/>
  <c r="DC36" i="11"/>
  <c r="DB36" i="11"/>
  <c r="CW36" i="11"/>
  <c r="CV36" i="11"/>
  <c r="CQ36" i="11"/>
  <c r="CP36" i="11"/>
  <c r="CK36" i="11"/>
  <c r="CJ36" i="11"/>
  <c r="CE36" i="11"/>
  <c r="CD36" i="11"/>
  <c r="BY36" i="11"/>
  <c r="BX36" i="11"/>
  <c r="BS36" i="11"/>
  <c r="BR36" i="11"/>
  <c r="BM36" i="11"/>
  <c r="BK36" i="11"/>
  <c r="BF36" i="11"/>
  <c r="BD36" i="11"/>
  <c r="AY36" i="11"/>
  <c r="AX36" i="11"/>
  <c r="AS36" i="11"/>
  <c r="AR36" i="11"/>
  <c r="AJ36" i="11"/>
  <c r="AI36" i="11"/>
  <c r="AH36" i="11"/>
  <c r="AG36" i="11"/>
  <c r="AF36" i="11"/>
  <c r="AE36" i="11"/>
  <c r="Z36" i="11"/>
  <c r="Y36" i="11"/>
  <c r="T36" i="11"/>
  <c r="S36" i="11"/>
  <c r="DM35" i="11"/>
  <c r="DL35" i="11"/>
  <c r="DK35" i="11"/>
  <c r="DJ35" i="11"/>
  <c r="DI35" i="11"/>
  <c r="DH35" i="11"/>
  <c r="DC35" i="11"/>
  <c r="DB35" i="11"/>
  <c r="CW35" i="11"/>
  <c r="CV35" i="11"/>
  <c r="CQ35" i="11"/>
  <c r="CP35" i="11"/>
  <c r="CK35" i="11"/>
  <c r="CJ35" i="11"/>
  <c r="CE35" i="11"/>
  <c r="CD35" i="11"/>
  <c r="BY35" i="11"/>
  <c r="BX35" i="11"/>
  <c r="BS35" i="11"/>
  <c r="BR35" i="11"/>
  <c r="BM35" i="11"/>
  <c r="BK35" i="11"/>
  <c r="BF35" i="11"/>
  <c r="BD35" i="11"/>
  <c r="AY35" i="11"/>
  <c r="AX35" i="11"/>
  <c r="AS35" i="11"/>
  <c r="AR35" i="11"/>
  <c r="AJ35" i="11"/>
  <c r="AI35" i="11"/>
  <c r="AH35" i="11"/>
  <c r="AG35" i="11"/>
  <c r="AF35" i="11"/>
  <c r="AE35" i="11"/>
  <c r="Z35" i="11"/>
  <c r="Y35" i="11"/>
  <c r="T35" i="11"/>
  <c r="S35" i="11"/>
  <c r="DM34" i="11"/>
  <c r="DL34" i="11"/>
  <c r="DK34" i="11"/>
  <c r="DJ34" i="11"/>
  <c r="DI34" i="11"/>
  <c r="DH34" i="11"/>
  <c r="DC34" i="11"/>
  <c r="DB34" i="11"/>
  <c r="CW34" i="11"/>
  <c r="CV34" i="11"/>
  <c r="CQ34" i="11"/>
  <c r="CP34" i="11"/>
  <c r="CK34" i="11"/>
  <c r="CJ34" i="11"/>
  <c r="CE34" i="11"/>
  <c r="CD34" i="11"/>
  <c r="BY34" i="11"/>
  <c r="BX34" i="11"/>
  <c r="BS34" i="11"/>
  <c r="BR34" i="11"/>
  <c r="BM34" i="11"/>
  <c r="BK34" i="11"/>
  <c r="BF34" i="11"/>
  <c r="BD34" i="11"/>
  <c r="AY34" i="11"/>
  <c r="AX34" i="11"/>
  <c r="AS34" i="11"/>
  <c r="AR34" i="11"/>
  <c r="AJ34" i="11"/>
  <c r="AI34" i="11"/>
  <c r="AH34" i="11"/>
  <c r="AG34" i="11"/>
  <c r="AF34" i="11"/>
  <c r="AE34" i="11"/>
  <c r="Z34" i="11"/>
  <c r="Y34" i="11"/>
  <c r="T34" i="11"/>
  <c r="S34" i="11"/>
  <c r="DM33" i="11"/>
  <c r="DL33" i="11"/>
  <c r="DK33" i="11"/>
  <c r="DJ33" i="11"/>
  <c r="DI33" i="11"/>
  <c r="DH33" i="11"/>
  <c r="DC33" i="11"/>
  <c r="DB33" i="11"/>
  <c r="CW33" i="11"/>
  <c r="CV33" i="11"/>
  <c r="CQ33" i="11"/>
  <c r="CP33" i="11"/>
  <c r="CK33" i="11"/>
  <c r="CJ33" i="11"/>
  <c r="CE33" i="11"/>
  <c r="CD33" i="11"/>
  <c r="BY33" i="11"/>
  <c r="BX33" i="11"/>
  <c r="BS33" i="11"/>
  <c r="BR33" i="11"/>
  <c r="BM33" i="11"/>
  <c r="BK33" i="11"/>
  <c r="BF33" i="11"/>
  <c r="BD33" i="11"/>
  <c r="AY33" i="11"/>
  <c r="AX33" i="11"/>
  <c r="AS33" i="11"/>
  <c r="AR33" i="11"/>
  <c r="AJ33" i="11"/>
  <c r="AI33" i="11"/>
  <c r="AH33" i="11"/>
  <c r="AG33" i="11"/>
  <c r="AF33" i="11"/>
  <c r="AE33" i="11"/>
  <c r="Z33" i="11"/>
  <c r="Y33" i="11"/>
  <c r="T33" i="11"/>
  <c r="S33" i="11"/>
  <c r="DM32" i="11"/>
  <c r="DL32" i="11"/>
  <c r="DK32" i="11"/>
  <c r="DJ32" i="11"/>
  <c r="DI32" i="11"/>
  <c r="DH32" i="11"/>
  <c r="DC32" i="11"/>
  <c r="DB32" i="11"/>
  <c r="CW32" i="11"/>
  <c r="CV32" i="11"/>
  <c r="CQ32" i="11"/>
  <c r="CP32" i="11"/>
  <c r="CK32" i="11"/>
  <c r="CJ32" i="11"/>
  <c r="CE32" i="11"/>
  <c r="CD32" i="11"/>
  <c r="BY32" i="11"/>
  <c r="BX32" i="11"/>
  <c r="BS32" i="11"/>
  <c r="BR32" i="11"/>
  <c r="BM32" i="11"/>
  <c r="BK32" i="11"/>
  <c r="BF32" i="11"/>
  <c r="BD32" i="11"/>
  <c r="AY32" i="11"/>
  <c r="AX32" i="11"/>
  <c r="AS32" i="11"/>
  <c r="AR32" i="11"/>
  <c r="AJ32" i="11"/>
  <c r="AI32" i="11"/>
  <c r="AH32" i="11"/>
  <c r="AG32" i="11"/>
  <c r="AF32" i="11"/>
  <c r="AE32" i="11"/>
  <c r="Z32" i="11"/>
  <c r="Y32" i="11"/>
  <c r="T32" i="11"/>
  <c r="S32" i="11"/>
  <c r="DM31" i="11"/>
  <c r="DL31" i="11"/>
  <c r="DK31" i="11"/>
  <c r="DJ31" i="11"/>
  <c r="DI31" i="11"/>
  <c r="DH31" i="11"/>
  <c r="DC31" i="11"/>
  <c r="DB31" i="11"/>
  <c r="CW31" i="11"/>
  <c r="CV31" i="11"/>
  <c r="CQ31" i="11"/>
  <c r="CP31" i="11"/>
  <c r="CK31" i="11"/>
  <c r="CJ31" i="11"/>
  <c r="CE31" i="11"/>
  <c r="CD31" i="11"/>
  <c r="BY31" i="11"/>
  <c r="BX31" i="11"/>
  <c r="BS31" i="11"/>
  <c r="BR31" i="11"/>
  <c r="BM31" i="11"/>
  <c r="BK31" i="11"/>
  <c r="BF31" i="11"/>
  <c r="BD31" i="11"/>
  <c r="AY31" i="11"/>
  <c r="AX31" i="11"/>
  <c r="AS31" i="11"/>
  <c r="AR31" i="11"/>
  <c r="AH31" i="11"/>
  <c r="AG31" i="11"/>
  <c r="AF31" i="11"/>
  <c r="AE31" i="11"/>
  <c r="Z31" i="11"/>
  <c r="Y31" i="11"/>
  <c r="S31" i="11"/>
  <c r="R31" i="11"/>
  <c r="AI31" i="11" s="1"/>
  <c r="DM30" i="11"/>
  <c r="DL30" i="11"/>
  <c r="DK30" i="11"/>
  <c r="DJ30" i="11"/>
  <c r="DI30" i="11"/>
  <c r="DH30" i="11"/>
  <c r="DC30" i="11"/>
  <c r="DB30" i="11"/>
  <c r="CW30" i="11"/>
  <c r="CV30" i="11"/>
  <c r="CQ30" i="11"/>
  <c r="CP30" i="11"/>
  <c r="CK30" i="11"/>
  <c r="CJ30" i="11"/>
  <c r="CE30" i="11"/>
  <c r="CD30" i="11"/>
  <c r="BY30" i="11"/>
  <c r="BX30" i="11"/>
  <c r="BS30" i="11"/>
  <c r="BR30" i="11"/>
  <c r="BM30" i="11"/>
  <c r="BK30" i="11"/>
  <c r="BF30" i="11"/>
  <c r="BD30" i="11"/>
  <c r="AY30" i="11"/>
  <c r="AX30" i="11"/>
  <c r="AS30" i="11"/>
  <c r="AR30" i="11"/>
  <c r="AJ30" i="11"/>
  <c r="AI30" i="11"/>
  <c r="AH30" i="11"/>
  <c r="AG30" i="11"/>
  <c r="AF30" i="11"/>
  <c r="AE30" i="11"/>
  <c r="Z30" i="11"/>
  <c r="Y30" i="11"/>
  <c r="T30" i="11"/>
  <c r="S30" i="11"/>
  <c r="DM29" i="11"/>
  <c r="DL29" i="11"/>
  <c r="DK29" i="11"/>
  <c r="DJ29" i="11"/>
  <c r="DI29" i="11"/>
  <c r="DH29" i="11"/>
  <c r="DC29" i="11"/>
  <c r="DB29" i="11"/>
  <c r="CW29" i="11"/>
  <c r="CV29" i="11"/>
  <c r="CQ29" i="11"/>
  <c r="CP29" i="11"/>
  <c r="CK29" i="11"/>
  <c r="CJ29" i="11"/>
  <c r="CE29" i="11"/>
  <c r="CD29" i="11"/>
  <c r="BY29" i="11"/>
  <c r="BX29" i="11"/>
  <c r="BS29" i="11"/>
  <c r="BR29" i="11"/>
  <c r="BM29" i="11"/>
  <c r="BK29" i="11"/>
  <c r="BF29" i="11"/>
  <c r="BD29" i="11"/>
  <c r="AY29" i="11"/>
  <c r="AX29" i="11"/>
  <c r="AS29" i="11"/>
  <c r="AR29" i="11"/>
  <c r="AJ29" i="11"/>
  <c r="AI29" i="11"/>
  <c r="AH29" i="11"/>
  <c r="AG29" i="11"/>
  <c r="AF29" i="11"/>
  <c r="AE29" i="11"/>
  <c r="Z29" i="11"/>
  <c r="Y29" i="11"/>
  <c r="T29" i="11"/>
  <c r="S29" i="11"/>
  <c r="DM28" i="11"/>
  <c r="DL28" i="11"/>
  <c r="DK28" i="11"/>
  <c r="DJ28" i="11"/>
  <c r="DI28" i="11"/>
  <c r="DH28" i="11"/>
  <c r="DC28" i="11"/>
  <c r="DB28" i="11"/>
  <c r="CW28" i="11"/>
  <c r="CV28" i="11"/>
  <c r="CQ28" i="11"/>
  <c r="CP28" i="11"/>
  <c r="CK28" i="11"/>
  <c r="CJ28" i="11"/>
  <c r="CE28" i="11"/>
  <c r="CD28" i="11"/>
  <c r="BY28" i="11"/>
  <c r="BX28" i="11"/>
  <c r="BS28" i="11"/>
  <c r="BR28" i="11"/>
  <c r="BM28" i="11"/>
  <c r="BK28" i="11"/>
  <c r="BF28" i="11"/>
  <c r="BD28" i="11"/>
  <c r="AY28" i="11"/>
  <c r="AX28" i="11"/>
  <c r="AS28" i="11"/>
  <c r="AR28" i="11"/>
  <c r="AJ28" i="11"/>
  <c r="AI28" i="11"/>
  <c r="AH28" i="11"/>
  <c r="AG28" i="11"/>
  <c r="AF28" i="11"/>
  <c r="AE28" i="11"/>
  <c r="Z28" i="11"/>
  <c r="Y28" i="11"/>
  <c r="T28" i="11"/>
  <c r="S28" i="11"/>
  <c r="DM27" i="11"/>
  <c r="DL27" i="11"/>
  <c r="DK27" i="11"/>
  <c r="DJ27" i="11"/>
  <c r="DI27" i="11"/>
  <c r="DH27" i="11"/>
  <c r="DC27" i="11"/>
  <c r="DB27" i="11"/>
  <c r="CW27" i="11"/>
  <c r="CV27" i="11"/>
  <c r="CQ27" i="11"/>
  <c r="CP27" i="11"/>
  <c r="CK27" i="11"/>
  <c r="CJ27" i="11"/>
  <c r="CE27" i="11"/>
  <c r="CD27" i="11"/>
  <c r="BY27" i="11"/>
  <c r="BX27" i="11"/>
  <c r="BS27" i="11"/>
  <c r="BR27" i="11"/>
  <c r="BM27" i="11"/>
  <c r="BK27" i="11"/>
  <c r="BF27" i="11"/>
  <c r="BD27" i="11"/>
  <c r="AY27" i="11"/>
  <c r="AX27" i="11"/>
  <c r="AS27" i="11"/>
  <c r="AR27" i="11"/>
  <c r="AJ27" i="11"/>
  <c r="AI27" i="11"/>
  <c r="AH27" i="11"/>
  <c r="AG27" i="11"/>
  <c r="AF27" i="11"/>
  <c r="AE27" i="11"/>
  <c r="Z27" i="11"/>
  <c r="Y27" i="11"/>
  <c r="T27" i="11"/>
  <c r="S27" i="11"/>
  <c r="DM26" i="11"/>
  <c r="DL26" i="11"/>
  <c r="DK26" i="11"/>
  <c r="DJ26" i="11"/>
  <c r="DI26" i="11"/>
  <c r="DH26" i="11"/>
  <c r="DC26" i="11"/>
  <c r="DB26" i="11"/>
  <c r="CW26" i="11"/>
  <c r="CV26" i="11"/>
  <c r="CQ26" i="11"/>
  <c r="CP26" i="11"/>
  <c r="CK26" i="11"/>
  <c r="CJ26" i="11"/>
  <c r="CE26" i="11"/>
  <c r="CD26" i="11"/>
  <c r="BY26" i="11"/>
  <c r="BX26" i="11"/>
  <c r="BS26" i="11"/>
  <c r="BR26" i="11"/>
  <c r="BM26" i="11"/>
  <c r="BK26" i="11"/>
  <c r="BF26" i="11"/>
  <c r="BD26" i="11"/>
  <c r="AY26" i="11"/>
  <c r="AX26" i="11"/>
  <c r="AS26" i="11"/>
  <c r="AR26" i="11"/>
  <c r="AJ26" i="11"/>
  <c r="AI26" i="11"/>
  <c r="AH26" i="11"/>
  <c r="AG26" i="11"/>
  <c r="AF26" i="11"/>
  <c r="AE26" i="11"/>
  <c r="Z26" i="11"/>
  <c r="Y26" i="11"/>
  <c r="T26" i="11"/>
  <c r="S26" i="11"/>
  <c r="DM25" i="11"/>
  <c r="DL25" i="11"/>
  <c r="DK25" i="11"/>
  <c r="DJ25" i="11"/>
  <c r="DI25" i="11"/>
  <c r="DH25" i="11"/>
  <c r="DC25" i="11"/>
  <c r="DB25" i="11"/>
  <c r="CW25" i="11"/>
  <c r="CV25" i="11"/>
  <c r="CQ25" i="11"/>
  <c r="CP25" i="11"/>
  <c r="CK25" i="11"/>
  <c r="CJ25" i="11"/>
  <c r="CE25" i="11"/>
  <c r="CD25" i="11"/>
  <c r="BY25" i="11"/>
  <c r="BX25" i="11"/>
  <c r="BS25" i="11"/>
  <c r="BR25" i="11"/>
  <c r="BM25" i="11"/>
  <c r="BK25" i="11"/>
  <c r="BF25" i="11"/>
  <c r="BD25" i="11"/>
  <c r="AY25" i="11"/>
  <c r="AX25" i="11"/>
  <c r="AS25" i="11"/>
  <c r="AR25" i="11"/>
  <c r="AJ25" i="11"/>
  <c r="AI25" i="11"/>
  <c r="AH25" i="11"/>
  <c r="AG25" i="11"/>
  <c r="AF25" i="11"/>
  <c r="AE25" i="11"/>
  <c r="Z25" i="11"/>
  <c r="Y25" i="11"/>
  <c r="T25" i="11"/>
  <c r="S25" i="11"/>
  <c r="DM24" i="11"/>
  <c r="DL24" i="11"/>
  <c r="DK24" i="11"/>
  <c r="DJ24" i="11"/>
  <c r="DI24" i="11"/>
  <c r="DH24" i="11"/>
  <c r="DC24" i="11"/>
  <c r="DB24" i="11"/>
  <c r="CW24" i="11"/>
  <c r="CV24" i="11"/>
  <c r="CQ24" i="11"/>
  <c r="CP24" i="11"/>
  <c r="CK24" i="11"/>
  <c r="CJ24" i="11"/>
  <c r="CE24" i="11"/>
  <c r="CD24" i="11"/>
  <c r="BY24" i="11"/>
  <c r="BX24" i="11"/>
  <c r="BS24" i="11"/>
  <c r="BR24" i="11"/>
  <c r="BM24" i="11"/>
  <c r="BK24" i="11"/>
  <c r="BF24" i="11"/>
  <c r="BD24" i="11"/>
  <c r="AY24" i="11"/>
  <c r="AX24" i="11"/>
  <c r="AS24" i="11"/>
  <c r="AR24" i="11"/>
  <c r="AJ24" i="11"/>
  <c r="AI24" i="11"/>
  <c r="AH24" i="11"/>
  <c r="AG24" i="11"/>
  <c r="AF24" i="11"/>
  <c r="AE24" i="11"/>
  <c r="Z24" i="11"/>
  <c r="Y24" i="11"/>
  <c r="T24" i="11"/>
  <c r="S24" i="11"/>
  <c r="DM23" i="11"/>
  <c r="DL23" i="11"/>
  <c r="DK23" i="11"/>
  <c r="DJ23" i="11"/>
  <c r="DI23" i="11"/>
  <c r="DH23" i="11"/>
  <c r="DC23" i="11"/>
  <c r="DB23" i="11"/>
  <c r="CW23" i="11"/>
  <c r="CV23" i="11"/>
  <c r="CQ23" i="11"/>
  <c r="CP23" i="11"/>
  <c r="CK23" i="11"/>
  <c r="CJ23" i="11"/>
  <c r="CE23" i="11"/>
  <c r="CD23" i="11"/>
  <c r="BY23" i="11"/>
  <c r="BX23" i="11"/>
  <c r="BS23" i="11"/>
  <c r="BR23" i="11"/>
  <c r="BM23" i="11"/>
  <c r="BK23" i="11"/>
  <c r="BF23" i="11"/>
  <c r="BD23" i="11"/>
  <c r="AY23" i="11"/>
  <c r="AX23" i="11"/>
  <c r="AS23" i="11"/>
  <c r="AR23" i="11"/>
  <c r="AJ23" i="11"/>
  <c r="AI23" i="11"/>
  <c r="AH23" i="11"/>
  <c r="AG23" i="11"/>
  <c r="AF23" i="11"/>
  <c r="AE23" i="11"/>
  <c r="Z23" i="11"/>
  <c r="Y23" i="11"/>
  <c r="T23" i="11"/>
  <c r="S23" i="11"/>
  <c r="DM22" i="11"/>
  <c r="DL22" i="11"/>
  <c r="DK22" i="11"/>
  <c r="DJ22" i="11"/>
  <c r="DI22" i="11"/>
  <c r="DH22" i="11"/>
  <c r="DC22" i="11"/>
  <c r="DB22" i="11"/>
  <c r="CW22" i="11"/>
  <c r="CV22" i="11"/>
  <c r="CQ22" i="11"/>
  <c r="CP22" i="11"/>
  <c r="CK22" i="11"/>
  <c r="CJ22" i="11"/>
  <c r="CE22" i="11"/>
  <c r="CD22" i="11"/>
  <c r="BY22" i="11"/>
  <c r="BX22" i="11"/>
  <c r="BS22" i="11"/>
  <c r="BR22" i="11"/>
  <c r="BM22" i="11"/>
  <c r="BK22" i="11"/>
  <c r="BF22" i="11"/>
  <c r="BD22" i="11"/>
  <c r="AY22" i="11"/>
  <c r="AX22" i="11"/>
  <c r="AS22" i="11"/>
  <c r="AR22" i="11"/>
  <c r="AJ22" i="11"/>
  <c r="AI22" i="11"/>
  <c r="AH22" i="11"/>
  <c r="AG22" i="11"/>
  <c r="AF22" i="11"/>
  <c r="AE22" i="11"/>
  <c r="Z22" i="11"/>
  <c r="Y22" i="11"/>
  <c r="T22" i="11"/>
  <c r="S22" i="11"/>
  <c r="DM21" i="11"/>
  <c r="DL21" i="11"/>
  <c r="DK21" i="11"/>
  <c r="DJ21" i="11"/>
  <c r="DI21" i="11"/>
  <c r="DH21" i="11"/>
  <c r="DC21" i="11"/>
  <c r="DB21" i="11"/>
  <c r="CW21" i="11"/>
  <c r="CV21" i="11"/>
  <c r="CQ21" i="11"/>
  <c r="CP21" i="11"/>
  <c r="CK21" i="11"/>
  <c r="CJ21" i="11"/>
  <c r="CE21" i="11"/>
  <c r="CD21" i="11"/>
  <c r="BY21" i="11"/>
  <c r="BX21" i="11"/>
  <c r="BS21" i="11"/>
  <c r="BR21" i="11"/>
  <c r="BM21" i="11"/>
  <c r="BK21" i="11"/>
  <c r="BF21" i="11"/>
  <c r="BD21" i="11"/>
  <c r="AY21" i="11"/>
  <c r="AX21" i="11"/>
  <c r="AS21" i="11"/>
  <c r="AR21" i="11"/>
  <c r="AH21" i="11"/>
  <c r="AG21" i="11"/>
  <c r="AF21" i="11"/>
  <c r="AE21" i="11"/>
  <c r="Z21" i="11"/>
  <c r="Y21" i="11"/>
  <c r="S21" i="11"/>
  <c r="R21" i="11"/>
  <c r="DM20" i="11"/>
  <c r="DL20" i="11"/>
  <c r="DK20" i="11"/>
  <c r="DJ20" i="11"/>
  <c r="DI20" i="11"/>
  <c r="DH20" i="11"/>
  <c r="DC20" i="11"/>
  <c r="DB20" i="11"/>
  <c r="CW20" i="11"/>
  <c r="CV20" i="11"/>
  <c r="CQ20" i="11"/>
  <c r="CP20" i="11"/>
  <c r="CK20" i="11"/>
  <c r="CJ20" i="11"/>
  <c r="CE20" i="11"/>
  <c r="CD20" i="11"/>
  <c r="BY20" i="11"/>
  <c r="BX20" i="11"/>
  <c r="BS20" i="11"/>
  <c r="BR20" i="11"/>
  <c r="BM20" i="11"/>
  <c r="BK20" i="11"/>
  <c r="BF20" i="11"/>
  <c r="BD20" i="11"/>
  <c r="AY20" i="11"/>
  <c r="AX20" i="11"/>
  <c r="AS20" i="11"/>
  <c r="AR20" i="11"/>
  <c r="AJ20" i="11"/>
  <c r="AI20" i="11"/>
  <c r="AH20" i="11"/>
  <c r="AG20" i="11"/>
  <c r="AF20" i="11"/>
  <c r="AE20" i="11"/>
  <c r="Z20" i="11"/>
  <c r="Y20" i="11"/>
  <c r="T20" i="11"/>
  <c r="S20" i="11"/>
  <c r="DM19" i="11"/>
  <c r="DL19" i="11"/>
  <c r="DK19" i="11"/>
  <c r="DJ19" i="11"/>
  <c r="DI19" i="11"/>
  <c r="DH19" i="11"/>
  <c r="DC19" i="11"/>
  <c r="DB19" i="11"/>
  <c r="CW19" i="11"/>
  <c r="CV19" i="11"/>
  <c r="CQ19" i="11"/>
  <c r="CP19" i="11"/>
  <c r="CK19" i="11"/>
  <c r="CJ19" i="11"/>
  <c r="CE19" i="11"/>
  <c r="CD19" i="11"/>
  <c r="BY19" i="11"/>
  <c r="BX19" i="11"/>
  <c r="BS19" i="11"/>
  <c r="BR19" i="11"/>
  <c r="BM19" i="11"/>
  <c r="BK19" i="11"/>
  <c r="BF19" i="11"/>
  <c r="BD19" i="11"/>
  <c r="AY19" i="11"/>
  <c r="AX19" i="11"/>
  <c r="AS19" i="11"/>
  <c r="AR19" i="11"/>
  <c r="AH19" i="11"/>
  <c r="AG19" i="11"/>
  <c r="AF19" i="11"/>
  <c r="AE19" i="11"/>
  <c r="Z19" i="11"/>
  <c r="Y19" i="11"/>
  <c r="S19" i="11"/>
  <c r="R19" i="11"/>
  <c r="DM18" i="11"/>
  <c r="DL18" i="11"/>
  <c r="DK18" i="11"/>
  <c r="DJ18" i="11"/>
  <c r="DI18" i="11"/>
  <c r="DH18" i="11"/>
  <c r="DC18" i="11"/>
  <c r="DB18" i="11"/>
  <c r="CW18" i="11"/>
  <c r="CV18" i="11"/>
  <c r="CQ18" i="11"/>
  <c r="CP18" i="11"/>
  <c r="CK18" i="11"/>
  <c r="CJ18" i="11"/>
  <c r="CE18" i="11"/>
  <c r="CD18" i="11"/>
  <c r="BY18" i="11"/>
  <c r="BX18" i="11"/>
  <c r="BS18" i="11"/>
  <c r="BR18" i="11"/>
  <c r="BM18" i="11"/>
  <c r="BK18" i="11"/>
  <c r="BF18" i="11"/>
  <c r="BD18" i="11"/>
  <c r="AY18" i="11"/>
  <c r="AX18" i="11"/>
  <c r="AS18" i="11"/>
  <c r="AR18" i="11"/>
  <c r="AJ18" i="11"/>
  <c r="AI18" i="11"/>
  <c r="AH18" i="11"/>
  <c r="AG18" i="11"/>
  <c r="AF18" i="11"/>
  <c r="AE18" i="11"/>
  <c r="Z18" i="11"/>
  <c r="Y18" i="11"/>
  <c r="T18" i="11"/>
  <c r="S18" i="11"/>
  <c r="DM17" i="11"/>
  <c r="DL17" i="11"/>
  <c r="DK17" i="11"/>
  <c r="DJ17" i="11"/>
  <c r="DI17" i="11"/>
  <c r="DH17" i="11"/>
  <c r="DC17" i="11"/>
  <c r="DB17" i="11"/>
  <c r="CW17" i="11"/>
  <c r="CV17" i="11"/>
  <c r="CQ17" i="11"/>
  <c r="CP17" i="11"/>
  <c r="CK17" i="11"/>
  <c r="CJ17" i="11"/>
  <c r="CE17" i="11"/>
  <c r="CD17" i="11"/>
  <c r="BY17" i="11"/>
  <c r="BX17" i="11"/>
  <c r="BS17" i="11"/>
  <c r="BR17" i="11"/>
  <c r="BM17" i="11"/>
  <c r="BK17" i="11"/>
  <c r="BF17" i="11"/>
  <c r="BD17" i="11"/>
  <c r="AY17" i="11"/>
  <c r="AX17" i="11"/>
  <c r="AS17" i="11"/>
  <c r="AR17" i="11"/>
  <c r="AJ17" i="11"/>
  <c r="AI17" i="11"/>
  <c r="AH17" i="11"/>
  <c r="AG17" i="11"/>
  <c r="AF17" i="11"/>
  <c r="AE17" i="11"/>
  <c r="Z17" i="11"/>
  <c r="Y17" i="11"/>
  <c r="T17" i="11"/>
  <c r="S17" i="11"/>
  <c r="DM16" i="11"/>
  <c r="DL16" i="11"/>
  <c r="DK16" i="11"/>
  <c r="DJ16" i="11"/>
  <c r="DI16" i="11"/>
  <c r="DH16" i="11"/>
  <c r="DC16" i="11"/>
  <c r="DB16" i="11"/>
  <c r="CW16" i="11"/>
  <c r="CV16" i="11"/>
  <c r="CQ16" i="11"/>
  <c r="CP16" i="11"/>
  <c r="CK16" i="11"/>
  <c r="CJ16" i="11"/>
  <c r="CE16" i="11"/>
  <c r="CD16" i="11"/>
  <c r="BY16" i="11"/>
  <c r="BX16" i="11"/>
  <c r="BS16" i="11"/>
  <c r="BR16" i="11"/>
  <c r="BM16" i="11"/>
  <c r="BK16" i="11"/>
  <c r="BF16" i="11"/>
  <c r="BD16" i="11"/>
  <c r="AY16" i="11"/>
  <c r="AX16" i="11"/>
  <c r="AS16" i="11"/>
  <c r="AR16" i="11"/>
  <c r="AJ16" i="11"/>
  <c r="AI16" i="11"/>
  <c r="AH16" i="11"/>
  <c r="AG16" i="11"/>
  <c r="AF16" i="11"/>
  <c r="AE16" i="11"/>
  <c r="Z16" i="11"/>
  <c r="Y16" i="11"/>
  <c r="T16" i="11"/>
  <c r="S16" i="11"/>
  <c r="DM15" i="11"/>
  <c r="DL15" i="11"/>
  <c r="DK15" i="11"/>
  <c r="DJ15" i="11"/>
  <c r="DI15" i="11"/>
  <c r="DH15" i="11"/>
  <c r="DC15" i="11"/>
  <c r="DB15" i="11"/>
  <c r="CW15" i="11"/>
  <c r="CV15" i="11"/>
  <c r="CQ15" i="11"/>
  <c r="CP15" i="11"/>
  <c r="CK15" i="11"/>
  <c r="CJ15" i="11"/>
  <c r="CE15" i="11"/>
  <c r="CD15" i="11"/>
  <c r="BY15" i="11"/>
  <c r="BX15" i="11"/>
  <c r="BS15" i="11"/>
  <c r="BR15" i="11"/>
  <c r="BM15" i="11"/>
  <c r="BK15" i="11"/>
  <c r="BF15" i="11"/>
  <c r="BD15" i="11"/>
  <c r="AY15" i="11"/>
  <c r="AX15" i="11"/>
  <c r="AS15" i="11"/>
  <c r="AR15" i="11"/>
  <c r="AJ15" i="11"/>
  <c r="AI15" i="11"/>
  <c r="AH15" i="11"/>
  <c r="AG15" i="11"/>
  <c r="AF15" i="11"/>
  <c r="AE15" i="11"/>
  <c r="Z15" i="11"/>
  <c r="Y15" i="11"/>
  <c r="T15" i="11"/>
  <c r="S15" i="11"/>
  <c r="DM14" i="11"/>
  <c r="DL14" i="11"/>
  <c r="DK14" i="11"/>
  <c r="DJ14" i="11"/>
  <c r="DI14" i="11"/>
  <c r="DH14" i="11"/>
  <c r="DC14" i="11"/>
  <c r="DB14" i="11"/>
  <c r="CW14" i="11"/>
  <c r="CV14" i="11"/>
  <c r="CQ14" i="11"/>
  <c r="CP14" i="11"/>
  <c r="CK14" i="11"/>
  <c r="CJ14" i="11"/>
  <c r="CE14" i="11"/>
  <c r="CD14" i="11"/>
  <c r="BY14" i="11"/>
  <c r="BX14" i="11"/>
  <c r="BS14" i="11"/>
  <c r="BR14" i="11"/>
  <c r="BM14" i="11"/>
  <c r="BK14" i="11"/>
  <c r="BF14" i="11"/>
  <c r="BD14" i="11"/>
  <c r="AY14" i="11"/>
  <c r="AX14" i="11"/>
  <c r="AS14" i="11"/>
  <c r="AR14" i="11"/>
  <c r="AJ14" i="11"/>
  <c r="AI14" i="11"/>
  <c r="AH14" i="11"/>
  <c r="AG14" i="11"/>
  <c r="AF14" i="11"/>
  <c r="AE14" i="11"/>
  <c r="Z14" i="11"/>
  <c r="Y14" i="11"/>
  <c r="T14" i="11"/>
  <c r="S14" i="11"/>
  <c r="DM13" i="11"/>
  <c r="DL13" i="11"/>
  <c r="DK13" i="11"/>
  <c r="DJ13" i="11"/>
  <c r="DI13" i="11"/>
  <c r="DH13" i="11"/>
  <c r="DC13" i="11"/>
  <c r="DB13" i="11"/>
  <c r="CW13" i="11"/>
  <c r="CV13" i="11"/>
  <c r="CQ13" i="11"/>
  <c r="CP13" i="11"/>
  <c r="CK13" i="11"/>
  <c r="CJ13" i="11"/>
  <c r="CE13" i="11"/>
  <c r="CD13" i="11"/>
  <c r="BY13" i="11"/>
  <c r="BX13" i="11"/>
  <c r="BS13" i="11"/>
  <c r="BR13" i="11"/>
  <c r="BM13" i="11"/>
  <c r="BK13" i="11"/>
  <c r="BF13" i="11"/>
  <c r="BD13" i="11"/>
  <c r="AY13" i="11"/>
  <c r="AX13" i="11"/>
  <c r="AS13" i="11"/>
  <c r="AR13" i="11"/>
  <c r="AJ13" i="11"/>
  <c r="AI13" i="11"/>
  <c r="AH13" i="11"/>
  <c r="AG13" i="11"/>
  <c r="AF13" i="11"/>
  <c r="AE13" i="11"/>
  <c r="Z13" i="11"/>
  <c r="Y13" i="11"/>
  <c r="T13" i="11"/>
  <c r="S13" i="11"/>
  <c r="DM12" i="11"/>
  <c r="DL12" i="11"/>
  <c r="DK12" i="11"/>
  <c r="DJ12" i="11"/>
  <c r="DI12" i="11"/>
  <c r="DH12" i="11"/>
  <c r="DC12" i="11"/>
  <c r="DB12" i="11"/>
  <c r="CW12" i="11"/>
  <c r="CV12" i="11"/>
  <c r="CQ12" i="11"/>
  <c r="CP12" i="11"/>
  <c r="CK12" i="11"/>
  <c r="CJ12" i="11"/>
  <c r="CE12" i="11"/>
  <c r="CD12" i="11"/>
  <c r="BY12" i="11"/>
  <c r="BX12" i="11"/>
  <c r="BS12" i="11"/>
  <c r="BR12" i="11"/>
  <c r="BM12" i="11"/>
  <c r="BK12" i="11"/>
  <c r="BF12" i="11"/>
  <c r="BD12" i="11"/>
  <c r="AY12" i="11"/>
  <c r="AX12" i="11"/>
  <c r="AS12" i="11"/>
  <c r="AR12" i="11"/>
  <c r="AJ12" i="11"/>
  <c r="AI12" i="11"/>
  <c r="AH12" i="11"/>
  <c r="AG12" i="11"/>
  <c r="AF12" i="11"/>
  <c r="AE12" i="11"/>
  <c r="Z12" i="11"/>
  <c r="Y12" i="11"/>
  <c r="T12" i="11"/>
  <c r="S12" i="11"/>
  <c r="DM11" i="11"/>
  <c r="DL11" i="11"/>
  <c r="DK11" i="11"/>
  <c r="DJ11" i="11"/>
  <c r="DI11" i="11"/>
  <c r="DH11" i="11"/>
  <c r="DC11" i="11"/>
  <c r="DB11" i="11"/>
  <c r="CW11" i="11"/>
  <c r="CV11" i="11"/>
  <c r="CQ11" i="11"/>
  <c r="CP11" i="11"/>
  <c r="CK11" i="11"/>
  <c r="CJ11" i="11"/>
  <c r="CE11" i="11"/>
  <c r="CD11" i="11"/>
  <c r="BY11" i="11"/>
  <c r="BX11" i="11"/>
  <c r="BS11" i="11"/>
  <c r="BR11" i="11"/>
  <c r="BM11" i="11"/>
  <c r="BK11" i="11"/>
  <c r="BF11" i="11"/>
  <c r="BD11" i="11"/>
  <c r="AY11" i="11"/>
  <c r="AX11" i="11"/>
  <c r="AS11" i="11"/>
  <c r="AR11" i="11"/>
  <c r="AJ11" i="11"/>
  <c r="AI11" i="11"/>
  <c r="AH11" i="11"/>
  <c r="AG11" i="11"/>
  <c r="AF11" i="11"/>
  <c r="AE11" i="11"/>
  <c r="Z11" i="11"/>
  <c r="Y11" i="11"/>
  <c r="T11" i="11"/>
  <c r="S11" i="11"/>
  <c r="DM10" i="11"/>
  <c r="DL10" i="11"/>
  <c r="DK10" i="11"/>
  <c r="DJ10" i="11"/>
  <c r="DI10" i="11"/>
  <c r="DH10" i="11"/>
  <c r="DC10" i="11"/>
  <c r="DB10" i="11"/>
  <c r="CW10" i="11"/>
  <c r="CV10" i="11"/>
  <c r="CQ10" i="11"/>
  <c r="CP10" i="11"/>
  <c r="CK10" i="11"/>
  <c r="CJ10" i="11"/>
  <c r="CE10" i="11"/>
  <c r="CD10" i="11"/>
  <c r="BY10" i="11"/>
  <c r="BX10" i="11"/>
  <c r="BS10" i="11"/>
  <c r="BR10" i="11"/>
  <c r="BM10" i="11"/>
  <c r="BK10" i="11"/>
  <c r="BF10" i="11"/>
  <c r="BD10" i="11"/>
  <c r="AY10" i="11"/>
  <c r="AX10" i="11"/>
  <c r="AS10" i="11"/>
  <c r="AR10" i="11"/>
  <c r="AJ10" i="11"/>
  <c r="AI10" i="11"/>
  <c r="AH10" i="11"/>
  <c r="AG10" i="11"/>
  <c r="AF10" i="11"/>
  <c r="AE10" i="11"/>
  <c r="Z10" i="11"/>
  <c r="Y10" i="11"/>
  <c r="T10" i="11"/>
  <c r="S10" i="11"/>
  <c r="DM9" i="11"/>
  <c r="DL9" i="11"/>
  <c r="DK9" i="11"/>
  <c r="DJ9" i="11"/>
  <c r="DI9" i="11"/>
  <c r="DH9" i="11"/>
  <c r="DC9" i="11"/>
  <c r="DB9" i="11"/>
  <c r="CW9" i="11"/>
  <c r="CV9" i="11"/>
  <c r="CQ9" i="11"/>
  <c r="CP9" i="11"/>
  <c r="CK9" i="11"/>
  <c r="CJ9" i="11"/>
  <c r="CE9" i="11"/>
  <c r="CD9" i="11"/>
  <c r="BY9" i="11"/>
  <c r="BX9" i="11"/>
  <c r="BS9" i="11"/>
  <c r="BR9" i="11"/>
  <c r="BM9" i="11"/>
  <c r="BK9" i="11"/>
  <c r="BF9" i="11"/>
  <c r="BD9" i="11"/>
  <c r="AY9" i="11"/>
  <c r="AX9" i="11"/>
  <c r="AS9" i="11"/>
  <c r="AR9" i="11"/>
  <c r="AJ9" i="11"/>
  <c r="AI9" i="11"/>
  <c r="AH9" i="11"/>
  <c r="AG9" i="11"/>
  <c r="AF9" i="11"/>
  <c r="AE9" i="11"/>
  <c r="Z9" i="11"/>
  <c r="Y9" i="11"/>
  <c r="T9" i="11"/>
  <c r="S9" i="11"/>
  <c r="D2" i="11"/>
  <c r="AC30" i="26" l="1"/>
  <c r="AE30" i="26"/>
  <c r="Q30" i="26"/>
  <c r="Y30" i="26"/>
  <c r="AG30" i="26"/>
  <c r="G12" i="11"/>
  <c r="G16" i="11"/>
  <c r="G19" i="11"/>
  <c r="G22" i="11"/>
  <c r="G26" i="11"/>
  <c r="G30" i="11"/>
  <c r="G33" i="11"/>
  <c r="G37" i="11"/>
  <c r="G40" i="11"/>
  <c r="G44" i="11"/>
  <c r="G48" i="11"/>
  <c r="G52" i="11"/>
  <c r="G56" i="11"/>
  <c r="G60" i="11"/>
  <c r="G68" i="11"/>
  <c r="G72" i="11"/>
  <c r="G79" i="11"/>
  <c r="G82" i="11"/>
  <c r="G11" i="11"/>
  <c r="G15" i="11"/>
  <c r="G21" i="11"/>
  <c r="G25" i="11"/>
  <c r="G29" i="11"/>
  <c r="G32" i="11"/>
  <c r="G36" i="11"/>
  <c r="G43" i="11"/>
  <c r="G47" i="11"/>
  <c r="G51" i="11"/>
  <c r="G55" i="11"/>
  <c r="G59" i="11"/>
  <c r="G63" i="11"/>
  <c r="G67" i="11"/>
  <c r="G71" i="11"/>
  <c r="G75" i="11"/>
  <c r="G78" i="11"/>
  <c r="G64" i="11"/>
  <c r="G10" i="11"/>
  <c r="G14" i="11"/>
  <c r="G18" i="11"/>
  <c r="G24" i="11"/>
  <c r="G28" i="11"/>
  <c r="G31" i="11"/>
  <c r="G35" i="11"/>
  <c r="G39" i="11"/>
  <c r="G42" i="11"/>
  <c r="G46" i="11"/>
  <c r="G50" i="11"/>
  <c r="G54" i="11"/>
  <c r="G58" i="11"/>
  <c r="G62" i="11"/>
  <c r="G66" i="11"/>
  <c r="G70" i="11"/>
  <c r="G74" i="11"/>
  <c r="G77" i="11"/>
  <c r="G81" i="11"/>
  <c r="G84" i="11"/>
  <c r="G9" i="11"/>
  <c r="G13" i="11"/>
  <c r="G17" i="11"/>
  <c r="G20" i="11"/>
  <c r="G23" i="11"/>
  <c r="G27" i="11"/>
  <c r="G34" i="11"/>
  <c r="G38" i="11"/>
  <c r="G41" i="11"/>
  <c r="G45" i="11"/>
  <c r="G49" i="11"/>
  <c r="G53" i="11"/>
  <c r="G57" i="11"/>
  <c r="G61" i="11"/>
  <c r="G65" i="11"/>
  <c r="G69" i="11"/>
  <c r="G73" i="11"/>
  <c r="G76" i="11"/>
  <c r="G83" i="11"/>
  <c r="G80" i="11"/>
  <c r="M47" i="26"/>
  <c r="AI47" i="26" s="1"/>
  <c r="G11" i="26"/>
  <c r="AI11" i="26"/>
  <c r="N50" i="14"/>
  <c r="N63" i="13"/>
  <c r="N85" i="13"/>
  <c r="N11" i="13"/>
  <c r="N119" i="13"/>
  <c r="N104" i="13"/>
  <c r="N57" i="13"/>
  <c r="N75" i="13"/>
  <c r="N12" i="13"/>
  <c r="N87" i="13"/>
  <c r="N67" i="13"/>
  <c r="N40" i="13"/>
  <c r="N143" i="13"/>
  <c r="N95" i="13"/>
  <c r="N46" i="13"/>
  <c r="N48" i="13"/>
  <c r="N117" i="13"/>
  <c r="N92" i="13"/>
  <c r="N77" i="13"/>
  <c r="N57" i="14"/>
  <c r="N56" i="14"/>
  <c r="N149" i="13"/>
  <c r="N55" i="14"/>
  <c r="N61" i="13"/>
  <c r="N148" i="13"/>
  <c r="N147" i="13"/>
  <c r="DK16" i="12"/>
  <c r="DM16" i="12" s="1"/>
  <c r="F16" i="12" s="1"/>
  <c r="N131" i="13"/>
  <c r="N115" i="13"/>
  <c r="DK69" i="12"/>
  <c r="DM69" i="12" s="1"/>
  <c r="F69" i="12" s="1"/>
  <c r="N153" i="13"/>
  <c r="N128" i="13"/>
  <c r="N30" i="13"/>
  <c r="N44" i="13"/>
  <c r="N18" i="14"/>
  <c r="N39" i="13"/>
  <c r="N129" i="13"/>
  <c r="N29" i="14"/>
  <c r="N10" i="14"/>
  <c r="N33" i="14"/>
  <c r="N31" i="14"/>
  <c r="N21" i="14"/>
  <c r="N52" i="14"/>
  <c r="N53" i="14"/>
  <c r="N27" i="14"/>
  <c r="N54" i="14"/>
  <c r="N25" i="14"/>
  <c r="N135" i="13"/>
  <c r="N33" i="13"/>
  <c r="N150" i="13"/>
  <c r="N42" i="13"/>
  <c r="N145" i="13"/>
  <c r="N80" i="13"/>
  <c r="N151" i="13"/>
  <c r="N108" i="13"/>
  <c r="N73" i="13"/>
  <c r="N103" i="13"/>
  <c r="N13" i="13"/>
  <c r="N124" i="13"/>
  <c r="N38" i="13"/>
  <c r="N64" i="13"/>
  <c r="N116" i="13"/>
  <c r="N59" i="13"/>
  <c r="N125" i="13"/>
  <c r="M48" i="14"/>
  <c r="N48" i="14" s="1"/>
  <c r="O48" i="14"/>
  <c r="M47" i="14"/>
  <c r="N47" i="14" s="1"/>
  <c r="O47" i="14"/>
  <c r="M39" i="14"/>
  <c r="N39" i="14" s="1"/>
  <c r="O39" i="14"/>
  <c r="M32" i="14"/>
  <c r="N32" i="14" s="1"/>
  <c r="O32" i="14"/>
  <c r="L7" i="14"/>
  <c r="M44" i="14"/>
  <c r="N44" i="14" s="1"/>
  <c r="O44" i="14"/>
  <c r="M41" i="14"/>
  <c r="N41" i="14" s="1"/>
  <c r="O41" i="14"/>
  <c r="M59" i="14"/>
  <c r="N59" i="14" s="1"/>
  <c r="O59" i="14"/>
  <c r="M23" i="14"/>
  <c r="N23" i="14" s="1"/>
  <c r="O23" i="14"/>
  <c r="M30" i="14"/>
  <c r="N30" i="14" s="1"/>
  <c r="O30" i="14"/>
  <c r="M34" i="14"/>
  <c r="N34" i="14" s="1"/>
  <c r="O34" i="14"/>
  <c r="M38" i="14"/>
  <c r="N38" i="14" s="1"/>
  <c r="O38" i="14"/>
  <c r="M26" i="14"/>
  <c r="N26" i="14" s="1"/>
  <c r="O26" i="14"/>
  <c r="M9" i="14"/>
  <c r="N9" i="14" s="1"/>
  <c r="K7" i="14"/>
  <c r="M51" i="14"/>
  <c r="N51" i="14" s="1"/>
  <c r="O51" i="14"/>
  <c r="M17" i="14"/>
  <c r="N17" i="14" s="1"/>
  <c r="O17" i="14"/>
  <c r="M16" i="14"/>
  <c r="N16" i="14" s="1"/>
  <c r="O16" i="14"/>
  <c r="M37" i="14"/>
  <c r="N37" i="14" s="1"/>
  <c r="O37" i="14"/>
  <c r="G7" i="14"/>
  <c r="M28" i="14"/>
  <c r="N28" i="14" s="1"/>
  <c r="O28" i="14"/>
  <c r="M19" i="14"/>
  <c r="N19" i="14" s="1"/>
  <c r="O19" i="14"/>
  <c r="M15" i="14"/>
  <c r="N15" i="14" s="1"/>
  <c r="O15" i="14"/>
  <c r="M11" i="14"/>
  <c r="N11" i="14" s="1"/>
  <c r="O11" i="14"/>
  <c r="M20" i="14"/>
  <c r="N20" i="14" s="1"/>
  <c r="O20" i="14"/>
  <c r="M12" i="14"/>
  <c r="N12" i="14" s="1"/>
  <c r="O12" i="14"/>
  <c r="M49" i="14"/>
  <c r="N49" i="14" s="1"/>
  <c r="O49" i="14"/>
  <c r="M24" i="14"/>
  <c r="N24" i="14" s="1"/>
  <c r="O24" i="14"/>
  <c r="M14" i="14"/>
  <c r="N14" i="14" s="1"/>
  <c r="O14" i="14"/>
  <c r="M13" i="14"/>
  <c r="N13" i="14" s="1"/>
  <c r="O13" i="14"/>
  <c r="M22" i="14"/>
  <c r="N22" i="14" s="1"/>
  <c r="O22" i="14"/>
  <c r="M40" i="14"/>
  <c r="N40" i="14" s="1"/>
  <c r="O40" i="14"/>
  <c r="AW69" i="12"/>
  <c r="AQ28" i="12"/>
  <c r="BC37" i="12"/>
  <c r="AI54" i="12"/>
  <c r="AK54" i="12" s="1"/>
  <c r="AE42" i="12"/>
  <c r="DK37" i="12"/>
  <c r="DM37" i="12" s="1"/>
  <c r="F37" i="12" s="1"/>
  <c r="DK56" i="12"/>
  <c r="DM56" i="12" s="1"/>
  <c r="F56" i="12" s="1"/>
  <c r="AI30" i="12"/>
  <c r="AK30" i="12" s="1"/>
  <c r="K30" i="26"/>
  <c r="S30" i="26"/>
  <c r="AA30" i="26"/>
  <c r="U30" i="26"/>
  <c r="O30" i="26"/>
  <c r="W30" i="26"/>
  <c r="M29" i="12"/>
  <c r="M37" i="12"/>
  <c r="M45" i="12"/>
  <c r="M57" i="12"/>
  <c r="M17" i="12"/>
  <c r="M21" i="12"/>
  <c r="M28" i="12"/>
  <c r="M53" i="12"/>
  <c r="M60" i="12"/>
  <c r="M47" i="12"/>
  <c r="M71" i="12"/>
  <c r="M27" i="12"/>
  <c r="M56" i="12"/>
  <c r="M59" i="12"/>
  <c r="M68" i="12"/>
  <c r="M13" i="12"/>
  <c r="M16" i="12"/>
  <c r="M31" i="12"/>
  <c r="M32" i="12"/>
  <c r="M43" i="12"/>
  <c r="M19" i="12"/>
  <c r="M49" i="12"/>
  <c r="M51" i="12"/>
  <c r="M55" i="12"/>
  <c r="M62" i="12"/>
  <c r="M70" i="12"/>
  <c r="M12" i="12"/>
  <c r="M15" i="12"/>
  <c r="M58" i="12"/>
  <c r="M65" i="12"/>
  <c r="M72" i="12"/>
  <c r="M38" i="12"/>
  <c r="M41" i="12"/>
  <c r="M69" i="12"/>
  <c r="DO77" i="11"/>
  <c r="AL83" i="11"/>
  <c r="L83" i="11" s="1"/>
  <c r="N83" i="11" s="1"/>
  <c r="CK7" i="11"/>
  <c r="Y12" i="26" s="1"/>
  <c r="BM7" i="11"/>
  <c r="Q12" i="26" s="1"/>
  <c r="DI7" i="11"/>
  <c r="AG12" i="26" s="1"/>
  <c r="AK83" i="11"/>
  <c r="DN12" i="11"/>
  <c r="F12" i="11" s="1"/>
  <c r="AK50" i="11"/>
  <c r="DN56" i="11"/>
  <c r="F56" i="11" s="1"/>
  <c r="CJ7" i="11"/>
  <c r="DH7" i="11"/>
  <c r="S7" i="11"/>
  <c r="Y7" i="11"/>
  <c r="BR7" i="11"/>
  <c r="CP7" i="11"/>
  <c r="DJ7" i="11"/>
  <c r="M80" i="11"/>
  <c r="M84" i="11"/>
  <c r="BS7" i="11"/>
  <c r="S12" i="26" s="1"/>
  <c r="M33" i="11"/>
  <c r="M44" i="11"/>
  <c r="M60" i="11"/>
  <c r="M83" i="11"/>
  <c r="M38" i="11"/>
  <c r="DK7" i="11"/>
  <c r="BX7" i="11"/>
  <c r="M79" i="11"/>
  <c r="M49" i="11"/>
  <c r="M57" i="11"/>
  <c r="Z7" i="11"/>
  <c r="AE7" i="11"/>
  <c r="CV7" i="11"/>
  <c r="AF7" i="11"/>
  <c r="AY7" i="11"/>
  <c r="M12" i="26" s="1"/>
  <c r="BY7" i="11"/>
  <c r="U12" i="26" s="1"/>
  <c r="CW7" i="11"/>
  <c r="AC12" i="26" s="1"/>
  <c r="DM7" i="11"/>
  <c r="M51" i="11"/>
  <c r="M59" i="11"/>
  <c r="M82" i="11"/>
  <c r="CQ7" i="11"/>
  <c r="AA12" i="26" s="1"/>
  <c r="AX7" i="11"/>
  <c r="AG7" i="11"/>
  <c r="BD7" i="11"/>
  <c r="CD7" i="11"/>
  <c r="DB7" i="11"/>
  <c r="M81" i="11"/>
  <c r="M34" i="11"/>
  <c r="M65" i="11"/>
  <c r="AS7" i="11"/>
  <c r="K12" i="26" s="1"/>
  <c r="AH7" i="11"/>
  <c r="BF7" i="11"/>
  <c r="O12" i="26" s="1"/>
  <c r="CE7" i="11"/>
  <c r="W12" i="26" s="1"/>
  <c r="DC7" i="11"/>
  <c r="AE12" i="26" s="1"/>
  <c r="M35" i="11"/>
  <c r="M42" i="11"/>
  <c r="M46" i="11"/>
  <c r="M50" i="11"/>
  <c r="M66" i="11"/>
  <c r="G7" i="13"/>
  <c r="G2" i="13" s="1"/>
  <c r="L7" i="13"/>
  <c r="K7" i="13"/>
  <c r="M14" i="13"/>
  <c r="N14" i="13" s="1"/>
  <c r="O14" i="13"/>
  <c r="M81" i="13"/>
  <c r="N81" i="13" s="1"/>
  <c r="O81" i="13"/>
  <c r="M100" i="13"/>
  <c r="N100" i="13" s="1"/>
  <c r="O100" i="13"/>
  <c r="M26" i="13"/>
  <c r="N26" i="13" s="1"/>
  <c r="O26" i="13"/>
  <c r="M49" i="13"/>
  <c r="N49" i="13" s="1"/>
  <c r="O49" i="13"/>
  <c r="M106" i="13"/>
  <c r="N106" i="13" s="1"/>
  <c r="O106" i="13"/>
  <c r="M23" i="13"/>
  <c r="N23" i="13" s="1"/>
  <c r="O23" i="13"/>
  <c r="M47" i="13"/>
  <c r="N47" i="13" s="1"/>
  <c r="O47" i="13"/>
  <c r="M22" i="13"/>
  <c r="N22" i="13" s="1"/>
  <c r="O22" i="13"/>
  <c r="M74" i="13"/>
  <c r="N74" i="13" s="1"/>
  <c r="O74" i="13"/>
  <c r="M86" i="13"/>
  <c r="N86" i="13" s="1"/>
  <c r="O86" i="13"/>
  <c r="M25" i="13"/>
  <c r="N25" i="13" s="1"/>
  <c r="O25" i="13"/>
  <c r="M130" i="13"/>
  <c r="N130" i="13" s="1"/>
  <c r="O130" i="13"/>
  <c r="M37" i="13"/>
  <c r="N37" i="13" s="1"/>
  <c r="O37" i="13"/>
  <c r="M65" i="13"/>
  <c r="N65" i="13" s="1"/>
  <c r="O65" i="13"/>
  <c r="M78" i="13"/>
  <c r="N78" i="13" s="1"/>
  <c r="O78" i="13"/>
  <c r="M10" i="13"/>
  <c r="N10" i="13" s="1"/>
  <c r="M36" i="13"/>
  <c r="N36" i="13" s="1"/>
  <c r="O36" i="13"/>
  <c r="M41" i="13"/>
  <c r="N41" i="13" s="1"/>
  <c r="O41" i="13"/>
  <c r="M16" i="13"/>
  <c r="N16" i="13" s="1"/>
  <c r="O16" i="13"/>
  <c r="M32" i="13"/>
  <c r="N32" i="13" s="1"/>
  <c r="O32" i="13"/>
  <c r="M50" i="13"/>
  <c r="N50" i="13" s="1"/>
  <c r="O50" i="13"/>
  <c r="M132" i="13"/>
  <c r="N132" i="13" s="1"/>
  <c r="O132" i="13"/>
  <c r="M121" i="13"/>
  <c r="N121" i="13" s="1"/>
  <c r="O121" i="13"/>
  <c r="M98" i="13"/>
  <c r="N98" i="13" s="1"/>
  <c r="O98" i="13"/>
  <c r="M139" i="13"/>
  <c r="N139" i="13" s="1"/>
  <c r="O139" i="13"/>
  <c r="M126" i="13"/>
  <c r="N126" i="13" s="1"/>
  <c r="O126" i="13"/>
  <c r="M82" i="13"/>
  <c r="N82" i="13" s="1"/>
  <c r="O82" i="13"/>
  <c r="M107" i="13"/>
  <c r="N107" i="13" s="1"/>
  <c r="O107" i="13"/>
  <c r="M51" i="13"/>
  <c r="N51" i="13" s="1"/>
  <c r="O51" i="13"/>
  <c r="M55" i="13"/>
  <c r="N55" i="13" s="1"/>
  <c r="O55" i="13"/>
  <c r="M27" i="13"/>
  <c r="N27" i="13" s="1"/>
  <c r="O27" i="13"/>
  <c r="M24" i="13"/>
  <c r="N24" i="13" s="1"/>
  <c r="O24" i="13"/>
  <c r="M28" i="13"/>
  <c r="N28" i="13" s="1"/>
  <c r="O28" i="13"/>
  <c r="M91" i="13"/>
  <c r="N91" i="13" s="1"/>
  <c r="O91" i="13"/>
  <c r="M79" i="13"/>
  <c r="N79" i="13" s="1"/>
  <c r="O79" i="13"/>
  <c r="M123" i="13"/>
  <c r="N123" i="13" s="1"/>
  <c r="O123" i="13"/>
  <c r="M140" i="13"/>
  <c r="N140" i="13" s="1"/>
  <c r="O140" i="13"/>
  <c r="M134" i="13"/>
  <c r="N134" i="13" s="1"/>
  <c r="O134" i="13"/>
  <c r="M68" i="13"/>
  <c r="N68" i="13" s="1"/>
  <c r="O68" i="13"/>
  <c r="M62" i="13"/>
  <c r="N62" i="13" s="1"/>
  <c r="O62" i="13"/>
  <c r="M69" i="13"/>
  <c r="N69" i="13" s="1"/>
  <c r="O69" i="13"/>
  <c r="M45" i="13"/>
  <c r="N45" i="13" s="1"/>
  <c r="O45" i="13"/>
  <c r="M72" i="13"/>
  <c r="N72" i="13" s="1"/>
  <c r="O72" i="13"/>
  <c r="M20" i="13"/>
  <c r="N20" i="13" s="1"/>
  <c r="O20" i="13"/>
  <c r="M118" i="13"/>
  <c r="N118" i="13" s="1"/>
  <c r="O118" i="13"/>
  <c r="M127" i="13"/>
  <c r="N127" i="13" s="1"/>
  <c r="O127" i="13"/>
  <c r="M133" i="13"/>
  <c r="N133" i="13" s="1"/>
  <c r="O133" i="13"/>
  <c r="M94" i="13"/>
  <c r="N94" i="13" s="1"/>
  <c r="O94" i="13"/>
  <c r="M56" i="13"/>
  <c r="N56" i="13" s="1"/>
  <c r="O56" i="13"/>
  <c r="M142" i="13"/>
  <c r="N142" i="13" s="1"/>
  <c r="O142" i="13"/>
  <c r="M66" i="13"/>
  <c r="N66" i="13" s="1"/>
  <c r="O66" i="13"/>
  <c r="M9" i="13"/>
  <c r="N9" i="13" s="1"/>
  <c r="O9" i="13"/>
  <c r="M21" i="13"/>
  <c r="N21" i="13" s="1"/>
  <c r="O21" i="13"/>
  <c r="M101" i="13"/>
  <c r="N101" i="13" s="1"/>
  <c r="O101" i="13"/>
  <c r="M60" i="13"/>
  <c r="N60" i="13" s="1"/>
  <c r="O60" i="13"/>
  <c r="M99" i="13"/>
  <c r="N99" i="13" s="1"/>
  <c r="O99" i="13"/>
  <c r="M83" i="13"/>
  <c r="N83" i="13" s="1"/>
  <c r="O83" i="13"/>
  <c r="M113" i="13"/>
  <c r="N113" i="13" s="1"/>
  <c r="O113" i="13"/>
  <c r="M88" i="13"/>
  <c r="N88" i="13" s="1"/>
  <c r="O88" i="13"/>
  <c r="M90" i="13"/>
  <c r="N90" i="13" s="1"/>
  <c r="O90" i="13"/>
  <c r="M152" i="13"/>
  <c r="N152" i="13" s="1"/>
  <c r="O152" i="13"/>
  <c r="M52" i="13"/>
  <c r="N52" i="13" s="1"/>
  <c r="O52" i="13"/>
  <c r="M71" i="13"/>
  <c r="N71" i="13" s="1"/>
  <c r="O71" i="13"/>
  <c r="M111" i="13"/>
  <c r="N111" i="13" s="1"/>
  <c r="O111" i="13"/>
  <c r="M96" i="13"/>
  <c r="N96" i="13" s="1"/>
  <c r="O96" i="13"/>
  <c r="M76" i="13"/>
  <c r="N76" i="13" s="1"/>
  <c r="O76" i="13"/>
  <c r="M34" i="13"/>
  <c r="N34" i="13" s="1"/>
  <c r="O34" i="13"/>
  <c r="M144" i="13"/>
  <c r="N144" i="13" s="1"/>
  <c r="O144" i="13"/>
  <c r="M93" i="13"/>
  <c r="N93" i="13" s="1"/>
  <c r="O93" i="13"/>
  <c r="M137" i="13"/>
  <c r="N137" i="13" s="1"/>
  <c r="O137" i="13"/>
  <c r="M58" i="13"/>
  <c r="N58" i="13" s="1"/>
  <c r="O58" i="13"/>
  <c r="M112" i="13"/>
  <c r="N112" i="13" s="1"/>
  <c r="O112" i="13"/>
  <c r="M146" i="13"/>
  <c r="N146" i="13" s="1"/>
  <c r="O146" i="13"/>
  <c r="M29" i="13"/>
  <c r="N29" i="13" s="1"/>
  <c r="O29" i="13"/>
  <c r="M54" i="13"/>
  <c r="N54" i="13" s="1"/>
  <c r="O54" i="13"/>
  <c r="M35" i="13"/>
  <c r="N35" i="13" s="1"/>
  <c r="O35" i="13"/>
  <c r="M53" i="13"/>
  <c r="N53" i="13" s="1"/>
  <c r="O53" i="13"/>
  <c r="M70" i="13"/>
  <c r="N70" i="13" s="1"/>
  <c r="O70" i="13"/>
  <c r="M97" i="13"/>
  <c r="N97" i="13" s="1"/>
  <c r="O97" i="13"/>
  <c r="M122" i="13"/>
  <c r="N122" i="13" s="1"/>
  <c r="O122" i="13"/>
  <c r="M17" i="13"/>
  <c r="N17" i="13" s="1"/>
  <c r="O17" i="13"/>
  <c r="M43" i="13"/>
  <c r="N43" i="13" s="1"/>
  <c r="O43" i="13"/>
  <c r="M84" i="13"/>
  <c r="N84" i="13" s="1"/>
  <c r="O84" i="13"/>
  <c r="M19" i="13"/>
  <c r="N19" i="13" s="1"/>
  <c r="O19" i="13"/>
  <c r="M15" i="13"/>
  <c r="N15" i="13" s="1"/>
  <c r="O15" i="13"/>
  <c r="M18" i="13"/>
  <c r="N18" i="13" s="1"/>
  <c r="O18" i="13"/>
  <c r="M105" i="13"/>
  <c r="N105" i="13" s="1"/>
  <c r="O105" i="13"/>
  <c r="M136" i="13"/>
  <c r="N136" i="13" s="1"/>
  <c r="O136" i="13"/>
  <c r="M114" i="13"/>
  <c r="N114" i="13" s="1"/>
  <c r="O114" i="13"/>
  <c r="M31" i="13"/>
  <c r="N31" i="13" s="1"/>
  <c r="O31" i="13"/>
  <c r="M89" i="13"/>
  <c r="N89" i="13" s="1"/>
  <c r="O89" i="13"/>
  <c r="M102" i="13"/>
  <c r="N102" i="13" s="1"/>
  <c r="O102" i="13"/>
  <c r="DK71" i="12"/>
  <c r="DM71" i="12" s="1"/>
  <c r="F71" i="12" s="1"/>
  <c r="AE48" i="12"/>
  <c r="BW68" i="12"/>
  <c r="DK68" i="12"/>
  <c r="DK58" i="12"/>
  <c r="DM58" i="12" s="1"/>
  <c r="F58" i="12" s="1"/>
  <c r="AI14" i="12"/>
  <c r="AK14" i="12" s="1"/>
  <c r="AQ56" i="12"/>
  <c r="BI7" i="11"/>
  <c r="AJ19" i="11"/>
  <c r="R7" i="11"/>
  <c r="DL83" i="11"/>
  <c r="DN83" i="11" s="1"/>
  <c r="F83" i="11" s="1"/>
  <c r="AP7" i="11"/>
  <c r="DN58" i="11"/>
  <c r="F58" i="11" s="1"/>
  <c r="AR83" i="11"/>
  <c r="AR7" i="11" s="1"/>
  <c r="DM23" i="12"/>
  <c r="F23" i="12" s="1"/>
  <c r="AK23" i="12"/>
  <c r="DO63" i="11"/>
  <c r="AL71" i="11"/>
  <c r="P71" i="11" s="1"/>
  <c r="AK14" i="11"/>
  <c r="DO43" i="11"/>
  <c r="DO47" i="11"/>
  <c r="AK78" i="11"/>
  <c r="DN84" i="11"/>
  <c r="F84" i="11" s="1"/>
  <c r="AK11" i="11"/>
  <c r="AK25" i="11"/>
  <c r="DN27" i="11"/>
  <c r="F27" i="11" s="1"/>
  <c r="AK29" i="11"/>
  <c r="AL59" i="11"/>
  <c r="AL75" i="11"/>
  <c r="AK58" i="11"/>
  <c r="AL46" i="11"/>
  <c r="AL54" i="11"/>
  <c r="AK35" i="11"/>
  <c r="DN36" i="11"/>
  <c r="F36" i="11" s="1"/>
  <c r="DN59" i="11"/>
  <c r="F59" i="11" s="1"/>
  <c r="AK61" i="11"/>
  <c r="DN63" i="11"/>
  <c r="F63" i="11" s="1"/>
  <c r="DN78" i="11"/>
  <c r="F78" i="11" s="1"/>
  <c r="AL81" i="11"/>
  <c r="DN82" i="11"/>
  <c r="F82" i="11" s="1"/>
  <c r="AK84" i="11"/>
  <c r="AL57" i="11"/>
  <c r="AL12" i="11"/>
  <c r="P12" i="11" s="1"/>
  <c r="DO35" i="11"/>
  <c r="DO39" i="11"/>
  <c r="DO42" i="11"/>
  <c r="DO50" i="11"/>
  <c r="DN66" i="11"/>
  <c r="F66" i="11" s="1"/>
  <c r="AK68" i="11"/>
  <c r="DN70" i="11"/>
  <c r="F70" i="11" s="1"/>
  <c r="AK73" i="11"/>
  <c r="DN74" i="11"/>
  <c r="F74" i="11" s="1"/>
  <c r="DO13" i="11"/>
  <c r="AL15" i="11"/>
  <c r="AL32" i="11"/>
  <c r="M32" i="11" s="1"/>
  <c r="DO34" i="11"/>
  <c r="AL79" i="11"/>
  <c r="AK62" i="11"/>
  <c r="AK66" i="11"/>
  <c r="AK45" i="11"/>
  <c r="AK46" i="11"/>
  <c r="AK49" i="11"/>
  <c r="DN55" i="11"/>
  <c r="F55" i="11" s="1"/>
  <c r="AL62" i="11"/>
  <c r="P62" i="11" s="1"/>
  <c r="DO64" i="11"/>
  <c r="AL23" i="11"/>
  <c r="P23" i="11" s="1"/>
  <c r="DN14" i="11"/>
  <c r="F14" i="11" s="1"/>
  <c r="AK16" i="11"/>
  <c r="AK22" i="11"/>
  <c r="AK23" i="11"/>
  <c r="DN39" i="11"/>
  <c r="F39" i="11" s="1"/>
  <c r="DN42" i="11"/>
  <c r="F42" i="11" s="1"/>
  <c r="DN46" i="11"/>
  <c r="F46" i="11" s="1"/>
  <c r="DN50" i="11"/>
  <c r="F50" i="11" s="1"/>
  <c r="AK52" i="11"/>
  <c r="DN54" i="11"/>
  <c r="F54" i="11" s="1"/>
  <c r="AK56" i="11"/>
  <c r="DO59" i="11"/>
  <c r="DO75" i="11"/>
  <c r="AL84" i="11"/>
  <c r="DN24" i="12"/>
  <c r="AJ11" i="12"/>
  <c r="DM42" i="12"/>
  <c r="F42" i="12" s="1"/>
  <c r="AK21" i="12"/>
  <c r="AK22" i="12"/>
  <c r="DN27" i="12"/>
  <c r="AK29" i="12"/>
  <c r="AK38" i="12"/>
  <c r="DM70" i="12"/>
  <c r="F70" i="12" s="1"/>
  <c r="DM21" i="12"/>
  <c r="F21" i="12" s="1"/>
  <c r="DM41" i="12"/>
  <c r="F41" i="12" s="1"/>
  <c r="AL58" i="12"/>
  <c r="DN60" i="12"/>
  <c r="DN64" i="12"/>
  <c r="AK65" i="12"/>
  <c r="AK20" i="12"/>
  <c r="AK71" i="12"/>
  <c r="DM72" i="12"/>
  <c r="F72" i="12" s="1"/>
  <c r="DN56" i="12"/>
  <c r="DN13" i="12"/>
  <c r="DN37" i="12"/>
  <c r="AL39" i="12"/>
  <c r="P39" i="12" s="1"/>
  <c r="AK56" i="12"/>
  <c r="DN68" i="12"/>
  <c r="AK69" i="12"/>
  <c r="DN71" i="12"/>
  <c r="AL12" i="12"/>
  <c r="T31" i="11"/>
  <c r="DO70" i="11"/>
  <c r="DO44" i="11"/>
  <c r="AL58" i="11"/>
  <c r="P58" i="11" s="1"/>
  <c r="AL16" i="11"/>
  <c r="P16" i="11" s="1"/>
  <c r="DO18" i="11"/>
  <c r="DO24" i="11"/>
  <c r="AL37" i="11"/>
  <c r="M37" i="11" s="1"/>
  <c r="DN51" i="11"/>
  <c r="F51" i="11" s="1"/>
  <c r="AK57" i="11"/>
  <c r="AL66" i="11"/>
  <c r="DO25" i="11"/>
  <c r="DO31" i="11"/>
  <c r="AL33" i="11"/>
  <c r="AK74" i="11"/>
  <c r="DO76" i="11"/>
  <c r="AL13" i="11"/>
  <c r="M13" i="11" s="1"/>
  <c r="DO16" i="11"/>
  <c r="DO20" i="11"/>
  <c r="DO26" i="11"/>
  <c r="DN49" i="11"/>
  <c r="F49" i="11" s="1"/>
  <c r="DN67" i="11"/>
  <c r="F67" i="11" s="1"/>
  <c r="AK69" i="11"/>
  <c r="DN71" i="11"/>
  <c r="F71" i="11" s="1"/>
  <c r="AL74" i="11"/>
  <c r="M74" i="11" s="1"/>
  <c r="DN28" i="11"/>
  <c r="F28" i="11" s="1"/>
  <c r="AK41" i="11"/>
  <c r="AK15" i="11"/>
  <c r="DN25" i="11"/>
  <c r="F25" i="11" s="1"/>
  <c r="DO49" i="11"/>
  <c r="DN62" i="11"/>
  <c r="F62" i="11" s="1"/>
  <c r="DO67" i="11"/>
  <c r="AL69" i="11"/>
  <c r="P69" i="11" s="1"/>
  <c r="DO71" i="11"/>
  <c r="AL73" i="11"/>
  <c r="DN75" i="11"/>
  <c r="F75" i="11" s="1"/>
  <c r="AL77" i="11"/>
  <c r="M77" i="11" s="1"/>
  <c r="AK81" i="11"/>
  <c r="DN13" i="11"/>
  <c r="F13" i="11" s="1"/>
  <c r="DN17" i="11"/>
  <c r="F17" i="11" s="1"/>
  <c r="DO19" i="11"/>
  <c r="DN23" i="11"/>
  <c r="F23" i="11" s="1"/>
  <c r="AK24" i="11"/>
  <c r="DN26" i="11"/>
  <c r="F26" i="11" s="1"/>
  <c r="AK28" i="11"/>
  <c r="AL34" i="11"/>
  <c r="AL38" i="11"/>
  <c r="DO40" i="11"/>
  <c r="AL41" i="11"/>
  <c r="P41" i="11" s="1"/>
  <c r="AL42" i="11"/>
  <c r="DN43" i="11"/>
  <c r="F43" i="11" s="1"/>
  <c r="DO51" i="11"/>
  <c r="DO55" i="11"/>
  <c r="DN60" i="11"/>
  <c r="F60" i="11" s="1"/>
  <c r="DO61" i="11"/>
  <c r="DO68" i="11"/>
  <c r="AL70" i="11"/>
  <c r="DN72" i="11"/>
  <c r="F72" i="11" s="1"/>
  <c r="DO73" i="11"/>
  <c r="DN77" i="11"/>
  <c r="F77" i="11" s="1"/>
  <c r="AL80" i="11"/>
  <c r="DN11" i="11"/>
  <c r="F11" i="11" s="1"/>
  <c r="DO17" i="11"/>
  <c r="AL18" i="11"/>
  <c r="AI19" i="11"/>
  <c r="AK19" i="11" s="1"/>
  <c r="AL24" i="11"/>
  <c r="M24" i="11" s="1"/>
  <c r="AL27" i="11"/>
  <c r="M27" i="11" s="1"/>
  <c r="AL28" i="11"/>
  <c r="M28" i="11" s="1"/>
  <c r="AK32" i="11"/>
  <c r="DN38" i="11"/>
  <c r="F38" i="11" s="1"/>
  <c r="AK51" i="11"/>
  <c r="AK55" i="11"/>
  <c r="DN65" i="11"/>
  <c r="F65" i="11" s="1"/>
  <c r="DO81" i="11"/>
  <c r="AK13" i="11"/>
  <c r="DN16" i="11"/>
  <c r="F16" i="11" s="1"/>
  <c r="T19" i="11"/>
  <c r="DN24" i="11"/>
  <c r="F24" i="11" s="1"/>
  <c r="AK26" i="11"/>
  <c r="AK27" i="11"/>
  <c r="AK30" i="11"/>
  <c r="DO38" i="11"/>
  <c r="DO41" i="11"/>
  <c r="AL44" i="11"/>
  <c r="DN48" i="11"/>
  <c r="F48" i="11" s="1"/>
  <c r="AK67" i="11"/>
  <c r="AK77" i="11"/>
  <c r="DO80" i="11"/>
  <c r="AL82" i="11"/>
  <c r="AK12" i="11"/>
  <c r="DO15" i="11"/>
  <c r="AL26" i="11"/>
  <c r="M26" i="11" s="1"/>
  <c r="DO28" i="11"/>
  <c r="AJ31" i="11"/>
  <c r="DN32" i="11"/>
  <c r="F32" i="11" s="1"/>
  <c r="AK34" i="11"/>
  <c r="AK39" i="11"/>
  <c r="DN40" i="11"/>
  <c r="F40" i="11" s="1"/>
  <c r="AK42" i="11"/>
  <c r="DN47" i="11"/>
  <c r="F47" i="11" s="1"/>
  <c r="AL50" i="11"/>
  <c r="AK54" i="11"/>
  <c r="DO57" i="11"/>
  <c r="AL60" i="11"/>
  <c r="DO66" i="11"/>
  <c r="AL72" i="11"/>
  <c r="DN79" i="11"/>
  <c r="F79" i="11" s="1"/>
  <c r="DO9" i="11"/>
  <c r="AL11" i="11"/>
  <c r="M11" i="11" s="1"/>
  <c r="AK20" i="11"/>
  <c r="DN21" i="11"/>
  <c r="F21" i="11" s="1"/>
  <c r="DO22" i="11"/>
  <c r="DO23" i="11"/>
  <c r="DO27" i="11"/>
  <c r="AK38" i="11"/>
  <c r="DN44" i="11"/>
  <c r="F44" i="11" s="1"/>
  <c r="DO45" i="11"/>
  <c r="DO46" i="11"/>
  <c r="AK53" i="11"/>
  <c r="DN61" i="11"/>
  <c r="F61" i="11" s="1"/>
  <c r="AK65" i="11"/>
  <c r="AK70" i="11"/>
  <c r="DO74" i="11"/>
  <c r="DO78" i="11"/>
  <c r="AK80" i="11"/>
  <c r="DN64" i="11"/>
  <c r="F64" i="11" s="1"/>
  <c r="DO65" i="11"/>
  <c r="AK71" i="11"/>
  <c r="AK72" i="11"/>
  <c r="AL76" i="11"/>
  <c r="DN76" i="11"/>
  <c r="F76" i="11" s="1"/>
  <c r="DO79" i="11"/>
  <c r="AK82" i="11"/>
  <c r="DN10" i="11"/>
  <c r="F10" i="11" s="1"/>
  <c r="DO11" i="11"/>
  <c r="DO12" i="11"/>
  <c r="AK17" i="11"/>
  <c r="AK18" i="11"/>
  <c r="AL20" i="11"/>
  <c r="DN22" i="11"/>
  <c r="F22" i="11" s="1"/>
  <c r="DO29" i="11"/>
  <c r="AL30" i="11"/>
  <c r="M30" i="11" s="1"/>
  <c r="AK31" i="11"/>
  <c r="DN34" i="11"/>
  <c r="F34" i="11" s="1"/>
  <c r="DN35" i="11"/>
  <c r="F35" i="11" s="1"/>
  <c r="DO36" i="11"/>
  <c r="DO37" i="11"/>
  <c r="AL43" i="11"/>
  <c r="M43" i="11" s="1"/>
  <c r="DN45" i="11"/>
  <c r="F45" i="11" s="1"/>
  <c r="DO52" i="11"/>
  <c r="AL53" i="11"/>
  <c r="P53" i="11" s="1"/>
  <c r="AL55" i="11"/>
  <c r="AL56" i="11"/>
  <c r="AL29" i="11"/>
  <c r="M29" i="11" s="1"/>
  <c r="DN31" i="11"/>
  <c r="F31" i="11" s="1"/>
  <c r="DO32" i="11"/>
  <c r="DO33" i="11"/>
  <c r="AK37" i="11"/>
  <c r="AL39" i="11"/>
  <c r="DN41" i="11"/>
  <c r="F41" i="11" s="1"/>
  <c r="DO48" i="11"/>
  <c r="AL49" i="11"/>
  <c r="AL51" i="11"/>
  <c r="AL52" i="11"/>
  <c r="M52" i="11" s="1"/>
  <c r="DN57" i="11"/>
  <c r="F57" i="11" s="1"/>
  <c r="DO60" i="11"/>
  <c r="AL65" i="11"/>
  <c r="AL67" i="11"/>
  <c r="P67" i="11" s="1"/>
  <c r="AL68" i="11"/>
  <c r="DN73" i="11"/>
  <c r="F73" i="11" s="1"/>
  <c r="AL78" i="11"/>
  <c r="M78" i="11" s="1"/>
  <c r="AK79" i="11"/>
  <c r="AL14" i="11"/>
  <c r="P14" i="11" s="1"/>
  <c r="AL17" i="11"/>
  <c r="DN33" i="11"/>
  <c r="F33" i="11" s="1"/>
  <c r="AK47" i="11"/>
  <c r="AK48" i="11"/>
  <c r="DO58" i="11"/>
  <c r="DO62" i="11"/>
  <c r="AK63" i="11"/>
  <c r="AK64" i="11"/>
  <c r="DO14" i="11"/>
  <c r="DN9" i="11"/>
  <c r="F9" i="11" s="1"/>
  <c r="AK10" i="11"/>
  <c r="DN18" i="11"/>
  <c r="F18" i="11" s="1"/>
  <c r="DN19" i="11"/>
  <c r="F19" i="11" s="1"/>
  <c r="DN20" i="11"/>
  <c r="F20" i="11" s="1"/>
  <c r="DO21" i="11"/>
  <c r="AL22" i="11"/>
  <c r="AL25" i="11"/>
  <c r="P25" i="11" s="1"/>
  <c r="DN30" i="11"/>
  <c r="F30" i="11" s="1"/>
  <c r="AK33" i="11"/>
  <c r="AL35" i="11"/>
  <c r="AL36" i="11"/>
  <c r="P36" i="11" s="1"/>
  <c r="AL45" i="11"/>
  <c r="M45" i="11" s="1"/>
  <c r="AL47" i="11"/>
  <c r="M47" i="11" s="1"/>
  <c r="AL48" i="11"/>
  <c r="M48" i="11" s="1"/>
  <c r="DN53" i="11"/>
  <c r="F53" i="11" s="1"/>
  <c r="DO56" i="11"/>
  <c r="AL61" i="11"/>
  <c r="AL63" i="11"/>
  <c r="P63" i="11" s="1"/>
  <c r="AL64" i="11"/>
  <c r="M64" i="11" s="1"/>
  <c r="DN69" i="11"/>
  <c r="F69" i="11" s="1"/>
  <c r="DO72" i="11"/>
  <c r="DO82" i="11"/>
  <c r="DO84" i="11"/>
  <c r="DN37" i="11"/>
  <c r="F37" i="11" s="1"/>
  <c r="AL10" i="11"/>
  <c r="P10" i="11" s="1"/>
  <c r="DN15" i="11"/>
  <c r="F15" i="11" s="1"/>
  <c r="DN29" i="11"/>
  <c r="F29" i="11" s="1"/>
  <c r="DO30" i="11"/>
  <c r="AK36" i="11"/>
  <c r="AK43" i="11"/>
  <c r="AK44" i="11"/>
  <c r="DN52" i="11"/>
  <c r="F52" i="11" s="1"/>
  <c r="DO53" i="11"/>
  <c r="DO54" i="11"/>
  <c r="AK59" i="11"/>
  <c r="AK60" i="11"/>
  <c r="DN68" i="11"/>
  <c r="F68" i="11" s="1"/>
  <c r="DO69" i="11"/>
  <c r="AK75" i="11"/>
  <c r="DN80" i="11"/>
  <c r="F80" i="11" s="1"/>
  <c r="DO83" i="11"/>
  <c r="AK18" i="12"/>
  <c r="DM20" i="12"/>
  <c r="F20" i="12" s="1"/>
  <c r="DN20" i="12"/>
  <c r="AL21" i="12"/>
  <c r="AK16" i="12"/>
  <c r="DM19" i="12"/>
  <c r="F19" i="12" s="1"/>
  <c r="AK12" i="12"/>
  <c r="AK45" i="12"/>
  <c r="AK47" i="12"/>
  <c r="AL71" i="12"/>
  <c r="DN35" i="12"/>
  <c r="DM10" i="12"/>
  <c r="F10" i="12" s="1"/>
  <c r="DM13" i="12"/>
  <c r="F13" i="12" s="1"/>
  <c r="AL19" i="12"/>
  <c r="AK27" i="12"/>
  <c r="AK9" i="12"/>
  <c r="DN11" i="12"/>
  <c r="DN12" i="12"/>
  <c r="AL32" i="12"/>
  <c r="DM40" i="12"/>
  <c r="F40" i="12" s="1"/>
  <c r="AL43" i="12"/>
  <c r="DN45" i="12"/>
  <c r="DM48" i="12"/>
  <c r="F48" i="12" s="1"/>
  <c r="DM51" i="12"/>
  <c r="F51" i="12" s="1"/>
  <c r="DN55" i="12"/>
  <c r="AL57" i="12"/>
  <c r="DN23" i="12"/>
  <c r="DN26" i="12"/>
  <c r="AK35" i="12"/>
  <c r="AK37" i="12"/>
  <c r="AL38" i="12"/>
  <c r="AK59" i="12"/>
  <c r="DM62" i="12"/>
  <c r="F62" i="12" s="1"/>
  <c r="AK63" i="12"/>
  <c r="AK68" i="12"/>
  <c r="AK19" i="12"/>
  <c r="DN22" i="12"/>
  <c r="AL28" i="12"/>
  <c r="AK48" i="12"/>
  <c r="DN70" i="12"/>
  <c r="DN9" i="12"/>
  <c r="AL10" i="12"/>
  <c r="P10" i="12" s="1"/>
  <c r="DM11" i="12"/>
  <c r="F11" i="12" s="1"/>
  <c r="DM12" i="12"/>
  <c r="DN16" i="12"/>
  <c r="AL18" i="12"/>
  <c r="AL26" i="12"/>
  <c r="M26" i="12" s="1"/>
  <c r="DN38" i="12"/>
  <c r="AK43" i="12"/>
  <c r="DN49" i="12"/>
  <c r="DN51" i="12"/>
  <c r="AK57" i="12"/>
  <c r="AK61" i="12"/>
  <c r="AL65" i="12"/>
  <c r="AL44" i="12"/>
  <c r="M44" i="12" s="1"/>
  <c r="AK53" i="12"/>
  <c r="DM57" i="12"/>
  <c r="F57" i="12" s="1"/>
  <c r="AK58" i="12"/>
  <c r="AK62" i="12"/>
  <c r="DM65" i="12"/>
  <c r="F65" i="12" s="1"/>
  <c r="AL68" i="12"/>
  <c r="AK72" i="12"/>
  <c r="AK32" i="12"/>
  <c r="AK39" i="12"/>
  <c r="AL50" i="12"/>
  <c r="AK31" i="12"/>
  <c r="AL25" i="12"/>
  <c r="AL42" i="12"/>
  <c r="M42" i="12" s="1"/>
  <c r="DM47" i="12"/>
  <c r="F47" i="12" s="1"/>
  <c r="DN48" i="12"/>
  <c r="DM55" i="12"/>
  <c r="F55" i="12" s="1"/>
  <c r="DN14" i="12"/>
  <c r="DN15" i="12"/>
  <c r="AL16" i="12"/>
  <c r="DN25" i="12"/>
  <c r="AL27" i="12"/>
  <c r="AK28" i="12"/>
  <c r="DM30" i="12"/>
  <c r="F30" i="12" s="1"/>
  <c r="DM31" i="12"/>
  <c r="F31" i="12" s="1"/>
  <c r="DM32" i="12"/>
  <c r="DM39" i="12"/>
  <c r="F39" i="12" s="1"/>
  <c r="AK41" i="12"/>
  <c r="DN44" i="12"/>
  <c r="DN47" i="12"/>
  <c r="DM50" i="12"/>
  <c r="F50" i="12" s="1"/>
  <c r="AK51" i="12"/>
  <c r="DM59" i="12"/>
  <c r="F59" i="12" s="1"/>
  <c r="AK60" i="12"/>
  <c r="DM63" i="12"/>
  <c r="F63" i="12" s="1"/>
  <c r="AK64" i="12"/>
  <c r="DN69" i="12"/>
  <c r="AK70" i="12"/>
  <c r="AL13" i="12"/>
  <c r="DM14" i="12"/>
  <c r="F14" i="12" s="1"/>
  <c r="AK15" i="12"/>
  <c r="DN21" i="12"/>
  <c r="AL23" i="12"/>
  <c r="AL24" i="12"/>
  <c r="DM29" i="12"/>
  <c r="F29" i="12" s="1"/>
  <c r="DN30" i="12"/>
  <c r="AL35" i="12"/>
  <c r="P35" i="12" s="1"/>
  <c r="DM38" i="12"/>
  <c r="F38" i="12" s="1"/>
  <c r="DN39" i="12"/>
  <c r="DM46" i="12"/>
  <c r="F46" i="12" s="1"/>
  <c r="AL51" i="12"/>
  <c r="DN53" i="12"/>
  <c r="AK55" i="12"/>
  <c r="DN58" i="12"/>
  <c r="AL60" i="12"/>
  <c r="DN62" i="12"/>
  <c r="AL64" i="12"/>
  <c r="AL70" i="12"/>
  <c r="AL22" i="12"/>
  <c r="P22" i="12" s="1"/>
  <c r="AI25" i="12"/>
  <c r="AK25" i="12" s="1"/>
  <c r="DM26" i="12"/>
  <c r="F26" i="12" s="1"/>
  <c r="DM27" i="12"/>
  <c r="F27" i="12" s="1"/>
  <c r="DM28" i="12"/>
  <c r="F28" i="12" s="1"/>
  <c r="AL41" i="12"/>
  <c r="DN17" i="12"/>
  <c r="DM24" i="12"/>
  <c r="F24" i="12" s="1"/>
  <c r="AK33" i="12"/>
  <c r="DM36" i="12"/>
  <c r="F36" i="12" s="1"/>
  <c r="AK49" i="12"/>
  <c r="DN50" i="12"/>
  <c r="DN59" i="12"/>
  <c r="DN63" i="12"/>
  <c r="AI50" i="12"/>
  <c r="AK50" i="12" s="1"/>
  <c r="AK17" i="12"/>
  <c r="DN31" i="12"/>
  <c r="AL33" i="12"/>
  <c r="P33" i="12" s="1"/>
  <c r="AL45" i="12"/>
  <c r="DN54" i="12"/>
  <c r="AL56" i="12"/>
  <c r="AL15" i="12"/>
  <c r="DN29" i="12"/>
  <c r="DM49" i="12"/>
  <c r="F49" i="12" s="1"/>
  <c r="DN52" i="12"/>
  <c r="DN57" i="12"/>
  <c r="AL59" i="12"/>
  <c r="DN61" i="12"/>
  <c r="AL63" i="12"/>
  <c r="DN65" i="12"/>
  <c r="AL72" i="12"/>
  <c r="AK42" i="12"/>
  <c r="AK52" i="12"/>
  <c r="AL53" i="12"/>
  <c r="AL54" i="12"/>
  <c r="M54" i="12" s="1"/>
  <c r="AL55" i="12"/>
  <c r="AL61" i="12"/>
  <c r="M61" i="12" s="1"/>
  <c r="AL62" i="12"/>
  <c r="AL69" i="12"/>
  <c r="AL17" i="12"/>
  <c r="AL20" i="12"/>
  <c r="P20" i="12" s="1"/>
  <c r="DM22" i="12"/>
  <c r="F22" i="12" s="1"/>
  <c r="DM25" i="12"/>
  <c r="F25" i="12" s="1"/>
  <c r="AK26" i="12"/>
  <c r="DN28" i="12"/>
  <c r="AL29" i="12"/>
  <c r="AL30" i="12"/>
  <c r="M30" i="12" s="1"/>
  <c r="AL31" i="12"/>
  <c r="DM35" i="12"/>
  <c r="F35" i="12" s="1"/>
  <c r="DN36" i="12"/>
  <c r="AL37" i="12"/>
  <c r="DM44" i="12"/>
  <c r="F44" i="12" s="1"/>
  <c r="DM45" i="12"/>
  <c r="F45" i="12" s="1"/>
  <c r="DN46" i="12"/>
  <c r="AL47" i="12"/>
  <c r="AL48" i="12"/>
  <c r="M48" i="12" s="1"/>
  <c r="AL49" i="12"/>
  <c r="AL52" i="12"/>
  <c r="P52" i="12" s="1"/>
  <c r="DM9" i="12"/>
  <c r="F9" i="12" s="1"/>
  <c r="DN10" i="12"/>
  <c r="DM18" i="12"/>
  <c r="F18" i="12" s="1"/>
  <c r="DN32" i="12"/>
  <c r="DN33" i="12"/>
  <c r="DN40" i="12"/>
  <c r="DN41" i="12"/>
  <c r="DN42" i="12"/>
  <c r="DN43" i="12"/>
  <c r="DN72" i="12"/>
  <c r="AL14" i="12"/>
  <c r="DM15" i="12"/>
  <c r="F15" i="12" s="1"/>
  <c r="DM17" i="12"/>
  <c r="F17" i="12" s="1"/>
  <c r="DN18" i="12"/>
  <c r="DN19" i="12"/>
  <c r="AK24" i="12"/>
  <c r="DM33" i="12"/>
  <c r="F33" i="12" s="1"/>
  <c r="DM43" i="12"/>
  <c r="F43" i="12" s="1"/>
  <c r="AK44" i="12"/>
  <c r="DM52" i="12"/>
  <c r="F52" i="12" s="1"/>
  <c r="DM53" i="12"/>
  <c r="F53" i="12" s="1"/>
  <c r="DM54" i="12"/>
  <c r="F54" i="12" s="1"/>
  <c r="DM60" i="12"/>
  <c r="F60" i="12" s="1"/>
  <c r="DM61" i="12"/>
  <c r="F61" i="12" s="1"/>
  <c r="DM64" i="12"/>
  <c r="F64" i="12" s="1"/>
  <c r="AL40" i="12"/>
  <c r="M40" i="12" s="1"/>
  <c r="AL36" i="12"/>
  <c r="M36" i="12" s="1"/>
  <c r="AL46" i="12"/>
  <c r="BQ71" i="12"/>
  <c r="AL9" i="12"/>
  <c r="P9" i="12" s="1"/>
  <c r="AK13" i="12"/>
  <c r="BJ16" i="12"/>
  <c r="AI36" i="12"/>
  <c r="AK36" i="12" s="1"/>
  <c r="AI46" i="12"/>
  <c r="AK46" i="12" s="1"/>
  <c r="AK10" i="12"/>
  <c r="T36" i="12"/>
  <c r="T46" i="12"/>
  <c r="AI11" i="12"/>
  <c r="AK11" i="12" s="1"/>
  <c r="T14" i="12"/>
  <c r="T25" i="12"/>
  <c r="AI40" i="12"/>
  <c r="AK40" i="12" s="1"/>
  <c r="T11" i="12"/>
  <c r="T40" i="12"/>
  <c r="T50" i="12"/>
  <c r="AL40" i="11"/>
  <c r="BK81" i="11"/>
  <c r="BK7" i="11" s="1"/>
  <c r="AK9" i="11"/>
  <c r="AI21" i="11"/>
  <c r="AI40" i="11"/>
  <c r="AK40" i="11" s="1"/>
  <c r="AL9" i="11"/>
  <c r="DO10" i="11"/>
  <c r="T21" i="11"/>
  <c r="AJ21" i="11"/>
  <c r="T40" i="11"/>
  <c r="AI76" i="11"/>
  <c r="AK76" i="11" s="1"/>
  <c r="T76" i="11"/>
  <c r="DL81" i="11"/>
  <c r="I11" i="26" l="1"/>
  <c r="I47" i="26" s="1"/>
  <c r="F32" i="12"/>
  <c r="AX2" i="12"/>
  <c r="M30" i="26"/>
  <c r="G7" i="11"/>
  <c r="AA48" i="26"/>
  <c r="AE48" i="26"/>
  <c r="W48" i="26"/>
  <c r="AG48" i="26"/>
  <c r="O48" i="26"/>
  <c r="AC48" i="26"/>
  <c r="Q48" i="26"/>
  <c r="U48" i="26"/>
  <c r="S48" i="26"/>
  <c r="Y48" i="26"/>
  <c r="G12" i="26"/>
  <c r="I12" i="26" s="1"/>
  <c r="AI12" i="26"/>
  <c r="K48" i="26"/>
  <c r="G47" i="26"/>
  <c r="N7" i="14"/>
  <c r="N7" i="13"/>
  <c r="O7" i="14"/>
  <c r="M7" i="14"/>
  <c r="DM68" i="12"/>
  <c r="F68" i="12" s="1"/>
  <c r="H49" i="12"/>
  <c r="L49" i="12"/>
  <c r="H55" i="12"/>
  <c r="L55" i="12"/>
  <c r="H70" i="12"/>
  <c r="L70" i="12"/>
  <c r="L50" i="12"/>
  <c r="N50" i="12" s="1"/>
  <c r="H50" i="12"/>
  <c r="L68" i="12"/>
  <c r="L65" i="12"/>
  <c r="H65" i="12"/>
  <c r="L26" i="12"/>
  <c r="H26" i="12"/>
  <c r="H12" i="12"/>
  <c r="L12" i="12"/>
  <c r="M22" i="12"/>
  <c r="H20" i="12"/>
  <c r="L20" i="12"/>
  <c r="N20" i="12" s="1"/>
  <c r="L54" i="12"/>
  <c r="H54" i="12"/>
  <c r="H63" i="12"/>
  <c r="L63" i="12"/>
  <c r="N63" i="12" s="1"/>
  <c r="H56" i="12"/>
  <c r="L56" i="12"/>
  <c r="H64" i="12"/>
  <c r="L64" i="12"/>
  <c r="N64" i="12" s="1"/>
  <c r="H51" i="12"/>
  <c r="L51" i="12"/>
  <c r="H24" i="12"/>
  <c r="L24" i="12"/>
  <c r="N24" i="12" s="1"/>
  <c r="L18" i="12"/>
  <c r="N18" i="12" s="1"/>
  <c r="H18" i="12"/>
  <c r="L43" i="12"/>
  <c r="H43" i="12"/>
  <c r="M10" i="12"/>
  <c r="P36" i="12"/>
  <c r="M33" i="12"/>
  <c r="M50" i="12"/>
  <c r="H48" i="12"/>
  <c r="L48" i="12"/>
  <c r="L47" i="12"/>
  <c r="H47" i="12"/>
  <c r="H31" i="12"/>
  <c r="L31" i="12"/>
  <c r="L17" i="12"/>
  <c r="H17" i="12"/>
  <c r="L53" i="12"/>
  <c r="H53" i="12"/>
  <c r="L22" i="12"/>
  <c r="N22" i="12" s="1"/>
  <c r="H22" i="12"/>
  <c r="H23" i="12"/>
  <c r="L23" i="12"/>
  <c r="N23" i="12" s="1"/>
  <c r="H19" i="12"/>
  <c r="L19" i="12"/>
  <c r="M18" i="12"/>
  <c r="P50" i="12"/>
  <c r="L46" i="12"/>
  <c r="N46" i="12" s="1"/>
  <c r="H46" i="12"/>
  <c r="L9" i="12"/>
  <c r="N9" i="12" s="1"/>
  <c r="H9" i="12"/>
  <c r="L14" i="12"/>
  <c r="N14" i="12" s="1"/>
  <c r="H14" i="12"/>
  <c r="L30" i="12"/>
  <c r="H30" i="12"/>
  <c r="H15" i="12"/>
  <c r="L15" i="12"/>
  <c r="H45" i="12"/>
  <c r="L45" i="12"/>
  <c r="H27" i="12"/>
  <c r="L27" i="12"/>
  <c r="P18" i="12"/>
  <c r="P23" i="12"/>
  <c r="M14" i="12"/>
  <c r="L29" i="12"/>
  <c r="H29" i="12"/>
  <c r="H69" i="12"/>
  <c r="L69" i="12"/>
  <c r="H33" i="12"/>
  <c r="L33" i="12"/>
  <c r="N33" i="12" s="1"/>
  <c r="L42" i="12"/>
  <c r="H42" i="12"/>
  <c r="F12" i="12"/>
  <c r="H28" i="12"/>
  <c r="L28" i="12"/>
  <c r="L57" i="12"/>
  <c r="H57" i="12"/>
  <c r="H32" i="12"/>
  <c r="L32" i="12"/>
  <c r="P61" i="12"/>
  <c r="M35" i="12"/>
  <c r="M23" i="12"/>
  <c r="P14" i="12"/>
  <c r="H36" i="12"/>
  <c r="L36" i="12"/>
  <c r="N36" i="12" s="1"/>
  <c r="L62" i="12"/>
  <c r="H62" i="12"/>
  <c r="H59" i="12"/>
  <c r="L59" i="12"/>
  <c r="H41" i="12"/>
  <c r="L41" i="12"/>
  <c r="H60" i="12"/>
  <c r="L60" i="12"/>
  <c r="H16" i="12"/>
  <c r="L16" i="12"/>
  <c r="L39" i="12"/>
  <c r="N39" i="12" s="1"/>
  <c r="H39" i="12"/>
  <c r="AL11" i="12"/>
  <c r="M11" i="12" s="1"/>
  <c r="P46" i="12"/>
  <c r="P63" i="12"/>
  <c r="M52" i="12"/>
  <c r="M24" i="12"/>
  <c r="P44" i="12"/>
  <c r="M64" i="12"/>
  <c r="H37" i="12"/>
  <c r="L37" i="12"/>
  <c r="L61" i="12"/>
  <c r="N61" i="12" s="1"/>
  <c r="H61" i="12"/>
  <c r="L35" i="12"/>
  <c r="N35" i="12" s="1"/>
  <c r="H35" i="12"/>
  <c r="H25" i="12"/>
  <c r="L25" i="12"/>
  <c r="N25" i="12" s="1"/>
  <c r="L10" i="12"/>
  <c r="N10" i="12" s="1"/>
  <c r="H10" i="12"/>
  <c r="L71" i="12"/>
  <c r="H71" i="12"/>
  <c r="L21" i="12"/>
  <c r="H21" i="12"/>
  <c r="M46" i="12"/>
  <c r="M63" i="12"/>
  <c r="P24" i="12"/>
  <c r="P64" i="12"/>
  <c r="P25" i="12"/>
  <c r="H40" i="12"/>
  <c r="L40" i="12"/>
  <c r="N40" i="12" s="1"/>
  <c r="H52" i="12"/>
  <c r="L52" i="12"/>
  <c r="N52" i="12" s="1"/>
  <c r="L72" i="12"/>
  <c r="H72" i="12"/>
  <c r="L13" i="12"/>
  <c r="H13" i="12"/>
  <c r="H44" i="12"/>
  <c r="L44" i="12"/>
  <c r="N44" i="12" s="1"/>
  <c r="H38" i="12"/>
  <c r="L38" i="12"/>
  <c r="L58" i="12"/>
  <c r="H58" i="12"/>
  <c r="M9" i="12"/>
  <c r="M39" i="12"/>
  <c r="M20" i="12"/>
  <c r="P40" i="12"/>
  <c r="M25" i="12"/>
  <c r="T7" i="11"/>
  <c r="M63" i="11"/>
  <c r="M12" i="11"/>
  <c r="M10" i="11"/>
  <c r="P48" i="11"/>
  <c r="P47" i="11"/>
  <c r="P78" i="11"/>
  <c r="P26" i="11"/>
  <c r="P29" i="11"/>
  <c r="P30" i="11"/>
  <c r="P74" i="11"/>
  <c r="P28" i="11"/>
  <c r="P64" i="11"/>
  <c r="M14" i="11"/>
  <c r="M16" i="11"/>
  <c r="H9" i="11"/>
  <c r="L9" i="11"/>
  <c r="N9" i="11" s="1"/>
  <c r="H40" i="11"/>
  <c r="L40" i="11"/>
  <c r="N40" i="11" s="1"/>
  <c r="L61" i="11"/>
  <c r="N61" i="11" s="1"/>
  <c r="H61" i="11"/>
  <c r="L68" i="11"/>
  <c r="N68" i="11" s="1"/>
  <c r="H68" i="11"/>
  <c r="H56" i="11"/>
  <c r="L56" i="11"/>
  <c r="N56" i="11" s="1"/>
  <c r="AL31" i="11"/>
  <c r="M31" i="11" s="1"/>
  <c r="H18" i="11"/>
  <c r="L18" i="11"/>
  <c r="N18" i="11" s="1"/>
  <c r="L38" i="11"/>
  <c r="H38" i="11"/>
  <c r="H62" i="11"/>
  <c r="L62" i="11"/>
  <c r="N62" i="11" s="1"/>
  <c r="L54" i="11"/>
  <c r="N54" i="11" s="1"/>
  <c r="H54" i="11"/>
  <c r="P9" i="11"/>
  <c r="M61" i="11"/>
  <c r="M68" i="11"/>
  <c r="H39" i="11"/>
  <c r="L39" i="11"/>
  <c r="N39" i="11" s="1"/>
  <c r="L53" i="11"/>
  <c r="N53" i="11" s="1"/>
  <c r="H53" i="11"/>
  <c r="H80" i="11"/>
  <c r="L80" i="11"/>
  <c r="H48" i="11"/>
  <c r="L48" i="11"/>
  <c r="N48" i="11" s="1"/>
  <c r="L22" i="11"/>
  <c r="N22" i="11" s="1"/>
  <c r="H22" i="11"/>
  <c r="L17" i="11"/>
  <c r="N17" i="11" s="1"/>
  <c r="H17" i="11"/>
  <c r="H30" i="11"/>
  <c r="L30" i="11"/>
  <c r="N30" i="11" s="1"/>
  <c r="H76" i="11"/>
  <c r="L76" i="11"/>
  <c r="N76" i="11" s="1"/>
  <c r="H44" i="11"/>
  <c r="L44" i="11"/>
  <c r="H58" i="11"/>
  <c r="L58" i="11"/>
  <c r="N58" i="11" s="1"/>
  <c r="L75" i="11"/>
  <c r="N75" i="11" s="1"/>
  <c r="H75" i="11"/>
  <c r="M62" i="11"/>
  <c r="P27" i="11"/>
  <c r="P75" i="11"/>
  <c r="P43" i="11"/>
  <c r="P40" i="11"/>
  <c r="H83" i="11"/>
  <c r="O83" i="11" s="1"/>
  <c r="L25" i="11"/>
  <c r="N25" i="11" s="1"/>
  <c r="H25" i="11"/>
  <c r="L65" i="11"/>
  <c r="H65" i="11"/>
  <c r="H26" i="11"/>
  <c r="L26" i="11"/>
  <c r="N26" i="11" s="1"/>
  <c r="H16" i="11"/>
  <c r="L16" i="11"/>
  <c r="N16" i="11" s="1"/>
  <c r="H15" i="11"/>
  <c r="L15" i="11"/>
  <c r="N15" i="11" s="1"/>
  <c r="M53" i="11"/>
  <c r="H47" i="11"/>
  <c r="L47" i="11"/>
  <c r="N47" i="11" s="1"/>
  <c r="H14" i="11"/>
  <c r="L14" i="11"/>
  <c r="N14" i="11" s="1"/>
  <c r="H72" i="11"/>
  <c r="L72" i="11"/>
  <c r="N72" i="11" s="1"/>
  <c r="H28" i="11"/>
  <c r="L28" i="11"/>
  <c r="N28" i="11" s="1"/>
  <c r="L73" i="11"/>
  <c r="N73" i="11" s="1"/>
  <c r="H73" i="11"/>
  <c r="H66" i="11"/>
  <c r="L66" i="11"/>
  <c r="L84" i="11"/>
  <c r="H84" i="11"/>
  <c r="L59" i="11"/>
  <c r="H59" i="11"/>
  <c r="M58" i="11"/>
  <c r="P24" i="11"/>
  <c r="M75" i="11"/>
  <c r="M25" i="11"/>
  <c r="M40" i="11"/>
  <c r="P83" i="11"/>
  <c r="P45" i="11"/>
  <c r="M76" i="11"/>
  <c r="P73" i="11"/>
  <c r="H55" i="11"/>
  <c r="L55" i="11"/>
  <c r="N55" i="11" s="1"/>
  <c r="H50" i="11"/>
  <c r="L50" i="11"/>
  <c r="H34" i="11"/>
  <c r="L34" i="11"/>
  <c r="L33" i="11"/>
  <c r="H33" i="11"/>
  <c r="L81" i="11"/>
  <c r="L77" i="11"/>
  <c r="N77" i="11" s="1"/>
  <c r="H77" i="11"/>
  <c r="L52" i="11"/>
  <c r="N52" i="11" s="1"/>
  <c r="H52" i="11"/>
  <c r="L43" i="11"/>
  <c r="N43" i="11" s="1"/>
  <c r="H43" i="11"/>
  <c r="L27" i="11"/>
  <c r="N27" i="11" s="1"/>
  <c r="H27" i="11"/>
  <c r="H42" i="11"/>
  <c r="L42" i="11"/>
  <c r="H12" i="11"/>
  <c r="L12" i="11"/>
  <c r="N12" i="11" s="1"/>
  <c r="P55" i="11"/>
  <c r="P15" i="11"/>
  <c r="P72" i="11"/>
  <c r="P56" i="11"/>
  <c r="P37" i="11"/>
  <c r="P76" i="11"/>
  <c r="M73" i="11"/>
  <c r="H67" i="11"/>
  <c r="L67" i="11"/>
  <c r="N67" i="11" s="1"/>
  <c r="L11" i="11"/>
  <c r="N11" i="11" s="1"/>
  <c r="H11" i="11"/>
  <c r="H32" i="11"/>
  <c r="L32" i="11"/>
  <c r="N32" i="11" s="1"/>
  <c r="H46" i="11"/>
  <c r="L46" i="11"/>
  <c r="P77" i="11"/>
  <c r="L45" i="11"/>
  <c r="N45" i="11" s="1"/>
  <c r="H45" i="11"/>
  <c r="H10" i="11"/>
  <c r="L10" i="11"/>
  <c r="N10" i="11" s="1"/>
  <c r="H64" i="11"/>
  <c r="L64" i="11"/>
  <c r="N64" i="11" s="1"/>
  <c r="L36" i="11"/>
  <c r="N36" i="11" s="1"/>
  <c r="H36" i="11"/>
  <c r="H78" i="11"/>
  <c r="L78" i="11"/>
  <c r="N78" i="11" s="1"/>
  <c r="H51" i="11"/>
  <c r="L51" i="11"/>
  <c r="L20" i="11"/>
  <c r="N20" i="11" s="1"/>
  <c r="H20" i="11"/>
  <c r="H60" i="11"/>
  <c r="L60" i="11"/>
  <c r="H82" i="11"/>
  <c r="L82" i="11"/>
  <c r="H24" i="11"/>
  <c r="L24" i="11"/>
  <c r="N24" i="11" s="1"/>
  <c r="L70" i="11"/>
  <c r="N70" i="11" s="1"/>
  <c r="H70" i="11"/>
  <c r="L41" i="11"/>
  <c r="N41" i="11" s="1"/>
  <c r="H41" i="11"/>
  <c r="L69" i="11"/>
  <c r="N69" i="11" s="1"/>
  <c r="H69" i="11"/>
  <c r="H74" i="11"/>
  <c r="L74" i="11"/>
  <c r="N74" i="11" s="1"/>
  <c r="L13" i="11"/>
  <c r="N13" i="11" s="1"/>
  <c r="H13" i="11"/>
  <c r="H23" i="11"/>
  <c r="L23" i="11"/>
  <c r="N23" i="11" s="1"/>
  <c r="L57" i="11"/>
  <c r="H57" i="11"/>
  <c r="H71" i="11"/>
  <c r="L71" i="11"/>
  <c r="N71" i="11" s="1"/>
  <c r="P70" i="11"/>
  <c r="P54" i="11"/>
  <c r="P39" i="11"/>
  <c r="M18" i="11"/>
  <c r="M69" i="11"/>
  <c r="M23" i="11"/>
  <c r="M71" i="11"/>
  <c r="M55" i="11"/>
  <c r="M36" i="11"/>
  <c r="M15" i="11"/>
  <c r="M41" i="11"/>
  <c r="P22" i="11"/>
  <c r="M72" i="11"/>
  <c r="M56" i="11"/>
  <c r="P20" i="11"/>
  <c r="M17" i="11"/>
  <c r="H63" i="11"/>
  <c r="L63" i="11"/>
  <c r="N63" i="11" s="1"/>
  <c r="H35" i="11"/>
  <c r="L35" i="11"/>
  <c r="L49" i="11"/>
  <c r="H49" i="11"/>
  <c r="L29" i="11"/>
  <c r="N29" i="11" s="1"/>
  <c r="H29" i="11"/>
  <c r="L37" i="11"/>
  <c r="N37" i="11" s="1"/>
  <c r="H37" i="11"/>
  <c r="H79" i="11"/>
  <c r="L79" i="11"/>
  <c r="AJ7" i="11"/>
  <c r="M70" i="11"/>
  <c r="M54" i="11"/>
  <c r="M39" i="11"/>
  <c r="P18" i="11"/>
  <c r="M9" i="11"/>
  <c r="P61" i="11"/>
  <c r="M67" i="11"/>
  <c r="P32" i="11"/>
  <c r="P11" i="11"/>
  <c r="P13" i="11"/>
  <c r="M22" i="11"/>
  <c r="P68" i="11"/>
  <c r="P52" i="11"/>
  <c r="M20" i="11"/>
  <c r="P17" i="11"/>
  <c r="O7" i="13"/>
  <c r="M7" i="13"/>
  <c r="DL7" i="11"/>
  <c r="DO7" i="11"/>
  <c r="AL19" i="11"/>
  <c r="M19" i="11" s="1"/>
  <c r="AI7" i="11"/>
  <c r="DN81" i="11"/>
  <c r="F81" i="11" s="1"/>
  <c r="F7" i="11" s="1"/>
  <c r="F2" i="11" s="1"/>
  <c r="AL21" i="11"/>
  <c r="M21" i="11" s="1"/>
  <c r="AK21" i="11"/>
  <c r="G30" i="26" l="1"/>
  <c r="I30" i="26" s="1"/>
  <c r="M48" i="26"/>
  <c r="AI30" i="26"/>
  <c r="O22" i="11"/>
  <c r="O68" i="11"/>
  <c r="O17" i="11"/>
  <c r="O53" i="11"/>
  <c r="O61" i="11"/>
  <c r="O18" i="11"/>
  <c r="O41" i="11"/>
  <c r="O36" i="11"/>
  <c r="O52" i="11"/>
  <c r="O54" i="11"/>
  <c r="O11" i="11"/>
  <c r="O75" i="11"/>
  <c r="O61" i="12"/>
  <c r="O10" i="12"/>
  <c r="O22" i="12"/>
  <c r="O74" i="11"/>
  <c r="O24" i="12"/>
  <c r="O25" i="11"/>
  <c r="O62" i="11"/>
  <c r="O63" i="11"/>
  <c r="O63" i="12"/>
  <c r="O36" i="12"/>
  <c r="O23" i="12"/>
  <c r="O33" i="12"/>
  <c r="O46" i="12"/>
  <c r="O64" i="11"/>
  <c r="O78" i="11"/>
  <c r="O14" i="11"/>
  <c r="O40" i="12"/>
  <c r="O47" i="11"/>
  <c r="O71" i="11"/>
  <c r="O24" i="11"/>
  <c r="O44" i="12"/>
  <c r="O28" i="11"/>
  <c r="O10" i="11"/>
  <c r="O39" i="12"/>
  <c r="O9" i="12"/>
  <c r="O25" i="12"/>
  <c r="O52" i="12"/>
  <c r="O35" i="12"/>
  <c r="O64" i="12"/>
  <c r="O20" i="12"/>
  <c r="O18" i="12"/>
  <c r="O50" i="12"/>
  <c r="O14" i="12"/>
  <c r="O69" i="11"/>
  <c r="O45" i="11"/>
  <c r="O43" i="11"/>
  <c r="O76" i="11"/>
  <c r="O48" i="11"/>
  <c r="O67" i="11"/>
  <c r="O40" i="11"/>
  <c r="O23" i="11"/>
  <c r="O12" i="11"/>
  <c r="O72" i="11"/>
  <c r="O15" i="11"/>
  <c r="O37" i="11"/>
  <c r="O13" i="11"/>
  <c r="O70" i="11"/>
  <c r="O20" i="11"/>
  <c r="O77" i="11"/>
  <c r="O16" i="11"/>
  <c r="O58" i="11"/>
  <c r="O56" i="11"/>
  <c r="O9" i="11"/>
  <c r="O30" i="11"/>
  <c r="O29" i="11"/>
  <c r="O32" i="11"/>
  <c r="O27" i="11"/>
  <c r="O55" i="11"/>
  <c r="O73" i="11"/>
  <c r="O26" i="11"/>
  <c r="O39" i="11"/>
  <c r="H68" i="12"/>
  <c r="P11" i="12"/>
  <c r="N62" i="12"/>
  <c r="O62" i="12" s="1"/>
  <c r="P62" i="12"/>
  <c r="N42" i="12"/>
  <c r="O42" i="12" s="1"/>
  <c r="P42" i="12"/>
  <c r="N30" i="12"/>
  <c r="O30" i="12" s="1"/>
  <c r="P30" i="12"/>
  <c r="N53" i="12"/>
  <c r="O53" i="12" s="1"/>
  <c r="P53" i="12"/>
  <c r="N43" i="12"/>
  <c r="O43" i="12" s="1"/>
  <c r="P43" i="12"/>
  <c r="N54" i="12"/>
  <c r="O54" i="12" s="1"/>
  <c r="P54" i="12"/>
  <c r="N13" i="12"/>
  <c r="O13" i="12" s="1"/>
  <c r="P13" i="12"/>
  <c r="N41" i="12"/>
  <c r="O41" i="12" s="1"/>
  <c r="P41" i="12"/>
  <c r="N45" i="12"/>
  <c r="O45" i="12" s="1"/>
  <c r="P45" i="12"/>
  <c r="N19" i="12"/>
  <c r="O19" i="12" s="1"/>
  <c r="P19" i="12"/>
  <c r="N56" i="12"/>
  <c r="O56" i="12" s="1"/>
  <c r="P56" i="12"/>
  <c r="N70" i="12"/>
  <c r="O70" i="12" s="1"/>
  <c r="P70" i="12"/>
  <c r="N21" i="12"/>
  <c r="O21" i="12" s="1"/>
  <c r="P21" i="12"/>
  <c r="H11" i="12"/>
  <c r="L11" i="12"/>
  <c r="N11" i="12" s="1"/>
  <c r="N57" i="12"/>
  <c r="O57" i="12" s="1"/>
  <c r="P57" i="12"/>
  <c r="N17" i="12"/>
  <c r="O17" i="12" s="1"/>
  <c r="P17" i="12"/>
  <c r="N26" i="12"/>
  <c r="O26" i="12" s="1"/>
  <c r="P26" i="12"/>
  <c r="N58" i="12"/>
  <c r="O58" i="12" s="1"/>
  <c r="P58" i="12"/>
  <c r="N72" i="12"/>
  <c r="O72" i="12" s="1"/>
  <c r="P72" i="12"/>
  <c r="N59" i="12"/>
  <c r="O59" i="12" s="1"/>
  <c r="P59" i="12"/>
  <c r="N28" i="12"/>
  <c r="O28" i="12" s="1"/>
  <c r="P28" i="12"/>
  <c r="N69" i="12"/>
  <c r="O69" i="12" s="1"/>
  <c r="P69" i="12"/>
  <c r="N15" i="12"/>
  <c r="O15" i="12" s="1"/>
  <c r="P15" i="12"/>
  <c r="N31" i="12"/>
  <c r="O31" i="12" s="1"/>
  <c r="P31" i="12"/>
  <c r="N55" i="12"/>
  <c r="O55" i="12" s="1"/>
  <c r="P55" i="12"/>
  <c r="N38" i="12"/>
  <c r="O38" i="12" s="1"/>
  <c r="P38" i="12"/>
  <c r="N71" i="12"/>
  <c r="O71" i="12" s="1"/>
  <c r="P71" i="12"/>
  <c r="N65" i="12"/>
  <c r="O65" i="12" s="1"/>
  <c r="P65" i="12"/>
  <c r="N16" i="12"/>
  <c r="O16" i="12" s="1"/>
  <c r="P16" i="12"/>
  <c r="N27" i="12"/>
  <c r="O27" i="12" s="1"/>
  <c r="P27" i="12"/>
  <c r="N51" i="12"/>
  <c r="O51" i="12" s="1"/>
  <c r="P51" i="12"/>
  <c r="N49" i="12"/>
  <c r="O49" i="12" s="1"/>
  <c r="P49" i="12"/>
  <c r="N29" i="12"/>
  <c r="O29" i="12" s="1"/>
  <c r="P29" i="12"/>
  <c r="N47" i="12"/>
  <c r="O47" i="12" s="1"/>
  <c r="P47" i="12"/>
  <c r="N12" i="12"/>
  <c r="O12" i="12" s="1"/>
  <c r="P12" i="12"/>
  <c r="N68" i="12"/>
  <c r="P68" i="12"/>
  <c r="N37" i="12"/>
  <c r="O37" i="12" s="1"/>
  <c r="P37" i="12"/>
  <c r="N60" i="12"/>
  <c r="O60" i="12" s="1"/>
  <c r="P60" i="12"/>
  <c r="N32" i="12"/>
  <c r="P32" i="12"/>
  <c r="N48" i="12"/>
  <c r="O48" i="12" s="1"/>
  <c r="P48" i="12"/>
  <c r="DN7" i="11"/>
  <c r="P31" i="11"/>
  <c r="P21" i="11"/>
  <c r="AL7" i="11"/>
  <c r="P19" i="11"/>
  <c r="M7" i="11"/>
  <c r="N60" i="11"/>
  <c r="O60" i="11" s="1"/>
  <c r="P60" i="11"/>
  <c r="N33" i="11"/>
  <c r="O33" i="11" s="1"/>
  <c r="P33" i="11"/>
  <c r="N65" i="11"/>
  <c r="O65" i="11" s="1"/>
  <c r="P65" i="11"/>
  <c r="N38" i="11"/>
  <c r="O38" i="11" s="1"/>
  <c r="P38" i="11"/>
  <c r="N34" i="11"/>
  <c r="O34" i="11" s="1"/>
  <c r="P34" i="11"/>
  <c r="N59" i="11"/>
  <c r="O59" i="11" s="1"/>
  <c r="P59" i="11"/>
  <c r="N80" i="11"/>
  <c r="O80" i="11" s="1"/>
  <c r="P80" i="11"/>
  <c r="N57" i="11"/>
  <c r="O57" i="11" s="1"/>
  <c r="P57" i="11"/>
  <c r="N42" i="11"/>
  <c r="O42" i="11" s="1"/>
  <c r="P42" i="11"/>
  <c r="N50" i="11"/>
  <c r="O50" i="11" s="1"/>
  <c r="P50" i="11"/>
  <c r="N84" i="11"/>
  <c r="O84" i="11" s="1"/>
  <c r="P84" i="11"/>
  <c r="N46" i="11"/>
  <c r="O46" i="11" s="1"/>
  <c r="P46" i="11"/>
  <c r="L21" i="11"/>
  <c r="N21" i="11" s="1"/>
  <c r="H21" i="11"/>
  <c r="N51" i="11"/>
  <c r="O51" i="11" s="1"/>
  <c r="P51" i="11"/>
  <c r="N66" i="11"/>
  <c r="O66" i="11" s="1"/>
  <c r="P66" i="11"/>
  <c r="H31" i="11"/>
  <c r="L31" i="11"/>
  <c r="N31" i="11" s="1"/>
  <c r="H19" i="11"/>
  <c r="L19" i="11"/>
  <c r="N49" i="11"/>
  <c r="O49" i="11" s="1"/>
  <c r="P49" i="11"/>
  <c r="H81" i="11"/>
  <c r="N44" i="11"/>
  <c r="O44" i="11" s="1"/>
  <c r="P44" i="11"/>
  <c r="N79" i="11"/>
  <c r="O79" i="11" s="1"/>
  <c r="P79" i="11"/>
  <c r="N35" i="11"/>
  <c r="O35" i="11" s="1"/>
  <c r="P35" i="11"/>
  <c r="N82" i="11"/>
  <c r="O82" i="11" s="1"/>
  <c r="P82" i="11"/>
  <c r="N81" i="11"/>
  <c r="P81" i="11"/>
  <c r="AK7" i="11"/>
  <c r="O32" i="12" l="1"/>
  <c r="I48" i="26"/>
  <c r="G48" i="26"/>
  <c r="AI48" i="26"/>
  <c r="O21" i="11"/>
  <c r="O68" i="12"/>
  <c r="O11" i="12"/>
  <c r="O31" i="11"/>
  <c r="O81" i="11"/>
  <c r="P7" i="11"/>
  <c r="H7" i="11"/>
  <c r="L7" i="11"/>
  <c r="N19" i="11"/>
  <c r="N7" i="11" s="1"/>
  <c r="DS34" i="8"/>
  <c r="DR34" i="8"/>
  <c r="DQ34" i="8"/>
  <c r="DP34" i="8"/>
  <c r="DO34" i="8"/>
  <c r="DM34" i="8"/>
  <c r="DH34" i="8"/>
  <c r="DF34" i="8"/>
  <c r="DA34" i="8"/>
  <c r="CY34" i="8"/>
  <c r="CT34" i="8"/>
  <c r="CR34" i="8"/>
  <c r="CM34" i="8"/>
  <c r="CK34" i="8"/>
  <c r="CF34" i="8"/>
  <c r="CD34" i="8"/>
  <c r="BR34" i="8"/>
  <c r="BP34" i="8"/>
  <c r="BK34" i="8"/>
  <c r="BI34" i="8"/>
  <c r="BD34" i="8"/>
  <c r="BB34" i="8"/>
  <c r="AW34" i="8"/>
  <c r="AV34" i="8"/>
  <c r="AQ34" i="8"/>
  <c r="AP34" i="8"/>
  <c r="AI34" i="8"/>
  <c r="AH34" i="8"/>
  <c r="AG34" i="8"/>
  <c r="AF34" i="8"/>
  <c r="AE34" i="8"/>
  <c r="AD34" i="8"/>
  <c r="Y34" i="8"/>
  <c r="X34" i="8"/>
  <c r="S34" i="8"/>
  <c r="R34" i="8"/>
  <c r="DS33" i="8"/>
  <c r="DR33" i="8"/>
  <c r="DQ33" i="8"/>
  <c r="DP33" i="8"/>
  <c r="DO33" i="8"/>
  <c r="DM33" i="8"/>
  <c r="DH33" i="8"/>
  <c r="DF33" i="8"/>
  <c r="DA33" i="8"/>
  <c r="CY33" i="8"/>
  <c r="CT33" i="8"/>
  <c r="CR33" i="8"/>
  <c r="CM33" i="8"/>
  <c r="CK33" i="8"/>
  <c r="CF33" i="8"/>
  <c r="CD33" i="8"/>
  <c r="BR33" i="8"/>
  <c r="BP33" i="8"/>
  <c r="BK33" i="8"/>
  <c r="BI33" i="8"/>
  <c r="BD33" i="8"/>
  <c r="BB33" i="8"/>
  <c r="AW33" i="8"/>
  <c r="AV33" i="8"/>
  <c r="AQ33" i="8"/>
  <c r="AP33" i="8"/>
  <c r="AI33" i="8"/>
  <c r="AH33" i="8"/>
  <c r="AG33" i="8"/>
  <c r="AF33" i="8"/>
  <c r="AE33" i="8"/>
  <c r="AD33" i="8"/>
  <c r="Y33" i="8"/>
  <c r="X33" i="8"/>
  <c r="S33" i="8"/>
  <c r="R33" i="8"/>
  <c r="DS32" i="8"/>
  <c r="DR32" i="8"/>
  <c r="DQ32" i="8"/>
  <c r="DP32" i="8"/>
  <c r="DO32" i="8"/>
  <c r="DM32" i="8"/>
  <c r="DH32" i="8"/>
  <c r="DF32" i="8"/>
  <c r="DA32" i="8"/>
  <c r="CY32" i="8"/>
  <c r="CT32" i="8"/>
  <c r="CR32" i="8"/>
  <c r="CM32" i="8"/>
  <c r="CK32" i="8"/>
  <c r="CF32" i="8"/>
  <c r="CD32" i="8"/>
  <c r="BR32" i="8"/>
  <c r="BP32" i="8"/>
  <c r="BK32" i="8"/>
  <c r="BI32" i="8"/>
  <c r="BD32" i="8"/>
  <c r="BB32" i="8"/>
  <c r="AW32" i="8"/>
  <c r="AV32" i="8"/>
  <c r="AQ32" i="8"/>
  <c r="AP32" i="8"/>
  <c r="AI32" i="8"/>
  <c r="AH32" i="8"/>
  <c r="AG32" i="8"/>
  <c r="AF32" i="8"/>
  <c r="AE32" i="8"/>
  <c r="AD32" i="8"/>
  <c r="Y32" i="8"/>
  <c r="X32" i="8"/>
  <c r="S32" i="8"/>
  <c r="R32" i="8"/>
  <c r="DS31" i="8"/>
  <c r="DR31" i="8"/>
  <c r="DQ31" i="8"/>
  <c r="DP31" i="8"/>
  <c r="DO31" i="8"/>
  <c r="DM31" i="8"/>
  <c r="DH31" i="8"/>
  <c r="DF31" i="8"/>
  <c r="DA31" i="8"/>
  <c r="CY31" i="8"/>
  <c r="CT31" i="8"/>
  <c r="CR31" i="8"/>
  <c r="CM31" i="8"/>
  <c r="CK31" i="8"/>
  <c r="CF31" i="8"/>
  <c r="CD31" i="8"/>
  <c r="BW31" i="8"/>
  <c r="BR31" i="8"/>
  <c r="BP31" i="8"/>
  <c r="BK31" i="8"/>
  <c r="BI31" i="8"/>
  <c r="BD31" i="8"/>
  <c r="BB31" i="8"/>
  <c r="AW31" i="8"/>
  <c r="AV31" i="8"/>
  <c r="AQ31" i="8"/>
  <c r="AP31" i="8"/>
  <c r="AI31" i="8"/>
  <c r="AH31" i="8"/>
  <c r="AG31" i="8"/>
  <c r="AF31" i="8"/>
  <c r="AE31" i="8"/>
  <c r="AD31" i="8"/>
  <c r="Y31" i="8"/>
  <c r="X31" i="8"/>
  <c r="S31" i="8"/>
  <c r="R31" i="8"/>
  <c r="DS30" i="8"/>
  <c r="DR30" i="8"/>
  <c r="DQ30" i="8"/>
  <c r="DP30" i="8"/>
  <c r="DO30" i="8"/>
  <c r="DM30" i="8"/>
  <c r="DH30" i="8"/>
  <c r="DF30" i="8"/>
  <c r="DA30" i="8"/>
  <c r="CY30" i="8"/>
  <c r="CT30" i="8"/>
  <c r="CR30" i="8"/>
  <c r="CM30" i="8"/>
  <c r="CK30" i="8"/>
  <c r="CF30" i="8"/>
  <c r="CD30" i="8"/>
  <c r="BR30" i="8"/>
  <c r="BP30" i="8"/>
  <c r="BK30" i="8"/>
  <c r="BI30" i="8"/>
  <c r="BD30" i="8"/>
  <c r="BB30" i="8"/>
  <c r="AW30" i="8"/>
  <c r="AV30" i="8"/>
  <c r="AQ30" i="8"/>
  <c r="AP30" i="8"/>
  <c r="AI30" i="8"/>
  <c r="AH30" i="8"/>
  <c r="AG30" i="8"/>
  <c r="AF30" i="8"/>
  <c r="AE30" i="8"/>
  <c r="AD30" i="8"/>
  <c r="Y30" i="8"/>
  <c r="X30" i="8"/>
  <c r="S30" i="8"/>
  <c r="R30" i="8"/>
  <c r="DS29" i="8"/>
  <c r="DR29" i="8"/>
  <c r="DQ29" i="8"/>
  <c r="DP29" i="8"/>
  <c r="DO29" i="8"/>
  <c r="DM29" i="8"/>
  <c r="DH29" i="8"/>
  <c r="DF29" i="8"/>
  <c r="DA29" i="8"/>
  <c r="CY29" i="8"/>
  <c r="CT29" i="8"/>
  <c r="CR29" i="8"/>
  <c r="CM29" i="8"/>
  <c r="CK29" i="8"/>
  <c r="CF29" i="8"/>
  <c r="CD29" i="8"/>
  <c r="BR29" i="8"/>
  <c r="BP29" i="8"/>
  <c r="BK29" i="8"/>
  <c r="BI29" i="8"/>
  <c r="BD29" i="8"/>
  <c r="BB29" i="8"/>
  <c r="AW29" i="8"/>
  <c r="AV29" i="8"/>
  <c r="AQ29" i="8"/>
  <c r="AP29" i="8"/>
  <c r="AI29" i="8"/>
  <c r="AH29" i="8"/>
  <c r="AG29" i="8"/>
  <c r="AF29" i="8"/>
  <c r="AE29" i="8"/>
  <c r="AD29" i="8"/>
  <c r="Y29" i="8"/>
  <c r="X29" i="8"/>
  <c r="S29" i="8"/>
  <c r="R29" i="8"/>
  <c r="DS28" i="8"/>
  <c r="DR28" i="8"/>
  <c r="DQ28" i="8"/>
  <c r="DP28" i="8"/>
  <c r="DO28" i="8"/>
  <c r="DM28" i="8"/>
  <c r="DH28" i="8"/>
  <c r="DF28" i="8"/>
  <c r="DA28" i="8"/>
  <c r="CY28" i="8"/>
  <c r="CT28" i="8"/>
  <c r="CR28" i="8"/>
  <c r="CM28" i="8"/>
  <c r="CK28" i="8"/>
  <c r="CF28" i="8"/>
  <c r="CD28" i="8"/>
  <c r="BR28" i="8"/>
  <c r="BP28" i="8"/>
  <c r="BK28" i="8"/>
  <c r="BI28" i="8"/>
  <c r="BD28" i="8"/>
  <c r="BB28" i="8"/>
  <c r="AW28" i="8"/>
  <c r="AV28" i="8"/>
  <c r="AQ28" i="8"/>
  <c r="AP28" i="8"/>
  <c r="AI28" i="8"/>
  <c r="AH28" i="8"/>
  <c r="AG28" i="8"/>
  <c r="AF28" i="8"/>
  <c r="AE28" i="8"/>
  <c r="AD28" i="8"/>
  <c r="Y28" i="8"/>
  <c r="X28" i="8"/>
  <c r="S28" i="8"/>
  <c r="R28" i="8"/>
  <c r="DS27" i="8"/>
  <c r="DR27" i="8"/>
  <c r="DQ27" i="8"/>
  <c r="DP27" i="8"/>
  <c r="DO27" i="8"/>
  <c r="DM27" i="8"/>
  <c r="DH27" i="8"/>
  <c r="DF27" i="8"/>
  <c r="DA27" i="8"/>
  <c r="CY27" i="8"/>
  <c r="CT27" i="8"/>
  <c r="CR27" i="8"/>
  <c r="CM27" i="8"/>
  <c r="CK27" i="8"/>
  <c r="CF27" i="8"/>
  <c r="CD27" i="8"/>
  <c r="BR27" i="8"/>
  <c r="BP27" i="8"/>
  <c r="BK27" i="8"/>
  <c r="BI27" i="8"/>
  <c r="BD27" i="8"/>
  <c r="BB27" i="8"/>
  <c r="AW27" i="8"/>
  <c r="AV27" i="8"/>
  <c r="AQ27" i="8"/>
  <c r="AP27" i="8"/>
  <c r="AI27" i="8"/>
  <c r="AH27" i="8"/>
  <c r="AG27" i="8"/>
  <c r="AF27" i="8"/>
  <c r="AE27" i="8"/>
  <c r="AD27" i="8"/>
  <c r="Y27" i="8"/>
  <c r="X27" i="8"/>
  <c r="S27" i="8"/>
  <c r="R27" i="8"/>
  <c r="DS26" i="8"/>
  <c r="DR26" i="8"/>
  <c r="DQ26" i="8"/>
  <c r="DP26" i="8"/>
  <c r="DO26" i="8"/>
  <c r="DM26" i="8"/>
  <c r="DH26" i="8"/>
  <c r="DF26" i="8"/>
  <c r="DA26" i="8"/>
  <c r="CY26" i="8"/>
  <c r="CT26" i="8"/>
  <c r="CR26" i="8"/>
  <c r="CM26" i="8"/>
  <c r="CK26" i="8"/>
  <c r="CF26" i="8"/>
  <c r="CD26" i="8"/>
  <c r="BR26" i="8"/>
  <c r="BP26" i="8"/>
  <c r="BK26" i="8"/>
  <c r="BI26" i="8"/>
  <c r="BD26" i="8"/>
  <c r="BB26" i="8"/>
  <c r="AW26" i="8"/>
  <c r="AV26" i="8"/>
  <c r="AQ26" i="8"/>
  <c r="AP26" i="8"/>
  <c r="AI26" i="8"/>
  <c r="AH26" i="8"/>
  <c r="AG26" i="8"/>
  <c r="AF26" i="8"/>
  <c r="AE26" i="8"/>
  <c r="AD26" i="8"/>
  <c r="Y26" i="8"/>
  <c r="X26" i="8"/>
  <c r="S26" i="8"/>
  <c r="R26" i="8"/>
  <c r="DS25" i="8"/>
  <c r="DR25" i="8"/>
  <c r="DQ25" i="8"/>
  <c r="DP25" i="8"/>
  <c r="DO25" i="8"/>
  <c r="DM25" i="8"/>
  <c r="DH25" i="8"/>
  <c r="DF25" i="8"/>
  <c r="DA25" i="8"/>
  <c r="CY25" i="8"/>
  <c r="CT25" i="8"/>
  <c r="CR25" i="8"/>
  <c r="CM25" i="8"/>
  <c r="CK25" i="8"/>
  <c r="CF25" i="8"/>
  <c r="CD25" i="8"/>
  <c r="BR25" i="8"/>
  <c r="BP25" i="8"/>
  <c r="BK25" i="8"/>
  <c r="BI25" i="8"/>
  <c r="BD25" i="8"/>
  <c r="BB25" i="8"/>
  <c r="AW25" i="8"/>
  <c r="AV25" i="8"/>
  <c r="AQ25" i="8"/>
  <c r="AP25" i="8"/>
  <c r="AI25" i="8"/>
  <c r="AH25" i="8"/>
  <c r="AG25" i="8"/>
  <c r="AF25" i="8"/>
  <c r="AE25" i="8"/>
  <c r="AD25" i="8"/>
  <c r="Y25" i="8"/>
  <c r="X25" i="8"/>
  <c r="S25" i="8"/>
  <c r="R25" i="8"/>
  <c r="DS24" i="8"/>
  <c r="DR24" i="8"/>
  <c r="DQ24" i="8"/>
  <c r="DP24" i="8"/>
  <c r="DO24" i="8"/>
  <c r="DM24" i="8"/>
  <c r="DH24" i="8"/>
  <c r="DF24" i="8"/>
  <c r="DA24" i="8"/>
  <c r="CY24" i="8"/>
  <c r="CT24" i="8"/>
  <c r="CR24" i="8"/>
  <c r="CM24" i="8"/>
  <c r="CK24" i="8"/>
  <c r="CF24" i="8"/>
  <c r="CD24" i="8"/>
  <c r="BR24" i="8"/>
  <c r="BP24" i="8"/>
  <c r="BK24" i="8"/>
  <c r="BI24" i="8"/>
  <c r="BD24" i="8"/>
  <c r="BB24" i="8"/>
  <c r="AW24" i="8"/>
  <c r="AV24" i="8"/>
  <c r="AQ24" i="8"/>
  <c r="AP24" i="8"/>
  <c r="AI24" i="8"/>
  <c r="AH24" i="8"/>
  <c r="AG24" i="8"/>
  <c r="AF24" i="8"/>
  <c r="AE24" i="8"/>
  <c r="AD24" i="8"/>
  <c r="Y24" i="8"/>
  <c r="X24" i="8"/>
  <c r="S24" i="8"/>
  <c r="R24" i="8"/>
  <c r="DS23" i="8"/>
  <c r="DR23" i="8"/>
  <c r="DQ23" i="8"/>
  <c r="DP23" i="8"/>
  <c r="DO23" i="8"/>
  <c r="DM23" i="8"/>
  <c r="DH23" i="8"/>
  <c r="DF23" i="8"/>
  <c r="DA23" i="8"/>
  <c r="CY23" i="8"/>
  <c r="CT23" i="8"/>
  <c r="CR23" i="8"/>
  <c r="CM23" i="8"/>
  <c r="CK23" i="8"/>
  <c r="CF23" i="8"/>
  <c r="CD23" i="8"/>
  <c r="BR23" i="8"/>
  <c r="BP23" i="8"/>
  <c r="BK23" i="8"/>
  <c r="BI23" i="8"/>
  <c r="BD23" i="8"/>
  <c r="BB23" i="8"/>
  <c r="AW23" i="8"/>
  <c r="AV23" i="8"/>
  <c r="AQ23" i="8"/>
  <c r="AP23" i="8"/>
  <c r="AI23" i="8"/>
  <c r="AH23" i="8"/>
  <c r="AG23" i="8"/>
  <c r="AF23" i="8"/>
  <c r="AE23" i="8"/>
  <c r="AD23" i="8"/>
  <c r="Y23" i="8"/>
  <c r="X23" i="8"/>
  <c r="S23" i="8"/>
  <c r="R23" i="8"/>
  <c r="DS22" i="8"/>
  <c r="DR22" i="8"/>
  <c r="DQ22" i="8"/>
  <c r="DP22" i="8"/>
  <c r="DO22" i="8"/>
  <c r="DM22" i="8"/>
  <c r="DH22" i="8"/>
  <c r="DF22" i="8"/>
  <c r="DA22" i="8"/>
  <c r="CY22" i="8"/>
  <c r="CT22" i="8"/>
  <c r="CR22" i="8"/>
  <c r="CM22" i="8"/>
  <c r="CK22" i="8"/>
  <c r="CF22" i="8"/>
  <c r="CD22" i="8"/>
  <c r="BR22" i="8"/>
  <c r="BP22" i="8"/>
  <c r="BK22" i="8"/>
  <c r="BI22" i="8"/>
  <c r="BD22" i="8"/>
  <c r="BB22" i="8"/>
  <c r="AW22" i="8"/>
  <c r="AV22" i="8"/>
  <c r="AQ22" i="8"/>
  <c r="AP22" i="8"/>
  <c r="AI22" i="8"/>
  <c r="AH22" i="8"/>
  <c r="AG22" i="8"/>
  <c r="AF22" i="8"/>
  <c r="AE22" i="8"/>
  <c r="AD22" i="8"/>
  <c r="Y22" i="8"/>
  <c r="X22" i="8"/>
  <c r="S22" i="8"/>
  <c r="R22" i="8"/>
  <c r="DS21" i="8"/>
  <c r="DR21" i="8"/>
  <c r="DQ21" i="8"/>
  <c r="DP21" i="8"/>
  <c r="DO21" i="8"/>
  <c r="DM21" i="8"/>
  <c r="DH21" i="8"/>
  <c r="DF21" i="8"/>
  <c r="DA21" i="8"/>
  <c r="CY21" i="8"/>
  <c r="CT21" i="8"/>
  <c r="CR21" i="8"/>
  <c r="CM21" i="8"/>
  <c r="CK21" i="8"/>
  <c r="CF21" i="8"/>
  <c r="CD21" i="8"/>
  <c r="BR21" i="8"/>
  <c r="BP21" i="8"/>
  <c r="BK21" i="8"/>
  <c r="BI21" i="8"/>
  <c r="BD21" i="8"/>
  <c r="BB21" i="8"/>
  <c r="AW21" i="8"/>
  <c r="AV21" i="8"/>
  <c r="AQ21" i="8"/>
  <c r="AP21" i="8"/>
  <c r="AI21" i="8"/>
  <c r="AH21" i="8"/>
  <c r="AG21" i="8"/>
  <c r="AF21" i="8"/>
  <c r="AE21" i="8"/>
  <c r="AD21" i="8"/>
  <c r="Y21" i="8"/>
  <c r="X21" i="8"/>
  <c r="S21" i="8"/>
  <c r="R21" i="8"/>
  <c r="DS20" i="8"/>
  <c r="DR20" i="8"/>
  <c r="DQ20" i="8"/>
  <c r="DP20" i="8"/>
  <c r="DO20" i="8"/>
  <c r="DM20" i="8"/>
  <c r="DH20" i="8"/>
  <c r="DF20" i="8"/>
  <c r="DA20" i="8"/>
  <c r="CY20" i="8"/>
  <c r="CT20" i="8"/>
  <c r="CR20" i="8"/>
  <c r="CM20" i="8"/>
  <c r="CK20" i="8"/>
  <c r="CF20" i="8"/>
  <c r="CD20" i="8"/>
  <c r="BR20" i="8"/>
  <c r="BP20" i="8"/>
  <c r="BK20" i="8"/>
  <c r="BI20" i="8"/>
  <c r="BD20" i="8"/>
  <c r="BB20" i="8"/>
  <c r="AW20" i="8"/>
  <c r="AV20" i="8"/>
  <c r="AQ20" i="8"/>
  <c r="AP20" i="8"/>
  <c r="AI20" i="8"/>
  <c r="AH20" i="8"/>
  <c r="AG20" i="8"/>
  <c r="AF20" i="8"/>
  <c r="AE20" i="8"/>
  <c r="AD20" i="8"/>
  <c r="Y20" i="8"/>
  <c r="X20" i="8"/>
  <c r="S20" i="8"/>
  <c r="R20" i="8"/>
  <c r="DS19" i="8"/>
  <c r="DR19" i="8"/>
  <c r="DQ19" i="8"/>
  <c r="DP19" i="8"/>
  <c r="DO19" i="8"/>
  <c r="DM19" i="8"/>
  <c r="DH19" i="8"/>
  <c r="DF19" i="8"/>
  <c r="DA19" i="8"/>
  <c r="CY19" i="8"/>
  <c r="CT19" i="8"/>
  <c r="CR19" i="8"/>
  <c r="CM19" i="8"/>
  <c r="CK19" i="8"/>
  <c r="CF19" i="8"/>
  <c r="CD19" i="8"/>
  <c r="BR19" i="8"/>
  <c r="BP19" i="8"/>
  <c r="BK19" i="8"/>
  <c r="BI19" i="8"/>
  <c r="BD19" i="8"/>
  <c r="BB19" i="8"/>
  <c r="AW19" i="8"/>
  <c r="AV19" i="8"/>
  <c r="AQ19" i="8"/>
  <c r="AP19" i="8"/>
  <c r="AI19" i="8"/>
  <c r="AH19" i="8"/>
  <c r="AG19" i="8"/>
  <c r="AF19" i="8"/>
  <c r="AE19" i="8"/>
  <c r="AD19" i="8"/>
  <c r="Y19" i="8"/>
  <c r="X19" i="8"/>
  <c r="S19" i="8"/>
  <c r="R19" i="8"/>
  <c r="DS18" i="8"/>
  <c r="DR18" i="8"/>
  <c r="DQ18" i="8"/>
  <c r="DP18" i="8"/>
  <c r="DO18" i="8"/>
  <c r="DM18" i="8"/>
  <c r="DH18" i="8"/>
  <c r="DF18" i="8"/>
  <c r="DA18" i="8"/>
  <c r="CY18" i="8"/>
  <c r="CT18" i="8"/>
  <c r="CR18" i="8"/>
  <c r="CM18" i="8"/>
  <c r="CK18" i="8"/>
  <c r="CF18" i="8"/>
  <c r="CD18" i="8"/>
  <c r="BW18" i="8"/>
  <c r="BR18" i="8"/>
  <c r="BP18" i="8"/>
  <c r="BK18" i="8"/>
  <c r="BI18" i="8"/>
  <c r="BD18" i="8"/>
  <c r="BB18" i="8"/>
  <c r="AW18" i="8"/>
  <c r="AV18" i="8"/>
  <c r="AQ18" i="8"/>
  <c r="AP18" i="8"/>
  <c r="AI18" i="8"/>
  <c r="AH18" i="8"/>
  <c r="AG18" i="8"/>
  <c r="AF18" i="8"/>
  <c r="AE18" i="8"/>
  <c r="AD18" i="8"/>
  <c r="Y18" i="8"/>
  <c r="X18" i="8"/>
  <c r="S18" i="8"/>
  <c r="R18" i="8"/>
  <c r="DS17" i="8"/>
  <c r="DR17" i="8"/>
  <c r="DQ17" i="8"/>
  <c r="DP17" i="8"/>
  <c r="DO17" i="8"/>
  <c r="DM17" i="8"/>
  <c r="DH17" i="8"/>
  <c r="DF17" i="8"/>
  <c r="DA17" i="8"/>
  <c r="CY17" i="8"/>
  <c r="CT17" i="8"/>
  <c r="CR17" i="8"/>
  <c r="CM17" i="8"/>
  <c r="CK17" i="8"/>
  <c r="CF17" i="8"/>
  <c r="CD17" i="8"/>
  <c r="BW17" i="8"/>
  <c r="BR17" i="8"/>
  <c r="BP17" i="8"/>
  <c r="BK17" i="8"/>
  <c r="BI17" i="8"/>
  <c r="BD17" i="8"/>
  <c r="BB17" i="8"/>
  <c r="AW17" i="8"/>
  <c r="AV17" i="8"/>
  <c r="AQ17" i="8"/>
  <c r="AP17" i="8"/>
  <c r="AI17" i="8"/>
  <c r="AH17" i="8"/>
  <c r="AG17" i="8"/>
  <c r="AF17" i="8"/>
  <c r="AE17" i="8"/>
  <c r="AD17" i="8"/>
  <c r="Y17" i="8"/>
  <c r="X17" i="8"/>
  <c r="S17" i="8"/>
  <c r="R17" i="8"/>
  <c r="DS16" i="8"/>
  <c r="DR16" i="8"/>
  <c r="DQ16" i="8"/>
  <c r="DP16" i="8"/>
  <c r="DO16" i="8"/>
  <c r="DM16" i="8"/>
  <c r="DH16" i="8"/>
  <c r="DF16" i="8"/>
  <c r="DA16" i="8"/>
  <c r="CY16" i="8"/>
  <c r="CT16" i="8"/>
  <c r="CR16" i="8"/>
  <c r="CM16" i="8"/>
  <c r="CK16" i="8"/>
  <c r="CF16" i="8"/>
  <c r="CD16" i="8"/>
  <c r="BW16" i="8"/>
  <c r="BR16" i="8"/>
  <c r="BP16" i="8"/>
  <c r="BK16" i="8"/>
  <c r="BI16" i="8"/>
  <c r="BD16" i="8"/>
  <c r="BB16" i="8"/>
  <c r="AW16" i="8"/>
  <c r="AV16" i="8"/>
  <c r="AQ16" i="8"/>
  <c r="AP16" i="8"/>
  <c r="AI16" i="8"/>
  <c r="AH16" i="8"/>
  <c r="AG16" i="8"/>
  <c r="AF16" i="8"/>
  <c r="AE16" i="8"/>
  <c r="AD16" i="8"/>
  <c r="Y16" i="8"/>
  <c r="X16" i="8"/>
  <c r="S16" i="8"/>
  <c r="R16" i="8"/>
  <c r="DS15" i="8"/>
  <c r="DR15" i="8"/>
  <c r="DQ15" i="8"/>
  <c r="DP15" i="8"/>
  <c r="DO15" i="8"/>
  <c r="DM15" i="8"/>
  <c r="DH15" i="8"/>
  <c r="DF15" i="8"/>
  <c r="DA15" i="8"/>
  <c r="CY15" i="8"/>
  <c r="CT15" i="8"/>
  <c r="CR15" i="8"/>
  <c r="CM15" i="8"/>
  <c r="CK15" i="8"/>
  <c r="CF15" i="8"/>
  <c r="CD15" i="8"/>
  <c r="BW15" i="8"/>
  <c r="BR15" i="8"/>
  <c r="BP15" i="8"/>
  <c r="BK15" i="8"/>
  <c r="BI15" i="8"/>
  <c r="BD15" i="8"/>
  <c r="BB15" i="8"/>
  <c r="AW15" i="8"/>
  <c r="AV15" i="8"/>
  <c r="AQ15" i="8"/>
  <c r="AP15" i="8"/>
  <c r="AI15" i="8"/>
  <c r="AH15" i="8"/>
  <c r="AG15" i="8"/>
  <c r="AF15" i="8"/>
  <c r="AE15" i="8"/>
  <c r="AD15" i="8"/>
  <c r="Y15" i="8"/>
  <c r="X15" i="8"/>
  <c r="S15" i="8"/>
  <c r="R15" i="8"/>
  <c r="DS14" i="8"/>
  <c r="DR14" i="8"/>
  <c r="DQ14" i="8"/>
  <c r="DP14" i="8"/>
  <c r="DO14" i="8"/>
  <c r="DM14" i="8"/>
  <c r="DH14" i="8"/>
  <c r="DF14" i="8"/>
  <c r="DA14" i="8"/>
  <c r="CY14" i="8"/>
  <c r="CT14" i="8"/>
  <c r="CR14" i="8"/>
  <c r="CM14" i="8"/>
  <c r="CK14" i="8"/>
  <c r="CF14" i="8"/>
  <c r="CD14" i="8"/>
  <c r="BR14" i="8"/>
  <c r="BP14" i="8"/>
  <c r="BK14" i="8"/>
  <c r="BI14" i="8"/>
  <c r="BD14" i="8"/>
  <c r="BB14" i="8"/>
  <c r="AW14" i="8"/>
  <c r="AV14" i="8"/>
  <c r="AQ14" i="8"/>
  <c r="AP14" i="8"/>
  <c r="AI14" i="8"/>
  <c r="AH14" i="8"/>
  <c r="AG14" i="8"/>
  <c r="AF14" i="8"/>
  <c r="AE14" i="8"/>
  <c r="AD14" i="8"/>
  <c r="Y14" i="8"/>
  <c r="X14" i="8"/>
  <c r="S14" i="8"/>
  <c r="R14" i="8"/>
  <c r="DS13" i="8"/>
  <c r="DR13" i="8"/>
  <c r="DQ13" i="8"/>
  <c r="DP13" i="8"/>
  <c r="DO13" i="8"/>
  <c r="DM13" i="8"/>
  <c r="DH13" i="8"/>
  <c r="DF13" i="8"/>
  <c r="DA13" i="8"/>
  <c r="CY13" i="8"/>
  <c r="CT13" i="8"/>
  <c r="CR13" i="8"/>
  <c r="CM13" i="8"/>
  <c r="CK13" i="8"/>
  <c r="CF13" i="8"/>
  <c r="CD13" i="8"/>
  <c r="BR13" i="8"/>
  <c r="BP13" i="8"/>
  <c r="BK13" i="8"/>
  <c r="BI13" i="8"/>
  <c r="BD13" i="8"/>
  <c r="BB13" i="8"/>
  <c r="AW13" i="8"/>
  <c r="AV13" i="8"/>
  <c r="AQ13" i="8"/>
  <c r="AP13" i="8"/>
  <c r="AI13" i="8"/>
  <c r="AH13" i="8"/>
  <c r="AG13" i="8"/>
  <c r="AF13" i="8"/>
  <c r="AE13" i="8"/>
  <c r="AD13" i="8"/>
  <c r="Y13" i="8"/>
  <c r="X13" i="8"/>
  <c r="S13" i="8"/>
  <c r="R13" i="8"/>
  <c r="DS12" i="8"/>
  <c r="DR12" i="8"/>
  <c r="DQ12" i="8"/>
  <c r="DP12" i="8"/>
  <c r="DO12" i="8"/>
  <c r="DM12" i="8"/>
  <c r="DH12" i="8"/>
  <c r="DF12" i="8"/>
  <c r="DA12" i="8"/>
  <c r="CY12" i="8"/>
  <c r="CT12" i="8"/>
  <c r="CR12" i="8"/>
  <c r="CM12" i="8"/>
  <c r="CK12" i="8"/>
  <c r="CF12" i="8"/>
  <c r="CD12" i="8"/>
  <c r="BR12" i="8"/>
  <c r="BP12" i="8"/>
  <c r="BK12" i="8"/>
  <c r="BI12" i="8"/>
  <c r="BD12" i="8"/>
  <c r="BB12" i="8"/>
  <c r="AW12" i="8"/>
  <c r="AV12" i="8"/>
  <c r="AQ12" i="8"/>
  <c r="AP12" i="8"/>
  <c r="AI12" i="8"/>
  <c r="AH12" i="8"/>
  <c r="AG12" i="8"/>
  <c r="AF12" i="8"/>
  <c r="AE12" i="8"/>
  <c r="AD12" i="8"/>
  <c r="Y12" i="8"/>
  <c r="X12" i="8"/>
  <c r="S12" i="8"/>
  <c r="R12" i="8"/>
  <c r="DS11" i="8"/>
  <c r="DR11" i="8"/>
  <c r="DQ11" i="8"/>
  <c r="DP11" i="8"/>
  <c r="DO11" i="8"/>
  <c r="DM11" i="8"/>
  <c r="DH11" i="8"/>
  <c r="DF11" i="8"/>
  <c r="DA11" i="8"/>
  <c r="CY11" i="8"/>
  <c r="CT11" i="8"/>
  <c r="CR11" i="8"/>
  <c r="CM11" i="8"/>
  <c r="CK11" i="8"/>
  <c r="CF11" i="8"/>
  <c r="CD11" i="8"/>
  <c r="BR11" i="8"/>
  <c r="BP11" i="8"/>
  <c r="BK11" i="8"/>
  <c r="BI11" i="8"/>
  <c r="BD11" i="8"/>
  <c r="BB11" i="8"/>
  <c r="AW11" i="8"/>
  <c r="AV11" i="8"/>
  <c r="AQ11" i="8"/>
  <c r="AP11" i="8"/>
  <c r="AI11" i="8"/>
  <c r="AH11" i="8"/>
  <c r="AG11" i="8"/>
  <c r="AF11" i="8"/>
  <c r="AE11" i="8"/>
  <c r="AD11" i="8"/>
  <c r="Y11" i="8"/>
  <c r="X11" i="8"/>
  <c r="S11" i="8"/>
  <c r="R11" i="8"/>
  <c r="DS10" i="8"/>
  <c r="DR10" i="8"/>
  <c r="DQ10" i="8"/>
  <c r="DP10" i="8"/>
  <c r="DO10" i="8"/>
  <c r="DM10" i="8"/>
  <c r="DH10" i="8"/>
  <c r="DF10" i="8"/>
  <c r="DA10" i="8"/>
  <c r="CY10" i="8"/>
  <c r="CT10" i="8"/>
  <c r="CR10" i="8"/>
  <c r="CM10" i="8"/>
  <c r="CK10" i="8"/>
  <c r="CF10" i="8"/>
  <c r="CD10" i="8"/>
  <c r="BP10" i="8"/>
  <c r="BK10" i="8"/>
  <c r="BI10" i="8"/>
  <c r="BD10" i="8"/>
  <c r="BB10" i="8"/>
  <c r="AW10" i="8"/>
  <c r="AV10" i="8"/>
  <c r="AQ10" i="8"/>
  <c r="AP10" i="8"/>
  <c r="AI10" i="8"/>
  <c r="AH10" i="8"/>
  <c r="AG10" i="8"/>
  <c r="AF10" i="8"/>
  <c r="AE10" i="8"/>
  <c r="AD10" i="8"/>
  <c r="Y10" i="8"/>
  <c r="X10" i="8"/>
  <c r="S10" i="8"/>
  <c r="R10" i="8"/>
  <c r="DS9" i="8"/>
  <c r="DR9" i="8"/>
  <c r="DQ9" i="8"/>
  <c r="DP9" i="8"/>
  <c r="DO9" i="8"/>
  <c r="DM9" i="8"/>
  <c r="DH9" i="8"/>
  <c r="DF9" i="8"/>
  <c r="DA9" i="8"/>
  <c r="CY9" i="8"/>
  <c r="CT9" i="8"/>
  <c r="CR9" i="8"/>
  <c r="CM9" i="8"/>
  <c r="CK9" i="8"/>
  <c r="CF9" i="8"/>
  <c r="CD9" i="8"/>
  <c r="BR9" i="8"/>
  <c r="BP9" i="8"/>
  <c r="BK9" i="8"/>
  <c r="BI9" i="8"/>
  <c r="BD9" i="8"/>
  <c r="BB9" i="8"/>
  <c r="AW9" i="8"/>
  <c r="AV9" i="8"/>
  <c r="AQ9" i="8"/>
  <c r="AP9" i="8"/>
  <c r="AI9" i="8"/>
  <c r="AH9" i="8"/>
  <c r="AG9" i="8"/>
  <c r="AF9" i="8"/>
  <c r="AE9" i="8"/>
  <c r="AD9" i="8"/>
  <c r="Y9" i="8"/>
  <c r="X9" i="8"/>
  <c r="S9" i="8"/>
  <c r="R9" i="8"/>
  <c r="D2" i="8"/>
  <c r="F1" i="12" l="1"/>
  <c r="DT32" i="8"/>
  <c r="F32" i="8" s="1"/>
  <c r="DT34" i="8"/>
  <c r="F34" i="8" s="1"/>
  <c r="DT28" i="8"/>
  <c r="F28" i="8" s="1"/>
  <c r="DU28" i="8"/>
  <c r="O19" i="11"/>
  <c r="O7" i="11" s="1"/>
  <c r="BW7" i="8"/>
  <c r="R7" i="8"/>
  <c r="AH7" i="8"/>
  <c r="BI7" i="8"/>
  <c r="CR7" i="8"/>
  <c r="DP7" i="8"/>
  <c r="S7" i="8"/>
  <c r="X7" i="8"/>
  <c r="AP7" i="8"/>
  <c r="BP7" i="8"/>
  <c r="CY7" i="8"/>
  <c r="DR7" i="8"/>
  <c r="Y7" i="8"/>
  <c r="AQ7" i="8"/>
  <c r="K10" i="26" s="1"/>
  <c r="BR7" i="8"/>
  <c r="S10" i="26" s="1"/>
  <c r="S46" i="26" s="1"/>
  <c r="DA7" i="8"/>
  <c r="DS7" i="8"/>
  <c r="CT7" i="8"/>
  <c r="AA10" i="26" s="1"/>
  <c r="AA46" i="26" s="1"/>
  <c r="AD7" i="8"/>
  <c r="AV7" i="8"/>
  <c r="CD7" i="8"/>
  <c r="DF7" i="8"/>
  <c r="AE7" i="8"/>
  <c r="AW7" i="8"/>
  <c r="CF7" i="8"/>
  <c r="DH7" i="8"/>
  <c r="AE10" i="26" s="1"/>
  <c r="BK7" i="8"/>
  <c r="Q10" i="26" s="1"/>
  <c r="AF7" i="8"/>
  <c r="BB7" i="8"/>
  <c r="CK7" i="8"/>
  <c r="DM7" i="8"/>
  <c r="DQ7" i="8"/>
  <c r="AG7" i="8"/>
  <c r="BD7" i="8"/>
  <c r="O10" i="26" s="1"/>
  <c r="CM7" i="8"/>
  <c r="Y10" i="26" s="1"/>
  <c r="Y46" i="26" s="1"/>
  <c r="DO7" i="8"/>
  <c r="L12" i="8"/>
  <c r="AI7" i="8"/>
  <c r="L27" i="8"/>
  <c r="L29" i="8"/>
  <c r="L31" i="8"/>
  <c r="L16" i="8"/>
  <c r="L33" i="8"/>
  <c r="L18" i="8"/>
  <c r="L9" i="8"/>
  <c r="L15" i="8"/>
  <c r="L20" i="8"/>
  <c r="L22" i="8"/>
  <c r="L24" i="8"/>
  <c r="L26" i="8"/>
  <c r="L30" i="8"/>
  <c r="L34" i="8"/>
  <c r="L17" i="8"/>
  <c r="DT30" i="8"/>
  <c r="F30" i="8" s="1"/>
  <c r="DT33" i="8"/>
  <c r="F33" i="8" s="1"/>
  <c r="DU33" i="8"/>
  <c r="AJ27" i="8"/>
  <c r="DT11" i="8"/>
  <c r="F11" i="8" s="1"/>
  <c r="DT10" i="8"/>
  <c r="F10" i="8" s="1"/>
  <c r="DU27" i="8"/>
  <c r="DU18" i="8"/>
  <c r="DU29" i="8"/>
  <c r="DT12" i="8"/>
  <c r="AK13" i="8"/>
  <c r="O13" i="8" s="1"/>
  <c r="AK20" i="8"/>
  <c r="AK22" i="8"/>
  <c r="AJ19" i="8"/>
  <c r="AK11" i="8"/>
  <c r="L11" i="8" s="1"/>
  <c r="AJ13" i="8"/>
  <c r="AK18" i="8"/>
  <c r="AJ20" i="8"/>
  <c r="AJ12" i="8"/>
  <c r="DU13" i="8"/>
  <c r="DT15" i="8"/>
  <c r="F15" i="8" s="1"/>
  <c r="DU22" i="8"/>
  <c r="DT13" i="8"/>
  <c r="F13" i="8" s="1"/>
  <c r="DT18" i="8"/>
  <c r="F18" i="8" s="1"/>
  <c r="AK26" i="8"/>
  <c r="AJ30" i="8"/>
  <c r="AK33" i="8"/>
  <c r="AK17" i="8"/>
  <c r="AJ26" i="8"/>
  <c r="AK21" i="8"/>
  <c r="AJ23" i="8"/>
  <c r="DT19" i="8"/>
  <c r="F19" i="8" s="1"/>
  <c r="AK25" i="8"/>
  <c r="DU32" i="8"/>
  <c r="DU14" i="8"/>
  <c r="DT17" i="8"/>
  <c r="F17" i="8" s="1"/>
  <c r="DU21" i="8"/>
  <c r="DT23" i="8"/>
  <c r="F23" i="8" s="1"/>
  <c r="DT9" i="8"/>
  <c r="F9" i="8" s="1"/>
  <c r="DU11" i="8"/>
  <c r="AK23" i="8"/>
  <c r="L23" i="8" s="1"/>
  <c r="AJ25" i="8"/>
  <c r="DT26" i="8"/>
  <c r="F26" i="8" s="1"/>
  <c r="DT31" i="8"/>
  <c r="F31" i="8" s="1"/>
  <c r="AJ32" i="8"/>
  <c r="DU10" i="8"/>
  <c r="AJ14" i="8"/>
  <c r="DT25" i="8"/>
  <c r="F25" i="8" s="1"/>
  <c r="AK27" i="8"/>
  <c r="AJ29" i="8"/>
  <c r="AK32" i="8"/>
  <c r="L32" i="8" s="1"/>
  <c r="AK10" i="8"/>
  <c r="DU12" i="8"/>
  <c r="AJ22" i="8"/>
  <c r="AJ24" i="8"/>
  <c r="DU25" i="8"/>
  <c r="AK31" i="8"/>
  <c r="AJ33" i="8"/>
  <c r="DU34" i="8"/>
  <c r="AK9" i="8"/>
  <c r="DT14" i="8"/>
  <c r="F14" i="8" s="1"/>
  <c r="AK16" i="8"/>
  <c r="AK19" i="8"/>
  <c r="L19" i="8" s="1"/>
  <c r="AJ21" i="8"/>
  <c r="DT22" i="8"/>
  <c r="F22" i="8" s="1"/>
  <c r="AK24" i="8"/>
  <c r="DT29" i="8"/>
  <c r="F29" i="8" s="1"/>
  <c r="AJ31" i="8"/>
  <c r="DU9" i="8"/>
  <c r="AJ11" i="8"/>
  <c r="AK15" i="8"/>
  <c r="DU20" i="8"/>
  <c r="DU24" i="8"/>
  <c r="DT27" i="8"/>
  <c r="F27" i="8" s="1"/>
  <c r="AJ34" i="8"/>
  <c r="AJ10" i="8"/>
  <c r="AK14" i="8"/>
  <c r="L14" i="8" s="1"/>
  <c r="AJ17" i="8"/>
  <c r="DU19" i="8"/>
  <c r="DU23" i="8"/>
  <c r="DU16" i="8"/>
  <c r="AK34" i="8"/>
  <c r="DU26" i="8"/>
  <c r="AK30" i="8"/>
  <c r="DU15" i="8"/>
  <c r="AJ16" i="8"/>
  <c r="DT21" i="8"/>
  <c r="F21" i="8" s="1"/>
  <c r="DU31" i="8"/>
  <c r="AK12" i="8"/>
  <c r="AJ15" i="8"/>
  <c r="AJ18" i="8"/>
  <c r="DT20" i="8"/>
  <c r="F20" i="8" s="1"/>
  <c r="DT24" i="8"/>
  <c r="F24" i="8" s="1"/>
  <c r="AK29" i="8"/>
  <c r="DU30" i="8"/>
  <c r="AJ28" i="8"/>
  <c r="AK28" i="8"/>
  <c r="L28" i="8" s="1"/>
  <c r="DT16" i="8"/>
  <c r="F16" i="8" s="1"/>
  <c r="AJ9" i="8"/>
  <c r="DU17" i="8"/>
  <c r="AE46" i="26" l="1"/>
  <c r="Q46" i="26"/>
  <c r="O46" i="26"/>
  <c r="BC1" i="8"/>
  <c r="M10" i="26"/>
  <c r="AC10" i="26"/>
  <c r="AC46" i="26" s="1"/>
  <c r="K46" i="26"/>
  <c r="W10" i="26"/>
  <c r="W46" i="26" s="1"/>
  <c r="AG10" i="26"/>
  <c r="AG46" i="26" s="1"/>
  <c r="AQ2" i="8"/>
  <c r="G10" i="8"/>
  <c r="K10" i="8"/>
  <c r="G33" i="8"/>
  <c r="K33" i="8"/>
  <c r="AJ7" i="8"/>
  <c r="G29" i="8"/>
  <c r="K29" i="8"/>
  <c r="K24" i="8"/>
  <c r="G24" i="8"/>
  <c r="K32" i="8"/>
  <c r="M32" i="8" s="1"/>
  <c r="G32" i="8"/>
  <c r="K25" i="8"/>
  <c r="M25" i="8" s="1"/>
  <c r="G25" i="8"/>
  <c r="O11" i="8"/>
  <c r="O25" i="8"/>
  <c r="O14" i="8"/>
  <c r="G26" i="8"/>
  <c r="K26" i="8"/>
  <c r="G18" i="8"/>
  <c r="K18" i="8"/>
  <c r="L25" i="8"/>
  <c r="K30" i="8"/>
  <c r="G30" i="8"/>
  <c r="DU7" i="8"/>
  <c r="G27" i="8"/>
  <c r="K27" i="8"/>
  <c r="G22" i="8"/>
  <c r="K22" i="8"/>
  <c r="O28" i="8"/>
  <c r="O23" i="8"/>
  <c r="G15" i="8"/>
  <c r="K15" i="8"/>
  <c r="G19" i="8"/>
  <c r="K19" i="8"/>
  <c r="M19" i="8" s="1"/>
  <c r="G9" i="8"/>
  <c r="K9" i="8"/>
  <c r="K21" i="8"/>
  <c r="M21" i="8" s="1"/>
  <c r="G21" i="8"/>
  <c r="G11" i="8"/>
  <c r="K11" i="8"/>
  <c r="M11" i="8" s="1"/>
  <c r="K20" i="8"/>
  <c r="G20" i="8"/>
  <c r="K14" i="8"/>
  <c r="M14" i="8" s="1"/>
  <c r="G14" i="8"/>
  <c r="G13" i="8"/>
  <c r="K13" i="8"/>
  <c r="M13" i="8" s="1"/>
  <c r="O21" i="8"/>
  <c r="K16" i="8"/>
  <c r="G16" i="8"/>
  <c r="G12" i="8"/>
  <c r="K12" i="8"/>
  <c r="AK7" i="8"/>
  <c r="K23" i="8"/>
  <c r="M23" i="8" s="1"/>
  <c r="G23" i="8"/>
  <c r="F12" i="8"/>
  <c r="F7" i="8" s="1"/>
  <c r="DT7" i="8"/>
  <c r="L21" i="8"/>
  <c r="G34" i="8"/>
  <c r="K34" i="8"/>
  <c r="G28" i="8"/>
  <c r="K28" i="8"/>
  <c r="M28" i="8" s="1"/>
  <c r="G31" i="8"/>
  <c r="K31" i="8"/>
  <c r="K17" i="8"/>
  <c r="G17" i="8"/>
  <c r="O32" i="8"/>
  <c r="L13" i="8"/>
  <c r="O19" i="8"/>
  <c r="DO9" i="7"/>
  <c r="DO7" i="7" s="1"/>
  <c r="DN9" i="7"/>
  <c r="DN7" i="7" s="1"/>
  <c r="DM9" i="7"/>
  <c r="DK9" i="7"/>
  <c r="DK7" i="7" s="1"/>
  <c r="AG27" i="26" s="1"/>
  <c r="DJ9" i="7"/>
  <c r="DJ7" i="7" s="1"/>
  <c r="DE9" i="7"/>
  <c r="DE7" i="7" s="1"/>
  <c r="AE27" i="26" s="1"/>
  <c r="DD9" i="7"/>
  <c r="DD7" i="7" s="1"/>
  <c r="CY9" i="7"/>
  <c r="CY7" i="7" s="1"/>
  <c r="AC27" i="26" s="1"/>
  <c r="CX9" i="7"/>
  <c r="CX7" i="7" s="1"/>
  <c r="CS9" i="7"/>
  <c r="CS7" i="7" s="1"/>
  <c r="AA27" i="26" s="1"/>
  <c r="CR9" i="7"/>
  <c r="CR7" i="7" s="1"/>
  <c r="CM9" i="7"/>
  <c r="CM7" i="7" s="1"/>
  <c r="Y27" i="26" s="1"/>
  <c r="CL9" i="7"/>
  <c r="CL7" i="7" s="1"/>
  <c r="CG9" i="7"/>
  <c r="CG7" i="7" s="1"/>
  <c r="W27" i="26" s="1"/>
  <c r="CF9" i="7"/>
  <c r="CF7" i="7" s="1"/>
  <c r="CA9" i="7"/>
  <c r="CA7" i="7" s="1"/>
  <c r="U27" i="26" s="1"/>
  <c r="BY9" i="7"/>
  <c r="BY7" i="7" s="1"/>
  <c r="BT9" i="7"/>
  <c r="BT7" i="7" s="1"/>
  <c r="S27" i="26" s="1"/>
  <c r="BR9" i="7"/>
  <c r="BR7" i="7" s="1"/>
  <c r="BM9" i="7"/>
  <c r="BM7" i="7" s="1"/>
  <c r="Q27" i="26" s="1"/>
  <c r="BK9" i="7"/>
  <c r="BK7" i="7" s="1"/>
  <c r="BF9" i="7"/>
  <c r="BF7" i="7" s="1"/>
  <c r="O27" i="26" s="1"/>
  <c r="BD9" i="7"/>
  <c r="BD7" i="7" s="1"/>
  <c r="AY9" i="7"/>
  <c r="AY7" i="7" s="1"/>
  <c r="M27" i="26" s="1"/>
  <c r="AX9" i="7"/>
  <c r="AX7" i="7" s="1"/>
  <c r="AS9" i="7"/>
  <c r="AS7" i="7" s="1"/>
  <c r="K27" i="26" s="1"/>
  <c r="AR9" i="7"/>
  <c r="AR7" i="7" s="1"/>
  <c r="AK9" i="7"/>
  <c r="AJ9" i="7"/>
  <c r="AJ7" i="7" s="1"/>
  <c r="AI9" i="7"/>
  <c r="AI7" i="7" s="1"/>
  <c r="AH9" i="7"/>
  <c r="AH7" i="7" s="1"/>
  <c r="AG9" i="7"/>
  <c r="AG7" i="7" s="1"/>
  <c r="AF9" i="7"/>
  <c r="AF7" i="7" s="1"/>
  <c r="AA9" i="7"/>
  <c r="AA7" i="7" s="1"/>
  <c r="Z9" i="7"/>
  <c r="Z7" i="7" s="1"/>
  <c r="U9" i="7"/>
  <c r="U7" i="7" s="1"/>
  <c r="T9" i="7"/>
  <c r="T7" i="7" s="1"/>
  <c r="DP13" i="6"/>
  <c r="DO13" i="6"/>
  <c r="DN13" i="6"/>
  <c r="DM13" i="6"/>
  <c r="DL13" i="6"/>
  <c r="DK13" i="6"/>
  <c r="DF13" i="6"/>
  <c r="DE13" i="6"/>
  <c r="CZ13" i="6"/>
  <c r="CY13" i="6"/>
  <c r="CT13" i="6"/>
  <c r="CS13" i="6"/>
  <c r="CN13" i="6"/>
  <c r="CM13" i="6"/>
  <c r="CH13" i="6"/>
  <c r="CF13" i="6"/>
  <c r="CA13" i="6"/>
  <c r="BY13" i="6"/>
  <c r="BT13" i="6"/>
  <c r="BR13" i="6"/>
  <c r="BM13" i="6"/>
  <c r="BK13" i="6"/>
  <c r="BF13" i="6"/>
  <c r="BD13" i="6"/>
  <c r="AY13" i="6"/>
  <c r="AX13" i="6"/>
  <c r="AS13" i="6"/>
  <c r="AR13" i="6"/>
  <c r="AK13" i="6"/>
  <c r="AJ13" i="6"/>
  <c r="AI13" i="6"/>
  <c r="AH13" i="6"/>
  <c r="AG13" i="6"/>
  <c r="AF13" i="6"/>
  <c r="AA13" i="6"/>
  <c r="Z13" i="6"/>
  <c r="U13" i="6"/>
  <c r="T13" i="6"/>
  <c r="DP12" i="6"/>
  <c r="DO12" i="6"/>
  <c r="DN12" i="6"/>
  <c r="DM12" i="6"/>
  <c r="DL12" i="6"/>
  <c r="DK12" i="6"/>
  <c r="DF12" i="6"/>
  <c r="DE12" i="6"/>
  <c r="CZ12" i="6"/>
  <c r="CY12" i="6"/>
  <c r="CT12" i="6"/>
  <c r="CS12" i="6"/>
  <c r="CN12" i="6"/>
  <c r="CM12" i="6"/>
  <c r="CH12" i="6"/>
  <c r="CF12" i="6"/>
  <c r="CA12" i="6"/>
  <c r="BY12" i="6"/>
  <c r="BT12" i="6"/>
  <c r="BR12" i="6"/>
  <c r="BM12" i="6"/>
  <c r="BK12" i="6"/>
  <c r="BF12" i="6"/>
  <c r="BD12" i="6"/>
  <c r="AY12" i="6"/>
  <c r="AX12" i="6"/>
  <c r="AS12" i="6"/>
  <c r="AR12" i="6"/>
  <c r="AK12" i="6"/>
  <c r="AJ12" i="6"/>
  <c r="AI12" i="6"/>
  <c r="AH12" i="6"/>
  <c r="AG12" i="6"/>
  <c r="AF12" i="6"/>
  <c r="AA12" i="6"/>
  <c r="Z12" i="6"/>
  <c r="U12" i="6"/>
  <c r="T12" i="6"/>
  <c r="DP11" i="6"/>
  <c r="DO11" i="6"/>
  <c r="DN11" i="6"/>
  <c r="DM11" i="6"/>
  <c r="DL11" i="6"/>
  <c r="DK11" i="6"/>
  <c r="DF11" i="6"/>
  <c r="DE11" i="6"/>
  <c r="CZ11" i="6"/>
  <c r="CY11" i="6"/>
  <c r="CT11" i="6"/>
  <c r="CS11" i="6"/>
  <c r="CN11" i="6"/>
  <c r="CM11" i="6"/>
  <c r="CH11" i="6"/>
  <c r="CF11" i="6"/>
  <c r="CA11" i="6"/>
  <c r="BY11" i="6"/>
  <c r="BT11" i="6"/>
  <c r="BR11" i="6"/>
  <c r="BM11" i="6"/>
  <c r="BK11" i="6"/>
  <c r="BF11" i="6"/>
  <c r="BD11" i="6"/>
  <c r="AY11" i="6"/>
  <c r="AX11" i="6"/>
  <c r="AS11" i="6"/>
  <c r="AR11" i="6"/>
  <c r="AK11" i="6"/>
  <c r="AJ11" i="6"/>
  <c r="AI11" i="6"/>
  <c r="AH11" i="6"/>
  <c r="AG11" i="6"/>
  <c r="AF11" i="6"/>
  <c r="AA11" i="6"/>
  <c r="Z11" i="6"/>
  <c r="U11" i="6"/>
  <c r="T11" i="6"/>
  <c r="DP10" i="6"/>
  <c r="DO10" i="6"/>
  <c r="DN10" i="6"/>
  <c r="DM10" i="6"/>
  <c r="DL10" i="6"/>
  <c r="DK10" i="6"/>
  <c r="DF10" i="6"/>
  <c r="DE10" i="6"/>
  <c r="CZ10" i="6"/>
  <c r="CY10" i="6"/>
  <c r="CT10" i="6"/>
  <c r="CS10" i="6"/>
  <c r="CN10" i="6"/>
  <c r="CM10" i="6"/>
  <c r="CH10" i="6"/>
  <c r="CF10" i="6"/>
  <c r="CA10" i="6"/>
  <c r="BY10" i="6"/>
  <c r="BT10" i="6"/>
  <c r="BR10" i="6"/>
  <c r="BM10" i="6"/>
  <c r="BK10" i="6"/>
  <c r="BF10" i="6"/>
  <c r="BD10" i="6"/>
  <c r="AY10" i="6"/>
  <c r="AX10" i="6"/>
  <c r="AS10" i="6"/>
  <c r="AR10" i="6"/>
  <c r="AK10" i="6"/>
  <c r="AJ10" i="6"/>
  <c r="AI10" i="6"/>
  <c r="AH10" i="6"/>
  <c r="AG10" i="6"/>
  <c r="AF10" i="6"/>
  <c r="AA10" i="6"/>
  <c r="Z10" i="6"/>
  <c r="U10" i="6"/>
  <c r="T10" i="6"/>
  <c r="DP9" i="6"/>
  <c r="DO9" i="6"/>
  <c r="DN9" i="6"/>
  <c r="DM9" i="6"/>
  <c r="DL9" i="6"/>
  <c r="DK9" i="6"/>
  <c r="DF9" i="6"/>
  <c r="DE9" i="6"/>
  <c r="CZ9" i="6"/>
  <c r="CY9" i="6"/>
  <c r="CT9" i="6"/>
  <c r="CS9" i="6"/>
  <c r="CN9" i="6"/>
  <c r="CM9" i="6"/>
  <c r="CH9" i="6"/>
  <c r="CF9" i="6"/>
  <c r="CA9" i="6"/>
  <c r="BY9" i="6"/>
  <c r="BT9" i="6"/>
  <c r="BR9" i="6"/>
  <c r="BM9" i="6"/>
  <c r="BK9" i="6"/>
  <c r="BF9" i="6"/>
  <c r="BD9" i="6"/>
  <c r="AY9" i="6"/>
  <c r="AX9" i="6"/>
  <c r="AS9" i="6"/>
  <c r="AR9" i="6"/>
  <c r="AK9" i="6"/>
  <c r="AJ9" i="6"/>
  <c r="AI9" i="6"/>
  <c r="AH9" i="6"/>
  <c r="AG9" i="6"/>
  <c r="AF9" i="6"/>
  <c r="AA9" i="6"/>
  <c r="Z9" i="6"/>
  <c r="U9" i="6"/>
  <c r="T9" i="6"/>
  <c r="DR10" i="6" l="1"/>
  <c r="BK7" i="6"/>
  <c r="AL12" i="6"/>
  <c r="DK7" i="6"/>
  <c r="AL10" i="6"/>
  <c r="CA7" i="6"/>
  <c r="U9" i="26" s="1"/>
  <c r="U45" i="26" s="1"/>
  <c r="DR12" i="6"/>
  <c r="AI10" i="26"/>
  <c r="G10" i="26"/>
  <c r="M46" i="26"/>
  <c r="AI46" i="26" s="1"/>
  <c r="AI27" i="26"/>
  <c r="G27" i="26"/>
  <c r="I27" i="26" s="1"/>
  <c r="CF7" i="6"/>
  <c r="DQ11" i="6"/>
  <c r="AL13" i="6"/>
  <c r="AM13" i="6"/>
  <c r="M13" i="6" s="1"/>
  <c r="O13" i="6" s="1"/>
  <c r="BT7" i="6"/>
  <c r="S9" i="26" s="1"/>
  <c r="S45" i="26" s="1"/>
  <c r="BY7" i="6"/>
  <c r="AR7" i="6"/>
  <c r="L7" i="8"/>
  <c r="N32" i="8"/>
  <c r="N23" i="8"/>
  <c r="N14" i="8"/>
  <c r="CY7" i="6"/>
  <c r="DE7" i="6"/>
  <c r="N25" i="8"/>
  <c r="T7" i="6"/>
  <c r="BM7" i="6"/>
  <c r="BR7" i="6"/>
  <c r="CH7" i="6"/>
  <c r="W9" i="26" s="1"/>
  <c r="W45" i="26" s="1"/>
  <c r="CM7" i="6"/>
  <c r="CN7" i="6"/>
  <c r="Y9" i="26" s="1"/>
  <c r="Y45" i="26" s="1"/>
  <c r="CS7" i="6"/>
  <c r="DQ13" i="6"/>
  <c r="F13" i="6" s="1"/>
  <c r="CT7" i="6"/>
  <c r="AA9" i="26" s="1"/>
  <c r="AA45" i="26" s="1"/>
  <c r="N12" i="6"/>
  <c r="DR13" i="6"/>
  <c r="Z7" i="6"/>
  <c r="N11" i="6"/>
  <c r="AA7" i="6"/>
  <c r="DN7" i="6"/>
  <c r="N13" i="8"/>
  <c r="U7" i="6"/>
  <c r="DQ9" i="7"/>
  <c r="DQ7" i="7" s="1"/>
  <c r="DM7" i="7"/>
  <c r="AF7" i="6"/>
  <c r="N9" i="7"/>
  <c r="N7" i="7" s="1"/>
  <c r="AK7" i="7"/>
  <c r="DL7" i="6"/>
  <c r="AG9" i="26" s="1"/>
  <c r="AG45" i="26" s="1"/>
  <c r="DP9" i="7"/>
  <c r="DL7" i="7"/>
  <c r="AJ7" i="6"/>
  <c r="AL9" i="7"/>
  <c r="AL7" i="7" s="1"/>
  <c r="DQ10" i="6"/>
  <c r="F10" i="6" s="1"/>
  <c r="AS7" i="6"/>
  <c r="K9" i="26" s="1"/>
  <c r="AX7" i="6"/>
  <c r="AY7" i="6"/>
  <c r="CZ7" i="6"/>
  <c r="AC9" i="26" s="1"/>
  <c r="AC45" i="26" s="1"/>
  <c r="DF7" i="6"/>
  <c r="AE9" i="26" s="1"/>
  <c r="AI7" i="6"/>
  <c r="DO7" i="6"/>
  <c r="AH7" i="6"/>
  <c r="AG7" i="6"/>
  <c r="BD7" i="6"/>
  <c r="BF7" i="6"/>
  <c r="BF2" i="6" s="1"/>
  <c r="N28" i="8"/>
  <c r="DR9" i="6"/>
  <c r="DP7" i="6"/>
  <c r="AM9" i="7"/>
  <c r="N21" i="8"/>
  <c r="N11" i="8"/>
  <c r="N19" i="8"/>
  <c r="F11" i="6"/>
  <c r="DM7" i="6"/>
  <c r="AK7" i="6"/>
  <c r="M24" i="8"/>
  <c r="N24" i="8" s="1"/>
  <c r="O24" i="8"/>
  <c r="M30" i="8"/>
  <c r="N30" i="8" s="1"/>
  <c r="O30" i="8"/>
  <c r="M29" i="8"/>
  <c r="N29" i="8" s="1"/>
  <c r="O29" i="8"/>
  <c r="M34" i="8"/>
  <c r="N34" i="8" s="1"/>
  <c r="O34" i="8"/>
  <c r="M12" i="8"/>
  <c r="N12" i="8" s="1"/>
  <c r="K7" i="8"/>
  <c r="O12" i="8"/>
  <c r="M9" i="8"/>
  <c r="N9" i="8" s="1"/>
  <c r="O9" i="8"/>
  <c r="M22" i="8"/>
  <c r="N22" i="8" s="1"/>
  <c r="O22" i="8"/>
  <c r="M18" i="8"/>
  <c r="N18" i="8" s="1"/>
  <c r="O18" i="8"/>
  <c r="G7" i="8"/>
  <c r="M33" i="8"/>
  <c r="N33" i="8" s="1"/>
  <c r="O33" i="8"/>
  <c r="M27" i="8"/>
  <c r="N27" i="8" s="1"/>
  <c r="O27" i="8"/>
  <c r="M26" i="8"/>
  <c r="N26" i="8" s="1"/>
  <c r="O26" i="8"/>
  <c r="M17" i="8"/>
  <c r="N17" i="8" s="1"/>
  <c r="O17" i="8"/>
  <c r="M16" i="8"/>
  <c r="N16" i="8" s="1"/>
  <c r="O16" i="8"/>
  <c r="M20" i="8"/>
  <c r="N20" i="8" s="1"/>
  <c r="O20" i="8"/>
  <c r="M10" i="8"/>
  <c r="N10" i="8" s="1"/>
  <c r="O10" i="8"/>
  <c r="M31" i="8"/>
  <c r="N31" i="8" s="1"/>
  <c r="O31" i="8"/>
  <c r="M15" i="8"/>
  <c r="N15" i="8" s="1"/>
  <c r="O15" i="8"/>
  <c r="AM9" i="6"/>
  <c r="AL9" i="6"/>
  <c r="DQ12" i="6"/>
  <c r="DQ9" i="6"/>
  <c r="F9" i="6" s="1"/>
  <c r="DR11" i="6"/>
  <c r="AM10" i="6"/>
  <c r="N10" i="6" s="1"/>
  <c r="AL11" i="6"/>
  <c r="AM12" i="6"/>
  <c r="M12" i="6" s="1"/>
  <c r="O12" i="6" s="1"/>
  <c r="AM11" i="6"/>
  <c r="M11" i="6" s="1"/>
  <c r="O11" i="6" s="1"/>
  <c r="I10" i="26" l="1"/>
  <c r="I46" i="26" s="1"/>
  <c r="AE45" i="26"/>
  <c r="K45" i="26"/>
  <c r="Q9" i="26"/>
  <c r="BM2" i="6"/>
  <c r="O9" i="26"/>
  <c r="AY2" i="6"/>
  <c r="M9" i="26"/>
  <c r="G46" i="26"/>
  <c r="Q12" i="6"/>
  <c r="AL7" i="6"/>
  <c r="N13" i="6"/>
  <c r="Q13" i="6"/>
  <c r="Q11" i="6"/>
  <c r="DP7" i="7"/>
  <c r="F9" i="7"/>
  <c r="F7" i="7" s="1"/>
  <c r="M9" i="7"/>
  <c r="AM7" i="7"/>
  <c r="I9" i="7"/>
  <c r="DR7" i="6"/>
  <c r="I13" i="6"/>
  <c r="P13" i="6" s="1"/>
  <c r="I11" i="6"/>
  <c r="P11" i="6" s="1"/>
  <c r="N7" i="8"/>
  <c r="F12" i="6"/>
  <c r="F7" i="6" s="1"/>
  <c r="DQ7" i="6"/>
  <c r="I12" i="6"/>
  <c r="P12" i="6" s="1"/>
  <c r="I9" i="6"/>
  <c r="M9" i="6"/>
  <c r="N9" i="6"/>
  <c r="I10" i="6"/>
  <c r="M10" i="6"/>
  <c r="AM7" i="6"/>
  <c r="Q10" i="6"/>
  <c r="O7" i="8"/>
  <c r="M7" i="8"/>
  <c r="DI11" i="5"/>
  <c r="DH11" i="5"/>
  <c r="DG11" i="5"/>
  <c r="DK11" i="5" s="1"/>
  <c r="DF11" i="5"/>
  <c r="DE11" i="5"/>
  <c r="DD11" i="5"/>
  <c r="CY11" i="5"/>
  <c r="CX11" i="5"/>
  <c r="CS11" i="5"/>
  <c r="CR11" i="5"/>
  <c r="CM11" i="5"/>
  <c r="CL11" i="5"/>
  <c r="CG11" i="5"/>
  <c r="CF11" i="5"/>
  <c r="CA11" i="5"/>
  <c r="BZ11" i="5"/>
  <c r="BU11" i="5"/>
  <c r="BT11" i="5"/>
  <c r="BO11" i="5"/>
  <c r="BN11" i="5"/>
  <c r="BI11" i="5"/>
  <c r="BH11" i="5"/>
  <c r="BC11" i="5"/>
  <c r="BB11" i="5"/>
  <c r="AW11" i="5"/>
  <c r="AV11" i="5"/>
  <c r="AQ11" i="5"/>
  <c r="AP11" i="5"/>
  <c r="AI11" i="5"/>
  <c r="AH11" i="5"/>
  <c r="AG11" i="5"/>
  <c r="AF11" i="5"/>
  <c r="AJ11" i="5" s="1"/>
  <c r="AE11" i="5"/>
  <c r="AD11" i="5"/>
  <c r="Y11" i="5"/>
  <c r="X11" i="5"/>
  <c r="S11" i="5"/>
  <c r="R11" i="5"/>
  <c r="DI10" i="5"/>
  <c r="DH10" i="5"/>
  <c r="DG10" i="5"/>
  <c r="DK10" i="5" s="1"/>
  <c r="DF10" i="5"/>
  <c r="DJ10" i="5" s="1"/>
  <c r="F10" i="5" s="1"/>
  <c r="DE10" i="5"/>
  <c r="DD10" i="5"/>
  <c r="CY10" i="5"/>
  <c r="CX10" i="5"/>
  <c r="CS10" i="5"/>
  <c r="CR10" i="5"/>
  <c r="CM10" i="5"/>
  <c r="CL10" i="5"/>
  <c r="CG10" i="5"/>
  <c r="CF10" i="5"/>
  <c r="CA10" i="5"/>
  <c r="BZ10" i="5"/>
  <c r="BU10" i="5"/>
  <c r="BT10" i="5"/>
  <c r="BO10" i="5"/>
  <c r="BN10" i="5"/>
  <c r="BI10" i="5"/>
  <c r="BH10" i="5"/>
  <c r="BC10" i="5"/>
  <c r="BB10" i="5"/>
  <c r="AW10" i="5"/>
  <c r="AV10" i="5"/>
  <c r="AQ10" i="5"/>
  <c r="AP10" i="5"/>
  <c r="AI10" i="5"/>
  <c r="AH10" i="5"/>
  <c r="AJ10" i="5" s="1"/>
  <c r="AG10" i="5"/>
  <c r="AF10" i="5"/>
  <c r="AE10" i="5"/>
  <c r="AD10" i="5"/>
  <c r="Y10" i="5"/>
  <c r="X10" i="5"/>
  <c r="S10" i="5"/>
  <c r="R10" i="5"/>
  <c r="DI9" i="5"/>
  <c r="DH9" i="5"/>
  <c r="DH7" i="5" s="1"/>
  <c r="DG9" i="5"/>
  <c r="DF9" i="5"/>
  <c r="DE9" i="5"/>
  <c r="DD9" i="5"/>
  <c r="CY9" i="5"/>
  <c r="CX9" i="5"/>
  <c r="CS9" i="5"/>
  <c r="CR9" i="5"/>
  <c r="CM9" i="5"/>
  <c r="CL9" i="5"/>
  <c r="CG9" i="5"/>
  <c r="CF9" i="5"/>
  <c r="CA9" i="5"/>
  <c r="BZ9" i="5"/>
  <c r="BU9" i="5"/>
  <c r="BT9" i="5"/>
  <c r="BT7" i="5" s="1"/>
  <c r="BO9" i="5"/>
  <c r="BN9" i="5"/>
  <c r="BN7" i="5" s="1"/>
  <c r="BI9" i="5"/>
  <c r="BH9" i="5"/>
  <c r="BH7" i="5" s="1"/>
  <c r="BC9" i="5"/>
  <c r="BC7" i="5" s="1"/>
  <c r="BB9" i="5"/>
  <c r="BB7" i="5" s="1"/>
  <c r="AW9" i="5"/>
  <c r="AW7" i="5" s="1"/>
  <c r="AV9" i="5"/>
  <c r="AQ9" i="5"/>
  <c r="AP9" i="5"/>
  <c r="AI9" i="5"/>
  <c r="AH9" i="5"/>
  <c r="AH7" i="5" s="1"/>
  <c r="AG9" i="5"/>
  <c r="AG7" i="5" s="1"/>
  <c r="AF9" i="5"/>
  <c r="AF7" i="5" s="1"/>
  <c r="AE9" i="5"/>
  <c r="AE7" i="5" s="1"/>
  <c r="AD9" i="5"/>
  <c r="AD7" i="5" s="1"/>
  <c r="Y9" i="5"/>
  <c r="X9" i="5"/>
  <c r="S9" i="5"/>
  <c r="R9" i="5"/>
  <c r="DK12" i="4"/>
  <c r="DJ12" i="4"/>
  <c r="DI12" i="4"/>
  <c r="DH12" i="4"/>
  <c r="DG12" i="4"/>
  <c r="DF12" i="4"/>
  <c r="DA12" i="4"/>
  <c r="CZ12" i="4"/>
  <c r="CU12" i="4"/>
  <c r="CT12" i="4"/>
  <c r="CO12" i="4"/>
  <c r="CN12" i="4"/>
  <c r="CI12" i="4"/>
  <c r="CH12" i="4"/>
  <c r="CC12" i="4"/>
  <c r="CB12" i="4"/>
  <c r="BW12" i="4"/>
  <c r="BV12" i="4"/>
  <c r="BQ12" i="4"/>
  <c r="BP12" i="4"/>
  <c r="BK12" i="4"/>
  <c r="BI12" i="4"/>
  <c r="BD12" i="4"/>
  <c r="BB12" i="4"/>
  <c r="AW12" i="4"/>
  <c r="AV12" i="4"/>
  <c r="AQ12" i="4"/>
  <c r="AP12" i="4"/>
  <c r="AI12" i="4"/>
  <c r="L12" i="4" s="1"/>
  <c r="AH12" i="4"/>
  <c r="AG12" i="4"/>
  <c r="AF12" i="4"/>
  <c r="AE12" i="4"/>
  <c r="AD12" i="4"/>
  <c r="Y12" i="4"/>
  <c r="X12" i="4"/>
  <c r="S12" i="4"/>
  <c r="R12" i="4"/>
  <c r="DK11" i="4"/>
  <c r="DJ11" i="4"/>
  <c r="DI11" i="4"/>
  <c r="DH11" i="4"/>
  <c r="DL11" i="4" s="1"/>
  <c r="F11" i="4" s="1"/>
  <c r="DG11" i="4"/>
  <c r="DF11" i="4"/>
  <c r="DA11" i="4"/>
  <c r="CZ11" i="4"/>
  <c r="CU11" i="4"/>
  <c r="CT11" i="4"/>
  <c r="CO11" i="4"/>
  <c r="CN11" i="4"/>
  <c r="CI11" i="4"/>
  <c r="CH11" i="4"/>
  <c r="CC11" i="4"/>
  <c r="CB11" i="4"/>
  <c r="BW11" i="4"/>
  <c r="BV11" i="4"/>
  <c r="BQ11" i="4"/>
  <c r="BP11" i="4"/>
  <c r="BK11" i="4"/>
  <c r="BI11" i="4"/>
  <c r="BD11" i="4"/>
  <c r="BB11" i="4"/>
  <c r="AW11" i="4"/>
  <c r="AV11" i="4"/>
  <c r="AQ11" i="4"/>
  <c r="AP11" i="4"/>
  <c r="AI11" i="4"/>
  <c r="AH11" i="4"/>
  <c r="AG11" i="4"/>
  <c r="AK11" i="4" s="1"/>
  <c r="AF11" i="4"/>
  <c r="AE11" i="4"/>
  <c r="AD11" i="4"/>
  <c r="Y11" i="4"/>
  <c r="X11" i="4"/>
  <c r="S11" i="4"/>
  <c r="R11" i="4"/>
  <c r="DK10" i="4"/>
  <c r="DJ10" i="4"/>
  <c r="DI10" i="4"/>
  <c r="DH10" i="4"/>
  <c r="DG10" i="4"/>
  <c r="DF10" i="4"/>
  <c r="DA10" i="4"/>
  <c r="CZ10" i="4"/>
  <c r="CU10" i="4"/>
  <c r="CT10" i="4"/>
  <c r="CO10" i="4"/>
  <c r="CN10" i="4"/>
  <c r="CI10" i="4"/>
  <c r="CH10" i="4"/>
  <c r="CC10" i="4"/>
  <c r="CB10" i="4"/>
  <c r="BW10" i="4"/>
  <c r="BV10" i="4"/>
  <c r="BQ10" i="4"/>
  <c r="BP10" i="4"/>
  <c r="BK10" i="4"/>
  <c r="BI10" i="4"/>
  <c r="BD10" i="4"/>
  <c r="BB10" i="4"/>
  <c r="AW10" i="4"/>
  <c r="AV10" i="4"/>
  <c r="AQ10" i="4"/>
  <c r="AP10" i="4"/>
  <c r="AI10" i="4"/>
  <c r="AH10" i="4"/>
  <c r="AG10" i="4"/>
  <c r="AF10" i="4"/>
  <c r="AE10" i="4"/>
  <c r="AD10" i="4"/>
  <c r="Y10" i="4"/>
  <c r="X10" i="4"/>
  <c r="S10" i="4"/>
  <c r="R10" i="4"/>
  <c r="DK9" i="4"/>
  <c r="DJ9" i="4"/>
  <c r="DI9" i="4"/>
  <c r="DH9" i="4"/>
  <c r="DG9" i="4"/>
  <c r="DF9" i="4"/>
  <c r="DA9" i="4"/>
  <c r="CZ9" i="4"/>
  <c r="CU9" i="4"/>
  <c r="CT9" i="4"/>
  <c r="CO9" i="4"/>
  <c r="CN9" i="4"/>
  <c r="CI9" i="4"/>
  <c r="CH9" i="4"/>
  <c r="CC9" i="4"/>
  <c r="CB9" i="4"/>
  <c r="BW9" i="4"/>
  <c r="BV9" i="4"/>
  <c r="BQ9" i="4"/>
  <c r="BP9" i="4"/>
  <c r="BK9" i="4"/>
  <c r="BI9" i="4"/>
  <c r="BD9" i="4"/>
  <c r="BB9" i="4"/>
  <c r="AW9" i="4"/>
  <c r="AV9" i="4"/>
  <c r="AQ9" i="4"/>
  <c r="AP9" i="4"/>
  <c r="AI9" i="4"/>
  <c r="AH9" i="4"/>
  <c r="AG9" i="4"/>
  <c r="AF9" i="4"/>
  <c r="AE9" i="4"/>
  <c r="AD9" i="4"/>
  <c r="Y9" i="4"/>
  <c r="X9" i="4"/>
  <c r="S9" i="4"/>
  <c r="R9" i="4"/>
  <c r="CT7" i="4" l="1"/>
  <c r="Q45" i="26"/>
  <c r="O45" i="26"/>
  <c r="AI9" i="26"/>
  <c r="G9" i="26"/>
  <c r="M45" i="26"/>
  <c r="N7" i="6"/>
  <c r="DM11" i="4"/>
  <c r="AK9" i="4"/>
  <c r="CZ7" i="4"/>
  <c r="DA7" i="4"/>
  <c r="AE8" i="26" s="1"/>
  <c r="DF7" i="4"/>
  <c r="AH7" i="4"/>
  <c r="DM10" i="4"/>
  <c r="X7" i="4"/>
  <c r="DL9" i="4"/>
  <c r="F9" i="4" s="1"/>
  <c r="S7" i="4"/>
  <c r="DG7" i="4"/>
  <c r="AG8" i="26" s="1"/>
  <c r="BI7" i="5"/>
  <c r="Y7" i="4"/>
  <c r="Y7" i="5"/>
  <c r="BO7" i="5"/>
  <c r="DG7" i="5"/>
  <c r="CU7" i="4"/>
  <c r="AC8" i="26" s="1"/>
  <c r="AK10" i="4"/>
  <c r="K10" i="4" s="1"/>
  <c r="M10" i="4" s="1"/>
  <c r="DI7" i="5"/>
  <c r="AI7" i="5"/>
  <c r="DM9" i="4"/>
  <c r="DI7" i="4"/>
  <c r="AD7" i="4"/>
  <c r="AP7" i="5"/>
  <c r="AQ7" i="5"/>
  <c r="AJ9" i="5"/>
  <c r="AJ7" i="5" s="1"/>
  <c r="DK7" i="4"/>
  <c r="AJ9" i="4"/>
  <c r="AV7" i="5"/>
  <c r="AQ7" i="4"/>
  <c r="AW7" i="4"/>
  <c r="BZ7" i="5"/>
  <c r="DJ9" i="5"/>
  <c r="DF7" i="5"/>
  <c r="L10" i="4"/>
  <c r="CL7" i="5"/>
  <c r="DJ11" i="5"/>
  <c r="F11" i="5" s="1"/>
  <c r="BI7" i="4"/>
  <c r="BP7" i="4"/>
  <c r="I7" i="7"/>
  <c r="AK11" i="5"/>
  <c r="L11" i="5" s="1"/>
  <c r="CA7" i="5"/>
  <c r="CF7" i="5"/>
  <c r="G11" i="4"/>
  <c r="K11" i="4"/>
  <c r="M11" i="4" s="1"/>
  <c r="BW7" i="4"/>
  <c r="U8" i="26" s="1"/>
  <c r="CB7" i="4"/>
  <c r="DM12" i="4"/>
  <c r="CR7" i="5"/>
  <c r="BB7" i="4"/>
  <c r="CM7" i="5"/>
  <c r="DL12" i="4"/>
  <c r="F12" i="4" s="1"/>
  <c r="CS7" i="5"/>
  <c r="I7" i="6"/>
  <c r="M7" i="7"/>
  <c r="O9" i="7"/>
  <c r="O7" i="7" s="1"/>
  <c r="Q9" i="7"/>
  <c r="Q7" i="7" s="1"/>
  <c r="BK7" i="4"/>
  <c r="AP7" i="4"/>
  <c r="BQ7" i="4"/>
  <c r="S8" i="26" s="1"/>
  <c r="AJ11" i="4"/>
  <c r="CX7" i="5"/>
  <c r="G9" i="4"/>
  <c r="K9" i="4"/>
  <c r="M9" i="4" s="1"/>
  <c r="AI7" i="4"/>
  <c r="O9" i="4"/>
  <c r="L9" i="4"/>
  <c r="DH7" i="4"/>
  <c r="AV7" i="4"/>
  <c r="BU7" i="5"/>
  <c r="AF7" i="4"/>
  <c r="R7" i="5"/>
  <c r="CY7" i="5"/>
  <c r="BD7" i="4"/>
  <c r="O8" i="26" s="1"/>
  <c r="R7" i="4"/>
  <c r="CG7" i="5"/>
  <c r="BV7" i="4"/>
  <c r="L11" i="4"/>
  <c r="CC7" i="4"/>
  <c r="W8" i="26" s="1"/>
  <c r="CH7" i="4"/>
  <c r="AE7" i="4"/>
  <c r="CI7" i="4"/>
  <c r="Y8" i="26" s="1"/>
  <c r="CN7" i="4"/>
  <c r="S7" i="5"/>
  <c r="DD7" i="5"/>
  <c r="CO7" i="4"/>
  <c r="AA8" i="26" s="1"/>
  <c r="X7" i="5"/>
  <c r="DE7" i="5"/>
  <c r="DJ7" i="4"/>
  <c r="DL10" i="4"/>
  <c r="O9" i="6"/>
  <c r="P9" i="6" s="1"/>
  <c r="Q9" i="6"/>
  <c r="Q7" i="6" s="1"/>
  <c r="M7" i="6"/>
  <c r="O10" i="6"/>
  <c r="P10" i="6" s="1"/>
  <c r="AK12" i="4"/>
  <c r="AG7" i="4"/>
  <c r="AJ12" i="4"/>
  <c r="AK10" i="5"/>
  <c r="DK9" i="5"/>
  <c r="DK7" i="5" s="1"/>
  <c r="AK9" i="5"/>
  <c r="L9" i="5" s="1"/>
  <c r="AJ10" i="4"/>
  <c r="I9" i="26" l="1"/>
  <c r="I45" i="26" s="1"/>
  <c r="Q8" i="26"/>
  <c r="AI45" i="26"/>
  <c r="G45" i="26"/>
  <c r="O10" i="4"/>
  <c r="W44" i="26"/>
  <c r="AC44" i="26"/>
  <c r="U44" i="26"/>
  <c r="Y44" i="26"/>
  <c r="AA44" i="26"/>
  <c r="AG44" i="26"/>
  <c r="S44" i="26"/>
  <c r="AW2" i="4"/>
  <c r="M8" i="26"/>
  <c r="AE44" i="26"/>
  <c r="K8" i="26"/>
  <c r="O44" i="26"/>
  <c r="O11" i="4"/>
  <c r="P7" i="6"/>
  <c r="G10" i="5"/>
  <c r="K10" i="5"/>
  <c r="M10" i="5" s="1"/>
  <c r="O11" i="5"/>
  <c r="DM7" i="4"/>
  <c r="O10" i="5"/>
  <c r="N11" i="4"/>
  <c r="O9" i="5"/>
  <c r="K11" i="5"/>
  <c r="G11" i="5"/>
  <c r="O7" i="6"/>
  <c r="AJ7" i="4"/>
  <c r="P9" i="7"/>
  <c r="P7" i="7" s="1"/>
  <c r="F9" i="5"/>
  <c r="F7" i="5" s="1"/>
  <c r="DJ7" i="5"/>
  <c r="L10" i="5"/>
  <c r="L7" i="5" s="1"/>
  <c r="N9" i="4"/>
  <c r="G9" i="5"/>
  <c r="AK7" i="5"/>
  <c r="K9" i="5"/>
  <c r="M9" i="5" s="1"/>
  <c r="L7" i="4"/>
  <c r="F10" i="4"/>
  <c r="F7" i="4" s="1"/>
  <c r="F2" i="4" s="1"/>
  <c r="DL7" i="4"/>
  <c r="G10" i="4"/>
  <c r="N10" i="4" s="1"/>
  <c r="K12" i="4"/>
  <c r="G12" i="4"/>
  <c r="AK7" i="4"/>
  <c r="Q44" i="26" l="1"/>
  <c r="AI8" i="26"/>
  <c r="M44" i="26"/>
  <c r="G8" i="26"/>
  <c r="I8" i="26" s="1"/>
  <c r="I44" i="26" s="1"/>
  <c r="K44" i="26"/>
  <c r="K7" i="5"/>
  <c r="M11" i="5"/>
  <c r="N11" i="5" s="1"/>
  <c r="O7" i="5"/>
  <c r="M7" i="5"/>
  <c r="G7" i="4"/>
  <c r="N9" i="5"/>
  <c r="G7" i="5"/>
  <c r="N10" i="5"/>
  <c r="M12" i="4"/>
  <c r="M7" i="4" s="1"/>
  <c r="O12" i="4"/>
  <c r="O7" i="4" s="1"/>
  <c r="K7" i="4"/>
  <c r="DM12" i="3"/>
  <c r="DL12" i="3"/>
  <c r="DK12" i="3"/>
  <c r="DJ12" i="3"/>
  <c r="DI12" i="3"/>
  <c r="DH12" i="3"/>
  <c r="DC12" i="3"/>
  <c r="DB12" i="3"/>
  <c r="CW12" i="3"/>
  <c r="CV12" i="3"/>
  <c r="CQ12" i="3"/>
  <c r="CP12" i="3"/>
  <c r="CK12" i="3"/>
  <c r="CJ12" i="3"/>
  <c r="CE12" i="3"/>
  <c r="CD12" i="3"/>
  <c r="BY12" i="3"/>
  <c r="BW12" i="3"/>
  <c r="BR12" i="3"/>
  <c r="BP12" i="3"/>
  <c r="BK12" i="3"/>
  <c r="BI12" i="3"/>
  <c r="BD12" i="3"/>
  <c r="BB12" i="3"/>
  <c r="AW12" i="3"/>
  <c r="AV12" i="3"/>
  <c r="AQ12" i="3"/>
  <c r="AP12" i="3"/>
  <c r="AI12" i="3"/>
  <c r="AH12" i="3"/>
  <c r="AG12" i="3"/>
  <c r="AF12" i="3"/>
  <c r="AE12" i="3"/>
  <c r="AD12" i="3"/>
  <c r="Y12" i="3"/>
  <c r="X12" i="3"/>
  <c r="S12" i="3"/>
  <c r="R12" i="3"/>
  <c r="DM11" i="3"/>
  <c r="DL11" i="3"/>
  <c r="DK11" i="3"/>
  <c r="DJ11" i="3"/>
  <c r="DI11" i="3"/>
  <c r="DH11" i="3"/>
  <c r="DC11" i="3"/>
  <c r="DB11" i="3"/>
  <c r="CW11" i="3"/>
  <c r="CV11" i="3"/>
  <c r="CQ11" i="3"/>
  <c r="CP11" i="3"/>
  <c r="CK11" i="3"/>
  <c r="CJ11" i="3"/>
  <c r="CE11" i="3"/>
  <c r="CD11" i="3"/>
  <c r="BY11" i="3"/>
  <c r="BW11" i="3"/>
  <c r="BR11" i="3"/>
  <c r="BP11" i="3"/>
  <c r="BK11" i="3"/>
  <c r="BI11" i="3"/>
  <c r="BD11" i="3"/>
  <c r="BB11" i="3"/>
  <c r="AW11" i="3"/>
  <c r="AV11" i="3"/>
  <c r="AQ11" i="3"/>
  <c r="AP11" i="3"/>
  <c r="AI11" i="3"/>
  <c r="AH11" i="3"/>
  <c r="AG11" i="3"/>
  <c r="AF11" i="3"/>
  <c r="AE11" i="3"/>
  <c r="AD11" i="3"/>
  <c r="Y11" i="3"/>
  <c r="X11" i="3"/>
  <c r="S11" i="3"/>
  <c r="R11" i="3"/>
  <c r="DM10" i="3"/>
  <c r="DL10" i="3"/>
  <c r="DK10" i="3"/>
  <c r="DJ10" i="3"/>
  <c r="DI10" i="3"/>
  <c r="DH10" i="3"/>
  <c r="DC10" i="3"/>
  <c r="DB10" i="3"/>
  <c r="CW10" i="3"/>
  <c r="CV10" i="3"/>
  <c r="CQ10" i="3"/>
  <c r="CP10" i="3"/>
  <c r="CK10" i="3"/>
  <c r="CJ10" i="3"/>
  <c r="CE10" i="3"/>
  <c r="CD10" i="3"/>
  <c r="BY10" i="3"/>
  <c r="BW10" i="3"/>
  <c r="BR10" i="3"/>
  <c r="BP10" i="3"/>
  <c r="BK10" i="3"/>
  <c r="BI10" i="3"/>
  <c r="BD10" i="3"/>
  <c r="BB10" i="3"/>
  <c r="AW10" i="3"/>
  <c r="AV10" i="3"/>
  <c r="AQ10" i="3"/>
  <c r="AP10" i="3"/>
  <c r="AI10" i="3"/>
  <c r="AH10" i="3"/>
  <c r="AG10" i="3"/>
  <c r="AF10" i="3"/>
  <c r="AE10" i="3"/>
  <c r="AD10" i="3"/>
  <c r="Y10" i="3"/>
  <c r="X10" i="3"/>
  <c r="S10" i="3"/>
  <c r="R10" i="3"/>
  <c r="DM9" i="3"/>
  <c r="DL9" i="3"/>
  <c r="DK9" i="3"/>
  <c r="DJ9" i="3"/>
  <c r="DI9" i="3"/>
  <c r="DH9" i="3"/>
  <c r="DC9" i="3"/>
  <c r="DB9" i="3"/>
  <c r="CW9" i="3"/>
  <c r="CV9" i="3"/>
  <c r="CQ9" i="3"/>
  <c r="CP9" i="3"/>
  <c r="CK9" i="3"/>
  <c r="CJ9" i="3"/>
  <c r="CE9" i="3"/>
  <c r="CD9" i="3"/>
  <c r="BY9" i="3"/>
  <c r="BW9" i="3"/>
  <c r="BR9" i="3"/>
  <c r="BP9" i="3"/>
  <c r="BK9" i="3"/>
  <c r="BI9" i="3"/>
  <c r="BD9" i="3"/>
  <c r="BB9" i="3"/>
  <c r="AW9" i="3"/>
  <c r="AV9" i="3"/>
  <c r="AQ9" i="3"/>
  <c r="AP9" i="3"/>
  <c r="AI9" i="3"/>
  <c r="AH9" i="3"/>
  <c r="AG9" i="3"/>
  <c r="AF9" i="3"/>
  <c r="AE9" i="3"/>
  <c r="AD9" i="3"/>
  <c r="Y9" i="3"/>
  <c r="X9" i="3"/>
  <c r="S9" i="3"/>
  <c r="R9" i="3"/>
  <c r="D2" i="3"/>
  <c r="DQ28" i="2"/>
  <c r="DP28" i="2"/>
  <c r="DO28" i="2"/>
  <c r="DN28" i="2"/>
  <c r="DM28" i="2"/>
  <c r="DL28" i="2"/>
  <c r="DG28" i="2"/>
  <c r="DF28" i="2"/>
  <c r="DA28" i="2"/>
  <c r="CZ28" i="2"/>
  <c r="CU28" i="2"/>
  <c r="CT28" i="2"/>
  <c r="CO28" i="2"/>
  <c r="CN28" i="2"/>
  <c r="CI28" i="2"/>
  <c r="CG28" i="2"/>
  <c r="CB28" i="2"/>
  <c r="BZ28" i="2"/>
  <c r="BU28" i="2"/>
  <c r="BS28" i="2"/>
  <c r="BN28" i="2"/>
  <c r="BL28" i="2"/>
  <c r="BG28" i="2"/>
  <c r="BE28" i="2"/>
  <c r="AZ28" i="2"/>
  <c r="AY28" i="2"/>
  <c r="AT28" i="2"/>
  <c r="AS28" i="2"/>
  <c r="AL28" i="2"/>
  <c r="AK28" i="2"/>
  <c r="AJ28" i="2"/>
  <c r="AI28" i="2"/>
  <c r="AH28" i="2"/>
  <c r="AG28" i="2"/>
  <c r="AB28" i="2"/>
  <c r="AA28" i="2"/>
  <c r="V28" i="2"/>
  <c r="DQ27" i="2"/>
  <c r="DP27" i="2"/>
  <c r="DO27" i="2"/>
  <c r="DN27" i="2"/>
  <c r="DM27" i="2"/>
  <c r="DL27" i="2"/>
  <c r="DG27" i="2"/>
  <c r="DF27" i="2"/>
  <c r="DA27" i="2"/>
  <c r="CZ27" i="2"/>
  <c r="CU27" i="2"/>
  <c r="CT27" i="2"/>
  <c r="CO27" i="2"/>
  <c r="CN27" i="2"/>
  <c r="CI27" i="2"/>
  <c r="CG27" i="2"/>
  <c r="CB27" i="2"/>
  <c r="BZ27" i="2"/>
  <c r="BU27" i="2"/>
  <c r="BS27" i="2"/>
  <c r="BN27" i="2"/>
  <c r="BL27" i="2"/>
  <c r="BG27" i="2"/>
  <c r="BE27" i="2"/>
  <c r="AZ27" i="2"/>
  <c r="AY27" i="2"/>
  <c r="AT27" i="2"/>
  <c r="AS27" i="2"/>
  <c r="AL27" i="2"/>
  <c r="AK27" i="2"/>
  <c r="AJ27" i="2"/>
  <c r="AI27" i="2"/>
  <c r="AH27" i="2"/>
  <c r="AG27" i="2"/>
  <c r="AB27" i="2"/>
  <c r="AA27" i="2"/>
  <c r="V27" i="2"/>
  <c r="DQ26" i="2"/>
  <c r="DP26" i="2"/>
  <c r="DO26" i="2"/>
  <c r="DN26" i="2"/>
  <c r="DM26" i="2"/>
  <c r="DL26" i="2"/>
  <c r="DG26" i="2"/>
  <c r="DF26" i="2"/>
  <c r="DA26" i="2"/>
  <c r="CZ26" i="2"/>
  <c r="CU26" i="2"/>
  <c r="CT26" i="2"/>
  <c r="CO26" i="2"/>
  <c r="CN26" i="2"/>
  <c r="CI26" i="2"/>
  <c r="CG26" i="2"/>
  <c r="CB26" i="2"/>
  <c r="BZ26" i="2"/>
  <c r="BU26" i="2"/>
  <c r="BS26" i="2"/>
  <c r="BN26" i="2"/>
  <c r="BL26" i="2"/>
  <c r="BG26" i="2"/>
  <c r="BE26" i="2"/>
  <c r="AZ26" i="2"/>
  <c r="AY26" i="2"/>
  <c r="AT26" i="2"/>
  <c r="AS26" i="2"/>
  <c r="AL26" i="2"/>
  <c r="AK26" i="2"/>
  <c r="AJ26" i="2"/>
  <c r="AI26" i="2"/>
  <c r="AH26" i="2"/>
  <c r="AG26" i="2"/>
  <c r="AB26" i="2"/>
  <c r="AA26" i="2"/>
  <c r="V26" i="2"/>
  <c r="DQ25" i="2"/>
  <c r="DP25" i="2"/>
  <c r="DO25" i="2"/>
  <c r="DN25" i="2"/>
  <c r="DM25" i="2"/>
  <c r="DL25" i="2"/>
  <c r="DG25" i="2"/>
  <c r="DF25" i="2"/>
  <c r="DA25" i="2"/>
  <c r="CZ25" i="2"/>
  <c r="CU25" i="2"/>
  <c r="CT25" i="2"/>
  <c r="CO25" i="2"/>
  <c r="CN25" i="2"/>
  <c r="CI25" i="2"/>
  <c r="CG25" i="2"/>
  <c r="CB25" i="2"/>
  <c r="BZ25" i="2"/>
  <c r="BU25" i="2"/>
  <c r="BS25" i="2"/>
  <c r="BN25" i="2"/>
  <c r="BL25" i="2"/>
  <c r="BG25" i="2"/>
  <c r="BE25" i="2"/>
  <c r="AZ25" i="2"/>
  <c r="AY25" i="2"/>
  <c r="AT25" i="2"/>
  <c r="AS25" i="2"/>
  <c r="AL25" i="2"/>
  <c r="AK25" i="2"/>
  <c r="AJ25" i="2"/>
  <c r="AI25" i="2"/>
  <c r="AH25" i="2"/>
  <c r="AG25" i="2"/>
  <c r="AB25" i="2"/>
  <c r="AA25" i="2"/>
  <c r="V25" i="2"/>
  <c r="DQ24" i="2"/>
  <c r="DP24" i="2"/>
  <c r="DO24" i="2"/>
  <c r="DN24" i="2"/>
  <c r="DM24" i="2"/>
  <c r="DL24" i="2"/>
  <c r="DG24" i="2"/>
  <c r="DF24" i="2"/>
  <c r="DA24" i="2"/>
  <c r="CZ24" i="2"/>
  <c r="CU24" i="2"/>
  <c r="CT24" i="2"/>
  <c r="CO24" i="2"/>
  <c r="CN24" i="2"/>
  <c r="CI24" i="2"/>
  <c r="CG24" i="2"/>
  <c r="CB24" i="2"/>
  <c r="BZ24" i="2"/>
  <c r="BU24" i="2"/>
  <c r="BS24" i="2"/>
  <c r="BN24" i="2"/>
  <c r="BL24" i="2"/>
  <c r="BG24" i="2"/>
  <c r="BE24" i="2"/>
  <c r="AZ24" i="2"/>
  <c r="AY24" i="2"/>
  <c r="AT24" i="2"/>
  <c r="AS24" i="2"/>
  <c r="AL24" i="2"/>
  <c r="AK24" i="2"/>
  <c r="AJ24" i="2"/>
  <c r="AI24" i="2"/>
  <c r="AH24" i="2"/>
  <c r="AG24" i="2"/>
  <c r="AB24" i="2"/>
  <c r="AA24" i="2"/>
  <c r="V24" i="2"/>
  <c r="DQ23" i="2"/>
  <c r="DP23" i="2"/>
  <c r="DO23" i="2"/>
  <c r="DN23" i="2"/>
  <c r="DM23" i="2"/>
  <c r="DL23" i="2"/>
  <c r="DG23" i="2"/>
  <c r="DF23" i="2"/>
  <c r="DA23" i="2"/>
  <c r="CZ23" i="2"/>
  <c r="CU23" i="2"/>
  <c r="CT23" i="2"/>
  <c r="CO23" i="2"/>
  <c r="CN23" i="2"/>
  <c r="CI23" i="2"/>
  <c r="CG23" i="2"/>
  <c r="CB23" i="2"/>
  <c r="BZ23" i="2"/>
  <c r="BU23" i="2"/>
  <c r="BS23" i="2"/>
  <c r="BN23" i="2"/>
  <c r="BL23" i="2"/>
  <c r="BG23" i="2"/>
  <c r="BE23" i="2"/>
  <c r="AZ23" i="2"/>
  <c r="AY23" i="2"/>
  <c r="AT23" i="2"/>
  <c r="AS23" i="2"/>
  <c r="AL23" i="2"/>
  <c r="AK23" i="2"/>
  <c r="AJ23" i="2"/>
  <c r="AI23" i="2"/>
  <c r="AH23" i="2"/>
  <c r="AG23" i="2"/>
  <c r="AB23" i="2"/>
  <c r="AA23" i="2"/>
  <c r="V23" i="2"/>
  <c r="DQ22" i="2"/>
  <c r="DP22" i="2"/>
  <c r="DO22" i="2"/>
  <c r="DN22" i="2"/>
  <c r="DM22" i="2"/>
  <c r="DL22" i="2"/>
  <c r="DG22" i="2"/>
  <c r="DF22" i="2"/>
  <c r="DA22" i="2"/>
  <c r="CZ22" i="2"/>
  <c r="CU22" i="2"/>
  <c r="CT22" i="2"/>
  <c r="CO22" i="2"/>
  <c r="CN22" i="2"/>
  <c r="CI22" i="2"/>
  <c r="CG22" i="2"/>
  <c r="CB22" i="2"/>
  <c r="BZ22" i="2"/>
  <c r="BU22" i="2"/>
  <c r="BS22" i="2"/>
  <c r="BN22" i="2"/>
  <c r="BL22" i="2"/>
  <c r="BG22" i="2"/>
  <c r="BE22" i="2"/>
  <c r="AZ22" i="2"/>
  <c r="AY22" i="2"/>
  <c r="AT22" i="2"/>
  <c r="AS22" i="2"/>
  <c r="AL22" i="2"/>
  <c r="AK22" i="2"/>
  <c r="AJ22" i="2"/>
  <c r="AI22" i="2"/>
  <c r="AH22" i="2"/>
  <c r="AG22" i="2"/>
  <c r="AB22" i="2"/>
  <c r="AA22" i="2"/>
  <c r="V22" i="2"/>
  <c r="DQ21" i="2"/>
  <c r="DP21" i="2"/>
  <c r="DO21" i="2"/>
  <c r="DN21" i="2"/>
  <c r="DM21" i="2"/>
  <c r="DL21" i="2"/>
  <c r="DG21" i="2"/>
  <c r="DF21" i="2"/>
  <c r="DA21" i="2"/>
  <c r="CZ21" i="2"/>
  <c r="CU21" i="2"/>
  <c r="CT21" i="2"/>
  <c r="CO21" i="2"/>
  <c r="CN21" i="2"/>
  <c r="CI21" i="2"/>
  <c r="CG21" i="2"/>
  <c r="CB21" i="2"/>
  <c r="BZ21" i="2"/>
  <c r="BU21" i="2"/>
  <c r="BS21" i="2"/>
  <c r="BN21" i="2"/>
  <c r="BL21" i="2"/>
  <c r="BG21" i="2"/>
  <c r="BE21" i="2"/>
  <c r="AZ21" i="2"/>
  <c r="AY21" i="2"/>
  <c r="AT21" i="2"/>
  <c r="AS21" i="2"/>
  <c r="AL21" i="2"/>
  <c r="AK21" i="2"/>
  <c r="AJ21" i="2"/>
  <c r="AI21" i="2"/>
  <c r="AH21" i="2"/>
  <c r="AG21" i="2"/>
  <c r="AB21" i="2"/>
  <c r="AA21" i="2"/>
  <c r="V21" i="2"/>
  <c r="DQ20" i="2"/>
  <c r="DP20" i="2"/>
  <c r="DO20" i="2"/>
  <c r="DN20" i="2"/>
  <c r="DM20" i="2"/>
  <c r="DL20" i="2"/>
  <c r="DG20" i="2"/>
  <c r="DF20" i="2"/>
  <c r="DA20" i="2"/>
  <c r="CZ20" i="2"/>
  <c r="CU20" i="2"/>
  <c r="CT20" i="2"/>
  <c r="CO20" i="2"/>
  <c r="CN20" i="2"/>
  <c r="CI20" i="2"/>
  <c r="CG20" i="2"/>
  <c r="CB20" i="2"/>
  <c r="BZ20" i="2"/>
  <c r="BU20" i="2"/>
  <c r="BS20" i="2"/>
  <c r="BN20" i="2"/>
  <c r="BL20" i="2"/>
  <c r="BG20" i="2"/>
  <c r="BE20" i="2"/>
  <c r="AZ20" i="2"/>
  <c r="AY20" i="2"/>
  <c r="AT20" i="2"/>
  <c r="AS20" i="2"/>
  <c r="AL20" i="2"/>
  <c r="AK20" i="2"/>
  <c r="AJ20" i="2"/>
  <c r="AI20" i="2"/>
  <c r="AH20" i="2"/>
  <c r="AG20" i="2"/>
  <c r="AB20" i="2"/>
  <c r="AA20" i="2"/>
  <c r="V20" i="2"/>
  <c r="DQ19" i="2"/>
  <c r="DP19" i="2"/>
  <c r="DO19" i="2"/>
  <c r="DN19" i="2"/>
  <c r="DM19" i="2"/>
  <c r="DL19" i="2"/>
  <c r="DG19" i="2"/>
  <c r="DF19" i="2"/>
  <c r="DA19" i="2"/>
  <c r="CZ19" i="2"/>
  <c r="CU19" i="2"/>
  <c r="CT19" i="2"/>
  <c r="CO19" i="2"/>
  <c r="CN19" i="2"/>
  <c r="CI19" i="2"/>
  <c r="CG19" i="2"/>
  <c r="CB19" i="2"/>
  <c r="BZ19" i="2"/>
  <c r="BU19" i="2"/>
  <c r="BS19" i="2"/>
  <c r="BN19" i="2"/>
  <c r="BL19" i="2"/>
  <c r="BG19" i="2"/>
  <c r="BE19" i="2"/>
  <c r="AZ19" i="2"/>
  <c r="AY19" i="2"/>
  <c r="AT19" i="2"/>
  <c r="AS19" i="2"/>
  <c r="AL19" i="2"/>
  <c r="AK19" i="2"/>
  <c r="AJ19" i="2"/>
  <c r="AI19" i="2"/>
  <c r="AH19" i="2"/>
  <c r="AG19" i="2"/>
  <c r="AB19" i="2"/>
  <c r="AA19" i="2"/>
  <c r="V19" i="2"/>
  <c r="DQ18" i="2"/>
  <c r="DP18" i="2"/>
  <c r="DO18" i="2"/>
  <c r="DN18" i="2"/>
  <c r="DM18" i="2"/>
  <c r="DL18" i="2"/>
  <c r="DG18" i="2"/>
  <c r="DF18" i="2"/>
  <c r="DA18" i="2"/>
  <c r="CZ18" i="2"/>
  <c r="CU18" i="2"/>
  <c r="CT18" i="2"/>
  <c r="CO18" i="2"/>
  <c r="CN18" i="2"/>
  <c r="CI18" i="2"/>
  <c r="CG18" i="2"/>
  <c r="CB18" i="2"/>
  <c r="BZ18" i="2"/>
  <c r="BU18" i="2"/>
  <c r="BS18" i="2"/>
  <c r="BN18" i="2"/>
  <c r="BL18" i="2"/>
  <c r="BG18" i="2"/>
  <c r="BE18" i="2"/>
  <c r="AZ18" i="2"/>
  <c r="AY18" i="2"/>
  <c r="AT18" i="2"/>
  <c r="AS18" i="2"/>
  <c r="AL18" i="2"/>
  <c r="AK18" i="2"/>
  <c r="AJ18" i="2"/>
  <c r="AI18" i="2"/>
  <c r="AH18" i="2"/>
  <c r="AG18" i="2"/>
  <c r="AB18" i="2"/>
  <c r="AA18" i="2"/>
  <c r="V18" i="2"/>
  <c r="DQ17" i="2"/>
  <c r="DP17" i="2"/>
  <c r="DO17" i="2"/>
  <c r="DN17" i="2"/>
  <c r="DM17" i="2"/>
  <c r="DL17" i="2"/>
  <c r="DG17" i="2"/>
  <c r="DF17" i="2"/>
  <c r="DA17" i="2"/>
  <c r="CZ17" i="2"/>
  <c r="CU17" i="2"/>
  <c r="CT17" i="2"/>
  <c r="CO17" i="2"/>
  <c r="CN17" i="2"/>
  <c r="CI17" i="2"/>
  <c r="CG17" i="2"/>
  <c r="CB17" i="2"/>
  <c r="BZ17" i="2"/>
  <c r="BU17" i="2"/>
  <c r="BS17" i="2"/>
  <c r="BN17" i="2"/>
  <c r="BL17" i="2"/>
  <c r="BG17" i="2"/>
  <c r="BE17" i="2"/>
  <c r="AZ17" i="2"/>
  <c r="AY17" i="2"/>
  <c r="AT17" i="2"/>
  <c r="AS17" i="2"/>
  <c r="AL17" i="2"/>
  <c r="AK17" i="2"/>
  <c r="AJ17" i="2"/>
  <c r="AI17" i="2"/>
  <c r="AH17" i="2"/>
  <c r="AG17" i="2"/>
  <c r="AB17" i="2"/>
  <c r="AA17" i="2"/>
  <c r="V17" i="2"/>
  <c r="DQ16" i="2"/>
  <c r="DP16" i="2"/>
  <c r="DO16" i="2"/>
  <c r="DN16" i="2"/>
  <c r="DM16" i="2"/>
  <c r="DL16" i="2"/>
  <c r="DG16" i="2"/>
  <c r="DF16" i="2"/>
  <c r="DA16" i="2"/>
  <c r="CZ16" i="2"/>
  <c r="CU16" i="2"/>
  <c r="CT16" i="2"/>
  <c r="CO16" i="2"/>
  <c r="CN16" i="2"/>
  <c r="CI16" i="2"/>
  <c r="CG16" i="2"/>
  <c r="CB16" i="2"/>
  <c r="BZ16" i="2"/>
  <c r="BU16" i="2"/>
  <c r="BS16" i="2"/>
  <c r="BN16" i="2"/>
  <c r="BL16" i="2"/>
  <c r="BG16" i="2"/>
  <c r="BE16" i="2"/>
  <c r="AZ16" i="2"/>
  <c r="AY16" i="2"/>
  <c r="AT16" i="2"/>
  <c r="AS16" i="2"/>
  <c r="AL16" i="2"/>
  <c r="AK16" i="2"/>
  <c r="AJ16" i="2"/>
  <c r="AI16" i="2"/>
  <c r="AH16" i="2"/>
  <c r="AG16" i="2"/>
  <c r="AB16" i="2"/>
  <c r="AA16" i="2"/>
  <c r="V16" i="2"/>
  <c r="DQ15" i="2"/>
  <c r="DP15" i="2"/>
  <c r="DO15" i="2"/>
  <c r="DN15" i="2"/>
  <c r="DM15" i="2"/>
  <c r="DL15" i="2"/>
  <c r="DG15" i="2"/>
  <c r="DF15" i="2"/>
  <c r="DA15" i="2"/>
  <c r="CZ15" i="2"/>
  <c r="CU15" i="2"/>
  <c r="CT15" i="2"/>
  <c r="CO15" i="2"/>
  <c r="CN15" i="2"/>
  <c r="CI15" i="2"/>
  <c r="CG15" i="2"/>
  <c r="CB15" i="2"/>
  <c r="BZ15" i="2"/>
  <c r="BU15" i="2"/>
  <c r="BS15" i="2"/>
  <c r="BN15" i="2"/>
  <c r="BL15" i="2"/>
  <c r="BG15" i="2"/>
  <c r="BE15" i="2"/>
  <c r="AZ15" i="2"/>
  <c r="AY15" i="2"/>
  <c r="AT15" i="2"/>
  <c r="AS15" i="2"/>
  <c r="AL15" i="2"/>
  <c r="AK15" i="2"/>
  <c r="AJ15" i="2"/>
  <c r="AI15" i="2"/>
  <c r="AH15" i="2"/>
  <c r="AG15" i="2"/>
  <c r="AB15" i="2"/>
  <c r="AA15" i="2"/>
  <c r="V15" i="2"/>
  <c r="DQ14" i="2"/>
  <c r="DP14" i="2"/>
  <c r="DO14" i="2"/>
  <c r="DN14" i="2"/>
  <c r="DM14" i="2"/>
  <c r="DL14" i="2"/>
  <c r="DG14" i="2"/>
  <c r="DF14" i="2"/>
  <c r="DA14" i="2"/>
  <c r="CZ14" i="2"/>
  <c r="CU14" i="2"/>
  <c r="CT14" i="2"/>
  <c r="CO14" i="2"/>
  <c r="CN14" i="2"/>
  <c r="CI14" i="2"/>
  <c r="CG14" i="2"/>
  <c r="CB14" i="2"/>
  <c r="BZ14" i="2"/>
  <c r="BU14" i="2"/>
  <c r="BS14" i="2"/>
  <c r="BN14" i="2"/>
  <c r="BL14" i="2"/>
  <c r="BG14" i="2"/>
  <c r="BE14" i="2"/>
  <c r="AZ14" i="2"/>
  <c r="AY14" i="2"/>
  <c r="AT14" i="2"/>
  <c r="AS14" i="2"/>
  <c r="AL14" i="2"/>
  <c r="AK14" i="2"/>
  <c r="AJ14" i="2"/>
  <c r="AI14" i="2"/>
  <c r="AH14" i="2"/>
  <c r="AG14" i="2"/>
  <c r="AB14" i="2"/>
  <c r="AA14" i="2"/>
  <c r="V14" i="2"/>
  <c r="DQ13" i="2"/>
  <c r="DP13" i="2"/>
  <c r="DO13" i="2"/>
  <c r="DN13" i="2"/>
  <c r="DM13" i="2"/>
  <c r="DL13" i="2"/>
  <c r="DG13" i="2"/>
  <c r="DF13" i="2"/>
  <c r="DA13" i="2"/>
  <c r="CZ13" i="2"/>
  <c r="CU13" i="2"/>
  <c r="CT13" i="2"/>
  <c r="CO13" i="2"/>
  <c r="CN13" i="2"/>
  <c r="CI13" i="2"/>
  <c r="CG13" i="2"/>
  <c r="CB13" i="2"/>
  <c r="BZ13" i="2"/>
  <c r="BU13" i="2"/>
  <c r="BS13" i="2"/>
  <c r="BN13" i="2"/>
  <c r="BL13" i="2"/>
  <c r="BG13" i="2"/>
  <c r="BE13" i="2"/>
  <c r="AZ13" i="2"/>
  <c r="AY13" i="2"/>
  <c r="AT13" i="2"/>
  <c r="AS13" i="2"/>
  <c r="AL13" i="2"/>
  <c r="AK13" i="2"/>
  <c r="AJ13" i="2"/>
  <c r="AI13" i="2"/>
  <c r="AH13" i="2"/>
  <c r="AG13" i="2"/>
  <c r="AB13" i="2"/>
  <c r="AA13" i="2"/>
  <c r="V13" i="2"/>
  <c r="DQ12" i="2"/>
  <c r="DP12" i="2"/>
  <c r="DO12" i="2"/>
  <c r="DN12" i="2"/>
  <c r="DM12" i="2"/>
  <c r="DL12" i="2"/>
  <c r="DG12" i="2"/>
  <c r="DF12" i="2"/>
  <c r="DA12" i="2"/>
  <c r="CZ12" i="2"/>
  <c r="CU12" i="2"/>
  <c r="CT12" i="2"/>
  <c r="CO12" i="2"/>
  <c r="CN12" i="2"/>
  <c r="CI12" i="2"/>
  <c r="CG12" i="2"/>
  <c r="CB12" i="2"/>
  <c r="BZ12" i="2"/>
  <c r="BU12" i="2"/>
  <c r="BS12" i="2"/>
  <c r="BN12" i="2"/>
  <c r="BL12" i="2"/>
  <c r="BG12" i="2"/>
  <c r="BE12" i="2"/>
  <c r="AZ12" i="2"/>
  <c r="AY12" i="2"/>
  <c r="AT12" i="2"/>
  <c r="AS12" i="2"/>
  <c r="AL12" i="2"/>
  <c r="AK12" i="2"/>
  <c r="AJ12" i="2"/>
  <c r="AI12" i="2"/>
  <c r="AH12" i="2"/>
  <c r="AG12" i="2"/>
  <c r="AB12" i="2"/>
  <c r="AA12" i="2"/>
  <c r="V12" i="2"/>
  <c r="DQ11" i="2"/>
  <c r="DP11" i="2"/>
  <c r="DO11" i="2"/>
  <c r="DN11" i="2"/>
  <c r="DM11" i="2"/>
  <c r="DL11" i="2"/>
  <c r="DG11" i="2"/>
  <c r="DF11" i="2"/>
  <c r="DA11" i="2"/>
  <c r="CZ11" i="2"/>
  <c r="CU11" i="2"/>
  <c r="CT11" i="2"/>
  <c r="CO11" i="2"/>
  <c r="CN11" i="2"/>
  <c r="CI11" i="2"/>
  <c r="CG11" i="2"/>
  <c r="CB11" i="2"/>
  <c r="BZ11" i="2"/>
  <c r="BU11" i="2"/>
  <c r="BS11" i="2"/>
  <c r="BN11" i="2"/>
  <c r="BL11" i="2"/>
  <c r="BG11" i="2"/>
  <c r="BE11" i="2"/>
  <c r="AZ11" i="2"/>
  <c r="AY11" i="2"/>
  <c r="AT11" i="2"/>
  <c r="AS11" i="2"/>
  <c r="AL11" i="2"/>
  <c r="AK11" i="2"/>
  <c r="AJ11" i="2"/>
  <c r="AI11" i="2"/>
  <c r="AH11" i="2"/>
  <c r="AG11" i="2"/>
  <c r="AB11" i="2"/>
  <c r="AA11" i="2"/>
  <c r="V11" i="2"/>
  <c r="DQ10" i="2"/>
  <c r="DP10" i="2"/>
  <c r="DO10" i="2"/>
  <c r="DN10" i="2"/>
  <c r="DM10" i="2"/>
  <c r="DL10" i="2"/>
  <c r="DG10" i="2"/>
  <c r="DF10" i="2"/>
  <c r="DA10" i="2"/>
  <c r="CZ10" i="2"/>
  <c r="CU10" i="2"/>
  <c r="CT10" i="2"/>
  <c r="CO10" i="2"/>
  <c r="CN10" i="2"/>
  <c r="CI10" i="2"/>
  <c r="CG10" i="2"/>
  <c r="CB10" i="2"/>
  <c r="BZ10" i="2"/>
  <c r="BU10" i="2"/>
  <c r="BS10" i="2"/>
  <c r="BN10" i="2"/>
  <c r="BL10" i="2"/>
  <c r="BG10" i="2"/>
  <c r="BE10" i="2"/>
  <c r="AZ10" i="2"/>
  <c r="AY10" i="2"/>
  <c r="AT10" i="2"/>
  <c r="AS10" i="2"/>
  <c r="AL10" i="2"/>
  <c r="AK10" i="2"/>
  <c r="AJ10" i="2"/>
  <c r="AI10" i="2"/>
  <c r="AH10" i="2"/>
  <c r="AG10" i="2"/>
  <c r="AB10" i="2"/>
  <c r="AA10" i="2"/>
  <c r="DP9" i="2"/>
  <c r="DO9" i="2"/>
  <c r="DS9" i="2" s="1"/>
  <c r="DN9" i="2"/>
  <c r="DM9" i="2"/>
  <c r="DL9" i="2"/>
  <c r="DG9" i="2"/>
  <c r="DF9" i="2"/>
  <c r="DA9" i="2"/>
  <c r="CZ9" i="2"/>
  <c r="CU9" i="2"/>
  <c r="CT9" i="2"/>
  <c r="CO9" i="2"/>
  <c r="CN9" i="2"/>
  <c r="CI9" i="2"/>
  <c r="CG9" i="2"/>
  <c r="CB9" i="2"/>
  <c r="BZ9" i="2"/>
  <c r="BU9" i="2"/>
  <c r="BS9" i="2"/>
  <c r="BN9" i="2"/>
  <c r="BL9" i="2"/>
  <c r="BG9" i="2"/>
  <c r="BE9" i="2"/>
  <c r="AZ9" i="2"/>
  <c r="AY9" i="2"/>
  <c r="AT9" i="2"/>
  <c r="AS9" i="2"/>
  <c r="AL9" i="2"/>
  <c r="AK9" i="2"/>
  <c r="AJ9" i="2"/>
  <c r="AI9" i="2"/>
  <c r="AH9" i="2"/>
  <c r="AG9" i="2"/>
  <c r="AB9" i="2"/>
  <c r="AA9" i="2"/>
  <c r="V9" i="2"/>
  <c r="D2" i="2"/>
  <c r="G44" i="26" l="1"/>
  <c r="G17" i="2"/>
  <c r="G25" i="2"/>
  <c r="G10" i="2"/>
  <c r="G24" i="2"/>
  <c r="G18" i="2"/>
  <c r="G28" i="2"/>
  <c r="G14" i="2"/>
  <c r="G22" i="2"/>
  <c r="G16" i="2"/>
  <c r="G13" i="2"/>
  <c r="G21" i="2"/>
  <c r="G9" i="2"/>
  <c r="G19" i="2"/>
  <c r="G26" i="2"/>
  <c r="G27" i="2"/>
  <c r="G15" i="2"/>
  <c r="G23" i="2"/>
  <c r="G11" i="2"/>
  <c r="G12" i="2"/>
  <c r="G20" i="2"/>
  <c r="AE7" i="3"/>
  <c r="DL7" i="3"/>
  <c r="AI44" i="26"/>
  <c r="AV7" i="3"/>
  <c r="AW7" i="3"/>
  <c r="M25" i="26" s="1"/>
  <c r="BY7" i="3"/>
  <c r="U25" i="26" s="1"/>
  <c r="U20" i="26" s="1"/>
  <c r="CE7" i="3"/>
  <c r="W25" i="26" s="1"/>
  <c r="W20" i="26" s="1"/>
  <c r="AQ7" i="3"/>
  <c r="K25" i="26" s="1"/>
  <c r="BP7" i="3"/>
  <c r="BR7" i="3"/>
  <c r="S25" i="26" s="1"/>
  <c r="S20" i="26" s="1"/>
  <c r="AG7" i="3"/>
  <c r="BB7" i="3"/>
  <c r="BD7" i="3"/>
  <c r="O25" i="26" s="1"/>
  <c r="BI7" i="3"/>
  <c r="AP7" i="3"/>
  <c r="BK7" i="3"/>
  <c r="Q25" i="26" s="1"/>
  <c r="BW7" i="3"/>
  <c r="DN12" i="3"/>
  <c r="F12" i="3" s="1"/>
  <c r="CQ7" i="3"/>
  <c r="AA25" i="26" s="1"/>
  <c r="AA20" i="26" s="1"/>
  <c r="DB7" i="3"/>
  <c r="DI7" i="3"/>
  <c r="AG25" i="26" s="1"/>
  <c r="AG20" i="26" s="1"/>
  <c r="CK7" i="3"/>
  <c r="Y25" i="26" s="1"/>
  <c r="Y20" i="26" s="1"/>
  <c r="CP7" i="3"/>
  <c r="N7" i="5"/>
  <c r="X7" i="3"/>
  <c r="DN9" i="3"/>
  <c r="F9" i="3" s="1"/>
  <c r="DJ7" i="3"/>
  <c r="CJ7" i="3"/>
  <c r="Y7" i="3"/>
  <c r="DO9" i="3"/>
  <c r="DK7" i="3"/>
  <c r="AD7" i="3"/>
  <c r="N12" i="4"/>
  <c r="N7" i="4" s="1"/>
  <c r="DM7" i="3"/>
  <c r="L11" i="3"/>
  <c r="CD7" i="3"/>
  <c r="CV7" i="3"/>
  <c r="DH7" i="3"/>
  <c r="CW7" i="3"/>
  <c r="AC25" i="26" s="1"/>
  <c r="AC20" i="26" s="1"/>
  <c r="DC7" i="3"/>
  <c r="AE25" i="26" s="1"/>
  <c r="O12" i="2"/>
  <c r="O20" i="2"/>
  <c r="O17" i="2"/>
  <c r="O25" i="2"/>
  <c r="O14" i="2"/>
  <c r="O22" i="2"/>
  <c r="O11" i="2"/>
  <c r="O19" i="2"/>
  <c r="O16" i="2"/>
  <c r="O13" i="2"/>
  <c r="O26" i="2"/>
  <c r="O15" i="2"/>
  <c r="O23" i="2"/>
  <c r="AK12" i="3"/>
  <c r="O12" i="3" s="1"/>
  <c r="R7" i="3"/>
  <c r="AH7" i="3"/>
  <c r="S7" i="3"/>
  <c r="AI7" i="3"/>
  <c r="AJ11" i="3"/>
  <c r="AF7" i="3"/>
  <c r="AJ12" i="3"/>
  <c r="DO10" i="3"/>
  <c r="AK11" i="3"/>
  <c r="DN11" i="3"/>
  <c r="F11" i="3" s="1"/>
  <c r="DO11" i="3"/>
  <c r="AJ10" i="3"/>
  <c r="AK9" i="3"/>
  <c r="G9" i="3" s="1"/>
  <c r="AK10" i="3"/>
  <c r="DO12" i="3"/>
  <c r="AN21" i="2"/>
  <c r="R21" i="2" s="1"/>
  <c r="AN17" i="2"/>
  <c r="DS17" i="2"/>
  <c r="DS25" i="2"/>
  <c r="DR9" i="2"/>
  <c r="F9" i="2" s="1"/>
  <c r="AN9" i="2"/>
  <c r="R9" i="2" s="1"/>
  <c r="AA7" i="2"/>
  <c r="AS7" i="2"/>
  <c r="BS7" i="2"/>
  <c r="CT7" i="2"/>
  <c r="DN7" i="2"/>
  <c r="AB7" i="2"/>
  <c r="AT7" i="2"/>
  <c r="K7" i="26" s="1"/>
  <c r="BU7" i="2"/>
  <c r="S7" i="26" s="1"/>
  <c r="CU7" i="2"/>
  <c r="AA7" i="26" s="1"/>
  <c r="DO7" i="2"/>
  <c r="AG7" i="2"/>
  <c r="AY7" i="2"/>
  <c r="BZ7" i="2"/>
  <c r="CZ7" i="2"/>
  <c r="DP7" i="2"/>
  <c r="AI7" i="2"/>
  <c r="BE7" i="2"/>
  <c r="CG7" i="2"/>
  <c r="DF7" i="2"/>
  <c r="U7" i="2"/>
  <c r="AK7" i="2"/>
  <c r="BL7" i="2"/>
  <c r="CN7" i="2"/>
  <c r="DL7" i="2"/>
  <c r="AH7" i="2"/>
  <c r="AZ7" i="2"/>
  <c r="CB7" i="2"/>
  <c r="U7" i="26" s="1"/>
  <c r="DA7" i="2"/>
  <c r="AC7" i="26" s="1"/>
  <c r="DQ7" i="2"/>
  <c r="AM20" i="2"/>
  <c r="DR21" i="2"/>
  <c r="F21" i="2" s="1"/>
  <c r="DR25" i="2"/>
  <c r="F25" i="2" s="1"/>
  <c r="AJ7" i="2"/>
  <c r="BG7" i="2"/>
  <c r="O7" i="26" s="1"/>
  <c r="CI7" i="2"/>
  <c r="W7" i="26" s="1"/>
  <c r="DG7" i="2"/>
  <c r="AE7" i="26" s="1"/>
  <c r="V7" i="2"/>
  <c r="AL7" i="2"/>
  <c r="BN7" i="2"/>
  <c r="CO7" i="2"/>
  <c r="DM7" i="2"/>
  <c r="DS10" i="2"/>
  <c r="DS18" i="2"/>
  <c r="AN20" i="2"/>
  <c r="DS22" i="2"/>
  <c r="DS26" i="2"/>
  <c r="AN28" i="2"/>
  <c r="DS13" i="2"/>
  <c r="AM16" i="2"/>
  <c r="AN12" i="2"/>
  <c r="DS21" i="2"/>
  <c r="DR17" i="2"/>
  <c r="F17" i="2" s="1"/>
  <c r="DR28" i="2"/>
  <c r="F28" i="2" s="1"/>
  <c r="AN10" i="2"/>
  <c r="O10" i="2" s="1"/>
  <c r="AN22" i="2"/>
  <c r="AM12" i="2"/>
  <c r="AM24" i="2"/>
  <c r="AM28" i="2"/>
  <c r="AM27" i="2"/>
  <c r="AM14" i="2"/>
  <c r="AM18" i="2"/>
  <c r="AM22" i="2"/>
  <c r="AN18" i="2"/>
  <c r="R18" i="2" s="1"/>
  <c r="AN24" i="2"/>
  <c r="R24" i="2" s="1"/>
  <c r="AN13" i="2"/>
  <c r="DR26" i="2"/>
  <c r="F26" i="2" s="1"/>
  <c r="AN16" i="2"/>
  <c r="AM10" i="2"/>
  <c r="DR13" i="2"/>
  <c r="F13" i="2" s="1"/>
  <c r="AM25" i="2"/>
  <c r="AN26" i="2"/>
  <c r="DS28" i="2"/>
  <c r="AN25" i="2"/>
  <c r="DR27" i="2"/>
  <c r="F27" i="2" s="1"/>
  <c r="AN11" i="2"/>
  <c r="DS15" i="2"/>
  <c r="DS16" i="2"/>
  <c r="AN19" i="2"/>
  <c r="DS23" i="2"/>
  <c r="DS24" i="2"/>
  <c r="AM26" i="2"/>
  <c r="DR11" i="2"/>
  <c r="DR12" i="2"/>
  <c r="F12" i="2" s="1"/>
  <c r="DR14" i="2"/>
  <c r="F14" i="2" s="1"/>
  <c r="AM15" i="2"/>
  <c r="AM17" i="2"/>
  <c r="DR19" i="2"/>
  <c r="F19" i="2" s="1"/>
  <c r="DR20" i="2"/>
  <c r="F20" i="2" s="1"/>
  <c r="DR22" i="2"/>
  <c r="F22" i="2" s="1"/>
  <c r="AM23" i="2"/>
  <c r="DS27" i="2"/>
  <c r="DS11" i="2"/>
  <c r="DS12" i="2"/>
  <c r="DS14" i="2"/>
  <c r="AN15" i="2"/>
  <c r="DS19" i="2"/>
  <c r="DS20" i="2"/>
  <c r="AN23" i="2"/>
  <c r="AN14" i="2"/>
  <c r="DR10" i="2"/>
  <c r="F10" i="2" s="1"/>
  <c r="H10" i="2" s="1"/>
  <c r="AM11" i="2"/>
  <c r="AM13" i="2"/>
  <c r="DR15" i="2"/>
  <c r="F15" i="2" s="1"/>
  <c r="DR16" i="2"/>
  <c r="F16" i="2" s="1"/>
  <c r="DR18" i="2"/>
  <c r="F18" i="2" s="1"/>
  <c r="AM19" i="2"/>
  <c r="AM21" i="2"/>
  <c r="DR23" i="2"/>
  <c r="F23" i="2" s="1"/>
  <c r="DR24" i="2"/>
  <c r="F24" i="2" s="1"/>
  <c r="AN27" i="2"/>
  <c r="R27" i="2" s="1"/>
  <c r="AJ9" i="3"/>
  <c r="DN10" i="3"/>
  <c r="AM9" i="2"/>
  <c r="H19" i="2" l="1"/>
  <c r="AE20" i="26"/>
  <c r="H24" i="2"/>
  <c r="H25" i="2"/>
  <c r="Q20" i="26"/>
  <c r="O20" i="26"/>
  <c r="H17" i="2"/>
  <c r="H28" i="2"/>
  <c r="H13" i="2"/>
  <c r="H18" i="2"/>
  <c r="H22" i="2"/>
  <c r="H27" i="2"/>
  <c r="H14" i="2"/>
  <c r="H15" i="2"/>
  <c r="H16" i="2"/>
  <c r="H23" i="2"/>
  <c r="H12" i="2"/>
  <c r="H21" i="2"/>
  <c r="H26" i="2"/>
  <c r="H9" i="2"/>
  <c r="G7" i="2"/>
  <c r="H20" i="2"/>
  <c r="G25" i="26"/>
  <c r="AI25" i="26"/>
  <c r="AI20" i="26" s="1"/>
  <c r="K20" i="26"/>
  <c r="M20" i="26"/>
  <c r="U43" i="26"/>
  <c r="U38" i="26" s="1"/>
  <c r="U2" i="26"/>
  <c r="O43" i="26"/>
  <c r="O38" i="26" s="1"/>
  <c r="O2" i="26"/>
  <c r="AZ2" i="2"/>
  <c r="M7" i="26"/>
  <c r="Y7" i="26"/>
  <c r="S43" i="26"/>
  <c r="S38" i="26" s="1"/>
  <c r="S2" i="26"/>
  <c r="AG7" i="26"/>
  <c r="Q7" i="26"/>
  <c r="K43" i="26"/>
  <c r="K2" i="26"/>
  <c r="AE43" i="26"/>
  <c r="AE38" i="26" s="1"/>
  <c r="AE2" i="26"/>
  <c r="AC43" i="26"/>
  <c r="AC38" i="26" s="1"/>
  <c r="AC2" i="26"/>
  <c r="AA43" i="26"/>
  <c r="AA38" i="26" s="1"/>
  <c r="AA2" i="26"/>
  <c r="W43" i="26"/>
  <c r="W38" i="26" s="1"/>
  <c r="W2" i="26"/>
  <c r="DO7" i="3"/>
  <c r="G11" i="3"/>
  <c r="O9" i="3"/>
  <c r="L9" i="3"/>
  <c r="R10" i="2"/>
  <c r="J13" i="2"/>
  <c r="N13" i="2"/>
  <c r="J14" i="2"/>
  <c r="N14" i="2"/>
  <c r="N24" i="2"/>
  <c r="P24" i="2" s="1"/>
  <c r="J24" i="2"/>
  <c r="J9" i="2"/>
  <c r="N9" i="2"/>
  <c r="P9" i="2" s="1"/>
  <c r="O9" i="2"/>
  <c r="N23" i="2"/>
  <c r="J23" i="2"/>
  <c r="N11" i="2"/>
  <c r="J11" i="2"/>
  <c r="J18" i="2"/>
  <c r="N18" i="2"/>
  <c r="P18" i="2" s="1"/>
  <c r="J22" i="2"/>
  <c r="N22" i="2"/>
  <c r="J28" i="2"/>
  <c r="N28" i="2"/>
  <c r="P28" i="2" s="1"/>
  <c r="J10" i="2"/>
  <c r="N10" i="2"/>
  <c r="P10" i="2" s="1"/>
  <c r="O21" i="2"/>
  <c r="O27" i="2"/>
  <c r="O28" i="2"/>
  <c r="R28" i="2"/>
  <c r="N16" i="2"/>
  <c r="J16" i="2"/>
  <c r="N15" i="2"/>
  <c r="J15" i="2"/>
  <c r="N25" i="2"/>
  <c r="J25" i="2"/>
  <c r="J20" i="2"/>
  <c r="N20" i="2"/>
  <c r="J17" i="2"/>
  <c r="N17" i="2"/>
  <c r="J27" i="2"/>
  <c r="N27" i="2"/>
  <c r="P27" i="2" s="1"/>
  <c r="J21" i="2"/>
  <c r="N21" i="2"/>
  <c r="P21" i="2" s="1"/>
  <c r="N19" i="2"/>
  <c r="J19" i="2"/>
  <c r="J26" i="2"/>
  <c r="N26" i="2"/>
  <c r="J12" i="2"/>
  <c r="N12" i="2"/>
  <c r="O18" i="2"/>
  <c r="O24" i="2"/>
  <c r="F10" i="3"/>
  <c r="F7" i="3" s="1"/>
  <c r="DN7" i="3"/>
  <c r="K12" i="3"/>
  <c r="M12" i="3" s="1"/>
  <c r="G12" i="3"/>
  <c r="N12" i="3" s="1"/>
  <c r="L12" i="3"/>
  <c r="K10" i="3"/>
  <c r="M10" i="3" s="1"/>
  <c r="G10" i="3"/>
  <c r="L10" i="3"/>
  <c r="AK2" i="3"/>
  <c r="K9" i="3"/>
  <c r="M9" i="3" s="1"/>
  <c r="N9" i="3" s="1"/>
  <c r="AJ7" i="3"/>
  <c r="K11" i="3"/>
  <c r="AK7" i="3"/>
  <c r="AN7" i="2"/>
  <c r="DS7" i="2"/>
  <c r="AM7" i="2"/>
  <c r="F11" i="2"/>
  <c r="DR7" i="2"/>
  <c r="I25" i="26" l="1"/>
  <c r="I20" i="26" s="1"/>
  <c r="G7" i="26"/>
  <c r="F7" i="2"/>
  <c r="H11" i="2"/>
  <c r="H7" i="2" s="1"/>
  <c r="O10" i="3"/>
  <c r="L7" i="3"/>
  <c r="G20" i="26"/>
  <c r="K38" i="26"/>
  <c r="AM38" i="26" s="1"/>
  <c r="Y43" i="26"/>
  <c r="Y38" i="26" s="1"/>
  <c r="Y2" i="26"/>
  <c r="Q43" i="26"/>
  <c r="Q38" i="26" s="1"/>
  <c r="Q2" i="26"/>
  <c r="M43" i="26"/>
  <c r="M38" i="26" s="1"/>
  <c r="M2" i="26"/>
  <c r="AG43" i="26"/>
  <c r="AG38" i="26" s="1"/>
  <c r="AG2" i="26"/>
  <c r="Q24" i="2"/>
  <c r="AI7" i="26"/>
  <c r="AI2" i="26" s="1"/>
  <c r="Q27" i="2"/>
  <c r="G7" i="3"/>
  <c r="N10" i="3"/>
  <c r="M11" i="3"/>
  <c r="M7" i="3" s="1"/>
  <c r="O11" i="3"/>
  <c r="Q10" i="2"/>
  <c r="Q21" i="2"/>
  <c r="Q28" i="2"/>
  <c r="Q18" i="2"/>
  <c r="Q9" i="2"/>
  <c r="P15" i="2"/>
  <c r="Q15" i="2" s="1"/>
  <c r="R15" i="2"/>
  <c r="P23" i="2"/>
  <c r="Q23" i="2" s="1"/>
  <c r="R23" i="2"/>
  <c r="P17" i="2"/>
  <c r="Q17" i="2" s="1"/>
  <c r="R17" i="2"/>
  <c r="P22" i="2"/>
  <c r="Q22" i="2" s="1"/>
  <c r="R22" i="2"/>
  <c r="P19" i="2"/>
  <c r="Q19" i="2" s="1"/>
  <c r="R19" i="2"/>
  <c r="P14" i="2"/>
  <c r="Q14" i="2" s="1"/>
  <c r="R14" i="2"/>
  <c r="P20" i="2"/>
  <c r="Q20" i="2" s="1"/>
  <c r="R20" i="2"/>
  <c r="P16" i="2"/>
  <c r="Q16" i="2" s="1"/>
  <c r="R16" i="2"/>
  <c r="P12" i="2"/>
  <c r="Q12" i="2" s="1"/>
  <c r="R12" i="2"/>
  <c r="P25" i="2"/>
  <c r="Q25" i="2" s="1"/>
  <c r="R25" i="2"/>
  <c r="P11" i="2"/>
  <c r="Q11" i="2" s="1"/>
  <c r="R11" i="2"/>
  <c r="P13" i="2"/>
  <c r="Q13" i="2" s="1"/>
  <c r="R13" i="2"/>
  <c r="P26" i="2"/>
  <c r="Q26" i="2" s="1"/>
  <c r="R26" i="2"/>
  <c r="K7" i="3"/>
  <c r="O7" i="2"/>
  <c r="N7" i="2"/>
  <c r="J7" i="2"/>
  <c r="I7" i="26" l="1"/>
  <c r="I43" i="26" s="1"/>
  <c r="I38" i="26" s="1"/>
  <c r="I56" i="26" s="1"/>
  <c r="O7" i="3"/>
  <c r="AI43" i="26"/>
  <c r="AI38" i="26" s="1"/>
  <c r="G43" i="26"/>
  <c r="G38" i="26" s="1"/>
  <c r="G56" i="26" s="1"/>
  <c r="G2" i="26"/>
  <c r="N11" i="3"/>
  <c r="N7" i="3" s="1"/>
  <c r="Q7" i="2"/>
  <c r="R7" i="2"/>
  <c r="P7" i="2"/>
  <c r="I2" i="2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H12" authorId="0" shapeId="0" xr:uid="{E24BBE53-F566-4C6E-BECC-AFB2ECB7DED9}">
      <text>
        <r>
          <rPr>
            <b/>
            <sz val="9"/>
            <color indexed="81"/>
            <rFont val="Tahoma"/>
            <family val="2"/>
          </rPr>
          <t>Author:</t>
        </r>
        <r>
          <rPr>
            <sz val="9"/>
            <color indexed="81"/>
            <rFont val="Tahoma"/>
            <family val="2"/>
          </rPr>
          <t xml:space="preserve">
პირვანდელ გეგმას დაემატა 303 000.</t>
        </r>
      </text>
    </comment>
    <comment ref="AH30" authorId="0" shapeId="0" xr:uid="{AC4C7E6F-95CC-485C-9667-CBEC5BEF1EF2}">
      <text>
        <r>
          <rPr>
            <b/>
            <sz val="9"/>
            <color indexed="81"/>
            <rFont val="Tahoma"/>
            <family val="2"/>
          </rPr>
          <t>Author:</t>
        </r>
        <r>
          <rPr>
            <sz val="9"/>
            <color indexed="81"/>
            <rFont val="Tahoma"/>
            <family val="2"/>
          </rPr>
          <t xml:space="preserve">
პირვანდელ გეგმას დაემატა 260 000.</t>
        </r>
      </text>
    </comment>
    <comment ref="I37" authorId="0" shapeId="0" xr:uid="{DB9C31FE-E2BF-4647-BE77-65AE5FD9B6D3}">
      <text>
        <r>
          <rPr>
            <b/>
            <sz val="9"/>
            <color indexed="81"/>
            <rFont val="Tahoma"/>
            <charset val="1"/>
          </rPr>
          <t>Author:</t>
        </r>
        <r>
          <rPr>
            <sz val="9"/>
            <color indexed="81"/>
            <rFont val="Tahoma"/>
            <charset val="1"/>
          </rPr>
          <t xml:space="preserve">
ექ არასწორი თანხა იყოს ჯაფარასთვის გაგზავნილ ცხრილში, გამორჩა „ჯი პი“-სა და „არქიტექტ-პროჯექტ-კომპანი“-ს თანხები</t>
        </r>
      </text>
    </comment>
    <comment ref="AH45" authorId="0" shapeId="0" xr:uid="{D44AA098-4266-4C1A-B858-804B9DE19C39}">
      <text>
        <r>
          <rPr>
            <b/>
            <sz val="9"/>
            <color indexed="81"/>
            <rFont val="Tahoma"/>
            <family val="2"/>
          </rPr>
          <t>Author:</t>
        </r>
        <r>
          <rPr>
            <sz val="9"/>
            <color indexed="81"/>
            <rFont val="Tahoma"/>
            <family val="2"/>
          </rPr>
          <t xml:space="preserve">
პირვანდელ გეგმას დაემატა 1 500 000.</t>
        </r>
      </text>
    </comment>
    <comment ref="AH48" authorId="0" shapeId="0" xr:uid="{AEA86EDA-D4A0-47C3-91AF-527B2237FA1A}">
      <text>
        <r>
          <rPr>
            <b/>
            <sz val="9"/>
            <color indexed="81"/>
            <rFont val="Tahoma"/>
            <family val="2"/>
          </rPr>
          <t>Author:</t>
        </r>
        <r>
          <rPr>
            <sz val="9"/>
            <color indexed="81"/>
            <rFont val="Tahoma"/>
            <family val="2"/>
          </rPr>
          <t xml:space="preserve">
პირვანდელ გეგმას დაემატა 563 000.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M21" authorId="0" shapeId="0" xr:uid="{00000000-0006-0000-0800-000001000000}">
      <text>
        <r>
          <rPr>
            <b/>
            <sz val="9"/>
            <color indexed="81"/>
            <rFont val="Tahoma"/>
            <family val="2"/>
          </rPr>
          <t>Author:</t>
        </r>
        <r>
          <rPr>
            <sz val="9"/>
            <color indexed="81"/>
            <rFont val="Tahoma"/>
            <family val="2"/>
          </rPr>
          <t xml:space="preserve">
ჩაბარდა სოკარის და საქორგგაზის გამზადებული პროექტების ანგარიშში.</t>
        </r>
      </text>
    </comment>
    <comment ref="AM94" authorId="0" shapeId="0" xr:uid="{DDB28B55-60A3-4CC5-B639-5C12791A04B2}">
      <text>
        <r>
          <rPr>
            <b/>
            <sz val="9"/>
            <color indexed="81"/>
            <rFont val="Tahoma"/>
            <family val="2"/>
          </rPr>
          <t>Author:</t>
        </r>
        <r>
          <rPr>
            <sz val="9"/>
            <color indexed="81"/>
            <rFont val="Tahoma"/>
            <family val="2"/>
          </rPr>
          <t xml:space="preserve">
ჩაბარდა შუალედურად, ფაქტორინგის აღების საჭიროების გამო.</t>
        </r>
      </text>
    </comment>
    <comment ref="AO139" authorId="0" shapeId="0" xr:uid="{00000000-0006-0000-0800-000003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 ref="AO140" authorId="0" shapeId="0" xr:uid="{00000000-0006-0000-0800-000004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 ref="AO144" authorId="0" shapeId="0" xr:uid="{00000000-0006-0000-0800-000005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9" authorId="0" shapeId="0" xr:uid="{00000000-0006-0000-0700-000001000000}">
      <text>
        <r>
          <rPr>
            <b/>
            <sz val="9"/>
            <color indexed="81"/>
            <rFont val="Tahoma"/>
            <family val="2"/>
          </rPr>
          <t>Author:</t>
        </r>
        <r>
          <rPr>
            <sz val="9"/>
            <color indexed="81"/>
            <rFont val="Tahoma"/>
            <family val="2"/>
          </rPr>
          <t xml:space="preserve">
ეს კორპუსებია!</t>
        </r>
      </text>
    </comment>
    <comment ref="D10" authorId="0" shapeId="0" xr:uid="{00000000-0006-0000-0700-000002000000}">
      <text>
        <r>
          <rPr>
            <b/>
            <sz val="9"/>
            <color indexed="81"/>
            <rFont val="Tahoma"/>
            <family val="2"/>
          </rPr>
          <t>Author:</t>
        </r>
        <r>
          <rPr>
            <sz val="9"/>
            <color indexed="81"/>
            <rFont val="Tahoma"/>
            <family val="2"/>
          </rPr>
          <t xml:space="preserve">
ეს კორპუსებია!</t>
        </r>
      </text>
    </comment>
    <comment ref="D11" authorId="0" shapeId="0" xr:uid="{00000000-0006-0000-0700-000003000000}">
      <text>
        <r>
          <rPr>
            <b/>
            <sz val="9"/>
            <color indexed="81"/>
            <rFont val="Tahoma"/>
            <family val="2"/>
          </rPr>
          <t>Author:</t>
        </r>
        <r>
          <rPr>
            <sz val="9"/>
            <color indexed="81"/>
            <rFont val="Tahoma"/>
            <family val="2"/>
          </rPr>
          <t xml:space="preserve">
სოკარის ხელშეკრულებიდან ამოსაღებია და გადმოსატანია საქორგგაზზე!</t>
        </r>
      </text>
    </comment>
    <comment ref="D21" authorId="0" shapeId="0" xr:uid="{00000000-0006-0000-0700-000004000000}">
      <text>
        <r>
          <rPr>
            <b/>
            <sz val="9"/>
            <color indexed="81"/>
            <rFont val="Tahoma"/>
            <family val="2"/>
          </rPr>
          <t>Author:</t>
        </r>
        <r>
          <rPr>
            <sz val="9"/>
            <color indexed="81"/>
            <rFont val="Tahoma"/>
            <family val="2"/>
          </rPr>
          <t xml:space="preserve">
ეს კორპუსებია!</t>
        </r>
      </text>
    </comment>
    <comment ref="D25" authorId="0" shapeId="0" xr:uid="{00000000-0006-0000-0700-000005000000}">
      <text>
        <r>
          <rPr>
            <b/>
            <sz val="9"/>
            <color indexed="81"/>
            <rFont val="Tahoma"/>
            <family val="2"/>
          </rPr>
          <t>Author:</t>
        </r>
        <r>
          <rPr>
            <sz val="9"/>
            <color indexed="81"/>
            <rFont val="Tahoma"/>
            <family val="2"/>
          </rPr>
          <t xml:space="preserve">
ეს კორპუსებია!</t>
        </r>
      </text>
    </comment>
    <comment ref="D34" authorId="0" shapeId="0" xr:uid="{00000000-0006-0000-0700-000006000000}">
      <text>
        <r>
          <rPr>
            <b/>
            <sz val="9"/>
            <color indexed="81"/>
            <rFont val="Tahoma"/>
            <family val="2"/>
          </rPr>
          <t>Author:</t>
        </r>
        <r>
          <rPr>
            <sz val="9"/>
            <color indexed="81"/>
            <rFont val="Tahoma"/>
            <family val="2"/>
          </rPr>
          <t xml:space="preserve">
სოკარის ხელშეკრულებიდან ამოსაღებია და გადმოსატანია საქორგგაზზე!</t>
        </r>
      </text>
    </comment>
    <comment ref="D48" authorId="0" shapeId="0" xr:uid="{00000000-0006-0000-0700-000007000000}">
      <text>
        <r>
          <rPr>
            <b/>
            <sz val="9"/>
            <color indexed="81"/>
            <rFont val="Tahoma"/>
            <family val="2"/>
          </rPr>
          <t>Author:</t>
        </r>
        <r>
          <rPr>
            <sz val="9"/>
            <color indexed="81"/>
            <rFont val="Tahoma"/>
            <family val="2"/>
          </rPr>
          <t xml:space="preserve">
კეთდება P.2.140-თან (სულხან საბას ქუჩა) ერთადო! დამტკიცებულ სემეკის დამტკიცებულ სიაში P.2.138 აღარ არის!</t>
        </r>
      </text>
    </comment>
    <comment ref="D49" authorId="0" shapeId="0" xr:uid="{00000000-0006-0000-0700-000008000000}">
      <text>
        <r>
          <rPr>
            <b/>
            <sz val="9"/>
            <color indexed="81"/>
            <rFont val="Tahoma"/>
            <family val="2"/>
          </rPr>
          <t>Author:</t>
        </r>
        <r>
          <rPr>
            <sz val="9"/>
            <color indexed="81"/>
            <rFont val="Tahoma"/>
            <family val="2"/>
          </rPr>
          <t xml:space="preserve">
საერთოდ არ არის გასაკეთებელი, ვერ გაკეთდება, გასაუქმებელია!</t>
        </r>
      </text>
    </comment>
    <comment ref="D51" authorId="0" shapeId="0" xr:uid="{00000000-0006-0000-0700-000009000000}">
      <text>
        <r>
          <rPr>
            <b/>
            <sz val="9"/>
            <color indexed="81"/>
            <rFont val="Tahoma"/>
            <family val="2"/>
          </rPr>
          <t>Author:</t>
        </r>
        <r>
          <rPr>
            <sz val="9"/>
            <color indexed="81"/>
            <rFont val="Tahoma"/>
            <family val="2"/>
          </rPr>
          <t xml:space="preserve">
ხელშეკრულება?!</t>
        </r>
      </text>
    </comment>
    <comment ref="D55" authorId="0" shapeId="0" xr:uid="{00000000-0006-0000-0700-00000A000000}">
      <text>
        <r>
          <rPr>
            <b/>
            <sz val="9"/>
            <color indexed="81"/>
            <rFont val="Tahoma"/>
            <family val="2"/>
          </rPr>
          <t>Author:</t>
        </r>
        <r>
          <rPr>
            <sz val="9"/>
            <color indexed="81"/>
            <rFont val="Tahoma"/>
            <family val="2"/>
          </rPr>
          <t xml:space="preserve">
ეს კორპუსებია!</t>
        </r>
      </text>
    </comment>
    <comment ref="D56" authorId="0" shapeId="0" xr:uid="{00000000-0006-0000-0700-00000B000000}">
      <text>
        <r>
          <rPr>
            <b/>
            <sz val="9"/>
            <color indexed="81"/>
            <rFont val="Tahoma"/>
            <family val="2"/>
          </rPr>
          <t>Author:</t>
        </r>
        <r>
          <rPr>
            <sz val="9"/>
            <color indexed="81"/>
            <rFont val="Tahoma"/>
            <family val="2"/>
          </rPr>
          <t xml:space="preserve">
ეს კორპუსებია!</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R29" authorId="0" shapeId="0" xr:uid="{00000000-0006-0000-0300-000001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 ref="AR43" authorId="0" shapeId="0" xr:uid="{00000000-0006-0000-0300-000002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 ref="AR55" authorId="0" shapeId="0" xr:uid="{00000000-0006-0000-0300-000003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7" authorId="0" shapeId="0" xr:uid="{00000000-0006-0000-0400-000001000000}">
      <text>
        <r>
          <rPr>
            <b/>
            <sz val="9"/>
            <color indexed="81"/>
            <rFont val="Tahoma"/>
            <family val="2"/>
          </rPr>
          <t>Author:</t>
        </r>
        <r>
          <rPr>
            <sz val="9"/>
            <color indexed="81"/>
            <rFont val="Tahoma"/>
            <family val="2"/>
          </rPr>
          <t xml:space="preserve">
კორპუსებია და მოცემულია ჯამურად.</t>
        </r>
      </text>
    </comment>
    <comment ref="D18" authorId="0" shapeId="0" xr:uid="{00000000-0006-0000-0400-000002000000}">
      <text>
        <r>
          <rPr>
            <b/>
            <sz val="9"/>
            <color indexed="81"/>
            <rFont val="Tahoma"/>
            <family val="2"/>
          </rPr>
          <t>Author:</t>
        </r>
        <r>
          <rPr>
            <sz val="9"/>
            <color indexed="81"/>
            <rFont val="Tahoma"/>
            <family val="2"/>
          </rPr>
          <t xml:space="preserve">
კორპუსებია და მოცემულია ჯამურად.</t>
        </r>
      </text>
    </comment>
    <comment ref="AR76" authorId="0" shapeId="0" xr:uid="{00000000-0006-0000-0400-000003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 ref="AR86" authorId="0" shapeId="0" xr:uid="{00000000-0006-0000-0400-000004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 ref="AR117" authorId="0" shapeId="0" xr:uid="{00000000-0006-0000-0400-000005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 ref="AR121" authorId="0" shapeId="0" xr:uid="{00000000-0006-0000-0400-000006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I33" authorId="0" shapeId="0" xr:uid="{2EF3073A-712D-4D31-90A0-617FC85E29E9}">
      <text>
        <r>
          <rPr>
            <b/>
            <sz val="9"/>
            <color indexed="81"/>
            <rFont val="Tahoma"/>
            <family val="2"/>
          </rPr>
          <t>Author:</t>
        </r>
        <r>
          <rPr>
            <sz val="9"/>
            <color indexed="81"/>
            <rFont val="Tahoma"/>
            <family val="2"/>
          </rPr>
          <t xml:space="preserve">
პირვანდელ გეგმას დაემატა 303 000.</t>
        </r>
      </text>
    </comment>
    <comment ref="D34" authorId="0" shapeId="0" xr:uid="{00000000-0006-0000-0500-000001000000}">
      <text>
        <r>
          <rPr>
            <b/>
            <sz val="10"/>
            <color indexed="81"/>
            <rFont val="Tahoma"/>
            <family val="2"/>
            <charset val="204"/>
          </rPr>
          <t>პროექტი ჩაბარებულია 19/05/2021 თანხა 11184.25</t>
        </r>
        <r>
          <rPr>
            <sz val="10"/>
            <color indexed="81"/>
            <rFont val="Tahoma"/>
            <family val="2"/>
            <charset val="204"/>
          </rPr>
          <t xml:space="preserve">
</t>
        </r>
      </text>
    </comment>
    <comment ref="AQ44" authorId="0" shapeId="0" xr:uid="{00000000-0006-0000-0500-000002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 ref="D46" authorId="0" shapeId="0" xr:uid="{00000000-0006-0000-0500-000003000000}">
      <text>
        <r>
          <rPr>
            <b/>
            <sz val="10"/>
            <color indexed="81"/>
            <rFont val="Tahoma"/>
            <family val="2"/>
            <charset val="204"/>
          </rPr>
          <t>პროექტის შესრულების ვადა გადავიდა 2026 წელს</t>
        </r>
        <r>
          <rPr>
            <sz val="10"/>
            <color indexed="81"/>
            <rFont val="Tahoma"/>
            <family val="2"/>
            <charset val="204"/>
          </rPr>
          <t xml:space="preserve">
</t>
        </r>
      </text>
    </comment>
    <comment ref="D61" authorId="0" shapeId="0" xr:uid="{00000000-0006-0000-0500-000004000000}">
      <text>
        <r>
          <rPr>
            <b/>
            <sz val="10"/>
            <color indexed="81"/>
            <rFont val="Tahoma"/>
            <family val="2"/>
          </rPr>
          <t>მოიცავს P.6.921-ს</t>
        </r>
        <r>
          <rPr>
            <sz val="10"/>
            <color indexed="81"/>
            <rFont val="Tahoma"/>
            <family val="2"/>
          </rPr>
          <t xml:space="preserve">
</t>
        </r>
      </text>
    </comment>
    <comment ref="D62" authorId="0" shapeId="0" xr:uid="{00000000-0006-0000-0500-000005000000}">
      <text>
        <r>
          <rPr>
            <b/>
            <sz val="10"/>
            <color indexed="81"/>
            <rFont val="Tahoma"/>
            <family val="2"/>
            <charset val="204"/>
          </rPr>
          <t>მოიცავს P.6.921-ს</t>
        </r>
        <r>
          <rPr>
            <sz val="10"/>
            <color indexed="81"/>
            <rFont val="Tahoma"/>
            <family val="2"/>
            <charset val="204"/>
          </rPr>
          <t xml:space="preserve">
</t>
        </r>
      </text>
    </comment>
    <comment ref="D65" authorId="0" shapeId="0" xr:uid="{00000000-0006-0000-0500-000006000000}">
      <text>
        <r>
          <rPr>
            <b/>
            <sz val="10"/>
            <color indexed="81"/>
            <rFont val="Tahoma"/>
            <family val="2"/>
            <charset val="204"/>
          </rPr>
          <t>შედის P.6.874-ში</t>
        </r>
        <r>
          <rPr>
            <sz val="10"/>
            <color indexed="81"/>
            <rFont val="Tahoma"/>
            <family val="2"/>
            <charset val="204"/>
          </rPr>
          <t xml:space="preserve">
</t>
        </r>
      </text>
    </comment>
    <comment ref="D66" authorId="0" shapeId="0" xr:uid="{00000000-0006-0000-0500-000007000000}">
      <text>
        <r>
          <rPr>
            <b/>
            <sz val="10"/>
            <color indexed="81"/>
            <rFont val="Tahoma"/>
            <family val="2"/>
            <charset val="204"/>
          </rPr>
          <t>შედის P.6.874-ში</t>
        </r>
        <r>
          <rPr>
            <sz val="10"/>
            <color indexed="81"/>
            <rFont val="Tahoma"/>
            <family val="2"/>
            <charset val="204"/>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P12" authorId="0" shapeId="0" xr:uid="{00000000-0006-0000-0600-000001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 ref="AP13" authorId="0" shapeId="0" xr:uid="{00000000-0006-0000-0600-000002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 ref="AP15" authorId="0" shapeId="0" xr:uid="{00000000-0006-0000-0600-000003000000}">
      <text>
        <r>
          <rPr>
            <b/>
            <sz val="9"/>
            <color indexed="81"/>
            <rFont val="Tahoma"/>
            <family val="2"/>
          </rPr>
          <t>Author:</t>
        </r>
        <r>
          <rPr>
            <sz val="9"/>
            <color indexed="81"/>
            <rFont val="Tahoma"/>
            <family val="2"/>
          </rPr>
          <t xml:space="preserve">
ესენი სინამდვილეში ჩაბარდა შუალედურად, ფაქტორინგის აღების საჭიროების გამო.</t>
        </r>
      </text>
    </comment>
    <comment ref="D21" authorId="0" shapeId="0" xr:uid="{00000000-0006-0000-0600-000004000000}">
      <text>
        <r>
          <rPr>
            <b/>
            <sz val="10"/>
            <color indexed="81"/>
            <rFont val="Tahoma"/>
            <family val="2"/>
            <charset val="204"/>
          </rPr>
          <t>პროექტის შესრულების ვადა გადავიდა 2026 წელს</t>
        </r>
        <r>
          <rPr>
            <sz val="10"/>
            <color indexed="81"/>
            <rFont val="Tahoma"/>
            <family val="2"/>
            <charset val="204"/>
          </rPr>
          <t xml:space="preserve">
</t>
        </r>
      </text>
    </comment>
    <comment ref="D26" authorId="0" shapeId="0" xr:uid="{00000000-0006-0000-0600-000005000000}">
      <text>
        <r>
          <rPr>
            <sz val="10"/>
            <color indexed="81"/>
            <rFont val="Tahoma"/>
            <family val="2"/>
            <charset val="204"/>
          </rPr>
          <t xml:space="preserve">შედის P.6.69-ში
</t>
        </r>
      </text>
    </comment>
    <comment ref="D27" authorId="0" shapeId="0" xr:uid="{00000000-0006-0000-0600-000006000000}">
      <text>
        <r>
          <rPr>
            <b/>
            <sz val="10"/>
            <color indexed="81"/>
            <rFont val="Tahoma"/>
            <family val="2"/>
            <charset val="204"/>
          </rPr>
          <t>შედის P.6.69-ში</t>
        </r>
      </text>
    </comment>
    <comment ref="D32" authorId="0" shapeId="0" xr:uid="{00000000-0006-0000-0600-000007000000}">
      <text>
        <r>
          <rPr>
            <b/>
            <sz val="10"/>
            <color indexed="81"/>
            <rFont val="Tahoma"/>
            <family val="2"/>
            <charset val="204"/>
          </rPr>
          <t>მოიცავს P.6.70-ში</t>
        </r>
      </text>
    </comment>
    <comment ref="D34" authorId="0" shapeId="0" xr:uid="{00000000-0006-0000-0600-000008000000}">
      <text>
        <r>
          <rPr>
            <b/>
            <sz val="10"/>
            <color indexed="81"/>
            <rFont val="Tahoma"/>
            <family val="2"/>
            <charset val="204"/>
          </rPr>
          <t>შედის P.6.608-ში</t>
        </r>
        <r>
          <rPr>
            <sz val="10"/>
            <color indexed="81"/>
            <rFont val="Tahoma"/>
            <family val="2"/>
            <charset val="204"/>
          </rPr>
          <t xml:space="preserve">
</t>
        </r>
      </text>
    </comment>
    <comment ref="D35" authorId="0" shapeId="0" xr:uid="{00000000-0006-0000-0600-000009000000}">
      <text>
        <r>
          <rPr>
            <b/>
            <sz val="10"/>
            <color indexed="81"/>
            <rFont val="Tahoma"/>
            <family val="2"/>
            <charset val="204"/>
          </rPr>
          <t>მოიცავს P.6.690-ს</t>
        </r>
      </text>
    </comment>
    <comment ref="D36" authorId="0" shapeId="0" xr:uid="{00000000-0006-0000-0600-00000A000000}">
      <text>
        <r>
          <rPr>
            <b/>
            <sz val="10"/>
            <color indexed="81"/>
            <rFont val="Tahoma"/>
            <family val="2"/>
            <charset val="204"/>
          </rPr>
          <t>მოიცავს P.6.690-ს</t>
        </r>
      </text>
    </comment>
    <comment ref="D43" authorId="0" shapeId="0" xr:uid="{00000000-0006-0000-0600-00000B000000}">
      <text>
        <r>
          <rPr>
            <b/>
            <sz val="10"/>
            <color indexed="81"/>
            <rFont val="Tahoma"/>
            <family val="2"/>
            <charset val="204"/>
          </rPr>
          <t>პროექტის შესრულების ვადა გადავიდა 2026 წელს</t>
        </r>
        <r>
          <rPr>
            <sz val="10"/>
            <color indexed="81"/>
            <rFont val="Tahoma"/>
            <family val="2"/>
            <charset val="204"/>
          </rPr>
          <t xml:space="preserve">
</t>
        </r>
      </text>
    </comment>
    <comment ref="D45" authorId="0" shapeId="0" xr:uid="{00000000-0006-0000-0600-00000C000000}">
      <text>
        <r>
          <rPr>
            <b/>
            <sz val="10"/>
            <color indexed="81"/>
            <rFont val="Tahoma"/>
            <family val="2"/>
            <charset val="204"/>
          </rPr>
          <t>მოიცავს P.6.899-ს</t>
        </r>
        <r>
          <rPr>
            <sz val="10"/>
            <color indexed="81"/>
            <rFont val="Tahoma"/>
            <family val="2"/>
            <charset val="204"/>
          </rPr>
          <t xml:space="preserve">
</t>
        </r>
      </text>
    </comment>
    <comment ref="AP47" authorId="0" shapeId="0" xr:uid="{00000000-0006-0000-0600-00000D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 ref="D55" authorId="0" shapeId="0" xr:uid="{00000000-0006-0000-0600-00000E000000}">
      <text>
        <r>
          <rPr>
            <b/>
            <sz val="10"/>
            <color indexed="81"/>
            <rFont val="Tahoma"/>
            <family val="2"/>
            <charset val="204"/>
          </rPr>
          <t>პროექტის შესრულების ვადა გადავიდა 2026 წელს</t>
        </r>
        <r>
          <rPr>
            <sz val="10"/>
            <color indexed="81"/>
            <rFont val="Tahoma"/>
            <family val="2"/>
            <charset val="204"/>
          </rPr>
          <t xml:space="preserve">
</t>
        </r>
      </text>
    </comment>
    <comment ref="D57" authorId="0" shapeId="0" xr:uid="{00000000-0006-0000-0600-00000F000000}">
      <text>
        <r>
          <rPr>
            <b/>
            <sz val="10"/>
            <color indexed="81"/>
            <rFont val="Tahoma"/>
            <family val="2"/>
            <charset val="204"/>
          </rPr>
          <t>პროექტის შესრულების ვადა გადავიდა 2026 წელს</t>
        </r>
        <r>
          <rPr>
            <sz val="10"/>
            <color indexed="81"/>
            <rFont val="Tahoma"/>
            <family val="2"/>
            <charset val="204"/>
          </rPr>
          <t xml:space="preserve">
</t>
        </r>
      </text>
    </comment>
    <comment ref="D59" authorId="0" shapeId="0" xr:uid="{00000000-0006-0000-0600-000010000000}">
      <text>
        <r>
          <rPr>
            <b/>
            <sz val="10"/>
            <color indexed="81"/>
            <rFont val="Tahoma"/>
            <family val="2"/>
            <charset val="204"/>
          </rPr>
          <t>პროექტის შესრულების ვადა გადავიდა 2026 წელს</t>
        </r>
        <r>
          <rPr>
            <sz val="10"/>
            <color indexed="81"/>
            <rFont val="Tahoma"/>
            <family val="2"/>
            <charset val="204"/>
          </rPr>
          <t xml:space="preserve">
</t>
        </r>
      </text>
    </comment>
    <comment ref="D70" authorId="0" shapeId="0" xr:uid="{00000000-0006-0000-0600-000011000000}">
      <text>
        <r>
          <rPr>
            <b/>
            <sz val="10"/>
            <color indexed="81"/>
            <rFont val="Tahoma"/>
            <family val="2"/>
          </rPr>
          <t>მშენებლობა დაიწყება 2025-ში და დასრულდება 2026-ში</t>
        </r>
        <r>
          <rPr>
            <sz val="10"/>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O29" authorId="0" shapeId="0" xr:uid="{00000000-0006-0000-1100-000001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 ref="AO33" authorId="0" shapeId="0" xr:uid="{00000000-0006-0000-1100-000002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 ref="AO34" authorId="0" shapeId="0" xr:uid="{00000000-0006-0000-1100-000003000000}">
      <text>
        <r>
          <rPr>
            <b/>
            <sz val="9"/>
            <color indexed="81"/>
            <rFont val="Tahoma"/>
            <family val="2"/>
          </rPr>
          <t>Author:</t>
        </r>
        <r>
          <rPr>
            <sz val="9"/>
            <color indexed="81"/>
            <rFont val="Tahoma"/>
            <family val="2"/>
          </rPr>
          <t xml:space="preserve">
სინამდვილეში ჩაბარდა შუალედურად, ფაქტორინგის აღების საჭიროების გამო.</t>
        </r>
      </text>
    </comment>
  </commentList>
</comments>
</file>

<file path=xl/sharedStrings.xml><?xml version="1.0" encoding="utf-8"?>
<sst xmlns="http://schemas.openxmlformats.org/spreadsheetml/2006/main" count="7571" uniqueCount="1392">
  <si>
    <t>ჯორჯია გაზ პროჯექტი (SGG)</t>
  </si>
  <si>
    <t>№</t>
  </si>
  <si>
    <t xml:space="preserve">ქალაქი, მუნიციპალიტეტი </t>
  </si>
  <si>
    <t>სემეკის კოდი (P)</t>
  </si>
  <si>
    <t>სამშენებლო ობიექტის დასახელება</t>
  </si>
  <si>
    <t>ობიექტის ღირებულება სემეკის მიერ დამტკიცებული საინვესტიციო გეგმის მიხედვით</t>
  </si>
  <si>
    <t>31.12.23-მდე</t>
  </si>
  <si>
    <t>01.01.24 -დან 01.11.24 - მდე პერიოდში</t>
  </si>
  <si>
    <t>სულ 01.11.24-მდე</t>
  </si>
  <si>
    <t>2024 წელი</t>
  </si>
  <si>
    <t>ნოემბერი 2024</t>
  </si>
  <si>
    <t>დეკემბერი 2024</t>
  </si>
  <si>
    <t>იანვარი 2025</t>
  </si>
  <si>
    <t xml:space="preserve">თებერვალი 2025 </t>
  </si>
  <si>
    <t>მარტი 2025</t>
  </si>
  <si>
    <t>აპრილი 2025</t>
  </si>
  <si>
    <t>მაისი 2025</t>
  </si>
  <si>
    <t>ივნისი 2025</t>
  </si>
  <si>
    <t>ივლისი 2025</t>
  </si>
  <si>
    <t>აგვისტო 2025</t>
  </si>
  <si>
    <t>სექტემბერი 2025</t>
  </si>
  <si>
    <t>ოქტომბერი 2025</t>
  </si>
  <si>
    <t>ნოემბერი 2025</t>
  </si>
  <si>
    <t>დეკემბერი 2025</t>
  </si>
  <si>
    <t xml:space="preserve">სულ 2025 წელი </t>
  </si>
  <si>
    <t>სულ</t>
  </si>
  <si>
    <t>გეგმა</t>
  </si>
  <si>
    <t>ფაქტი</t>
  </si>
  <si>
    <t>ჯამი</t>
  </si>
  <si>
    <t>ახმეტა</t>
  </si>
  <si>
    <t>P.2.525</t>
  </si>
  <si>
    <t>#999 გერეესიდან ზ. ალვნამდე არსებული ქსელის რეაბილიტაცია</t>
  </si>
  <si>
    <t>P.2.518</t>
  </si>
  <si>
    <t>#2 ახმეტის მუნიციპალიტეტი სოფელი მატანის გაზსადენის რეაბილიტაცია მატნის საუბნოდან სოფლის შესასვლელამდე</t>
  </si>
  <si>
    <t>P.2.526</t>
  </si>
  <si>
    <t>#999 ქ. ახმეტა გორგასლის პირველი შესახვევი მიწისქვეშა გაზსადენის რეაბილიტაცია</t>
  </si>
  <si>
    <t>გარდაბანი</t>
  </si>
  <si>
    <t>P.2.829</t>
  </si>
  <si>
    <t>გარდაბანი, სოფ. ნაზარლოში ცენტრალური გაზსადენის აწევა და მიწისქვეშა გადასვლების რეაბილიტაცია</t>
  </si>
  <si>
    <t>P.2.831</t>
  </si>
  <si>
    <t>გარდაბანი , სოფ. ლელაშხაში არსებული გაზგამანაწილებელი ქსელის რეაბილიტაცია</t>
  </si>
  <si>
    <t>დედოფლისწყარო</t>
  </si>
  <si>
    <t>P.2.553</t>
  </si>
  <si>
    <t>ქ. დედოფლისწყარო-მეგობრობის ქუჩა #4 საუბნო მრიცხველამდე (ასფალტი)</t>
  </si>
  <si>
    <t>P.2.45</t>
  </si>
  <si>
    <t>სოფ. ზემო მაჩხაანი-აკაკის და ჯამასპიანთ უბანი გაზსადენის რეაბილიტაცია (ასფალტი)</t>
  </si>
  <si>
    <t>P.2.542</t>
  </si>
  <si>
    <t>სოფ. არბოშიკი-#20 საუბნო მრიცხველიდან კოტაანი და მაჩხაანის მიმართულება გაზსადენის რეაბილიტაცია (ასფალტი)</t>
  </si>
  <si>
    <t>ლაგოდეხი</t>
  </si>
  <si>
    <t>P.2.894</t>
  </si>
  <si>
    <t>სოფელ შრომისა და სოფელ კავშირის გაზსადენების რეაბილიტაცია.</t>
  </si>
  <si>
    <t>P.2.1160</t>
  </si>
  <si>
    <t>სოფ. კაბალში ფოლადის გაზსადენის შეცვლა პოლიეთილენით</t>
  </si>
  <si>
    <t>მცხეთა</t>
  </si>
  <si>
    <t>P.3.698</t>
  </si>
  <si>
    <t>სოფელ ბიწმენდში არსებული შიდა ქსელის რეაბილიტაცია და გამსხვილება</t>
  </si>
  <si>
    <t>P.3.697</t>
  </si>
  <si>
    <t>სოფელ მუხრანში არსებული შიდა ქსელის რეაბილიტაცია და გამსხვილება</t>
  </si>
  <si>
    <t>საგარეჯო</t>
  </si>
  <si>
    <t>P.2.950</t>
  </si>
  <si>
    <t>ქ. საგარეჯო. სათავის უბნის ქსელის რეაბილიტაცია</t>
  </si>
  <si>
    <t>P.2.84</t>
  </si>
  <si>
    <t>სოფ. სართიჭალა, ცხაკაიას ქუჩის გაზსადენის რეაბილიტაცია</t>
  </si>
  <si>
    <t>P.2.1070</t>
  </si>
  <si>
    <t>გარდაბანი, სოფ. მუხროვანი ,არსებული დაბალი წნევის ფოლადის მიწისზედა D50(1000 გრ/მ), რომლის ჩანაცვლება უნდა მოხდეს შემდეგ ნაირად 800 გრ/მ ჩანაცვლდეს D76მმ ფოლადის მიწისზედა მილსადენით ხოლო დარჩენილი 200 გრ/მ D50მმ გადაყვანილი იქნას საშუალო წნევაზე.  D32 300 გრ/მ D25 300 გრ/მ ჩანაცვლებულ იქნას   D50მმ მიწისზედა 300-300 გრ/მ ფოლადის გაზსადენით. აგრეთვე D50მმ მიწისზედა ფოლადის მილი ჩანაცვლდეს  D63 მმ 200 გრ/მ მიწისქვეშა პოლიეთილენის გაზსადენით</t>
  </si>
  <si>
    <t>P.2.1069</t>
  </si>
  <si>
    <t>სოფ. სართიჭალა არსებული საშ წნევის D300მმ მიწისქვეშა ფოლადის  გაზსადენის რეაბილიტაცია</t>
  </si>
  <si>
    <t>P.2.81</t>
  </si>
  <si>
    <t>სოფ. სართიჭალა, მუღანლოს დასახ. ქუჩის ჩიხის ქსელის რეაბილიტაცია</t>
  </si>
  <si>
    <t>ხაშური</t>
  </si>
  <si>
    <t>P.3.879</t>
  </si>
  <si>
    <t>დაბა სურამში აღმაშენებლისა და თამარ მეფის ქუჩებზე D=100 მმ ფოლადის საჰაიერო გაზსადენის შეცვლა პოლიეთილენის D=160 მმ მიწისქვეშა გაზსადენით</t>
  </si>
  <si>
    <t>(1.1.1) სოფელ ბიწმენდში არსებული შიდა ქსელის რეაბილიტაცია და გამსხვილება P.3.698 (პროექტირება)</t>
  </si>
  <si>
    <t>(1.1.2) სოფელ მუხრანში არსებული შიდა ქსელის რეაბილიტაცია და გამსხვილება P.3.697 (პროექტირება)</t>
  </si>
  <si>
    <t>ჯორჯია გაზ პროჯექტი (SOG)</t>
  </si>
  <si>
    <t>გორი</t>
  </si>
  <si>
    <t>P.3.198</t>
  </si>
  <si>
    <t>P.3.735</t>
  </si>
  <si>
    <t>P.3.962</t>
  </si>
  <si>
    <t>კასპი</t>
  </si>
  <si>
    <t>P.3.853</t>
  </si>
  <si>
    <t>კონტრაქტორი</t>
  </si>
  <si>
    <t>ჯორჯია გაზ პროჯექტი</t>
  </si>
  <si>
    <t>SGG</t>
  </si>
  <si>
    <t>SOG</t>
  </si>
  <si>
    <t>SGG + SOG</t>
  </si>
  <si>
    <t>ბრიჯი SGG</t>
  </si>
  <si>
    <t>ზესტაფონი</t>
  </si>
  <si>
    <t>P.6.13</t>
  </si>
  <si>
    <t>(2) სოფ. მეორე სვირის ტყის ზოლის საშ. წნევის გაზსადენის რეაბილიტაცია P.6.13</t>
  </si>
  <si>
    <t>P.6.19</t>
  </si>
  <si>
    <t>(1) სოფ. არგვეთის დაბალი წნევის გაზსადენის რეაბილიტაცია (P.6.19)</t>
  </si>
  <si>
    <t>P.3.166</t>
  </si>
  <si>
    <t>(2) სოფ. ძველი ქანდა არსებული დაბალი წნევის გაზსადენის რეაბილიტაცია (P.3.166)</t>
  </si>
  <si>
    <t>ბოლნისი</t>
  </si>
  <si>
    <t>P.2.401</t>
  </si>
  <si>
    <t>(3) ქ.ბოლნისი დაბა კაზრეთის მაღალსართულიანი კორპუსებიდან (სამზარეულო) მრიცხველების გამოტანა (P.2.401)</t>
  </si>
  <si>
    <t>ბრიჯი SOG</t>
  </si>
  <si>
    <t>P.2.813</t>
  </si>
  <si>
    <t>(1) N 17 საუბნოზე მაღალსართულიანი ბინებიდან მრიცხველების გამოტანა შეცვლა 200 აბონენტზე, რეაბილიტაცია. P.2.813</t>
  </si>
  <si>
    <t>P.2.814</t>
  </si>
  <si>
    <t>(2) N 18 N 19 N20 N 21 საუბნო დ აღმაშენებელის ქუჩაზე კერძო საკუთრებაში გამავალი გაზსადენის გამოტანა 80 აბონენტზე, მაღალსართულიანი ბინებიდან მრიცხელების გამოტანა შეცვლა 160 აბ. რეაბილიტაცია. P.2.814</t>
  </si>
  <si>
    <t>P.2.812</t>
  </si>
  <si>
    <t>(3) N 16 საუბნოზე რუსთაველი სააკაძე ფარნავაზ მეფის ქუჩებზე კერძო საკუთრებაში გამავალი გაზსადენის გამოტანა 115 აბონენტზე, რეაბილიტაცია. P.2.812</t>
  </si>
  <si>
    <t>ბრიჯი</t>
  </si>
  <si>
    <t>არქმშენსერვისი SGG</t>
  </si>
  <si>
    <t>ბათუმი</t>
  </si>
  <si>
    <t>P.5.11</t>
  </si>
  <si>
    <t>(1) ქ. ბათუმის პოლითილენის D=315 მმ მაღალი წნევის გაზსადენის რეაბილიტაცია P.5.11</t>
  </si>
  <si>
    <t>ხელვაჩაური</t>
  </si>
  <si>
    <t>P.5.551</t>
  </si>
  <si>
    <t>მდ. ყოროლისწყალზე დაზიანებული 530 მმ-იანი ფოლადის გაზსადენის, ნაცვლად ახლის სამშენებლო-სამონტაჟო სამუშაოები. ასევე ნავთობტერმინალის ტერიტორიაზე, სარეზერვო გაზსადენის მოწყობა/დემონტაჟის საპროექტო-სამშენებლო სამუშაოები. P.5.551</t>
  </si>
  <si>
    <t>ქარელი</t>
  </si>
  <si>
    <t>P.3.502 (P.3.503)</t>
  </si>
  <si>
    <t>(1) ქ. ქარელში (ფანასკერტელის, ვაჟა ფშაველას, მუსხელიშვილის, თბილისის, აბაშიშვილის, მარჯანიშვილის, ახალგაზრდობის, ნონეშვილის სტალინის, თამარ მეფის, ჭავჭავაძის, წერეთლის, კეცხოველის, ავთანდილაშვილის, 9 აპრილის, ბახტრიონის ქ. ქარელში მე2ე და მე4ე საუბნო კვანძებზე არსებული) ქუჩების საჰაერო გაზსადენის შეცვლა (P.3.502)</t>
  </si>
  <si>
    <t>P.3.955</t>
  </si>
  <si>
    <t>(2) მუხრანის გრს-დან N 37 საუბნომდე ცენტრალური გასზადენის რეაბილიტაცია (P.3.955)</t>
  </si>
  <si>
    <t>ხობი</t>
  </si>
  <si>
    <t>P.4.3</t>
  </si>
  <si>
    <t>(3) ხობი, ლითონის D=500 მმ გაზსადენის რეაბილიტაცია (P.4.3)</t>
  </si>
  <si>
    <t>რუსთავი</t>
  </si>
  <si>
    <t>P.2.750</t>
  </si>
  <si>
    <t>(1) დამატებითი გაზმომარაგების ხაზის მშენებლობა სოფ. გამარჯვებიდან მე - 8 მკრ-მდე P.2.750</t>
  </si>
  <si>
    <t>არქმშენსერვისი</t>
  </si>
  <si>
    <t>უნიმშენი SGG</t>
  </si>
  <si>
    <t>ოზურგეთი</t>
  </si>
  <si>
    <t>P.4.60</t>
  </si>
  <si>
    <t>ქობულეთი</t>
  </si>
  <si>
    <t>P.5.16</t>
  </si>
  <si>
    <t>ლანჩხუთი</t>
  </si>
  <si>
    <t>P.4.511</t>
  </si>
  <si>
    <t>P.5.52</t>
  </si>
  <si>
    <t>P.4.532</t>
  </si>
  <si>
    <t>P.4.531</t>
  </si>
  <si>
    <t>P.4.519</t>
  </si>
  <si>
    <t>(1) სოფ. დვაბზუს ქსელის რეაბილიტაცია (P.4.519)</t>
  </si>
  <si>
    <t>P.5.549</t>
  </si>
  <si>
    <t>(2) გაზსადენის მშენებლობა, ადლია, ანგისას დასახლებაში უსაფრთხო უწყვეტი მიწოდებისთვის (P.5.549)</t>
  </si>
  <si>
    <t>P.4.16</t>
  </si>
  <si>
    <t>(4) ოზურგეთში მრიცხველების გამოტანა 85 ოჯახიდან (P.4.16)</t>
  </si>
  <si>
    <t>P.5.7 (1)</t>
  </si>
  <si>
    <t>(6) ბათუმი, სოციალურ აბონენტებთან თერმოკორექტორის გარეშე არსებული მრიცხველების შეცვლა P.5.7 (1)</t>
  </si>
  <si>
    <t>P.5.55</t>
  </si>
  <si>
    <t>(7) ბათუმი, სერნი ვანები №208-საუბნოზე მრიცხველების გამოტანა 25-აბონენტიდან P.5.55 - პროექტირება</t>
  </si>
  <si>
    <t>(8) ბათუმი, სერნი ვანები №208-საუბნოზე მრიცხველების გამოტანა 25-აბონენტიდან P.5.55</t>
  </si>
  <si>
    <t>P.5.57</t>
  </si>
  <si>
    <t>(9) ბათუმი, სოფელი ჩელტა, მრიცხველების გამოტანა 175 აბონენტიდან P.5.57 - პროექტირება</t>
  </si>
  <si>
    <t>(10) ბათუმი, სოფელი ჩელტა, მრიცხველების გამოტანა 175 აბონენტიდან P.5.57</t>
  </si>
  <si>
    <t>P.5.54</t>
  </si>
  <si>
    <t>(11) ბათუმი, მახინჯაური №30-საუბნოზე მრიცხველების გამოტანა 42-აბონენტიდან P.5.54 - პროექტირება</t>
  </si>
  <si>
    <t>(12) ბათუმი, მახინჯაური №30-საუბნოზე მრიცხველების გამოტანა 42-აბონენტიდან P.5.54</t>
  </si>
  <si>
    <t>P.5.56</t>
  </si>
  <si>
    <t>(13) ბათუმი, ბარცხანაში 06-საუბნოზე მრიცხველების გამოტანა, 75 აბონენტიდან P.5.56 - პროექტირება</t>
  </si>
  <si>
    <t>(14) ბათუმი, ბარცხანაში 06-საუბნოზე მრიცხველების გამოტანა, 75 აბონენტიდან P.5.56</t>
  </si>
  <si>
    <t>ჩოხატაური</t>
  </si>
  <si>
    <t>P.4.18</t>
  </si>
  <si>
    <t>(15) ჩოხატაურში მრიცხველების გამოტანა 61 ოჯახიდან P.4.18</t>
  </si>
  <si>
    <t>ს. მუხაესტატედან ს. ქაქუთამდე მიწისქვეშა გაზსადენის რეაბილიტაციის სამშენებლო-სამონტაჟო სამუშაოები. #BSG-240805-2/0</t>
  </si>
  <si>
    <t>ჩხოროწყუ</t>
  </si>
  <si>
    <t>ხობის საწყობი</t>
  </si>
  <si>
    <t>უნიმშენი</t>
  </si>
  <si>
    <t>მარტყოფი (აკრიანის არეალი)(I ეტაპი)</t>
  </si>
  <si>
    <t>P.2.94</t>
  </si>
  <si>
    <t>ქ. ახმეტა რუსთაველის ქუჩის გაზსადენის რეაბილიტაცია</t>
  </si>
  <si>
    <t>(16) ახმეტის მუნიციპალიტეტი სოფელი მატანის გაზსადენის რეაბილიტაცია მატნის საუბნოდან სოფლის შესასვლელამდე</t>
  </si>
  <si>
    <t>(40) ქ. ახმეტა გორგასლის პირველი შესახვევი მიწისქვეშა გაზსადენის რეაბილიტაცია</t>
  </si>
  <si>
    <t>P.2.506</t>
  </si>
  <si>
    <t>(37) ქ. ახმეტა დედის ქუჩის გაზსადენის რეაბილიტაცია პირველი მაისის ქუჩის გაზსადენის რეაბილიტაცია</t>
  </si>
  <si>
    <t>მარნეული</t>
  </si>
  <si>
    <t>P.2.906</t>
  </si>
  <si>
    <t>(1) სოფ ჯანდარის დაბალი წნევის მილის რეაბილიტაცია. (P.2.906)</t>
  </si>
  <si>
    <t>P.2.134</t>
  </si>
  <si>
    <t>1.1.2. В Гардабанском муниципалитете реабилитационные работы питающего газопровода c. Караджалар и с. Каратаклия. (P.2.134)</t>
  </si>
  <si>
    <t>2026 წელშია გადასატანი</t>
  </si>
  <si>
    <t>P.2.843</t>
  </si>
  <si>
    <t>(16) გარდაბანი, სოფ. ყარაჯალაში მიწისქვეშა გადასვლების რეაბილიტაცია და მრიცხველების გამოტანა,შეცვლა P.2.843</t>
  </si>
  <si>
    <t>გურჯაანი</t>
  </si>
  <si>
    <t>P.2.874</t>
  </si>
  <si>
    <t>(4) 43-ე საუბნო კვანძზე (მელაანიდან გზის პირი, გაჩერებამდე) (ჩალაუბანში საშ. წნევის მიყვანა სოფ. მელაანამდე) დაბალი წნევის გაზსადენის რეაბილიტაცია. (P.2.874)</t>
  </si>
  <si>
    <t>P.2.871</t>
  </si>
  <si>
    <t>(3) 34-ე საუბნო (სოფ. დარჩეთი, ცენტრალური გზა, ორივე მხრიდან) (არაშენდიდან ქოდალომდე) ბესოს ფერმასთან (შესასვლელში) (დარჩეთის სკოლასთან) წნევის გაზსადენის რეაბილიტაცია. (P.2.871)</t>
  </si>
  <si>
    <t>P.2.902</t>
  </si>
  <si>
    <t>(8) 740 ცალი მრიცხველის გამოტანა საკუთარი სახლებიდან მარნეულის სერვის ცენტრში P.2.902</t>
  </si>
  <si>
    <t>P.2.844</t>
  </si>
  <si>
    <t>(14) გარდაბანი, სოფ. ყარათაკლიაში მიწისქვეშა გადასვლების შეცვლა და მრიცხველების გამოტანა,შეცვლა P.2.844</t>
  </si>
  <si>
    <t>P.2.845</t>
  </si>
  <si>
    <t>(12) გარდაბანი, სოფ. ნორიოში მიწისქვეშა გადასვლების რეაბილიტაცია და მრიცხველების გამოტანა,შეცვლა. P.2.845</t>
  </si>
  <si>
    <t>P.2.1161</t>
  </si>
  <si>
    <t>(16) სოფ. კაბალში და სოფ. ყარაჯალაში აღრიცხვიანობის მოწესრიგება (P.2.1161)</t>
  </si>
  <si>
    <t>P.2.809</t>
  </si>
  <si>
    <t>(5) N11 საუბნოზე ი ჭავჭავაძის და წმინდა ნინოს ქუჩებზე კერძო საკუთრებაში გამავალი გაზსადენის გამოტანა მრიცხველების შეცვლა 140 აბონენტზე, რეაბილიტაცია . (P.2.809)</t>
  </si>
  <si>
    <t>P.2.810</t>
  </si>
  <si>
    <t>(6) N12 საუბნოზე თამარმეფის ქუჩისა და წმინდა ნინოს ქუჩებზე კერძო საკუთრებაში გამავალი გაზსადენის გამოტანა მრიცხველების შეცვლა 190 აბონენტზე, რეაბილიტაცია. (P.2.810)</t>
  </si>
  <si>
    <t>P.2.875</t>
  </si>
  <si>
    <t>(47) სოფ. ჩალაუბანში მრიცხველების გამოტანა 170 ც. ვოდების და მრიცხველების გამოატანა ეზოებიდან, 250ც. P.2.875</t>
  </si>
  <si>
    <t>სიღნაღი</t>
  </si>
  <si>
    <t>P.2.780</t>
  </si>
  <si>
    <t>(31) ქ. წნორი ჯავაშვილი ფილიმონის უბნიდან ბოდბისხევის ბაზრამდე ქუჩის რეაბილიტაცია (P.2.780)</t>
  </si>
  <si>
    <t>P.2.858</t>
  </si>
  <si>
    <t>(17) მე-9 საუბნო კვანძზე (სკოლიდან მამაოს უბანი, დოხას უბანი) (ხევისუბანი-ჩალიჩების უბნამდე) (ხევისუბნიდან სკოლამდე) საშუალო წნევის გაზსადენის რეაბილიტაცია. (P.2.858)</t>
  </si>
  <si>
    <t>P.2.856</t>
  </si>
  <si>
    <t>(13) სოფ. ჭანდარი; მე-7 საუბნო კვანძზე (თენგოს უბანი და განშტოებები) (სონღულაშვილის გივის უბანი) საშუალო წნევის გაზსადენის რეაბილიტაცია. (P.2.856)</t>
  </si>
  <si>
    <t>ყვარელი</t>
  </si>
  <si>
    <t>P.2.99</t>
  </si>
  <si>
    <t>(10) ქ. ყვარელი წერეთლის ქუჩის მიწისქვეშა დაბალი წნევის გაზსადენის რეაბილიტაცია 57. 06. 56. 397-დან57. 06. 56. 198-მდე (შუა ქალაქიდან ბოლომდე დასავლეთით) გიორგი მერჩულეს ქუჩა 57. 06. 56. 226-დან 57. 06. 56. 235-მდე (P.2.99)</t>
  </si>
  <si>
    <t>(15) ქ. ყვარელი წერეთლის ქუჩის მიწისქვეშა დაბალი წნევის გაზსადენის რეაბილიტაცია 57. 06. 56. 397-დან57. 06. 56. 198-მდე (შუა ქალაქიდან ბოლომდე დასავლეთით) გიორგი მერჩულეს ქუჩა 57. 06. 56. 226-დან 57. 06. 56. 235-მდე (P.2.99)</t>
  </si>
  <si>
    <t>P.2.995</t>
  </si>
  <si>
    <t>(24) ქ. ყვარელი შოთა რუსთაველის ქუჩის მიწისქვეშა დაბალი წნევის გაზსადენის რეაბილიტაცია 57. 06. 56. 019-დან 57. 06. 51. 372-მდე რესპუბლიკა ბანკიდან ძველი სასამართლოს ქუჩა (P.2.995)</t>
  </si>
  <si>
    <t>P.2.859</t>
  </si>
  <si>
    <t>(19) მე-12 საუბნო კვანძზე (სოფ. ბაკურციხე ტექნიკუმის გზაზე, ორივე მხარეს) (სოფ. ბაკურციხე, პარკისუბანში) საშუალო წნევის გაზსადენის რეაბილიტაცია. (P.2.859)</t>
  </si>
  <si>
    <t>(26) ქ. ყვარელი შოთა რუსთაველის ქუჩის მიწისქვეშა დაბალი წნევის გაზსადენის რეაბილიტაცია 57. 06. 56. 019-დან 57. 06. 51. 372-მდე რესპუბლიკა ბანკიდან ძველი სასამართლოს ქუჩა (P.2.995)</t>
  </si>
  <si>
    <t>P.2.105</t>
  </si>
  <si>
    <t>(20) ქ. ყვარელი ქაქუცა ჩოლოყაშვილი ქუჩის მიწისქვეშა დაბალი წნევის გაზსადენის რეაბილიტაცია 57. 06. 54. 506-დან 57. 06. 55. 095-მდე სალავაშეს ქ (P.2.105)</t>
  </si>
  <si>
    <t>P.2.869</t>
  </si>
  <si>
    <t>(34) 32-ე საუბნო კვანძზე, (ორველაშვილის უბანზე) (საშ. სკოლასთან) დაბალი წნევის გაზსადენის რეაბილიტაცია. (P.2.869)</t>
  </si>
  <si>
    <t>P.2.903</t>
  </si>
  <si>
    <t>(39) 724 ცალი მრიცხველის დაბლა ჩამოტანა მარნეულის სერვის ცენტრში (P.2.903)</t>
  </si>
  <si>
    <t>P.2.970</t>
  </si>
  <si>
    <t>(11) საგარეჯო,სოფ. პატარძეულის 01 საუბნო მრიცხველის შემდეგ გამავალი ფოლადის საჰაერო გაზსადენისა და საყრდენების შეღებვა (P.2.970)</t>
  </si>
  <si>
    <t>P.2.100</t>
  </si>
  <si>
    <t>(58)ქ. ახმეტა მარქსის ქუჩის გაზსადენის რეაბილიტაცია</t>
  </si>
  <si>
    <t>(1)გერეესიდან ზ. ალვნამდე არსებული ქსელის რეაბილიტაცია</t>
  </si>
  <si>
    <t>P.2.502</t>
  </si>
  <si>
    <t>(12) გაზსადენების შეღებვა სხვადასხვა მისამართებზე (P.2.502)</t>
  </si>
  <si>
    <t>(23) ქ. ყვარელი ქაქუცა ჩოლოყაშვილი ქუჩის მიწისქვეშა დაბალი წნევის გაზსადენის რეაბილიტაცია 57. 06. 54. 506-დან 57. 06. 55. 095-მდე სალავაშეს ქ (P.2.105)</t>
  </si>
  <si>
    <t>P.2.1118</t>
  </si>
  <si>
    <t>(23) ქ. ყვარელი, თამარ მეფის ქუჩის მიწისქვეშა დაბალი წნევის გაზსადენის რეაბილიტაცია 57.06.56.000.165-დან 57.06.51.000.122-მდე (P.2.1118)</t>
  </si>
  <si>
    <t>(25) ქ. ყვარელი, თამარ მეფის ქუჩის მიწისქვეშა დაბალი წნევის გაზსადენის რეაბილიტაცია 57.06.56.000.165-დან 57.06.51.000.122-მდე (P.2.1118)</t>
  </si>
  <si>
    <t>P.2.1120</t>
  </si>
  <si>
    <t>(29) ქ. ყვარელი, ვაჟა-ფშაველას ქუჩის მიწისქვეშა დაბალი წნევის გაზსადენის რეაბილიტაცია 57.06.56.000.113-დან 57.06.51.000.599-მდე (P.2.1120)</t>
  </si>
  <si>
    <t>P.2.108</t>
  </si>
  <si>
    <t>(32) ქ. ყვარელი ყაზბეგის ქუჩის მიწისქვეშა დაბალი წნევის გაზსადენის რეაბილიტაცია 57. 06. 55. 024-დან 57. 06. 55. 024-მდე (P.2.108)</t>
  </si>
  <si>
    <t>P.2.109</t>
  </si>
  <si>
    <t>(28) ქ. ყვარელი შტეინის ქუჩის მიწისქვეშა დაბალი წნევის გაზსადენის რეაბილიტაცია 57. 06. 52. 115-დან 57. 06. 52. 133-მდე (P.2.109)</t>
  </si>
  <si>
    <t>P.2.550</t>
  </si>
  <si>
    <t>(33) ქ. დედოფლისწყარო-მთისა,გურამიშვილის და წერეთლის ქუჩები გაზსადენის რეაბილიტაცია (P.2.550)</t>
  </si>
  <si>
    <t>P.2.861</t>
  </si>
  <si>
    <t>(36) მე-14 საუბნო კვანძზე (ფიროს უბანი, ადვიოკატი ნოდარის უბანი) საშუალო წნევის გაზსადენის რეაბილიტაცია. (P.2.861)</t>
  </si>
  <si>
    <t>P.2.975</t>
  </si>
  <si>
    <t>(9) საგარეჯო, საშულო წნევის 999 გერეესის კანარგოს მიმართულება, გამავალი ფოლადის საჰაერო გაზსადენისა და საყრდენების შეღებვა (P.2.975)</t>
  </si>
  <si>
    <t>P.2.551</t>
  </si>
  <si>
    <t>(14) საშუალო წნევა ზემო მაჩხაანი, აროშიკი ქ. დედოფლისწყარო საჰაერო გაზსადენის შეღებვა (P.2.551)</t>
  </si>
  <si>
    <t>P.2.799</t>
  </si>
  <si>
    <t>(15) გაზსადენების შეღებვა სხვადასხვა მისამართებზე (P.2.799)</t>
  </si>
  <si>
    <t>P.2.778</t>
  </si>
  <si>
    <t>(41) სოფ. საქობო მხატვარი იურას უბნის რეაბილიტაცია (P.2.778)</t>
  </si>
  <si>
    <t>P.2.991</t>
  </si>
  <si>
    <t>(47) ქ. დედოფლისწყარო-ბარათაშვილის ქუჩა გაზსადენის რეაბილიტაცია (P.2.991)</t>
  </si>
  <si>
    <t>P.2.1115</t>
  </si>
  <si>
    <t>(51) ქ. ყვარელი, ლაშარის ქუჩის მიწისქვეშა დაბალი წნევის გაზსადენის რეაბილიტაცია 57.06.56.000.293-დან 57.06.51.000.138-მდე (P.2.1115)</t>
  </si>
  <si>
    <t>(45) ქ. დედოფლისწყარო-ბარათაშვილის ქუჩა გაზსადენის რეაბილიტაცია (P.2.991)</t>
  </si>
  <si>
    <t>P.2.35</t>
  </si>
  <si>
    <t>(35) ქ. დედოფლისწყარო წყაროს ქუჩის რეაბილიტაცია (P.2.35)</t>
  </si>
  <si>
    <t>(46) ქ. ყვარელი, ლაშარის ქუჩის მიწისქვეშა დაბალი წნევის გაზსადენის რეაბილიტაცია 57.06.56.000.293-დან 57.06.51.000.138-მდე (P.2.1115)</t>
  </si>
  <si>
    <t>P.2.1119</t>
  </si>
  <si>
    <t>(52) ქ. ყვარელი, სოლომონ დოდაშვილის ქუჩის მიწისქვეშა დაბალი წნევის გაზსადენის რეაბილიტაცია 57.06.56.000.2675-დან 57.06.51.000.074-მდე (P.2.1119)</t>
  </si>
  <si>
    <t>(18) სოფ. კაბალში და სოფ. ყარაჯალაში აღრიცხვიანობის მოწესრიგება (P.2.1161)</t>
  </si>
  <si>
    <t>(3)სოფ. კაბალში ფოლადის გაზსადენის შეცვლა პოლიეთილენით</t>
  </si>
  <si>
    <t>P.2.887</t>
  </si>
  <si>
    <t>(22) გაზსადენების შეღებვა სხვადასხვა მისამართებზე (P.2.887)</t>
  </si>
  <si>
    <t>P.2.1224</t>
  </si>
  <si>
    <t>(25) ქ. მარნეული პირველ და მეორე ქუჩებზე გაზსადენის მოწყობა (P.2.1224)</t>
  </si>
  <si>
    <t>(47) ქ. ყვარელი, სოლომონ დოდაშვილის ქუჩის მიწისქვეშა დაბალი წნევის გაზსადენის რეაბილიტაცია 57.06.56.000.2675-დან 57.06.51.000.074-მდე (P.2.1119)</t>
  </si>
  <si>
    <t>P.2.1117</t>
  </si>
  <si>
    <t>(40) ქ. ყვარელი, ელადის ქუჩის მიწისქვეშა დაბალი წნევის გაზსადენის რეაბილიტაცია 57.06.56.000.182-დან 57.06.51.000.454-მდე (P.2.1117)</t>
  </si>
  <si>
    <t>P.2.847</t>
  </si>
  <si>
    <t>(30) გაზსადენების შეღებვა სხვადასხვა მისამართებზე (P.2.847)</t>
  </si>
  <si>
    <t>P.2.868</t>
  </si>
  <si>
    <t>(6) 25-ე საუბნო კვანძზე (დეპოს უბანი) დაბალი წნევის გაზსადენის რეაბილიტაცია. P.2.868</t>
  </si>
  <si>
    <t>P.2.999</t>
  </si>
  <si>
    <t>(54) ქ. გარდაბანი, გამარჯვების ქუჩაზე არსებული გაზგამანაწილებელი ქსელის რეაბილიტაცია P.2.999</t>
  </si>
  <si>
    <t>P.2.34</t>
  </si>
  <si>
    <t>(42) ქ. დედოფლისწყარო ძნელაძის ქუჩის რეაბილიტაცია (P.2.34)</t>
  </si>
  <si>
    <t>P.2.775</t>
  </si>
  <si>
    <t>(44) ქ. წნორი პაპუაშვილის უბნის რეაბილიტაცია (P.2.775)</t>
  </si>
  <si>
    <t>(39) ქ. ყვარელი, ელადის ქუჩის მიწისქვეშა დაბალი წნევის გაზსადენის რეაბილიტაცია 57.06.56.000.182-დან 57.06.51.000.454-მდე (P.2.1117)</t>
  </si>
  <si>
    <t>P.2.1116</t>
  </si>
  <si>
    <t>(45) ქ. ყვარელი, ანდრია ბენაშვილის (ერეკლეს) ქუჩის მიწისქვეშა დაბალი წნევის გაზსადენის რეაბილიტაცია 57.06.56.000.154-დან 57.06.51.000.213-მდე (P.2.1116)</t>
  </si>
  <si>
    <t>(43) ქ. წნორი პაპუაშვილის უბნის რეაბილიტაცია (P.2.775)</t>
  </si>
  <si>
    <t>P.2.791</t>
  </si>
  <si>
    <t>(54) ქ. წნორი ნოდარ მოლაშვილის უბნის რეაბილიტაცია (P.2.791)</t>
  </si>
  <si>
    <t>P.2.972</t>
  </si>
  <si>
    <t>(27) საგარეჯო,სოფ. გიორგიწმნდის 08 საუბნო მრიცხველის შემდეგ გამავალი ფოლადის საჰაერო გაზსადენისა და საყრდენების ზედაპირის ფართობის ორ პირზე საღებავით შეღებვა (P.2.972)</t>
  </si>
  <si>
    <t>(49) ქ. წნორი ნოდარ მოლაშვილის უბნის რეაბილიტაცია (P.2.791)</t>
  </si>
  <si>
    <t>P.2.777</t>
  </si>
  <si>
    <t>(53) სოფ. საქობო კლუბის უბნის გაზსადენის რეაბილიტაცია (P.2.777)</t>
  </si>
  <si>
    <t>დმანისი</t>
  </si>
  <si>
    <t>P.2.174</t>
  </si>
  <si>
    <t>1.1.1. В г. Дманиси. с.Гантиади, c. Тнуси и с. Джавахи замена корозированного стального газопровода. (P.2.174) (проектирование и строительство)</t>
  </si>
  <si>
    <t>P.2.863</t>
  </si>
  <si>
    <t>(28) მე-16 საუბნო კვანძზე (ღვინის ქარხანასთან, სვარჩიკი მევლუდას უბანი) საშუალო წნევის გაზსადენის რეაბილიტაცია. P.2.863</t>
  </si>
  <si>
    <t>P.2.971</t>
  </si>
  <si>
    <t>(48) საგარეჯო,სადგურის უბნის 07 საუბნო მრიცხველის შემდეგ გამავალი ფოლადის საჰაერო გაზსადენისა და საყრდენების შეღებვა (P.2.971)</t>
  </si>
  <si>
    <t>(27) ქ. მარნეული პირველ და მეორე ქუჩებზე გაზსადენის მოწყობა (P.2.1224)</t>
  </si>
  <si>
    <t>P.2.927</t>
  </si>
  <si>
    <t>(49) ქ მარნეული სოფ საიმერლო მე-36 საუბნო მრიცხველის შემდეგ გამავალი ფოლადის საჰაერო გაზსადენისა და საყრდენების შეღებვა (P.2.927)</t>
  </si>
  <si>
    <t>P.2.860</t>
  </si>
  <si>
    <t>(26)მე-13 საუბნო კვანძზე (სოფ. ჩუმლაყი, ცხავი ლეოს უბანი) (სოფ. ჩუმლაყი, ბოღმას თონიდან ლუკოილამდე, გზის ქვემოდან) (სოფ. ჩუმლაყი, ყიტაანის დასახვევი) (სოფ. ჩუმლაყი, ბაღის უბანი, ოთოს უბანი, სტადიონი) (სოფ. ჩუმლაყი, გაღმახევის იქიდან ტრასის ზევით ლიანდაგებამდე) რკინიგზის გადასასვლელთან გაზსადენების რეაბილიტაცია.</t>
  </si>
  <si>
    <t>P.2.879</t>
  </si>
  <si>
    <t>(50) სოფ. ვეჯინი გაზსადენის შეღებვა 50მმ დან 150მმ (P.2.879)</t>
  </si>
  <si>
    <t>P.2.921</t>
  </si>
  <si>
    <t>(55) ქ მარნეული ლაღიძის ქ მე-15 საუბნო მრიცხველის შემდეგ გამავალი ფოლადის საჰაერო გაზსადენისა და საყრდენების შეღებვა (P.2.921)</t>
  </si>
  <si>
    <t>P.2.919</t>
  </si>
  <si>
    <t>(56) იაღლურჯის ქუჩა მე-9 საუბნო მრიცხველის შემდეგ გამავალი ფოლადის საჰაერო გაზსადენისა და საყრდენების შეღებვა (P.2.919)</t>
  </si>
  <si>
    <t>P.2.965</t>
  </si>
  <si>
    <t>(57) საგარეჯო,სოფ. წყაროსთავის 02 საუბნო მრიცხველის შემდეგ გამავალი ფოლადის საჰაერო გაზსადენისა და საყრდენების შეღებვა (P.2.965)</t>
  </si>
  <si>
    <t>P.2.836</t>
  </si>
  <si>
    <t>(10) გარდაბანი , სოფ. გამარჯვებაში არსებული . ამორტიზირებული საჰაერო გაზსადენის მოსახლეობის ეზოებიდან გარეთ გამოტანა დ76მმ-იანი. P.2.836</t>
  </si>
  <si>
    <t>P.2.865</t>
  </si>
  <si>
    <t>(30) მე-19 საუბნო კვანძზე (ველისციხე- ახაშნიდან ტირიფის და მიმდებარე ქუჩა, ორივე მხარეს) დაბალი წნევის გაზსადენის რეაბილიტაცია. P.2.865</t>
  </si>
  <si>
    <t>(48) სოფ. საქობო კლუბის უბნის გაზსადენის რეაბილიტაცია (P.2.777)</t>
  </si>
  <si>
    <t>P.2.792</t>
  </si>
  <si>
    <t>(38) ს. საქობო ანას უბნის რეაბილიტაცია (P.2.792)</t>
  </si>
  <si>
    <t>P.2.966</t>
  </si>
  <si>
    <t>(46) საგარეჯო,სოფ. ნინოწმინდის 03 საუბნო მრიცხველის შემდეგ გამავალი ფოლადის საჰაერო გაზსადენისა და საყრდენების შეღებვა (P.2.966)</t>
  </si>
  <si>
    <t>P.2.924</t>
  </si>
  <si>
    <t>(59) ქ მარნეული სოფ წერეთელი მე-32 საუბნო მრიცხველის შემდეგ გამავალი ფოლადის საჰაერო გაზსადენისა და საყრდენების შეღებვა (P.2.924)</t>
  </si>
  <si>
    <t>P.2.886</t>
  </si>
  <si>
    <t>(45) სოფ. შრომა კავკასიონის ქუჩის 
რეაბილიტაცია. P.2.886</t>
  </si>
  <si>
    <t>P.2.925</t>
  </si>
  <si>
    <t>(60) ქ მარნეული სოფ მირზოვკა მე-33 საუბნო მრიცხველის შემდეგ გამავალი ფოლადის საჰაერო გაზსადენისა და საყრდენების შეღებვა (P.2.925)</t>
  </si>
  <si>
    <t>P.2.922</t>
  </si>
  <si>
    <t>(61) ქ მარნეული ლაღიძის ქ მე-16 საუბნო მრიცხველის შემდეგ გამავალი ფოლადის საჰაერო გაზსადენისა და საყრდენების შეღებვა (P.2.922)</t>
  </si>
  <si>
    <t>(15) გარდაბანი, სოფ. ყარაჯალაში მიწისქვეშა გადასვლების რეაბილიტაცია და მრიცხველების გამოტანა,შეცვლა P.2.843</t>
  </si>
  <si>
    <t>(5) სოფ ჯანდარის დაბალი წნევის მილის რეაბილიტაცია. (P.2.906)</t>
  </si>
  <si>
    <t>(8) 43-ე საუბნო კვანძზე (მელაანიდან გზის პირი, გაჩერებამდე) (ჩალაუბანში საშ. წნევის მიყვანა სოფ. მელაანამდე) დაბალი წნევის გაზსადენის რეაბილიტაცია. (P.2.874)</t>
  </si>
  <si>
    <t>(46) სოფ. ჩალაუბანში მრიცხველების გამოტანა 170 ც. ვოდების და მრიცხველების გამოატანა ეზოებიდან, 250ც. P.2.875</t>
  </si>
  <si>
    <t>(13) გარდაბანი, სოფ. ყარათაკლიაში მიწისქვეშა გადასვლების შეცვლა და მრიცხველების გამოტანა,შეცვლა P.2.844</t>
  </si>
  <si>
    <t>P.2.993</t>
  </si>
  <si>
    <t>(34) სადგურის ქუჩის მონაკვეთის გაზსადენის რაბილიტაცია. P.2.993</t>
  </si>
  <si>
    <t>P.2.926</t>
  </si>
  <si>
    <t>(62) ქ მარნეული სოფ ბაილარი მე-34 საუბნო მრიცხველის შემდეგ გამავალი ფოლადის საჰაერო გაზსადენისა და საყრდენების შეღებვა (P.2.926)</t>
  </si>
  <si>
    <t>P.2.920</t>
  </si>
  <si>
    <t>(63) სოფ ჯანდარი მე-11 საუბნო მრიცხველის შემდეგ გამავალი ფოლადის საჰაერო გაზსადენისა და საყრდენების შეღებვა (P.2.920)</t>
  </si>
  <si>
    <t>P.2.974</t>
  </si>
  <si>
    <t>(64) საგარეჯო, საშულო წნევის 999 გერეესის გამწვანების მიმართულება, გამავალი ფოლადის საჰაერო გაზსადენისა შეღებვა (P.2.974)</t>
  </si>
  <si>
    <t>(7) 740 ცალი მრიცხველის გამოტანა საკუთარი სახლებიდან მარნეულის სერვის ცენტრში P.2.902</t>
  </si>
  <si>
    <t>(17) სოფ. ჭანდარი; მე-7 საუბნო კვანძზე (თენგოს უბანი და განშტოებები) (სონღულაშვილის გივის უბანი) საშუალო წნევის გაზსადენის რეაბილიტაცია. (P.2.856)</t>
  </si>
  <si>
    <t>(4) ქ. დედოფლისწყარო-მეგობრობის ქუჩა #4 საუბნო მრიცხველამდე (P.2.553)</t>
  </si>
  <si>
    <t>(7) 34-ე საუბნო (სოფ. დარჩეთი, ცენტრალური გზა, ორივე მხრიდან) (არაშენდიდან ქოდალომდე) ბესოს ფერმასთან (შესასვლელში) (დარჩეთის სკოლასთან) წნევის გაზსადენის რეაბილიტაცია. (P.2.871)</t>
  </si>
  <si>
    <t>(14) გარდაბანი, სოფ. ნაზარლოში ცენტრალური გაზსადენის აწევა და მიწისქვეშა გადასვლების რეაბილიტაცია (P.2.829)</t>
  </si>
  <si>
    <t>(19) მე-9 საუბნო კვანძზე (სკოლიდან მამაოს უბანი, დოხას უბანი) (ხევისუბანი-ჩალიჩების უბნამდე) (ხევისუბნიდან სკოლამდე) საშუალო წნევის გაზსადენის რეაბილიტაცია. (P.2.858)</t>
  </si>
  <si>
    <t>(35) გარდაბანი , სოფ. ლელაშხაში არსებული გაზგამანაწილებელი ქსელის რეაბილიტაცია (P.2.831)</t>
  </si>
  <si>
    <t>(21) მე-12 საუბნო კვანძზე (სოფ. ბაკურციხე ტექნიკუმის გზაზე, ორივე მხარეს) (სოფ. ბაკურციხე, პარკისუბანში) საშუალო წნევის გაზსადენის რეაბილიტაცია. (P.2.859)</t>
  </si>
  <si>
    <t>(10) N12 საუბნოზე თამარმეფის ქუჩისა და წმინდა ნინოს ქუჩებზე კერძო საკუთრებაში გამავალი გაზსადენის გამოტანა მრიცხველების შეცვლა 190 აბონენტზე, რეაბილიტაცია. (P.2.810)</t>
  </si>
  <si>
    <t>(11) სოფ. ზემო მაჩხაანი-აკაკის და ჯამასპიანთ უბანი გაზსადენის რეაბილიტაცია  (P.2.45)</t>
  </si>
  <si>
    <t>(9) N11 საუბნოზე ი ჭავჭავაძის და წმინდა ნინოს ქუჩებზე კერძო საკუთრებაში გამავალი გაზსადენის გამოტანა მრიცხველების შეცვლა 140 აბონენტზე, რეაბილიტაცია . (P.2.809)</t>
  </si>
  <si>
    <t>(44) ქ. ყვარელი, ანდრია ბენაშვილის (ერეკლეს) ქუჩის მიწისქვეშა დაბალი წნევის გაზსადენის რეაბილიტაცია 57.06.56.000.154-დან 57.06.51.000.213-მდე (P.2.1116)</t>
  </si>
  <si>
    <t>P.2.104</t>
  </si>
  <si>
    <t>(18) ქ. ყვარელი ქეთევან დედოფლის ქუჩის მიწისქვეშა დაბალი წნევის გაზსადენის რეაბილიტაცია 57. 06. 56. 410-დან 57. 06. 51. 135-მდე ძველი რაიკომის ქუჩა (P.2.104)</t>
  </si>
  <si>
    <t>P.2.888</t>
  </si>
  <si>
    <t>(7) გაზსადენების შეღებვა სხვადასხვა მისამართებზე (P.2.888)</t>
  </si>
  <si>
    <t>P.2.973</t>
  </si>
  <si>
    <t>(21) საგარეჯო,სოფ. ხაშმის 09 საუბნო მრიცხველის შემდეგ გამავალი ფოლადის საჰაერო გაზსადენისა და საყრდენების ზედაპირის ფართობის ორ პირზე საღებავით შეღებვა (P.2.973)</t>
  </si>
  <si>
    <t>(20) ქ. ყვარელი ქეთევან დედოფლის ქუჩის მიწისქვეშა დაბალი წნევის გაზსადენის რეაბილიტაცია 57. 06. 56. 410-დან 57. 06. 51. 135-მდე ძველი რაიკომის ქუჩა (P.2.104)</t>
  </si>
  <si>
    <t>P.2.119</t>
  </si>
  <si>
    <t>(26) სოფ შილდა საუბნო N 2, N 32, N 33, N 34, N 35. (P.2.119)</t>
  </si>
  <si>
    <t>P.2.866</t>
  </si>
  <si>
    <t>(32) მე-20 საუბნო კვანძზე (ბაღაშვილის უბანი - გაბუნია სიმონის უბანი) (აბელას თონიდან მოგელას უბანი, ხოხობას უბანი) დაბალი წნევის გაზსადენის რეაბილიტაცია. P.2.866</t>
  </si>
  <si>
    <t>P.2.1067</t>
  </si>
  <si>
    <t>(24) კაპანახჩი ამორტიზებული გაზსადენის შეცვლა უსაფრთხო და უწყვეტი მიწოდებისთვის P.2.1067</t>
  </si>
  <si>
    <t>P.2.1065</t>
  </si>
  <si>
    <t>(67) ქესალო 1 ამორტიზებული გაზსადენის შეცვლა უსაფრთხო და უწყვეტი მიწოდებისთვის P.2.1065</t>
  </si>
  <si>
    <t>P.2.93</t>
  </si>
  <si>
    <t>(2) ქ. ყვარელი დურუჯის ქუჩის მიწისქვეშა გაზსადენის რეაბილიტაცია 57. 06. 56. 379-დან 57. 06. 52. 133-მდე (P.2.93)</t>
  </si>
  <si>
    <t>P.2.779</t>
  </si>
  <si>
    <t xml:space="preserve">(49)სოფ. ჯუგაანი ყაფლანას უბნის რეაბილიტაცია </t>
  </si>
  <si>
    <t>P.2.783</t>
  </si>
  <si>
    <t>(44) სოფ. ქვ. ნუკრიანიდან გიორგი ბეჟაშვილის უბნამდე (ტრასა) რეაბილიტაცია P.2.783</t>
  </si>
  <si>
    <t>P.2.1066</t>
  </si>
  <si>
    <t>(69) ქესალო 2 ამორტიზებული გაზსადენის შეცვლა უსაფრთხო და უწყვეტი მიწოდებისთვის P.2.1065</t>
  </si>
  <si>
    <t>P.2.923</t>
  </si>
  <si>
    <t>(43) ქ მარნეული სოფ წერეთელი მე-31 საუბნო მრიცხველის შემდეგ გამავალი ფოლადის საჰაერო გაზსადენისა და საყრდენების ზედაპირის ფართობის ორ პირზე საღებავით შეღებვა (P.2.923)</t>
  </si>
  <si>
    <t>(42)სოფ. სართიჭალა, მუღანლოს დასახ. ქუჩის ჩიხის ქსელის რეაბილიტაცია</t>
  </si>
  <si>
    <t>(30)სოფ. სართიჭალა არსებული საშ წნევის D300მმ მიწისქვეშა ფოლადის  გაზსადენის რეაბილიტაცია</t>
  </si>
  <si>
    <t>(13)სოფ. სართიჭალა, ცხაკაიას ქუჩის გაზსადენის რეაბილიტაცია</t>
  </si>
  <si>
    <t>(24)  სოფ. მუხროვანი ,არსებული დაბალი წნევის ფოლადის მიწისზედა D50(1000 გრ/მ), რომლის ჩანაცვლება უნდა მოხდეს შემდეგ ნაირად 800 გრ/მ ჩანაცვლდეს D76მმ ფოლადის მიწისზედა მილსადენით ხოლო დარჩენილი 200 გრ/მ D50მმ გადაყვანილი იქნას საშუალო წნევაზე.  D32 300 გრ/მ D25 300 გრ/მ ჩანაცვლებულ იქნას   D50მმ მიწისზედა 300-300 გრ/მ ფოლადის გაზსადენით. აგრეთვე D50მმ მიწისზედა ფოლადის მილი ჩანაცვლდეს  D63 მმ 200 გრ/მ მიწისქვეშა პოლიეთილენის გაზსადენით (P.2.1070)</t>
  </si>
  <si>
    <t>(11) გარდაბანი, სოფ. ნორიოში მიწისქვეშა გადასვლების რეაბილიტაცია და მრიცხველების გამოტანა,შეცვლა. P.2.845</t>
  </si>
  <si>
    <t>(2) სოფელ შრომისა და სოფელ კავშირის გაზსადენების რეაბილიტაცია. (P.2.894)</t>
  </si>
  <si>
    <t>(6) ქ. ყვარელი დურუჯის ქუჩის მიწისქვეშა გაზსადენის რეაბილიტაცია 57. 06. 56. 379-დან 57. 06. 52. 133-მდე (P.2.93)</t>
  </si>
  <si>
    <t>ინტერსერვისი 2011</t>
  </si>
  <si>
    <t>Рустави</t>
  </si>
  <si>
    <t>P.2.647</t>
  </si>
  <si>
    <t>(1) გამოსატანი მრიცხველების გამოტანა (P.2.647)</t>
  </si>
  <si>
    <t>P.2.618</t>
  </si>
  <si>
    <t>(2) გამოსატანი მრიცხველების გამოტანა (P.2.618)</t>
  </si>
  <si>
    <t>Тетрицкаро</t>
  </si>
  <si>
    <t>P.2.815</t>
  </si>
  <si>
    <t>(8) სოფ მარაბდის მკვებავი გზსადენის რეაბილიტაცია (P.2.815)</t>
  </si>
  <si>
    <t>P.2.826</t>
  </si>
  <si>
    <t>(3) ქ. თეთრიწყაროს სოფ ასურეთში სოფლის შიდა გაზსადენის რეაბილიტაცია (P.2.826)</t>
  </si>
  <si>
    <t>P.2.566</t>
  </si>
  <si>
    <t>(4) საჰაერო გაზსადენების შეღებვა (P.2.566)</t>
  </si>
  <si>
    <t>P.2.402 (новый номер P.2.765)</t>
  </si>
  <si>
    <t>1.1.9. В г. Рустави работы по переводу сетей в VII (а) микрорайоне на среднее давление. (P.2.402) (новый номер P.2.765) (проектирование и строительство)</t>
  </si>
  <si>
    <t>P.2.405 (новый номер P.2.768)</t>
  </si>
  <si>
    <t>1.1.11. В г. Рустави работы по переводу сетей в VII Микро районе на среднее давление. (P.2.405) (новый номер P.2.768) (проектирование и строительство)</t>
  </si>
  <si>
    <t>P.2.690</t>
  </si>
  <si>
    <t>(16) ნეკრასოვის ქუჩა და ნეკრასოვის ჩიხებში დაბალი წნევის დ - 80 მმ-იანი ახალი გამანაწილებელი ქსელის მშენებლობა P.2.690</t>
  </si>
  <si>
    <t>P.2.408 (новый номер P.2.769)</t>
  </si>
  <si>
    <t>1.1.12. В г. Рустави работы по переводу сетей в IXХ Микро районе на среднее давление. (P.2.408) (новый номер P.2.769) (проектирование и строительство)</t>
  </si>
  <si>
    <t>P.2.824</t>
  </si>
  <si>
    <t>(5) ქ. თეთრიწყაროს ბაგრატიონის და გ . ბრწყინვალეს ქუჩაზე კერძო საკუთრებაში გამავალი გაზსადენის გამოტანა 105 აბ, რეაბილიტაცია. (P.2.824)</t>
  </si>
  <si>
    <t>P.2.580</t>
  </si>
  <si>
    <t>(7) მტკვრის მარჯვენა დასახლება ახალი პოლიეთილენის დ - 63 მმ-იანი გაზსადენის აშენება (P.2.580)</t>
  </si>
  <si>
    <t>P.2.770</t>
  </si>
  <si>
    <t>(20) ქ. რუსთავი. მე-18 მკ. რაიონის გადაყვანა საშ. წნევაზე P.2.770</t>
  </si>
  <si>
    <t>P.2.581</t>
  </si>
  <si>
    <t>(8) მელიქიშვილის ქუჩის მ/ტ-ზე კერძო მესაკუთრის ნაკვეთებზე გამავალი საჰაერო დ - 50 მმ-იანი გაზსადენის დემონტაჟი და ახლი საჰაერო დ - 50 მმ-იანი გაზსადენის მონტაჟი (დემონტაჟი - მონტაჟი) (P.2.581)</t>
  </si>
  <si>
    <t>P.2.818</t>
  </si>
  <si>
    <t>(6) სოფ კოდა კერძო საკუთრებაში გამავალი გაზსადენის გამოტანა 20 აბ რეაბილიტაცია (P.2.818)</t>
  </si>
  <si>
    <t>P.2.1192</t>
  </si>
  <si>
    <t>(9) თავისუფლების ქუჩაზე (გამარჯვება) არსებული ფოლადის მიწისქვეშა გაზსადენის შეცვლა პოლიეთილენის მიწისქვეშა გაზსადენით (P.2.1192)</t>
  </si>
  <si>
    <t>P.2.1193</t>
  </si>
  <si>
    <t>(10) სტალინის ქუჩაზე (გამარჯვება) არსებული ფოლადის მიწისქვეშა გაზსადენის შეცვლა პოლიეთილენის მიწისქვეშა გაზსადენით (P.2.1193)</t>
  </si>
  <si>
    <t>P.2.1191</t>
  </si>
  <si>
    <t>(11) თიანეთის ქუჩაზე (გამარჯვება) არსებული ფოლადის მიწისქვეშა გაზსადენის შეცვლა პოლიეთილენის მიწისქვეშა გაზსადენით (P.2.1191)</t>
  </si>
  <si>
    <t>Болниси</t>
  </si>
  <si>
    <t>(15) ნეკრასოვის ქუჩა და ნეკრასოვის ჩიხებში დაბალი წნევის დ - 80 მმ-იანი ახალი გამანაწილებელი ქსელის მშენებლობა P.2.690</t>
  </si>
  <si>
    <t>(12) სოფ მარაბდის მკვებავი გზსადენის ჩადება მიწაში 2700 გ/მ (P.2.815)</t>
  </si>
  <si>
    <t>(4) ქ. თეთრიწყაროს ბაგრატიონის და გ . ბრწყინვალეს ქუჩაზე კერძო საკუთრებაში გამავალი გაზსადენის გამოტანა 105 აბ, რეაბილიტაცია. (P.2.824)</t>
  </si>
  <si>
    <t>(8) მელიქიშვილის ქუჩის მ/ტ-ზე კერძო მესაკუთრის ნაკვეთებზე გამავალი საჰაერო დ - 50 მმ-იანი გაზსადენის დემონტაჟი და ახლი საჰაერო დ - 50 მმ-იანი გაზსადენის მონტაჟი (P.2.581)</t>
  </si>
  <si>
    <t>(19) ქ. რუსთავი. მე-18 მკ. რაიონის გადაყვანა საშ. წნევაზე P.2.770</t>
  </si>
  <si>
    <t>P.2.141</t>
  </si>
  <si>
    <t>1.1.3. В муниципалитете Болниси посёлок Казрети реабилитация газопровода на 350 абонентов. (P.2.141)</t>
  </si>
  <si>
    <t>P.2.404 (новый номер P.2.767)</t>
  </si>
  <si>
    <t>1.1.10. В г. Рустави работы по переводу сетей в XVII Микро районе на среднее давление. (P.2.404) (новый номер P.2.767) (проектирование и строительство)</t>
  </si>
  <si>
    <t>P.2.156 (1)</t>
  </si>
  <si>
    <t>1.1.1. В муниципалитетах Болниси и Тетрицкаро замена и вынос счетчиков (этап I). (P.2.156 (1)) (проектирование и строительство)</t>
  </si>
  <si>
    <t>ამოსაღებია</t>
  </si>
  <si>
    <t>P.2.138</t>
  </si>
  <si>
    <t>1.1.5. В г. Болниси реабилитация газопровода на улице Тамар Мепе. (P.2.138)</t>
  </si>
  <si>
    <t>P.2.139</t>
  </si>
  <si>
    <t>1.1.6. В муниципалитете Болниси, в с. Нахидури установка стояков. (P.2.139)</t>
  </si>
  <si>
    <t>ხელშეკრულებაში არ არის</t>
  </si>
  <si>
    <t>P.2.701</t>
  </si>
  <si>
    <t>(8)გამოტანილი მრიცხველების პოლიეთილენის მილების შეცვლა რკინის მილებით</t>
  </si>
  <si>
    <t>P.2.721</t>
  </si>
  <si>
    <t>(10)გამოტანილი მრიცხველების პოლიეთილენის მილების შეცვლა რკინის მილებით</t>
  </si>
  <si>
    <t>P.2.648</t>
  </si>
  <si>
    <t>(12)გამოტანილი მრიცხველების პოლიეთილენის მილების შეცვლა რკინის მილებით</t>
  </si>
  <si>
    <t>P.2.619</t>
  </si>
  <si>
    <t>(6)გამოტანილი მრიცხველების პოლიეთილენის მილების შეცვლა რკინის მილებით</t>
  </si>
  <si>
    <t>P.2.744</t>
  </si>
  <si>
    <t>(2)გამოტანილი მრიცხველების პოლიეთილენის მილების შეცვლა რკინის მილებით</t>
  </si>
  <si>
    <t>P.2.577</t>
  </si>
  <si>
    <t>(4)გამოსატანი მრიცხველების გამოტანა</t>
  </si>
  <si>
    <t>P.2.685</t>
  </si>
  <si>
    <t>(5) გამოსატანი მრიცხველების გამოტანა (P.2.685)</t>
  </si>
  <si>
    <t>შპს "გაზსერვისი" SGG</t>
  </si>
  <si>
    <t>P.5.33</t>
  </si>
  <si>
    <t>(1.1.3) ხელვაჩაურის მუნიციპალიტეტში,სარფში საშუალო წნევის გაზსადენის რეაბილიტაციის პროექტი</t>
  </si>
  <si>
    <t>(1.1.3) ხელვაჩაურის მუნიციპალიტეტში,სარფში საშუალო წნევის გაზსადენის რეაბილიტაციის სამშენებლო სამუშაოები</t>
  </si>
  <si>
    <t>ჭიათურა</t>
  </si>
  <si>
    <t>P.6.246</t>
  </si>
  <si>
    <t>(1) N7 - საუბნო-აღმაშენებლის ქუჩაზე, წმინდა გიორგის ქუჩაზე, ღვალაძის ქუჩაზე  საბჭოს ქუჩაზე, გაგარინის ქუჩაზე,  N4-საუბნო-რუსთაველის ქუჩაზე ტყაბლაძის ქუჩაზე, ინტერნაციონალის ქუჩაზე, ქუთაისის ქუჩაზე,  N21- საუბნო-ბარათაშვილის ქუჩაზე, ცუცქირიძის ქუჩაზე და ბათუმის ქუჩაზე  გამავალი გაზსადენის შეღებვა.</t>
  </si>
  <si>
    <t>წყალტუბო</t>
  </si>
  <si>
    <t>P.6.209</t>
  </si>
  <si>
    <t>(3) N1 საუბნო გაზსადენის, გამაგრებითი და სარეაბილიტაციო სამუშაოები.   სოფ. თერნალში ე.წ „კაკოჩაშვილების“ ჩიხში ამორტიზირებული ქსელის რეაბილიტაცია. ასევე ე.წ „შუღლაძის“ ჩიხში გაზსადენის რეაბილიტაცია</t>
  </si>
  <si>
    <t>P.6.213</t>
  </si>
  <si>
    <t>(5) N21 საუბნოზე, მიწისქვეშა დ-100 მმ ფოლადის ამორტიზებული გაზსადენის შეცლა პოლიეთილენის გაზსადენით</t>
  </si>
  <si>
    <t>P.6.214</t>
  </si>
  <si>
    <t>(7) N26 საუბნოზე, მიწისქვეშა დ-100მმ ფოლადის ამორტიზებული გაზსადენის შეცვლა პოლიეთილენის გაზსადენით.</t>
  </si>
  <si>
    <t>P.6.12</t>
  </si>
  <si>
    <t>(9) N37 და N24 საუბნოებზე კორპუსებს შორის დამაკავშირებელი მიწისქვეშა გაზსადენის რებილიტაცია</t>
  </si>
  <si>
    <t>P.6.43</t>
  </si>
  <si>
    <t>(12) ბარათაშვილის და ნინოშვილის ქუჩების ქსელის რეაბილიტაცია. ასევე ქსელების კერძო საკუთრებიდან გამოტანა</t>
  </si>
  <si>
    <t>P.6.263</t>
  </si>
  <si>
    <t>(13) გაზსადენზე დასამატებელია საყრდენები წმ/გიორგის ქ. აღმაშენებლის ქ. 9 აპრილის ქ. ჩაჩანიძის ქ. ღვალაძის ქ. სოფ: ნავარძეთი, წინსოფელი 8,10,11 საუბნო და მეორე ჩასასვლელი, თბილისის ქ. ლეჟუბნის ქ. ტყაბლაძის ქ. პროექტირება</t>
  </si>
  <si>
    <t xml:space="preserve">(14) გაზსადენზე დასამატებელია საყრდენები წმ/გიორგის ქ. აღმაშენებლის ქ. 9 აპრილის ქ. ჩაჩანიძის ქ. ღვალაძის ქ. სოფ: ნავარძეთი, წინსოფელი 8,10,11 საუბნო და მეორე ჩასასვლელი, თბილისის ქ. ლეჟუბნის ქ. ტყაბლაძის ქ. </t>
  </si>
  <si>
    <t>ბაღდათი</t>
  </si>
  <si>
    <t>P.6.3</t>
  </si>
  <si>
    <t>(18)  ვარციხე დიმის გაზსადენის რეაბილიტაცია</t>
  </si>
  <si>
    <t>P.6.44</t>
  </si>
  <si>
    <t xml:space="preserve">(20) თბილისის ქუჩის გაზსადენის რეაბილიტაცია და ქსელის კერძო საკუთრებიდან გამოტანა  </t>
  </si>
  <si>
    <t>P.6.2</t>
  </si>
  <si>
    <t>(25) სარბევი-ტეკას გაზსადენის რეაბილიტაცია</t>
  </si>
  <si>
    <t>P.6.510</t>
  </si>
  <si>
    <t>(33) ჭიათურა. აღმაშენებლის ქუჩის ფოლადის მიწისქვეშა დაბალი წნევის გაზსადენის რეაბილიტაცია</t>
  </si>
  <si>
    <t>P.6.504</t>
  </si>
  <si>
    <t>(35) ქ. ჭიათურა. ვაჟა-ფშაველას და 9 აპრილის ქუჩებზე არსებული D=150 მმ და D=80 მმ საჰაერო გაზსადენების საყრდენების რეაბილიტაცია</t>
  </si>
  <si>
    <t>P.6.506</t>
  </si>
  <si>
    <t>(37) ჭიათურა. წმ. გიორგის და აღმაშენებლის ქუჩებზე ფოლადის მიწისქვეშა გაზსადენების რეაბილიტაცია. აღმაშენებლის ქუჩაზე D=80 მმ საჰაერო გაზსადენისთვის საყრდენების მოწყობა.</t>
  </si>
  <si>
    <t>P.5.63</t>
  </si>
  <si>
    <t>(42) ქობულეთი, თამარ მეფის ქუჩაზე დ-50 მმ დაბალი წნევის გაზსადენის რეაბილიტაციის პროექტი</t>
  </si>
  <si>
    <t>(43) ქობულეთი, თამარ მეფის ქუჩაზე დ-50 მმ დაბალი წნევის გაზსადენის რეაბილიტაცია</t>
  </si>
  <si>
    <t>P.6.505</t>
  </si>
  <si>
    <t>(49) ჭანტურიას ქუჩაზე D=100 მმ დ/წნევის მიწისქვეშა გაზსადენის გაუქმება და დ-160 მმ მიწისქვეშა საშ/წნევის პოლიეთილენის გაზსადენზე არსებული კორპუსების გადალაგება</t>
  </si>
  <si>
    <t>P.6.1124</t>
  </si>
  <si>
    <t>(1) ბაღდათის მუნიციპალიტეტი,  სოფ.დიმი 30-ე ქუჩაზე დ/წ გაზსადენის რაბილიტაციის საპროექტო სამუშაოები</t>
  </si>
  <si>
    <t>(2) ბაღდათის მუნიციპალიტეტი სოფ.დიმი 30-ე ქუჩაზე დ/წ გაზსადენის რაბილიტაციის სამუშაოები</t>
  </si>
  <si>
    <t>P.6.1147</t>
  </si>
  <si>
    <t>(3) ბაღდათის მუნიციპალიტეტი, რუსთაველის ქუჩის გაზსადენის რეაბილიტაციის საპროექტო სამუშაოები</t>
  </si>
  <si>
    <t>(4) ბაღდათის მუნიციპალიტეტი, რუსთაველის ქუჩის გაზსადენის რეაბილიტაცია</t>
  </si>
  <si>
    <t>P.6.540</t>
  </si>
  <si>
    <t>(5) მე 3 საუბნო. სოფ. ფერსათის ჩიხების და ქუჩების D=80 მმ ფოლადის მიწისქვეშა და საჰაერო გაზსადენის რეაბილიტაციის საპროექტო სამუშაოები</t>
  </si>
  <si>
    <t>(6) მე 3 საუბნო. სოფ. ფერსათის ჩიხების და ქუჩების D=80 მმ ფოლადის მიწისქვეშა და საჰაერო გაზსადენის რეაბილიტაცია</t>
  </si>
  <si>
    <t>P.6.8</t>
  </si>
  <si>
    <t>(7) ქ. ბაღდათში ცენტრალურ უბანში შანიძე-ჯავახიშვილი-თამარ მეფის ქ. გაზსადენის რეაბილიტაციის საპროექტო სამუშაოები</t>
  </si>
  <si>
    <t>(8) ქ. ბაღდათში ცენტრალურ უბანში შანიძე-ჯავახიშვილი-თამარ მეფის ქ. გაზსადენის რეაბილიტაცია.</t>
  </si>
  <si>
    <t>(9) სოფ. არგვეთის დაბალი წნევის გაზსადენის რეაბილიტაციის საპროექტო სამუშაოები</t>
  </si>
  <si>
    <t>P.6.27</t>
  </si>
  <si>
    <t>(10) თამარის ქ. საშ. წნევის და დაბალი წნევის გაზსადენის რეაბილიტაციის საპროექტო სამუშაოები</t>
  </si>
  <si>
    <t>(11) თამარის ქ. საშ. წნევის და დაბალი წნევის გაზსადენის რეაბილიტაცია</t>
  </si>
  <si>
    <t>P.6.512</t>
  </si>
  <si>
    <t>(12) ქ. ჭიათურა. ჭავჭავაძის და ვაჩნაძის ქუჩებზე არსებული მიწისქვეშა ფოლადის დაბალი წნევის გაზსადენის რეაბილიტაციის საპროექტო სამუშაოები</t>
  </si>
  <si>
    <t>(13) ქ. ჭიათურა. ჭავჭავაძის და ვაჩნაძის ქუჩებზე არსებული მიწისქვეშა ფოლადის დაბალი წნევის გაზსადენის რეაბილიტაცია</t>
  </si>
  <si>
    <t>P.6.266</t>
  </si>
  <si>
    <t>(14) ლორთქიფანიძის ქუჩის მე-3, მე-6 და მე-7 შესახვევების ქსელის რეაბილიტაცია. მიწისქვეშა გადასვლების რეაბილიტაციის საპროექტო სამუშაოები</t>
  </si>
  <si>
    <t>(15) ლორთქიფანიძის ქუჩის მე-3, მე-6 და მე-7 შესახვევების ქსელის რეაბილიტაცია. მიწისქვეშა გადასვლების რეაბილიტაცია</t>
  </si>
  <si>
    <t>P.6.22</t>
  </si>
  <si>
    <t>(16) ქეთევან წამებულის დ/წნევის მიწისქვეშა გაზსადენის რეაბილიტაციის საპროექტო სამუშაოები</t>
  </si>
  <si>
    <t>(17) ქეთევან წამებულის დ/წნევის მიწისქვეშა გაზსადენის რეაბილიტაცია</t>
  </si>
  <si>
    <t>P.6.211</t>
  </si>
  <si>
    <t>(18) N24 საუბნოზე, კერძო საკუთრებაში გამავალი, საჰაერო გაზსადენის გამოტანა და კოროზირებული გადასვლების რეაბილიტაციის საპროექტო სამუშაოები</t>
  </si>
  <si>
    <t xml:space="preserve">(19) N24 საუბნოზე, კერძო საკუთრებაში გამავალი, საჰაერო გაზსადენის გამოტანა და კოროზირებული გადასვლების რეაბილიტაცია </t>
  </si>
  <si>
    <t>P.6.560</t>
  </si>
  <si>
    <t>(20) სოფ. ცხრაწყაროსკენ მიმავალი დ-100 მმ-იანი საჰაერო გაზსადენის საყრდენების მოწყობა, საპროექტო სამუშაოები</t>
  </si>
  <si>
    <t>P.6.235</t>
  </si>
  <si>
    <t>(22) გაზსადენის შეღებვა: ქ. წყალტუბო დედაენის ქუჩა, თბილისის ქუჩა, დადიანის ქუჩა, კლდიაშვილის ქუჩა, ჩოლოყაშვილის ქუჩა, ჭაბუკიანის ქუჩა, თაყაიშვილის ქუჩა, ვაჟა-ფშაველას ქუჩა, 26 მაისის ქუჩა, შარტავას ქუჩა, ნინოშვილის ქუჩა, გურიელის ქუჩა, გორგასვლის ქუჩა, ყაზბეგის ქუჩა, სოფ. მეორე უბანი.</t>
  </si>
  <si>
    <t>P.6.253</t>
  </si>
  <si>
    <t>(23) გაზსადენის შეღებვა: ქ. ბაღდათი 3 საუბნო თბილისის, დადიანის, რობაქიძის და გუბელაძის ქუჩები. 2 საუბნო სოფ.დიმი. 10 საუბნო სოფ.საიმედო.</t>
  </si>
  <si>
    <t>P.6.250</t>
  </si>
  <si>
    <t>(24) გაზსადენის შეღებვა: ქ.ზესტაფონი, ქუთაისის ქ, მერჩულეს ქ არგვეთა სპირტსტროის ქარხანასთან, ჩხეიძის ქ, სოფ ცხრაწყარო, კვალითის დასახლება, დიდგორის ქ ნ.ნიკოლაძის ქ, მესხიშვილის ქ, კეთილაძის ქ, მაჭავარიანის ქ, ღამბაშიძის ქ, გრიშაშვილის ქ, ქოჩიაშვილის ქ, გორგასალის ქ, აბესაძის ქ, სოფ ქვედა საქარა.</t>
  </si>
  <si>
    <t>ხარაგაული</t>
  </si>
  <si>
    <t>P.6.918</t>
  </si>
  <si>
    <t>(25) დ.ხარაგაული, სოფ. კიცხში დამეწყრილ მონაკვეთში გაზსადენის რეაბილიტაციის საპროექტო სამუშაოები</t>
  </si>
  <si>
    <t>(26) დ.ხარაგაული, სოფ. კიცხში დამეწყრილ მონაკვეთში გაზსადენის რეაბილიტაცია</t>
  </si>
  <si>
    <t>P.6.920</t>
  </si>
  <si>
    <t>(27) სოფ. ქვედა საქარის დაბალი წნევის მიწისქვეშა გაზსადენის რეაბილიტაციის (დალაქიშვილების უბანი) საპროექტო სამუშაოები</t>
  </si>
  <si>
    <t>(28) სოფ. ქვედა საქარის დაბალი წნევის მიწისქვეშა გაზსადენის რეაბილიტაცია (დალაქიშვილების უბანი)</t>
  </si>
  <si>
    <t>P.6.178</t>
  </si>
  <si>
    <t>(29) ქ. ზესტაფონი, დაბა შოროპანი, შოროპნის ციხეზე გამავალი D-150 მმ-იანი გაზსადენის რეაბილიტაციის საპროექტო სამუშაოები</t>
  </si>
  <si>
    <t>(30) ქ. ზესტაფონი, დაბა შოროპანი, შოროპნის ციხეზე გამავალი D-150 მმ-იანი გაზსადენის რეაბილიტაცია</t>
  </si>
  <si>
    <t>P.6.555</t>
  </si>
  <si>
    <t>(31) ლეონიძის ქუჩის მიწისქვეშა გაზსადენის რეაბილიტაციის საპროექტო სამუშაოები</t>
  </si>
  <si>
    <t>(32) ლეონიძის ქუჩის მიწისქვეშა გაზსადენის რეაბილიტაცია</t>
  </si>
  <si>
    <t>P.6.247</t>
  </si>
  <si>
    <t>(33) გაზსადენის შეღებვა: ქ. ჭიათურა, 22-ე საუბნო - ცხოვრებაძის ქ, ჭანტურიას ქ, ბაქრაძის ქ, 6- საუბნო ჭანტურიას და ჩაჩანიძის ქ , მე-5 საუბნო - ჩაჩანიძის ქ, ლეჟუბნის ქ,  9-აპრილის ქ, ვაჟა-ფშაველას ქ, აბაშიძის ქ. 1-ლი საუბნო - თბილისის ქ, ტოლსტოის ქ, 26 მაისის ქ.</t>
  </si>
  <si>
    <t>P.6.874</t>
  </si>
  <si>
    <t>(34) სოფ. ჩუნეშში ე.წ "გოგიაურის" უბნის  ცენტრალური ნაწილის  დ-63მმ-იანი დაბ/წნევის  გაზსადენის რეაბილიტაციის საპროექტო სამუშაოები</t>
  </si>
  <si>
    <t>(35) სოფ. ჩუნეშში ე.წ "გოგიაურის" უბნის  ცენტრალური ნაწილის  დ-63მმ-იანი დაბ/წნევის  გაზსადენის რეაბილიტაცია</t>
  </si>
  <si>
    <t>P.6.552</t>
  </si>
  <si>
    <t>(36) სოფ. ზედა საქარის სკოლასთან არსებული D=150 მმ საჰაერო გადასვლის დემონტაჟი და მე 11 კვანძიდან გაზმომარაგების ქსელის მშენებლობა. საპროექტო სამუშაოები</t>
  </si>
  <si>
    <t>(37) სოფ. ზედა საქარის სკოლასთან არსებული D=150 მმ საჰაერო გადასვლის დემონტაჟი და მე 11 კვანძიდან გაზმომარაგების ქსელის მშენებლობა.</t>
  </si>
  <si>
    <t>P.6.921</t>
  </si>
  <si>
    <t>(38) N36 საუბნოზე, სოფ. ჩუნეშში ე.წ "მინდორის დასახლება" დ-40მმ-იანი დაბ/წნევის გაზსადენის რეაბილიტაცია. N36 საუბნოზე, სოფ. ჩუნეშში ე.წ "მინდორის დასახლება" დ-63მმ-იანი დაბ/წნევის გაზსადენის რეაბილიტაციის საპროექტო სამუშაოები</t>
  </si>
  <si>
    <t>(39) N36 საუბნოზე, სოფ. ჩუნეშში ე.წ "მინდორის დასახლება" დ-40მმ-იანი დაბ/წნევის გაზსადენის რეაბილიტაცია. N36 საუბნოზე, სოფ. ჩუნეშში ე.წ "მინდორის დასახლება" დ-63მმ-იანი დაბ/წნევის გაზსადენის რეაბილიტაცია</t>
  </si>
  <si>
    <t>P.6.29</t>
  </si>
  <si>
    <t>(40) მერკვილაძის ქუჩის მიწისქვეშა დაბალი წნევის გაზსადენის რეაბილიტაციის საპროექტო სამუშაოები</t>
  </si>
  <si>
    <t>P.6.216</t>
  </si>
  <si>
    <t>(42) N99 საუბნოზე, მიწისქვეშა ფოლადის ამორტიზებული დ-100 მმ გადასვლების რეაბილიტაციის საპროექტო სამუშაოები</t>
  </si>
  <si>
    <t>(43) N99 საუბნოზე, მიწისქვეშა ფოლადის ამორტიზებული დ-100 მმ გადასვლების რეაბილიტაცია.</t>
  </si>
  <si>
    <t>P.6.1121</t>
  </si>
  <si>
    <t>P.6.558</t>
  </si>
  <si>
    <t>P.6.569</t>
  </si>
  <si>
    <t>(48) სოფელ გუმბრის ტერიტორიაზე, წყალტუბო-ქუთაისის საავტომობილო გზის ორივე მხარეს, საშ. წნევის  გაზსადენის მშენებლობა, საპროექტო სამუშაოები.</t>
  </si>
  <si>
    <t>(49) სოფელ გუმბრის ტერიტორიაზე, წყალტუბო-ქუთაისის საავტომობილო გზის ორივე მხარეს, საშ. წნევის გაზსადენის მშენებლობა</t>
  </si>
  <si>
    <t>სოფელი კაცხი საშუალო წნევის გაზსადენის რეაბილიტაციის პროექტი</t>
  </si>
  <si>
    <t>სოფელი კაცხი საშუალო წნევის გაზსადენის რეაბილიტაცია</t>
  </si>
  <si>
    <t>ზესტაფონის სერვის ცენტრის ოფისის ტერიტორიის შემოღობვა</t>
  </si>
  <si>
    <t>ბაღდათის სერვის ცენტრის ოფისის რემონტი</t>
  </si>
  <si>
    <t>P.6.1131</t>
  </si>
  <si>
    <t>N36 საუბნოზე, სოფ. ჩუნეშში წისქვილის ჩიხში დ-63მმ დაბალი წნევის გაზსადენის რეაბილიტაციის პროექტი</t>
  </si>
  <si>
    <t>N36 საუბნოზე, სოფ. ჩუნეშში წისქვილის ჩიხში დ-63მმ დაბალი წნევის გაზსადენის რეაბილიტაცია</t>
  </si>
  <si>
    <t>P.6.296</t>
  </si>
  <si>
    <t>ზესტაფონი დაბა შოროპანი ციხის მიმართულებით საშუალო წნევის საჰაერო გაზსადენის რეაბილიტაციის პროექტი</t>
  </si>
  <si>
    <t>ზესტაფონი დაბა შოროპანი ციხის მიმართულებით საშუალო წნევის საჰაერო გაზსადენის რეაბილიტაცია</t>
  </si>
  <si>
    <t>შპს "გაზსერვისი" SOG</t>
  </si>
  <si>
    <t>სამტრედია</t>
  </si>
  <si>
    <t>P.6.686</t>
  </si>
  <si>
    <t>(7) სამტრედია იმერეთის და ბოლქვაძის ქ. საყრდენების რეაბილიტაცია.</t>
  </si>
  <si>
    <t>(8) სამტრედია იმერეთის და ბოლქვაძის ქ. საყრდენების რეაბილიტაცია.</t>
  </si>
  <si>
    <t>თერჯოლა</t>
  </si>
  <si>
    <t>P.6.191 (3)</t>
  </si>
  <si>
    <t xml:space="preserve">(6) მრიცხველების შეცვლა გამოტანა ქ. თერჯოლაა 300 და ქ.ამბროლაური 200 </t>
  </si>
  <si>
    <t>ვანი</t>
  </si>
  <si>
    <t>P.6.647</t>
  </si>
  <si>
    <t xml:space="preserve">(11) სოფ. ზენობანი. გაზსადენის რეაბილიტაცია </t>
  </si>
  <si>
    <t>P.6.645</t>
  </si>
  <si>
    <t xml:space="preserve">(12) სოფ. ისრითი. გაზსადენის რეაბილიტაცია </t>
  </si>
  <si>
    <t>ქუთაისი</t>
  </si>
  <si>
    <t>P.6.191 (8)</t>
  </si>
  <si>
    <t xml:space="preserve">(1) მრიცხველების შეცვლა გამოტანა 8000 </t>
  </si>
  <si>
    <t xml:space="preserve">(2) მრიცხველების შეცვლა გამოტანა 8000 </t>
  </si>
  <si>
    <t>P.6.746</t>
  </si>
  <si>
    <t>(3) ქ. თერჯოლის ცენტრალური გზის მარჯვენა მხარეს განლაგებული (აღმაშენებლის, რუსთაველის, ჯაბიძის, სულხან-საბას, სოფრომაძის, 9 აპრილის, წერეთლის) ქუჩების მკვებავი ქსელის რეაბილიტაცია (N-3 N-4 N9 საუბნოები)</t>
  </si>
  <si>
    <t>(4) ქ. თერჯოლის ცენტრალური გზის მარჯვენა მხარეს განლაგებული (აღმაშენებლის, რუსთაველის, ჯაბიძის, სულხან-საბას, სოფრომაძის, 9 აპრილის, წერეთლის) ქუჩების მკვებავი ქსელის რეაბილიტაცია (N-3 N-4 N9 საუბნოები)</t>
  </si>
  <si>
    <t>P.6.602</t>
  </si>
  <si>
    <t>(5) ამორტიზებული გაზსადენის რეაბილიტაცია. მკვებავი გაზსადენი ქვიტირი 1. გრს-იდან გმპ-მდე.</t>
  </si>
  <si>
    <t>(6) ამორტიზებული გაზსადენის რეაბილიტაცია. მკვებავი გაზსადენი ქვიტირი 1. გრს-იდან გმპ-მდე.</t>
  </si>
  <si>
    <t>P.6.156</t>
  </si>
  <si>
    <t>(7) ამორტიზებული გაზსადენის რეაბილიტაცია. მკვებავი გაზსადენი ქვიტირი 1. სოფელი ქვიტირი ორახელაშვილის ქუჩამდე</t>
  </si>
  <si>
    <t>(8) ამორტიზებული გაზსადენის რეაბილიტაცია. მკვებავი გაზსადენი ქვიტირი 1. სოფელი ქვიტირი ორახელაშვილის ქუჩამდე</t>
  </si>
  <si>
    <t>P.6.677</t>
  </si>
  <si>
    <t>(9) სამტრედია აღმაშენებლის ქუჩა. გრს 01. გაზსადენის რეაბილიტაცია</t>
  </si>
  <si>
    <t>(10) სამტრედია აღმაშენებლის ქუჩა. გრს 01. გაზსადენის რეაბილიტაცია</t>
  </si>
  <si>
    <t>P.6.892</t>
  </si>
  <si>
    <t>(11) ქ. თერჯოლის ცენტრალური დასახლების, მასში შემავალი რობაქიძის, ვაჟა-ფშაველას ქუჩის და ჩიხების გაზსადენის რეაბილიტაცია</t>
  </si>
  <si>
    <t>(12) ქ. თერჯოლის ცენტრალური დასახლების, მასში შემავალი რობაქიძის, ვაჟა-ფშაველას ქუჩის და ჩიხების გაზსადენის რეაბილიტაცია</t>
  </si>
  <si>
    <t>P.6.70</t>
  </si>
  <si>
    <t>(13) კ. გამსახურიდას ქუჩის დაბალი წნევის გაზსდენის რეაბილიტაცია</t>
  </si>
  <si>
    <t>(14) კ. გამსახურიდას ქუჩის დაბალი წნევის გაზსდენის რეაბილიტაცია</t>
  </si>
  <si>
    <t>P.6.134</t>
  </si>
  <si>
    <t>(15) კლდიაშვილის ძეგლიდან შუქნიშნამდე არსებული გაზსადენის რეაბილიტაცია</t>
  </si>
  <si>
    <t>(16) კლდიაშვილის ძეგლიდან შუქნიშნამდე არსებული გაზსადენის რეაბილიტაცია</t>
  </si>
  <si>
    <t>P.6.85</t>
  </si>
  <si>
    <t>(17) ფარნავას მეფის, გიორგი ბრწყინვალეს, პავლე ინგოროყვას, მესხიშვილის, ნუცუბიძის და ჯანელიძის ქუჩების დაბალი წნევის გაზსადენის რეაბილიტაცია</t>
  </si>
  <si>
    <t>(18) ფარნავაზ მეფის, გიორგი ბრწყინვალეს, პავლე ინგოროყვას, მესხიშვილის, ნუცუბიძის და ჯანელიძის ქუჩების დაბალი წნევის გაზსადენის რეაბილიტაცია</t>
  </si>
  <si>
    <t>P.6.69</t>
  </si>
  <si>
    <t>(22) კ. გამსახურდიას და ოცხელის ქ. საშუალო წნევის გაზსადენის რეაბილიტაცია</t>
  </si>
  <si>
    <t>P.6.899</t>
  </si>
  <si>
    <t>(23) საუბნო 36 დაბალი წნევის გაზსადენის რეაბილიტაცია (26 მაისის ქუჩა, არაგვისპირელის ქუჩა, კაპეტივაძის ქუჩა, განათლების ქუჩა, კლდიაშვილის ქუჩა, ნიჯარაძის ქუჩა, კოსტავას ქუჩა)</t>
  </si>
  <si>
    <t>(24) საუბნო 36 დაბალი წნევის გაზსადენის რეაბილიტაცია (26 მაისის ქუჩა, არაგვისპირელის ქუჩა, კაპეტივაძის ქუჩა, განათლების ქუჩა, კლდიაშვილის ქუჩა, ნიჯარაძის ქუჩა, კოსტავას ქუჩა)</t>
  </si>
  <si>
    <t>P.6.689</t>
  </si>
  <si>
    <t>(25) სამტრედია სოფ. დიდი ჯიხაიში გაზსადენის რეაბილიტაცია</t>
  </si>
  <si>
    <t>(26) სამტრედია სოფ. დიდი ჯიხაიში გაზსადენის რეაბილიტაცია</t>
  </si>
  <si>
    <t>P.6.255</t>
  </si>
  <si>
    <t>(27) მარჯანიშვილის, გურიელის, დონეცკის (თავისუფლების 6 შესახვევი), ზესტაფონის, თაყაიშვილის, კაკაბაძის, კეკელიძის, კირილე ლორთქიფანიძის ქუჩების შესახვევები და ჩიხების რეაბილიტაცია</t>
  </si>
  <si>
    <t>(28) მარჯანიშვილის, გურიელის, დონეცკის (თავისუფლების 6 შესახვევი), ზესტაფონის, თაყაიშვილის, კაკაბაძის, კეკელიძის, კირილე ლორთქიფანიძის ქუჩების შესახვევები და ჩიხების რეაბილიტაცია</t>
  </si>
  <si>
    <t>P.6.680</t>
  </si>
  <si>
    <t>(29) სამტრედია 9 აპრილის ქუჩის და მე-3 ჩიხის გაზსადენის რეაბილიტაცია</t>
  </si>
  <si>
    <t>(30) სამტრედია 9 აპრილის ქუჩის და მე-3 ჩიხის გაზსადენის რეაბილიტაცია</t>
  </si>
  <si>
    <t>P.6.692</t>
  </si>
  <si>
    <t xml:space="preserve">(31) სამტრედია გაზსადენის შეღებვა: რესპუბლიკის, რუსთაველის, იმერეთის, ბოლქვაძის, ყაზბეგის, ლესელიძის,კლდიაშვილის, ფალიაშვილის, ბახტაძის.კრავეიშვილის, გურამიშვილის, ბათუმის, წერეთლის, 26 მაისის, კანდელაკის, ჯანელიძის, შევჩენკოს, ჭანტურიას ქუჩები.                                                              </t>
  </si>
  <si>
    <t>P.6.154</t>
  </si>
  <si>
    <t>(32) ანჯაფარიძის ქუჩა ამორტიზებული გაზსადენის რეაბილიტაცია</t>
  </si>
  <si>
    <t>(33) ანჯაფარიძის ქუჩა ამორტიზებული გაზსადენის რეაბილიტაცია</t>
  </si>
  <si>
    <t>P.6.608</t>
  </si>
  <si>
    <t>(34) 26 მაისის და გოგებაშვილის ქუჩაზე დაბალი წნევის გაზსადენის რეაბილიტაცია</t>
  </si>
  <si>
    <t>(35) 26 მაისის და გოგებაშვილის ქუჩაზე დაბალი წნევის გაზსადენის რეაბილიტაცია</t>
  </si>
  <si>
    <t>მარტვილი</t>
  </si>
  <si>
    <t>P.6.932</t>
  </si>
  <si>
    <t>(36) მარტვილი გაზსადენის შეღებვა: თამარ მეფის, 9 აპრილის, ენგელსის, კახა ბართიას, თბილისის, დადიანის, წოწორიას, წყონდიდელის ქუჩები, სოფ. ხუნწი, ნაგვაზაო, ინჩხური</t>
  </si>
  <si>
    <t>P.6.244</t>
  </si>
  <si>
    <t>(37) გაზსადენის შეღებვა: ქ.თერჯოლა სოფ. ახალთერჯოლა, ჩხარი, ძევრი</t>
  </si>
  <si>
    <t>P.6.617</t>
  </si>
  <si>
    <t>(38) გიორგი ბრწყინვალეს 6 შესახვევი, სერგეი მესხის (ენგელსის ქ) ფიროსმანის ქუჩები შესახვევებით და ჩიხებით. ნარსიას ქ. ა.ხორავას ქ. (უკრაინის ქ.) (565 აბონენტი) გაზსადენის რეაბილიტაცია</t>
  </si>
  <si>
    <t>(39) გიორგი ბრწყინვალეს 6 შესახვევი, სერგეი მესხის (ენგელსის ქ) ფიროსმანის ქუჩები შესახვევებით და ჩიხებით. ნარსიას ქ. ა.ხორავას ქ. (უკრაინის ქ.) (565 აბონენტი) გაზსადენის რეაბილიტაცია</t>
  </si>
  <si>
    <t>P.6.681</t>
  </si>
  <si>
    <t>(41) სამტრედია ნინოშვილის ქუჩა და ნინოშვილის ჩიხის გაზსადენის რეაბილიტაცია</t>
  </si>
  <si>
    <t>P.6.929</t>
  </si>
  <si>
    <t>(42) სამტრედია გაზსადენის შეღებვა: ვაშაკიძის, გამსახურდიას. აღმაშენებლის, დადიანის, არგონავტების, თევზაძის, ლორიას, გამრეკელიძის, ელიავას, თავისუფლების, დიდგორის, პაპავას, რესპუბლიკის მე-2, მე-4 ჩიხები, ფანჯიკიძის, ნიკოლეიშვილის ქუჩები.</t>
  </si>
  <si>
    <t>P.6.191 (5)</t>
  </si>
  <si>
    <t>(43) მრიცხველების შეცვლა გამოტანა: ქ. თერჯოლა 200 და ქ.ამბროლაური 300</t>
  </si>
  <si>
    <t>(44) მრიცხველების შეცვლა გამოტანა: ქ. თერჯოლა 200 და ქ.ამბროლაური 300</t>
  </si>
  <si>
    <t>P.6.614</t>
  </si>
  <si>
    <t>(45) ახალგაზრდობის 1 შესახვევის გაზს-ის რეაბილიტაცია (აღრ. კვანძ-დან გმპ-მდე)</t>
  </si>
  <si>
    <t>(46) ახალგაზრდობის 1 შესახვევის გაზს-ის რეაბილიტაცია (აღრ. კვანძ-დან გმპ-მდე)</t>
  </si>
  <si>
    <t>P.6.613</t>
  </si>
  <si>
    <t>(47) გრიგოლ აბაშიძის ქუჩის გაზსადენის რეაბილიტაცია</t>
  </si>
  <si>
    <t>(48) გრიგოლ აბაშიძის ქუჩის გაზსადენის რეაბილიტაცია</t>
  </si>
  <si>
    <t>P.6.744</t>
  </si>
  <si>
    <t>(49) სოფ. ნახშირღელის გაზსადენის ავტობანი-ქუთაისის ტრასის მარცხენა გვერდზე გაზსადენის მშენებლობა.</t>
  </si>
  <si>
    <t>(50) სოფ. ნახშირღელის გაზსადენის ავტობანი-ქუთაისის ტრასის მარცხენა გვერდზე გაზსადენის მშენებლობა.</t>
  </si>
  <si>
    <t>P.6.230</t>
  </si>
  <si>
    <t>(51) გაზსადენის შეღებვა: ქ, ქუთაისი, ნიკეას ქუჩა</t>
  </si>
  <si>
    <t>P.6.742</t>
  </si>
  <si>
    <t>P.6.1122</t>
  </si>
  <si>
    <t>(56) ნიუპორტის ქ.  გზის რეაბილიტაციასთან დაკავშირებით შესაძლებელია კოროზირებული გაზსადენის შეცვლა</t>
  </si>
  <si>
    <t>(57) ნიუპორტის ქ.  გზის რეაბილიტაციასთან დაკავშირებით შესაძლებელია კოროზირებული გაზსადენის შეცვლა</t>
  </si>
  <si>
    <t>P.6.958</t>
  </si>
  <si>
    <t xml:space="preserve">(58) სამტრედია სოფ. პატარა ეწერი D=63 მმ-იანი L600 საშუალო წნევის გაზსადენის მშენებლობა. </t>
  </si>
  <si>
    <t xml:space="preserve">(59) სამტრედია სოფ. პატარა ეწერი D=63 მმ-იანი L600 საშუალო წნევის გაზსადენის მშენებლობა. </t>
  </si>
  <si>
    <t>ქუთაისის სერვის ცენტრის რემონტი</t>
  </si>
  <si>
    <t>P.6.648</t>
  </si>
  <si>
    <t>ქალაქი ვანი (D25-D80). გაზსადენის რეაბილიტაციის პროექტი</t>
  </si>
  <si>
    <t>სოფ. დიდი ჭყონის გამოტოვებული უბნების გაზსადენის პროექტირება</t>
  </si>
  <si>
    <t>სოფ. დიდი ჭყონის გამოტოვებული უბნების გაზსადენის მშენებლობა</t>
  </si>
  <si>
    <t>P.6.1132</t>
  </si>
  <si>
    <t>ხონი-მარტვილის მკვებავი გაზსადენის მშენებლობა</t>
  </si>
  <si>
    <t>გაზსერვისი</t>
  </si>
  <si>
    <t>P.2.1439</t>
  </si>
  <si>
    <t>სოფ.ტნუსის მკვებავი გაზსადენის რეაბილაცია- პროექტი</t>
  </si>
  <si>
    <t>ქ.სიღნაღში ,შპს სოკარ ჯორჯია გაზის '' სერვის ცენტრის ადმინისტრაციული შენობის სახურავის რეაბილიტაცია</t>
  </si>
  <si>
    <t>P.2.911</t>
  </si>
  <si>
    <t xml:space="preserve">მარნეულში მე15 საუბნოზე საშუალო წნევის გაზსადენის რეაბილიტაცია </t>
  </si>
  <si>
    <t>P.2.115</t>
  </si>
  <si>
    <t>გადავიდეს 2026 წელში. საგზაო დეპარტამენტმა დაგვიხარვეზა, ავტობანის პროექტირებასა და მშენებლობასთან დაკავშირებით</t>
  </si>
  <si>
    <t>P.2.1441</t>
  </si>
  <si>
    <t>P.2.140</t>
  </si>
  <si>
    <t>რუსთავის დამატებითი მკვებავი ხაზი</t>
  </si>
  <si>
    <t>არქიტექტ პროჯექტ კომპანი SOG</t>
  </si>
  <si>
    <t>Мцхета</t>
  </si>
  <si>
    <t>(1.1.1) მუხრანის გრს-დან N 37 საუბნომდე ცენტრალური გასზადენის რეაბილიტაცია (P.3.955)</t>
  </si>
  <si>
    <t>Карели</t>
  </si>
  <si>
    <t>P.3.502</t>
  </si>
  <si>
    <t>(1.1.2) ქ. ქარელში (ფანასკერტელის, ვაჟა ფშაველას, მუსხელიშვილის, თბილისის, აბაშიშვილის, მარჯანიშვილის, ახალგაზრდობის, ნონეშვილის სტალინის, თამარ მეფის, ჭავჭავაძის, წერეთლის, კეცხოველის, ავთანდილაშვილის, 9 აპრილის, ბახტრიონის ქ. ქარელში მე2ე და მე4ე საუბნო კვანძებზე არსებული) ქუჩების საჰაერო გაზსადენის შეცვლა (P.3.502)</t>
  </si>
  <si>
    <t>Озургети</t>
  </si>
  <si>
    <t>(1.1.3) სოფ. დვაბზუს ქსელის რეაბილიტაცია (P.4.519)</t>
  </si>
  <si>
    <t>(1.1.4) ოზურგეთში მრიცხველების გამოტანა 85 ოჯახიდან (P.4.16)</t>
  </si>
  <si>
    <t>Чохатаури</t>
  </si>
  <si>
    <t>(1.1.5) ჩოხატაურში მრიცხველების გამოტანა 61 ოჯახიდან P.4.18</t>
  </si>
  <si>
    <t>ს. მუშევანის გაზიფიცირების პროექტის შედგენა.</t>
  </si>
  <si>
    <t>Вани</t>
  </si>
  <si>
    <t>(P.6.658) და (P.6.659)</t>
  </si>
  <si>
    <t>(1.1.1) სოფ. ზედა მუქედის (P.6.658) და (1.1.2) ქვედა მუქედის (P.6.659) გაზსადენების რეაბილიტაცია.</t>
  </si>
  <si>
    <t>არქიტექტ პროჯექტ კომპანი SGG</t>
  </si>
  <si>
    <t>არქიტექტ პროჯექტ კომპანი</t>
  </si>
  <si>
    <t>ჯი პი SGG</t>
  </si>
  <si>
    <t>(1.1.3) გაზსადენის მშენებლობა, ადლია, ანგისას დასახლებაში უსაფრთხო უწყვეტი მიწოდებისთვის (P.5.549)</t>
  </si>
  <si>
    <t>(1.1.1) ქ. ქობულეთში საშ. წნევის ფოლადის D-300 მმ ქსელის რეაბილიტაცია (P.5.34)</t>
  </si>
  <si>
    <t>(1.1.2) ხობი, ლითონის D=500 მმ გაზსადენის რეაბილიტაცია (P.4.3)</t>
  </si>
  <si>
    <t>ჯი პი</t>
  </si>
  <si>
    <t>ინტერგაზი SGG</t>
  </si>
  <si>
    <t>ბაღდათის მუნიციპალიტეტი</t>
  </si>
  <si>
    <t>P.6.957</t>
  </si>
  <si>
    <t>კურორტი საირმის მკვებავი გაზსადენის მშენებლობა</t>
  </si>
  <si>
    <t>ქობულეთის მუნიციპალიტეტი</t>
  </si>
  <si>
    <t>P.5.34</t>
  </si>
  <si>
    <t>ქობულეთის მკვებავი გრპ-დან რუსთაველის ქ#282 მიმდ. ტერიტორიამდე გაზსადენის რეაბილიტაცია</t>
  </si>
  <si>
    <t>ადიგენის მუნიციპალიტეტი</t>
  </si>
  <si>
    <t>P.3.231</t>
  </si>
  <si>
    <t>დაბა აბასთუმანის მწვანე ლურჯი კორიდორის მოწყობის ფარგლებში მიწისქვეშა გაზსადენის მოწყობა</t>
  </si>
  <si>
    <t>ინტერგაზი SOG</t>
  </si>
  <si>
    <t>ვანის მუნიციპალიტეტი</t>
  </si>
  <si>
    <t>P.6.644</t>
  </si>
  <si>
    <t>სოფელი დიხაშკოს გაზსადენი ქსელის რეაბილიტაცია</t>
  </si>
  <si>
    <t>P.6.646</t>
  </si>
  <si>
    <t>სოფლები სალხინოს გაზსადენი ქსელის რეაბილიტაცია</t>
  </si>
  <si>
    <t>P.6.658 P.6.659</t>
  </si>
  <si>
    <t>სოფლები ზედა და ქვედა მუქედის გაზსადენი ქსელის რეაბილიტაცია</t>
  </si>
  <si>
    <t>ტყიბული ამბროლაურის მუნიციპალიტეტები</t>
  </si>
  <si>
    <t>P.6.144(1)</t>
  </si>
  <si>
    <t>მუხურა-ხოტევი-ამბროლაურის მკვებავი გაზსადენი ქსელის მშენებლობა</t>
  </si>
  <si>
    <t>ამბროლაურის მუნიციპალიტი</t>
  </si>
  <si>
    <t>P.6.140</t>
  </si>
  <si>
    <t>ხოტევი-ამბროლაურის მკვებავი გაზსადენი ქსელის მშენებლობა</t>
  </si>
  <si>
    <t>P.6.127(5)</t>
  </si>
  <si>
    <t>სოფელი შუა გორას გაზსადენი ქსელის რეაბილიტაცია</t>
  </si>
  <si>
    <t>სოფელი გორასა და ზედა გორას  გაზსადენი ქსელის რეაბილიტაცია</t>
  </si>
  <si>
    <t>სოფელი ფერეთას გაზსადენი ქსელის რეაბილიტაცია</t>
  </si>
  <si>
    <t>P.6.642</t>
  </si>
  <si>
    <t>სოფელი სალომინაოს გაზსადენი ქსელის რეაბილიტაცია</t>
  </si>
  <si>
    <t>P.6.643</t>
  </si>
  <si>
    <t>სოფელი სულორის გაზსადენი ქსელის რეაბილიტაცია</t>
  </si>
  <si>
    <t>ბორჯომის მუნიციპალიტეტი</t>
  </si>
  <si>
    <t>P.3.1131</t>
  </si>
  <si>
    <t>სოფელი ახალდაბის რიკაძეებისა და ბლიაძეების უბნის  გაზსადენი ქსელის მშენებლობა</t>
  </si>
  <si>
    <t>ამბროლაურის მუნიციპალიტეტი</t>
  </si>
  <si>
    <t>P.6.003</t>
  </si>
  <si>
    <t>სოფელი წკადისის გაზსადენი ქსელის მშენებლობა</t>
  </si>
  <si>
    <t>P.6.002</t>
  </si>
  <si>
    <t>სოფელი სხარტალის გაზსადენი ქსელის მშენებლობა</t>
  </si>
  <si>
    <t>ინტერგაზი</t>
  </si>
  <si>
    <t>გაზკონსტრაქტი SGG</t>
  </si>
  <si>
    <t>ვერ ვასრულებ, 100-ით მეტია</t>
  </si>
  <si>
    <t>Гори</t>
  </si>
  <si>
    <t>P.3.707</t>
  </si>
  <si>
    <t>(23) ვარიანის გრს ზე არსებული სოფელ ფხვენისის გაზსადენის რეაბილიტაცია (P.3.707)</t>
  </si>
  <si>
    <t>(24) ვარიანის გრს ზე არსებული სოფელ ფხვენისის გაზსადენის რეაბილიტაცია (P.3.707)</t>
  </si>
  <si>
    <t>Душети</t>
  </si>
  <si>
    <t>P.3.178 (P.3.624, P.3.625, P.3.626,  P.3.627)</t>
  </si>
  <si>
    <t>(1) ქვეშეთი, არახვეთი, ქვემო და ზემო მლეთის მკვებავი და სოფლის დ. წ. გარე ქსელის რეაბილიტაცია და მრიცხველების გამოტანა (P.3.178 (P3.624, P3.625, P3.626,  P3.627))</t>
  </si>
  <si>
    <t>(2) ქვეშეთი, არახვეთი, ქვემო და ზემო მლეთის მკვებავი და სოფლის დ. წ. გარე ქსელის რეაბილიტაცია და მრიცხველების გამოტანა (P.3.178 (P3.624, P3.625, P3.626,  P3.627))</t>
  </si>
  <si>
    <t>P.3.595</t>
  </si>
  <si>
    <t>(66) მრიცხველების გამოტანა სოფ. ჩანადირებში P.3.595</t>
  </si>
  <si>
    <t>P.3.596</t>
  </si>
  <si>
    <t>(68) მრიცხველების გამოტანა სოფ. ბაზალეთი P.3.596</t>
  </si>
  <si>
    <t>P.3.608</t>
  </si>
  <si>
    <t>(36) დ. ჟინვალი საშუალო წნევის D 80 მმ გაზსადენის რეაბილიტაცია P.3.608</t>
  </si>
  <si>
    <t>(37) დ. ჟინვალი საშუალო წნევის D 80 მმ გაზსადენის რეაბილიტაცია P.3.608</t>
  </si>
  <si>
    <t>P.3.616</t>
  </si>
  <si>
    <t>(67) მრიცხველების გამოტანა სოფ. ანანური (8 აბონენტი) (P.3.616)</t>
  </si>
  <si>
    <t>(68) მრიცხველების გამოტანა სოფ. ანანური (8 აბონენტი) (P.3.616)</t>
  </si>
  <si>
    <t>P.3.631</t>
  </si>
  <si>
    <t>(51) მრიცხველების გამოტანა სოფ. სეთურები (P.3.631)</t>
  </si>
  <si>
    <t>(52) მრიცხველების გამოტანა სოფ. სეთურები (P.3.631)</t>
  </si>
  <si>
    <t>P.3.632</t>
  </si>
  <si>
    <t>(55) მრიცველების გამოტანა სოფ. ჯაღმიანი (P.3.632)</t>
  </si>
  <si>
    <t>(56) მრიცველების გამოტანა სოფ. ჯაღმიანი (P.3.632)</t>
  </si>
  <si>
    <t>P.3.633</t>
  </si>
  <si>
    <t>(53) მრიცხველების გამოტანა სოფ. ზაქათკარი (P.3.633)</t>
  </si>
  <si>
    <t>(54) მრიცხველების გამოტანა სოფ. ზაქათკარი (P.3.633)</t>
  </si>
  <si>
    <t>P.3.69</t>
  </si>
  <si>
    <t>(41) სოფ. ციხისძირის საშუალო წნევის გაზსადენის რეაბილიტაცია (P.3.69)</t>
  </si>
  <si>
    <t>(42) სოფ. ციხისძირის საშუალო წნევის გაზსადენის რეაბილიტაცია (P.3.69)</t>
  </si>
  <si>
    <t>P.3.70 (P.3.610, P.3.604)</t>
  </si>
  <si>
    <t>(3) სოფ. არაგვისპირი-ჟინვალის მიმართულებით გაზსადენის რეაბილიტაცია (საუბნო 2) (P.3.70 (P.3.610, P.3.604))</t>
  </si>
  <si>
    <t>(4) სოფ. არაგვისპირი-ჟინვალის მიმართულებით გაზსადენის რეაბილიტაცია (საუბნო 2) (P.3.70 (P.3.610, P.3.604))</t>
  </si>
  <si>
    <t>P.3.71</t>
  </si>
  <si>
    <t>(4) სოფ. ბულაჩაური -აბანოსხევის მიმართულების საშუალო წნევის გაზსადენის რეაბილიტაცია P.3.71</t>
  </si>
  <si>
    <t>P.3.72; (P.3.582)</t>
  </si>
  <si>
    <t>(9) სოფ. ჭოპორტის გაზსადენის რეაბილიტაცია (P.3.72; (P.3.582))</t>
  </si>
  <si>
    <t>(10) სოფ. ჭოპორტის გაზსადენის რეაბილიტაცია (P.3.72; (P.3.582))</t>
  </si>
  <si>
    <t>P.3.74; (P.3.585)</t>
  </si>
  <si>
    <t>(15) სოფ. წითელსოფელის გაზსადენის რეაბილიტაცია (P.3.74; (P.3.585))</t>
  </si>
  <si>
    <t>(16) სოფ. წითელსოფელის გაზსადენის რეაბილიტაცია (P.3.74; (P.3.585))</t>
  </si>
  <si>
    <t>Казбеги</t>
  </si>
  <si>
    <t>P.3.635</t>
  </si>
  <si>
    <t>(62) სოფ. გერგეთის დაბალი წნევის გაზსადენის რეაბილიტაცია P.3.635</t>
  </si>
  <si>
    <t>P.3.636</t>
  </si>
  <si>
    <t>(54) მრიცხველების გამოტანა სოფ გერგეტი P.3.636</t>
  </si>
  <si>
    <t>P.3.641 (P.3.634)</t>
  </si>
  <si>
    <t>(65) სოფ. გარბანის გაზსადენის რეაბილიტაცია და მრიცხველების გამოტანა (P.3.641 (P.3.634))</t>
  </si>
  <si>
    <t>(66) სოფ. გარბანის გაზსადენის რეაბილიტაცია და მრიცხველების გამოტანა (P.3.641 (P.3.634))</t>
  </si>
  <si>
    <t>P.3.66</t>
  </si>
  <si>
    <t>(5) დ. გუდაურის საშუალო წნევის გაზსადენის რეაბილიტაცია P.3.66</t>
  </si>
  <si>
    <t>(6) დ. გუდაურის საშუალო წნევის გაზსადენის რეაბილიტაცია P.3.66</t>
  </si>
  <si>
    <t>P.3.67</t>
  </si>
  <si>
    <t>(11) გუდაურის (სეთურები, ჯაღმიანი, ზაქათკარი, გუდაური) დაბალი წნევის გაზსადენის რეაბილიტაცია P.3.67</t>
  </si>
  <si>
    <t>(12) გუდაურის (სეთურები, ჯაღმიანი, ზაქათკარი, გუდაური) დაბალი წნევის გაზსადენის რეაბილიტაცია P.3.67</t>
  </si>
  <si>
    <t>P.3.142</t>
  </si>
  <si>
    <t>(13) სოფელ კეხიჯვრის რეაბილიტაცია P.3.142</t>
  </si>
  <si>
    <t>(14) სოფელ კეხიჯვრის რეაბილიტაცია P.3.142</t>
  </si>
  <si>
    <t>P.3.145</t>
  </si>
  <si>
    <t>(43) დაბა აგარაში ჩოლოყაშვილის და მესხის ქუჩებზე და ქარელში ცაბაძის და რუხაძის ქუჩებზე არსებულ კორპუსებში მრიცხველების ჩამოწევა (P.3.145)</t>
  </si>
  <si>
    <t>(44) დაბა აგარაში ჩოლოყაშვილის და მესხის ქუჩებზე და ქარელში ცაბაძის და რუხაძის ქუჩებზე არსებულ კორპუსებში მრიცხველების ჩამოწევა (P.3.145)</t>
  </si>
  <si>
    <t>P.3.146</t>
  </si>
  <si>
    <t>(25) ქარელის არეალში ეზოებიდან გამოსატანი მრიცხველები (P.3.146)</t>
  </si>
  <si>
    <t>(26) ქარელის არეალში ეზოებიდან გამოსატანი მრიცხველები (P.3.146)</t>
  </si>
  <si>
    <t>P.3.151</t>
  </si>
  <si>
    <t>(2) ბრეთის გრს-ის სოფლების საჰაერო გაზსადენის რეაბილიტაცია P.3.151</t>
  </si>
  <si>
    <t>P.3.5</t>
  </si>
  <si>
    <t>(29) სოფ. ბებნისის გაზსადენის რეაბილიტაცია (P.3.5)</t>
  </si>
  <si>
    <t>(30) სოფ. ბებნისის გაზსადენის რეაბილიტაცია (P.3.5)</t>
  </si>
  <si>
    <t>P.3.501</t>
  </si>
  <si>
    <t>(7) მე-19-ე აღრიცხვის კვანძზე არსებული სოფლების (სანებელი, ვედრება, ქობესაანთ უბანი) გაზსადენის შეცვლა (P.3.501)</t>
  </si>
  <si>
    <t>(8) მე-19-ე აღრიცხვის კვანძზე არსებული სოფლების (სანებელი, ვედრება, ქობესაანთ უბანი) გაზსადენის შეცვლა (P.3.501)</t>
  </si>
  <si>
    <t>P.3.504</t>
  </si>
  <si>
    <t>(7) ქ. ქარელში N6 საუბნო კვანძზე არსებული გაზსადენის რეაბილიტაცია P.3.504</t>
  </si>
  <si>
    <t>(8) ქ. ქარელში N6 საუბნო კვანძზე არსებული გაზსადენის რეაბილიტაცია P.3.504</t>
  </si>
  <si>
    <t>P.3.9</t>
  </si>
  <si>
    <t>(21) სოფ. კეხიჯვარი გაზსადენის და საყრდენების რეაბილიტაცია P.3.9</t>
  </si>
  <si>
    <t>P.3.111</t>
  </si>
  <si>
    <t>(49) ქ. მცხეთა საშუალო წნევის ამორტიზირებული გაზსადენის რეაბილიტაცია რუსთაველის ქუჩა (P.3.111)</t>
  </si>
  <si>
    <t>(50) ქ. მცხეთა საშუალო წნევის ამორტიზირებული გაზსადენის რეაბილიტაცია რუსთაველის ქუჩა (P.3.111)</t>
  </si>
  <si>
    <t>P.3.155</t>
  </si>
  <si>
    <t>Реаб. Газопр. D=150мм вдоль трассы Армази-Дзегви (I этап P.3.155) в Мцхета</t>
  </si>
  <si>
    <t>P.3.157</t>
  </si>
  <si>
    <t>(15) სოფ. საგურამო კერძო საკუთრებაში გამავალი საჰაერო გაზსადენების რეაბილიტაცია P.3.157</t>
  </si>
  <si>
    <t>P.3.161</t>
  </si>
  <si>
    <t>(29) წეროვნის ინსტიტუტის დასახლება არსებული, ამორტიზირებული გაზსადენის კერძო საკუთრებიდან გამოტანა P.3.161</t>
  </si>
  <si>
    <t>P.3.162</t>
  </si>
  <si>
    <t>(33) სოფ. საგურამო ცენტრალური საშუალო წნევის ამორტიზირებული დ=300 ფოლადის გაზსადენის რეაბილიტაცია P.3.162</t>
  </si>
  <si>
    <t>P.3.164</t>
  </si>
  <si>
    <t>(69) ქალაქი მცხეთა ნარეკვავის დასახლება დაბალი წნევის გაზსადენის რეაბილიტაცია, დ=89-80-100 აღდგენა კერძო საკუთრებიდან გამოტანა (P.3.164)</t>
  </si>
  <si>
    <t>(70) ქალაქი მცხეთა ნარეკვავის დასახლება დაბალი წნევის გაზსადენის რეაბილიტაცია, დ=89-80-100 აღდგენა კერძო საკუთრებიდან გამოტანა (P.3.164)</t>
  </si>
  <si>
    <t>P.3.165</t>
  </si>
  <si>
    <t>(24) სოფ. ნატახტარი არსებული დაბალი წნევის დ=112 გაზსადენის რეაბილიტაცია P.3.165</t>
  </si>
  <si>
    <t>(25) სოფ. ნატახტარი არსებული დაბალი წნევის დ=112 გაზსადენის რეაბილიტაცია P.3.165</t>
  </si>
  <si>
    <t>(5) სოფ. ძველი ქანდა არსებული დაბალი წნევის გაზსადენის რეაბილიტაცია (P.3.166)</t>
  </si>
  <si>
    <t>P.3.55</t>
  </si>
  <si>
    <t>(60) ქ. მცხეთა სამხედროს ქუჩა. საშუალო წნევის გაზსადენის რეაბილიტაცია. P.3.55</t>
  </si>
  <si>
    <t>(61) ქ. მცხეთა სამხედროს ქუჩა. საშუალო წნევის გაზსადენის რეაბილიტაცია. P.3.55</t>
  </si>
  <si>
    <t>P.3.57</t>
  </si>
  <si>
    <t>(18) მდინარე მტკვარზე დაკიდებული გაზსადენისთვის ბურჯების მოწყობა P.3.57</t>
  </si>
  <si>
    <t>(19) მდინარე მტკვარზე დაკიდებული გაზსადენისთვის ბურჯების მოწყობა P.3.57</t>
  </si>
  <si>
    <t>P.3.59</t>
  </si>
  <si>
    <t>(39) სოფ. მუხრანის ბაზრის უბნის არსებული გაზსადენის გამოტანა რეაბილიტაცია (P.3.59)</t>
  </si>
  <si>
    <t>(40) სოფ. მუხრანის ბაზრის უბნის არსებული გაზსადენის გამოტანა რეაბილიტაცია (P.3.59)</t>
  </si>
  <si>
    <t>P.3.60</t>
  </si>
  <si>
    <t>(34) ქ. მცხეთა სამხედროს, გმირის და მუხრანის ქუჩებზე არსებული საშუალო წნევის გაზსადენის რეაბილიტაცია - პირველი ეტაპი P.3.60</t>
  </si>
  <si>
    <t>(35) ქ. მცხეთა სამხედროს, გმირის და მუხრანის ქუჩებზე არსებული საშუალო წნევის გაზსადენის რეაბილიტაცია - პირველი ეტაპი P.3.60</t>
  </si>
  <si>
    <t>P.3.62</t>
  </si>
  <si>
    <t>(64) ქალაქი მცხეთა აღმაშენებლის ქუჩა #101, გაზსადენის რეაბილიტაცია P.3.62</t>
  </si>
  <si>
    <t>(65) ქალაქი მცხეთა აღმაშენებლის ქუჩა #101, გაზსადენის რეაბილიტაცია P.3.62</t>
  </si>
  <si>
    <t>P.3.64; P.3.63; P.3.76; P.3.75</t>
  </si>
  <si>
    <t>1.1.5. Реабилитация газопровода по улице Тевзадзе (P.3.64), улица Горького (P.3.63), тупик Бараташвили (P.3.76), Цкарос Убани (P.3.75) в пос.Коджори.</t>
  </si>
  <si>
    <t>P.3.656</t>
  </si>
  <si>
    <t>(10) ნატახტრის გერეესიდან გამომავალ დ=200მმ მიწისქვეშა გაზსადენი წეროვნის ტოლვილების კოტეჯების მიმართულებით გაზსადენის რეაბილიტაცია P.3.656</t>
  </si>
  <si>
    <t>P.3.657</t>
  </si>
  <si>
    <t>(38) საგურამოს ქუჩა ავტობანის მიმდებარედ დ=500 მმ მილი მიწისქვეშა გაზსადენი არის ამორტიზირებული და ესაჭიროება რეაბილიტაცია L=300 მ P.3.657</t>
  </si>
  <si>
    <t>(39) საგურამოს ქუჩა ავტობანის მიმდებარედ დ=500 მმ მილი მიწისქვეშა გაზსადენი არის ამორტიზირებული და ესაჭიროება რეაბილიტაცია L=300 მ P.3.657</t>
  </si>
  <si>
    <t>P.3.658</t>
  </si>
  <si>
    <t>(45) მცხეთა წერეთლის ქუჩა გამოსატანი მრიცხველები 5. გამოსატანი გაზსადენი კერძო ტერიტორიიდან დ=50 მმ L=500 მ (P.3.658)</t>
  </si>
  <si>
    <t>(46) მცხეთა წერეთლის ქუჩა გამოსატანი მრიცხველები 5. გამოსატანი გაზსადენი კერძო ტერიტორიიდან დ=50 მმ L=500 მ (P.3.658)</t>
  </si>
  <si>
    <t>P.3.664</t>
  </si>
  <si>
    <t>(59) სოფ. ძეგვში გამოსატანია 20 მრიცხველი (P.3.664)</t>
  </si>
  <si>
    <t>(60) სოფ. ძეგვში გამოსატანია 20 მრიცხველი (P.3.664)</t>
  </si>
  <si>
    <t>P.3.667</t>
  </si>
  <si>
    <t>(47) აღმაშენებლის ქუჩა მტკვრის სანაპიროზე არსებული გაზსადენის რეაბილიტაცია P.3.667</t>
  </si>
  <si>
    <t>P.3.668</t>
  </si>
  <si>
    <t>(44) მისაქციელი ლამის უბანის აბონენტების გადაყვანა საშუალო წნევაზე P.3.668</t>
  </si>
  <si>
    <t>(45) მისაქციელი ლამის უბანის აბონენტების გადაყვანა საშუალო წნევაზე P.3.668</t>
  </si>
  <si>
    <t>P.3.669</t>
  </si>
  <si>
    <t>(58) მისაქციელი ჭაშნაგირის უკან არსებული დ.წნევის გაზსადენის გადაყვანა საშუალო წნევაზე P.3.669</t>
  </si>
  <si>
    <t>(59) მისაქციელი ჭაშნაგირის უკან არსებული დ.წნევის გაზსადენის გადაყვანა საშუალო წნევაზე P.3.669</t>
  </si>
  <si>
    <t>P.3.696</t>
  </si>
  <si>
    <t>(70) სოფელ ლისი-მუხათწყარო-წოდორეთში არსებული შიდა დაქსელვის გაზსადენის რეაბილიტაცია. P.3.696</t>
  </si>
  <si>
    <t>P.3.699</t>
  </si>
  <si>
    <t>(17) სოფელ ჯიღაურაში არსებული შიდა ქსელის რეაბილიტაცია და გამსხვილება (P.3.699)</t>
  </si>
  <si>
    <t>(18) სოფელ ჯიღაურაში არსებული შიდა ქსელის რეაბილიტაცია და გამსხვილება (P.3.699)</t>
  </si>
  <si>
    <t>P.3.78</t>
  </si>
  <si>
    <t>(52) ქ. მცხეთაში - საგურამოს, საგურამოს ილიას უბანის,ბიწმენდის, გალავანის, წინამძღვრიანთკარის, ჯიღაურასა და წეროვნის ინსტიტუტის დასახლებაში მრიცხველების შეცვლა-გამოტანა. (II ეტაპი) P.3.78</t>
  </si>
  <si>
    <t>(53) ქ. მცხეთაში - საგურამოს, საგურამოს ილიას უბანის,ბიწმენდის, გალავანის, წინამძღვრიანთკარის, ჯიღაურასა და წეროვნის ინსტიტუტის დასახლებაში მრიცხველების შეცვლა-გამოტანა. (II ეტაპი) P.3.78</t>
  </si>
  <si>
    <t>P.3.949</t>
  </si>
  <si>
    <t>(37) სოფელ ქსოვრისში ქსელის რეაბილიტაცია (P.3.949)</t>
  </si>
  <si>
    <t>(38) სოფელ ქსოვრისში ქსელის რეაბილიტაცია (P.3.949)</t>
  </si>
  <si>
    <t>P.3.953</t>
  </si>
  <si>
    <t>(57) სვეტიცხოვლის უბნის რეაბილიტაცია (P.3.953)</t>
  </si>
  <si>
    <t>(58) სვეტიცხოვლის უბნის რეაბილიტაცია (P.3.953)</t>
  </si>
  <si>
    <t>P.3.954</t>
  </si>
  <si>
    <t>(11) ნატახტრი და მისაქციელი ცენტრალური გაზსადენის რეაბილიტაცია (P.3.954)</t>
  </si>
  <si>
    <t>(12) ნატახტრიდა მისაქციელი ცენტრალური გაზსადენის რეაბილიტაცია (P.3.954)</t>
  </si>
  <si>
    <t>P.3.969</t>
  </si>
  <si>
    <t>(13) ქ. მცხეთა, სამხედროს ქუჩა, საცურაო აუზიდან პირველ სკოლამდე ცენტრალური გაზსადენის რეაბილიტაცია (P.3.969)</t>
  </si>
  <si>
    <t>(14) ქ. მცხეთა, სამხედროს ქუჩა, საცურაო აუზიდან პირველ სკოლამდე ცენტრალური გაზსადენის რეაბილიტაცია (P.3.969)</t>
  </si>
  <si>
    <t>Тбилиси</t>
  </si>
  <si>
    <t>P.3.701</t>
  </si>
  <si>
    <t>(73) დაბა კოჯორში არსებული დაბალი წნევის დ=50 გაზსადენის რეაბილიტაცია ნაწილი განთავსებულია მიწაში. P.3.701</t>
  </si>
  <si>
    <t>P.3.702</t>
  </si>
  <si>
    <t>(30) კოჯორში მრიცხველების გამოტანა ქსელთან ერთად P.3.702</t>
  </si>
  <si>
    <t>(31) კოჯორში მრიცხველების გამოტანა ქსელთან ერთად P.3.702</t>
  </si>
  <si>
    <t>P.3.704</t>
  </si>
  <si>
    <t>(27) დაბა კოჯორში მე-20 საუბნოზე არსებული გაზსადენის რეაბილიტაცია და კერძო ტერიტორიებიდან გამოტანა (P.3.704)</t>
  </si>
  <si>
    <t>(28) დაბა კოჯორში მე-20 საუბნოზე არსებული გაზსადენის რეაბილიტაცია და კერძო ტერიტორიებიდან გამოტანა (P.3.704)</t>
  </si>
  <si>
    <t>P.3.705</t>
  </si>
  <si>
    <t>(19) დაბა კოჯორში 21- საუბნოზე არსებული გაზსადენის გამსხვილება და გამოტანა კერძო ტერიტორიებიდან (P.3.705)</t>
  </si>
  <si>
    <t>(20) დაბა კოჯორში 21- საუბნოზე არსებული გაზსადენის გამსხვილება და გამოტანა კერძო ტერიტორიებიდან (P.3.705)</t>
  </si>
  <si>
    <t>P.3.706</t>
  </si>
  <si>
    <t>(61) დაბა კოჯორში 99 საუბნოზე არსებული გაზსადენის რეაბილიტაცია და გამოტანა კერძო ტერიტორიებიდან (P.3.706)</t>
  </si>
  <si>
    <t>(62) დაბა კოჯორში 99 საუბნოზე არსებული გაზსადენის რეაბილიტაცია და გამოტანა კერძო ტერიტორიებიდან (P.3.706)</t>
  </si>
  <si>
    <t>Хашури</t>
  </si>
  <si>
    <t>P.3.005</t>
  </si>
  <si>
    <t>P.3.12</t>
  </si>
  <si>
    <t>(17) ვაყა-გომის მიწისზედა საშ. წნევის გაზსადენის რეაბილიტაცია P.3.12</t>
  </si>
  <si>
    <t>P.3.14</t>
  </si>
  <si>
    <t>(72) ქ. ხაშური, მცხეთის ქუჩის მონაკვეთის რეაბილიტაცია P.3.14</t>
  </si>
  <si>
    <t>P.3.15</t>
  </si>
  <si>
    <t>(71) დაბა სურამში №15 კვანძზე შარტავას ქ. მიწის ქვეშა გაზსადენის რეაბილიტაცია P.3.15</t>
  </si>
  <si>
    <t>P.3.17</t>
  </si>
  <si>
    <t>(56) ქ. ხაშურში, სარაჯიშვილის ქუჩაზე მრიცხველების გამოტანა P.3.17</t>
  </si>
  <si>
    <t>(57) ქ. ხაშურში, სარაჯიშვილის ქუჩაზე მრიცხველების გამოტანა P.3.17</t>
  </si>
  <si>
    <t>P.3.25</t>
  </si>
  <si>
    <t>(26) მრიცხველების შეცვლა-გამოტანა P.3.25</t>
  </si>
  <si>
    <t>(27) მრიცხველების შეცვლა-გამოტანა P.3.25</t>
  </si>
  <si>
    <t>P.3.26</t>
  </si>
  <si>
    <t>1.1.8. Г. Хашури, вынос счетчиков на Улицах Цхвирашвили и Руставели. P.3.26</t>
  </si>
  <si>
    <t>P.3.29; (P.3.28; P.3.27; P.3.24; P.3.21)</t>
  </si>
  <si>
    <t>(63) ქ. ხაშური, მრიცხველების გამოტანა. ბორჯომის, ოქტომბრის, გორის, სვანეთის, მელიქიშვილის და ტოლსტოის ქუჩებზე. (P.3.29; (P.3.28; P.3.27; P.3.24; P.3.21))</t>
  </si>
  <si>
    <t>(64) ქ. ხაშური, მრიცხველების გამოტანა. ბორჯომის, ოქტომბრის, გორის, სვანეთის, მელიქიშვილის და ტოლსტოის ქუჩებზე. (P.3.29; (P.3.28; P.3.27; P.3.24; P.3.21))</t>
  </si>
  <si>
    <t>P.3.511</t>
  </si>
  <si>
    <t>(23) სოფ. ცხრამუხაში №35 კვანძზე არსებული დაბალი წნევის ძველი მიწისზედა ფოლადის გაზსადენის რეაბილიტაცია. P.3.511</t>
  </si>
  <si>
    <t>(6) დაბა სურამში აღმაშენებლისა და თამარ მეფის ქუჩებზე D=100 მმ ფოლადის საჰაიერო გაზსადენის შეცვლა პოლიეთილენის D=160 მმ მიწისქვეშა გაზსადენით (P.3.879)</t>
  </si>
  <si>
    <t>P.3.933</t>
  </si>
  <si>
    <t>(21) დაბა სურამი, ბაიანთხევი, 26 მაისის ქუჩის რეაბილიტაცია (P.3.933)</t>
  </si>
  <si>
    <t>(22) დაბა სურამი, ბაიანთხევი, 26 მაისის ქუჩის რეაბილიტაცია (P.3.933)</t>
  </si>
  <si>
    <t>P.3.934</t>
  </si>
  <si>
    <t>(31) დაბა სურამი, გურამიშვილის ქუჩის რეაბილიტაცია (P.3.934)</t>
  </si>
  <si>
    <t>(32) დაბა სურამი, გურამიშვილის ქუჩის რეაბილიტაცია (P.3.934)</t>
  </si>
  <si>
    <t>P.3.935</t>
  </si>
  <si>
    <t>(33) დაბა სურამი, გრიგოლ სურამელის ქუჩის რეაბილიტაცია (P.3.935)</t>
  </si>
  <si>
    <t>(34) დაბა სურამი, გრიგოლ სურამელის ქუჩის რეაბილიტაცია (P.3.935)</t>
  </si>
  <si>
    <t>P.3.936</t>
  </si>
  <si>
    <t>(35) დაბა სურამი, კიკვიძის ქუჩის რეაბილიტაცია (P.3.936)</t>
  </si>
  <si>
    <t>(36) დაბა სურამი, კიკვიძის ქუჩის რეაბილიტაცია (P.3.936)</t>
  </si>
  <si>
    <t>P.3.941</t>
  </si>
  <si>
    <t>(47) დაბა სურამი მშვიდობის ქუჩის რეაბილიტაცია (P.3.941)</t>
  </si>
  <si>
    <t>(48) დაბა სურამი მშვიდობის ქუჩის რეაბილიტაცია (P.3.941)</t>
  </si>
  <si>
    <t>Адигени</t>
  </si>
  <si>
    <t>P.3.1006</t>
  </si>
  <si>
    <t>(65) დაბა ადიგენში ჩადუნელის ქუჩაზე გაზსადენი რეაბილიტაცია (P.3.1006)</t>
  </si>
  <si>
    <t>(66) დაბა ადიგენში ჩადუნელის ქუჩაზე გაზსადენი რეაბილიტაცია (P.3.1006)</t>
  </si>
  <si>
    <t>P.3.819 
(P.3.828)</t>
  </si>
  <si>
    <t>(53) ქალაქ ვალეში ფოლადის გაზსადენის რეაბილიტაცია (P.3.819 (P.3.828))</t>
  </si>
  <si>
    <t>(54) ქალაქ ვალეში ფოლადის გაზსადენის რეაბილიტაცია (P.3.819 (P.3.828))</t>
  </si>
  <si>
    <t>P.3.827</t>
  </si>
  <si>
    <t>(31) გაზსადენის რეაბილიტაცია სოფ არალში (P.3.827)</t>
  </si>
  <si>
    <t>(32) გაზსადენის რეაბილიტაცია სოფ არალში (P.3.827)</t>
  </si>
  <si>
    <t>P.3.854 (P.3.821)</t>
  </si>
  <si>
    <t>(51) გაზსადენის რეაბილიტაცია სოფ უდეში (P.3.854 (P.3.821))</t>
  </si>
  <si>
    <t>(52) გაზსადენის რეაბილიტაცია სოფ უდეში (P.3.854 (P.3.821))</t>
  </si>
  <si>
    <t>Борджоми</t>
  </si>
  <si>
    <t>P.3.106</t>
  </si>
  <si>
    <t>1.1.24. В г. Боржоми реабилитация/реконструкция наружных сетей в корпусах на улицах Руставели и Месхети. (P.3.106) (проектирование и строительство)</t>
  </si>
  <si>
    <t>P.3.117</t>
  </si>
  <si>
    <t>(28) სოფ ყვიბისში მიწისქვეშა დ=100 ფოლადის გაზსადენის რეაბილიტაცია. P.3.117</t>
  </si>
  <si>
    <t>(29) სოფ ყვიბისში მიწისქვეშა დ=100 ფოლადის გაზსადენის რეაბილიტაცია. P.3.117</t>
  </si>
  <si>
    <t>P.3.118</t>
  </si>
  <si>
    <t>(7) ბორჯომი სააკაძის ქუჩაზე საჰაერო დ=100 ფოლადის მილი 20 გრძ/მ. რეაბილიტაცია. P.3.118</t>
  </si>
  <si>
    <t>(8) ბორჯომი სააკაძის ქუჩაზე საჰაერო დ=100 ფოლადის მილი 20 გრძ/მ. რეაბილიტაცია. P.3.118</t>
  </si>
  <si>
    <t>P.3.120</t>
  </si>
  <si>
    <t>(1) 26 ოჯახის მკვებავი გაზსადენის  გადმოტანა ცენტრალური გზის პირას. P.3.120</t>
  </si>
  <si>
    <t>(2) 26 ოჯახის მკვებავი გაზსადენის  გადმოტანა ცენტრალური გზის პირას. P.3.120</t>
  </si>
  <si>
    <t>P.3.122</t>
  </si>
  <si>
    <t>(44) ქ. ბორჯომში, თორის ქ. ე.წ. „დრაბილკის“ მიმდებარედ დ=100 საჰარეო ფოლადის გაზსადენის რეაბილიტაცია. P.3.122</t>
  </si>
  <si>
    <t>P.3.123</t>
  </si>
  <si>
    <t>(19) ქ. ბორჯომში, რაზმაძის ქ. გაზსადენის სარეაბილიტაცია (P.3.123)</t>
  </si>
  <si>
    <t>(20) ქ. ბორჯომში, რაზმაძის ქ. გაზსადენის სარეაბილიტაცია (P.3.123)</t>
  </si>
  <si>
    <t>P.3.125</t>
  </si>
  <si>
    <t>(42) ქ ბორჯომში, მესხეთის ქ. (სოფ. ლიკანი) საშუალო წნევის დ=100 -იანი გაზსადენის რეაბილიტაცია მდინარის პირას. P.3.125</t>
  </si>
  <si>
    <t>P.3.127</t>
  </si>
  <si>
    <t>(23) ქ. ბორჯომში, კომპოზიტორთა შემოქმედებითი სახლიდან პლატოს საბაგირომდე საშ. წნევის დ=100 მიწისქვეშა ფოლადის გაზსადენის რეაბილიტაცია (P.3.127)</t>
  </si>
  <si>
    <t>(24) ქ. ბორჯომში, კომპოზიტორთა შემოქმედებითი სახლიდან პლატოს საბაგირომდე საშ. წნევის დ=100 მიწისქვეშა ფოლადის გაზსადენის რეაბილიტაცია (P.3.127)</t>
  </si>
  <si>
    <t>P.3.229</t>
  </si>
  <si>
    <t>(39) ბორჯომში მესხეთის ქ. (კურორტი ლიკანი) მდებარე დ=50 -იანი საშუალო წნევის საჰაერო გაზსადენის, რეაბილიტაცია. P.3.229</t>
  </si>
  <si>
    <t>(40) ბორჯომში მესხეთის ქ. (კურორტი ლიკანი) მდებარე დ=50 -იანი საშუალო წნევის საჰაერო გაზსადენის, რეაბილიტაცია. P.3.229</t>
  </si>
  <si>
    <t>P.3.34</t>
  </si>
  <si>
    <t>1.1.22. В Боржоми проектно-строительные работы по реабилитации подземного стального газопровода от моста Чархисцкали до церкви Давида. (P.3.34) (проектирование и строительство)</t>
  </si>
  <si>
    <t>P.3.41; (P.3.119)</t>
  </si>
  <si>
    <t>(41) დაბა ბაკურიანში №50-51-52-54 საუბნოზე და წაქაძის ქ. ,,მზიური ველის და ,,ვილა ნაძვის კორპუსებში მრიცხველების გამოტანა (P.3.41; (P.3.119))</t>
  </si>
  <si>
    <t>(42) დაბა ბაკურიანში №50-51-52-54 საუბნოზე და წაქაძის ქ. ,,მზიური ველის და ,,ვილა ნაძვის კორპუსებში მრიცხველების გამოტანა (P.3.41; (P.3.119))</t>
  </si>
  <si>
    <t>P.3.42 (2)</t>
  </si>
  <si>
    <t>(9) ბორჯომის სერვის ცენტრში ძველი G 4 მრიცხველების შეცვლა ახალი მრიცხველებით. (II ეტაპი) P.3.42 (2)</t>
  </si>
  <si>
    <t>P.3.779</t>
  </si>
  <si>
    <t>(17) დაბა ბაკურიანში ცაბაძის ქ. გაზსადენის განშტოების დ=50 მმ გაზსადენის რეაბილიტაცია. P.3.779</t>
  </si>
  <si>
    <t>P.3.781</t>
  </si>
  <si>
    <t>(37) სოფ. მზეთამზეს შესასვლელიდან დაბა წაღვერის აღრიცხვის კვანძამდე, მკვებავი d=100 გაზსადენის 400 მ. რეაბილიტაცია. (P.3.781)</t>
  </si>
  <si>
    <t>(38) სოფ. მზეთამზეს შესასვლელიდან დაბა წაღვერის აღრიცხვის კვანძამდე, მკვებავი d=100 გაზსადენის 400 მ. რეაბილიტაცია. (P.3.781)</t>
  </si>
  <si>
    <t>(21) დაბა ბაკურიანში, დიდველზე სასტუმრო ,,რედკო"-სთან, ცენტრალური მკვებავი მიწისქვეშა და სასტუმრო ,,ანაბაზის"-ის მიმდებარე საჰაერო გაზსადენების რეაბილიტაცია. P.3.784</t>
  </si>
  <si>
    <t>P.3.786</t>
  </si>
  <si>
    <t>(23) დაბა ბაკურიანში, ქუმარიტაშვილის ქუჩაზე, არსებული საჰაერო ფოლადის D=50 მილის რეაბილიტაცია. P.3.786</t>
  </si>
  <si>
    <t>(19) დაბა ბაკურიანში, დიდველზე 56 საუბნოდან სასტუმრო ,, ანა-ბაზის"-მდე საჰაერო დ=100 მმ-იანი გაზსადენის რეაბილიტაცია. P.3.805</t>
  </si>
  <si>
    <t>P.3.806; (P.3.807)</t>
  </si>
  <si>
    <t>(55) დაბა ბაკურიანში, 9 აპრილის ქუჩაზე  გაზსადენის რეაბილიტაცია. (P.3.806; (P.3.807))</t>
  </si>
  <si>
    <t>(56) დაბა ბაკურიანში, 9 აპრილის ქუჩაზე  გაზსადენის რეაბილიტაცია. (P.3.806; (P.3.807))</t>
  </si>
  <si>
    <t>(13) დაბა ბაკურიანში აღმაშენებლის ქუჩაზე მდებარე ,,ნიკორა"-ს მაღაზიიდან სასტუმრო ,,რედკო"-ს მიმართულებით გაზსადენის რეაბილიტაცია. P.3.855</t>
  </si>
  <si>
    <t>P.3.861</t>
  </si>
  <si>
    <t>(83) სოფ. ახალდაბაში ძველი გაზსადენის რეაბილიტაცია (P.3.861)</t>
  </si>
  <si>
    <t>(84) სოფ. ახალდაბაში ძველი გაზსადენის რეაბილიტაცია (P.3.861)</t>
  </si>
  <si>
    <t>P.3.194</t>
  </si>
  <si>
    <t>(59) ლეონიძის ქუჩის რეაბილიტაცია (P.3.194)</t>
  </si>
  <si>
    <t>(60) ლეონიძის ქუჩის რეაბილიტაცია (P.3.194)</t>
  </si>
  <si>
    <t>P.3.195</t>
  </si>
  <si>
    <t>(69) კოსტავას ქუჩის რეაბილიტაცია (P.3.195)</t>
  </si>
  <si>
    <t>(70) კოსტავას ქუჩის რეაბილიტაცია (P.3.195)</t>
  </si>
  <si>
    <t>P.3.196</t>
  </si>
  <si>
    <t>(38) სუხიშვილია და მეჯვრისხევის ქუჩებზე გაზსადენის რეაბილიტაცია. P.3.196</t>
  </si>
  <si>
    <t>(69) სუხიშვილია და მეჯვრისხევის ქუჩებზე გაზსადენის რეაბილიტაცია. P.3.196</t>
  </si>
  <si>
    <t>P.3.197</t>
  </si>
  <si>
    <t>(6) ბაქოს N 8 ქუჩიდან მშიდობის გამზ. N 2-მდე გადამავალი გაზსადენის რეაბილიტაცია P.3.197</t>
  </si>
  <si>
    <t>(1) ორთაშენის გრს-დან შინდისის გზატკეცილამდე კერძო ტერიტორიებზე გამავალი გაზსადენის რეაბილიტაცია (P.3.198)</t>
  </si>
  <si>
    <t>P.3.201</t>
  </si>
  <si>
    <t>(77) ქ. გორში 300 არაგველის, ქუჩის რეაბილიტაცია (P.3.201)</t>
  </si>
  <si>
    <t>(78) ქ. გორში 300 არაგველის, ქუჩის რეაბილიტაცია (P.3.201)</t>
  </si>
  <si>
    <t>P.3.202</t>
  </si>
  <si>
    <t>(63) ქ. გორში, ჩერქეზიშვილის ქუჩის რეაბილიტაცია (P.3.202)</t>
  </si>
  <si>
    <t>(64) ქ. გორში, ჩერქეზიშვილის ქუჩის რეაბილიტაცია (P.3.202)</t>
  </si>
  <si>
    <t>P.3.205; P.3.716</t>
  </si>
  <si>
    <t>Ул. Робакидзе (P.3.205) и ул. Гвердцители (P.3.716) (I этап)</t>
  </si>
  <si>
    <t>P.3.206</t>
  </si>
  <si>
    <t>(58) ქ. გორში, სააკაძის ქუჩაზე მდებარე რეაბილიტაცია. P.3.206</t>
  </si>
  <si>
    <t>P.3.208</t>
  </si>
  <si>
    <t>(35) ქ. გორში, ჭანტურიას ქუჩის რეაბილიტაცია (P.3.208)</t>
  </si>
  <si>
    <t>(36) ქ. გორში, ჭანტურიას ქუჩის რეაბილიტაცია (P.3.208)</t>
  </si>
  <si>
    <t>P.3.209</t>
  </si>
  <si>
    <t>(27) ქ. გორში, გ. ბრწყინვალის ქუჩის რეაბილიტაცია (P.3.209)</t>
  </si>
  <si>
    <t>(28) ქ. გორში, გ. ბრწყინვალის ქუჩის რეაბილიტაცია (P.3.209)</t>
  </si>
  <si>
    <t>P.3.211</t>
  </si>
  <si>
    <t>(31) სოფ. სათემოში გამავალი გაზსადენის რეკონსტრუქცია P.3.211</t>
  </si>
  <si>
    <t>P.3.215</t>
  </si>
  <si>
    <t>(25) სოფ. თორტიზაში გამავალი გაზსადენის რეკონსტრუქცია (P.3.215)</t>
  </si>
  <si>
    <t>(26) სოფ. თორტიზაში გამავალი გაზსადენის რეკონსტრუქცია (P.3.215)</t>
  </si>
  <si>
    <t>P.3.216</t>
  </si>
  <si>
    <t>(9) სოფ. ხელთუბანში გამავალი გაზსადენის რეკონსტრუქცია (P.3.216)</t>
  </si>
  <si>
    <t>(10) სოფ. ხელთუბანში გამავალი გაზსადენის რეკონსტრუქცია (P.3.216)</t>
  </si>
  <si>
    <t>P.3.228</t>
  </si>
  <si>
    <t>(13) მრიცხველების გამოტანა_გორი (P.3.228)</t>
  </si>
  <si>
    <t>(14) მრიცხველების გამოტანა_გორი (P.3.228)</t>
  </si>
  <si>
    <t>P.3.712</t>
  </si>
  <si>
    <t>(21) სოფ. კარალეთი 1 ქუჩის განშტოება გაზსადენის რეაბილიტაცია (P.3.712)</t>
  </si>
  <si>
    <t>(22) სოფ. კარალეთი 1 ქუჩის განშტოება გაზსადენის რეაბილიტაცია (P.3.712)</t>
  </si>
  <si>
    <t>P.3.715</t>
  </si>
  <si>
    <t>(47) ქ. გორი ჯორბენაძის ქუჩა გაზსადენის რეაბილიტაცია P.3.715</t>
  </si>
  <si>
    <t>(48) ქ. გორი ჯორბენაძის ქუჩა გაზსადენის რეაბილიტაცია P.3.715</t>
  </si>
  <si>
    <t>P.3.717</t>
  </si>
  <si>
    <t>(71) ქ. გორი აბაშიძის ქუჩა გაზსადენის რეაბილიტაცია (P.3.717)</t>
  </si>
  <si>
    <t>(72) ქ. გორი აბაშიძის ქუჩა გაზსადენის რეაბილიტაცია (P.3.717)</t>
  </si>
  <si>
    <t>P.3.729</t>
  </si>
  <si>
    <t>(66) ძველი ხიდან უფლისციხის ქუჩამდე გაზსადენის რეაბილიტაცია. P.3.729</t>
  </si>
  <si>
    <t>P.3.730</t>
  </si>
  <si>
    <t>(56) ქ. გორში ცხინვალის გზატკეცილზე გამავალი გაზსადენის რეაბილიტაცია. P.3.730</t>
  </si>
  <si>
    <t>P.3.731</t>
  </si>
  <si>
    <t>(53) ქ. გორში სადგურის დასახლებიდან ატენის მიმართულებით მიმავალ გაზსადენზე განშტოებების რეაბილიტაცია. P.3.731</t>
  </si>
  <si>
    <t>(54) ქ. გორში სადგურის დასახლებიდან ატენის მიმართულებით მიმავალ გაზსადენზე განშტოებების რეაბილიტაცია. P.3.731</t>
  </si>
  <si>
    <t>P.3.732</t>
  </si>
  <si>
    <t>(61) ქ. გორი ელიოზიშვილის ქუჩა გაზსადენის რეაბილიტაცია (P.3.732)</t>
  </si>
  <si>
    <t>(62) ქ. გორი ელიოზიშვილის ქუჩა გაზსადენის რეაბილიტაცია (P.3.732)</t>
  </si>
  <si>
    <t>P.3.733</t>
  </si>
  <si>
    <t>(50) ქ. გორიში მდინარე მეჯუდის პირიდან ცხინვალის ქუჩამდე მდებარე გაზსადენის რეაბილიტაცია. P.3.733</t>
  </si>
  <si>
    <t>P.3.734</t>
  </si>
  <si>
    <t>(35) სოფელ ტინისხიდის გაზსადენის რეაბილიტაცია P.3.734</t>
  </si>
  <si>
    <t>(3) სოფელ ნაწრეტში მკვებავი გაზსადენის გამოტანა-რეაბილიტაცია (P.3.735)</t>
  </si>
  <si>
    <t>P.3.86</t>
  </si>
  <si>
    <t>(43) სოფ. ბერბუკის გაზსადენის რეაბილიტაცია (P.3.86)</t>
  </si>
  <si>
    <t>(44) სოფ. ბერბუკის გაზსადენის რეაბილიტაცია (P.3.86)</t>
  </si>
  <si>
    <t>P.3.94 (1)</t>
  </si>
  <si>
    <t>1.1.3. Г. Гори замена-вынос счётчиков на ул. Пушкина, Цхинвалское шоссе, с. Свенети и реабилитационные работы сети в с. Тинисхиди. (P.3.94 (1))</t>
  </si>
  <si>
    <t>P.3.95</t>
  </si>
  <si>
    <t>1.1.4. Г. Гори работы по выносу счётчиков на улицах Тамар Мепе, Беруашвили, Чантурия, Багратиони, Кутаиси и Чочишвили. (P.3.95)</t>
  </si>
  <si>
    <t>(4) სოფ. ქიწნისი გაზსადენის რეაბილიტაცია (P.3.962)</t>
  </si>
  <si>
    <t>P.3.963</t>
  </si>
  <si>
    <t>(5) სოფ. ძევერა გაზსადენის რეაბილიტაცია (P.3.963)</t>
  </si>
  <si>
    <t>(6) სოფ. ძევერა გაზსადენის რეაბილიტაცია (P.3.963)</t>
  </si>
  <si>
    <t>P.3.964</t>
  </si>
  <si>
    <t>(7) სოფ. ტყვიავი გაზსადენის რეაბილიტაცია (P.3.964)</t>
  </si>
  <si>
    <t>(8) სოფ. ტყვიავი გაზსადენის რეაბილიტაცია (P.3.964)</t>
  </si>
  <si>
    <t>P.3.967</t>
  </si>
  <si>
    <t>(11) სოფ. ორთაშენი გაზსადენის რეაბილიტაცია (P.3.967)</t>
  </si>
  <si>
    <t>(12) სოფ. ორთაშენი გაზსადენის რეაბილიტაცია (P.3.967)</t>
  </si>
  <si>
    <t>Каспи</t>
  </si>
  <si>
    <t>P.3.105 (1)</t>
  </si>
  <si>
    <t>1.1.17. В г. Каспи реабилитация газопровода на улицах Мириан Мепе, Леселидзе, Костава, Руставели и Чавчавадзе. (P.3.105 (1))</t>
  </si>
  <si>
    <t>P.3.192</t>
  </si>
  <si>
    <t>(25) კასპის გერეესიდან კავთისხევის მიმართულებით დ 200 მკვებავი გაზსადენის რეაბილიტაცია P.3.192</t>
  </si>
  <si>
    <t>P.3.193</t>
  </si>
  <si>
    <t>(29) ქ კასპი, იას ქუჩაზე საშუალო წნევის დ100მმ გაზსადენის აშენება გაზ მომარაგების გაუმჯობესების მიზნით (დარგოლვა) (P.3.193)</t>
  </si>
  <si>
    <t>(30) ქ კასპი, იას ქუჩაზე საშუალო წნევის დ100მმ გაზსადენის აშენება გაზ მომარაგების გაუმჯობესების მიზნით (დარგოლვა) (P.3.193)</t>
  </si>
  <si>
    <t>P.3.47; P.3.50</t>
  </si>
  <si>
    <t>1.1.21. В г. Каспи реабилитационные работы газопроводов на пересечении улиц Агмашенебели и Габашвили. (P.3.47, P.3.50)</t>
  </si>
  <si>
    <t>P.3.49 (1)</t>
  </si>
  <si>
    <t>1.1.18. В г. Каспи замена и вынос счетчиков на улицах Церетели, 26 Мая, Шарикашвили, Гурамишвили и Агмашенебели (II Этап). (P.3.49 (1))</t>
  </si>
  <si>
    <t>P.3.52</t>
  </si>
  <si>
    <t>(64) ქ. კასპში სოფ. ოკამში საყრდენების მოწყობა P.3.52</t>
  </si>
  <si>
    <t>P.3.830</t>
  </si>
  <si>
    <t>(60) ქ. კასპი, შატბერაშვილის ქუჩაზე მდებარე გაზსადენის რეაბილიტაცია. P.3.830</t>
  </si>
  <si>
    <t>P.3.831</t>
  </si>
  <si>
    <t>(62) ქ. კასპი ჭავჭავაძის ქუჩაზე მდებარე გაზსადენის რეაბილიტაცია. P.3.831</t>
  </si>
  <si>
    <t>P.3.832</t>
  </si>
  <si>
    <t>(79) ქ. კასპი სააკაძის მეტეხის ქუჩაზე გაზსადენის და მრიცხველების გამოტანა კერძო საკუთრებიდან (P.3.832)</t>
  </si>
  <si>
    <t>(80) ქ. კასპი სააკაძის მეტეხის ქუჩაზე გაზსადენის და მრიცხველების გამოტანა კერძო საკუთრებიდან (P.3.832)</t>
  </si>
  <si>
    <t>P.3.833</t>
  </si>
  <si>
    <t>(45) ქ. კასპში რუსთაველის ქუჩაზე  გაზსადენის და მრიცხველების გამოტანა კერძო საკუთრებიდან (P.3.833)</t>
  </si>
  <si>
    <t>(46) ქ. კასპში რუსთაველის ქუჩაზე  გაზსადენის და მრიცხველების გამოტანა კერძო საკუთრებიდან (P.3.833)</t>
  </si>
  <si>
    <t>P.3.834</t>
  </si>
  <si>
    <t>(67) ქ. კასპიში ლაშქარაშვილის ქუჩაზე გაზსადენის და მრიცხველების გამოტანა კერძო საკუთრებიდან (P.3.834)</t>
  </si>
  <si>
    <t>(68) ქ. კასპიში ლაშქარაშვილის ქუჩაზე გაზსადენის და მრიცხველების გამოტანა კერძო საკუთრებიდან (P.3.834)</t>
  </si>
  <si>
    <t>P.3.835</t>
  </si>
  <si>
    <t>(81) ქ. კასპში პაატას ქუჩაზე გაზსადენის და მრიცხველების გამოტანა კერძო საკუთრებიდან (P.3.835)</t>
  </si>
  <si>
    <t>(82) ქ. კასპში პაატას ქუჩაზე გაზსადენის და მრიცხველების გამოტანა კერძო საკუთრებიდან (P.3.835)</t>
  </si>
  <si>
    <t>P.3.840</t>
  </si>
  <si>
    <t>(17) სოფელი ფერმა-თეზის მონაკვეთის ფოლადის გაზსადენის რეაბილიტაცია (P.3.840)</t>
  </si>
  <si>
    <t>(18) სოფელი ფერმა-თეზის მონაკვეთის ფოლადის გაზსადენის რეაბილიტაცია (P.3.840)</t>
  </si>
  <si>
    <t>P.3.841</t>
  </si>
  <si>
    <t>(47) სოფელ თეზში მიწისქვეშა გაზსადენების ამოცვლა პოლიეთილენის მილით (P.3.841)</t>
  </si>
  <si>
    <t>(48) სოფელ თეზში მიწისქვეშა გაზსადენების ამოცვლა პოლიეთილენის მილით (P.3.841)</t>
  </si>
  <si>
    <t>P.3.842</t>
  </si>
  <si>
    <t>(39) სოფ ქვემოჭალაში ფოლადის მკვებავი გაზსადენის ამოცვლა პოლიეთილენის მილით  (P.3.842)</t>
  </si>
  <si>
    <t>(40) სოფ ქვემოჭალაში ფოლადის მკვებავი გაზსადენის ამოცვლა პოლიეთილენის მილით  (P.3.842)</t>
  </si>
  <si>
    <t>P.3.843</t>
  </si>
  <si>
    <t>(33) ხეთაგუროვის ქუჩაზე მიჯნებიდან გაზსადენის გამოტანა და ახალ ქსელზე გადაერთება (P.3.843)</t>
  </si>
  <si>
    <t>(34) ხეთაგუროვის ქუჩაზე მიჯნებიდან გაზსადენის გამოტანა და ახალ ქსელზე გადაერთება (P.3.843)</t>
  </si>
  <si>
    <t>P.3.844</t>
  </si>
  <si>
    <t>(57) გურამიშვილის ქუჩაზე გაზსადენის და მრიცხველების გამოტანა კერძო საკუთრებიდან (P.3.844)</t>
  </si>
  <si>
    <t>(58) გურამიშვილის ქუჩაზე გაზსადენის და მრიცხველების გამოტანა კერძო საკუთრებიდან (P.3.844)</t>
  </si>
  <si>
    <t>P.3.845</t>
  </si>
  <si>
    <t>(75) კოსტავას ქუჩაზე  გაზსადენის და მრიცხველების გამოტანა კერძო საკუთრებიდან (P.3.845)</t>
  </si>
  <si>
    <t>(76) კოსტავას ქუჩაზე  გაზსადენის და მრიცხველების გამოტანა კერძო საკუთრებიდან (P.3.845)</t>
  </si>
  <si>
    <t>P.3.846</t>
  </si>
  <si>
    <t>(27) კოჯორის, მშვიდობის და გრიშაშვილის ქუჩებზე ქსელის გამოტანა კერძო ტერიტორიებიდან. P.3.846</t>
  </si>
  <si>
    <t>P.3.848</t>
  </si>
  <si>
    <t>(3) აღმაშენებლის ქუჩაზე მკვებავი გაზსადენის რეაბილიტაცია P.3.848</t>
  </si>
  <si>
    <t>(4) აღმაშენებლის ქუჩაზე მკვებავი გაზსადენის რეაბილიტაცია P.3.848</t>
  </si>
  <si>
    <t>P.3.849</t>
  </si>
  <si>
    <t>(15) ცხრა ძმის ქუჩაზე გაზსადენის რეაბილიტაცია (P.3.849)</t>
  </si>
  <si>
    <t>(16) ცხრა ძმის ქუჩაზე გაზსადენის რეაბილიტაცია (P.3.849)</t>
  </si>
  <si>
    <t>(2) კოდისწყაროს გგს-დან მინდვრებზე გამავალი დ100 მილიმეტრიანი კოროზირებული გაზსადენის ამოცვლა და გამდლისწყაროს მიმართულებით ქსელის გამსხვილება (P.3.853)</t>
  </si>
  <si>
    <t>P.3.875</t>
  </si>
  <si>
    <t>(49) ქ. კასპში ნინოშვილის ქუჩაზე საშუალო წნევის მიწისქვეშა გაზსადენის რეაბილიტაცია  (P.3.875)</t>
  </si>
  <si>
    <t>(50) ქ. კასპში ნინოშვილის ქუჩაზე საშუალო წნევის მიწისქვეშა გაზსადენის რეაბილიტაცია  (P.3.875)</t>
  </si>
  <si>
    <t>P.3.983</t>
  </si>
  <si>
    <t>(73) ქ.კასპში მდინარის კალაპოტის ცვლილების გამო მოქმედი გაზსადენის გადალაგება (P.3.983)</t>
  </si>
  <si>
    <t>(74) ქ.კასპში მდინარის კალაპოტის ცვლილების გამო მოქმედი გაზსადენის გადალაგება (P.3.983)</t>
  </si>
  <si>
    <t>P.3.58</t>
  </si>
  <si>
    <t>1.1.16. В муниципалитете Мцхета, в с. Церовани, с. Презети и с. Цилкани вынос сетей газопроводов и узлов учета с частных территорий. (P.3.58)</t>
  </si>
  <si>
    <t>გაზკონსტრაქტი</t>
  </si>
  <si>
    <t>(1) ქალაქი ვანი (D25-D80). გაზსადენის რეაბილიტაცია (P.6.648)</t>
  </si>
  <si>
    <t>ენერჯი სერვისი</t>
  </si>
  <si>
    <t>ინტერსერვისი SGG</t>
  </si>
  <si>
    <t>ინტერსერვისი SOG</t>
  </si>
  <si>
    <t>ენერჯი სერვისი SOG</t>
  </si>
  <si>
    <t>ენერჯი სერვისი SGG</t>
  </si>
  <si>
    <t>პროექტირება/მშენებლობა</t>
  </si>
  <si>
    <t>დაპროექტება</t>
  </si>
  <si>
    <t>მშენებლობა</t>
  </si>
  <si>
    <t>ბოლო ჩაბარება</t>
  </si>
  <si>
    <t>შუალედ. ჩაბარება</t>
  </si>
  <si>
    <t>ბოლო
ჩაბარება</t>
  </si>
  <si>
    <t>შუალედ.
ჩაბარება</t>
  </si>
  <si>
    <t>გეგმა 2025</t>
  </si>
  <si>
    <t>მათ შორის  ექსპ. მიღებ.</t>
  </si>
  <si>
    <t>სულ ჩაბარდა</t>
  </si>
  <si>
    <t>(2) კოდისწყაროს გგს დან მინდვრებზე გამავალი დ100 მილიმეტრიანი კოროზირებული გაზსადენის ამოცვლა და გამდლისწყაროს მიმართულებით ქსელის გამსხვილება (P.3.853)</t>
  </si>
  <si>
    <t>სულ
ჩაბარდა</t>
  </si>
  <si>
    <t>პროექტირება და მშენებლობა</t>
  </si>
  <si>
    <t>პროექტირება/
მშენებლობა</t>
  </si>
  <si>
    <t>ექსპ. მიღებ.</t>
  </si>
  <si>
    <t>ობიექტის
საპროგნოზო
ღირებულება</t>
  </si>
  <si>
    <t>(3) ბათუმი, 099-საუბნოზე მრიცხველების გამოტანა 250-აბონენტიდან (P.5.52)</t>
  </si>
  <si>
    <t>(5) ბათუმი, სოციალურ აბონენტებთან თერმოკორექტორის გარეშე არსებული მრიცხველების შეცვლა P.5.7 (1)</t>
  </si>
  <si>
    <t>ს. მუხაესტატედან ს. ქაქუთამდე მიწისქვეშა გაზსადენის რეაბილიტაციის საპროექტო სამუშაოები.</t>
  </si>
  <si>
    <t>ს. გვარადან ს. მუხაესტატემდე მიწისქვეშა გაზსადენის რეაბილიტაციის საპროექტო სამუშაოები.</t>
  </si>
  <si>
    <t>ს. გვარადან ს. მუხაესტატემდე მიწისქვეშა გაზსადენის რეაბილიტაციის სამშენებლო-სამონტაჟო სამუშაოები.</t>
  </si>
  <si>
    <t>ქ. ქობულეთში კერძო ტერიტორიებიდან ქსელის გამოტანის სამშენებლო-სარეაბილიტაციო სამუშაოები (I ეტაპი) P.5.16</t>
  </si>
  <si>
    <t>(16) გაზსადენის შეღებვა მარჯანიშვილის, თბილისის, ჭანტურიას, თავისუფლების, კოსტავას, მეგობრობის, ყაზბეგის, ჟორდანიას, გორგასლის, ნინოშვილის, გურამიშვილის, ზენაიშვილის, თამარ მეფის, მუსხელიშვილის, კუპრეიშვილის ქუჩებზე (P.4.531)</t>
  </si>
  <si>
    <t>(17) გაზსადენის შეღებვა სოფ. მაჩხვარეთში P.4.532</t>
  </si>
  <si>
    <t>(2) ლანჩხუთი, თამარ მეფის, ცინცაძის, კოსტავას და ვადაჭკორიას ქუჩებზე გამავალი ქსელის რეაბილიტაცია P.4.511</t>
  </si>
  <si>
    <t>(3) ოზურგეთის მკვებავი D=300 და D=500 მმ გაზსადენის რეაბილიტაცია P.4.60</t>
  </si>
  <si>
    <t>ხაბუმეს ადმ. ერთ. ს. მოიდანახეს, ეწერის უბნის, 17 ქუჩის ქსელის რეაბილ. პროექტის შედგენა.</t>
  </si>
  <si>
    <t>ხაბუმეს ადმ. ერთ. ს. მოიდანახეს, ეწერის უბნის, 17 ქუჩის ქსელის რეაბილ. სამშენებლო-სამონტაჟო სამუშაოები.</t>
  </si>
  <si>
    <t>რემონტი</t>
  </si>
  <si>
    <t>ლანჩხუთის ოფისში გათბობის სისტემის მოწყობის სამუშაოები</t>
  </si>
  <si>
    <t>ოზურგეთის ოფისში გათბობის სისტემის მოწყობის სამუშაოები</t>
  </si>
  <si>
    <t>ჩოხატაურის ოფისში გათბობის სისტემის მოწყობის სამუშაოები</t>
  </si>
  <si>
    <t>Реаб. Газопровода в тупике на ул. Гамсахурдиа (დაპროექტება-строительство) (Авария)</t>
  </si>
  <si>
    <t>ობიექტის
საბოლოო
ღირებულება</t>
  </si>
  <si>
    <t>სულ
ჩაბარდა
დღემდე</t>
  </si>
  <si>
    <t xml:space="preserve">ქალაქი,
მუნიციპალიტეტი </t>
  </si>
  <si>
    <t>მათ შორის
 ექსპ. მიღებ.</t>
  </si>
  <si>
    <t>კვანძები</t>
  </si>
  <si>
    <t>ექსპ.
მიღებ.</t>
  </si>
  <si>
    <t>(22) სოფ. არბოშიკი-#20 საუბნო მრიცხველიდან კოტაანი და მაჩხაანის მიმართულება გაზსადენის რეაბილიტაცია (P.2.542)</t>
  </si>
  <si>
    <t>(62) ქ. ყვარელი ზურაბ ჭავჭავაძის 57.06.53.330-დან 57.06.53.302-მდე მირიან მეფის ქუჩის მიწისქვეშა დ. წნევის გაზსადენის რეაბილიტაცია 57.06.53.022-დან 57.06.53.237-მდე ფარნავაზის ქუჩის მიწისქვეშა დაბალი წნევის გაზსადენის რეაბილიტაცია 57.06.53.249-დან 57.06.53.182-მდე P.2.115</t>
  </si>
  <si>
    <t>თეთრიწყარო</t>
  </si>
  <si>
    <t>მათ შორის
ექსპ. მიღებ.</t>
  </si>
  <si>
    <t>მათ შორის 
ექსპ. მიღებ.</t>
  </si>
  <si>
    <t>(21) სოფ. ცხრაწყაროსკენ მიმავალი დ-100 მმ-იანი საჰაერო გაზსადენის საყრდენების მოწყობა P.6.560</t>
  </si>
  <si>
    <t>(41) მერკვილაძის ქუჩის მიწისქვეშა დაბალი წნევის გაზსადენის რეაბილიტაცია P.6.29</t>
  </si>
  <si>
    <t>(44) ზესტაფონის მუნიციპალიტეტის, სოფ. მეორე სვირის ჯუღელების უბნის გაზსადენის რეაბილიტაციის საპროექტო სამუშაოები P.6.1121</t>
  </si>
  <si>
    <t>(45) ზესტაფონის მუნიციპალიტეტის, სოფ. მეორე სვირის ჯუღელების უბნის გაზსადენის რეაბილიტაცია P.6.1121</t>
  </si>
  <si>
    <t>(46) ელემენტების ქარხნის მიმდებარედ არსებული საჰაერო გაზსადენის საყრდენების რეაბილიტაციის საპროექტო სამუშაოები P.6.558</t>
  </si>
  <si>
    <t>(47) ელემენტების ქარხნის მიმდებარედ არსებული საჰაერო გაზსადენის საყრდენების რეაბილიტაცია P.6.558</t>
  </si>
  <si>
    <t>უხელშეკრულებოა - დაპროექტება</t>
  </si>
  <si>
    <t>უხელშეკრულებოა - მშენებლობა</t>
  </si>
  <si>
    <t>უხელშეკრულებოა - რემონტი</t>
  </si>
  <si>
    <t>(52) ამბროლაური სოფ. სადმელი მკვებავი გაზსადენის რეაბილიტაცია. P.6.742</t>
  </si>
  <si>
    <t>(53) ამბროლაური სოფ. სადმელი მკვებავი გაზსადენის რეაბილიტაცია. P.6.742</t>
  </si>
  <si>
    <t>ამბროლაური</t>
  </si>
  <si>
    <t>უხელშეკრულებო - დაპროექტება</t>
  </si>
  <si>
    <t>უხელშეკრულებო - მშენებლობა</t>
  </si>
  <si>
    <t>ხონი-მარტვილის მკვებავი გაზსადენის პროექტირება</t>
  </si>
  <si>
    <t>1.1.4. В г. Болниси реабилитация газопровода на улице Сулхан Саба. (P.2.140)</t>
  </si>
  <si>
    <t>1.1.2. В муниципалитете Болниси в посёлке  Казрети с корпусов, вынос счётчиков. (P.2.401) (проектирование и строительство)</t>
  </si>
  <si>
    <t>(26) სოფ. ხოფისის გაზიფიცირება (პროექტირება) P.2.1441</t>
  </si>
  <si>
    <t>(27) სოფ. ხოფისის გაზიფიცირება P.2.1441</t>
  </si>
  <si>
    <t>(24) აფხაზეთის ქუჩაზე მდებარე გაზსადენის რეაბილიტაცია (პროექტირება) P.2.1440</t>
  </si>
  <si>
    <t>(25) აფხაზეთის ქუჩაზე მდებარე გაზსადენის რეაბილიტაცია P.2.1440</t>
  </si>
  <si>
    <t>P.2.1440</t>
  </si>
  <si>
    <t>გაზკონსტრაქტი SOG</t>
  </si>
  <si>
    <t>ჯი პი + ჰაიდროკორპი</t>
  </si>
  <si>
    <t>ავარია ყოროლისწყალზე</t>
  </si>
  <si>
    <t>ჰაიდროკორპი</t>
  </si>
  <si>
    <t>ბორჯომის სერვის-ცენტრის ოფისის რემონტი</t>
  </si>
  <si>
    <t xml:space="preserve">დარჩა ჩასაბარებელი
</t>
  </si>
  <si>
    <t>2025 წლის
გეგმა</t>
  </si>
  <si>
    <t>საბოლოოა</t>
  </si>
  <si>
    <t>გორში, სუვოროვის 82-ში საშუალოდან დაბალ წნევაზე რედუცირების T-2 ტიპის კვანძი. (134) (P.3.723)</t>
  </si>
  <si>
    <t>გორში, ცხინვალის 21-ში საშუალოდან დაბალ წნევაზე რედუცირების T-1 ტიპის კვანძი. (135) (P.3.884)</t>
  </si>
  <si>
    <t>P.3.723</t>
  </si>
  <si>
    <t>P.3.884</t>
  </si>
  <si>
    <t>2025 წლის
ფაქტი</t>
  </si>
  <si>
    <t>ფაქტი 2025</t>
  </si>
  <si>
    <t>P.3.855 (მოიცავს P.3.805-ს და P.3.784)</t>
  </si>
  <si>
    <t>P.3.805 (შედის P.3.855-ში)</t>
  </si>
  <si>
    <t>P.3.784 (შედის P.3.855-ში)</t>
  </si>
  <si>
    <t>თებერვლის ჩაბარებები (კორპუსების მიერთებები)</t>
  </si>
  <si>
    <t>ლისი, წოდორეთი, მუხაწყაროს სათაო რედუცირების კვანძი. (145) (P.3.1126)</t>
  </si>
  <si>
    <t>P.3.1126</t>
  </si>
  <si>
    <t>ქ. რუსთავი თბილისის ქუჩა, საუბნო №17 საშუალოდან დაბალ წნევაზე რედუცირების T-2 ტიპის კვანძი. (107) (P.2.570)</t>
  </si>
  <si>
    <t>ქ. რუსთავი (ახალი სამგორი, რუსების უბანი საუბნო №47) საშუალოდან დაბალ წნევაზე რედუცირების T-2 ტიპის კვანძი. (123) (P.2.682)</t>
  </si>
  <si>
    <t>ქ. რუსთავი დუმბაძის ქუჩა საუბნო №4 საშუალოდან დაბალ წნევაზე რედუცირების T-2 ტიპის კვანძი. (127) (P.2.694)</t>
  </si>
  <si>
    <t>კორექტ. გეგმა</t>
  </si>
  <si>
    <t>შუალედური
ჩაბარებები
22-24 წწ.</t>
  </si>
  <si>
    <t>გეგმა 13 მარ</t>
  </si>
  <si>
    <t>ქანდა რომ დამთავრდეს დასჭირდება 500 000-ის დამატება</t>
  </si>
  <si>
    <t>კასპი სერვის-ცენტრის ოფისის რემონტი</t>
  </si>
  <si>
    <t>ოფისის რემონტი</t>
  </si>
  <si>
    <t>ახალი გეგმა
მარ-დეკ 2025</t>
  </si>
  <si>
    <t>ძველი გეგმა
მარ-დეკ 2025</t>
  </si>
  <si>
    <t>წეროვნის ინსტიტუტის დასახლება არსებული, ამორტიზირებული გაზსადენის კერძო საკუთრებიდან გამოტანა (I ჩიხში) (T-10) P.3.161</t>
  </si>
  <si>
    <t>წეროვნის ინსტიტუტის დასახლება არსებული, ამორტიზირებული გაზსადენის კერძო საკუთრებიდან გამოტანა (II ჩიხში) (T-11) P.3.161</t>
  </si>
  <si>
    <t>წეროვნის ინსტიტუტის დასახლება არსებული, ამორტიზირებული გაზსადენის კერძო საკუთრებიდან გამოტანა (III ჩიხში) (T-11) P.3.161</t>
  </si>
  <si>
    <t>მარტის ჩაბარებები (კორპუსების მიერთებები)</t>
  </si>
  <si>
    <t>საშუალოდან საშუალო წნევაზე რედუცირების ორხაზიანი კვანძი</t>
  </si>
  <si>
    <t>P.4.594</t>
  </si>
  <si>
    <t>31 ქარხნის დასახლება (29 დ კორპუსი) (T-12) (P.3.1321)</t>
  </si>
  <si>
    <t>P.3.1321</t>
  </si>
  <si>
    <t>ხოტევი - ამბროლაურის მონაკვეთის მშენებლობა (T-3) (P.6.140)</t>
  </si>
  <si>
    <t>ხოტევი - ამბროლაურის მონაკვეთის მშენებლობა (T-4) (P.6.140)</t>
  </si>
  <si>
    <t>მუხურა-ხოტევის მონაკვეთის მშენებლობა (T-1) P.6.144(1)</t>
  </si>
  <si>
    <t>მუხურა-ხოტევის მონაკვეთის მშენებლობა (T-2) P.6.144(1)</t>
  </si>
  <si>
    <t>P.3.1317</t>
  </si>
  <si>
    <t>მცხეთის მუნიც. ახალგორის გგს-ის მიმდ. ტერიტორია (T-5) P.3.1317</t>
  </si>
  <si>
    <t>დუშეთი, ქვეშეთი.  (T-5) P.3.1125</t>
  </si>
  <si>
    <t>P.3.1125</t>
  </si>
  <si>
    <t>აპრილის ჩაბარებები (კორპუსების მიერთებები)</t>
  </si>
  <si>
    <t>ქუთაისში, ი. ჭავჭავაძის გამზირი №55. (T-1) P.6.973</t>
  </si>
  <si>
    <t>P.6.973</t>
  </si>
  <si>
    <t>P.6.974</t>
  </si>
  <si>
    <t>ქუთაისი, სარბევი (T-1) P.6.974</t>
  </si>
  <si>
    <t>ქუთაისი, ქვედა და ზედა აგარაკები (T-1) P.6.963</t>
  </si>
  <si>
    <t>P.6.963</t>
  </si>
  <si>
    <t>ქუთაისი, ხარებავას ქ. №2 (T-1) P.6.961</t>
  </si>
  <si>
    <t>P.6.961</t>
  </si>
  <si>
    <t>ქუთაისი, გელათის ქ. №81 (T-1) P.6.1024</t>
  </si>
  <si>
    <t>P.6.1024</t>
  </si>
  <si>
    <t>ქუთაისი, კუპრაძის ქ. (T-1) P.6.1037</t>
  </si>
  <si>
    <t>P.6.1037</t>
  </si>
  <si>
    <t>თერჯოლაში №53 საუბნო (T-1) P.6.764</t>
  </si>
  <si>
    <t>P.6.764</t>
  </si>
  <si>
    <t>თერჯოლაში №20 საუბნო (T-1) P.6.763</t>
  </si>
  <si>
    <t>P.6.763</t>
  </si>
  <si>
    <t>თერჯოლაში №22 საუბნო (T-1) P.6.762</t>
  </si>
  <si>
    <t>P.6.762</t>
  </si>
  <si>
    <t>სულ
ჩაბარდა
31.12.2024
ჩათვლით</t>
  </si>
  <si>
    <t>მაისის ჩაბარებები (კორპუსების მიერთებები)</t>
  </si>
  <si>
    <t>ქ. ხაშური №2 საუბო T-1 ტიპის კვანძი (P.3.513)</t>
  </si>
  <si>
    <t>ქ. ხაშური გაგარინი-გორის ქუჩების კვეთა, მარჯვენა მხარე T-1 ტიპის კვანძი (P.3.1091)</t>
  </si>
  <si>
    <t>სართიჭალა, მახარაძის ქუჩა T-2 ტიპის კვანძი (P.2.1389)</t>
  </si>
  <si>
    <t>სართიჭალა, ცხაკაიას ქუჩა T-2 ტიპის კვანძი (P.2.1381)</t>
  </si>
  <si>
    <t>ლაგოდეხში ს. ჩადუნიანის ავარიული რედუცირების კვანძის შეცვლა (ყოფილი შპს „ჩირაღდანი“ (T-1)</t>
  </si>
  <si>
    <t>ქ. გორი, ს. ორთაშენის გგს მიმდებარე ტერიტორია (T-7) P.3.721</t>
  </si>
  <si>
    <t>P.3.721</t>
  </si>
  <si>
    <t>P.3.1091</t>
  </si>
  <si>
    <t>P.2.1389</t>
  </si>
  <si>
    <t>P.2.1381</t>
  </si>
  <si>
    <t>P.3.513</t>
  </si>
  <si>
    <t>ქ. რუსთავში, საუბნო№11, რჩეულიშვილის ქუჩა (T-2) P.2.681</t>
  </si>
  <si>
    <t>P.2.681</t>
  </si>
  <si>
    <t>ქ. რუსთავში, საუბნო№30, ბალანჩივაძის ქუჩა (T-2) P.2.697</t>
  </si>
  <si>
    <t>P.2.697</t>
  </si>
  <si>
    <t>ქ. გორი ნაჭარმაგევის გგს-ის მიმდებარე ტერიტორია (T-7) ტიპის კვანძი P.3.1129</t>
  </si>
  <si>
    <t>P.3.1129</t>
  </si>
  <si>
    <t>ივნისის ჩაბარებები (კორპუსების მიერთებები II)</t>
  </si>
  <si>
    <t>ივნისის ჩაბარებები (კორპუსების მიერთებები I)</t>
  </si>
  <si>
    <t>ქ. ქუთაისის მიმდებარედ (ს. ქვიტირი) T-9 ტიპის კვანძი (P.6.1070)</t>
  </si>
  <si>
    <t>P.6.1070</t>
  </si>
  <si>
    <t>ქობულეთი, ს. გვარა გრს-ის მიმდებარედ T-7 ტიპის კვანძი (P.5.561)</t>
  </si>
  <si>
    <t>P.5.561</t>
  </si>
  <si>
    <t>თერჯოლის მუნიციპ. ს. ღვანკითი T-8 ტიპის კვანძი (P.6.1071)</t>
  </si>
  <si>
    <t>P.6.1071</t>
  </si>
  <si>
    <t>სოფ. ბებნისის გაზსადენის რეაბილიტაცია, (T-11 ტიპის კვანძი) ლევან კლიმჩუკის ჩიხი (P.3.5)</t>
  </si>
  <si>
    <t>სოფ. ბებნისის გაზსადენის რეაბილიტაცია, (T-11 ტიპის კვანძი) მამუკა წიქარიშვილის ჩიხი (P.3.5)</t>
  </si>
  <si>
    <t>სოფ. ბებნისის გაზსადენის რეაბილიტაცია, (T-10 ტიპის კვანძი) გიორგი არავიაშვილის ჩიხი (P.3.5)</t>
  </si>
  <si>
    <t>მე-19-ე აღრიცხვის კვანძზე არსებული სოფლების (სანებელი, ვედრება, ქობესაანთ უბანი) გაზსადენის შეცვლა (T-11 ტიპის კვანძი) (P.3.501)</t>
  </si>
  <si>
    <t>აგვისტოს ჩაბარებები (კორპუსების მიერთებები)</t>
  </si>
  <si>
    <t>(36) ჭიათურის საკონტროლო ორხაზიანი T-7 ტიპის კვანძი (P.6.1072)</t>
  </si>
  <si>
    <t>P.6.1072</t>
  </si>
  <si>
    <t>(19) ოსტროვსკის ქ.-ის დასაწყისი არხის პირიდან T-1 ტიპის რედუცირების კვანძი (P.3.1099)</t>
  </si>
  <si>
    <t>P.3.1099</t>
  </si>
  <si>
    <t>(20) თევდორე მღვდლის ქუჩა (ბინებთან, ძველ კარადასთან) რედუცირების T-1 ტიპის კვანძი (P.3.1100)</t>
  </si>
  <si>
    <t>P.3.1100</t>
  </si>
  <si>
    <t>P.3.980</t>
  </si>
  <si>
    <t>(16) საშუალოდან დაბალზე გადამყვანი კვანძის შეცვლა, შუშის ქარხნის დასახლებაში შესასვლელი მე-5 კვანძი რედუცირების T-2 ტიპის კვანძი (P.3.980)</t>
  </si>
  <si>
    <t>P.3.1092</t>
  </si>
  <si>
    <t>(18) დაბა სურამში რუსიას ქ. (გ.რ.პ.-ს შენობასთან) T-2 ტიპის რედუცირების კვანძი (P.3.1092)</t>
  </si>
  <si>
    <t>სექტემბრის ჩაბარებები (კორპუსების მიერთებები)</t>
  </si>
  <si>
    <t>`9-5</t>
  </si>
  <si>
    <t>`67-69</t>
  </si>
  <si>
    <t>`99-1</t>
  </si>
  <si>
    <t>`70-73</t>
  </si>
  <si>
    <t>`9-2</t>
  </si>
  <si>
    <t>`63-66</t>
  </si>
  <si>
    <t>ქ.ქუთაისი ჰერმან გმაირეის ქ. №4 რედუცირების კვანძი. (სარბევის კვანძი) (T-8)</t>
  </si>
  <si>
    <t>P.6.1069</t>
  </si>
  <si>
    <t>ქუთაისში №43 და №77 საუბნოებზე ყაუხჩიშვილის, სარაჯიშვილის, ჩეჩელაშვილის, გალაევი-ნიჟარაძის, ხანძთელის, ჭიათურის და ავალიანის ქუჩებზე გაზსადენის ჩანაცვლების მშენებლობა.</t>
  </si>
  <si>
    <t>ქუთაისში №43 და №77 საუბნოებზე ყაუხჩიშვილის, სარაჯიშვილის, ჩეჩელაშვილის, გალაევი-ნიჟარაძის, ხანძთელის, ჭიათურის და ავალიანის ქუჩებზე გაზსადენის ჩანაცვლების პროექტირება.</t>
  </si>
  <si>
    <t>P.6.897</t>
  </si>
  <si>
    <t>დარჩა
ჩასაბარებელი</t>
  </si>
  <si>
    <t>(30) მუხრანში საკონტროლო აღრიცხვა-რედუცირების კვანძის შეცვლა (P.3.1127)</t>
  </si>
  <si>
    <t>P.3.1127</t>
  </si>
  <si>
    <t>(27) საშუალოდან დაბალზე გადამყვანი კვანძის (T-1) შეცვლა, დაბა სურამი, აღმაშენებლის ქ. (ჩუმათელეთის მიმართ) P.3.1116</t>
  </si>
  <si>
    <t>P.3.1116</t>
  </si>
  <si>
    <t>P.3.1093</t>
  </si>
  <si>
    <t>(14) საშუალოდან დაბალზე გადამყვანი კვანძის (T-1) შეცვლა, ხაშური ჭალისუბნის ბინები (P.3.1093)</t>
  </si>
  <si>
    <t>(245) საშუალოდან დაბალზე გადამყვანი კვანძის (T-11) შეცვლა, ქ. ხაშური, ფარნავაზის და ბექაურის ქუჩის კვეთაზე (P.3.1049)</t>
  </si>
  <si>
    <t>P.3.1049</t>
  </si>
  <si>
    <t>P.6.915</t>
  </si>
  <si>
    <t>მარტვილის მუნიც. დიდი ჭყონის თემის სოფ. ლედგებეს გაზმომარაგების პროექტის შედგენა.</t>
  </si>
  <si>
    <t>მარტვილის მუნიც. დიდი ჭყონის თემის სოფ. მეორე ნამიკოლაოს გაზმომარაგების პროექტის შედგენა.</t>
  </si>
  <si>
    <t>P.6.1182</t>
  </si>
  <si>
    <t>ფაქტი
2025</t>
  </si>
  <si>
    <t>(15) მცხეთის გმს-თან საკონტროლო რედუცირების კვანძი (T-6) P.3.1320</t>
  </si>
  <si>
    <t>P.3.1320</t>
  </si>
  <si>
    <t>ნოემბრის ჩაბარებები (კორპუსების მიერთებები)</t>
  </si>
  <si>
    <t>ქ. რუსთავში, ვახუშტის ქუჩაზე (21-ე საუბნო) მე-4 გმპ-ის რედუცირების კვანძით შეცვლა P.2.571</t>
  </si>
  <si>
    <t>P.2.571</t>
  </si>
  <si>
    <t>(1) ქ. მარტვილში მშვიდობის ქუჩაზე მდებარე გაზსადენის ჩანაცვლება-გამსხვილება (პროექტირება) (P.6.1184)</t>
  </si>
  <si>
    <t>P.6.1184</t>
  </si>
  <si>
    <t>კორექტირებული გეგმა</t>
  </si>
  <si>
    <t>დარჩა ჩასაბარებელი</t>
  </si>
  <si>
    <t>ნოემბერი</t>
  </si>
  <si>
    <t>დეკემბერი</t>
  </si>
  <si>
    <t>ჯამი ფაქტი+პროგნოზი</t>
  </si>
  <si>
    <t>ნოემბრამდე+დარჩენილი 2 თვე</t>
  </si>
  <si>
    <t>იანვარი</t>
  </si>
  <si>
    <t>თებერვალი</t>
  </si>
  <si>
    <r>
      <t xml:space="preserve">2025 წლის
გეგმა
</t>
    </r>
    <r>
      <rPr>
        <b/>
        <sz val="9"/>
        <color theme="1"/>
        <rFont val="Calibri"/>
        <family val="2"/>
      </rPr>
      <t>განახლებული</t>
    </r>
  </si>
  <si>
    <t>გეგმის
ზრდა</t>
  </si>
  <si>
    <t>გეგმიდან დარჩა ჩასაბარებელი</t>
  </si>
  <si>
    <t>(287) მცხეთა, ქსოვრისი, თორნიკე ერისთავის ქ. T-12 ტიპის კვანძი (P.3.949)</t>
  </si>
  <si>
    <t>(287) მცხეთა, ქსოვრისი, ვაჟა ფშაველას ქ. T-11 ტიპის კვანძი (P.3.949)</t>
  </si>
  <si>
    <t>(287) მცხეთა, ქსოვრისი საბავშვო ბაღის მიმდებარედ T-10 ტიპის კვანძი (P.3.949)</t>
  </si>
  <si>
    <t>(287) მცხეთა, ქსოვრისი მერაბ კოსტავას ქ. T-10 ტიპის კვანძი (P.3.949)</t>
  </si>
  <si>
    <t>(287) მცხეთა, ქსოვრისი ირაკლი მორბედაძის ჩიხი 1, T-10 ტიპის კვანძი (P.3.949)</t>
  </si>
  <si>
    <t>(287) მცხეთა, ქსოვრისი წმინდა მარინეს ქ. T-10 ტიპის კვანძი (P.3.949)</t>
  </si>
  <si>
    <t>გაგზავნილი ციფრები (6 ნოე 2025)</t>
  </si>
  <si>
    <t>(42) დუშეთში, სოფ. ციხისძირი გგს-თან T-5 ტიპის კვანძი (P.3.612)</t>
  </si>
  <si>
    <t>P.3.612</t>
  </si>
  <si>
    <t>P.3.1130</t>
  </si>
  <si>
    <t>(37) დუშეთში, ქუბრიაანთკარი გგს-თან T-7 ტიპის კვანძი (P.3.1130)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</si>
</sst>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0_-;\-* #,##0.00_-;_-* &quot;-&quot;??_-;_-@_-"/>
    <numFmt numFmtId="165" formatCode="_-* #,##0.00\ _₾_-;\-* #,##0.00\ _₾_-;_-* &quot;-&quot;??\ _₾_-;_-@_-"/>
    <numFmt numFmtId="166" formatCode="_-* #,##0\ _₾_-;\-* #,##0\ _₾_-;_-* &quot;-&quot;??\ _₾_-;_-@_-"/>
    <numFmt numFmtId="167" formatCode="_-* #,##0_-;\-* #,##0_-;_-* &quot;-&quot;??_-;_-@_-"/>
    <numFmt numFmtId="168" formatCode="_-* #,##0\ &quot;Lari&quot;_-;\-* #,##0\ &quot;Lari&quot;_-;_-* &quot;-&quot;\ &quot;Lari&quot;_-;_-@_-"/>
    <numFmt numFmtId="169" formatCode="_(* #,##0_);_(* \(#,##0\);_(* &quot;-&quot;??_);_(@_)"/>
  </numFmts>
  <fonts count="42">
    <font>
      <sz val="11"/>
      <color theme="1"/>
      <name val="Calibri"/>
      <family val="2"/>
      <scheme val="minor"/>
    </font>
    <font>
      <sz val="11"/>
      <color theme="1"/>
      <name val="Calibri"/>
      <family val="2"/>
      <charset val="1"/>
      <scheme val="minor"/>
    </font>
    <font>
      <sz val="11"/>
      <color theme="1"/>
      <name val="Calibri"/>
      <family val="2"/>
      <charset val="1"/>
      <scheme val="minor"/>
    </font>
    <font>
      <sz val="11"/>
      <color theme="1"/>
      <name val="Calibri"/>
      <family val="2"/>
      <scheme val="minor"/>
    </font>
    <font>
      <sz val="11"/>
      <color theme="1"/>
      <name val="Calibri"/>
      <family val="2"/>
    </font>
    <font>
      <sz val="11"/>
      <color rgb="FFFF0000"/>
      <name val="Calibri"/>
      <family val="2"/>
    </font>
    <font>
      <b/>
      <sz val="11"/>
      <color theme="1"/>
      <name val="Calibri"/>
      <family val="2"/>
    </font>
    <font>
      <b/>
      <sz val="12"/>
      <color theme="1"/>
      <name val="Calibri"/>
      <family val="2"/>
    </font>
    <font>
      <b/>
      <sz val="14"/>
      <color theme="1"/>
      <name val="Calibri"/>
      <family val="2"/>
    </font>
    <font>
      <b/>
      <sz val="18"/>
      <color theme="1"/>
      <name val="Calibri"/>
      <family val="2"/>
    </font>
    <font>
      <b/>
      <sz val="16"/>
      <color theme="1"/>
      <name val="Calibri"/>
      <family val="2"/>
    </font>
    <font>
      <sz val="11"/>
      <name val="Calibri"/>
      <family val="2"/>
    </font>
    <font>
      <b/>
      <sz val="11"/>
      <color theme="1"/>
      <name val="Calibri"/>
      <family val="2"/>
      <scheme val="minor"/>
    </font>
    <font>
      <b/>
      <sz val="11"/>
      <name val="Calibri"/>
      <family val="2"/>
    </font>
    <font>
      <sz val="10"/>
      <color rgb="FF363636"/>
      <name val="Sylfaen"/>
      <family val="2"/>
    </font>
    <font>
      <sz val="10"/>
      <name val="Calibri"/>
      <family val="2"/>
      <charset val="204"/>
    </font>
    <font>
      <sz val="10"/>
      <color theme="1"/>
      <name val="Calibri"/>
      <family val="2"/>
      <scheme val="minor"/>
    </font>
    <font>
      <b/>
      <sz val="9"/>
      <color indexed="81"/>
      <name val="Tahoma"/>
      <family val="2"/>
    </font>
    <font>
      <sz val="9"/>
      <color indexed="81"/>
      <name val="Tahoma"/>
      <family val="2"/>
    </font>
    <font>
      <b/>
      <sz val="12"/>
      <color rgb="FF002060"/>
      <name val="Calibri"/>
      <family val="2"/>
      <charset val="204"/>
    </font>
    <font>
      <b/>
      <sz val="10"/>
      <color indexed="81"/>
      <name val="Tahoma"/>
      <family val="2"/>
      <charset val="204"/>
    </font>
    <font>
      <sz val="10"/>
      <color indexed="81"/>
      <name val="Tahoma"/>
      <family val="2"/>
      <charset val="204"/>
    </font>
    <font>
      <b/>
      <sz val="10"/>
      <color indexed="81"/>
      <name val="Tahoma"/>
      <family val="2"/>
    </font>
    <font>
      <sz val="10"/>
      <color indexed="81"/>
      <name val="Tahoma"/>
      <family val="2"/>
    </font>
    <font>
      <b/>
      <sz val="12"/>
      <color rgb="FFFF0000"/>
      <name val="Calibri"/>
      <family val="2"/>
    </font>
    <font>
      <b/>
      <sz val="11"/>
      <color rgb="FF0070C0"/>
      <name val="Calibri"/>
      <family val="2"/>
    </font>
    <font>
      <b/>
      <sz val="11"/>
      <color rgb="FFFF0000"/>
      <name val="Calibri"/>
      <family val="2"/>
    </font>
    <font>
      <sz val="11"/>
      <name val="Calibri"/>
      <family val="2"/>
      <scheme val="minor"/>
    </font>
    <font>
      <sz val="11"/>
      <color rgb="FF000000"/>
      <name val="BPG Arial"/>
      <family val="2"/>
    </font>
    <font>
      <sz val="11"/>
      <name val="Calibri"/>
      <family val="2"/>
      <charset val="204"/>
    </font>
    <font>
      <sz val="11"/>
      <color theme="1"/>
      <name val="Calibri"/>
      <family val="2"/>
      <charset val="204"/>
      <scheme val="minor"/>
    </font>
    <font>
      <sz val="12"/>
      <color theme="1"/>
      <name val="Calibri"/>
      <family val="2"/>
    </font>
    <font>
      <b/>
      <sz val="11"/>
      <color rgb="FFFF0000"/>
      <name val="Calibri"/>
      <family val="2"/>
      <scheme val="minor"/>
    </font>
    <font>
      <sz val="8"/>
      <name val="Calibri"/>
      <family val="2"/>
      <scheme val="minor"/>
    </font>
    <font>
      <b/>
      <sz val="10"/>
      <color theme="1"/>
      <name val="Calibri"/>
      <family val="2"/>
      <scheme val="minor"/>
    </font>
    <font>
      <sz val="10"/>
      <name val="Arial"/>
      <family val="2"/>
    </font>
    <font>
      <b/>
      <sz val="11"/>
      <color rgb="FFC00000"/>
      <name val="Calibri"/>
      <family val="2"/>
      <scheme val="minor"/>
    </font>
    <font>
      <b/>
      <sz val="14"/>
      <color theme="1"/>
      <name val="Calibri"/>
      <family val="2"/>
      <scheme val="minor"/>
    </font>
    <font>
      <sz val="9"/>
      <color indexed="81"/>
      <name val="Tahoma"/>
      <charset val="1"/>
    </font>
    <font>
      <b/>
      <sz val="9"/>
      <color theme="1"/>
      <name val="Calibri"/>
      <family val="2"/>
    </font>
    <font>
      <b/>
      <sz val="9"/>
      <color indexed="81"/>
      <name val="Tahoma"/>
      <charset val="1"/>
    </font>
    <font>
      <b/>
      <sz val="11"/>
      <color theme="8" tint="-0.249977111117893"/>
      <name val="Calibri"/>
      <family val="2"/>
      <scheme val="minor"/>
    </font>
  </fonts>
  <fills count="24">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rgb="FFE4D2F2"/>
        <bgColor indexed="64"/>
      </patternFill>
    </fill>
    <fill>
      <patternFill patternType="solid">
        <fgColor rgb="FFB381D9"/>
        <bgColor indexed="64"/>
      </patternFill>
    </fill>
    <fill>
      <patternFill patternType="solid">
        <fgColor theme="0" tint="-0.34998626667073579"/>
        <bgColor indexed="64"/>
      </patternFill>
    </fill>
  </fills>
  <borders count="70">
    <border>
      <left/>
      <right/>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thin">
        <color indexed="64"/>
      </top>
      <bottom/>
      <diagonal/>
    </border>
    <border>
      <left/>
      <right style="medium">
        <color indexed="64"/>
      </right>
      <top style="medium">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style="medium">
        <color indexed="64"/>
      </left>
      <right/>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style="thin">
        <color indexed="64"/>
      </top>
      <bottom/>
      <diagonal/>
    </border>
    <border>
      <left/>
      <right style="thin">
        <color rgb="FFDCDCDC"/>
      </right>
      <top style="thin">
        <color rgb="FFDCDCDC"/>
      </top>
      <bottom style="thin">
        <color rgb="FFDCDCDC"/>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bottom style="thin">
        <color indexed="64"/>
      </bottom>
      <diagonal/>
    </border>
    <border>
      <left style="thin">
        <color indexed="64"/>
      </left>
      <right/>
      <top style="medium">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1">
    <xf numFmtId="0" fontId="0" fillId="0" borderId="0"/>
    <xf numFmtId="165" fontId="3" fillId="0" borderId="0" applyFont="0" applyFill="0" applyBorder="0" applyAlignment="0" applyProtection="0"/>
    <xf numFmtId="164" fontId="3" fillId="0" borderId="0" applyFont="0" applyFill="0" applyBorder="0" applyAlignment="0" applyProtection="0"/>
    <xf numFmtId="0" fontId="3" fillId="0" borderId="0"/>
    <xf numFmtId="0" fontId="2" fillId="0" borderId="0"/>
    <xf numFmtId="0" fontId="1" fillId="0" borderId="0"/>
    <xf numFmtId="43" fontId="3" fillId="0" borderId="0" applyFont="0" applyFill="0" applyBorder="0" applyAlignment="0" applyProtection="0"/>
    <xf numFmtId="165" fontId="3" fillId="0" borderId="0" applyFont="0" applyFill="0" applyBorder="0" applyAlignment="0" applyProtection="0"/>
    <xf numFmtId="0" fontId="12" fillId="0" borderId="0">
      <alignment horizontal="center" vertical="center" wrapText="1"/>
    </xf>
    <xf numFmtId="0" fontId="35" fillId="0" borderId="0"/>
    <xf numFmtId="165" fontId="1" fillId="0" borderId="0" applyFont="0" applyFill="0" applyBorder="0" applyAlignment="0" applyProtection="0"/>
  </cellStyleXfs>
  <cellXfs count="598">
    <xf numFmtId="0" fontId="0" fillId="0" borderId="0" xfId="0"/>
    <xf numFmtId="165" fontId="5" fillId="0" borderId="0" xfId="1" applyFont="1" applyFill="1" applyAlignment="1">
      <alignment vertical="top"/>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6" fillId="0" borderId="28" xfId="0" applyFont="1" applyBorder="1" applyAlignment="1">
      <alignment horizontal="center" vertical="center"/>
    </xf>
    <xf numFmtId="0" fontId="6" fillId="0" borderId="31" xfId="0" applyFont="1" applyBorder="1" applyAlignment="1">
      <alignment horizontal="center" vertical="center"/>
    </xf>
    <xf numFmtId="0" fontId="4" fillId="0" borderId="33" xfId="0" applyFont="1" applyBorder="1" applyAlignment="1">
      <alignment horizontal="left" vertical="center"/>
    </xf>
    <xf numFmtId="166" fontId="4" fillId="0" borderId="33" xfId="1" applyNumberFormat="1" applyFont="1" applyFill="1" applyBorder="1" applyAlignment="1">
      <alignment vertical="top"/>
    </xf>
    <xf numFmtId="166" fontId="11" fillId="0" borderId="33" xfId="1" applyNumberFormat="1" applyFont="1" applyFill="1" applyBorder="1" applyAlignment="1">
      <alignment vertical="top"/>
    </xf>
    <xf numFmtId="166" fontId="4" fillId="0" borderId="33" xfId="1" applyNumberFormat="1" applyFont="1" applyBorder="1" applyAlignment="1">
      <alignment horizontal="center" vertical="center"/>
    </xf>
    <xf numFmtId="0" fontId="4" fillId="0" borderId="33" xfId="0" applyFont="1" applyBorder="1" applyAlignment="1">
      <alignment vertical="top"/>
    </xf>
    <xf numFmtId="166" fontId="4" fillId="0" borderId="33" xfId="1" applyNumberFormat="1" applyFont="1" applyFill="1" applyBorder="1" applyAlignment="1">
      <alignment horizontal="center" vertical="center"/>
    </xf>
    <xf numFmtId="0" fontId="4" fillId="0" borderId="0" xfId="0" applyFont="1" applyAlignment="1">
      <alignment vertical="top"/>
    </xf>
    <xf numFmtId="0" fontId="4" fillId="0" borderId="0" xfId="0" applyFont="1"/>
    <xf numFmtId="0" fontId="4" fillId="0" borderId="33" xfId="0" applyFont="1" applyBorder="1" applyAlignment="1">
      <alignment horizontal="center" vertical="center"/>
    </xf>
    <xf numFmtId="0" fontId="7" fillId="0" borderId="0" xfId="0" applyFont="1"/>
    <xf numFmtId="167" fontId="4" fillId="0" borderId="0" xfId="2" applyNumberFormat="1" applyFont="1"/>
    <xf numFmtId="167" fontId="7" fillId="0" borderId="37" xfId="2" applyNumberFormat="1" applyFont="1" applyBorder="1"/>
    <xf numFmtId="167" fontId="7" fillId="0" borderId="2" xfId="2" applyNumberFormat="1" applyFont="1" applyBorder="1"/>
    <xf numFmtId="167" fontId="7" fillId="0" borderId="3" xfId="2" applyNumberFormat="1" applyFont="1" applyBorder="1"/>
    <xf numFmtId="0" fontId="4" fillId="2" borderId="0" xfId="0" applyFont="1" applyFill="1" applyAlignment="1">
      <alignment horizontal="center"/>
    </xf>
    <xf numFmtId="0" fontId="4" fillId="2" borderId="0" xfId="0" applyFont="1" applyFill="1"/>
    <xf numFmtId="167" fontId="4" fillId="3" borderId="38" xfId="2" applyNumberFormat="1" applyFont="1" applyFill="1" applyBorder="1"/>
    <xf numFmtId="0" fontId="4" fillId="3" borderId="38" xfId="0" applyFont="1" applyFill="1" applyBorder="1"/>
    <xf numFmtId="0" fontId="4" fillId="0" borderId="33" xfId="0" applyFont="1" applyBorder="1" applyAlignment="1">
      <alignment horizontal="center"/>
    </xf>
    <xf numFmtId="0" fontId="4" fillId="0" borderId="33" xfId="0" applyFont="1" applyBorder="1"/>
    <xf numFmtId="167" fontId="4" fillId="0" borderId="33" xfId="2" applyNumberFormat="1" applyFont="1" applyFill="1" applyBorder="1"/>
    <xf numFmtId="167" fontId="4" fillId="0" borderId="33" xfId="0" applyNumberFormat="1" applyFont="1" applyBorder="1"/>
    <xf numFmtId="0" fontId="0" fillId="0" borderId="33" xfId="0" applyBorder="1"/>
    <xf numFmtId="166" fontId="0" fillId="0" borderId="33" xfId="1" applyNumberFormat="1" applyFont="1" applyBorder="1"/>
    <xf numFmtId="166" fontId="0" fillId="0" borderId="20" xfId="1" applyNumberFormat="1" applyFont="1" applyBorder="1"/>
    <xf numFmtId="0" fontId="4" fillId="4" borderId="0" xfId="0" applyFont="1" applyFill="1" applyAlignment="1">
      <alignment horizontal="center" vertical="center"/>
    </xf>
    <xf numFmtId="0" fontId="11" fillId="0" borderId="0" xfId="0" applyFont="1" applyAlignment="1">
      <alignment horizontal="center" vertical="center"/>
    </xf>
    <xf numFmtId="0" fontId="7" fillId="0" borderId="0" xfId="0" applyFont="1" applyAlignment="1">
      <alignment horizontal="center" vertical="center"/>
    </xf>
    <xf numFmtId="0" fontId="4" fillId="0" borderId="0" xfId="0" applyFont="1" applyAlignment="1">
      <alignment horizontal="center" vertical="center"/>
    </xf>
    <xf numFmtId="166" fontId="4" fillId="0" borderId="0" xfId="0" applyNumberFormat="1" applyFont="1" applyAlignment="1">
      <alignment horizontal="center" vertical="center"/>
    </xf>
    <xf numFmtId="166" fontId="4" fillId="4" borderId="0" xfId="0" applyNumberFormat="1" applyFont="1" applyFill="1" applyAlignment="1">
      <alignment horizontal="center" vertical="center"/>
    </xf>
    <xf numFmtId="166" fontId="4" fillId="0" borderId="0" xfId="1" applyNumberFormat="1" applyFont="1" applyAlignment="1">
      <alignment horizontal="center" vertical="center"/>
    </xf>
    <xf numFmtId="166" fontId="4" fillId="4" borderId="0" xfId="1" applyNumberFormat="1" applyFont="1" applyFill="1" applyAlignment="1">
      <alignment horizontal="center" vertical="center"/>
    </xf>
    <xf numFmtId="166" fontId="7" fillId="0" borderId="2" xfId="1" applyNumberFormat="1" applyFont="1" applyBorder="1" applyAlignment="1">
      <alignment horizontal="center" vertical="center"/>
    </xf>
    <xf numFmtId="166" fontId="4" fillId="3" borderId="38" xfId="1" applyNumberFormat="1" applyFont="1" applyFill="1" applyBorder="1" applyAlignment="1">
      <alignment horizontal="center" vertical="center"/>
    </xf>
    <xf numFmtId="0" fontId="11" fillId="0" borderId="33" xfId="0" applyFont="1" applyBorder="1" applyAlignment="1">
      <alignment horizontal="center" vertical="center"/>
    </xf>
    <xf numFmtId="166" fontId="11" fillId="0" borderId="33" xfId="1" applyNumberFormat="1" applyFont="1" applyFill="1" applyBorder="1" applyAlignment="1">
      <alignment horizontal="center" vertical="center"/>
    </xf>
    <xf numFmtId="0" fontId="11" fillId="4" borderId="33" xfId="0" applyFont="1" applyFill="1" applyBorder="1" applyAlignment="1">
      <alignment horizontal="center" vertical="center"/>
    </xf>
    <xf numFmtId="166" fontId="4" fillId="4" borderId="33" xfId="1" applyNumberFormat="1" applyFont="1" applyFill="1" applyBorder="1" applyAlignment="1">
      <alignment horizontal="center" vertical="center"/>
    </xf>
    <xf numFmtId="166" fontId="11" fillId="4" borderId="33" xfId="1" applyNumberFormat="1" applyFont="1" applyFill="1" applyBorder="1" applyAlignment="1">
      <alignment horizontal="center" vertical="center"/>
    </xf>
    <xf numFmtId="0" fontId="4" fillId="4" borderId="33" xfId="0" applyFont="1" applyFill="1" applyBorder="1" applyAlignment="1">
      <alignment horizontal="left" vertical="center"/>
    </xf>
    <xf numFmtId="166" fontId="7" fillId="0" borderId="2" xfId="1" applyNumberFormat="1" applyFont="1" applyBorder="1" applyAlignment="1"/>
    <xf numFmtId="0" fontId="4" fillId="5" borderId="0" xfId="0" applyFont="1" applyFill="1"/>
    <xf numFmtId="166" fontId="4" fillId="3" borderId="38" xfId="1" applyNumberFormat="1" applyFont="1" applyFill="1" applyBorder="1"/>
    <xf numFmtId="168" fontId="15" fillId="4" borderId="40" xfId="0" applyNumberFormat="1" applyFont="1" applyFill="1" applyBorder="1" applyAlignment="1" applyProtection="1">
      <alignment vertical="center"/>
      <protection locked="0"/>
    </xf>
    <xf numFmtId="166" fontId="4" fillId="4" borderId="33" xfId="1" applyNumberFormat="1" applyFont="1" applyFill="1" applyBorder="1"/>
    <xf numFmtId="0" fontId="15" fillId="4" borderId="33" xfId="0" applyFont="1" applyFill="1" applyBorder="1" applyAlignment="1" applyProtection="1">
      <alignment vertical="center"/>
      <protection locked="0"/>
    </xf>
    <xf numFmtId="168" fontId="15" fillId="4" borderId="33" xfId="0" applyNumberFormat="1" applyFont="1" applyFill="1" applyBorder="1" applyAlignment="1" applyProtection="1">
      <alignment vertical="center"/>
      <protection locked="0"/>
    </xf>
    <xf numFmtId="166" fontId="4" fillId="5" borderId="33" xfId="1" applyNumberFormat="1" applyFont="1" applyFill="1" applyBorder="1"/>
    <xf numFmtId="168" fontId="15" fillId="4" borderId="42" xfId="0" applyNumberFormat="1" applyFont="1" applyFill="1" applyBorder="1" applyAlignment="1" applyProtection="1">
      <alignment vertical="center"/>
      <protection locked="0"/>
    </xf>
    <xf numFmtId="166" fontId="4" fillId="4" borderId="20" xfId="1" applyNumberFormat="1" applyFont="1" applyFill="1" applyBorder="1"/>
    <xf numFmtId="166" fontId="4" fillId="4" borderId="39" xfId="1" applyNumberFormat="1" applyFont="1" applyFill="1" applyBorder="1"/>
    <xf numFmtId="166" fontId="4" fillId="4" borderId="43" xfId="1" applyNumberFormat="1" applyFont="1" applyFill="1" applyBorder="1"/>
    <xf numFmtId="168" fontId="15" fillId="4" borderId="20" xfId="0" applyNumberFormat="1" applyFont="1" applyFill="1" applyBorder="1" applyAlignment="1" applyProtection="1">
      <alignment vertical="center"/>
      <protection locked="0"/>
    </xf>
    <xf numFmtId="0" fontId="4" fillId="4" borderId="0" xfId="0" applyFont="1" applyFill="1"/>
    <xf numFmtId="166" fontId="4" fillId="4" borderId="44" xfId="1" applyNumberFormat="1" applyFont="1" applyFill="1" applyBorder="1"/>
    <xf numFmtId="166" fontId="4" fillId="4" borderId="45" xfId="1" applyNumberFormat="1" applyFont="1" applyFill="1" applyBorder="1"/>
    <xf numFmtId="168" fontId="15" fillId="4" borderId="21" xfId="0" applyNumberFormat="1" applyFont="1" applyFill="1" applyBorder="1" applyAlignment="1" applyProtection="1">
      <alignment vertical="center"/>
      <protection locked="0"/>
    </xf>
    <xf numFmtId="166" fontId="4" fillId="4" borderId="42" xfId="1" applyNumberFormat="1" applyFont="1" applyFill="1" applyBorder="1"/>
    <xf numFmtId="166" fontId="4" fillId="4" borderId="46" xfId="1" applyNumberFormat="1" applyFont="1" applyFill="1" applyBorder="1"/>
    <xf numFmtId="166" fontId="4" fillId="4" borderId="21" xfId="1" applyNumberFormat="1" applyFont="1" applyFill="1" applyBorder="1"/>
    <xf numFmtId="0" fontId="4" fillId="4" borderId="33" xfId="0" applyFont="1" applyFill="1" applyBorder="1" applyAlignment="1">
      <alignment horizontal="center"/>
    </xf>
    <xf numFmtId="0" fontId="15" fillId="4" borderId="33" xfId="0" applyFont="1" applyFill="1" applyBorder="1" applyProtection="1">
      <protection locked="0"/>
    </xf>
    <xf numFmtId="168" fontId="15" fillId="4" borderId="33" xfId="0" applyNumberFormat="1" applyFont="1" applyFill="1" applyBorder="1" applyProtection="1">
      <protection locked="0"/>
    </xf>
    <xf numFmtId="166" fontId="0" fillId="0" borderId="0" xfId="1" applyNumberFormat="1" applyFont="1" applyBorder="1"/>
    <xf numFmtId="0" fontId="19" fillId="5" borderId="0" xfId="0" applyFont="1" applyFill="1"/>
    <xf numFmtId="3" fontId="4" fillId="0" borderId="0" xfId="0" applyNumberFormat="1" applyFont="1"/>
    <xf numFmtId="166" fontId="4" fillId="0" borderId="33" xfId="1" applyNumberFormat="1" applyFont="1" applyBorder="1"/>
    <xf numFmtId="166" fontId="4" fillId="0" borderId="33" xfId="1" applyNumberFormat="1" applyFont="1" applyFill="1" applyBorder="1"/>
    <xf numFmtId="0" fontId="5" fillId="0" borderId="0" xfId="0" applyFont="1"/>
    <xf numFmtId="0" fontId="5" fillId="0" borderId="33" xfId="0" applyFont="1" applyBorder="1"/>
    <xf numFmtId="166" fontId="5" fillId="0" borderId="33" xfId="1" applyNumberFormat="1" applyFont="1" applyBorder="1"/>
    <xf numFmtId="166" fontId="4" fillId="0" borderId="33" xfId="1" applyNumberFormat="1" applyFont="1" applyFill="1" applyBorder="1" applyAlignment="1">
      <alignment horizontal="right" vertical="center"/>
    </xf>
    <xf numFmtId="3" fontId="4" fillId="0" borderId="33" xfId="0" applyNumberFormat="1" applyFont="1" applyBorder="1" applyAlignment="1">
      <alignment horizontal="center" vertical="center"/>
    </xf>
    <xf numFmtId="3" fontId="4" fillId="0" borderId="33" xfId="0" applyNumberFormat="1" applyFont="1" applyBorder="1"/>
    <xf numFmtId="3" fontId="5" fillId="0" borderId="33" xfId="0" applyNumberFormat="1" applyFont="1" applyBorder="1"/>
    <xf numFmtId="0" fontId="11" fillId="0" borderId="33" xfId="0" applyFont="1" applyBorder="1"/>
    <xf numFmtId="3" fontId="11" fillId="0" borderId="33" xfId="0" applyNumberFormat="1" applyFont="1" applyBorder="1"/>
    <xf numFmtId="0" fontId="11" fillId="0" borderId="0" xfId="0" applyFont="1"/>
    <xf numFmtId="166" fontId="4" fillId="7" borderId="33" xfId="1" applyNumberFormat="1" applyFont="1" applyFill="1" applyBorder="1"/>
    <xf numFmtId="0" fontId="4" fillId="7" borderId="33" xfId="0" applyFont="1" applyFill="1" applyBorder="1" applyAlignment="1">
      <alignment horizontal="center"/>
    </xf>
    <xf numFmtId="0" fontId="4" fillId="7" borderId="33" xfId="0" applyFont="1" applyFill="1" applyBorder="1"/>
    <xf numFmtId="166" fontId="4" fillId="7" borderId="33" xfId="1" applyNumberFormat="1" applyFont="1" applyFill="1" applyBorder="1" applyAlignment="1">
      <alignment horizontal="center" vertical="center"/>
    </xf>
    <xf numFmtId="3" fontId="4" fillId="7" borderId="33" xfId="0" applyNumberFormat="1" applyFont="1" applyFill="1" applyBorder="1" applyAlignment="1">
      <alignment horizontal="center" vertical="center"/>
    </xf>
    <xf numFmtId="3" fontId="4" fillId="7" borderId="33" xfId="0" applyNumberFormat="1" applyFont="1" applyFill="1" applyBorder="1"/>
    <xf numFmtId="0" fontId="4" fillId="0" borderId="0" xfId="0" applyFont="1" applyAlignment="1">
      <alignment horizontal="center"/>
    </xf>
    <xf numFmtId="166" fontId="24" fillId="0" borderId="0" xfId="0" applyNumberFormat="1" applyFont="1"/>
    <xf numFmtId="0" fontId="6" fillId="0" borderId="0" xfId="0" applyFont="1"/>
    <xf numFmtId="0" fontId="4" fillId="0" borderId="0" xfId="0" applyFont="1" applyAlignment="1">
      <alignment vertical="center"/>
    </xf>
    <xf numFmtId="0" fontId="4" fillId="0" borderId="33" xfId="0" applyFont="1" applyBorder="1" applyAlignment="1">
      <alignment vertical="center"/>
    </xf>
    <xf numFmtId="0" fontId="4" fillId="0" borderId="33" xfId="0" applyFont="1" applyBorder="1" applyAlignment="1">
      <alignment vertical="center" wrapText="1"/>
    </xf>
    <xf numFmtId="0" fontId="4" fillId="0" borderId="42" xfId="0" applyFont="1" applyBorder="1" applyAlignment="1">
      <alignment vertical="center" wrapText="1"/>
    </xf>
    <xf numFmtId="169" fontId="4" fillId="0" borderId="33" xfId="6" applyNumberFormat="1" applyFont="1" applyFill="1" applyBorder="1" applyAlignment="1">
      <alignment vertical="center"/>
    </xf>
    <xf numFmtId="166" fontId="0" fillId="0" borderId="33" xfId="1" applyNumberFormat="1" applyFont="1" applyFill="1" applyBorder="1"/>
    <xf numFmtId="0" fontId="7" fillId="0" borderId="0" xfId="0" applyFont="1" applyAlignment="1">
      <alignment vertical="center"/>
    </xf>
    <xf numFmtId="0" fontId="11" fillId="0" borderId="0" xfId="0" applyFont="1" applyAlignment="1">
      <alignment vertical="center"/>
    </xf>
    <xf numFmtId="169" fontId="4" fillId="0" borderId="0" xfId="6" applyNumberFormat="1" applyFont="1" applyFill="1" applyAlignment="1">
      <alignment vertical="center"/>
    </xf>
    <xf numFmtId="165" fontId="5" fillId="0" borderId="0" xfId="7" applyFont="1" applyFill="1" applyAlignment="1">
      <alignment vertical="center"/>
    </xf>
    <xf numFmtId="166" fontId="4" fillId="0" borderId="0" xfId="7" applyNumberFormat="1" applyFont="1" applyFill="1" applyAlignment="1">
      <alignment vertical="center"/>
    </xf>
    <xf numFmtId="166" fontId="25" fillId="0" borderId="0" xfId="7" applyNumberFormat="1" applyFont="1" applyFill="1" applyAlignment="1">
      <alignment vertical="center"/>
    </xf>
    <xf numFmtId="166" fontId="26" fillId="0" borderId="0" xfId="7" applyNumberFormat="1" applyFont="1" applyFill="1" applyAlignment="1">
      <alignment vertical="center"/>
    </xf>
    <xf numFmtId="166" fontId="7" fillId="0" borderId="34" xfId="7" applyNumberFormat="1" applyFont="1" applyFill="1" applyBorder="1" applyAlignment="1">
      <alignment vertical="center"/>
    </xf>
    <xf numFmtId="0" fontId="0" fillId="9" borderId="33" xfId="0" applyFill="1" applyBorder="1" applyAlignment="1">
      <alignment vertical="center"/>
    </xf>
    <xf numFmtId="169" fontId="0" fillId="9" borderId="33" xfId="6" applyNumberFormat="1" applyFont="1" applyFill="1" applyBorder="1" applyAlignment="1">
      <alignment vertical="center"/>
    </xf>
    <xf numFmtId="166" fontId="0" fillId="9" borderId="33" xfId="7" applyNumberFormat="1" applyFont="1" applyFill="1" applyBorder="1" applyAlignment="1">
      <alignment vertical="center"/>
    </xf>
    <xf numFmtId="0" fontId="11" fillId="0" borderId="33" xfId="0" applyFont="1" applyBorder="1" applyAlignment="1">
      <alignment horizontal="left" vertical="center"/>
    </xf>
    <xf numFmtId="166" fontId="4" fillId="0" borderId="33" xfId="7" applyNumberFormat="1" applyFont="1" applyFill="1" applyBorder="1" applyAlignment="1">
      <alignment horizontal="center" vertical="center"/>
    </xf>
    <xf numFmtId="166" fontId="4" fillId="0" borderId="33" xfId="7" applyNumberFormat="1" applyFont="1" applyFill="1" applyBorder="1" applyAlignment="1">
      <alignment vertical="center"/>
    </xf>
    <xf numFmtId="169" fontId="0" fillId="0" borderId="33" xfId="6" applyNumberFormat="1" applyFont="1" applyFill="1" applyBorder="1" applyAlignment="1">
      <alignment vertical="center"/>
    </xf>
    <xf numFmtId="0" fontId="0" fillId="0" borderId="33" xfId="0" applyBorder="1" applyAlignment="1">
      <alignment vertical="center"/>
    </xf>
    <xf numFmtId="166" fontId="5" fillId="0" borderId="33" xfId="7" applyNumberFormat="1" applyFont="1" applyFill="1" applyBorder="1" applyAlignment="1">
      <alignment horizontal="center" vertical="center"/>
    </xf>
    <xf numFmtId="169" fontId="27" fillId="0" borderId="33" xfId="6" applyNumberFormat="1" applyFont="1" applyFill="1" applyBorder="1" applyAlignment="1">
      <alignment vertical="center"/>
    </xf>
    <xf numFmtId="166" fontId="11" fillId="0" borderId="33" xfId="7" applyNumberFormat="1" applyFont="1" applyFill="1" applyBorder="1" applyAlignment="1">
      <alignment horizontal="center" vertical="center"/>
    </xf>
    <xf numFmtId="166" fontId="11" fillId="0" borderId="33" xfId="7" applyNumberFormat="1" applyFont="1" applyFill="1" applyBorder="1" applyAlignment="1">
      <alignment vertical="center"/>
    </xf>
    <xf numFmtId="166" fontId="7" fillId="0" borderId="37" xfId="1" applyNumberFormat="1" applyFont="1" applyBorder="1"/>
    <xf numFmtId="168" fontId="15" fillId="0" borderId="33" xfId="0" applyNumberFormat="1" applyFont="1" applyBorder="1" applyAlignment="1" applyProtection="1">
      <alignment vertical="center"/>
      <protection locked="0"/>
    </xf>
    <xf numFmtId="166" fontId="7" fillId="9" borderId="32" xfId="1" applyNumberFormat="1" applyFont="1" applyFill="1" applyBorder="1" applyAlignment="1">
      <alignment horizontal="right" vertical="top"/>
    </xf>
    <xf numFmtId="0" fontId="0" fillId="9" borderId="0" xfId="0" applyFill="1" applyAlignment="1">
      <alignment vertical="top"/>
    </xf>
    <xf numFmtId="166" fontId="4" fillId="9" borderId="33" xfId="1" applyNumberFormat="1" applyFont="1" applyFill="1" applyBorder="1" applyAlignment="1">
      <alignment vertical="center"/>
    </xf>
    <xf numFmtId="166" fontId="7" fillId="10" borderId="32" xfId="1" applyNumberFormat="1" applyFont="1" applyFill="1" applyBorder="1" applyAlignment="1">
      <alignment horizontal="right" vertical="top"/>
    </xf>
    <xf numFmtId="166" fontId="4" fillId="10" borderId="33" xfId="1" applyNumberFormat="1" applyFont="1" applyFill="1" applyBorder="1" applyAlignment="1">
      <alignment vertical="center"/>
    </xf>
    <xf numFmtId="166" fontId="4" fillId="10" borderId="33" xfId="1" applyNumberFormat="1" applyFont="1" applyFill="1" applyBorder="1" applyAlignment="1">
      <alignment vertical="top"/>
    </xf>
    <xf numFmtId="0" fontId="0" fillId="0" borderId="0" xfId="0" applyAlignment="1">
      <alignment vertical="top"/>
    </xf>
    <xf numFmtId="0" fontId="0" fillId="0" borderId="33" xfId="0" applyBorder="1" applyAlignment="1">
      <alignment horizontal="left" vertical="center"/>
    </xf>
    <xf numFmtId="166" fontId="4" fillId="0" borderId="33" xfId="1" applyNumberFormat="1" applyFont="1" applyFill="1" applyBorder="1" applyAlignment="1">
      <alignment vertical="center"/>
    </xf>
    <xf numFmtId="166" fontId="4" fillId="0" borderId="0" xfId="1" applyNumberFormat="1" applyFont="1" applyFill="1" applyAlignment="1">
      <alignment vertical="top"/>
    </xf>
    <xf numFmtId="166" fontId="4" fillId="0" borderId="0" xfId="0" applyNumberFormat="1" applyFont="1" applyAlignment="1">
      <alignment vertical="top"/>
    </xf>
    <xf numFmtId="0" fontId="4" fillId="0" borderId="28" xfId="0" applyFont="1" applyBorder="1" applyAlignment="1">
      <alignment horizontal="left" vertical="center"/>
    </xf>
    <xf numFmtId="0" fontId="4" fillId="0" borderId="29" xfId="0" applyFont="1" applyBorder="1" applyAlignment="1">
      <alignment horizontal="left" vertical="center"/>
    </xf>
    <xf numFmtId="0" fontId="4" fillId="0" borderId="30" xfId="0" applyFont="1" applyBorder="1" applyAlignment="1">
      <alignment horizontal="left" vertical="center"/>
    </xf>
    <xf numFmtId="166" fontId="7" fillId="0" borderId="32" xfId="1" applyNumberFormat="1" applyFont="1" applyFill="1" applyBorder="1" applyAlignment="1">
      <alignment horizontal="right" vertical="top"/>
    </xf>
    <xf numFmtId="166" fontId="0" fillId="0" borderId="0" xfId="1" applyNumberFormat="1" applyFont="1" applyFill="1" applyAlignment="1">
      <alignment vertical="top"/>
    </xf>
    <xf numFmtId="0" fontId="4" fillId="0" borderId="0" xfId="0" applyFont="1" applyAlignment="1">
      <alignment horizontal="center" vertical="top"/>
    </xf>
    <xf numFmtId="0" fontId="4" fillId="0" borderId="31" xfId="0" applyFont="1" applyBorder="1" applyAlignment="1">
      <alignment horizontal="center" vertical="center"/>
    </xf>
    <xf numFmtId="0" fontId="0" fillId="10" borderId="0" xfId="0" applyFill="1" applyAlignment="1">
      <alignment vertical="top"/>
    </xf>
    <xf numFmtId="0" fontId="7" fillId="0" borderId="0" xfId="0" applyFont="1" applyAlignment="1">
      <alignment vertical="top"/>
    </xf>
    <xf numFmtId="166" fontId="7" fillId="0" borderId="2" xfId="1" applyNumberFormat="1" applyFont="1" applyFill="1" applyBorder="1" applyAlignment="1">
      <alignment vertical="top"/>
    </xf>
    <xf numFmtId="0" fontId="0" fillId="0" borderId="33" xfId="0" applyBorder="1" applyAlignment="1">
      <alignment horizontal="center" vertical="center"/>
    </xf>
    <xf numFmtId="0" fontId="4" fillId="0" borderId="33" xfId="0" applyFont="1" applyBorder="1" applyAlignment="1">
      <alignment horizontal="left" vertical="top" wrapText="1"/>
    </xf>
    <xf numFmtId="165" fontId="4" fillId="0" borderId="0" xfId="1" applyFont="1" applyFill="1" applyAlignment="1">
      <alignment vertical="top"/>
    </xf>
    <xf numFmtId="165" fontId="4" fillId="0" borderId="0" xfId="1" applyFont="1" applyFill="1"/>
    <xf numFmtId="166" fontId="7" fillId="10" borderId="2" xfId="1" applyNumberFormat="1" applyFont="1" applyFill="1" applyBorder="1" applyAlignment="1">
      <alignment vertical="top"/>
    </xf>
    <xf numFmtId="166" fontId="4" fillId="10" borderId="33" xfId="1" applyNumberFormat="1" applyFont="1" applyFill="1" applyBorder="1" applyAlignment="1">
      <alignment horizontal="center" vertical="center"/>
    </xf>
    <xf numFmtId="166" fontId="7" fillId="9" borderId="2" xfId="1" applyNumberFormat="1" applyFont="1" applyFill="1" applyBorder="1" applyAlignment="1">
      <alignment vertical="top"/>
    </xf>
    <xf numFmtId="43" fontId="4" fillId="0" borderId="0" xfId="6" applyFont="1" applyFill="1"/>
    <xf numFmtId="169" fontId="7" fillId="0" borderId="2" xfId="6" applyNumberFormat="1" applyFont="1" applyFill="1" applyBorder="1"/>
    <xf numFmtId="169" fontId="4" fillId="0" borderId="38" xfId="6" applyNumberFormat="1" applyFont="1" applyFill="1" applyBorder="1"/>
    <xf numFmtId="169" fontId="4" fillId="0" borderId="33" xfId="6" applyNumberFormat="1" applyFont="1" applyFill="1" applyBorder="1"/>
    <xf numFmtId="166" fontId="7" fillId="11" borderId="2" xfId="1" applyNumberFormat="1" applyFont="1" applyFill="1" applyBorder="1" applyAlignment="1">
      <alignment vertical="top"/>
    </xf>
    <xf numFmtId="0" fontId="0" fillId="11" borderId="0" xfId="0" applyFill="1" applyAlignment="1">
      <alignment vertical="top"/>
    </xf>
    <xf numFmtId="166" fontId="4" fillId="11" borderId="33" xfId="0" applyNumberFormat="1" applyFont="1" applyFill="1" applyBorder="1" applyAlignment="1">
      <alignment vertical="top"/>
    </xf>
    <xf numFmtId="0" fontId="4" fillId="11" borderId="0" xfId="0" applyFont="1" applyFill="1"/>
    <xf numFmtId="0" fontId="4" fillId="11" borderId="42" xfId="0" applyFont="1" applyFill="1" applyBorder="1" applyAlignment="1">
      <alignment vertical="center" wrapText="1"/>
    </xf>
    <xf numFmtId="0" fontId="4" fillId="11" borderId="33" xfId="0" applyFont="1" applyFill="1" applyBorder="1" applyAlignment="1">
      <alignment vertical="center" wrapText="1"/>
    </xf>
    <xf numFmtId="166" fontId="4" fillId="11" borderId="33" xfId="1" applyNumberFormat="1" applyFont="1" applyFill="1" applyBorder="1" applyAlignment="1">
      <alignment vertical="center"/>
    </xf>
    <xf numFmtId="169" fontId="4" fillId="10" borderId="33" xfId="6" applyNumberFormat="1" applyFont="1" applyFill="1" applyBorder="1" applyAlignment="1">
      <alignment vertical="center"/>
    </xf>
    <xf numFmtId="166" fontId="7" fillId="11" borderId="32" xfId="1" applyNumberFormat="1" applyFont="1" applyFill="1" applyBorder="1" applyAlignment="1">
      <alignment horizontal="right" vertical="top"/>
    </xf>
    <xf numFmtId="0" fontId="4" fillId="11" borderId="33" xfId="0" applyFont="1" applyFill="1" applyBorder="1" applyAlignment="1">
      <alignment vertical="top"/>
    </xf>
    <xf numFmtId="166" fontId="4" fillId="11" borderId="33" xfId="0" applyNumberFormat="1" applyFont="1" applyFill="1" applyBorder="1" applyAlignment="1">
      <alignment vertical="center"/>
    </xf>
    <xf numFmtId="169" fontId="4" fillId="0" borderId="0" xfId="0" applyNumberFormat="1" applyFont="1"/>
    <xf numFmtId="169" fontId="7" fillId="10" borderId="2" xfId="6" applyNumberFormat="1" applyFont="1" applyFill="1" applyBorder="1"/>
    <xf numFmtId="169" fontId="4" fillId="10" borderId="33" xfId="6" applyNumberFormat="1" applyFont="1" applyFill="1" applyBorder="1"/>
    <xf numFmtId="169" fontId="4" fillId="10" borderId="38" xfId="6" applyNumberFormat="1" applyFont="1" applyFill="1" applyBorder="1"/>
    <xf numFmtId="169" fontId="7" fillId="9" borderId="2" xfId="6" applyNumberFormat="1" applyFont="1" applyFill="1" applyBorder="1"/>
    <xf numFmtId="169" fontId="4" fillId="9" borderId="38" xfId="6" applyNumberFormat="1" applyFont="1" applyFill="1" applyBorder="1"/>
    <xf numFmtId="0" fontId="4" fillId="11" borderId="42" xfId="0" applyFont="1" applyFill="1" applyBorder="1" applyAlignment="1">
      <alignment vertical="center"/>
    </xf>
    <xf numFmtId="165" fontId="4" fillId="0" borderId="0" xfId="1" applyFont="1"/>
    <xf numFmtId="167" fontId="4" fillId="0" borderId="38" xfId="2" applyNumberFormat="1" applyFont="1" applyFill="1" applyBorder="1"/>
    <xf numFmtId="0" fontId="4" fillId="0" borderId="38" xfId="0" applyFont="1" applyBorder="1"/>
    <xf numFmtId="167" fontId="4" fillId="10" borderId="33" xfId="2" applyNumberFormat="1" applyFont="1" applyFill="1" applyBorder="1"/>
    <xf numFmtId="0" fontId="28" fillId="4" borderId="33" xfId="0" applyFont="1" applyFill="1" applyBorder="1" applyAlignment="1">
      <alignment horizontal="left" vertical="top" wrapText="1"/>
    </xf>
    <xf numFmtId="166" fontId="4" fillId="0" borderId="38" xfId="1" applyNumberFormat="1" applyFont="1" applyFill="1" applyBorder="1" applyAlignment="1">
      <alignment horizontal="center" vertical="center"/>
    </xf>
    <xf numFmtId="0" fontId="28" fillId="0" borderId="33" xfId="0" applyFont="1" applyBorder="1" applyAlignment="1">
      <alignment horizontal="left" vertical="top" wrapText="1"/>
    </xf>
    <xf numFmtId="0" fontId="28" fillId="11" borderId="33" xfId="0" applyFont="1" applyFill="1" applyBorder="1" applyAlignment="1">
      <alignment horizontal="left" vertical="center" wrapText="1"/>
    </xf>
    <xf numFmtId="0" fontId="28" fillId="11" borderId="33" xfId="0" applyFont="1" applyFill="1" applyBorder="1" applyAlignment="1">
      <alignment horizontal="left" vertical="center"/>
    </xf>
    <xf numFmtId="0" fontId="28" fillId="11" borderId="33" xfId="0" applyFont="1" applyFill="1" applyBorder="1" applyAlignment="1">
      <alignment horizontal="left" vertical="top" wrapText="1"/>
    </xf>
    <xf numFmtId="0" fontId="4" fillId="11" borderId="33" xfId="0" applyFont="1" applyFill="1" applyBorder="1" applyAlignment="1">
      <alignment horizontal="left" vertical="center" wrapText="1"/>
    </xf>
    <xf numFmtId="0" fontId="4" fillId="11" borderId="33" xfId="0" applyFont="1" applyFill="1" applyBorder="1" applyAlignment="1">
      <alignment horizontal="left" vertical="center"/>
    </xf>
    <xf numFmtId="0" fontId="4" fillId="11" borderId="33" xfId="0" applyFont="1" applyFill="1" applyBorder="1" applyAlignment="1">
      <alignment vertical="center"/>
    </xf>
    <xf numFmtId="0" fontId="0" fillId="11" borderId="33" xfId="0" applyFill="1" applyBorder="1" applyAlignment="1">
      <alignment vertical="center"/>
    </xf>
    <xf numFmtId="0" fontId="11" fillId="0" borderId="33" xfId="0" applyFont="1" applyBorder="1" applyAlignment="1">
      <alignment vertical="center"/>
    </xf>
    <xf numFmtId="0" fontId="11" fillId="11" borderId="33" xfId="0" applyFont="1" applyFill="1" applyBorder="1" applyAlignment="1">
      <alignment vertical="center"/>
    </xf>
    <xf numFmtId="0" fontId="14" fillId="4" borderId="43" xfId="0" applyFont="1" applyFill="1" applyBorder="1" applyAlignment="1">
      <alignment horizontal="left" vertical="center"/>
    </xf>
    <xf numFmtId="0" fontId="14" fillId="4" borderId="44" xfId="0" applyFont="1" applyFill="1" applyBorder="1" applyAlignment="1">
      <alignment horizontal="left" vertical="center"/>
    </xf>
    <xf numFmtId="0" fontId="15" fillId="11" borderId="33" xfId="0" applyFont="1" applyFill="1" applyBorder="1" applyAlignment="1" applyProtection="1">
      <alignment vertical="center"/>
      <protection locked="0"/>
    </xf>
    <xf numFmtId="0" fontId="16" fillId="11" borderId="33" xfId="3" applyFont="1" applyFill="1" applyBorder="1" applyAlignment="1">
      <alignment horizontal="left" vertical="center"/>
    </xf>
    <xf numFmtId="166" fontId="4" fillId="0" borderId="38" xfId="1" applyNumberFormat="1" applyFont="1" applyFill="1" applyBorder="1"/>
    <xf numFmtId="0" fontId="15" fillId="11" borderId="40" xfId="0" applyFont="1" applyFill="1" applyBorder="1" applyAlignment="1" applyProtection="1">
      <alignment vertical="center"/>
      <protection locked="0"/>
    </xf>
    <xf numFmtId="0" fontId="14" fillId="11" borderId="33" xfId="0" applyFont="1" applyFill="1" applyBorder="1" applyAlignment="1">
      <alignment horizontal="left" vertical="center"/>
    </xf>
    <xf numFmtId="0" fontId="15" fillId="11" borderId="42" xfId="0" applyFont="1" applyFill="1" applyBorder="1" applyAlignment="1" applyProtection="1">
      <alignment vertical="center"/>
      <protection locked="0"/>
    </xf>
    <xf numFmtId="0" fontId="14" fillId="11" borderId="20" xfId="0" applyFont="1" applyFill="1" applyBorder="1" applyAlignment="1">
      <alignment horizontal="left" vertical="center"/>
    </xf>
    <xf numFmtId="0" fontId="15" fillId="11" borderId="20" xfId="0" applyFont="1" applyFill="1" applyBorder="1" applyAlignment="1" applyProtection="1">
      <alignment vertical="center"/>
      <protection locked="0"/>
    </xf>
    <xf numFmtId="0" fontId="14" fillId="11" borderId="0" xfId="0" applyFont="1" applyFill="1" applyAlignment="1">
      <alignment horizontal="left" vertical="center"/>
    </xf>
    <xf numFmtId="0" fontId="16" fillId="11" borderId="33" xfId="0" applyFont="1" applyFill="1" applyBorder="1" applyAlignment="1">
      <alignment horizontal="left" vertical="center"/>
    </xf>
    <xf numFmtId="0" fontId="15" fillId="11" borderId="21" xfId="0" applyFont="1" applyFill="1" applyBorder="1" applyAlignment="1" applyProtection="1">
      <alignment vertical="center"/>
      <protection locked="0"/>
    </xf>
    <xf numFmtId="168" fontId="15" fillId="0" borderId="33" xfId="0" applyNumberFormat="1" applyFont="1" applyBorder="1" applyProtection="1">
      <protection locked="0"/>
    </xf>
    <xf numFmtId="166" fontId="4" fillId="0" borderId="39" xfId="1" applyNumberFormat="1" applyFont="1" applyFill="1" applyBorder="1"/>
    <xf numFmtId="0" fontId="4" fillId="0" borderId="41" xfId="0" applyFont="1" applyBorder="1"/>
    <xf numFmtId="0" fontId="4" fillId="11" borderId="33" xfId="0" applyFont="1" applyFill="1" applyBorder="1"/>
    <xf numFmtId="0" fontId="5" fillId="11" borderId="33" xfId="0" applyFont="1" applyFill="1" applyBorder="1"/>
    <xf numFmtId="3" fontId="4" fillId="0" borderId="33" xfId="0" applyNumberFormat="1" applyFont="1" applyBorder="1" applyAlignment="1">
      <alignment horizontal="right" vertical="center"/>
    </xf>
    <xf numFmtId="0" fontId="4" fillId="0" borderId="38" xfId="0" applyFont="1" applyBorder="1" applyAlignment="1">
      <alignment horizontal="center" vertical="center"/>
    </xf>
    <xf numFmtId="3" fontId="4" fillId="0" borderId="38" xfId="0" applyNumberFormat="1" applyFont="1" applyBorder="1"/>
    <xf numFmtId="0" fontId="11" fillId="11" borderId="33" xfId="0" applyFont="1" applyFill="1" applyBorder="1"/>
    <xf numFmtId="166" fontId="4" fillId="10" borderId="33" xfId="7" applyNumberFormat="1" applyFont="1" applyFill="1" applyBorder="1" applyAlignment="1">
      <alignment horizontal="center" vertical="center"/>
    </xf>
    <xf numFmtId="165" fontId="4" fillId="0" borderId="0" xfId="1" applyFont="1" applyAlignment="1">
      <alignment vertical="center"/>
    </xf>
    <xf numFmtId="165" fontId="11" fillId="0" borderId="0" xfId="1" applyFont="1" applyAlignment="1">
      <alignment vertical="center"/>
    </xf>
    <xf numFmtId="165" fontId="4" fillId="0" borderId="0" xfId="1" applyFont="1" applyFill="1" applyAlignment="1">
      <alignment vertical="center"/>
    </xf>
    <xf numFmtId="0" fontId="4" fillId="12" borderId="33" xfId="0" applyFont="1" applyFill="1" applyBorder="1" applyAlignment="1">
      <alignment horizontal="center" vertical="center"/>
    </xf>
    <xf numFmtId="0" fontId="4" fillId="12" borderId="33" xfId="0" applyFont="1" applyFill="1" applyBorder="1" applyAlignment="1">
      <alignment vertical="center"/>
    </xf>
    <xf numFmtId="0" fontId="11" fillId="12" borderId="33" xfId="0" applyFont="1" applyFill="1" applyBorder="1" applyAlignment="1">
      <alignment vertical="center"/>
    </xf>
    <xf numFmtId="166" fontId="11" fillId="10" borderId="33" xfId="7" applyNumberFormat="1" applyFont="1" applyFill="1" applyBorder="1" applyAlignment="1">
      <alignment horizontal="center" vertical="center"/>
    </xf>
    <xf numFmtId="166" fontId="4" fillId="10" borderId="33" xfId="1" applyNumberFormat="1" applyFont="1" applyFill="1" applyBorder="1"/>
    <xf numFmtId="166" fontId="4" fillId="10" borderId="20" xfId="1" applyNumberFormat="1" applyFont="1" applyFill="1" applyBorder="1"/>
    <xf numFmtId="166" fontId="4" fillId="10" borderId="39" xfId="1" applyNumberFormat="1" applyFont="1" applyFill="1" applyBorder="1"/>
    <xf numFmtId="166" fontId="4" fillId="10" borderId="45" xfId="1" applyNumberFormat="1" applyFont="1" applyFill="1" applyBorder="1"/>
    <xf numFmtId="166" fontId="4" fillId="10" borderId="43" xfId="1" applyNumberFormat="1" applyFont="1" applyFill="1" applyBorder="1" applyAlignment="1">
      <alignment vertical="center"/>
    </xf>
    <xf numFmtId="0" fontId="4" fillId="0" borderId="42" xfId="0" applyFont="1" applyBorder="1" applyAlignment="1">
      <alignment horizontal="center"/>
    </xf>
    <xf numFmtId="0" fontId="15" fillId="4" borderId="59" xfId="0" applyFont="1" applyFill="1" applyBorder="1" applyAlignment="1" applyProtection="1">
      <alignment vertical="center"/>
      <protection locked="0"/>
    </xf>
    <xf numFmtId="0" fontId="16" fillId="4" borderId="43" xfId="3" applyFont="1" applyFill="1" applyBorder="1" applyAlignment="1">
      <alignment horizontal="left" vertical="center"/>
    </xf>
    <xf numFmtId="0" fontId="15" fillId="4" borderId="43" xfId="0" applyFont="1" applyFill="1" applyBorder="1" applyAlignment="1" applyProtection="1">
      <alignment vertical="center"/>
      <protection locked="0"/>
    </xf>
    <xf numFmtId="0" fontId="15" fillId="4" borderId="44" xfId="0" applyFont="1" applyFill="1" applyBorder="1" applyAlignment="1" applyProtection="1">
      <alignment vertical="center"/>
      <protection locked="0"/>
    </xf>
    <xf numFmtId="0" fontId="14" fillId="4" borderId="60" xfId="0" applyFont="1" applyFill="1" applyBorder="1" applyAlignment="1">
      <alignment horizontal="left" vertical="center"/>
    </xf>
    <xf numFmtId="0" fontId="16" fillId="4" borderId="43" xfId="0" applyFont="1" applyFill="1" applyBorder="1" applyAlignment="1">
      <alignment horizontal="left" vertical="center"/>
    </xf>
    <xf numFmtId="166" fontId="4" fillId="7" borderId="33" xfId="1" applyNumberFormat="1" applyFont="1" applyFill="1" applyBorder="1" applyAlignment="1">
      <alignment vertical="center"/>
    </xf>
    <xf numFmtId="166" fontId="4" fillId="7" borderId="33" xfId="0" applyNumberFormat="1" applyFont="1" applyFill="1" applyBorder="1" applyAlignment="1">
      <alignment vertical="center"/>
    </xf>
    <xf numFmtId="166" fontId="4" fillId="7" borderId="33" xfId="1" applyNumberFormat="1" applyFont="1" applyFill="1" applyBorder="1" applyAlignment="1">
      <alignment horizontal="right" vertical="center"/>
    </xf>
    <xf numFmtId="166" fontId="5" fillId="10" borderId="33" xfId="1" applyNumberFormat="1" applyFont="1" applyFill="1" applyBorder="1"/>
    <xf numFmtId="166" fontId="0" fillId="0" borderId="0" xfId="0" applyNumberFormat="1"/>
    <xf numFmtId="3" fontId="4" fillId="10" borderId="33" xfId="0" applyNumberFormat="1" applyFont="1" applyFill="1" applyBorder="1"/>
    <xf numFmtId="166" fontId="11" fillId="11" borderId="33" xfId="1" applyNumberFormat="1" applyFont="1" applyFill="1" applyBorder="1" applyAlignment="1">
      <alignment vertical="center"/>
    </xf>
    <xf numFmtId="166" fontId="11" fillId="11" borderId="33" xfId="0" applyNumberFormat="1" applyFont="1" applyFill="1" applyBorder="1" applyAlignment="1">
      <alignment vertical="center"/>
    </xf>
    <xf numFmtId="3" fontId="11" fillId="0" borderId="33" xfId="0" applyNumberFormat="1" applyFont="1" applyBorder="1" applyAlignment="1">
      <alignment horizontal="center" vertical="center"/>
    </xf>
    <xf numFmtId="166" fontId="11" fillId="10" borderId="33" xfId="1" applyNumberFormat="1" applyFont="1" applyFill="1" applyBorder="1" applyAlignment="1">
      <alignment vertical="center"/>
    </xf>
    <xf numFmtId="166" fontId="11" fillId="9" borderId="33" xfId="1" applyNumberFormat="1" applyFont="1" applyFill="1" applyBorder="1" applyAlignment="1">
      <alignment vertical="center"/>
    </xf>
    <xf numFmtId="166" fontId="11" fillId="0" borderId="33" xfId="1" applyNumberFormat="1" applyFont="1" applyFill="1" applyBorder="1"/>
    <xf numFmtId="165" fontId="4" fillId="10" borderId="33" xfId="1" applyFont="1" applyFill="1" applyBorder="1"/>
    <xf numFmtId="0" fontId="29" fillId="0" borderId="33" xfId="0" applyFont="1" applyBorder="1" applyAlignment="1" applyProtection="1">
      <alignment vertical="center"/>
      <protection locked="0"/>
    </xf>
    <xf numFmtId="0" fontId="29" fillId="11" borderId="33" xfId="0" applyFont="1" applyFill="1" applyBorder="1" applyAlignment="1" applyProtection="1">
      <alignment vertical="center"/>
      <protection locked="0"/>
    </xf>
    <xf numFmtId="0" fontId="29" fillId="4" borderId="33" xfId="0" applyFont="1" applyFill="1" applyBorder="1" applyAlignment="1" applyProtection="1">
      <alignment vertical="center"/>
      <protection locked="0"/>
    </xf>
    <xf numFmtId="0" fontId="30" fillId="4" borderId="33" xfId="5" applyFont="1" applyFill="1" applyBorder="1" applyAlignment="1">
      <alignment horizontal="left" vertical="center"/>
    </xf>
    <xf numFmtId="0" fontId="30" fillId="4" borderId="33" xfId="3" applyFont="1" applyFill="1" applyBorder="1" applyAlignment="1">
      <alignment horizontal="left" vertical="center"/>
    </xf>
    <xf numFmtId="0" fontId="30" fillId="11" borderId="33" xfId="3" applyFont="1" applyFill="1" applyBorder="1" applyAlignment="1">
      <alignment horizontal="left" vertical="center"/>
    </xf>
    <xf numFmtId="0" fontId="29" fillId="12" borderId="33" xfId="0" applyFont="1" applyFill="1" applyBorder="1" applyAlignment="1" applyProtection="1">
      <alignment vertical="center"/>
      <protection locked="0"/>
    </xf>
    <xf numFmtId="166" fontId="4" fillId="12" borderId="33" xfId="1" applyNumberFormat="1" applyFont="1" applyFill="1" applyBorder="1"/>
    <xf numFmtId="168" fontId="29" fillId="4" borderId="33" xfId="0" applyNumberFormat="1" applyFont="1" applyFill="1" applyBorder="1" applyAlignment="1" applyProtection="1">
      <alignment vertical="center"/>
      <protection locked="0"/>
    </xf>
    <xf numFmtId="0" fontId="4" fillId="13" borderId="33" xfId="0" applyFont="1" applyFill="1" applyBorder="1" applyAlignment="1">
      <alignment horizontal="center"/>
    </xf>
    <xf numFmtId="0" fontId="29" fillId="13" borderId="33" xfId="0" applyFont="1" applyFill="1" applyBorder="1" applyAlignment="1" applyProtection="1">
      <alignment vertical="center"/>
      <protection locked="0"/>
    </xf>
    <xf numFmtId="166" fontId="4" fillId="13" borderId="33" xfId="1" applyNumberFormat="1" applyFont="1" applyFill="1" applyBorder="1" applyAlignment="1">
      <alignment vertical="center"/>
    </xf>
    <xf numFmtId="166" fontId="4" fillId="13" borderId="33" xfId="0" applyNumberFormat="1" applyFont="1" applyFill="1" applyBorder="1" applyAlignment="1">
      <alignment vertical="center"/>
    </xf>
    <xf numFmtId="168" fontId="15" fillId="13" borderId="33" xfId="0" applyNumberFormat="1" applyFont="1" applyFill="1" applyBorder="1" applyAlignment="1" applyProtection="1">
      <alignment vertical="center"/>
      <protection locked="0"/>
    </xf>
    <xf numFmtId="166" fontId="4" fillId="13" borderId="33" xfId="1" applyNumberFormat="1" applyFont="1" applyFill="1" applyBorder="1"/>
    <xf numFmtId="0" fontId="4" fillId="5" borderId="33" xfId="0" applyFont="1" applyFill="1" applyBorder="1" applyAlignment="1">
      <alignment horizontal="center"/>
    </xf>
    <xf numFmtId="0" fontId="29" fillId="5" borderId="33" xfId="0" applyFont="1" applyFill="1" applyBorder="1" applyAlignment="1" applyProtection="1">
      <alignment vertical="center"/>
      <protection locked="0"/>
    </xf>
    <xf numFmtId="166" fontId="4" fillId="5" borderId="33" xfId="1" applyNumberFormat="1" applyFont="1" applyFill="1" applyBorder="1" applyAlignment="1">
      <alignment vertical="center"/>
    </xf>
    <xf numFmtId="166" fontId="4" fillId="5" borderId="33" xfId="0" applyNumberFormat="1" applyFont="1" applyFill="1" applyBorder="1" applyAlignment="1">
      <alignment vertical="center"/>
    </xf>
    <xf numFmtId="168" fontId="15" fillId="5" borderId="33" xfId="0" applyNumberFormat="1" applyFont="1" applyFill="1" applyBorder="1" applyAlignment="1" applyProtection="1">
      <alignment vertical="center"/>
      <protection locked="0"/>
    </xf>
    <xf numFmtId="0" fontId="0" fillId="0" borderId="20" xfId="0" applyBorder="1"/>
    <xf numFmtId="168" fontId="15" fillId="0" borderId="0" xfId="0" applyNumberFormat="1" applyFont="1" applyAlignment="1" applyProtection="1">
      <alignment vertical="center"/>
      <protection locked="0"/>
    </xf>
    <xf numFmtId="168" fontId="4" fillId="0" borderId="0" xfId="0" applyNumberFormat="1" applyFont="1"/>
    <xf numFmtId="166" fontId="4" fillId="0" borderId="33" xfId="1" applyNumberFormat="1" applyFont="1" applyBorder="1" applyAlignment="1">
      <alignment wrapText="1"/>
    </xf>
    <xf numFmtId="166" fontId="4" fillId="0" borderId="0" xfId="7" applyNumberFormat="1" applyFont="1" applyFill="1" applyBorder="1" applyAlignment="1">
      <alignment horizontal="center" vertical="center"/>
    </xf>
    <xf numFmtId="166" fontId="4" fillId="0" borderId="20" xfId="1" applyNumberFormat="1" applyFont="1" applyFill="1" applyBorder="1"/>
    <xf numFmtId="0" fontId="4" fillId="10" borderId="34" xfId="0" applyFont="1" applyFill="1" applyBorder="1" applyAlignment="1">
      <alignment horizontal="center" vertical="center" wrapText="1"/>
    </xf>
    <xf numFmtId="0" fontId="4" fillId="10" borderId="35" xfId="0" applyFont="1" applyFill="1" applyBorder="1" applyAlignment="1">
      <alignment horizontal="center" vertical="center" wrapText="1"/>
    </xf>
    <xf numFmtId="0" fontId="4" fillId="10" borderId="25" xfId="0" applyFont="1" applyFill="1" applyBorder="1" applyAlignment="1">
      <alignment horizontal="center" vertical="center" wrapText="1"/>
    </xf>
    <xf numFmtId="0" fontId="4" fillId="0" borderId="34"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25" xfId="0" applyFont="1" applyBorder="1" applyAlignment="1">
      <alignment horizontal="center" vertical="center" wrapText="1"/>
    </xf>
    <xf numFmtId="0" fontId="4" fillId="13" borderId="33" xfId="0" applyFont="1" applyFill="1" applyBorder="1"/>
    <xf numFmtId="166" fontId="4" fillId="13" borderId="33" xfId="1" applyNumberFormat="1" applyFont="1" applyFill="1" applyBorder="1" applyAlignment="1">
      <alignment horizontal="center" vertical="center"/>
    </xf>
    <xf numFmtId="0" fontId="4" fillId="13" borderId="0" xfId="0" applyFont="1" applyFill="1"/>
    <xf numFmtId="166" fontId="4" fillId="0" borderId="0" xfId="0" applyNumberFormat="1" applyFont="1"/>
    <xf numFmtId="166" fontId="4" fillId="0" borderId="0" xfId="1" applyNumberFormat="1" applyFont="1"/>
    <xf numFmtId="3" fontId="4" fillId="13" borderId="33" xfId="0" applyNumberFormat="1" applyFont="1" applyFill="1" applyBorder="1" applyAlignment="1">
      <alignment horizontal="center" vertical="center"/>
    </xf>
    <xf numFmtId="3" fontId="4" fillId="13" borderId="33" xfId="0" applyNumberFormat="1" applyFont="1" applyFill="1" applyBorder="1"/>
    <xf numFmtId="166" fontId="4" fillId="0" borderId="33" xfId="0" applyNumberFormat="1" applyFont="1" applyBorder="1" applyAlignment="1">
      <alignment vertical="center"/>
    </xf>
    <xf numFmtId="165" fontId="4" fillId="13" borderId="33" xfId="1" applyFont="1" applyFill="1" applyBorder="1"/>
    <xf numFmtId="0" fontId="11" fillId="13" borderId="33" xfId="0" applyFont="1" applyFill="1" applyBorder="1"/>
    <xf numFmtId="166" fontId="11" fillId="13" borderId="33" xfId="1" applyNumberFormat="1" applyFont="1" applyFill="1" applyBorder="1" applyAlignment="1">
      <alignment vertical="center"/>
    </xf>
    <xf numFmtId="166" fontId="11" fillId="13" borderId="33" xfId="0" applyNumberFormat="1" applyFont="1" applyFill="1" applyBorder="1" applyAlignment="1">
      <alignment vertical="center"/>
    </xf>
    <xf numFmtId="3" fontId="11" fillId="13" borderId="33" xfId="0" applyNumberFormat="1" applyFont="1" applyFill="1" applyBorder="1" applyAlignment="1">
      <alignment horizontal="center" vertical="center"/>
    </xf>
    <xf numFmtId="3" fontId="11" fillId="13" borderId="33" xfId="0" applyNumberFormat="1" applyFont="1" applyFill="1" applyBorder="1"/>
    <xf numFmtId="166" fontId="11" fillId="13" borderId="33" xfId="1" applyNumberFormat="1" applyFont="1" applyFill="1" applyBorder="1"/>
    <xf numFmtId="3" fontId="5" fillId="13" borderId="33" xfId="0" applyNumberFormat="1" applyFont="1" applyFill="1" applyBorder="1"/>
    <xf numFmtId="0" fontId="5" fillId="13" borderId="0" xfId="0" applyFont="1" applyFill="1"/>
    <xf numFmtId="166" fontId="0" fillId="0" borderId="20" xfId="1" applyNumberFormat="1" applyFont="1" applyFill="1" applyBorder="1"/>
    <xf numFmtId="166" fontId="0" fillId="5" borderId="33" xfId="1" applyNumberFormat="1" applyFont="1" applyFill="1" applyBorder="1"/>
    <xf numFmtId="0" fontId="7" fillId="0" borderId="50" xfId="0" applyFont="1" applyBorder="1" applyAlignment="1">
      <alignment vertical="center"/>
    </xf>
    <xf numFmtId="0" fontId="7" fillId="0" borderId="61" xfId="0" applyFont="1" applyBorder="1" applyAlignment="1">
      <alignment vertical="center"/>
    </xf>
    <xf numFmtId="0" fontId="4" fillId="13" borderId="42" xfId="0" applyFont="1" applyFill="1" applyBorder="1" applyAlignment="1">
      <alignment horizontal="center"/>
    </xf>
    <xf numFmtId="0" fontId="15" fillId="13" borderId="33" xfId="0" applyFont="1" applyFill="1" applyBorder="1" applyAlignment="1" applyProtection="1">
      <alignment vertical="center"/>
      <protection locked="0"/>
    </xf>
    <xf numFmtId="0" fontId="15" fillId="13" borderId="43" xfId="0" applyFont="1" applyFill="1" applyBorder="1" applyAlignment="1" applyProtection="1">
      <alignment vertical="center"/>
      <protection locked="0"/>
    </xf>
    <xf numFmtId="0" fontId="15" fillId="13" borderId="42" xfId="0" applyFont="1" applyFill="1" applyBorder="1" applyAlignment="1" applyProtection="1">
      <alignment vertical="center"/>
      <protection locked="0"/>
    </xf>
    <xf numFmtId="166" fontId="4" fillId="13" borderId="20" xfId="1" applyNumberFormat="1" applyFont="1" applyFill="1" applyBorder="1"/>
    <xf numFmtId="166" fontId="4" fillId="13" borderId="39" xfId="1" applyNumberFormat="1" applyFont="1" applyFill="1" applyBorder="1"/>
    <xf numFmtId="166" fontId="4" fillId="13" borderId="43" xfId="1" applyNumberFormat="1" applyFont="1" applyFill="1" applyBorder="1"/>
    <xf numFmtId="0" fontId="15" fillId="13" borderId="44" xfId="0" applyFont="1" applyFill="1" applyBorder="1" applyAlignment="1" applyProtection="1">
      <alignment vertical="center"/>
      <protection locked="0"/>
    </xf>
    <xf numFmtId="0" fontId="15" fillId="13" borderId="20" xfId="0" applyFont="1" applyFill="1" applyBorder="1" applyAlignment="1" applyProtection="1">
      <alignment vertical="center"/>
      <protection locked="0"/>
    </xf>
    <xf numFmtId="166" fontId="31" fillId="0" borderId="0" xfId="1" applyNumberFormat="1" applyFont="1" applyBorder="1" applyAlignment="1"/>
    <xf numFmtId="0" fontId="29" fillId="13" borderId="33" xfId="0" applyFont="1" applyFill="1" applyBorder="1" applyProtection="1">
      <protection locked="0"/>
    </xf>
    <xf numFmtId="166" fontId="4" fillId="0" borderId="42" xfId="1" applyNumberFormat="1" applyFont="1" applyFill="1" applyBorder="1"/>
    <xf numFmtId="166" fontId="4" fillId="0" borderId="0" xfId="1" applyNumberFormat="1" applyFont="1" applyFill="1" applyAlignment="1">
      <alignment horizontal="center" vertical="center"/>
    </xf>
    <xf numFmtId="0" fontId="11" fillId="13" borderId="33" xfId="0" applyFont="1" applyFill="1" applyBorder="1" applyAlignment="1">
      <alignment horizontal="center" vertical="center"/>
    </xf>
    <xf numFmtId="0" fontId="4" fillId="13" borderId="33" xfId="0" applyFont="1" applyFill="1" applyBorder="1" applyAlignment="1">
      <alignment horizontal="left" vertical="center"/>
    </xf>
    <xf numFmtId="0" fontId="28" fillId="13" borderId="33" xfId="0" applyFont="1" applyFill="1" applyBorder="1" applyAlignment="1">
      <alignment horizontal="left" vertical="top" wrapText="1"/>
    </xf>
    <xf numFmtId="0" fontId="28" fillId="13" borderId="33" xfId="0" applyFont="1" applyFill="1" applyBorder="1" applyAlignment="1">
      <alignment horizontal="left" vertical="center" wrapText="1"/>
    </xf>
    <xf numFmtId="166" fontId="11" fillId="13" borderId="33" xfId="1" applyNumberFormat="1" applyFont="1" applyFill="1" applyBorder="1" applyAlignment="1">
      <alignment horizontal="center" vertical="center"/>
    </xf>
    <xf numFmtId="0" fontId="4" fillId="13" borderId="0" xfId="0" applyFont="1" applyFill="1" applyAlignment="1">
      <alignment horizontal="center" vertical="center"/>
    </xf>
    <xf numFmtId="0" fontId="28" fillId="13" borderId="33" xfId="0" applyFont="1" applyFill="1" applyBorder="1" applyAlignment="1">
      <alignment horizontal="left" vertical="center"/>
    </xf>
    <xf numFmtId="166" fontId="31" fillId="0" borderId="0" xfId="7" applyNumberFormat="1" applyFont="1" applyFill="1" applyBorder="1" applyAlignment="1">
      <alignment vertical="center"/>
    </xf>
    <xf numFmtId="0" fontId="4" fillId="13" borderId="33" xfId="0" applyFont="1" applyFill="1" applyBorder="1" applyAlignment="1">
      <alignment horizontal="center" vertical="center"/>
    </xf>
    <xf numFmtId="0" fontId="4" fillId="13" borderId="33" xfId="0" applyFont="1" applyFill="1" applyBorder="1" applyAlignment="1">
      <alignment vertical="center"/>
    </xf>
    <xf numFmtId="0" fontId="11" fillId="13" borderId="33" xfId="0" applyFont="1" applyFill="1" applyBorder="1" applyAlignment="1">
      <alignment horizontal="left" vertical="center"/>
    </xf>
    <xf numFmtId="169" fontId="0" fillId="13" borderId="33" xfId="6" applyNumberFormat="1" applyFont="1" applyFill="1" applyBorder="1" applyAlignment="1">
      <alignment vertical="center"/>
    </xf>
    <xf numFmtId="166" fontId="4" fillId="13" borderId="33" xfId="7" applyNumberFormat="1" applyFont="1" applyFill="1" applyBorder="1" applyAlignment="1">
      <alignment horizontal="center" vertical="center"/>
    </xf>
    <xf numFmtId="0" fontId="4" fillId="13" borderId="0" xfId="0" applyFont="1" applyFill="1" applyAlignment="1">
      <alignment vertical="center"/>
    </xf>
    <xf numFmtId="166" fontId="11" fillId="0" borderId="0" xfId="0" applyNumberFormat="1" applyFont="1" applyAlignment="1">
      <alignment vertical="center"/>
    </xf>
    <xf numFmtId="166" fontId="26" fillId="0" borderId="33" xfId="1" applyNumberFormat="1" applyFont="1" applyFill="1" applyBorder="1" applyAlignment="1">
      <alignment vertical="center"/>
    </xf>
    <xf numFmtId="166" fontId="26" fillId="0" borderId="33" xfId="0" applyNumberFormat="1" applyFont="1" applyBorder="1" applyAlignment="1">
      <alignment vertical="center"/>
    </xf>
    <xf numFmtId="169" fontId="32" fillId="0" borderId="33" xfId="6" applyNumberFormat="1" applyFont="1" applyFill="1" applyBorder="1" applyAlignment="1">
      <alignment vertical="center"/>
    </xf>
    <xf numFmtId="0" fontId="4" fillId="5" borderId="33" xfId="0" applyFont="1" applyFill="1" applyBorder="1" applyAlignment="1">
      <alignment horizontal="center" vertical="center"/>
    </xf>
    <xf numFmtId="0" fontId="4" fillId="5" borderId="33" xfId="0" applyFont="1" applyFill="1" applyBorder="1" applyAlignment="1">
      <alignment vertical="center"/>
    </xf>
    <xf numFmtId="0" fontId="11" fillId="5" borderId="33" xfId="0" applyFont="1" applyFill="1" applyBorder="1" applyAlignment="1">
      <alignment horizontal="left" vertical="center"/>
    </xf>
    <xf numFmtId="169" fontId="0" fillId="5" borderId="33" xfId="6" applyNumberFormat="1" applyFont="1" applyFill="1" applyBorder="1" applyAlignment="1">
      <alignment vertical="center"/>
    </xf>
    <xf numFmtId="166" fontId="4" fillId="5" borderId="33" xfId="7" applyNumberFormat="1" applyFont="1" applyFill="1" applyBorder="1" applyAlignment="1">
      <alignment horizontal="center" vertical="center"/>
    </xf>
    <xf numFmtId="0" fontId="4" fillId="5" borderId="0" xfId="0" applyFont="1" applyFill="1" applyAlignment="1">
      <alignment vertical="center"/>
    </xf>
    <xf numFmtId="166" fontId="4" fillId="13" borderId="33" xfId="7" applyNumberFormat="1" applyFont="1" applyFill="1" applyBorder="1" applyAlignment="1">
      <alignment vertical="center"/>
    </xf>
    <xf numFmtId="166" fontId="4" fillId="0" borderId="0" xfId="0" applyNumberFormat="1" applyFont="1" applyAlignment="1">
      <alignment vertical="center"/>
    </xf>
    <xf numFmtId="0" fontId="11" fillId="5" borderId="33" xfId="0" applyFont="1" applyFill="1" applyBorder="1" applyAlignment="1">
      <alignment vertical="center"/>
    </xf>
    <xf numFmtId="166" fontId="26" fillId="5" borderId="33" xfId="1" applyNumberFormat="1" applyFont="1" applyFill="1" applyBorder="1" applyAlignment="1">
      <alignment vertical="center"/>
    </xf>
    <xf numFmtId="166" fontId="26" fillId="5" borderId="33" xfId="0" applyNumberFormat="1" applyFont="1" applyFill="1" applyBorder="1" applyAlignment="1">
      <alignment vertical="center"/>
    </xf>
    <xf numFmtId="169" fontId="32" fillId="5" borderId="33" xfId="6" applyNumberFormat="1" applyFont="1" applyFill="1" applyBorder="1" applyAlignment="1">
      <alignment vertical="center"/>
    </xf>
    <xf numFmtId="166" fontId="0" fillId="14" borderId="33" xfId="1" applyNumberFormat="1" applyFont="1" applyFill="1" applyBorder="1"/>
    <xf numFmtId="0" fontId="0" fillId="14" borderId="33" xfId="0" applyFill="1" applyBorder="1"/>
    <xf numFmtId="3" fontId="4" fillId="5" borderId="33" xfId="0" applyNumberFormat="1" applyFont="1" applyFill="1" applyBorder="1"/>
    <xf numFmtId="0" fontId="4" fillId="15" borderId="42" xfId="0" applyFont="1" applyFill="1" applyBorder="1" applyAlignment="1">
      <alignment horizontal="center"/>
    </xf>
    <xf numFmtId="0" fontId="4" fillId="15" borderId="33" xfId="0" applyFont="1" applyFill="1" applyBorder="1"/>
    <xf numFmtId="0" fontId="15" fillId="15" borderId="33" xfId="0" applyFont="1" applyFill="1" applyBorder="1" applyAlignment="1" applyProtection="1">
      <alignment vertical="center"/>
      <protection locked="0"/>
    </xf>
    <xf numFmtId="0" fontId="15" fillId="15" borderId="43" xfId="0" applyFont="1" applyFill="1" applyBorder="1" applyAlignment="1" applyProtection="1">
      <alignment vertical="center"/>
      <protection locked="0"/>
    </xf>
    <xf numFmtId="0" fontId="15" fillId="15" borderId="42" xfId="0" applyFont="1" applyFill="1" applyBorder="1" applyAlignment="1" applyProtection="1">
      <alignment vertical="center"/>
      <protection locked="0"/>
    </xf>
    <xf numFmtId="166" fontId="4" fillId="15" borderId="33" xfId="1" applyNumberFormat="1" applyFont="1" applyFill="1" applyBorder="1" applyAlignment="1">
      <alignment vertical="center"/>
    </xf>
    <xf numFmtId="166" fontId="4" fillId="15" borderId="33" xfId="0" applyNumberFormat="1" applyFont="1" applyFill="1" applyBorder="1" applyAlignment="1">
      <alignment vertical="center"/>
    </xf>
    <xf numFmtId="168" fontId="15" fillId="15" borderId="42" xfId="0" applyNumberFormat="1" applyFont="1" applyFill="1" applyBorder="1" applyAlignment="1" applyProtection="1">
      <alignment vertical="center"/>
      <protection locked="0"/>
    </xf>
    <xf numFmtId="166" fontId="4" fillId="15" borderId="33" xfId="1" applyNumberFormat="1" applyFont="1" applyFill="1" applyBorder="1"/>
    <xf numFmtId="0" fontId="4" fillId="15" borderId="0" xfId="0" applyFont="1" applyFill="1"/>
    <xf numFmtId="167" fontId="4" fillId="0" borderId="0" xfId="0" applyNumberFormat="1" applyFont="1"/>
    <xf numFmtId="0" fontId="7" fillId="0" borderId="49" xfId="0" applyFont="1" applyBorder="1" applyAlignment="1">
      <alignment vertical="center"/>
    </xf>
    <xf numFmtId="166" fontId="0" fillId="0" borderId="0" xfId="1" applyNumberFormat="1" applyFont="1"/>
    <xf numFmtId="166" fontId="12" fillId="0" borderId="0" xfId="0" applyNumberFormat="1" applyFont="1"/>
    <xf numFmtId="167" fontId="11" fillId="0" borderId="33" xfId="2" applyNumberFormat="1" applyFont="1" applyFill="1" applyBorder="1"/>
    <xf numFmtId="166" fontId="13" fillId="5" borderId="33" xfId="1" applyNumberFormat="1" applyFont="1" applyFill="1" applyBorder="1"/>
    <xf numFmtId="166" fontId="6" fillId="5" borderId="39" xfId="1" applyNumberFormat="1" applyFont="1" applyFill="1" applyBorder="1"/>
    <xf numFmtId="166" fontId="6" fillId="5" borderId="33" xfId="1" applyNumberFormat="1" applyFont="1" applyFill="1" applyBorder="1"/>
    <xf numFmtId="166" fontId="27" fillId="0" borderId="33" xfId="1" applyNumberFormat="1" applyFont="1" applyBorder="1"/>
    <xf numFmtId="166" fontId="27" fillId="0" borderId="33" xfId="1" applyNumberFormat="1" applyFont="1" applyFill="1" applyBorder="1"/>
    <xf numFmtId="0" fontId="8" fillId="0" borderId="32" xfId="0" applyFont="1" applyBorder="1" applyAlignment="1">
      <alignment horizontal="center"/>
    </xf>
    <xf numFmtId="0" fontId="9" fillId="0" borderId="49" xfId="0" applyFont="1" applyBorder="1" applyAlignment="1">
      <alignment horizontal="center" vertical="center"/>
    </xf>
    <xf numFmtId="0" fontId="6" fillId="0" borderId="64" xfId="0" applyFont="1" applyBorder="1" applyAlignment="1">
      <alignment horizontal="center" vertical="center"/>
    </xf>
    <xf numFmtId="0" fontId="6" fillId="0" borderId="63" xfId="0" applyFont="1" applyBorder="1" applyAlignment="1">
      <alignment horizontal="center" vertical="center"/>
    </xf>
    <xf numFmtId="0" fontId="6" fillId="16" borderId="63" xfId="0" applyFont="1" applyFill="1" applyBorder="1" applyAlignment="1">
      <alignment horizontal="center" vertical="center"/>
    </xf>
    <xf numFmtId="167" fontId="7" fillId="16" borderId="37" xfId="2" applyNumberFormat="1" applyFont="1" applyFill="1" applyBorder="1"/>
    <xf numFmtId="167" fontId="4" fillId="16" borderId="33" xfId="2" applyNumberFormat="1" applyFont="1" applyFill="1" applyBorder="1"/>
    <xf numFmtId="0" fontId="4" fillId="17" borderId="33" xfId="0" applyFont="1" applyFill="1" applyBorder="1" applyAlignment="1">
      <alignment horizontal="center"/>
    </xf>
    <xf numFmtId="0" fontId="4" fillId="17" borderId="33" xfId="0" applyFont="1" applyFill="1" applyBorder="1"/>
    <xf numFmtId="166" fontId="4" fillId="17" borderId="33" xfId="1" applyNumberFormat="1" applyFont="1" applyFill="1" applyBorder="1" applyAlignment="1">
      <alignment vertical="center"/>
    </xf>
    <xf numFmtId="166" fontId="4" fillId="17" borderId="33" xfId="0" applyNumberFormat="1" applyFont="1" applyFill="1" applyBorder="1" applyAlignment="1">
      <alignment vertical="center"/>
    </xf>
    <xf numFmtId="167" fontId="4" fillId="17" borderId="33" xfId="2" applyNumberFormat="1" applyFont="1" applyFill="1" applyBorder="1"/>
    <xf numFmtId="167" fontId="4" fillId="17" borderId="33" xfId="0" applyNumberFormat="1" applyFont="1" applyFill="1" applyBorder="1"/>
    <xf numFmtId="0" fontId="4" fillId="17" borderId="0" xfId="0" applyFont="1" applyFill="1"/>
    <xf numFmtId="165" fontId="4" fillId="0" borderId="0" xfId="0" applyNumberFormat="1" applyFont="1"/>
    <xf numFmtId="0" fontId="6" fillId="0" borderId="66" xfId="0" applyFont="1" applyBorder="1" applyAlignment="1">
      <alignment horizontal="center" vertical="center"/>
    </xf>
    <xf numFmtId="167" fontId="7" fillId="0" borderId="3" xfId="2" applyNumberFormat="1" applyFont="1" applyFill="1" applyBorder="1"/>
    <xf numFmtId="166" fontId="4" fillId="9" borderId="33" xfId="0" applyNumberFormat="1" applyFont="1" applyFill="1" applyBorder="1" applyAlignment="1">
      <alignment vertical="top"/>
    </xf>
    <xf numFmtId="166" fontId="4" fillId="5" borderId="39" xfId="1" applyNumberFormat="1" applyFont="1" applyFill="1" applyBorder="1"/>
    <xf numFmtId="0" fontId="12" fillId="0" borderId="0" xfId="0" applyFont="1"/>
    <xf numFmtId="166" fontId="34" fillId="0" borderId="0" xfId="0" applyNumberFormat="1" applyFont="1"/>
    <xf numFmtId="0" fontId="28" fillId="0" borderId="33" xfId="0" applyFont="1" applyBorder="1" applyAlignment="1">
      <alignment horizontal="left" vertical="center" wrapText="1"/>
    </xf>
    <xf numFmtId="166" fontId="7" fillId="0" borderId="37" xfId="1" applyNumberFormat="1" applyFont="1" applyFill="1" applyBorder="1"/>
    <xf numFmtId="166" fontId="0" fillId="0" borderId="0" xfId="1" applyNumberFormat="1" applyFont="1" applyFill="1" applyBorder="1"/>
    <xf numFmtId="43" fontId="0" fillId="0" borderId="0" xfId="0" applyNumberFormat="1"/>
    <xf numFmtId="169" fontId="11" fillId="0" borderId="33" xfId="6" applyNumberFormat="1" applyFont="1" applyFill="1" applyBorder="1" applyAlignment="1">
      <alignment vertical="center"/>
    </xf>
    <xf numFmtId="165" fontId="0" fillId="0" borderId="0" xfId="1" applyFont="1"/>
    <xf numFmtId="0" fontId="4" fillId="19" borderId="33" xfId="0" applyFont="1" applyFill="1" applyBorder="1" applyAlignment="1">
      <alignment horizontal="center" vertical="center"/>
    </xf>
    <xf numFmtId="0" fontId="4" fillId="19" borderId="33" xfId="0" applyFont="1" applyFill="1" applyBorder="1" applyAlignment="1">
      <alignment vertical="center"/>
    </xf>
    <xf numFmtId="0" fontId="11" fillId="19" borderId="33" xfId="0" applyFont="1" applyFill="1" applyBorder="1" applyAlignment="1">
      <alignment horizontal="left" vertical="center"/>
    </xf>
    <xf numFmtId="166" fontId="4" fillId="19" borderId="33" xfId="1" applyNumberFormat="1" applyFont="1" applyFill="1" applyBorder="1" applyAlignment="1">
      <alignment vertical="center"/>
    </xf>
    <xf numFmtId="166" fontId="4" fillId="19" borderId="33" xfId="0" applyNumberFormat="1" applyFont="1" applyFill="1" applyBorder="1" applyAlignment="1">
      <alignment vertical="center"/>
    </xf>
    <xf numFmtId="169" fontId="0" fillId="19" borderId="33" xfId="6" applyNumberFormat="1" applyFont="1" applyFill="1" applyBorder="1" applyAlignment="1">
      <alignment vertical="center"/>
    </xf>
    <xf numFmtId="166" fontId="4" fillId="19" borderId="33" xfId="7" applyNumberFormat="1" applyFont="1" applyFill="1" applyBorder="1" applyAlignment="1">
      <alignment horizontal="center" vertical="center"/>
    </xf>
    <xf numFmtId="166" fontId="4" fillId="19" borderId="33" xfId="7" applyNumberFormat="1" applyFont="1" applyFill="1" applyBorder="1" applyAlignment="1">
      <alignment vertical="center"/>
    </xf>
    <xf numFmtId="0" fontId="4" fillId="19" borderId="0" xfId="0" applyFont="1" applyFill="1" applyAlignment="1">
      <alignment vertical="center"/>
    </xf>
    <xf numFmtId="0" fontId="0" fillId="0" borderId="43" xfId="0" applyBorder="1"/>
    <xf numFmtId="165" fontId="4" fillId="0" borderId="33" xfId="1" applyFont="1" applyFill="1" applyBorder="1"/>
    <xf numFmtId="166" fontId="36" fillId="0" borderId="0" xfId="0" applyNumberFormat="1" applyFont="1"/>
    <xf numFmtId="0" fontId="12" fillId="5" borderId="48" xfId="0" applyFont="1" applyFill="1" applyBorder="1" applyAlignment="1">
      <alignment horizontal="center" vertical="center"/>
    </xf>
    <xf numFmtId="0" fontId="12" fillId="5" borderId="2" xfId="0" applyFont="1" applyFill="1" applyBorder="1" applyAlignment="1">
      <alignment horizontal="center" vertical="center"/>
    </xf>
    <xf numFmtId="0" fontId="6" fillId="0" borderId="36" xfId="0" applyFont="1" applyBorder="1" applyAlignment="1">
      <alignment horizontal="center" vertical="center"/>
    </xf>
    <xf numFmtId="0" fontId="6" fillId="0" borderId="16" xfId="0" applyFont="1" applyBorder="1" applyAlignment="1">
      <alignment horizontal="center" vertical="center"/>
    </xf>
    <xf numFmtId="166" fontId="0" fillId="0" borderId="1" xfId="0" applyNumberFormat="1" applyBorder="1"/>
    <xf numFmtId="166" fontId="0" fillId="0" borderId="2" xfId="0" applyNumberFormat="1" applyBorder="1"/>
    <xf numFmtId="166" fontId="0" fillId="0" borderId="9" xfId="0" applyNumberFormat="1" applyBorder="1"/>
    <xf numFmtId="166" fontId="0" fillId="0" borderId="10" xfId="0" applyNumberFormat="1" applyBorder="1"/>
    <xf numFmtId="0" fontId="0" fillId="0" borderId="23" xfId="0" applyBorder="1"/>
    <xf numFmtId="0" fontId="0" fillId="0" borderId="24" xfId="0" applyBorder="1"/>
    <xf numFmtId="166" fontId="0" fillId="0" borderId="37" xfId="0" applyNumberFormat="1" applyBorder="1"/>
    <xf numFmtId="166" fontId="0" fillId="0" borderId="67" xfId="0" applyNumberFormat="1" applyBorder="1"/>
    <xf numFmtId="0" fontId="0" fillId="0" borderId="68" xfId="0" applyBorder="1"/>
    <xf numFmtId="166" fontId="0" fillId="0" borderId="24" xfId="0" applyNumberFormat="1" applyBorder="1"/>
    <xf numFmtId="166" fontId="12" fillId="5" borderId="69" xfId="0" applyNumberFormat="1" applyFont="1" applyFill="1" applyBorder="1"/>
    <xf numFmtId="0" fontId="12" fillId="21" borderId="0" xfId="0" applyFont="1" applyFill="1"/>
    <xf numFmtId="166" fontId="12" fillId="21" borderId="0" xfId="0" applyNumberFormat="1" applyFont="1" applyFill="1"/>
    <xf numFmtId="166" fontId="12" fillId="22" borderId="0" xfId="0" applyNumberFormat="1" applyFont="1" applyFill="1"/>
    <xf numFmtId="0" fontId="6" fillId="23" borderId="28" xfId="0" applyFont="1" applyFill="1" applyBorder="1" applyAlignment="1">
      <alignment horizontal="center" vertical="center"/>
    </xf>
    <xf numFmtId="166" fontId="0" fillId="23" borderId="20" xfId="1" applyNumberFormat="1" applyFont="1" applyFill="1" applyBorder="1"/>
    <xf numFmtId="166" fontId="0" fillId="23" borderId="33" xfId="1" applyNumberFormat="1" applyFont="1" applyFill="1" applyBorder="1"/>
    <xf numFmtId="0" fontId="41" fillId="0" borderId="45" xfId="0" applyFont="1" applyBorder="1"/>
    <xf numFmtId="166" fontId="41" fillId="0" borderId="0" xfId="1" applyNumberFormat="1" applyFont="1" applyBorder="1"/>
    <xf numFmtId="0" fontId="6" fillId="0" borderId="1" xfId="0" applyFont="1" applyBorder="1" applyAlignment="1">
      <alignment horizontal="center" vertical="center"/>
    </xf>
    <xf numFmtId="0" fontId="6" fillId="0" borderId="37" xfId="0" applyFont="1" applyBorder="1" applyAlignment="1">
      <alignment horizontal="center" vertical="center"/>
    </xf>
    <xf numFmtId="0" fontId="7" fillId="0" borderId="50" xfId="0" applyFont="1" applyBorder="1" applyAlignment="1">
      <alignment horizontal="center" vertical="center"/>
    </xf>
    <xf numFmtId="0" fontId="7" fillId="0" borderId="61" xfId="0" applyFont="1" applyBorder="1" applyAlignment="1">
      <alignment horizontal="center" vertical="center"/>
    </xf>
    <xf numFmtId="0" fontId="7" fillId="6" borderId="50" xfId="0" applyFont="1" applyFill="1" applyBorder="1" applyAlignment="1">
      <alignment horizontal="center" vertical="center"/>
    </xf>
    <xf numFmtId="0" fontId="7" fillId="6" borderId="61" xfId="0" applyFont="1" applyFill="1" applyBorder="1" applyAlignment="1">
      <alignment horizontal="center" vertical="center"/>
    </xf>
    <xf numFmtId="0" fontId="6" fillId="18" borderId="34" xfId="0" applyFont="1" applyFill="1" applyBorder="1" applyAlignment="1">
      <alignment horizontal="center" vertical="center" wrapText="1"/>
    </xf>
    <xf numFmtId="0" fontId="6" fillId="18" borderId="35" xfId="0" applyFont="1" applyFill="1" applyBorder="1" applyAlignment="1">
      <alignment horizontal="center" vertical="center" wrapText="1"/>
    </xf>
    <xf numFmtId="0" fontId="6" fillId="18" borderId="25" xfId="0" applyFont="1" applyFill="1" applyBorder="1" applyAlignment="1">
      <alignment horizontal="center" vertical="center" wrapText="1"/>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25" xfId="0" applyFont="1" applyBorder="1" applyAlignment="1">
      <alignment horizontal="center" vertical="center" wrapText="1"/>
    </xf>
    <xf numFmtId="0" fontId="12" fillId="0" borderId="34" xfId="0" applyFont="1" applyBorder="1" applyAlignment="1">
      <alignment horizontal="center" vertical="center" wrapText="1"/>
    </xf>
    <xf numFmtId="0" fontId="12" fillId="0" borderId="35" xfId="0" applyFont="1" applyBorder="1" applyAlignment="1">
      <alignment horizontal="center" vertical="center" wrapText="1"/>
    </xf>
    <xf numFmtId="0" fontId="12" fillId="0" borderId="25"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25" xfId="0" applyFont="1" applyBorder="1" applyAlignment="1">
      <alignment horizontal="center" vertical="center" wrapText="1"/>
    </xf>
    <xf numFmtId="0" fontId="4" fillId="3" borderId="34" xfId="0" applyFont="1" applyFill="1" applyBorder="1" applyAlignment="1">
      <alignment horizontal="center" vertical="center" wrapText="1"/>
    </xf>
    <xf numFmtId="0" fontId="4" fillId="3" borderId="35"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6" fillId="6" borderId="34" xfId="0" applyFont="1" applyFill="1" applyBorder="1" applyAlignment="1">
      <alignment horizontal="center" vertical="center" wrapText="1"/>
    </xf>
    <xf numFmtId="0" fontId="6" fillId="6" borderId="35" xfId="0" applyFont="1" applyFill="1" applyBorder="1" applyAlignment="1">
      <alignment horizontal="center" vertical="center" wrapText="1"/>
    </xf>
    <xf numFmtId="0" fontId="6" fillId="6" borderId="25" xfId="0" applyFont="1" applyFill="1" applyBorder="1" applyAlignment="1">
      <alignment horizontal="center" vertical="center" wrapText="1"/>
    </xf>
    <xf numFmtId="0" fontId="12" fillId="0" borderId="0" xfId="0" applyFont="1" applyAlignment="1">
      <alignment horizont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8" xfId="0" applyBorder="1" applyAlignment="1">
      <alignment horizontal="center" vertical="center" wrapText="1"/>
    </xf>
    <xf numFmtId="0" fontId="0" fillId="0" borderId="31" xfId="0" applyBorder="1" applyAlignment="1">
      <alignment horizontal="center" vertical="center" wrapText="1"/>
    </xf>
    <xf numFmtId="0" fontId="37" fillId="0" borderId="3" xfId="0" applyFont="1" applyBorder="1" applyAlignment="1">
      <alignment horizontal="center" vertical="center" wrapText="1"/>
    </xf>
    <xf numFmtId="0" fontId="37" fillId="0" borderId="4" xfId="0" applyFont="1" applyBorder="1" applyAlignment="1">
      <alignment horizontal="center" vertical="center" wrapText="1"/>
    </xf>
    <xf numFmtId="0" fontId="37" fillId="0" borderId="28" xfId="0" applyFont="1" applyBorder="1" applyAlignment="1">
      <alignment horizontal="center" vertical="center" wrapText="1"/>
    </xf>
    <xf numFmtId="0" fontId="37" fillId="0" borderId="31" xfId="0" applyFont="1" applyBorder="1" applyAlignment="1">
      <alignment horizontal="center" vertical="center" wrapText="1"/>
    </xf>
    <xf numFmtId="0" fontId="7" fillId="0" borderId="49" xfId="0" applyFont="1" applyBorder="1" applyAlignment="1">
      <alignment horizontal="center" vertical="center"/>
    </xf>
    <xf numFmtId="0" fontId="6" fillId="0" borderId="62"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6" fillId="0" borderId="19" xfId="0" applyFont="1" applyBorder="1" applyAlignment="1">
      <alignment horizontal="center" vertical="center"/>
    </xf>
    <xf numFmtId="0" fontId="6" fillId="0" borderId="22" xfId="0" applyFont="1" applyBorder="1" applyAlignment="1">
      <alignment horizontal="center" vertical="center"/>
    </xf>
    <xf numFmtId="0" fontId="4" fillId="0" borderId="19" xfId="0" applyFont="1" applyBorder="1" applyAlignment="1">
      <alignment horizontal="center" vertical="center"/>
    </xf>
    <xf numFmtId="0" fontId="6" fillId="0" borderId="64" xfId="0" applyFont="1" applyBorder="1" applyAlignment="1">
      <alignment horizontal="center" vertical="center"/>
    </xf>
    <xf numFmtId="0" fontId="8" fillId="10" borderId="13" xfId="0" applyFont="1" applyFill="1" applyBorder="1" applyAlignment="1">
      <alignment horizontal="center" vertical="center"/>
    </xf>
    <xf numFmtId="0" fontId="8" fillId="10" borderId="14" xfId="0" applyFont="1" applyFill="1" applyBorder="1" applyAlignment="1">
      <alignment horizontal="center" vertical="center"/>
    </xf>
    <xf numFmtId="0" fontId="8" fillId="10" borderId="65" xfId="0" applyFont="1" applyFill="1" applyBorder="1" applyAlignment="1">
      <alignment horizontal="center" vertical="center"/>
    </xf>
    <xf numFmtId="0" fontId="4" fillId="10" borderId="34" xfId="0" applyFont="1" applyFill="1" applyBorder="1" applyAlignment="1">
      <alignment horizontal="center" vertical="center" wrapText="1"/>
    </xf>
    <xf numFmtId="0" fontId="4" fillId="10" borderId="25" xfId="0" applyFont="1" applyFill="1" applyBorder="1" applyAlignment="1">
      <alignment horizontal="center" vertical="center" wrapText="1"/>
    </xf>
    <xf numFmtId="0" fontId="4" fillId="0" borderId="57" xfId="0" applyFont="1" applyBorder="1" applyAlignment="1">
      <alignment horizontal="center" vertical="center" wrapText="1"/>
    </xf>
    <xf numFmtId="0" fontId="4" fillId="0" borderId="26" xfId="0" applyFont="1" applyBorder="1" applyAlignment="1">
      <alignment horizontal="center" vertical="center"/>
    </xf>
    <xf numFmtId="0" fontId="4" fillId="0" borderId="58" xfId="0" applyFont="1" applyBorder="1" applyAlignment="1">
      <alignment horizontal="center" vertical="center" wrapText="1"/>
    </xf>
    <xf numFmtId="0" fontId="4" fillId="0" borderId="27" xfId="0" applyFont="1" applyBorder="1" applyAlignment="1">
      <alignment horizontal="center" vertical="center"/>
    </xf>
    <xf numFmtId="0" fontId="6" fillId="0" borderId="2"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24"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8" fillId="0" borderId="5"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4" fillId="9" borderId="34" xfId="0" applyFont="1" applyFill="1" applyBorder="1" applyAlignment="1">
      <alignment horizontal="center" vertical="center" wrapText="1"/>
    </xf>
    <xf numFmtId="0" fontId="4" fillId="9" borderId="35" xfId="0" applyFont="1" applyFill="1" applyBorder="1" applyAlignment="1">
      <alignment horizontal="center" vertical="center" wrapText="1"/>
    </xf>
    <xf numFmtId="0" fontId="4" fillId="9" borderId="25" xfId="0" applyFont="1" applyFill="1" applyBorder="1" applyAlignment="1">
      <alignment horizontal="center" vertical="center" wrapText="1"/>
    </xf>
    <xf numFmtId="0" fontId="7" fillId="10" borderId="47" xfId="0" applyFont="1" applyFill="1" applyBorder="1" applyAlignment="1">
      <alignment horizontal="center" vertical="center"/>
    </xf>
    <xf numFmtId="0" fontId="7" fillId="10" borderId="52" xfId="0" applyFont="1" applyFill="1" applyBorder="1" applyAlignment="1">
      <alignment horizontal="center" vertical="center"/>
    </xf>
    <xf numFmtId="0" fontId="7" fillId="10" borderId="48" xfId="0" applyFont="1" applyFill="1" applyBorder="1" applyAlignment="1">
      <alignment horizontal="center" vertical="center"/>
    </xf>
    <xf numFmtId="0" fontId="7" fillId="10" borderId="56" xfId="0" applyFont="1" applyFill="1" applyBorder="1" applyAlignment="1">
      <alignment horizontal="center" vertical="center"/>
    </xf>
    <xf numFmtId="0" fontId="4" fillId="10" borderId="47" xfId="0" applyFont="1" applyFill="1" applyBorder="1" applyAlignment="1">
      <alignment horizontal="center" vertical="center"/>
    </xf>
    <xf numFmtId="0" fontId="4" fillId="10" borderId="52" xfId="0" applyFont="1" applyFill="1" applyBorder="1" applyAlignment="1">
      <alignment horizontal="center" vertical="center"/>
    </xf>
    <xf numFmtId="0" fontId="4" fillId="10" borderId="53" xfId="0" applyFont="1" applyFill="1" applyBorder="1" applyAlignment="1">
      <alignment horizontal="center" vertical="center"/>
    </xf>
    <xf numFmtId="0" fontId="4" fillId="10" borderId="54" xfId="0" applyFont="1" applyFill="1" applyBorder="1" applyAlignment="1">
      <alignment horizontal="center" vertical="center"/>
    </xf>
    <xf numFmtId="0" fontId="4" fillId="10" borderId="35" xfId="0" applyFont="1" applyFill="1" applyBorder="1" applyAlignment="1">
      <alignment horizontal="center" vertical="center" wrapText="1"/>
    </xf>
    <xf numFmtId="0" fontId="4" fillId="10" borderId="25" xfId="0" applyFont="1" applyFill="1" applyBorder="1" applyAlignment="1">
      <alignment horizontal="center" vertical="center"/>
    </xf>
    <xf numFmtId="0" fontId="4" fillId="10" borderId="34" xfId="0" applyFont="1" applyFill="1" applyBorder="1" applyAlignment="1">
      <alignment horizontal="center" vertical="center"/>
    </xf>
    <xf numFmtId="0" fontId="8" fillId="0" borderId="8" xfId="0" applyFont="1" applyBorder="1" applyAlignment="1">
      <alignment horizont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15"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8" fillId="0" borderId="65" xfId="0" applyFont="1" applyBorder="1" applyAlignment="1">
      <alignment horizontal="center" vertical="center"/>
    </xf>
    <xf numFmtId="0" fontId="4" fillId="11" borderId="2" xfId="0" applyFont="1" applyFill="1" applyBorder="1" applyAlignment="1">
      <alignment horizontal="center" vertical="center" wrapText="1"/>
    </xf>
    <xf numFmtId="0" fontId="4" fillId="11" borderId="10" xfId="0" applyFont="1" applyFill="1" applyBorder="1" applyAlignment="1">
      <alignment horizontal="center" vertical="center" wrapText="1"/>
    </xf>
    <xf numFmtId="0" fontId="4" fillId="11" borderId="24"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9" xfId="0" applyFont="1" applyBorder="1" applyAlignment="1">
      <alignment horizontal="center" vertical="center" wrapText="1"/>
    </xf>
    <xf numFmtId="0" fontId="6" fillId="0" borderId="23" xfId="0" applyFont="1" applyBorder="1" applyAlignment="1">
      <alignment horizontal="center" vertical="center" wrapText="1"/>
    </xf>
    <xf numFmtId="0" fontId="4" fillId="11" borderId="34" xfId="0" applyFont="1" applyFill="1" applyBorder="1" applyAlignment="1">
      <alignment horizontal="center" vertical="center" wrapText="1"/>
    </xf>
    <xf numFmtId="0" fontId="4" fillId="11" borderId="35" xfId="0" applyFont="1" applyFill="1" applyBorder="1" applyAlignment="1">
      <alignment horizontal="center" vertical="center" wrapText="1"/>
    </xf>
    <xf numFmtId="0" fontId="4" fillId="11" borderId="25" xfId="0" applyFont="1" applyFill="1" applyBorder="1" applyAlignment="1">
      <alignment horizontal="center" vertical="center" wrapText="1"/>
    </xf>
    <xf numFmtId="0" fontId="6" fillId="11" borderId="34" xfId="0" applyFont="1" applyFill="1" applyBorder="1" applyAlignment="1">
      <alignment horizontal="center" vertical="center" wrapText="1"/>
    </xf>
    <xf numFmtId="0" fontId="6" fillId="11" borderId="35" xfId="0" applyFont="1" applyFill="1" applyBorder="1" applyAlignment="1">
      <alignment horizontal="center" vertical="center" wrapText="1"/>
    </xf>
    <xf numFmtId="0" fontId="6" fillId="11" borderId="25" xfId="0" applyFont="1" applyFill="1" applyBorder="1" applyAlignment="1">
      <alignment horizontal="center" vertical="center" wrapText="1"/>
    </xf>
    <xf numFmtId="0" fontId="13" fillId="0" borderId="34" xfId="0" applyFont="1" applyBorder="1" applyAlignment="1">
      <alignment horizontal="center" vertical="center" wrapText="1"/>
    </xf>
    <xf numFmtId="0" fontId="13" fillId="0" borderId="35" xfId="0" applyFont="1" applyBorder="1" applyAlignment="1">
      <alignment horizontal="center" vertical="center" wrapText="1"/>
    </xf>
    <xf numFmtId="0" fontId="13" fillId="0" borderId="25" xfId="0" applyFont="1" applyBorder="1" applyAlignment="1">
      <alignment horizontal="center" vertical="center" wrapText="1"/>
    </xf>
    <xf numFmtId="0" fontId="8" fillId="10" borderId="15" xfId="0" applyFont="1" applyFill="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8" borderId="6" xfId="0" applyFont="1" applyFill="1" applyBorder="1" applyAlignment="1">
      <alignment horizontal="center" vertical="center"/>
    </xf>
    <xf numFmtId="0" fontId="8" fillId="8" borderId="7" xfId="0" applyFont="1" applyFill="1" applyBorder="1" applyAlignment="1">
      <alignment horizontal="center" vertical="center"/>
    </xf>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13" fillId="0" borderId="2"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24" xfId="0" applyFont="1" applyBorder="1" applyAlignment="1">
      <alignment horizontal="center" vertical="center" wrapText="1"/>
    </xf>
    <xf numFmtId="0" fontId="8" fillId="20" borderId="13" xfId="0" applyFont="1" applyFill="1" applyBorder="1" applyAlignment="1">
      <alignment horizontal="center" vertical="center"/>
    </xf>
    <xf numFmtId="0" fontId="8" fillId="20" borderId="14" xfId="0" applyFont="1" applyFill="1" applyBorder="1" applyAlignment="1">
      <alignment horizontal="center" vertical="center"/>
    </xf>
    <xf numFmtId="0" fontId="8" fillId="20" borderId="15" xfId="0" applyFont="1" applyFill="1" applyBorder="1" applyAlignment="1">
      <alignment horizontal="center" vertical="center"/>
    </xf>
    <xf numFmtId="0" fontId="6" fillId="0" borderId="36" xfId="0" applyFont="1" applyBorder="1" applyAlignment="1">
      <alignment horizontal="center" vertical="center" wrapText="1"/>
    </xf>
    <xf numFmtId="0" fontId="6" fillId="0" borderId="16" xfId="0" applyFont="1" applyBorder="1" applyAlignment="1">
      <alignment horizontal="center" vertical="center" wrapText="1"/>
    </xf>
    <xf numFmtId="167" fontId="6" fillId="0" borderId="2" xfId="2" applyNumberFormat="1" applyFont="1" applyBorder="1" applyAlignment="1">
      <alignment horizontal="center" vertical="center" wrapText="1"/>
    </xf>
    <xf numFmtId="167" fontId="6" fillId="0" borderId="10" xfId="2" applyNumberFormat="1" applyFont="1" applyBorder="1" applyAlignment="1">
      <alignment horizontal="center" vertical="center" wrapText="1"/>
    </xf>
    <xf numFmtId="167" fontId="6" fillId="0" borderId="24" xfId="2" applyNumberFormat="1" applyFont="1" applyBorder="1" applyAlignment="1">
      <alignment horizontal="center" vertical="center" wrapText="1"/>
    </xf>
    <xf numFmtId="0" fontId="6" fillId="9" borderId="34" xfId="0" applyFont="1" applyFill="1" applyBorder="1" applyAlignment="1">
      <alignment horizontal="center" vertical="center" wrapText="1"/>
    </xf>
    <xf numFmtId="0" fontId="6" fillId="9" borderId="35" xfId="0" applyFont="1" applyFill="1" applyBorder="1" applyAlignment="1">
      <alignment horizontal="center" vertical="center" wrapText="1"/>
    </xf>
    <xf numFmtId="0" fontId="6" fillId="9" borderId="25"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9"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65" xfId="0" applyFont="1" applyBorder="1" applyAlignment="1">
      <alignment horizontal="center" vertical="center"/>
    </xf>
    <xf numFmtId="0" fontId="4" fillId="10" borderId="13" xfId="0" applyFont="1" applyFill="1" applyBorder="1" applyAlignment="1">
      <alignment horizontal="center" vertical="center"/>
    </xf>
    <xf numFmtId="0" fontId="4" fillId="10" borderId="14" xfId="0" applyFont="1" applyFill="1" applyBorder="1" applyAlignment="1">
      <alignment horizontal="center" vertical="center"/>
    </xf>
    <xf numFmtId="0" fontId="4" fillId="10" borderId="65" xfId="0" applyFont="1" applyFill="1" applyBorder="1" applyAlignment="1">
      <alignment horizontal="center" vertical="center"/>
    </xf>
    <xf numFmtId="0" fontId="4" fillId="0" borderId="19" xfId="0" applyFont="1" applyBorder="1" applyAlignment="1">
      <alignment horizontal="left" vertical="center"/>
    </xf>
    <xf numFmtId="0" fontId="4" fillId="0" borderId="20" xfId="0" applyFont="1" applyBorder="1" applyAlignment="1">
      <alignment horizontal="left" vertical="center"/>
    </xf>
    <xf numFmtId="0" fontId="4" fillId="0" borderId="22" xfId="0" applyFont="1" applyBorder="1" applyAlignment="1">
      <alignment horizontal="center" vertical="center"/>
    </xf>
    <xf numFmtId="0" fontId="4" fillId="0" borderId="21" xfId="0" applyFont="1" applyBorder="1" applyAlignment="1">
      <alignment horizontal="left" vertical="center"/>
    </xf>
    <xf numFmtId="0" fontId="4" fillId="0" borderId="64" xfId="0" applyFont="1" applyBorder="1" applyAlignment="1">
      <alignment horizontal="center" vertical="center"/>
    </xf>
    <xf numFmtId="0" fontId="7" fillId="0" borderId="32" xfId="0" applyFont="1" applyBorder="1" applyAlignment="1">
      <alignment horizontal="right" vertical="top"/>
    </xf>
    <xf numFmtId="0" fontId="4" fillId="0" borderId="50" xfId="0" applyFont="1" applyBorder="1" applyAlignment="1">
      <alignment horizontal="center" vertical="center"/>
    </xf>
    <xf numFmtId="0" fontId="4" fillId="0" borderId="49" xfId="0" applyFont="1" applyBorder="1" applyAlignment="1">
      <alignment horizontal="center" vertical="center"/>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 xfId="0" applyFont="1" applyBorder="1" applyAlignment="1">
      <alignment horizontal="center" vertical="center"/>
    </xf>
    <xf numFmtId="0" fontId="4" fillId="0" borderId="9" xfId="0" applyFont="1" applyBorder="1" applyAlignment="1">
      <alignment horizontal="center" vertical="center"/>
    </xf>
    <xf numFmtId="0" fontId="4" fillId="0" borderId="23" xfId="0" applyFont="1" applyBorder="1" applyAlignment="1">
      <alignment horizontal="center" vertical="center"/>
    </xf>
    <xf numFmtId="0" fontId="4" fillId="0" borderId="28"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10" borderId="15" xfId="0" applyFont="1" applyFill="1" applyBorder="1" applyAlignment="1">
      <alignment horizontal="center" vertical="center"/>
    </xf>
    <xf numFmtId="0" fontId="4" fillId="10" borderId="51" xfId="0" applyFont="1" applyFill="1" applyBorder="1" applyAlignment="1">
      <alignment horizontal="center" vertical="center"/>
    </xf>
    <xf numFmtId="0" fontId="4" fillId="10" borderId="55" xfId="0" applyFont="1" applyFill="1" applyBorder="1" applyAlignment="1">
      <alignment horizontal="center" vertical="center"/>
    </xf>
    <xf numFmtId="0" fontId="6" fillId="11" borderId="2" xfId="0" applyFont="1" applyFill="1" applyBorder="1" applyAlignment="1">
      <alignment horizontal="center" vertical="center" wrapText="1"/>
    </xf>
    <xf numFmtId="0" fontId="6" fillId="11" borderId="10" xfId="0" applyFont="1" applyFill="1" applyBorder="1" applyAlignment="1">
      <alignment horizontal="center" vertical="center" wrapText="1"/>
    </xf>
    <xf numFmtId="0" fontId="6" fillId="11" borderId="24" xfId="0" applyFont="1" applyFill="1" applyBorder="1" applyAlignment="1">
      <alignment horizontal="center" vertical="center" wrapText="1"/>
    </xf>
    <xf numFmtId="0" fontId="4" fillId="0" borderId="8"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5" xfId="0" applyFont="1" applyBorder="1" applyAlignment="1">
      <alignment horizontal="center"/>
    </xf>
    <xf numFmtId="0" fontId="4" fillId="10" borderId="56" xfId="0" applyFont="1" applyFill="1" applyBorder="1" applyAlignment="1">
      <alignment horizontal="center" vertical="center"/>
    </xf>
    <xf numFmtId="43" fontId="7" fillId="0" borderId="32" xfId="6" applyFont="1" applyFill="1" applyBorder="1" applyAlignment="1">
      <alignment horizontal="right"/>
    </xf>
    <xf numFmtId="0" fontId="13" fillId="0" borderId="1"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23" xfId="0" applyFont="1" applyBorder="1" applyAlignment="1">
      <alignment horizontal="center" vertical="center" wrapText="1"/>
    </xf>
    <xf numFmtId="0" fontId="8" fillId="20" borderId="65" xfId="0" applyFont="1" applyFill="1" applyBorder="1" applyAlignment="1">
      <alignment horizontal="center" vertical="center"/>
    </xf>
  </cellXfs>
  <cellStyles count="11">
    <cellStyle name="Comma" xfId="1" builtinId="3"/>
    <cellStyle name="Comma 2" xfId="2" xr:uid="{00000000-0005-0000-0000-000001000000}"/>
    <cellStyle name="Comma 2 2" xfId="10" xr:uid="{F78E4D14-8488-455D-A979-21757C9C6A25}"/>
    <cellStyle name="Comma 3" xfId="6" xr:uid="{00000000-0005-0000-0000-000002000000}"/>
    <cellStyle name="Comma 3 2" xfId="7" xr:uid="{00000000-0005-0000-0000-000003000000}"/>
    <cellStyle name="Normal" xfId="0" builtinId="0"/>
    <cellStyle name="Normal 10" xfId="3" xr:uid="{00000000-0005-0000-0000-000005000000}"/>
    <cellStyle name="Normal 2" xfId="4" xr:uid="{00000000-0005-0000-0000-000006000000}"/>
    <cellStyle name="Normal 2 2" xfId="5" xr:uid="{00000000-0005-0000-0000-000007000000}"/>
    <cellStyle name="Standard 3" xfId="9" xr:uid="{037645A1-51A1-49E2-8A02-343C3B7DBA39}"/>
    <cellStyle name="სათაური" xfId="8" xr:uid="{B2C06FAE-3034-4F0B-9F79-B438F69DE22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B381D9"/>
      <color rgb="FFC9A4E4"/>
      <color rgb="FFE4D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F8327-F51E-4AD6-B8EC-65E059246076}">
  <sheetPr>
    <tabColor rgb="FF92D050"/>
  </sheetPr>
  <dimension ref="B1:AS64"/>
  <sheetViews>
    <sheetView topLeftCell="A18" workbookViewId="0">
      <pane xSplit="2" topLeftCell="C1" activePane="topRight" state="frozen"/>
      <selection pane="topRight" activeCell="H47" sqref="H47"/>
    </sheetView>
  </sheetViews>
  <sheetFormatPr defaultRowHeight="15"/>
  <cols>
    <col min="1" max="1" width="2" customWidth="1"/>
    <col min="2" max="2" width="18.85546875" customWidth="1"/>
    <col min="3" max="3" width="15" customWidth="1"/>
    <col min="4" max="8" width="13.85546875" customWidth="1"/>
    <col min="9" max="9" width="14.42578125" customWidth="1"/>
    <col min="10" max="12" width="13.28515625" bestFit="1" customWidth="1"/>
    <col min="13" max="15" width="12.5703125" bestFit="1" customWidth="1"/>
    <col min="16" max="16" width="14.85546875" bestFit="1" customWidth="1"/>
    <col min="17" max="17" width="12.140625" bestFit="1" customWidth="1"/>
    <col min="18" max="18" width="12.5703125" bestFit="1" customWidth="1"/>
    <col min="19" max="19" width="12.140625" bestFit="1" customWidth="1"/>
    <col min="20" max="20" width="12.5703125" bestFit="1" customWidth="1"/>
    <col min="21" max="25" width="12.140625" bestFit="1" customWidth="1"/>
    <col min="26" max="27" width="11.7109375" bestFit="1" customWidth="1"/>
    <col min="28" max="28" width="10.7109375" bestFit="1" customWidth="1"/>
    <col min="29" max="29" width="12.140625" bestFit="1" customWidth="1"/>
    <col min="30" max="30" width="10.7109375" bestFit="1" customWidth="1"/>
    <col min="31" max="31" width="11.7109375" bestFit="1" customWidth="1"/>
    <col min="32" max="32" width="10.7109375" bestFit="1" customWidth="1"/>
    <col min="33" max="33" width="7.5703125" bestFit="1" customWidth="1"/>
    <col min="34" max="34" width="15.42578125" bestFit="1" customWidth="1"/>
    <col min="35" max="35" width="13.85546875" bestFit="1" customWidth="1"/>
    <col min="36" max="36" width="4.140625" customWidth="1"/>
    <col min="37" max="39" width="12.140625" bestFit="1" customWidth="1"/>
    <col min="40" max="40" width="13.85546875" customWidth="1"/>
    <col min="42" max="43" width="4.7109375" customWidth="1"/>
    <col min="44" max="44" width="13.28515625" bestFit="1" customWidth="1"/>
    <col min="45" max="45" width="12.7109375" bestFit="1" customWidth="1"/>
  </cols>
  <sheetData>
    <row r="1" spans="2:45" ht="15.75" thickBot="1">
      <c r="C1" s="235"/>
      <c r="I1" s="355"/>
      <c r="AK1" s="449" t="s">
        <v>1370</v>
      </c>
      <c r="AL1" s="449"/>
    </row>
    <row r="2" spans="2:45" ht="15.75" thickBot="1">
      <c r="B2" s="382" t="s">
        <v>83</v>
      </c>
      <c r="C2" s="356">
        <f t="shared" ref="C2:AI2" si="0">SUM(C7:C18)</f>
        <v>69009207.789999992</v>
      </c>
      <c r="D2" s="356">
        <f t="shared" si="0"/>
        <v>34912216.289999999</v>
      </c>
      <c r="E2" s="356">
        <f t="shared" si="0"/>
        <v>34096991.5</v>
      </c>
      <c r="F2" s="356">
        <f t="shared" si="0"/>
        <v>40215128.367625833</v>
      </c>
      <c r="G2" s="356">
        <f t="shared" si="0"/>
        <v>35437490</v>
      </c>
      <c r="H2" s="356">
        <f t="shared" si="0"/>
        <v>6118136.8676258298</v>
      </c>
      <c r="I2" s="356">
        <f t="shared" si="0"/>
        <v>4777638.3676258298</v>
      </c>
      <c r="J2" s="356">
        <f t="shared" si="0"/>
        <v>7311091.5</v>
      </c>
      <c r="K2" s="356">
        <f t="shared" si="0"/>
        <v>7073661.4299999997</v>
      </c>
      <c r="L2" s="356">
        <f t="shared" si="0"/>
        <v>7055602.7699999996</v>
      </c>
      <c r="M2" s="356">
        <f t="shared" si="0"/>
        <v>8131350.8799999999</v>
      </c>
      <c r="N2" s="356">
        <f t="shared" si="0"/>
        <v>5732249.0976258302</v>
      </c>
      <c r="O2" s="356">
        <f t="shared" si="0"/>
        <v>5550888.9099999992</v>
      </c>
      <c r="P2" s="356">
        <f t="shared" si="0"/>
        <v>6059175</v>
      </c>
      <c r="Q2" s="356">
        <f t="shared" si="0"/>
        <v>3795234.74</v>
      </c>
      <c r="R2" s="356">
        <f t="shared" si="0"/>
        <v>4317434</v>
      </c>
      <c r="S2" s="356">
        <f t="shared" si="0"/>
        <v>2794387.35</v>
      </c>
      <c r="T2" s="356">
        <f t="shared" si="0"/>
        <v>2981267</v>
      </c>
      <c r="U2" s="356">
        <f t="shared" si="0"/>
        <v>1829512.11</v>
      </c>
      <c r="V2" s="356">
        <f t="shared" si="0"/>
        <v>1807544</v>
      </c>
      <c r="W2" s="356">
        <f t="shared" si="0"/>
        <v>1549510.6099999999</v>
      </c>
      <c r="X2" s="356">
        <f t="shared" si="0"/>
        <v>600000</v>
      </c>
      <c r="Y2" s="356">
        <f t="shared" si="0"/>
        <v>1116445.9800000002</v>
      </c>
      <c r="Z2" s="356">
        <f t="shared" si="0"/>
        <v>550000</v>
      </c>
      <c r="AA2" s="356">
        <f t="shared" si="0"/>
        <v>877075.81</v>
      </c>
      <c r="AB2" s="356">
        <f t="shared" si="0"/>
        <v>400000</v>
      </c>
      <c r="AC2" s="356">
        <f t="shared" si="0"/>
        <v>1187700.94</v>
      </c>
      <c r="AD2" s="356">
        <f t="shared" si="0"/>
        <v>430765</v>
      </c>
      <c r="AE2" s="356">
        <f t="shared" si="0"/>
        <v>1531721.2400000002</v>
      </c>
      <c r="AF2" s="356">
        <f t="shared" si="0"/>
        <v>250000</v>
      </c>
      <c r="AG2" s="356">
        <f t="shared" si="0"/>
        <v>0</v>
      </c>
      <c r="AH2" s="356">
        <f t="shared" si="0"/>
        <v>34399991.5</v>
      </c>
      <c r="AI2" s="356">
        <f t="shared" si="0"/>
        <v>35437490</v>
      </c>
      <c r="AK2" s="401">
        <f>SUM(AK7:AK18)</f>
        <v>3253936.59</v>
      </c>
      <c r="AL2" s="401">
        <f>SUM(AL7:AL18)</f>
        <v>3110440.37</v>
      </c>
      <c r="AN2" s="416">
        <f>AH2+AK2+AL2</f>
        <v>40764368.460000001</v>
      </c>
      <c r="AO2" t="s">
        <v>1374</v>
      </c>
      <c r="AR2" s="401">
        <f>SUM(AR7:AR18)</f>
        <v>6150000</v>
      </c>
      <c r="AS2" s="401">
        <f>SUM(AS7:AS18)</f>
        <v>2850000</v>
      </c>
    </row>
    <row r="3" spans="2:45" ht="16.5" customHeight="1" thickBot="1">
      <c r="B3" s="437" t="s">
        <v>81</v>
      </c>
      <c r="C3" s="440" t="s">
        <v>1178</v>
      </c>
      <c r="D3" s="440" t="s">
        <v>1253</v>
      </c>
      <c r="E3" s="443" t="s">
        <v>1235</v>
      </c>
      <c r="F3" s="431" t="s">
        <v>1378</v>
      </c>
      <c r="G3" s="446" t="s">
        <v>1241</v>
      </c>
      <c r="H3" s="434" t="s">
        <v>1379</v>
      </c>
      <c r="I3" s="431" t="s">
        <v>1380</v>
      </c>
      <c r="J3" s="458"/>
      <c r="K3" s="458"/>
      <c r="L3" s="458"/>
      <c r="M3" s="458"/>
      <c r="N3" s="458"/>
      <c r="O3" s="458"/>
      <c r="P3" s="458"/>
      <c r="Q3" s="458"/>
      <c r="R3" s="458"/>
      <c r="S3" s="458"/>
      <c r="T3" s="458"/>
      <c r="U3" s="458"/>
      <c r="V3" s="458"/>
      <c r="W3" s="458"/>
      <c r="X3" s="458"/>
      <c r="Y3" s="458"/>
      <c r="Z3" s="458"/>
      <c r="AA3" s="458"/>
      <c r="AB3" s="458"/>
      <c r="AC3" s="458"/>
      <c r="AD3" s="458"/>
      <c r="AE3" s="458"/>
      <c r="AF3" s="458"/>
      <c r="AG3" s="458"/>
      <c r="AH3" s="458"/>
      <c r="AI3" s="428"/>
      <c r="AK3" s="450" t="s">
        <v>1371</v>
      </c>
      <c r="AL3" s="451"/>
      <c r="AN3" t="s">
        <v>1375</v>
      </c>
      <c r="AR3" s="454">
        <v>2026</v>
      </c>
      <c r="AS3" s="455"/>
    </row>
    <row r="4" spans="2:45" ht="16.5" thickBot="1">
      <c r="B4" s="438"/>
      <c r="C4" s="441"/>
      <c r="D4" s="441"/>
      <c r="E4" s="444"/>
      <c r="F4" s="432"/>
      <c r="G4" s="447"/>
      <c r="H4" s="435"/>
      <c r="I4" s="432"/>
      <c r="J4" s="458" t="s">
        <v>12</v>
      </c>
      <c r="K4" s="428"/>
      <c r="L4" s="427" t="s">
        <v>13</v>
      </c>
      <c r="M4" s="428"/>
      <c r="N4" s="427" t="s">
        <v>14</v>
      </c>
      <c r="O4" s="428"/>
      <c r="P4" s="427" t="s">
        <v>15</v>
      </c>
      <c r="Q4" s="428"/>
      <c r="R4" s="427" t="s">
        <v>16</v>
      </c>
      <c r="S4" s="428"/>
      <c r="T4" s="427" t="s">
        <v>17</v>
      </c>
      <c r="U4" s="428"/>
      <c r="V4" s="427" t="s">
        <v>18</v>
      </c>
      <c r="W4" s="428"/>
      <c r="X4" s="427" t="s">
        <v>19</v>
      </c>
      <c r="Y4" s="428"/>
      <c r="Z4" s="427" t="s">
        <v>20</v>
      </c>
      <c r="AA4" s="428"/>
      <c r="AB4" s="427" t="s">
        <v>21</v>
      </c>
      <c r="AC4" s="428"/>
      <c r="AD4" s="429" t="s">
        <v>22</v>
      </c>
      <c r="AE4" s="430"/>
      <c r="AF4" s="427" t="s">
        <v>23</v>
      </c>
      <c r="AG4" s="428"/>
      <c r="AH4" s="427" t="s">
        <v>24</v>
      </c>
      <c r="AI4" s="428"/>
      <c r="AK4" s="452"/>
      <c r="AL4" s="453"/>
      <c r="AR4" s="456"/>
      <c r="AS4" s="457"/>
    </row>
    <row r="5" spans="2:45" ht="15" customHeight="1">
      <c r="B5" s="438"/>
      <c r="C5" s="441"/>
      <c r="D5" s="441"/>
      <c r="E5" s="444"/>
      <c r="F5" s="432"/>
      <c r="G5" s="447"/>
      <c r="H5" s="435"/>
      <c r="I5" s="432"/>
      <c r="J5" s="459" t="s">
        <v>25</v>
      </c>
      <c r="K5" s="426"/>
      <c r="L5" s="425" t="s">
        <v>25</v>
      </c>
      <c r="M5" s="426"/>
      <c r="N5" s="425" t="s">
        <v>25</v>
      </c>
      <c r="O5" s="426"/>
      <c r="P5" s="425" t="s">
        <v>25</v>
      </c>
      <c r="Q5" s="459"/>
      <c r="R5" s="425" t="s">
        <v>25</v>
      </c>
      <c r="S5" s="426"/>
      <c r="T5" s="425" t="s">
        <v>25</v>
      </c>
      <c r="U5" s="426"/>
      <c r="V5" s="425" t="s">
        <v>25</v>
      </c>
      <c r="W5" s="426"/>
      <c r="X5" s="425" t="s">
        <v>25</v>
      </c>
      <c r="Y5" s="426"/>
      <c r="Z5" s="425" t="s">
        <v>25</v>
      </c>
      <c r="AA5" s="426"/>
      <c r="AB5" s="425" t="s">
        <v>25</v>
      </c>
      <c r="AC5" s="426"/>
      <c r="AD5" s="425" t="s">
        <v>25</v>
      </c>
      <c r="AE5" s="426"/>
      <c r="AF5" s="425" t="s">
        <v>25</v>
      </c>
      <c r="AG5" s="426"/>
      <c r="AH5" s="425" t="s">
        <v>25</v>
      </c>
      <c r="AI5" s="426"/>
      <c r="AK5" s="402" t="s">
        <v>1372</v>
      </c>
      <c r="AL5" s="403" t="s">
        <v>1373</v>
      </c>
      <c r="AR5" s="402" t="s">
        <v>1376</v>
      </c>
      <c r="AS5" s="403" t="s">
        <v>1377</v>
      </c>
    </row>
    <row r="6" spans="2:45" ht="15.75" thickBot="1">
      <c r="B6" s="439"/>
      <c r="C6" s="442"/>
      <c r="D6" s="442"/>
      <c r="E6" s="445"/>
      <c r="F6" s="433"/>
      <c r="G6" s="448"/>
      <c r="H6" s="436"/>
      <c r="I6" s="433"/>
      <c r="J6" s="378" t="s">
        <v>26</v>
      </c>
      <c r="K6" s="6" t="s">
        <v>27</v>
      </c>
      <c r="L6" s="5" t="s">
        <v>26</v>
      </c>
      <c r="M6" s="6" t="s">
        <v>27</v>
      </c>
      <c r="N6" s="5" t="s">
        <v>26</v>
      </c>
      <c r="O6" s="6" t="s">
        <v>27</v>
      </c>
      <c r="P6" s="5" t="s">
        <v>26</v>
      </c>
      <c r="Q6" s="6" t="s">
        <v>27</v>
      </c>
      <c r="R6" s="5" t="s">
        <v>26</v>
      </c>
      <c r="S6" s="6" t="s">
        <v>27</v>
      </c>
      <c r="T6" s="5" t="s">
        <v>26</v>
      </c>
      <c r="U6" s="6" t="s">
        <v>27</v>
      </c>
      <c r="V6" s="5" t="s">
        <v>26</v>
      </c>
      <c r="W6" s="6" t="s">
        <v>27</v>
      </c>
      <c r="X6" s="5" t="s">
        <v>26</v>
      </c>
      <c r="Y6" s="6" t="s">
        <v>27</v>
      </c>
      <c r="Z6" s="5" t="s">
        <v>26</v>
      </c>
      <c r="AA6" s="6" t="s">
        <v>27</v>
      </c>
      <c r="AB6" s="5" t="s">
        <v>26</v>
      </c>
      <c r="AC6" s="6" t="s">
        <v>27</v>
      </c>
      <c r="AD6" s="420" t="s">
        <v>26</v>
      </c>
      <c r="AE6" s="6" t="s">
        <v>27</v>
      </c>
      <c r="AF6" s="420" t="s">
        <v>26</v>
      </c>
      <c r="AG6" s="6" t="s">
        <v>27</v>
      </c>
      <c r="AH6" s="5" t="s">
        <v>1252</v>
      </c>
      <c r="AI6" s="6" t="s">
        <v>27</v>
      </c>
      <c r="AK6" s="404" t="s">
        <v>26</v>
      </c>
      <c r="AL6" s="405" t="s">
        <v>26</v>
      </c>
      <c r="AR6" s="404" t="s">
        <v>26</v>
      </c>
      <c r="AS6" s="405" t="s">
        <v>26</v>
      </c>
    </row>
    <row r="7" spans="2:45">
      <c r="B7" s="264" t="s">
        <v>82</v>
      </c>
      <c r="C7" s="293">
        <v>5180000</v>
      </c>
      <c r="D7" s="31">
        <v>265000</v>
      </c>
      <c r="E7" s="31">
        <v>4915000</v>
      </c>
      <c r="F7" s="31">
        <v>5571188</v>
      </c>
      <c r="G7" s="31">
        <f t="shared" ref="G7:G13" si="1">K7+M7+O7+Q7+S7+U7+W7+Y7+AA7+AC7+AE7+AG7</f>
        <v>4808084.63</v>
      </c>
      <c r="H7" s="31">
        <f t="shared" ref="H7:H13" si="2">F7-E7</f>
        <v>656188</v>
      </c>
      <c r="I7" s="31">
        <f t="shared" ref="I7:I13" si="3">F7-G7</f>
        <v>763103.37000000011</v>
      </c>
      <c r="J7" s="293">
        <v>930000</v>
      </c>
      <c r="K7" s="293">
        <f>'GeoGazProj (SGG)'!AT7</f>
        <v>930000</v>
      </c>
      <c r="L7" s="31">
        <v>705000</v>
      </c>
      <c r="M7" s="31">
        <f>'GeoGazProj (SGG)'!AZ7</f>
        <v>600000</v>
      </c>
      <c r="N7" s="100">
        <v>469188</v>
      </c>
      <c r="O7" s="293">
        <f>'GeoGazProj (SGG)'!BG7</f>
        <v>470000</v>
      </c>
      <c r="P7" s="293">
        <v>993500</v>
      </c>
      <c r="Q7" s="293">
        <f>'GeoGazProj (SGG)'!BN7</f>
        <v>422978.12</v>
      </c>
      <c r="R7" s="293">
        <v>1324500</v>
      </c>
      <c r="S7" s="293">
        <f>'GeoGazProj (SGG)'!BU7</f>
        <v>500000</v>
      </c>
      <c r="T7" s="293">
        <v>906000</v>
      </c>
      <c r="U7" s="293">
        <f>'GeoGazProj (SGG)'!CB7</f>
        <v>400000</v>
      </c>
      <c r="V7" s="293">
        <v>243000</v>
      </c>
      <c r="W7" s="293">
        <f>'GeoGazProj (SGG)'!CI7</f>
        <v>295000</v>
      </c>
      <c r="X7" s="293">
        <v>0</v>
      </c>
      <c r="Y7" s="293">
        <f>'GeoGazProj (SGG)'!CO7</f>
        <v>283134.28999999998</v>
      </c>
      <c r="Z7" s="293">
        <v>0</v>
      </c>
      <c r="AA7" s="293">
        <f>'GeoGazProj (SGG)'!CU7</f>
        <v>100000</v>
      </c>
      <c r="AB7" s="293">
        <v>0</v>
      </c>
      <c r="AC7" s="293">
        <f>'GeoGazProj (SGG)'!DA7</f>
        <v>356972.22</v>
      </c>
      <c r="AD7" s="421">
        <v>0</v>
      </c>
      <c r="AE7" s="293">
        <f>'GeoGazProj (SGG)'!DG7</f>
        <v>450000</v>
      </c>
      <c r="AF7" s="421">
        <v>0</v>
      </c>
      <c r="AG7" s="293">
        <f>'GeoGazProj (SGG)'!DM7</f>
        <v>0</v>
      </c>
      <c r="AH7" s="100">
        <v>4915000</v>
      </c>
      <c r="AI7" s="100">
        <f t="shared" ref="AI7:AI13" si="4">K7+M7+O7+Q7+S7+U7+W7+Y7+AA7+AC7+AE7+AG7</f>
        <v>4808084.63</v>
      </c>
      <c r="AK7" s="406">
        <v>700000</v>
      </c>
      <c r="AL7" s="407">
        <v>513103.37000000011</v>
      </c>
      <c r="AO7" s="355"/>
      <c r="AR7" s="406">
        <v>300000</v>
      </c>
      <c r="AS7" s="407">
        <v>150000</v>
      </c>
    </row>
    <row r="8" spans="2:45">
      <c r="B8" s="29" t="s">
        <v>104</v>
      </c>
      <c r="C8" s="100">
        <v>4641418</v>
      </c>
      <c r="D8" s="30">
        <v>2491418</v>
      </c>
      <c r="E8" s="30">
        <v>2150000</v>
      </c>
      <c r="F8" s="30">
        <v>3150000</v>
      </c>
      <c r="G8" s="31">
        <f t="shared" si="1"/>
        <v>2702662.7800000003</v>
      </c>
      <c r="H8" s="31">
        <f t="shared" si="2"/>
        <v>1000000</v>
      </c>
      <c r="I8" s="31">
        <f t="shared" si="3"/>
        <v>447337.21999999974</v>
      </c>
      <c r="J8" s="100">
        <v>600000</v>
      </c>
      <c r="K8" s="100">
        <f>'ბრიჯი SGG'!AQ7</f>
        <v>600000</v>
      </c>
      <c r="L8" s="30">
        <v>450000</v>
      </c>
      <c r="M8" s="30">
        <f>'ბრიჯი SGG'!AW7</f>
        <v>450000</v>
      </c>
      <c r="N8" s="100">
        <v>450000</v>
      </c>
      <c r="O8" s="100">
        <f>'ბრიჯი SGG'!BD7</f>
        <v>453425</v>
      </c>
      <c r="P8" s="100">
        <v>650000</v>
      </c>
      <c r="Q8" s="100">
        <f>'ბრიჯი SGG'!BK7</f>
        <v>552393.78</v>
      </c>
      <c r="R8" s="100">
        <v>0</v>
      </c>
      <c r="S8" s="100">
        <f>'ბრიჯი SGG'!BQ7</f>
        <v>3000</v>
      </c>
      <c r="T8" s="100">
        <v>0</v>
      </c>
      <c r="U8" s="100">
        <f>'ბრიჯი SGG'!BW7</f>
        <v>11100</v>
      </c>
      <c r="V8" s="100">
        <v>0</v>
      </c>
      <c r="W8" s="100">
        <f>'ბრიჯი SGG'!CC7</f>
        <v>30754</v>
      </c>
      <c r="X8" s="100">
        <v>0</v>
      </c>
      <c r="Y8" s="100">
        <f>'ბრიჯი SGG'!CI7</f>
        <v>280000</v>
      </c>
      <c r="Z8" s="100">
        <v>0</v>
      </c>
      <c r="AA8" s="100">
        <f>'ბრიჯი SGG'!CO7</f>
        <v>310490</v>
      </c>
      <c r="AB8" s="100">
        <v>0</v>
      </c>
      <c r="AC8" s="100">
        <f>'ბრიჯი SGG'!CU7</f>
        <v>11500</v>
      </c>
      <c r="AD8" s="422">
        <v>0</v>
      </c>
      <c r="AE8" s="100">
        <f>'ბრიჯი SGG'!DA7</f>
        <v>0</v>
      </c>
      <c r="AF8" s="422">
        <v>0</v>
      </c>
      <c r="AG8" s="100">
        <f>'ბრიჯი SGG'!DG7</f>
        <v>0</v>
      </c>
      <c r="AH8" s="100">
        <v>2150000</v>
      </c>
      <c r="AI8" s="100">
        <f t="shared" si="4"/>
        <v>2702662.7800000003</v>
      </c>
      <c r="AK8" s="408">
        <v>0</v>
      </c>
      <c r="AL8" s="409">
        <v>447337</v>
      </c>
      <c r="AR8" s="408">
        <v>500000</v>
      </c>
      <c r="AS8" s="409">
        <v>300000</v>
      </c>
    </row>
    <row r="9" spans="2:45">
      <c r="B9" s="29" t="s">
        <v>123</v>
      </c>
      <c r="C9" s="100">
        <v>9745862.8900000006</v>
      </c>
      <c r="D9" s="30">
        <v>6495862.8900000006</v>
      </c>
      <c r="E9" s="30">
        <v>3250000</v>
      </c>
      <c r="F9" s="30">
        <v>5965000</v>
      </c>
      <c r="G9" s="31">
        <f t="shared" si="1"/>
        <v>2971405.57</v>
      </c>
      <c r="H9" s="31">
        <f t="shared" si="2"/>
        <v>2715000</v>
      </c>
      <c r="I9" s="31">
        <f t="shared" si="3"/>
        <v>2993594.43</v>
      </c>
      <c r="J9" s="100">
        <v>500000</v>
      </c>
      <c r="K9" s="100">
        <f>'არქმშენსერვისი SGG'!AS7</f>
        <v>500000</v>
      </c>
      <c r="L9" s="30">
        <v>1365000</v>
      </c>
      <c r="M9" s="30">
        <f>'არქმშენსერვისი SGG'!AY7</f>
        <v>1360000</v>
      </c>
      <c r="N9" s="100">
        <v>960000</v>
      </c>
      <c r="O9" s="100">
        <f>'არქმშენსერვისი SGG'!BF7</f>
        <v>960000</v>
      </c>
      <c r="P9" s="100">
        <v>890000</v>
      </c>
      <c r="Q9" s="100">
        <f>'არქმშენსერვისი SGG'!BM7</f>
        <v>151405.57</v>
      </c>
      <c r="R9" s="100">
        <v>750000</v>
      </c>
      <c r="S9" s="100">
        <f>'არქმშენსერვისი SGG'!BT7</f>
        <v>0</v>
      </c>
      <c r="T9" s="100">
        <v>750000</v>
      </c>
      <c r="U9" s="100">
        <f>'არქმშენსერვისი SGG'!CA7</f>
        <v>0</v>
      </c>
      <c r="V9" s="100">
        <v>750000</v>
      </c>
      <c r="W9" s="100">
        <f>'არქმშენსერვისი SGG'!CH7</f>
        <v>0</v>
      </c>
      <c r="X9" s="100">
        <v>0</v>
      </c>
      <c r="Y9" s="100">
        <f>'არქმშენსერვისი SGG'!CN7</f>
        <v>0</v>
      </c>
      <c r="Z9" s="100">
        <v>0</v>
      </c>
      <c r="AA9" s="100">
        <f>'არქმშენსერვისი SGG'!CT7</f>
        <v>0</v>
      </c>
      <c r="AB9" s="100">
        <v>0</v>
      </c>
      <c r="AC9" s="100">
        <f>'არქმშენსერვისი SGG'!CZ7</f>
        <v>0</v>
      </c>
      <c r="AD9" s="422">
        <v>0</v>
      </c>
      <c r="AE9" s="100">
        <f>'არქმშენსერვისი SGG'!DF7</f>
        <v>0</v>
      </c>
      <c r="AF9" s="422">
        <v>0</v>
      </c>
      <c r="AG9" s="100">
        <f>'არქმშენსერვისი SGG'!DL7</f>
        <v>0</v>
      </c>
      <c r="AH9" s="100">
        <v>3250000</v>
      </c>
      <c r="AI9" s="100">
        <f t="shared" si="4"/>
        <v>2971405.57</v>
      </c>
      <c r="AK9" s="408">
        <v>1000000</v>
      </c>
      <c r="AL9" s="409">
        <v>1000000</v>
      </c>
      <c r="AR9" s="408">
        <v>1000000</v>
      </c>
      <c r="AS9" s="409">
        <v>500000</v>
      </c>
    </row>
    <row r="10" spans="2:45">
      <c r="B10" s="29" t="s">
        <v>160</v>
      </c>
      <c r="C10" s="100">
        <v>8805000</v>
      </c>
      <c r="D10" s="30">
        <v>3290000</v>
      </c>
      <c r="E10" s="30">
        <v>5515000</v>
      </c>
      <c r="F10" s="30">
        <v>4912827</v>
      </c>
      <c r="G10" s="31">
        <f t="shared" si="1"/>
        <v>4418016</v>
      </c>
      <c r="H10" s="31">
        <f t="shared" si="2"/>
        <v>-602173</v>
      </c>
      <c r="I10" s="31">
        <f t="shared" si="3"/>
        <v>494811</v>
      </c>
      <c r="J10" s="100">
        <v>1265000</v>
      </c>
      <c r="K10" s="100">
        <f>'უნიმშენი SGG'!AQ7</f>
        <v>1037000</v>
      </c>
      <c r="L10" s="30">
        <v>650000</v>
      </c>
      <c r="M10" s="30">
        <f>'უნიმშენი SGG'!AW7</f>
        <v>1090000</v>
      </c>
      <c r="N10" s="100">
        <v>653688</v>
      </c>
      <c r="O10" s="100">
        <f>'უნიმშენი SGG'!BD7</f>
        <v>650000</v>
      </c>
      <c r="P10" s="100">
        <v>822638</v>
      </c>
      <c r="Q10" s="100">
        <f>'უნიმშენი SGG'!BK7</f>
        <v>731525</v>
      </c>
      <c r="R10" s="100">
        <v>566192</v>
      </c>
      <c r="S10" s="100">
        <f>'უნიმშენი SGG'!BR7</f>
        <v>411102</v>
      </c>
      <c r="T10" s="100">
        <v>300000</v>
      </c>
      <c r="U10" s="100">
        <f>'უნიმშენი SGG'!BY7</f>
        <v>300000</v>
      </c>
      <c r="V10" s="100">
        <v>124544</v>
      </c>
      <c r="W10" s="100">
        <f>'უნიმშენი SGG'!CF7</f>
        <v>0</v>
      </c>
      <c r="X10" s="100">
        <v>0</v>
      </c>
      <c r="Y10" s="100">
        <f>'უნიმშენი SGG'!CM7</f>
        <v>0</v>
      </c>
      <c r="Z10" s="100">
        <v>0</v>
      </c>
      <c r="AA10" s="100">
        <f>'უნიმშენი SGG'!CT7</f>
        <v>48389</v>
      </c>
      <c r="AB10" s="100">
        <v>150000</v>
      </c>
      <c r="AC10" s="100">
        <f>'უნიმშენი SGG'!DA7</f>
        <v>150000</v>
      </c>
      <c r="AD10" s="422">
        <v>180765</v>
      </c>
      <c r="AE10" s="100">
        <f>'უნიმშენი SGG'!DH7</f>
        <v>0</v>
      </c>
      <c r="AF10" s="422">
        <v>0</v>
      </c>
      <c r="AG10" s="100">
        <f>'უნიმშენი SGG'!DO7</f>
        <v>0</v>
      </c>
      <c r="AH10" s="100">
        <v>5515000</v>
      </c>
      <c r="AI10" s="100">
        <f t="shared" si="4"/>
        <v>4418016</v>
      </c>
      <c r="AK10" s="408">
        <v>294811</v>
      </c>
      <c r="AL10" s="409">
        <v>200000</v>
      </c>
      <c r="AR10" s="408">
        <v>350000</v>
      </c>
      <c r="AS10" s="409">
        <v>200000</v>
      </c>
    </row>
    <row r="11" spans="2:45">
      <c r="B11" s="29" t="s">
        <v>380</v>
      </c>
      <c r="C11" s="100">
        <v>5455790</v>
      </c>
      <c r="D11" s="100">
        <v>3263716.25</v>
      </c>
      <c r="E11" s="100">
        <v>2192073.75</v>
      </c>
      <c r="F11" s="100">
        <v>2540463.75</v>
      </c>
      <c r="G11" s="31">
        <f t="shared" si="1"/>
        <v>2339837.58</v>
      </c>
      <c r="H11" s="31">
        <f t="shared" si="2"/>
        <v>348390</v>
      </c>
      <c r="I11" s="31">
        <f t="shared" si="3"/>
        <v>200626.16999999993</v>
      </c>
      <c r="J11" s="100">
        <v>329173.75</v>
      </c>
      <c r="K11" s="100">
        <f>'ინტერსერვისი SGG'!AQ7</f>
        <v>321141.43</v>
      </c>
      <c r="L11" s="100">
        <v>401300</v>
      </c>
      <c r="M11" s="100">
        <f>'ინტერსერვისი SGG'!AW7</f>
        <v>481548.11</v>
      </c>
      <c r="N11" s="100">
        <v>582600</v>
      </c>
      <c r="O11" s="100">
        <f>'ინტერსერვისი SGG'!BD7</f>
        <v>582600</v>
      </c>
      <c r="P11" s="100">
        <v>357418</v>
      </c>
      <c r="Q11" s="100">
        <f>'ინტერსერვისი SGG'!BK7</f>
        <v>349048.62</v>
      </c>
      <c r="R11" s="100">
        <v>310372</v>
      </c>
      <c r="S11" s="100">
        <f>'ინტერსერვისი SGG'!BR7</f>
        <v>310000</v>
      </c>
      <c r="T11" s="100">
        <v>139600</v>
      </c>
      <c r="U11" s="100">
        <f>'ინტერსერვისი SGG'!BY7</f>
        <v>105000</v>
      </c>
      <c r="V11" s="100">
        <v>0</v>
      </c>
      <c r="W11" s="100">
        <f>'ინტერსერვისი SGG'!CE7</f>
        <v>0</v>
      </c>
      <c r="X11" s="100">
        <v>0</v>
      </c>
      <c r="Y11" s="100">
        <f>'ინტერსერვისი SGG'!CK7</f>
        <v>2000</v>
      </c>
      <c r="Z11" s="100">
        <v>0</v>
      </c>
      <c r="AA11" s="100">
        <f>'ინტერსერვისი SGG'!CQ7</f>
        <v>5000</v>
      </c>
      <c r="AB11" s="100">
        <v>0</v>
      </c>
      <c r="AC11" s="100">
        <f>'ინტერსერვისი SGG'!CW7</f>
        <v>5000</v>
      </c>
      <c r="AD11" s="422">
        <v>0</v>
      </c>
      <c r="AE11" s="100">
        <f>'ინტერსერვისი SGG'!DC7</f>
        <v>178499.42</v>
      </c>
      <c r="AF11" s="422">
        <v>0</v>
      </c>
      <c r="AG11" s="100">
        <f>'ინტერსერვისი SGG'!DI7</f>
        <v>0</v>
      </c>
      <c r="AH11" s="100">
        <v>2192073.75</v>
      </c>
      <c r="AI11" s="100">
        <f t="shared" si="4"/>
        <v>2339837.58</v>
      </c>
      <c r="AK11" s="408">
        <v>149125.58999999985</v>
      </c>
      <c r="AL11" s="409">
        <v>230000</v>
      </c>
      <c r="AR11" s="408">
        <v>450000</v>
      </c>
      <c r="AS11" s="409">
        <v>300000</v>
      </c>
    </row>
    <row r="12" spans="2:45">
      <c r="B12" s="29" t="s">
        <v>671</v>
      </c>
      <c r="C12" s="100">
        <v>2241000</v>
      </c>
      <c r="D12" s="100">
        <v>850000</v>
      </c>
      <c r="E12" s="100">
        <f>1391000</f>
        <v>1391000</v>
      </c>
      <c r="F12" s="100">
        <v>2337302.77</v>
      </c>
      <c r="G12" s="293">
        <f t="shared" si="1"/>
        <v>1838896.22</v>
      </c>
      <c r="H12" s="31">
        <f t="shared" si="2"/>
        <v>946302.77</v>
      </c>
      <c r="I12" s="31">
        <f t="shared" si="3"/>
        <v>498406.55000000005</v>
      </c>
      <c r="J12" s="100">
        <v>250000</v>
      </c>
      <c r="K12" s="100">
        <f>'გაზსერვისი SGG'!AS7</f>
        <v>250000</v>
      </c>
      <c r="L12" s="100">
        <v>1227302.77</v>
      </c>
      <c r="M12" s="100">
        <f>'გაზსერვისი SGG'!AY7</f>
        <v>1227302.77</v>
      </c>
      <c r="N12" s="100">
        <v>160000</v>
      </c>
      <c r="O12" s="100">
        <f>'გაზსერვისი SGG'!BF7</f>
        <v>160172.26999999999</v>
      </c>
      <c r="P12" s="100">
        <v>0</v>
      </c>
      <c r="Q12" s="100">
        <f>'გაზსერვისი SGG'!BM7</f>
        <v>0</v>
      </c>
      <c r="R12" s="100">
        <v>0</v>
      </c>
      <c r="S12" s="100">
        <f>'გაზსერვისი SGG'!BS7</f>
        <v>0</v>
      </c>
      <c r="T12" s="100">
        <v>100000</v>
      </c>
      <c r="U12" s="100">
        <f>'გაზსერვისი SGG'!BY7</f>
        <v>0</v>
      </c>
      <c r="V12" s="100">
        <v>0</v>
      </c>
      <c r="W12" s="100">
        <f>'გაზსერვისი SGG'!CE7</f>
        <v>201421.18</v>
      </c>
      <c r="X12" s="100">
        <v>0</v>
      </c>
      <c r="Y12" s="100">
        <f>'გაზსერვისი SGG'!CK7</f>
        <v>0</v>
      </c>
      <c r="Z12" s="100">
        <v>0</v>
      </c>
      <c r="AA12" s="100">
        <f>'გაზსერვისი SGG'!CQ7</f>
        <v>0</v>
      </c>
      <c r="AB12" s="100">
        <v>0</v>
      </c>
      <c r="AC12" s="100">
        <f>'გაზსერვისი SGG'!CW7</f>
        <v>0</v>
      </c>
      <c r="AD12" s="422">
        <v>0</v>
      </c>
      <c r="AE12" s="100">
        <f>'გაზსერვისი SGG'!DC7</f>
        <v>0</v>
      </c>
      <c r="AF12" s="422">
        <v>0</v>
      </c>
      <c r="AG12" s="100">
        <f>'გაზსერვისი SGG'!DI7</f>
        <v>0</v>
      </c>
      <c r="AH12" s="100">
        <v>1694000</v>
      </c>
      <c r="AI12" s="100">
        <f t="shared" si="4"/>
        <v>1838896.22</v>
      </c>
      <c r="AK12" s="408">
        <v>500000</v>
      </c>
      <c r="AL12" s="409">
        <v>0</v>
      </c>
      <c r="AR12" s="408">
        <v>1000000</v>
      </c>
      <c r="AS12" s="409">
        <v>350000</v>
      </c>
    </row>
    <row r="13" spans="2:45">
      <c r="B13" s="29" t="s">
        <v>698</v>
      </c>
      <c r="C13" s="100">
        <v>0</v>
      </c>
      <c r="D13" s="100">
        <v>0</v>
      </c>
      <c r="E13" s="100">
        <v>0</v>
      </c>
      <c r="F13" s="100">
        <v>120000</v>
      </c>
      <c r="G13" s="293">
        <f t="shared" si="1"/>
        <v>0</v>
      </c>
      <c r="H13" s="31">
        <f t="shared" si="2"/>
        <v>120000</v>
      </c>
      <c r="I13" s="31">
        <f t="shared" si="3"/>
        <v>120000</v>
      </c>
      <c r="J13" s="100">
        <v>0</v>
      </c>
      <c r="K13" s="100">
        <f>'გაზსერვისი SGG'!AS8</f>
        <v>0</v>
      </c>
      <c r="L13" s="100">
        <v>0</v>
      </c>
      <c r="M13" s="100">
        <f>'გაზსერვისი SGG'!AY8</f>
        <v>0</v>
      </c>
      <c r="N13" s="100">
        <v>120000</v>
      </c>
      <c r="O13" s="100">
        <f>'გაზსერვისი SGG'!BF8</f>
        <v>0</v>
      </c>
      <c r="P13" s="100">
        <v>0</v>
      </c>
      <c r="Q13" s="100">
        <f>'გაზსერვისი SGG'!BM8</f>
        <v>0</v>
      </c>
      <c r="R13" s="100">
        <v>0</v>
      </c>
      <c r="S13" s="100">
        <f>'გაზსერვისი SGG'!BS8</f>
        <v>0</v>
      </c>
      <c r="T13" s="100">
        <v>0</v>
      </c>
      <c r="U13" s="100">
        <f>'გაზსერვისი SGG'!BY8</f>
        <v>0</v>
      </c>
      <c r="V13" s="100">
        <v>0</v>
      </c>
      <c r="W13" s="100">
        <f>'გაზსერვისი SGG'!CE8</f>
        <v>0</v>
      </c>
      <c r="X13" s="100">
        <v>0</v>
      </c>
      <c r="Y13" s="100">
        <f>'გაზსერვისი SGG'!CK8</f>
        <v>0</v>
      </c>
      <c r="Z13" s="100">
        <v>0</v>
      </c>
      <c r="AA13" s="100">
        <f>'გაზსერვისი SGG'!CQ8</f>
        <v>0</v>
      </c>
      <c r="AB13" s="100">
        <v>0</v>
      </c>
      <c r="AC13" s="100">
        <f>'გაზსერვისი SGG'!CW8</f>
        <v>0</v>
      </c>
      <c r="AD13" s="422">
        <v>0</v>
      </c>
      <c r="AE13" s="100">
        <f>'გაზსერვისი SGG'!DC8</f>
        <v>0</v>
      </c>
      <c r="AF13" s="422">
        <v>0</v>
      </c>
      <c r="AG13" s="100">
        <f>'გაზსერვისი SGG'!DI8</f>
        <v>0</v>
      </c>
      <c r="AH13" s="100">
        <v>0</v>
      </c>
      <c r="AI13" s="100">
        <f t="shared" si="4"/>
        <v>0</v>
      </c>
      <c r="AK13" s="408">
        <v>0</v>
      </c>
      <c r="AL13" s="409">
        <v>120000</v>
      </c>
      <c r="AR13" s="408">
        <v>0</v>
      </c>
      <c r="AS13" s="409">
        <v>0</v>
      </c>
    </row>
    <row r="14" spans="2:45">
      <c r="B14" s="341" t="s">
        <v>1230</v>
      </c>
      <c r="C14" s="340"/>
      <c r="D14" s="340"/>
      <c r="E14" s="340"/>
      <c r="F14" s="340">
        <v>0</v>
      </c>
      <c r="G14" s="340"/>
      <c r="H14" s="340"/>
      <c r="I14" s="340"/>
      <c r="J14" s="340"/>
      <c r="K14" s="340"/>
      <c r="L14" s="340"/>
      <c r="M14" s="340"/>
      <c r="N14" s="340"/>
      <c r="O14" s="340"/>
      <c r="P14" s="340"/>
      <c r="Q14" s="340"/>
      <c r="R14" s="340"/>
      <c r="S14" s="340"/>
      <c r="T14" s="340"/>
      <c r="U14" s="340"/>
      <c r="V14" s="340"/>
      <c r="W14" s="340"/>
      <c r="X14" s="340"/>
      <c r="Y14" s="340"/>
      <c r="Z14" s="340"/>
      <c r="AA14" s="340"/>
      <c r="AB14" s="340"/>
      <c r="AC14" s="340"/>
      <c r="AD14" s="422"/>
      <c r="AE14" s="340"/>
      <c r="AF14" s="422"/>
      <c r="AG14" s="340"/>
      <c r="AH14" s="340"/>
      <c r="AI14" s="340"/>
      <c r="AK14" s="340">
        <v>0</v>
      </c>
      <c r="AL14" s="340">
        <v>0</v>
      </c>
      <c r="AR14" s="340">
        <v>0</v>
      </c>
      <c r="AS14" s="340">
        <v>0</v>
      </c>
    </row>
    <row r="15" spans="2:45">
      <c r="B15" s="29" t="s">
        <v>744</v>
      </c>
      <c r="C15" s="100">
        <v>13206050.75</v>
      </c>
      <c r="D15" s="30">
        <v>9606050.75</v>
      </c>
      <c r="E15" s="30">
        <v>3600000</v>
      </c>
      <c r="F15" s="30">
        <v>4390000</v>
      </c>
      <c r="G15" s="31">
        <f t="shared" ref="G15:G17" si="5">K15+M15+O15+Q15+S15+U15+W15+Y15+AA15+AC15+AE15+AG15</f>
        <v>5111920.58</v>
      </c>
      <c r="H15" s="31">
        <f>F15-E15</f>
        <v>790000</v>
      </c>
      <c r="I15" s="31">
        <f>F15-G15</f>
        <v>-721920.58000000007</v>
      </c>
      <c r="J15" s="100">
        <v>1200000</v>
      </c>
      <c r="K15" s="100">
        <f>'ინტერგაზი SGG'!AS7</f>
        <v>1200000</v>
      </c>
      <c r="L15" s="30">
        <v>500000</v>
      </c>
      <c r="M15" s="361">
        <f>'ინტერგაზი SGG'!AY7</f>
        <v>1160000</v>
      </c>
      <c r="N15" s="100">
        <v>1570000</v>
      </c>
      <c r="O15" s="100">
        <f>'ინტერგაზი SGG'!BF7</f>
        <v>1500000</v>
      </c>
      <c r="P15" s="30">
        <v>770000</v>
      </c>
      <c r="Q15" s="30">
        <f>'ინტერგაზი SGG'!BM7</f>
        <v>0</v>
      </c>
      <c r="R15" s="30">
        <v>0</v>
      </c>
      <c r="S15" s="30">
        <f>'ინტერგაზი SGG'!BT7</f>
        <v>300000</v>
      </c>
      <c r="T15" s="30">
        <v>0</v>
      </c>
      <c r="U15" s="30">
        <f>'ინტერგაზი SGG'!BZ7</f>
        <v>550000</v>
      </c>
      <c r="V15" s="30">
        <v>0</v>
      </c>
      <c r="W15" s="30">
        <f>'ინტერგაზი SGG'!CF7</f>
        <v>0</v>
      </c>
      <c r="X15" s="30">
        <v>0</v>
      </c>
      <c r="Y15" s="30">
        <f>'ინტერგაზი SGG'!CL7</f>
        <v>401920.58</v>
      </c>
      <c r="Z15" s="30">
        <v>0</v>
      </c>
      <c r="AA15" s="30">
        <f>'ინტერგაზი SGG'!CR7</f>
        <v>0</v>
      </c>
      <c r="AB15" s="30">
        <v>0</v>
      </c>
      <c r="AC15" s="30">
        <f>'ინტერგაზი SGG'!CX7</f>
        <v>0</v>
      </c>
      <c r="AD15" s="422">
        <v>0</v>
      </c>
      <c r="AE15" s="30">
        <f>'ინტერგაზი SGG'!DD7</f>
        <v>0</v>
      </c>
      <c r="AF15" s="422">
        <v>0</v>
      </c>
      <c r="AG15" s="30">
        <f>'ინტერგაზი SGG'!DJ7</f>
        <v>0</v>
      </c>
      <c r="AH15" s="100">
        <v>3600000</v>
      </c>
      <c r="AI15" s="100">
        <f>K15+M15+O15+Q15+S15+U15+W15+Y15+AA15+AC15+AE15+AG15</f>
        <v>5111920.58</v>
      </c>
      <c r="AK15" s="408">
        <v>0</v>
      </c>
      <c r="AL15" s="409">
        <v>350000</v>
      </c>
      <c r="AR15" s="408">
        <v>1000000</v>
      </c>
      <c r="AS15" s="409">
        <v>300000</v>
      </c>
    </row>
    <row r="16" spans="2:45">
      <c r="B16" s="29" t="s">
        <v>1156</v>
      </c>
      <c r="C16" s="100">
        <v>16581886.149999999</v>
      </c>
      <c r="D16" s="100">
        <v>8624668.4000000004</v>
      </c>
      <c r="E16" s="100">
        <v>7957217.75</v>
      </c>
      <c r="F16" s="100">
        <v>8109146.8476258302</v>
      </c>
      <c r="G16" s="31">
        <f t="shared" si="5"/>
        <v>8066078.8999999994</v>
      </c>
      <c r="H16" s="31">
        <f>F16-E16</f>
        <v>151929.09762583021</v>
      </c>
      <c r="I16" s="31">
        <f>F16-G16</f>
        <v>43067.94762583077</v>
      </c>
      <c r="J16" s="100">
        <v>1860217.75</v>
      </c>
      <c r="K16" s="100">
        <f>'გაზკონსტრაქტი SGG'!AT7</f>
        <v>1858820</v>
      </c>
      <c r="L16" s="100">
        <v>1507000</v>
      </c>
      <c r="M16" s="100">
        <f>'გაზკონსტრაქტი SGG'!AZ7</f>
        <v>1505000</v>
      </c>
      <c r="N16" s="100">
        <v>524273.09762583015</v>
      </c>
      <c r="O16" s="100">
        <f>'გაზკონსტრაქტი SGG'!BG7</f>
        <v>529191.64</v>
      </c>
      <c r="P16" s="100">
        <v>1325619</v>
      </c>
      <c r="Q16" s="100">
        <f>'გაზკონსტრაქტი SGG'!BN7</f>
        <v>1329383.6500000001</v>
      </c>
      <c r="R16" s="100">
        <v>1116370</v>
      </c>
      <c r="S16" s="100">
        <f>'გაზკონსტრაქტი SGG'!BU7</f>
        <v>1000313.25</v>
      </c>
      <c r="T16" s="100">
        <v>535667</v>
      </c>
      <c r="U16" s="100">
        <f>'გაზკონსტრაქტი SGG'!CB7</f>
        <v>206327.51</v>
      </c>
      <c r="V16" s="100">
        <v>440000</v>
      </c>
      <c r="W16" s="100">
        <f>'გაზკონსტრაქტი SGG'!CI7</f>
        <v>837335.43</v>
      </c>
      <c r="X16" s="100">
        <v>350000</v>
      </c>
      <c r="Y16" s="100">
        <f>'გაზკონსტრაქტი SGG'!CP7</f>
        <v>29114.880000000001</v>
      </c>
      <c r="Z16" s="100">
        <v>300000</v>
      </c>
      <c r="AA16" s="100">
        <f>'გაზკონსტრაქტი SGG'!CW7</f>
        <v>0</v>
      </c>
      <c r="AB16" s="100">
        <v>0</v>
      </c>
      <c r="AC16" s="100">
        <f>'გაზკონსტრაქტი SGG'!DC7</f>
        <v>448228.72</v>
      </c>
      <c r="AD16" s="422">
        <v>0</v>
      </c>
      <c r="AE16" s="100">
        <f>'გაზკონსტრაქტი SGG'!DI7</f>
        <v>322363.82000000007</v>
      </c>
      <c r="AF16" s="422">
        <v>0</v>
      </c>
      <c r="AG16" s="100">
        <f>'გაზკონსტრაქტი SGG'!DO7</f>
        <v>0</v>
      </c>
      <c r="AH16" s="100">
        <v>7957217.75</v>
      </c>
      <c r="AI16" s="100">
        <f>K16+M16+O16+Q16+S16+U16+W16+Y16+AA16+AC16+AE16+AG16</f>
        <v>8066078.8999999994</v>
      </c>
      <c r="AK16" s="408">
        <v>360000</v>
      </c>
      <c r="AL16" s="409">
        <v>0</v>
      </c>
      <c r="AR16" s="408">
        <v>1300000</v>
      </c>
      <c r="AS16" s="409">
        <v>500000</v>
      </c>
    </row>
    <row r="17" spans="2:45">
      <c r="B17" s="29" t="s">
        <v>1158</v>
      </c>
      <c r="C17" s="100">
        <v>3152200</v>
      </c>
      <c r="D17" s="30">
        <v>25500</v>
      </c>
      <c r="E17" s="30">
        <v>3126700</v>
      </c>
      <c r="F17" s="30">
        <v>3119200</v>
      </c>
      <c r="G17" s="31">
        <f t="shared" si="5"/>
        <v>3180587.74</v>
      </c>
      <c r="H17" s="31">
        <f>F17-E17</f>
        <v>-7500</v>
      </c>
      <c r="I17" s="31">
        <f>F17-G17</f>
        <v>-61387.740000000224</v>
      </c>
      <c r="J17" s="100">
        <v>376700</v>
      </c>
      <c r="K17" s="100">
        <f>'ენერჯი სერვისი SGG'!AQ7</f>
        <v>376700</v>
      </c>
      <c r="L17" s="30">
        <v>250000</v>
      </c>
      <c r="M17" s="361">
        <f>'ენერჯი სერვისი SGG'!AW7</f>
        <v>257500</v>
      </c>
      <c r="N17" s="100">
        <f>250000-7500</f>
        <v>242500</v>
      </c>
      <c r="O17" s="100">
        <f>'ენერჯი სერვისი SGG'!BC7</f>
        <v>245500</v>
      </c>
      <c r="P17" s="30">
        <v>250000</v>
      </c>
      <c r="Q17" s="30">
        <f>'ენერჯი სერვისი SGG'!BI7</f>
        <v>258500</v>
      </c>
      <c r="R17" s="30">
        <v>250000</v>
      </c>
      <c r="S17" s="30">
        <f>'ენერჯი სერვისი SGG'!BO7</f>
        <v>269972.09999999998</v>
      </c>
      <c r="T17" s="30">
        <v>250000</v>
      </c>
      <c r="U17" s="30">
        <f>'ენერჯი სერვისი SGG'!BU7</f>
        <v>257084.6</v>
      </c>
      <c r="V17" s="30">
        <v>250000</v>
      </c>
      <c r="W17" s="30">
        <f>'ენერჯი სერვისი SGG'!CA7</f>
        <v>185000</v>
      </c>
      <c r="X17" s="30">
        <v>250000</v>
      </c>
      <c r="Y17" s="30">
        <f>'ენერჯი სერვისი SGG'!CG7</f>
        <v>120276.23</v>
      </c>
      <c r="Z17" s="30">
        <v>250000</v>
      </c>
      <c r="AA17" s="30">
        <f>'ენერჯი სერვისი SGG'!CM7</f>
        <v>413196.81</v>
      </c>
      <c r="AB17" s="30">
        <v>250000</v>
      </c>
      <c r="AC17" s="30">
        <f>'ენერჯი სერვისი SGG'!CS7</f>
        <v>216000</v>
      </c>
      <c r="AD17" s="422">
        <v>250000</v>
      </c>
      <c r="AE17" s="30">
        <f>'ენერჯი სერვისი SGG'!CY7</f>
        <v>580858</v>
      </c>
      <c r="AF17" s="422">
        <v>250000</v>
      </c>
      <c r="AG17" s="30">
        <f>'ენერჯი სერვისი SGG'!DE7</f>
        <v>0</v>
      </c>
      <c r="AH17" s="100">
        <v>3126700</v>
      </c>
      <c r="AI17" s="100">
        <f>K17+M17+O17+Q17+S17+U17+W17+Y17+AA17+AC17+AE17+AG17</f>
        <v>3180587.74</v>
      </c>
      <c r="AK17" s="408">
        <v>250000</v>
      </c>
      <c r="AL17" s="409">
        <v>250000</v>
      </c>
      <c r="AR17" s="408">
        <v>250000</v>
      </c>
      <c r="AS17" s="409">
        <v>250000</v>
      </c>
    </row>
    <row r="18" spans="2:45" ht="15.75" thickBot="1">
      <c r="B18" s="29"/>
      <c r="C18" s="100"/>
      <c r="D18" s="30"/>
      <c r="E18" s="30"/>
      <c r="F18" s="31"/>
      <c r="G18" s="31"/>
      <c r="H18" s="31"/>
      <c r="I18" s="31"/>
      <c r="J18" s="30"/>
      <c r="K18" s="30"/>
      <c r="L18" s="30"/>
      <c r="M18" s="30"/>
      <c r="N18" s="100"/>
      <c r="O18" s="100"/>
      <c r="P18" s="30"/>
      <c r="Q18" s="30"/>
      <c r="R18" s="30"/>
      <c r="S18" s="30"/>
      <c r="T18" s="30"/>
      <c r="U18" s="30"/>
      <c r="V18" s="30"/>
      <c r="W18" s="30"/>
      <c r="X18" s="30"/>
      <c r="Y18" s="30"/>
      <c r="Z18" s="30"/>
      <c r="AA18" s="30"/>
      <c r="AB18" s="30"/>
      <c r="AC18" s="30"/>
      <c r="AD18" s="422"/>
      <c r="AE18" s="30"/>
      <c r="AF18" s="422"/>
      <c r="AG18" s="30"/>
      <c r="AH18" s="30"/>
      <c r="AI18" s="30"/>
      <c r="AK18" s="410"/>
      <c r="AL18" s="411"/>
      <c r="AR18" s="410"/>
      <c r="AS18" s="411"/>
    </row>
    <row r="19" spans="2:45" ht="6.75" customHeight="1" thickBot="1">
      <c r="C19" s="71"/>
      <c r="D19" s="71"/>
      <c r="E19" s="71"/>
      <c r="F19" s="71"/>
      <c r="G19" s="71"/>
      <c r="H19" s="71"/>
      <c r="I19" s="71"/>
      <c r="J19" s="71"/>
      <c r="K19" s="71"/>
      <c r="L19" s="71"/>
      <c r="M19" s="71"/>
      <c r="N19" s="386"/>
      <c r="O19" s="386"/>
      <c r="P19" s="71"/>
      <c r="Q19" s="71"/>
      <c r="R19" s="71"/>
      <c r="S19" s="71"/>
      <c r="T19" s="71"/>
      <c r="U19" s="71"/>
      <c r="V19" s="71"/>
      <c r="W19" s="71"/>
      <c r="X19" s="71"/>
      <c r="Y19" s="71"/>
      <c r="Z19" s="71"/>
      <c r="AA19" s="71"/>
      <c r="AB19" s="71"/>
      <c r="AC19" s="71"/>
      <c r="AD19" s="71"/>
      <c r="AE19" s="71"/>
      <c r="AF19" s="71"/>
      <c r="AG19" s="71"/>
      <c r="AH19" s="71"/>
      <c r="AI19" s="71"/>
    </row>
    <row r="20" spans="2:45" ht="15.75" thickBot="1">
      <c r="B20" s="382" t="s">
        <v>84</v>
      </c>
      <c r="C20" s="356">
        <f t="shared" ref="C20:I20" si="6">SUM(C25:C36)</f>
        <v>46842061.230000004</v>
      </c>
      <c r="D20" s="356">
        <f t="shared" si="6"/>
        <v>21796003.629999999</v>
      </c>
      <c r="E20" s="356">
        <f t="shared" si="6"/>
        <v>25046057.600000001</v>
      </c>
      <c r="F20" s="356">
        <f t="shared" si="6"/>
        <v>33975472.019999996</v>
      </c>
      <c r="G20" s="356">
        <f t="shared" si="6"/>
        <v>23546132.273833107</v>
      </c>
      <c r="H20" s="356">
        <f t="shared" si="6"/>
        <v>8929414.4199999999</v>
      </c>
      <c r="I20" s="356">
        <f t="shared" si="6"/>
        <v>10429339.746166894</v>
      </c>
      <c r="J20" s="356">
        <f t="shared" ref="J20:AI20" si="7">SUM(J25:J36)</f>
        <v>9558807.5999999996</v>
      </c>
      <c r="K20" s="356">
        <f t="shared" si="7"/>
        <v>9215453.5500000007</v>
      </c>
      <c r="L20" s="356">
        <f t="shared" si="7"/>
        <v>4717304.51</v>
      </c>
      <c r="M20" s="356">
        <f t="shared" si="7"/>
        <v>4325604.51</v>
      </c>
      <c r="N20" s="356">
        <f t="shared" si="7"/>
        <v>3964125.4200000004</v>
      </c>
      <c r="O20" s="356">
        <f t="shared" si="7"/>
        <v>2825853.9550000001</v>
      </c>
      <c r="P20" s="356">
        <f t="shared" si="7"/>
        <v>2036005.49</v>
      </c>
      <c r="Q20" s="356">
        <f t="shared" si="7"/>
        <v>797936.82000000007</v>
      </c>
      <c r="R20" s="356">
        <f t="shared" si="7"/>
        <v>2284400</v>
      </c>
      <c r="S20" s="356">
        <f t="shared" si="7"/>
        <v>2629737.36</v>
      </c>
      <c r="T20" s="356">
        <f t="shared" si="7"/>
        <v>1469829</v>
      </c>
      <c r="U20" s="356">
        <f t="shared" si="7"/>
        <v>332570.26</v>
      </c>
      <c r="V20" s="356">
        <f t="shared" si="7"/>
        <v>1250000</v>
      </c>
      <c r="W20" s="356">
        <f t="shared" si="7"/>
        <v>583046.19883310818</v>
      </c>
      <c r="X20" s="356">
        <f t="shared" si="7"/>
        <v>1250000</v>
      </c>
      <c r="Y20" s="356">
        <f t="shared" si="7"/>
        <v>1149229.46</v>
      </c>
      <c r="Z20" s="356">
        <f t="shared" si="7"/>
        <v>620000</v>
      </c>
      <c r="AA20" s="356">
        <f t="shared" si="7"/>
        <v>778435.99</v>
      </c>
      <c r="AB20" s="356">
        <f t="shared" si="7"/>
        <v>250000</v>
      </c>
      <c r="AC20" s="356">
        <f t="shared" si="7"/>
        <v>465404.93</v>
      </c>
      <c r="AD20" s="356">
        <f t="shared" si="7"/>
        <v>250000</v>
      </c>
      <c r="AE20" s="356">
        <f t="shared" si="7"/>
        <v>442859.24</v>
      </c>
      <c r="AF20" s="356">
        <f t="shared" si="7"/>
        <v>250000</v>
      </c>
      <c r="AG20" s="356">
        <f t="shared" si="7"/>
        <v>0</v>
      </c>
      <c r="AH20" s="356">
        <f t="shared" si="7"/>
        <v>26806057.600000001</v>
      </c>
      <c r="AI20" s="356">
        <f t="shared" si="7"/>
        <v>23546132.273833107</v>
      </c>
      <c r="AK20" s="401">
        <f>SUM(AK25:AK35)</f>
        <v>2415000</v>
      </c>
      <c r="AL20" s="401">
        <f>SUM(AL25:AL35)</f>
        <v>5831000</v>
      </c>
      <c r="AN20" s="416">
        <f>AH20+AK20+AL20</f>
        <v>35052057.600000001</v>
      </c>
      <c r="AO20" t="s">
        <v>1374</v>
      </c>
      <c r="AR20" s="401">
        <f>SUM(AR25:AR35)</f>
        <v>6950000</v>
      </c>
      <c r="AS20" s="401">
        <f>SUM(AS25:AS35)</f>
        <v>1950000</v>
      </c>
    </row>
    <row r="21" spans="2:45" ht="16.5" customHeight="1" thickBot="1">
      <c r="B21" s="437" t="s">
        <v>81</v>
      </c>
      <c r="C21" s="440" t="s">
        <v>1178</v>
      </c>
      <c r="D21" s="440" t="s">
        <v>1253</v>
      </c>
      <c r="E21" s="443" t="s">
        <v>1235</v>
      </c>
      <c r="F21" s="431" t="s">
        <v>1378</v>
      </c>
      <c r="G21" s="446" t="s">
        <v>1241</v>
      </c>
      <c r="H21" s="434" t="s">
        <v>1379</v>
      </c>
      <c r="I21" s="431" t="s">
        <v>1380</v>
      </c>
      <c r="J21" s="354"/>
      <c r="K21" s="354"/>
      <c r="L21" s="354"/>
      <c r="M21" s="354"/>
      <c r="N21" s="354"/>
      <c r="O21" s="354"/>
      <c r="P21" s="354"/>
      <c r="Q21" s="354"/>
      <c r="R21" s="354"/>
      <c r="S21" s="354"/>
      <c r="T21" s="354"/>
      <c r="U21" s="354"/>
      <c r="V21" s="354"/>
      <c r="W21" s="354"/>
      <c r="X21" s="354"/>
      <c r="Y21" s="354"/>
      <c r="Z21" s="354"/>
      <c r="AA21" s="354"/>
      <c r="AB21" s="354"/>
      <c r="AC21" s="354"/>
      <c r="AD21" s="354"/>
      <c r="AE21" s="354"/>
      <c r="AF21" s="354"/>
      <c r="AG21" s="354"/>
      <c r="AH21" s="354"/>
      <c r="AI21" s="296"/>
      <c r="AK21" s="450" t="s">
        <v>1371</v>
      </c>
      <c r="AL21" s="451"/>
      <c r="AN21" t="s">
        <v>1375</v>
      </c>
      <c r="AR21" s="454">
        <v>2026</v>
      </c>
      <c r="AS21" s="455"/>
    </row>
    <row r="22" spans="2:45" ht="16.5" thickBot="1">
      <c r="B22" s="438"/>
      <c r="C22" s="441"/>
      <c r="D22" s="441"/>
      <c r="E22" s="444"/>
      <c r="F22" s="432"/>
      <c r="G22" s="447"/>
      <c r="H22" s="435"/>
      <c r="I22" s="432"/>
      <c r="J22" s="427" t="s">
        <v>12</v>
      </c>
      <c r="K22" s="428"/>
      <c r="L22" s="427" t="s">
        <v>13</v>
      </c>
      <c r="M22" s="428"/>
      <c r="N22" s="427" t="s">
        <v>14</v>
      </c>
      <c r="O22" s="428"/>
      <c r="P22" s="427" t="s">
        <v>15</v>
      </c>
      <c r="Q22" s="428"/>
      <c r="R22" s="427" t="s">
        <v>16</v>
      </c>
      <c r="S22" s="428"/>
      <c r="T22" s="427" t="s">
        <v>17</v>
      </c>
      <c r="U22" s="428"/>
      <c r="V22" s="427" t="s">
        <v>18</v>
      </c>
      <c r="W22" s="428"/>
      <c r="X22" s="427" t="s">
        <v>19</v>
      </c>
      <c r="Y22" s="428"/>
      <c r="Z22" s="427" t="s">
        <v>20</v>
      </c>
      <c r="AA22" s="428"/>
      <c r="AB22" s="427" t="s">
        <v>21</v>
      </c>
      <c r="AC22" s="428"/>
      <c r="AD22" s="429" t="s">
        <v>22</v>
      </c>
      <c r="AE22" s="430"/>
      <c r="AF22" s="427" t="s">
        <v>23</v>
      </c>
      <c r="AG22" s="428"/>
      <c r="AH22" s="427" t="s">
        <v>24</v>
      </c>
      <c r="AI22" s="428"/>
      <c r="AK22" s="452"/>
      <c r="AL22" s="453"/>
      <c r="AR22" s="456"/>
      <c r="AS22" s="457"/>
    </row>
    <row r="23" spans="2:45" ht="15" customHeight="1">
      <c r="B23" s="438"/>
      <c r="C23" s="441"/>
      <c r="D23" s="441"/>
      <c r="E23" s="444"/>
      <c r="F23" s="432"/>
      <c r="G23" s="447"/>
      <c r="H23" s="435"/>
      <c r="I23" s="432"/>
      <c r="J23" s="425" t="s">
        <v>25</v>
      </c>
      <c r="K23" s="426"/>
      <c r="L23" s="425" t="s">
        <v>25</v>
      </c>
      <c r="M23" s="426"/>
      <c r="N23" s="425" t="s">
        <v>25</v>
      </c>
      <c r="O23" s="426"/>
      <c r="P23" s="425" t="s">
        <v>25</v>
      </c>
      <c r="Q23" s="426"/>
      <c r="R23" s="425" t="s">
        <v>25</v>
      </c>
      <c r="S23" s="426"/>
      <c r="T23" s="425" t="s">
        <v>25</v>
      </c>
      <c r="U23" s="426"/>
      <c r="V23" s="425" t="s">
        <v>25</v>
      </c>
      <c r="W23" s="426"/>
      <c r="X23" s="425" t="s">
        <v>25</v>
      </c>
      <c r="Y23" s="426"/>
      <c r="Z23" s="425" t="s">
        <v>25</v>
      </c>
      <c r="AA23" s="426"/>
      <c r="AB23" s="425" t="s">
        <v>25</v>
      </c>
      <c r="AC23" s="426"/>
      <c r="AD23" s="425" t="s">
        <v>25</v>
      </c>
      <c r="AE23" s="426"/>
      <c r="AF23" s="425" t="s">
        <v>25</v>
      </c>
      <c r="AG23" s="426"/>
      <c r="AH23" s="425" t="s">
        <v>25</v>
      </c>
      <c r="AI23" s="426"/>
      <c r="AK23" s="402" t="s">
        <v>1372</v>
      </c>
      <c r="AL23" s="403" t="s">
        <v>1373</v>
      </c>
      <c r="AR23" s="402" t="s">
        <v>1376</v>
      </c>
      <c r="AS23" s="403" t="s">
        <v>1377</v>
      </c>
    </row>
    <row r="24" spans="2:45" ht="15.75" thickBot="1">
      <c r="B24" s="439"/>
      <c r="C24" s="442"/>
      <c r="D24" s="442"/>
      <c r="E24" s="445"/>
      <c r="F24" s="433"/>
      <c r="G24" s="448"/>
      <c r="H24" s="436"/>
      <c r="I24" s="433"/>
      <c r="J24" s="5" t="s">
        <v>26</v>
      </c>
      <c r="K24" s="6" t="s">
        <v>27</v>
      </c>
      <c r="L24" s="5" t="s">
        <v>26</v>
      </c>
      <c r="M24" s="6" t="s">
        <v>27</v>
      </c>
      <c r="N24" s="5" t="s">
        <v>26</v>
      </c>
      <c r="O24" s="6" t="s">
        <v>27</v>
      </c>
      <c r="P24" s="5" t="s">
        <v>26</v>
      </c>
      <c r="Q24" s="6" t="s">
        <v>27</v>
      </c>
      <c r="R24" s="5" t="s">
        <v>26</v>
      </c>
      <c r="S24" s="6" t="s">
        <v>27</v>
      </c>
      <c r="T24" s="5" t="s">
        <v>26</v>
      </c>
      <c r="U24" s="6" t="s">
        <v>27</v>
      </c>
      <c r="V24" s="5" t="s">
        <v>26</v>
      </c>
      <c r="W24" s="6" t="s">
        <v>27</v>
      </c>
      <c r="X24" s="5" t="s">
        <v>26</v>
      </c>
      <c r="Y24" s="6" t="s">
        <v>27</v>
      </c>
      <c r="Z24" s="5" t="s">
        <v>26</v>
      </c>
      <c r="AA24" s="6" t="s">
        <v>27</v>
      </c>
      <c r="AB24" s="5" t="s">
        <v>26</v>
      </c>
      <c r="AC24" s="6" t="s">
        <v>27</v>
      </c>
      <c r="AD24" s="5" t="s">
        <v>26</v>
      </c>
      <c r="AE24" s="6" t="s">
        <v>27</v>
      </c>
      <c r="AF24" s="5" t="s">
        <v>26</v>
      </c>
      <c r="AG24" s="6" t="s">
        <v>27</v>
      </c>
      <c r="AH24" s="5" t="s">
        <v>1252</v>
      </c>
      <c r="AI24" s="6" t="s">
        <v>27</v>
      </c>
      <c r="AK24" s="404" t="s">
        <v>26</v>
      </c>
      <c r="AL24" s="405" t="s">
        <v>26</v>
      </c>
      <c r="AR24" s="404" t="s">
        <v>26</v>
      </c>
      <c r="AS24" s="405" t="s">
        <v>26</v>
      </c>
    </row>
    <row r="25" spans="2:45">
      <c r="B25" s="264" t="s">
        <v>82</v>
      </c>
      <c r="C25" s="293">
        <v>1963780.24</v>
      </c>
      <c r="D25" s="31">
        <v>1441780.24</v>
      </c>
      <c r="E25" s="31">
        <v>522000</v>
      </c>
      <c r="F25" s="31">
        <v>576000</v>
      </c>
      <c r="G25" s="31">
        <f t="shared" ref="G25:G27" si="8">K25+M25+O25+Q25+S25+U25+W25+Y25+AA25+AC25+AE25+AG25</f>
        <v>470439</v>
      </c>
      <c r="H25" s="31">
        <f>F25-E25</f>
        <v>54000</v>
      </c>
      <c r="I25" s="31">
        <f>F25-G25</f>
        <v>105561</v>
      </c>
      <c r="J25" s="293">
        <v>150000</v>
      </c>
      <c r="K25" s="293">
        <f>'GeoGazProj (SOG)'!AQ7</f>
        <v>100000</v>
      </c>
      <c r="L25" s="31">
        <v>0</v>
      </c>
      <c r="M25" s="31">
        <f>'GeoGazProj (SOG)'!AW7</f>
        <v>76000</v>
      </c>
      <c r="N25" s="293">
        <v>90000</v>
      </c>
      <c r="O25" s="293">
        <f>'GeoGazProj (SOG)'!BD7</f>
        <v>44000</v>
      </c>
      <c r="P25" s="31">
        <v>80000</v>
      </c>
      <c r="Q25" s="31">
        <f>'GeoGazProj (SOG)'!BK7</f>
        <v>0</v>
      </c>
      <c r="R25" s="31">
        <v>200000</v>
      </c>
      <c r="S25" s="31">
        <f>'GeoGazProj (SOG)'!BR7</f>
        <v>0</v>
      </c>
      <c r="T25" s="31">
        <v>56000</v>
      </c>
      <c r="U25" s="31">
        <f>'GeoGazProj (SOG)'!BY7</f>
        <v>0</v>
      </c>
      <c r="V25" s="31">
        <v>0</v>
      </c>
      <c r="W25" s="31">
        <f>'GeoGazProj (SOG)'!CE7</f>
        <v>70000</v>
      </c>
      <c r="X25" s="31">
        <v>0</v>
      </c>
      <c r="Y25" s="31">
        <f>'GeoGazProj (SOG)'!CK7</f>
        <v>0</v>
      </c>
      <c r="Z25" s="31">
        <v>0</v>
      </c>
      <c r="AA25" s="31">
        <f>'GeoGazProj (SOG)'!CQ7</f>
        <v>55000</v>
      </c>
      <c r="AB25" s="31">
        <v>0</v>
      </c>
      <c r="AC25" s="31">
        <f>'GeoGazProj (SOG)'!CW7</f>
        <v>0</v>
      </c>
      <c r="AD25" s="421">
        <v>0</v>
      </c>
      <c r="AE25" s="31">
        <f>'GeoGazProj (SOG)'!DC7</f>
        <v>125439</v>
      </c>
      <c r="AF25" s="421">
        <v>0</v>
      </c>
      <c r="AG25" s="31">
        <f>'GeoGazProj (SOG)'!DI7</f>
        <v>0</v>
      </c>
      <c r="AH25" s="100">
        <v>522000</v>
      </c>
      <c r="AI25" s="100">
        <f>K25+M25+O25+Q25+S25+U25+W25+Y25+AA25+AC25+AE25+AG25</f>
        <v>470439</v>
      </c>
      <c r="AK25" s="407">
        <v>0</v>
      </c>
      <c r="AL25" s="412">
        <v>231000</v>
      </c>
      <c r="AR25" s="407">
        <v>250000</v>
      </c>
      <c r="AS25" s="412">
        <v>0</v>
      </c>
    </row>
    <row r="26" spans="2:45">
      <c r="B26" s="29" t="s">
        <v>104</v>
      </c>
      <c r="C26" s="100">
        <v>0</v>
      </c>
      <c r="D26" s="30">
        <v>0</v>
      </c>
      <c r="E26" s="30">
        <v>0</v>
      </c>
      <c r="F26" s="30">
        <v>0</v>
      </c>
      <c r="G26" s="31">
        <f t="shared" si="8"/>
        <v>0</v>
      </c>
      <c r="H26" s="31">
        <f>F26-E26</f>
        <v>0</v>
      </c>
      <c r="I26" s="31">
        <f>F26-G26</f>
        <v>0</v>
      </c>
      <c r="J26" s="100">
        <v>0</v>
      </c>
      <c r="K26" s="100">
        <f>'ბრიჯი SOG'!AQ7</f>
        <v>0</v>
      </c>
      <c r="L26" s="30">
        <v>0</v>
      </c>
      <c r="M26" s="30">
        <f>'ბრიჯი SOG'!AS7</f>
        <v>0</v>
      </c>
      <c r="N26" s="100">
        <v>0</v>
      </c>
      <c r="O26" s="100">
        <f>'ბრიჯი SOG'!AU7</f>
        <v>0</v>
      </c>
      <c r="P26" s="30">
        <v>0</v>
      </c>
      <c r="Q26" s="30">
        <f>'ბრიჯი SOG'!AW7</f>
        <v>0</v>
      </c>
      <c r="R26" s="30">
        <v>0</v>
      </c>
      <c r="S26" s="30">
        <f>'ბრიჯი SOG'!AY7</f>
        <v>0</v>
      </c>
      <c r="T26" s="30">
        <v>0</v>
      </c>
      <c r="U26" s="30">
        <f>'ბრიჯი SOG'!BA7</f>
        <v>0</v>
      </c>
      <c r="V26" s="30">
        <v>0</v>
      </c>
      <c r="W26" s="30">
        <f>'ბრიჯი SOG'!BC7</f>
        <v>0</v>
      </c>
      <c r="X26" s="30">
        <v>0</v>
      </c>
      <c r="Y26" s="30">
        <f>'ბრიჯი SOG'!BE7</f>
        <v>0</v>
      </c>
      <c r="Z26" s="30">
        <v>0</v>
      </c>
      <c r="AA26" s="30">
        <f>'ბრიჯი SOG'!BG7</f>
        <v>0</v>
      </c>
      <c r="AB26" s="30">
        <v>0</v>
      </c>
      <c r="AC26" s="30">
        <f>'ბრიჯი SOG'!BI7</f>
        <v>0</v>
      </c>
      <c r="AD26" s="422">
        <v>0</v>
      </c>
      <c r="AE26" s="30">
        <f>'ბრიჯი SOG'!BK7</f>
        <v>0</v>
      </c>
      <c r="AF26" s="422">
        <v>0</v>
      </c>
      <c r="AG26" s="30">
        <f>'ბრიჯი SOG'!BM7</f>
        <v>0</v>
      </c>
      <c r="AH26" s="100">
        <v>0</v>
      </c>
      <c r="AI26" s="100">
        <f>K26+M26+O26+Q26+S26+U26+W26+Y26+AA26+AC26+AE26+AG26</f>
        <v>0</v>
      </c>
      <c r="AK26" s="409">
        <v>0</v>
      </c>
      <c r="AL26" s="413">
        <v>0</v>
      </c>
      <c r="AR26" s="409">
        <v>0</v>
      </c>
      <c r="AS26" s="413">
        <v>0</v>
      </c>
    </row>
    <row r="27" spans="2:45">
      <c r="B27" s="29" t="s">
        <v>123</v>
      </c>
      <c r="C27" s="100">
        <v>2000000</v>
      </c>
      <c r="D27" s="30">
        <v>0</v>
      </c>
      <c r="E27" s="30">
        <v>2000000</v>
      </c>
      <c r="F27" s="31">
        <v>4000000</v>
      </c>
      <c r="G27" s="31">
        <f t="shared" si="8"/>
        <v>0</v>
      </c>
      <c r="H27" s="31">
        <f>F27-E27</f>
        <v>2000000</v>
      </c>
      <c r="I27" s="31">
        <f>F27-G27</f>
        <v>4000000</v>
      </c>
      <c r="J27" s="100">
        <v>0</v>
      </c>
      <c r="K27" s="100">
        <f>'არქმშენსერვისი SOG'!AS7</f>
        <v>0</v>
      </c>
      <c r="L27" s="30">
        <v>500000</v>
      </c>
      <c r="M27" s="30">
        <f>'არქმშენსერვისი SOG'!AY7</f>
        <v>0</v>
      </c>
      <c r="N27" s="100">
        <f>500000+200000</f>
        <v>700000</v>
      </c>
      <c r="O27" s="100">
        <f>'არქმშენსერვისი SOG'!BF7</f>
        <v>0</v>
      </c>
      <c r="P27" s="30">
        <f>500000+150000</f>
        <v>650000</v>
      </c>
      <c r="Q27" s="30">
        <f>'არქმშენსერვისი SOG'!BM7</f>
        <v>0</v>
      </c>
      <c r="R27" s="30">
        <f>500000+100000</f>
        <v>600000</v>
      </c>
      <c r="S27" s="30">
        <f>'არქმშენსერვისი SOG'!BT7</f>
        <v>0</v>
      </c>
      <c r="T27" s="30">
        <f>500000+50000</f>
        <v>550000</v>
      </c>
      <c r="U27" s="30">
        <f>'არქმშენსერვისი SOG'!CA7</f>
        <v>0</v>
      </c>
      <c r="V27" s="30">
        <v>500000</v>
      </c>
      <c r="W27" s="30">
        <f>'არქმშენსერვისი SOG'!CG7</f>
        <v>0</v>
      </c>
      <c r="X27" s="30">
        <v>500000</v>
      </c>
      <c r="Y27" s="30">
        <f>'არქმშენსერვისი SOG'!CM7</f>
        <v>0</v>
      </c>
      <c r="Z27" s="30">
        <v>0</v>
      </c>
      <c r="AA27" s="30">
        <f>'არქმშენსერვისი SOG'!CS7</f>
        <v>0</v>
      </c>
      <c r="AB27" s="30">
        <v>0</v>
      </c>
      <c r="AC27" s="30">
        <f>'არქმშენსერვისი SOG'!CY7</f>
        <v>0</v>
      </c>
      <c r="AD27" s="422">
        <v>0</v>
      </c>
      <c r="AE27" s="30">
        <f>'არქმშენსერვისი SOG'!DE7</f>
        <v>0</v>
      </c>
      <c r="AF27" s="422">
        <v>0</v>
      </c>
      <c r="AG27" s="30">
        <f>'არქმშენსერვისი SOG'!DK7</f>
        <v>0</v>
      </c>
      <c r="AH27" s="100">
        <v>3500000</v>
      </c>
      <c r="AI27" s="100">
        <f>K27+M27+O27+Q27+S27+U27+W27+Y27+AA27+AC27+AE27+AG27</f>
        <v>0</v>
      </c>
      <c r="AK27" s="409">
        <v>0</v>
      </c>
      <c r="AL27" s="413">
        <v>2000000</v>
      </c>
      <c r="AR27" s="409">
        <v>1500000</v>
      </c>
      <c r="AS27" s="413">
        <v>500000</v>
      </c>
    </row>
    <row r="28" spans="2:45">
      <c r="B28" s="341" t="s">
        <v>160</v>
      </c>
      <c r="C28" s="340"/>
      <c r="D28" s="340"/>
      <c r="E28" s="340"/>
      <c r="F28" s="340">
        <v>0</v>
      </c>
      <c r="G28" s="340"/>
      <c r="H28" s="340"/>
      <c r="I28" s="340"/>
      <c r="J28" s="340"/>
      <c r="K28" s="340"/>
      <c r="L28" s="340"/>
      <c r="M28" s="340"/>
      <c r="N28" s="340"/>
      <c r="O28" s="340"/>
      <c r="P28" s="340"/>
      <c r="Q28" s="340"/>
      <c r="R28" s="340"/>
      <c r="S28" s="340"/>
      <c r="T28" s="340"/>
      <c r="U28" s="340"/>
      <c r="V28" s="340"/>
      <c r="W28" s="340"/>
      <c r="X28" s="340"/>
      <c r="Y28" s="340"/>
      <c r="Z28" s="340"/>
      <c r="AA28" s="340"/>
      <c r="AB28" s="340"/>
      <c r="AC28" s="340"/>
      <c r="AD28" s="422"/>
      <c r="AE28" s="340"/>
      <c r="AF28" s="422"/>
      <c r="AG28" s="340"/>
      <c r="AH28" s="340"/>
      <c r="AI28" s="340"/>
      <c r="AK28" s="340">
        <v>0</v>
      </c>
      <c r="AL28" s="340">
        <v>0</v>
      </c>
      <c r="AR28" s="340">
        <v>0</v>
      </c>
      <c r="AS28" s="340">
        <v>0</v>
      </c>
    </row>
    <row r="29" spans="2:45">
      <c r="B29" s="29" t="s">
        <v>380</v>
      </c>
      <c r="C29" s="100">
        <v>3989235.2199999997</v>
      </c>
      <c r="D29" s="100">
        <v>2855522.7199999997</v>
      </c>
      <c r="E29" s="100">
        <v>1133712.5</v>
      </c>
      <c r="F29" s="100">
        <v>1794067.5</v>
      </c>
      <c r="G29" s="31">
        <f>K29+M29+O29+Q29+S29+U29+W29+Y29+AA29+AC29+AE29+AG29</f>
        <v>1144017.3499999999</v>
      </c>
      <c r="H29" s="31">
        <f t="shared" ref="H29:H35" si="9">F29-E29</f>
        <v>660355</v>
      </c>
      <c r="I29" s="31">
        <f t="shared" ref="I29:I36" si="10">F29-G29</f>
        <v>650050.15000000014</v>
      </c>
      <c r="J29" s="100">
        <v>713212.5</v>
      </c>
      <c r="K29" s="100">
        <f>'ინტერსერვისი SOG'!AQ7</f>
        <v>713000</v>
      </c>
      <c r="L29" s="100">
        <v>297500</v>
      </c>
      <c r="M29" s="100">
        <f>'ინტერსერვისი SOG'!AW7</f>
        <v>297000</v>
      </c>
      <c r="N29" s="100">
        <v>95355</v>
      </c>
      <c r="O29" s="100">
        <f>'ინტერსერვისი SOG'!BD7</f>
        <v>83764.14</v>
      </c>
      <c r="P29" s="100">
        <v>28000</v>
      </c>
      <c r="Q29" s="100">
        <f>'ინტერსერვისი SOG'!BK7</f>
        <v>49635.65</v>
      </c>
      <c r="R29" s="100">
        <v>0</v>
      </c>
      <c r="S29" s="100">
        <f>'ინტერსერვისი SOG'!BQ7</f>
        <v>0</v>
      </c>
      <c r="T29" s="100">
        <v>0</v>
      </c>
      <c r="U29" s="100">
        <f>'ინტერსერვისი SOG'!BW7</f>
        <v>617.55999999999995</v>
      </c>
      <c r="V29" s="100">
        <v>0</v>
      </c>
      <c r="W29" s="100">
        <f>'ინტერსერვისი SOG'!CC7</f>
        <v>0</v>
      </c>
      <c r="X29" s="100">
        <v>0</v>
      </c>
      <c r="Y29" s="100">
        <f>'ინტერსერვისი SOG'!CI7</f>
        <v>0</v>
      </c>
      <c r="Z29" s="100">
        <v>0</v>
      </c>
      <c r="AA29" s="100">
        <f>'ინტერსერვისი SOG'!CO7</f>
        <v>0</v>
      </c>
      <c r="AB29" s="100">
        <v>0</v>
      </c>
      <c r="AC29" s="100">
        <f>'ინტერსერვისი SOG'!CU7</f>
        <v>0</v>
      </c>
      <c r="AD29" s="422">
        <v>0</v>
      </c>
      <c r="AE29" s="100">
        <f>'ინტერსერვისი SOG'!DA7</f>
        <v>0</v>
      </c>
      <c r="AF29" s="422">
        <v>0</v>
      </c>
      <c r="AG29" s="100">
        <f>'ინტერსერვისი SOG'!DG7</f>
        <v>0</v>
      </c>
      <c r="AH29" s="100">
        <v>1133712.5</v>
      </c>
      <c r="AI29" s="100">
        <f>K29+M29+O29+Q29+S29+U29+W29+Y29+AA29+AC29+AE29+AG29</f>
        <v>1144017.3499999999</v>
      </c>
      <c r="AK29" s="409">
        <v>300000</v>
      </c>
      <c r="AL29" s="413">
        <v>350000</v>
      </c>
      <c r="AR29" s="409">
        <v>300000</v>
      </c>
      <c r="AS29" s="413">
        <v>250000</v>
      </c>
    </row>
    <row r="30" spans="2:45">
      <c r="B30" s="29" t="s">
        <v>671</v>
      </c>
      <c r="C30" s="100">
        <v>6837995.8599999994</v>
      </c>
      <c r="D30" s="100">
        <v>2051745.8599999999</v>
      </c>
      <c r="E30" s="100">
        <f>4786250</f>
        <v>4786250</v>
      </c>
      <c r="F30" s="100">
        <v>7450750</v>
      </c>
      <c r="G30" s="31">
        <f>K30+M30+O30+Q30+S30+U30+W30+Y30+AA30+AC30+AE30+AG30</f>
        <v>5446833.9799999995</v>
      </c>
      <c r="H30" s="31">
        <f t="shared" si="9"/>
        <v>2664500</v>
      </c>
      <c r="I30" s="31">
        <f t="shared" si="10"/>
        <v>2003916.0200000005</v>
      </c>
      <c r="J30" s="100">
        <v>2552500</v>
      </c>
      <c r="K30" s="100">
        <f>'გაზსერვისი SOG'!AR7</f>
        <v>2548000</v>
      </c>
      <c r="L30" s="100">
        <v>783804.51</v>
      </c>
      <c r="M30" s="100">
        <f>'გაზსერვისი SOG'!AX7</f>
        <v>783804.51</v>
      </c>
      <c r="N30" s="100">
        <v>1000000</v>
      </c>
      <c r="O30" s="100">
        <f>'გაზსერვისი SOG'!BE7</f>
        <v>1000000</v>
      </c>
      <c r="P30" s="100">
        <v>314445.49</v>
      </c>
      <c r="Q30" s="100">
        <f>'გაზსერვისი SOG'!BL7</f>
        <v>423976.54</v>
      </c>
      <c r="R30" s="100">
        <f>410000+N("P.6.602 ქვიტირი")+90000+N("P.6.608 ქუთაისი 26 მაისის ქ.")</f>
        <v>500000</v>
      </c>
      <c r="S30" s="100">
        <f>'გაზსერვისი SOG'!BR7</f>
        <v>528855.92999999993</v>
      </c>
      <c r="T30" s="100">
        <v>0</v>
      </c>
      <c r="U30" s="100">
        <f>'გაზსერვისი SOG'!BX7</f>
        <v>0</v>
      </c>
      <c r="V30" s="100">
        <v>0</v>
      </c>
      <c r="W30" s="100">
        <f>'გაზსერვისი SOG'!CD7</f>
        <v>0</v>
      </c>
      <c r="X30" s="100">
        <v>0</v>
      </c>
      <c r="Y30" s="100">
        <f>'გაზსერვისი SOG'!CJ7</f>
        <v>0</v>
      </c>
      <c r="Z30" s="100">
        <v>0</v>
      </c>
      <c r="AA30" s="100">
        <f>'გაზსერვისი SOG'!CP7</f>
        <v>0</v>
      </c>
      <c r="AB30" s="100">
        <v>0</v>
      </c>
      <c r="AC30" s="100">
        <f>'გაზსერვისი SOG'!CV7</f>
        <v>162197</v>
      </c>
      <c r="AD30" s="422">
        <v>0</v>
      </c>
      <c r="AE30" s="100">
        <f>'გაზსერვისი SOG'!DB7</f>
        <v>0</v>
      </c>
      <c r="AF30" s="422">
        <v>0</v>
      </c>
      <c r="AG30" s="100">
        <f>'გაზსერვისი SOG'!DH7</f>
        <v>0</v>
      </c>
      <c r="AH30" s="100">
        <v>5046250</v>
      </c>
      <c r="AI30" s="100">
        <f>K30+M30+O30+Q30+S30+U30+W30+Y30+AA30+AC30+AE30+AG30</f>
        <v>5446833.9799999995</v>
      </c>
      <c r="AK30" s="409">
        <v>500000</v>
      </c>
      <c r="AL30" s="413">
        <v>1500000</v>
      </c>
      <c r="AR30" s="409">
        <v>750000</v>
      </c>
      <c r="AS30" s="413">
        <v>300000</v>
      </c>
    </row>
    <row r="31" spans="2:45">
      <c r="B31" s="29" t="s">
        <v>698</v>
      </c>
      <c r="C31" s="100"/>
      <c r="D31" s="100"/>
      <c r="E31" s="100"/>
      <c r="F31" s="100">
        <v>350000</v>
      </c>
      <c r="G31" s="100"/>
      <c r="H31" s="293">
        <f t="shared" si="9"/>
        <v>350000</v>
      </c>
      <c r="I31" s="31">
        <f t="shared" si="10"/>
        <v>350000</v>
      </c>
      <c r="J31" s="100"/>
      <c r="K31" s="100"/>
      <c r="L31" s="100"/>
      <c r="M31" s="100"/>
      <c r="N31" s="100"/>
      <c r="O31" s="100"/>
      <c r="P31" s="100"/>
      <c r="Q31" s="100"/>
      <c r="R31" s="100"/>
      <c r="S31" s="100"/>
      <c r="T31" s="100"/>
      <c r="U31" s="100"/>
      <c r="V31" s="100"/>
      <c r="W31" s="100"/>
      <c r="X31" s="100"/>
      <c r="Y31" s="100"/>
      <c r="Z31" s="100"/>
      <c r="AA31" s="100"/>
      <c r="AB31" s="100"/>
      <c r="AC31" s="100"/>
      <c r="AD31" s="422"/>
      <c r="AE31" s="100"/>
      <c r="AF31" s="422"/>
      <c r="AG31" s="100"/>
      <c r="AH31" s="100"/>
      <c r="AI31" s="100"/>
      <c r="AK31" s="409">
        <v>350000</v>
      </c>
      <c r="AL31" s="413">
        <v>0</v>
      </c>
      <c r="AR31" s="409">
        <v>0</v>
      </c>
      <c r="AS31" s="413">
        <v>0</v>
      </c>
    </row>
    <row r="32" spans="2:45">
      <c r="B32" s="29" t="s">
        <v>703</v>
      </c>
      <c r="C32" s="100"/>
      <c r="D32" s="100"/>
      <c r="E32" s="100"/>
      <c r="F32" s="100">
        <v>15000</v>
      </c>
      <c r="G32" s="100"/>
      <c r="H32" s="293">
        <f t="shared" si="9"/>
        <v>15000</v>
      </c>
      <c r="I32" s="31">
        <f t="shared" si="10"/>
        <v>15000</v>
      </c>
      <c r="J32" s="100"/>
      <c r="K32" s="100"/>
      <c r="L32" s="100"/>
      <c r="M32" s="100"/>
      <c r="N32" s="100"/>
      <c r="O32" s="100"/>
      <c r="P32" s="100"/>
      <c r="Q32" s="100"/>
      <c r="R32" s="100"/>
      <c r="S32" s="100"/>
      <c r="T32" s="100"/>
      <c r="U32" s="100"/>
      <c r="V32" s="100"/>
      <c r="W32" s="100"/>
      <c r="X32" s="100"/>
      <c r="Y32" s="100"/>
      <c r="Z32" s="100"/>
      <c r="AA32" s="100"/>
      <c r="AB32" s="100"/>
      <c r="AC32" s="100"/>
      <c r="AD32" s="422"/>
      <c r="AE32" s="100"/>
      <c r="AF32" s="422"/>
      <c r="AG32" s="100"/>
      <c r="AH32" s="100"/>
      <c r="AI32" s="100"/>
      <c r="AK32" s="409">
        <v>15000</v>
      </c>
      <c r="AL32" s="413">
        <v>0</v>
      </c>
      <c r="AR32" s="409">
        <v>0</v>
      </c>
      <c r="AS32" s="413">
        <v>0</v>
      </c>
    </row>
    <row r="33" spans="2:45">
      <c r="B33" s="29" t="s">
        <v>744</v>
      </c>
      <c r="C33" s="100">
        <v>24379200</v>
      </c>
      <c r="D33" s="100">
        <v>14109200</v>
      </c>
      <c r="E33" s="100">
        <v>10270000</v>
      </c>
      <c r="F33" s="100">
        <v>11196800</v>
      </c>
      <c r="G33" s="31">
        <f t="shared" ref="G33:G36" si="11">K33+M33+O33+Q33+S33+U33+W33+Y33+AA33+AC33+AE33+AG33</f>
        <v>9917716.3200000003</v>
      </c>
      <c r="H33" s="31">
        <f t="shared" si="9"/>
        <v>926800</v>
      </c>
      <c r="I33" s="31">
        <f t="shared" si="10"/>
        <v>1279083.6799999997</v>
      </c>
      <c r="J33" s="100">
        <v>4870000</v>
      </c>
      <c r="K33" s="100">
        <f>'ინტერგაზი SOG'!AS7</f>
        <v>4594000</v>
      </c>
      <c r="L33" s="100">
        <v>1300000</v>
      </c>
      <c r="M33" s="100">
        <f>'ინტერგაზი SOG'!AY7</f>
        <v>1330000</v>
      </c>
      <c r="N33" s="100">
        <v>1538800</v>
      </c>
      <c r="O33" s="100">
        <f>'ინტერგაზი SOG'!BF7</f>
        <v>1112004.05</v>
      </c>
      <c r="P33" s="100">
        <v>618000</v>
      </c>
      <c r="Q33" s="100">
        <f>'ინტერგაზი SOG'!BM7</f>
        <v>21643</v>
      </c>
      <c r="R33" s="100">
        <v>500000</v>
      </c>
      <c r="S33" s="100">
        <f>'ინტერგაზი SOG'!BT7</f>
        <v>1500000</v>
      </c>
      <c r="T33" s="100">
        <v>500000</v>
      </c>
      <c r="U33" s="100">
        <f>'ინტერგაზი SOG'!CA7</f>
        <v>0</v>
      </c>
      <c r="V33" s="100">
        <v>500000</v>
      </c>
      <c r="W33" s="100">
        <f>'ინტერგაზი SOG'!CH7</f>
        <v>0</v>
      </c>
      <c r="X33" s="100">
        <v>500000</v>
      </c>
      <c r="Y33" s="100">
        <f>'ინტერგაზი SOG'!CO7</f>
        <v>700000</v>
      </c>
      <c r="Z33" s="100">
        <v>370000</v>
      </c>
      <c r="AA33" s="100">
        <f>'ინტერგაზი SOG'!CV7</f>
        <v>660069.27</v>
      </c>
      <c r="AB33" s="100">
        <v>0</v>
      </c>
      <c r="AC33" s="100">
        <f>'ინტერგაზი SOG'!DB7</f>
        <v>0</v>
      </c>
      <c r="AD33" s="422">
        <v>0</v>
      </c>
      <c r="AE33" s="100">
        <f>'ინტერგაზი SOG'!DH7</f>
        <v>0</v>
      </c>
      <c r="AF33" s="422">
        <v>0</v>
      </c>
      <c r="AG33" s="100">
        <f>'ინტერგაზი SOG'!DN7</f>
        <v>0</v>
      </c>
      <c r="AH33" s="100">
        <v>10270000</v>
      </c>
      <c r="AI33" s="100">
        <f>K33+M33+O33+Q33+S33+U33+W33+Y33+AA33+AC33+AE33+AG33</f>
        <v>9917716.3200000003</v>
      </c>
      <c r="AK33" s="409">
        <v>0</v>
      </c>
      <c r="AL33" s="413">
        <v>500000</v>
      </c>
      <c r="AR33" s="409">
        <v>500000</v>
      </c>
      <c r="AS33" s="413">
        <v>300000</v>
      </c>
    </row>
    <row r="34" spans="2:45">
      <c r="B34" s="29" t="s">
        <v>1156</v>
      </c>
      <c r="C34" s="100">
        <v>4894849.91</v>
      </c>
      <c r="D34" s="100">
        <v>1310754.81</v>
      </c>
      <c r="E34" s="100">
        <v>3584095.1</v>
      </c>
      <c r="F34" s="100">
        <v>5847654.5200000005</v>
      </c>
      <c r="G34" s="31">
        <f t="shared" si="11"/>
        <v>4072687.8138331082</v>
      </c>
      <c r="H34" s="31">
        <f t="shared" si="9"/>
        <v>2263559.4200000004</v>
      </c>
      <c r="I34" s="31">
        <f t="shared" si="10"/>
        <v>1774966.7061668923</v>
      </c>
      <c r="J34" s="100">
        <v>1273095.1000000001</v>
      </c>
      <c r="K34" s="100">
        <f>'გაზკონსტრაქტი SOG'!AT7</f>
        <v>1260453.55</v>
      </c>
      <c r="L34" s="100">
        <v>1586000</v>
      </c>
      <c r="M34" s="100">
        <f>'გაზკონსტრაქტი SOG'!AZ7</f>
        <v>1584000</v>
      </c>
      <c r="N34" s="100">
        <v>294770.42000000027</v>
      </c>
      <c r="O34" s="100">
        <f>'გაზკონსტრაქტი SOG'!BG7</f>
        <v>329885.76500000001</v>
      </c>
      <c r="P34" s="100">
        <v>95560</v>
      </c>
      <c r="Q34" s="100">
        <f>'გაზკონსტრაქტი SOG'!BN7</f>
        <v>46181.630000000005</v>
      </c>
      <c r="R34" s="100">
        <v>234400</v>
      </c>
      <c r="S34" s="100">
        <f>'გაზკონსტრაქტი SOG'!BU7</f>
        <v>351688.75</v>
      </c>
      <c r="T34" s="100">
        <v>113829</v>
      </c>
      <c r="U34" s="100">
        <f>'გაზკონსტრაქტი SOG'!CB7</f>
        <v>23406.07</v>
      </c>
      <c r="V34" s="100">
        <v>0</v>
      </c>
      <c r="W34" s="100">
        <f>'გაზკონსტრაქტი SOG'!CH7</f>
        <v>127148.79883310814</v>
      </c>
      <c r="X34" s="100">
        <v>0</v>
      </c>
      <c r="Y34" s="100">
        <f>'გაზკონსტრაქტი SOG'!CN7</f>
        <v>63625.36</v>
      </c>
      <c r="Z34" s="100">
        <v>0</v>
      </c>
      <c r="AA34" s="100">
        <f>'გაზკონსტრაქტი SOG'!CT7</f>
        <v>18366.72</v>
      </c>
      <c r="AB34" s="100">
        <v>0</v>
      </c>
      <c r="AC34" s="100">
        <f>'გაზკონსტრაქტი SOG'!CZ7</f>
        <v>18207.93</v>
      </c>
      <c r="AD34" s="422">
        <v>0</v>
      </c>
      <c r="AE34" s="100">
        <f>'გაზკონსტრაქტი SOG'!DF7</f>
        <v>249723.24</v>
      </c>
      <c r="AF34" s="422">
        <v>0</v>
      </c>
      <c r="AG34" s="100">
        <f>'გაზკონსტრაქტი SOG'!DL7</f>
        <v>0</v>
      </c>
      <c r="AH34" s="100">
        <v>3584095.1</v>
      </c>
      <c r="AI34" s="100">
        <f>K34+M34+O34+Q34+S34+U34+W34+Y34+AA34+AC34+AE34+AG34</f>
        <v>4072687.8138331082</v>
      </c>
      <c r="AK34" s="409">
        <v>1000000</v>
      </c>
      <c r="AL34" s="413">
        <v>1000000</v>
      </c>
      <c r="AR34" s="409">
        <v>3400000</v>
      </c>
      <c r="AS34" s="413">
        <v>350000</v>
      </c>
    </row>
    <row r="35" spans="2:45">
      <c r="B35" s="29" t="s">
        <v>1158</v>
      </c>
      <c r="C35" s="100">
        <v>2777000</v>
      </c>
      <c r="D35" s="100">
        <v>27000</v>
      </c>
      <c r="E35" s="100">
        <v>2750000</v>
      </c>
      <c r="F35" s="100">
        <v>2745200</v>
      </c>
      <c r="G35" s="31">
        <f t="shared" si="11"/>
        <v>2494437.81</v>
      </c>
      <c r="H35" s="31">
        <f t="shared" si="9"/>
        <v>-4800</v>
      </c>
      <c r="I35" s="31">
        <f t="shared" si="10"/>
        <v>250762.18999999994</v>
      </c>
      <c r="J35" s="100">
        <v>0</v>
      </c>
      <c r="K35" s="100">
        <f>'ენერჯი სერვისი SOG'!AQ7</f>
        <v>0</v>
      </c>
      <c r="L35" s="100">
        <v>250000</v>
      </c>
      <c r="M35" s="362">
        <f>'ენერჯი სერვისი SOG'!AW7</f>
        <v>254800</v>
      </c>
      <c r="N35" s="100">
        <f>250000-4800</f>
        <v>245200</v>
      </c>
      <c r="O35" s="100">
        <f>'ენერჯი სერვისი SOG'!BC7</f>
        <v>256200</v>
      </c>
      <c r="P35" s="100">
        <v>250000</v>
      </c>
      <c r="Q35" s="100">
        <f>'ენერჯი სერვისი SOG'!BI7</f>
        <v>256500</v>
      </c>
      <c r="R35" s="100">
        <v>250000</v>
      </c>
      <c r="S35" s="100">
        <f>'ენერჯი სერვისი SOG'!BO7</f>
        <v>249192.68</v>
      </c>
      <c r="T35" s="100">
        <v>250000</v>
      </c>
      <c r="U35" s="100">
        <f>'ენერჯი სერვისი SOG'!BU7</f>
        <v>308546.63</v>
      </c>
      <c r="V35" s="100">
        <v>250000</v>
      </c>
      <c r="W35" s="100">
        <f>'ენერჯი სერვისი SOG'!CA7</f>
        <v>385897.4</v>
      </c>
      <c r="X35" s="100">
        <v>250000</v>
      </c>
      <c r="Y35" s="100">
        <f>'ენერჯი სერვისი SOG'!CG7</f>
        <v>385604.1</v>
      </c>
      <c r="Z35" s="100">
        <v>250000</v>
      </c>
      <c r="AA35" s="100">
        <f>'ენერჯი სერვისი SOG'!CM7</f>
        <v>45000</v>
      </c>
      <c r="AB35" s="100">
        <v>250000</v>
      </c>
      <c r="AC35" s="100">
        <f>'ენერჯი სერვისი SOG'!CS7</f>
        <v>285000</v>
      </c>
      <c r="AD35" s="422">
        <v>250000</v>
      </c>
      <c r="AE35" s="100">
        <f>'ენერჯი სერვისი SOG'!CY7</f>
        <v>67697</v>
      </c>
      <c r="AF35" s="422">
        <v>250000</v>
      </c>
      <c r="AG35" s="100">
        <f>'ენერჯი სერვისი SOG'!DE7</f>
        <v>0</v>
      </c>
      <c r="AH35" s="100">
        <v>2750000</v>
      </c>
      <c r="AI35" s="100">
        <f>K35+M35+O35+Q35+S35+U35+W35+Y35+AA35+AC35+AE35+AG35</f>
        <v>2494437.81</v>
      </c>
      <c r="AK35" s="409">
        <v>250000</v>
      </c>
      <c r="AL35" s="413">
        <v>250000</v>
      </c>
      <c r="AR35" s="409">
        <v>250000</v>
      </c>
      <c r="AS35" s="413">
        <v>250000</v>
      </c>
    </row>
    <row r="36" spans="2:45" ht="15.75" thickBot="1">
      <c r="B36" s="29"/>
      <c r="C36" s="100"/>
      <c r="D36" s="100"/>
      <c r="E36" s="100"/>
      <c r="F36" s="100">
        <v>0</v>
      </c>
      <c r="G36" s="31">
        <f t="shared" si="11"/>
        <v>0</v>
      </c>
      <c r="H36" s="31"/>
      <c r="I36" s="31">
        <f t="shared" si="10"/>
        <v>0</v>
      </c>
      <c r="J36" s="100"/>
      <c r="K36" s="100"/>
      <c r="L36" s="100"/>
      <c r="M36" s="100"/>
      <c r="N36" s="100"/>
      <c r="O36" s="100"/>
      <c r="P36" s="100"/>
      <c r="Q36" s="100"/>
      <c r="R36" s="100"/>
      <c r="S36" s="100"/>
      <c r="T36" s="100"/>
      <c r="U36" s="100"/>
      <c r="V36" s="100"/>
      <c r="W36" s="100"/>
      <c r="X36" s="100"/>
      <c r="Y36" s="100"/>
      <c r="Z36" s="100"/>
      <c r="AA36" s="100"/>
      <c r="AB36" s="100"/>
      <c r="AC36" s="100"/>
      <c r="AD36" s="422"/>
      <c r="AE36" s="100"/>
      <c r="AF36" s="422"/>
      <c r="AG36" s="100"/>
      <c r="AH36" s="100"/>
      <c r="AI36" s="100"/>
      <c r="AK36" s="411"/>
      <c r="AL36" s="414"/>
      <c r="AR36" s="411"/>
      <c r="AS36" s="414"/>
    </row>
    <row r="37" spans="2:45" ht="15.75" thickBot="1">
      <c r="B37" s="423" t="s">
        <v>1387</v>
      </c>
      <c r="C37" s="424">
        <v>115851269.02000001</v>
      </c>
      <c r="D37" s="424">
        <v>56708219.920000002</v>
      </c>
      <c r="E37" s="424">
        <v>59143049.100000001</v>
      </c>
      <c r="F37" s="424">
        <v>74190600.387625828</v>
      </c>
      <c r="G37" s="424">
        <v>57264041.793833107</v>
      </c>
      <c r="H37" s="424">
        <v>15047551.287625831</v>
      </c>
      <c r="I37" s="424">
        <v>16561558.593792722</v>
      </c>
      <c r="J37" s="71"/>
      <c r="K37" s="71"/>
      <c r="L37" s="71"/>
      <c r="M37" s="71"/>
      <c r="N37" s="386"/>
      <c r="O37" s="386"/>
      <c r="P37" s="71"/>
      <c r="Q37" s="71"/>
      <c r="R37" s="71"/>
      <c r="S37" s="71"/>
      <c r="T37" s="71"/>
      <c r="U37" s="71"/>
      <c r="V37" s="71"/>
      <c r="W37" s="71"/>
      <c r="X37" s="71"/>
      <c r="Y37" s="71"/>
      <c r="Z37" s="71"/>
      <c r="AA37" s="71"/>
      <c r="AB37" s="71"/>
      <c r="AC37" s="71"/>
      <c r="AD37" s="71"/>
      <c r="AE37" s="71"/>
      <c r="AF37" s="71"/>
      <c r="AG37" s="71"/>
      <c r="AH37" s="71"/>
      <c r="AI37" s="71"/>
    </row>
    <row r="38" spans="2:45" ht="15.75" thickBot="1">
      <c r="B38" s="417" t="s">
        <v>85</v>
      </c>
      <c r="C38" s="419">
        <f t="shared" ref="C38:I38" si="12">SUM(C43:C54)</f>
        <v>115851269.02000001</v>
      </c>
      <c r="D38" s="419">
        <f t="shared" si="12"/>
        <v>56708219.920000002</v>
      </c>
      <c r="E38" s="419">
        <f t="shared" si="12"/>
        <v>59143049.100000001</v>
      </c>
      <c r="F38" s="419">
        <f t="shared" si="12"/>
        <v>74190600.387625828</v>
      </c>
      <c r="G38" s="418">
        <f t="shared" si="12"/>
        <v>58983622.273833111</v>
      </c>
      <c r="H38" s="419">
        <f t="shared" si="12"/>
        <v>15047551.287625831</v>
      </c>
      <c r="I38" s="418">
        <f t="shared" si="12"/>
        <v>15206978.113792721</v>
      </c>
      <c r="J38" s="383">
        <f t="shared" ref="J38:AI38" si="13">SUM(J43:J54)</f>
        <v>16869899.100000001</v>
      </c>
      <c r="K38" s="383">
        <f t="shared" si="13"/>
        <v>16289114.98</v>
      </c>
      <c r="L38" s="383">
        <f t="shared" si="13"/>
        <v>11772907.280000001</v>
      </c>
      <c r="M38" s="383">
        <f t="shared" si="13"/>
        <v>12456955.390000001</v>
      </c>
      <c r="N38" s="383">
        <f t="shared" si="13"/>
        <v>9696374.5176258311</v>
      </c>
      <c r="O38" s="383">
        <f t="shared" si="13"/>
        <v>8376742.8650000002</v>
      </c>
      <c r="P38" s="383">
        <f t="shared" si="13"/>
        <v>8095180.4900000002</v>
      </c>
      <c r="Q38" s="383">
        <f t="shared" si="13"/>
        <v>4593171.5600000005</v>
      </c>
      <c r="R38" s="383">
        <f t="shared" si="13"/>
        <v>6601834</v>
      </c>
      <c r="S38" s="383">
        <f t="shared" si="13"/>
        <v>5424124.71</v>
      </c>
      <c r="T38" s="383">
        <f t="shared" si="13"/>
        <v>4451096</v>
      </c>
      <c r="U38" s="383">
        <f t="shared" si="13"/>
        <v>2162082.37</v>
      </c>
      <c r="V38" s="383">
        <f t="shared" si="13"/>
        <v>3057544</v>
      </c>
      <c r="W38" s="383">
        <f>SUM(W43:W54)</f>
        <v>2132556.8088331083</v>
      </c>
      <c r="X38" s="383">
        <f t="shared" si="13"/>
        <v>1850000</v>
      </c>
      <c r="Y38" s="383">
        <f t="shared" si="13"/>
        <v>2265675.44</v>
      </c>
      <c r="Z38" s="383">
        <f t="shared" si="13"/>
        <v>1170000</v>
      </c>
      <c r="AA38" s="383">
        <f t="shared" si="13"/>
        <v>1655511.8</v>
      </c>
      <c r="AB38" s="383">
        <f t="shared" si="13"/>
        <v>650000</v>
      </c>
      <c r="AC38" s="383">
        <f t="shared" si="13"/>
        <v>1653105.8699999999</v>
      </c>
      <c r="AD38" s="383">
        <f t="shared" si="13"/>
        <v>680765</v>
      </c>
      <c r="AE38" s="383">
        <f t="shared" si="13"/>
        <v>1974580.48</v>
      </c>
      <c r="AF38" s="383">
        <f t="shared" si="13"/>
        <v>500000</v>
      </c>
      <c r="AG38" s="383">
        <f t="shared" si="13"/>
        <v>0</v>
      </c>
      <c r="AH38" s="383">
        <f t="shared" si="13"/>
        <v>65395600.387625828</v>
      </c>
      <c r="AI38" s="383">
        <f t="shared" si="13"/>
        <v>58983622.273833103</v>
      </c>
      <c r="AK38" s="401">
        <f>SUM(AK43:AK53)</f>
        <v>5668936.5899999999</v>
      </c>
      <c r="AL38" s="401">
        <f>SUM(AL43:AL53)</f>
        <v>8941440.370000001</v>
      </c>
      <c r="AM38" s="235">
        <f>AL38-AK38</f>
        <v>3272503.7800000012</v>
      </c>
      <c r="AN38" s="416">
        <f>AH38+AK38+AL38</f>
        <v>80005977.347625837</v>
      </c>
      <c r="AO38" t="s">
        <v>1374</v>
      </c>
      <c r="AR38" s="401">
        <f>SUM(AR43:AR53)</f>
        <v>13100000</v>
      </c>
      <c r="AS38" s="401">
        <f>SUM(AS43:AS53)</f>
        <v>4800000</v>
      </c>
    </row>
    <row r="39" spans="2:45" ht="16.5" customHeight="1" thickBot="1">
      <c r="B39" s="437" t="s">
        <v>81</v>
      </c>
      <c r="C39" s="440" t="s">
        <v>1178</v>
      </c>
      <c r="D39" s="440" t="s">
        <v>1253</v>
      </c>
      <c r="E39" s="443" t="s">
        <v>1235</v>
      </c>
      <c r="F39" s="431" t="s">
        <v>1378</v>
      </c>
      <c r="G39" s="446" t="s">
        <v>1241</v>
      </c>
      <c r="H39" s="434" t="s">
        <v>1379</v>
      </c>
      <c r="I39" s="431" t="s">
        <v>1380</v>
      </c>
      <c r="J39" s="295"/>
      <c r="K39" s="354"/>
      <c r="L39" s="354"/>
      <c r="M39" s="354"/>
      <c r="N39" s="354"/>
      <c r="O39" s="354"/>
      <c r="P39" s="354"/>
      <c r="Q39" s="354"/>
      <c r="R39" s="354"/>
      <c r="S39" s="354"/>
      <c r="T39" s="354"/>
      <c r="U39" s="354"/>
      <c r="V39" s="354"/>
      <c r="W39" s="354"/>
      <c r="X39" s="354"/>
      <c r="Y39" s="354"/>
      <c r="Z39" s="354"/>
      <c r="AA39" s="354"/>
      <c r="AB39" s="354"/>
      <c r="AC39" s="354"/>
      <c r="AD39" s="354"/>
      <c r="AE39" s="354"/>
      <c r="AF39" s="354"/>
      <c r="AG39" s="354"/>
      <c r="AH39" s="354"/>
      <c r="AI39" s="296"/>
      <c r="AK39" s="450" t="s">
        <v>1371</v>
      </c>
      <c r="AL39" s="451"/>
      <c r="AN39" t="s">
        <v>1375</v>
      </c>
      <c r="AR39" s="454">
        <v>2026</v>
      </c>
      <c r="AS39" s="455"/>
    </row>
    <row r="40" spans="2:45" ht="16.5" thickBot="1">
      <c r="B40" s="438"/>
      <c r="C40" s="441"/>
      <c r="D40" s="441"/>
      <c r="E40" s="444"/>
      <c r="F40" s="432"/>
      <c r="G40" s="447"/>
      <c r="H40" s="435"/>
      <c r="I40" s="432"/>
      <c r="J40" s="427" t="s">
        <v>12</v>
      </c>
      <c r="K40" s="428"/>
      <c r="L40" s="427" t="s">
        <v>13</v>
      </c>
      <c r="M40" s="428"/>
      <c r="N40" s="427" t="s">
        <v>14</v>
      </c>
      <c r="O40" s="428"/>
      <c r="P40" s="427" t="s">
        <v>15</v>
      </c>
      <c r="Q40" s="428"/>
      <c r="R40" s="427" t="s">
        <v>16</v>
      </c>
      <c r="S40" s="428"/>
      <c r="T40" s="427" t="s">
        <v>17</v>
      </c>
      <c r="U40" s="428"/>
      <c r="V40" s="427" t="s">
        <v>18</v>
      </c>
      <c r="W40" s="428"/>
      <c r="X40" s="427" t="s">
        <v>19</v>
      </c>
      <c r="Y40" s="428"/>
      <c r="Z40" s="427" t="s">
        <v>20</v>
      </c>
      <c r="AA40" s="428"/>
      <c r="AB40" s="427" t="s">
        <v>21</v>
      </c>
      <c r="AC40" s="428"/>
      <c r="AD40" s="429" t="s">
        <v>22</v>
      </c>
      <c r="AE40" s="430"/>
      <c r="AF40" s="427" t="s">
        <v>23</v>
      </c>
      <c r="AG40" s="428"/>
      <c r="AH40" s="427" t="s">
        <v>24</v>
      </c>
      <c r="AI40" s="428"/>
      <c r="AK40" s="452"/>
      <c r="AL40" s="453"/>
      <c r="AR40" s="456"/>
      <c r="AS40" s="457"/>
    </row>
    <row r="41" spans="2:45" ht="15" customHeight="1">
      <c r="B41" s="438"/>
      <c r="C41" s="441"/>
      <c r="D41" s="441"/>
      <c r="E41" s="444"/>
      <c r="F41" s="432"/>
      <c r="G41" s="447"/>
      <c r="H41" s="435"/>
      <c r="I41" s="432"/>
      <c r="J41" s="425" t="s">
        <v>25</v>
      </c>
      <c r="K41" s="426"/>
      <c r="L41" s="425" t="s">
        <v>25</v>
      </c>
      <c r="M41" s="426"/>
      <c r="N41" s="425" t="s">
        <v>25</v>
      </c>
      <c r="O41" s="426"/>
      <c r="P41" s="425" t="s">
        <v>25</v>
      </c>
      <c r="Q41" s="426"/>
      <c r="R41" s="425" t="s">
        <v>25</v>
      </c>
      <c r="S41" s="426"/>
      <c r="T41" s="425" t="s">
        <v>25</v>
      </c>
      <c r="U41" s="426"/>
      <c r="V41" s="425" t="s">
        <v>25</v>
      </c>
      <c r="W41" s="426"/>
      <c r="X41" s="425" t="s">
        <v>25</v>
      </c>
      <c r="Y41" s="426"/>
      <c r="Z41" s="425" t="s">
        <v>25</v>
      </c>
      <c r="AA41" s="426"/>
      <c r="AB41" s="425" t="s">
        <v>25</v>
      </c>
      <c r="AC41" s="426"/>
      <c r="AD41" s="425" t="s">
        <v>25</v>
      </c>
      <c r="AE41" s="426"/>
      <c r="AF41" s="425" t="s">
        <v>25</v>
      </c>
      <c r="AG41" s="426"/>
      <c r="AH41" s="425" t="s">
        <v>25</v>
      </c>
      <c r="AI41" s="426"/>
      <c r="AK41" s="402" t="s">
        <v>1372</v>
      </c>
      <c r="AL41" s="403" t="s">
        <v>1373</v>
      </c>
      <c r="AR41" s="402" t="s">
        <v>1376</v>
      </c>
      <c r="AS41" s="403" t="s">
        <v>1377</v>
      </c>
    </row>
    <row r="42" spans="2:45" ht="15.75" thickBot="1">
      <c r="B42" s="439"/>
      <c r="C42" s="442"/>
      <c r="D42" s="442"/>
      <c r="E42" s="445"/>
      <c r="F42" s="433"/>
      <c r="G42" s="448"/>
      <c r="H42" s="436"/>
      <c r="I42" s="433"/>
      <c r="J42" s="5" t="s">
        <v>26</v>
      </c>
      <c r="K42" s="6" t="s">
        <v>27</v>
      </c>
      <c r="L42" s="5" t="s">
        <v>26</v>
      </c>
      <c r="M42" s="6" t="s">
        <v>27</v>
      </c>
      <c r="N42" s="5" t="s">
        <v>26</v>
      </c>
      <c r="O42" s="6" t="s">
        <v>27</v>
      </c>
      <c r="P42" s="5" t="s">
        <v>26</v>
      </c>
      <c r="Q42" s="6" t="s">
        <v>27</v>
      </c>
      <c r="R42" s="5" t="s">
        <v>26</v>
      </c>
      <c r="S42" s="6" t="s">
        <v>27</v>
      </c>
      <c r="T42" s="5" t="s">
        <v>26</v>
      </c>
      <c r="U42" s="6" t="s">
        <v>27</v>
      </c>
      <c r="V42" s="5" t="s">
        <v>26</v>
      </c>
      <c r="W42" s="6" t="s">
        <v>27</v>
      </c>
      <c r="X42" s="5" t="s">
        <v>26</v>
      </c>
      <c r="Y42" s="6" t="s">
        <v>27</v>
      </c>
      <c r="Z42" s="5" t="s">
        <v>26</v>
      </c>
      <c r="AA42" s="6" t="s">
        <v>27</v>
      </c>
      <c r="AB42" s="5" t="s">
        <v>26</v>
      </c>
      <c r="AC42" s="6" t="s">
        <v>27</v>
      </c>
      <c r="AD42" s="420" t="s">
        <v>26</v>
      </c>
      <c r="AE42" s="6" t="s">
        <v>27</v>
      </c>
      <c r="AF42" s="5" t="s">
        <v>26</v>
      </c>
      <c r="AG42" s="6" t="s">
        <v>27</v>
      </c>
      <c r="AH42" s="5" t="s">
        <v>1252</v>
      </c>
      <c r="AI42" s="6" t="s">
        <v>27</v>
      </c>
      <c r="AK42" s="404" t="s">
        <v>26</v>
      </c>
      <c r="AL42" s="405" t="s">
        <v>26</v>
      </c>
      <c r="AR42" s="404" t="s">
        <v>26</v>
      </c>
      <c r="AS42" s="405" t="s">
        <v>26</v>
      </c>
    </row>
    <row r="43" spans="2:45">
      <c r="B43" s="264" t="s">
        <v>82</v>
      </c>
      <c r="C43" s="293">
        <f t="shared" ref="C43:AG51" si="14">C7+C25</f>
        <v>7143780.2400000002</v>
      </c>
      <c r="D43" s="31">
        <f t="shared" si="14"/>
        <v>1706780.24</v>
      </c>
      <c r="E43" s="31">
        <f t="shared" si="14"/>
        <v>5437000</v>
      </c>
      <c r="F43" s="31">
        <f t="shared" si="14"/>
        <v>6147188</v>
      </c>
      <c r="G43" s="31">
        <f t="shared" si="14"/>
        <v>5278523.63</v>
      </c>
      <c r="H43" s="31">
        <f t="shared" si="14"/>
        <v>710188</v>
      </c>
      <c r="I43" s="31">
        <f>I7+I25</f>
        <v>868664.37000000011</v>
      </c>
      <c r="J43" s="293">
        <f t="shared" si="14"/>
        <v>1080000</v>
      </c>
      <c r="K43" s="293">
        <f t="shared" si="14"/>
        <v>1030000</v>
      </c>
      <c r="L43" s="31">
        <f t="shared" si="14"/>
        <v>705000</v>
      </c>
      <c r="M43" s="31">
        <f t="shared" si="14"/>
        <v>676000</v>
      </c>
      <c r="N43" s="293">
        <f t="shared" si="14"/>
        <v>559188</v>
      </c>
      <c r="O43" s="293">
        <f t="shared" si="14"/>
        <v>514000</v>
      </c>
      <c r="P43" s="31">
        <f t="shared" si="14"/>
        <v>1073500</v>
      </c>
      <c r="Q43" s="31">
        <f t="shared" si="14"/>
        <v>422978.12</v>
      </c>
      <c r="R43" s="31">
        <f t="shared" si="14"/>
        <v>1524500</v>
      </c>
      <c r="S43" s="31">
        <f t="shared" si="14"/>
        <v>500000</v>
      </c>
      <c r="T43" s="31">
        <f t="shared" si="14"/>
        <v>962000</v>
      </c>
      <c r="U43" s="31">
        <f t="shared" si="14"/>
        <v>400000</v>
      </c>
      <c r="V43" s="31">
        <f t="shared" si="14"/>
        <v>243000</v>
      </c>
      <c r="W43" s="31">
        <f t="shared" si="14"/>
        <v>365000</v>
      </c>
      <c r="X43" s="31">
        <f t="shared" si="14"/>
        <v>0</v>
      </c>
      <c r="Y43" s="31">
        <f t="shared" si="14"/>
        <v>283134.28999999998</v>
      </c>
      <c r="Z43" s="31">
        <f t="shared" si="14"/>
        <v>0</v>
      </c>
      <c r="AA43" s="31">
        <f t="shared" si="14"/>
        <v>155000</v>
      </c>
      <c r="AB43" s="31">
        <f t="shared" si="14"/>
        <v>0</v>
      </c>
      <c r="AC43" s="31">
        <f t="shared" si="14"/>
        <v>356972.22</v>
      </c>
      <c r="AD43" s="421">
        <f t="shared" si="14"/>
        <v>0</v>
      </c>
      <c r="AE43" s="31">
        <f t="shared" si="14"/>
        <v>575439</v>
      </c>
      <c r="AF43" s="421">
        <f t="shared" si="14"/>
        <v>0</v>
      </c>
      <c r="AG43" s="31">
        <f t="shared" si="14"/>
        <v>0</v>
      </c>
      <c r="AH43" s="100">
        <f t="shared" ref="AH43:AH53" si="15">J43+L43+N43+P43+R43+T43+V43+X43+Z43+AB43+AD43+AF43</f>
        <v>6147188</v>
      </c>
      <c r="AI43" s="100">
        <f t="shared" ref="AI43:AI53" si="16">K43+M43+O43+Q43+S43+U43+W43+Y43+AA43+AC43+AE43+AG43</f>
        <v>5278523.63</v>
      </c>
      <c r="AK43" s="407">
        <f>AK7+AK25</f>
        <v>700000</v>
      </c>
      <c r="AL43" s="412">
        <f>AL7+AL25</f>
        <v>744103.37000000011</v>
      </c>
      <c r="AR43" s="407">
        <f>AR7+AR25</f>
        <v>550000</v>
      </c>
      <c r="AS43" s="412">
        <f>AS7+AS25</f>
        <v>150000</v>
      </c>
    </row>
    <row r="44" spans="2:45">
      <c r="B44" s="29" t="s">
        <v>104</v>
      </c>
      <c r="C44" s="100">
        <f t="shared" si="14"/>
        <v>4641418</v>
      </c>
      <c r="D44" s="30">
        <f t="shared" si="14"/>
        <v>2491418</v>
      </c>
      <c r="E44" s="30">
        <f t="shared" si="14"/>
        <v>2150000</v>
      </c>
      <c r="F44" s="31">
        <f t="shared" ref="F44" si="17">F8+F26</f>
        <v>3150000</v>
      </c>
      <c r="G44" s="30">
        <f t="shared" si="14"/>
        <v>2702662.7800000003</v>
      </c>
      <c r="H44" s="30">
        <f t="shared" si="14"/>
        <v>1000000</v>
      </c>
      <c r="I44" s="30">
        <f>I8+I26</f>
        <v>447337.21999999974</v>
      </c>
      <c r="J44" s="100">
        <f t="shared" si="14"/>
        <v>600000</v>
      </c>
      <c r="K44" s="100">
        <f t="shared" si="14"/>
        <v>600000</v>
      </c>
      <c r="L44" s="30">
        <f t="shared" si="14"/>
        <v>450000</v>
      </c>
      <c r="M44" s="30">
        <f t="shared" si="14"/>
        <v>450000</v>
      </c>
      <c r="N44" s="100">
        <f t="shared" si="14"/>
        <v>450000</v>
      </c>
      <c r="O44" s="100">
        <f t="shared" si="14"/>
        <v>453425</v>
      </c>
      <c r="P44" s="30">
        <f t="shared" si="14"/>
        <v>650000</v>
      </c>
      <c r="Q44" s="30">
        <f t="shared" si="14"/>
        <v>552393.78</v>
      </c>
      <c r="R44" s="30">
        <f t="shared" si="14"/>
        <v>0</v>
      </c>
      <c r="S44" s="30">
        <f t="shared" si="14"/>
        <v>3000</v>
      </c>
      <c r="T44" s="30">
        <f t="shared" si="14"/>
        <v>0</v>
      </c>
      <c r="U44" s="30">
        <f t="shared" si="14"/>
        <v>11100</v>
      </c>
      <c r="V44" s="30">
        <f t="shared" si="14"/>
        <v>0</v>
      </c>
      <c r="W44" s="30">
        <f t="shared" si="14"/>
        <v>30754</v>
      </c>
      <c r="X44" s="30">
        <f t="shared" si="14"/>
        <v>0</v>
      </c>
      <c r="Y44" s="30">
        <f t="shared" si="14"/>
        <v>280000</v>
      </c>
      <c r="Z44" s="30">
        <f t="shared" si="14"/>
        <v>0</v>
      </c>
      <c r="AA44" s="30">
        <f t="shared" si="14"/>
        <v>310490</v>
      </c>
      <c r="AB44" s="30">
        <f t="shared" si="14"/>
        <v>0</v>
      </c>
      <c r="AC44" s="30">
        <f t="shared" si="14"/>
        <v>11500</v>
      </c>
      <c r="AD44" s="422">
        <f t="shared" si="14"/>
        <v>0</v>
      </c>
      <c r="AE44" s="30">
        <f t="shared" si="14"/>
        <v>0</v>
      </c>
      <c r="AF44" s="422">
        <f t="shared" si="14"/>
        <v>0</v>
      </c>
      <c r="AG44" s="30">
        <f t="shared" si="14"/>
        <v>0</v>
      </c>
      <c r="AH44" s="100">
        <f t="shared" si="15"/>
        <v>2150000</v>
      </c>
      <c r="AI44" s="100">
        <f t="shared" si="16"/>
        <v>2702662.7800000003</v>
      </c>
      <c r="AK44" s="409">
        <f>AK8+AK26</f>
        <v>0</v>
      </c>
      <c r="AL44" s="413">
        <f>AL8+AL26</f>
        <v>447337</v>
      </c>
      <c r="AR44" s="409">
        <f>AR8+AR26</f>
        <v>500000</v>
      </c>
      <c r="AS44" s="413">
        <f>AS8+AS26</f>
        <v>300000</v>
      </c>
    </row>
    <row r="45" spans="2:45">
      <c r="B45" s="29" t="s">
        <v>123</v>
      </c>
      <c r="C45" s="100">
        <f t="shared" si="14"/>
        <v>11745862.890000001</v>
      </c>
      <c r="D45" s="30">
        <f t="shared" si="14"/>
        <v>6495862.8900000006</v>
      </c>
      <c r="E45" s="30">
        <f t="shared" si="14"/>
        <v>5250000</v>
      </c>
      <c r="F45" s="31">
        <f t="shared" ref="F45" si="18">F9+F27</f>
        <v>9965000</v>
      </c>
      <c r="G45" s="30">
        <f t="shared" si="14"/>
        <v>2971405.57</v>
      </c>
      <c r="H45" s="30">
        <f t="shared" ref="H45" si="19">H9+H27</f>
        <v>4715000</v>
      </c>
      <c r="I45" s="30">
        <f t="shared" ref="I45" si="20">I9+I27</f>
        <v>6993594.4299999997</v>
      </c>
      <c r="J45" s="100">
        <f t="shared" si="14"/>
        <v>500000</v>
      </c>
      <c r="K45" s="100">
        <f t="shared" si="14"/>
        <v>500000</v>
      </c>
      <c r="L45" s="30">
        <f t="shared" si="14"/>
        <v>1865000</v>
      </c>
      <c r="M45" s="30">
        <f t="shared" si="14"/>
        <v>1360000</v>
      </c>
      <c r="N45" s="100">
        <f t="shared" si="14"/>
        <v>1660000</v>
      </c>
      <c r="O45" s="100">
        <f t="shared" si="14"/>
        <v>960000</v>
      </c>
      <c r="P45" s="30">
        <f t="shared" si="14"/>
        <v>1540000</v>
      </c>
      <c r="Q45" s="30">
        <f t="shared" si="14"/>
        <v>151405.57</v>
      </c>
      <c r="R45" s="30">
        <f t="shared" si="14"/>
        <v>1350000</v>
      </c>
      <c r="S45" s="30">
        <f t="shared" si="14"/>
        <v>0</v>
      </c>
      <c r="T45" s="30">
        <f t="shared" si="14"/>
        <v>1300000</v>
      </c>
      <c r="U45" s="30">
        <f t="shared" si="14"/>
        <v>0</v>
      </c>
      <c r="V45" s="30">
        <f t="shared" si="14"/>
        <v>1250000</v>
      </c>
      <c r="W45" s="30">
        <f t="shared" si="14"/>
        <v>0</v>
      </c>
      <c r="X45" s="30">
        <f t="shared" si="14"/>
        <v>500000</v>
      </c>
      <c r="Y45" s="30">
        <f t="shared" si="14"/>
        <v>0</v>
      </c>
      <c r="Z45" s="30">
        <f t="shared" si="14"/>
        <v>0</v>
      </c>
      <c r="AA45" s="30">
        <f t="shared" si="14"/>
        <v>0</v>
      </c>
      <c r="AB45" s="30">
        <f t="shared" si="14"/>
        <v>0</v>
      </c>
      <c r="AC45" s="30">
        <f t="shared" si="14"/>
        <v>0</v>
      </c>
      <c r="AD45" s="422">
        <f t="shared" si="14"/>
        <v>0</v>
      </c>
      <c r="AE45" s="30">
        <f t="shared" si="14"/>
        <v>0</v>
      </c>
      <c r="AF45" s="422">
        <f t="shared" si="14"/>
        <v>0</v>
      </c>
      <c r="AG45" s="30">
        <f t="shared" si="14"/>
        <v>0</v>
      </c>
      <c r="AH45" s="294">
        <f t="shared" si="15"/>
        <v>9965000</v>
      </c>
      <c r="AI45" s="100">
        <f t="shared" si="16"/>
        <v>2971405.57</v>
      </c>
      <c r="AK45" s="409">
        <f t="shared" ref="AK45:AL53" si="21">AK9+AK27</f>
        <v>1000000</v>
      </c>
      <c r="AL45" s="413">
        <f t="shared" si="21"/>
        <v>3000000</v>
      </c>
      <c r="AR45" s="409">
        <f t="shared" ref="AR45:AS53" si="22">AR9+AR27</f>
        <v>2500000</v>
      </c>
      <c r="AS45" s="413">
        <f t="shared" si="22"/>
        <v>1000000</v>
      </c>
    </row>
    <row r="46" spans="2:45">
      <c r="B46" s="29" t="s">
        <v>160</v>
      </c>
      <c r="C46" s="100">
        <f t="shared" si="14"/>
        <v>8805000</v>
      </c>
      <c r="D46" s="30">
        <f t="shared" si="14"/>
        <v>3290000</v>
      </c>
      <c r="E46" s="30">
        <f t="shared" si="14"/>
        <v>5515000</v>
      </c>
      <c r="F46" s="31">
        <f t="shared" ref="F46" si="23">F10+F28</f>
        <v>4912827</v>
      </c>
      <c r="G46" s="30">
        <f t="shared" si="14"/>
        <v>4418016</v>
      </c>
      <c r="H46" s="30">
        <f t="shared" ref="H46" si="24">H10+H28</f>
        <v>-602173</v>
      </c>
      <c r="I46" s="30">
        <f t="shared" ref="I46" si="25">I10+I28</f>
        <v>494811</v>
      </c>
      <c r="J46" s="100">
        <f t="shared" si="14"/>
        <v>1265000</v>
      </c>
      <c r="K46" s="100">
        <f t="shared" si="14"/>
        <v>1037000</v>
      </c>
      <c r="L46" s="30">
        <f t="shared" si="14"/>
        <v>650000</v>
      </c>
      <c r="M46" s="30">
        <f t="shared" si="14"/>
        <v>1090000</v>
      </c>
      <c r="N46" s="100">
        <f t="shared" si="14"/>
        <v>653688</v>
      </c>
      <c r="O46" s="100">
        <f t="shared" si="14"/>
        <v>650000</v>
      </c>
      <c r="P46" s="30">
        <f t="shared" si="14"/>
        <v>822638</v>
      </c>
      <c r="Q46" s="30">
        <f t="shared" si="14"/>
        <v>731525</v>
      </c>
      <c r="R46" s="30">
        <f t="shared" si="14"/>
        <v>566192</v>
      </c>
      <c r="S46" s="30">
        <f t="shared" si="14"/>
        <v>411102</v>
      </c>
      <c r="T46" s="30">
        <f t="shared" si="14"/>
        <v>300000</v>
      </c>
      <c r="U46" s="30">
        <f t="shared" si="14"/>
        <v>300000</v>
      </c>
      <c r="V46" s="30">
        <f t="shared" si="14"/>
        <v>124544</v>
      </c>
      <c r="W46" s="30">
        <f t="shared" si="14"/>
        <v>0</v>
      </c>
      <c r="X46" s="30">
        <f t="shared" si="14"/>
        <v>0</v>
      </c>
      <c r="Y46" s="30">
        <f t="shared" si="14"/>
        <v>0</v>
      </c>
      <c r="Z46" s="30">
        <f t="shared" si="14"/>
        <v>0</v>
      </c>
      <c r="AA46" s="30">
        <f t="shared" si="14"/>
        <v>48389</v>
      </c>
      <c r="AB46" s="30">
        <f t="shared" si="14"/>
        <v>150000</v>
      </c>
      <c r="AC46" s="30">
        <f t="shared" si="14"/>
        <v>150000</v>
      </c>
      <c r="AD46" s="422">
        <f t="shared" si="14"/>
        <v>180765</v>
      </c>
      <c r="AE46" s="30">
        <f t="shared" si="14"/>
        <v>0</v>
      </c>
      <c r="AF46" s="422">
        <f t="shared" si="14"/>
        <v>0</v>
      </c>
      <c r="AG46" s="30">
        <f t="shared" si="14"/>
        <v>0</v>
      </c>
      <c r="AH46" s="100">
        <f t="shared" si="15"/>
        <v>4712827</v>
      </c>
      <c r="AI46" s="100">
        <f t="shared" si="16"/>
        <v>4418016</v>
      </c>
      <c r="AK46" s="409">
        <f t="shared" si="21"/>
        <v>294811</v>
      </c>
      <c r="AL46" s="413">
        <f t="shared" si="21"/>
        <v>200000</v>
      </c>
      <c r="AR46" s="409">
        <f t="shared" si="22"/>
        <v>350000</v>
      </c>
      <c r="AS46" s="413">
        <f t="shared" si="22"/>
        <v>200000</v>
      </c>
    </row>
    <row r="47" spans="2:45">
      <c r="B47" s="29" t="s">
        <v>380</v>
      </c>
      <c r="C47" s="100">
        <f t="shared" si="14"/>
        <v>9445025.2199999988</v>
      </c>
      <c r="D47" s="30">
        <f t="shared" si="14"/>
        <v>6119238.9699999997</v>
      </c>
      <c r="E47" s="30">
        <f t="shared" si="14"/>
        <v>3325786.25</v>
      </c>
      <c r="F47" s="31">
        <f t="shared" ref="F47" si="26">F11+F29</f>
        <v>4334531.25</v>
      </c>
      <c r="G47" s="30">
        <f t="shared" si="14"/>
        <v>3483854.9299999997</v>
      </c>
      <c r="H47" s="30">
        <f t="shared" ref="H47" si="27">H11+H29</f>
        <v>1008745</v>
      </c>
      <c r="I47" s="30">
        <f t="shared" ref="I47" si="28">I11+I29</f>
        <v>850676.32000000007</v>
      </c>
      <c r="J47" s="100">
        <f t="shared" si="14"/>
        <v>1042386.25</v>
      </c>
      <c r="K47" s="100">
        <f t="shared" si="14"/>
        <v>1034141.4299999999</v>
      </c>
      <c r="L47" s="30">
        <f t="shared" si="14"/>
        <v>698800</v>
      </c>
      <c r="M47" s="30">
        <f t="shared" si="14"/>
        <v>778548.11</v>
      </c>
      <c r="N47" s="100">
        <f t="shared" si="14"/>
        <v>677955</v>
      </c>
      <c r="O47" s="100">
        <f t="shared" si="14"/>
        <v>666364.14</v>
      </c>
      <c r="P47" s="30">
        <f t="shared" si="14"/>
        <v>385418</v>
      </c>
      <c r="Q47" s="30">
        <f t="shared" si="14"/>
        <v>398684.27</v>
      </c>
      <c r="R47" s="30">
        <f t="shared" si="14"/>
        <v>310372</v>
      </c>
      <c r="S47" s="30">
        <f t="shared" si="14"/>
        <v>310000</v>
      </c>
      <c r="T47" s="30">
        <f t="shared" si="14"/>
        <v>139600</v>
      </c>
      <c r="U47" s="30">
        <f t="shared" si="14"/>
        <v>105617.56</v>
      </c>
      <c r="V47" s="100">
        <f t="shared" si="14"/>
        <v>0</v>
      </c>
      <c r="W47" s="100">
        <f t="shared" si="14"/>
        <v>0</v>
      </c>
      <c r="X47" s="100">
        <f t="shared" si="14"/>
        <v>0</v>
      </c>
      <c r="Y47" s="100">
        <f t="shared" si="14"/>
        <v>2000</v>
      </c>
      <c r="Z47" s="100">
        <f t="shared" si="14"/>
        <v>0</v>
      </c>
      <c r="AA47" s="100">
        <f t="shared" si="14"/>
        <v>5000</v>
      </c>
      <c r="AB47" s="100">
        <f t="shared" si="14"/>
        <v>0</v>
      </c>
      <c r="AC47" s="100">
        <f t="shared" si="14"/>
        <v>5000</v>
      </c>
      <c r="AD47" s="422">
        <f t="shared" si="14"/>
        <v>0</v>
      </c>
      <c r="AE47" s="100">
        <f t="shared" si="14"/>
        <v>178499.42</v>
      </c>
      <c r="AF47" s="422">
        <f t="shared" si="14"/>
        <v>0</v>
      </c>
      <c r="AG47" s="100">
        <f t="shared" si="14"/>
        <v>0</v>
      </c>
      <c r="AH47" s="100">
        <f t="shared" si="15"/>
        <v>3254531.25</v>
      </c>
      <c r="AI47" s="100">
        <f t="shared" si="16"/>
        <v>3483854.93</v>
      </c>
      <c r="AK47" s="409">
        <f t="shared" si="21"/>
        <v>449125.58999999985</v>
      </c>
      <c r="AL47" s="413">
        <f t="shared" si="21"/>
        <v>580000</v>
      </c>
      <c r="AR47" s="409">
        <f t="shared" si="22"/>
        <v>750000</v>
      </c>
      <c r="AS47" s="413">
        <f t="shared" si="22"/>
        <v>550000</v>
      </c>
    </row>
    <row r="48" spans="2:45">
      <c r="B48" s="29" t="s">
        <v>671</v>
      </c>
      <c r="C48" s="100">
        <f t="shared" si="14"/>
        <v>9078995.8599999994</v>
      </c>
      <c r="D48" s="30">
        <f t="shared" si="14"/>
        <v>2901745.86</v>
      </c>
      <c r="E48" s="30">
        <f t="shared" si="14"/>
        <v>6177250</v>
      </c>
      <c r="F48" s="31">
        <f t="shared" ref="F48" si="29">F12+F30</f>
        <v>9788052.7699999996</v>
      </c>
      <c r="G48" s="30">
        <f t="shared" si="14"/>
        <v>7285730.1999999993</v>
      </c>
      <c r="H48" s="30">
        <f t="shared" ref="H48" si="30">H12+H30</f>
        <v>3610802.77</v>
      </c>
      <c r="I48" s="30">
        <f t="shared" ref="I48" si="31">I12+I30</f>
        <v>2502322.5700000003</v>
      </c>
      <c r="J48" s="100">
        <f t="shared" si="14"/>
        <v>2802500</v>
      </c>
      <c r="K48" s="100">
        <f t="shared" si="14"/>
        <v>2798000</v>
      </c>
      <c r="L48" s="30">
        <f t="shared" si="14"/>
        <v>2011107.28</v>
      </c>
      <c r="M48" s="30">
        <f t="shared" si="14"/>
        <v>2011107.28</v>
      </c>
      <c r="N48" s="100">
        <f t="shared" si="14"/>
        <v>1160000</v>
      </c>
      <c r="O48" s="100">
        <f t="shared" si="14"/>
        <v>1160172.27</v>
      </c>
      <c r="P48" s="30">
        <f t="shared" si="14"/>
        <v>314445.49</v>
      </c>
      <c r="Q48" s="30">
        <f t="shared" si="14"/>
        <v>423976.54</v>
      </c>
      <c r="R48" s="30">
        <f t="shared" si="14"/>
        <v>500000</v>
      </c>
      <c r="S48" s="30">
        <f t="shared" si="14"/>
        <v>528855.92999999993</v>
      </c>
      <c r="T48" s="30">
        <f t="shared" si="14"/>
        <v>100000</v>
      </c>
      <c r="U48" s="30">
        <f t="shared" si="14"/>
        <v>0</v>
      </c>
      <c r="V48" s="30">
        <f t="shared" si="14"/>
        <v>0</v>
      </c>
      <c r="W48" s="30">
        <f t="shared" si="14"/>
        <v>201421.18</v>
      </c>
      <c r="X48" s="30">
        <f t="shared" si="14"/>
        <v>0</v>
      </c>
      <c r="Y48" s="30">
        <f t="shared" si="14"/>
        <v>0</v>
      </c>
      <c r="Z48" s="30">
        <f t="shared" si="14"/>
        <v>0</v>
      </c>
      <c r="AA48" s="30">
        <f t="shared" si="14"/>
        <v>0</v>
      </c>
      <c r="AB48" s="30">
        <f t="shared" si="14"/>
        <v>0</v>
      </c>
      <c r="AC48" s="30">
        <f t="shared" si="14"/>
        <v>162197</v>
      </c>
      <c r="AD48" s="422">
        <f t="shared" si="14"/>
        <v>0</v>
      </c>
      <c r="AE48" s="30">
        <f t="shared" si="14"/>
        <v>0</v>
      </c>
      <c r="AF48" s="422">
        <f t="shared" si="14"/>
        <v>0</v>
      </c>
      <c r="AG48" s="30">
        <f t="shared" si="14"/>
        <v>0</v>
      </c>
      <c r="AH48" s="294">
        <f t="shared" si="15"/>
        <v>6888052.7700000005</v>
      </c>
      <c r="AI48" s="100">
        <f t="shared" si="16"/>
        <v>7285730.2000000002</v>
      </c>
      <c r="AK48" s="409">
        <f t="shared" si="21"/>
        <v>1000000</v>
      </c>
      <c r="AL48" s="413">
        <f t="shared" si="21"/>
        <v>1500000</v>
      </c>
      <c r="AR48" s="409">
        <f t="shared" si="22"/>
        <v>1750000</v>
      </c>
      <c r="AS48" s="413">
        <f t="shared" si="22"/>
        <v>650000</v>
      </c>
    </row>
    <row r="49" spans="2:45">
      <c r="B49" s="29" t="s">
        <v>698</v>
      </c>
      <c r="C49" s="100">
        <f t="shared" si="14"/>
        <v>0</v>
      </c>
      <c r="D49" s="100">
        <f t="shared" si="14"/>
        <v>0</v>
      </c>
      <c r="E49" s="100">
        <f t="shared" si="14"/>
        <v>0</v>
      </c>
      <c r="F49" s="31">
        <f t="shared" ref="F49" si="32">F13+F31</f>
        <v>470000</v>
      </c>
      <c r="G49" s="100">
        <f t="shared" si="14"/>
        <v>0</v>
      </c>
      <c r="H49" s="30">
        <f t="shared" ref="H49" si="33">H13+H31</f>
        <v>470000</v>
      </c>
      <c r="I49" s="100">
        <f t="shared" ref="I49" si="34">I13+I31</f>
        <v>470000</v>
      </c>
      <c r="J49" s="100">
        <f t="shared" si="14"/>
        <v>0</v>
      </c>
      <c r="K49" s="100">
        <f t="shared" si="14"/>
        <v>0</v>
      </c>
      <c r="L49" s="100">
        <f t="shared" si="14"/>
        <v>0</v>
      </c>
      <c r="M49" s="100">
        <f t="shared" si="14"/>
        <v>0</v>
      </c>
      <c r="N49" s="100">
        <f t="shared" si="14"/>
        <v>120000</v>
      </c>
      <c r="O49" s="100">
        <f t="shared" si="14"/>
        <v>0</v>
      </c>
      <c r="P49" s="100">
        <f t="shared" si="14"/>
        <v>0</v>
      </c>
      <c r="Q49" s="100">
        <f t="shared" si="14"/>
        <v>0</v>
      </c>
      <c r="R49" s="100">
        <f t="shared" si="14"/>
        <v>0</v>
      </c>
      <c r="S49" s="100">
        <f t="shared" si="14"/>
        <v>0</v>
      </c>
      <c r="T49" s="100">
        <f t="shared" si="14"/>
        <v>0</v>
      </c>
      <c r="U49" s="100">
        <f t="shared" si="14"/>
        <v>0</v>
      </c>
      <c r="V49" s="100">
        <f t="shared" si="14"/>
        <v>0</v>
      </c>
      <c r="W49" s="100">
        <f t="shared" si="14"/>
        <v>0</v>
      </c>
      <c r="X49" s="100">
        <f t="shared" si="14"/>
        <v>0</v>
      </c>
      <c r="Y49" s="100">
        <f t="shared" si="14"/>
        <v>0</v>
      </c>
      <c r="Z49" s="100">
        <f t="shared" si="14"/>
        <v>0</v>
      </c>
      <c r="AA49" s="100">
        <f t="shared" si="14"/>
        <v>0</v>
      </c>
      <c r="AB49" s="100">
        <f t="shared" si="14"/>
        <v>0</v>
      </c>
      <c r="AC49" s="100">
        <f t="shared" si="14"/>
        <v>0</v>
      </c>
      <c r="AD49" s="422">
        <f t="shared" si="14"/>
        <v>0</v>
      </c>
      <c r="AE49" s="100">
        <f t="shared" si="14"/>
        <v>0</v>
      </c>
      <c r="AF49" s="422">
        <f t="shared" si="14"/>
        <v>0</v>
      </c>
      <c r="AG49" s="100">
        <f t="shared" si="14"/>
        <v>0</v>
      </c>
      <c r="AH49" s="100">
        <f t="shared" si="15"/>
        <v>120000</v>
      </c>
      <c r="AI49" s="100">
        <f t="shared" si="16"/>
        <v>0</v>
      </c>
      <c r="AK49" s="409">
        <f t="shared" si="21"/>
        <v>350000</v>
      </c>
      <c r="AL49" s="413">
        <f t="shared" si="21"/>
        <v>120000</v>
      </c>
      <c r="AR49" s="409">
        <f t="shared" si="22"/>
        <v>0</v>
      </c>
      <c r="AS49" s="413">
        <f t="shared" si="22"/>
        <v>0</v>
      </c>
    </row>
    <row r="50" spans="2:45">
      <c r="B50" s="29" t="s">
        <v>703</v>
      </c>
      <c r="C50" s="100">
        <f t="shared" si="14"/>
        <v>0</v>
      </c>
      <c r="D50" s="30">
        <f t="shared" si="14"/>
        <v>0</v>
      </c>
      <c r="E50" s="30">
        <f t="shared" si="14"/>
        <v>0</v>
      </c>
      <c r="F50" s="31">
        <f t="shared" ref="F50" si="35">F14+F32</f>
        <v>15000</v>
      </c>
      <c r="G50" s="30">
        <f t="shared" si="14"/>
        <v>0</v>
      </c>
      <c r="H50" s="30">
        <f t="shared" ref="H50" si="36">H14+H32</f>
        <v>15000</v>
      </c>
      <c r="I50" s="30">
        <f t="shared" ref="I50" si="37">I14+I32</f>
        <v>15000</v>
      </c>
      <c r="J50" s="100">
        <f t="shared" si="14"/>
        <v>0</v>
      </c>
      <c r="K50" s="100">
        <f t="shared" si="14"/>
        <v>0</v>
      </c>
      <c r="L50" s="30">
        <f t="shared" si="14"/>
        <v>0</v>
      </c>
      <c r="M50" s="30">
        <f t="shared" si="14"/>
        <v>0</v>
      </c>
      <c r="N50" s="100">
        <f t="shared" si="14"/>
        <v>0</v>
      </c>
      <c r="O50" s="100">
        <f t="shared" si="14"/>
        <v>0</v>
      </c>
      <c r="P50" s="30">
        <f t="shared" si="14"/>
        <v>0</v>
      </c>
      <c r="Q50" s="30">
        <f t="shared" si="14"/>
        <v>0</v>
      </c>
      <c r="R50" s="30">
        <f t="shared" si="14"/>
        <v>0</v>
      </c>
      <c r="S50" s="30">
        <f t="shared" si="14"/>
        <v>0</v>
      </c>
      <c r="T50" s="30">
        <f t="shared" si="14"/>
        <v>0</v>
      </c>
      <c r="U50" s="30">
        <f t="shared" si="14"/>
        <v>0</v>
      </c>
      <c r="V50" s="30">
        <f t="shared" si="14"/>
        <v>0</v>
      </c>
      <c r="W50" s="30">
        <f t="shared" si="14"/>
        <v>0</v>
      </c>
      <c r="X50" s="30">
        <f t="shared" si="14"/>
        <v>0</v>
      </c>
      <c r="Y50" s="30">
        <f t="shared" si="14"/>
        <v>0</v>
      </c>
      <c r="Z50" s="30">
        <f t="shared" si="14"/>
        <v>0</v>
      </c>
      <c r="AA50" s="30">
        <f t="shared" si="14"/>
        <v>0</v>
      </c>
      <c r="AB50" s="30">
        <f t="shared" si="14"/>
        <v>0</v>
      </c>
      <c r="AC50" s="30">
        <f t="shared" si="14"/>
        <v>0</v>
      </c>
      <c r="AD50" s="422">
        <f t="shared" si="14"/>
        <v>0</v>
      </c>
      <c r="AE50" s="30">
        <f t="shared" si="14"/>
        <v>0</v>
      </c>
      <c r="AF50" s="422">
        <f t="shared" si="14"/>
        <v>0</v>
      </c>
      <c r="AG50" s="30">
        <f t="shared" si="14"/>
        <v>0</v>
      </c>
      <c r="AH50" s="100">
        <f t="shared" si="15"/>
        <v>0</v>
      </c>
      <c r="AI50" s="100">
        <f t="shared" si="16"/>
        <v>0</v>
      </c>
      <c r="AK50" s="409">
        <f t="shared" si="21"/>
        <v>15000</v>
      </c>
      <c r="AL50" s="413">
        <f t="shared" si="21"/>
        <v>0</v>
      </c>
      <c r="AR50" s="409">
        <f t="shared" si="22"/>
        <v>0</v>
      </c>
      <c r="AS50" s="413">
        <f t="shared" si="22"/>
        <v>0</v>
      </c>
    </row>
    <row r="51" spans="2:45">
      <c r="B51" s="29" t="s">
        <v>744</v>
      </c>
      <c r="C51" s="100">
        <f t="shared" si="14"/>
        <v>37585250.75</v>
      </c>
      <c r="D51" s="100">
        <f t="shared" si="14"/>
        <v>23715250.75</v>
      </c>
      <c r="E51" s="100">
        <f t="shared" si="14"/>
        <v>13870000</v>
      </c>
      <c r="F51" s="31">
        <f t="shared" ref="F51" si="38">F15+F33</f>
        <v>15586800</v>
      </c>
      <c r="G51" s="100">
        <f t="shared" si="14"/>
        <v>15029636.9</v>
      </c>
      <c r="H51" s="30">
        <f t="shared" ref="H51" si="39">H15+H33</f>
        <v>1716800</v>
      </c>
      <c r="I51" s="100">
        <f t="shared" ref="I51" si="40">I15+I33</f>
        <v>557163.09999999963</v>
      </c>
      <c r="J51" s="100">
        <f t="shared" si="14"/>
        <v>6070000</v>
      </c>
      <c r="K51" s="100">
        <f t="shared" si="14"/>
        <v>5794000</v>
      </c>
      <c r="L51" s="30">
        <f t="shared" ref="C51:AG54" si="41">L15+L33</f>
        <v>1800000</v>
      </c>
      <c r="M51" s="30">
        <f t="shared" si="41"/>
        <v>2490000</v>
      </c>
      <c r="N51" s="100">
        <f t="shared" si="41"/>
        <v>3108800</v>
      </c>
      <c r="O51" s="100">
        <f t="shared" si="41"/>
        <v>2612004.0499999998</v>
      </c>
      <c r="P51" s="30">
        <f t="shared" si="41"/>
        <v>1388000</v>
      </c>
      <c r="Q51" s="30">
        <f t="shared" si="41"/>
        <v>21643</v>
      </c>
      <c r="R51" s="30">
        <f t="shared" si="41"/>
        <v>500000</v>
      </c>
      <c r="S51" s="30">
        <f t="shared" si="41"/>
        <v>1800000</v>
      </c>
      <c r="T51" s="30">
        <f t="shared" si="41"/>
        <v>500000</v>
      </c>
      <c r="U51" s="30">
        <f t="shared" si="41"/>
        <v>550000</v>
      </c>
      <c r="V51" s="30">
        <f t="shared" si="41"/>
        <v>500000</v>
      </c>
      <c r="W51" s="30">
        <f t="shared" si="41"/>
        <v>0</v>
      </c>
      <c r="X51" s="30">
        <f t="shared" si="41"/>
        <v>500000</v>
      </c>
      <c r="Y51" s="30">
        <f t="shared" si="41"/>
        <v>1101920.58</v>
      </c>
      <c r="Z51" s="30">
        <f t="shared" si="41"/>
        <v>370000</v>
      </c>
      <c r="AA51" s="30">
        <f t="shared" si="41"/>
        <v>660069.27</v>
      </c>
      <c r="AB51" s="30">
        <f t="shared" si="41"/>
        <v>0</v>
      </c>
      <c r="AC51" s="30">
        <f t="shared" si="41"/>
        <v>0</v>
      </c>
      <c r="AD51" s="422">
        <f t="shared" si="41"/>
        <v>0</v>
      </c>
      <c r="AE51" s="30">
        <f t="shared" si="41"/>
        <v>0</v>
      </c>
      <c r="AF51" s="422">
        <f t="shared" si="41"/>
        <v>0</v>
      </c>
      <c r="AG51" s="30">
        <f t="shared" si="41"/>
        <v>0</v>
      </c>
      <c r="AH51" s="100">
        <f t="shared" si="15"/>
        <v>14736800</v>
      </c>
      <c r="AI51" s="100">
        <f t="shared" si="16"/>
        <v>15029636.9</v>
      </c>
      <c r="AK51" s="409">
        <f t="shared" si="21"/>
        <v>0</v>
      </c>
      <c r="AL51" s="413">
        <f t="shared" si="21"/>
        <v>850000</v>
      </c>
      <c r="AR51" s="409">
        <f t="shared" si="22"/>
        <v>1500000</v>
      </c>
      <c r="AS51" s="413">
        <f t="shared" si="22"/>
        <v>600000</v>
      </c>
    </row>
    <row r="52" spans="2:45">
      <c r="B52" s="29" t="s">
        <v>1156</v>
      </c>
      <c r="C52" s="100">
        <f t="shared" si="41"/>
        <v>21476736.059999999</v>
      </c>
      <c r="D52" s="30">
        <f t="shared" si="41"/>
        <v>9935423.2100000009</v>
      </c>
      <c r="E52" s="30">
        <f t="shared" si="41"/>
        <v>11541312.85</v>
      </c>
      <c r="F52" s="31">
        <f t="shared" si="41"/>
        <v>13956801.367625831</v>
      </c>
      <c r="G52" s="30">
        <f t="shared" si="41"/>
        <v>12138766.713833109</v>
      </c>
      <c r="H52" s="30">
        <f t="shared" si="41"/>
        <v>2415488.5176258306</v>
      </c>
      <c r="I52" s="30">
        <f t="shared" ref="I52" si="42">I16+I34</f>
        <v>1818034.6537927231</v>
      </c>
      <c r="J52" s="100">
        <f t="shared" si="41"/>
        <v>3133312.85</v>
      </c>
      <c r="K52" s="100">
        <f t="shared" si="41"/>
        <v>3119273.55</v>
      </c>
      <c r="L52" s="30">
        <f t="shared" si="41"/>
        <v>3093000</v>
      </c>
      <c r="M52" s="30">
        <f t="shared" si="41"/>
        <v>3089000</v>
      </c>
      <c r="N52" s="100">
        <f t="shared" si="41"/>
        <v>819043.51762583037</v>
      </c>
      <c r="O52" s="100">
        <f t="shared" si="41"/>
        <v>859077.40500000003</v>
      </c>
      <c r="P52" s="30">
        <f t="shared" si="41"/>
        <v>1421179</v>
      </c>
      <c r="Q52" s="30">
        <f t="shared" si="41"/>
        <v>1375565.2800000003</v>
      </c>
      <c r="R52" s="30">
        <f t="shared" si="41"/>
        <v>1350770</v>
      </c>
      <c r="S52" s="30">
        <f t="shared" si="41"/>
        <v>1352002</v>
      </c>
      <c r="T52" s="30">
        <f t="shared" si="41"/>
        <v>649496</v>
      </c>
      <c r="U52" s="30">
        <f t="shared" si="41"/>
        <v>229733.58000000002</v>
      </c>
      <c r="V52" s="30">
        <f t="shared" si="41"/>
        <v>440000</v>
      </c>
      <c r="W52" s="30">
        <f t="shared" si="41"/>
        <v>964484.22883310821</v>
      </c>
      <c r="X52" s="30">
        <f t="shared" si="41"/>
        <v>350000</v>
      </c>
      <c r="Y52" s="30">
        <f t="shared" si="41"/>
        <v>92740.24</v>
      </c>
      <c r="Z52" s="30">
        <f t="shared" si="41"/>
        <v>300000</v>
      </c>
      <c r="AA52" s="30">
        <f t="shared" si="41"/>
        <v>18366.72</v>
      </c>
      <c r="AB52" s="30">
        <f t="shared" si="41"/>
        <v>0</v>
      </c>
      <c r="AC52" s="30">
        <f t="shared" si="41"/>
        <v>466436.64999999997</v>
      </c>
      <c r="AD52" s="422">
        <f t="shared" si="41"/>
        <v>0</v>
      </c>
      <c r="AE52" s="30">
        <f t="shared" si="41"/>
        <v>572087.06000000006</v>
      </c>
      <c r="AF52" s="422">
        <f t="shared" si="41"/>
        <v>0</v>
      </c>
      <c r="AG52" s="30">
        <f t="shared" si="41"/>
        <v>0</v>
      </c>
      <c r="AH52" s="100">
        <f t="shared" si="15"/>
        <v>11556801.367625829</v>
      </c>
      <c r="AI52" s="100">
        <f t="shared" si="16"/>
        <v>12138766.713833109</v>
      </c>
      <c r="AK52" s="409">
        <f t="shared" si="21"/>
        <v>1360000</v>
      </c>
      <c r="AL52" s="413">
        <f t="shared" si="21"/>
        <v>1000000</v>
      </c>
      <c r="AM52" s="235">
        <f>AK52+AL52</f>
        <v>2360000</v>
      </c>
      <c r="AN52" s="235">
        <v>240000</v>
      </c>
      <c r="AR52" s="409">
        <f t="shared" si="22"/>
        <v>4700000</v>
      </c>
      <c r="AS52" s="413">
        <f t="shared" si="22"/>
        <v>850000</v>
      </c>
    </row>
    <row r="53" spans="2:45">
      <c r="B53" s="29" t="s">
        <v>1158</v>
      </c>
      <c r="C53" s="100">
        <f t="shared" si="41"/>
        <v>5929200</v>
      </c>
      <c r="D53" s="30">
        <f t="shared" si="41"/>
        <v>52500</v>
      </c>
      <c r="E53" s="30">
        <f t="shared" si="41"/>
        <v>5876700</v>
      </c>
      <c r="F53" s="31">
        <f t="shared" si="41"/>
        <v>5864400</v>
      </c>
      <c r="G53" s="30">
        <f t="shared" si="41"/>
        <v>5675025.5500000007</v>
      </c>
      <c r="H53" s="30">
        <f t="shared" si="41"/>
        <v>-12300</v>
      </c>
      <c r="I53" s="30">
        <f t="shared" ref="I53" si="43">I17+I35</f>
        <v>189374.44999999972</v>
      </c>
      <c r="J53" s="100">
        <f t="shared" si="41"/>
        <v>376700</v>
      </c>
      <c r="K53" s="100">
        <f t="shared" si="41"/>
        <v>376700</v>
      </c>
      <c r="L53" s="30">
        <f t="shared" si="41"/>
        <v>500000</v>
      </c>
      <c r="M53" s="30">
        <f t="shared" si="41"/>
        <v>512300</v>
      </c>
      <c r="N53" s="100">
        <f t="shared" si="41"/>
        <v>487700</v>
      </c>
      <c r="O53" s="100">
        <f t="shared" si="41"/>
        <v>501700</v>
      </c>
      <c r="P53" s="30">
        <f t="shared" si="41"/>
        <v>500000</v>
      </c>
      <c r="Q53" s="30">
        <f t="shared" si="41"/>
        <v>515000</v>
      </c>
      <c r="R53" s="30">
        <f t="shared" si="41"/>
        <v>500000</v>
      </c>
      <c r="S53" s="30">
        <f t="shared" si="41"/>
        <v>519164.77999999997</v>
      </c>
      <c r="T53" s="30">
        <f t="shared" si="41"/>
        <v>500000</v>
      </c>
      <c r="U53" s="30">
        <f t="shared" si="41"/>
        <v>565631.23</v>
      </c>
      <c r="V53" s="30">
        <f t="shared" si="41"/>
        <v>500000</v>
      </c>
      <c r="W53" s="30">
        <f t="shared" si="41"/>
        <v>570897.4</v>
      </c>
      <c r="X53" s="30">
        <f t="shared" si="41"/>
        <v>500000</v>
      </c>
      <c r="Y53" s="30">
        <f t="shared" si="41"/>
        <v>505880.32999999996</v>
      </c>
      <c r="Z53" s="30">
        <f t="shared" si="41"/>
        <v>500000</v>
      </c>
      <c r="AA53" s="30">
        <f t="shared" si="41"/>
        <v>458196.81</v>
      </c>
      <c r="AB53" s="30">
        <f t="shared" si="41"/>
        <v>500000</v>
      </c>
      <c r="AC53" s="30">
        <f t="shared" si="41"/>
        <v>501000</v>
      </c>
      <c r="AD53" s="422">
        <f t="shared" si="41"/>
        <v>500000</v>
      </c>
      <c r="AE53" s="30">
        <f t="shared" si="41"/>
        <v>648555</v>
      </c>
      <c r="AF53" s="422">
        <f t="shared" si="41"/>
        <v>500000</v>
      </c>
      <c r="AG53" s="30">
        <f t="shared" si="41"/>
        <v>0</v>
      </c>
      <c r="AH53" s="100">
        <f t="shared" si="15"/>
        <v>5864400</v>
      </c>
      <c r="AI53" s="100">
        <f t="shared" si="16"/>
        <v>5675025.5499999998</v>
      </c>
      <c r="AK53" s="409">
        <f t="shared" si="21"/>
        <v>500000</v>
      </c>
      <c r="AL53" s="413">
        <f t="shared" si="21"/>
        <v>500000</v>
      </c>
      <c r="AN53" s="235">
        <v>310000</v>
      </c>
      <c r="AR53" s="409">
        <f t="shared" si="22"/>
        <v>500000</v>
      </c>
      <c r="AS53" s="413">
        <f t="shared" si="22"/>
        <v>500000</v>
      </c>
    </row>
    <row r="54" spans="2:45" ht="15.75" thickBot="1">
      <c r="B54" s="29"/>
      <c r="C54" s="100">
        <f t="shared" si="41"/>
        <v>0</v>
      </c>
      <c r="D54" s="30">
        <f t="shared" si="41"/>
        <v>0</v>
      </c>
      <c r="E54" s="30">
        <f t="shared" si="41"/>
        <v>0</v>
      </c>
      <c r="F54" s="31">
        <f t="shared" si="41"/>
        <v>0</v>
      </c>
      <c r="G54" s="30">
        <f t="shared" si="41"/>
        <v>0</v>
      </c>
      <c r="H54" s="30">
        <f t="shared" si="41"/>
        <v>0</v>
      </c>
      <c r="I54" s="30">
        <f t="shared" ref="I54" si="44">I18+I36</f>
        <v>0</v>
      </c>
      <c r="J54" s="100">
        <f t="shared" si="41"/>
        <v>0</v>
      </c>
      <c r="K54" s="100">
        <f t="shared" si="41"/>
        <v>0</v>
      </c>
      <c r="L54" s="30">
        <f t="shared" si="41"/>
        <v>0</v>
      </c>
      <c r="M54" s="30">
        <f t="shared" si="41"/>
        <v>0</v>
      </c>
      <c r="N54" s="100">
        <f t="shared" si="41"/>
        <v>0</v>
      </c>
      <c r="O54" s="100">
        <f t="shared" si="41"/>
        <v>0</v>
      </c>
      <c r="P54" s="30">
        <f t="shared" si="41"/>
        <v>0</v>
      </c>
      <c r="Q54" s="30">
        <f t="shared" si="41"/>
        <v>0</v>
      </c>
      <c r="R54" s="30">
        <f t="shared" si="41"/>
        <v>0</v>
      </c>
      <c r="S54" s="30">
        <f t="shared" si="41"/>
        <v>0</v>
      </c>
      <c r="T54" s="30">
        <f t="shared" si="41"/>
        <v>0</v>
      </c>
      <c r="U54" s="30">
        <f t="shared" si="41"/>
        <v>0</v>
      </c>
      <c r="V54" s="30">
        <f t="shared" si="41"/>
        <v>0</v>
      </c>
      <c r="W54" s="30">
        <f t="shared" si="41"/>
        <v>0</v>
      </c>
      <c r="X54" s="30">
        <f t="shared" si="41"/>
        <v>0</v>
      </c>
      <c r="Y54" s="30">
        <f t="shared" si="41"/>
        <v>0</v>
      </c>
      <c r="Z54" s="30">
        <f t="shared" si="41"/>
        <v>0</v>
      </c>
      <c r="AA54" s="30">
        <f t="shared" si="41"/>
        <v>0</v>
      </c>
      <c r="AB54" s="30">
        <f t="shared" si="41"/>
        <v>0</v>
      </c>
      <c r="AC54" s="30">
        <f t="shared" si="41"/>
        <v>0</v>
      </c>
      <c r="AD54" s="422">
        <f t="shared" si="41"/>
        <v>0</v>
      </c>
      <c r="AE54" s="30">
        <f t="shared" si="41"/>
        <v>0</v>
      </c>
      <c r="AF54" s="422">
        <f t="shared" si="41"/>
        <v>0</v>
      </c>
      <c r="AG54" s="30">
        <f t="shared" si="41"/>
        <v>0</v>
      </c>
      <c r="AH54" s="30"/>
      <c r="AI54" s="100">
        <f>K54+M54+O54+Q54+S54+U54+W54+Y54+AA54+AC54+AE54+AG54</f>
        <v>0</v>
      </c>
      <c r="AK54" s="415"/>
      <c r="AL54" s="414"/>
      <c r="AN54" s="235">
        <f>AN52+AN53</f>
        <v>550000</v>
      </c>
      <c r="AR54" s="415"/>
      <c r="AS54" s="414"/>
    </row>
    <row r="55" spans="2:45">
      <c r="E55" s="386"/>
      <c r="F55" s="386"/>
      <c r="AN55" s="235">
        <f>AM52-AN54</f>
        <v>1810000</v>
      </c>
    </row>
    <row r="56" spans="2:45">
      <c r="E56" s="387"/>
      <c r="F56" s="387"/>
      <c r="G56" s="235">
        <f>G38-G37</f>
        <v>1719580.4800000042</v>
      </c>
      <c r="H56" s="235"/>
      <c r="I56" s="235">
        <f>I38-I37</f>
        <v>-1354580.4800000004</v>
      </c>
      <c r="J56" s="235"/>
      <c r="K56" s="235"/>
      <c r="L56" s="235"/>
    </row>
    <row r="57" spans="2:45">
      <c r="G57" s="235"/>
      <c r="H57" s="235"/>
      <c r="I57" s="235"/>
      <c r="O57" s="389"/>
      <c r="P57" s="389"/>
      <c r="Q57" s="389"/>
      <c r="R57" s="389"/>
    </row>
    <row r="58" spans="2:45">
      <c r="O58" s="389"/>
      <c r="P58" s="389"/>
      <c r="Q58" s="389"/>
      <c r="R58" s="389"/>
    </row>
    <row r="59" spans="2:45">
      <c r="O59" s="389"/>
      <c r="P59" s="389"/>
      <c r="Q59" s="389"/>
      <c r="R59" s="389"/>
    </row>
    <row r="60" spans="2:45">
      <c r="O60" s="389"/>
      <c r="P60" s="389"/>
      <c r="Q60" s="389"/>
      <c r="R60" s="389"/>
    </row>
    <row r="61" spans="2:45">
      <c r="O61" s="389"/>
      <c r="P61" s="389"/>
      <c r="Q61" s="389"/>
      <c r="R61" s="389"/>
      <c r="AC61" s="235"/>
    </row>
    <row r="62" spans="2:45">
      <c r="O62" s="389"/>
      <c r="P62" s="389"/>
      <c r="Q62" s="389"/>
      <c r="R62" s="389"/>
    </row>
    <row r="63" spans="2:45">
      <c r="O63" s="389"/>
      <c r="P63" s="389"/>
      <c r="Q63" s="389"/>
      <c r="R63" s="389"/>
    </row>
    <row r="64" spans="2:45">
      <c r="O64" s="389"/>
      <c r="P64" s="389"/>
      <c r="Q64" s="389"/>
      <c r="R64" s="389"/>
    </row>
  </sheetData>
  <mergeCells count="110">
    <mergeCell ref="N22:O22"/>
    <mergeCell ref="AF4:AG4"/>
    <mergeCell ref="AH4:AI4"/>
    <mergeCell ref="J3:AI3"/>
    <mergeCell ref="J4:K4"/>
    <mergeCell ref="L4:M4"/>
    <mergeCell ref="N4:O4"/>
    <mergeCell ref="P4:Q4"/>
    <mergeCell ref="R4:S4"/>
    <mergeCell ref="T4:U4"/>
    <mergeCell ref="V4:W4"/>
    <mergeCell ref="J5:K5"/>
    <mergeCell ref="L5:M5"/>
    <mergeCell ref="N5:O5"/>
    <mergeCell ref="AB4:AC4"/>
    <mergeCell ref="AD4:AE4"/>
    <mergeCell ref="AD5:AE5"/>
    <mergeCell ref="P5:Q5"/>
    <mergeCell ref="R5:S5"/>
    <mergeCell ref="T5:U5"/>
    <mergeCell ref="AK1:AL1"/>
    <mergeCell ref="AK3:AL4"/>
    <mergeCell ref="AK21:AL22"/>
    <mergeCell ref="AK39:AL40"/>
    <mergeCell ref="AR3:AS4"/>
    <mergeCell ref="AR21:AS22"/>
    <mergeCell ref="AR39:AS40"/>
    <mergeCell ref="AH40:AI40"/>
    <mergeCell ref="AF40:AG40"/>
    <mergeCell ref="AB23:AC23"/>
    <mergeCell ref="P22:Q22"/>
    <mergeCell ref="H3:H6"/>
    <mergeCell ref="H21:H24"/>
    <mergeCell ref="B39:B42"/>
    <mergeCell ref="C39:C42"/>
    <mergeCell ref="D39:D42"/>
    <mergeCell ref="E39:E42"/>
    <mergeCell ref="G39:G42"/>
    <mergeCell ref="B3:B6"/>
    <mergeCell ref="C3:C6"/>
    <mergeCell ref="F39:F42"/>
    <mergeCell ref="D3:D6"/>
    <mergeCell ref="E3:E6"/>
    <mergeCell ref="G3:G6"/>
    <mergeCell ref="B21:B24"/>
    <mergeCell ref="C21:C24"/>
    <mergeCell ref="D21:D24"/>
    <mergeCell ref="E21:E24"/>
    <mergeCell ref="G21:G24"/>
    <mergeCell ref="F21:F24"/>
    <mergeCell ref="F3:F6"/>
    <mergeCell ref="H39:H42"/>
    <mergeCell ref="L22:M22"/>
    <mergeCell ref="I39:I42"/>
    <mergeCell ref="X4:Y4"/>
    <mergeCell ref="Z4:AA4"/>
    <mergeCell ref="J41:K41"/>
    <mergeCell ref="I21:I24"/>
    <mergeCell ref="AH23:AI23"/>
    <mergeCell ref="R22:S22"/>
    <mergeCell ref="Z22:AA22"/>
    <mergeCell ref="AB22:AC22"/>
    <mergeCell ref="AD22:AE22"/>
    <mergeCell ref="AD23:AE23"/>
    <mergeCell ref="T22:U22"/>
    <mergeCell ref="V22:W22"/>
    <mergeCell ref="X22:Y22"/>
    <mergeCell ref="AF22:AG22"/>
    <mergeCell ref="AH22:AI22"/>
    <mergeCell ref="J23:K23"/>
    <mergeCell ref="L23:M23"/>
    <mergeCell ref="N23:O23"/>
    <mergeCell ref="R23:S23"/>
    <mergeCell ref="T23:U23"/>
    <mergeCell ref="V23:W23"/>
    <mergeCell ref="X23:Y23"/>
    <mergeCell ref="Z23:AA23"/>
    <mergeCell ref="AD40:AE40"/>
    <mergeCell ref="R40:S40"/>
    <mergeCell ref="T40:U40"/>
    <mergeCell ref="V40:W40"/>
    <mergeCell ref="I3:I6"/>
    <mergeCell ref="J22:K22"/>
    <mergeCell ref="P41:Q41"/>
    <mergeCell ref="AH5:AI5"/>
    <mergeCell ref="V5:W5"/>
    <mergeCell ref="X5:Y5"/>
    <mergeCell ref="Z5:AA5"/>
    <mergeCell ref="AB5:AC5"/>
    <mergeCell ref="AF5:AG5"/>
    <mergeCell ref="R41:S41"/>
    <mergeCell ref="AH41:AI41"/>
    <mergeCell ref="V41:W41"/>
    <mergeCell ref="X41:Y41"/>
    <mergeCell ref="Z41:AA41"/>
    <mergeCell ref="AB41:AC41"/>
    <mergeCell ref="AD41:AE41"/>
    <mergeCell ref="AF41:AG41"/>
    <mergeCell ref="T41:U41"/>
    <mergeCell ref="AF23:AG23"/>
    <mergeCell ref="P23:Q23"/>
    <mergeCell ref="L41:M41"/>
    <mergeCell ref="N41:O41"/>
    <mergeCell ref="J40:K40"/>
    <mergeCell ref="L40:M40"/>
    <mergeCell ref="N40:O40"/>
    <mergeCell ref="P40:Q40"/>
    <mergeCell ref="X40:Y40"/>
    <mergeCell ref="Z40:AA40"/>
    <mergeCell ref="AB40:AC40"/>
  </mergeCells>
  <pageMargins left="0.16" right="0.16" top="0.26" bottom="0.19" header="0.13" footer="0.16"/>
  <pageSetup paperSize="9" orientation="landscape" horizontalDpi="0"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DP156"/>
  <sheetViews>
    <sheetView workbookViewId="0">
      <pane xSplit="37" ySplit="8" topLeftCell="BX41" activePane="bottomRight" state="frozen"/>
      <selection pane="topRight" activeCell="AL1" sqref="AL1"/>
      <selection pane="bottomLeft" activeCell="A9" sqref="A9"/>
      <selection pane="bottomRight" activeCell="D161" sqref="D161"/>
    </sheetView>
  </sheetViews>
  <sheetFormatPr defaultColWidth="10.42578125" defaultRowHeight="15"/>
  <cols>
    <col min="1" max="1" width="8" style="14" bestFit="1" customWidth="1"/>
    <col min="2" max="2" width="12.28515625" style="14" customWidth="1"/>
    <col min="3" max="3" width="11.28515625" style="14" customWidth="1"/>
    <col min="4" max="4" width="27.42578125" style="14" customWidth="1"/>
    <col min="5" max="5" width="10.42578125" style="14" customWidth="1"/>
    <col min="6" max="6" width="13.85546875" style="14" bestFit="1" customWidth="1"/>
    <col min="7" max="7" width="15" style="14" bestFit="1" customWidth="1"/>
    <col min="8" max="8" width="14.28515625" style="14" hidden="1" customWidth="1"/>
    <col min="9" max="9" width="12" style="14" hidden="1" customWidth="1"/>
    <col min="10" max="10" width="24.5703125" style="14" hidden="1" customWidth="1"/>
    <col min="11" max="11" width="14.42578125" style="14" hidden="1" customWidth="1"/>
    <col min="12" max="12" width="13.85546875" style="14" hidden="1" customWidth="1"/>
    <col min="13" max="14" width="14.7109375" style="14" hidden="1" customWidth="1"/>
    <col min="15" max="15" width="14.7109375" style="14" customWidth="1"/>
    <col min="16" max="16" width="13.7109375" style="14" hidden="1" customWidth="1"/>
    <col min="17" max="17" width="12" style="14" hidden="1" customWidth="1"/>
    <col min="18" max="18" width="13.7109375" style="14" hidden="1" customWidth="1"/>
    <col min="19" max="21" width="12" style="14" hidden="1" customWidth="1"/>
    <col min="22" max="23" width="10.85546875" style="14" hidden="1" customWidth="1"/>
    <col min="24" max="26" width="12" style="14" hidden="1" customWidth="1"/>
    <col min="27" max="27" width="7.5703125" style="14" hidden="1" customWidth="1"/>
    <col min="28" max="28" width="9.7109375" style="14" hidden="1" customWidth="1"/>
    <col min="29" max="31" width="12" style="14" hidden="1" customWidth="1"/>
    <col min="32" max="33" width="13.7109375" style="14" hidden="1" customWidth="1"/>
    <col min="34" max="35" width="12" style="14" hidden="1" customWidth="1"/>
    <col min="36" max="36" width="13.7109375" style="14" hidden="1" customWidth="1"/>
    <col min="37" max="37" width="15" style="14" hidden="1" customWidth="1"/>
    <col min="38" max="38" width="7.5703125" style="14" bestFit="1" customWidth="1"/>
    <col min="39" max="46" width="12" style="14" bestFit="1" customWidth="1"/>
    <col min="47" max="47" width="10.85546875" style="14" bestFit="1" customWidth="1"/>
    <col min="48" max="51" width="12" style="14" bestFit="1" customWidth="1"/>
    <col min="52" max="52" width="10.85546875" style="14" bestFit="1" customWidth="1"/>
    <col min="53" max="53" width="7.5703125" style="14" bestFit="1" customWidth="1"/>
    <col min="54" max="54" width="12" style="14" bestFit="1" customWidth="1"/>
    <col min="55" max="55" width="13.140625" style="14" bestFit="1" customWidth="1"/>
    <col min="56" max="58" width="12" style="14" bestFit="1" customWidth="1"/>
    <col min="59" max="59" width="10.85546875" style="14" bestFit="1" customWidth="1"/>
    <col min="60" max="61" width="12" style="14" bestFit="1" customWidth="1"/>
    <col min="62" max="62" width="13.140625" style="14" bestFit="1" customWidth="1"/>
    <col min="63" max="64" width="12" style="14" bestFit="1" customWidth="1"/>
    <col min="65" max="65" width="16.7109375" style="14" bestFit="1" customWidth="1"/>
    <col min="66" max="66" width="10.85546875" style="14" bestFit="1" customWidth="1"/>
    <col min="67" max="67" width="7.5703125" style="14" bestFit="1" customWidth="1"/>
    <col min="68" max="68" width="12" style="14" bestFit="1" customWidth="1"/>
    <col min="69" max="69" width="13.140625" style="14" bestFit="1" customWidth="1"/>
    <col min="70" max="70" width="12" style="14" bestFit="1" customWidth="1"/>
    <col min="71" max="71" width="7.5703125" style="14" bestFit="1" customWidth="1"/>
    <col min="72" max="73" width="12" style="14" bestFit="1" customWidth="1"/>
    <col min="74" max="74" width="9.7109375" style="14" bestFit="1" customWidth="1"/>
    <col min="75" max="75" width="12" style="14" bestFit="1" customWidth="1"/>
    <col min="76" max="76" width="13.140625" style="14" bestFit="1" customWidth="1"/>
    <col min="77" max="78" width="12" style="14" bestFit="1" customWidth="1"/>
    <col min="79" max="79" width="7.5703125" style="14" bestFit="1" customWidth="1"/>
    <col min="80" max="80" width="10.85546875" style="14" bestFit="1" customWidth="1"/>
    <col min="81" max="81" width="7.5703125" style="14" bestFit="1" customWidth="1"/>
    <col min="82" max="82" width="12" style="14" bestFit="1" customWidth="1"/>
    <col min="83" max="83" width="7.5703125" style="14" bestFit="1" customWidth="1"/>
    <col min="84" max="84" width="12" style="14" bestFit="1" customWidth="1"/>
    <col min="85" max="85" width="10.7109375" style="14" bestFit="1" customWidth="1"/>
    <col min="86" max="87" width="7.5703125" style="14" bestFit="1" customWidth="1"/>
    <col min="88" max="88" width="12" style="14" bestFit="1" customWidth="1"/>
    <col min="89" max="89" width="9.7109375" style="14" bestFit="1" customWidth="1"/>
    <col min="90" max="90" width="12" style="14" bestFit="1" customWidth="1"/>
    <col min="91" max="91" width="9.7109375" style="14" bestFit="1" customWidth="1"/>
    <col min="92" max="93" width="7.5703125" style="14" bestFit="1" customWidth="1"/>
    <col min="94" max="94" width="12" style="14" bestFit="1" customWidth="1"/>
    <col min="95" max="95" width="9.7109375" style="14" bestFit="1" customWidth="1"/>
    <col min="96" max="96" width="12" style="14" bestFit="1" customWidth="1"/>
    <col min="97" max="97" width="9.7109375" style="14" bestFit="1" customWidth="1"/>
    <col min="98" max="99" width="7.5703125" style="14" bestFit="1" customWidth="1"/>
    <col min="100" max="100" width="12" style="14" bestFit="1" customWidth="1"/>
    <col min="101" max="101" width="9.7109375" style="14" bestFit="1" customWidth="1"/>
    <col min="102" max="102" width="12" style="14" bestFit="1" customWidth="1"/>
    <col min="103" max="103" width="9.7109375" style="14" bestFit="1" customWidth="1"/>
    <col min="104" max="105" width="10.85546875" style="14" bestFit="1" customWidth="1"/>
    <col min="106" max="106" width="12" style="14" bestFit="1" customWidth="1"/>
    <col min="107" max="107" width="10.85546875" style="14" bestFit="1" customWidth="1"/>
    <col min="108" max="109" width="7.5703125" style="14" bestFit="1" customWidth="1"/>
    <col min="110" max="110" width="12" style="14" bestFit="1" customWidth="1"/>
    <col min="111" max="111" width="7.5703125" style="14" bestFit="1" customWidth="1"/>
    <col min="112" max="112" width="12" style="14" bestFit="1" customWidth="1"/>
    <col min="113" max="113" width="7.5703125" style="14" bestFit="1" customWidth="1"/>
    <col min="114" max="114" width="13.7109375" style="14" bestFit="1" customWidth="1"/>
    <col min="115" max="115" width="13.85546875" style="14" bestFit="1" customWidth="1"/>
    <col min="116" max="116" width="13.7109375" style="14" bestFit="1" customWidth="1"/>
    <col min="117" max="117" width="12" style="14" bestFit="1" customWidth="1"/>
    <col min="118" max="118" width="13.7109375" style="14" bestFit="1" customWidth="1"/>
    <col min="119" max="119" width="13.85546875" style="14" bestFit="1" customWidth="1"/>
    <col min="120" max="16384" width="10.42578125" style="14"/>
  </cols>
  <sheetData>
    <row r="1" spans="1:120" ht="15.75">
      <c r="B1" s="16" t="s">
        <v>1159</v>
      </c>
      <c r="F1" s="73">
        <v>7975074</v>
      </c>
      <c r="G1" s="73">
        <v>14972276</v>
      </c>
      <c r="M1" s="279"/>
      <c r="N1" s="279"/>
      <c r="BC1" s="279">
        <f>BC2-BC7</f>
        <v>0</v>
      </c>
    </row>
    <row r="2" spans="1:120" ht="15.75" thickBot="1">
      <c r="F2" s="279">
        <f>F1-F7</f>
        <v>4614610.25</v>
      </c>
      <c r="G2" s="279">
        <f>G1-G7</f>
        <v>4904435.4200000018</v>
      </c>
      <c r="AQ2" s="279">
        <f>AP7-AQ7</f>
        <v>8032.320000000007</v>
      </c>
      <c r="AW2" s="279">
        <f>AW7-AV7</f>
        <v>80248.109999999986</v>
      </c>
      <c r="BC2" s="280">
        <v>582600</v>
      </c>
      <c r="BJ2" s="280">
        <v>357784.21</v>
      </c>
      <c r="BQ2" s="280"/>
      <c r="BX2" s="280">
        <v>139000</v>
      </c>
    </row>
    <row r="3" spans="1:120" ht="19.5" customHeight="1" thickBot="1">
      <c r="A3" s="513" t="s">
        <v>1</v>
      </c>
      <c r="B3" s="475" t="s">
        <v>2</v>
      </c>
      <c r="C3" s="475" t="s">
        <v>3</v>
      </c>
      <c r="D3" s="475" t="s">
        <v>4</v>
      </c>
      <c r="E3" s="516" t="s">
        <v>1176</v>
      </c>
      <c r="F3" s="516" t="s">
        <v>1170</v>
      </c>
      <c r="G3" s="510" t="s">
        <v>1178</v>
      </c>
      <c r="H3" s="475" t="s">
        <v>5</v>
      </c>
      <c r="I3" s="488" t="s">
        <v>6</v>
      </c>
      <c r="J3" s="489"/>
      <c r="K3" s="492" t="s">
        <v>9</v>
      </c>
      <c r="L3" s="493"/>
      <c r="M3" s="469" t="s">
        <v>1197</v>
      </c>
      <c r="N3" s="270"/>
      <c r="O3" s="485" t="s">
        <v>1196</v>
      </c>
      <c r="P3" s="478" t="s">
        <v>7</v>
      </c>
      <c r="Q3" s="479"/>
      <c r="R3" s="478" t="s">
        <v>8</v>
      </c>
      <c r="S3" s="479"/>
      <c r="T3" s="482" t="s">
        <v>9</v>
      </c>
      <c r="U3" s="483"/>
      <c r="V3" s="483"/>
      <c r="W3" s="483"/>
      <c r="X3" s="483"/>
      <c r="Y3" s="483"/>
      <c r="Z3" s="483"/>
      <c r="AA3" s="483"/>
      <c r="AB3" s="483"/>
      <c r="AC3" s="483"/>
      <c r="AD3" s="483"/>
      <c r="AE3" s="483"/>
      <c r="AF3" s="483"/>
      <c r="AG3" s="483"/>
      <c r="AH3" s="483"/>
      <c r="AI3" s="483"/>
      <c r="AJ3" s="483"/>
      <c r="AK3" s="484"/>
      <c r="AL3" s="499">
        <v>2025</v>
      </c>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3"/>
      <c r="DK3" s="483"/>
      <c r="DL3" s="483"/>
      <c r="DM3" s="483"/>
      <c r="DN3" s="483"/>
      <c r="DO3" s="484"/>
    </row>
    <row r="4" spans="1:120" ht="80.25" customHeight="1" thickBot="1">
      <c r="A4" s="514"/>
      <c r="B4" s="476"/>
      <c r="C4" s="476"/>
      <c r="D4" s="476"/>
      <c r="E4" s="517"/>
      <c r="F4" s="517"/>
      <c r="G4" s="511"/>
      <c r="H4" s="476"/>
      <c r="I4" s="490"/>
      <c r="J4" s="491"/>
      <c r="K4" s="494"/>
      <c r="L4" s="495"/>
      <c r="M4" s="496"/>
      <c r="N4" s="271" t="s">
        <v>1234</v>
      </c>
      <c r="O4" s="486"/>
      <c r="P4" s="480"/>
      <c r="Q4" s="481"/>
      <c r="R4" s="480"/>
      <c r="S4" s="481"/>
      <c r="T4" s="500" t="s">
        <v>10</v>
      </c>
      <c r="U4" s="501"/>
      <c r="V4" s="501"/>
      <c r="W4" s="501"/>
      <c r="X4" s="501"/>
      <c r="Y4" s="502"/>
      <c r="Z4" s="500" t="s">
        <v>11</v>
      </c>
      <c r="AA4" s="501"/>
      <c r="AB4" s="501"/>
      <c r="AC4" s="501"/>
      <c r="AD4" s="501"/>
      <c r="AE4" s="502"/>
      <c r="AF4" s="503" t="s">
        <v>9</v>
      </c>
      <c r="AG4" s="504"/>
      <c r="AH4" s="504"/>
      <c r="AI4" s="504"/>
      <c r="AJ4" s="504"/>
      <c r="AK4" s="505"/>
      <c r="AL4" s="500" t="s">
        <v>12</v>
      </c>
      <c r="AM4" s="501"/>
      <c r="AN4" s="501"/>
      <c r="AO4" s="501"/>
      <c r="AP4" s="501"/>
      <c r="AQ4" s="502"/>
      <c r="AR4" s="500" t="s">
        <v>13</v>
      </c>
      <c r="AS4" s="501"/>
      <c r="AT4" s="501"/>
      <c r="AU4" s="501"/>
      <c r="AV4" s="501"/>
      <c r="AW4" s="502"/>
      <c r="AX4" s="500" t="s">
        <v>14</v>
      </c>
      <c r="AY4" s="501"/>
      <c r="AZ4" s="501"/>
      <c r="BA4" s="501"/>
      <c r="BB4" s="501"/>
      <c r="BC4" s="509"/>
      <c r="BD4" s="502"/>
      <c r="BE4" s="500" t="s">
        <v>15</v>
      </c>
      <c r="BF4" s="501"/>
      <c r="BG4" s="501"/>
      <c r="BH4" s="501"/>
      <c r="BI4" s="501"/>
      <c r="BJ4" s="509"/>
      <c r="BK4" s="502"/>
      <c r="BL4" s="500" t="s">
        <v>16</v>
      </c>
      <c r="BM4" s="501"/>
      <c r="BN4" s="501"/>
      <c r="BO4" s="501"/>
      <c r="BP4" s="501"/>
      <c r="BQ4" s="509"/>
      <c r="BR4" s="502"/>
      <c r="BS4" s="500" t="s">
        <v>17</v>
      </c>
      <c r="BT4" s="501"/>
      <c r="BU4" s="501"/>
      <c r="BV4" s="501"/>
      <c r="BW4" s="501"/>
      <c r="BX4" s="509"/>
      <c r="BY4" s="502"/>
      <c r="BZ4" s="500" t="s">
        <v>18</v>
      </c>
      <c r="CA4" s="501"/>
      <c r="CB4" s="501"/>
      <c r="CC4" s="501"/>
      <c r="CD4" s="501"/>
      <c r="CE4" s="502"/>
      <c r="CF4" s="500" t="s">
        <v>19</v>
      </c>
      <c r="CG4" s="501"/>
      <c r="CH4" s="501"/>
      <c r="CI4" s="501"/>
      <c r="CJ4" s="501"/>
      <c r="CK4" s="502"/>
      <c r="CL4" s="500" t="s">
        <v>20</v>
      </c>
      <c r="CM4" s="501"/>
      <c r="CN4" s="501"/>
      <c r="CO4" s="501"/>
      <c r="CP4" s="501"/>
      <c r="CQ4" s="509"/>
      <c r="CR4" s="500" t="s">
        <v>21</v>
      </c>
      <c r="CS4" s="501"/>
      <c r="CT4" s="501"/>
      <c r="CU4" s="501"/>
      <c r="CV4" s="501"/>
      <c r="CW4" s="509"/>
      <c r="CX4" s="466" t="s">
        <v>22</v>
      </c>
      <c r="CY4" s="467"/>
      <c r="CZ4" s="467"/>
      <c r="DA4" s="467"/>
      <c r="DB4" s="467"/>
      <c r="DC4" s="468"/>
      <c r="DD4" s="500" t="s">
        <v>23</v>
      </c>
      <c r="DE4" s="501"/>
      <c r="DF4" s="501"/>
      <c r="DG4" s="501"/>
      <c r="DH4" s="501"/>
      <c r="DI4" s="502"/>
      <c r="DJ4" s="506" t="s">
        <v>24</v>
      </c>
      <c r="DK4" s="507"/>
      <c r="DL4" s="507"/>
      <c r="DM4" s="507"/>
      <c r="DN4" s="507"/>
      <c r="DO4" s="508"/>
    </row>
    <row r="5" spans="1:120">
      <c r="A5" s="514"/>
      <c r="B5" s="476"/>
      <c r="C5" s="476"/>
      <c r="D5" s="476"/>
      <c r="E5" s="517"/>
      <c r="F5" s="517"/>
      <c r="G5" s="511"/>
      <c r="H5" s="476"/>
      <c r="I5" s="469" t="s">
        <v>1169</v>
      </c>
      <c r="J5" s="469" t="s">
        <v>1171</v>
      </c>
      <c r="K5" s="498" t="s">
        <v>1172</v>
      </c>
      <c r="L5" s="469" t="s">
        <v>1177</v>
      </c>
      <c r="M5" s="496"/>
      <c r="N5" s="271"/>
      <c r="O5" s="486"/>
      <c r="P5" s="471" t="s">
        <v>1169</v>
      </c>
      <c r="Q5" s="473" t="s">
        <v>1168</v>
      </c>
      <c r="R5" s="471" t="s">
        <v>1169</v>
      </c>
      <c r="S5" s="473" t="s">
        <v>1168</v>
      </c>
      <c r="T5" s="464" t="s">
        <v>1167</v>
      </c>
      <c r="U5" s="460"/>
      <c r="V5" s="460" t="s">
        <v>1166</v>
      </c>
      <c r="W5" s="461"/>
      <c r="X5" s="462" t="s">
        <v>25</v>
      </c>
      <c r="Y5" s="463"/>
      <c r="Z5" s="464" t="s">
        <v>1167</v>
      </c>
      <c r="AA5" s="460"/>
      <c r="AB5" s="460" t="s">
        <v>1166</v>
      </c>
      <c r="AC5" s="461"/>
      <c r="AD5" s="462" t="s">
        <v>25</v>
      </c>
      <c r="AE5" s="463"/>
      <c r="AF5" s="464" t="s">
        <v>1167</v>
      </c>
      <c r="AG5" s="460"/>
      <c r="AH5" s="460" t="s">
        <v>1166</v>
      </c>
      <c r="AI5" s="461"/>
      <c r="AJ5" s="462" t="s">
        <v>25</v>
      </c>
      <c r="AK5" s="463"/>
      <c r="AL5" s="464" t="s">
        <v>1167</v>
      </c>
      <c r="AM5" s="460"/>
      <c r="AN5" s="460" t="s">
        <v>1166</v>
      </c>
      <c r="AO5" s="461"/>
      <c r="AP5" s="462" t="s">
        <v>25</v>
      </c>
      <c r="AQ5" s="463"/>
      <c r="AR5" s="464" t="s">
        <v>1167</v>
      </c>
      <c r="AS5" s="460"/>
      <c r="AT5" s="460" t="s">
        <v>1166</v>
      </c>
      <c r="AU5" s="461"/>
      <c r="AV5" s="462" t="s">
        <v>25</v>
      </c>
      <c r="AW5" s="463"/>
      <c r="AX5" s="464" t="s">
        <v>1167</v>
      </c>
      <c r="AY5" s="460"/>
      <c r="AZ5" s="460" t="s">
        <v>1166</v>
      </c>
      <c r="BA5" s="461"/>
      <c r="BB5" s="462" t="s">
        <v>25</v>
      </c>
      <c r="BC5" s="465"/>
      <c r="BD5" s="463"/>
      <c r="BE5" s="464" t="s">
        <v>1167</v>
      </c>
      <c r="BF5" s="460"/>
      <c r="BG5" s="460" t="s">
        <v>1166</v>
      </c>
      <c r="BH5" s="461"/>
      <c r="BI5" s="462" t="s">
        <v>25</v>
      </c>
      <c r="BJ5" s="465"/>
      <c r="BK5" s="463"/>
      <c r="BL5" s="464" t="s">
        <v>1167</v>
      </c>
      <c r="BM5" s="460"/>
      <c r="BN5" s="460" t="s">
        <v>1166</v>
      </c>
      <c r="BO5" s="461"/>
      <c r="BP5" s="462" t="s">
        <v>25</v>
      </c>
      <c r="BQ5" s="465"/>
      <c r="BR5" s="463"/>
      <c r="BS5" s="464" t="s">
        <v>1167</v>
      </c>
      <c r="BT5" s="460"/>
      <c r="BU5" s="460" t="s">
        <v>1166</v>
      </c>
      <c r="BV5" s="461"/>
      <c r="BW5" s="462" t="s">
        <v>25</v>
      </c>
      <c r="BX5" s="465"/>
      <c r="BY5" s="463"/>
      <c r="BZ5" s="464" t="s">
        <v>1167</v>
      </c>
      <c r="CA5" s="460"/>
      <c r="CB5" s="460" t="s">
        <v>1166</v>
      </c>
      <c r="CC5" s="461"/>
      <c r="CD5" s="462" t="s">
        <v>25</v>
      </c>
      <c r="CE5" s="463"/>
      <c r="CF5" s="464" t="s">
        <v>1167</v>
      </c>
      <c r="CG5" s="460"/>
      <c r="CH5" s="460" t="s">
        <v>1166</v>
      </c>
      <c r="CI5" s="461"/>
      <c r="CJ5" s="462" t="s">
        <v>25</v>
      </c>
      <c r="CK5" s="463"/>
      <c r="CL5" s="464" t="s">
        <v>1167</v>
      </c>
      <c r="CM5" s="460"/>
      <c r="CN5" s="460" t="s">
        <v>1166</v>
      </c>
      <c r="CO5" s="461"/>
      <c r="CP5" s="462" t="s">
        <v>25</v>
      </c>
      <c r="CQ5" s="463"/>
      <c r="CR5" s="464" t="s">
        <v>1167</v>
      </c>
      <c r="CS5" s="460"/>
      <c r="CT5" s="460" t="s">
        <v>1166</v>
      </c>
      <c r="CU5" s="461"/>
      <c r="CV5" s="462" t="s">
        <v>25</v>
      </c>
      <c r="CW5" s="463"/>
      <c r="CX5" s="464" t="s">
        <v>1167</v>
      </c>
      <c r="CY5" s="460"/>
      <c r="CZ5" s="460" t="s">
        <v>1166</v>
      </c>
      <c r="DA5" s="461"/>
      <c r="DB5" s="462" t="s">
        <v>25</v>
      </c>
      <c r="DC5" s="463"/>
      <c r="DD5" s="464" t="s">
        <v>1167</v>
      </c>
      <c r="DE5" s="460"/>
      <c r="DF5" s="460" t="s">
        <v>1166</v>
      </c>
      <c r="DG5" s="461"/>
      <c r="DH5" s="462" t="s">
        <v>25</v>
      </c>
      <c r="DI5" s="463"/>
      <c r="DJ5" s="464" t="s">
        <v>1167</v>
      </c>
      <c r="DK5" s="460"/>
      <c r="DL5" s="460" t="s">
        <v>1166</v>
      </c>
      <c r="DM5" s="461"/>
      <c r="DN5" s="462" t="s">
        <v>25</v>
      </c>
      <c r="DO5" s="463"/>
    </row>
    <row r="6" spans="1:120" ht="15.75" thickBot="1">
      <c r="A6" s="515"/>
      <c r="B6" s="477"/>
      <c r="C6" s="477"/>
      <c r="D6" s="477"/>
      <c r="E6" s="518"/>
      <c r="F6" s="518"/>
      <c r="G6" s="512"/>
      <c r="H6" s="477"/>
      <c r="I6" s="470"/>
      <c r="J6" s="497"/>
      <c r="K6" s="497"/>
      <c r="L6" s="497"/>
      <c r="M6" s="470"/>
      <c r="N6" s="272"/>
      <c r="O6" s="487"/>
      <c r="P6" s="472"/>
      <c r="Q6" s="474"/>
      <c r="R6" s="472"/>
      <c r="S6" s="474"/>
      <c r="T6" s="2" t="s">
        <v>26</v>
      </c>
      <c r="U6" s="3" t="s">
        <v>27</v>
      </c>
      <c r="V6" s="3" t="s">
        <v>26</v>
      </c>
      <c r="W6" s="4" t="s">
        <v>27</v>
      </c>
      <c r="X6" s="5" t="s">
        <v>26</v>
      </c>
      <c r="Y6" s="6" t="s">
        <v>27</v>
      </c>
      <c r="Z6" s="2" t="s">
        <v>26</v>
      </c>
      <c r="AA6" s="3" t="s">
        <v>27</v>
      </c>
      <c r="AB6" s="3" t="s">
        <v>26</v>
      </c>
      <c r="AC6" s="4" t="s">
        <v>27</v>
      </c>
      <c r="AD6" s="5" t="s">
        <v>26</v>
      </c>
      <c r="AE6" s="6" t="s">
        <v>27</v>
      </c>
      <c r="AF6" s="2" t="s">
        <v>26</v>
      </c>
      <c r="AG6" s="3" t="s">
        <v>27</v>
      </c>
      <c r="AH6" s="3" t="s">
        <v>26</v>
      </c>
      <c r="AI6" s="4" t="s">
        <v>27</v>
      </c>
      <c r="AJ6" s="5" t="s">
        <v>26</v>
      </c>
      <c r="AK6" s="6" t="s">
        <v>27</v>
      </c>
      <c r="AL6" s="2" t="s">
        <v>26</v>
      </c>
      <c r="AM6" s="3" t="s">
        <v>27</v>
      </c>
      <c r="AN6" s="3" t="s">
        <v>26</v>
      </c>
      <c r="AO6" s="4" t="s">
        <v>27</v>
      </c>
      <c r="AP6" s="5" t="s">
        <v>26</v>
      </c>
      <c r="AQ6" s="6" t="s">
        <v>27</v>
      </c>
      <c r="AR6" s="2" t="s">
        <v>26</v>
      </c>
      <c r="AS6" s="3" t="s">
        <v>27</v>
      </c>
      <c r="AT6" s="3" t="s">
        <v>26</v>
      </c>
      <c r="AU6" s="4" t="s">
        <v>27</v>
      </c>
      <c r="AV6" s="5" t="s">
        <v>26</v>
      </c>
      <c r="AW6" s="6" t="s">
        <v>27</v>
      </c>
      <c r="AX6" s="2" t="s">
        <v>26</v>
      </c>
      <c r="AY6" s="3" t="s">
        <v>27</v>
      </c>
      <c r="AZ6" s="3" t="s">
        <v>26</v>
      </c>
      <c r="BA6" s="4" t="s">
        <v>27</v>
      </c>
      <c r="BB6" s="5" t="s">
        <v>26</v>
      </c>
      <c r="BC6" s="367" t="s">
        <v>1254</v>
      </c>
      <c r="BD6" s="6" t="s">
        <v>27</v>
      </c>
      <c r="BE6" s="2" t="s">
        <v>26</v>
      </c>
      <c r="BF6" s="3" t="s">
        <v>27</v>
      </c>
      <c r="BG6" s="3" t="s">
        <v>26</v>
      </c>
      <c r="BH6" s="4" t="s">
        <v>27</v>
      </c>
      <c r="BI6" s="5" t="s">
        <v>26</v>
      </c>
      <c r="BJ6" s="367" t="s">
        <v>1254</v>
      </c>
      <c r="BK6" s="6" t="s">
        <v>27</v>
      </c>
      <c r="BL6" s="2" t="s">
        <v>26</v>
      </c>
      <c r="BM6" s="3" t="s">
        <v>27</v>
      </c>
      <c r="BN6" s="3" t="s">
        <v>26</v>
      </c>
      <c r="BO6" s="4" t="s">
        <v>27</v>
      </c>
      <c r="BP6" s="5" t="s">
        <v>26</v>
      </c>
      <c r="BQ6" s="367" t="s">
        <v>1254</v>
      </c>
      <c r="BR6" s="6" t="s">
        <v>27</v>
      </c>
      <c r="BS6" s="2" t="s">
        <v>26</v>
      </c>
      <c r="BT6" s="3" t="s">
        <v>27</v>
      </c>
      <c r="BU6" s="3" t="s">
        <v>26</v>
      </c>
      <c r="BV6" s="4" t="s">
        <v>27</v>
      </c>
      <c r="BW6" s="5" t="s">
        <v>26</v>
      </c>
      <c r="BX6" s="367" t="s">
        <v>1254</v>
      </c>
      <c r="BY6" s="6" t="s">
        <v>27</v>
      </c>
      <c r="BZ6" s="2" t="s">
        <v>26</v>
      </c>
      <c r="CA6" s="3" t="s">
        <v>27</v>
      </c>
      <c r="CB6" s="3" t="s">
        <v>26</v>
      </c>
      <c r="CC6" s="4" t="s">
        <v>27</v>
      </c>
      <c r="CD6" s="5" t="s">
        <v>26</v>
      </c>
      <c r="CE6" s="6" t="s">
        <v>27</v>
      </c>
      <c r="CF6" s="2" t="s">
        <v>26</v>
      </c>
      <c r="CG6" s="3" t="s">
        <v>27</v>
      </c>
      <c r="CH6" s="3" t="s">
        <v>26</v>
      </c>
      <c r="CI6" s="4" t="s">
        <v>27</v>
      </c>
      <c r="CJ6" s="5" t="s">
        <v>26</v>
      </c>
      <c r="CK6" s="6" t="s">
        <v>27</v>
      </c>
      <c r="CL6" s="2" t="s">
        <v>26</v>
      </c>
      <c r="CM6" s="3" t="s">
        <v>27</v>
      </c>
      <c r="CN6" s="3" t="s">
        <v>26</v>
      </c>
      <c r="CO6" s="4" t="s">
        <v>27</v>
      </c>
      <c r="CP6" s="5" t="s">
        <v>26</v>
      </c>
      <c r="CQ6" s="6" t="s">
        <v>27</v>
      </c>
      <c r="CR6" s="2" t="s">
        <v>26</v>
      </c>
      <c r="CS6" s="3" t="s">
        <v>27</v>
      </c>
      <c r="CT6" s="3" t="s">
        <v>26</v>
      </c>
      <c r="CU6" s="4" t="s">
        <v>27</v>
      </c>
      <c r="CV6" s="5" t="s">
        <v>26</v>
      </c>
      <c r="CW6" s="6" t="s">
        <v>27</v>
      </c>
      <c r="CX6" s="2" t="s">
        <v>26</v>
      </c>
      <c r="CY6" s="3" t="s">
        <v>27</v>
      </c>
      <c r="CZ6" s="3" t="s">
        <v>26</v>
      </c>
      <c r="DA6" s="4" t="s">
        <v>27</v>
      </c>
      <c r="DB6" s="5" t="s">
        <v>26</v>
      </c>
      <c r="DC6" s="6" t="s">
        <v>27</v>
      </c>
      <c r="DD6" s="2" t="s">
        <v>26</v>
      </c>
      <c r="DE6" s="3" t="s">
        <v>27</v>
      </c>
      <c r="DF6" s="3" t="s">
        <v>26</v>
      </c>
      <c r="DG6" s="4" t="s">
        <v>27</v>
      </c>
      <c r="DH6" s="5" t="s">
        <v>26</v>
      </c>
      <c r="DI6" s="6" t="s">
        <v>27</v>
      </c>
      <c r="DJ6" s="2" t="s">
        <v>26</v>
      </c>
      <c r="DK6" s="3" t="s">
        <v>27</v>
      </c>
      <c r="DL6" s="3" t="s">
        <v>26</v>
      </c>
      <c r="DM6" s="4" t="s">
        <v>27</v>
      </c>
      <c r="DN6" s="5" t="s">
        <v>26</v>
      </c>
      <c r="DO6" s="6" t="s">
        <v>27</v>
      </c>
    </row>
    <row r="7" spans="1:120" ht="15.75">
      <c r="A7" s="48">
        <f>SUBTOTAL(3,A9:A155)</f>
        <v>147</v>
      </c>
      <c r="B7" s="48">
        <f t="shared" ref="B7:E7" si="0">SUBTOTAL(3,B9:B155)</f>
        <v>147</v>
      </c>
      <c r="C7" s="48">
        <f t="shared" si="0"/>
        <v>144</v>
      </c>
      <c r="D7" s="48">
        <f t="shared" si="0"/>
        <v>147</v>
      </c>
      <c r="E7" s="48">
        <f t="shared" si="0"/>
        <v>147</v>
      </c>
      <c r="F7" s="48">
        <f>SUBTOTAL(9,F9:F155)</f>
        <v>3360463.75</v>
      </c>
      <c r="G7" s="48">
        <f t="shared" ref="G7:BV7" si="1">SUBTOTAL(9,G9:G155)</f>
        <v>10067840.579999998</v>
      </c>
      <c r="H7" s="48">
        <f t="shared" si="1"/>
        <v>11648998</v>
      </c>
      <c r="I7" s="48">
        <f t="shared" si="1"/>
        <v>494716.25</v>
      </c>
      <c r="J7" s="48">
        <f t="shared" si="1"/>
        <v>0</v>
      </c>
      <c r="K7" s="48">
        <f t="shared" si="1"/>
        <v>6502485.5800000001</v>
      </c>
      <c r="L7" s="48">
        <f t="shared" si="1"/>
        <v>3108485.58</v>
      </c>
      <c r="M7" s="48">
        <f t="shared" si="1"/>
        <v>6997201.8300000001</v>
      </c>
      <c r="N7" s="48">
        <f t="shared" si="1"/>
        <v>3070638.75</v>
      </c>
      <c r="O7" s="48">
        <f t="shared" si="1"/>
        <v>8329439.4099999992</v>
      </c>
      <c r="P7" s="48">
        <f t="shared" si="1"/>
        <v>5646000</v>
      </c>
      <c r="Q7" s="48">
        <f t="shared" si="1"/>
        <v>591842.44999999995</v>
      </c>
      <c r="R7" s="48">
        <f t="shared" si="1"/>
        <v>6140716.25</v>
      </c>
      <c r="S7" s="48">
        <f t="shared" si="1"/>
        <v>591842.44999999995</v>
      </c>
      <c r="T7" s="48">
        <f t="shared" si="1"/>
        <v>135000</v>
      </c>
      <c r="U7" s="48">
        <f t="shared" si="1"/>
        <v>188000</v>
      </c>
      <c r="V7" s="48">
        <f t="shared" si="1"/>
        <v>25000</v>
      </c>
      <c r="W7" s="48">
        <f t="shared" si="1"/>
        <v>22149.75</v>
      </c>
      <c r="X7" s="48">
        <f t="shared" si="1"/>
        <v>160000</v>
      </c>
      <c r="Y7" s="48">
        <f t="shared" si="1"/>
        <v>210149.75</v>
      </c>
      <c r="Z7" s="48">
        <f t="shared" si="1"/>
        <v>130000</v>
      </c>
      <c r="AA7" s="48">
        <f t="shared" si="1"/>
        <v>0</v>
      </c>
      <c r="AB7" s="48">
        <f t="shared" si="1"/>
        <v>0</v>
      </c>
      <c r="AC7" s="48">
        <f t="shared" si="1"/>
        <v>54493.380000000005</v>
      </c>
      <c r="AD7" s="48">
        <f t="shared" si="1"/>
        <v>130000</v>
      </c>
      <c r="AE7" s="48">
        <f t="shared" si="1"/>
        <v>54493.380000000005</v>
      </c>
      <c r="AF7" s="48">
        <f t="shared" si="1"/>
        <v>5911000</v>
      </c>
      <c r="AG7" s="48">
        <f t="shared" si="1"/>
        <v>5834000</v>
      </c>
      <c r="AH7" s="48">
        <f t="shared" si="1"/>
        <v>616842.44999999984</v>
      </c>
      <c r="AI7" s="48">
        <f t="shared" si="1"/>
        <v>668485.57999999996</v>
      </c>
      <c r="AJ7" s="48">
        <f t="shared" si="1"/>
        <v>6527842.4500000002</v>
      </c>
      <c r="AK7" s="48">
        <f t="shared" si="1"/>
        <v>6502485.5800000001</v>
      </c>
      <c r="AL7" s="48">
        <f t="shared" si="1"/>
        <v>0</v>
      </c>
      <c r="AM7" s="48">
        <f t="shared" si="1"/>
        <v>143000</v>
      </c>
      <c r="AN7" s="48">
        <f t="shared" si="1"/>
        <v>329173.75</v>
      </c>
      <c r="AO7" s="48">
        <f t="shared" si="1"/>
        <v>178141.43</v>
      </c>
      <c r="AP7" s="48">
        <f t="shared" si="1"/>
        <v>329173.75</v>
      </c>
      <c r="AQ7" s="48">
        <f t="shared" si="1"/>
        <v>321141.43</v>
      </c>
      <c r="AR7" s="48">
        <f t="shared" si="1"/>
        <v>260000</v>
      </c>
      <c r="AS7" s="48">
        <f t="shared" si="1"/>
        <v>470000</v>
      </c>
      <c r="AT7" s="48">
        <f t="shared" si="1"/>
        <v>141300</v>
      </c>
      <c r="AU7" s="48">
        <f t="shared" si="1"/>
        <v>11548.11</v>
      </c>
      <c r="AV7" s="48">
        <f t="shared" si="1"/>
        <v>401300</v>
      </c>
      <c r="AW7" s="48">
        <f t="shared" si="1"/>
        <v>481548.11</v>
      </c>
      <c r="AX7" s="48">
        <f t="shared" si="1"/>
        <v>550000</v>
      </c>
      <c r="AY7" s="48">
        <f t="shared" si="1"/>
        <v>582600</v>
      </c>
      <c r="AZ7" s="48">
        <f t="shared" si="1"/>
        <v>32600</v>
      </c>
      <c r="BA7" s="48">
        <f t="shared" si="1"/>
        <v>0</v>
      </c>
      <c r="BB7" s="48">
        <f t="shared" si="1"/>
        <v>582600</v>
      </c>
      <c r="BC7" s="48">
        <f t="shared" si="1"/>
        <v>582600</v>
      </c>
      <c r="BD7" s="48">
        <f t="shared" si="1"/>
        <v>582600</v>
      </c>
      <c r="BE7" s="48">
        <f t="shared" si="1"/>
        <v>390000</v>
      </c>
      <c r="BF7" s="48">
        <f t="shared" si="1"/>
        <v>133000</v>
      </c>
      <c r="BG7" s="48">
        <f t="shared" si="1"/>
        <v>40000</v>
      </c>
      <c r="BH7" s="48">
        <f t="shared" si="1"/>
        <v>216048.62</v>
      </c>
      <c r="BI7" s="48">
        <f t="shared" si="1"/>
        <v>430000</v>
      </c>
      <c r="BJ7" s="48">
        <f t="shared" si="1"/>
        <v>357418</v>
      </c>
      <c r="BK7" s="48">
        <f t="shared" si="1"/>
        <v>349048.62</v>
      </c>
      <c r="BL7" s="48">
        <f t="shared" si="1"/>
        <v>300000</v>
      </c>
      <c r="BM7" s="48">
        <f t="shared" si="1"/>
        <v>310000</v>
      </c>
      <c r="BN7" s="48">
        <f t="shared" si="1"/>
        <v>10000</v>
      </c>
      <c r="BO7" s="48">
        <f t="shared" si="1"/>
        <v>0</v>
      </c>
      <c r="BP7" s="48">
        <f t="shared" si="1"/>
        <v>310000</v>
      </c>
      <c r="BQ7" s="48">
        <f t="shared" si="1"/>
        <v>310372</v>
      </c>
      <c r="BR7" s="48">
        <f t="shared" si="1"/>
        <v>310000</v>
      </c>
      <c r="BS7" s="48">
        <f t="shared" si="1"/>
        <v>0</v>
      </c>
      <c r="BT7" s="48">
        <f t="shared" si="1"/>
        <v>100000</v>
      </c>
      <c r="BU7" s="48">
        <f t="shared" si="1"/>
        <v>139000</v>
      </c>
      <c r="BV7" s="48">
        <f t="shared" si="1"/>
        <v>5000</v>
      </c>
      <c r="BW7" s="48">
        <f t="shared" ref="BW7:DO7" si="2">SUBTOTAL(9,BW9:BW155)</f>
        <v>139000</v>
      </c>
      <c r="BX7" s="48">
        <f t="shared" si="2"/>
        <v>139600</v>
      </c>
      <c r="BY7" s="48">
        <f t="shared" si="2"/>
        <v>105000</v>
      </c>
      <c r="BZ7" s="48">
        <f t="shared" si="2"/>
        <v>0</v>
      </c>
      <c r="CA7" s="48">
        <f t="shared" si="2"/>
        <v>0</v>
      </c>
      <c r="CB7" s="48">
        <f t="shared" si="2"/>
        <v>0</v>
      </c>
      <c r="CC7" s="48">
        <f t="shared" si="2"/>
        <v>0</v>
      </c>
      <c r="CD7" s="48">
        <f t="shared" si="2"/>
        <v>0</v>
      </c>
      <c r="CE7" s="48">
        <f t="shared" si="2"/>
        <v>0</v>
      </c>
      <c r="CF7" s="48">
        <f t="shared" si="2"/>
        <v>0</v>
      </c>
      <c r="CG7" s="48">
        <f t="shared" si="2"/>
        <v>2000</v>
      </c>
      <c r="CH7" s="48">
        <f t="shared" si="2"/>
        <v>0</v>
      </c>
      <c r="CI7" s="48">
        <f t="shared" si="2"/>
        <v>0</v>
      </c>
      <c r="CJ7" s="48">
        <f t="shared" si="2"/>
        <v>0</v>
      </c>
      <c r="CK7" s="48">
        <f t="shared" si="2"/>
        <v>2000</v>
      </c>
      <c r="CL7" s="48">
        <f t="shared" si="2"/>
        <v>0</v>
      </c>
      <c r="CM7" s="48">
        <f t="shared" si="2"/>
        <v>5000</v>
      </c>
      <c r="CN7" s="48">
        <f t="shared" si="2"/>
        <v>0</v>
      </c>
      <c r="CO7" s="48">
        <f t="shared" si="2"/>
        <v>0</v>
      </c>
      <c r="CP7" s="48">
        <f t="shared" si="2"/>
        <v>0</v>
      </c>
      <c r="CQ7" s="48">
        <f t="shared" si="2"/>
        <v>5000</v>
      </c>
      <c r="CR7" s="48">
        <f t="shared" si="2"/>
        <v>0</v>
      </c>
      <c r="CS7" s="48">
        <f t="shared" si="2"/>
        <v>5000</v>
      </c>
      <c r="CT7" s="48">
        <f t="shared" si="2"/>
        <v>0</v>
      </c>
      <c r="CU7" s="48">
        <f t="shared" si="2"/>
        <v>0</v>
      </c>
      <c r="CV7" s="48">
        <f t="shared" si="2"/>
        <v>0</v>
      </c>
      <c r="CW7" s="48">
        <f t="shared" si="2"/>
        <v>5000</v>
      </c>
      <c r="CX7" s="48">
        <f t="shared" si="2"/>
        <v>0</v>
      </c>
      <c r="CY7" s="48">
        <f t="shared" si="2"/>
        <v>5000</v>
      </c>
      <c r="CZ7" s="48">
        <f t="shared" si="2"/>
        <v>0</v>
      </c>
      <c r="DA7" s="48">
        <f t="shared" si="2"/>
        <v>173499.42</v>
      </c>
      <c r="DB7" s="48">
        <f t="shared" si="2"/>
        <v>0</v>
      </c>
      <c r="DC7" s="48">
        <f t="shared" si="2"/>
        <v>178499.42</v>
      </c>
      <c r="DD7" s="48">
        <f t="shared" si="2"/>
        <v>0</v>
      </c>
      <c r="DE7" s="48">
        <f t="shared" si="2"/>
        <v>0</v>
      </c>
      <c r="DF7" s="48">
        <f t="shared" si="2"/>
        <v>0</v>
      </c>
      <c r="DG7" s="48">
        <f t="shared" si="2"/>
        <v>0</v>
      </c>
      <c r="DH7" s="48">
        <f t="shared" si="2"/>
        <v>0</v>
      </c>
      <c r="DI7" s="48">
        <f t="shared" si="2"/>
        <v>0</v>
      </c>
      <c r="DJ7" s="48">
        <f t="shared" si="2"/>
        <v>1500000</v>
      </c>
      <c r="DK7" s="48">
        <f t="shared" si="2"/>
        <v>1755600</v>
      </c>
      <c r="DL7" s="48">
        <f t="shared" si="2"/>
        <v>1860463.75</v>
      </c>
      <c r="DM7" s="48">
        <f t="shared" si="2"/>
        <v>584237.58000000007</v>
      </c>
      <c r="DN7" s="48">
        <f t="shared" si="2"/>
        <v>3360463.75</v>
      </c>
      <c r="DO7" s="48">
        <f t="shared" si="2"/>
        <v>2339837.58</v>
      </c>
    </row>
    <row r="8" spans="1:120" ht="18" customHeight="1" thickBot="1">
      <c r="A8" s="92"/>
      <c r="B8" s="26"/>
      <c r="C8" s="26"/>
      <c r="H8" s="204"/>
      <c r="I8" s="75"/>
      <c r="J8" s="75"/>
      <c r="K8" s="193"/>
      <c r="L8" s="193"/>
      <c r="M8" s="193"/>
      <c r="N8" s="193"/>
      <c r="O8" s="193"/>
      <c r="P8" s="193"/>
      <c r="Q8" s="193"/>
      <c r="R8" s="193"/>
      <c r="S8" s="193"/>
      <c r="T8" s="193"/>
      <c r="U8" s="193"/>
      <c r="V8" s="193"/>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3"/>
      <c r="BD8" s="193"/>
      <c r="BE8" s="193"/>
      <c r="BF8" s="193"/>
      <c r="BG8" s="193"/>
      <c r="BH8" s="193"/>
      <c r="BI8" s="193"/>
      <c r="BJ8" s="193"/>
      <c r="BK8" s="193"/>
      <c r="BL8" s="193"/>
      <c r="BM8" s="193"/>
      <c r="BN8" s="193"/>
      <c r="BO8" s="193"/>
      <c r="BP8" s="193"/>
      <c r="BQ8" s="193"/>
      <c r="BR8" s="193"/>
      <c r="BS8" s="193"/>
      <c r="BT8" s="193"/>
      <c r="BU8" s="193"/>
      <c r="BV8" s="193"/>
      <c r="BW8" s="193"/>
      <c r="BX8" s="193"/>
      <c r="BY8" s="193"/>
      <c r="BZ8" s="193"/>
      <c r="CA8" s="193"/>
      <c r="CB8" s="193"/>
      <c r="CC8" s="193"/>
      <c r="CD8" s="193"/>
      <c r="CE8" s="193"/>
      <c r="CF8" s="193"/>
      <c r="CG8" s="193"/>
      <c r="CH8" s="193"/>
      <c r="CI8" s="193"/>
      <c r="CJ8" s="193"/>
      <c r="CK8" s="193"/>
      <c r="CL8" s="193"/>
      <c r="CM8" s="193"/>
      <c r="CN8" s="193"/>
      <c r="CO8" s="193"/>
      <c r="CP8" s="193"/>
      <c r="CQ8" s="193"/>
      <c r="CR8" s="193"/>
      <c r="CS8" s="193"/>
      <c r="CT8" s="193"/>
      <c r="CU8" s="193"/>
      <c r="CV8" s="193"/>
      <c r="CW8" s="193"/>
      <c r="CX8" s="193"/>
      <c r="CY8" s="193"/>
      <c r="CZ8" s="193"/>
      <c r="DA8" s="193"/>
      <c r="DB8" s="193"/>
      <c r="DC8" s="193"/>
      <c r="DD8" s="193"/>
      <c r="DE8" s="193"/>
      <c r="DF8" s="193"/>
      <c r="DG8" s="193"/>
      <c r="DH8" s="193"/>
      <c r="DI8" s="193"/>
      <c r="DJ8" s="193"/>
      <c r="DK8" s="193"/>
      <c r="DL8" s="193"/>
      <c r="DM8" s="193"/>
      <c r="DN8" s="193"/>
      <c r="DO8" s="193"/>
    </row>
    <row r="9" spans="1:120" ht="15.75" thickTop="1">
      <c r="A9" s="224">
        <v>1</v>
      </c>
      <c r="B9" s="26" t="s">
        <v>36</v>
      </c>
      <c r="C9" s="69"/>
      <c r="D9" s="225" t="s">
        <v>161</v>
      </c>
      <c r="E9" s="194" t="s">
        <v>1165</v>
      </c>
      <c r="F9" s="161">
        <f>SUM(DN9)</f>
        <v>950000</v>
      </c>
      <c r="G9" s="165">
        <f>I9+AK9+DN9</f>
        <v>950000</v>
      </c>
      <c r="H9" s="51">
        <v>850000</v>
      </c>
      <c r="I9" s="219">
        <v>0</v>
      </c>
      <c r="J9" s="219">
        <v>0</v>
      </c>
      <c r="K9" s="127">
        <f t="shared" ref="K9" si="3">AK9</f>
        <v>0</v>
      </c>
      <c r="L9" s="127">
        <f t="shared" ref="L9" si="4">IF(AI9&gt;0,I9+AK9-J9,0)</f>
        <v>0</v>
      </c>
      <c r="M9" s="127">
        <f t="shared" ref="M9" si="5">I9+K9</f>
        <v>0</v>
      </c>
      <c r="N9" s="127">
        <f>G9-M9</f>
        <v>950000</v>
      </c>
      <c r="O9" s="125" t="str">
        <f>IF(AND(AI9&gt;0,DM9&gt;0),"შეცდომაა! ერთზე მეტი ბოლო ჩაბარება!",IF(OR(AI9&gt;0,DM9&gt;0,),IF(AI9&gt;0,I9+AK9,I9+AK9+DO9),IF(AND(I9=0,K9=0,DO9=0),"ნულოვანი შესრულება","მიმდინარეობს")))</f>
        <v>ნულოვანი შესრულება</v>
      </c>
      <c r="P9" s="52"/>
      <c r="Q9" s="52"/>
      <c r="R9" s="52">
        <f>I9+P9</f>
        <v>0</v>
      </c>
      <c r="S9" s="52">
        <f>Q9</f>
        <v>0</v>
      </c>
      <c r="T9" s="52"/>
      <c r="U9" s="52"/>
      <c r="V9" s="52"/>
      <c r="W9" s="52"/>
      <c r="X9" s="52">
        <f>T9+V9</f>
        <v>0</v>
      </c>
      <c r="Y9" s="52">
        <f>U9+W9</f>
        <v>0</v>
      </c>
      <c r="Z9" s="52"/>
      <c r="AA9" s="52"/>
      <c r="AB9" s="52"/>
      <c r="AC9" s="52"/>
      <c r="AD9" s="52">
        <f>Z9+AB9</f>
        <v>0</v>
      </c>
      <c r="AE9" s="52">
        <f>AA9+AC9</f>
        <v>0</v>
      </c>
      <c r="AF9" s="52">
        <f>P9+T9+Z9</f>
        <v>0</v>
      </c>
      <c r="AG9" s="52">
        <f>P9+U9+AA9</f>
        <v>0</v>
      </c>
      <c r="AH9" s="52">
        <f>Q9+V9+AB9</f>
        <v>0</v>
      </c>
      <c r="AI9" s="52">
        <f>Q9+W9+AC9</f>
        <v>0</v>
      </c>
      <c r="AJ9" s="52">
        <f>AF9+AH9</f>
        <v>0</v>
      </c>
      <c r="AK9" s="52">
        <f>AG9+AI9</f>
        <v>0</v>
      </c>
      <c r="AL9" s="52"/>
      <c r="AM9" s="52"/>
      <c r="AN9" s="52"/>
      <c r="AO9" s="52"/>
      <c r="AP9" s="52">
        <f>AL9+AN9</f>
        <v>0</v>
      </c>
      <c r="AQ9" s="52">
        <f>AM9+AO9</f>
        <v>0</v>
      </c>
      <c r="AR9" s="52">
        <v>200000</v>
      </c>
      <c r="AS9" s="52"/>
      <c r="AT9" s="52"/>
      <c r="AU9" s="52"/>
      <c r="AV9" s="52">
        <f>AR9+AT9</f>
        <v>200000</v>
      </c>
      <c r="AW9" s="52">
        <f>AS9+AU9</f>
        <v>0</v>
      </c>
      <c r="AX9" s="52">
        <v>250000</v>
      </c>
      <c r="AY9" s="52"/>
      <c r="AZ9" s="52"/>
      <c r="BA9" s="52"/>
      <c r="BB9" s="52">
        <f>AX9+AZ9</f>
        <v>250000</v>
      </c>
      <c r="BC9" s="52"/>
      <c r="BD9" s="52">
        <f t="shared" ref="BD9:BD40" si="6">AY9+BA9</f>
        <v>0</v>
      </c>
      <c r="BE9" s="52">
        <v>250000</v>
      </c>
      <c r="BF9" s="52"/>
      <c r="BG9" s="52"/>
      <c r="BH9" s="52"/>
      <c r="BI9" s="52">
        <f>BE9+BG9</f>
        <v>250000</v>
      </c>
      <c r="BJ9" s="52"/>
      <c r="BK9" s="52">
        <f t="shared" ref="BK9:BK40" si="7">BF9+BH9</f>
        <v>0</v>
      </c>
      <c r="BL9" s="52">
        <v>250000</v>
      </c>
      <c r="BM9" s="52"/>
      <c r="BN9" s="52"/>
      <c r="BO9" s="52"/>
      <c r="BP9" s="52">
        <f>BL9+BN9</f>
        <v>250000</v>
      </c>
      <c r="BQ9" s="52"/>
      <c r="BR9" s="52">
        <f t="shared" ref="BR9:BR40" si="8">BM9+BO9</f>
        <v>0</v>
      </c>
      <c r="BS9" s="52"/>
      <c r="BT9" s="52"/>
      <c r="BU9" s="52">
        <v>100000</v>
      </c>
      <c r="BV9" s="52"/>
      <c r="BW9" s="52">
        <f>BS9+BU9</f>
        <v>100000</v>
      </c>
      <c r="BX9" s="52"/>
      <c r="BY9" s="52">
        <f t="shared" ref="BY9:BY40" si="9">BT9+BV9</f>
        <v>0</v>
      </c>
      <c r="BZ9" s="52"/>
      <c r="CA9" s="52"/>
      <c r="CB9" s="52"/>
      <c r="CC9" s="52"/>
      <c r="CD9" s="52">
        <f>BZ9+CB9</f>
        <v>0</v>
      </c>
      <c r="CE9" s="52">
        <f>CA9+CC9</f>
        <v>0</v>
      </c>
      <c r="CF9" s="52"/>
      <c r="CG9" s="52"/>
      <c r="CH9" s="52"/>
      <c r="CI9" s="52"/>
      <c r="CJ9" s="52">
        <f>CF9+CH9</f>
        <v>0</v>
      </c>
      <c r="CK9" s="52">
        <f>CG9+CI9</f>
        <v>0</v>
      </c>
      <c r="CL9" s="52"/>
      <c r="CM9" s="52"/>
      <c r="CN9" s="52"/>
      <c r="CO9" s="52"/>
      <c r="CP9" s="52">
        <f>CL9+CN9</f>
        <v>0</v>
      </c>
      <c r="CQ9" s="52">
        <f>CM9+CO9</f>
        <v>0</v>
      </c>
      <c r="CR9" s="52"/>
      <c r="CS9" s="52"/>
      <c r="CT9" s="52"/>
      <c r="CU9" s="52"/>
      <c r="CV9" s="52">
        <f>CR9+CT9</f>
        <v>0</v>
      </c>
      <c r="CW9" s="52">
        <f>CS9+CU9</f>
        <v>0</v>
      </c>
      <c r="CX9" s="52"/>
      <c r="CY9" s="52"/>
      <c r="CZ9" s="52"/>
      <c r="DA9" s="52"/>
      <c r="DB9" s="52">
        <f>CX9+CZ9</f>
        <v>0</v>
      </c>
      <c r="DC9" s="52">
        <f>CY9+DA9</f>
        <v>0</v>
      </c>
      <c r="DD9" s="52"/>
      <c r="DE9" s="52"/>
      <c r="DF9" s="52"/>
      <c r="DG9" s="52"/>
      <c r="DH9" s="52">
        <f>DD9+DF9</f>
        <v>0</v>
      </c>
      <c r="DI9" s="52">
        <f>DE9+DG9</f>
        <v>0</v>
      </c>
      <c r="DJ9" s="52">
        <f t="shared" ref="DJ9:DJ40" si="10">AL9+AR9+AX9+BE9+BL9+BS9+BZ9+CF9+CL9+CR9+CX9+DD9</f>
        <v>950000</v>
      </c>
      <c r="DK9" s="52">
        <f t="shared" ref="DK9:DK40" si="11">AM9+AS9+AY9+BF9+BM9+BT9+CA9+CG9+CM9+CS9+CY9+DE9</f>
        <v>0</v>
      </c>
      <c r="DL9" s="52">
        <f>AN9+AT9+BC9+BJ9+BQ9+BX9+CB9+CH9+CN9+CT9+CZ9+DF9</f>
        <v>0</v>
      </c>
      <c r="DM9" s="52">
        <f t="shared" ref="DM9:DM40" si="12">AO9+AU9+BA9+BH9+BO9+BV9+CC9+CI9+CO9+CU9+DA9+DG9</f>
        <v>0</v>
      </c>
      <c r="DN9" s="52">
        <f>DJ9+DL9</f>
        <v>950000</v>
      </c>
      <c r="DO9" s="52">
        <f>DK9+DM9</f>
        <v>0</v>
      </c>
    </row>
    <row r="10" spans="1:120">
      <c r="A10" s="224">
        <v>2</v>
      </c>
      <c r="B10" s="26" t="s">
        <v>29</v>
      </c>
      <c r="C10" s="53" t="s">
        <v>162</v>
      </c>
      <c r="D10" s="226" t="s">
        <v>163</v>
      </c>
      <c r="E10" s="192" t="s">
        <v>1165</v>
      </c>
      <c r="F10" s="161">
        <f t="shared" ref="F10:F73" si="13">SUM(DN10)</f>
        <v>0</v>
      </c>
      <c r="G10" s="165">
        <f t="shared" ref="G10:G73" si="14">I10+AK10+DN10</f>
        <v>364847.96</v>
      </c>
      <c r="H10" s="54">
        <v>150120</v>
      </c>
      <c r="I10" s="219">
        <v>0</v>
      </c>
      <c r="J10" s="219">
        <v>0</v>
      </c>
      <c r="K10" s="127">
        <f t="shared" ref="K10:K73" si="15">AK10</f>
        <v>364847.96</v>
      </c>
      <c r="L10" s="127">
        <f t="shared" ref="L10:L73" si="16">IF(AI10&gt;0,I10+AK10-J10,0)</f>
        <v>364847.96</v>
      </c>
      <c r="M10" s="127">
        <f t="shared" ref="M10:M73" si="17">I10+K10</f>
        <v>364847.96</v>
      </c>
      <c r="N10" s="127">
        <f t="shared" ref="N10:N73" si="18">G10-M10</f>
        <v>0</v>
      </c>
      <c r="O10" s="125">
        <f t="shared" ref="O10:O73" si="19">IF(AND(AI10&gt;0,DM10&gt;0),"შეცდომაა! ერთზე მეტი ბოლო ჩაბარება!",IF(OR(AI10&gt;0,DM10&gt;0,),IF(AI10&gt;0,I10+AK10,I10+AK10+DO10),IF(AND(I10=0,K10=0,DO10=0),"ნულოვანი შესრულება","მიმდინარეობს")))</f>
        <v>364847.96</v>
      </c>
      <c r="P10" s="52">
        <v>320000</v>
      </c>
      <c r="Q10" s="52">
        <v>44847.96</v>
      </c>
      <c r="R10" s="52">
        <f t="shared" ref="R10:R73" si="20">I10+P10</f>
        <v>320000</v>
      </c>
      <c r="S10" s="52">
        <f t="shared" ref="S10:S73" si="21">Q10</f>
        <v>44847.96</v>
      </c>
      <c r="T10" s="52"/>
      <c r="U10" s="52"/>
      <c r="V10" s="52"/>
      <c r="W10" s="52"/>
      <c r="X10" s="52">
        <f t="shared" ref="X10:Y73" si="22">T10+V10</f>
        <v>0</v>
      </c>
      <c r="Y10" s="52">
        <f t="shared" si="22"/>
        <v>0</v>
      </c>
      <c r="Z10" s="52"/>
      <c r="AA10" s="52"/>
      <c r="AB10" s="52"/>
      <c r="AC10" s="52"/>
      <c r="AD10" s="52">
        <f t="shared" ref="AD10:AE73" si="23">Z10+AB10</f>
        <v>0</v>
      </c>
      <c r="AE10" s="52">
        <f t="shared" si="23"/>
        <v>0</v>
      </c>
      <c r="AF10" s="52">
        <f t="shared" ref="AF10:AF73" si="24">P10+T10+Z10</f>
        <v>320000</v>
      </c>
      <c r="AG10" s="52">
        <f t="shared" ref="AG10:AH73" si="25">P10+U10+AA10</f>
        <v>320000</v>
      </c>
      <c r="AH10" s="52">
        <f t="shared" si="25"/>
        <v>44847.96</v>
      </c>
      <c r="AI10" s="52">
        <f t="shared" ref="AI10:AI73" si="26">Q10+W10+AC10</f>
        <v>44847.96</v>
      </c>
      <c r="AJ10" s="52">
        <f t="shared" ref="AJ10:AK73" si="27">AF10+AH10</f>
        <v>364847.96</v>
      </c>
      <c r="AK10" s="52">
        <f t="shared" si="27"/>
        <v>364847.96</v>
      </c>
      <c r="AL10" s="52"/>
      <c r="AM10" s="52"/>
      <c r="AN10" s="52"/>
      <c r="AO10" s="52"/>
      <c r="AP10" s="52">
        <f t="shared" ref="AP10:AQ73" si="28">AL10+AN10</f>
        <v>0</v>
      </c>
      <c r="AQ10" s="52">
        <f t="shared" si="28"/>
        <v>0</v>
      </c>
      <c r="AR10" s="52"/>
      <c r="AS10" s="52"/>
      <c r="AT10" s="52"/>
      <c r="AU10" s="52"/>
      <c r="AV10" s="52">
        <f t="shared" ref="AV10:AW73" si="29">AR10+AT10</f>
        <v>0</v>
      </c>
      <c r="AW10" s="52">
        <f t="shared" si="29"/>
        <v>0</v>
      </c>
      <c r="AX10" s="52"/>
      <c r="AY10" s="52"/>
      <c r="AZ10" s="52"/>
      <c r="BA10" s="52"/>
      <c r="BB10" s="52">
        <f t="shared" ref="BB10:BB73" si="30">AX10+AZ10</f>
        <v>0</v>
      </c>
      <c r="BC10" s="52"/>
      <c r="BD10" s="52">
        <f t="shared" si="6"/>
        <v>0</v>
      </c>
      <c r="BE10" s="52"/>
      <c r="BF10" s="52"/>
      <c r="BG10" s="52"/>
      <c r="BH10" s="52"/>
      <c r="BI10" s="52">
        <f t="shared" ref="BI10:BI73" si="31">BE10+BG10</f>
        <v>0</v>
      </c>
      <c r="BJ10" s="52"/>
      <c r="BK10" s="52">
        <f t="shared" si="7"/>
        <v>0</v>
      </c>
      <c r="BL10" s="52"/>
      <c r="BM10" s="52"/>
      <c r="BN10" s="52"/>
      <c r="BO10" s="52"/>
      <c r="BP10" s="52">
        <f t="shared" ref="BP10:BP73" si="32">BL10+BN10</f>
        <v>0</v>
      </c>
      <c r="BQ10" s="52"/>
      <c r="BR10" s="52">
        <f t="shared" si="8"/>
        <v>0</v>
      </c>
      <c r="BS10" s="52"/>
      <c r="BT10" s="52"/>
      <c r="BU10" s="52"/>
      <c r="BV10" s="52"/>
      <c r="BW10" s="52">
        <f t="shared" ref="BW10:BW73" si="33">BS10+BU10</f>
        <v>0</v>
      </c>
      <c r="BX10" s="52"/>
      <c r="BY10" s="52">
        <f t="shared" si="9"/>
        <v>0</v>
      </c>
      <c r="BZ10" s="52"/>
      <c r="CA10" s="52"/>
      <c r="CB10" s="52"/>
      <c r="CC10" s="52"/>
      <c r="CD10" s="52">
        <f t="shared" ref="CD10:CE73" si="34">BZ10+CB10</f>
        <v>0</v>
      </c>
      <c r="CE10" s="52">
        <f t="shared" si="34"/>
        <v>0</v>
      </c>
      <c r="CF10" s="52"/>
      <c r="CG10" s="52"/>
      <c r="CH10" s="52"/>
      <c r="CI10" s="52"/>
      <c r="CJ10" s="52">
        <f t="shared" ref="CJ10:CK73" si="35">CF10+CH10</f>
        <v>0</v>
      </c>
      <c r="CK10" s="52">
        <f t="shared" si="35"/>
        <v>0</v>
      </c>
      <c r="CL10" s="52"/>
      <c r="CM10" s="52"/>
      <c r="CN10" s="52"/>
      <c r="CO10" s="52"/>
      <c r="CP10" s="52">
        <f t="shared" ref="CP10:CQ73" si="36">CL10+CN10</f>
        <v>0</v>
      </c>
      <c r="CQ10" s="52">
        <f t="shared" si="36"/>
        <v>0</v>
      </c>
      <c r="CR10" s="52"/>
      <c r="CS10" s="52"/>
      <c r="CT10" s="52"/>
      <c r="CU10" s="52"/>
      <c r="CV10" s="52">
        <f t="shared" ref="CV10:CW73" si="37">CR10+CT10</f>
        <v>0</v>
      </c>
      <c r="CW10" s="52">
        <f t="shared" si="37"/>
        <v>0</v>
      </c>
      <c r="CX10" s="52"/>
      <c r="CY10" s="52"/>
      <c r="CZ10" s="52"/>
      <c r="DA10" s="52"/>
      <c r="DB10" s="52">
        <f t="shared" ref="DB10:DC73" si="38">CX10+CZ10</f>
        <v>0</v>
      </c>
      <c r="DC10" s="52">
        <f t="shared" si="38"/>
        <v>0</v>
      </c>
      <c r="DD10" s="52"/>
      <c r="DE10" s="52"/>
      <c r="DF10" s="52"/>
      <c r="DG10" s="52"/>
      <c r="DH10" s="52">
        <f t="shared" ref="DH10:DI73" si="39">DD10+DF10</f>
        <v>0</v>
      </c>
      <c r="DI10" s="52">
        <f t="shared" si="39"/>
        <v>0</v>
      </c>
      <c r="DJ10" s="52">
        <f t="shared" si="10"/>
        <v>0</v>
      </c>
      <c r="DK10" s="52">
        <f t="shared" si="11"/>
        <v>0</v>
      </c>
      <c r="DL10" s="52">
        <f t="shared" ref="DL10:DL73" si="40">AN10+AT10+BC10+BJ10+BQ10+BX10+CB10+CH10+CN10+CT10+CZ10+DF10</f>
        <v>0</v>
      </c>
      <c r="DM10" s="52">
        <f t="shared" si="12"/>
        <v>0</v>
      </c>
      <c r="DN10" s="52">
        <f t="shared" ref="DN10:DO73" si="41">DJ10+DL10</f>
        <v>0</v>
      </c>
      <c r="DO10" s="52">
        <f t="shared" si="41"/>
        <v>0</v>
      </c>
    </row>
    <row r="11" spans="1:120">
      <c r="A11" s="224">
        <v>3</v>
      </c>
      <c r="B11" s="26" t="s">
        <v>29</v>
      </c>
      <c r="C11" s="53" t="s">
        <v>32</v>
      </c>
      <c r="D11" s="189" t="s">
        <v>164</v>
      </c>
      <c r="E11" s="195" t="s">
        <v>1164</v>
      </c>
      <c r="F11" s="161">
        <f t="shared" si="13"/>
        <v>0</v>
      </c>
      <c r="G11" s="165">
        <f t="shared" si="14"/>
        <v>3766</v>
      </c>
      <c r="H11" s="54"/>
      <c r="I11" s="219">
        <v>0</v>
      </c>
      <c r="J11" s="219">
        <v>0</v>
      </c>
      <c r="K11" s="127">
        <f t="shared" si="15"/>
        <v>3766</v>
      </c>
      <c r="L11" s="127">
        <f t="shared" si="16"/>
        <v>3766</v>
      </c>
      <c r="M11" s="127">
        <f t="shared" si="17"/>
        <v>3766</v>
      </c>
      <c r="N11" s="127">
        <f t="shared" si="18"/>
        <v>0</v>
      </c>
      <c r="O11" s="125">
        <f t="shared" si="19"/>
        <v>3766</v>
      </c>
      <c r="P11" s="52"/>
      <c r="Q11" s="52">
        <v>3766</v>
      </c>
      <c r="R11" s="52">
        <f t="shared" si="20"/>
        <v>0</v>
      </c>
      <c r="S11" s="52">
        <f t="shared" si="21"/>
        <v>3766</v>
      </c>
      <c r="T11" s="52"/>
      <c r="U11" s="52"/>
      <c r="V11" s="52"/>
      <c r="W11" s="52"/>
      <c r="X11" s="52">
        <f t="shared" si="22"/>
        <v>0</v>
      </c>
      <c r="Y11" s="52">
        <f t="shared" si="22"/>
        <v>0</v>
      </c>
      <c r="Z11" s="52"/>
      <c r="AA11" s="52"/>
      <c r="AB11" s="52"/>
      <c r="AC11" s="52"/>
      <c r="AD11" s="52">
        <f t="shared" si="23"/>
        <v>0</v>
      </c>
      <c r="AE11" s="52">
        <f t="shared" si="23"/>
        <v>0</v>
      </c>
      <c r="AF11" s="52">
        <f t="shared" si="24"/>
        <v>0</v>
      </c>
      <c r="AG11" s="52">
        <f t="shared" si="25"/>
        <v>0</v>
      </c>
      <c r="AH11" s="52">
        <f t="shared" si="25"/>
        <v>3766</v>
      </c>
      <c r="AI11" s="52">
        <f t="shared" si="26"/>
        <v>3766</v>
      </c>
      <c r="AJ11" s="52">
        <f t="shared" si="27"/>
        <v>3766</v>
      </c>
      <c r="AK11" s="52">
        <f t="shared" si="27"/>
        <v>3766</v>
      </c>
      <c r="AL11" s="52"/>
      <c r="AM11" s="52"/>
      <c r="AN11" s="52"/>
      <c r="AO11" s="52"/>
      <c r="AP11" s="52">
        <f t="shared" si="28"/>
        <v>0</v>
      </c>
      <c r="AQ11" s="52">
        <f t="shared" si="28"/>
        <v>0</v>
      </c>
      <c r="AR11" s="52"/>
      <c r="AS11" s="52"/>
      <c r="AT11" s="52"/>
      <c r="AU11" s="52"/>
      <c r="AV11" s="52">
        <f t="shared" si="29"/>
        <v>0</v>
      </c>
      <c r="AW11" s="52">
        <f t="shared" si="29"/>
        <v>0</v>
      </c>
      <c r="AX11" s="52"/>
      <c r="AY11" s="52"/>
      <c r="AZ11" s="52"/>
      <c r="BA11" s="52"/>
      <c r="BB11" s="52">
        <f t="shared" si="30"/>
        <v>0</v>
      </c>
      <c r="BC11" s="52"/>
      <c r="BD11" s="52">
        <f t="shared" si="6"/>
        <v>0</v>
      </c>
      <c r="BE11" s="52"/>
      <c r="BF11" s="52"/>
      <c r="BG11" s="52"/>
      <c r="BH11" s="52"/>
      <c r="BI11" s="52">
        <f t="shared" si="31"/>
        <v>0</v>
      </c>
      <c r="BJ11" s="52"/>
      <c r="BK11" s="52">
        <f t="shared" si="7"/>
        <v>0</v>
      </c>
      <c r="BL11" s="52"/>
      <c r="BM11" s="52"/>
      <c r="BN11" s="52"/>
      <c r="BO11" s="52"/>
      <c r="BP11" s="52">
        <f t="shared" si="32"/>
        <v>0</v>
      </c>
      <c r="BQ11" s="52"/>
      <c r="BR11" s="52">
        <f t="shared" si="8"/>
        <v>0</v>
      </c>
      <c r="BS11" s="52"/>
      <c r="BT11" s="52"/>
      <c r="BU11" s="52"/>
      <c r="BV11" s="52"/>
      <c r="BW11" s="52">
        <f t="shared" si="33"/>
        <v>0</v>
      </c>
      <c r="BX11" s="52"/>
      <c r="BY11" s="52">
        <f t="shared" si="9"/>
        <v>0</v>
      </c>
      <c r="BZ11" s="52"/>
      <c r="CA11" s="52"/>
      <c r="CB11" s="52"/>
      <c r="CC11" s="52"/>
      <c r="CD11" s="52">
        <f t="shared" si="34"/>
        <v>0</v>
      </c>
      <c r="CE11" s="52">
        <f t="shared" si="34"/>
        <v>0</v>
      </c>
      <c r="CF11" s="52"/>
      <c r="CG11" s="52"/>
      <c r="CH11" s="52"/>
      <c r="CI11" s="52"/>
      <c r="CJ11" s="52">
        <f t="shared" si="35"/>
        <v>0</v>
      </c>
      <c r="CK11" s="52">
        <f t="shared" si="35"/>
        <v>0</v>
      </c>
      <c r="CL11" s="52"/>
      <c r="CM11" s="52"/>
      <c r="CN11" s="52"/>
      <c r="CO11" s="52"/>
      <c r="CP11" s="52">
        <f t="shared" si="36"/>
        <v>0</v>
      </c>
      <c r="CQ11" s="52">
        <f t="shared" si="36"/>
        <v>0</v>
      </c>
      <c r="CR11" s="52"/>
      <c r="CS11" s="52"/>
      <c r="CT11" s="52"/>
      <c r="CU11" s="52"/>
      <c r="CV11" s="52">
        <f t="shared" si="37"/>
        <v>0</v>
      </c>
      <c r="CW11" s="52">
        <f t="shared" si="37"/>
        <v>0</v>
      </c>
      <c r="CX11" s="52"/>
      <c r="CY11" s="52"/>
      <c r="CZ11" s="52"/>
      <c r="DA11" s="52"/>
      <c r="DB11" s="52">
        <f t="shared" si="38"/>
        <v>0</v>
      </c>
      <c r="DC11" s="52">
        <f t="shared" si="38"/>
        <v>0</v>
      </c>
      <c r="DD11" s="52"/>
      <c r="DE11" s="52"/>
      <c r="DF11" s="52"/>
      <c r="DG11" s="52"/>
      <c r="DH11" s="52">
        <f t="shared" si="39"/>
        <v>0</v>
      </c>
      <c r="DI11" s="52">
        <f t="shared" si="39"/>
        <v>0</v>
      </c>
      <c r="DJ11" s="52">
        <f t="shared" si="10"/>
        <v>0</v>
      </c>
      <c r="DK11" s="52">
        <f t="shared" si="11"/>
        <v>0</v>
      </c>
      <c r="DL11" s="52">
        <f t="shared" si="40"/>
        <v>0</v>
      </c>
      <c r="DM11" s="52">
        <f t="shared" si="12"/>
        <v>0</v>
      </c>
      <c r="DN11" s="52">
        <f t="shared" si="41"/>
        <v>0</v>
      </c>
      <c r="DO11" s="52">
        <f t="shared" si="41"/>
        <v>0</v>
      </c>
    </row>
    <row r="12" spans="1:120">
      <c r="A12" s="224">
        <v>4</v>
      </c>
      <c r="B12" s="26" t="s">
        <v>29</v>
      </c>
      <c r="C12" s="53" t="s">
        <v>34</v>
      </c>
      <c r="D12" s="189" t="s">
        <v>165</v>
      </c>
      <c r="E12" s="195" t="s">
        <v>1164</v>
      </c>
      <c r="F12" s="161">
        <f t="shared" si="13"/>
        <v>0</v>
      </c>
      <c r="G12" s="165">
        <f t="shared" si="14"/>
        <v>1242.5</v>
      </c>
      <c r="H12" s="54"/>
      <c r="I12" s="219">
        <v>0</v>
      </c>
      <c r="J12" s="219">
        <v>0</v>
      </c>
      <c r="K12" s="127">
        <f t="shared" si="15"/>
        <v>1242.5</v>
      </c>
      <c r="L12" s="127">
        <f t="shared" si="16"/>
        <v>1242.5</v>
      </c>
      <c r="M12" s="127">
        <f t="shared" si="17"/>
        <v>1242.5</v>
      </c>
      <c r="N12" s="127">
        <f t="shared" si="18"/>
        <v>0</v>
      </c>
      <c r="O12" s="125">
        <f t="shared" si="19"/>
        <v>1242.5</v>
      </c>
      <c r="P12" s="52"/>
      <c r="Q12" s="52">
        <v>1242.5</v>
      </c>
      <c r="R12" s="52">
        <f t="shared" si="20"/>
        <v>0</v>
      </c>
      <c r="S12" s="52">
        <f t="shared" si="21"/>
        <v>1242.5</v>
      </c>
      <c r="T12" s="52"/>
      <c r="U12" s="52"/>
      <c r="V12" s="52"/>
      <c r="W12" s="52"/>
      <c r="X12" s="52">
        <f t="shared" si="22"/>
        <v>0</v>
      </c>
      <c r="Y12" s="52">
        <f t="shared" si="22"/>
        <v>0</v>
      </c>
      <c r="Z12" s="52"/>
      <c r="AA12" s="52"/>
      <c r="AB12" s="52"/>
      <c r="AC12" s="52"/>
      <c r="AD12" s="52">
        <f t="shared" si="23"/>
        <v>0</v>
      </c>
      <c r="AE12" s="52">
        <f t="shared" si="23"/>
        <v>0</v>
      </c>
      <c r="AF12" s="52">
        <f t="shared" si="24"/>
        <v>0</v>
      </c>
      <c r="AG12" s="52">
        <f t="shared" si="25"/>
        <v>0</v>
      </c>
      <c r="AH12" s="52">
        <f t="shared" si="25"/>
        <v>1242.5</v>
      </c>
      <c r="AI12" s="52">
        <f t="shared" si="26"/>
        <v>1242.5</v>
      </c>
      <c r="AJ12" s="52">
        <f t="shared" si="27"/>
        <v>1242.5</v>
      </c>
      <c r="AK12" s="52">
        <f t="shared" si="27"/>
        <v>1242.5</v>
      </c>
      <c r="AL12" s="52"/>
      <c r="AM12" s="52"/>
      <c r="AN12" s="52"/>
      <c r="AO12" s="52"/>
      <c r="AP12" s="52">
        <f t="shared" si="28"/>
        <v>0</v>
      </c>
      <c r="AQ12" s="52">
        <f t="shared" si="28"/>
        <v>0</v>
      </c>
      <c r="AR12" s="52"/>
      <c r="AS12" s="52"/>
      <c r="AT12" s="52"/>
      <c r="AU12" s="52"/>
      <c r="AV12" s="52">
        <f t="shared" si="29"/>
        <v>0</v>
      </c>
      <c r="AW12" s="52">
        <f t="shared" si="29"/>
        <v>0</v>
      </c>
      <c r="AX12" s="52"/>
      <c r="AY12" s="52"/>
      <c r="AZ12" s="52"/>
      <c r="BA12" s="52"/>
      <c r="BB12" s="52">
        <f t="shared" si="30"/>
        <v>0</v>
      </c>
      <c r="BC12" s="52"/>
      <c r="BD12" s="52">
        <f t="shared" si="6"/>
        <v>0</v>
      </c>
      <c r="BE12" s="52"/>
      <c r="BF12" s="52"/>
      <c r="BG12" s="52"/>
      <c r="BH12" s="52"/>
      <c r="BI12" s="52">
        <f t="shared" si="31"/>
        <v>0</v>
      </c>
      <c r="BJ12" s="52"/>
      <c r="BK12" s="52">
        <f t="shared" si="7"/>
        <v>0</v>
      </c>
      <c r="BL12" s="52"/>
      <c r="BM12" s="52"/>
      <c r="BN12" s="52"/>
      <c r="BO12" s="52"/>
      <c r="BP12" s="52">
        <f t="shared" si="32"/>
        <v>0</v>
      </c>
      <c r="BQ12" s="52"/>
      <c r="BR12" s="52">
        <f t="shared" si="8"/>
        <v>0</v>
      </c>
      <c r="BS12" s="52"/>
      <c r="BT12" s="52"/>
      <c r="BU12" s="52"/>
      <c r="BV12" s="52"/>
      <c r="BW12" s="52">
        <f t="shared" si="33"/>
        <v>0</v>
      </c>
      <c r="BX12" s="52"/>
      <c r="BY12" s="52">
        <f t="shared" si="9"/>
        <v>0</v>
      </c>
      <c r="BZ12" s="52"/>
      <c r="CA12" s="52"/>
      <c r="CB12" s="52"/>
      <c r="CC12" s="52"/>
      <c r="CD12" s="52">
        <f t="shared" si="34"/>
        <v>0</v>
      </c>
      <c r="CE12" s="52">
        <f t="shared" si="34"/>
        <v>0</v>
      </c>
      <c r="CF12" s="52"/>
      <c r="CG12" s="52"/>
      <c r="CH12" s="52"/>
      <c r="CI12" s="52"/>
      <c r="CJ12" s="52">
        <f t="shared" si="35"/>
        <v>0</v>
      </c>
      <c r="CK12" s="52">
        <f t="shared" si="35"/>
        <v>0</v>
      </c>
      <c r="CL12" s="52"/>
      <c r="CM12" s="52"/>
      <c r="CN12" s="52"/>
      <c r="CO12" s="52"/>
      <c r="CP12" s="52">
        <f t="shared" si="36"/>
        <v>0</v>
      </c>
      <c r="CQ12" s="52">
        <f t="shared" si="36"/>
        <v>0</v>
      </c>
      <c r="CR12" s="52"/>
      <c r="CS12" s="52"/>
      <c r="CT12" s="52"/>
      <c r="CU12" s="52"/>
      <c r="CV12" s="52">
        <f t="shared" si="37"/>
        <v>0</v>
      </c>
      <c r="CW12" s="52">
        <f t="shared" si="37"/>
        <v>0</v>
      </c>
      <c r="CX12" s="52"/>
      <c r="CY12" s="52"/>
      <c r="CZ12" s="52"/>
      <c r="DA12" s="52"/>
      <c r="DB12" s="52">
        <f t="shared" si="38"/>
        <v>0</v>
      </c>
      <c r="DC12" s="52">
        <f t="shared" si="38"/>
        <v>0</v>
      </c>
      <c r="DD12" s="52"/>
      <c r="DE12" s="52"/>
      <c r="DF12" s="52"/>
      <c r="DG12" s="52"/>
      <c r="DH12" s="52">
        <f t="shared" si="39"/>
        <v>0</v>
      </c>
      <c r="DI12" s="52">
        <f t="shared" si="39"/>
        <v>0</v>
      </c>
      <c r="DJ12" s="52">
        <f t="shared" si="10"/>
        <v>0</v>
      </c>
      <c r="DK12" s="52">
        <f t="shared" si="11"/>
        <v>0</v>
      </c>
      <c r="DL12" s="52">
        <f t="shared" si="40"/>
        <v>0</v>
      </c>
      <c r="DM12" s="52">
        <f t="shared" si="12"/>
        <v>0</v>
      </c>
      <c r="DN12" s="52">
        <f t="shared" si="41"/>
        <v>0</v>
      </c>
      <c r="DO12" s="52">
        <f t="shared" si="41"/>
        <v>0</v>
      </c>
    </row>
    <row r="13" spans="1:120">
      <c r="A13" s="224">
        <v>5</v>
      </c>
      <c r="B13" s="26" t="s">
        <v>29</v>
      </c>
      <c r="C13" s="53" t="s">
        <v>166</v>
      </c>
      <c r="D13" s="189" t="s">
        <v>167</v>
      </c>
      <c r="E13" s="195" t="s">
        <v>1165</v>
      </c>
      <c r="F13" s="161">
        <f t="shared" si="13"/>
        <v>0</v>
      </c>
      <c r="G13" s="165">
        <f t="shared" si="14"/>
        <v>55798.55</v>
      </c>
      <c r="H13" s="54"/>
      <c r="I13" s="219">
        <v>0</v>
      </c>
      <c r="J13" s="219">
        <v>0</v>
      </c>
      <c r="K13" s="127">
        <f t="shared" si="15"/>
        <v>55798.55</v>
      </c>
      <c r="L13" s="127">
        <f t="shared" si="16"/>
        <v>55798.55</v>
      </c>
      <c r="M13" s="127">
        <f t="shared" si="17"/>
        <v>55798.55</v>
      </c>
      <c r="N13" s="127">
        <f t="shared" si="18"/>
        <v>0</v>
      </c>
      <c r="O13" s="125">
        <f t="shared" si="19"/>
        <v>55798.55</v>
      </c>
      <c r="P13" s="52">
        <v>30000</v>
      </c>
      <c r="Q13" s="52">
        <v>25798.55</v>
      </c>
      <c r="R13" s="52">
        <f t="shared" si="20"/>
        <v>30000</v>
      </c>
      <c r="S13" s="52">
        <f t="shared" si="21"/>
        <v>25798.55</v>
      </c>
      <c r="T13" s="52"/>
      <c r="U13" s="52"/>
      <c r="V13" s="52"/>
      <c r="W13" s="52"/>
      <c r="X13" s="52">
        <f t="shared" si="22"/>
        <v>0</v>
      </c>
      <c r="Y13" s="52">
        <f t="shared" si="22"/>
        <v>0</v>
      </c>
      <c r="Z13" s="52"/>
      <c r="AA13" s="52"/>
      <c r="AB13" s="52"/>
      <c r="AC13" s="52"/>
      <c r="AD13" s="52">
        <f t="shared" si="23"/>
        <v>0</v>
      </c>
      <c r="AE13" s="52">
        <f t="shared" si="23"/>
        <v>0</v>
      </c>
      <c r="AF13" s="52">
        <f t="shared" si="24"/>
        <v>30000</v>
      </c>
      <c r="AG13" s="52">
        <f t="shared" si="25"/>
        <v>30000</v>
      </c>
      <c r="AH13" s="52">
        <f t="shared" si="25"/>
        <v>25798.55</v>
      </c>
      <c r="AI13" s="52">
        <f t="shared" si="26"/>
        <v>25798.55</v>
      </c>
      <c r="AJ13" s="52">
        <f t="shared" si="27"/>
        <v>55798.55</v>
      </c>
      <c r="AK13" s="52">
        <f t="shared" si="27"/>
        <v>55798.55</v>
      </c>
      <c r="AL13" s="52"/>
      <c r="AM13" s="52"/>
      <c r="AN13" s="52"/>
      <c r="AO13" s="52"/>
      <c r="AP13" s="52">
        <f t="shared" si="28"/>
        <v>0</v>
      </c>
      <c r="AQ13" s="52">
        <f t="shared" si="28"/>
        <v>0</v>
      </c>
      <c r="AR13" s="52"/>
      <c r="AS13" s="52"/>
      <c r="AT13" s="52"/>
      <c r="AU13" s="52"/>
      <c r="AV13" s="52">
        <f t="shared" si="29"/>
        <v>0</v>
      </c>
      <c r="AW13" s="52">
        <f t="shared" si="29"/>
        <v>0</v>
      </c>
      <c r="AX13" s="52"/>
      <c r="AY13" s="52"/>
      <c r="AZ13" s="52"/>
      <c r="BA13" s="52"/>
      <c r="BB13" s="52">
        <f t="shared" si="30"/>
        <v>0</v>
      </c>
      <c r="BC13" s="52"/>
      <c r="BD13" s="52">
        <f t="shared" si="6"/>
        <v>0</v>
      </c>
      <c r="BE13" s="52"/>
      <c r="BF13" s="52"/>
      <c r="BG13" s="52"/>
      <c r="BH13" s="52"/>
      <c r="BI13" s="52">
        <f t="shared" si="31"/>
        <v>0</v>
      </c>
      <c r="BJ13" s="52"/>
      <c r="BK13" s="52">
        <f t="shared" si="7"/>
        <v>0</v>
      </c>
      <c r="BL13" s="52"/>
      <c r="BM13" s="52"/>
      <c r="BN13" s="52"/>
      <c r="BO13" s="52"/>
      <c r="BP13" s="52">
        <f t="shared" si="32"/>
        <v>0</v>
      </c>
      <c r="BQ13" s="52"/>
      <c r="BR13" s="52">
        <f t="shared" si="8"/>
        <v>0</v>
      </c>
      <c r="BS13" s="52"/>
      <c r="BT13" s="52"/>
      <c r="BU13" s="52"/>
      <c r="BV13" s="52"/>
      <c r="BW13" s="52">
        <f t="shared" si="33"/>
        <v>0</v>
      </c>
      <c r="BX13" s="52"/>
      <c r="BY13" s="52">
        <f t="shared" si="9"/>
        <v>0</v>
      </c>
      <c r="BZ13" s="52"/>
      <c r="CA13" s="52"/>
      <c r="CB13" s="52"/>
      <c r="CC13" s="52"/>
      <c r="CD13" s="52">
        <f t="shared" si="34"/>
        <v>0</v>
      </c>
      <c r="CE13" s="52">
        <f t="shared" si="34"/>
        <v>0</v>
      </c>
      <c r="CF13" s="52"/>
      <c r="CG13" s="52"/>
      <c r="CH13" s="52"/>
      <c r="CI13" s="52"/>
      <c r="CJ13" s="52">
        <f t="shared" si="35"/>
        <v>0</v>
      </c>
      <c r="CK13" s="52">
        <f t="shared" si="35"/>
        <v>0</v>
      </c>
      <c r="CL13" s="52"/>
      <c r="CM13" s="52"/>
      <c r="CN13" s="52"/>
      <c r="CO13" s="52"/>
      <c r="CP13" s="52">
        <f t="shared" si="36"/>
        <v>0</v>
      </c>
      <c r="CQ13" s="52">
        <f t="shared" si="36"/>
        <v>0</v>
      </c>
      <c r="CR13" s="52"/>
      <c r="CS13" s="52"/>
      <c r="CT13" s="52"/>
      <c r="CU13" s="52"/>
      <c r="CV13" s="52">
        <f t="shared" si="37"/>
        <v>0</v>
      </c>
      <c r="CW13" s="52">
        <f t="shared" si="37"/>
        <v>0</v>
      </c>
      <c r="CX13" s="52"/>
      <c r="CY13" s="52"/>
      <c r="CZ13" s="52"/>
      <c r="DA13" s="52"/>
      <c r="DB13" s="52">
        <f t="shared" si="38"/>
        <v>0</v>
      </c>
      <c r="DC13" s="52">
        <f t="shared" si="38"/>
        <v>0</v>
      </c>
      <c r="DD13" s="52"/>
      <c r="DE13" s="52"/>
      <c r="DF13" s="52"/>
      <c r="DG13" s="52"/>
      <c r="DH13" s="52">
        <f t="shared" si="39"/>
        <v>0</v>
      </c>
      <c r="DI13" s="52">
        <f t="shared" si="39"/>
        <v>0</v>
      </c>
      <c r="DJ13" s="52">
        <f t="shared" si="10"/>
        <v>0</v>
      </c>
      <c r="DK13" s="52">
        <f t="shared" si="11"/>
        <v>0</v>
      </c>
      <c r="DL13" s="52">
        <f t="shared" si="40"/>
        <v>0</v>
      </c>
      <c r="DM13" s="52">
        <f t="shared" si="12"/>
        <v>0</v>
      </c>
      <c r="DN13" s="52">
        <f t="shared" si="41"/>
        <v>0</v>
      </c>
      <c r="DO13" s="52">
        <f t="shared" si="41"/>
        <v>0</v>
      </c>
    </row>
    <row r="14" spans="1:120" s="278" customFormat="1">
      <c r="A14" s="297">
        <v>6</v>
      </c>
      <c r="B14" s="276" t="s">
        <v>168</v>
      </c>
      <c r="C14" s="298" t="s">
        <v>169</v>
      </c>
      <c r="D14" s="299" t="s">
        <v>170</v>
      </c>
      <c r="E14" s="298" t="s">
        <v>1165</v>
      </c>
      <c r="F14" s="255">
        <f t="shared" si="13"/>
        <v>0</v>
      </c>
      <c r="G14" s="256">
        <f t="shared" si="14"/>
        <v>0</v>
      </c>
      <c r="H14" s="54">
        <v>540000</v>
      </c>
      <c r="I14" s="219">
        <v>0</v>
      </c>
      <c r="J14" s="219">
        <v>0</v>
      </c>
      <c r="K14" s="255">
        <f t="shared" si="15"/>
        <v>0</v>
      </c>
      <c r="L14" s="255">
        <f t="shared" si="16"/>
        <v>0</v>
      </c>
      <c r="M14" s="255">
        <f t="shared" si="17"/>
        <v>0</v>
      </c>
      <c r="N14" s="255">
        <f t="shared" si="18"/>
        <v>0</v>
      </c>
      <c r="O14" s="255" t="str">
        <f t="shared" si="19"/>
        <v>ნულოვანი შესრულება</v>
      </c>
      <c r="P14" s="52"/>
      <c r="Q14" s="52"/>
      <c r="R14" s="52">
        <f t="shared" si="20"/>
        <v>0</v>
      </c>
      <c r="S14" s="52">
        <f t="shared" si="21"/>
        <v>0</v>
      </c>
      <c r="T14" s="52"/>
      <c r="U14" s="52"/>
      <c r="V14" s="52"/>
      <c r="W14" s="52"/>
      <c r="X14" s="52">
        <f t="shared" si="22"/>
        <v>0</v>
      </c>
      <c r="Y14" s="52">
        <f t="shared" si="22"/>
        <v>0</v>
      </c>
      <c r="Z14" s="52"/>
      <c r="AA14" s="52"/>
      <c r="AB14" s="52"/>
      <c r="AC14" s="52"/>
      <c r="AD14" s="52">
        <f t="shared" si="23"/>
        <v>0</v>
      </c>
      <c r="AE14" s="52">
        <f t="shared" si="23"/>
        <v>0</v>
      </c>
      <c r="AF14" s="52">
        <f t="shared" si="24"/>
        <v>0</v>
      </c>
      <c r="AG14" s="52">
        <f t="shared" si="25"/>
        <v>0</v>
      </c>
      <c r="AH14" s="52">
        <f t="shared" si="25"/>
        <v>0</v>
      </c>
      <c r="AI14" s="52">
        <f t="shared" si="26"/>
        <v>0</v>
      </c>
      <c r="AJ14" s="52">
        <f t="shared" si="27"/>
        <v>0</v>
      </c>
      <c r="AK14" s="52">
        <f t="shared" si="27"/>
        <v>0</v>
      </c>
      <c r="AL14" s="258"/>
      <c r="AM14" s="258"/>
      <c r="AN14" s="258"/>
      <c r="AO14" s="258"/>
      <c r="AP14" s="258">
        <f t="shared" si="28"/>
        <v>0</v>
      </c>
      <c r="AQ14" s="258">
        <f t="shared" si="28"/>
        <v>0</v>
      </c>
      <c r="AR14" s="258"/>
      <c r="AS14" s="258"/>
      <c r="AT14" s="258"/>
      <c r="AU14" s="258"/>
      <c r="AV14" s="258">
        <f t="shared" si="29"/>
        <v>0</v>
      </c>
      <c r="AW14" s="258">
        <f t="shared" si="29"/>
        <v>0</v>
      </c>
      <c r="AX14" s="258"/>
      <c r="AY14" s="258"/>
      <c r="AZ14" s="258"/>
      <c r="BA14" s="258"/>
      <c r="BB14" s="258">
        <f t="shared" si="30"/>
        <v>0</v>
      </c>
      <c r="BC14" s="258"/>
      <c r="BD14" s="258">
        <f t="shared" si="6"/>
        <v>0</v>
      </c>
      <c r="BE14" s="258"/>
      <c r="BF14" s="258"/>
      <c r="BG14" s="258"/>
      <c r="BH14" s="258"/>
      <c r="BI14" s="258">
        <f t="shared" si="31"/>
        <v>0</v>
      </c>
      <c r="BJ14" s="258"/>
      <c r="BK14" s="258">
        <f t="shared" si="7"/>
        <v>0</v>
      </c>
      <c r="BL14" s="258"/>
      <c r="BM14" s="258"/>
      <c r="BN14" s="258"/>
      <c r="BO14" s="258"/>
      <c r="BP14" s="258">
        <f t="shared" si="32"/>
        <v>0</v>
      </c>
      <c r="BQ14" s="258"/>
      <c r="BR14" s="258">
        <f t="shared" si="8"/>
        <v>0</v>
      </c>
      <c r="BS14" s="258"/>
      <c r="BT14" s="258"/>
      <c r="BU14" s="258"/>
      <c r="BV14" s="258"/>
      <c r="BW14" s="258">
        <f t="shared" si="33"/>
        <v>0</v>
      </c>
      <c r="BX14" s="258"/>
      <c r="BY14" s="258">
        <f t="shared" si="9"/>
        <v>0</v>
      </c>
      <c r="BZ14" s="258"/>
      <c r="CA14" s="258"/>
      <c r="CB14" s="258"/>
      <c r="CC14" s="258"/>
      <c r="CD14" s="258">
        <f t="shared" si="34"/>
        <v>0</v>
      </c>
      <c r="CE14" s="258">
        <f t="shared" si="34"/>
        <v>0</v>
      </c>
      <c r="CF14" s="258"/>
      <c r="CG14" s="258"/>
      <c r="CH14" s="258"/>
      <c r="CI14" s="258"/>
      <c r="CJ14" s="258">
        <f t="shared" si="35"/>
        <v>0</v>
      </c>
      <c r="CK14" s="258">
        <f t="shared" si="35"/>
        <v>0</v>
      </c>
      <c r="CL14" s="258"/>
      <c r="CM14" s="258"/>
      <c r="CN14" s="258"/>
      <c r="CO14" s="258"/>
      <c r="CP14" s="258">
        <f t="shared" si="36"/>
        <v>0</v>
      </c>
      <c r="CQ14" s="258">
        <f t="shared" si="36"/>
        <v>0</v>
      </c>
      <c r="CR14" s="258"/>
      <c r="CS14" s="258"/>
      <c r="CT14" s="258"/>
      <c r="CU14" s="258"/>
      <c r="CV14" s="258">
        <f t="shared" si="37"/>
        <v>0</v>
      </c>
      <c r="CW14" s="258">
        <f t="shared" si="37"/>
        <v>0</v>
      </c>
      <c r="CX14" s="258"/>
      <c r="CY14" s="258"/>
      <c r="CZ14" s="258"/>
      <c r="DA14" s="258"/>
      <c r="DB14" s="258">
        <f t="shared" si="38"/>
        <v>0</v>
      </c>
      <c r="DC14" s="258">
        <f t="shared" si="38"/>
        <v>0</v>
      </c>
      <c r="DD14" s="258"/>
      <c r="DE14" s="258"/>
      <c r="DF14" s="258"/>
      <c r="DG14" s="258"/>
      <c r="DH14" s="258">
        <f t="shared" si="39"/>
        <v>0</v>
      </c>
      <c r="DI14" s="258">
        <f t="shared" si="39"/>
        <v>0</v>
      </c>
      <c r="DJ14" s="258">
        <f t="shared" si="10"/>
        <v>0</v>
      </c>
      <c r="DK14" s="258">
        <f t="shared" si="11"/>
        <v>0</v>
      </c>
      <c r="DL14" s="52">
        <f t="shared" si="40"/>
        <v>0</v>
      </c>
      <c r="DM14" s="258">
        <f t="shared" si="12"/>
        <v>0</v>
      </c>
      <c r="DN14" s="258">
        <f t="shared" si="41"/>
        <v>0</v>
      </c>
      <c r="DO14" s="258">
        <f t="shared" si="41"/>
        <v>0</v>
      </c>
    </row>
    <row r="15" spans="1:120" s="49" customFormat="1">
      <c r="A15" s="224">
        <v>7</v>
      </c>
      <c r="B15" s="26" t="s">
        <v>36</v>
      </c>
      <c r="C15" s="53" t="s">
        <v>171</v>
      </c>
      <c r="D15" s="227" t="s">
        <v>172</v>
      </c>
      <c r="E15" s="196" t="s">
        <v>1165</v>
      </c>
      <c r="F15" s="161">
        <f t="shared" si="13"/>
        <v>0</v>
      </c>
      <c r="G15" s="165">
        <f t="shared" si="14"/>
        <v>0</v>
      </c>
      <c r="H15" s="56">
        <v>335000</v>
      </c>
      <c r="I15" s="219">
        <v>0</v>
      </c>
      <c r="J15" s="219">
        <v>0</v>
      </c>
      <c r="K15" s="127">
        <f t="shared" si="15"/>
        <v>0</v>
      </c>
      <c r="L15" s="127">
        <f t="shared" si="16"/>
        <v>0</v>
      </c>
      <c r="M15" s="127">
        <f t="shared" si="17"/>
        <v>0</v>
      </c>
      <c r="N15" s="127">
        <f t="shared" si="18"/>
        <v>0</v>
      </c>
      <c r="O15" s="125" t="str">
        <f t="shared" si="19"/>
        <v>ნულოვანი შესრულება</v>
      </c>
      <c r="P15" s="52"/>
      <c r="Q15" s="52"/>
      <c r="R15" s="52">
        <f t="shared" si="20"/>
        <v>0</v>
      </c>
      <c r="S15" s="52">
        <f t="shared" si="21"/>
        <v>0</v>
      </c>
      <c r="T15" s="55"/>
      <c r="U15" s="55"/>
      <c r="V15" s="55"/>
      <c r="W15" s="55"/>
      <c r="X15" s="55">
        <f t="shared" si="22"/>
        <v>0</v>
      </c>
      <c r="Y15" s="55">
        <f t="shared" si="22"/>
        <v>0</v>
      </c>
      <c r="Z15" s="55"/>
      <c r="AA15" s="55"/>
      <c r="AB15" s="55"/>
      <c r="AC15" s="55"/>
      <c r="AD15" s="55">
        <f t="shared" si="23"/>
        <v>0</v>
      </c>
      <c r="AE15" s="55">
        <f t="shared" si="23"/>
        <v>0</v>
      </c>
      <c r="AF15" s="55">
        <f t="shared" si="24"/>
        <v>0</v>
      </c>
      <c r="AG15" s="55">
        <f t="shared" si="25"/>
        <v>0</v>
      </c>
      <c r="AH15" s="55">
        <f t="shared" si="25"/>
        <v>0</v>
      </c>
      <c r="AI15" s="55">
        <f t="shared" si="26"/>
        <v>0</v>
      </c>
      <c r="AJ15" s="55">
        <f t="shared" si="27"/>
        <v>0</v>
      </c>
      <c r="AK15" s="55">
        <f t="shared" si="27"/>
        <v>0</v>
      </c>
      <c r="AL15" s="55"/>
      <c r="AM15" s="55"/>
      <c r="AN15" s="55"/>
      <c r="AO15" s="55"/>
      <c r="AP15" s="55">
        <f t="shared" si="28"/>
        <v>0</v>
      </c>
      <c r="AQ15" s="55">
        <f t="shared" si="28"/>
        <v>0</v>
      </c>
      <c r="AR15" s="55"/>
      <c r="AS15" s="55"/>
      <c r="AT15" s="55"/>
      <c r="AU15" s="55"/>
      <c r="AV15" s="55">
        <f t="shared" si="29"/>
        <v>0</v>
      </c>
      <c r="AW15" s="55">
        <f t="shared" si="29"/>
        <v>0</v>
      </c>
      <c r="AX15" s="55"/>
      <c r="AY15" s="55"/>
      <c r="AZ15" s="55"/>
      <c r="BA15" s="55"/>
      <c r="BB15" s="55">
        <f t="shared" si="30"/>
        <v>0</v>
      </c>
      <c r="BC15" s="55"/>
      <c r="BD15" s="55">
        <f t="shared" si="6"/>
        <v>0</v>
      </c>
      <c r="BE15" s="55"/>
      <c r="BF15" s="55"/>
      <c r="BG15" s="55"/>
      <c r="BH15" s="55"/>
      <c r="BI15" s="55">
        <f t="shared" si="31"/>
        <v>0</v>
      </c>
      <c r="BJ15" s="55"/>
      <c r="BK15" s="55">
        <f t="shared" si="7"/>
        <v>0</v>
      </c>
      <c r="BL15" s="55"/>
      <c r="BM15" s="55"/>
      <c r="BN15" s="55"/>
      <c r="BO15" s="55"/>
      <c r="BP15" s="55">
        <f t="shared" si="32"/>
        <v>0</v>
      </c>
      <c r="BQ15" s="55"/>
      <c r="BR15" s="55">
        <f t="shared" si="8"/>
        <v>0</v>
      </c>
      <c r="BS15" s="55"/>
      <c r="BT15" s="55"/>
      <c r="BU15" s="55"/>
      <c r="BV15" s="55"/>
      <c r="BW15" s="55">
        <f t="shared" si="33"/>
        <v>0</v>
      </c>
      <c r="BX15" s="55"/>
      <c r="BY15" s="55">
        <f t="shared" si="9"/>
        <v>0</v>
      </c>
      <c r="BZ15" s="55"/>
      <c r="CA15" s="55"/>
      <c r="CB15" s="55"/>
      <c r="CC15" s="55"/>
      <c r="CD15" s="55">
        <f t="shared" si="34"/>
        <v>0</v>
      </c>
      <c r="CE15" s="55">
        <f t="shared" si="34"/>
        <v>0</v>
      </c>
      <c r="CF15" s="55"/>
      <c r="CG15" s="55"/>
      <c r="CH15" s="55"/>
      <c r="CI15" s="55"/>
      <c r="CJ15" s="55">
        <f t="shared" si="35"/>
        <v>0</v>
      </c>
      <c r="CK15" s="55">
        <f t="shared" si="35"/>
        <v>0</v>
      </c>
      <c r="CL15" s="55"/>
      <c r="CM15" s="55"/>
      <c r="CN15" s="55"/>
      <c r="CO15" s="55"/>
      <c r="CP15" s="55">
        <f t="shared" si="36"/>
        <v>0</v>
      </c>
      <c r="CQ15" s="55">
        <f t="shared" si="36"/>
        <v>0</v>
      </c>
      <c r="CR15" s="55"/>
      <c r="CS15" s="55"/>
      <c r="CT15" s="55"/>
      <c r="CU15" s="55"/>
      <c r="CV15" s="55">
        <f t="shared" si="37"/>
        <v>0</v>
      </c>
      <c r="CW15" s="55">
        <f t="shared" si="37"/>
        <v>0</v>
      </c>
      <c r="CX15" s="55"/>
      <c r="CY15" s="55"/>
      <c r="CZ15" s="55"/>
      <c r="DA15" s="55"/>
      <c r="DB15" s="55">
        <f t="shared" si="38"/>
        <v>0</v>
      </c>
      <c r="DC15" s="55">
        <f t="shared" si="38"/>
        <v>0</v>
      </c>
      <c r="DD15" s="55"/>
      <c r="DE15" s="55"/>
      <c r="DF15" s="55"/>
      <c r="DG15" s="55"/>
      <c r="DH15" s="55">
        <f t="shared" si="39"/>
        <v>0</v>
      </c>
      <c r="DI15" s="55">
        <f t="shared" si="39"/>
        <v>0</v>
      </c>
      <c r="DJ15" s="55">
        <f t="shared" si="10"/>
        <v>0</v>
      </c>
      <c r="DK15" s="55">
        <f t="shared" si="11"/>
        <v>0</v>
      </c>
      <c r="DL15" s="52">
        <f t="shared" si="40"/>
        <v>0</v>
      </c>
      <c r="DM15" s="55">
        <f t="shared" si="12"/>
        <v>0</v>
      </c>
      <c r="DN15" s="55">
        <f t="shared" si="41"/>
        <v>0</v>
      </c>
      <c r="DO15" s="55">
        <f t="shared" si="41"/>
        <v>0</v>
      </c>
      <c r="DP15" s="49" t="s">
        <v>173</v>
      </c>
    </row>
    <row r="16" spans="1:120" s="278" customFormat="1">
      <c r="A16" s="297">
        <v>8</v>
      </c>
      <c r="B16" s="276" t="s">
        <v>36</v>
      </c>
      <c r="C16" s="298" t="s">
        <v>174</v>
      </c>
      <c r="D16" s="299" t="s">
        <v>175</v>
      </c>
      <c r="E16" s="300" t="s">
        <v>1165</v>
      </c>
      <c r="F16" s="255">
        <f t="shared" si="13"/>
        <v>0</v>
      </c>
      <c r="G16" s="256">
        <f t="shared" si="14"/>
        <v>0</v>
      </c>
      <c r="H16" s="56">
        <v>260000</v>
      </c>
      <c r="I16" s="219">
        <v>0</v>
      </c>
      <c r="J16" s="219">
        <v>0</v>
      </c>
      <c r="K16" s="255">
        <f t="shared" si="15"/>
        <v>0</v>
      </c>
      <c r="L16" s="255">
        <f t="shared" si="16"/>
        <v>0</v>
      </c>
      <c r="M16" s="255">
        <f t="shared" si="17"/>
        <v>0</v>
      </c>
      <c r="N16" s="255">
        <f t="shared" si="18"/>
        <v>0</v>
      </c>
      <c r="O16" s="255" t="str">
        <f t="shared" si="19"/>
        <v>ნულოვანი შესრულება</v>
      </c>
      <c r="P16" s="52"/>
      <c r="Q16" s="52"/>
      <c r="R16" s="52">
        <f t="shared" si="20"/>
        <v>0</v>
      </c>
      <c r="S16" s="52">
        <f t="shared" si="21"/>
        <v>0</v>
      </c>
      <c r="T16" s="52"/>
      <c r="U16" s="52"/>
      <c r="V16" s="52"/>
      <c r="W16" s="52"/>
      <c r="X16" s="52">
        <f t="shared" si="22"/>
        <v>0</v>
      </c>
      <c r="Y16" s="52">
        <f t="shared" si="22"/>
        <v>0</v>
      </c>
      <c r="Z16" s="52"/>
      <c r="AA16" s="52"/>
      <c r="AB16" s="52"/>
      <c r="AC16" s="52"/>
      <c r="AD16" s="52">
        <f t="shared" si="23"/>
        <v>0</v>
      </c>
      <c r="AE16" s="52">
        <f t="shared" si="23"/>
        <v>0</v>
      </c>
      <c r="AF16" s="52">
        <f t="shared" si="24"/>
        <v>0</v>
      </c>
      <c r="AG16" s="52">
        <f t="shared" si="25"/>
        <v>0</v>
      </c>
      <c r="AH16" s="52">
        <f t="shared" si="25"/>
        <v>0</v>
      </c>
      <c r="AI16" s="52">
        <f t="shared" si="26"/>
        <v>0</v>
      </c>
      <c r="AJ16" s="52">
        <f t="shared" si="27"/>
        <v>0</v>
      </c>
      <c r="AK16" s="52">
        <f t="shared" si="27"/>
        <v>0</v>
      </c>
      <c r="AL16" s="258"/>
      <c r="AM16" s="258"/>
      <c r="AN16" s="258"/>
      <c r="AO16" s="258"/>
      <c r="AP16" s="258">
        <f t="shared" si="28"/>
        <v>0</v>
      </c>
      <c r="AQ16" s="258">
        <f t="shared" si="28"/>
        <v>0</v>
      </c>
      <c r="AR16" s="258"/>
      <c r="AS16" s="258"/>
      <c r="AT16" s="258"/>
      <c r="AU16" s="258"/>
      <c r="AV16" s="258">
        <f t="shared" si="29"/>
        <v>0</v>
      </c>
      <c r="AW16" s="258">
        <f t="shared" si="29"/>
        <v>0</v>
      </c>
      <c r="AX16" s="258"/>
      <c r="AY16" s="258"/>
      <c r="AZ16" s="258"/>
      <c r="BA16" s="258"/>
      <c r="BB16" s="258">
        <f t="shared" si="30"/>
        <v>0</v>
      </c>
      <c r="BC16" s="258"/>
      <c r="BD16" s="258">
        <f t="shared" si="6"/>
        <v>0</v>
      </c>
      <c r="BE16" s="258"/>
      <c r="BF16" s="258"/>
      <c r="BG16" s="258"/>
      <c r="BH16" s="258"/>
      <c r="BI16" s="258">
        <f t="shared" si="31"/>
        <v>0</v>
      </c>
      <c r="BJ16" s="258"/>
      <c r="BK16" s="258">
        <f t="shared" si="7"/>
        <v>0</v>
      </c>
      <c r="BL16" s="258"/>
      <c r="BM16" s="258"/>
      <c r="BN16" s="258"/>
      <c r="BO16" s="258"/>
      <c r="BP16" s="258">
        <f t="shared" si="32"/>
        <v>0</v>
      </c>
      <c r="BQ16" s="258"/>
      <c r="BR16" s="258">
        <f t="shared" si="8"/>
        <v>0</v>
      </c>
      <c r="BS16" s="258"/>
      <c r="BT16" s="258"/>
      <c r="BU16" s="258"/>
      <c r="BV16" s="258"/>
      <c r="BW16" s="258">
        <f t="shared" si="33"/>
        <v>0</v>
      </c>
      <c r="BX16" s="258"/>
      <c r="BY16" s="258">
        <f t="shared" si="9"/>
        <v>0</v>
      </c>
      <c r="BZ16" s="258"/>
      <c r="CA16" s="258"/>
      <c r="CB16" s="258"/>
      <c r="CC16" s="258"/>
      <c r="CD16" s="258">
        <f t="shared" si="34"/>
        <v>0</v>
      </c>
      <c r="CE16" s="258">
        <f t="shared" si="34"/>
        <v>0</v>
      </c>
      <c r="CF16" s="258"/>
      <c r="CG16" s="258"/>
      <c r="CH16" s="258"/>
      <c r="CI16" s="258"/>
      <c r="CJ16" s="258">
        <f t="shared" si="35"/>
        <v>0</v>
      </c>
      <c r="CK16" s="258">
        <f t="shared" si="35"/>
        <v>0</v>
      </c>
      <c r="CL16" s="258"/>
      <c r="CM16" s="258"/>
      <c r="CN16" s="258"/>
      <c r="CO16" s="258"/>
      <c r="CP16" s="258">
        <f t="shared" si="36"/>
        <v>0</v>
      </c>
      <c r="CQ16" s="258">
        <f t="shared" si="36"/>
        <v>0</v>
      </c>
      <c r="CR16" s="258"/>
      <c r="CS16" s="258"/>
      <c r="CT16" s="258"/>
      <c r="CU16" s="258"/>
      <c r="CV16" s="258">
        <f t="shared" si="37"/>
        <v>0</v>
      </c>
      <c r="CW16" s="258">
        <f t="shared" si="37"/>
        <v>0</v>
      </c>
      <c r="CX16" s="258"/>
      <c r="CY16" s="258"/>
      <c r="CZ16" s="258"/>
      <c r="DA16" s="258"/>
      <c r="DB16" s="258">
        <f t="shared" si="38"/>
        <v>0</v>
      </c>
      <c r="DC16" s="258">
        <f t="shared" si="38"/>
        <v>0</v>
      </c>
      <c r="DD16" s="258"/>
      <c r="DE16" s="258"/>
      <c r="DF16" s="258"/>
      <c r="DG16" s="258"/>
      <c r="DH16" s="258">
        <f t="shared" si="39"/>
        <v>0</v>
      </c>
      <c r="DI16" s="258">
        <f t="shared" si="39"/>
        <v>0</v>
      </c>
      <c r="DJ16" s="258">
        <f t="shared" si="10"/>
        <v>0</v>
      </c>
      <c r="DK16" s="258">
        <f t="shared" si="11"/>
        <v>0</v>
      </c>
      <c r="DL16" s="52">
        <f t="shared" si="40"/>
        <v>0</v>
      </c>
      <c r="DM16" s="258">
        <f t="shared" si="12"/>
        <v>0</v>
      </c>
      <c r="DN16" s="258">
        <f t="shared" si="41"/>
        <v>0</v>
      </c>
      <c r="DO16" s="258">
        <f t="shared" si="41"/>
        <v>0</v>
      </c>
    </row>
    <row r="17" spans="1:119" s="278" customFormat="1">
      <c r="A17" s="297">
        <v>9</v>
      </c>
      <c r="B17" s="276" t="s">
        <v>176</v>
      </c>
      <c r="C17" s="298" t="s">
        <v>177</v>
      </c>
      <c r="D17" s="299" t="s">
        <v>178</v>
      </c>
      <c r="E17" s="298" t="s">
        <v>1165</v>
      </c>
      <c r="F17" s="255">
        <f t="shared" si="13"/>
        <v>0</v>
      </c>
      <c r="G17" s="256"/>
      <c r="H17" s="54">
        <v>240000</v>
      </c>
      <c r="I17" s="219">
        <v>0</v>
      </c>
      <c r="J17" s="219">
        <v>0</v>
      </c>
      <c r="K17" s="255">
        <f t="shared" si="15"/>
        <v>0</v>
      </c>
      <c r="L17" s="255">
        <f t="shared" si="16"/>
        <v>0</v>
      </c>
      <c r="M17" s="255">
        <f t="shared" si="17"/>
        <v>0</v>
      </c>
      <c r="N17" s="255">
        <f t="shared" si="18"/>
        <v>0</v>
      </c>
      <c r="O17" s="255" t="str">
        <f t="shared" si="19"/>
        <v>ნულოვანი შესრულება</v>
      </c>
      <c r="P17" s="52"/>
      <c r="Q17" s="52"/>
      <c r="R17" s="52">
        <f t="shared" si="20"/>
        <v>0</v>
      </c>
      <c r="S17" s="52">
        <f t="shared" si="21"/>
        <v>0</v>
      </c>
      <c r="T17" s="52"/>
      <c r="U17" s="52"/>
      <c r="V17" s="52"/>
      <c r="W17" s="52"/>
      <c r="X17" s="52">
        <f t="shared" si="22"/>
        <v>0</v>
      </c>
      <c r="Y17" s="52">
        <f t="shared" si="22"/>
        <v>0</v>
      </c>
      <c r="Z17" s="52"/>
      <c r="AA17" s="52"/>
      <c r="AB17" s="52"/>
      <c r="AC17" s="52"/>
      <c r="AD17" s="52">
        <f t="shared" si="23"/>
        <v>0</v>
      </c>
      <c r="AE17" s="52">
        <f t="shared" si="23"/>
        <v>0</v>
      </c>
      <c r="AF17" s="52">
        <f t="shared" si="24"/>
        <v>0</v>
      </c>
      <c r="AG17" s="52">
        <f t="shared" si="25"/>
        <v>0</v>
      </c>
      <c r="AH17" s="52">
        <f t="shared" si="25"/>
        <v>0</v>
      </c>
      <c r="AI17" s="52">
        <f t="shared" si="26"/>
        <v>0</v>
      </c>
      <c r="AJ17" s="52">
        <f t="shared" si="27"/>
        <v>0</v>
      </c>
      <c r="AK17" s="52">
        <f t="shared" si="27"/>
        <v>0</v>
      </c>
      <c r="AL17" s="258"/>
      <c r="AM17" s="258"/>
      <c r="AN17" s="258"/>
      <c r="AO17" s="258"/>
      <c r="AP17" s="258">
        <f t="shared" si="28"/>
        <v>0</v>
      </c>
      <c r="AQ17" s="258">
        <f t="shared" si="28"/>
        <v>0</v>
      </c>
      <c r="AR17" s="258"/>
      <c r="AS17" s="258"/>
      <c r="AT17" s="258"/>
      <c r="AU17" s="258"/>
      <c r="AV17" s="258">
        <f t="shared" si="29"/>
        <v>0</v>
      </c>
      <c r="AW17" s="258">
        <f t="shared" si="29"/>
        <v>0</v>
      </c>
      <c r="AX17" s="258"/>
      <c r="AY17" s="258"/>
      <c r="AZ17" s="258"/>
      <c r="BA17" s="258"/>
      <c r="BB17" s="258">
        <f t="shared" si="30"/>
        <v>0</v>
      </c>
      <c r="BC17" s="258"/>
      <c r="BD17" s="258">
        <f t="shared" si="6"/>
        <v>0</v>
      </c>
      <c r="BE17" s="258"/>
      <c r="BF17" s="258"/>
      <c r="BG17" s="258"/>
      <c r="BH17" s="258"/>
      <c r="BI17" s="258">
        <f t="shared" si="31"/>
        <v>0</v>
      </c>
      <c r="BJ17" s="258"/>
      <c r="BK17" s="258">
        <f t="shared" si="7"/>
        <v>0</v>
      </c>
      <c r="BL17" s="258"/>
      <c r="BM17" s="258"/>
      <c r="BN17" s="258"/>
      <c r="BO17" s="258"/>
      <c r="BP17" s="258">
        <f t="shared" si="32"/>
        <v>0</v>
      </c>
      <c r="BQ17" s="258"/>
      <c r="BR17" s="258">
        <f t="shared" si="8"/>
        <v>0</v>
      </c>
      <c r="BS17" s="258"/>
      <c r="BT17" s="258"/>
      <c r="BU17" s="258"/>
      <c r="BV17" s="258"/>
      <c r="BW17" s="258">
        <f t="shared" si="33"/>
        <v>0</v>
      </c>
      <c r="BX17" s="258"/>
      <c r="BY17" s="258">
        <f t="shared" si="9"/>
        <v>0</v>
      </c>
      <c r="BZ17" s="258"/>
      <c r="CA17" s="258"/>
      <c r="CB17" s="258"/>
      <c r="CC17" s="258"/>
      <c r="CD17" s="258">
        <f t="shared" si="34"/>
        <v>0</v>
      </c>
      <c r="CE17" s="258">
        <f t="shared" si="34"/>
        <v>0</v>
      </c>
      <c r="CF17" s="258"/>
      <c r="CG17" s="258"/>
      <c r="CH17" s="258"/>
      <c r="CI17" s="258"/>
      <c r="CJ17" s="258">
        <f t="shared" si="35"/>
        <v>0</v>
      </c>
      <c r="CK17" s="258">
        <f t="shared" si="35"/>
        <v>0</v>
      </c>
      <c r="CL17" s="258"/>
      <c r="CM17" s="258"/>
      <c r="CN17" s="258"/>
      <c r="CO17" s="258"/>
      <c r="CP17" s="258">
        <f t="shared" si="36"/>
        <v>0</v>
      </c>
      <c r="CQ17" s="258">
        <f t="shared" si="36"/>
        <v>0</v>
      </c>
      <c r="CR17" s="258"/>
      <c r="CS17" s="258"/>
      <c r="CT17" s="258"/>
      <c r="CU17" s="258"/>
      <c r="CV17" s="258">
        <f t="shared" si="37"/>
        <v>0</v>
      </c>
      <c r="CW17" s="258">
        <f t="shared" si="37"/>
        <v>0</v>
      </c>
      <c r="CX17" s="258"/>
      <c r="CY17" s="258"/>
      <c r="CZ17" s="258"/>
      <c r="DA17" s="258"/>
      <c r="DB17" s="258">
        <f t="shared" si="38"/>
        <v>0</v>
      </c>
      <c r="DC17" s="258">
        <f t="shared" si="38"/>
        <v>0</v>
      </c>
      <c r="DD17" s="258"/>
      <c r="DE17" s="258"/>
      <c r="DF17" s="258"/>
      <c r="DG17" s="258"/>
      <c r="DH17" s="258">
        <f t="shared" si="39"/>
        <v>0</v>
      </c>
      <c r="DI17" s="258">
        <f t="shared" si="39"/>
        <v>0</v>
      </c>
      <c r="DJ17" s="258">
        <f t="shared" si="10"/>
        <v>0</v>
      </c>
      <c r="DK17" s="258">
        <f t="shared" si="11"/>
        <v>0</v>
      </c>
      <c r="DL17" s="52">
        <f t="shared" si="40"/>
        <v>0</v>
      </c>
      <c r="DM17" s="258">
        <f t="shared" si="12"/>
        <v>0</v>
      </c>
      <c r="DN17" s="258">
        <f t="shared" si="41"/>
        <v>0</v>
      </c>
      <c r="DO17" s="258">
        <f t="shared" si="41"/>
        <v>0</v>
      </c>
    </row>
    <row r="18" spans="1:119" s="278" customFormat="1">
      <c r="A18" s="297">
        <v>10</v>
      </c>
      <c r="B18" s="276" t="s">
        <v>176</v>
      </c>
      <c r="C18" s="298" t="s">
        <v>179</v>
      </c>
      <c r="D18" s="299" t="s">
        <v>180</v>
      </c>
      <c r="E18" s="298" t="s">
        <v>1165</v>
      </c>
      <c r="F18" s="255">
        <f t="shared" si="13"/>
        <v>0</v>
      </c>
      <c r="G18" s="256">
        <f t="shared" si="14"/>
        <v>0</v>
      </c>
      <c r="H18" s="54">
        <v>300000</v>
      </c>
      <c r="I18" s="219">
        <v>0</v>
      </c>
      <c r="J18" s="219">
        <v>0</v>
      </c>
      <c r="K18" s="255">
        <f t="shared" si="15"/>
        <v>0</v>
      </c>
      <c r="L18" s="255">
        <f t="shared" si="16"/>
        <v>0</v>
      </c>
      <c r="M18" s="255">
        <f t="shared" si="17"/>
        <v>0</v>
      </c>
      <c r="N18" s="255">
        <f t="shared" si="18"/>
        <v>0</v>
      </c>
      <c r="O18" s="255" t="str">
        <f t="shared" si="19"/>
        <v>ნულოვანი შესრულება</v>
      </c>
      <c r="P18" s="52"/>
      <c r="Q18" s="52"/>
      <c r="R18" s="52">
        <f t="shared" si="20"/>
        <v>0</v>
      </c>
      <c r="S18" s="52">
        <f t="shared" si="21"/>
        <v>0</v>
      </c>
      <c r="T18" s="52"/>
      <c r="U18" s="52"/>
      <c r="V18" s="52"/>
      <c r="W18" s="52"/>
      <c r="X18" s="52">
        <f t="shared" si="22"/>
        <v>0</v>
      </c>
      <c r="Y18" s="52">
        <f t="shared" si="22"/>
        <v>0</v>
      </c>
      <c r="Z18" s="52"/>
      <c r="AA18" s="52"/>
      <c r="AB18" s="52"/>
      <c r="AC18" s="52"/>
      <c r="AD18" s="52">
        <f t="shared" si="23"/>
        <v>0</v>
      </c>
      <c r="AE18" s="52">
        <f t="shared" si="23"/>
        <v>0</v>
      </c>
      <c r="AF18" s="52">
        <f t="shared" si="24"/>
        <v>0</v>
      </c>
      <c r="AG18" s="52">
        <f t="shared" si="25"/>
        <v>0</v>
      </c>
      <c r="AH18" s="52">
        <f t="shared" si="25"/>
        <v>0</v>
      </c>
      <c r="AI18" s="52">
        <f t="shared" si="26"/>
        <v>0</v>
      </c>
      <c r="AJ18" s="52">
        <f t="shared" si="27"/>
        <v>0</v>
      </c>
      <c r="AK18" s="52">
        <f t="shared" si="27"/>
        <v>0</v>
      </c>
      <c r="AL18" s="258"/>
      <c r="AM18" s="258"/>
      <c r="AN18" s="258"/>
      <c r="AO18" s="258"/>
      <c r="AP18" s="258">
        <f t="shared" si="28"/>
        <v>0</v>
      </c>
      <c r="AQ18" s="258">
        <f t="shared" si="28"/>
        <v>0</v>
      </c>
      <c r="AR18" s="258"/>
      <c r="AS18" s="258"/>
      <c r="AT18" s="258"/>
      <c r="AU18" s="258"/>
      <c r="AV18" s="258">
        <f t="shared" si="29"/>
        <v>0</v>
      </c>
      <c r="AW18" s="258">
        <f t="shared" si="29"/>
        <v>0</v>
      </c>
      <c r="AX18" s="258"/>
      <c r="AY18" s="258"/>
      <c r="AZ18" s="258"/>
      <c r="BA18" s="258"/>
      <c r="BB18" s="258">
        <f t="shared" si="30"/>
        <v>0</v>
      </c>
      <c r="BC18" s="258"/>
      <c r="BD18" s="258">
        <f t="shared" si="6"/>
        <v>0</v>
      </c>
      <c r="BE18" s="258"/>
      <c r="BF18" s="258"/>
      <c r="BG18" s="258"/>
      <c r="BH18" s="258"/>
      <c r="BI18" s="258">
        <f t="shared" si="31"/>
        <v>0</v>
      </c>
      <c r="BJ18" s="258"/>
      <c r="BK18" s="258">
        <f t="shared" si="7"/>
        <v>0</v>
      </c>
      <c r="BL18" s="258"/>
      <c r="BM18" s="258"/>
      <c r="BN18" s="258"/>
      <c r="BO18" s="258"/>
      <c r="BP18" s="258">
        <f t="shared" si="32"/>
        <v>0</v>
      </c>
      <c r="BQ18" s="258"/>
      <c r="BR18" s="258">
        <f t="shared" si="8"/>
        <v>0</v>
      </c>
      <c r="BS18" s="258"/>
      <c r="BT18" s="258"/>
      <c r="BU18" s="258"/>
      <c r="BV18" s="258"/>
      <c r="BW18" s="258">
        <f t="shared" si="33"/>
        <v>0</v>
      </c>
      <c r="BX18" s="258"/>
      <c r="BY18" s="258">
        <f t="shared" si="9"/>
        <v>0</v>
      </c>
      <c r="BZ18" s="258"/>
      <c r="CA18" s="258"/>
      <c r="CB18" s="258"/>
      <c r="CC18" s="258"/>
      <c r="CD18" s="258">
        <f t="shared" si="34"/>
        <v>0</v>
      </c>
      <c r="CE18" s="258">
        <f t="shared" si="34"/>
        <v>0</v>
      </c>
      <c r="CF18" s="258"/>
      <c r="CG18" s="258"/>
      <c r="CH18" s="258"/>
      <c r="CI18" s="258"/>
      <c r="CJ18" s="258">
        <f t="shared" si="35"/>
        <v>0</v>
      </c>
      <c r="CK18" s="258">
        <f t="shared" si="35"/>
        <v>0</v>
      </c>
      <c r="CL18" s="258"/>
      <c r="CM18" s="258"/>
      <c r="CN18" s="258"/>
      <c r="CO18" s="258"/>
      <c r="CP18" s="258">
        <f t="shared" si="36"/>
        <v>0</v>
      </c>
      <c r="CQ18" s="258">
        <f t="shared" si="36"/>
        <v>0</v>
      </c>
      <c r="CR18" s="258"/>
      <c r="CS18" s="258"/>
      <c r="CT18" s="258"/>
      <c r="CU18" s="258"/>
      <c r="CV18" s="258">
        <f t="shared" si="37"/>
        <v>0</v>
      </c>
      <c r="CW18" s="258">
        <f t="shared" si="37"/>
        <v>0</v>
      </c>
      <c r="CX18" s="258"/>
      <c r="CY18" s="258"/>
      <c r="CZ18" s="258"/>
      <c r="DA18" s="258"/>
      <c r="DB18" s="258">
        <f t="shared" si="38"/>
        <v>0</v>
      </c>
      <c r="DC18" s="258">
        <f t="shared" si="38"/>
        <v>0</v>
      </c>
      <c r="DD18" s="258"/>
      <c r="DE18" s="258"/>
      <c r="DF18" s="258"/>
      <c r="DG18" s="258"/>
      <c r="DH18" s="258">
        <f t="shared" si="39"/>
        <v>0</v>
      </c>
      <c r="DI18" s="258">
        <f t="shared" si="39"/>
        <v>0</v>
      </c>
      <c r="DJ18" s="258">
        <f t="shared" si="10"/>
        <v>0</v>
      </c>
      <c r="DK18" s="258">
        <f t="shared" si="11"/>
        <v>0</v>
      </c>
      <c r="DL18" s="52">
        <f t="shared" si="40"/>
        <v>0</v>
      </c>
      <c r="DM18" s="258">
        <f t="shared" si="12"/>
        <v>0</v>
      </c>
      <c r="DN18" s="258">
        <f t="shared" si="41"/>
        <v>0</v>
      </c>
      <c r="DO18" s="258">
        <f t="shared" si="41"/>
        <v>0</v>
      </c>
    </row>
    <row r="19" spans="1:119" s="278" customFormat="1">
      <c r="A19" s="297">
        <v>11</v>
      </c>
      <c r="B19" s="276" t="s">
        <v>168</v>
      </c>
      <c r="C19" s="298" t="s">
        <v>181</v>
      </c>
      <c r="D19" s="299" t="s">
        <v>182</v>
      </c>
      <c r="E19" s="298" t="s">
        <v>1165</v>
      </c>
      <c r="F19" s="255">
        <f t="shared" si="13"/>
        <v>0</v>
      </c>
      <c r="G19" s="256">
        <f t="shared" si="14"/>
        <v>0</v>
      </c>
      <c r="H19" s="54">
        <v>300000</v>
      </c>
      <c r="I19" s="220">
        <v>0</v>
      </c>
      <c r="J19" s="220">
        <v>0</v>
      </c>
      <c r="K19" s="255">
        <f t="shared" si="15"/>
        <v>0</v>
      </c>
      <c r="L19" s="255">
        <f t="shared" si="16"/>
        <v>0</v>
      </c>
      <c r="M19" s="255">
        <f t="shared" si="17"/>
        <v>0</v>
      </c>
      <c r="N19" s="255">
        <f t="shared" si="18"/>
        <v>0</v>
      </c>
      <c r="O19" s="255" t="str">
        <f t="shared" si="19"/>
        <v>ნულოვანი შესრულება</v>
      </c>
      <c r="P19" s="57"/>
      <c r="Q19" s="57"/>
      <c r="R19" s="52">
        <f t="shared" si="20"/>
        <v>0</v>
      </c>
      <c r="S19" s="52">
        <f t="shared" si="21"/>
        <v>0</v>
      </c>
      <c r="T19" s="57"/>
      <c r="U19" s="57"/>
      <c r="V19" s="57"/>
      <c r="W19" s="57"/>
      <c r="X19" s="52">
        <f t="shared" si="22"/>
        <v>0</v>
      </c>
      <c r="Y19" s="52">
        <f t="shared" si="22"/>
        <v>0</v>
      </c>
      <c r="Z19" s="57"/>
      <c r="AA19" s="57"/>
      <c r="AB19" s="57"/>
      <c r="AC19" s="57"/>
      <c r="AD19" s="52">
        <f t="shared" si="23"/>
        <v>0</v>
      </c>
      <c r="AE19" s="52">
        <f t="shared" si="23"/>
        <v>0</v>
      </c>
      <c r="AF19" s="52">
        <f t="shared" si="24"/>
        <v>0</v>
      </c>
      <c r="AG19" s="52">
        <f t="shared" si="25"/>
        <v>0</v>
      </c>
      <c r="AH19" s="52">
        <f t="shared" si="25"/>
        <v>0</v>
      </c>
      <c r="AI19" s="52">
        <f t="shared" si="26"/>
        <v>0</v>
      </c>
      <c r="AJ19" s="52">
        <f t="shared" si="27"/>
        <v>0</v>
      </c>
      <c r="AK19" s="52">
        <f t="shared" si="27"/>
        <v>0</v>
      </c>
      <c r="AL19" s="301"/>
      <c r="AM19" s="301"/>
      <c r="AN19" s="301"/>
      <c r="AO19" s="301"/>
      <c r="AP19" s="258">
        <f t="shared" si="28"/>
        <v>0</v>
      </c>
      <c r="AQ19" s="258">
        <f t="shared" si="28"/>
        <v>0</v>
      </c>
      <c r="AR19" s="301"/>
      <c r="AS19" s="301"/>
      <c r="AT19" s="301"/>
      <c r="AU19" s="301"/>
      <c r="AV19" s="258">
        <f t="shared" si="29"/>
        <v>0</v>
      </c>
      <c r="AW19" s="258">
        <f t="shared" si="29"/>
        <v>0</v>
      </c>
      <c r="AX19" s="301"/>
      <c r="AY19" s="301"/>
      <c r="AZ19" s="301"/>
      <c r="BA19" s="301"/>
      <c r="BB19" s="258">
        <f t="shared" si="30"/>
        <v>0</v>
      </c>
      <c r="BC19" s="258"/>
      <c r="BD19" s="258">
        <f t="shared" si="6"/>
        <v>0</v>
      </c>
      <c r="BE19" s="258"/>
      <c r="BF19" s="258"/>
      <c r="BG19" s="258"/>
      <c r="BH19" s="258"/>
      <c r="BI19" s="258">
        <f t="shared" si="31"/>
        <v>0</v>
      </c>
      <c r="BJ19" s="258"/>
      <c r="BK19" s="258">
        <f t="shared" si="7"/>
        <v>0</v>
      </c>
      <c r="BL19" s="258"/>
      <c r="BM19" s="258"/>
      <c r="BN19" s="258"/>
      <c r="BO19" s="258"/>
      <c r="BP19" s="258">
        <f t="shared" si="32"/>
        <v>0</v>
      </c>
      <c r="BQ19" s="258"/>
      <c r="BR19" s="258">
        <f t="shared" si="8"/>
        <v>0</v>
      </c>
      <c r="BS19" s="258"/>
      <c r="BT19" s="258"/>
      <c r="BU19" s="258"/>
      <c r="BV19" s="258"/>
      <c r="BW19" s="258">
        <f t="shared" si="33"/>
        <v>0</v>
      </c>
      <c r="BX19" s="258"/>
      <c r="BY19" s="258">
        <f t="shared" si="9"/>
        <v>0</v>
      </c>
      <c r="BZ19" s="258"/>
      <c r="CA19" s="258"/>
      <c r="CB19" s="258"/>
      <c r="CC19" s="258"/>
      <c r="CD19" s="258">
        <f t="shared" si="34"/>
        <v>0</v>
      </c>
      <c r="CE19" s="258">
        <f t="shared" si="34"/>
        <v>0</v>
      </c>
      <c r="CF19" s="258"/>
      <c r="CG19" s="258"/>
      <c r="CH19" s="258"/>
      <c r="CI19" s="258"/>
      <c r="CJ19" s="258">
        <f t="shared" si="35"/>
        <v>0</v>
      </c>
      <c r="CK19" s="258">
        <f t="shared" si="35"/>
        <v>0</v>
      </c>
      <c r="CL19" s="258"/>
      <c r="CM19" s="258"/>
      <c r="CN19" s="258"/>
      <c r="CO19" s="258"/>
      <c r="CP19" s="258">
        <f t="shared" si="36"/>
        <v>0</v>
      </c>
      <c r="CQ19" s="258">
        <f t="shared" si="36"/>
        <v>0</v>
      </c>
      <c r="CR19" s="258"/>
      <c r="CS19" s="258"/>
      <c r="CT19" s="258"/>
      <c r="CU19" s="258"/>
      <c r="CV19" s="258">
        <f t="shared" si="37"/>
        <v>0</v>
      </c>
      <c r="CW19" s="258">
        <f t="shared" si="37"/>
        <v>0</v>
      </c>
      <c r="CX19" s="258"/>
      <c r="CY19" s="258"/>
      <c r="CZ19" s="258"/>
      <c r="DA19" s="258"/>
      <c r="DB19" s="258">
        <f t="shared" si="38"/>
        <v>0</v>
      </c>
      <c r="DC19" s="258">
        <f t="shared" si="38"/>
        <v>0</v>
      </c>
      <c r="DD19" s="258"/>
      <c r="DE19" s="258"/>
      <c r="DF19" s="258"/>
      <c r="DG19" s="258"/>
      <c r="DH19" s="258">
        <f t="shared" si="39"/>
        <v>0</v>
      </c>
      <c r="DI19" s="258">
        <f t="shared" si="39"/>
        <v>0</v>
      </c>
      <c r="DJ19" s="258">
        <f t="shared" si="10"/>
        <v>0</v>
      </c>
      <c r="DK19" s="258">
        <f t="shared" si="11"/>
        <v>0</v>
      </c>
      <c r="DL19" s="52">
        <f t="shared" si="40"/>
        <v>0</v>
      </c>
      <c r="DM19" s="258">
        <f t="shared" si="12"/>
        <v>0</v>
      </c>
      <c r="DN19" s="258">
        <f t="shared" si="41"/>
        <v>0</v>
      </c>
      <c r="DO19" s="258">
        <f t="shared" si="41"/>
        <v>0</v>
      </c>
    </row>
    <row r="20" spans="1:119" s="278" customFormat="1">
      <c r="A20" s="297">
        <v>12</v>
      </c>
      <c r="B20" s="276" t="s">
        <v>36</v>
      </c>
      <c r="C20" s="298" t="s">
        <v>183</v>
      </c>
      <c r="D20" s="299" t="s">
        <v>184</v>
      </c>
      <c r="E20" s="300" t="s">
        <v>1165</v>
      </c>
      <c r="F20" s="255">
        <f t="shared" si="13"/>
        <v>0</v>
      </c>
      <c r="G20" s="256">
        <f t="shared" si="14"/>
        <v>0</v>
      </c>
      <c r="H20" s="56">
        <v>155000</v>
      </c>
      <c r="I20" s="219">
        <v>0</v>
      </c>
      <c r="J20" s="219">
        <v>0</v>
      </c>
      <c r="K20" s="255">
        <f t="shared" si="15"/>
        <v>0</v>
      </c>
      <c r="L20" s="255">
        <f t="shared" si="16"/>
        <v>0</v>
      </c>
      <c r="M20" s="255">
        <f t="shared" si="17"/>
        <v>0</v>
      </c>
      <c r="N20" s="255">
        <f t="shared" si="18"/>
        <v>0</v>
      </c>
      <c r="O20" s="255" t="str">
        <f t="shared" si="19"/>
        <v>ნულოვანი შესრულება</v>
      </c>
      <c r="P20" s="52"/>
      <c r="Q20" s="52"/>
      <c r="R20" s="52">
        <f t="shared" si="20"/>
        <v>0</v>
      </c>
      <c r="S20" s="52">
        <f t="shared" si="21"/>
        <v>0</v>
      </c>
      <c r="T20" s="52"/>
      <c r="U20" s="52"/>
      <c r="V20" s="52"/>
      <c r="W20" s="52"/>
      <c r="X20" s="52">
        <f t="shared" si="22"/>
        <v>0</v>
      </c>
      <c r="Y20" s="52">
        <f t="shared" si="22"/>
        <v>0</v>
      </c>
      <c r="Z20" s="52"/>
      <c r="AA20" s="52"/>
      <c r="AB20" s="52"/>
      <c r="AC20" s="52"/>
      <c r="AD20" s="52">
        <f t="shared" si="23"/>
        <v>0</v>
      </c>
      <c r="AE20" s="52">
        <f t="shared" si="23"/>
        <v>0</v>
      </c>
      <c r="AF20" s="52">
        <f t="shared" si="24"/>
        <v>0</v>
      </c>
      <c r="AG20" s="52">
        <f t="shared" si="25"/>
        <v>0</v>
      </c>
      <c r="AH20" s="52">
        <f t="shared" si="25"/>
        <v>0</v>
      </c>
      <c r="AI20" s="52">
        <f t="shared" si="26"/>
        <v>0</v>
      </c>
      <c r="AJ20" s="52">
        <f t="shared" si="27"/>
        <v>0</v>
      </c>
      <c r="AK20" s="52">
        <f t="shared" si="27"/>
        <v>0</v>
      </c>
      <c r="AL20" s="258"/>
      <c r="AM20" s="258"/>
      <c r="AN20" s="258"/>
      <c r="AO20" s="258"/>
      <c r="AP20" s="258">
        <f t="shared" si="28"/>
        <v>0</v>
      </c>
      <c r="AQ20" s="258">
        <f t="shared" si="28"/>
        <v>0</v>
      </c>
      <c r="AR20" s="258"/>
      <c r="AS20" s="258"/>
      <c r="AT20" s="258"/>
      <c r="AU20" s="258"/>
      <c r="AV20" s="258">
        <f t="shared" si="29"/>
        <v>0</v>
      </c>
      <c r="AW20" s="258">
        <f t="shared" si="29"/>
        <v>0</v>
      </c>
      <c r="AX20" s="258"/>
      <c r="AY20" s="258"/>
      <c r="AZ20" s="258"/>
      <c r="BA20" s="258"/>
      <c r="BB20" s="258">
        <f t="shared" si="30"/>
        <v>0</v>
      </c>
      <c r="BC20" s="258"/>
      <c r="BD20" s="258">
        <f t="shared" si="6"/>
        <v>0</v>
      </c>
      <c r="BE20" s="258"/>
      <c r="BF20" s="258"/>
      <c r="BG20" s="258"/>
      <c r="BH20" s="258"/>
      <c r="BI20" s="258">
        <f t="shared" si="31"/>
        <v>0</v>
      </c>
      <c r="BJ20" s="258"/>
      <c r="BK20" s="258">
        <f t="shared" si="7"/>
        <v>0</v>
      </c>
      <c r="BL20" s="258"/>
      <c r="BM20" s="258"/>
      <c r="BN20" s="258"/>
      <c r="BO20" s="258"/>
      <c r="BP20" s="258">
        <f t="shared" si="32"/>
        <v>0</v>
      </c>
      <c r="BQ20" s="258"/>
      <c r="BR20" s="258">
        <f t="shared" si="8"/>
        <v>0</v>
      </c>
      <c r="BS20" s="258"/>
      <c r="BT20" s="258"/>
      <c r="BU20" s="258"/>
      <c r="BV20" s="258"/>
      <c r="BW20" s="258">
        <f t="shared" si="33"/>
        <v>0</v>
      </c>
      <c r="BX20" s="258"/>
      <c r="BY20" s="258">
        <f t="shared" si="9"/>
        <v>0</v>
      </c>
      <c r="BZ20" s="258"/>
      <c r="CA20" s="258"/>
      <c r="CB20" s="258"/>
      <c r="CC20" s="258"/>
      <c r="CD20" s="258">
        <f t="shared" si="34"/>
        <v>0</v>
      </c>
      <c r="CE20" s="258">
        <f t="shared" si="34"/>
        <v>0</v>
      </c>
      <c r="CF20" s="258"/>
      <c r="CG20" s="258"/>
      <c r="CH20" s="258"/>
      <c r="CI20" s="258"/>
      <c r="CJ20" s="258">
        <f t="shared" si="35"/>
        <v>0</v>
      </c>
      <c r="CK20" s="258">
        <f t="shared" si="35"/>
        <v>0</v>
      </c>
      <c r="CL20" s="258"/>
      <c r="CM20" s="258"/>
      <c r="CN20" s="258"/>
      <c r="CO20" s="258"/>
      <c r="CP20" s="258">
        <f t="shared" si="36"/>
        <v>0</v>
      </c>
      <c r="CQ20" s="258">
        <f t="shared" si="36"/>
        <v>0</v>
      </c>
      <c r="CR20" s="258"/>
      <c r="CS20" s="258"/>
      <c r="CT20" s="258"/>
      <c r="CU20" s="258"/>
      <c r="CV20" s="258">
        <f t="shared" si="37"/>
        <v>0</v>
      </c>
      <c r="CW20" s="258">
        <f t="shared" si="37"/>
        <v>0</v>
      </c>
      <c r="CX20" s="258"/>
      <c r="CY20" s="258"/>
      <c r="CZ20" s="258"/>
      <c r="DA20" s="258"/>
      <c r="DB20" s="258">
        <f t="shared" si="38"/>
        <v>0</v>
      </c>
      <c r="DC20" s="258">
        <f t="shared" si="38"/>
        <v>0</v>
      </c>
      <c r="DD20" s="258"/>
      <c r="DE20" s="258"/>
      <c r="DF20" s="258"/>
      <c r="DG20" s="258"/>
      <c r="DH20" s="258">
        <f t="shared" si="39"/>
        <v>0</v>
      </c>
      <c r="DI20" s="258">
        <f t="shared" si="39"/>
        <v>0</v>
      </c>
      <c r="DJ20" s="258">
        <f t="shared" si="10"/>
        <v>0</v>
      </c>
      <c r="DK20" s="258">
        <f t="shared" si="11"/>
        <v>0</v>
      </c>
      <c r="DL20" s="52">
        <f t="shared" si="40"/>
        <v>0</v>
      </c>
      <c r="DM20" s="258">
        <f t="shared" si="12"/>
        <v>0</v>
      </c>
      <c r="DN20" s="258">
        <f t="shared" si="41"/>
        <v>0</v>
      </c>
      <c r="DO20" s="258">
        <f t="shared" si="41"/>
        <v>0</v>
      </c>
    </row>
    <row r="21" spans="1:119" s="352" customFormat="1">
      <c r="A21" s="343">
        <v>13</v>
      </c>
      <c r="B21" s="344" t="s">
        <v>36</v>
      </c>
      <c r="C21" s="345" t="s">
        <v>185</v>
      </c>
      <c r="D21" s="346" t="s">
        <v>186</v>
      </c>
      <c r="E21" s="347" t="s">
        <v>1165</v>
      </c>
      <c r="F21" s="348">
        <f t="shared" si="13"/>
        <v>478975</v>
      </c>
      <c r="G21" s="349">
        <v>425000</v>
      </c>
      <c r="H21" s="350">
        <v>237000</v>
      </c>
      <c r="I21" s="351">
        <v>0</v>
      </c>
      <c r="J21" s="351">
        <v>0</v>
      </c>
      <c r="K21" s="348">
        <f t="shared" si="15"/>
        <v>251000</v>
      </c>
      <c r="L21" s="348">
        <f t="shared" si="16"/>
        <v>0</v>
      </c>
      <c r="M21" s="348">
        <f t="shared" si="17"/>
        <v>251000</v>
      </c>
      <c r="N21" s="348">
        <f t="shared" si="18"/>
        <v>174000</v>
      </c>
      <c r="O21" s="348">
        <f t="shared" si="19"/>
        <v>693000</v>
      </c>
      <c r="P21" s="351">
        <v>251000</v>
      </c>
      <c r="Q21" s="351"/>
      <c r="R21" s="351">
        <f t="shared" si="20"/>
        <v>251000</v>
      </c>
      <c r="S21" s="351">
        <f t="shared" si="21"/>
        <v>0</v>
      </c>
      <c r="T21" s="351"/>
      <c r="U21" s="351"/>
      <c r="V21" s="351"/>
      <c r="W21" s="351"/>
      <c r="X21" s="351">
        <f t="shared" si="22"/>
        <v>0</v>
      </c>
      <c r="Y21" s="351">
        <f t="shared" si="22"/>
        <v>0</v>
      </c>
      <c r="Z21" s="351"/>
      <c r="AA21" s="351"/>
      <c r="AB21" s="351"/>
      <c r="AC21" s="351"/>
      <c r="AD21" s="351">
        <f t="shared" si="23"/>
        <v>0</v>
      </c>
      <c r="AE21" s="351">
        <f t="shared" si="23"/>
        <v>0</v>
      </c>
      <c r="AF21" s="351">
        <f t="shared" si="24"/>
        <v>251000</v>
      </c>
      <c r="AG21" s="351">
        <f t="shared" si="25"/>
        <v>251000</v>
      </c>
      <c r="AH21" s="351">
        <f t="shared" si="25"/>
        <v>0</v>
      </c>
      <c r="AI21" s="351">
        <f t="shared" si="26"/>
        <v>0</v>
      </c>
      <c r="AJ21" s="351">
        <f t="shared" si="27"/>
        <v>251000</v>
      </c>
      <c r="AK21" s="351">
        <f t="shared" si="27"/>
        <v>251000</v>
      </c>
      <c r="AL21" s="351"/>
      <c r="AM21" s="351">
        <v>100000</v>
      </c>
      <c r="AN21" s="351"/>
      <c r="AO21" s="351"/>
      <c r="AP21" s="351">
        <f t="shared" si="28"/>
        <v>0</v>
      </c>
      <c r="AQ21" s="351">
        <f t="shared" si="28"/>
        <v>100000</v>
      </c>
      <c r="AR21" s="351"/>
      <c r="AS21" s="351"/>
      <c r="AT21" s="351"/>
      <c r="AU21" s="351"/>
      <c r="AV21" s="351">
        <f t="shared" si="29"/>
        <v>0</v>
      </c>
      <c r="AW21" s="351">
        <f t="shared" si="29"/>
        <v>0</v>
      </c>
      <c r="AX21" s="351"/>
      <c r="AY21" s="55">
        <v>250000</v>
      </c>
      <c r="AZ21" s="351"/>
      <c r="BA21" s="351"/>
      <c r="BB21" s="351">
        <f t="shared" si="30"/>
        <v>0</v>
      </c>
      <c r="BC21" s="55">
        <v>250000</v>
      </c>
      <c r="BD21" s="351">
        <f t="shared" si="6"/>
        <v>250000</v>
      </c>
      <c r="BE21" s="351">
        <v>100000</v>
      </c>
      <c r="BF21" s="75">
        <v>40000</v>
      </c>
      <c r="BG21" s="351"/>
      <c r="BH21" s="351"/>
      <c r="BI21" s="351">
        <f t="shared" si="31"/>
        <v>100000</v>
      </c>
      <c r="BJ21" s="351">
        <v>40000</v>
      </c>
      <c r="BK21" s="75">
        <f t="shared" si="7"/>
        <v>40000</v>
      </c>
      <c r="BL21" s="351">
        <v>50000</v>
      </c>
      <c r="BM21" s="351">
        <v>30000</v>
      </c>
      <c r="BN21" s="351"/>
      <c r="BO21" s="351"/>
      <c r="BP21" s="351">
        <f t="shared" si="32"/>
        <v>50000</v>
      </c>
      <c r="BQ21" s="351">
        <v>30000</v>
      </c>
      <c r="BR21" s="351">
        <f t="shared" si="8"/>
        <v>30000</v>
      </c>
      <c r="BS21" s="351"/>
      <c r="BT21" s="351"/>
      <c r="BU21" s="351">
        <v>24000</v>
      </c>
      <c r="BV21" s="351">
        <v>5000</v>
      </c>
      <c r="BW21" s="351">
        <f t="shared" si="33"/>
        <v>24000</v>
      </c>
      <c r="BX21" s="351">
        <v>8975</v>
      </c>
      <c r="BY21" s="351">
        <f t="shared" si="9"/>
        <v>5000</v>
      </c>
      <c r="BZ21" s="351"/>
      <c r="CA21" s="351"/>
      <c r="CB21" s="351"/>
      <c r="CC21" s="351"/>
      <c r="CD21" s="351">
        <f t="shared" si="34"/>
        <v>0</v>
      </c>
      <c r="CE21" s="351">
        <f t="shared" si="34"/>
        <v>0</v>
      </c>
      <c r="CF21" s="351"/>
      <c r="CG21" s="351">
        <v>2000</v>
      </c>
      <c r="CH21" s="351"/>
      <c r="CI21" s="351"/>
      <c r="CJ21" s="351">
        <f t="shared" si="35"/>
        <v>0</v>
      </c>
      <c r="CK21" s="351">
        <f t="shared" si="35"/>
        <v>2000</v>
      </c>
      <c r="CL21" s="351"/>
      <c r="CM21" s="351">
        <v>5000</v>
      </c>
      <c r="CN21" s="351"/>
      <c r="CO21" s="351"/>
      <c r="CP21" s="351">
        <f t="shared" si="36"/>
        <v>0</v>
      </c>
      <c r="CQ21" s="351">
        <f t="shared" si="36"/>
        <v>5000</v>
      </c>
      <c r="CR21" s="351"/>
      <c r="CS21" s="351">
        <v>5000</v>
      </c>
      <c r="CT21" s="351"/>
      <c r="CU21" s="351"/>
      <c r="CV21" s="351">
        <f t="shared" si="37"/>
        <v>0</v>
      </c>
      <c r="CW21" s="351">
        <f t="shared" si="37"/>
        <v>5000</v>
      </c>
      <c r="CX21" s="351"/>
      <c r="CY21" s="351">
        <v>5000</v>
      </c>
      <c r="CZ21" s="351"/>
      <c r="DA21" s="351"/>
      <c r="DB21" s="351">
        <f t="shared" si="38"/>
        <v>0</v>
      </c>
      <c r="DC21" s="351">
        <f t="shared" si="38"/>
        <v>5000</v>
      </c>
      <c r="DD21" s="351"/>
      <c r="DE21" s="351"/>
      <c r="DF21" s="351"/>
      <c r="DG21" s="351"/>
      <c r="DH21" s="351">
        <f t="shared" si="39"/>
        <v>0</v>
      </c>
      <c r="DI21" s="351">
        <f t="shared" si="39"/>
        <v>0</v>
      </c>
      <c r="DJ21" s="351">
        <f t="shared" si="10"/>
        <v>150000</v>
      </c>
      <c r="DK21" s="351">
        <f t="shared" si="11"/>
        <v>437000</v>
      </c>
      <c r="DL21" s="52">
        <f t="shared" si="40"/>
        <v>328975</v>
      </c>
      <c r="DM21" s="351">
        <f t="shared" si="12"/>
        <v>5000</v>
      </c>
      <c r="DN21" s="351">
        <f t="shared" si="41"/>
        <v>478975</v>
      </c>
      <c r="DO21" s="351">
        <f t="shared" si="41"/>
        <v>442000</v>
      </c>
    </row>
    <row r="22" spans="1:119" s="278" customFormat="1">
      <c r="A22" s="297">
        <v>14</v>
      </c>
      <c r="B22" s="276" t="s">
        <v>48</v>
      </c>
      <c r="C22" s="298" t="s">
        <v>187</v>
      </c>
      <c r="D22" s="299" t="s">
        <v>188</v>
      </c>
      <c r="E22" s="298" t="s">
        <v>1165</v>
      </c>
      <c r="F22" s="255">
        <f t="shared" si="13"/>
        <v>0</v>
      </c>
      <c r="G22" s="256"/>
      <c r="H22" s="54">
        <v>160000</v>
      </c>
      <c r="I22" s="221">
        <v>0</v>
      </c>
      <c r="J22" s="221">
        <v>0</v>
      </c>
      <c r="K22" s="255">
        <f t="shared" si="15"/>
        <v>0</v>
      </c>
      <c r="L22" s="255">
        <f t="shared" si="16"/>
        <v>0</v>
      </c>
      <c r="M22" s="255">
        <f t="shared" si="17"/>
        <v>0</v>
      </c>
      <c r="N22" s="255">
        <f t="shared" si="18"/>
        <v>0</v>
      </c>
      <c r="O22" s="255" t="str">
        <f t="shared" si="19"/>
        <v>ნულოვანი შესრულება</v>
      </c>
      <c r="P22" s="58"/>
      <c r="Q22" s="58"/>
      <c r="R22" s="52">
        <f t="shared" si="20"/>
        <v>0</v>
      </c>
      <c r="S22" s="52">
        <f t="shared" si="21"/>
        <v>0</v>
      </c>
      <c r="T22" s="58"/>
      <c r="U22" s="58"/>
      <c r="V22" s="58"/>
      <c r="W22" s="58"/>
      <c r="X22" s="52">
        <f t="shared" si="22"/>
        <v>0</v>
      </c>
      <c r="Y22" s="52">
        <f t="shared" si="22"/>
        <v>0</v>
      </c>
      <c r="Z22" s="58"/>
      <c r="AA22" s="58"/>
      <c r="AB22" s="58"/>
      <c r="AC22" s="58"/>
      <c r="AD22" s="52">
        <f t="shared" si="23"/>
        <v>0</v>
      </c>
      <c r="AE22" s="52">
        <f t="shared" si="23"/>
        <v>0</v>
      </c>
      <c r="AF22" s="52">
        <f t="shared" si="24"/>
        <v>0</v>
      </c>
      <c r="AG22" s="52">
        <f t="shared" si="25"/>
        <v>0</v>
      </c>
      <c r="AH22" s="52">
        <f t="shared" si="25"/>
        <v>0</v>
      </c>
      <c r="AI22" s="52">
        <f t="shared" si="26"/>
        <v>0</v>
      </c>
      <c r="AJ22" s="52">
        <f t="shared" si="27"/>
        <v>0</v>
      </c>
      <c r="AK22" s="52">
        <f t="shared" si="27"/>
        <v>0</v>
      </c>
      <c r="AL22" s="302"/>
      <c r="AM22" s="302"/>
      <c r="AN22" s="302"/>
      <c r="AO22" s="302"/>
      <c r="AP22" s="258">
        <f t="shared" si="28"/>
        <v>0</v>
      </c>
      <c r="AQ22" s="258">
        <f t="shared" si="28"/>
        <v>0</v>
      </c>
      <c r="AR22" s="302">
        <v>0</v>
      </c>
      <c r="AS22" s="302"/>
      <c r="AT22" s="302"/>
      <c r="AU22" s="302"/>
      <c r="AV22" s="258">
        <f t="shared" si="29"/>
        <v>0</v>
      </c>
      <c r="AW22" s="258">
        <f t="shared" si="29"/>
        <v>0</v>
      </c>
      <c r="AX22" s="302">
        <v>0</v>
      </c>
      <c r="AY22" s="302"/>
      <c r="AZ22" s="302"/>
      <c r="BA22" s="302"/>
      <c r="BB22" s="258">
        <f t="shared" si="30"/>
        <v>0</v>
      </c>
      <c r="BC22" s="258"/>
      <c r="BD22" s="258">
        <f t="shared" si="6"/>
        <v>0</v>
      </c>
      <c r="BE22" s="302">
        <v>0</v>
      </c>
      <c r="BF22" s="302"/>
      <c r="BG22" s="302"/>
      <c r="BH22" s="302"/>
      <c r="BI22" s="258">
        <f t="shared" si="31"/>
        <v>0</v>
      </c>
      <c r="BJ22" s="258"/>
      <c r="BK22" s="258">
        <f t="shared" si="7"/>
        <v>0</v>
      </c>
      <c r="BL22" s="302"/>
      <c r="BM22" s="302"/>
      <c r="BN22" s="302">
        <v>0</v>
      </c>
      <c r="BO22" s="302"/>
      <c r="BP22" s="258">
        <f t="shared" si="32"/>
        <v>0</v>
      </c>
      <c r="BQ22" s="258"/>
      <c r="BR22" s="258">
        <f t="shared" si="8"/>
        <v>0</v>
      </c>
      <c r="BS22" s="258"/>
      <c r="BT22" s="258"/>
      <c r="BU22" s="258"/>
      <c r="BV22" s="258"/>
      <c r="BW22" s="258">
        <f t="shared" si="33"/>
        <v>0</v>
      </c>
      <c r="BX22" s="258"/>
      <c r="BY22" s="258">
        <f t="shared" si="9"/>
        <v>0</v>
      </c>
      <c r="BZ22" s="258"/>
      <c r="CA22" s="258"/>
      <c r="CB22" s="258"/>
      <c r="CC22" s="258"/>
      <c r="CD22" s="258">
        <f t="shared" si="34"/>
        <v>0</v>
      </c>
      <c r="CE22" s="258">
        <f t="shared" si="34"/>
        <v>0</v>
      </c>
      <c r="CF22" s="258"/>
      <c r="CG22" s="258"/>
      <c r="CH22" s="258"/>
      <c r="CI22" s="258"/>
      <c r="CJ22" s="258">
        <f t="shared" si="35"/>
        <v>0</v>
      </c>
      <c r="CK22" s="258">
        <f t="shared" si="35"/>
        <v>0</v>
      </c>
      <c r="CL22" s="258"/>
      <c r="CM22" s="258"/>
      <c r="CN22" s="258"/>
      <c r="CO22" s="258"/>
      <c r="CP22" s="258">
        <f t="shared" si="36"/>
        <v>0</v>
      </c>
      <c r="CQ22" s="258">
        <f t="shared" si="36"/>
        <v>0</v>
      </c>
      <c r="CR22" s="258"/>
      <c r="CS22" s="258"/>
      <c r="CT22" s="258"/>
      <c r="CU22" s="258"/>
      <c r="CV22" s="258">
        <f t="shared" si="37"/>
        <v>0</v>
      </c>
      <c r="CW22" s="258">
        <f t="shared" si="37"/>
        <v>0</v>
      </c>
      <c r="CX22" s="258"/>
      <c r="CY22" s="258"/>
      <c r="CZ22" s="258"/>
      <c r="DA22" s="258"/>
      <c r="DB22" s="258">
        <f t="shared" si="38"/>
        <v>0</v>
      </c>
      <c r="DC22" s="258">
        <f t="shared" si="38"/>
        <v>0</v>
      </c>
      <c r="DD22" s="258"/>
      <c r="DE22" s="258"/>
      <c r="DF22" s="258"/>
      <c r="DG22" s="258"/>
      <c r="DH22" s="258">
        <f t="shared" si="39"/>
        <v>0</v>
      </c>
      <c r="DI22" s="258">
        <f t="shared" si="39"/>
        <v>0</v>
      </c>
      <c r="DJ22" s="258">
        <f t="shared" si="10"/>
        <v>0</v>
      </c>
      <c r="DK22" s="258">
        <f t="shared" si="11"/>
        <v>0</v>
      </c>
      <c r="DL22" s="52">
        <f t="shared" si="40"/>
        <v>0</v>
      </c>
      <c r="DM22" s="258">
        <f t="shared" si="12"/>
        <v>0</v>
      </c>
      <c r="DN22" s="258">
        <f t="shared" si="41"/>
        <v>0</v>
      </c>
      <c r="DO22" s="258">
        <f t="shared" si="41"/>
        <v>0</v>
      </c>
    </row>
    <row r="23" spans="1:119" s="278" customFormat="1">
      <c r="A23" s="297">
        <v>15</v>
      </c>
      <c r="B23" s="276" t="s">
        <v>94</v>
      </c>
      <c r="C23" s="298" t="s">
        <v>189</v>
      </c>
      <c r="D23" s="299" t="s">
        <v>190</v>
      </c>
      <c r="E23" s="298" t="s">
        <v>1165</v>
      </c>
      <c r="F23" s="255">
        <f t="shared" si="13"/>
        <v>0</v>
      </c>
      <c r="G23" s="256">
        <f t="shared" si="14"/>
        <v>0</v>
      </c>
      <c r="H23" s="54">
        <v>230000</v>
      </c>
      <c r="I23" s="219">
        <v>0</v>
      </c>
      <c r="J23" s="219">
        <v>0</v>
      </c>
      <c r="K23" s="255">
        <f t="shared" si="15"/>
        <v>0</v>
      </c>
      <c r="L23" s="255">
        <f t="shared" si="16"/>
        <v>0</v>
      </c>
      <c r="M23" s="255">
        <f t="shared" si="17"/>
        <v>0</v>
      </c>
      <c r="N23" s="255">
        <f t="shared" si="18"/>
        <v>0</v>
      </c>
      <c r="O23" s="255" t="str">
        <f t="shared" si="19"/>
        <v>ნულოვანი შესრულება</v>
      </c>
      <c r="P23" s="52"/>
      <c r="Q23" s="52"/>
      <c r="R23" s="52">
        <f t="shared" si="20"/>
        <v>0</v>
      </c>
      <c r="S23" s="52">
        <f t="shared" si="21"/>
        <v>0</v>
      </c>
      <c r="T23" s="52"/>
      <c r="U23" s="52"/>
      <c r="V23" s="52"/>
      <c r="W23" s="52"/>
      <c r="X23" s="52">
        <f t="shared" si="22"/>
        <v>0</v>
      </c>
      <c r="Y23" s="52">
        <f t="shared" si="22"/>
        <v>0</v>
      </c>
      <c r="Z23" s="52"/>
      <c r="AA23" s="52"/>
      <c r="AB23" s="52"/>
      <c r="AC23" s="52"/>
      <c r="AD23" s="52">
        <f t="shared" si="23"/>
        <v>0</v>
      </c>
      <c r="AE23" s="52">
        <f t="shared" si="23"/>
        <v>0</v>
      </c>
      <c r="AF23" s="52">
        <f t="shared" si="24"/>
        <v>0</v>
      </c>
      <c r="AG23" s="52">
        <f t="shared" si="25"/>
        <v>0</v>
      </c>
      <c r="AH23" s="52">
        <f t="shared" si="25"/>
        <v>0</v>
      </c>
      <c r="AI23" s="52">
        <f t="shared" si="26"/>
        <v>0</v>
      </c>
      <c r="AJ23" s="52">
        <f t="shared" si="27"/>
        <v>0</v>
      </c>
      <c r="AK23" s="52">
        <f t="shared" si="27"/>
        <v>0</v>
      </c>
      <c r="AL23" s="258"/>
      <c r="AM23" s="258"/>
      <c r="AN23" s="258"/>
      <c r="AO23" s="258"/>
      <c r="AP23" s="258">
        <f t="shared" si="28"/>
        <v>0</v>
      </c>
      <c r="AQ23" s="258">
        <f t="shared" si="28"/>
        <v>0</v>
      </c>
      <c r="AR23" s="258"/>
      <c r="AS23" s="258"/>
      <c r="AT23" s="258"/>
      <c r="AU23" s="258"/>
      <c r="AV23" s="258">
        <f t="shared" si="29"/>
        <v>0</v>
      </c>
      <c r="AW23" s="258">
        <f t="shared" si="29"/>
        <v>0</v>
      </c>
      <c r="AX23" s="258"/>
      <c r="AY23" s="258"/>
      <c r="AZ23" s="258"/>
      <c r="BA23" s="258"/>
      <c r="BB23" s="258">
        <f t="shared" si="30"/>
        <v>0</v>
      </c>
      <c r="BC23" s="258"/>
      <c r="BD23" s="258">
        <f t="shared" si="6"/>
        <v>0</v>
      </c>
      <c r="BE23" s="258"/>
      <c r="BF23" s="258"/>
      <c r="BG23" s="258"/>
      <c r="BH23" s="258"/>
      <c r="BI23" s="258">
        <f t="shared" si="31"/>
        <v>0</v>
      </c>
      <c r="BJ23" s="258"/>
      <c r="BK23" s="258">
        <f t="shared" si="7"/>
        <v>0</v>
      </c>
      <c r="BL23" s="258"/>
      <c r="BM23" s="258"/>
      <c r="BN23" s="258"/>
      <c r="BO23" s="258"/>
      <c r="BP23" s="258">
        <f t="shared" si="32"/>
        <v>0</v>
      </c>
      <c r="BQ23" s="258"/>
      <c r="BR23" s="258">
        <f t="shared" si="8"/>
        <v>0</v>
      </c>
      <c r="BS23" s="303"/>
      <c r="BT23" s="258"/>
      <c r="BU23" s="258"/>
      <c r="BV23" s="258"/>
      <c r="BW23" s="258">
        <f t="shared" si="33"/>
        <v>0</v>
      </c>
      <c r="BX23" s="258"/>
      <c r="BY23" s="258">
        <f t="shared" si="9"/>
        <v>0</v>
      </c>
      <c r="BZ23" s="258"/>
      <c r="CA23" s="258"/>
      <c r="CB23" s="258"/>
      <c r="CC23" s="258"/>
      <c r="CD23" s="258">
        <f t="shared" si="34"/>
        <v>0</v>
      </c>
      <c r="CE23" s="258">
        <f t="shared" si="34"/>
        <v>0</v>
      </c>
      <c r="CF23" s="258"/>
      <c r="CG23" s="258"/>
      <c r="CH23" s="258"/>
      <c r="CI23" s="258"/>
      <c r="CJ23" s="258">
        <f t="shared" si="35"/>
        <v>0</v>
      </c>
      <c r="CK23" s="258">
        <f t="shared" si="35"/>
        <v>0</v>
      </c>
      <c r="CL23" s="258"/>
      <c r="CM23" s="258"/>
      <c r="CN23" s="258"/>
      <c r="CO23" s="258"/>
      <c r="CP23" s="258">
        <f t="shared" si="36"/>
        <v>0</v>
      </c>
      <c r="CQ23" s="258">
        <f t="shared" si="36"/>
        <v>0</v>
      </c>
      <c r="CR23" s="258"/>
      <c r="CS23" s="258"/>
      <c r="CT23" s="258"/>
      <c r="CU23" s="258"/>
      <c r="CV23" s="258">
        <f t="shared" si="37"/>
        <v>0</v>
      </c>
      <c r="CW23" s="258">
        <f t="shared" si="37"/>
        <v>0</v>
      </c>
      <c r="CX23" s="258"/>
      <c r="CY23" s="258"/>
      <c r="CZ23" s="258"/>
      <c r="DA23" s="258"/>
      <c r="DB23" s="258">
        <f t="shared" si="38"/>
        <v>0</v>
      </c>
      <c r="DC23" s="258">
        <f t="shared" si="38"/>
        <v>0</v>
      </c>
      <c r="DD23" s="258"/>
      <c r="DE23" s="258"/>
      <c r="DF23" s="258"/>
      <c r="DG23" s="258"/>
      <c r="DH23" s="258">
        <f t="shared" si="39"/>
        <v>0</v>
      </c>
      <c r="DI23" s="258">
        <f t="shared" si="39"/>
        <v>0</v>
      </c>
      <c r="DJ23" s="258">
        <f t="shared" si="10"/>
        <v>0</v>
      </c>
      <c r="DK23" s="258">
        <f t="shared" si="11"/>
        <v>0</v>
      </c>
      <c r="DL23" s="52">
        <f t="shared" si="40"/>
        <v>0</v>
      </c>
      <c r="DM23" s="258">
        <f t="shared" si="12"/>
        <v>0</v>
      </c>
      <c r="DN23" s="258">
        <f t="shared" si="41"/>
        <v>0</v>
      </c>
      <c r="DO23" s="258">
        <f t="shared" si="41"/>
        <v>0</v>
      </c>
    </row>
    <row r="24" spans="1:119" s="278" customFormat="1">
      <c r="A24" s="297">
        <v>16</v>
      </c>
      <c r="B24" s="276" t="s">
        <v>94</v>
      </c>
      <c r="C24" s="298" t="s">
        <v>191</v>
      </c>
      <c r="D24" s="299" t="s">
        <v>192</v>
      </c>
      <c r="E24" s="298" t="s">
        <v>1165</v>
      </c>
      <c r="F24" s="255">
        <f t="shared" si="13"/>
        <v>0</v>
      </c>
      <c r="G24" s="256">
        <f t="shared" si="14"/>
        <v>0</v>
      </c>
      <c r="H24" s="54">
        <v>225000</v>
      </c>
      <c r="I24" s="219">
        <v>0</v>
      </c>
      <c r="J24" s="219">
        <v>0</v>
      </c>
      <c r="K24" s="255">
        <f t="shared" si="15"/>
        <v>0</v>
      </c>
      <c r="L24" s="255">
        <f t="shared" si="16"/>
        <v>0</v>
      </c>
      <c r="M24" s="255">
        <f t="shared" si="17"/>
        <v>0</v>
      </c>
      <c r="N24" s="255">
        <f t="shared" si="18"/>
        <v>0</v>
      </c>
      <c r="O24" s="255" t="str">
        <f t="shared" si="19"/>
        <v>ნულოვანი შესრულება</v>
      </c>
      <c r="P24" s="52"/>
      <c r="Q24" s="52"/>
      <c r="R24" s="52">
        <f t="shared" si="20"/>
        <v>0</v>
      </c>
      <c r="S24" s="52">
        <f t="shared" si="21"/>
        <v>0</v>
      </c>
      <c r="T24" s="52"/>
      <c r="U24" s="52"/>
      <c r="V24" s="52"/>
      <c r="W24" s="52"/>
      <c r="X24" s="52">
        <f t="shared" si="22"/>
        <v>0</v>
      </c>
      <c r="Y24" s="52">
        <f t="shared" si="22"/>
        <v>0</v>
      </c>
      <c r="Z24" s="52"/>
      <c r="AA24" s="52"/>
      <c r="AB24" s="52"/>
      <c r="AC24" s="52"/>
      <c r="AD24" s="52">
        <f t="shared" si="23"/>
        <v>0</v>
      </c>
      <c r="AE24" s="52">
        <f t="shared" si="23"/>
        <v>0</v>
      </c>
      <c r="AF24" s="52">
        <f t="shared" si="24"/>
        <v>0</v>
      </c>
      <c r="AG24" s="52">
        <f t="shared" si="25"/>
        <v>0</v>
      </c>
      <c r="AH24" s="52">
        <f t="shared" si="25"/>
        <v>0</v>
      </c>
      <c r="AI24" s="52">
        <f t="shared" si="26"/>
        <v>0</v>
      </c>
      <c r="AJ24" s="52">
        <f t="shared" si="27"/>
        <v>0</v>
      </c>
      <c r="AK24" s="52">
        <f t="shared" si="27"/>
        <v>0</v>
      </c>
      <c r="AL24" s="258"/>
      <c r="AM24" s="258"/>
      <c r="AN24" s="258"/>
      <c r="AO24" s="258"/>
      <c r="AP24" s="258">
        <f t="shared" si="28"/>
        <v>0</v>
      </c>
      <c r="AQ24" s="258">
        <f t="shared" si="28"/>
        <v>0</v>
      </c>
      <c r="AR24" s="258"/>
      <c r="AS24" s="258"/>
      <c r="AT24" s="258"/>
      <c r="AU24" s="258"/>
      <c r="AV24" s="258">
        <f t="shared" si="29"/>
        <v>0</v>
      </c>
      <c r="AW24" s="258">
        <f t="shared" si="29"/>
        <v>0</v>
      </c>
      <c r="AX24" s="258"/>
      <c r="AY24" s="258"/>
      <c r="AZ24" s="258"/>
      <c r="BA24" s="258"/>
      <c r="BB24" s="258">
        <f t="shared" si="30"/>
        <v>0</v>
      </c>
      <c r="BC24" s="258"/>
      <c r="BD24" s="258">
        <f t="shared" si="6"/>
        <v>0</v>
      </c>
      <c r="BE24" s="258"/>
      <c r="BF24" s="258"/>
      <c r="BG24" s="258"/>
      <c r="BH24" s="258"/>
      <c r="BI24" s="258">
        <f t="shared" si="31"/>
        <v>0</v>
      </c>
      <c r="BJ24" s="258"/>
      <c r="BK24" s="258">
        <f t="shared" si="7"/>
        <v>0</v>
      </c>
      <c r="BL24" s="258"/>
      <c r="BM24" s="258"/>
      <c r="BN24" s="258"/>
      <c r="BO24" s="258"/>
      <c r="BP24" s="258">
        <f t="shared" si="32"/>
        <v>0</v>
      </c>
      <c r="BQ24" s="258"/>
      <c r="BR24" s="258">
        <f t="shared" si="8"/>
        <v>0</v>
      </c>
      <c r="BS24" s="303"/>
      <c r="BT24" s="258"/>
      <c r="BU24" s="258"/>
      <c r="BV24" s="258"/>
      <c r="BW24" s="258">
        <f t="shared" si="33"/>
        <v>0</v>
      </c>
      <c r="BX24" s="258"/>
      <c r="BY24" s="258">
        <f t="shared" si="9"/>
        <v>0</v>
      </c>
      <c r="BZ24" s="258"/>
      <c r="CA24" s="258"/>
      <c r="CB24" s="258"/>
      <c r="CC24" s="258"/>
      <c r="CD24" s="258">
        <f t="shared" si="34"/>
        <v>0</v>
      </c>
      <c r="CE24" s="258">
        <f t="shared" si="34"/>
        <v>0</v>
      </c>
      <c r="CF24" s="258"/>
      <c r="CG24" s="258"/>
      <c r="CH24" s="258"/>
      <c r="CI24" s="258"/>
      <c r="CJ24" s="258">
        <f t="shared" si="35"/>
        <v>0</v>
      </c>
      <c r="CK24" s="258">
        <f t="shared" si="35"/>
        <v>0</v>
      </c>
      <c r="CL24" s="258"/>
      <c r="CM24" s="258"/>
      <c r="CN24" s="258"/>
      <c r="CO24" s="258"/>
      <c r="CP24" s="258">
        <f t="shared" si="36"/>
        <v>0</v>
      </c>
      <c r="CQ24" s="258">
        <f t="shared" si="36"/>
        <v>0</v>
      </c>
      <c r="CR24" s="258"/>
      <c r="CS24" s="258"/>
      <c r="CT24" s="258"/>
      <c r="CU24" s="258"/>
      <c r="CV24" s="258">
        <f t="shared" si="37"/>
        <v>0</v>
      </c>
      <c r="CW24" s="258">
        <f t="shared" si="37"/>
        <v>0</v>
      </c>
      <c r="CX24" s="258"/>
      <c r="CY24" s="258"/>
      <c r="CZ24" s="258"/>
      <c r="DA24" s="258"/>
      <c r="DB24" s="258">
        <f t="shared" si="38"/>
        <v>0</v>
      </c>
      <c r="DC24" s="258">
        <f t="shared" si="38"/>
        <v>0</v>
      </c>
      <c r="DD24" s="258"/>
      <c r="DE24" s="258"/>
      <c r="DF24" s="258"/>
      <c r="DG24" s="258"/>
      <c r="DH24" s="258">
        <f t="shared" si="39"/>
        <v>0</v>
      </c>
      <c r="DI24" s="258">
        <f t="shared" si="39"/>
        <v>0</v>
      </c>
      <c r="DJ24" s="258">
        <f t="shared" si="10"/>
        <v>0</v>
      </c>
      <c r="DK24" s="258">
        <f t="shared" si="11"/>
        <v>0</v>
      </c>
      <c r="DL24" s="52">
        <f t="shared" si="40"/>
        <v>0</v>
      </c>
      <c r="DM24" s="258">
        <f t="shared" si="12"/>
        <v>0</v>
      </c>
      <c r="DN24" s="258">
        <f t="shared" si="41"/>
        <v>0</v>
      </c>
      <c r="DO24" s="258">
        <f t="shared" si="41"/>
        <v>0</v>
      </c>
    </row>
    <row r="25" spans="1:119" s="278" customFormat="1">
      <c r="A25" s="297">
        <v>17</v>
      </c>
      <c r="B25" s="276" t="s">
        <v>176</v>
      </c>
      <c r="C25" s="298" t="s">
        <v>193</v>
      </c>
      <c r="D25" s="299" t="s">
        <v>194</v>
      </c>
      <c r="E25" s="298" t="s">
        <v>1165</v>
      </c>
      <c r="F25" s="255">
        <f t="shared" si="13"/>
        <v>0</v>
      </c>
      <c r="G25" s="256">
        <f t="shared" si="14"/>
        <v>0</v>
      </c>
      <c r="H25" s="54">
        <v>47000</v>
      </c>
      <c r="I25" s="220">
        <v>0</v>
      </c>
      <c r="J25" s="220">
        <v>0</v>
      </c>
      <c r="K25" s="255">
        <f t="shared" si="15"/>
        <v>0</v>
      </c>
      <c r="L25" s="255">
        <f t="shared" si="16"/>
        <v>0</v>
      </c>
      <c r="M25" s="255">
        <f t="shared" si="17"/>
        <v>0</v>
      </c>
      <c r="N25" s="255">
        <f t="shared" si="18"/>
        <v>0</v>
      </c>
      <c r="O25" s="255" t="str">
        <f t="shared" si="19"/>
        <v>ნულოვანი შესრულება</v>
      </c>
      <c r="P25" s="57"/>
      <c r="Q25" s="57"/>
      <c r="R25" s="52">
        <f t="shared" si="20"/>
        <v>0</v>
      </c>
      <c r="S25" s="52">
        <f t="shared" si="21"/>
        <v>0</v>
      </c>
      <c r="T25" s="57"/>
      <c r="U25" s="57"/>
      <c r="V25" s="57"/>
      <c r="W25" s="57"/>
      <c r="X25" s="52">
        <f t="shared" si="22"/>
        <v>0</v>
      </c>
      <c r="Y25" s="52">
        <f t="shared" si="22"/>
        <v>0</v>
      </c>
      <c r="Z25" s="57"/>
      <c r="AA25" s="57"/>
      <c r="AB25" s="57"/>
      <c r="AC25" s="57"/>
      <c r="AD25" s="52">
        <f t="shared" si="23"/>
        <v>0</v>
      </c>
      <c r="AE25" s="52">
        <f t="shared" si="23"/>
        <v>0</v>
      </c>
      <c r="AF25" s="52">
        <f t="shared" si="24"/>
        <v>0</v>
      </c>
      <c r="AG25" s="52">
        <f t="shared" si="25"/>
        <v>0</v>
      </c>
      <c r="AH25" s="52">
        <f t="shared" si="25"/>
        <v>0</v>
      </c>
      <c r="AI25" s="52">
        <f t="shared" si="26"/>
        <v>0</v>
      </c>
      <c r="AJ25" s="52">
        <f t="shared" si="27"/>
        <v>0</v>
      </c>
      <c r="AK25" s="52">
        <f t="shared" si="27"/>
        <v>0</v>
      </c>
      <c r="AL25" s="258"/>
      <c r="AM25" s="258"/>
      <c r="AN25" s="258"/>
      <c r="AO25" s="258"/>
      <c r="AP25" s="258">
        <f t="shared" si="28"/>
        <v>0</v>
      </c>
      <c r="AQ25" s="258">
        <f t="shared" si="28"/>
        <v>0</v>
      </c>
      <c r="AR25" s="301"/>
      <c r="AS25" s="301"/>
      <c r="AT25" s="301"/>
      <c r="AU25" s="301"/>
      <c r="AV25" s="258">
        <f t="shared" si="29"/>
        <v>0</v>
      </c>
      <c r="AW25" s="258">
        <f t="shared" si="29"/>
        <v>0</v>
      </c>
      <c r="AX25" s="301"/>
      <c r="AY25" s="301"/>
      <c r="AZ25" s="301"/>
      <c r="BA25" s="301"/>
      <c r="BB25" s="258">
        <f t="shared" si="30"/>
        <v>0</v>
      </c>
      <c r="BC25" s="258"/>
      <c r="BD25" s="258">
        <f t="shared" si="6"/>
        <v>0</v>
      </c>
      <c r="BE25" s="301"/>
      <c r="BF25" s="301"/>
      <c r="BG25" s="301"/>
      <c r="BH25" s="301"/>
      <c r="BI25" s="258">
        <f t="shared" si="31"/>
        <v>0</v>
      </c>
      <c r="BJ25" s="258"/>
      <c r="BK25" s="258">
        <f t="shared" si="7"/>
        <v>0</v>
      </c>
      <c r="BL25" s="301"/>
      <c r="BM25" s="301"/>
      <c r="BN25" s="301"/>
      <c r="BO25" s="301"/>
      <c r="BP25" s="258">
        <f t="shared" si="32"/>
        <v>0</v>
      </c>
      <c r="BQ25" s="258"/>
      <c r="BR25" s="258">
        <f t="shared" si="8"/>
        <v>0</v>
      </c>
      <c r="BS25" s="258"/>
      <c r="BT25" s="258"/>
      <c r="BU25" s="258"/>
      <c r="BV25" s="258"/>
      <c r="BW25" s="258">
        <f t="shared" si="33"/>
        <v>0</v>
      </c>
      <c r="BX25" s="258"/>
      <c r="BY25" s="258">
        <f t="shared" si="9"/>
        <v>0</v>
      </c>
      <c r="BZ25" s="258"/>
      <c r="CA25" s="258"/>
      <c r="CB25" s="258"/>
      <c r="CC25" s="258"/>
      <c r="CD25" s="258">
        <f t="shared" si="34"/>
        <v>0</v>
      </c>
      <c r="CE25" s="258">
        <f t="shared" si="34"/>
        <v>0</v>
      </c>
      <c r="CF25" s="258"/>
      <c r="CG25" s="258"/>
      <c r="CH25" s="258"/>
      <c r="CI25" s="258"/>
      <c r="CJ25" s="258">
        <f t="shared" si="35"/>
        <v>0</v>
      </c>
      <c r="CK25" s="258">
        <f t="shared" si="35"/>
        <v>0</v>
      </c>
      <c r="CL25" s="258"/>
      <c r="CM25" s="258"/>
      <c r="CN25" s="258"/>
      <c r="CO25" s="258"/>
      <c r="CP25" s="258">
        <f t="shared" si="36"/>
        <v>0</v>
      </c>
      <c r="CQ25" s="258">
        <f t="shared" si="36"/>
        <v>0</v>
      </c>
      <c r="CR25" s="258"/>
      <c r="CS25" s="258"/>
      <c r="CT25" s="258"/>
      <c r="CU25" s="258"/>
      <c r="CV25" s="258">
        <f t="shared" si="37"/>
        <v>0</v>
      </c>
      <c r="CW25" s="258">
        <f t="shared" si="37"/>
        <v>0</v>
      </c>
      <c r="CX25" s="258"/>
      <c r="CY25" s="258"/>
      <c r="CZ25" s="258"/>
      <c r="DA25" s="258"/>
      <c r="DB25" s="258">
        <f t="shared" si="38"/>
        <v>0</v>
      </c>
      <c r="DC25" s="258">
        <f t="shared" si="38"/>
        <v>0</v>
      </c>
      <c r="DD25" s="258"/>
      <c r="DE25" s="258"/>
      <c r="DF25" s="258"/>
      <c r="DG25" s="258"/>
      <c r="DH25" s="258">
        <f t="shared" si="39"/>
        <v>0</v>
      </c>
      <c r="DI25" s="258">
        <f t="shared" si="39"/>
        <v>0</v>
      </c>
      <c r="DJ25" s="258">
        <f t="shared" si="10"/>
        <v>0</v>
      </c>
      <c r="DK25" s="258">
        <f t="shared" si="11"/>
        <v>0</v>
      </c>
      <c r="DL25" s="52">
        <f t="shared" si="40"/>
        <v>0</v>
      </c>
      <c r="DM25" s="258">
        <f t="shared" si="12"/>
        <v>0</v>
      </c>
      <c r="DN25" s="258">
        <f t="shared" si="41"/>
        <v>0</v>
      </c>
      <c r="DO25" s="258">
        <f t="shared" si="41"/>
        <v>0</v>
      </c>
    </row>
    <row r="26" spans="1:119" s="278" customFormat="1">
      <c r="A26" s="297">
        <v>18</v>
      </c>
      <c r="B26" s="276" t="s">
        <v>195</v>
      </c>
      <c r="C26" s="298" t="s">
        <v>196</v>
      </c>
      <c r="D26" s="299" t="s">
        <v>197</v>
      </c>
      <c r="E26" s="298" t="s">
        <v>1165</v>
      </c>
      <c r="F26" s="255">
        <f t="shared" si="13"/>
        <v>0</v>
      </c>
      <c r="G26" s="256">
        <f t="shared" si="14"/>
        <v>0</v>
      </c>
      <c r="H26" s="54">
        <v>75000</v>
      </c>
      <c r="I26" s="220">
        <v>0</v>
      </c>
      <c r="J26" s="220">
        <v>0</v>
      </c>
      <c r="K26" s="255">
        <f t="shared" si="15"/>
        <v>0</v>
      </c>
      <c r="L26" s="255">
        <f t="shared" si="16"/>
        <v>0</v>
      </c>
      <c r="M26" s="255">
        <f t="shared" si="17"/>
        <v>0</v>
      </c>
      <c r="N26" s="255">
        <f t="shared" si="18"/>
        <v>0</v>
      </c>
      <c r="O26" s="255" t="str">
        <f t="shared" si="19"/>
        <v>ნულოვანი შესრულება</v>
      </c>
      <c r="P26" s="57"/>
      <c r="Q26" s="57"/>
      <c r="R26" s="52">
        <f t="shared" si="20"/>
        <v>0</v>
      </c>
      <c r="S26" s="52">
        <f t="shared" si="21"/>
        <v>0</v>
      </c>
      <c r="T26" s="57"/>
      <c r="U26" s="57"/>
      <c r="V26" s="57"/>
      <c r="W26" s="57"/>
      <c r="X26" s="52">
        <f t="shared" si="22"/>
        <v>0</v>
      </c>
      <c r="Y26" s="52">
        <f t="shared" si="22"/>
        <v>0</v>
      </c>
      <c r="Z26" s="57"/>
      <c r="AA26" s="57"/>
      <c r="AB26" s="57"/>
      <c r="AC26" s="57"/>
      <c r="AD26" s="52">
        <f t="shared" si="23"/>
        <v>0</v>
      </c>
      <c r="AE26" s="52">
        <f t="shared" si="23"/>
        <v>0</v>
      </c>
      <c r="AF26" s="52">
        <f t="shared" si="24"/>
        <v>0</v>
      </c>
      <c r="AG26" s="52">
        <f t="shared" si="25"/>
        <v>0</v>
      </c>
      <c r="AH26" s="52">
        <f t="shared" si="25"/>
        <v>0</v>
      </c>
      <c r="AI26" s="52">
        <f t="shared" si="26"/>
        <v>0</v>
      </c>
      <c r="AJ26" s="52">
        <f t="shared" si="27"/>
        <v>0</v>
      </c>
      <c r="AK26" s="52">
        <f t="shared" si="27"/>
        <v>0</v>
      </c>
      <c r="AL26" s="301"/>
      <c r="AM26" s="301"/>
      <c r="AN26" s="301"/>
      <c r="AO26" s="301"/>
      <c r="AP26" s="258">
        <f t="shared" si="28"/>
        <v>0</v>
      </c>
      <c r="AQ26" s="258">
        <f t="shared" si="28"/>
        <v>0</v>
      </c>
      <c r="AR26" s="301"/>
      <c r="AS26" s="301"/>
      <c r="AT26" s="301"/>
      <c r="AU26" s="301"/>
      <c r="AV26" s="258">
        <f t="shared" si="29"/>
        <v>0</v>
      </c>
      <c r="AW26" s="258">
        <f t="shared" si="29"/>
        <v>0</v>
      </c>
      <c r="AX26" s="301"/>
      <c r="AY26" s="301"/>
      <c r="AZ26" s="301"/>
      <c r="BA26" s="301"/>
      <c r="BB26" s="258">
        <f t="shared" si="30"/>
        <v>0</v>
      </c>
      <c r="BC26" s="258"/>
      <c r="BD26" s="258">
        <f t="shared" si="6"/>
        <v>0</v>
      </c>
      <c r="BE26" s="258"/>
      <c r="BF26" s="258"/>
      <c r="BG26" s="258"/>
      <c r="BH26" s="258"/>
      <c r="BI26" s="258">
        <f t="shared" si="31"/>
        <v>0</v>
      </c>
      <c r="BJ26" s="258"/>
      <c r="BK26" s="258">
        <f t="shared" si="7"/>
        <v>0</v>
      </c>
      <c r="BL26" s="258"/>
      <c r="BM26" s="258"/>
      <c r="BN26" s="258"/>
      <c r="BO26" s="258"/>
      <c r="BP26" s="258">
        <f t="shared" si="32"/>
        <v>0</v>
      </c>
      <c r="BQ26" s="258"/>
      <c r="BR26" s="258">
        <f t="shared" si="8"/>
        <v>0</v>
      </c>
      <c r="BS26" s="258"/>
      <c r="BT26" s="258"/>
      <c r="BU26" s="258"/>
      <c r="BV26" s="258"/>
      <c r="BW26" s="258">
        <f t="shared" si="33"/>
        <v>0</v>
      </c>
      <c r="BX26" s="258"/>
      <c r="BY26" s="258">
        <f t="shared" si="9"/>
        <v>0</v>
      </c>
      <c r="BZ26" s="258"/>
      <c r="CA26" s="258"/>
      <c r="CB26" s="258"/>
      <c r="CC26" s="258"/>
      <c r="CD26" s="258">
        <f t="shared" si="34"/>
        <v>0</v>
      </c>
      <c r="CE26" s="258">
        <f t="shared" si="34"/>
        <v>0</v>
      </c>
      <c r="CF26" s="258"/>
      <c r="CG26" s="258"/>
      <c r="CH26" s="258"/>
      <c r="CI26" s="258"/>
      <c r="CJ26" s="258">
        <f t="shared" si="35"/>
        <v>0</v>
      </c>
      <c r="CK26" s="258">
        <f t="shared" si="35"/>
        <v>0</v>
      </c>
      <c r="CL26" s="258"/>
      <c r="CM26" s="258"/>
      <c r="CN26" s="258"/>
      <c r="CO26" s="258"/>
      <c r="CP26" s="258">
        <f t="shared" si="36"/>
        <v>0</v>
      </c>
      <c r="CQ26" s="258">
        <f t="shared" si="36"/>
        <v>0</v>
      </c>
      <c r="CR26" s="258"/>
      <c r="CS26" s="258"/>
      <c r="CT26" s="258"/>
      <c r="CU26" s="258"/>
      <c r="CV26" s="258">
        <f t="shared" si="37"/>
        <v>0</v>
      </c>
      <c r="CW26" s="258">
        <f t="shared" si="37"/>
        <v>0</v>
      </c>
      <c r="CX26" s="258"/>
      <c r="CY26" s="258"/>
      <c r="CZ26" s="258"/>
      <c r="DA26" s="258"/>
      <c r="DB26" s="258">
        <f t="shared" si="38"/>
        <v>0</v>
      </c>
      <c r="DC26" s="258">
        <f t="shared" si="38"/>
        <v>0</v>
      </c>
      <c r="DD26" s="258"/>
      <c r="DE26" s="258"/>
      <c r="DF26" s="258"/>
      <c r="DG26" s="258"/>
      <c r="DH26" s="258">
        <f t="shared" si="39"/>
        <v>0</v>
      </c>
      <c r="DI26" s="258">
        <f t="shared" si="39"/>
        <v>0</v>
      </c>
      <c r="DJ26" s="258">
        <f t="shared" si="10"/>
        <v>0</v>
      </c>
      <c r="DK26" s="258">
        <f t="shared" si="11"/>
        <v>0</v>
      </c>
      <c r="DL26" s="52">
        <f t="shared" si="40"/>
        <v>0</v>
      </c>
      <c r="DM26" s="258">
        <f t="shared" si="12"/>
        <v>0</v>
      </c>
      <c r="DN26" s="258">
        <f t="shared" si="41"/>
        <v>0</v>
      </c>
      <c r="DO26" s="258">
        <f t="shared" si="41"/>
        <v>0</v>
      </c>
    </row>
    <row r="27" spans="1:119" s="278" customFormat="1">
      <c r="A27" s="297">
        <v>19</v>
      </c>
      <c r="B27" s="276" t="s">
        <v>176</v>
      </c>
      <c r="C27" s="298" t="s">
        <v>198</v>
      </c>
      <c r="D27" s="299" t="s">
        <v>199</v>
      </c>
      <c r="E27" s="298" t="s">
        <v>1165</v>
      </c>
      <c r="F27" s="255">
        <f t="shared" si="13"/>
        <v>0</v>
      </c>
      <c r="G27" s="256">
        <f t="shared" si="14"/>
        <v>0</v>
      </c>
      <c r="H27" s="54">
        <v>160000</v>
      </c>
      <c r="I27" s="219">
        <v>0</v>
      </c>
      <c r="J27" s="219">
        <v>0</v>
      </c>
      <c r="K27" s="255">
        <f t="shared" si="15"/>
        <v>0</v>
      </c>
      <c r="L27" s="255">
        <f t="shared" si="16"/>
        <v>0</v>
      </c>
      <c r="M27" s="255">
        <f t="shared" si="17"/>
        <v>0</v>
      </c>
      <c r="N27" s="255">
        <f t="shared" si="18"/>
        <v>0</v>
      </c>
      <c r="O27" s="255" t="str">
        <f t="shared" si="19"/>
        <v>ნულოვანი შესრულება</v>
      </c>
      <c r="P27" s="52"/>
      <c r="Q27" s="52"/>
      <c r="R27" s="52">
        <f t="shared" si="20"/>
        <v>0</v>
      </c>
      <c r="S27" s="52">
        <f t="shared" si="21"/>
        <v>0</v>
      </c>
      <c r="T27" s="52"/>
      <c r="U27" s="52"/>
      <c r="V27" s="52"/>
      <c r="W27" s="52"/>
      <c r="X27" s="52">
        <f t="shared" si="22"/>
        <v>0</v>
      </c>
      <c r="Y27" s="52">
        <f t="shared" si="22"/>
        <v>0</v>
      </c>
      <c r="Z27" s="52"/>
      <c r="AA27" s="52"/>
      <c r="AB27" s="52"/>
      <c r="AC27" s="52"/>
      <c r="AD27" s="52">
        <f t="shared" si="23"/>
        <v>0</v>
      </c>
      <c r="AE27" s="52">
        <f t="shared" si="23"/>
        <v>0</v>
      </c>
      <c r="AF27" s="52">
        <f t="shared" si="24"/>
        <v>0</v>
      </c>
      <c r="AG27" s="52">
        <f t="shared" si="25"/>
        <v>0</v>
      </c>
      <c r="AH27" s="52">
        <f t="shared" si="25"/>
        <v>0</v>
      </c>
      <c r="AI27" s="52">
        <f t="shared" si="26"/>
        <v>0</v>
      </c>
      <c r="AJ27" s="52">
        <f t="shared" si="27"/>
        <v>0</v>
      </c>
      <c r="AK27" s="52">
        <f t="shared" si="27"/>
        <v>0</v>
      </c>
      <c r="AL27" s="258"/>
      <c r="AM27" s="258"/>
      <c r="AN27" s="258"/>
      <c r="AO27" s="258"/>
      <c r="AP27" s="258">
        <f t="shared" si="28"/>
        <v>0</v>
      </c>
      <c r="AQ27" s="258">
        <f t="shared" si="28"/>
        <v>0</v>
      </c>
      <c r="AR27" s="258"/>
      <c r="AS27" s="258"/>
      <c r="AT27" s="258"/>
      <c r="AU27" s="258"/>
      <c r="AV27" s="258">
        <f t="shared" si="29"/>
        <v>0</v>
      </c>
      <c r="AW27" s="258">
        <f t="shared" si="29"/>
        <v>0</v>
      </c>
      <c r="AX27" s="258"/>
      <c r="AY27" s="258"/>
      <c r="AZ27" s="258"/>
      <c r="BA27" s="258"/>
      <c r="BB27" s="258">
        <f t="shared" si="30"/>
        <v>0</v>
      </c>
      <c r="BC27" s="258"/>
      <c r="BD27" s="258">
        <f t="shared" si="6"/>
        <v>0</v>
      </c>
      <c r="BE27" s="258"/>
      <c r="BF27" s="258"/>
      <c r="BG27" s="258"/>
      <c r="BH27" s="258"/>
      <c r="BI27" s="258">
        <f t="shared" si="31"/>
        <v>0</v>
      </c>
      <c r="BJ27" s="258"/>
      <c r="BK27" s="258">
        <f t="shared" si="7"/>
        <v>0</v>
      </c>
      <c r="BL27" s="258"/>
      <c r="BM27" s="258"/>
      <c r="BN27" s="258"/>
      <c r="BO27" s="258"/>
      <c r="BP27" s="258">
        <f t="shared" si="32"/>
        <v>0</v>
      </c>
      <c r="BQ27" s="258"/>
      <c r="BR27" s="258">
        <f t="shared" si="8"/>
        <v>0</v>
      </c>
      <c r="BS27" s="258"/>
      <c r="BT27" s="258"/>
      <c r="BU27" s="258"/>
      <c r="BV27" s="258"/>
      <c r="BW27" s="258">
        <f t="shared" si="33"/>
        <v>0</v>
      </c>
      <c r="BX27" s="258"/>
      <c r="BY27" s="258">
        <f t="shared" si="9"/>
        <v>0</v>
      </c>
      <c r="BZ27" s="258"/>
      <c r="CA27" s="258"/>
      <c r="CB27" s="258"/>
      <c r="CC27" s="258"/>
      <c r="CD27" s="258">
        <f t="shared" si="34"/>
        <v>0</v>
      </c>
      <c r="CE27" s="258">
        <f t="shared" si="34"/>
        <v>0</v>
      </c>
      <c r="CF27" s="258"/>
      <c r="CG27" s="258"/>
      <c r="CH27" s="258"/>
      <c r="CI27" s="258"/>
      <c r="CJ27" s="258">
        <f t="shared" si="35"/>
        <v>0</v>
      </c>
      <c r="CK27" s="258">
        <f t="shared" si="35"/>
        <v>0</v>
      </c>
      <c r="CL27" s="258"/>
      <c r="CM27" s="258"/>
      <c r="CN27" s="258"/>
      <c r="CO27" s="258"/>
      <c r="CP27" s="258">
        <f t="shared" si="36"/>
        <v>0</v>
      </c>
      <c r="CQ27" s="258">
        <f t="shared" si="36"/>
        <v>0</v>
      </c>
      <c r="CR27" s="258"/>
      <c r="CS27" s="258"/>
      <c r="CT27" s="258"/>
      <c r="CU27" s="258"/>
      <c r="CV27" s="258">
        <f t="shared" si="37"/>
        <v>0</v>
      </c>
      <c r="CW27" s="258">
        <f t="shared" si="37"/>
        <v>0</v>
      </c>
      <c r="CX27" s="258"/>
      <c r="CY27" s="258"/>
      <c r="CZ27" s="258"/>
      <c r="DA27" s="258"/>
      <c r="DB27" s="258">
        <f t="shared" si="38"/>
        <v>0</v>
      </c>
      <c r="DC27" s="258">
        <f t="shared" si="38"/>
        <v>0</v>
      </c>
      <c r="DD27" s="258"/>
      <c r="DE27" s="258"/>
      <c r="DF27" s="258"/>
      <c r="DG27" s="258"/>
      <c r="DH27" s="258">
        <f t="shared" si="39"/>
        <v>0</v>
      </c>
      <c r="DI27" s="258">
        <f t="shared" si="39"/>
        <v>0</v>
      </c>
      <c r="DJ27" s="258">
        <f t="shared" si="10"/>
        <v>0</v>
      </c>
      <c r="DK27" s="258">
        <f t="shared" si="11"/>
        <v>0</v>
      </c>
      <c r="DL27" s="52">
        <f t="shared" si="40"/>
        <v>0</v>
      </c>
      <c r="DM27" s="258">
        <f t="shared" si="12"/>
        <v>0</v>
      </c>
      <c r="DN27" s="258">
        <f t="shared" si="41"/>
        <v>0</v>
      </c>
      <c r="DO27" s="258">
        <f t="shared" si="41"/>
        <v>0</v>
      </c>
    </row>
    <row r="28" spans="1:119" s="278" customFormat="1">
      <c r="A28" s="297">
        <v>20</v>
      </c>
      <c r="B28" s="276" t="s">
        <v>176</v>
      </c>
      <c r="C28" s="298" t="s">
        <v>200</v>
      </c>
      <c r="D28" s="299" t="s">
        <v>201</v>
      </c>
      <c r="E28" s="298" t="s">
        <v>1165</v>
      </c>
      <c r="F28" s="255">
        <f t="shared" si="13"/>
        <v>0</v>
      </c>
      <c r="G28" s="256">
        <f t="shared" si="14"/>
        <v>0</v>
      </c>
      <c r="H28" s="54">
        <v>175000</v>
      </c>
      <c r="I28" s="219">
        <v>0</v>
      </c>
      <c r="J28" s="219">
        <v>0</v>
      </c>
      <c r="K28" s="255">
        <f t="shared" si="15"/>
        <v>0</v>
      </c>
      <c r="L28" s="255">
        <f t="shared" si="16"/>
        <v>0</v>
      </c>
      <c r="M28" s="255">
        <f t="shared" si="17"/>
        <v>0</v>
      </c>
      <c r="N28" s="255">
        <f t="shared" si="18"/>
        <v>0</v>
      </c>
      <c r="O28" s="255" t="str">
        <f t="shared" si="19"/>
        <v>ნულოვანი შესრულება</v>
      </c>
      <c r="P28" s="52"/>
      <c r="Q28" s="52"/>
      <c r="R28" s="52">
        <f t="shared" si="20"/>
        <v>0</v>
      </c>
      <c r="S28" s="52">
        <f t="shared" si="21"/>
        <v>0</v>
      </c>
      <c r="T28" s="52"/>
      <c r="U28" s="52"/>
      <c r="V28" s="52"/>
      <c r="W28" s="52"/>
      <c r="X28" s="52">
        <f t="shared" si="22"/>
        <v>0</v>
      </c>
      <c r="Y28" s="52">
        <f t="shared" si="22"/>
        <v>0</v>
      </c>
      <c r="Z28" s="52"/>
      <c r="AA28" s="52"/>
      <c r="AB28" s="52"/>
      <c r="AC28" s="52"/>
      <c r="AD28" s="52">
        <f t="shared" si="23"/>
        <v>0</v>
      </c>
      <c r="AE28" s="52">
        <f t="shared" si="23"/>
        <v>0</v>
      </c>
      <c r="AF28" s="52">
        <f t="shared" si="24"/>
        <v>0</v>
      </c>
      <c r="AG28" s="52">
        <f t="shared" si="25"/>
        <v>0</v>
      </c>
      <c r="AH28" s="52">
        <f t="shared" si="25"/>
        <v>0</v>
      </c>
      <c r="AI28" s="52">
        <f t="shared" si="26"/>
        <v>0</v>
      </c>
      <c r="AJ28" s="52">
        <f t="shared" si="27"/>
        <v>0</v>
      </c>
      <c r="AK28" s="52">
        <f t="shared" si="27"/>
        <v>0</v>
      </c>
      <c r="AL28" s="258"/>
      <c r="AM28" s="258"/>
      <c r="AN28" s="258"/>
      <c r="AO28" s="258"/>
      <c r="AP28" s="258">
        <f t="shared" si="28"/>
        <v>0</v>
      </c>
      <c r="AQ28" s="258">
        <f t="shared" si="28"/>
        <v>0</v>
      </c>
      <c r="AR28" s="258"/>
      <c r="AS28" s="258"/>
      <c r="AT28" s="258"/>
      <c r="AU28" s="258"/>
      <c r="AV28" s="258">
        <f t="shared" si="29"/>
        <v>0</v>
      </c>
      <c r="AW28" s="258">
        <f t="shared" si="29"/>
        <v>0</v>
      </c>
      <c r="AX28" s="258"/>
      <c r="AY28" s="258"/>
      <c r="AZ28" s="258"/>
      <c r="BA28" s="258"/>
      <c r="BB28" s="258">
        <f t="shared" si="30"/>
        <v>0</v>
      </c>
      <c r="BC28" s="258"/>
      <c r="BD28" s="258">
        <f t="shared" si="6"/>
        <v>0</v>
      </c>
      <c r="BE28" s="258"/>
      <c r="BF28" s="258"/>
      <c r="BG28" s="258"/>
      <c r="BH28" s="258"/>
      <c r="BI28" s="258">
        <f t="shared" si="31"/>
        <v>0</v>
      </c>
      <c r="BJ28" s="258"/>
      <c r="BK28" s="258">
        <f t="shared" si="7"/>
        <v>0</v>
      </c>
      <c r="BL28" s="258"/>
      <c r="BM28" s="258"/>
      <c r="BN28" s="258"/>
      <c r="BO28" s="258"/>
      <c r="BP28" s="258">
        <f t="shared" si="32"/>
        <v>0</v>
      </c>
      <c r="BQ28" s="258"/>
      <c r="BR28" s="258">
        <f t="shared" si="8"/>
        <v>0</v>
      </c>
      <c r="BS28" s="258"/>
      <c r="BT28" s="258"/>
      <c r="BU28" s="258"/>
      <c r="BV28" s="258"/>
      <c r="BW28" s="258">
        <f t="shared" si="33"/>
        <v>0</v>
      </c>
      <c r="BX28" s="258"/>
      <c r="BY28" s="258">
        <f t="shared" si="9"/>
        <v>0</v>
      </c>
      <c r="BZ28" s="258"/>
      <c r="CA28" s="258"/>
      <c r="CB28" s="258"/>
      <c r="CC28" s="258"/>
      <c r="CD28" s="258">
        <f t="shared" si="34"/>
        <v>0</v>
      </c>
      <c r="CE28" s="258">
        <f t="shared" si="34"/>
        <v>0</v>
      </c>
      <c r="CF28" s="258"/>
      <c r="CG28" s="258"/>
      <c r="CH28" s="258"/>
      <c r="CI28" s="258"/>
      <c r="CJ28" s="258">
        <f t="shared" si="35"/>
        <v>0</v>
      </c>
      <c r="CK28" s="258">
        <f t="shared" si="35"/>
        <v>0</v>
      </c>
      <c r="CL28" s="258"/>
      <c r="CM28" s="258"/>
      <c r="CN28" s="258"/>
      <c r="CO28" s="258"/>
      <c r="CP28" s="258">
        <f t="shared" si="36"/>
        <v>0</v>
      </c>
      <c r="CQ28" s="258">
        <f t="shared" si="36"/>
        <v>0</v>
      </c>
      <c r="CR28" s="258"/>
      <c r="CS28" s="258"/>
      <c r="CT28" s="258"/>
      <c r="CU28" s="258"/>
      <c r="CV28" s="258">
        <f t="shared" si="37"/>
        <v>0</v>
      </c>
      <c r="CW28" s="258">
        <f t="shared" si="37"/>
        <v>0</v>
      </c>
      <c r="CX28" s="258"/>
      <c r="CY28" s="258"/>
      <c r="CZ28" s="258"/>
      <c r="DA28" s="258"/>
      <c r="DB28" s="258">
        <f t="shared" si="38"/>
        <v>0</v>
      </c>
      <c r="DC28" s="258">
        <f t="shared" si="38"/>
        <v>0</v>
      </c>
      <c r="DD28" s="258"/>
      <c r="DE28" s="258"/>
      <c r="DF28" s="258"/>
      <c r="DG28" s="258"/>
      <c r="DH28" s="258">
        <f t="shared" si="39"/>
        <v>0</v>
      </c>
      <c r="DI28" s="258">
        <f t="shared" si="39"/>
        <v>0</v>
      </c>
      <c r="DJ28" s="258">
        <f t="shared" si="10"/>
        <v>0</v>
      </c>
      <c r="DK28" s="258">
        <f t="shared" si="11"/>
        <v>0</v>
      </c>
      <c r="DL28" s="52">
        <f t="shared" si="40"/>
        <v>0</v>
      </c>
      <c r="DM28" s="258">
        <f t="shared" si="12"/>
        <v>0</v>
      </c>
      <c r="DN28" s="258">
        <f t="shared" si="41"/>
        <v>0</v>
      </c>
      <c r="DO28" s="258">
        <f t="shared" si="41"/>
        <v>0</v>
      </c>
    </row>
    <row r="29" spans="1:119">
      <c r="A29" s="224">
        <v>21</v>
      </c>
      <c r="B29" s="26" t="s">
        <v>202</v>
      </c>
      <c r="C29" s="53" t="s">
        <v>203</v>
      </c>
      <c r="D29" s="227" t="s">
        <v>204</v>
      </c>
      <c r="E29" s="191" t="s">
        <v>1165</v>
      </c>
      <c r="F29" s="161">
        <f t="shared" si="13"/>
        <v>18606</v>
      </c>
      <c r="G29" s="165">
        <f t="shared" si="14"/>
        <v>18606</v>
      </c>
      <c r="H29" s="54">
        <v>190000</v>
      </c>
      <c r="I29" s="219">
        <v>0</v>
      </c>
      <c r="J29" s="219">
        <v>0</v>
      </c>
      <c r="K29" s="127">
        <f t="shared" si="15"/>
        <v>0</v>
      </c>
      <c r="L29" s="127">
        <f t="shared" si="16"/>
        <v>0</v>
      </c>
      <c r="M29" s="127">
        <f t="shared" si="17"/>
        <v>0</v>
      </c>
      <c r="N29" s="127">
        <f t="shared" si="18"/>
        <v>18606</v>
      </c>
      <c r="O29" s="125">
        <f t="shared" si="19"/>
        <v>66038.36</v>
      </c>
      <c r="P29" s="57"/>
      <c r="Q29" s="57"/>
      <c r="R29" s="52">
        <f t="shared" si="20"/>
        <v>0</v>
      </c>
      <c r="S29" s="52">
        <f t="shared" si="21"/>
        <v>0</v>
      </c>
      <c r="T29" s="57"/>
      <c r="U29" s="57"/>
      <c r="V29" s="57"/>
      <c r="W29" s="57"/>
      <c r="X29" s="52">
        <f t="shared" si="22"/>
        <v>0</v>
      </c>
      <c r="Y29" s="52">
        <f t="shared" si="22"/>
        <v>0</v>
      </c>
      <c r="Z29" s="57"/>
      <c r="AA29" s="57"/>
      <c r="AB29" s="57"/>
      <c r="AC29" s="57"/>
      <c r="AD29" s="52">
        <f t="shared" si="23"/>
        <v>0</v>
      </c>
      <c r="AE29" s="52">
        <f t="shared" si="23"/>
        <v>0</v>
      </c>
      <c r="AF29" s="52">
        <f t="shared" si="24"/>
        <v>0</v>
      </c>
      <c r="AG29" s="52">
        <f t="shared" si="25"/>
        <v>0</v>
      </c>
      <c r="AH29" s="52">
        <f t="shared" si="25"/>
        <v>0</v>
      </c>
      <c r="AI29" s="52">
        <f t="shared" si="26"/>
        <v>0</v>
      </c>
      <c r="AJ29" s="52">
        <f t="shared" si="27"/>
        <v>0</v>
      </c>
      <c r="AK29" s="52">
        <f t="shared" si="27"/>
        <v>0</v>
      </c>
      <c r="AL29" s="57"/>
      <c r="AM29" s="57"/>
      <c r="AN29" s="57"/>
      <c r="AO29" s="57"/>
      <c r="AP29" s="52">
        <f t="shared" si="28"/>
        <v>0</v>
      </c>
      <c r="AQ29" s="52">
        <f t="shared" si="28"/>
        <v>0</v>
      </c>
      <c r="AR29" s="52"/>
      <c r="AS29" s="52">
        <v>50000</v>
      </c>
      <c r="AT29" s="52"/>
      <c r="AU29" s="52"/>
      <c r="AV29" s="52">
        <f t="shared" si="29"/>
        <v>0</v>
      </c>
      <c r="AW29" s="52">
        <f t="shared" si="29"/>
        <v>50000</v>
      </c>
      <c r="AX29" s="57"/>
      <c r="AY29" s="57"/>
      <c r="AZ29" s="57"/>
      <c r="BA29" s="57"/>
      <c r="BB29" s="52">
        <f t="shared" si="30"/>
        <v>0</v>
      </c>
      <c r="BC29" s="52"/>
      <c r="BD29" s="52">
        <f t="shared" si="6"/>
        <v>0</v>
      </c>
      <c r="BE29" s="52"/>
      <c r="BF29" s="52"/>
      <c r="BG29" s="52"/>
      <c r="BH29" s="52">
        <v>16038.36</v>
      </c>
      <c r="BI29" s="52">
        <f t="shared" si="31"/>
        <v>0</v>
      </c>
      <c r="BJ29" s="52">
        <v>18606</v>
      </c>
      <c r="BK29" s="52">
        <f t="shared" si="7"/>
        <v>16038.36</v>
      </c>
      <c r="BL29" s="52"/>
      <c r="BM29" s="52"/>
      <c r="BN29" s="52"/>
      <c r="BO29" s="52"/>
      <c r="BP29" s="52">
        <f t="shared" si="32"/>
        <v>0</v>
      </c>
      <c r="BQ29" s="52"/>
      <c r="BR29" s="52">
        <f t="shared" si="8"/>
        <v>0</v>
      </c>
      <c r="BS29" s="52"/>
      <c r="BT29" s="52"/>
      <c r="BU29" s="52"/>
      <c r="BV29" s="52"/>
      <c r="BW29" s="52">
        <f t="shared" si="33"/>
        <v>0</v>
      </c>
      <c r="BX29" s="52"/>
      <c r="BY29" s="52">
        <f t="shared" si="9"/>
        <v>0</v>
      </c>
      <c r="BZ29" s="52"/>
      <c r="CA29" s="52"/>
      <c r="CB29" s="52"/>
      <c r="CC29" s="52"/>
      <c r="CD29" s="52">
        <f t="shared" si="34"/>
        <v>0</v>
      </c>
      <c r="CE29" s="52">
        <f t="shared" si="34"/>
        <v>0</v>
      </c>
      <c r="CF29" s="52"/>
      <c r="CG29" s="52"/>
      <c r="CH29" s="52"/>
      <c r="CI29" s="52"/>
      <c r="CJ29" s="52">
        <f t="shared" si="35"/>
        <v>0</v>
      </c>
      <c r="CK29" s="52">
        <f t="shared" si="35"/>
        <v>0</v>
      </c>
      <c r="CL29" s="52"/>
      <c r="CM29" s="52"/>
      <c r="CN29" s="52"/>
      <c r="CO29" s="52"/>
      <c r="CP29" s="52">
        <f t="shared" si="36"/>
        <v>0</v>
      </c>
      <c r="CQ29" s="52">
        <f t="shared" si="36"/>
        <v>0</v>
      </c>
      <c r="CR29" s="52"/>
      <c r="CS29" s="52"/>
      <c r="CT29" s="52"/>
      <c r="CU29" s="52"/>
      <c r="CV29" s="52">
        <f t="shared" si="37"/>
        <v>0</v>
      </c>
      <c r="CW29" s="52">
        <f t="shared" si="37"/>
        <v>0</v>
      </c>
      <c r="CX29" s="52"/>
      <c r="CY29" s="52"/>
      <c r="CZ29" s="52"/>
      <c r="DA29" s="52"/>
      <c r="DB29" s="52">
        <f t="shared" si="38"/>
        <v>0</v>
      </c>
      <c r="DC29" s="52">
        <f t="shared" si="38"/>
        <v>0</v>
      </c>
      <c r="DD29" s="52"/>
      <c r="DE29" s="52"/>
      <c r="DF29" s="52"/>
      <c r="DG29" s="52"/>
      <c r="DH29" s="52">
        <f t="shared" si="39"/>
        <v>0</v>
      </c>
      <c r="DI29" s="52">
        <f t="shared" si="39"/>
        <v>0</v>
      </c>
      <c r="DJ29" s="52">
        <f t="shared" si="10"/>
        <v>0</v>
      </c>
      <c r="DK29" s="52">
        <f t="shared" si="11"/>
        <v>50000</v>
      </c>
      <c r="DL29" s="52">
        <f t="shared" si="40"/>
        <v>18606</v>
      </c>
      <c r="DM29" s="52">
        <f t="shared" si="12"/>
        <v>16038.36</v>
      </c>
      <c r="DN29" s="52">
        <f t="shared" si="41"/>
        <v>18606</v>
      </c>
      <c r="DO29" s="52">
        <f t="shared" si="41"/>
        <v>66038.36</v>
      </c>
    </row>
    <row r="30" spans="1:119">
      <c r="A30" s="224">
        <v>22</v>
      </c>
      <c r="B30" s="26" t="s">
        <v>202</v>
      </c>
      <c r="C30" s="53" t="s">
        <v>203</v>
      </c>
      <c r="D30" s="227" t="s">
        <v>205</v>
      </c>
      <c r="E30" s="191" t="s">
        <v>1164</v>
      </c>
      <c r="F30" s="161">
        <f t="shared" si="13"/>
        <v>0</v>
      </c>
      <c r="G30" s="165">
        <f t="shared" si="14"/>
        <v>1081.5</v>
      </c>
      <c r="H30" s="54"/>
      <c r="I30" s="219">
        <v>0</v>
      </c>
      <c r="J30" s="219">
        <v>0</v>
      </c>
      <c r="K30" s="127">
        <f t="shared" si="15"/>
        <v>1081.5</v>
      </c>
      <c r="L30" s="127">
        <f t="shared" si="16"/>
        <v>1081.5</v>
      </c>
      <c r="M30" s="127">
        <f t="shared" si="17"/>
        <v>1081.5</v>
      </c>
      <c r="N30" s="127">
        <f t="shared" si="18"/>
        <v>0</v>
      </c>
      <c r="O30" s="125">
        <f t="shared" si="19"/>
        <v>1081.5</v>
      </c>
      <c r="P30" s="52"/>
      <c r="Q30" s="52">
        <v>1081.5</v>
      </c>
      <c r="R30" s="52">
        <f t="shared" si="20"/>
        <v>0</v>
      </c>
      <c r="S30" s="52">
        <f t="shared" si="21"/>
        <v>1081.5</v>
      </c>
      <c r="T30" s="52"/>
      <c r="U30" s="52"/>
      <c r="V30" s="52"/>
      <c r="W30" s="52"/>
      <c r="X30" s="52">
        <f t="shared" si="22"/>
        <v>0</v>
      </c>
      <c r="Y30" s="52">
        <f t="shared" si="22"/>
        <v>0</v>
      </c>
      <c r="Z30" s="52"/>
      <c r="AA30" s="52"/>
      <c r="AB30" s="52"/>
      <c r="AC30" s="52"/>
      <c r="AD30" s="52">
        <f t="shared" si="23"/>
        <v>0</v>
      </c>
      <c r="AE30" s="52">
        <f t="shared" si="23"/>
        <v>0</v>
      </c>
      <c r="AF30" s="52">
        <f t="shared" si="24"/>
        <v>0</v>
      </c>
      <c r="AG30" s="52">
        <f t="shared" si="25"/>
        <v>0</v>
      </c>
      <c r="AH30" s="52">
        <f t="shared" si="25"/>
        <v>1081.5</v>
      </c>
      <c r="AI30" s="52">
        <f t="shared" si="26"/>
        <v>1081.5</v>
      </c>
      <c r="AJ30" s="52">
        <f t="shared" si="27"/>
        <v>1081.5</v>
      </c>
      <c r="AK30" s="52">
        <f t="shared" si="27"/>
        <v>1081.5</v>
      </c>
      <c r="AL30" s="52"/>
      <c r="AM30" s="52"/>
      <c r="AN30" s="52"/>
      <c r="AO30" s="52"/>
      <c r="AP30" s="52">
        <f t="shared" si="28"/>
        <v>0</v>
      </c>
      <c r="AQ30" s="52">
        <f t="shared" si="28"/>
        <v>0</v>
      </c>
      <c r="AR30" s="52"/>
      <c r="AS30" s="52"/>
      <c r="AT30" s="52"/>
      <c r="AU30" s="52"/>
      <c r="AV30" s="52">
        <f t="shared" si="29"/>
        <v>0</v>
      </c>
      <c r="AW30" s="52">
        <f t="shared" si="29"/>
        <v>0</v>
      </c>
      <c r="AX30" s="52"/>
      <c r="AY30" s="52"/>
      <c r="AZ30" s="52"/>
      <c r="BA30" s="52"/>
      <c r="BB30" s="52">
        <f t="shared" si="30"/>
        <v>0</v>
      </c>
      <c r="BC30" s="52"/>
      <c r="BD30" s="52">
        <f t="shared" si="6"/>
        <v>0</v>
      </c>
      <c r="BE30" s="52"/>
      <c r="BF30" s="52"/>
      <c r="BG30" s="52"/>
      <c r="BH30" s="52"/>
      <c r="BI30" s="52">
        <f t="shared" si="31"/>
        <v>0</v>
      </c>
      <c r="BJ30" s="52"/>
      <c r="BK30" s="52">
        <f t="shared" si="7"/>
        <v>0</v>
      </c>
      <c r="BL30" s="52"/>
      <c r="BM30" s="52"/>
      <c r="BN30" s="52"/>
      <c r="BO30" s="52"/>
      <c r="BP30" s="52">
        <f t="shared" si="32"/>
        <v>0</v>
      </c>
      <c r="BQ30" s="52"/>
      <c r="BR30" s="52">
        <f t="shared" si="8"/>
        <v>0</v>
      </c>
      <c r="BS30" s="52"/>
      <c r="BT30" s="52"/>
      <c r="BU30" s="52"/>
      <c r="BV30" s="52"/>
      <c r="BW30" s="52">
        <f t="shared" si="33"/>
        <v>0</v>
      </c>
      <c r="BX30" s="52"/>
      <c r="BY30" s="52">
        <f t="shared" si="9"/>
        <v>0</v>
      </c>
      <c r="BZ30" s="52"/>
      <c r="CA30" s="52"/>
      <c r="CB30" s="52"/>
      <c r="CC30" s="52"/>
      <c r="CD30" s="52">
        <f t="shared" si="34"/>
        <v>0</v>
      </c>
      <c r="CE30" s="52">
        <f t="shared" si="34"/>
        <v>0</v>
      </c>
      <c r="CF30" s="52"/>
      <c r="CG30" s="52"/>
      <c r="CH30" s="52"/>
      <c r="CI30" s="52"/>
      <c r="CJ30" s="52">
        <f t="shared" si="35"/>
        <v>0</v>
      </c>
      <c r="CK30" s="52">
        <f t="shared" si="35"/>
        <v>0</v>
      </c>
      <c r="CL30" s="52"/>
      <c r="CM30" s="52"/>
      <c r="CN30" s="52"/>
      <c r="CO30" s="52"/>
      <c r="CP30" s="52">
        <f t="shared" si="36"/>
        <v>0</v>
      </c>
      <c r="CQ30" s="52">
        <f t="shared" si="36"/>
        <v>0</v>
      </c>
      <c r="CR30" s="52"/>
      <c r="CS30" s="52"/>
      <c r="CT30" s="52"/>
      <c r="CU30" s="52"/>
      <c r="CV30" s="52">
        <f t="shared" si="37"/>
        <v>0</v>
      </c>
      <c r="CW30" s="52">
        <f t="shared" si="37"/>
        <v>0</v>
      </c>
      <c r="CX30" s="52"/>
      <c r="CY30" s="52"/>
      <c r="CZ30" s="52"/>
      <c r="DA30" s="52"/>
      <c r="DB30" s="52">
        <f t="shared" si="38"/>
        <v>0</v>
      </c>
      <c r="DC30" s="52">
        <f t="shared" si="38"/>
        <v>0</v>
      </c>
      <c r="DD30" s="52"/>
      <c r="DE30" s="52"/>
      <c r="DF30" s="52"/>
      <c r="DG30" s="52"/>
      <c r="DH30" s="52">
        <f t="shared" si="39"/>
        <v>0</v>
      </c>
      <c r="DI30" s="52">
        <f t="shared" si="39"/>
        <v>0</v>
      </c>
      <c r="DJ30" s="52">
        <f t="shared" si="10"/>
        <v>0</v>
      </c>
      <c r="DK30" s="52">
        <f t="shared" si="11"/>
        <v>0</v>
      </c>
      <c r="DL30" s="52">
        <f t="shared" si="40"/>
        <v>0</v>
      </c>
      <c r="DM30" s="52">
        <f t="shared" si="12"/>
        <v>0</v>
      </c>
      <c r="DN30" s="52">
        <f t="shared" si="41"/>
        <v>0</v>
      </c>
      <c r="DO30" s="52">
        <f t="shared" si="41"/>
        <v>0</v>
      </c>
    </row>
    <row r="31" spans="1:119">
      <c r="A31" s="224">
        <v>23</v>
      </c>
      <c r="B31" s="26" t="s">
        <v>202</v>
      </c>
      <c r="C31" s="53" t="s">
        <v>206</v>
      </c>
      <c r="D31" s="227" t="s">
        <v>207</v>
      </c>
      <c r="E31" s="191" t="s">
        <v>1165</v>
      </c>
      <c r="F31" s="161">
        <f t="shared" si="13"/>
        <v>74850</v>
      </c>
      <c r="G31" s="165">
        <v>150000</v>
      </c>
      <c r="H31" s="54">
        <v>105000</v>
      </c>
      <c r="I31" s="219">
        <v>0</v>
      </c>
      <c r="J31" s="219">
        <v>0</v>
      </c>
      <c r="K31" s="127">
        <f t="shared" si="15"/>
        <v>60000</v>
      </c>
      <c r="L31" s="127">
        <f t="shared" si="16"/>
        <v>0</v>
      </c>
      <c r="M31" s="127">
        <f t="shared" si="17"/>
        <v>60000</v>
      </c>
      <c r="N31" s="127">
        <f t="shared" si="18"/>
        <v>90000</v>
      </c>
      <c r="O31" s="125">
        <f t="shared" si="19"/>
        <v>105021.76000000001</v>
      </c>
      <c r="P31" s="52">
        <v>60000</v>
      </c>
      <c r="Q31" s="52"/>
      <c r="R31" s="52">
        <f t="shared" si="20"/>
        <v>60000</v>
      </c>
      <c r="S31" s="52">
        <f t="shared" si="21"/>
        <v>0</v>
      </c>
      <c r="T31" s="52"/>
      <c r="U31" s="52"/>
      <c r="V31" s="52"/>
      <c r="W31" s="52"/>
      <c r="X31" s="52">
        <f t="shared" si="22"/>
        <v>0</v>
      </c>
      <c r="Y31" s="52">
        <f t="shared" si="22"/>
        <v>0</v>
      </c>
      <c r="Z31" s="52"/>
      <c r="AA31" s="52"/>
      <c r="AB31" s="52"/>
      <c r="AC31" s="52"/>
      <c r="AD31" s="52">
        <f t="shared" si="23"/>
        <v>0</v>
      </c>
      <c r="AE31" s="52">
        <f t="shared" si="23"/>
        <v>0</v>
      </c>
      <c r="AF31" s="52">
        <f t="shared" si="24"/>
        <v>60000</v>
      </c>
      <c r="AG31" s="52">
        <f t="shared" si="25"/>
        <v>60000</v>
      </c>
      <c r="AH31" s="52">
        <f t="shared" si="25"/>
        <v>0</v>
      </c>
      <c r="AI31" s="52">
        <f t="shared" si="26"/>
        <v>0</v>
      </c>
      <c r="AJ31" s="52">
        <f t="shared" si="27"/>
        <v>60000</v>
      </c>
      <c r="AK31" s="52">
        <f t="shared" si="27"/>
        <v>60000</v>
      </c>
      <c r="AL31" s="52"/>
      <c r="AM31" s="52"/>
      <c r="AN31" s="52"/>
      <c r="AO31" s="52"/>
      <c r="AP31" s="52">
        <f t="shared" si="28"/>
        <v>0</v>
      </c>
      <c r="AQ31" s="52">
        <f t="shared" si="28"/>
        <v>0</v>
      </c>
      <c r="AR31" s="52">
        <v>60000</v>
      </c>
      <c r="AS31" s="52">
        <v>30000</v>
      </c>
      <c r="AT31" s="52"/>
      <c r="AU31" s="52"/>
      <c r="AV31" s="52">
        <f t="shared" si="29"/>
        <v>60000</v>
      </c>
      <c r="AW31" s="52">
        <f t="shared" si="29"/>
        <v>30000</v>
      </c>
      <c r="AX31" s="52"/>
      <c r="AY31" s="52"/>
      <c r="AZ31" s="52">
        <v>30000</v>
      </c>
      <c r="BA31" s="52"/>
      <c r="BB31" s="52">
        <f t="shared" si="30"/>
        <v>30000</v>
      </c>
      <c r="BC31" s="52"/>
      <c r="BD31" s="52">
        <f t="shared" si="6"/>
        <v>0</v>
      </c>
      <c r="BE31" s="52"/>
      <c r="BF31" s="52"/>
      <c r="BG31" s="52"/>
      <c r="BH31" s="52">
        <v>15021.76</v>
      </c>
      <c r="BI31" s="52">
        <f t="shared" si="31"/>
        <v>0</v>
      </c>
      <c r="BJ31" s="52">
        <v>14850</v>
      </c>
      <c r="BK31" s="52">
        <f t="shared" si="7"/>
        <v>15021.76</v>
      </c>
      <c r="BL31" s="52"/>
      <c r="BM31" s="52"/>
      <c r="BN31" s="52"/>
      <c r="BO31" s="52"/>
      <c r="BP31" s="52">
        <f t="shared" si="32"/>
        <v>0</v>
      </c>
      <c r="BQ31" s="52"/>
      <c r="BR31" s="52">
        <f t="shared" si="8"/>
        <v>0</v>
      </c>
      <c r="BS31" s="52"/>
      <c r="BT31" s="52"/>
      <c r="BU31" s="52"/>
      <c r="BV31" s="52"/>
      <c r="BW31" s="52">
        <f t="shared" si="33"/>
        <v>0</v>
      </c>
      <c r="BX31" s="52"/>
      <c r="BY31" s="52">
        <f t="shared" si="9"/>
        <v>0</v>
      </c>
      <c r="BZ31" s="52"/>
      <c r="CA31" s="52"/>
      <c r="CB31" s="52"/>
      <c r="CC31" s="52"/>
      <c r="CD31" s="52">
        <f t="shared" si="34"/>
        <v>0</v>
      </c>
      <c r="CE31" s="52">
        <f t="shared" si="34"/>
        <v>0</v>
      </c>
      <c r="CF31" s="52"/>
      <c r="CG31" s="52"/>
      <c r="CH31" s="52"/>
      <c r="CI31" s="52"/>
      <c r="CJ31" s="52">
        <f t="shared" si="35"/>
        <v>0</v>
      </c>
      <c r="CK31" s="52">
        <f t="shared" si="35"/>
        <v>0</v>
      </c>
      <c r="CL31" s="52"/>
      <c r="CM31" s="52"/>
      <c r="CN31" s="52"/>
      <c r="CO31" s="52"/>
      <c r="CP31" s="52">
        <f t="shared" si="36"/>
        <v>0</v>
      </c>
      <c r="CQ31" s="52">
        <f t="shared" si="36"/>
        <v>0</v>
      </c>
      <c r="CR31" s="52"/>
      <c r="CS31" s="52"/>
      <c r="CT31" s="52"/>
      <c r="CU31" s="52"/>
      <c r="CV31" s="52">
        <f t="shared" si="37"/>
        <v>0</v>
      </c>
      <c r="CW31" s="52">
        <f t="shared" si="37"/>
        <v>0</v>
      </c>
      <c r="CX31" s="52"/>
      <c r="CY31" s="52"/>
      <c r="CZ31" s="52"/>
      <c r="DA31" s="52"/>
      <c r="DB31" s="52">
        <f t="shared" si="38"/>
        <v>0</v>
      </c>
      <c r="DC31" s="52">
        <f t="shared" si="38"/>
        <v>0</v>
      </c>
      <c r="DD31" s="52"/>
      <c r="DE31" s="52"/>
      <c r="DF31" s="52"/>
      <c r="DG31" s="52"/>
      <c r="DH31" s="52">
        <f t="shared" si="39"/>
        <v>0</v>
      </c>
      <c r="DI31" s="52">
        <f t="shared" si="39"/>
        <v>0</v>
      </c>
      <c r="DJ31" s="52">
        <f t="shared" si="10"/>
        <v>60000</v>
      </c>
      <c r="DK31" s="52">
        <f t="shared" si="11"/>
        <v>30000</v>
      </c>
      <c r="DL31" s="52">
        <f t="shared" si="40"/>
        <v>14850</v>
      </c>
      <c r="DM31" s="52">
        <f t="shared" si="12"/>
        <v>15021.76</v>
      </c>
      <c r="DN31" s="52">
        <f t="shared" si="41"/>
        <v>74850</v>
      </c>
      <c r="DO31" s="52">
        <f t="shared" si="41"/>
        <v>45021.760000000002</v>
      </c>
    </row>
    <row r="32" spans="1:119" s="278" customFormat="1">
      <c r="A32" s="297">
        <v>24</v>
      </c>
      <c r="B32" s="276" t="s">
        <v>176</v>
      </c>
      <c r="C32" s="298" t="s">
        <v>208</v>
      </c>
      <c r="D32" s="299" t="s">
        <v>209</v>
      </c>
      <c r="E32" s="298" t="s">
        <v>1165</v>
      </c>
      <c r="F32" s="255">
        <f t="shared" si="13"/>
        <v>0</v>
      </c>
      <c r="G32" s="256">
        <f t="shared" si="14"/>
        <v>0</v>
      </c>
      <c r="H32" s="54">
        <v>120000</v>
      </c>
      <c r="I32" s="219">
        <v>0</v>
      </c>
      <c r="J32" s="219">
        <v>0</v>
      </c>
      <c r="K32" s="255">
        <f t="shared" si="15"/>
        <v>0</v>
      </c>
      <c r="L32" s="255">
        <f t="shared" si="16"/>
        <v>0</v>
      </c>
      <c r="M32" s="255">
        <f t="shared" si="17"/>
        <v>0</v>
      </c>
      <c r="N32" s="255">
        <f t="shared" si="18"/>
        <v>0</v>
      </c>
      <c r="O32" s="255" t="str">
        <f t="shared" si="19"/>
        <v>ნულოვანი შესრულება</v>
      </c>
      <c r="P32" s="52"/>
      <c r="Q32" s="52"/>
      <c r="R32" s="52">
        <f t="shared" si="20"/>
        <v>0</v>
      </c>
      <c r="S32" s="52">
        <f t="shared" si="21"/>
        <v>0</v>
      </c>
      <c r="T32" s="52"/>
      <c r="U32" s="52"/>
      <c r="V32" s="52"/>
      <c r="W32" s="52"/>
      <c r="X32" s="52">
        <f t="shared" si="22"/>
        <v>0</v>
      </c>
      <c r="Y32" s="52">
        <f t="shared" si="22"/>
        <v>0</v>
      </c>
      <c r="Z32" s="52"/>
      <c r="AA32" s="52"/>
      <c r="AB32" s="52"/>
      <c r="AC32" s="52"/>
      <c r="AD32" s="52">
        <f t="shared" si="23"/>
        <v>0</v>
      </c>
      <c r="AE32" s="52">
        <f t="shared" si="23"/>
        <v>0</v>
      </c>
      <c r="AF32" s="52">
        <f t="shared" si="24"/>
        <v>0</v>
      </c>
      <c r="AG32" s="52">
        <f t="shared" si="25"/>
        <v>0</v>
      </c>
      <c r="AH32" s="52">
        <f t="shared" si="25"/>
        <v>0</v>
      </c>
      <c r="AI32" s="52">
        <f t="shared" si="26"/>
        <v>0</v>
      </c>
      <c r="AJ32" s="52">
        <f t="shared" si="27"/>
        <v>0</v>
      </c>
      <c r="AK32" s="52">
        <f t="shared" si="27"/>
        <v>0</v>
      </c>
      <c r="AL32" s="258"/>
      <c r="AM32" s="258"/>
      <c r="AN32" s="258"/>
      <c r="AO32" s="258"/>
      <c r="AP32" s="258">
        <f t="shared" si="28"/>
        <v>0</v>
      </c>
      <c r="AQ32" s="258">
        <f t="shared" si="28"/>
        <v>0</v>
      </c>
      <c r="AR32" s="258"/>
      <c r="AS32" s="258"/>
      <c r="AT32" s="258"/>
      <c r="AU32" s="258"/>
      <c r="AV32" s="258">
        <f t="shared" si="29"/>
        <v>0</v>
      </c>
      <c r="AW32" s="258">
        <f t="shared" si="29"/>
        <v>0</v>
      </c>
      <c r="AX32" s="258"/>
      <c r="AY32" s="258"/>
      <c r="AZ32" s="258"/>
      <c r="BA32" s="258"/>
      <c r="BB32" s="258">
        <f t="shared" si="30"/>
        <v>0</v>
      </c>
      <c r="BC32" s="258"/>
      <c r="BD32" s="258">
        <f t="shared" si="6"/>
        <v>0</v>
      </c>
      <c r="BE32" s="258"/>
      <c r="BF32" s="258"/>
      <c r="BG32" s="258"/>
      <c r="BH32" s="258"/>
      <c r="BI32" s="258">
        <f t="shared" si="31"/>
        <v>0</v>
      </c>
      <c r="BJ32" s="258"/>
      <c r="BK32" s="258">
        <f t="shared" si="7"/>
        <v>0</v>
      </c>
      <c r="BL32" s="258"/>
      <c r="BM32" s="258"/>
      <c r="BN32" s="258"/>
      <c r="BO32" s="258"/>
      <c r="BP32" s="258">
        <f t="shared" si="32"/>
        <v>0</v>
      </c>
      <c r="BQ32" s="258"/>
      <c r="BR32" s="258">
        <f t="shared" si="8"/>
        <v>0</v>
      </c>
      <c r="BS32" s="258"/>
      <c r="BT32" s="258"/>
      <c r="BU32" s="258"/>
      <c r="BV32" s="258"/>
      <c r="BW32" s="258">
        <f t="shared" si="33"/>
        <v>0</v>
      </c>
      <c r="BX32" s="258"/>
      <c r="BY32" s="258">
        <f t="shared" si="9"/>
        <v>0</v>
      </c>
      <c r="BZ32" s="258"/>
      <c r="CA32" s="258"/>
      <c r="CB32" s="258"/>
      <c r="CC32" s="258"/>
      <c r="CD32" s="258">
        <f t="shared" si="34"/>
        <v>0</v>
      </c>
      <c r="CE32" s="258">
        <f t="shared" si="34"/>
        <v>0</v>
      </c>
      <c r="CF32" s="258"/>
      <c r="CG32" s="258"/>
      <c r="CH32" s="258"/>
      <c r="CI32" s="258"/>
      <c r="CJ32" s="258">
        <f t="shared" si="35"/>
        <v>0</v>
      </c>
      <c r="CK32" s="258">
        <f t="shared" si="35"/>
        <v>0</v>
      </c>
      <c r="CL32" s="258"/>
      <c r="CM32" s="258"/>
      <c r="CN32" s="258"/>
      <c r="CO32" s="258"/>
      <c r="CP32" s="258">
        <f t="shared" si="36"/>
        <v>0</v>
      </c>
      <c r="CQ32" s="258">
        <f t="shared" si="36"/>
        <v>0</v>
      </c>
      <c r="CR32" s="258"/>
      <c r="CS32" s="258"/>
      <c r="CT32" s="258"/>
      <c r="CU32" s="258"/>
      <c r="CV32" s="258">
        <f t="shared" si="37"/>
        <v>0</v>
      </c>
      <c r="CW32" s="258">
        <f t="shared" si="37"/>
        <v>0</v>
      </c>
      <c r="CX32" s="258"/>
      <c r="CY32" s="258"/>
      <c r="CZ32" s="258"/>
      <c r="DA32" s="258"/>
      <c r="DB32" s="258">
        <f t="shared" si="38"/>
        <v>0</v>
      </c>
      <c r="DC32" s="258">
        <f t="shared" si="38"/>
        <v>0</v>
      </c>
      <c r="DD32" s="258"/>
      <c r="DE32" s="258"/>
      <c r="DF32" s="258"/>
      <c r="DG32" s="258"/>
      <c r="DH32" s="258">
        <f t="shared" si="39"/>
        <v>0</v>
      </c>
      <c r="DI32" s="258">
        <f t="shared" si="39"/>
        <v>0</v>
      </c>
      <c r="DJ32" s="258">
        <f t="shared" si="10"/>
        <v>0</v>
      </c>
      <c r="DK32" s="258">
        <f t="shared" si="11"/>
        <v>0</v>
      </c>
      <c r="DL32" s="52">
        <f t="shared" si="40"/>
        <v>0</v>
      </c>
      <c r="DM32" s="258">
        <f t="shared" si="12"/>
        <v>0</v>
      </c>
      <c r="DN32" s="258">
        <f t="shared" si="41"/>
        <v>0</v>
      </c>
      <c r="DO32" s="258">
        <f t="shared" si="41"/>
        <v>0</v>
      </c>
    </row>
    <row r="33" spans="1:119">
      <c r="A33" s="224">
        <v>25</v>
      </c>
      <c r="B33" s="26" t="s">
        <v>202</v>
      </c>
      <c r="C33" s="53" t="s">
        <v>206</v>
      </c>
      <c r="D33" s="227" t="s">
        <v>210</v>
      </c>
      <c r="E33" s="191" t="s">
        <v>1164</v>
      </c>
      <c r="F33" s="161">
        <f t="shared" si="13"/>
        <v>0</v>
      </c>
      <c r="G33" s="165">
        <f t="shared" si="14"/>
        <v>2093</v>
      </c>
      <c r="H33" s="54"/>
      <c r="I33" s="220">
        <v>0</v>
      </c>
      <c r="J33" s="220">
        <v>0</v>
      </c>
      <c r="K33" s="127">
        <f t="shared" si="15"/>
        <v>2093</v>
      </c>
      <c r="L33" s="127">
        <f t="shared" si="16"/>
        <v>2093</v>
      </c>
      <c r="M33" s="127">
        <f t="shared" si="17"/>
        <v>2093</v>
      </c>
      <c r="N33" s="127">
        <f t="shared" si="18"/>
        <v>0</v>
      </c>
      <c r="O33" s="125">
        <f t="shared" si="19"/>
        <v>2093</v>
      </c>
      <c r="P33" s="57"/>
      <c r="Q33" s="57">
        <v>2093</v>
      </c>
      <c r="R33" s="52">
        <f t="shared" si="20"/>
        <v>0</v>
      </c>
      <c r="S33" s="52">
        <f t="shared" si="21"/>
        <v>2093</v>
      </c>
      <c r="T33" s="57"/>
      <c r="U33" s="57"/>
      <c r="V33" s="57"/>
      <c r="W33" s="57"/>
      <c r="X33" s="52">
        <f t="shared" si="22"/>
        <v>0</v>
      </c>
      <c r="Y33" s="52">
        <f t="shared" si="22"/>
        <v>0</v>
      </c>
      <c r="Z33" s="57"/>
      <c r="AA33" s="57"/>
      <c r="AB33" s="57"/>
      <c r="AC33" s="57"/>
      <c r="AD33" s="52">
        <f t="shared" si="23"/>
        <v>0</v>
      </c>
      <c r="AE33" s="52">
        <f t="shared" si="23"/>
        <v>0</v>
      </c>
      <c r="AF33" s="52">
        <f t="shared" si="24"/>
        <v>0</v>
      </c>
      <c r="AG33" s="52">
        <f t="shared" si="25"/>
        <v>0</v>
      </c>
      <c r="AH33" s="52">
        <f t="shared" si="25"/>
        <v>2093</v>
      </c>
      <c r="AI33" s="52">
        <f t="shared" si="26"/>
        <v>2093</v>
      </c>
      <c r="AJ33" s="52">
        <f t="shared" si="27"/>
        <v>2093</v>
      </c>
      <c r="AK33" s="52">
        <f t="shared" si="27"/>
        <v>2093</v>
      </c>
      <c r="AL33" s="57"/>
      <c r="AM33" s="57"/>
      <c r="AN33" s="57"/>
      <c r="AO33" s="57"/>
      <c r="AP33" s="52">
        <f t="shared" si="28"/>
        <v>0</v>
      </c>
      <c r="AQ33" s="52">
        <f t="shared" si="28"/>
        <v>0</v>
      </c>
      <c r="AR33" s="57"/>
      <c r="AS33" s="57"/>
      <c r="AT33" s="57"/>
      <c r="AU33" s="57"/>
      <c r="AV33" s="52">
        <f t="shared" si="29"/>
        <v>0</v>
      </c>
      <c r="AW33" s="52">
        <f t="shared" si="29"/>
        <v>0</v>
      </c>
      <c r="AX33" s="57"/>
      <c r="AY33" s="57"/>
      <c r="AZ33" s="57"/>
      <c r="BA33" s="57"/>
      <c r="BB33" s="52">
        <f t="shared" si="30"/>
        <v>0</v>
      </c>
      <c r="BC33" s="52"/>
      <c r="BD33" s="52">
        <f t="shared" si="6"/>
        <v>0</v>
      </c>
      <c r="BE33" s="52"/>
      <c r="BF33" s="52"/>
      <c r="BG33" s="52"/>
      <c r="BH33" s="52"/>
      <c r="BI33" s="52">
        <f t="shared" si="31"/>
        <v>0</v>
      </c>
      <c r="BJ33" s="52"/>
      <c r="BK33" s="52">
        <f t="shared" si="7"/>
        <v>0</v>
      </c>
      <c r="BL33" s="52"/>
      <c r="BM33" s="52"/>
      <c r="BN33" s="52"/>
      <c r="BO33" s="52"/>
      <c r="BP33" s="52">
        <f t="shared" si="32"/>
        <v>0</v>
      </c>
      <c r="BQ33" s="52"/>
      <c r="BR33" s="52">
        <f t="shared" si="8"/>
        <v>0</v>
      </c>
      <c r="BS33" s="52"/>
      <c r="BT33" s="52"/>
      <c r="BU33" s="52"/>
      <c r="BV33" s="52"/>
      <c r="BW33" s="52">
        <f t="shared" si="33"/>
        <v>0</v>
      </c>
      <c r="BX33" s="52"/>
      <c r="BY33" s="52">
        <f t="shared" si="9"/>
        <v>0</v>
      </c>
      <c r="BZ33" s="52"/>
      <c r="CA33" s="52"/>
      <c r="CB33" s="52"/>
      <c r="CC33" s="52"/>
      <c r="CD33" s="52">
        <f t="shared" si="34"/>
        <v>0</v>
      </c>
      <c r="CE33" s="52">
        <f t="shared" si="34"/>
        <v>0</v>
      </c>
      <c r="CF33" s="52"/>
      <c r="CG33" s="52"/>
      <c r="CH33" s="52"/>
      <c r="CI33" s="52"/>
      <c r="CJ33" s="52">
        <f t="shared" si="35"/>
        <v>0</v>
      </c>
      <c r="CK33" s="52">
        <f t="shared" si="35"/>
        <v>0</v>
      </c>
      <c r="CL33" s="52"/>
      <c r="CM33" s="52"/>
      <c r="CN33" s="52"/>
      <c r="CO33" s="52"/>
      <c r="CP33" s="52">
        <f t="shared" si="36"/>
        <v>0</v>
      </c>
      <c r="CQ33" s="52">
        <f t="shared" si="36"/>
        <v>0</v>
      </c>
      <c r="CR33" s="52"/>
      <c r="CS33" s="52"/>
      <c r="CT33" s="52"/>
      <c r="CU33" s="52"/>
      <c r="CV33" s="52">
        <f t="shared" si="37"/>
        <v>0</v>
      </c>
      <c r="CW33" s="52">
        <f t="shared" si="37"/>
        <v>0</v>
      </c>
      <c r="CX33" s="52"/>
      <c r="CY33" s="52"/>
      <c r="CZ33" s="52"/>
      <c r="DA33" s="52"/>
      <c r="DB33" s="52">
        <f t="shared" si="38"/>
        <v>0</v>
      </c>
      <c r="DC33" s="52">
        <f t="shared" si="38"/>
        <v>0</v>
      </c>
      <c r="DD33" s="52"/>
      <c r="DE33" s="52"/>
      <c r="DF33" s="52"/>
      <c r="DG33" s="52"/>
      <c r="DH33" s="52">
        <f t="shared" si="39"/>
        <v>0</v>
      </c>
      <c r="DI33" s="52">
        <f t="shared" si="39"/>
        <v>0</v>
      </c>
      <c r="DJ33" s="52">
        <f t="shared" si="10"/>
        <v>0</v>
      </c>
      <c r="DK33" s="52">
        <f t="shared" si="11"/>
        <v>0</v>
      </c>
      <c r="DL33" s="52">
        <f t="shared" si="40"/>
        <v>0</v>
      </c>
      <c r="DM33" s="52">
        <f t="shared" si="12"/>
        <v>0</v>
      </c>
      <c r="DN33" s="52">
        <f t="shared" si="41"/>
        <v>0</v>
      </c>
      <c r="DO33" s="52">
        <f t="shared" si="41"/>
        <v>0</v>
      </c>
    </row>
    <row r="34" spans="1:119" s="278" customFormat="1">
      <c r="A34" s="297">
        <v>26</v>
      </c>
      <c r="B34" s="276" t="s">
        <v>202</v>
      </c>
      <c r="C34" s="298" t="s">
        <v>211</v>
      </c>
      <c r="D34" s="299" t="s">
        <v>212</v>
      </c>
      <c r="E34" s="298" t="s">
        <v>1165</v>
      </c>
      <c r="F34" s="255">
        <f t="shared" si="13"/>
        <v>0</v>
      </c>
      <c r="G34" s="256">
        <f t="shared" si="14"/>
        <v>0</v>
      </c>
      <c r="H34" s="54">
        <v>115000</v>
      </c>
      <c r="I34" s="219">
        <v>0</v>
      </c>
      <c r="J34" s="219">
        <v>0</v>
      </c>
      <c r="K34" s="255">
        <f t="shared" si="15"/>
        <v>0</v>
      </c>
      <c r="L34" s="255">
        <f t="shared" si="16"/>
        <v>0</v>
      </c>
      <c r="M34" s="255">
        <f t="shared" si="17"/>
        <v>0</v>
      </c>
      <c r="N34" s="255">
        <f t="shared" si="18"/>
        <v>0</v>
      </c>
      <c r="O34" s="255" t="str">
        <f t="shared" si="19"/>
        <v>ნულოვანი შესრულება</v>
      </c>
      <c r="P34" s="52"/>
      <c r="Q34" s="52"/>
      <c r="R34" s="52">
        <f t="shared" si="20"/>
        <v>0</v>
      </c>
      <c r="S34" s="52">
        <f t="shared" si="21"/>
        <v>0</v>
      </c>
      <c r="T34" s="52"/>
      <c r="U34" s="52"/>
      <c r="V34" s="52"/>
      <c r="W34" s="52"/>
      <c r="X34" s="52">
        <f t="shared" si="22"/>
        <v>0</v>
      </c>
      <c r="Y34" s="52">
        <f t="shared" si="22"/>
        <v>0</v>
      </c>
      <c r="Z34" s="52"/>
      <c r="AA34" s="52"/>
      <c r="AB34" s="52"/>
      <c r="AC34" s="52"/>
      <c r="AD34" s="52">
        <f t="shared" si="23"/>
        <v>0</v>
      </c>
      <c r="AE34" s="52">
        <f t="shared" si="23"/>
        <v>0</v>
      </c>
      <c r="AF34" s="52">
        <f t="shared" si="24"/>
        <v>0</v>
      </c>
      <c r="AG34" s="52">
        <f t="shared" si="25"/>
        <v>0</v>
      </c>
      <c r="AH34" s="52">
        <f t="shared" si="25"/>
        <v>0</v>
      </c>
      <c r="AI34" s="52">
        <f t="shared" si="26"/>
        <v>0</v>
      </c>
      <c r="AJ34" s="52">
        <f t="shared" si="27"/>
        <v>0</v>
      </c>
      <c r="AK34" s="52">
        <f t="shared" si="27"/>
        <v>0</v>
      </c>
      <c r="AL34" s="258"/>
      <c r="AM34" s="258"/>
      <c r="AN34" s="258"/>
      <c r="AO34" s="258"/>
      <c r="AP34" s="258">
        <f t="shared" si="28"/>
        <v>0</v>
      </c>
      <c r="AQ34" s="258">
        <f t="shared" si="28"/>
        <v>0</v>
      </c>
      <c r="AR34" s="258"/>
      <c r="AS34" s="258"/>
      <c r="AT34" s="258"/>
      <c r="AU34" s="258"/>
      <c r="AV34" s="258">
        <f t="shared" si="29"/>
        <v>0</v>
      </c>
      <c r="AW34" s="258">
        <f t="shared" si="29"/>
        <v>0</v>
      </c>
      <c r="AX34" s="258"/>
      <c r="AY34" s="258"/>
      <c r="AZ34" s="258"/>
      <c r="BA34" s="258"/>
      <c r="BB34" s="258">
        <f t="shared" si="30"/>
        <v>0</v>
      </c>
      <c r="BC34" s="258"/>
      <c r="BD34" s="258">
        <f t="shared" si="6"/>
        <v>0</v>
      </c>
      <c r="BE34" s="258"/>
      <c r="BF34" s="258"/>
      <c r="BG34" s="258"/>
      <c r="BH34" s="258"/>
      <c r="BI34" s="258">
        <f t="shared" si="31"/>
        <v>0</v>
      </c>
      <c r="BJ34" s="258"/>
      <c r="BK34" s="258">
        <f t="shared" si="7"/>
        <v>0</v>
      </c>
      <c r="BL34" s="258"/>
      <c r="BM34" s="258"/>
      <c r="BN34" s="258"/>
      <c r="BO34" s="258"/>
      <c r="BP34" s="258">
        <f t="shared" si="32"/>
        <v>0</v>
      </c>
      <c r="BQ34" s="258"/>
      <c r="BR34" s="258">
        <f t="shared" si="8"/>
        <v>0</v>
      </c>
      <c r="BS34" s="258"/>
      <c r="BT34" s="258"/>
      <c r="BU34" s="258"/>
      <c r="BV34" s="258"/>
      <c r="BW34" s="258">
        <f t="shared" si="33"/>
        <v>0</v>
      </c>
      <c r="BX34" s="258"/>
      <c r="BY34" s="258">
        <f t="shared" si="9"/>
        <v>0</v>
      </c>
      <c r="BZ34" s="258"/>
      <c r="CA34" s="258"/>
      <c r="CB34" s="258"/>
      <c r="CC34" s="258"/>
      <c r="CD34" s="258">
        <f t="shared" si="34"/>
        <v>0</v>
      </c>
      <c r="CE34" s="258">
        <f t="shared" si="34"/>
        <v>0</v>
      </c>
      <c r="CF34" s="258"/>
      <c r="CG34" s="258"/>
      <c r="CH34" s="258"/>
      <c r="CI34" s="258"/>
      <c r="CJ34" s="258">
        <f t="shared" si="35"/>
        <v>0</v>
      </c>
      <c r="CK34" s="258">
        <f t="shared" si="35"/>
        <v>0</v>
      </c>
      <c r="CL34" s="258"/>
      <c r="CM34" s="258"/>
      <c r="CN34" s="258"/>
      <c r="CO34" s="258"/>
      <c r="CP34" s="258">
        <f t="shared" si="36"/>
        <v>0</v>
      </c>
      <c r="CQ34" s="258">
        <f t="shared" si="36"/>
        <v>0</v>
      </c>
      <c r="CR34" s="258"/>
      <c r="CS34" s="258"/>
      <c r="CT34" s="258"/>
      <c r="CU34" s="258"/>
      <c r="CV34" s="258">
        <f t="shared" si="37"/>
        <v>0</v>
      </c>
      <c r="CW34" s="258">
        <f t="shared" si="37"/>
        <v>0</v>
      </c>
      <c r="CX34" s="258"/>
      <c r="CY34" s="258"/>
      <c r="CZ34" s="258"/>
      <c r="DA34" s="258"/>
      <c r="DB34" s="258">
        <f t="shared" si="38"/>
        <v>0</v>
      </c>
      <c r="DC34" s="258">
        <f t="shared" si="38"/>
        <v>0</v>
      </c>
      <c r="DD34" s="258"/>
      <c r="DE34" s="258"/>
      <c r="DF34" s="258"/>
      <c r="DG34" s="258"/>
      <c r="DH34" s="258">
        <f t="shared" si="39"/>
        <v>0</v>
      </c>
      <c r="DI34" s="258">
        <f t="shared" si="39"/>
        <v>0</v>
      </c>
      <c r="DJ34" s="258">
        <f t="shared" si="10"/>
        <v>0</v>
      </c>
      <c r="DK34" s="258">
        <f t="shared" si="11"/>
        <v>0</v>
      </c>
      <c r="DL34" s="52">
        <f t="shared" si="40"/>
        <v>0</v>
      </c>
      <c r="DM34" s="258">
        <f t="shared" si="12"/>
        <v>0</v>
      </c>
      <c r="DN34" s="258">
        <f t="shared" si="41"/>
        <v>0</v>
      </c>
      <c r="DO34" s="258">
        <f t="shared" si="41"/>
        <v>0</v>
      </c>
    </row>
    <row r="35" spans="1:119" s="278" customFormat="1">
      <c r="A35" s="297">
        <v>27</v>
      </c>
      <c r="B35" s="276" t="s">
        <v>176</v>
      </c>
      <c r="C35" s="298" t="s">
        <v>213</v>
      </c>
      <c r="D35" s="299" t="s">
        <v>214</v>
      </c>
      <c r="E35" s="298" t="s">
        <v>1165</v>
      </c>
      <c r="F35" s="255">
        <f t="shared" si="13"/>
        <v>0</v>
      </c>
      <c r="G35" s="256">
        <f t="shared" si="14"/>
        <v>0</v>
      </c>
      <c r="H35" s="54">
        <v>70000</v>
      </c>
      <c r="I35" s="219">
        <v>0</v>
      </c>
      <c r="J35" s="219">
        <v>0</v>
      </c>
      <c r="K35" s="255">
        <f t="shared" si="15"/>
        <v>0</v>
      </c>
      <c r="L35" s="255">
        <f t="shared" si="16"/>
        <v>0</v>
      </c>
      <c r="M35" s="255">
        <f t="shared" si="17"/>
        <v>0</v>
      </c>
      <c r="N35" s="255">
        <f t="shared" si="18"/>
        <v>0</v>
      </c>
      <c r="O35" s="255" t="str">
        <f t="shared" si="19"/>
        <v>ნულოვანი შესრულება</v>
      </c>
      <c r="P35" s="52"/>
      <c r="Q35" s="52"/>
      <c r="R35" s="52">
        <f t="shared" si="20"/>
        <v>0</v>
      </c>
      <c r="S35" s="52">
        <f t="shared" si="21"/>
        <v>0</v>
      </c>
      <c r="T35" s="52"/>
      <c r="U35" s="52"/>
      <c r="V35" s="52"/>
      <c r="W35" s="52"/>
      <c r="X35" s="52">
        <f t="shared" si="22"/>
        <v>0</v>
      </c>
      <c r="Y35" s="52">
        <f t="shared" si="22"/>
        <v>0</v>
      </c>
      <c r="Z35" s="52"/>
      <c r="AA35" s="52"/>
      <c r="AB35" s="52"/>
      <c r="AC35" s="52"/>
      <c r="AD35" s="52">
        <f t="shared" si="23"/>
        <v>0</v>
      </c>
      <c r="AE35" s="52">
        <f t="shared" si="23"/>
        <v>0</v>
      </c>
      <c r="AF35" s="52">
        <f t="shared" si="24"/>
        <v>0</v>
      </c>
      <c r="AG35" s="52">
        <f t="shared" si="25"/>
        <v>0</v>
      </c>
      <c r="AH35" s="52">
        <f t="shared" si="25"/>
        <v>0</v>
      </c>
      <c r="AI35" s="52">
        <f t="shared" si="26"/>
        <v>0</v>
      </c>
      <c r="AJ35" s="52">
        <f t="shared" si="27"/>
        <v>0</v>
      </c>
      <c r="AK35" s="52">
        <f t="shared" si="27"/>
        <v>0</v>
      </c>
      <c r="AL35" s="258"/>
      <c r="AM35" s="258"/>
      <c r="AN35" s="258"/>
      <c r="AO35" s="258"/>
      <c r="AP35" s="258">
        <f t="shared" si="28"/>
        <v>0</v>
      </c>
      <c r="AQ35" s="258">
        <f t="shared" si="28"/>
        <v>0</v>
      </c>
      <c r="AR35" s="258"/>
      <c r="AS35" s="258"/>
      <c r="AT35" s="258"/>
      <c r="AU35" s="258"/>
      <c r="AV35" s="258">
        <f t="shared" si="29"/>
        <v>0</v>
      </c>
      <c r="AW35" s="258">
        <f t="shared" si="29"/>
        <v>0</v>
      </c>
      <c r="AX35" s="258"/>
      <c r="AY35" s="258"/>
      <c r="AZ35" s="258"/>
      <c r="BA35" s="258"/>
      <c r="BB35" s="258">
        <f t="shared" si="30"/>
        <v>0</v>
      </c>
      <c r="BC35" s="258"/>
      <c r="BD35" s="258">
        <f t="shared" si="6"/>
        <v>0</v>
      </c>
      <c r="BE35" s="258"/>
      <c r="BF35" s="258"/>
      <c r="BG35" s="258"/>
      <c r="BH35" s="258"/>
      <c r="BI35" s="258">
        <f t="shared" si="31"/>
        <v>0</v>
      </c>
      <c r="BJ35" s="258"/>
      <c r="BK35" s="258">
        <f t="shared" si="7"/>
        <v>0</v>
      </c>
      <c r="BL35" s="258"/>
      <c r="BM35" s="258"/>
      <c r="BN35" s="258"/>
      <c r="BO35" s="258"/>
      <c r="BP35" s="258">
        <f t="shared" si="32"/>
        <v>0</v>
      </c>
      <c r="BQ35" s="258"/>
      <c r="BR35" s="258">
        <f t="shared" si="8"/>
        <v>0</v>
      </c>
      <c r="BS35" s="258"/>
      <c r="BT35" s="258"/>
      <c r="BU35" s="258"/>
      <c r="BV35" s="258"/>
      <c r="BW35" s="258">
        <f t="shared" si="33"/>
        <v>0</v>
      </c>
      <c r="BX35" s="258"/>
      <c r="BY35" s="258">
        <f t="shared" si="9"/>
        <v>0</v>
      </c>
      <c r="BZ35" s="258"/>
      <c r="CA35" s="258"/>
      <c r="CB35" s="258"/>
      <c r="CC35" s="258"/>
      <c r="CD35" s="258">
        <f t="shared" si="34"/>
        <v>0</v>
      </c>
      <c r="CE35" s="258">
        <f t="shared" si="34"/>
        <v>0</v>
      </c>
      <c r="CF35" s="258"/>
      <c r="CG35" s="258"/>
      <c r="CH35" s="258"/>
      <c r="CI35" s="258"/>
      <c r="CJ35" s="258">
        <f t="shared" si="35"/>
        <v>0</v>
      </c>
      <c r="CK35" s="258">
        <f t="shared" si="35"/>
        <v>0</v>
      </c>
      <c r="CL35" s="258"/>
      <c r="CM35" s="258"/>
      <c r="CN35" s="258"/>
      <c r="CO35" s="258"/>
      <c r="CP35" s="258">
        <f t="shared" si="36"/>
        <v>0</v>
      </c>
      <c r="CQ35" s="258">
        <f t="shared" si="36"/>
        <v>0</v>
      </c>
      <c r="CR35" s="258"/>
      <c r="CS35" s="258"/>
      <c r="CT35" s="258"/>
      <c r="CU35" s="258"/>
      <c r="CV35" s="258">
        <f t="shared" si="37"/>
        <v>0</v>
      </c>
      <c r="CW35" s="258">
        <f t="shared" si="37"/>
        <v>0</v>
      </c>
      <c r="CX35" s="258"/>
      <c r="CY35" s="258"/>
      <c r="CZ35" s="258"/>
      <c r="DA35" s="258"/>
      <c r="DB35" s="258">
        <f t="shared" si="38"/>
        <v>0</v>
      </c>
      <c r="DC35" s="258">
        <f t="shared" si="38"/>
        <v>0</v>
      </c>
      <c r="DD35" s="258"/>
      <c r="DE35" s="258"/>
      <c r="DF35" s="258"/>
      <c r="DG35" s="258"/>
      <c r="DH35" s="258">
        <f t="shared" si="39"/>
        <v>0</v>
      </c>
      <c r="DI35" s="258">
        <f t="shared" si="39"/>
        <v>0</v>
      </c>
      <c r="DJ35" s="258">
        <f t="shared" si="10"/>
        <v>0</v>
      </c>
      <c r="DK35" s="258">
        <f t="shared" si="11"/>
        <v>0</v>
      </c>
      <c r="DL35" s="52">
        <f t="shared" si="40"/>
        <v>0</v>
      </c>
      <c r="DM35" s="258">
        <f t="shared" si="12"/>
        <v>0</v>
      </c>
      <c r="DN35" s="258">
        <f t="shared" si="41"/>
        <v>0</v>
      </c>
      <c r="DO35" s="258">
        <f t="shared" si="41"/>
        <v>0</v>
      </c>
    </row>
    <row r="36" spans="1:119" s="278" customFormat="1">
      <c r="A36" s="297">
        <v>28</v>
      </c>
      <c r="B36" s="276" t="s">
        <v>168</v>
      </c>
      <c r="C36" s="298" t="s">
        <v>215</v>
      </c>
      <c r="D36" s="299" t="s">
        <v>216</v>
      </c>
      <c r="E36" s="298" t="s">
        <v>1165</v>
      </c>
      <c r="F36" s="255">
        <f t="shared" si="13"/>
        <v>0</v>
      </c>
      <c r="G36" s="256">
        <f t="shared" si="14"/>
        <v>0</v>
      </c>
      <c r="H36" s="54">
        <v>60000</v>
      </c>
      <c r="I36" s="220">
        <v>0</v>
      </c>
      <c r="J36" s="220">
        <v>0</v>
      </c>
      <c r="K36" s="255">
        <f t="shared" si="15"/>
        <v>0</v>
      </c>
      <c r="L36" s="255">
        <f t="shared" si="16"/>
        <v>0</v>
      </c>
      <c r="M36" s="255">
        <f t="shared" si="17"/>
        <v>0</v>
      </c>
      <c r="N36" s="255">
        <f t="shared" si="18"/>
        <v>0</v>
      </c>
      <c r="O36" s="255" t="str">
        <f t="shared" si="19"/>
        <v>ნულოვანი შესრულება</v>
      </c>
      <c r="P36" s="57"/>
      <c r="Q36" s="57"/>
      <c r="R36" s="52">
        <f t="shared" si="20"/>
        <v>0</v>
      </c>
      <c r="S36" s="52">
        <f t="shared" si="21"/>
        <v>0</v>
      </c>
      <c r="T36" s="57"/>
      <c r="U36" s="57"/>
      <c r="V36" s="57"/>
      <c r="W36" s="57"/>
      <c r="X36" s="52">
        <f t="shared" si="22"/>
        <v>0</v>
      </c>
      <c r="Y36" s="52">
        <f t="shared" si="22"/>
        <v>0</v>
      </c>
      <c r="Z36" s="57"/>
      <c r="AA36" s="57"/>
      <c r="AB36" s="57"/>
      <c r="AC36" s="57"/>
      <c r="AD36" s="52">
        <f t="shared" si="23"/>
        <v>0</v>
      </c>
      <c r="AE36" s="52">
        <f t="shared" si="23"/>
        <v>0</v>
      </c>
      <c r="AF36" s="52">
        <f t="shared" si="24"/>
        <v>0</v>
      </c>
      <c r="AG36" s="52">
        <f t="shared" si="25"/>
        <v>0</v>
      </c>
      <c r="AH36" s="52">
        <f t="shared" si="25"/>
        <v>0</v>
      </c>
      <c r="AI36" s="52">
        <f t="shared" si="26"/>
        <v>0</v>
      </c>
      <c r="AJ36" s="52">
        <f t="shared" si="27"/>
        <v>0</v>
      </c>
      <c r="AK36" s="52">
        <f t="shared" si="27"/>
        <v>0</v>
      </c>
      <c r="AL36" s="301"/>
      <c r="AM36" s="301"/>
      <c r="AN36" s="301"/>
      <c r="AO36" s="301"/>
      <c r="AP36" s="258">
        <f t="shared" si="28"/>
        <v>0</v>
      </c>
      <c r="AQ36" s="258">
        <f t="shared" si="28"/>
        <v>0</v>
      </c>
      <c r="AR36" s="301"/>
      <c r="AS36" s="301"/>
      <c r="AT36" s="301"/>
      <c r="AU36" s="301"/>
      <c r="AV36" s="258">
        <f t="shared" si="29"/>
        <v>0</v>
      </c>
      <c r="AW36" s="258">
        <f t="shared" si="29"/>
        <v>0</v>
      </c>
      <c r="AX36" s="301"/>
      <c r="AY36" s="301"/>
      <c r="AZ36" s="301"/>
      <c r="BA36" s="301"/>
      <c r="BB36" s="258">
        <f t="shared" si="30"/>
        <v>0</v>
      </c>
      <c r="BC36" s="258"/>
      <c r="BD36" s="258">
        <f t="shared" si="6"/>
        <v>0</v>
      </c>
      <c r="BE36" s="258"/>
      <c r="BF36" s="258"/>
      <c r="BG36" s="258"/>
      <c r="BH36" s="258"/>
      <c r="BI36" s="258">
        <f t="shared" si="31"/>
        <v>0</v>
      </c>
      <c r="BJ36" s="258"/>
      <c r="BK36" s="258">
        <f t="shared" si="7"/>
        <v>0</v>
      </c>
      <c r="BL36" s="258"/>
      <c r="BM36" s="258"/>
      <c r="BN36" s="258"/>
      <c r="BO36" s="258"/>
      <c r="BP36" s="258">
        <f t="shared" si="32"/>
        <v>0</v>
      </c>
      <c r="BQ36" s="258"/>
      <c r="BR36" s="258">
        <f t="shared" si="8"/>
        <v>0</v>
      </c>
      <c r="BS36" s="258"/>
      <c r="BT36" s="258"/>
      <c r="BU36" s="258"/>
      <c r="BV36" s="258"/>
      <c r="BW36" s="258">
        <f t="shared" si="33"/>
        <v>0</v>
      </c>
      <c r="BX36" s="258"/>
      <c r="BY36" s="258">
        <f t="shared" si="9"/>
        <v>0</v>
      </c>
      <c r="BZ36" s="258"/>
      <c r="CA36" s="258"/>
      <c r="CB36" s="258"/>
      <c r="CC36" s="258"/>
      <c r="CD36" s="258">
        <f t="shared" si="34"/>
        <v>0</v>
      </c>
      <c r="CE36" s="258">
        <f t="shared" si="34"/>
        <v>0</v>
      </c>
      <c r="CF36" s="258"/>
      <c r="CG36" s="258"/>
      <c r="CH36" s="258"/>
      <c r="CI36" s="258"/>
      <c r="CJ36" s="258">
        <f t="shared" si="35"/>
        <v>0</v>
      </c>
      <c r="CK36" s="258">
        <f t="shared" si="35"/>
        <v>0</v>
      </c>
      <c r="CL36" s="258"/>
      <c r="CM36" s="258"/>
      <c r="CN36" s="258"/>
      <c r="CO36" s="258"/>
      <c r="CP36" s="258">
        <f t="shared" si="36"/>
        <v>0</v>
      </c>
      <c r="CQ36" s="258">
        <f t="shared" si="36"/>
        <v>0</v>
      </c>
      <c r="CR36" s="258"/>
      <c r="CS36" s="258"/>
      <c r="CT36" s="258"/>
      <c r="CU36" s="258"/>
      <c r="CV36" s="258">
        <f t="shared" si="37"/>
        <v>0</v>
      </c>
      <c r="CW36" s="258">
        <f t="shared" si="37"/>
        <v>0</v>
      </c>
      <c r="CX36" s="258"/>
      <c r="CY36" s="258"/>
      <c r="CZ36" s="258"/>
      <c r="DA36" s="258"/>
      <c r="DB36" s="258">
        <f t="shared" si="38"/>
        <v>0</v>
      </c>
      <c r="DC36" s="258">
        <f t="shared" si="38"/>
        <v>0</v>
      </c>
      <c r="DD36" s="258"/>
      <c r="DE36" s="258"/>
      <c r="DF36" s="258"/>
      <c r="DG36" s="258"/>
      <c r="DH36" s="258">
        <f t="shared" si="39"/>
        <v>0</v>
      </c>
      <c r="DI36" s="258">
        <f t="shared" si="39"/>
        <v>0</v>
      </c>
      <c r="DJ36" s="258">
        <f t="shared" si="10"/>
        <v>0</v>
      </c>
      <c r="DK36" s="258">
        <f t="shared" si="11"/>
        <v>0</v>
      </c>
      <c r="DL36" s="52">
        <f t="shared" si="40"/>
        <v>0</v>
      </c>
      <c r="DM36" s="258">
        <f t="shared" si="12"/>
        <v>0</v>
      </c>
      <c r="DN36" s="258">
        <f t="shared" si="41"/>
        <v>0</v>
      </c>
      <c r="DO36" s="258">
        <f t="shared" si="41"/>
        <v>0</v>
      </c>
    </row>
    <row r="37" spans="1:119">
      <c r="A37" s="224">
        <v>29</v>
      </c>
      <c r="B37" s="26" t="s">
        <v>58</v>
      </c>
      <c r="C37" s="53" t="s">
        <v>217</v>
      </c>
      <c r="D37" s="227" t="s">
        <v>218</v>
      </c>
      <c r="E37" s="191" t="s">
        <v>1165</v>
      </c>
      <c r="F37" s="161">
        <f t="shared" si="13"/>
        <v>164994</v>
      </c>
      <c r="G37" s="165">
        <f t="shared" si="14"/>
        <v>234994</v>
      </c>
      <c r="H37" s="54">
        <v>190000</v>
      </c>
      <c r="I37" s="219">
        <v>0</v>
      </c>
      <c r="J37" s="219">
        <v>0</v>
      </c>
      <c r="K37" s="127">
        <f t="shared" si="15"/>
        <v>70000</v>
      </c>
      <c r="L37" s="127">
        <f t="shared" si="16"/>
        <v>0</v>
      </c>
      <c r="M37" s="127">
        <f t="shared" si="17"/>
        <v>70000</v>
      </c>
      <c r="N37" s="127">
        <f t="shared" si="18"/>
        <v>164994</v>
      </c>
      <c r="O37" s="125" t="str">
        <f t="shared" si="19"/>
        <v>მიმდინარეობს</v>
      </c>
      <c r="P37" s="52">
        <v>70000</v>
      </c>
      <c r="Q37" s="52"/>
      <c r="R37" s="52">
        <f t="shared" si="20"/>
        <v>70000</v>
      </c>
      <c r="S37" s="52">
        <f t="shared" si="21"/>
        <v>0</v>
      </c>
      <c r="T37" s="52"/>
      <c r="U37" s="52"/>
      <c r="V37" s="52"/>
      <c r="W37" s="52"/>
      <c r="X37" s="52">
        <f t="shared" si="22"/>
        <v>0</v>
      </c>
      <c r="Y37" s="52">
        <f t="shared" si="22"/>
        <v>0</v>
      </c>
      <c r="Z37" s="52"/>
      <c r="AA37" s="52"/>
      <c r="AB37" s="52"/>
      <c r="AC37" s="52"/>
      <c r="AD37" s="52">
        <f t="shared" si="23"/>
        <v>0</v>
      </c>
      <c r="AE37" s="52">
        <f t="shared" si="23"/>
        <v>0</v>
      </c>
      <c r="AF37" s="52">
        <f t="shared" si="24"/>
        <v>70000</v>
      </c>
      <c r="AG37" s="52">
        <f t="shared" si="25"/>
        <v>70000</v>
      </c>
      <c r="AH37" s="52">
        <f t="shared" si="25"/>
        <v>0</v>
      </c>
      <c r="AI37" s="52">
        <f t="shared" si="26"/>
        <v>0</v>
      </c>
      <c r="AJ37" s="52">
        <f t="shared" si="27"/>
        <v>70000</v>
      </c>
      <c r="AK37" s="52">
        <f t="shared" si="27"/>
        <v>70000</v>
      </c>
      <c r="AL37" s="52"/>
      <c r="AM37" s="52"/>
      <c r="AN37" s="52"/>
      <c r="AO37" s="52"/>
      <c r="AP37" s="52">
        <f t="shared" si="28"/>
        <v>0</v>
      </c>
      <c r="AQ37" s="52">
        <f t="shared" si="28"/>
        <v>0</v>
      </c>
      <c r="AR37" s="52"/>
      <c r="AS37" s="59"/>
      <c r="AT37" s="52"/>
      <c r="AU37" s="52"/>
      <c r="AV37" s="52">
        <f t="shared" si="29"/>
        <v>0</v>
      </c>
      <c r="AW37" s="52">
        <f t="shared" si="29"/>
        <v>0</v>
      </c>
      <c r="AX37" s="52"/>
      <c r="AY37" s="52">
        <v>62600</v>
      </c>
      <c r="AZ37" s="52"/>
      <c r="BA37" s="52"/>
      <c r="BB37" s="52">
        <f t="shared" si="30"/>
        <v>0</v>
      </c>
      <c r="BC37" s="52">
        <v>62600</v>
      </c>
      <c r="BD37" s="52">
        <f t="shared" si="6"/>
        <v>62600</v>
      </c>
      <c r="BE37" s="52"/>
      <c r="BF37" s="52">
        <v>10000</v>
      </c>
      <c r="BG37" s="52"/>
      <c r="BH37" s="52"/>
      <c r="BI37" s="52">
        <f t="shared" si="31"/>
        <v>0</v>
      </c>
      <c r="BJ37" s="52">
        <v>10000</v>
      </c>
      <c r="BK37" s="52">
        <f t="shared" si="7"/>
        <v>10000</v>
      </c>
      <c r="BL37" s="52"/>
      <c r="BM37" s="52">
        <v>80000</v>
      </c>
      <c r="BN37" s="52"/>
      <c r="BO37" s="52"/>
      <c r="BP37" s="52">
        <f t="shared" si="32"/>
        <v>0</v>
      </c>
      <c r="BQ37" s="52">
        <v>80000</v>
      </c>
      <c r="BR37" s="52">
        <f t="shared" si="8"/>
        <v>80000</v>
      </c>
      <c r="BS37" s="52"/>
      <c r="BT37" s="52">
        <v>10000</v>
      </c>
      <c r="BU37" s="52"/>
      <c r="BV37" s="52"/>
      <c r="BW37" s="52">
        <f t="shared" si="33"/>
        <v>0</v>
      </c>
      <c r="BX37" s="52">
        <v>12394</v>
      </c>
      <c r="BY37" s="52">
        <f t="shared" si="9"/>
        <v>10000</v>
      </c>
      <c r="BZ37" s="52"/>
      <c r="CA37" s="52"/>
      <c r="CB37" s="52"/>
      <c r="CC37" s="52"/>
      <c r="CD37" s="52">
        <f t="shared" si="34"/>
        <v>0</v>
      </c>
      <c r="CE37" s="52">
        <f t="shared" si="34"/>
        <v>0</v>
      </c>
      <c r="CF37" s="52"/>
      <c r="CG37" s="52"/>
      <c r="CH37" s="52"/>
      <c r="CI37" s="52"/>
      <c r="CJ37" s="52">
        <f t="shared" si="35"/>
        <v>0</v>
      </c>
      <c r="CK37" s="52">
        <f t="shared" si="35"/>
        <v>0</v>
      </c>
      <c r="CL37" s="52"/>
      <c r="CM37" s="52"/>
      <c r="CN37" s="52"/>
      <c r="CO37" s="52"/>
      <c r="CP37" s="52">
        <f t="shared" si="36"/>
        <v>0</v>
      </c>
      <c r="CQ37" s="52">
        <f t="shared" si="36"/>
        <v>0</v>
      </c>
      <c r="CR37" s="52"/>
      <c r="CS37" s="52"/>
      <c r="CT37" s="52"/>
      <c r="CU37" s="52"/>
      <c r="CV37" s="52">
        <f t="shared" si="37"/>
        <v>0</v>
      </c>
      <c r="CW37" s="52">
        <f t="shared" si="37"/>
        <v>0</v>
      </c>
      <c r="CX37" s="52"/>
      <c r="CY37" s="52"/>
      <c r="CZ37" s="52"/>
      <c r="DA37" s="52"/>
      <c r="DB37" s="52">
        <f t="shared" si="38"/>
        <v>0</v>
      </c>
      <c r="DC37" s="52">
        <f t="shared" si="38"/>
        <v>0</v>
      </c>
      <c r="DD37" s="52"/>
      <c r="DE37" s="52"/>
      <c r="DF37" s="52"/>
      <c r="DG37" s="52"/>
      <c r="DH37" s="52">
        <f t="shared" si="39"/>
        <v>0</v>
      </c>
      <c r="DI37" s="52">
        <f t="shared" si="39"/>
        <v>0</v>
      </c>
      <c r="DJ37" s="52">
        <f t="shared" si="10"/>
        <v>0</v>
      </c>
      <c r="DK37" s="52">
        <f t="shared" si="11"/>
        <v>162600</v>
      </c>
      <c r="DL37" s="52">
        <f t="shared" si="40"/>
        <v>164994</v>
      </c>
      <c r="DM37" s="52">
        <f t="shared" si="12"/>
        <v>0</v>
      </c>
      <c r="DN37" s="52">
        <f t="shared" si="41"/>
        <v>164994</v>
      </c>
      <c r="DO37" s="52">
        <f t="shared" si="41"/>
        <v>162600</v>
      </c>
    </row>
    <row r="38" spans="1:119">
      <c r="A38" s="224">
        <v>30</v>
      </c>
      <c r="B38" s="26" t="s">
        <v>29</v>
      </c>
      <c r="C38" s="53" t="s">
        <v>166</v>
      </c>
      <c r="D38" s="190" t="s">
        <v>167</v>
      </c>
      <c r="E38" s="197" t="s">
        <v>1164</v>
      </c>
      <c r="F38" s="161">
        <f t="shared" si="13"/>
        <v>0</v>
      </c>
      <c r="G38" s="165">
        <f t="shared" si="14"/>
        <v>1417.5</v>
      </c>
      <c r="H38" s="60"/>
      <c r="I38" s="220">
        <v>0</v>
      </c>
      <c r="J38" s="220">
        <v>0</v>
      </c>
      <c r="K38" s="127">
        <f t="shared" si="15"/>
        <v>1417.5</v>
      </c>
      <c r="L38" s="127">
        <f t="shared" si="16"/>
        <v>1417.5</v>
      </c>
      <c r="M38" s="127">
        <f t="shared" si="17"/>
        <v>1417.5</v>
      </c>
      <c r="N38" s="127">
        <f t="shared" si="18"/>
        <v>0</v>
      </c>
      <c r="O38" s="125">
        <f t="shared" si="19"/>
        <v>1417.5</v>
      </c>
      <c r="P38" s="57"/>
      <c r="Q38" s="57">
        <v>1417.5</v>
      </c>
      <c r="R38" s="52">
        <f t="shared" si="20"/>
        <v>0</v>
      </c>
      <c r="S38" s="52">
        <f t="shared" si="21"/>
        <v>1417.5</v>
      </c>
      <c r="T38" s="57"/>
      <c r="U38" s="57"/>
      <c r="V38" s="57"/>
      <c r="W38" s="57"/>
      <c r="X38" s="52">
        <f t="shared" si="22"/>
        <v>0</v>
      </c>
      <c r="Y38" s="52">
        <f t="shared" si="22"/>
        <v>0</v>
      </c>
      <c r="Z38" s="57"/>
      <c r="AA38" s="57"/>
      <c r="AB38" s="57"/>
      <c r="AC38" s="57"/>
      <c r="AD38" s="52">
        <f t="shared" si="23"/>
        <v>0</v>
      </c>
      <c r="AE38" s="52">
        <f t="shared" si="23"/>
        <v>0</v>
      </c>
      <c r="AF38" s="52">
        <f t="shared" si="24"/>
        <v>0</v>
      </c>
      <c r="AG38" s="52">
        <f t="shared" si="25"/>
        <v>0</v>
      </c>
      <c r="AH38" s="52">
        <f t="shared" si="25"/>
        <v>1417.5</v>
      </c>
      <c r="AI38" s="52">
        <f t="shared" si="26"/>
        <v>1417.5</v>
      </c>
      <c r="AJ38" s="52">
        <f t="shared" si="27"/>
        <v>1417.5</v>
      </c>
      <c r="AK38" s="52">
        <f t="shared" si="27"/>
        <v>1417.5</v>
      </c>
      <c r="AL38" s="57"/>
      <c r="AM38" s="57"/>
      <c r="AN38" s="57"/>
      <c r="AO38" s="57"/>
      <c r="AP38" s="52">
        <f t="shared" si="28"/>
        <v>0</v>
      </c>
      <c r="AQ38" s="52">
        <f t="shared" si="28"/>
        <v>0</v>
      </c>
      <c r="AR38" s="57"/>
      <c r="AS38" s="52"/>
      <c r="AT38" s="52"/>
      <c r="AU38" s="52"/>
      <c r="AV38" s="52">
        <f t="shared" si="29"/>
        <v>0</v>
      </c>
      <c r="AW38" s="52">
        <f t="shared" si="29"/>
        <v>0</v>
      </c>
      <c r="AX38" s="52"/>
      <c r="AY38" s="52"/>
      <c r="AZ38" s="52"/>
      <c r="BA38" s="52"/>
      <c r="BB38" s="52">
        <f t="shared" si="30"/>
        <v>0</v>
      </c>
      <c r="BC38" s="52"/>
      <c r="BD38" s="52">
        <f t="shared" si="6"/>
        <v>0</v>
      </c>
      <c r="BE38" s="52"/>
      <c r="BF38" s="52"/>
      <c r="BG38" s="52"/>
      <c r="BH38" s="52"/>
      <c r="BI38" s="52">
        <f t="shared" si="31"/>
        <v>0</v>
      </c>
      <c r="BJ38" s="52"/>
      <c r="BK38" s="52">
        <f t="shared" si="7"/>
        <v>0</v>
      </c>
      <c r="BL38" s="52"/>
      <c r="BM38" s="52"/>
      <c r="BN38" s="52"/>
      <c r="BO38" s="52"/>
      <c r="BP38" s="52">
        <f t="shared" si="32"/>
        <v>0</v>
      </c>
      <c r="BQ38" s="52"/>
      <c r="BR38" s="52">
        <f t="shared" si="8"/>
        <v>0</v>
      </c>
      <c r="BS38" s="52"/>
      <c r="BT38" s="52"/>
      <c r="BU38" s="52"/>
      <c r="BV38" s="52"/>
      <c r="BW38" s="52">
        <f t="shared" si="33"/>
        <v>0</v>
      </c>
      <c r="BX38" s="52"/>
      <c r="BY38" s="52">
        <f t="shared" si="9"/>
        <v>0</v>
      </c>
      <c r="BZ38" s="52"/>
      <c r="CA38" s="52"/>
      <c r="CB38" s="52"/>
      <c r="CC38" s="52"/>
      <c r="CD38" s="52">
        <f t="shared" si="34"/>
        <v>0</v>
      </c>
      <c r="CE38" s="52">
        <f t="shared" si="34"/>
        <v>0</v>
      </c>
      <c r="CF38" s="52"/>
      <c r="CG38" s="52"/>
      <c r="CH38" s="52"/>
      <c r="CI38" s="52"/>
      <c r="CJ38" s="52">
        <f t="shared" si="35"/>
        <v>0</v>
      </c>
      <c r="CK38" s="52">
        <f t="shared" si="35"/>
        <v>0</v>
      </c>
      <c r="CL38" s="52"/>
      <c r="CM38" s="52"/>
      <c r="CN38" s="52"/>
      <c r="CO38" s="52"/>
      <c r="CP38" s="52">
        <f t="shared" si="36"/>
        <v>0</v>
      </c>
      <c r="CQ38" s="52">
        <f t="shared" si="36"/>
        <v>0</v>
      </c>
      <c r="CR38" s="52"/>
      <c r="CS38" s="52"/>
      <c r="CT38" s="52"/>
      <c r="CU38" s="52"/>
      <c r="CV38" s="52">
        <f t="shared" si="37"/>
        <v>0</v>
      </c>
      <c r="CW38" s="52">
        <f t="shared" si="37"/>
        <v>0</v>
      </c>
      <c r="CX38" s="52"/>
      <c r="CY38" s="52"/>
      <c r="CZ38" s="52"/>
      <c r="DA38" s="52"/>
      <c r="DB38" s="52">
        <f t="shared" si="38"/>
        <v>0</v>
      </c>
      <c r="DC38" s="52">
        <f t="shared" si="38"/>
        <v>0</v>
      </c>
      <c r="DD38" s="52"/>
      <c r="DE38" s="52"/>
      <c r="DF38" s="52"/>
      <c r="DG38" s="52"/>
      <c r="DH38" s="52">
        <f t="shared" si="39"/>
        <v>0</v>
      </c>
      <c r="DI38" s="52">
        <f t="shared" si="39"/>
        <v>0</v>
      </c>
      <c r="DJ38" s="52">
        <f t="shared" si="10"/>
        <v>0</v>
      </c>
      <c r="DK38" s="52">
        <f t="shared" si="11"/>
        <v>0</v>
      </c>
      <c r="DL38" s="52">
        <f t="shared" si="40"/>
        <v>0</v>
      </c>
      <c r="DM38" s="52">
        <f t="shared" si="12"/>
        <v>0</v>
      </c>
      <c r="DN38" s="52">
        <f t="shared" si="41"/>
        <v>0</v>
      </c>
      <c r="DO38" s="52">
        <f t="shared" si="41"/>
        <v>0</v>
      </c>
    </row>
    <row r="39" spans="1:119">
      <c r="A39" s="224">
        <v>31</v>
      </c>
      <c r="B39" s="26" t="s">
        <v>29</v>
      </c>
      <c r="C39" s="53" t="s">
        <v>219</v>
      </c>
      <c r="D39" s="189" t="s">
        <v>220</v>
      </c>
      <c r="E39" s="195" t="s">
        <v>1165</v>
      </c>
      <c r="F39" s="161">
        <f t="shared" si="13"/>
        <v>0</v>
      </c>
      <c r="G39" s="165">
        <f t="shared" si="14"/>
        <v>8023.47</v>
      </c>
      <c r="H39" s="54"/>
      <c r="I39" s="219">
        <v>0</v>
      </c>
      <c r="J39" s="219">
        <v>0</v>
      </c>
      <c r="K39" s="127">
        <f t="shared" si="15"/>
        <v>8023.47</v>
      </c>
      <c r="L39" s="127">
        <f t="shared" si="16"/>
        <v>8023.47</v>
      </c>
      <c r="M39" s="127">
        <f t="shared" si="17"/>
        <v>8023.47</v>
      </c>
      <c r="N39" s="127">
        <f t="shared" si="18"/>
        <v>0</v>
      </c>
      <c r="O39" s="125">
        <f t="shared" si="19"/>
        <v>8023.47</v>
      </c>
      <c r="P39" s="52"/>
      <c r="Q39" s="52">
        <v>8023.47</v>
      </c>
      <c r="R39" s="52">
        <f t="shared" si="20"/>
        <v>0</v>
      </c>
      <c r="S39" s="52">
        <f t="shared" si="21"/>
        <v>8023.47</v>
      </c>
      <c r="T39" s="52"/>
      <c r="U39" s="52"/>
      <c r="V39" s="52"/>
      <c r="W39" s="52"/>
      <c r="X39" s="52">
        <f t="shared" si="22"/>
        <v>0</v>
      </c>
      <c r="Y39" s="52">
        <f t="shared" si="22"/>
        <v>0</v>
      </c>
      <c r="Z39" s="52"/>
      <c r="AA39" s="52"/>
      <c r="AB39" s="52"/>
      <c r="AC39" s="52"/>
      <c r="AD39" s="52">
        <f t="shared" si="23"/>
        <v>0</v>
      </c>
      <c r="AE39" s="52">
        <f t="shared" si="23"/>
        <v>0</v>
      </c>
      <c r="AF39" s="52">
        <f t="shared" si="24"/>
        <v>0</v>
      </c>
      <c r="AG39" s="52">
        <f t="shared" si="25"/>
        <v>0</v>
      </c>
      <c r="AH39" s="52">
        <f t="shared" si="25"/>
        <v>8023.47</v>
      </c>
      <c r="AI39" s="52">
        <f t="shared" si="26"/>
        <v>8023.47</v>
      </c>
      <c r="AJ39" s="52">
        <f t="shared" si="27"/>
        <v>8023.47</v>
      </c>
      <c r="AK39" s="52">
        <f t="shared" si="27"/>
        <v>8023.47</v>
      </c>
      <c r="AL39" s="52"/>
      <c r="AM39" s="52"/>
      <c r="AN39" s="52"/>
      <c r="AO39" s="52"/>
      <c r="AP39" s="52">
        <f t="shared" si="28"/>
        <v>0</v>
      </c>
      <c r="AQ39" s="52">
        <f t="shared" si="28"/>
        <v>0</v>
      </c>
      <c r="AR39" s="52"/>
      <c r="AS39" s="52"/>
      <c r="AT39" s="52"/>
      <c r="AU39" s="52"/>
      <c r="AV39" s="52">
        <f t="shared" si="29"/>
        <v>0</v>
      </c>
      <c r="AW39" s="52">
        <f t="shared" si="29"/>
        <v>0</v>
      </c>
      <c r="AX39" s="52"/>
      <c r="AY39" s="52"/>
      <c r="AZ39" s="52"/>
      <c r="BA39" s="52"/>
      <c r="BB39" s="52">
        <f t="shared" si="30"/>
        <v>0</v>
      </c>
      <c r="BC39" s="52"/>
      <c r="BD39" s="52">
        <f t="shared" si="6"/>
        <v>0</v>
      </c>
      <c r="BE39" s="52"/>
      <c r="BF39" s="52"/>
      <c r="BG39" s="52"/>
      <c r="BH39" s="52"/>
      <c r="BI39" s="52">
        <f t="shared" si="31"/>
        <v>0</v>
      </c>
      <c r="BJ39" s="52"/>
      <c r="BK39" s="52">
        <f t="shared" si="7"/>
        <v>0</v>
      </c>
      <c r="BL39" s="52"/>
      <c r="BM39" s="52"/>
      <c r="BN39" s="52"/>
      <c r="BO39" s="52"/>
      <c r="BP39" s="52">
        <f t="shared" si="32"/>
        <v>0</v>
      </c>
      <c r="BQ39" s="52"/>
      <c r="BR39" s="52">
        <f t="shared" si="8"/>
        <v>0</v>
      </c>
      <c r="BS39" s="52"/>
      <c r="BT39" s="52"/>
      <c r="BU39" s="52"/>
      <c r="BV39" s="52"/>
      <c r="BW39" s="52">
        <f t="shared" si="33"/>
        <v>0</v>
      </c>
      <c r="BX39" s="52"/>
      <c r="BY39" s="52">
        <f t="shared" si="9"/>
        <v>0</v>
      </c>
      <c r="BZ39" s="52"/>
      <c r="CA39" s="52"/>
      <c r="CB39" s="52"/>
      <c r="CC39" s="52"/>
      <c r="CD39" s="52">
        <f t="shared" si="34"/>
        <v>0</v>
      </c>
      <c r="CE39" s="52">
        <f t="shared" si="34"/>
        <v>0</v>
      </c>
      <c r="CF39" s="52"/>
      <c r="CG39" s="52"/>
      <c r="CH39" s="52"/>
      <c r="CI39" s="52"/>
      <c r="CJ39" s="52">
        <f t="shared" si="35"/>
        <v>0</v>
      </c>
      <c r="CK39" s="52">
        <f t="shared" si="35"/>
        <v>0</v>
      </c>
      <c r="CL39" s="52"/>
      <c r="CM39" s="52"/>
      <c r="CN39" s="52"/>
      <c r="CO39" s="52"/>
      <c r="CP39" s="52">
        <f t="shared" si="36"/>
        <v>0</v>
      </c>
      <c r="CQ39" s="52">
        <f t="shared" si="36"/>
        <v>0</v>
      </c>
      <c r="CR39" s="52"/>
      <c r="CS39" s="52"/>
      <c r="CT39" s="52"/>
      <c r="CU39" s="52"/>
      <c r="CV39" s="52">
        <f t="shared" si="37"/>
        <v>0</v>
      </c>
      <c r="CW39" s="52">
        <f t="shared" si="37"/>
        <v>0</v>
      </c>
      <c r="CX39" s="52"/>
      <c r="CY39" s="52"/>
      <c r="CZ39" s="52"/>
      <c r="DA39" s="52"/>
      <c r="DB39" s="52">
        <f t="shared" si="38"/>
        <v>0</v>
      </c>
      <c r="DC39" s="52">
        <f t="shared" si="38"/>
        <v>0</v>
      </c>
      <c r="DD39" s="52"/>
      <c r="DE39" s="52"/>
      <c r="DF39" s="52"/>
      <c r="DG39" s="52"/>
      <c r="DH39" s="52">
        <f t="shared" si="39"/>
        <v>0</v>
      </c>
      <c r="DI39" s="52">
        <f t="shared" si="39"/>
        <v>0</v>
      </c>
      <c r="DJ39" s="52">
        <f t="shared" si="10"/>
        <v>0</v>
      </c>
      <c r="DK39" s="52">
        <f t="shared" si="11"/>
        <v>0</v>
      </c>
      <c r="DL39" s="52">
        <f t="shared" si="40"/>
        <v>0</v>
      </c>
      <c r="DM39" s="52">
        <f t="shared" si="12"/>
        <v>0</v>
      </c>
      <c r="DN39" s="52">
        <f t="shared" si="41"/>
        <v>0</v>
      </c>
      <c r="DO39" s="52">
        <f t="shared" si="41"/>
        <v>0</v>
      </c>
    </row>
    <row r="40" spans="1:119">
      <c r="A40" s="224">
        <v>32</v>
      </c>
      <c r="B40" s="26" t="s">
        <v>29</v>
      </c>
      <c r="C40" s="53" t="s">
        <v>30</v>
      </c>
      <c r="D40" s="189" t="s">
        <v>221</v>
      </c>
      <c r="E40" s="195" t="s">
        <v>1164</v>
      </c>
      <c r="F40" s="161">
        <f t="shared" si="13"/>
        <v>0</v>
      </c>
      <c r="G40" s="165">
        <f t="shared" si="14"/>
        <v>15454.25</v>
      </c>
      <c r="H40" s="54"/>
      <c r="I40" s="219">
        <v>0</v>
      </c>
      <c r="J40" s="219">
        <v>0</v>
      </c>
      <c r="K40" s="127">
        <f t="shared" si="15"/>
        <v>15454.25</v>
      </c>
      <c r="L40" s="127">
        <f t="shared" si="16"/>
        <v>15454.25</v>
      </c>
      <c r="M40" s="127">
        <f t="shared" si="17"/>
        <v>15454.25</v>
      </c>
      <c r="N40" s="127">
        <f t="shared" si="18"/>
        <v>0</v>
      </c>
      <c r="O40" s="125">
        <f t="shared" si="19"/>
        <v>15454.25</v>
      </c>
      <c r="P40" s="52"/>
      <c r="Q40" s="52">
        <v>15454.25</v>
      </c>
      <c r="R40" s="52">
        <f t="shared" si="20"/>
        <v>0</v>
      </c>
      <c r="S40" s="52">
        <f t="shared" si="21"/>
        <v>15454.25</v>
      </c>
      <c r="T40" s="52"/>
      <c r="U40" s="52"/>
      <c r="V40" s="52"/>
      <c r="W40" s="52"/>
      <c r="X40" s="52">
        <f t="shared" si="22"/>
        <v>0</v>
      </c>
      <c r="Y40" s="52">
        <f t="shared" si="22"/>
        <v>0</v>
      </c>
      <c r="Z40" s="52"/>
      <c r="AA40" s="52"/>
      <c r="AB40" s="52"/>
      <c r="AC40" s="52"/>
      <c r="AD40" s="52">
        <f t="shared" si="23"/>
        <v>0</v>
      </c>
      <c r="AE40" s="52">
        <f t="shared" si="23"/>
        <v>0</v>
      </c>
      <c r="AF40" s="52">
        <f t="shared" si="24"/>
        <v>0</v>
      </c>
      <c r="AG40" s="52">
        <f t="shared" si="25"/>
        <v>0</v>
      </c>
      <c r="AH40" s="52">
        <f t="shared" si="25"/>
        <v>15454.25</v>
      </c>
      <c r="AI40" s="52">
        <f t="shared" si="26"/>
        <v>15454.25</v>
      </c>
      <c r="AJ40" s="52">
        <f t="shared" si="27"/>
        <v>15454.25</v>
      </c>
      <c r="AK40" s="52">
        <f t="shared" si="27"/>
        <v>15454.25</v>
      </c>
      <c r="AL40" s="52"/>
      <c r="AM40" s="52"/>
      <c r="AN40" s="52"/>
      <c r="AO40" s="52"/>
      <c r="AP40" s="52">
        <f t="shared" si="28"/>
        <v>0</v>
      </c>
      <c r="AQ40" s="52">
        <f t="shared" si="28"/>
        <v>0</v>
      </c>
      <c r="AR40" s="52"/>
      <c r="AS40" s="52"/>
      <c r="AT40" s="52"/>
      <c r="AU40" s="52"/>
      <c r="AV40" s="52">
        <f t="shared" si="29"/>
        <v>0</v>
      </c>
      <c r="AW40" s="52">
        <f t="shared" si="29"/>
        <v>0</v>
      </c>
      <c r="AX40" s="52"/>
      <c r="AY40" s="52"/>
      <c r="AZ40" s="52"/>
      <c r="BA40" s="52"/>
      <c r="BB40" s="52">
        <f t="shared" si="30"/>
        <v>0</v>
      </c>
      <c r="BC40" s="52"/>
      <c r="BD40" s="52">
        <f t="shared" si="6"/>
        <v>0</v>
      </c>
      <c r="BE40" s="52"/>
      <c r="BF40" s="52"/>
      <c r="BG40" s="52"/>
      <c r="BH40" s="52"/>
      <c r="BI40" s="52">
        <f t="shared" si="31"/>
        <v>0</v>
      </c>
      <c r="BJ40" s="52"/>
      <c r="BK40" s="52">
        <f t="shared" si="7"/>
        <v>0</v>
      </c>
      <c r="BL40" s="52"/>
      <c r="BM40" s="52"/>
      <c r="BN40" s="52"/>
      <c r="BO40" s="52"/>
      <c r="BP40" s="52">
        <f t="shared" si="32"/>
        <v>0</v>
      </c>
      <c r="BQ40" s="52"/>
      <c r="BR40" s="52">
        <f t="shared" si="8"/>
        <v>0</v>
      </c>
      <c r="BS40" s="52"/>
      <c r="BT40" s="52"/>
      <c r="BU40" s="52"/>
      <c r="BV40" s="52"/>
      <c r="BW40" s="52">
        <f t="shared" si="33"/>
        <v>0</v>
      </c>
      <c r="BX40" s="52"/>
      <c r="BY40" s="52">
        <f t="shared" si="9"/>
        <v>0</v>
      </c>
      <c r="BZ40" s="52"/>
      <c r="CA40" s="52"/>
      <c r="CB40" s="52"/>
      <c r="CC40" s="52"/>
      <c r="CD40" s="52">
        <f t="shared" si="34"/>
        <v>0</v>
      </c>
      <c r="CE40" s="52">
        <f t="shared" si="34"/>
        <v>0</v>
      </c>
      <c r="CF40" s="52"/>
      <c r="CG40" s="52"/>
      <c r="CH40" s="52"/>
      <c r="CI40" s="52"/>
      <c r="CJ40" s="52">
        <f t="shared" si="35"/>
        <v>0</v>
      </c>
      <c r="CK40" s="52">
        <f t="shared" si="35"/>
        <v>0</v>
      </c>
      <c r="CL40" s="52"/>
      <c r="CM40" s="52"/>
      <c r="CN40" s="52"/>
      <c r="CO40" s="52"/>
      <c r="CP40" s="52">
        <f t="shared" si="36"/>
        <v>0</v>
      </c>
      <c r="CQ40" s="52">
        <f t="shared" si="36"/>
        <v>0</v>
      </c>
      <c r="CR40" s="52"/>
      <c r="CS40" s="52"/>
      <c r="CT40" s="52"/>
      <c r="CU40" s="52"/>
      <c r="CV40" s="52">
        <f t="shared" si="37"/>
        <v>0</v>
      </c>
      <c r="CW40" s="52">
        <f t="shared" si="37"/>
        <v>0</v>
      </c>
      <c r="CX40" s="52"/>
      <c r="CY40" s="52"/>
      <c r="CZ40" s="52"/>
      <c r="DA40" s="52"/>
      <c r="DB40" s="52">
        <f t="shared" si="38"/>
        <v>0</v>
      </c>
      <c r="DC40" s="52">
        <f t="shared" si="38"/>
        <v>0</v>
      </c>
      <c r="DD40" s="52"/>
      <c r="DE40" s="52"/>
      <c r="DF40" s="52"/>
      <c r="DG40" s="52"/>
      <c r="DH40" s="52">
        <f t="shared" si="39"/>
        <v>0</v>
      </c>
      <c r="DI40" s="52">
        <f t="shared" si="39"/>
        <v>0</v>
      </c>
      <c r="DJ40" s="52">
        <f t="shared" si="10"/>
        <v>0</v>
      </c>
      <c r="DK40" s="52">
        <f t="shared" si="11"/>
        <v>0</v>
      </c>
      <c r="DL40" s="52">
        <f t="shared" si="40"/>
        <v>0</v>
      </c>
      <c r="DM40" s="52">
        <f t="shared" si="12"/>
        <v>0</v>
      </c>
      <c r="DN40" s="52">
        <f t="shared" si="41"/>
        <v>0</v>
      </c>
      <c r="DO40" s="52">
        <f t="shared" si="41"/>
        <v>0</v>
      </c>
    </row>
    <row r="41" spans="1:119">
      <c r="A41" s="224">
        <v>33</v>
      </c>
      <c r="B41" s="26" t="s">
        <v>29</v>
      </c>
      <c r="C41" s="53" t="s">
        <v>222</v>
      </c>
      <c r="D41" s="227" t="s">
        <v>223</v>
      </c>
      <c r="E41" s="191" t="s">
        <v>1165</v>
      </c>
      <c r="F41" s="161">
        <f t="shared" si="13"/>
        <v>156152</v>
      </c>
      <c r="G41" s="165">
        <f t="shared" si="14"/>
        <v>226152</v>
      </c>
      <c r="H41" s="54">
        <v>180000</v>
      </c>
      <c r="I41" s="219">
        <v>0</v>
      </c>
      <c r="J41" s="219">
        <v>0</v>
      </c>
      <c r="K41" s="127">
        <f t="shared" si="15"/>
        <v>70000</v>
      </c>
      <c r="L41" s="127">
        <f t="shared" si="16"/>
        <v>0</v>
      </c>
      <c r="M41" s="127">
        <f t="shared" si="17"/>
        <v>70000</v>
      </c>
      <c r="N41" s="127">
        <f t="shared" si="18"/>
        <v>156152</v>
      </c>
      <c r="O41" s="125">
        <f t="shared" si="19"/>
        <v>283649.11</v>
      </c>
      <c r="P41" s="52">
        <v>70000</v>
      </c>
      <c r="Q41" s="52"/>
      <c r="R41" s="52">
        <f t="shared" si="20"/>
        <v>70000</v>
      </c>
      <c r="S41" s="52">
        <f t="shared" si="21"/>
        <v>0</v>
      </c>
      <c r="T41" s="52"/>
      <c r="U41" s="52"/>
      <c r="V41" s="52"/>
      <c r="W41" s="52"/>
      <c r="X41" s="52">
        <f t="shared" si="22"/>
        <v>0</v>
      </c>
      <c r="Y41" s="52">
        <f t="shared" si="22"/>
        <v>0</v>
      </c>
      <c r="Z41" s="52"/>
      <c r="AA41" s="52"/>
      <c r="AB41" s="52"/>
      <c r="AC41" s="52"/>
      <c r="AD41" s="52">
        <f t="shared" si="23"/>
        <v>0</v>
      </c>
      <c r="AE41" s="52">
        <f t="shared" si="23"/>
        <v>0</v>
      </c>
      <c r="AF41" s="52">
        <f t="shared" si="24"/>
        <v>70000</v>
      </c>
      <c r="AG41" s="52">
        <f t="shared" si="25"/>
        <v>70000</v>
      </c>
      <c r="AH41" s="52">
        <f t="shared" si="25"/>
        <v>0</v>
      </c>
      <c r="AI41" s="52">
        <f t="shared" si="26"/>
        <v>0</v>
      </c>
      <c r="AJ41" s="52">
        <f t="shared" si="27"/>
        <v>70000</v>
      </c>
      <c r="AK41" s="52">
        <f t="shared" si="27"/>
        <v>70000</v>
      </c>
      <c r="AL41" s="52"/>
      <c r="AM41" s="52"/>
      <c r="AN41" s="52"/>
      <c r="AO41" s="52"/>
      <c r="AP41" s="52">
        <f t="shared" si="28"/>
        <v>0</v>
      </c>
      <c r="AQ41" s="52">
        <f t="shared" si="28"/>
        <v>0</v>
      </c>
      <c r="AR41" s="52"/>
      <c r="AS41" s="52"/>
      <c r="AT41" s="52"/>
      <c r="AU41" s="52"/>
      <c r="AV41" s="52">
        <f t="shared" si="29"/>
        <v>0</v>
      </c>
      <c r="AW41" s="52">
        <f t="shared" si="29"/>
        <v>0</v>
      </c>
      <c r="AX41" s="52"/>
      <c r="AY41" s="52">
        <v>70000</v>
      </c>
      <c r="AZ41" s="52"/>
      <c r="BA41" s="52"/>
      <c r="BB41" s="52">
        <f t="shared" si="30"/>
        <v>0</v>
      </c>
      <c r="BC41" s="52">
        <v>70000</v>
      </c>
      <c r="BD41" s="52">
        <f t="shared" ref="BD41:BD72" si="42">AY41+BA41</f>
        <v>70000</v>
      </c>
      <c r="BE41" s="52"/>
      <c r="BF41" s="52">
        <v>30000</v>
      </c>
      <c r="BG41" s="52"/>
      <c r="BH41" s="52"/>
      <c r="BI41" s="52">
        <f t="shared" si="31"/>
        <v>0</v>
      </c>
      <c r="BJ41" s="52">
        <v>30000</v>
      </c>
      <c r="BK41" s="52">
        <f t="shared" ref="BK41:BK72" si="43">BF41+BH41</f>
        <v>30000</v>
      </c>
      <c r="BL41" s="52"/>
      <c r="BM41" s="52">
        <v>30000</v>
      </c>
      <c r="BN41" s="52"/>
      <c r="BO41" s="52"/>
      <c r="BP41" s="52">
        <f t="shared" si="32"/>
        <v>0</v>
      </c>
      <c r="BQ41" s="52">
        <v>30000</v>
      </c>
      <c r="BR41" s="52">
        <f t="shared" ref="BR41:BR72" si="44">BM41+BO41</f>
        <v>30000</v>
      </c>
      <c r="BS41" s="52"/>
      <c r="BT41" s="52">
        <v>20000</v>
      </c>
      <c r="BU41" s="52"/>
      <c r="BV41" s="52"/>
      <c r="BW41" s="52">
        <f t="shared" si="33"/>
        <v>0</v>
      </c>
      <c r="BX41" s="52">
        <v>26152</v>
      </c>
      <c r="BY41" s="52">
        <f t="shared" ref="BY41:BY72" si="45">BT41+BV41</f>
        <v>20000</v>
      </c>
      <c r="BZ41" s="52"/>
      <c r="CA41" s="52"/>
      <c r="CB41" s="52"/>
      <c r="CC41" s="52"/>
      <c r="CD41" s="52">
        <f t="shared" si="34"/>
        <v>0</v>
      </c>
      <c r="CE41" s="52">
        <f t="shared" si="34"/>
        <v>0</v>
      </c>
      <c r="CF41" s="52"/>
      <c r="CG41" s="52"/>
      <c r="CH41" s="52"/>
      <c r="CI41" s="52"/>
      <c r="CJ41" s="52">
        <f t="shared" si="35"/>
        <v>0</v>
      </c>
      <c r="CK41" s="52">
        <f t="shared" si="35"/>
        <v>0</v>
      </c>
      <c r="CL41" s="52"/>
      <c r="CM41" s="52"/>
      <c r="CN41" s="52"/>
      <c r="CO41" s="52"/>
      <c r="CP41" s="52">
        <f t="shared" si="36"/>
        <v>0</v>
      </c>
      <c r="CQ41" s="52">
        <f t="shared" si="36"/>
        <v>0</v>
      </c>
      <c r="CR41" s="52"/>
      <c r="CS41" s="52"/>
      <c r="CT41" s="52"/>
      <c r="CU41" s="52"/>
      <c r="CV41" s="52">
        <f t="shared" si="37"/>
        <v>0</v>
      </c>
      <c r="CW41" s="52">
        <f t="shared" si="37"/>
        <v>0</v>
      </c>
      <c r="CX41" s="52"/>
      <c r="CY41" s="52"/>
      <c r="CZ41" s="52"/>
      <c r="DA41" s="52">
        <v>63649.11</v>
      </c>
      <c r="DB41" s="52">
        <f t="shared" si="38"/>
        <v>0</v>
      </c>
      <c r="DC41" s="52">
        <f t="shared" si="38"/>
        <v>63649.11</v>
      </c>
      <c r="DD41" s="52"/>
      <c r="DE41" s="52"/>
      <c r="DF41" s="52"/>
      <c r="DG41" s="52"/>
      <c r="DH41" s="52">
        <f t="shared" si="39"/>
        <v>0</v>
      </c>
      <c r="DI41" s="52">
        <f t="shared" si="39"/>
        <v>0</v>
      </c>
      <c r="DJ41" s="52">
        <f t="shared" ref="DJ41:DJ72" si="46">AL41+AR41+AX41+BE41+BL41+BS41+BZ41+CF41+CL41+CR41+CX41+DD41</f>
        <v>0</v>
      </c>
      <c r="DK41" s="52">
        <f t="shared" ref="DK41:DK72" si="47">AM41+AS41+AY41+BF41+BM41+BT41+CA41+CG41+CM41+CS41+CY41+DE41</f>
        <v>150000</v>
      </c>
      <c r="DL41" s="52">
        <f t="shared" si="40"/>
        <v>156152</v>
      </c>
      <c r="DM41" s="52">
        <f t="shared" ref="DM41:DM72" si="48">AO41+AU41+BA41+BH41+BO41+BV41+CC41+CI41+CO41+CU41+DA41+DG41</f>
        <v>63649.11</v>
      </c>
      <c r="DN41" s="52">
        <f t="shared" si="41"/>
        <v>156152</v>
      </c>
      <c r="DO41" s="52">
        <f t="shared" si="41"/>
        <v>213649.11</v>
      </c>
    </row>
    <row r="42" spans="1:119">
      <c r="A42" s="224">
        <v>34</v>
      </c>
      <c r="B42" s="26" t="s">
        <v>202</v>
      </c>
      <c r="C42" s="53" t="s">
        <v>211</v>
      </c>
      <c r="D42" s="228" t="s">
        <v>224</v>
      </c>
      <c r="E42" s="198" t="s">
        <v>1164</v>
      </c>
      <c r="F42" s="161">
        <f t="shared" si="13"/>
        <v>0</v>
      </c>
      <c r="G42" s="165">
        <f t="shared" si="14"/>
        <v>4539.5</v>
      </c>
      <c r="H42" s="60"/>
      <c r="I42" s="219">
        <v>0</v>
      </c>
      <c r="J42" s="219">
        <v>0</v>
      </c>
      <c r="K42" s="127">
        <f t="shared" si="15"/>
        <v>4539.5</v>
      </c>
      <c r="L42" s="127">
        <f t="shared" si="16"/>
        <v>4539.5</v>
      </c>
      <c r="M42" s="127">
        <f t="shared" si="17"/>
        <v>4539.5</v>
      </c>
      <c r="N42" s="127">
        <f t="shared" si="18"/>
        <v>0</v>
      </c>
      <c r="O42" s="125">
        <f t="shared" si="19"/>
        <v>4539.5</v>
      </c>
      <c r="P42" s="52"/>
      <c r="Q42" s="52">
        <v>4539.5</v>
      </c>
      <c r="R42" s="52">
        <f t="shared" si="20"/>
        <v>0</v>
      </c>
      <c r="S42" s="52">
        <f t="shared" si="21"/>
        <v>4539.5</v>
      </c>
      <c r="T42" s="52"/>
      <c r="U42" s="52"/>
      <c r="V42" s="52"/>
      <c r="W42" s="52"/>
      <c r="X42" s="52">
        <f t="shared" si="22"/>
        <v>0</v>
      </c>
      <c r="Y42" s="52">
        <f t="shared" si="22"/>
        <v>0</v>
      </c>
      <c r="Z42" s="52"/>
      <c r="AA42" s="52"/>
      <c r="AB42" s="52"/>
      <c r="AC42" s="52"/>
      <c r="AD42" s="52">
        <f t="shared" si="23"/>
        <v>0</v>
      </c>
      <c r="AE42" s="52">
        <f t="shared" si="23"/>
        <v>0</v>
      </c>
      <c r="AF42" s="52">
        <f t="shared" si="24"/>
        <v>0</v>
      </c>
      <c r="AG42" s="52">
        <f t="shared" si="25"/>
        <v>0</v>
      </c>
      <c r="AH42" s="52">
        <f t="shared" si="25"/>
        <v>4539.5</v>
      </c>
      <c r="AI42" s="52">
        <f t="shared" si="26"/>
        <v>4539.5</v>
      </c>
      <c r="AJ42" s="52">
        <f t="shared" si="27"/>
        <v>4539.5</v>
      </c>
      <c r="AK42" s="52">
        <f t="shared" si="27"/>
        <v>4539.5</v>
      </c>
      <c r="AL42" s="52"/>
      <c r="AM42" s="52"/>
      <c r="AN42" s="52"/>
      <c r="AO42" s="52"/>
      <c r="AP42" s="52">
        <f t="shared" si="28"/>
        <v>0</v>
      </c>
      <c r="AQ42" s="52">
        <f t="shared" si="28"/>
        <v>0</v>
      </c>
      <c r="AR42" s="52"/>
      <c r="AS42" s="52"/>
      <c r="AT42" s="52"/>
      <c r="AU42" s="52"/>
      <c r="AV42" s="52">
        <f t="shared" si="29"/>
        <v>0</v>
      </c>
      <c r="AW42" s="52">
        <f t="shared" si="29"/>
        <v>0</v>
      </c>
      <c r="AX42" s="52"/>
      <c r="AY42" s="52"/>
      <c r="AZ42" s="52"/>
      <c r="BA42" s="52"/>
      <c r="BB42" s="52">
        <f t="shared" si="30"/>
        <v>0</v>
      </c>
      <c r="BC42" s="52"/>
      <c r="BD42" s="52">
        <f t="shared" si="42"/>
        <v>0</v>
      </c>
      <c r="BE42" s="52"/>
      <c r="BF42" s="52"/>
      <c r="BG42" s="52"/>
      <c r="BH42" s="52"/>
      <c r="BI42" s="52">
        <f t="shared" si="31"/>
        <v>0</v>
      </c>
      <c r="BJ42" s="52"/>
      <c r="BK42" s="52">
        <f t="shared" si="43"/>
        <v>0</v>
      </c>
      <c r="BL42" s="52"/>
      <c r="BM42" s="52"/>
      <c r="BN42" s="52"/>
      <c r="BO42" s="52"/>
      <c r="BP42" s="52">
        <f t="shared" si="32"/>
        <v>0</v>
      </c>
      <c r="BQ42" s="52"/>
      <c r="BR42" s="52">
        <f t="shared" si="44"/>
        <v>0</v>
      </c>
      <c r="BS42" s="52"/>
      <c r="BT42" s="52"/>
      <c r="BU42" s="52"/>
      <c r="BV42" s="52"/>
      <c r="BW42" s="52">
        <f t="shared" si="33"/>
        <v>0</v>
      </c>
      <c r="BX42" s="52"/>
      <c r="BY42" s="52">
        <f t="shared" si="45"/>
        <v>0</v>
      </c>
      <c r="BZ42" s="52"/>
      <c r="CA42" s="52"/>
      <c r="CB42" s="52"/>
      <c r="CC42" s="52"/>
      <c r="CD42" s="52">
        <f t="shared" si="34"/>
        <v>0</v>
      </c>
      <c r="CE42" s="52">
        <f t="shared" si="34"/>
        <v>0</v>
      </c>
      <c r="CF42" s="52"/>
      <c r="CG42" s="52"/>
      <c r="CH42" s="52"/>
      <c r="CI42" s="52"/>
      <c r="CJ42" s="52">
        <f t="shared" si="35"/>
        <v>0</v>
      </c>
      <c r="CK42" s="52">
        <f t="shared" si="35"/>
        <v>0</v>
      </c>
      <c r="CL42" s="52"/>
      <c r="CM42" s="52"/>
      <c r="CN42" s="52"/>
      <c r="CO42" s="52"/>
      <c r="CP42" s="52">
        <f t="shared" si="36"/>
        <v>0</v>
      </c>
      <c r="CQ42" s="52">
        <f t="shared" si="36"/>
        <v>0</v>
      </c>
      <c r="CR42" s="52"/>
      <c r="CS42" s="52"/>
      <c r="CT42" s="52"/>
      <c r="CU42" s="52"/>
      <c r="CV42" s="52">
        <f t="shared" si="37"/>
        <v>0</v>
      </c>
      <c r="CW42" s="52">
        <f t="shared" si="37"/>
        <v>0</v>
      </c>
      <c r="CX42" s="52"/>
      <c r="CY42" s="52"/>
      <c r="CZ42" s="52"/>
      <c r="DA42" s="52"/>
      <c r="DB42" s="52">
        <f t="shared" si="38"/>
        <v>0</v>
      </c>
      <c r="DC42" s="52">
        <f t="shared" si="38"/>
        <v>0</v>
      </c>
      <c r="DD42" s="52"/>
      <c r="DE42" s="52"/>
      <c r="DF42" s="52"/>
      <c r="DG42" s="52"/>
      <c r="DH42" s="52">
        <f t="shared" si="39"/>
        <v>0</v>
      </c>
      <c r="DI42" s="52">
        <f t="shared" si="39"/>
        <v>0</v>
      </c>
      <c r="DJ42" s="52">
        <f t="shared" si="46"/>
        <v>0</v>
      </c>
      <c r="DK42" s="52">
        <f t="shared" si="47"/>
        <v>0</v>
      </c>
      <c r="DL42" s="52">
        <f t="shared" si="40"/>
        <v>0</v>
      </c>
      <c r="DM42" s="52">
        <f t="shared" si="48"/>
        <v>0</v>
      </c>
      <c r="DN42" s="52">
        <f t="shared" si="41"/>
        <v>0</v>
      </c>
      <c r="DO42" s="52">
        <f t="shared" si="41"/>
        <v>0</v>
      </c>
    </row>
    <row r="43" spans="1:119">
      <c r="A43" s="224">
        <v>35</v>
      </c>
      <c r="B43" s="26" t="s">
        <v>202</v>
      </c>
      <c r="C43" s="53" t="s">
        <v>225</v>
      </c>
      <c r="D43" s="227" t="s">
        <v>226</v>
      </c>
      <c r="E43" s="191" t="s">
        <v>1165</v>
      </c>
      <c r="F43" s="161">
        <f t="shared" si="13"/>
        <v>13772</v>
      </c>
      <c r="G43" s="165">
        <f t="shared" si="14"/>
        <v>13772</v>
      </c>
      <c r="H43" s="54">
        <v>105000</v>
      </c>
      <c r="I43" s="219">
        <v>0</v>
      </c>
      <c r="J43" s="219">
        <v>0</v>
      </c>
      <c r="K43" s="127">
        <f t="shared" si="15"/>
        <v>0</v>
      </c>
      <c r="L43" s="127">
        <f t="shared" si="16"/>
        <v>0</v>
      </c>
      <c r="M43" s="127">
        <f t="shared" si="17"/>
        <v>0</v>
      </c>
      <c r="N43" s="127">
        <f t="shared" si="18"/>
        <v>13772</v>
      </c>
      <c r="O43" s="125">
        <f t="shared" si="19"/>
        <v>66637.13</v>
      </c>
      <c r="P43" s="52"/>
      <c r="Q43" s="52"/>
      <c r="R43" s="52">
        <f t="shared" si="20"/>
        <v>0</v>
      </c>
      <c r="S43" s="52">
        <f t="shared" si="21"/>
        <v>0</v>
      </c>
      <c r="T43" s="52"/>
      <c r="U43" s="52"/>
      <c r="V43" s="52"/>
      <c r="W43" s="52"/>
      <c r="X43" s="52">
        <f t="shared" si="22"/>
        <v>0</v>
      </c>
      <c r="Y43" s="52">
        <f t="shared" si="22"/>
        <v>0</v>
      </c>
      <c r="Z43" s="52"/>
      <c r="AA43" s="52"/>
      <c r="AB43" s="52"/>
      <c r="AC43" s="52"/>
      <c r="AD43" s="52">
        <f t="shared" si="23"/>
        <v>0</v>
      </c>
      <c r="AE43" s="52">
        <f t="shared" si="23"/>
        <v>0</v>
      </c>
      <c r="AF43" s="52">
        <f t="shared" si="24"/>
        <v>0</v>
      </c>
      <c r="AG43" s="52">
        <f t="shared" si="25"/>
        <v>0</v>
      </c>
      <c r="AH43" s="52">
        <f t="shared" si="25"/>
        <v>0</v>
      </c>
      <c r="AI43" s="52">
        <f t="shared" si="26"/>
        <v>0</v>
      </c>
      <c r="AJ43" s="52">
        <f t="shared" si="27"/>
        <v>0</v>
      </c>
      <c r="AK43" s="52">
        <f t="shared" si="27"/>
        <v>0</v>
      </c>
      <c r="AL43" s="52"/>
      <c r="AM43" s="52"/>
      <c r="AN43" s="52"/>
      <c r="AO43" s="52"/>
      <c r="AP43" s="52">
        <f t="shared" si="28"/>
        <v>0</v>
      </c>
      <c r="AQ43" s="52">
        <f t="shared" si="28"/>
        <v>0</v>
      </c>
      <c r="AR43" s="52"/>
      <c r="AS43" s="52">
        <v>50000</v>
      </c>
      <c r="AT43" s="52"/>
      <c r="AU43" s="52"/>
      <c r="AV43" s="52">
        <f t="shared" si="29"/>
        <v>0</v>
      </c>
      <c r="AW43" s="52">
        <f t="shared" si="29"/>
        <v>50000</v>
      </c>
      <c r="AX43" s="52"/>
      <c r="AY43" s="52"/>
      <c r="AZ43" s="52"/>
      <c r="BA43" s="52"/>
      <c r="BB43" s="52">
        <f t="shared" si="30"/>
        <v>0</v>
      </c>
      <c r="BC43" s="52"/>
      <c r="BD43" s="52">
        <f t="shared" si="42"/>
        <v>0</v>
      </c>
      <c r="BE43" s="52"/>
      <c r="BF43" s="52"/>
      <c r="BG43" s="52"/>
      <c r="BH43" s="52">
        <v>16637.13</v>
      </c>
      <c r="BI43" s="52">
        <f t="shared" si="31"/>
        <v>0</v>
      </c>
      <c r="BJ43" s="52">
        <v>13772</v>
      </c>
      <c r="BK43" s="52">
        <f t="shared" si="43"/>
        <v>16637.13</v>
      </c>
      <c r="BL43" s="52"/>
      <c r="BM43" s="52"/>
      <c r="BN43" s="52"/>
      <c r="BO43" s="52"/>
      <c r="BP43" s="52">
        <f t="shared" si="32"/>
        <v>0</v>
      </c>
      <c r="BQ43" s="52"/>
      <c r="BR43" s="52">
        <f t="shared" si="44"/>
        <v>0</v>
      </c>
      <c r="BS43" s="52"/>
      <c r="BT43" s="52"/>
      <c r="BU43" s="52"/>
      <c r="BV43" s="52"/>
      <c r="BW43" s="52">
        <f t="shared" si="33"/>
        <v>0</v>
      </c>
      <c r="BX43" s="52"/>
      <c r="BY43" s="52">
        <f t="shared" si="45"/>
        <v>0</v>
      </c>
      <c r="BZ43" s="52"/>
      <c r="CA43" s="52"/>
      <c r="CB43" s="52"/>
      <c r="CC43" s="52"/>
      <c r="CD43" s="52">
        <f t="shared" si="34"/>
        <v>0</v>
      </c>
      <c r="CE43" s="52">
        <f t="shared" si="34"/>
        <v>0</v>
      </c>
      <c r="CF43" s="52"/>
      <c r="CG43" s="52"/>
      <c r="CH43" s="52"/>
      <c r="CI43" s="52"/>
      <c r="CJ43" s="52">
        <f t="shared" si="35"/>
        <v>0</v>
      </c>
      <c r="CK43" s="52">
        <f t="shared" si="35"/>
        <v>0</v>
      </c>
      <c r="CL43" s="52"/>
      <c r="CM43" s="52"/>
      <c r="CN43" s="52"/>
      <c r="CO43" s="52"/>
      <c r="CP43" s="52">
        <f t="shared" si="36"/>
        <v>0</v>
      </c>
      <c r="CQ43" s="52">
        <f t="shared" si="36"/>
        <v>0</v>
      </c>
      <c r="CR43" s="52"/>
      <c r="CS43" s="52"/>
      <c r="CT43" s="52"/>
      <c r="CU43" s="52"/>
      <c r="CV43" s="52">
        <f t="shared" si="37"/>
        <v>0</v>
      </c>
      <c r="CW43" s="52">
        <f t="shared" si="37"/>
        <v>0</v>
      </c>
      <c r="CX43" s="52"/>
      <c r="CY43" s="52"/>
      <c r="CZ43" s="52"/>
      <c r="DA43" s="52"/>
      <c r="DB43" s="52">
        <f t="shared" si="38"/>
        <v>0</v>
      </c>
      <c r="DC43" s="52">
        <f t="shared" si="38"/>
        <v>0</v>
      </c>
      <c r="DD43" s="52"/>
      <c r="DE43" s="52"/>
      <c r="DF43" s="52"/>
      <c r="DG43" s="52"/>
      <c r="DH43" s="52">
        <f t="shared" si="39"/>
        <v>0</v>
      </c>
      <c r="DI43" s="52">
        <f t="shared" si="39"/>
        <v>0</v>
      </c>
      <c r="DJ43" s="52">
        <f t="shared" si="46"/>
        <v>0</v>
      </c>
      <c r="DK43" s="52">
        <f t="shared" si="47"/>
        <v>50000</v>
      </c>
      <c r="DL43" s="52">
        <f t="shared" si="40"/>
        <v>13772</v>
      </c>
      <c r="DM43" s="52">
        <f t="shared" si="48"/>
        <v>16637.13</v>
      </c>
      <c r="DN43" s="52">
        <f t="shared" si="41"/>
        <v>13772</v>
      </c>
      <c r="DO43" s="52">
        <f t="shared" si="41"/>
        <v>66637.13</v>
      </c>
    </row>
    <row r="44" spans="1:119">
      <c r="A44" s="224">
        <v>36</v>
      </c>
      <c r="B44" s="26" t="s">
        <v>202</v>
      </c>
      <c r="C44" s="53" t="s">
        <v>225</v>
      </c>
      <c r="D44" s="227" t="s">
        <v>227</v>
      </c>
      <c r="E44" s="191" t="s">
        <v>1164</v>
      </c>
      <c r="F44" s="161">
        <f t="shared" si="13"/>
        <v>0</v>
      </c>
      <c r="G44" s="165">
        <f t="shared" si="14"/>
        <v>1172.5</v>
      </c>
      <c r="H44" s="54"/>
      <c r="I44" s="219">
        <v>0</v>
      </c>
      <c r="J44" s="219">
        <v>0</v>
      </c>
      <c r="K44" s="127">
        <f t="shared" si="15"/>
        <v>1172.5</v>
      </c>
      <c r="L44" s="127">
        <f t="shared" si="16"/>
        <v>1172.5</v>
      </c>
      <c r="M44" s="127">
        <f t="shared" si="17"/>
        <v>1172.5</v>
      </c>
      <c r="N44" s="127">
        <f t="shared" si="18"/>
        <v>0</v>
      </c>
      <c r="O44" s="125">
        <f t="shared" si="19"/>
        <v>1172.5</v>
      </c>
      <c r="P44" s="52"/>
      <c r="Q44" s="52">
        <v>1172.5</v>
      </c>
      <c r="R44" s="52">
        <f t="shared" si="20"/>
        <v>0</v>
      </c>
      <c r="S44" s="52">
        <f t="shared" si="21"/>
        <v>1172.5</v>
      </c>
      <c r="T44" s="52"/>
      <c r="U44" s="52"/>
      <c r="V44" s="52"/>
      <c r="W44" s="52"/>
      <c r="X44" s="52">
        <f t="shared" si="22"/>
        <v>0</v>
      </c>
      <c r="Y44" s="52">
        <f t="shared" si="22"/>
        <v>0</v>
      </c>
      <c r="Z44" s="52"/>
      <c r="AA44" s="52"/>
      <c r="AB44" s="52"/>
      <c r="AC44" s="52"/>
      <c r="AD44" s="52">
        <f t="shared" si="23"/>
        <v>0</v>
      </c>
      <c r="AE44" s="52">
        <f t="shared" si="23"/>
        <v>0</v>
      </c>
      <c r="AF44" s="52">
        <f t="shared" si="24"/>
        <v>0</v>
      </c>
      <c r="AG44" s="52">
        <f t="shared" si="25"/>
        <v>0</v>
      </c>
      <c r="AH44" s="52">
        <f t="shared" si="25"/>
        <v>1172.5</v>
      </c>
      <c r="AI44" s="52">
        <f t="shared" si="26"/>
        <v>1172.5</v>
      </c>
      <c r="AJ44" s="52">
        <f t="shared" si="27"/>
        <v>1172.5</v>
      </c>
      <c r="AK44" s="52">
        <f t="shared" si="27"/>
        <v>1172.5</v>
      </c>
      <c r="AL44" s="52"/>
      <c r="AM44" s="52"/>
      <c r="AN44" s="52"/>
      <c r="AO44" s="52"/>
      <c r="AP44" s="52">
        <f t="shared" si="28"/>
        <v>0</v>
      </c>
      <c r="AQ44" s="52">
        <f t="shared" si="28"/>
        <v>0</v>
      </c>
      <c r="AR44" s="52"/>
      <c r="AS44" s="52"/>
      <c r="AT44" s="52"/>
      <c r="AU44" s="52"/>
      <c r="AV44" s="52">
        <f t="shared" si="29"/>
        <v>0</v>
      </c>
      <c r="AW44" s="52">
        <f t="shared" si="29"/>
        <v>0</v>
      </c>
      <c r="AX44" s="52"/>
      <c r="AY44" s="52"/>
      <c r="AZ44" s="52"/>
      <c r="BA44" s="52"/>
      <c r="BB44" s="52">
        <f t="shared" si="30"/>
        <v>0</v>
      </c>
      <c r="BC44" s="52"/>
      <c r="BD44" s="52">
        <f t="shared" si="42"/>
        <v>0</v>
      </c>
      <c r="BE44" s="52"/>
      <c r="BF44" s="52"/>
      <c r="BG44" s="52"/>
      <c r="BH44" s="52"/>
      <c r="BI44" s="52">
        <f t="shared" si="31"/>
        <v>0</v>
      </c>
      <c r="BJ44" s="52"/>
      <c r="BK44" s="52">
        <f t="shared" si="43"/>
        <v>0</v>
      </c>
      <c r="BL44" s="52"/>
      <c r="BM44" s="52"/>
      <c r="BN44" s="52"/>
      <c r="BO44" s="52"/>
      <c r="BP44" s="52">
        <f t="shared" si="32"/>
        <v>0</v>
      </c>
      <c r="BQ44" s="52"/>
      <c r="BR44" s="52">
        <f t="shared" si="44"/>
        <v>0</v>
      </c>
      <c r="BS44" s="52"/>
      <c r="BT44" s="52"/>
      <c r="BU44" s="52"/>
      <c r="BV44" s="52"/>
      <c r="BW44" s="52">
        <f t="shared" si="33"/>
        <v>0</v>
      </c>
      <c r="BX44" s="52"/>
      <c r="BY44" s="52">
        <f t="shared" si="45"/>
        <v>0</v>
      </c>
      <c r="BZ44" s="52"/>
      <c r="CA44" s="52"/>
      <c r="CB44" s="52"/>
      <c r="CC44" s="52"/>
      <c r="CD44" s="52">
        <f t="shared" si="34"/>
        <v>0</v>
      </c>
      <c r="CE44" s="52">
        <f t="shared" si="34"/>
        <v>0</v>
      </c>
      <c r="CF44" s="52"/>
      <c r="CG44" s="52"/>
      <c r="CH44" s="52"/>
      <c r="CI44" s="52"/>
      <c r="CJ44" s="52">
        <f t="shared" si="35"/>
        <v>0</v>
      </c>
      <c r="CK44" s="52">
        <f t="shared" si="35"/>
        <v>0</v>
      </c>
      <c r="CL44" s="52"/>
      <c r="CM44" s="52"/>
      <c r="CN44" s="52"/>
      <c r="CO44" s="52"/>
      <c r="CP44" s="52">
        <f t="shared" si="36"/>
        <v>0</v>
      </c>
      <c r="CQ44" s="52">
        <f t="shared" si="36"/>
        <v>0</v>
      </c>
      <c r="CR44" s="52"/>
      <c r="CS44" s="52"/>
      <c r="CT44" s="52"/>
      <c r="CU44" s="52"/>
      <c r="CV44" s="52">
        <f t="shared" si="37"/>
        <v>0</v>
      </c>
      <c r="CW44" s="52">
        <f t="shared" si="37"/>
        <v>0</v>
      </c>
      <c r="CX44" s="52"/>
      <c r="CY44" s="52"/>
      <c r="CZ44" s="52"/>
      <c r="DA44" s="52"/>
      <c r="DB44" s="52">
        <f t="shared" si="38"/>
        <v>0</v>
      </c>
      <c r="DC44" s="52">
        <f t="shared" si="38"/>
        <v>0</v>
      </c>
      <c r="DD44" s="52"/>
      <c r="DE44" s="52"/>
      <c r="DF44" s="52"/>
      <c r="DG44" s="52"/>
      <c r="DH44" s="52">
        <f t="shared" si="39"/>
        <v>0</v>
      </c>
      <c r="DI44" s="52">
        <f t="shared" si="39"/>
        <v>0</v>
      </c>
      <c r="DJ44" s="52">
        <f t="shared" si="46"/>
        <v>0</v>
      </c>
      <c r="DK44" s="52">
        <f t="shared" si="47"/>
        <v>0</v>
      </c>
      <c r="DL44" s="52">
        <f t="shared" si="40"/>
        <v>0</v>
      </c>
      <c r="DM44" s="52">
        <f t="shared" si="48"/>
        <v>0</v>
      </c>
      <c r="DN44" s="52">
        <f t="shared" si="41"/>
        <v>0</v>
      </c>
      <c r="DO44" s="52">
        <f t="shared" si="41"/>
        <v>0</v>
      </c>
    </row>
    <row r="45" spans="1:119">
      <c r="A45" s="224">
        <v>37</v>
      </c>
      <c r="B45" s="26" t="s">
        <v>202</v>
      </c>
      <c r="C45" s="53" t="s">
        <v>228</v>
      </c>
      <c r="D45" s="227" t="s">
        <v>229</v>
      </c>
      <c r="E45" s="191" t="s">
        <v>1165</v>
      </c>
      <c r="F45" s="161">
        <f t="shared" si="13"/>
        <v>23621</v>
      </c>
      <c r="G45" s="165">
        <f t="shared" si="14"/>
        <v>138621</v>
      </c>
      <c r="H45" s="54">
        <v>90000</v>
      </c>
      <c r="I45" s="219">
        <v>0</v>
      </c>
      <c r="J45" s="219">
        <v>0</v>
      </c>
      <c r="K45" s="127">
        <f t="shared" si="15"/>
        <v>115000</v>
      </c>
      <c r="L45" s="127">
        <f t="shared" si="16"/>
        <v>0</v>
      </c>
      <c r="M45" s="127">
        <f t="shared" si="17"/>
        <v>115000</v>
      </c>
      <c r="N45" s="127">
        <f t="shared" si="18"/>
        <v>23621</v>
      </c>
      <c r="O45" s="125">
        <f t="shared" si="19"/>
        <v>260916.87</v>
      </c>
      <c r="P45" s="52">
        <v>115000</v>
      </c>
      <c r="Q45" s="52"/>
      <c r="R45" s="52">
        <f t="shared" si="20"/>
        <v>115000</v>
      </c>
      <c r="S45" s="52">
        <f t="shared" si="21"/>
        <v>0</v>
      </c>
      <c r="T45" s="52"/>
      <c r="U45" s="52"/>
      <c r="V45" s="52"/>
      <c r="W45" s="52"/>
      <c r="X45" s="52">
        <f t="shared" si="22"/>
        <v>0</v>
      </c>
      <c r="Y45" s="52">
        <f t="shared" si="22"/>
        <v>0</v>
      </c>
      <c r="Z45" s="52"/>
      <c r="AA45" s="52"/>
      <c r="AB45" s="52"/>
      <c r="AC45" s="52"/>
      <c r="AD45" s="52">
        <f t="shared" si="23"/>
        <v>0</v>
      </c>
      <c r="AE45" s="52">
        <f t="shared" si="23"/>
        <v>0</v>
      </c>
      <c r="AF45" s="52">
        <f t="shared" si="24"/>
        <v>115000</v>
      </c>
      <c r="AG45" s="52">
        <f t="shared" si="25"/>
        <v>115000</v>
      </c>
      <c r="AH45" s="52">
        <f t="shared" si="25"/>
        <v>0</v>
      </c>
      <c r="AI45" s="52">
        <f t="shared" si="26"/>
        <v>0</v>
      </c>
      <c r="AJ45" s="52">
        <f t="shared" si="27"/>
        <v>115000</v>
      </c>
      <c r="AK45" s="52">
        <f t="shared" si="27"/>
        <v>115000</v>
      </c>
      <c r="AL45" s="52"/>
      <c r="AM45" s="52"/>
      <c r="AN45" s="52"/>
      <c r="AO45" s="52"/>
      <c r="AP45" s="52">
        <f t="shared" si="28"/>
        <v>0</v>
      </c>
      <c r="AQ45" s="52">
        <f t="shared" si="28"/>
        <v>0</v>
      </c>
      <c r="AR45" s="52"/>
      <c r="AS45" s="52">
        <v>140000</v>
      </c>
      <c r="AT45" s="52"/>
      <c r="AU45" s="52"/>
      <c r="AV45" s="52">
        <f t="shared" si="29"/>
        <v>0</v>
      </c>
      <c r="AW45" s="52">
        <f t="shared" si="29"/>
        <v>140000</v>
      </c>
      <c r="AX45" s="52"/>
      <c r="AY45" s="52"/>
      <c r="AZ45" s="52"/>
      <c r="BA45" s="52"/>
      <c r="BB45" s="52">
        <f t="shared" si="30"/>
        <v>0</v>
      </c>
      <c r="BC45" s="52"/>
      <c r="BD45" s="52">
        <f t="shared" si="42"/>
        <v>0</v>
      </c>
      <c r="BE45" s="52"/>
      <c r="BF45" s="52"/>
      <c r="BG45" s="52"/>
      <c r="BH45" s="52">
        <v>5916.87</v>
      </c>
      <c r="BI45" s="52">
        <f t="shared" si="31"/>
        <v>0</v>
      </c>
      <c r="BJ45" s="52">
        <v>23621</v>
      </c>
      <c r="BK45" s="52">
        <f t="shared" si="43"/>
        <v>5916.87</v>
      </c>
      <c r="BL45" s="52"/>
      <c r="BM45" s="52"/>
      <c r="BN45" s="52"/>
      <c r="BO45" s="52"/>
      <c r="BP45" s="52">
        <f t="shared" si="32"/>
        <v>0</v>
      </c>
      <c r="BQ45" s="52"/>
      <c r="BR45" s="52">
        <f t="shared" si="44"/>
        <v>0</v>
      </c>
      <c r="BS45" s="52"/>
      <c r="BT45" s="52"/>
      <c r="BU45" s="52"/>
      <c r="BV45" s="52"/>
      <c r="BW45" s="52">
        <f t="shared" si="33"/>
        <v>0</v>
      </c>
      <c r="BX45" s="52"/>
      <c r="BY45" s="52">
        <f t="shared" si="45"/>
        <v>0</v>
      </c>
      <c r="BZ45" s="52"/>
      <c r="CA45" s="52"/>
      <c r="CB45" s="52"/>
      <c r="CC45" s="52"/>
      <c r="CD45" s="52">
        <f t="shared" si="34"/>
        <v>0</v>
      </c>
      <c r="CE45" s="52">
        <f t="shared" si="34"/>
        <v>0</v>
      </c>
      <c r="CF45" s="52"/>
      <c r="CG45" s="52"/>
      <c r="CH45" s="52"/>
      <c r="CI45" s="52"/>
      <c r="CJ45" s="52">
        <f t="shared" si="35"/>
        <v>0</v>
      </c>
      <c r="CK45" s="52">
        <f t="shared" si="35"/>
        <v>0</v>
      </c>
      <c r="CL45" s="52"/>
      <c r="CM45" s="52"/>
      <c r="CN45" s="52"/>
      <c r="CO45" s="52"/>
      <c r="CP45" s="52">
        <f t="shared" si="36"/>
        <v>0</v>
      </c>
      <c r="CQ45" s="52">
        <f t="shared" si="36"/>
        <v>0</v>
      </c>
      <c r="CR45" s="52"/>
      <c r="CS45" s="52"/>
      <c r="CT45" s="52"/>
      <c r="CU45" s="52"/>
      <c r="CV45" s="52">
        <f t="shared" si="37"/>
        <v>0</v>
      </c>
      <c r="CW45" s="52">
        <f t="shared" si="37"/>
        <v>0</v>
      </c>
      <c r="CX45" s="52"/>
      <c r="CY45" s="52"/>
      <c r="CZ45" s="52"/>
      <c r="DA45" s="52"/>
      <c r="DB45" s="52">
        <f t="shared" si="38"/>
        <v>0</v>
      </c>
      <c r="DC45" s="52">
        <f t="shared" si="38"/>
        <v>0</v>
      </c>
      <c r="DD45" s="52"/>
      <c r="DE45" s="52"/>
      <c r="DF45" s="52"/>
      <c r="DG45" s="52"/>
      <c r="DH45" s="52">
        <f t="shared" si="39"/>
        <v>0</v>
      </c>
      <c r="DI45" s="52">
        <f t="shared" si="39"/>
        <v>0</v>
      </c>
      <c r="DJ45" s="52">
        <f t="shared" si="46"/>
        <v>0</v>
      </c>
      <c r="DK45" s="52">
        <f t="shared" si="47"/>
        <v>140000</v>
      </c>
      <c r="DL45" s="52">
        <f t="shared" si="40"/>
        <v>23621</v>
      </c>
      <c r="DM45" s="52">
        <f t="shared" si="48"/>
        <v>5916.87</v>
      </c>
      <c r="DN45" s="52">
        <f t="shared" si="41"/>
        <v>23621</v>
      </c>
      <c r="DO45" s="52">
        <f t="shared" si="41"/>
        <v>145916.87</v>
      </c>
    </row>
    <row r="46" spans="1:119">
      <c r="A46" s="224">
        <v>38</v>
      </c>
      <c r="B46" s="26" t="s">
        <v>202</v>
      </c>
      <c r="C46" s="53" t="s">
        <v>228</v>
      </c>
      <c r="D46" s="227" t="s">
        <v>229</v>
      </c>
      <c r="E46" s="191" t="s">
        <v>1164</v>
      </c>
      <c r="F46" s="161">
        <f t="shared" si="13"/>
        <v>0</v>
      </c>
      <c r="G46" s="165">
        <f t="shared" si="14"/>
        <v>2957.5</v>
      </c>
      <c r="H46" s="54"/>
      <c r="I46" s="219">
        <v>0</v>
      </c>
      <c r="J46" s="219">
        <v>0</v>
      </c>
      <c r="K46" s="127">
        <f t="shared" si="15"/>
        <v>2957.5</v>
      </c>
      <c r="L46" s="127">
        <f t="shared" si="16"/>
        <v>2957.5</v>
      </c>
      <c r="M46" s="127">
        <f t="shared" si="17"/>
        <v>2957.5</v>
      </c>
      <c r="N46" s="127">
        <f t="shared" si="18"/>
        <v>0</v>
      </c>
      <c r="O46" s="125">
        <f t="shared" si="19"/>
        <v>2957.5</v>
      </c>
      <c r="P46" s="52"/>
      <c r="Q46" s="52">
        <v>2957.5</v>
      </c>
      <c r="R46" s="52">
        <f t="shared" si="20"/>
        <v>0</v>
      </c>
      <c r="S46" s="52">
        <f t="shared" si="21"/>
        <v>2957.5</v>
      </c>
      <c r="T46" s="52"/>
      <c r="U46" s="52"/>
      <c r="V46" s="52"/>
      <c r="W46" s="52"/>
      <c r="X46" s="52">
        <f t="shared" si="22"/>
        <v>0</v>
      </c>
      <c r="Y46" s="52">
        <f t="shared" si="22"/>
        <v>0</v>
      </c>
      <c r="Z46" s="52"/>
      <c r="AA46" s="52"/>
      <c r="AB46" s="52"/>
      <c r="AC46" s="52"/>
      <c r="AD46" s="52">
        <f t="shared" si="23"/>
        <v>0</v>
      </c>
      <c r="AE46" s="52">
        <f t="shared" si="23"/>
        <v>0</v>
      </c>
      <c r="AF46" s="52">
        <f t="shared" si="24"/>
        <v>0</v>
      </c>
      <c r="AG46" s="52">
        <f t="shared" si="25"/>
        <v>0</v>
      </c>
      <c r="AH46" s="52">
        <f t="shared" si="25"/>
        <v>2957.5</v>
      </c>
      <c r="AI46" s="52">
        <f t="shared" si="26"/>
        <v>2957.5</v>
      </c>
      <c r="AJ46" s="52">
        <f t="shared" si="27"/>
        <v>2957.5</v>
      </c>
      <c r="AK46" s="52">
        <f t="shared" si="27"/>
        <v>2957.5</v>
      </c>
      <c r="AL46" s="52"/>
      <c r="AM46" s="52"/>
      <c r="AN46" s="52"/>
      <c r="AO46" s="52"/>
      <c r="AP46" s="52">
        <f t="shared" si="28"/>
        <v>0</v>
      </c>
      <c r="AQ46" s="52">
        <f t="shared" si="28"/>
        <v>0</v>
      </c>
      <c r="AR46" s="52"/>
      <c r="AS46" s="52"/>
      <c r="AT46" s="52"/>
      <c r="AU46" s="52"/>
      <c r="AV46" s="52">
        <f t="shared" si="29"/>
        <v>0</v>
      </c>
      <c r="AW46" s="52">
        <f t="shared" si="29"/>
        <v>0</v>
      </c>
      <c r="AX46" s="52"/>
      <c r="AY46" s="52"/>
      <c r="AZ46" s="52"/>
      <c r="BA46" s="52"/>
      <c r="BB46" s="52">
        <f t="shared" si="30"/>
        <v>0</v>
      </c>
      <c r="BC46" s="52"/>
      <c r="BD46" s="52">
        <f t="shared" si="42"/>
        <v>0</v>
      </c>
      <c r="BE46" s="52"/>
      <c r="BF46" s="52"/>
      <c r="BG46" s="52"/>
      <c r="BH46" s="52"/>
      <c r="BI46" s="52">
        <f t="shared" si="31"/>
        <v>0</v>
      </c>
      <c r="BJ46" s="52"/>
      <c r="BK46" s="52">
        <f t="shared" si="43"/>
        <v>0</v>
      </c>
      <c r="BL46" s="52"/>
      <c r="BM46" s="52"/>
      <c r="BN46" s="52"/>
      <c r="BO46" s="52"/>
      <c r="BP46" s="52">
        <f t="shared" si="32"/>
        <v>0</v>
      </c>
      <c r="BQ46" s="52"/>
      <c r="BR46" s="52">
        <f t="shared" si="44"/>
        <v>0</v>
      </c>
      <c r="BS46" s="52"/>
      <c r="BT46" s="52"/>
      <c r="BU46" s="52"/>
      <c r="BV46" s="52"/>
      <c r="BW46" s="52">
        <f t="shared" si="33"/>
        <v>0</v>
      </c>
      <c r="BX46" s="52"/>
      <c r="BY46" s="52">
        <f t="shared" si="45"/>
        <v>0</v>
      </c>
      <c r="BZ46" s="52"/>
      <c r="CA46" s="52"/>
      <c r="CB46" s="52"/>
      <c r="CC46" s="52"/>
      <c r="CD46" s="52">
        <f t="shared" si="34"/>
        <v>0</v>
      </c>
      <c r="CE46" s="52">
        <f t="shared" si="34"/>
        <v>0</v>
      </c>
      <c r="CF46" s="52"/>
      <c r="CG46" s="52"/>
      <c r="CH46" s="52"/>
      <c r="CI46" s="52"/>
      <c r="CJ46" s="52">
        <f t="shared" si="35"/>
        <v>0</v>
      </c>
      <c r="CK46" s="52">
        <f t="shared" si="35"/>
        <v>0</v>
      </c>
      <c r="CL46" s="52"/>
      <c r="CM46" s="52"/>
      <c r="CN46" s="52"/>
      <c r="CO46" s="52"/>
      <c r="CP46" s="52">
        <f t="shared" si="36"/>
        <v>0</v>
      </c>
      <c r="CQ46" s="52">
        <f t="shared" si="36"/>
        <v>0</v>
      </c>
      <c r="CR46" s="52"/>
      <c r="CS46" s="52"/>
      <c r="CT46" s="52"/>
      <c r="CU46" s="52"/>
      <c r="CV46" s="52">
        <f t="shared" si="37"/>
        <v>0</v>
      </c>
      <c r="CW46" s="52">
        <f t="shared" si="37"/>
        <v>0</v>
      </c>
      <c r="CX46" s="52"/>
      <c r="CY46" s="52"/>
      <c r="CZ46" s="52"/>
      <c r="DA46" s="52"/>
      <c r="DB46" s="52">
        <f t="shared" si="38"/>
        <v>0</v>
      </c>
      <c r="DC46" s="52">
        <f t="shared" si="38"/>
        <v>0</v>
      </c>
      <c r="DD46" s="52"/>
      <c r="DE46" s="52"/>
      <c r="DF46" s="52"/>
      <c r="DG46" s="52"/>
      <c r="DH46" s="52">
        <f t="shared" si="39"/>
        <v>0</v>
      </c>
      <c r="DI46" s="52">
        <f t="shared" si="39"/>
        <v>0</v>
      </c>
      <c r="DJ46" s="52">
        <f t="shared" si="46"/>
        <v>0</v>
      </c>
      <c r="DK46" s="52">
        <f t="shared" si="47"/>
        <v>0</v>
      </c>
      <c r="DL46" s="52">
        <f t="shared" si="40"/>
        <v>0</v>
      </c>
      <c r="DM46" s="52">
        <f t="shared" si="48"/>
        <v>0</v>
      </c>
      <c r="DN46" s="52">
        <f t="shared" si="41"/>
        <v>0</v>
      </c>
      <c r="DO46" s="52">
        <f t="shared" si="41"/>
        <v>0</v>
      </c>
    </row>
    <row r="47" spans="1:119">
      <c r="A47" s="224">
        <v>39</v>
      </c>
      <c r="B47" s="26" t="s">
        <v>202</v>
      </c>
      <c r="C47" s="53" t="s">
        <v>230</v>
      </c>
      <c r="D47" s="227" t="s">
        <v>231</v>
      </c>
      <c r="E47" s="191" t="s">
        <v>1165</v>
      </c>
      <c r="F47" s="161">
        <f t="shared" si="13"/>
        <v>100000</v>
      </c>
      <c r="G47" s="165">
        <f t="shared" si="14"/>
        <v>100000</v>
      </c>
      <c r="H47" s="54">
        <v>75000</v>
      </c>
      <c r="I47" s="219">
        <v>0</v>
      </c>
      <c r="J47" s="219">
        <v>0</v>
      </c>
      <c r="K47" s="127">
        <f t="shared" si="15"/>
        <v>0</v>
      </c>
      <c r="L47" s="127">
        <f t="shared" si="16"/>
        <v>0</v>
      </c>
      <c r="M47" s="127">
        <f t="shared" si="17"/>
        <v>0</v>
      </c>
      <c r="N47" s="127">
        <f t="shared" si="18"/>
        <v>100000</v>
      </c>
      <c r="O47" s="125" t="str">
        <f t="shared" si="19"/>
        <v>ნულოვანი შესრულება</v>
      </c>
      <c r="P47" s="52"/>
      <c r="Q47" s="52"/>
      <c r="R47" s="52">
        <f t="shared" si="20"/>
        <v>0</v>
      </c>
      <c r="S47" s="52">
        <f t="shared" si="21"/>
        <v>0</v>
      </c>
      <c r="T47" s="52"/>
      <c r="U47" s="52"/>
      <c r="V47" s="52"/>
      <c r="W47" s="52"/>
      <c r="X47" s="52">
        <f t="shared" si="22"/>
        <v>0</v>
      </c>
      <c r="Y47" s="52">
        <f t="shared" si="22"/>
        <v>0</v>
      </c>
      <c r="Z47" s="52"/>
      <c r="AA47" s="52"/>
      <c r="AB47" s="52"/>
      <c r="AC47" s="52"/>
      <c r="AD47" s="52">
        <f t="shared" si="23"/>
        <v>0</v>
      </c>
      <c r="AE47" s="52">
        <f t="shared" si="23"/>
        <v>0</v>
      </c>
      <c r="AF47" s="52">
        <f t="shared" si="24"/>
        <v>0</v>
      </c>
      <c r="AG47" s="52">
        <f t="shared" si="25"/>
        <v>0</v>
      </c>
      <c r="AH47" s="52">
        <f t="shared" si="25"/>
        <v>0</v>
      </c>
      <c r="AI47" s="52">
        <f t="shared" si="26"/>
        <v>0</v>
      </c>
      <c r="AJ47" s="52">
        <f t="shared" si="27"/>
        <v>0</v>
      </c>
      <c r="AK47" s="52">
        <f t="shared" si="27"/>
        <v>0</v>
      </c>
      <c r="AL47" s="52"/>
      <c r="AM47" s="52"/>
      <c r="AN47" s="52"/>
      <c r="AO47" s="52"/>
      <c r="AP47" s="52">
        <f t="shared" si="28"/>
        <v>0</v>
      </c>
      <c r="AQ47" s="52">
        <f t="shared" si="28"/>
        <v>0</v>
      </c>
      <c r="AR47" s="52"/>
      <c r="AS47" s="52"/>
      <c r="AT47" s="52"/>
      <c r="AU47" s="52"/>
      <c r="AV47" s="52">
        <f t="shared" si="29"/>
        <v>0</v>
      </c>
      <c r="AW47" s="52">
        <f t="shared" si="29"/>
        <v>0</v>
      </c>
      <c r="AX47" s="52">
        <v>100000</v>
      </c>
      <c r="AY47" s="52"/>
      <c r="AZ47" s="52"/>
      <c r="BA47" s="52"/>
      <c r="BB47" s="52">
        <f t="shared" si="30"/>
        <v>100000</v>
      </c>
      <c r="BC47" s="52"/>
      <c r="BD47" s="52">
        <f t="shared" si="42"/>
        <v>0</v>
      </c>
      <c r="BE47" s="52"/>
      <c r="BF47" s="52"/>
      <c r="BG47" s="52">
        <v>20000</v>
      </c>
      <c r="BH47" s="52"/>
      <c r="BI47" s="52">
        <f t="shared" si="31"/>
        <v>20000</v>
      </c>
      <c r="BJ47" s="52"/>
      <c r="BK47" s="52">
        <f t="shared" si="43"/>
        <v>0</v>
      </c>
      <c r="BL47" s="52"/>
      <c r="BM47" s="52"/>
      <c r="BN47" s="52"/>
      <c r="BO47" s="52"/>
      <c r="BP47" s="52">
        <f t="shared" si="32"/>
        <v>0</v>
      </c>
      <c r="BQ47" s="52"/>
      <c r="BR47" s="52">
        <f t="shared" si="44"/>
        <v>0</v>
      </c>
      <c r="BS47" s="52"/>
      <c r="BT47" s="52"/>
      <c r="BU47" s="52"/>
      <c r="BV47" s="52"/>
      <c r="BW47" s="52">
        <f t="shared" si="33"/>
        <v>0</v>
      </c>
      <c r="BX47" s="52"/>
      <c r="BY47" s="52">
        <f t="shared" si="45"/>
        <v>0</v>
      </c>
      <c r="BZ47" s="52"/>
      <c r="CA47" s="52"/>
      <c r="CB47" s="52"/>
      <c r="CC47" s="52"/>
      <c r="CD47" s="52">
        <f t="shared" si="34"/>
        <v>0</v>
      </c>
      <c r="CE47" s="52">
        <f t="shared" si="34"/>
        <v>0</v>
      </c>
      <c r="CF47" s="52"/>
      <c r="CG47" s="52"/>
      <c r="CH47" s="52"/>
      <c r="CI47" s="52"/>
      <c r="CJ47" s="52">
        <f t="shared" si="35"/>
        <v>0</v>
      </c>
      <c r="CK47" s="52">
        <f t="shared" si="35"/>
        <v>0</v>
      </c>
      <c r="CL47" s="52"/>
      <c r="CM47" s="52"/>
      <c r="CN47" s="52"/>
      <c r="CO47" s="52"/>
      <c r="CP47" s="52">
        <f t="shared" si="36"/>
        <v>0</v>
      </c>
      <c r="CQ47" s="52">
        <f t="shared" si="36"/>
        <v>0</v>
      </c>
      <c r="CR47" s="52"/>
      <c r="CS47" s="52"/>
      <c r="CT47" s="52"/>
      <c r="CU47" s="52"/>
      <c r="CV47" s="52">
        <f t="shared" si="37"/>
        <v>0</v>
      </c>
      <c r="CW47" s="52">
        <f t="shared" si="37"/>
        <v>0</v>
      </c>
      <c r="CX47" s="52"/>
      <c r="CY47" s="52"/>
      <c r="CZ47" s="52"/>
      <c r="DA47" s="52"/>
      <c r="DB47" s="52">
        <f t="shared" si="38"/>
        <v>0</v>
      </c>
      <c r="DC47" s="52">
        <f t="shared" si="38"/>
        <v>0</v>
      </c>
      <c r="DD47" s="52"/>
      <c r="DE47" s="52"/>
      <c r="DF47" s="52"/>
      <c r="DG47" s="52"/>
      <c r="DH47" s="52">
        <f t="shared" si="39"/>
        <v>0</v>
      </c>
      <c r="DI47" s="52">
        <f t="shared" si="39"/>
        <v>0</v>
      </c>
      <c r="DJ47" s="52">
        <f t="shared" si="46"/>
        <v>100000</v>
      </c>
      <c r="DK47" s="52">
        <f t="shared" si="47"/>
        <v>0</v>
      </c>
      <c r="DL47" s="52">
        <f t="shared" si="40"/>
        <v>0</v>
      </c>
      <c r="DM47" s="52">
        <f t="shared" si="48"/>
        <v>0</v>
      </c>
      <c r="DN47" s="52">
        <f t="shared" si="41"/>
        <v>100000</v>
      </c>
      <c r="DO47" s="52">
        <f t="shared" si="41"/>
        <v>0</v>
      </c>
    </row>
    <row r="48" spans="1:119">
      <c r="A48" s="224">
        <v>40</v>
      </c>
      <c r="B48" s="26" t="s">
        <v>202</v>
      </c>
      <c r="C48" s="53" t="s">
        <v>230</v>
      </c>
      <c r="D48" s="227" t="s">
        <v>231</v>
      </c>
      <c r="E48" s="191" t="s">
        <v>1164</v>
      </c>
      <c r="F48" s="161">
        <f t="shared" si="13"/>
        <v>0</v>
      </c>
      <c r="G48" s="165">
        <f t="shared" si="14"/>
        <v>2443</v>
      </c>
      <c r="H48" s="54"/>
      <c r="I48" s="219">
        <v>0</v>
      </c>
      <c r="J48" s="219">
        <v>0</v>
      </c>
      <c r="K48" s="127">
        <f t="shared" si="15"/>
        <v>2443</v>
      </c>
      <c r="L48" s="127">
        <f t="shared" si="16"/>
        <v>2443</v>
      </c>
      <c r="M48" s="127">
        <f t="shared" si="17"/>
        <v>2443</v>
      </c>
      <c r="N48" s="127">
        <f t="shared" si="18"/>
        <v>0</v>
      </c>
      <c r="O48" s="125">
        <f t="shared" si="19"/>
        <v>2443</v>
      </c>
      <c r="P48" s="52"/>
      <c r="Q48" s="52">
        <v>2443</v>
      </c>
      <c r="R48" s="52">
        <f t="shared" si="20"/>
        <v>0</v>
      </c>
      <c r="S48" s="52">
        <f t="shared" si="21"/>
        <v>2443</v>
      </c>
      <c r="T48" s="52"/>
      <c r="U48" s="52"/>
      <c r="V48" s="52"/>
      <c r="W48" s="52"/>
      <c r="X48" s="52">
        <f t="shared" si="22"/>
        <v>0</v>
      </c>
      <c r="Y48" s="52">
        <f t="shared" si="22"/>
        <v>0</v>
      </c>
      <c r="Z48" s="52"/>
      <c r="AA48" s="52"/>
      <c r="AB48" s="52"/>
      <c r="AC48" s="52"/>
      <c r="AD48" s="52">
        <f t="shared" si="23"/>
        <v>0</v>
      </c>
      <c r="AE48" s="52">
        <f t="shared" si="23"/>
        <v>0</v>
      </c>
      <c r="AF48" s="52">
        <f t="shared" si="24"/>
        <v>0</v>
      </c>
      <c r="AG48" s="52">
        <f t="shared" si="25"/>
        <v>0</v>
      </c>
      <c r="AH48" s="52">
        <f t="shared" si="25"/>
        <v>2443</v>
      </c>
      <c r="AI48" s="52">
        <f t="shared" si="26"/>
        <v>2443</v>
      </c>
      <c r="AJ48" s="52">
        <f t="shared" si="27"/>
        <v>2443</v>
      </c>
      <c r="AK48" s="52">
        <f t="shared" si="27"/>
        <v>2443</v>
      </c>
      <c r="AL48" s="52"/>
      <c r="AM48" s="52"/>
      <c r="AN48" s="52"/>
      <c r="AO48" s="52"/>
      <c r="AP48" s="52">
        <f t="shared" si="28"/>
        <v>0</v>
      </c>
      <c r="AQ48" s="52">
        <f t="shared" si="28"/>
        <v>0</v>
      </c>
      <c r="AR48" s="52"/>
      <c r="AS48" s="52"/>
      <c r="AT48" s="52"/>
      <c r="AU48" s="52"/>
      <c r="AV48" s="52">
        <f t="shared" si="29"/>
        <v>0</v>
      </c>
      <c r="AW48" s="52">
        <f t="shared" si="29"/>
        <v>0</v>
      </c>
      <c r="AX48" s="52"/>
      <c r="AY48" s="52"/>
      <c r="AZ48" s="52"/>
      <c r="BA48" s="52"/>
      <c r="BB48" s="52">
        <f t="shared" si="30"/>
        <v>0</v>
      </c>
      <c r="BC48" s="52"/>
      <c r="BD48" s="52">
        <f t="shared" si="42"/>
        <v>0</v>
      </c>
      <c r="BE48" s="52"/>
      <c r="BF48" s="52"/>
      <c r="BG48" s="52"/>
      <c r="BH48" s="52"/>
      <c r="BI48" s="52">
        <f t="shared" si="31"/>
        <v>0</v>
      </c>
      <c r="BJ48" s="52"/>
      <c r="BK48" s="52">
        <f t="shared" si="43"/>
        <v>0</v>
      </c>
      <c r="BL48" s="52"/>
      <c r="BM48" s="52"/>
      <c r="BN48" s="52"/>
      <c r="BO48" s="52"/>
      <c r="BP48" s="52">
        <f t="shared" si="32"/>
        <v>0</v>
      </c>
      <c r="BQ48" s="52"/>
      <c r="BR48" s="52">
        <f t="shared" si="44"/>
        <v>0</v>
      </c>
      <c r="BS48" s="52"/>
      <c r="BT48" s="52"/>
      <c r="BU48" s="52"/>
      <c r="BV48" s="52"/>
      <c r="BW48" s="52">
        <f t="shared" si="33"/>
        <v>0</v>
      </c>
      <c r="BX48" s="52"/>
      <c r="BY48" s="52">
        <f t="shared" si="45"/>
        <v>0</v>
      </c>
      <c r="BZ48" s="52"/>
      <c r="CA48" s="52"/>
      <c r="CB48" s="52"/>
      <c r="CC48" s="52"/>
      <c r="CD48" s="52">
        <f t="shared" si="34"/>
        <v>0</v>
      </c>
      <c r="CE48" s="52">
        <f t="shared" si="34"/>
        <v>0</v>
      </c>
      <c r="CF48" s="52"/>
      <c r="CG48" s="52"/>
      <c r="CH48" s="52"/>
      <c r="CI48" s="52"/>
      <c r="CJ48" s="52">
        <f t="shared" si="35"/>
        <v>0</v>
      </c>
      <c r="CK48" s="52">
        <f t="shared" si="35"/>
        <v>0</v>
      </c>
      <c r="CL48" s="52"/>
      <c r="CM48" s="52"/>
      <c r="CN48" s="52"/>
      <c r="CO48" s="52"/>
      <c r="CP48" s="52">
        <f t="shared" si="36"/>
        <v>0</v>
      </c>
      <c r="CQ48" s="52">
        <f t="shared" si="36"/>
        <v>0</v>
      </c>
      <c r="CR48" s="52"/>
      <c r="CS48" s="52"/>
      <c r="CT48" s="52"/>
      <c r="CU48" s="52"/>
      <c r="CV48" s="52">
        <f t="shared" si="37"/>
        <v>0</v>
      </c>
      <c r="CW48" s="52">
        <f t="shared" si="37"/>
        <v>0</v>
      </c>
      <c r="CX48" s="52"/>
      <c r="CY48" s="52"/>
      <c r="CZ48" s="52"/>
      <c r="DA48" s="52"/>
      <c r="DB48" s="52">
        <f t="shared" si="38"/>
        <v>0</v>
      </c>
      <c r="DC48" s="52">
        <f t="shared" si="38"/>
        <v>0</v>
      </c>
      <c r="DD48" s="52"/>
      <c r="DE48" s="52"/>
      <c r="DF48" s="52"/>
      <c r="DG48" s="52"/>
      <c r="DH48" s="52">
        <f t="shared" si="39"/>
        <v>0</v>
      </c>
      <c r="DI48" s="52">
        <f t="shared" si="39"/>
        <v>0</v>
      </c>
      <c r="DJ48" s="52">
        <f t="shared" si="46"/>
        <v>0</v>
      </c>
      <c r="DK48" s="52">
        <f t="shared" si="47"/>
        <v>0</v>
      </c>
      <c r="DL48" s="52">
        <f t="shared" si="40"/>
        <v>0</v>
      </c>
      <c r="DM48" s="52">
        <f t="shared" si="48"/>
        <v>0</v>
      </c>
      <c r="DN48" s="52">
        <f t="shared" si="41"/>
        <v>0</v>
      </c>
      <c r="DO48" s="52">
        <f t="shared" si="41"/>
        <v>0</v>
      </c>
    </row>
    <row r="49" spans="1:119">
      <c r="A49" s="224">
        <v>41</v>
      </c>
      <c r="B49" s="26" t="s">
        <v>202</v>
      </c>
      <c r="C49" s="53" t="s">
        <v>232</v>
      </c>
      <c r="D49" s="227" t="s">
        <v>233</v>
      </c>
      <c r="E49" s="191" t="s">
        <v>1165</v>
      </c>
      <c r="F49" s="161">
        <f t="shared" si="13"/>
        <v>100000</v>
      </c>
      <c r="G49" s="165">
        <f t="shared" si="14"/>
        <v>100000</v>
      </c>
      <c r="H49" s="54">
        <v>90000</v>
      </c>
      <c r="I49" s="219">
        <v>0</v>
      </c>
      <c r="J49" s="219">
        <v>0</v>
      </c>
      <c r="K49" s="127">
        <f t="shared" si="15"/>
        <v>0</v>
      </c>
      <c r="L49" s="127">
        <f t="shared" si="16"/>
        <v>0</v>
      </c>
      <c r="M49" s="127">
        <f t="shared" si="17"/>
        <v>0</v>
      </c>
      <c r="N49" s="127">
        <f t="shared" si="18"/>
        <v>100000</v>
      </c>
      <c r="O49" s="125" t="str">
        <f t="shared" si="19"/>
        <v>ნულოვანი შესრულება</v>
      </c>
      <c r="P49" s="52"/>
      <c r="Q49" s="52"/>
      <c r="R49" s="52">
        <f t="shared" si="20"/>
        <v>0</v>
      </c>
      <c r="S49" s="52">
        <f t="shared" si="21"/>
        <v>0</v>
      </c>
      <c r="T49" s="52"/>
      <c r="U49" s="52"/>
      <c r="V49" s="52"/>
      <c r="W49" s="52"/>
      <c r="X49" s="52">
        <f t="shared" si="22"/>
        <v>0</v>
      </c>
      <c r="Y49" s="52">
        <f t="shared" si="22"/>
        <v>0</v>
      </c>
      <c r="Z49" s="52"/>
      <c r="AA49" s="52"/>
      <c r="AB49" s="52"/>
      <c r="AC49" s="52"/>
      <c r="AD49" s="52">
        <f t="shared" si="23"/>
        <v>0</v>
      </c>
      <c r="AE49" s="52">
        <f t="shared" si="23"/>
        <v>0</v>
      </c>
      <c r="AF49" s="52">
        <f t="shared" si="24"/>
        <v>0</v>
      </c>
      <c r="AG49" s="52">
        <f t="shared" si="25"/>
        <v>0</v>
      </c>
      <c r="AH49" s="52">
        <f t="shared" si="25"/>
        <v>0</v>
      </c>
      <c r="AI49" s="52">
        <f t="shared" si="26"/>
        <v>0</v>
      </c>
      <c r="AJ49" s="52">
        <f t="shared" si="27"/>
        <v>0</v>
      </c>
      <c r="AK49" s="52">
        <f t="shared" si="27"/>
        <v>0</v>
      </c>
      <c r="AL49" s="52"/>
      <c r="AM49" s="52"/>
      <c r="AN49" s="52"/>
      <c r="AO49" s="52"/>
      <c r="AP49" s="52">
        <f t="shared" si="28"/>
        <v>0</v>
      </c>
      <c r="AQ49" s="52">
        <f t="shared" si="28"/>
        <v>0</v>
      </c>
      <c r="AR49" s="52"/>
      <c r="AS49" s="52"/>
      <c r="AT49" s="52"/>
      <c r="AU49" s="52"/>
      <c r="AV49" s="52">
        <f t="shared" si="29"/>
        <v>0</v>
      </c>
      <c r="AW49" s="52">
        <f t="shared" si="29"/>
        <v>0</v>
      </c>
      <c r="AX49" s="52">
        <v>100000</v>
      </c>
      <c r="AY49" s="52"/>
      <c r="AZ49" s="52"/>
      <c r="BA49" s="52"/>
      <c r="BB49" s="52">
        <f t="shared" si="30"/>
        <v>100000</v>
      </c>
      <c r="BC49" s="52"/>
      <c r="BD49" s="52">
        <f t="shared" si="42"/>
        <v>0</v>
      </c>
      <c r="BE49" s="52"/>
      <c r="BF49" s="52"/>
      <c r="BG49" s="52">
        <v>20000</v>
      </c>
      <c r="BH49" s="52"/>
      <c r="BI49" s="52">
        <f t="shared" si="31"/>
        <v>20000</v>
      </c>
      <c r="BJ49" s="52"/>
      <c r="BK49" s="52">
        <f t="shared" si="43"/>
        <v>0</v>
      </c>
      <c r="BL49" s="52"/>
      <c r="BM49" s="52"/>
      <c r="BN49" s="52"/>
      <c r="BO49" s="52"/>
      <c r="BP49" s="52">
        <f t="shared" si="32"/>
        <v>0</v>
      </c>
      <c r="BQ49" s="52"/>
      <c r="BR49" s="52">
        <f t="shared" si="44"/>
        <v>0</v>
      </c>
      <c r="BS49" s="52"/>
      <c r="BT49" s="52"/>
      <c r="BU49" s="52"/>
      <c r="BV49" s="52"/>
      <c r="BW49" s="52">
        <f t="shared" si="33"/>
        <v>0</v>
      </c>
      <c r="BX49" s="52"/>
      <c r="BY49" s="52">
        <f t="shared" si="45"/>
        <v>0</v>
      </c>
      <c r="BZ49" s="52"/>
      <c r="CA49" s="52"/>
      <c r="CB49" s="52"/>
      <c r="CC49" s="52"/>
      <c r="CD49" s="52">
        <f t="shared" si="34"/>
        <v>0</v>
      </c>
      <c r="CE49" s="52">
        <f t="shared" si="34"/>
        <v>0</v>
      </c>
      <c r="CF49" s="52"/>
      <c r="CG49" s="52"/>
      <c r="CH49" s="52"/>
      <c r="CI49" s="52"/>
      <c r="CJ49" s="52">
        <f t="shared" si="35"/>
        <v>0</v>
      </c>
      <c r="CK49" s="52">
        <f t="shared" si="35"/>
        <v>0</v>
      </c>
      <c r="CL49" s="52"/>
      <c r="CM49" s="52"/>
      <c r="CN49" s="52"/>
      <c r="CO49" s="52"/>
      <c r="CP49" s="52">
        <f t="shared" si="36"/>
        <v>0</v>
      </c>
      <c r="CQ49" s="52">
        <f t="shared" si="36"/>
        <v>0</v>
      </c>
      <c r="CR49" s="52"/>
      <c r="CS49" s="52"/>
      <c r="CT49" s="52"/>
      <c r="CU49" s="52"/>
      <c r="CV49" s="52">
        <f t="shared" si="37"/>
        <v>0</v>
      </c>
      <c r="CW49" s="52">
        <f t="shared" si="37"/>
        <v>0</v>
      </c>
      <c r="CX49" s="52"/>
      <c r="CY49" s="52"/>
      <c r="CZ49" s="52"/>
      <c r="DA49" s="52"/>
      <c r="DB49" s="52">
        <f t="shared" si="38"/>
        <v>0</v>
      </c>
      <c r="DC49" s="52">
        <f t="shared" si="38"/>
        <v>0</v>
      </c>
      <c r="DD49" s="52"/>
      <c r="DE49" s="52"/>
      <c r="DF49" s="52"/>
      <c r="DG49" s="52"/>
      <c r="DH49" s="52">
        <f t="shared" si="39"/>
        <v>0</v>
      </c>
      <c r="DI49" s="52">
        <f t="shared" si="39"/>
        <v>0</v>
      </c>
      <c r="DJ49" s="52">
        <f t="shared" si="46"/>
        <v>100000</v>
      </c>
      <c r="DK49" s="52">
        <f t="shared" si="47"/>
        <v>0</v>
      </c>
      <c r="DL49" s="52">
        <f t="shared" si="40"/>
        <v>0</v>
      </c>
      <c r="DM49" s="52">
        <f t="shared" si="48"/>
        <v>0</v>
      </c>
      <c r="DN49" s="52">
        <f t="shared" si="41"/>
        <v>100000</v>
      </c>
      <c r="DO49" s="52">
        <f t="shared" si="41"/>
        <v>0</v>
      </c>
    </row>
    <row r="50" spans="1:119">
      <c r="A50" s="224">
        <v>42</v>
      </c>
      <c r="B50" s="26" t="s">
        <v>41</v>
      </c>
      <c r="C50" s="53" t="s">
        <v>234</v>
      </c>
      <c r="D50" s="227" t="s">
        <v>235</v>
      </c>
      <c r="E50" s="191" t="s">
        <v>1165</v>
      </c>
      <c r="F50" s="161">
        <f t="shared" si="13"/>
        <v>140000</v>
      </c>
      <c r="G50" s="165">
        <f t="shared" si="14"/>
        <v>140000</v>
      </c>
      <c r="H50" s="54">
        <v>70000</v>
      </c>
      <c r="I50" s="219">
        <v>0</v>
      </c>
      <c r="J50" s="219">
        <v>0</v>
      </c>
      <c r="K50" s="127">
        <f t="shared" si="15"/>
        <v>0</v>
      </c>
      <c r="L50" s="127">
        <f t="shared" si="16"/>
        <v>0</v>
      </c>
      <c r="M50" s="127">
        <f t="shared" si="17"/>
        <v>0</v>
      </c>
      <c r="N50" s="127">
        <f t="shared" si="18"/>
        <v>140000</v>
      </c>
      <c r="O50" s="125" t="str">
        <f t="shared" si="19"/>
        <v>ნულოვანი შესრულება</v>
      </c>
      <c r="P50" s="52"/>
      <c r="Q50" s="52"/>
      <c r="R50" s="52">
        <f t="shared" si="20"/>
        <v>0</v>
      </c>
      <c r="S50" s="52">
        <f t="shared" si="21"/>
        <v>0</v>
      </c>
      <c r="T50" s="52"/>
      <c r="U50" s="52"/>
      <c r="V50" s="52"/>
      <c r="W50" s="52"/>
      <c r="X50" s="52">
        <f t="shared" si="22"/>
        <v>0</v>
      </c>
      <c r="Y50" s="52">
        <f t="shared" si="22"/>
        <v>0</v>
      </c>
      <c r="Z50" s="52"/>
      <c r="AA50" s="52"/>
      <c r="AB50" s="52"/>
      <c r="AC50" s="52"/>
      <c r="AD50" s="52">
        <f t="shared" si="23"/>
        <v>0</v>
      </c>
      <c r="AE50" s="52">
        <f t="shared" si="23"/>
        <v>0</v>
      </c>
      <c r="AF50" s="52">
        <f t="shared" si="24"/>
        <v>0</v>
      </c>
      <c r="AG50" s="52">
        <f t="shared" si="25"/>
        <v>0</v>
      </c>
      <c r="AH50" s="52">
        <f t="shared" si="25"/>
        <v>0</v>
      </c>
      <c r="AI50" s="52">
        <f t="shared" si="26"/>
        <v>0</v>
      </c>
      <c r="AJ50" s="52">
        <f t="shared" si="27"/>
        <v>0</v>
      </c>
      <c r="AK50" s="52">
        <f t="shared" si="27"/>
        <v>0</v>
      </c>
      <c r="AL50" s="52"/>
      <c r="AM50" s="52"/>
      <c r="AN50" s="52"/>
      <c r="AO50" s="52"/>
      <c r="AP50" s="52">
        <f t="shared" si="28"/>
        <v>0</v>
      </c>
      <c r="AQ50" s="52">
        <f t="shared" si="28"/>
        <v>0</v>
      </c>
      <c r="AR50" s="52"/>
      <c r="AS50" s="52"/>
      <c r="AT50" s="52"/>
      <c r="AU50" s="52"/>
      <c r="AV50" s="52">
        <f t="shared" si="29"/>
        <v>0</v>
      </c>
      <c r="AW50" s="52">
        <f t="shared" si="29"/>
        <v>0</v>
      </c>
      <c r="AX50" s="52">
        <v>100000</v>
      </c>
      <c r="AY50" s="52"/>
      <c r="AZ50" s="52"/>
      <c r="BA50" s="52"/>
      <c r="BB50" s="52">
        <f t="shared" si="30"/>
        <v>100000</v>
      </c>
      <c r="BC50" s="52"/>
      <c r="BD50" s="52">
        <f t="shared" si="42"/>
        <v>0</v>
      </c>
      <c r="BE50" s="52">
        <v>40000</v>
      </c>
      <c r="BF50" s="52"/>
      <c r="BG50" s="52"/>
      <c r="BH50" s="52"/>
      <c r="BI50" s="52">
        <f t="shared" si="31"/>
        <v>40000</v>
      </c>
      <c r="BJ50" s="52"/>
      <c r="BK50" s="52">
        <f t="shared" si="43"/>
        <v>0</v>
      </c>
      <c r="BL50" s="52"/>
      <c r="BM50" s="52"/>
      <c r="BN50" s="52">
        <v>10000</v>
      </c>
      <c r="BO50" s="52"/>
      <c r="BP50" s="52">
        <f t="shared" si="32"/>
        <v>10000</v>
      </c>
      <c r="BQ50" s="52"/>
      <c r="BR50" s="52">
        <f t="shared" si="44"/>
        <v>0</v>
      </c>
      <c r="BS50" s="52"/>
      <c r="BT50" s="52"/>
      <c r="BU50" s="52"/>
      <c r="BV50" s="52"/>
      <c r="BW50" s="52">
        <f t="shared" si="33"/>
        <v>0</v>
      </c>
      <c r="BX50" s="52"/>
      <c r="BY50" s="52">
        <f t="shared" si="45"/>
        <v>0</v>
      </c>
      <c r="BZ50" s="52"/>
      <c r="CA50" s="52"/>
      <c r="CB50" s="52"/>
      <c r="CC50" s="52"/>
      <c r="CD50" s="52">
        <f t="shared" si="34"/>
        <v>0</v>
      </c>
      <c r="CE50" s="52">
        <f t="shared" si="34"/>
        <v>0</v>
      </c>
      <c r="CF50" s="52"/>
      <c r="CG50" s="52"/>
      <c r="CH50" s="52"/>
      <c r="CI50" s="52"/>
      <c r="CJ50" s="52">
        <f t="shared" si="35"/>
        <v>0</v>
      </c>
      <c r="CK50" s="52">
        <f t="shared" si="35"/>
        <v>0</v>
      </c>
      <c r="CL50" s="52"/>
      <c r="CM50" s="52"/>
      <c r="CN50" s="52"/>
      <c r="CO50" s="52"/>
      <c r="CP50" s="52">
        <f t="shared" si="36"/>
        <v>0</v>
      </c>
      <c r="CQ50" s="52">
        <f t="shared" si="36"/>
        <v>0</v>
      </c>
      <c r="CR50" s="52"/>
      <c r="CS50" s="52"/>
      <c r="CT50" s="52"/>
      <c r="CU50" s="52"/>
      <c r="CV50" s="52">
        <f t="shared" si="37"/>
        <v>0</v>
      </c>
      <c r="CW50" s="52">
        <f t="shared" si="37"/>
        <v>0</v>
      </c>
      <c r="CX50" s="52"/>
      <c r="CY50" s="52"/>
      <c r="CZ50" s="52"/>
      <c r="DA50" s="52"/>
      <c r="DB50" s="52">
        <f t="shared" si="38"/>
        <v>0</v>
      </c>
      <c r="DC50" s="52">
        <f t="shared" si="38"/>
        <v>0</v>
      </c>
      <c r="DD50" s="52"/>
      <c r="DE50" s="52"/>
      <c r="DF50" s="52"/>
      <c r="DG50" s="52"/>
      <c r="DH50" s="52">
        <f t="shared" si="39"/>
        <v>0</v>
      </c>
      <c r="DI50" s="52">
        <f t="shared" si="39"/>
        <v>0</v>
      </c>
      <c r="DJ50" s="52">
        <f t="shared" si="46"/>
        <v>140000</v>
      </c>
      <c r="DK50" s="52">
        <f t="shared" si="47"/>
        <v>0</v>
      </c>
      <c r="DL50" s="52">
        <f t="shared" si="40"/>
        <v>0</v>
      </c>
      <c r="DM50" s="52">
        <f t="shared" si="48"/>
        <v>0</v>
      </c>
      <c r="DN50" s="52">
        <f t="shared" si="41"/>
        <v>140000</v>
      </c>
      <c r="DO50" s="52">
        <f t="shared" si="41"/>
        <v>0</v>
      </c>
    </row>
    <row r="51" spans="1:119" s="278" customFormat="1">
      <c r="A51" s="297">
        <v>43</v>
      </c>
      <c r="B51" s="276" t="s">
        <v>176</v>
      </c>
      <c r="C51" s="298" t="s">
        <v>236</v>
      </c>
      <c r="D51" s="299" t="s">
        <v>237</v>
      </c>
      <c r="E51" s="298" t="s">
        <v>1165</v>
      </c>
      <c r="F51" s="255">
        <f t="shared" si="13"/>
        <v>0</v>
      </c>
      <c r="G51" s="256">
        <f t="shared" si="14"/>
        <v>0</v>
      </c>
      <c r="H51" s="54">
        <v>65000</v>
      </c>
      <c r="I51" s="220">
        <v>0</v>
      </c>
      <c r="J51" s="220">
        <v>0</v>
      </c>
      <c r="K51" s="255">
        <f t="shared" si="15"/>
        <v>0</v>
      </c>
      <c r="L51" s="255">
        <f t="shared" si="16"/>
        <v>0</v>
      </c>
      <c r="M51" s="255">
        <f t="shared" si="17"/>
        <v>0</v>
      </c>
      <c r="N51" s="255">
        <f t="shared" si="18"/>
        <v>0</v>
      </c>
      <c r="O51" s="255" t="str">
        <f t="shared" si="19"/>
        <v>ნულოვანი შესრულება</v>
      </c>
      <c r="P51" s="57"/>
      <c r="Q51" s="57"/>
      <c r="R51" s="52">
        <f t="shared" si="20"/>
        <v>0</v>
      </c>
      <c r="S51" s="52">
        <f t="shared" si="21"/>
        <v>0</v>
      </c>
      <c r="T51" s="57"/>
      <c r="U51" s="57"/>
      <c r="V51" s="57"/>
      <c r="W51" s="57"/>
      <c r="X51" s="52">
        <f t="shared" si="22"/>
        <v>0</v>
      </c>
      <c r="Y51" s="52">
        <f t="shared" si="22"/>
        <v>0</v>
      </c>
      <c r="Z51" s="57"/>
      <c r="AA51" s="57"/>
      <c r="AB51" s="57"/>
      <c r="AC51" s="57"/>
      <c r="AD51" s="52">
        <f t="shared" si="23"/>
        <v>0</v>
      </c>
      <c r="AE51" s="52">
        <f t="shared" si="23"/>
        <v>0</v>
      </c>
      <c r="AF51" s="52">
        <f t="shared" si="24"/>
        <v>0</v>
      </c>
      <c r="AG51" s="52">
        <f t="shared" si="25"/>
        <v>0</v>
      </c>
      <c r="AH51" s="52">
        <f t="shared" si="25"/>
        <v>0</v>
      </c>
      <c r="AI51" s="52">
        <f t="shared" si="26"/>
        <v>0</v>
      </c>
      <c r="AJ51" s="52">
        <f t="shared" si="27"/>
        <v>0</v>
      </c>
      <c r="AK51" s="52">
        <f t="shared" si="27"/>
        <v>0</v>
      </c>
      <c r="AL51" s="258"/>
      <c r="AM51" s="258"/>
      <c r="AN51" s="258"/>
      <c r="AO51" s="258"/>
      <c r="AP51" s="258">
        <f t="shared" si="28"/>
        <v>0</v>
      </c>
      <c r="AQ51" s="258">
        <f t="shared" si="28"/>
        <v>0</v>
      </c>
      <c r="AR51" s="301"/>
      <c r="AS51" s="301"/>
      <c r="AT51" s="301"/>
      <c r="AU51" s="301"/>
      <c r="AV51" s="258">
        <f t="shared" si="29"/>
        <v>0</v>
      </c>
      <c r="AW51" s="258">
        <f t="shared" si="29"/>
        <v>0</v>
      </c>
      <c r="AX51" s="301"/>
      <c r="AY51" s="301"/>
      <c r="AZ51" s="301"/>
      <c r="BA51" s="301"/>
      <c r="BB51" s="258">
        <f t="shared" si="30"/>
        <v>0</v>
      </c>
      <c r="BC51" s="258"/>
      <c r="BD51" s="258">
        <f t="shared" si="42"/>
        <v>0</v>
      </c>
      <c r="BE51" s="301"/>
      <c r="BF51" s="301"/>
      <c r="BG51" s="301"/>
      <c r="BH51" s="301"/>
      <c r="BI51" s="258">
        <f t="shared" si="31"/>
        <v>0</v>
      </c>
      <c r="BJ51" s="258"/>
      <c r="BK51" s="258">
        <f t="shared" si="43"/>
        <v>0</v>
      </c>
      <c r="BL51" s="301"/>
      <c r="BM51" s="301"/>
      <c r="BN51" s="301"/>
      <c r="BO51" s="301"/>
      <c r="BP51" s="258">
        <f t="shared" si="32"/>
        <v>0</v>
      </c>
      <c r="BQ51" s="258"/>
      <c r="BR51" s="258">
        <f t="shared" si="44"/>
        <v>0</v>
      </c>
      <c r="BS51" s="301"/>
      <c r="BT51" s="301"/>
      <c r="BU51" s="301"/>
      <c r="BV51" s="301"/>
      <c r="BW51" s="258">
        <f t="shared" si="33"/>
        <v>0</v>
      </c>
      <c r="BX51" s="258"/>
      <c r="BY51" s="258">
        <f t="shared" si="45"/>
        <v>0</v>
      </c>
      <c r="BZ51" s="301"/>
      <c r="CA51" s="301"/>
      <c r="CB51" s="301"/>
      <c r="CC51" s="301"/>
      <c r="CD51" s="258">
        <f t="shared" si="34"/>
        <v>0</v>
      </c>
      <c r="CE51" s="258">
        <f t="shared" si="34"/>
        <v>0</v>
      </c>
      <c r="CF51" s="301"/>
      <c r="CG51" s="301"/>
      <c r="CH51" s="301"/>
      <c r="CI51" s="301"/>
      <c r="CJ51" s="258">
        <f t="shared" si="35"/>
        <v>0</v>
      </c>
      <c r="CK51" s="258">
        <f t="shared" si="35"/>
        <v>0</v>
      </c>
      <c r="CL51" s="301"/>
      <c r="CM51" s="301"/>
      <c r="CN51" s="301"/>
      <c r="CO51" s="301"/>
      <c r="CP51" s="258">
        <f t="shared" si="36"/>
        <v>0</v>
      </c>
      <c r="CQ51" s="258">
        <f t="shared" si="36"/>
        <v>0</v>
      </c>
      <c r="CR51" s="301"/>
      <c r="CS51" s="301"/>
      <c r="CT51" s="301"/>
      <c r="CU51" s="301"/>
      <c r="CV51" s="258">
        <f t="shared" si="37"/>
        <v>0</v>
      </c>
      <c r="CW51" s="258">
        <f t="shared" si="37"/>
        <v>0</v>
      </c>
      <c r="CX51" s="301"/>
      <c r="CY51" s="301"/>
      <c r="CZ51" s="301"/>
      <c r="DA51" s="301"/>
      <c r="DB51" s="258">
        <f t="shared" si="38"/>
        <v>0</v>
      </c>
      <c r="DC51" s="258">
        <f t="shared" si="38"/>
        <v>0</v>
      </c>
      <c r="DD51" s="301"/>
      <c r="DE51" s="301"/>
      <c r="DF51" s="301"/>
      <c r="DG51" s="301"/>
      <c r="DH51" s="258">
        <f t="shared" si="39"/>
        <v>0</v>
      </c>
      <c r="DI51" s="258">
        <f t="shared" si="39"/>
        <v>0</v>
      </c>
      <c r="DJ51" s="258">
        <f t="shared" si="46"/>
        <v>0</v>
      </c>
      <c r="DK51" s="258">
        <f t="shared" si="47"/>
        <v>0</v>
      </c>
      <c r="DL51" s="52">
        <f t="shared" si="40"/>
        <v>0</v>
      </c>
      <c r="DM51" s="258">
        <f t="shared" si="48"/>
        <v>0</v>
      </c>
      <c r="DN51" s="258">
        <f t="shared" si="41"/>
        <v>0</v>
      </c>
      <c r="DO51" s="258">
        <f t="shared" si="41"/>
        <v>0</v>
      </c>
    </row>
    <row r="52" spans="1:119">
      <c r="A52" s="224">
        <v>44</v>
      </c>
      <c r="B52" s="26" t="s">
        <v>58</v>
      </c>
      <c r="C52" s="53" t="s">
        <v>238</v>
      </c>
      <c r="D52" s="227" t="s">
        <v>239</v>
      </c>
      <c r="E52" s="191" t="s">
        <v>1165</v>
      </c>
      <c r="F52" s="161">
        <f t="shared" si="13"/>
        <v>114377</v>
      </c>
      <c r="G52" s="165">
        <f t="shared" si="14"/>
        <v>234377</v>
      </c>
      <c r="H52" s="54">
        <v>190000</v>
      </c>
      <c r="I52" s="220">
        <v>0</v>
      </c>
      <c r="J52" s="220">
        <v>0</v>
      </c>
      <c r="K52" s="127">
        <f t="shared" si="15"/>
        <v>120000</v>
      </c>
      <c r="L52" s="127">
        <f t="shared" si="16"/>
        <v>0</v>
      </c>
      <c r="M52" s="127">
        <f t="shared" si="17"/>
        <v>120000</v>
      </c>
      <c r="N52" s="127">
        <f t="shared" si="18"/>
        <v>114377</v>
      </c>
      <c r="O52" s="125" t="str">
        <f t="shared" si="19"/>
        <v>მიმდინარეობს</v>
      </c>
      <c r="P52" s="57">
        <v>120000</v>
      </c>
      <c r="Q52" s="57"/>
      <c r="R52" s="52">
        <f t="shared" si="20"/>
        <v>120000</v>
      </c>
      <c r="S52" s="52">
        <f t="shared" si="21"/>
        <v>0</v>
      </c>
      <c r="T52" s="57"/>
      <c r="U52" s="57"/>
      <c r="V52" s="57"/>
      <c r="W52" s="52"/>
      <c r="X52" s="52">
        <f t="shared" si="22"/>
        <v>0</v>
      </c>
      <c r="Y52" s="52">
        <f t="shared" si="22"/>
        <v>0</v>
      </c>
      <c r="Z52" s="52"/>
      <c r="AA52" s="52"/>
      <c r="AB52" s="52"/>
      <c r="AC52" s="52"/>
      <c r="AD52" s="52">
        <f t="shared" si="23"/>
        <v>0</v>
      </c>
      <c r="AE52" s="52">
        <f t="shared" si="23"/>
        <v>0</v>
      </c>
      <c r="AF52" s="52">
        <f t="shared" si="24"/>
        <v>120000</v>
      </c>
      <c r="AG52" s="52">
        <f t="shared" si="25"/>
        <v>120000</v>
      </c>
      <c r="AH52" s="52">
        <f t="shared" si="25"/>
        <v>0</v>
      </c>
      <c r="AI52" s="52">
        <f t="shared" si="26"/>
        <v>0</v>
      </c>
      <c r="AJ52" s="52">
        <f t="shared" si="27"/>
        <v>120000</v>
      </c>
      <c r="AK52" s="52">
        <f t="shared" si="27"/>
        <v>120000</v>
      </c>
      <c r="AL52" s="52"/>
      <c r="AM52" s="52"/>
      <c r="AN52" s="52"/>
      <c r="AO52" s="52"/>
      <c r="AP52" s="52">
        <f t="shared" si="28"/>
        <v>0</v>
      </c>
      <c r="AQ52" s="52">
        <f t="shared" si="28"/>
        <v>0</v>
      </c>
      <c r="AR52" s="52"/>
      <c r="AS52" s="62"/>
      <c r="AT52" s="57"/>
      <c r="AU52" s="57"/>
      <c r="AV52" s="52">
        <f t="shared" si="29"/>
        <v>0</v>
      </c>
      <c r="AW52" s="52">
        <f t="shared" si="29"/>
        <v>0</v>
      </c>
      <c r="AX52" s="57"/>
      <c r="AY52" s="57">
        <v>50000</v>
      </c>
      <c r="AZ52" s="57"/>
      <c r="BA52" s="57"/>
      <c r="BB52" s="52">
        <f t="shared" si="30"/>
        <v>0</v>
      </c>
      <c r="BC52" s="52">
        <v>50000</v>
      </c>
      <c r="BD52" s="52">
        <f t="shared" si="42"/>
        <v>50000</v>
      </c>
      <c r="BE52" s="52"/>
      <c r="BF52" s="52">
        <v>10000</v>
      </c>
      <c r="BG52" s="52"/>
      <c r="BH52" s="52"/>
      <c r="BI52" s="52">
        <f t="shared" si="31"/>
        <v>0</v>
      </c>
      <c r="BJ52" s="52">
        <v>10000</v>
      </c>
      <c r="BK52" s="52">
        <f t="shared" si="43"/>
        <v>10000</v>
      </c>
      <c r="BL52" s="52"/>
      <c r="BM52" s="52">
        <v>50000</v>
      </c>
      <c r="BN52" s="52"/>
      <c r="BO52" s="52"/>
      <c r="BP52" s="52">
        <f t="shared" si="32"/>
        <v>0</v>
      </c>
      <c r="BQ52" s="52">
        <v>50000</v>
      </c>
      <c r="BR52" s="52">
        <f t="shared" si="44"/>
        <v>50000</v>
      </c>
      <c r="BS52" s="52"/>
      <c r="BT52" s="52"/>
      <c r="BU52" s="52">
        <v>5000</v>
      </c>
      <c r="BV52" s="52"/>
      <c r="BW52" s="52">
        <f t="shared" si="33"/>
        <v>5000</v>
      </c>
      <c r="BX52" s="52">
        <v>4377</v>
      </c>
      <c r="BY52" s="52">
        <f t="shared" si="45"/>
        <v>0</v>
      </c>
      <c r="BZ52" s="52"/>
      <c r="CA52" s="52"/>
      <c r="CB52" s="52"/>
      <c r="CC52" s="52"/>
      <c r="CD52" s="52">
        <f t="shared" si="34"/>
        <v>0</v>
      </c>
      <c r="CE52" s="52">
        <f t="shared" si="34"/>
        <v>0</v>
      </c>
      <c r="CF52" s="52"/>
      <c r="CG52" s="52"/>
      <c r="CH52" s="52"/>
      <c r="CI52" s="52"/>
      <c r="CJ52" s="52">
        <f t="shared" si="35"/>
        <v>0</v>
      </c>
      <c r="CK52" s="52">
        <f t="shared" si="35"/>
        <v>0</v>
      </c>
      <c r="CL52" s="52"/>
      <c r="CM52" s="52"/>
      <c r="CN52" s="52"/>
      <c r="CO52" s="52"/>
      <c r="CP52" s="52">
        <f t="shared" si="36"/>
        <v>0</v>
      </c>
      <c r="CQ52" s="52">
        <f t="shared" si="36"/>
        <v>0</v>
      </c>
      <c r="CR52" s="52"/>
      <c r="CS52" s="52"/>
      <c r="CT52" s="52"/>
      <c r="CU52" s="52"/>
      <c r="CV52" s="52">
        <f t="shared" si="37"/>
        <v>0</v>
      </c>
      <c r="CW52" s="52">
        <f t="shared" si="37"/>
        <v>0</v>
      </c>
      <c r="CX52" s="52"/>
      <c r="CY52" s="52"/>
      <c r="CZ52" s="52"/>
      <c r="DA52" s="52"/>
      <c r="DB52" s="52">
        <f t="shared" si="38"/>
        <v>0</v>
      </c>
      <c r="DC52" s="52">
        <f t="shared" si="38"/>
        <v>0</v>
      </c>
      <c r="DD52" s="52"/>
      <c r="DE52" s="52"/>
      <c r="DF52" s="52"/>
      <c r="DG52" s="52"/>
      <c r="DH52" s="52">
        <f t="shared" si="39"/>
        <v>0</v>
      </c>
      <c r="DI52" s="52">
        <f t="shared" si="39"/>
        <v>0</v>
      </c>
      <c r="DJ52" s="52">
        <f t="shared" si="46"/>
        <v>0</v>
      </c>
      <c r="DK52" s="52">
        <f t="shared" si="47"/>
        <v>110000</v>
      </c>
      <c r="DL52" s="52">
        <f t="shared" si="40"/>
        <v>114377</v>
      </c>
      <c r="DM52" s="52">
        <f t="shared" si="48"/>
        <v>0</v>
      </c>
      <c r="DN52" s="52">
        <f t="shared" si="41"/>
        <v>114377</v>
      </c>
      <c r="DO52" s="52">
        <f t="shared" si="41"/>
        <v>110000</v>
      </c>
    </row>
    <row r="53" spans="1:119">
      <c r="A53" s="224">
        <v>45</v>
      </c>
      <c r="B53" s="26" t="s">
        <v>41</v>
      </c>
      <c r="C53" s="53" t="s">
        <v>240</v>
      </c>
      <c r="D53" s="228" t="s">
        <v>241</v>
      </c>
      <c r="E53" s="198" t="s">
        <v>1165</v>
      </c>
      <c r="F53" s="161">
        <f t="shared" si="13"/>
        <v>112372</v>
      </c>
      <c r="G53" s="165">
        <f t="shared" si="14"/>
        <v>212372</v>
      </c>
      <c r="H53" s="60">
        <v>170000</v>
      </c>
      <c r="I53" s="219">
        <v>0</v>
      </c>
      <c r="J53" s="219">
        <v>0</v>
      </c>
      <c r="K53" s="127">
        <f t="shared" si="15"/>
        <v>100000</v>
      </c>
      <c r="L53" s="127">
        <f t="shared" si="16"/>
        <v>0</v>
      </c>
      <c r="M53" s="127">
        <f t="shared" si="17"/>
        <v>100000</v>
      </c>
      <c r="N53" s="127">
        <f t="shared" si="18"/>
        <v>112372</v>
      </c>
      <c r="O53" s="125">
        <f t="shared" si="19"/>
        <v>264812.69</v>
      </c>
      <c r="P53" s="52">
        <v>100000</v>
      </c>
      <c r="Q53" s="52"/>
      <c r="R53" s="52">
        <f t="shared" si="20"/>
        <v>100000</v>
      </c>
      <c r="S53" s="52">
        <f t="shared" si="21"/>
        <v>0</v>
      </c>
      <c r="T53" s="52"/>
      <c r="U53" s="52"/>
      <c r="V53" s="52"/>
      <c r="W53" s="57"/>
      <c r="X53" s="52">
        <f t="shared" si="22"/>
        <v>0</v>
      </c>
      <c r="Y53" s="52">
        <f t="shared" si="22"/>
        <v>0</v>
      </c>
      <c r="Z53" s="57"/>
      <c r="AA53" s="57"/>
      <c r="AB53" s="57"/>
      <c r="AC53" s="57"/>
      <c r="AD53" s="52">
        <f t="shared" si="23"/>
        <v>0</v>
      </c>
      <c r="AE53" s="52">
        <f t="shared" si="23"/>
        <v>0</v>
      </c>
      <c r="AF53" s="52">
        <f t="shared" si="24"/>
        <v>100000</v>
      </c>
      <c r="AG53" s="52">
        <f t="shared" si="25"/>
        <v>100000</v>
      </c>
      <c r="AH53" s="52">
        <f t="shared" si="25"/>
        <v>0</v>
      </c>
      <c r="AI53" s="52">
        <f t="shared" si="26"/>
        <v>0</v>
      </c>
      <c r="AJ53" s="52">
        <f t="shared" si="27"/>
        <v>100000</v>
      </c>
      <c r="AK53" s="52">
        <f t="shared" si="27"/>
        <v>100000</v>
      </c>
      <c r="AL53" s="57"/>
      <c r="AM53" s="57"/>
      <c r="AN53" s="57"/>
      <c r="AO53" s="57"/>
      <c r="AP53" s="52">
        <f t="shared" si="28"/>
        <v>0</v>
      </c>
      <c r="AQ53" s="52">
        <f t="shared" si="28"/>
        <v>0</v>
      </c>
      <c r="AR53" s="57"/>
      <c r="AS53" s="52"/>
      <c r="AT53" s="52"/>
      <c r="AU53" s="52"/>
      <c r="AV53" s="52">
        <f t="shared" si="29"/>
        <v>0</v>
      </c>
      <c r="AW53" s="52">
        <f t="shared" si="29"/>
        <v>0</v>
      </c>
      <c r="AX53" s="52"/>
      <c r="AY53" s="52">
        <v>70000</v>
      </c>
      <c r="AZ53" s="52"/>
      <c r="BA53" s="52"/>
      <c r="BB53" s="52">
        <f t="shared" si="30"/>
        <v>0</v>
      </c>
      <c r="BC53" s="52">
        <v>70000</v>
      </c>
      <c r="BD53" s="52">
        <f t="shared" si="42"/>
        <v>70000</v>
      </c>
      <c r="BE53" s="52"/>
      <c r="BF53" s="52">
        <v>30000</v>
      </c>
      <c r="BG53" s="52"/>
      <c r="BH53" s="52"/>
      <c r="BI53" s="52">
        <f t="shared" si="31"/>
        <v>0</v>
      </c>
      <c r="BJ53" s="52">
        <v>30000</v>
      </c>
      <c r="BK53" s="52">
        <f t="shared" si="43"/>
        <v>30000</v>
      </c>
      <c r="BL53" s="52"/>
      <c r="BM53" s="52">
        <v>12000</v>
      </c>
      <c r="BN53" s="52"/>
      <c r="BO53" s="52"/>
      <c r="BP53" s="52">
        <f t="shared" si="32"/>
        <v>0</v>
      </c>
      <c r="BQ53" s="52">
        <v>12372</v>
      </c>
      <c r="BR53" s="52">
        <f t="shared" si="44"/>
        <v>12000</v>
      </c>
      <c r="BS53" s="52"/>
      <c r="BT53" s="52"/>
      <c r="BU53" s="52"/>
      <c r="BV53" s="52"/>
      <c r="BW53" s="52">
        <f t="shared" si="33"/>
        <v>0</v>
      </c>
      <c r="BX53" s="52"/>
      <c r="BY53" s="52">
        <f t="shared" si="45"/>
        <v>0</v>
      </c>
      <c r="BZ53" s="52"/>
      <c r="CA53" s="52"/>
      <c r="CB53" s="52"/>
      <c r="CC53" s="52"/>
      <c r="CD53" s="52">
        <f t="shared" si="34"/>
        <v>0</v>
      </c>
      <c r="CE53" s="52">
        <f t="shared" si="34"/>
        <v>0</v>
      </c>
      <c r="CF53" s="52"/>
      <c r="CG53" s="52"/>
      <c r="CH53" s="52"/>
      <c r="CI53" s="52"/>
      <c r="CJ53" s="52">
        <f t="shared" si="35"/>
        <v>0</v>
      </c>
      <c r="CK53" s="52">
        <f t="shared" si="35"/>
        <v>0</v>
      </c>
      <c r="CL53" s="52"/>
      <c r="CM53" s="52"/>
      <c r="CN53" s="52"/>
      <c r="CO53" s="52"/>
      <c r="CP53" s="52">
        <f t="shared" si="36"/>
        <v>0</v>
      </c>
      <c r="CQ53" s="52">
        <f t="shared" si="36"/>
        <v>0</v>
      </c>
      <c r="CR53" s="52"/>
      <c r="CS53" s="52"/>
      <c r="CT53" s="52"/>
      <c r="CU53" s="52"/>
      <c r="CV53" s="52">
        <f t="shared" si="37"/>
        <v>0</v>
      </c>
      <c r="CW53" s="52">
        <f t="shared" si="37"/>
        <v>0</v>
      </c>
      <c r="CX53" s="52"/>
      <c r="CY53" s="52"/>
      <c r="CZ53" s="52"/>
      <c r="DA53" s="52">
        <v>52812.69</v>
      </c>
      <c r="DB53" s="52">
        <f t="shared" si="38"/>
        <v>0</v>
      </c>
      <c r="DC53" s="52">
        <f t="shared" si="38"/>
        <v>52812.69</v>
      </c>
      <c r="DD53" s="52"/>
      <c r="DE53" s="52"/>
      <c r="DF53" s="52"/>
      <c r="DG53" s="52"/>
      <c r="DH53" s="52">
        <f t="shared" si="39"/>
        <v>0</v>
      </c>
      <c r="DI53" s="52">
        <f t="shared" si="39"/>
        <v>0</v>
      </c>
      <c r="DJ53" s="52">
        <f t="shared" si="46"/>
        <v>0</v>
      </c>
      <c r="DK53" s="52">
        <f t="shared" si="47"/>
        <v>112000</v>
      </c>
      <c r="DL53" s="52">
        <f t="shared" si="40"/>
        <v>112372</v>
      </c>
      <c r="DM53" s="52">
        <f t="shared" si="48"/>
        <v>52812.69</v>
      </c>
      <c r="DN53" s="52">
        <f t="shared" si="41"/>
        <v>112372</v>
      </c>
      <c r="DO53" s="52">
        <f t="shared" si="41"/>
        <v>164812.69</v>
      </c>
    </row>
    <row r="54" spans="1:119">
      <c r="A54" s="224">
        <v>46</v>
      </c>
      <c r="B54" s="26" t="s">
        <v>195</v>
      </c>
      <c r="C54" s="53" t="s">
        <v>242</v>
      </c>
      <c r="D54" s="227" t="s">
        <v>243</v>
      </c>
      <c r="E54" s="191" t="s">
        <v>1165</v>
      </c>
      <c r="F54" s="161">
        <f t="shared" si="13"/>
        <v>110629</v>
      </c>
      <c r="G54" s="165">
        <f t="shared" si="14"/>
        <v>210629</v>
      </c>
      <c r="H54" s="54">
        <v>170000</v>
      </c>
      <c r="I54" s="220">
        <v>0</v>
      </c>
      <c r="J54" s="220">
        <v>0</v>
      </c>
      <c r="K54" s="127">
        <f t="shared" si="15"/>
        <v>100000</v>
      </c>
      <c r="L54" s="127">
        <f t="shared" si="16"/>
        <v>0</v>
      </c>
      <c r="M54" s="127">
        <f t="shared" si="17"/>
        <v>100000</v>
      </c>
      <c r="N54" s="127">
        <f t="shared" si="18"/>
        <v>110629</v>
      </c>
      <c r="O54" s="125">
        <f t="shared" si="19"/>
        <v>263037.62</v>
      </c>
      <c r="P54" s="57">
        <v>100000</v>
      </c>
      <c r="Q54" s="57"/>
      <c r="R54" s="52">
        <f t="shared" si="20"/>
        <v>100000</v>
      </c>
      <c r="S54" s="52">
        <f t="shared" si="21"/>
        <v>0</v>
      </c>
      <c r="T54" s="57"/>
      <c r="U54" s="57"/>
      <c r="V54" s="57"/>
      <c r="W54" s="57"/>
      <c r="X54" s="52">
        <f t="shared" si="22"/>
        <v>0</v>
      </c>
      <c r="Y54" s="52">
        <f t="shared" si="22"/>
        <v>0</v>
      </c>
      <c r="Z54" s="57"/>
      <c r="AA54" s="57"/>
      <c r="AB54" s="57"/>
      <c r="AC54" s="57"/>
      <c r="AD54" s="52">
        <f t="shared" si="23"/>
        <v>0</v>
      </c>
      <c r="AE54" s="52">
        <f t="shared" si="23"/>
        <v>0</v>
      </c>
      <c r="AF54" s="52">
        <f t="shared" si="24"/>
        <v>100000</v>
      </c>
      <c r="AG54" s="52">
        <f t="shared" si="25"/>
        <v>100000</v>
      </c>
      <c r="AH54" s="52">
        <f t="shared" si="25"/>
        <v>0</v>
      </c>
      <c r="AI54" s="52">
        <f t="shared" si="26"/>
        <v>0</v>
      </c>
      <c r="AJ54" s="52">
        <f t="shared" si="27"/>
        <v>100000</v>
      </c>
      <c r="AK54" s="52">
        <f t="shared" si="27"/>
        <v>100000</v>
      </c>
      <c r="AL54" s="57"/>
      <c r="AM54" s="57"/>
      <c r="AN54" s="57"/>
      <c r="AO54" s="57"/>
      <c r="AP54" s="52">
        <f t="shared" si="28"/>
        <v>0</v>
      </c>
      <c r="AQ54" s="52">
        <f t="shared" si="28"/>
        <v>0</v>
      </c>
      <c r="AR54" s="57"/>
      <c r="AS54" s="57"/>
      <c r="AT54" s="57"/>
      <c r="AU54" s="57"/>
      <c r="AV54" s="52">
        <f t="shared" si="29"/>
        <v>0</v>
      </c>
      <c r="AW54" s="52">
        <f t="shared" si="29"/>
        <v>0</v>
      </c>
      <c r="AX54" s="57"/>
      <c r="AY54" s="57"/>
      <c r="AZ54" s="57"/>
      <c r="BA54" s="57"/>
      <c r="BB54" s="52">
        <f t="shared" si="30"/>
        <v>0</v>
      </c>
      <c r="BC54" s="52">
        <v>0</v>
      </c>
      <c r="BD54" s="52">
        <f t="shared" si="42"/>
        <v>0</v>
      </c>
      <c r="BE54" s="57"/>
      <c r="BF54" s="57"/>
      <c r="BG54" s="57"/>
      <c r="BH54" s="57"/>
      <c r="BI54" s="52">
        <f t="shared" si="31"/>
        <v>0</v>
      </c>
      <c r="BJ54" s="52"/>
      <c r="BK54" s="52">
        <f t="shared" si="43"/>
        <v>0</v>
      </c>
      <c r="BL54" s="57"/>
      <c r="BM54" s="57">
        <v>56000</v>
      </c>
      <c r="BN54" s="57"/>
      <c r="BO54" s="57"/>
      <c r="BP54" s="52">
        <f t="shared" si="32"/>
        <v>0</v>
      </c>
      <c r="BQ54" s="52">
        <v>56000</v>
      </c>
      <c r="BR54" s="52">
        <f t="shared" si="44"/>
        <v>56000</v>
      </c>
      <c r="BS54" s="57"/>
      <c r="BT54" s="57">
        <v>50000</v>
      </c>
      <c r="BU54" s="57">
        <v>10000</v>
      </c>
      <c r="BV54" s="57"/>
      <c r="BW54" s="52">
        <f t="shared" si="33"/>
        <v>10000</v>
      </c>
      <c r="BX54" s="52">
        <v>54629</v>
      </c>
      <c r="BY54" s="52">
        <f t="shared" si="45"/>
        <v>50000</v>
      </c>
      <c r="BZ54" s="57"/>
      <c r="CA54" s="57"/>
      <c r="CB54" s="57"/>
      <c r="CC54" s="57"/>
      <c r="CD54" s="52">
        <f t="shared" si="34"/>
        <v>0</v>
      </c>
      <c r="CE54" s="52">
        <f t="shared" si="34"/>
        <v>0</v>
      </c>
      <c r="CF54" s="57"/>
      <c r="CG54" s="57"/>
      <c r="CH54" s="57"/>
      <c r="CI54" s="57"/>
      <c r="CJ54" s="52">
        <f t="shared" si="35"/>
        <v>0</v>
      </c>
      <c r="CK54" s="52">
        <f t="shared" si="35"/>
        <v>0</v>
      </c>
      <c r="CL54" s="57"/>
      <c r="CM54" s="57"/>
      <c r="CN54" s="57"/>
      <c r="CO54" s="57"/>
      <c r="CP54" s="52">
        <f t="shared" si="36"/>
        <v>0</v>
      </c>
      <c r="CQ54" s="52">
        <f t="shared" si="36"/>
        <v>0</v>
      </c>
      <c r="CR54" s="57"/>
      <c r="CS54" s="57"/>
      <c r="CT54" s="57"/>
      <c r="CU54" s="57"/>
      <c r="CV54" s="52">
        <f t="shared" si="37"/>
        <v>0</v>
      </c>
      <c r="CW54" s="52">
        <f t="shared" si="37"/>
        <v>0</v>
      </c>
      <c r="CX54" s="57"/>
      <c r="CY54" s="57"/>
      <c r="CZ54" s="57"/>
      <c r="DA54" s="57">
        <v>57037.62</v>
      </c>
      <c r="DB54" s="52">
        <f t="shared" si="38"/>
        <v>0</v>
      </c>
      <c r="DC54" s="52">
        <f t="shared" si="38"/>
        <v>57037.62</v>
      </c>
      <c r="DD54" s="57"/>
      <c r="DE54" s="57"/>
      <c r="DF54" s="57"/>
      <c r="DG54" s="57"/>
      <c r="DH54" s="52">
        <f t="shared" si="39"/>
        <v>0</v>
      </c>
      <c r="DI54" s="52">
        <f t="shared" si="39"/>
        <v>0</v>
      </c>
      <c r="DJ54" s="52">
        <f t="shared" si="46"/>
        <v>0</v>
      </c>
      <c r="DK54" s="52">
        <f t="shared" si="47"/>
        <v>106000</v>
      </c>
      <c r="DL54" s="52">
        <f t="shared" si="40"/>
        <v>110629</v>
      </c>
      <c r="DM54" s="52">
        <f t="shared" si="48"/>
        <v>57037.62</v>
      </c>
      <c r="DN54" s="52">
        <f t="shared" si="41"/>
        <v>110629</v>
      </c>
      <c r="DO54" s="52">
        <f t="shared" si="41"/>
        <v>163037.62</v>
      </c>
    </row>
    <row r="55" spans="1:119" s="278" customFormat="1">
      <c r="A55" s="297">
        <v>47</v>
      </c>
      <c r="B55" s="276" t="s">
        <v>195</v>
      </c>
      <c r="C55" s="298" t="s">
        <v>244</v>
      </c>
      <c r="D55" s="299" t="s">
        <v>245</v>
      </c>
      <c r="E55" s="298" t="s">
        <v>1165</v>
      </c>
      <c r="F55" s="255">
        <f t="shared" si="13"/>
        <v>0</v>
      </c>
      <c r="G55" s="256">
        <f t="shared" si="14"/>
        <v>0</v>
      </c>
      <c r="H55" s="54">
        <v>50000</v>
      </c>
      <c r="I55" s="219">
        <v>0</v>
      </c>
      <c r="J55" s="219">
        <v>0</v>
      </c>
      <c r="K55" s="255">
        <f t="shared" si="15"/>
        <v>0</v>
      </c>
      <c r="L55" s="255">
        <f t="shared" si="16"/>
        <v>0</v>
      </c>
      <c r="M55" s="255">
        <f t="shared" si="17"/>
        <v>0</v>
      </c>
      <c r="N55" s="255">
        <f t="shared" si="18"/>
        <v>0</v>
      </c>
      <c r="O55" s="255" t="str">
        <f t="shared" si="19"/>
        <v>ნულოვანი შესრულება</v>
      </c>
      <c r="P55" s="52"/>
      <c r="Q55" s="52"/>
      <c r="R55" s="52">
        <f t="shared" si="20"/>
        <v>0</v>
      </c>
      <c r="S55" s="52">
        <f t="shared" si="21"/>
        <v>0</v>
      </c>
      <c r="T55" s="52"/>
      <c r="U55" s="52"/>
      <c r="V55" s="52"/>
      <c r="W55" s="52"/>
      <c r="X55" s="52">
        <f t="shared" si="22"/>
        <v>0</v>
      </c>
      <c r="Y55" s="52">
        <f t="shared" si="22"/>
        <v>0</v>
      </c>
      <c r="Z55" s="52"/>
      <c r="AA55" s="52"/>
      <c r="AB55" s="52"/>
      <c r="AC55" s="52"/>
      <c r="AD55" s="52">
        <f t="shared" si="23"/>
        <v>0</v>
      </c>
      <c r="AE55" s="52">
        <f t="shared" si="23"/>
        <v>0</v>
      </c>
      <c r="AF55" s="52">
        <f t="shared" si="24"/>
        <v>0</v>
      </c>
      <c r="AG55" s="52">
        <f t="shared" si="25"/>
        <v>0</v>
      </c>
      <c r="AH55" s="52">
        <f t="shared" si="25"/>
        <v>0</v>
      </c>
      <c r="AI55" s="52">
        <f t="shared" si="26"/>
        <v>0</v>
      </c>
      <c r="AJ55" s="52">
        <f t="shared" si="27"/>
        <v>0</v>
      </c>
      <c r="AK55" s="52">
        <f t="shared" si="27"/>
        <v>0</v>
      </c>
      <c r="AL55" s="258"/>
      <c r="AM55" s="258"/>
      <c r="AN55" s="258"/>
      <c r="AO55" s="258"/>
      <c r="AP55" s="258">
        <f t="shared" si="28"/>
        <v>0</v>
      </c>
      <c r="AQ55" s="258">
        <f t="shared" si="28"/>
        <v>0</v>
      </c>
      <c r="AR55" s="258"/>
      <c r="AS55" s="258"/>
      <c r="AT55" s="258"/>
      <c r="AU55" s="258"/>
      <c r="AV55" s="258">
        <f t="shared" si="29"/>
        <v>0</v>
      </c>
      <c r="AW55" s="258">
        <f t="shared" si="29"/>
        <v>0</v>
      </c>
      <c r="AX55" s="258"/>
      <c r="AY55" s="258"/>
      <c r="AZ55" s="258"/>
      <c r="BA55" s="258"/>
      <c r="BB55" s="258">
        <f t="shared" si="30"/>
        <v>0</v>
      </c>
      <c r="BC55" s="258"/>
      <c r="BD55" s="258">
        <f t="shared" si="42"/>
        <v>0</v>
      </c>
      <c r="BE55" s="258"/>
      <c r="BF55" s="258"/>
      <c r="BG55" s="258"/>
      <c r="BH55" s="258"/>
      <c r="BI55" s="258">
        <f t="shared" si="31"/>
        <v>0</v>
      </c>
      <c r="BJ55" s="258"/>
      <c r="BK55" s="258">
        <f t="shared" si="43"/>
        <v>0</v>
      </c>
      <c r="BL55" s="258"/>
      <c r="BM55" s="258"/>
      <c r="BN55" s="258"/>
      <c r="BO55" s="258"/>
      <c r="BP55" s="258">
        <f t="shared" si="32"/>
        <v>0</v>
      </c>
      <c r="BQ55" s="258"/>
      <c r="BR55" s="258">
        <f t="shared" si="44"/>
        <v>0</v>
      </c>
      <c r="BS55" s="258"/>
      <c r="BT55" s="258"/>
      <c r="BU55" s="258"/>
      <c r="BV55" s="258"/>
      <c r="BW55" s="258">
        <f t="shared" si="33"/>
        <v>0</v>
      </c>
      <c r="BX55" s="258"/>
      <c r="BY55" s="258">
        <f t="shared" si="45"/>
        <v>0</v>
      </c>
      <c r="BZ55" s="258"/>
      <c r="CA55" s="258"/>
      <c r="CB55" s="258"/>
      <c r="CC55" s="258"/>
      <c r="CD55" s="258">
        <f t="shared" si="34"/>
        <v>0</v>
      </c>
      <c r="CE55" s="258">
        <f t="shared" si="34"/>
        <v>0</v>
      </c>
      <c r="CF55" s="258"/>
      <c r="CG55" s="258"/>
      <c r="CH55" s="258"/>
      <c r="CI55" s="258"/>
      <c r="CJ55" s="258">
        <f t="shared" si="35"/>
        <v>0</v>
      </c>
      <c r="CK55" s="258">
        <f t="shared" si="35"/>
        <v>0</v>
      </c>
      <c r="CL55" s="258"/>
      <c r="CM55" s="258"/>
      <c r="CN55" s="258"/>
      <c r="CO55" s="258"/>
      <c r="CP55" s="258">
        <f t="shared" si="36"/>
        <v>0</v>
      </c>
      <c r="CQ55" s="258">
        <f t="shared" si="36"/>
        <v>0</v>
      </c>
      <c r="CR55" s="258"/>
      <c r="CS55" s="258"/>
      <c r="CT55" s="258"/>
      <c r="CU55" s="258"/>
      <c r="CV55" s="258">
        <f t="shared" si="37"/>
        <v>0</v>
      </c>
      <c r="CW55" s="258">
        <f t="shared" si="37"/>
        <v>0</v>
      </c>
      <c r="CX55" s="258"/>
      <c r="CY55" s="258"/>
      <c r="CZ55" s="258"/>
      <c r="DA55" s="258"/>
      <c r="DB55" s="258">
        <f t="shared" si="38"/>
        <v>0</v>
      </c>
      <c r="DC55" s="258">
        <f t="shared" si="38"/>
        <v>0</v>
      </c>
      <c r="DD55" s="258"/>
      <c r="DE55" s="258"/>
      <c r="DF55" s="258"/>
      <c r="DG55" s="258"/>
      <c r="DH55" s="258">
        <f t="shared" si="39"/>
        <v>0</v>
      </c>
      <c r="DI55" s="258">
        <f t="shared" si="39"/>
        <v>0</v>
      </c>
      <c r="DJ55" s="258">
        <f t="shared" si="46"/>
        <v>0</v>
      </c>
      <c r="DK55" s="258">
        <f t="shared" si="47"/>
        <v>0</v>
      </c>
      <c r="DL55" s="52">
        <f t="shared" si="40"/>
        <v>0</v>
      </c>
      <c r="DM55" s="258">
        <f t="shared" si="48"/>
        <v>0</v>
      </c>
      <c r="DN55" s="258">
        <f t="shared" si="41"/>
        <v>0</v>
      </c>
      <c r="DO55" s="258">
        <f t="shared" si="41"/>
        <v>0</v>
      </c>
    </row>
    <row r="56" spans="1:119" s="278" customFormat="1">
      <c r="A56" s="297">
        <v>48</v>
      </c>
      <c r="B56" s="276" t="s">
        <v>41</v>
      </c>
      <c r="C56" s="298" t="s">
        <v>246</v>
      </c>
      <c r="D56" s="299" t="s">
        <v>247</v>
      </c>
      <c r="E56" s="298" t="s">
        <v>1165</v>
      </c>
      <c r="F56" s="255">
        <f t="shared" si="13"/>
        <v>0</v>
      </c>
      <c r="G56" s="256">
        <f t="shared" si="14"/>
        <v>0</v>
      </c>
      <c r="H56" s="54">
        <v>35000</v>
      </c>
      <c r="I56" s="219">
        <v>0</v>
      </c>
      <c r="J56" s="219">
        <v>0</v>
      </c>
      <c r="K56" s="255">
        <f t="shared" si="15"/>
        <v>0</v>
      </c>
      <c r="L56" s="255">
        <f t="shared" si="16"/>
        <v>0</v>
      </c>
      <c r="M56" s="255">
        <f t="shared" si="17"/>
        <v>0</v>
      </c>
      <c r="N56" s="255">
        <f t="shared" si="18"/>
        <v>0</v>
      </c>
      <c r="O56" s="255" t="str">
        <f t="shared" si="19"/>
        <v>ნულოვანი შესრულება</v>
      </c>
      <c r="P56" s="52"/>
      <c r="Q56" s="52"/>
      <c r="R56" s="52">
        <f t="shared" si="20"/>
        <v>0</v>
      </c>
      <c r="S56" s="52">
        <f t="shared" si="21"/>
        <v>0</v>
      </c>
      <c r="T56" s="52"/>
      <c r="U56" s="52"/>
      <c r="V56" s="52"/>
      <c r="W56" s="52"/>
      <c r="X56" s="52">
        <f t="shared" si="22"/>
        <v>0</v>
      </c>
      <c r="Y56" s="52">
        <f t="shared" si="22"/>
        <v>0</v>
      </c>
      <c r="Z56" s="52"/>
      <c r="AA56" s="52"/>
      <c r="AB56" s="52"/>
      <c r="AC56" s="52"/>
      <c r="AD56" s="52">
        <f t="shared" si="23"/>
        <v>0</v>
      </c>
      <c r="AE56" s="52">
        <f t="shared" si="23"/>
        <v>0</v>
      </c>
      <c r="AF56" s="52">
        <f t="shared" si="24"/>
        <v>0</v>
      </c>
      <c r="AG56" s="52">
        <f t="shared" si="25"/>
        <v>0</v>
      </c>
      <c r="AH56" s="52">
        <f t="shared" si="25"/>
        <v>0</v>
      </c>
      <c r="AI56" s="52">
        <f t="shared" si="26"/>
        <v>0</v>
      </c>
      <c r="AJ56" s="52">
        <f t="shared" si="27"/>
        <v>0</v>
      </c>
      <c r="AK56" s="52">
        <f t="shared" si="27"/>
        <v>0</v>
      </c>
      <c r="AL56" s="258"/>
      <c r="AM56" s="258"/>
      <c r="AN56" s="258"/>
      <c r="AO56" s="258"/>
      <c r="AP56" s="258">
        <f t="shared" si="28"/>
        <v>0</v>
      </c>
      <c r="AQ56" s="258">
        <f t="shared" si="28"/>
        <v>0</v>
      </c>
      <c r="AR56" s="258"/>
      <c r="AS56" s="258"/>
      <c r="AT56" s="258"/>
      <c r="AU56" s="258"/>
      <c r="AV56" s="258">
        <f t="shared" si="29"/>
        <v>0</v>
      </c>
      <c r="AW56" s="258">
        <f t="shared" si="29"/>
        <v>0</v>
      </c>
      <c r="AX56" s="258"/>
      <c r="AY56" s="258"/>
      <c r="AZ56" s="258"/>
      <c r="BA56" s="258"/>
      <c r="BB56" s="258">
        <f t="shared" si="30"/>
        <v>0</v>
      </c>
      <c r="BC56" s="258"/>
      <c r="BD56" s="258">
        <f t="shared" si="42"/>
        <v>0</v>
      </c>
      <c r="BE56" s="258"/>
      <c r="BF56" s="258"/>
      <c r="BG56" s="258"/>
      <c r="BH56" s="258"/>
      <c r="BI56" s="258">
        <f t="shared" si="31"/>
        <v>0</v>
      </c>
      <c r="BJ56" s="258"/>
      <c r="BK56" s="258">
        <f t="shared" si="43"/>
        <v>0</v>
      </c>
      <c r="BL56" s="258"/>
      <c r="BM56" s="258"/>
      <c r="BN56" s="258"/>
      <c r="BO56" s="258"/>
      <c r="BP56" s="258">
        <f t="shared" si="32"/>
        <v>0</v>
      </c>
      <c r="BQ56" s="258"/>
      <c r="BR56" s="258">
        <f t="shared" si="44"/>
        <v>0</v>
      </c>
      <c r="BS56" s="258"/>
      <c r="BT56" s="258"/>
      <c r="BU56" s="258"/>
      <c r="BV56" s="258"/>
      <c r="BW56" s="258">
        <f t="shared" si="33"/>
        <v>0</v>
      </c>
      <c r="BX56" s="258"/>
      <c r="BY56" s="258">
        <f t="shared" si="45"/>
        <v>0</v>
      </c>
      <c r="BZ56" s="258"/>
      <c r="CA56" s="258"/>
      <c r="CB56" s="258"/>
      <c r="CC56" s="258"/>
      <c r="CD56" s="258">
        <f t="shared" si="34"/>
        <v>0</v>
      </c>
      <c r="CE56" s="258">
        <f t="shared" si="34"/>
        <v>0</v>
      </c>
      <c r="CF56" s="258"/>
      <c r="CG56" s="258"/>
      <c r="CH56" s="258"/>
      <c r="CI56" s="258"/>
      <c r="CJ56" s="258">
        <f t="shared" si="35"/>
        <v>0</v>
      </c>
      <c r="CK56" s="258">
        <f t="shared" si="35"/>
        <v>0</v>
      </c>
      <c r="CL56" s="258"/>
      <c r="CM56" s="258"/>
      <c r="CN56" s="258"/>
      <c r="CO56" s="258"/>
      <c r="CP56" s="258">
        <f t="shared" si="36"/>
        <v>0</v>
      </c>
      <c r="CQ56" s="258">
        <f t="shared" si="36"/>
        <v>0</v>
      </c>
      <c r="CR56" s="258"/>
      <c r="CS56" s="258"/>
      <c r="CT56" s="258"/>
      <c r="CU56" s="258"/>
      <c r="CV56" s="258">
        <f t="shared" si="37"/>
        <v>0</v>
      </c>
      <c r="CW56" s="258">
        <f t="shared" si="37"/>
        <v>0</v>
      </c>
      <c r="CX56" s="258"/>
      <c r="CY56" s="258"/>
      <c r="CZ56" s="258"/>
      <c r="DA56" s="258"/>
      <c r="DB56" s="258">
        <f t="shared" si="38"/>
        <v>0</v>
      </c>
      <c r="DC56" s="258">
        <f t="shared" si="38"/>
        <v>0</v>
      </c>
      <c r="DD56" s="258"/>
      <c r="DE56" s="258"/>
      <c r="DF56" s="258"/>
      <c r="DG56" s="258"/>
      <c r="DH56" s="258">
        <f t="shared" si="39"/>
        <v>0</v>
      </c>
      <c r="DI56" s="258">
        <f t="shared" si="39"/>
        <v>0</v>
      </c>
      <c r="DJ56" s="258">
        <f t="shared" si="46"/>
        <v>0</v>
      </c>
      <c r="DK56" s="258">
        <f t="shared" si="47"/>
        <v>0</v>
      </c>
      <c r="DL56" s="52">
        <f t="shared" si="40"/>
        <v>0</v>
      </c>
      <c r="DM56" s="258">
        <f t="shared" si="48"/>
        <v>0</v>
      </c>
      <c r="DN56" s="258">
        <f t="shared" si="41"/>
        <v>0</v>
      </c>
      <c r="DO56" s="258">
        <f t="shared" si="41"/>
        <v>0</v>
      </c>
    </row>
    <row r="57" spans="1:119">
      <c r="A57" s="224">
        <v>49</v>
      </c>
      <c r="B57" s="26" t="s">
        <v>202</v>
      </c>
      <c r="C57" s="53" t="s">
        <v>232</v>
      </c>
      <c r="D57" s="227" t="s">
        <v>233</v>
      </c>
      <c r="E57" s="191" t="s">
        <v>1164</v>
      </c>
      <c r="F57" s="161">
        <f t="shared" si="13"/>
        <v>0</v>
      </c>
      <c r="G57" s="165">
        <f t="shared" si="14"/>
        <v>2908.5</v>
      </c>
      <c r="H57" s="54"/>
      <c r="I57" s="219">
        <v>0</v>
      </c>
      <c r="J57" s="219">
        <v>0</v>
      </c>
      <c r="K57" s="127">
        <f t="shared" si="15"/>
        <v>2908.5</v>
      </c>
      <c r="L57" s="127">
        <f t="shared" si="16"/>
        <v>2908.5</v>
      </c>
      <c r="M57" s="127">
        <f t="shared" si="17"/>
        <v>2908.5</v>
      </c>
      <c r="N57" s="127">
        <f t="shared" si="18"/>
        <v>0</v>
      </c>
      <c r="O57" s="125">
        <f t="shared" si="19"/>
        <v>2908.5</v>
      </c>
      <c r="P57" s="52"/>
      <c r="Q57" s="52">
        <v>2908.5</v>
      </c>
      <c r="R57" s="52">
        <f t="shared" si="20"/>
        <v>0</v>
      </c>
      <c r="S57" s="52">
        <f t="shared" si="21"/>
        <v>2908.5</v>
      </c>
      <c r="T57" s="52"/>
      <c r="U57" s="52"/>
      <c r="V57" s="52"/>
      <c r="W57" s="52"/>
      <c r="X57" s="52">
        <f t="shared" si="22"/>
        <v>0</v>
      </c>
      <c r="Y57" s="52">
        <f t="shared" si="22"/>
        <v>0</v>
      </c>
      <c r="Z57" s="52"/>
      <c r="AA57" s="52"/>
      <c r="AB57" s="52"/>
      <c r="AC57" s="52"/>
      <c r="AD57" s="52">
        <f t="shared" si="23"/>
        <v>0</v>
      </c>
      <c r="AE57" s="52">
        <f t="shared" si="23"/>
        <v>0</v>
      </c>
      <c r="AF57" s="52">
        <f t="shared" si="24"/>
        <v>0</v>
      </c>
      <c r="AG57" s="52">
        <f t="shared" si="25"/>
        <v>0</v>
      </c>
      <c r="AH57" s="52">
        <f t="shared" si="25"/>
        <v>2908.5</v>
      </c>
      <c r="AI57" s="52">
        <f t="shared" si="26"/>
        <v>2908.5</v>
      </c>
      <c r="AJ57" s="52">
        <f t="shared" si="27"/>
        <v>2908.5</v>
      </c>
      <c r="AK57" s="52">
        <f t="shared" si="27"/>
        <v>2908.5</v>
      </c>
      <c r="AL57" s="57"/>
      <c r="AM57" s="57"/>
      <c r="AN57" s="57"/>
      <c r="AO57" s="57"/>
      <c r="AP57" s="52">
        <f t="shared" si="28"/>
        <v>0</v>
      </c>
      <c r="AQ57" s="52">
        <f t="shared" si="28"/>
        <v>0</v>
      </c>
      <c r="AR57" s="57"/>
      <c r="AS57" s="57"/>
      <c r="AT57" s="57"/>
      <c r="AU57" s="57"/>
      <c r="AV57" s="52">
        <f t="shared" si="29"/>
        <v>0</v>
      </c>
      <c r="AW57" s="52">
        <f t="shared" si="29"/>
        <v>0</v>
      </c>
      <c r="AX57" s="57"/>
      <c r="AY57" s="57"/>
      <c r="AZ57" s="57"/>
      <c r="BA57" s="57"/>
      <c r="BB57" s="52">
        <f t="shared" si="30"/>
        <v>0</v>
      </c>
      <c r="BC57" s="52"/>
      <c r="BD57" s="52">
        <f t="shared" si="42"/>
        <v>0</v>
      </c>
      <c r="BE57" s="57"/>
      <c r="BF57" s="57"/>
      <c r="BG57" s="57"/>
      <c r="BH57" s="57"/>
      <c r="BI57" s="52">
        <f t="shared" si="31"/>
        <v>0</v>
      </c>
      <c r="BJ57" s="52"/>
      <c r="BK57" s="52">
        <f t="shared" si="43"/>
        <v>0</v>
      </c>
      <c r="BL57" s="57"/>
      <c r="BM57" s="57"/>
      <c r="BN57" s="57"/>
      <c r="BO57" s="57"/>
      <c r="BP57" s="52">
        <f t="shared" si="32"/>
        <v>0</v>
      </c>
      <c r="BQ57" s="52"/>
      <c r="BR57" s="52">
        <f t="shared" si="44"/>
        <v>0</v>
      </c>
      <c r="BS57" s="57"/>
      <c r="BT57" s="57"/>
      <c r="BU57" s="57"/>
      <c r="BV57" s="57"/>
      <c r="BW57" s="52">
        <f t="shared" si="33"/>
        <v>0</v>
      </c>
      <c r="BX57" s="52"/>
      <c r="BY57" s="52">
        <f t="shared" si="45"/>
        <v>0</v>
      </c>
      <c r="BZ57" s="57"/>
      <c r="CA57" s="57"/>
      <c r="CB57" s="57"/>
      <c r="CC57" s="57"/>
      <c r="CD57" s="52">
        <f t="shared" si="34"/>
        <v>0</v>
      </c>
      <c r="CE57" s="52">
        <f t="shared" si="34"/>
        <v>0</v>
      </c>
      <c r="CF57" s="57"/>
      <c r="CG57" s="57"/>
      <c r="CH57" s="57"/>
      <c r="CI57" s="57"/>
      <c r="CJ57" s="52">
        <f t="shared" si="35"/>
        <v>0</v>
      </c>
      <c r="CK57" s="52">
        <f t="shared" si="35"/>
        <v>0</v>
      </c>
      <c r="CL57" s="57"/>
      <c r="CM57" s="57"/>
      <c r="CN57" s="57"/>
      <c r="CO57" s="57"/>
      <c r="CP57" s="52">
        <f t="shared" si="36"/>
        <v>0</v>
      </c>
      <c r="CQ57" s="52">
        <f t="shared" si="36"/>
        <v>0</v>
      </c>
      <c r="CR57" s="57"/>
      <c r="CS57" s="57"/>
      <c r="CT57" s="57"/>
      <c r="CU57" s="57"/>
      <c r="CV57" s="52">
        <f t="shared" si="37"/>
        <v>0</v>
      </c>
      <c r="CW57" s="52">
        <f t="shared" si="37"/>
        <v>0</v>
      </c>
      <c r="CX57" s="57"/>
      <c r="CY57" s="57"/>
      <c r="CZ57" s="57"/>
      <c r="DA57" s="57"/>
      <c r="DB57" s="52">
        <f t="shared" si="38"/>
        <v>0</v>
      </c>
      <c r="DC57" s="52">
        <f t="shared" si="38"/>
        <v>0</v>
      </c>
      <c r="DD57" s="57"/>
      <c r="DE57" s="57"/>
      <c r="DF57" s="57"/>
      <c r="DG57" s="57"/>
      <c r="DH57" s="52">
        <f t="shared" si="39"/>
        <v>0</v>
      </c>
      <c r="DI57" s="52">
        <f t="shared" si="39"/>
        <v>0</v>
      </c>
      <c r="DJ57" s="52">
        <f t="shared" si="46"/>
        <v>0</v>
      </c>
      <c r="DK57" s="52">
        <f t="shared" si="47"/>
        <v>0</v>
      </c>
      <c r="DL57" s="52">
        <f t="shared" si="40"/>
        <v>0</v>
      </c>
      <c r="DM57" s="52">
        <f t="shared" si="48"/>
        <v>0</v>
      </c>
      <c r="DN57" s="52">
        <f t="shared" si="41"/>
        <v>0</v>
      </c>
      <c r="DO57" s="52">
        <f t="shared" si="41"/>
        <v>0</v>
      </c>
    </row>
    <row r="58" spans="1:119" s="278" customFormat="1">
      <c r="A58" s="297">
        <v>50</v>
      </c>
      <c r="B58" s="276" t="s">
        <v>202</v>
      </c>
      <c r="C58" s="298" t="s">
        <v>248</v>
      </c>
      <c r="D58" s="299" t="s">
        <v>249</v>
      </c>
      <c r="E58" s="298" t="s">
        <v>1165</v>
      </c>
      <c r="F58" s="255">
        <f t="shared" si="13"/>
        <v>26162</v>
      </c>
      <c r="G58" s="256">
        <f t="shared" si="14"/>
        <v>26162</v>
      </c>
      <c r="H58" s="54">
        <v>25000</v>
      </c>
      <c r="I58" s="219">
        <v>0</v>
      </c>
      <c r="J58" s="219">
        <v>0</v>
      </c>
      <c r="K58" s="255">
        <f t="shared" si="15"/>
        <v>0</v>
      </c>
      <c r="L58" s="255">
        <f t="shared" si="16"/>
        <v>0</v>
      </c>
      <c r="M58" s="255">
        <f t="shared" si="17"/>
        <v>0</v>
      </c>
      <c r="N58" s="255">
        <f t="shared" si="18"/>
        <v>26162</v>
      </c>
      <c r="O58" s="255">
        <f t="shared" si="19"/>
        <v>123258.36</v>
      </c>
      <c r="P58" s="52"/>
      <c r="Q58" s="52"/>
      <c r="R58" s="52">
        <f t="shared" si="20"/>
        <v>0</v>
      </c>
      <c r="S58" s="52">
        <f t="shared" si="21"/>
        <v>0</v>
      </c>
      <c r="T58" s="52"/>
      <c r="U58" s="52"/>
      <c r="V58" s="52"/>
      <c r="W58" s="52"/>
      <c r="X58" s="52">
        <f t="shared" si="22"/>
        <v>0</v>
      </c>
      <c r="Y58" s="52">
        <f t="shared" si="22"/>
        <v>0</v>
      </c>
      <c r="Z58" s="52"/>
      <c r="AA58" s="52"/>
      <c r="AB58" s="52"/>
      <c r="AC58" s="52"/>
      <c r="AD58" s="52">
        <f t="shared" si="23"/>
        <v>0</v>
      </c>
      <c r="AE58" s="52">
        <f t="shared" si="23"/>
        <v>0</v>
      </c>
      <c r="AF58" s="52">
        <f t="shared" si="24"/>
        <v>0</v>
      </c>
      <c r="AG58" s="52">
        <f t="shared" si="25"/>
        <v>0</v>
      </c>
      <c r="AH58" s="52">
        <f t="shared" si="25"/>
        <v>0</v>
      </c>
      <c r="AI58" s="52">
        <f t="shared" si="26"/>
        <v>0</v>
      </c>
      <c r="AJ58" s="52">
        <f t="shared" si="27"/>
        <v>0</v>
      </c>
      <c r="AK58" s="52">
        <f t="shared" si="27"/>
        <v>0</v>
      </c>
      <c r="AL58" s="258"/>
      <c r="AM58" s="258"/>
      <c r="AN58" s="258"/>
      <c r="AO58" s="258"/>
      <c r="AP58" s="258">
        <f t="shared" si="28"/>
        <v>0</v>
      </c>
      <c r="AQ58" s="258">
        <f t="shared" si="28"/>
        <v>0</v>
      </c>
      <c r="AR58" s="258"/>
      <c r="AS58" s="258">
        <v>100000</v>
      </c>
      <c r="AT58" s="258"/>
      <c r="AU58" s="258"/>
      <c r="AV58" s="258">
        <f t="shared" si="29"/>
        <v>0</v>
      </c>
      <c r="AW58" s="258">
        <f t="shared" si="29"/>
        <v>100000</v>
      </c>
      <c r="AX58" s="258"/>
      <c r="AY58" s="258"/>
      <c r="AZ58" s="258"/>
      <c r="BA58" s="258"/>
      <c r="BB58" s="258">
        <f t="shared" si="30"/>
        <v>0</v>
      </c>
      <c r="BC58" s="258"/>
      <c r="BD58" s="258">
        <f t="shared" si="42"/>
        <v>0</v>
      </c>
      <c r="BE58" s="258"/>
      <c r="BF58" s="258"/>
      <c r="BG58" s="258"/>
      <c r="BH58" s="258">
        <v>23258.36</v>
      </c>
      <c r="BI58" s="258">
        <f t="shared" si="31"/>
        <v>0</v>
      </c>
      <c r="BJ58" s="258">
        <v>26162</v>
      </c>
      <c r="BK58" s="52">
        <f t="shared" si="43"/>
        <v>23258.36</v>
      </c>
      <c r="BL58" s="258"/>
      <c r="BM58" s="258"/>
      <c r="BN58" s="258"/>
      <c r="BO58" s="258"/>
      <c r="BP58" s="258">
        <f t="shared" si="32"/>
        <v>0</v>
      </c>
      <c r="BQ58" s="258"/>
      <c r="BR58" s="258">
        <f t="shared" si="44"/>
        <v>0</v>
      </c>
      <c r="BS58" s="258"/>
      <c r="BT58" s="258"/>
      <c r="BU58" s="258"/>
      <c r="BV58" s="258"/>
      <c r="BW58" s="258">
        <f t="shared" si="33"/>
        <v>0</v>
      </c>
      <c r="BX58" s="258"/>
      <c r="BY58" s="258">
        <f t="shared" si="45"/>
        <v>0</v>
      </c>
      <c r="BZ58" s="258"/>
      <c r="CA58" s="258"/>
      <c r="CB58" s="258"/>
      <c r="CC58" s="258"/>
      <c r="CD58" s="258">
        <f t="shared" si="34"/>
        <v>0</v>
      </c>
      <c r="CE58" s="258">
        <f t="shared" si="34"/>
        <v>0</v>
      </c>
      <c r="CF58" s="258"/>
      <c r="CG58" s="258"/>
      <c r="CH58" s="258"/>
      <c r="CI58" s="258"/>
      <c r="CJ58" s="258">
        <f t="shared" si="35"/>
        <v>0</v>
      </c>
      <c r="CK58" s="258">
        <f t="shared" si="35"/>
        <v>0</v>
      </c>
      <c r="CL58" s="258"/>
      <c r="CM58" s="258"/>
      <c r="CN58" s="258"/>
      <c r="CO58" s="258"/>
      <c r="CP58" s="258">
        <f t="shared" si="36"/>
        <v>0</v>
      </c>
      <c r="CQ58" s="258">
        <f t="shared" si="36"/>
        <v>0</v>
      </c>
      <c r="CR58" s="258"/>
      <c r="CS58" s="258"/>
      <c r="CT58" s="258"/>
      <c r="CU58" s="258"/>
      <c r="CV58" s="258">
        <f t="shared" si="37"/>
        <v>0</v>
      </c>
      <c r="CW58" s="258">
        <f t="shared" si="37"/>
        <v>0</v>
      </c>
      <c r="CX58" s="258"/>
      <c r="CY58" s="258"/>
      <c r="CZ58" s="258"/>
      <c r="DA58" s="258"/>
      <c r="DB58" s="258">
        <f t="shared" si="38"/>
        <v>0</v>
      </c>
      <c r="DC58" s="258">
        <f t="shared" si="38"/>
        <v>0</v>
      </c>
      <c r="DD58" s="258"/>
      <c r="DE58" s="258"/>
      <c r="DF58" s="258"/>
      <c r="DG58" s="258"/>
      <c r="DH58" s="258">
        <f t="shared" si="39"/>
        <v>0</v>
      </c>
      <c r="DI58" s="258">
        <f t="shared" si="39"/>
        <v>0</v>
      </c>
      <c r="DJ58" s="258">
        <f t="shared" si="46"/>
        <v>0</v>
      </c>
      <c r="DK58" s="258">
        <f t="shared" si="47"/>
        <v>100000</v>
      </c>
      <c r="DL58" s="52">
        <f t="shared" si="40"/>
        <v>26162</v>
      </c>
      <c r="DM58" s="258">
        <f t="shared" si="48"/>
        <v>23258.36</v>
      </c>
      <c r="DN58" s="258">
        <f t="shared" si="41"/>
        <v>26162</v>
      </c>
      <c r="DO58" s="258">
        <f t="shared" si="41"/>
        <v>123258.36</v>
      </c>
    </row>
    <row r="59" spans="1:119">
      <c r="A59" s="224">
        <v>51</v>
      </c>
      <c r="B59" s="26" t="s">
        <v>41</v>
      </c>
      <c r="C59" s="53" t="s">
        <v>246</v>
      </c>
      <c r="D59" s="227" t="s">
        <v>250</v>
      </c>
      <c r="E59" s="191" t="s">
        <v>1164</v>
      </c>
      <c r="F59" s="161">
        <f t="shared" si="13"/>
        <v>0</v>
      </c>
      <c r="G59" s="165">
        <f t="shared" si="14"/>
        <v>1314.25</v>
      </c>
      <c r="H59" s="54"/>
      <c r="I59" s="219">
        <v>0</v>
      </c>
      <c r="J59" s="219">
        <v>0</v>
      </c>
      <c r="K59" s="127">
        <f t="shared" si="15"/>
        <v>1314.25</v>
      </c>
      <c r="L59" s="127">
        <f t="shared" si="16"/>
        <v>1314.25</v>
      </c>
      <c r="M59" s="127">
        <f t="shared" si="17"/>
        <v>1314.25</v>
      </c>
      <c r="N59" s="127">
        <f t="shared" si="18"/>
        <v>0</v>
      </c>
      <c r="O59" s="125">
        <f t="shared" si="19"/>
        <v>1314.25</v>
      </c>
      <c r="P59" s="52"/>
      <c r="Q59" s="52">
        <v>1314.25</v>
      </c>
      <c r="R59" s="52">
        <f t="shared" si="20"/>
        <v>0</v>
      </c>
      <c r="S59" s="52">
        <f t="shared" si="21"/>
        <v>1314.25</v>
      </c>
      <c r="T59" s="52"/>
      <c r="U59" s="52"/>
      <c r="V59" s="52"/>
      <c r="W59" s="52"/>
      <c r="X59" s="52">
        <f t="shared" si="22"/>
        <v>0</v>
      </c>
      <c r="Y59" s="52">
        <f t="shared" si="22"/>
        <v>0</v>
      </c>
      <c r="Z59" s="52"/>
      <c r="AA59" s="52"/>
      <c r="AB59" s="52"/>
      <c r="AC59" s="52"/>
      <c r="AD59" s="52">
        <f t="shared" si="23"/>
        <v>0</v>
      </c>
      <c r="AE59" s="52">
        <f t="shared" si="23"/>
        <v>0</v>
      </c>
      <c r="AF59" s="52">
        <f t="shared" si="24"/>
        <v>0</v>
      </c>
      <c r="AG59" s="52">
        <f t="shared" si="25"/>
        <v>0</v>
      </c>
      <c r="AH59" s="52">
        <f t="shared" si="25"/>
        <v>1314.25</v>
      </c>
      <c r="AI59" s="52">
        <f t="shared" si="26"/>
        <v>1314.25</v>
      </c>
      <c r="AJ59" s="52">
        <f t="shared" si="27"/>
        <v>1314.25</v>
      </c>
      <c r="AK59" s="52">
        <f t="shared" si="27"/>
        <v>1314.25</v>
      </c>
      <c r="AL59" s="52"/>
      <c r="AM59" s="52"/>
      <c r="AN59" s="52"/>
      <c r="AO59" s="52"/>
      <c r="AP59" s="52">
        <f t="shared" si="28"/>
        <v>0</v>
      </c>
      <c r="AQ59" s="52">
        <f t="shared" si="28"/>
        <v>0</v>
      </c>
      <c r="AR59" s="52"/>
      <c r="AS59" s="52"/>
      <c r="AT59" s="52"/>
      <c r="AU59" s="52"/>
      <c r="AV59" s="52">
        <f t="shared" si="29"/>
        <v>0</v>
      </c>
      <c r="AW59" s="52">
        <f t="shared" si="29"/>
        <v>0</v>
      </c>
      <c r="AX59" s="52"/>
      <c r="AY59" s="52"/>
      <c r="AZ59" s="52"/>
      <c r="BA59" s="52"/>
      <c r="BB59" s="52">
        <f t="shared" si="30"/>
        <v>0</v>
      </c>
      <c r="BC59" s="52"/>
      <c r="BD59" s="52">
        <f t="shared" si="42"/>
        <v>0</v>
      </c>
      <c r="BE59" s="52"/>
      <c r="BF59" s="52"/>
      <c r="BG59" s="52"/>
      <c r="BH59" s="52"/>
      <c r="BI59" s="52">
        <f t="shared" si="31"/>
        <v>0</v>
      </c>
      <c r="BJ59" s="52"/>
      <c r="BK59" s="52">
        <f t="shared" si="43"/>
        <v>0</v>
      </c>
      <c r="BL59" s="52"/>
      <c r="BM59" s="52"/>
      <c r="BN59" s="52"/>
      <c r="BO59" s="52"/>
      <c r="BP59" s="52">
        <f t="shared" si="32"/>
        <v>0</v>
      </c>
      <c r="BQ59" s="52"/>
      <c r="BR59" s="52">
        <f t="shared" si="44"/>
        <v>0</v>
      </c>
      <c r="BS59" s="52"/>
      <c r="BT59" s="52"/>
      <c r="BU59" s="52"/>
      <c r="BV59" s="52"/>
      <c r="BW59" s="52">
        <f t="shared" si="33"/>
        <v>0</v>
      </c>
      <c r="BX59" s="52"/>
      <c r="BY59" s="52">
        <f t="shared" si="45"/>
        <v>0</v>
      </c>
      <c r="BZ59" s="52"/>
      <c r="CA59" s="52"/>
      <c r="CB59" s="52"/>
      <c r="CC59" s="52"/>
      <c r="CD59" s="52">
        <f t="shared" si="34"/>
        <v>0</v>
      </c>
      <c r="CE59" s="52">
        <f t="shared" si="34"/>
        <v>0</v>
      </c>
      <c r="CF59" s="52"/>
      <c r="CG59" s="52"/>
      <c r="CH59" s="52"/>
      <c r="CI59" s="52"/>
      <c r="CJ59" s="52">
        <f t="shared" si="35"/>
        <v>0</v>
      </c>
      <c r="CK59" s="52">
        <f t="shared" si="35"/>
        <v>0</v>
      </c>
      <c r="CL59" s="52"/>
      <c r="CM59" s="52"/>
      <c r="CN59" s="52"/>
      <c r="CO59" s="52"/>
      <c r="CP59" s="52">
        <f t="shared" si="36"/>
        <v>0</v>
      </c>
      <c r="CQ59" s="52">
        <f t="shared" si="36"/>
        <v>0</v>
      </c>
      <c r="CR59" s="52"/>
      <c r="CS59" s="52"/>
      <c r="CT59" s="52"/>
      <c r="CU59" s="52"/>
      <c r="CV59" s="52">
        <f t="shared" si="37"/>
        <v>0</v>
      </c>
      <c r="CW59" s="52">
        <f t="shared" si="37"/>
        <v>0</v>
      </c>
      <c r="CX59" s="52"/>
      <c r="CY59" s="52"/>
      <c r="CZ59" s="52"/>
      <c r="DA59" s="52"/>
      <c r="DB59" s="52">
        <f t="shared" si="38"/>
        <v>0</v>
      </c>
      <c r="DC59" s="52">
        <f t="shared" si="38"/>
        <v>0</v>
      </c>
      <c r="DD59" s="52"/>
      <c r="DE59" s="52"/>
      <c r="DF59" s="52"/>
      <c r="DG59" s="52"/>
      <c r="DH59" s="52">
        <f t="shared" si="39"/>
        <v>0</v>
      </c>
      <c r="DI59" s="52">
        <f t="shared" si="39"/>
        <v>0</v>
      </c>
      <c r="DJ59" s="52">
        <f t="shared" si="46"/>
        <v>0</v>
      </c>
      <c r="DK59" s="52">
        <f t="shared" si="47"/>
        <v>0</v>
      </c>
      <c r="DL59" s="52">
        <f t="shared" si="40"/>
        <v>0</v>
      </c>
      <c r="DM59" s="52">
        <f t="shared" si="48"/>
        <v>0</v>
      </c>
      <c r="DN59" s="52">
        <f t="shared" si="41"/>
        <v>0</v>
      </c>
      <c r="DO59" s="52">
        <f t="shared" si="41"/>
        <v>0</v>
      </c>
    </row>
    <row r="60" spans="1:119" s="278" customFormat="1">
      <c r="A60" s="297">
        <v>52</v>
      </c>
      <c r="B60" s="276" t="s">
        <v>41</v>
      </c>
      <c r="C60" s="298" t="s">
        <v>251</v>
      </c>
      <c r="D60" s="299" t="s">
        <v>252</v>
      </c>
      <c r="E60" s="298" t="s">
        <v>1165</v>
      </c>
      <c r="F60" s="255">
        <f t="shared" si="13"/>
        <v>0</v>
      </c>
      <c r="G60" s="256">
        <f t="shared" si="14"/>
        <v>0</v>
      </c>
      <c r="H60" s="54">
        <v>65000</v>
      </c>
      <c r="I60" s="219">
        <v>0</v>
      </c>
      <c r="J60" s="219">
        <v>0</v>
      </c>
      <c r="K60" s="255">
        <f t="shared" si="15"/>
        <v>0</v>
      </c>
      <c r="L60" s="255">
        <f t="shared" si="16"/>
        <v>0</v>
      </c>
      <c r="M60" s="255">
        <f t="shared" si="17"/>
        <v>0</v>
      </c>
      <c r="N60" s="255">
        <f t="shared" si="18"/>
        <v>0</v>
      </c>
      <c r="O60" s="255" t="str">
        <f t="shared" si="19"/>
        <v>ნულოვანი შესრულება</v>
      </c>
      <c r="P60" s="52"/>
      <c r="Q60" s="52"/>
      <c r="R60" s="52">
        <f t="shared" si="20"/>
        <v>0</v>
      </c>
      <c r="S60" s="52">
        <f t="shared" si="21"/>
        <v>0</v>
      </c>
      <c r="T60" s="52"/>
      <c r="U60" s="52"/>
      <c r="V60" s="52"/>
      <c r="W60" s="52"/>
      <c r="X60" s="52">
        <f t="shared" si="22"/>
        <v>0</v>
      </c>
      <c r="Y60" s="52">
        <f t="shared" si="22"/>
        <v>0</v>
      </c>
      <c r="Z60" s="52"/>
      <c r="AA60" s="52"/>
      <c r="AB60" s="52"/>
      <c r="AC60" s="52"/>
      <c r="AD60" s="52">
        <f t="shared" si="23"/>
        <v>0</v>
      </c>
      <c r="AE60" s="52">
        <f t="shared" si="23"/>
        <v>0</v>
      </c>
      <c r="AF60" s="52">
        <f t="shared" si="24"/>
        <v>0</v>
      </c>
      <c r="AG60" s="52">
        <f t="shared" si="25"/>
        <v>0</v>
      </c>
      <c r="AH60" s="52">
        <f t="shared" si="25"/>
        <v>0</v>
      </c>
      <c r="AI60" s="52">
        <f t="shared" si="26"/>
        <v>0</v>
      </c>
      <c r="AJ60" s="52">
        <f t="shared" si="27"/>
        <v>0</v>
      </c>
      <c r="AK60" s="52">
        <f t="shared" si="27"/>
        <v>0</v>
      </c>
      <c r="AL60" s="258"/>
      <c r="AM60" s="258"/>
      <c r="AN60" s="258"/>
      <c r="AO60" s="258"/>
      <c r="AP60" s="258">
        <f t="shared" si="28"/>
        <v>0</v>
      </c>
      <c r="AQ60" s="258">
        <f t="shared" si="28"/>
        <v>0</v>
      </c>
      <c r="AR60" s="258"/>
      <c r="AS60" s="258"/>
      <c r="AT60" s="258"/>
      <c r="AU60" s="258"/>
      <c r="AV60" s="258">
        <f t="shared" si="29"/>
        <v>0</v>
      </c>
      <c r="AW60" s="258">
        <f t="shared" si="29"/>
        <v>0</v>
      </c>
      <c r="AX60" s="258"/>
      <c r="AY60" s="258"/>
      <c r="AZ60" s="258"/>
      <c r="BA60" s="258"/>
      <c r="BB60" s="258">
        <f t="shared" si="30"/>
        <v>0</v>
      </c>
      <c r="BC60" s="258"/>
      <c r="BD60" s="258">
        <f t="shared" si="42"/>
        <v>0</v>
      </c>
      <c r="BE60" s="258"/>
      <c r="BF60" s="258"/>
      <c r="BG60" s="258"/>
      <c r="BH60" s="258"/>
      <c r="BI60" s="258">
        <f t="shared" si="31"/>
        <v>0</v>
      </c>
      <c r="BJ60" s="258"/>
      <c r="BK60" s="258">
        <f t="shared" si="43"/>
        <v>0</v>
      </c>
      <c r="BL60" s="258"/>
      <c r="BM60" s="258"/>
      <c r="BN60" s="258"/>
      <c r="BO60" s="258"/>
      <c r="BP60" s="258">
        <f t="shared" si="32"/>
        <v>0</v>
      </c>
      <c r="BQ60" s="258"/>
      <c r="BR60" s="258">
        <f t="shared" si="44"/>
        <v>0</v>
      </c>
      <c r="BS60" s="258"/>
      <c r="BT60" s="258"/>
      <c r="BU60" s="258"/>
      <c r="BV60" s="258"/>
      <c r="BW60" s="258">
        <f t="shared" si="33"/>
        <v>0</v>
      </c>
      <c r="BX60" s="258"/>
      <c r="BY60" s="258">
        <f t="shared" si="45"/>
        <v>0</v>
      </c>
      <c r="BZ60" s="258"/>
      <c r="CA60" s="258"/>
      <c r="CB60" s="258"/>
      <c r="CC60" s="258"/>
      <c r="CD60" s="258">
        <f t="shared" si="34"/>
        <v>0</v>
      </c>
      <c r="CE60" s="258">
        <f t="shared" si="34"/>
        <v>0</v>
      </c>
      <c r="CF60" s="258"/>
      <c r="CG60" s="258"/>
      <c r="CH60" s="258"/>
      <c r="CI60" s="258"/>
      <c r="CJ60" s="258">
        <f t="shared" si="35"/>
        <v>0</v>
      </c>
      <c r="CK60" s="258">
        <f t="shared" si="35"/>
        <v>0</v>
      </c>
      <c r="CL60" s="258"/>
      <c r="CM60" s="258"/>
      <c r="CN60" s="258"/>
      <c r="CO60" s="258"/>
      <c r="CP60" s="258">
        <f t="shared" si="36"/>
        <v>0</v>
      </c>
      <c r="CQ60" s="258">
        <f t="shared" si="36"/>
        <v>0</v>
      </c>
      <c r="CR60" s="258"/>
      <c r="CS60" s="258"/>
      <c r="CT60" s="258"/>
      <c r="CU60" s="258"/>
      <c r="CV60" s="258">
        <f t="shared" si="37"/>
        <v>0</v>
      </c>
      <c r="CW60" s="258">
        <f t="shared" si="37"/>
        <v>0</v>
      </c>
      <c r="CX60" s="258"/>
      <c r="CY60" s="258"/>
      <c r="CZ60" s="258"/>
      <c r="DA60" s="258"/>
      <c r="DB60" s="258">
        <f t="shared" si="38"/>
        <v>0</v>
      </c>
      <c r="DC60" s="258">
        <f t="shared" si="38"/>
        <v>0</v>
      </c>
      <c r="DD60" s="258"/>
      <c r="DE60" s="258"/>
      <c r="DF60" s="258"/>
      <c r="DG60" s="258"/>
      <c r="DH60" s="258">
        <f t="shared" si="39"/>
        <v>0</v>
      </c>
      <c r="DI60" s="258">
        <f t="shared" si="39"/>
        <v>0</v>
      </c>
      <c r="DJ60" s="258">
        <f t="shared" si="46"/>
        <v>0</v>
      </c>
      <c r="DK60" s="258">
        <f t="shared" si="47"/>
        <v>0</v>
      </c>
      <c r="DL60" s="52">
        <f t="shared" si="40"/>
        <v>0</v>
      </c>
      <c r="DM60" s="258">
        <f t="shared" si="48"/>
        <v>0</v>
      </c>
      <c r="DN60" s="258">
        <f t="shared" si="41"/>
        <v>0</v>
      </c>
      <c r="DO60" s="258">
        <f t="shared" si="41"/>
        <v>0</v>
      </c>
    </row>
    <row r="61" spans="1:119">
      <c r="A61" s="224">
        <v>53</v>
      </c>
      <c r="B61" s="26" t="s">
        <v>202</v>
      </c>
      <c r="C61" s="53" t="s">
        <v>248</v>
      </c>
      <c r="D61" s="228" t="s">
        <v>253</v>
      </c>
      <c r="E61" s="198" t="s">
        <v>1164</v>
      </c>
      <c r="F61" s="161">
        <f t="shared" si="13"/>
        <v>0</v>
      </c>
      <c r="G61" s="165">
        <f t="shared" si="14"/>
        <v>2261</v>
      </c>
      <c r="H61" s="60"/>
      <c r="I61" s="219">
        <v>0</v>
      </c>
      <c r="J61" s="219">
        <v>0</v>
      </c>
      <c r="K61" s="127">
        <f t="shared" si="15"/>
        <v>2261</v>
      </c>
      <c r="L61" s="127">
        <f t="shared" si="16"/>
        <v>2261</v>
      </c>
      <c r="M61" s="127">
        <f t="shared" si="17"/>
        <v>2261</v>
      </c>
      <c r="N61" s="127">
        <f t="shared" si="18"/>
        <v>0</v>
      </c>
      <c r="O61" s="125">
        <f t="shared" si="19"/>
        <v>2261</v>
      </c>
      <c r="P61" s="52"/>
      <c r="Q61" s="52">
        <v>2261</v>
      </c>
      <c r="R61" s="52">
        <f t="shared" si="20"/>
        <v>0</v>
      </c>
      <c r="S61" s="52">
        <f t="shared" si="21"/>
        <v>2261</v>
      </c>
      <c r="T61" s="52"/>
      <c r="U61" s="52"/>
      <c r="V61" s="52"/>
      <c r="W61" s="52"/>
      <c r="X61" s="52">
        <f t="shared" si="22"/>
        <v>0</v>
      </c>
      <c r="Y61" s="52">
        <f t="shared" si="22"/>
        <v>0</v>
      </c>
      <c r="Z61" s="52"/>
      <c r="AA61" s="52"/>
      <c r="AB61" s="52"/>
      <c r="AC61" s="52"/>
      <c r="AD61" s="52">
        <f t="shared" si="23"/>
        <v>0</v>
      </c>
      <c r="AE61" s="52">
        <f t="shared" si="23"/>
        <v>0</v>
      </c>
      <c r="AF61" s="52">
        <f t="shared" si="24"/>
        <v>0</v>
      </c>
      <c r="AG61" s="52">
        <f t="shared" si="25"/>
        <v>0</v>
      </c>
      <c r="AH61" s="52">
        <f t="shared" si="25"/>
        <v>2261</v>
      </c>
      <c r="AI61" s="52">
        <f t="shared" si="26"/>
        <v>2261</v>
      </c>
      <c r="AJ61" s="52">
        <f t="shared" si="27"/>
        <v>2261</v>
      </c>
      <c r="AK61" s="52">
        <f t="shared" si="27"/>
        <v>2261</v>
      </c>
      <c r="AL61" s="57"/>
      <c r="AM61" s="57"/>
      <c r="AN61" s="57"/>
      <c r="AO61" s="57"/>
      <c r="AP61" s="52">
        <f t="shared" si="28"/>
        <v>0</v>
      </c>
      <c r="AQ61" s="52">
        <f t="shared" si="28"/>
        <v>0</v>
      </c>
      <c r="AR61" s="57"/>
      <c r="AS61" s="57"/>
      <c r="AT61" s="57"/>
      <c r="AU61" s="57"/>
      <c r="AV61" s="52">
        <f t="shared" si="29"/>
        <v>0</v>
      </c>
      <c r="AW61" s="52">
        <f t="shared" si="29"/>
        <v>0</v>
      </c>
      <c r="AX61" s="57"/>
      <c r="AY61" s="57"/>
      <c r="AZ61" s="57"/>
      <c r="BA61" s="57"/>
      <c r="BB61" s="52">
        <f t="shared" si="30"/>
        <v>0</v>
      </c>
      <c r="BC61" s="52"/>
      <c r="BD61" s="52">
        <f t="shared" si="42"/>
        <v>0</v>
      </c>
      <c r="BE61" s="57"/>
      <c r="BF61" s="57"/>
      <c r="BG61" s="57"/>
      <c r="BH61" s="57"/>
      <c r="BI61" s="52">
        <f t="shared" si="31"/>
        <v>0</v>
      </c>
      <c r="BJ61" s="52"/>
      <c r="BK61" s="52">
        <f t="shared" si="43"/>
        <v>0</v>
      </c>
      <c r="BL61" s="57"/>
      <c r="BM61" s="57"/>
      <c r="BN61" s="57"/>
      <c r="BO61" s="57"/>
      <c r="BP61" s="52">
        <f t="shared" si="32"/>
        <v>0</v>
      </c>
      <c r="BQ61" s="52"/>
      <c r="BR61" s="52">
        <f t="shared" si="44"/>
        <v>0</v>
      </c>
      <c r="BS61" s="57"/>
      <c r="BT61" s="57"/>
      <c r="BU61" s="57"/>
      <c r="BV61" s="57"/>
      <c r="BW61" s="52">
        <f t="shared" si="33"/>
        <v>0</v>
      </c>
      <c r="BX61" s="52"/>
      <c r="BY61" s="52">
        <f t="shared" si="45"/>
        <v>0</v>
      </c>
      <c r="BZ61" s="57"/>
      <c r="CA61" s="57"/>
      <c r="CB61" s="57"/>
      <c r="CC61" s="57"/>
      <c r="CD61" s="52">
        <f t="shared" si="34"/>
        <v>0</v>
      </c>
      <c r="CE61" s="52">
        <f t="shared" si="34"/>
        <v>0</v>
      </c>
      <c r="CF61" s="57"/>
      <c r="CG61" s="57"/>
      <c r="CH61" s="57"/>
      <c r="CI61" s="57"/>
      <c r="CJ61" s="52">
        <f t="shared" si="35"/>
        <v>0</v>
      </c>
      <c r="CK61" s="52">
        <f t="shared" si="35"/>
        <v>0</v>
      </c>
      <c r="CL61" s="57"/>
      <c r="CM61" s="57"/>
      <c r="CN61" s="57"/>
      <c r="CO61" s="57"/>
      <c r="CP61" s="52">
        <f t="shared" si="36"/>
        <v>0</v>
      </c>
      <c r="CQ61" s="52">
        <f t="shared" si="36"/>
        <v>0</v>
      </c>
      <c r="CR61" s="57"/>
      <c r="CS61" s="57"/>
      <c r="CT61" s="57"/>
      <c r="CU61" s="57"/>
      <c r="CV61" s="52">
        <f t="shared" si="37"/>
        <v>0</v>
      </c>
      <c r="CW61" s="52">
        <f t="shared" si="37"/>
        <v>0</v>
      </c>
      <c r="CX61" s="57"/>
      <c r="CY61" s="57"/>
      <c r="CZ61" s="57"/>
      <c r="DA61" s="57"/>
      <c r="DB61" s="52">
        <f t="shared" si="38"/>
        <v>0</v>
      </c>
      <c r="DC61" s="52">
        <f t="shared" si="38"/>
        <v>0</v>
      </c>
      <c r="DD61" s="57"/>
      <c r="DE61" s="57"/>
      <c r="DF61" s="57"/>
      <c r="DG61" s="57"/>
      <c r="DH61" s="52">
        <f t="shared" si="39"/>
        <v>0</v>
      </c>
      <c r="DI61" s="52">
        <f t="shared" si="39"/>
        <v>0</v>
      </c>
      <c r="DJ61" s="52">
        <f t="shared" si="46"/>
        <v>0</v>
      </c>
      <c r="DK61" s="52">
        <f t="shared" si="47"/>
        <v>0</v>
      </c>
      <c r="DL61" s="52">
        <f t="shared" si="40"/>
        <v>0</v>
      </c>
      <c r="DM61" s="52">
        <f t="shared" si="48"/>
        <v>0</v>
      </c>
      <c r="DN61" s="52">
        <f t="shared" si="41"/>
        <v>0</v>
      </c>
      <c r="DO61" s="52">
        <f t="shared" si="41"/>
        <v>0</v>
      </c>
    </row>
    <row r="62" spans="1:119">
      <c r="A62" s="224">
        <v>54</v>
      </c>
      <c r="B62" s="26" t="s">
        <v>202</v>
      </c>
      <c r="C62" s="53" t="s">
        <v>254</v>
      </c>
      <c r="D62" s="227" t="s">
        <v>255</v>
      </c>
      <c r="E62" s="191" t="s">
        <v>1165</v>
      </c>
      <c r="F62" s="161">
        <f t="shared" si="13"/>
        <v>36978</v>
      </c>
      <c r="G62" s="165">
        <f t="shared" si="14"/>
        <v>36978</v>
      </c>
      <c r="H62" s="54">
        <v>25000</v>
      </c>
      <c r="I62" s="219">
        <v>0</v>
      </c>
      <c r="J62" s="219">
        <v>0</v>
      </c>
      <c r="K62" s="127">
        <f t="shared" si="15"/>
        <v>0</v>
      </c>
      <c r="L62" s="127">
        <f t="shared" si="16"/>
        <v>0</v>
      </c>
      <c r="M62" s="127">
        <f t="shared" si="17"/>
        <v>0</v>
      </c>
      <c r="N62" s="127">
        <f t="shared" si="18"/>
        <v>36978</v>
      </c>
      <c r="O62" s="125">
        <f t="shared" si="19"/>
        <v>63896.03</v>
      </c>
      <c r="P62" s="52"/>
      <c r="Q62" s="52"/>
      <c r="R62" s="52">
        <f t="shared" si="20"/>
        <v>0</v>
      </c>
      <c r="S62" s="52">
        <f t="shared" si="21"/>
        <v>0</v>
      </c>
      <c r="T62" s="52"/>
      <c r="U62" s="52"/>
      <c r="V62" s="52"/>
      <c r="W62" s="52"/>
      <c r="X62" s="52">
        <f t="shared" si="22"/>
        <v>0</v>
      </c>
      <c r="Y62" s="52">
        <f t="shared" si="22"/>
        <v>0</v>
      </c>
      <c r="Z62" s="52"/>
      <c r="AA62" s="52"/>
      <c r="AB62" s="52"/>
      <c r="AC62" s="52"/>
      <c r="AD62" s="52">
        <f t="shared" si="23"/>
        <v>0</v>
      </c>
      <c r="AE62" s="52">
        <f t="shared" si="23"/>
        <v>0</v>
      </c>
      <c r="AF62" s="52">
        <f t="shared" si="24"/>
        <v>0</v>
      </c>
      <c r="AG62" s="52">
        <f t="shared" si="25"/>
        <v>0</v>
      </c>
      <c r="AH62" s="52">
        <f t="shared" si="25"/>
        <v>0</v>
      </c>
      <c r="AI62" s="52">
        <f t="shared" si="26"/>
        <v>0</v>
      </c>
      <c r="AJ62" s="52">
        <f t="shared" si="27"/>
        <v>0</v>
      </c>
      <c r="AK62" s="52">
        <f t="shared" si="27"/>
        <v>0</v>
      </c>
      <c r="AL62" s="52"/>
      <c r="AM62" s="52"/>
      <c r="AN62" s="52"/>
      <c r="AO62" s="52"/>
      <c r="AP62" s="52">
        <f t="shared" si="28"/>
        <v>0</v>
      </c>
      <c r="AQ62" s="52">
        <f t="shared" si="28"/>
        <v>0</v>
      </c>
      <c r="AR62" s="52"/>
      <c r="AS62" s="52">
        <v>30000</v>
      </c>
      <c r="AT62" s="52"/>
      <c r="AU62" s="52"/>
      <c r="AV62" s="52">
        <f t="shared" si="29"/>
        <v>0</v>
      </c>
      <c r="AW62" s="52">
        <f t="shared" si="29"/>
        <v>30000</v>
      </c>
      <c r="AX62" s="52"/>
      <c r="AY62" s="52"/>
      <c r="AZ62" s="52"/>
      <c r="BA62" s="52"/>
      <c r="BB62" s="52">
        <f t="shared" si="30"/>
        <v>0</v>
      </c>
      <c r="BC62" s="52"/>
      <c r="BD62" s="52">
        <f t="shared" si="42"/>
        <v>0</v>
      </c>
      <c r="BE62" s="52"/>
      <c r="BF62" s="52"/>
      <c r="BG62" s="52"/>
      <c r="BH62" s="52">
        <v>33896.03</v>
      </c>
      <c r="BI62" s="52">
        <f t="shared" si="31"/>
        <v>0</v>
      </c>
      <c r="BJ62" s="52">
        <v>36978</v>
      </c>
      <c r="BK62" s="52">
        <f t="shared" si="43"/>
        <v>33896.03</v>
      </c>
      <c r="BL62" s="52"/>
      <c r="BM62" s="52"/>
      <c r="BN62" s="52"/>
      <c r="BO62" s="52"/>
      <c r="BP62" s="52">
        <f t="shared" si="32"/>
        <v>0</v>
      </c>
      <c r="BQ62" s="52"/>
      <c r="BR62" s="52">
        <f t="shared" si="44"/>
        <v>0</v>
      </c>
      <c r="BS62" s="52"/>
      <c r="BT62" s="52"/>
      <c r="BU62" s="52"/>
      <c r="BV62" s="52"/>
      <c r="BW62" s="52">
        <f t="shared" si="33"/>
        <v>0</v>
      </c>
      <c r="BX62" s="52"/>
      <c r="BY62" s="52">
        <f t="shared" si="45"/>
        <v>0</v>
      </c>
      <c r="BZ62" s="52"/>
      <c r="CA62" s="52"/>
      <c r="CB62" s="52"/>
      <c r="CC62" s="52"/>
      <c r="CD62" s="52">
        <f t="shared" si="34"/>
        <v>0</v>
      </c>
      <c r="CE62" s="52">
        <f t="shared" si="34"/>
        <v>0</v>
      </c>
      <c r="CF62" s="52"/>
      <c r="CG62" s="52"/>
      <c r="CH62" s="52"/>
      <c r="CI62" s="52"/>
      <c r="CJ62" s="52">
        <f t="shared" si="35"/>
        <v>0</v>
      </c>
      <c r="CK62" s="52">
        <f t="shared" si="35"/>
        <v>0</v>
      </c>
      <c r="CL62" s="52"/>
      <c r="CM62" s="52"/>
      <c r="CN62" s="52"/>
      <c r="CO62" s="52"/>
      <c r="CP62" s="52">
        <f t="shared" si="36"/>
        <v>0</v>
      </c>
      <c r="CQ62" s="52">
        <f t="shared" si="36"/>
        <v>0</v>
      </c>
      <c r="CR62" s="52"/>
      <c r="CS62" s="52"/>
      <c r="CT62" s="52"/>
      <c r="CU62" s="52"/>
      <c r="CV62" s="52">
        <f t="shared" si="37"/>
        <v>0</v>
      </c>
      <c r="CW62" s="52">
        <f t="shared" si="37"/>
        <v>0</v>
      </c>
      <c r="CX62" s="52"/>
      <c r="CY62" s="52"/>
      <c r="CZ62" s="52"/>
      <c r="DA62" s="52"/>
      <c r="DB62" s="52">
        <f t="shared" si="38"/>
        <v>0</v>
      </c>
      <c r="DC62" s="52">
        <f t="shared" si="38"/>
        <v>0</v>
      </c>
      <c r="DD62" s="52"/>
      <c r="DE62" s="52"/>
      <c r="DF62" s="52"/>
      <c r="DG62" s="52"/>
      <c r="DH62" s="52">
        <f t="shared" si="39"/>
        <v>0</v>
      </c>
      <c r="DI62" s="52">
        <f t="shared" si="39"/>
        <v>0</v>
      </c>
      <c r="DJ62" s="52">
        <f t="shared" si="46"/>
        <v>0</v>
      </c>
      <c r="DK62" s="52">
        <f t="shared" si="47"/>
        <v>30000</v>
      </c>
      <c r="DL62" s="52">
        <f t="shared" si="40"/>
        <v>36978</v>
      </c>
      <c r="DM62" s="52">
        <f t="shared" si="48"/>
        <v>33896.03</v>
      </c>
      <c r="DN62" s="52">
        <f t="shared" si="41"/>
        <v>36978</v>
      </c>
      <c r="DO62" s="52">
        <f t="shared" si="41"/>
        <v>63896.03</v>
      </c>
    </row>
    <row r="63" spans="1:119">
      <c r="A63" s="224">
        <v>55</v>
      </c>
      <c r="B63" s="26" t="s">
        <v>48</v>
      </c>
      <c r="C63" s="53" t="s">
        <v>187</v>
      </c>
      <c r="D63" s="227" t="s">
        <v>256</v>
      </c>
      <c r="E63" s="191" t="s">
        <v>1164</v>
      </c>
      <c r="F63" s="161">
        <f t="shared" si="13"/>
        <v>0</v>
      </c>
      <c r="G63" s="165">
        <f t="shared" si="14"/>
        <v>3503</v>
      </c>
      <c r="H63" s="54"/>
      <c r="I63" s="219">
        <v>0</v>
      </c>
      <c r="J63" s="219">
        <v>0</v>
      </c>
      <c r="K63" s="127">
        <f t="shared" si="15"/>
        <v>3503</v>
      </c>
      <c r="L63" s="127">
        <f t="shared" si="16"/>
        <v>3503</v>
      </c>
      <c r="M63" s="127">
        <f t="shared" si="17"/>
        <v>3503</v>
      </c>
      <c r="N63" s="127">
        <f t="shared" si="18"/>
        <v>0</v>
      </c>
      <c r="O63" s="125">
        <f t="shared" si="19"/>
        <v>3503</v>
      </c>
      <c r="P63" s="52"/>
      <c r="Q63" s="52">
        <v>3503</v>
      </c>
      <c r="R63" s="52">
        <f t="shared" si="20"/>
        <v>0</v>
      </c>
      <c r="S63" s="52">
        <f t="shared" si="21"/>
        <v>3503</v>
      </c>
      <c r="T63" s="52"/>
      <c r="U63" s="52"/>
      <c r="V63" s="52"/>
      <c r="W63" s="52"/>
      <c r="X63" s="52">
        <f t="shared" si="22"/>
        <v>0</v>
      </c>
      <c r="Y63" s="52">
        <f t="shared" si="22"/>
        <v>0</v>
      </c>
      <c r="Z63" s="52"/>
      <c r="AA63" s="52"/>
      <c r="AB63" s="52"/>
      <c r="AC63" s="52"/>
      <c r="AD63" s="52">
        <f t="shared" si="23"/>
        <v>0</v>
      </c>
      <c r="AE63" s="52">
        <f t="shared" si="23"/>
        <v>0</v>
      </c>
      <c r="AF63" s="52">
        <f t="shared" si="24"/>
        <v>0</v>
      </c>
      <c r="AG63" s="52">
        <f t="shared" si="25"/>
        <v>0</v>
      </c>
      <c r="AH63" s="52">
        <f t="shared" si="25"/>
        <v>3503</v>
      </c>
      <c r="AI63" s="52">
        <f t="shared" si="26"/>
        <v>3503</v>
      </c>
      <c r="AJ63" s="52">
        <f t="shared" si="27"/>
        <v>3503</v>
      </c>
      <c r="AK63" s="52">
        <f t="shared" si="27"/>
        <v>3503</v>
      </c>
      <c r="AL63" s="52"/>
      <c r="AM63" s="52"/>
      <c r="AN63" s="52"/>
      <c r="AO63" s="52"/>
      <c r="AP63" s="52">
        <f t="shared" si="28"/>
        <v>0</v>
      </c>
      <c r="AQ63" s="52">
        <f t="shared" si="28"/>
        <v>0</v>
      </c>
      <c r="AR63" s="52"/>
      <c r="AS63" s="52"/>
      <c r="AT63" s="52"/>
      <c r="AU63" s="52"/>
      <c r="AV63" s="52">
        <f t="shared" si="29"/>
        <v>0</v>
      </c>
      <c r="AW63" s="52">
        <f t="shared" si="29"/>
        <v>0</v>
      </c>
      <c r="AX63" s="52"/>
      <c r="AY63" s="52"/>
      <c r="AZ63" s="52"/>
      <c r="BA63" s="52"/>
      <c r="BB63" s="52">
        <f t="shared" si="30"/>
        <v>0</v>
      </c>
      <c r="BC63" s="52"/>
      <c r="BD63" s="52">
        <f t="shared" si="42"/>
        <v>0</v>
      </c>
      <c r="BE63" s="52"/>
      <c r="BF63" s="52"/>
      <c r="BG63" s="52"/>
      <c r="BH63" s="52"/>
      <c r="BI63" s="52">
        <f t="shared" si="31"/>
        <v>0</v>
      </c>
      <c r="BJ63" s="52"/>
      <c r="BK63" s="52">
        <f t="shared" si="43"/>
        <v>0</v>
      </c>
      <c r="BL63" s="52"/>
      <c r="BM63" s="52"/>
      <c r="BN63" s="52"/>
      <c r="BO63" s="52"/>
      <c r="BP63" s="52">
        <f t="shared" si="32"/>
        <v>0</v>
      </c>
      <c r="BQ63" s="52"/>
      <c r="BR63" s="52">
        <f t="shared" si="44"/>
        <v>0</v>
      </c>
      <c r="BS63" s="52"/>
      <c r="BT63" s="52"/>
      <c r="BU63" s="52"/>
      <c r="BV63" s="52"/>
      <c r="BW63" s="52">
        <f t="shared" si="33"/>
        <v>0</v>
      </c>
      <c r="BX63" s="52"/>
      <c r="BY63" s="52">
        <f t="shared" si="45"/>
        <v>0</v>
      </c>
      <c r="BZ63" s="52"/>
      <c r="CA63" s="52"/>
      <c r="CB63" s="52"/>
      <c r="CC63" s="52"/>
      <c r="CD63" s="52">
        <f t="shared" si="34"/>
        <v>0</v>
      </c>
      <c r="CE63" s="52">
        <f t="shared" si="34"/>
        <v>0</v>
      </c>
      <c r="CF63" s="52"/>
      <c r="CG63" s="52"/>
      <c r="CH63" s="52"/>
      <c r="CI63" s="52"/>
      <c r="CJ63" s="52">
        <f t="shared" si="35"/>
        <v>0</v>
      </c>
      <c r="CK63" s="52">
        <f t="shared" si="35"/>
        <v>0</v>
      </c>
      <c r="CL63" s="52"/>
      <c r="CM63" s="52"/>
      <c r="CN63" s="52"/>
      <c r="CO63" s="52"/>
      <c r="CP63" s="52">
        <f t="shared" si="36"/>
        <v>0</v>
      </c>
      <c r="CQ63" s="52">
        <f t="shared" si="36"/>
        <v>0</v>
      </c>
      <c r="CR63" s="52"/>
      <c r="CS63" s="52"/>
      <c r="CT63" s="52"/>
      <c r="CU63" s="52"/>
      <c r="CV63" s="52">
        <f t="shared" si="37"/>
        <v>0</v>
      </c>
      <c r="CW63" s="52">
        <f t="shared" si="37"/>
        <v>0</v>
      </c>
      <c r="CX63" s="52"/>
      <c r="CY63" s="52"/>
      <c r="CZ63" s="52"/>
      <c r="DA63" s="52"/>
      <c r="DB63" s="52">
        <f t="shared" si="38"/>
        <v>0</v>
      </c>
      <c r="DC63" s="52">
        <f t="shared" si="38"/>
        <v>0</v>
      </c>
      <c r="DD63" s="52"/>
      <c r="DE63" s="52"/>
      <c r="DF63" s="52"/>
      <c r="DG63" s="52"/>
      <c r="DH63" s="52">
        <f t="shared" si="39"/>
        <v>0</v>
      </c>
      <c r="DI63" s="52">
        <f t="shared" si="39"/>
        <v>0</v>
      </c>
      <c r="DJ63" s="52">
        <f t="shared" si="46"/>
        <v>0</v>
      </c>
      <c r="DK63" s="52">
        <f t="shared" si="47"/>
        <v>0</v>
      </c>
      <c r="DL63" s="52">
        <f t="shared" si="40"/>
        <v>0</v>
      </c>
      <c r="DM63" s="52">
        <f t="shared" si="48"/>
        <v>0</v>
      </c>
      <c r="DN63" s="52">
        <f t="shared" si="41"/>
        <v>0</v>
      </c>
      <c r="DO63" s="52">
        <f t="shared" si="41"/>
        <v>0</v>
      </c>
    </row>
    <row r="64" spans="1:119">
      <c r="A64" s="224">
        <v>56</v>
      </c>
      <c r="B64" s="26" t="s">
        <v>48</v>
      </c>
      <c r="C64" s="53" t="s">
        <v>51</v>
      </c>
      <c r="D64" s="229" t="s">
        <v>257</v>
      </c>
      <c r="E64" s="199" t="s">
        <v>1164</v>
      </c>
      <c r="F64" s="161">
        <f t="shared" si="13"/>
        <v>0</v>
      </c>
      <c r="G64" s="165">
        <f t="shared" si="14"/>
        <v>3311</v>
      </c>
      <c r="H64" s="54"/>
      <c r="I64" s="219">
        <v>0</v>
      </c>
      <c r="J64" s="219">
        <v>0</v>
      </c>
      <c r="K64" s="127">
        <f t="shared" si="15"/>
        <v>3311</v>
      </c>
      <c r="L64" s="127">
        <f t="shared" si="16"/>
        <v>3311</v>
      </c>
      <c r="M64" s="127">
        <f t="shared" si="17"/>
        <v>3311</v>
      </c>
      <c r="N64" s="127">
        <f t="shared" si="18"/>
        <v>0</v>
      </c>
      <c r="O64" s="125">
        <f t="shared" si="19"/>
        <v>3311</v>
      </c>
      <c r="P64" s="52"/>
      <c r="Q64" s="52">
        <v>3311</v>
      </c>
      <c r="R64" s="52">
        <f t="shared" si="20"/>
        <v>0</v>
      </c>
      <c r="S64" s="52">
        <f t="shared" si="21"/>
        <v>3311</v>
      </c>
      <c r="T64" s="52"/>
      <c r="U64" s="52"/>
      <c r="V64" s="52"/>
      <c r="W64" s="52"/>
      <c r="X64" s="52">
        <f t="shared" si="22"/>
        <v>0</v>
      </c>
      <c r="Y64" s="52">
        <f t="shared" si="22"/>
        <v>0</v>
      </c>
      <c r="Z64" s="52"/>
      <c r="AA64" s="52"/>
      <c r="AB64" s="52"/>
      <c r="AC64" s="52"/>
      <c r="AD64" s="52">
        <f t="shared" si="23"/>
        <v>0</v>
      </c>
      <c r="AE64" s="52">
        <f t="shared" si="23"/>
        <v>0</v>
      </c>
      <c r="AF64" s="52">
        <f t="shared" si="24"/>
        <v>0</v>
      </c>
      <c r="AG64" s="52">
        <f t="shared" si="25"/>
        <v>0</v>
      </c>
      <c r="AH64" s="52">
        <f t="shared" si="25"/>
        <v>3311</v>
      </c>
      <c r="AI64" s="52">
        <f t="shared" si="26"/>
        <v>3311</v>
      </c>
      <c r="AJ64" s="52">
        <f t="shared" si="27"/>
        <v>3311</v>
      </c>
      <c r="AK64" s="52">
        <f t="shared" si="27"/>
        <v>3311</v>
      </c>
      <c r="AL64" s="52"/>
      <c r="AM64" s="52"/>
      <c r="AN64" s="52"/>
      <c r="AO64" s="52"/>
      <c r="AP64" s="52">
        <f t="shared" si="28"/>
        <v>0</v>
      </c>
      <c r="AQ64" s="52">
        <f t="shared" si="28"/>
        <v>0</v>
      </c>
      <c r="AR64" s="52"/>
      <c r="AS64" s="52"/>
      <c r="AT64" s="52"/>
      <c r="AU64" s="52"/>
      <c r="AV64" s="52">
        <f t="shared" si="29"/>
        <v>0</v>
      </c>
      <c r="AW64" s="52">
        <f t="shared" si="29"/>
        <v>0</v>
      </c>
      <c r="AX64" s="52"/>
      <c r="AY64" s="52"/>
      <c r="AZ64" s="52"/>
      <c r="BA64" s="52"/>
      <c r="BB64" s="52">
        <f t="shared" si="30"/>
        <v>0</v>
      </c>
      <c r="BC64" s="52"/>
      <c r="BD64" s="52">
        <f t="shared" si="42"/>
        <v>0</v>
      </c>
      <c r="BE64" s="52"/>
      <c r="BF64" s="52"/>
      <c r="BG64" s="52"/>
      <c r="BH64" s="52"/>
      <c r="BI64" s="52">
        <f t="shared" si="31"/>
        <v>0</v>
      </c>
      <c r="BJ64" s="52"/>
      <c r="BK64" s="52">
        <f t="shared" si="43"/>
        <v>0</v>
      </c>
      <c r="BL64" s="52"/>
      <c r="BM64" s="52"/>
      <c r="BN64" s="52"/>
      <c r="BO64" s="52"/>
      <c r="BP64" s="52">
        <f t="shared" si="32"/>
        <v>0</v>
      </c>
      <c r="BQ64" s="52"/>
      <c r="BR64" s="52">
        <f t="shared" si="44"/>
        <v>0</v>
      </c>
      <c r="BS64" s="52"/>
      <c r="BT64" s="52"/>
      <c r="BU64" s="52"/>
      <c r="BV64" s="52"/>
      <c r="BW64" s="52">
        <f t="shared" si="33"/>
        <v>0</v>
      </c>
      <c r="BX64" s="52"/>
      <c r="BY64" s="52">
        <f t="shared" si="45"/>
        <v>0</v>
      </c>
      <c r="BZ64" s="52"/>
      <c r="CA64" s="52"/>
      <c r="CB64" s="52"/>
      <c r="CC64" s="52"/>
      <c r="CD64" s="52">
        <f t="shared" si="34"/>
        <v>0</v>
      </c>
      <c r="CE64" s="52">
        <f t="shared" si="34"/>
        <v>0</v>
      </c>
      <c r="CF64" s="52"/>
      <c r="CG64" s="52"/>
      <c r="CH64" s="52"/>
      <c r="CI64" s="52"/>
      <c r="CJ64" s="52">
        <f t="shared" si="35"/>
        <v>0</v>
      </c>
      <c r="CK64" s="52">
        <f t="shared" si="35"/>
        <v>0</v>
      </c>
      <c r="CL64" s="52"/>
      <c r="CM64" s="52"/>
      <c r="CN64" s="52"/>
      <c r="CO64" s="52"/>
      <c r="CP64" s="52">
        <f t="shared" si="36"/>
        <v>0</v>
      </c>
      <c r="CQ64" s="52">
        <f t="shared" si="36"/>
        <v>0</v>
      </c>
      <c r="CR64" s="52"/>
      <c r="CS64" s="52"/>
      <c r="CT64" s="52"/>
      <c r="CU64" s="52"/>
      <c r="CV64" s="52">
        <f t="shared" si="37"/>
        <v>0</v>
      </c>
      <c r="CW64" s="52">
        <f t="shared" si="37"/>
        <v>0</v>
      </c>
      <c r="CX64" s="52"/>
      <c r="CY64" s="52"/>
      <c r="CZ64" s="52"/>
      <c r="DA64" s="52"/>
      <c r="DB64" s="52">
        <f t="shared" si="38"/>
        <v>0</v>
      </c>
      <c r="DC64" s="52">
        <f t="shared" si="38"/>
        <v>0</v>
      </c>
      <c r="DD64" s="52"/>
      <c r="DE64" s="52"/>
      <c r="DF64" s="52"/>
      <c r="DG64" s="52"/>
      <c r="DH64" s="52">
        <f t="shared" si="39"/>
        <v>0</v>
      </c>
      <c r="DI64" s="52">
        <f t="shared" si="39"/>
        <v>0</v>
      </c>
      <c r="DJ64" s="52">
        <f t="shared" si="46"/>
        <v>0</v>
      </c>
      <c r="DK64" s="52">
        <f t="shared" si="47"/>
        <v>0</v>
      </c>
      <c r="DL64" s="52">
        <f t="shared" si="40"/>
        <v>0</v>
      </c>
      <c r="DM64" s="52">
        <f t="shared" si="48"/>
        <v>0</v>
      </c>
      <c r="DN64" s="52">
        <f t="shared" si="41"/>
        <v>0</v>
      </c>
      <c r="DO64" s="52">
        <f t="shared" si="41"/>
        <v>0</v>
      </c>
    </row>
    <row r="65" spans="1:119">
      <c r="A65" s="224">
        <v>57</v>
      </c>
      <c r="B65" s="26" t="s">
        <v>48</v>
      </c>
      <c r="C65" s="53" t="s">
        <v>258</v>
      </c>
      <c r="D65" s="227" t="s">
        <v>259</v>
      </c>
      <c r="E65" s="191" t="s">
        <v>1165</v>
      </c>
      <c r="F65" s="161">
        <f t="shared" si="13"/>
        <v>0</v>
      </c>
      <c r="G65" s="165">
        <f t="shared" si="14"/>
        <v>75887.44</v>
      </c>
      <c r="H65" s="54">
        <v>110000</v>
      </c>
      <c r="I65" s="219">
        <v>0</v>
      </c>
      <c r="J65" s="219">
        <v>0</v>
      </c>
      <c r="K65" s="127">
        <f t="shared" si="15"/>
        <v>75887.44</v>
      </c>
      <c r="L65" s="127">
        <f t="shared" si="16"/>
        <v>75887.44</v>
      </c>
      <c r="M65" s="127">
        <f t="shared" si="17"/>
        <v>75887.44</v>
      </c>
      <c r="N65" s="127">
        <f t="shared" si="18"/>
        <v>0</v>
      </c>
      <c r="O65" s="125">
        <f t="shared" si="19"/>
        <v>75887.44</v>
      </c>
      <c r="P65" s="52">
        <v>50000</v>
      </c>
      <c r="Q65" s="52"/>
      <c r="R65" s="52">
        <f t="shared" si="20"/>
        <v>50000</v>
      </c>
      <c r="S65" s="52">
        <f t="shared" si="21"/>
        <v>0</v>
      </c>
      <c r="T65" s="52"/>
      <c r="U65" s="52">
        <v>20000</v>
      </c>
      <c r="V65" s="52"/>
      <c r="W65" s="52"/>
      <c r="X65" s="52">
        <f t="shared" si="22"/>
        <v>0</v>
      </c>
      <c r="Y65" s="52">
        <f t="shared" si="22"/>
        <v>20000</v>
      </c>
      <c r="Z65" s="52"/>
      <c r="AA65" s="52"/>
      <c r="AB65" s="52"/>
      <c r="AC65" s="52">
        <v>5887.44</v>
      </c>
      <c r="AD65" s="52">
        <f t="shared" si="23"/>
        <v>0</v>
      </c>
      <c r="AE65" s="52">
        <f t="shared" si="23"/>
        <v>5887.44</v>
      </c>
      <c r="AF65" s="52">
        <f t="shared" si="24"/>
        <v>50000</v>
      </c>
      <c r="AG65" s="52">
        <f t="shared" si="25"/>
        <v>70000</v>
      </c>
      <c r="AH65" s="52">
        <f t="shared" si="25"/>
        <v>0</v>
      </c>
      <c r="AI65" s="52">
        <f t="shared" si="26"/>
        <v>5887.44</v>
      </c>
      <c r="AJ65" s="52">
        <f t="shared" si="27"/>
        <v>50000</v>
      </c>
      <c r="AK65" s="52">
        <f t="shared" si="27"/>
        <v>75887.44</v>
      </c>
      <c r="AL65" s="52"/>
      <c r="AM65" s="52"/>
      <c r="AN65" s="52"/>
      <c r="AO65" s="52"/>
      <c r="AP65" s="52">
        <f t="shared" si="28"/>
        <v>0</v>
      </c>
      <c r="AQ65" s="52">
        <f t="shared" si="28"/>
        <v>0</v>
      </c>
      <c r="AR65" s="52"/>
      <c r="AS65" s="52"/>
      <c r="AT65" s="52"/>
      <c r="AU65" s="52"/>
      <c r="AV65" s="52">
        <f t="shared" si="29"/>
        <v>0</v>
      </c>
      <c r="AW65" s="52">
        <f t="shared" si="29"/>
        <v>0</v>
      </c>
      <c r="AX65" s="52"/>
      <c r="AY65" s="52"/>
      <c r="AZ65" s="52"/>
      <c r="BA65" s="52"/>
      <c r="BB65" s="52">
        <f t="shared" si="30"/>
        <v>0</v>
      </c>
      <c r="BC65" s="52"/>
      <c r="BD65" s="52">
        <f t="shared" si="42"/>
        <v>0</v>
      </c>
      <c r="BE65" s="52"/>
      <c r="BF65" s="52"/>
      <c r="BG65" s="52"/>
      <c r="BH65" s="52"/>
      <c r="BI65" s="52">
        <f t="shared" si="31"/>
        <v>0</v>
      </c>
      <c r="BJ65" s="52"/>
      <c r="BK65" s="52">
        <f t="shared" si="43"/>
        <v>0</v>
      </c>
      <c r="BL65" s="52"/>
      <c r="BM65" s="52"/>
      <c r="BN65" s="52"/>
      <c r="BO65" s="52"/>
      <c r="BP65" s="52">
        <f t="shared" si="32"/>
        <v>0</v>
      </c>
      <c r="BQ65" s="52"/>
      <c r="BR65" s="52">
        <f t="shared" si="44"/>
        <v>0</v>
      </c>
      <c r="BS65" s="52"/>
      <c r="BT65" s="52"/>
      <c r="BU65" s="52"/>
      <c r="BV65" s="52"/>
      <c r="BW65" s="52">
        <f t="shared" si="33"/>
        <v>0</v>
      </c>
      <c r="BX65" s="52"/>
      <c r="BY65" s="52">
        <f t="shared" si="45"/>
        <v>0</v>
      </c>
      <c r="BZ65" s="52"/>
      <c r="CA65" s="52"/>
      <c r="CB65" s="52"/>
      <c r="CC65" s="52"/>
      <c r="CD65" s="52">
        <f t="shared" si="34"/>
        <v>0</v>
      </c>
      <c r="CE65" s="52">
        <f t="shared" si="34"/>
        <v>0</v>
      </c>
      <c r="CF65" s="52"/>
      <c r="CG65" s="52"/>
      <c r="CH65" s="52"/>
      <c r="CI65" s="52"/>
      <c r="CJ65" s="52">
        <f t="shared" si="35"/>
        <v>0</v>
      </c>
      <c r="CK65" s="52">
        <f t="shared" si="35"/>
        <v>0</v>
      </c>
      <c r="CL65" s="52"/>
      <c r="CM65" s="52"/>
      <c r="CN65" s="52"/>
      <c r="CO65" s="52"/>
      <c r="CP65" s="52">
        <f t="shared" si="36"/>
        <v>0</v>
      </c>
      <c r="CQ65" s="52">
        <f t="shared" si="36"/>
        <v>0</v>
      </c>
      <c r="CR65" s="52"/>
      <c r="CS65" s="52"/>
      <c r="CT65" s="52"/>
      <c r="CU65" s="52"/>
      <c r="CV65" s="52">
        <f t="shared" si="37"/>
        <v>0</v>
      </c>
      <c r="CW65" s="52">
        <f t="shared" si="37"/>
        <v>0</v>
      </c>
      <c r="CX65" s="52"/>
      <c r="CY65" s="52"/>
      <c r="CZ65" s="52"/>
      <c r="DA65" s="52"/>
      <c r="DB65" s="52">
        <f t="shared" si="38"/>
        <v>0</v>
      </c>
      <c r="DC65" s="52">
        <f t="shared" si="38"/>
        <v>0</v>
      </c>
      <c r="DD65" s="52"/>
      <c r="DE65" s="52"/>
      <c r="DF65" s="52"/>
      <c r="DG65" s="52"/>
      <c r="DH65" s="52">
        <f t="shared" si="39"/>
        <v>0</v>
      </c>
      <c r="DI65" s="52">
        <f t="shared" si="39"/>
        <v>0</v>
      </c>
      <c r="DJ65" s="52">
        <f t="shared" si="46"/>
        <v>0</v>
      </c>
      <c r="DK65" s="52">
        <f t="shared" si="47"/>
        <v>0</v>
      </c>
      <c r="DL65" s="52">
        <f t="shared" si="40"/>
        <v>0</v>
      </c>
      <c r="DM65" s="52">
        <f t="shared" si="48"/>
        <v>0</v>
      </c>
      <c r="DN65" s="52">
        <f t="shared" si="41"/>
        <v>0</v>
      </c>
      <c r="DO65" s="52">
        <f t="shared" si="41"/>
        <v>0</v>
      </c>
    </row>
    <row r="66" spans="1:119" s="278" customFormat="1">
      <c r="A66" s="297">
        <v>58</v>
      </c>
      <c r="B66" s="276" t="s">
        <v>168</v>
      </c>
      <c r="C66" s="298" t="s">
        <v>260</v>
      </c>
      <c r="D66" s="299" t="s">
        <v>261</v>
      </c>
      <c r="E66" s="298" t="s">
        <v>1165</v>
      </c>
      <c r="F66" s="255">
        <f t="shared" si="13"/>
        <v>0</v>
      </c>
      <c r="G66" s="256">
        <f t="shared" si="14"/>
        <v>0</v>
      </c>
      <c r="H66" s="54">
        <v>100000</v>
      </c>
      <c r="I66" s="219">
        <v>0</v>
      </c>
      <c r="J66" s="219">
        <v>0</v>
      </c>
      <c r="K66" s="255">
        <f t="shared" si="15"/>
        <v>0</v>
      </c>
      <c r="L66" s="255">
        <f t="shared" si="16"/>
        <v>0</v>
      </c>
      <c r="M66" s="255">
        <f t="shared" si="17"/>
        <v>0</v>
      </c>
      <c r="N66" s="255">
        <f t="shared" si="18"/>
        <v>0</v>
      </c>
      <c r="O66" s="255" t="str">
        <f t="shared" si="19"/>
        <v>ნულოვანი შესრულება</v>
      </c>
      <c r="P66" s="52"/>
      <c r="Q66" s="52"/>
      <c r="R66" s="52">
        <f t="shared" si="20"/>
        <v>0</v>
      </c>
      <c r="S66" s="52">
        <f t="shared" si="21"/>
        <v>0</v>
      </c>
      <c r="T66" s="52"/>
      <c r="U66" s="52"/>
      <c r="V66" s="52"/>
      <c r="W66" s="52"/>
      <c r="X66" s="52">
        <f t="shared" si="22"/>
        <v>0</v>
      </c>
      <c r="Y66" s="52">
        <f t="shared" si="22"/>
        <v>0</v>
      </c>
      <c r="Z66" s="52"/>
      <c r="AA66" s="52"/>
      <c r="AB66" s="52"/>
      <c r="AC66" s="52"/>
      <c r="AD66" s="52">
        <f t="shared" si="23"/>
        <v>0</v>
      </c>
      <c r="AE66" s="52">
        <f t="shared" si="23"/>
        <v>0</v>
      </c>
      <c r="AF66" s="52">
        <f t="shared" si="24"/>
        <v>0</v>
      </c>
      <c r="AG66" s="52">
        <f t="shared" si="25"/>
        <v>0</v>
      </c>
      <c r="AH66" s="52">
        <f t="shared" si="25"/>
        <v>0</v>
      </c>
      <c r="AI66" s="52">
        <f t="shared" si="26"/>
        <v>0</v>
      </c>
      <c r="AJ66" s="52">
        <f t="shared" si="27"/>
        <v>0</v>
      </c>
      <c r="AK66" s="52">
        <f t="shared" si="27"/>
        <v>0</v>
      </c>
      <c r="AL66" s="258"/>
      <c r="AM66" s="258"/>
      <c r="AN66" s="258"/>
      <c r="AO66" s="258"/>
      <c r="AP66" s="258">
        <f t="shared" si="28"/>
        <v>0</v>
      </c>
      <c r="AQ66" s="258">
        <f t="shared" si="28"/>
        <v>0</v>
      </c>
      <c r="AR66" s="258"/>
      <c r="AS66" s="258"/>
      <c r="AT66" s="258"/>
      <c r="AU66" s="258"/>
      <c r="AV66" s="258">
        <f t="shared" si="29"/>
        <v>0</v>
      </c>
      <c r="AW66" s="258">
        <f t="shared" si="29"/>
        <v>0</v>
      </c>
      <c r="AX66" s="258"/>
      <c r="AY66" s="258"/>
      <c r="AZ66" s="258"/>
      <c r="BA66" s="258"/>
      <c r="BB66" s="258">
        <f t="shared" si="30"/>
        <v>0</v>
      </c>
      <c r="BC66" s="258"/>
      <c r="BD66" s="258">
        <f t="shared" si="42"/>
        <v>0</v>
      </c>
      <c r="BE66" s="258"/>
      <c r="BF66" s="258"/>
      <c r="BG66" s="258"/>
      <c r="BH66" s="258"/>
      <c r="BI66" s="258">
        <f t="shared" si="31"/>
        <v>0</v>
      </c>
      <c r="BJ66" s="258"/>
      <c r="BK66" s="258">
        <f t="shared" si="43"/>
        <v>0</v>
      </c>
      <c r="BL66" s="258"/>
      <c r="BM66" s="258"/>
      <c r="BN66" s="258"/>
      <c r="BO66" s="258"/>
      <c r="BP66" s="258">
        <f t="shared" si="32"/>
        <v>0</v>
      </c>
      <c r="BQ66" s="258"/>
      <c r="BR66" s="258">
        <f t="shared" si="44"/>
        <v>0</v>
      </c>
      <c r="BS66" s="258"/>
      <c r="BT66" s="258"/>
      <c r="BU66" s="258"/>
      <c r="BV66" s="258"/>
      <c r="BW66" s="258">
        <f t="shared" si="33"/>
        <v>0</v>
      </c>
      <c r="BX66" s="258"/>
      <c r="BY66" s="258">
        <f t="shared" si="45"/>
        <v>0</v>
      </c>
      <c r="BZ66" s="258"/>
      <c r="CA66" s="258"/>
      <c r="CB66" s="258"/>
      <c r="CC66" s="258"/>
      <c r="CD66" s="258">
        <f t="shared" si="34"/>
        <v>0</v>
      </c>
      <c r="CE66" s="258">
        <f t="shared" si="34"/>
        <v>0</v>
      </c>
      <c r="CF66" s="258"/>
      <c r="CG66" s="258"/>
      <c r="CH66" s="258"/>
      <c r="CI66" s="258"/>
      <c r="CJ66" s="258">
        <f t="shared" si="35"/>
        <v>0</v>
      </c>
      <c r="CK66" s="258">
        <f t="shared" si="35"/>
        <v>0</v>
      </c>
      <c r="CL66" s="258"/>
      <c r="CM66" s="258"/>
      <c r="CN66" s="258"/>
      <c r="CO66" s="258"/>
      <c r="CP66" s="258">
        <f t="shared" si="36"/>
        <v>0</v>
      </c>
      <c r="CQ66" s="258">
        <f t="shared" si="36"/>
        <v>0</v>
      </c>
      <c r="CR66" s="258"/>
      <c r="CS66" s="258"/>
      <c r="CT66" s="258"/>
      <c r="CU66" s="258"/>
      <c r="CV66" s="258">
        <f t="shared" si="37"/>
        <v>0</v>
      </c>
      <c r="CW66" s="258">
        <f t="shared" si="37"/>
        <v>0</v>
      </c>
      <c r="CX66" s="258"/>
      <c r="CY66" s="258"/>
      <c r="CZ66" s="258"/>
      <c r="DA66" s="258"/>
      <c r="DB66" s="258">
        <f t="shared" si="38"/>
        <v>0</v>
      </c>
      <c r="DC66" s="258">
        <f t="shared" si="38"/>
        <v>0</v>
      </c>
      <c r="DD66" s="258"/>
      <c r="DE66" s="258"/>
      <c r="DF66" s="258"/>
      <c r="DG66" s="258"/>
      <c r="DH66" s="258">
        <f t="shared" si="39"/>
        <v>0</v>
      </c>
      <c r="DI66" s="258">
        <f t="shared" si="39"/>
        <v>0</v>
      </c>
      <c r="DJ66" s="258">
        <f t="shared" si="46"/>
        <v>0</v>
      </c>
      <c r="DK66" s="258">
        <f t="shared" si="47"/>
        <v>0</v>
      </c>
      <c r="DL66" s="52">
        <f t="shared" si="40"/>
        <v>0</v>
      </c>
      <c r="DM66" s="258">
        <f t="shared" si="48"/>
        <v>0</v>
      </c>
      <c r="DN66" s="258">
        <f t="shared" si="41"/>
        <v>0</v>
      </c>
      <c r="DO66" s="258">
        <f t="shared" si="41"/>
        <v>0</v>
      </c>
    </row>
    <row r="67" spans="1:119">
      <c r="A67" s="224">
        <v>59</v>
      </c>
      <c r="B67" s="26" t="s">
        <v>202</v>
      </c>
      <c r="C67" s="53" t="s">
        <v>254</v>
      </c>
      <c r="D67" s="227" t="s">
        <v>262</v>
      </c>
      <c r="E67" s="191" t="s">
        <v>1164</v>
      </c>
      <c r="F67" s="161">
        <f t="shared" si="13"/>
        <v>0</v>
      </c>
      <c r="G67" s="165">
        <f t="shared" si="14"/>
        <v>1100.75</v>
      </c>
      <c r="H67" s="54"/>
      <c r="I67" s="219">
        <v>0</v>
      </c>
      <c r="J67" s="219">
        <v>0</v>
      </c>
      <c r="K67" s="127">
        <f t="shared" si="15"/>
        <v>1100.75</v>
      </c>
      <c r="L67" s="127">
        <f t="shared" si="16"/>
        <v>1100.75</v>
      </c>
      <c r="M67" s="127">
        <f t="shared" si="17"/>
        <v>1100.75</v>
      </c>
      <c r="N67" s="127">
        <f t="shared" si="18"/>
        <v>0</v>
      </c>
      <c r="O67" s="125">
        <f t="shared" si="19"/>
        <v>1100.75</v>
      </c>
      <c r="P67" s="52"/>
      <c r="Q67" s="52">
        <v>1100.75</v>
      </c>
      <c r="R67" s="52">
        <f t="shared" si="20"/>
        <v>0</v>
      </c>
      <c r="S67" s="52">
        <f t="shared" si="21"/>
        <v>1100.75</v>
      </c>
      <c r="T67" s="52"/>
      <c r="U67" s="52"/>
      <c r="V67" s="52"/>
      <c r="W67" s="52"/>
      <c r="X67" s="52">
        <f t="shared" si="22"/>
        <v>0</v>
      </c>
      <c r="Y67" s="52">
        <f t="shared" si="22"/>
        <v>0</v>
      </c>
      <c r="Z67" s="52"/>
      <c r="AA67" s="52"/>
      <c r="AB67" s="52"/>
      <c r="AC67" s="52"/>
      <c r="AD67" s="52">
        <f t="shared" si="23"/>
        <v>0</v>
      </c>
      <c r="AE67" s="52">
        <f t="shared" si="23"/>
        <v>0</v>
      </c>
      <c r="AF67" s="52">
        <f t="shared" si="24"/>
        <v>0</v>
      </c>
      <c r="AG67" s="52">
        <f t="shared" si="25"/>
        <v>0</v>
      </c>
      <c r="AH67" s="52">
        <f t="shared" si="25"/>
        <v>1100.75</v>
      </c>
      <c r="AI67" s="52">
        <f t="shared" si="26"/>
        <v>1100.75</v>
      </c>
      <c r="AJ67" s="52">
        <f t="shared" si="27"/>
        <v>1100.75</v>
      </c>
      <c r="AK67" s="52">
        <f t="shared" si="27"/>
        <v>1100.75</v>
      </c>
      <c r="AL67" s="52"/>
      <c r="AM67" s="52"/>
      <c r="AN67" s="52"/>
      <c r="AO67" s="52"/>
      <c r="AP67" s="52">
        <f t="shared" si="28"/>
        <v>0</v>
      </c>
      <c r="AQ67" s="52">
        <f t="shared" si="28"/>
        <v>0</v>
      </c>
      <c r="AR67" s="52"/>
      <c r="AS67" s="52"/>
      <c r="AT67" s="52"/>
      <c r="AU67" s="52"/>
      <c r="AV67" s="52">
        <f t="shared" si="29"/>
        <v>0</v>
      </c>
      <c r="AW67" s="52">
        <f t="shared" si="29"/>
        <v>0</v>
      </c>
      <c r="AX67" s="52"/>
      <c r="AY67" s="52"/>
      <c r="AZ67" s="52"/>
      <c r="BA67" s="52"/>
      <c r="BB67" s="52">
        <f t="shared" si="30"/>
        <v>0</v>
      </c>
      <c r="BC67" s="52"/>
      <c r="BD67" s="52">
        <f t="shared" si="42"/>
        <v>0</v>
      </c>
      <c r="BE67" s="52"/>
      <c r="BF67" s="52"/>
      <c r="BG67" s="52"/>
      <c r="BH67" s="52"/>
      <c r="BI67" s="52">
        <f t="shared" si="31"/>
        <v>0</v>
      </c>
      <c r="BJ67" s="52"/>
      <c r="BK67" s="52">
        <f t="shared" si="43"/>
        <v>0</v>
      </c>
      <c r="BL67" s="52"/>
      <c r="BM67" s="52"/>
      <c r="BN67" s="52"/>
      <c r="BO67" s="52"/>
      <c r="BP67" s="52">
        <f t="shared" si="32"/>
        <v>0</v>
      </c>
      <c r="BQ67" s="52"/>
      <c r="BR67" s="52">
        <f t="shared" si="44"/>
        <v>0</v>
      </c>
      <c r="BS67" s="52"/>
      <c r="BT67" s="52"/>
      <c r="BU67" s="52"/>
      <c r="BV67" s="52"/>
      <c r="BW67" s="52">
        <f t="shared" si="33"/>
        <v>0</v>
      </c>
      <c r="BX67" s="52"/>
      <c r="BY67" s="52">
        <f t="shared" si="45"/>
        <v>0</v>
      </c>
      <c r="BZ67" s="52"/>
      <c r="CA67" s="52"/>
      <c r="CB67" s="52"/>
      <c r="CC67" s="52"/>
      <c r="CD67" s="52">
        <f t="shared" si="34"/>
        <v>0</v>
      </c>
      <c r="CE67" s="52">
        <f t="shared" si="34"/>
        <v>0</v>
      </c>
      <c r="CF67" s="52"/>
      <c r="CG67" s="52"/>
      <c r="CH67" s="52"/>
      <c r="CI67" s="52"/>
      <c r="CJ67" s="52">
        <f t="shared" si="35"/>
        <v>0</v>
      </c>
      <c r="CK67" s="52">
        <f t="shared" si="35"/>
        <v>0</v>
      </c>
      <c r="CL67" s="52"/>
      <c r="CM67" s="52"/>
      <c r="CN67" s="52"/>
      <c r="CO67" s="52"/>
      <c r="CP67" s="52">
        <f t="shared" si="36"/>
        <v>0</v>
      </c>
      <c r="CQ67" s="52">
        <f t="shared" si="36"/>
        <v>0</v>
      </c>
      <c r="CR67" s="52"/>
      <c r="CS67" s="52"/>
      <c r="CT67" s="52"/>
      <c r="CU67" s="52"/>
      <c r="CV67" s="52">
        <f t="shared" si="37"/>
        <v>0</v>
      </c>
      <c r="CW67" s="52">
        <f t="shared" si="37"/>
        <v>0</v>
      </c>
      <c r="CX67" s="52"/>
      <c r="CY67" s="52"/>
      <c r="CZ67" s="52"/>
      <c r="DA67" s="52"/>
      <c r="DB67" s="52">
        <f t="shared" si="38"/>
        <v>0</v>
      </c>
      <c r="DC67" s="52">
        <f t="shared" si="38"/>
        <v>0</v>
      </c>
      <c r="DD67" s="52"/>
      <c r="DE67" s="52"/>
      <c r="DF67" s="52"/>
      <c r="DG67" s="52"/>
      <c r="DH67" s="52">
        <f t="shared" si="39"/>
        <v>0</v>
      </c>
      <c r="DI67" s="52">
        <f t="shared" si="39"/>
        <v>0</v>
      </c>
      <c r="DJ67" s="52">
        <f t="shared" si="46"/>
        <v>0</v>
      </c>
      <c r="DK67" s="52">
        <f t="shared" si="47"/>
        <v>0</v>
      </c>
      <c r="DL67" s="52">
        <f t="shared" si="40"/>
        <v>0</v>
      </c>
      <c r="DM67" s="52">
        <f t="shared" si="48"/>
        <v>0</v>
      </c>
      <c r="DN67" s="52">
        <f t="shared" si="41"/>
        <v>0</v>
      </c>
      <c r="DO67" s="52">
        <f t="shared" si="41"/>
        <v>0</v>
      </c>
    </row>
    <row r="68" spans="1:119" s="278" customFormat="1">
      <c r="A68" s="297">
        <v>60</v>
      </c>
      <c r="B68" s="276" t="s">
        <v>202</v>
      </c>
      <c r="C68" s="298" t="s">
        <v>263</v>
      </c>
      <c r="D68" s="299" t="s">
        <v>264</v>
      </c>
      <c r="E68" s="298" t="s">
        <v>1165</v>
      </c>
      <c r="F68" s="255">
        <f t="shared" si="13"/>
        <v>19963</v>
      </c>
      <c r="G68" s="256">
        <f t="shared" si="14"/>
        <v>19963</v>
      </c>
      <c r="H68" s="54">
        <v>55000</v>
      </c>
      <c r="I68" s="219">
        <v>0</v>
      </c>
      <c r="J68" s="219">
        <v>0</v>
      </c>
      <c r="K68" s="255">
        <f t="shared" si="15"/>
        <v>0</v>
      </c>
      <c r="L68" s="255">
        <f t="shared" si="16"/>
        <v>0</v>
      </c>
      <c r="M68" s="255">
        <f t="shared" si="17"/>
        <v>0</v>
      </c>
      <c r="N68" s="255">
        <f t="shared" si="18"/>
        <v>19963</v>
      </c>
      <c r="O68" s="255">
        <f t="shared" si="19"/>
        <v>58693.75</v>
      </c>
      <c r="P68" s="52"/>
      <c r="Q68" s="52"/>
      <c r="R68" s="52">
        <f t="shared" si="20"/>
        <v>0</v>
      </c>
      <c r="S68" s="52">
        <f t="shared" si="21"/>
        <v>0</v>
      </c>
      <c r="T68" s="52"/>
      <c r="U68" s="52"/>
      <c r="V68" s="52"/>
      <c r="W68" s="52"/>
      <c r="X68" s="52">
        <f t="shared" si="22"/>
        <v>0</v>
      </c>
      <c r="Y68" s="52">
        <f t="shared" si="22"/>
        <v>0</v>
      </c>
      <c r="Z68" s="52"/>
      <c r="AA68" s="52"/>
      <c r="AB68" s="52"/>
      <c r="AC68" s="52"/>
      <c r="AD68" s="52">
        <f t="shared" si="23"/>
        <v>0</v>
      </c>
      <c r="AE68" s="52">
        <f t="shared" si="23"/>
        <v>0</v>
      </c>
      <c r="AF68" s="52">
        <f t="shared" si="24"/>
        <v>0</v>
      </c>
      <c r="AG68" s="52">
        <f t="shared" si="25"/>
        <v>0</v>
      </c>
      <c r="AH68" s="52">
        <f t="shared" si="25"/>
        <v>0</v>
      </c>
      <c r="AI68" s="52">
        <f t="shared" si="26"/>
        <v>0</v>
      </c>
      <c r="AJ68" s="52">
        <f t="shared" si="27"/>
        <v>0</v>
      </c>
      <c r="AK68" s="52">
        <f t="shared" si="27"/>
        <v>0</v>
      </c>
      <c r="AL68" s="258"/>
      <c r="AM68" s="258">
        <v>0</v>
      </c>
      <c r="AN68" s="258"/>
      <c r="AO68" s="258"/>
      <c r="AP68" s="258">
        <f t="shared" si="28"/>
        <v>0</v>
      </c>
      <c r="AQ68" s="258">
        <f t="shared" si="28"/>
        <v>0</v>
      </c>
      <c r="AR68" s="258"/>
      <c r="AS68" s="258">
        <v>40000</v>
      </c>
      <c r="AT68" s="258"/>
      <c r="AU68" s="258"/>
      <c r="AV68" s="258">
        <f t="shared" si="29"/>
        <v>0</v>
      </c>
      <c r="AW68" s="258">
        <f t="shared" si="29"/>
        <v>40000</v>
      </c>
      <c r="AX68" s="258"/>
      <c r="AY68" s="258"/>
      <c r="AZ68" s="258"/>
      <c r="BA68" s="258"/>
      <c r="BB68" s="258">
        <f t="shared" si="30"/>
        <v>0</v>
      </c>
      <c r="BC68" s="258"/>
      <c r="BD68" s="258">
        <f t="shared" si="42"/>
        <v>0</v>
      </c>
      <c r="BE68" s="258"/>
      <c r="BF68" s="258"/>
      <c r="BG68" s="258"/>
      <c r="BH68" s="258">
        <v>18693.75</v>
      </c>
      <c r="BI68" s="258">
        <f t="shared" si="31"/>
        <v>0</v>
      </c>
      <c r="BJ68" s="258">
        <v>19963</v>
      </c>
      <c r="BK68" s="52">
        <f t="shared" si="43"/>
        <v>18693.75</v>
      </c>
      <c r="BL68" s="258"/>
      <c r="BM68" s="258"/>
      <c r="BN68" s="258"/>
      <c r="BO68" s="258"/>
      <c r="BP68" s="258">
        <f t="shared" si="32"/>
        <v>0</v>
      </c>
      <c r="BQ68" s="258"/>
      <c r="BR68" s="258">
        <f t="shared" si="44"/>
        <v>0</v>
      </c>
      <c r="BS68" s="258"/>
      <c r="BT68" s="258"/>
      <c r="BU68" s="258"/>
      <c r="BV68" s="258"/>
      <c r="BW68" s="258">
        <f t="shared" si="33"/>
        <v>0</v>
      </c>
      <c r="BX68" s="258"/>
      <c r="BY68" s="258">
        <f t="shared" si="45"/>
        <v>0</v>
      </c>
      <c r="BZ68" s="258"/>
      <c r="CA68" s="258"/>
      <c r="CB68" s="258"/>
      <c r="CC68" s="258"/>
      <c r="CD68" s="258">
        <f t="shared" si="34"/>
        <v>0</v>
      </c>
      <c r="CE68" s="258">
        <f t="shared" si="34"/>
        <v>0</v>
      </c>
      <c r="CF68" s="258"/>
      <c r="CG68" s="258"/>
      <c r="CH68" s="258"/>
      <c r="CI68" s="258"/>
      <c r="CJ68" s="258">
        <f t="shared" si="35"/>
        <v>0</v>
      </c>
      <c r="CK68" s="258">
        <f t="shared" si="35"/>
        <v>0</v>
      </c>
      <c r="CL68" s="258"/>
      <c r="CM68" s="258"/>
      <c r="CN68" s="258"/>
      <c r="CO68" s="258"/>
      <c r="CP68" s="258">
        <f t="shared" si="36"/>
        <v>0</v>
      </c>
      <c r="CQ68" s="258">
        <f t="shared" si="36"/>
        <v>0</v>
      </c>
      <c r="CR68" s="258"/>
      <c r="CS68" s="258"/>
      <c r="CT68" s="258"/>
      <c r="CU68" s="258"/>
      <c r="CV68" s="258">
        <f t="shared" si="37"/>
        <v>0</v>
      </c>
      <c r="CW68" s="258">
        <f t="shared" si="37"/>
        <v>0</v>
      </c>
      <c r="CX68" s="258"/>
      <c r="CY68" s="258"/>
      <c r="CZ68" s="258"/>
      <c r="DA68" s="258"/>
      <c r="DB68" s="258">
        <f t="shared" si="38"/>
        <v>0</v>
      </c>
      <c r="DC68" s="258">
        <f t="shared" si="38"/>
        <v>0</v>
      </c>
      <c r="DD68" s="258"/>
      <c r="DE68" s="258"/>
      <c r="DF68" s="258"/>
      <c r="DG68" s="258"/>
      <c r="DH68" s="258">
        <f t="shared" si="39"/>
        <v>0</v>
      </c>
      <c r="DI68" s="258">
        <f t="shared" si="39"/>
        <v>0</v>
      </c>
      <c r="DJ68" s="258">
        <f t="shared" si="46"/>
        <v>0</v>
      </c>
      <c r="DK68" s="258">
        <f t="shared" si="47"/>
        <v>40000</v>
      </c>
      <c r="DL68" s="52">
        <f t="shared" si="40"/>
        <v>19963</v>
      </c>
      <c r="DM68" s="258">
        <f t="shared" si="48"/>
        <v>18693.75</v>
      </c>
      <c r="DN68" s="258">
        <f t="shared" si="41"/>
        <v>19963</v>
      </c>
      <c r="DO68" s="258">
        <f t="shared" si="41"/>
        <v>58693.75</v>
      </c>
    </row>
    <row r="69" spans="1:119">
      <c r="A69" s="224">
        <v>61</v>
      </c>
      <c r="B69" s="26" t="s">
        <v>36</v>
      </c>
      <c r="C69" s="53" t="s">
        <v>265</v>
      </c>
      <c r="D69" s="227" t="s">
        <v>266</v>
      </c>
      <c r="E69" s="196" t="s">
        <v>1165</v>
      </c>
      <c r="F69" s="161">
        <f t="shared" si="13"/>
        <v>0</v>
      </c>
      <c r="G69" s="165">
        <f t="shared" si="14"/>
        <v>103426.37</v>
      </c>
      <c r="H69" s="56">
        <v>90000</v>
      </c>
      <c r="I69" s="219">
        <v>0</v>
      </c>
      <c r="J69" s="219">
        <v>0</v>
      </c>
      <c r="K69" s="127">
        <f t="shared" si="15"/>
        <v>103426.37</v>
      </c>
      <c r="L69" s="127">
        <f t="shared" si="16"/>
        <v>103426.37</v>
      </c>
      <c r="M69" s="127">
        <f t="shared" si="17"/>
        <v>103426.37</v>
      </c>
      <c r="N69" s="127">
        <f t="shared" si="18"/>
        <v>0</v>
      </c>
      <c r="O69" s="125">
        <f t="shared" si="19"/>
        <v>103426.37</v>
      </c>
      <c r="P69" s="52">
        <v>40000</v>
      </c>
      <c r="Q69" s="52"/>
      <c r="R69" s="52">
        <f t="shared" si="20"/>
        <v>40000</v>
      </c>
      <c r="S69" s="52">
        <f t="shared" si="21"/>
        <v>0</v>
      </c>
      <c r="T69" s="52"/>
      <c r="U69" s="52">
        <v>55000</v>
      </c>
      <c r="V69" s="52"/>
      <c r="W69" s="52"/>
      <c r="X69" s="52">
        <f t="shared" si="22"/>
        <v>0</v>
      </c>
      <c r="Y69" s="52">
        <f t="shared" si="22"/>
        <v>55000</v>
      </c>
      <c r="Z69" s="52"/>
      <c r="AA69" s="52"/>
      <c r="AB69" s="52"/>
      <c r="AC69" s="52">
        <v>8426.3700000000008</v>
      </c>
      <c r="AD69" s="52">
        <f t="shared" si="23"/>
        <v>0</v>
      </c>
      <c r="AE69" s="52">
        <f t="shared" si="23"/>
        <v>8426.3700000000008</v>
      </c>
      <c r="AF69" s="52">
        <f t="shared" si="24"/>
        <v>40000</v>
      </c>
      <c r="AG69" s="52">
        <f t="shared" si="25"/>
        <v>95000</v>
      </c>
      <c r="AH69" s="52">
        <f t="shared" si="25"/>
        <v>0</v>
      </c>
      <c r="AI69" s="52">
        <f t="shared" si="26"/>
        <v>8426.3700000000008</v>
      </c>
      <c r="AJ69" s="52">
        <f t="shared" si="27"/>
        <v>40000</v>
      </c>
      <c r="AK69" s="52">
        <f t="shared" si="27"/>
        <v>103426.37</v>
      </c>
      <c r="AL69" s="52"/>
      <c r="AM69" s="52"/>
      <c r="AN69" s="52"/>
      <c r="AO69" s="52"/>
      <c r="AP69" s="52">
        <f t="shared" si="28"/>
        <v>0</v>
      </c>
      <c r="AQ69" s="52">
        <f t="shared" si="28"/>
        <v>0</v>
      </c>
      <c r="AR69" s="52"/>
      <c r="AS69" s="52"/>
      <c r="AT69" s="52"/>
      <c r="AU69" s="52"/>
      <c r="AV69" s="52">
        <f t="shared" si="29"/>
        <v>0</v>
      </c>
      <c r="AW69" s="52">
        <f t="shared" si="29"/>
        <v>0</v>
      </c>
      <c r="AX69" s="52"/>
      <c r="AY69" s="52"/>
      <c r="AZ69" s="52"/>
      <c r="BA69" s="52"/>
      <c r="BB69" s="52">
        <f t="shared" si="30"/>
        <v>0</v>
      </c>
      <c r="BC69" s="52"/>
      <c r="BD69" s="52">
        <f t="shared" si="42"/>
        <v>0</v>
      </c>
      <c r="BE69" s="52"/>
      <c r="BF69" s="52"/>
      <c r="BG69" s="52"/>
      <c r="BH69" s="52"/>
      <c r="BI69" s="52">
        <f t="shared" si="31"/>
        <v>0</v>
      </c>
      <c r="BJ69" s="52"/>
      <c r="BK69" s="52">
        <f t="shared" si="43"/>
        <v>0</v>
      </c>
      <c r="BL69" s="52"/>
      <c r="BM69" s="52"/>
      <c r="BN69" s="52"/>
      <c r="BO69" s="52"/>
      <c r="BP69" s="52">
        <f t="shared" si="32"/>
        <v>0</v>
      </c>
      <c r="BQ69" s="52"/>
      <c r="BR69" s="52">
        <f t="shared" si="44"/>
        <v>0</v>
      </c>
      <c r="BS69" s="52"/>
      <c r="BT69" s="52"/>
      <c r="BU69" s="52"/>
      <c r="BV69" s="52"/>
      <c r="BW69" s="52">
        <f t="shared" si="33"/>
        <v>0</v>
      </c>
      <c r="BX69" s="52"/>
      <c r="BY69" s="52">
        <f t="shared" si="45"/>
        <v>0</v>
      </c>
      <c r="BZ69" s="52"/>
      <c r="CA69" s="52"/>
      <c r="CB69" s="52"/>
      <c r="CC69" s="52"/>
      <c r="CD69" s="52">
        <f t="shared" si="34"/>
        <v>0</v>
      </c>
      <c r="CE69" s="52">
        <f t="shared" si="34"/>
        <v>0</v>
      </c>
      <c r="CF69" s="52"/>
      <c r="CG69" s="52"/>
      <c r="CH69" s="52"/>
      <c r="CI69" s="52"/>
      <c r="CJ69" s="52">
        <f t="shared" si="35"/>
        <v>0</v>
      </c>
      <c r="CK69" s="52">
        <f t="shared" si="35"/>
        <v>0</v>
      </c>
      <c r="CL69" s="52"/>
      <c r="CM69" s="52"/>
      <c r="CN69" s="52"/>
      <c r="CO69" s="52"/>
      <c r="CP69" s="52">
        <f t="shared" si="36"/>
        <v>0</v>
      </c>
      <c r="CQ69" s="52">
        <f t="shared" si="36"/>
        <v>0</v>
      </c>
      <c r="CR69" s="52"/>
      <c r="CS69" s="52"/>
      <c r="CT69" s="52"/>
      <c r="CU69" s="52"/>
      <c r="CV69" s="52">
        <f t="shared" si="37"/>
        <v>0</v>
      </c>
      <c r="CW69" s="52">
        <f t="shared" si="37"/>
        <v>0</v>
      </c>
      <c r="CX69" s="52"/>
      <c r="CY69" s="52"/>
      <c r="CZ69" s="52"/>
      <c r="DA69" s="52"/>
      <c r="DB69" s="52">
        <f t="shared" si="38"/>
        <v>0</v>
      </c>
      <c r="DC69" s="52">
        <f t="shared" si="38"/>
        <v>0</v>
      </c>
      <c r="DD69" s="52"/>
      <c r="DE69" s="52"/>
      <c r="DF69" s="52"/>
      <c r="DG69" s="52"/>
      <c r="DH69" s="52">
        <f t="shared" si="39"/>
        <v>0</v>
      </c>
      <c r="DI69" s="52">
        <f t="shared" si="39"/>
        <v>0</v>
      </c>
      <c r="DJ69" s="52">
        <f t="shared" si="46"/>
        <v>0</v>
      </c>
      <c r="DK69" s="52">
        <f t="shared" si="47"/>
        <v>0</v>
      </c>
      <c r="DL69" s="52">
        <f t="shared" si="40"/>
        <v>0</v>
      </c>
      <c r="DM69" s="52">
        <f t="shared" si="48"/>
        <v>0</v>
      </c>
      <c r="DN69" s="52">
        <f t="shared" si="41"/>
        <v>0</v>
      </c>
      <c r="DO69" s="52">
        <f t="shared" si="41"/>
        <v>0</v>
      </c>
    </row>
    <row r="70" spans="1:119">
      <c r="A70" s="224">
        <v>62</v>
      </c>
      <c r="B70" s="26" t="s">
        <v>176</v>
      </c>
      <c r="C70" s="53" t="s">
        <v>267</v>
      </c>
      <c r="D70" s="227" t="s">
        <v>268</v>
      </c>
      <c r="E70" s="191" t="s">
        <v>1165</v>
      </c>
      <c r="F70" s="161">
        <f t="shared" si="13"/>
        <v>0</v>
      </c>
      <c r="G70" s="165">
        <f t="shared" si="14"/>
        <v>69616.19</v>
      </c>
      <c r="H70" s="54">
        <v>25000</v>
      </c>
      <c r="I70" s="219">
        <v>0</v>
      </c>
      <c r="J70" s="219">
        <v>0</v>
      </c>
      <c r="K70" s="127">
        <f t="shared" si="15"/>
        <v>69616.19</v>
      </c>
      <c r="L70" s="127">
        <f t="shared" si="16"/>
        <v>69616.19</v>
      </c>
      <c r="M70" s="127">
        <f t="shared" si="17"/>
        <v>69616.19</v>
      </c>
      <c r="N70" s="127">
        <f t="shared" si="18"/>
        <v>0</v>
      </c>
      <c r="O70" s="125">
        <f t="shared" si="19"/>
        <v>69616.19</v>
      </c>
      <c r="P70" s="52">
        <v>62000</v>
      </c>
      <c r="Q70" s="52"/>
      <c r="R70" s="52">
        <f t="shared" si="20"/>
        <v>62000</v>
      </c>
      <c r="S70" s="52">
        <f t="shared" si="21"/>
        <v>0</v>
      </c>
      <c r="T70" s="52"/>
      <c r="U70" s="52"/>
      <c r="V70" s="52"/>
      <c r="W70" s="52"/>
      <c r="X70" s="52">
        <f t="shared" si="22"/>
        <v>0</v>
      </c>
      <c r="Y70" s="52">
        <f t="shared" si="22"/>
        <v>0</v>
      </c>
      <c r="Z70" s="52">
        <v>40000</v>
      </c>
      <c r="AA70" s="52"/>
      <c r="AB70" s="52"/>
      <c r="AC70" s="52">
        <v>7616.19</v>
      </c>
      <c r="AD70" s="52">
        <f t="shared" si="23"/>
        <v>40000</v>
      </c>
      <c r="AE70" s="52">
        <f t="shared" si="23"/>
        <v>7616.19</v>
      </c>
      <c r="AF70" s="52">
        <f t="shared" si="24"/>
        <v>102000</v>
      </c>
      <c r="AG70" s="52">
        <f t="shared" si="25"/>
        <v>62000</v>
      </c>
      <c r="AH70" s="52">
        <f t="shared" si="25"/>
        <v>0</v>
      </c>
      <c r="AI70" s="52">
        <f t="shared" si="26"/>
        <v>7616.19</v>
      </c>
      <c r="AJ70" s="52">
        <f t="shared" si="27"/>
        <v>102000</v>
      </c>
      <c r="AK70" s="52">
        <f t="shared" si="27"/>
        <v>69616.19</v>
      </c>
      <c r="AL70" s="52"/>
      <c r="AM70" s="52"/>
      <c r="AN70" s="52"/>
      <c r="AO70" s="52"/>
      <c r="AP70" s="52">
        <f t="shared" si="28"/>
        <v>0</v>
      </c>
      <c r="AQ70" s="52">
        <f t="shared" si="28"/>
        <v>0</v>
      </c>
      <c r="AR70" s="52"/>
      <c r="AS70" s="52"/>
      <c r="AT70" s="52"/>
      <c r="AU70" s="52"/>
      <c r="AV70" s="52">
        <f t="shared" si="29"/>
        <v>0</v>
      </c>
      <c r="AW70" s="52">
        <f t="shared" si="29"/>
        <v>0</v>
      </c>
      <c r="AX70" s="52"/>
      <c r="AY70" s="52"/>
      <c r="AZ70" s="52"/>
      <c r="BA70" s="52"/>
      <c r="BB70" s="52">
        <f t="shared" si="30"/>
        <v>0</v>
      </c>
      <c r="BC70" s="52"/>
      <c r="BD70" s="52">
        <f t="shared" si="42"/>
        <v>0</v>
      </c>
      <c r="BE70" s="52"/>
      <c r="BF70" s="52"/>
      <c r="BG70" s="52"/>
      <c r="BH70" s="52"/>
      <c r="BI70" s="52">
        <f t="shared" si="31"/>
        <v>0</v>
      </c>
      <c r="BJ70" s="52"/>
      <c r="BK70" s="52">
        <f t="shared" si="43"/>
        <v>0</v>
      </c>
      <c r="BL70" s="52"/>
      <c r="BM70" s="52"/>
      <c r="BN70" s="52"/>
      <c r="BO70" s="52"/>
      <c r="BP70" s="52">
        <f t="shared" si="32"/>
        <v>0</v>
      </c>
      <c r="BQ70" s="52"/>
      <c r="BR70" s="52">
        <f t="shared" si="44"/>
        <v>0</v>
      </c>
      <c r="BS70" s="52"/>
      <c r="BT70" s="52"/>
      <c r="BU70" s="52"/>
      <c r="BV70" s="52"/>
      <c r="BW70" s="52">
        <f t="shared" si="33"/>
        <v>0</v>
      </c>
      <c r="BX70" s="52"/>
      <c r="BY70" s="52">
        <f t="shared" si="45"/>
        <v>0</v>
      </c>
      <c r="BZ70" s="52"/>
      <c r="CA70" s="52"/>
      <c r="CB70" s="52"/>
      <c r="CC70" s="52"/>
      <c r="CD70" s="52">
        <f t="shared" si="34"/>
        <v>0</v>
      </c>
      <c r="CE70" s="52">
        <f t="shared" si="34"/>
        <v>0</v>
      </c>
      <c r="CF70" s="52"/>
      <c r="CG70" s="52"/>
      <c r="CH70" s="52"/>
      <c r="CI70" s="52"/>
      <c r="CJ70" s="52">
        <f t="shared" si="35"/>
        <v>0</v>
      </c>
      <c r="CK70" s="52">
        <f t="shared" si="35"/>
        <v>0</v>
      </c>
      <c r="CL70" s="52"/>
      <c r="CM70" s="52"/>
      <c r="CN70" s="52"/>
      <c r="CO70" s="52"/>
      <c r="CP70" s="52">
        <f t="shared" si="36"/>
        <v>0</v>
      </c>
      <c r="CQ70" s="52">
        <f t="shared" si="36"/>
        <v>0</v>
      </c>
      <c r="CR70" s="52"/>
      <c r="CS70" s="52"/>
      <c r="CT70" s="52"/>
      <c r="CU70" s="52"/>
      <c r="CV70" s="52">
        <f t="shared" si="37"/>
        <v>0</v>
      </c>
      <c r="CW70" s="52">
        <f t="shared" si="37"/>
        <v>0</v>
      </c>
      <c r="CX70" s="52"/>
      <c r="CY70" s="52"/>
      <c r="CZ70" s="52"/>
      <c r="DA70" s="52"/>
      <c r="DB70" s="52">
        <f t="shared" si="38"/>
        <v>0</v>
      </c>
      <c r="DC70" s="52">
        <f t="shared" si="38"/>
        <v>0</v>
      </c>
      <c r="DD70" s="52"/>
      <c r="DE70" s="52"/>
      <c r="DF70" s="52"/>
      <c r="DG70" s="52"/>
      <c r="DH70" s="52">
        <f t="shared" si="39"/>
        <v>0</v>
      </c>
      <c r="DI70" s="52">
        <f t="shared" si="39"/>
        <v>0</v>
      </c>
      <c r="DJ70" s="52">
        <f t="shared" si="46"/>
        <v>0</v>
      </c>
      <c r="DK70" s="52">
        <f t="shared" si="47"/>
        <v>0</v>
      </c>
      <c r="DL70" s="52">
        <f t="shared" si="40"/>
        <v>0</v>
      </c>
      <c r="DM70" s="52">
        <f t="shared" si="48"/>
        <v>0</v>
      </c>
      <c r="DN70" s="52">
        <f t="shared" si="41"/>
        <v>0</v>
      </c>
      <c r="DO70" s="52">
        <f t="shared" si="41"/>
        <v>0</v>
      </c>
    </row>
    <row r="71" spans="1:119">
      <c r="A71" s="224">
        <v>63</v>
      </c>
      <c r="B71" s="26" t="s">
        <v>36</v>
      </c>
      <c r="C71" s="53" t="s">
        <v>269</v>
      </c>
      <c r="D71" s="227" t="s">
        <v>270</v>
      </c>
      <c r="E71" s="196" t="s">
        <v>1165</v>
      </c>
      <c r="F71" s="161">
        <f t="shared" si="13"/>
        <v>0</v>
      </c>
      <c r="G71" s="165">
        <f t="shared" si="14"/>
        <v>180000</v>
      </c>
      <c r="H71" s="56">
        <v>106000</v>
      </c>
      <c r="I71" s="220">
        <v>0</v>
      </c>
      <c r="J71" s="220">
        <v>0</v>
      </c>
      <c r="K71" s="127">
        <f t="shared" si="15"/>
        <v>180000</v>
      </c>
      <c r="L71" s="127">
        <f t="shared" si="16"/>
        <v>0</v>
      </c>
      <c r="M71" s="127">
        <f t="shared" si="17"/>
        <v>180000</v>
      </c>
      <c r="N71" s="127">
        <f t="shared" si="18"/>
        <v>0</v>
      </c>
      <c r="O71" s="125" t="str">
        <f t="shared" si="19"/>
        <v>მიმდინარეობს</v>
      </c>
      <c r="P71" s="52">
        <v>180000</v>
      </c>
      <c r="Q71" s="57"/>
      <c r="R71" s="52">
        <f t="shared" si="20"/>
        <v>180000</v>
      </c>
      <c r="S71" s="52">
        <f t="shared" si="21"/>
        <v>0</v>
      </c>
      <c r="T71" s="57"/>
      <c r="U71" s="57"/>
      <c r="V71" s="57"/>
      <c r="W71" s="57"/>
      <c r="X71" s="52">
        <f t="shared" si="22"/>
        <v>0</v>
      </c>
      <c r="Y71" s="52">
        <f t="shared" si="22"/>
        <v>0</v>
      </c>
      <c r="Z71" s="57"/>
      <c r="AA71" s="57"/>
      <c r="AB71" s="57"/>
      <c r="AC71" s="57"/>
      <c r="AD71" s="52">
        <f t="shared" si="23"/>
        <v>0</v>
      </c>
      <c r="AE71" s="52">
        <f t="shared" si="23"/>
        <v>0</v>
      </c>
      <c r="AF71" s="52">
        <f t="shared" si="24"/>
        <v>180000</v>
      </c>
      <c r="AG71" s="52">
        <f t="shared" si="25"/>
        <v>180000</v>
      </c>
      <c r="AH71" s="52">
        <f t="shared" si="25"/>
        <v>0</v>
      </c>
      <c r="AI71" s="52">
        <f t="shared" si="26"/>
        <v>0</v>
      </c>
      <c r="AJ71" s="52">
        <f t="shared" si="27"/>
        <v>180000</v>
      </c>
      <c r="AK71" s="52">
        <f t="shared" si="27"/>
        <v>180000</v>
      </c>
      <c r="AL71" s="57"/>
      <c r="AM71" s="57"/>
      <c r="AN71" s="57"/>
      <c r="AO71" s="57"/>
      <c r="AP71" s="52">
        <f t="shared" si="28"/>
        <v>0</v>
      </c>
      <c r="AQ71" s="52">
        <f t="shared" si="28"/>
        <v>0</v>
      </c>
      <c r="AR71" s="57"/>
      <c r="AS71" s="57"/>
      <c r="AT71" s="57"/>
      <c r="AU71" s="57"/>
      <c r="AV71" s="52">
        <f t="shared" si="29"/>
        <v>0</v>
      </c>
      <c r="AW71" s="52">
        <f t="shared" si="29"/>
        <v>0</v>
      </c>
      <c r="AX71" s="57"/>
      <c r="AY71" s="57"/>
      <c r="AZ71" s="57"/>
      <c r="BA71" s="57"/>
      <c r="BB71" s="52">
        <f t="shared" si="30"/>
        <v>0</v>
      </c>
      <c r="BC71" s="52"/>
      <c r="BD71" s="52">
        <f t="shared" si="42"/>
        <v>0</v>
      </c>
      <c r="BE71" s="52"/>
      <c r="BF71" s="52"/>
      <c r="BG71" s="52"/>
      <c r="BH71" s="52"/>
      <c r="BI71" s="52">
        <f t="shared" si="31"/>
        <v>0</v>
      </c>
      <c r="BJ71" s="52"/>
      <c r="BK71" s="52">
        <f t="shared" si="43"/>
        <v>0</v>
      </c>
      <c r="BL71" s="52"/>
      <c r="BM71" s="52"/>
      <c r="BN71" s="52"/>
      <c r="BO71" s="52"/>
      <c r="BP71" s="52">
        <f t="shared" si="32"/>
        <v>0</v>
      </c>
      <c r="BQ71" s="52"/>
      <c r="BR71" s="52">
        <f t="shared" si="44"/>
        <v>0</v>
      </c>
      <c r="BS71" s="52"/>
      <c r="BT71" s="52"/>
      <c r="BU71" s="52"/>
      <c r="BV71" s="52"/>
      <c r="BW71" s="52">
        <f t="shared" si="33"/>
        <v>0</v>
      </c>
      <c r="BX71" s="52"/>
      <c r="BY71" s="52">
        <f t="shared" si="45"/>
        <v>0</v>
      </c>
      <c r="BZ71" s="52"/>
      <c r="CA71" s="52"/>
      <c r="CB71" s="52"/>
      <c r="CC71" s="52"/>
      <c r="CD71" s="52">
        <f t="shared" si="34"/>
        <v>0</v>
      </c>
      <c r="CE71" s="52">
        <f t="shared" si="34"/>
        <v>0</v>
      </c>
      <c r="CF71" s="52"/>
      <c r="CG71" s="52"/>
      <c r="CH71" s="52"/>
      <c r="CI71" s="52"/>
      <c r="CJ71" s="52">
        <f t="shared" si="35"/>
        <v>0</v>
      </c>
      <c r="CK71" s="52">
        <f t="shared" si="35"/>
        <v>0</v>
      </c>
      <c r="CL71" s="52"/>
      <c r="CM71" s="52"/>
      <c r="CN71" s="52"/>
      <c r="CO71" s="52"/>
      <c r="CP71" s="52">
        <f t="shared" si="36"/>
        <v>0</v>
      </c>
      <c r="CQ71" s="52">
        <f t="shared" si="36"/>
        <v>0</v>
      </c>
      <c r="CR71" s="52"/>
      <c r="CS71" s="52"/>
      <c r="CT71" s="52"/>
      <c r="CU71" s="52"/>
      <c r="CV71" s="52">
        <f t="shared" si="37"/>
        <v>0</v>
      </c>
      <c r="CW71" s="52">
        <f t="shared" si="37"/>
        <v>0</v>
      </c>
      <c r="CX71" s="52"/>
      <c r="CY71" s="52"/>
      <c r="CZ71" s="52"/>
      <c r="DA71" s="52"/>
      <c r="DB71" s="52">
        <f t="shared" si="38"/>
        <v>0</v>
      </c>
      <c r="DC71" s="52">
        <f t="shared" si="38"/>
        <v>0</v>
      </c>
      <c r="DD71" s="52"/>
      <c r="DE71" s="52"/>
      <c r="DF71" s="52"/>
      <c r="DG71" s="52"/>
      <c r="DH71" s="52">
        <f t="shared" si="39"/>
        <v>0</v>
      </c>
      <c r="DI71" s="52">
        <f t="shared" si="39"/>
        <v>0</v>
      </c>
      <c r="DJ71" s="52">
        <f t="shared" si="46"/>
        <v>0</v>
      </c>
      <c r="DK71" s="52">
        <f t="shared" si="47"/>
        <v>0</v>
      </c>
      <c r="DL71" s="52">
        <f t="shared" si="40"/>
        <v>0</v>
      </c>
      <c r="DM71" s="52">
        <f t="shared" si="48"/>
        <v>0</v>
      </c>
      <c r="DN71" s="52">
        <f t="shared" si="41"/>
        <v>0</v>
      </c>
      <c r="DO71" s="52">
        <f t="shared" si="41"/>
        <v>0</v>
      </c>
    </row>
    <row r="72" spans="1:119" s="278" customFormat="1">
      <c r="A72" s="297">
        <v>64</v>
      </c>
      <c r="B72" s="276" t="s">
        <v>41</v>
      </c>
      <c r="C72" s="298" t="s">
        <v>271</v>
      </c>
      <c r="D72" s="299" t="s">
        <v>272</v>
      </c>
      <c r="E72" s="298" t="s">
        <v>1165</v>
      </c>
      <c r="F72" s="255">
        <f t="shared" si="13"/>
        <v>0</v>
      </c>
      <c r="G72" s="256">
        <f t="shared" si="14"/>
        <v>0</v>
      </c>
      <c r="H72" s="54">
        <v>40000</v>
      </c>
      <c r="I72" s="219">
        <v>0</v>
      </c>
      <c r="J72" s="219">
        <v>0</v>
      </c>
      <c r="K72" s="255">
        <f t="shared" si="15"/>
        <v>0</v>
      </c>
      <c r="L72" s="255">
        <f t="shared" si="16"/>
        <v>0</v>
      </c>
      <c r="M72" s="255">
        <f t="shared" si="17"/>
        <v>0</v>
      </c>
      <c r="N72" s="255">
        <f t="shared" si="18"/>
        <v>0</v>
      </c>
      <c r="O72" s="255" t="str">
        <f t="shared" si="19"/>
        <v>ნულოვანი შესრულება</v>
      </c>
      <c r="P72" s="52"/>
      <c r="Q72" s="52"/>
      <c r="R72" s="52">
        <f t="shared" si="20"/>
        <v>0</v>
      </c>
      <c r="S72" s="52">
        <f t="shared" si="21"/>
        <v>0</v>
      </c>
      <c r="T72" s="52"/>
      <c r="U72" s="52"/>
      <c r="V72" s="52"/>
      <c r="W72" s="52"/>
      <c r="X72" s="52">
        <f t="shared" si="22"/>
        <v>0</v>
      </c>
      <c r="Y72" s="52">
        <f t="shared" si="22"/>
        <v>0</v>
      </c>
      <c r="Z72" s="52"/>
      <c r="AA72" s="52"/>
      <c r="AB72" s="52"/>
      <c r="AC72" s="52"/>
      <c r="AD72" s="52">
        <f t="shared" si="23"/>
        <v>0</v>
      </c>
      <c r="AE72" s="52">
        <f t="shared" si="23"/>
        <v>0</v>
      </c>
      <c r="AF72" s="52">
        <f t="shared" si="24"/>
        <v>0</v>
      </c>
      <c r="AG72" s="52">
        <f t="shared" si="25"/>
        <v>0</v>
      </c>
      <c r="AH72" s="52">
        <f t="shared" si="25"/>
        <v>0</v>
      </c>
      <c r="AI72" s="52">
        <f t="shared" si="26"/>
        <v>0</v>
      </c>
      <c r="AJ72" s="52">
        <f t="shared" si="27"/>
        <v>0</v>
      </c>
      <c r="AK72" s="52">
        <f t="shared" si="27"/>
        <v>0</v>
      </c>
      <c r="AL72" s="258"/>
      <c r="AM72" s="258"/>
      <c r="AN72" s="258"/>
      <c r="AO72" s="258"/>
      <c r="AP72" s="258">
        <f t="shared" si="28"/>
        <v>0</v>
      </c>
      <c r="AQ72" s="258">
        <f t="shared" si="28"/>
        <v>0</v>
      </c>
      <c r="AR72" s="258"/>
      <c r="AS72" s="258"/>
      <c r="AT72" s="258"/>
      <c r="AU72" s="258"/>
      <c r="AV72" s="258">
        <f t="shared" si="29"/>
        <v>0</v>
      </c>
      <c r="AW72" s="258">
        <f t="shared" si="29"/>
        <v>0</v>
      </c>
      <c r="AX72" s="258"/>
      <c r="AY72" s="258"/>
      <c r="AZ72" s="258"/>
      <c r="BA72" s="258"/>
      <c r="BB72" s="258">
        <f t="shared" si="30"/>
        <v>0</v>
      </c>
      <c r="BC72" s="258"/>
      <c r="BD72" s="258">
        <f t="shared" si="42"/>
        <v>0</v>
      </c>
      <c r="BE72" s="258"/>
      <c r="BF72" s="258"/>
      <c r="BG72" s="258"/>
      <c r="BH72" s="258"/>
      <c r="BI72" s="258">
        <f t="shared" si="31"/>
        <v>0</v>
      </c>
      <c r="BJ72" s="258"/>
      <c r="BK72" s="258">
        <f t="shared" si="43"/>
        <v>0</v>
      </c>
      <c r="BL72" s="258"/>
      <c r="BM72" s="258"/>
      <c r="BN72" s="258"/>
      <c r="BO72" s="258"/>
      <c r="BP72" s="258">
        <f t="shared" si="32"/>
        <v>0</v>
      </c>
      <c r="BQ72" s="258"/>
      <c r="BR72" s="258">
        <f t="shared" si="44"/>
        <v>0</v>
      </c>
      <c r="BS72" s="258"/>
      <c r="BT72" s="258"/>
      <c r="BU72" s="258"/>
      <c r="BV72" s="258"/>
      <c r="BW72" s="258">
        <f t="shared" si="33"/>
        <v>0</v>
      </c>
      <c r="BX72" s="258"/>
      <c r="BY72" s="258">
        <f t="shared" si="45"/>
        <v>0</v>
      </c>
      <c r="BZ72" s="258"/>
      <c r="CA72" s="258"/>
      <c r="CB72" s="258"/>
      <c r="CC72" s="258"/>
      <c r="CD72" s="258">
        <f t="shared" si="34"/>
        <v>0</v>
      </c>
      <c r="CE72" s="258">
        <f t="shared" si="34"/>
        <v>0</v>
      </c>
      <c r="CF72" s="258"/>
      <c r="CG72" s="258"/>
      <c r="CH72" s="258"/>
      <c r="CI72" s="258"/>
      <c r="CJ72" s="258">
        <f t="shared" si="35"/>
        <v>0</v>
      </c>
      <c r="CK72" s="258">
        <f t="shared" si="35"/>
        <v>0</v>
      </c>
      <c r="CL72" s="258"/>
      <c r="CM72" s="258"/>
      <c r="CN72" s="258"/>
      <c r="CO72" s="258"/>
      <c r="CP72" s="258">
        <f t="shared" si="36"/>
        <v>0</v>
      </c>
      <c r="CQ72" s="258">
        <f t="shared" si="36"/>
        <v>0</v>
      </c>
      <c r="CR72" s="258"/>
      <c r="CS72" s="258"/>
      <c r="CT72" s="258"/>
      <c r="CU72" s="258"/>
      <c r="CV72" s="258">
        <f t="shared" si="37"/>
        <v>0</v>
      </c>
      <c r="CW72" s="258">
        <f t="shared" si="37"/>
        <v>0</v>
      </c>
      <c r="CX72" s="258"/>
      <c r="CY72" s="258"/>
      <c r="CZ72" s="258"/>
      <c r="DA72" s="258"/>
      <c r="DB72" s="258">
        <f t="shared" si="38"/>
        <v>0</v>
      </c>
      <c r="DC72" s="258">
        <f t="shared" si="38"/>
        <v>0</v>
      </c>
      <c r="DD72" s="258"/>
      <c r="DE72" s="258"/>
      <c r="DF72" s="258"/>
      <c r="DG72" s="258"/>
      <c r="DH72" s="258">
        <f t="shared" si="39"/>
        <v>0</v>
      </c>
      <c r="DI72" s="258">
        <f t="shared" si="39"/>
        <v>0</v>
      </c>
      <c r="DJ72" s="258">
        <f t="shared" si="46"/>
        <v>0</v>
      </c>
      <c r="DK72" s="258">
        <f t="shared" si="47"/>
        <v>0</v>
      </c>
      <c r="DL72" s="52">
        <f t="shared" si="40"/>
        <v>0</v>
      </c>
      <c r="DM72" s="258">
        <f t="shared" si="48"/>
        <v>0</v>
      </c>
      <c r="DN72" s="258">
        <f t="shared" si="41"/>
        <v>0</v>
      </c>
      <c r="DO72" s="258">
        <f t="shared" si="41"/>
        <v>0</v>
      </c>
    </row>
    <row r="73" spans="1:119">
      <c r="A73" s="224">
        <v>65</v>
      </c>
      <c r="B73" s="26" t="s">
        <v>195</v>
      </c>
      <c r="C73" s="53" t="s">
        <v>244</v>
      </c>
      <c r="D73" s="227" t="s">
        <v>245</v>
      </c>
      <c r="E73" s="191" t="s">
        <v>1164</v>
      </c>
      <c r="F73" s="161">
        <f t="shared" si="13"/>
        <v>0</v>
      </c>
      <c r="G73" s="165">
        <f t="shared" si="14"/>
        <v>1338.75</v>
      </c>
      <c r="H73" s="56"/>
      <c r="I73" s="219">
        <v>0</v>
      </c>
      <c r="J73" s="219">
        <v>0</v>
      </c>
      <c r="K73" s="223">
        <f t="shared" si="15"/>
        <v>1338.75</v>
      </c>
      <c r="L73" s="127">
        <f t="shared" si="16"/>
        <v>1338.75</v>
      </c>
      <c r="M73" s="127">
        <f t="shared" si="17"/>
        <v>1338.75</v>
      </c>
      <c r="N73" s="127">
        <f t="shared" si="18"/>
        <v>0</v>
      </c>
      <c r="O73" s="125">
        <f t="shared" si="19"/>
        <v>1338.75</v>
      </c>
      <c r="P73" s="52"/>
      <c r="Q73" s="52">
        <v>1338.75</v>
      </c>
      <c r="R73" s="52">
        <f t="shared" si="20"/>
        <v>0</v>
      </c>
      <c r="S73" s="52">
        <f t="shared" si="21"/>
        <v>1338.75</v>
      </c>
      <c r="T73" s="52"/>
      <c r="U73" s="52"/>
      <c r="V73" s="52"/>
      <c r="W73" s="52"/>
      <c r="X73" s="52">
        <f t="shared" si="22"/>
        <v>0</v>
      </c>
      <c r="Y73" s="52">
        <f t="shared" si="22"/>
        <v>0</v>
      </c>
      <c r="Z73" s="52"/>
      <c r="AA73" s="52"/>
      <c r="AB73" s="63"/>
      <c r="AC73" s="63"/>
      <c r="AD73" s="52">
        <f t="shared" si="23"/>
        <v>0</v>
      </c>
      <c r="AE73" s="52">
        <f t="shared" si="23"/>
        <v>0</v>
      </c>
      <c r="AF73" s="52">
        <f t="shared" si="24"/>
        <v>0</v>
      </c>
      <c r="AG73" s="52">
        <f t="shared" si="25"/>
        <v>0</v>
      </c>
      <c r="AH73" s="52">
        <f t="shared" si="25"/>
        <v>1338.75</v>
      </c>
      <c r="AI73" s="52">
        <f t="shared" si="26"/>
        <v>1338.75</v>
      </c>
      <c r="AJ73" s="52">
        <f t="shared" si="27"/>
        <v>1338.75</v>
      </c>
      <c r="AK73" s="52">
        <f t="shared" si="27"/>
        <v>1338.75</v>
      </c>
      <c r="AL73" s="57"/>
      <c r="AM73" s="57"/>
      <c r="AN73" s="57"/>
      <c r="AO73" s="57"/>
      <c r="AP73" s="52">
        <f t="shared" si="28"/>
        <v>0</v>
      </c>
      <c r="AQ73" s="52">
        <f t="shared" si="28"/>
        <v>0</v>
      </c>
      <c r="AR73" s="57"/>
      <c r="AS73" s="57"/>
      <c r="AT73" s="57"/>
      <c r="AU73" s="57"/>
      <c r="AV73" s="52">
        <f t="shared" si="29"/>
        <v>0</v>
      </c>
      <c r="AW73" s="52">
        <f t="shared" si="29"/>
        <v>0</v>
      </c>
      <c r="AX73" s="57"/>
      <c r="AY73" s="57"/>
      <c r="AZ73" s="57"/>
      <c r="BA73" s="57"/>
      <c r="BB73" s="52">
        <f t="shared" si="30"/>
        <v>0</v>
      </c>
      <c r="BC73" s="52"/>
      <c r="BD73" s="52">
        <f t="shared" ref="BD73:BD104" si="49">AY73+BA73</f>
        <v>0</v>
      </c>
      <c r="BE73" s="57"/>
      <c r="BF73" s="57"/>
      <c r="BG73" s="57"/>
      <c r="BH73" s="57"/>
      <c r="BI73" s="52">
        <f t="shared" si="31"/>
        <v>0</v>
      </c>
      <c r="BJ73" s="52"/>
      <c r="BK73" s="52">
        <f t="shared" ref="BK73:BK108" si="50">BF73+BH73</f>
        <v>0</v>
      </c>
      <c r="BL73" s="57"/>
      <c r="BM73" s="57"/>
      <c r="BN73" s="57"/>
      <c r="BO73" s="57"/>
      <c r="BP73" s="52">
        <f t="shared" si="32"/>
        <v>0</v>
      </c>
      <c r="BQ73" s="52"/>
      <c r="BR73" s="52">
        <f t="shared" ref="BR73:BR104" si="51">BM73+BO73</f>
        <v>0</v>
      </c>
      <c r="BS73" s="57"/>
      <c r="BT73" s="57"/>
      <c r="BU73" s="57"/>
      <c r="BV73" s="57"/>
      <c r="BW73" s="52">
        <f t="shared" si="33"/>
        <v>0</v>
      </c>
      <c r="BX73" s="52"/>
      <c r="BY73" s="52">
        <f t="shared" ref="BY73:BY104" si="52">BT73+BV73</f>
        <v>0</v>
      </c>
      <c r="BZ73" s="57"/>
      <c r="CA73" s="57"/>
      <c r="CB73" s="57"/>
      <c r="CC73" s="57"/>
      <c r="CD73" s="52">
        <f t="shared" si="34"/>
        <v>0</v>
      </c>
      <c r="CE73" s="52">
        <f t="shared" si="34"/>
        <v>0</v>
      </c>
      <c r="CF73" s="57"/>
      <c r="CG73" s="57"/>
      <c r="CH73" s="57"/>
      <c r="CI73" s="57"/>
      <c r="CJ73" s="52">
        <f t="shared" si="35"/>
        <v>0</v>
      </c>
      <c r="CK73" s="52">
        <f t="shared" si="35"/>
        <v>0</v>
      </c>
      <c r="CL73" s="57"/>
      <c r="CM73" s="57"/>
      <c r="CN73" s="57"/>
      <c r="CO73" s="57"/>
      <c r="CP73" s="52">
        <f t="shared" si="36"/>
        <v>0</v>
      </c>
      <c r="CQ73" s="52">
        <f t="shared" si="36"/>
        <v>0</v>
      </c>
      <c r="CR73" s="57"/>
      <c r="CS73" s="57"/>
      <c r="CT73" s="57"/>
      <c r="CU73" s="57"/>
      <c r="CV73" s="52">
        <f t="shared" si="37"/>
        <v>0</v>
      </c>
      <c r="CW73" s="52">
        <f t="shared" si="37"/>
        <v>0</v>
      </c>
      <c r="CX73" s="57"/>
      <c r="CY73" s="57"/>
      <c r="CZ73" s="57"/>
      <c r="DA73" s="57"/>
      <c r="DB73" s="52">
        <f t="shared" si="38"/>
        <v>0</v>
      </c>
      <c r="DC73" s="52">
        <f t="shared" si="38"/>
        <v>0</v>
      </c>
      <c r="DD73" s="57"/>
      <c r="DE73" s="57"/>
      <c r="DF73" s="57"/>
      <c r="DG73" s="57"/>
      <c r="DH73" s="52">
        <f t="shared" si="39"/>
        <v>0</v>
      </c>
      <c r="DI73" s="52">
        <f t="shared" si="39"/>
        <v>0</v>
      </c>
      <c r="DJ73" s="52">
        <f t="shared" ref="DJ73:DJ108" si="53">AL73+AR73+AX73+BE73+BL73+BS73+BZ73+CF73+CL73+CR73+CX73+DD73</f>
        <v>0</v>
      </c>
      <c r="DK73" s="52">
        <f t="shared" ref="DK73:DK108" si="54">AM73+AS73+AY73+BF73+BM73+BT73+CA73+CG73+CM73+CS73+CY73+DE73</f>
        <v>0</v>
      </c>
      <c r="DL73" s="52">
        <f t="shared" si="40"/>
        <v>0</v>
      </c>
      <c r="DM73" s="52">
        <f t="shared" ref="DM73:DM119" si="55">AO73+AU73+BA73+BH73+BO73+BV73+CC73+CI73+CO73+CU73+DA73+DG73</f>
        <v>0</v>
      </c>
      <c r="DN73" s="52">
        <f t="shared" si="41"/>
        <v>0</v>
      </c>
      <c r="DO73" s="52">
        <f t="shared" si="41"/>
        <v>0</v>
      </c>
    </row>
    <row r="74" spans="1:119">
      <c r="A74" s="224">
        <v>66</v>
      </c>
      <c r="B74" s="26" t="s">
        <v>195</v>
      </c>
      <c r="C74" s="53" t="s">
        <v>273</v>
      </c>
      <c r="D74" s="227" t="s">
        <v>274</v>
      </c>
      <c r="E74" s="191" t="s">
        <v>1165</v>
      </c>
      <c r="F74" s="161">
        <f t="shared" ref="F74:F121" si="56">SUM(DN74)</f>
        <v>22868</v>
      </c>
      <c r="G74" s="165">
        <f t="shared" ref="G74:G121" si="57">I74+AK74+DN74</f>
        <v>32868</v>
      </c>
      <c r="H74" s="54">
        <v>40000</v>
      </c>
      <c r="I74" s="219">
        <v>0</v>
      </c>
      <c r="J74" s="219">
        <v>0</v>
      </c>
      <c r="K74" s="127">
        <f t="shared" ref="K74:K121" si="58">AK74</f>
        <v>10000</v>
      </c>
      <c r="L74" s="127">
        <f t="shared" ref="L74:L121" si="59">IF(AI74&gt;0,I74+AK74-J74,0)</f>
        <v>0</v>
      </c>
      <c r="M74" s="127">
        <f t="shared" ref="M74:M121" si="60">I74+K74</f>
        <v>10000</v>
      </c>
      <c r="N74" s="127">
        <f t="shared" ref="N74:N137" si="61">G74-M74</f>
        <v>22868</v>
      </c>
      <c r="O74" s="125">
        <f t="shared" ref="O74:O121" si="62">IF(AND(AI74&gt;0,DM74&gt;0),"შეცდომაა! ერთზე მეტი ბოლო ჩაბარება!",IF(OR(AI74&gt;0,DM74&gt;0,),IF(AI74&gt;0,I74+AK74,I74+AK74+DO74),IF(AND(I74=0,K74=0,DO74=0),"ნულოვანი შესრულება","მიმდინარეობს")))</f>
        <v>36863.119999999995</v>
      </c>
      <c r="P74" s="52">
        <v>10000</v>
      </c>
      <c r="Q74" s="52"/>
      <c r="R74" s="52">
        <f t="shared" ref="R74:R121" si="63">I74+P74</f>
        <v>10000</v>
      </c>
      <c r="S74" s="52">
        <f t="shared" ref="S74:S121" si="64">Q74</f>
        <v>0</v>
      </c>
      <c r="T74" s="52">
        <v>30000</v>
      </c>
      <c r="U74" s="52"/>
      <c r="V74" s="52"/>
      <c r="W74" s="52"/>
      <c r="X74" s="52">
        <f t="shared" ref="X74:Y124" si="65">T74+V74</f>
        <v>30000</v>
      </c>
      <c r="Y74" s="52">
        <f t="shared" si="65"/>
        <v>0</v>
      </c>
      <c r="Z74" s="52"/>
      <c r="AA74" s="52"/>
      <c r="AB74" s="52"/>
      <c r="AC74" s="52"/>
      <c r="AD74" s="52">
        <f t="shared" ref="AD74:AE124" si="66">Z74+AB74</f>
        <v>0</v>
      </c>
      <c r="AE74" s="52">
        <f t="shared" si="66"/>
        <v>0</v>
      </c>
      <c r="AF74" s="52">
        <f t="shared" ref="AF74:AF124" si="67">P74+T74+Z74</f>
        <v>40000</v>
      </c>
      <c r="AG74" s="52">
        <f t="shared" ref="AG74:AH124" si="68">P74+U74+AA74</f>
        <v>10000</v>
      </c>
      <c r="AH74" s="52">
        <f t="shared" si="68"/>
        <v>0</v>
      </c>
      <c r="AI74" s="52">
        <f t="shared" ref="AI74:AI124" si="69">Q74+W74+AC74</f>
        <v>0</v>
      </c>
      <c r="AJ74" s="52">
        <f t="shared" ref="AJ74:AK124" si="70">AF74+AH74</f>
        <v>40000</v>
      </c>
      <c r="AK74" s="52">
        <f t="shared" si="70"/>
        <v>10000</v>
      </c>
      <c r="AL74" s="52"/>
      <c r="AM74" s="52"/>
      <c r="AN74" s="52"/>
      <c r="AO74" s="52"/>
      <c r="AP74" s="52">
        <f t="shared" ref="AP74:AQ124" si="71">AL74+AN74</f>
        <v>0</v>
      </c>
      <c r="AQ74" s="52">
        <f t="shared" si="71"/>
        <v>0</v>
      </c>
      <c r="AR74" s="52"/>
      <c r="AS74" s="52"/>
      <c r="AT74" s="52"/>
      <c r="AU74" s="52"/>
      <c r="AV74" s="52">
        <f t="shared" ref="AV74:AW124" si="72">AR74+AT74</f>
        <v>0</v>
      </c>
      <c r="AW74" s="52">
        <f t="shared" si="72"/>
        <v>0</v>
      </c>
      <c r="AX74" s="52"/>
      <c r="AY74" s="52"/>
      <c r="AZ74" s="52"/>
      <c r="BA74" s="52"/>
      <c r="BB74" s="52">
        <f t="shared" ref="BB74:BB124" si="73">AX74+AZ74</f>
        <v>0</v>
      </c>
      <c r="BC74" s="52"/>
      <c r="BD74" s="52">
        <f t="shared" si="49"/>
        <v>0</v>
      </c>
      <c r="BE74" s="52"/>
      <c r="BF74" s="52"/>
      <c r="BG74" s="52"/>
      <c r="BH74" s="52">
        <v>26863.119999999999</v>
      </c>
      <c r="BI74" s="52">
        <f t="shared" ref="BI74:BI124" si="74">BE74+BG74</f>
        <v>0</v>
      </c>
      <c r="BJ74" s="52">
        <v>22868</v>
      </c>
      <c r="BK74" s="52">
        <f t="shared" si="50"/>
        <v>26863.119999999999</v>
      </c>
      <c r="BL74" s="52"/>
      <c r="BM74" s="52"/>
      <c r="BN74" s="52"/>
      <c r="BO74" s="52"/>
      <c r="BP74" s="52">
        <f t="shared" ref="BP74:BP124" si="75">BL74+BN74</f>
        <v>0</v>
      </c>
      <c r="BQ74" s="52"/>
      <c r="BR74" s="52">
        <f t="shared" si="51"/>
        <v>0</v>
      </c>
      <c r="BS74" s="52"/>
      <c r="BT74" s="52"/>
      <c r="BU74" s="52"/>
      <c r="BV74" s="52"/>
      <c r="BW74" s="52">
        <f t="shared" ref="BW74:BW124" si="76">BS74+BU74</f>
        <v>0</v>
      </c>
      <c r="BX74" s="52"/>
      <c r="BY74" s="52">
        <f t="shared" si="52"/>
        <v>0</v>
      </c>
      <c r="BZ74" s="52"/>
      <c r="CA74" s="52"/>
      <c r="CB74" s="52"/>
      <c r="CC74" s="52"/>
      <c r="CD74" s="52">
        <f t="shared" ref="CD74:CE124" si="77">BZ74+CB74</f>
        <v>0</v>
      </c>
      <c r="CE74" s="52">
        <f t="shared" si="77"/>
        <v>0</v>
      </c>
      <c r="CF74" s="52"/>
      <c r="CG74" s="52"/>
      <c r="CH74" s="52"/>
      <c r="CI74" s="52"/>
      <c r="CJ74" s="52">
        <f t="shared" ref="CJ74:CK124" si="78">CF74+CH74</f>
        <v>0</v>
      </c>
      <c r="CK74" s="52">
        <f t="shared" si="78"/>
        <v>0</v>
      </c>
      <c r="CL74" s="52"/>
      <c r="CM74" s="52"/>
      <c r="CN74" s="52"/>
      <c r="CO74" s="52"/>
      <c r="CP74" s="52">
        <f t="shared" ref="CP74:CQ124" si="79">CL74+CN74</f>
        <v>0</v>
      </c>
      <c r="CQ74" s="52">
        <f t="shared" si="79"/>
        <v>0</v>
      </c>
      <c r="CR74" s="52"/>
      <c r="CS74" s="52"/>
      <c r="CT74" s="52"/>
      <c r="CU74" s="52"/>
      <c r="CV74" s="52">
        <f t="shared" ref="CV74:CW124" si="80">CR74+CT74</f>
        <v>0</v>
      </c>
      <c r="CW74" s="52">
        <f t="shared" si="80"/>
        <v>0</v>
      </c>
      <c r="CX74" s="52"/>
      <c r="CY74" s="52"/>
      <c r="CZ74" s="52"/>
      <c r="DA74" s="52"/>
      <c r="DB74" s="52">
        <f t="shared" ref="DB74:DC124" si="81">CX74+CZ74</f>
        <v>0</v>
      </c>
      <c r="DC74" s="52">
        <f t="shared" si="81"/>
        <v>0</v>
      </c>
      <c r="DD74" s="52"/>
      <c r="DE74" s="52"/>
      <c r="DF74" s="52"/>
      <c r="DG74" s="52"/>
      <c r="DH74" s="52">
        <f t="shared" ref="DH74:DI124" si="82">DD74+DF74</f>
        <v>0</v>
      </c>
      <c r="DI74" s="52">
        <f t="shared" si="82"/>
        <v>0</v>
      </c>
      <c r="DJ74" s="52">
        <f t="shared" si="53"/>
        <v>0</v>
      </c>
      <c r="DK74" s="52">
        <f t="shared" si="54"/>
        <v>0</v>
      </c>
      <c r="DL74" s="52">
        <f t="shared" ref="DL74:DL137" si="83">AN74+AT74+BC74+BJ74+BQ74+BX74+CB74+CH74+CN74+CT74+CZ74+DF74</f>
        <v>22868</v>
      </c>
      <c r="DM74" s="52">
        <f t="shared" si="55"/>
        <v>26863.119999999999</v>
      </c>
      <c r="DN74" s="52">
        <f t="shared" ref="DN74:DO124" si="84">DJ74+DL74</f>
        <v>22868</v>
      </c>
      <c r="DO74" s="52">
        <f t="shared" si="84"/>
        <v>26863.119999999999</v>
      </c>
    </row>
    <row r="75" spans="1:119">
      <c r="A75" s="224">
        <v>67</v>
      </c>
      <c r="B75" s="26" t="s">
        <v>202</v>
      </c>
      <c r="C75" s="53" t="s">
        <v>263</v>
      </c>
      <c r="D75" s="227" t="s">
        <v>275</v>
      </c>
      <c r="E75" s="191" t="s">
        <v>1164</v>
      </c>
      <c r="F75" s="161">
        <f t="shared" si="56"/>
        <v>0</v>
      </c>
      <c r="G75" s="165">
        <f t="shared" si="57"/>
        <v>945</v>
      </c>
      <c r="H75" s="54"/>
      <c r="I75" s="219">
        <v>0</v>
      </c>
      <c r="J75" s="219">
        <v>0</v>
      </c>
      <c r="K75" s="127">
        <f t="shared" si="58"/>
        <v>945</v>
      </c>
      <c r="L75" s="127">
        <f t="shared" si="59"/>
        <v>945</v>
      </c>
      <c r="M75" s="127">
        <f t="shared" si="60"/>
        <v>945</v>
      </c>
      <c r="N75" s="127">
        <f t="shared" si="61"/>
        <v>0</v>
      </c>
      <c r="O75" s="125">
        <f t="shared" si="62"/>
        <v>945</v>
      </c>
      <c r="P75" s="52"/>
      <c r="Q75" s="52">
        <v>945</v>
      </c>
      <c r="R75" s="52">
        <f t="shared" si="63"/>
        <v>0</v>
      </c>
      <c r="S75" s="52">
        <f t="shared" si="64"/>
        <v>945</v>
      </c>
      <c r="T75" s="52"/>
      <c r="U75" s="52"/>
      <c r="V75" s="52"/>
      <c r="W75" s="52"/>
      <c r="X75" s="52">
        <f t="shared" si="65"/>
        <v>0</v>
      </c>
      <c r="Y75" s="52">
        <f t="shared" si="65"/>
        <v>0</v>
      </c>
      <c r="Z75" s="52"/>
      <c r="AA75" s="52"/>
      <c r="AB75" s="52"/>
      <c r="AC75" s="52"/>
      <c r="AD75" s="52">
        <f t="shared" si="66"/>
        <v>0</v>
      </c>
      <c r="AE75" s="52">
        <f t="shared" si="66"/>
        <v>0</v>
      </c>
      <c r="AF75" s="52">
        <f t="shared" si="67"/>
        <v>0</v>
      </c>
      <c r="AG75" s="52">
        <f t="shared" si="68"/>
        <v>0</v>
      </c>
      <c r="AH75" s="52">
        <f t="shared" si="68"/>
        <v>945</v>
      </c>
      <c r="AI75" s="52">
        <f t="shared" si="69"/>
        <v>945</v>
      </c>
      <c r="AJ75" s="52">
        <f t="shared" si="70"/>
        <v>945</v>
      </c>
      <c r="AK75" s="52">
        <f t="shared" si="70"/>
        <v>945</v>
      </c>
      <c r="AL75" s="52"/>
      <c r="AM75" s="52"/>
      <c r="AN75" s="52"/>
      <c r="AO75" s="52"/>
      <c r="AP75" s="52">
        <f t="shared" si="71"/>
        <v>0</v>
      </c>
      <c r="AQ75" s="52">
        <f t="shared" si="71"/>
        <v>0</v>
      </c>
      <c r="AR75" s="52"/>
      <c r="AS75" s="52"/>
      <c r="AT75" s="52"/>
      <c r="AU75" s="52"/>
      <c r="AV75" s="52">
        <f t="shared" si="72"/>
        <v>0</v>
      </c>
      <c r="AW75" s="52">
        <f t="shared" si="72"/>
        <v>0</v>
      </c>
      <c r="AX75" s="52"/>
      <c r="AY75" s="52"/>
      <c r="AZ75" s="52"/>
      <c r="BA75" s="52"/>
      <c r="BB75" s="52">
        <f t="shared" si="73"/>
        <v>0</v>
      </c>
      <c r="BC75" s="52"/>
      <c r="BD75" s="52">
        <f t="shared" si="49"/>
        <v>0</v>
      </c>
      <c r="BE75" s="52"/>
      <c r="BF75" s="52"/>
      <c r="BG75" s="52"/>
      <c r="BH75" s="52"/>
      <c r="BI75" s="52">
        <f t="shared" si="74"/>
        <v>0</v>
      </c>
      <c r="BJ75" s="52"/>
      <c r="BK75" s="52">
        <f t="shared" si="50"/>
        <v>0</v>
      </c>
      <c r="BL75" s="52"/>
      <c r="BM75" s="52"/>
      <c r="BN75" s="52"/>
      <c r="BO75" s="52"/>
      <c r="BP75" s="52">
        <f t="shared" si="75"/>
        <v>0</v>
      </c>
      <c r="BQ75" s="52"/>
      <c r="BR75" s="52">
        <f t="shared" si="51"/>
        <v>0</v>
      </c>
      <c r="BS75" s="52"/>
      <c r="BT75" s="52"/>
      <c r="BU75" s="52"/>
      <c r="BV75" s="52"/>
      <c r="BW75" s="52">
        <f t="shared" si="76"/>
        <v>0</v>
      </c>
      <c r="BX75" s="52"/>
      <c r="BY75" s="52">
        <f t="shared" si="52"/>
        <v>0</v>
      </c>
      <c r="BZ75" s="52"/>
      <c r="CA75" s="52"/>
      <c r="CB75" s="52"/>
      <c r="CC75" s="52"/>
      <c r="CD75" s="52">
        <f t="shared" si="77"/>
        <v>0</v>
      </c>
      <c r="CE75" s="52">
        <f t="shared" si="77"/>
        <v>0</v>
      </c>
      <c r="CF75" s="52"/>
      <c r="CG75" s="52"/>
      <c r="CH75" s="52"/>
      <c r="CI75" s="52"/>
      <c r="CJ75" s="52">
        <f t="shared" si="78"/>
        <v>0</v>
      </c>
      <c r="CK75" s="52">
        <f t="shared" si="78"/>
        <v>0</v>
      </c>
      <c r="CL75" s="52"/>
      <c r="CM75" s="52"/>
      <c r="CN75" s="52"/>
      <c r="CO75" s="52"/>
      <c r="CP75" s="52">
        <f t="shared" si="79"/>
        <v>0</v>
      </c>
      <c r="CQ75" s="52">
        <f t="shared" si="79"/>
        <v>0</v>
      </c>
      <c r="CR75" s="52"/>
      <c r="CS75" s="52"/>
      <c r="CT75" s="52"/>
      <c r="CU75" s="52"/>
      <c r="CV75" s="52">
        <f t="shared" si="80"/>
        <v>0</v>
      </c>
      <c r="CW75" s="52">
        <f t="shared" si="80"/>
        <v>0</v>
      </c>
      <c r="CX75" s="52"/>
      <c r="CY75" s="52"/>
      <c r="CZ75" s="52"/>
      <c r="DA75" s="52"/>
      <c r="DB75" s="52">
        <f t="shared" si="81"/>
        <v>0</v>
      </c>
      <c r="DC75" s="52">
        <f t="shared" si="81"/>
        <v>0</v>
      </c>
      <c r="DD75" s="52"/>
      <c r="DE75" s="52"/>
      <c r="DF75" s="52"/>
      <c r="DG75" s="52"/>
      <c r="DH75" s="52">
        <f t="shared" si="82"/>
        <v>0</v>
      </c>
      <c r="DI75" s="52">
        <f t="shared" si="82"/>
        <v>0</v>
      </c>
      <c r="DJ75" s="52">
        <f t="shared" si="53"/>
        <v>0</v>
      </c>
      <c r="DK75" s="52">
        <f t="shared" si="54"/>
        <v>0</v>
      </c>
      <c r="DL75" s="52">
        <f t="shared" si="83"/>
        <v>0</v>
      </c>
      <c r="DM75" s="52">
        <f t="shared" si="55"/>
        <v>0</v>
      </c>
      <c r="DN75" s="52">
        <f t="shared" si="84"/>
        <v>0</v>
      </c>
      <c r="DO75" s="52">
        <f t="shared" si="84"/>
        <v>0</v>
      </c>
    </row>
    <row r="76" spans="1:119" s="278" customFormat="1">
      <c r="A76" s="297">
        <v>68</v>
      </c>
      <c r="B76" s="276" t="s">
        <v>202</v>
      </c>
      <c r="C76" s="298" t="s">
        <v>276</v>
      </c>
      <c r="D76" s="299" t="s">
        <v>277</v>
      </c>
      <c r="E76" s="298" t="s">
        <v>1165</v>
      </c>
      <c r="F76" s="255">
        <f t="shared" si="56"/>
        <v>0</v>
      </c>
      <c r="G76" s="256">
        <f t="shared" si="57"/>
        <v>0</v>
      </c>
      <c r="H76" s="54">
        <v>35000</v>
      </c>
      <c r="I76" s="219">
        <v>0</v>
      </c>
      <c r="J76" s="219">
        <v>0</v>
      </c>
      <c r="K76" s="255">
        <f t="shared" si="58"/>
        <v>0</v>
      </c>
      <c r="L76" s="255">
        <f t="shared" si="59"/>
        <v>0</v>
      </c>
      <c r="M76" s="255">
        <f t="shared" si="60"/>
        <v>0</v>
      </c>
      <c r="N76" s="255">
        <f t="shared" si="61"/>
        <v>0</v>
      </c>
      <c r="O76" s="255" t="str">
        <f t="shared" si="62"/>
        <v>ნულოვანი შესრულება</v>
      </c>
      <c r="P76" s="52"/>
      <c r="Q76" s="52"/>
      <c r="R76" s="52">
        <f t="shared" si="63"/>
        <v>0</v>
      </c>
      <c r="S76" s="52">
        <f t="shared" si="64"/>
        <v>0</v>
      </c>
      <c r="T76" s="52"/>
      <c r="U76" s="52"/>
      <c r="V76" s="52"/>
      <c r="W76" s="52"/>
      <c r="X76" s="52">
        <f t="shared" si="65"/>
        <v>0</v>
      </c>
      <c r="Y76" s="52">
        <f t="shared" si="65"/>
        <v>0</v>
      </c>
      <c r="Z76" s="52"/>
      <c r="AA76" s="52"/>
      <c r="AB76" s="52"/>
      <c r="AC76" s="52"/>
      <c r="AD76" s="52">
        <f t="shared" si="66"/>
        <v>0</v>
      </c>
      <c r="AE76" s="52">
        <f t="shared" si="66"/>
        <v>0</v>
      </c>
      <c r="AF76" s="52">
        <f t="shared" si="67"/>
        <v>0</v>
      </c>
      <c r="AG76" s="52">
        <f t="shared" si="68"/>
        <v>0</v>
      </c>
      <c r="AH76" s="52">
        <f t="shared" si="68"/>
        <v>0</v>
      </c>
      <c r="AI76" s="52">
        <f t="shared" si="69"/>
        <v>0</v>
      </c>
      <c r="AJ76" s="52">
        <f t="shared" si="70"/>
        <v>0</v>
      </c>
      <c r="AK76" s="52">
        <f t="shared" si="70"/>
        <v>0</v>
      </c>
      <c r="AL76" s="258"/>
      <c r="AM76" s="258"/>
      <c r="AN76" s="258"/>
      <c r="AO76" s="258"/>
      <c r="AP76" s="258">
        <f t="shared" si="71"/>
        <v>0</v>
      </c>
      <c r="AQ76" s="258">
        <f t="shared" si="71"/>
        <v>0</v>
      </c>
      <c r="AR76" s="258"/>
      <c r="AS76" s="258"/>
      <c r="AT76" s="258"/>
      <c r="AU76" s="258"/>
      <c r="AV76" s="258">
        <f t="shared" si="72"/>
        <v>0</v>
      </c>
      <c r="AW76" s="258">
        <f t="shared" si="72"/>
        <v>0</v>
      </c>
      <c r="AX76" s="258"/>
      <c r="AY76" s="258"/>
      <c r="AZ76" s="258"/>
      <c r="BA76" s="258"/>
      <c r="BB76" s="258">
        <f t="shared" si="73"/>
        <v>0</v>
      </c>
      <c r="BC76" s="258"/>
      <c r="BD76" s="258">
        <f t="shared" si="49"/>
        <v>0</v>
      </c>
      <c r="BE76" s="258"/>
      <c r="BF76" s="258"/>
      <c r="BG76" s="258"/>
      <c r="BH76" s="258"/>
      <c r="BI76" s="258">
        <f t="shared" si="74"/>
        <v>0</v>
      </c>
      <c r="BJ76" s="258"/>
      <c r="BK76" s="258">
        <f t="shared" si="50"/>
        <v>0</v>
      </c>
      <c r="BL76" s="258"/>
      <c r="BM76" s="258"/>
      <c r="BN76" s="258"/>
      <c r="BO76" s="258"/>
      <c r="BP76" s="258">
        <f t="shared" si="75"/>
        <v>0</v>
      </c>
      <c r="BQ76" s="258"/>
      <c r="BR76" s="258">
        <f t="shared" si="51"/>
        <v>0</v>
      </c>
      <c r="BS76" s="258"/>
      <c r="BT76" s="258"/>
      <c r="BU76" s="258"/>
      <c r="BV76" s="258"/>
      <c r="BW76" s="258">
        <f t="shared" si="76"/>
        <v>0</v>
      </c>
      <c r="BX76" s="258"/>
      <c r="BY76" s="258">
        <f t="shared" si="52"/>
        <v>0</v>
      </c>
      <c r="BZ76" s="258"/>
      <c r="CA76" s="258"/>
      <c r="CB76" s="258"/>
      <c r="CC76" s="258"/>
      <c r="CD76" s="258">
        <f t="shared" si="77"/>
        <v>0</v>
      </c>
      <c r="CE76" s="258">
        <f t="shared" si="77"/>
        <v>0</v>
      </c>
      <c r="CF76" s="258"/>
      <c r="CG76" s="258"/>
      <c r="CH76" s="258"/>
      <c r="CI76" s="258"/>
      <c r="CJ76" s="258">
        <f t="shared" si="78"/>
        <v>0</v>
      </c>
      <c r="CK76" s="258">
        <f t="shared" si="78"/>
        <v>0</v>
      </c>
      <c r="CL76" s="258"/>
      <c r="CM76" s="258"/>
      <c r="CN76" s="258"/>
      <c r="CO76" s="258"/>
      <c r="CP76" s="258">
        <f t="shared" si="79"/>
        <v>0</v>
      </c>
      <c r="CQ76" s="258">
        <f t="shared" si="79"/>
        <v>0</v>
      </c>
      <c r="CR76" s="258"/>
      <c r="CS76" s="258"/>
      <c r="CT76" s="258"/>
      <c r="CU76" s="258"/>
      <c r="CV76" s="258">
        <f t="shared" si="80"/>
        <v>0</v>
      </c>
      <c r="CW76" s="258">
        <f t="shared" si="80"/>
        <v>0</v>
      </c>
      <c r="CX76" s="258"/>
      <c r="CY76" s="258"/>
      <c r="CZ76" s="258"/>
      <c r="DA76" s="258"/>
      <c r="DB76" s="258">
        <f t="shared" si="81"/>
        <v>0</v>
      </c>
      <c r="DC76" s="258">
        <f t="shared" si="81"/>
        <v>0</v>
      </c>
      <c r="DD76" s="258"/>
      <c r="DE76" s="258"/>
      <c r="DF76" s="258"/>
      <c r="DG76" s="258"/>
      <c r="DH76" s="258">
        <f t="shared" si="82"/>
        <v>0</v>
      </c>
      <c r="DI76" s="258">
        <f t="shared" si="82"/>
        <v>0</v>
      </c>
      <c r="DJ76" s="258">
        <f t="shared" si="53"/>
        <v>0</v>
      </c>
      <c r="DK76" s="258">
        <f t="shared" si="54"/>
        <v>0</v>
      </c>
      <c r="DL76" s="52">
        <f t="shared" si="83"/>
        <v>0</v>
      </c>
      <c r="DM76" s="258">
        <f t="shared" si="55"/>
        <v>0</v>
      </c>
      <c r="DN76" s="258">
        <f t="shared" si="84"/>
        <v>0</v>
      </c>
      <c r="DO76" s="258">
        <f t="shared" si="84"/>
        <v>0</v>
      </c>
    </row>
    <row r="77" spans="1:119">
      <c r="A77" s="224">
        <v>69</v>
      </c>
      <c r="B77" s="26" t="s">
        <v>195</v>
      </c>
      <c r="C77" s="53" t="s">
        <v>273</v>
      </c>
      <c r="D77" s="227" t="s">
        <v>278</v>
      </c>
      <c r="E77" s="191" t="s">
        <v>1164</v>
      </c>
      <c r="F77" s="161">
        <f t="shared" si="56"/>
        <v>0</v>
      </c>
      <c r="G77" s="165">
        <f t="shared" si="57"/>
        <v>985.25</v>
      </c>
      <c r="H77" s="54"/>
      <c r="I77" s="219">
        <v>0</v>
      </c>
      <c r="J77" s="219">
        <v>0</v>
      </c>
      <c r="K77" s="127">
        <f t="shared" si="58"/>
        <v>985.25</v>
      </c>
      <c r="L77" s="127">
        <f t="shared" si="59"/>
        <v>985.25</v>
      </c>
      <c r="M77" s="127">
        <f t="shared" si="60"/>
        <v>985.25</v>
      </c>
      <c r="N77" s="127">
        <f t="shared" si="61"/>
        <v>0</v>
      </c>
      <c r="O77" s="125">
        <f t="shared" si="62"/>
        <v>985.25</v>
      </c>
      <c r="P77" s="52"/>
      <c r="Q77" s="52">
        <v>985.25</v>
      </c>
      <c r="R77" s="52">
        <f t="shared" si="63"/>
        <v>0</v>
      </c>
      <c r="S77" s="52">
        <f t="shared" si="64"/>
        <v>985.25</v>
      </c>
      <c r="T77" s="52"/>
      <c r="U77" s="52"/>
      <c r="V77" s="52"/>
      <c r="W77" s="52"/>
      <c r="X77" s="52">
        <f t="shared" si="65"/>
        <v>0</v>
      </c>
      <c r="Y77" s="52">
        <f t="shared" si="65"/>
        <v>0</v>
      </c>
      <c r="Z77" s="52"/>
      <c r="AA77" s="52"/>
      <c r="AB77" s="52"/>
      <c r="AC77" s="52"/>
      <c r="AD77" s="52">
        <f t="shared" si="66"/>
        <v>0</v>
      </c>
      <c r="AE77" s="52">
        <f t="shared" si="66"/>
        <v>0</v>
      </c>
      <c r="AF77" s="52">
        <f t="shared" si="67"/>
        <v>0</v>
      </c>
      <c r="AG77" s="52">
        <f t="shared" si="68"/>
        <v>0</v>
      </c>
      <c r="AH77" s="52">
        <f t="shared" si="68"/>
        <v>985.25</v>
      </c>
      <c r="AI77" s="52">
        <f t="shared" si="69"/>
        <v>985.25</v>
      </c>
      <c r="AJ77" s="52">
        <f t="shared" si="70"/>
        <v>985.25</v>
      </c>
      <c r="AK77" s="52">
        <f t="shared" si="70"/>
        <v>985.25</v>
      </c>
      <c r="AL77" s="52"/>
      <c r="AM77" s="52"/>
      <c r="AN77" s="52"/>
      <c r="AO77" s="52"/>
      <c r="AP77" s="52">
        <f t="shared" si="71"/>
        <v>0</v>
      </c>
      <c r="AQ77" s="52">
        <f t="shared" si="71"/>
        <v>0</v>
      </c>
      <c r="AR77" s="52"/>
      <c r="AS77" s="52"/>
      <c r="AT77" s="52"/>
      <c r="AU77" s="52"/>
      <c r="AV77" s="52">
        <f t="shared" si="72"/>
        <v>0</v>
      </c>
      <c r="AW77" s="52">
        <f t="shared" si="72"/>
        <v>0</v>
      </c>
      <c r="AX77" s="52"/>
      <c r="AY77" s="52"/>
      <c r="AZ77" s="52"/>
      <c r="BA77" s="52"/>
      <c r="BB77" s="52">
        <f t="shared" si="73"/>
        <v>0</v>
      </c>
      <c r="BC77" s="52"/>
      <c r="BD77" s="52">
        <f t="shared" si="49"/>
        <v>0</v>
      </c>
      <c r="BE77" s="52"/>
      <c r="BF77" s="52"/>
      <c r="BG77" s="52"/>
      <c r="BH77" s="52"/>
      <c r="BI77" s="52">
        <f t="shared" si="74"/>
        <v>0</v>
      </c>
      <c r="BJ77" s="52"/>
      <c r="BK77" s="52">
        <f t="shared" si="50"/>
        <v>0</v>
      </c>
      <c r="BL77" s="52"/>
      <c r="BM77" s="52"/>
      <c r="BN77" s="52"/>
      <c r="BO77" s="52"/>
      <c r="BP77" s="52">
        <f t="shared" si="75"/>
        <v>0</v>
      </c>
      <c r="BQ77" s="52"/>
      <c r="BR77" s="52">
        <f t="shared" si="51"/>
        <v>0</v>
      </c>
      <c r="BS77" s="52"/>
      <c r="BT77" s="52"/>
      <c r="BU77" s="52"/>
      <c r="BV77" s="52"/>
      <c r="BW77" s="52">
        <f t="shared" si="76"/>
        <v>0</v>
      </c>
      <c r="BX77" s="52"/>
      <c r="BY77" s="52">
        <f t="shared" si="52"/>
        <v>0</v>
      </c>
      <c r="BZ77" s="52"/>
      <c r="CA77" s="52"/>
      <c r="CB77" s="52"/>
      <c r="CC77" s="52"/>
      <c r="CD77" s="52">
        <f t="shared" si="77"/>
        <v>0</v>
      </c>
      <c r="CE77" s="52">
        <f t="shared" si="77"/>
        <v>0</v>
      </c>
      <c r="CF77" s="52"/>
      <c r="CG77" s="52"/>
      <c r="CH77" s="52"/>
      <c r="CI77" s="52"/>
      <c r="CJ77" s="52">
        <f t="shared" si="78"/>
        <v>0</v>
      </c>
      <c r="CK77" s="52">
        <f t="shared" si="78"/>
        <v>0</v>
      </c>
      <c r="CL77" s="52"/>
      <c r="CM77" s="52"/>
      <c r="CN77" s="52"/>
      <c r="CO77" s="52"/>
      <c r="CP77" s="52">
        <f t="shared" si="79"/>
        <v>0</v>
      </c>
      <c r="CQ77" s="52">
        <f t="shared" si="79"/>
        <v>0</v>
      </c>
      <c r="CR77" s="52"/>
      <c r="CS77" s="52"/>
      <c r="CT77" s="52"/>
      <c r="CU77" s="52"/>
      <c r="CV77" s="52">
        <f t="shared" si="80"/>
        <v>0</v>
      </c>
      <c r="CW77" s="52">
        <f t="shared" si="80"/>
        <v>0</v>
      </c>
      <c r="CX77" s="52"/>
      <c r="CY77" s="52"/>
      <c r="CZ77" s="52"/>
      <c r="DA77" s="52"/>
      <c r="DB77" s="52">
        <f t="shared" si="81"/>
        <v>0</v>
      </c>
      <c r="DC77" s="52">
        <f t="shared" si="81"/>
        <v>0</v>
      </c>
      <c r="DD77" s="52"/>
      <c r="DE77" s="52"/>
      <c r="DF77" s="52"/>
      <c r="DG77" s="52"/>
      <c r="DH77" s="52">
        <f t="shared" si="82"/>
        <v>0</v>
      </c>
      <c r="DI77" s="52">
        <f t="shared" si="82"/>
        <v>0</v>
      </c>
      <c r="DJ77" s="52">
        <f t="shared" si="53"/>
        <v>0</v>
      </c>
      <c r="DK77" s="52">
        <f t="shared" si="54"/>
        <v>0</v>
      </c>
      <c r="DL77" s="52">
        <f t="shared" si="83"/>
        <v>0</v>
      </c>
      <c r="DM77" s="52">
        <f t="shared" si="55"/>
        <v>0</v>
      </c>
      <c r="DN77" s="52">
        <f t="shared" si="84"/>
        <v>0</v>
      </c>
      <c r="DO77" s="52">
        <f t="shared" si="84"/>
        <v>0</v>
      </c>
    </row>
    <row r="78" spans="1:119" s="278" customFormat="1">
      <c r="A78" s="297">
        <v>70</v>
      </c>
      <c r="B78" s="276" t="s">
        <v>195</v>
      </c>
      <c r="C78" s="298" t="s">
        <v>279</v>
      </c>
      <c r="D78" s="299" t="s">
        <v>280</v>
      </c>
      <c r="E78" s="298" t="s">
        <v>1165</v>
      </c>
      <c r="F78" s="255">
        <f t="shared" si="56"/>
        <v>0</v>
      </c>
      <c r="G78" s="256">
        <f t="shared" si="57"/>
        <v>0</v>
      </c>
      <c r="H78" s="54">
        <v>20000</v>
      </c>
      <c r="I78" s="219">
        <v>0</v>
      </c>
      <c r="J78" s="219">
        <v>0</v>
      </c>
      <c r="K78" s="255">
        <f t="shared" si="58"/>
        <v>0</v>
      </c>
      <c r="L78" s="255">
        <f t="shared" si="59"/>
        <v>0</v>
      </c>
      <c r="M78" s="255">
        <f t="shared" si="60"/>
        <v>0</v>
      </c>
      <c r="N78" s="255">
        <f t="shared" si="61"/>
        <v>0</v>
      </c>
      <c r="O78" s="255" t="str">
        <f t="shared" si="62"/>
        <v>ნულოვანი შესრულება</v>
      </c>
      <c r="P78" s="52"/>
      <c r="Q78" s="52"/>
      <c r="R78" s="52">
        <f t="shared" si="63"/>
        <v>0</v>
      </c>
      <c r="S78" s="52">
        <f t="shared" si="64"/>
        <v>0</v>
      </c>
      <c r="T78" s="52"/>
      <c r="U78" s="52"/>
      <c r="V78" s="52"/>
      <c r="W78" s="52"/>
      <c r="X78" s="52">
        <f t="shared" si="65"/>
        <v>0</v>
      </c>
      <c r="Y78" s="52">
        <f t="shared" si="65"/>
        <v>0</v>
      </c>
      <c r="Z78" s="52"/>
      <c r="AA78" s="52"/>
      <c r="AB78" s="52"/>
      <c r="AC78" s="52"/>
      <c r="AD78" s="52">
        <f t="shared" si="66"/>
        <v>0</v>
      </c>
      <c r="AE78" s="52">
        <f t="shared" si="66"/>
        <v>0</v>
      </c>
      <c r="AF78" s="52">
        <f t="shared" si="67"/>
        <v>0</v>
      </c>
      <c r="AG78" s="52">
        <f t="shared" si="68"/>
        <v>0</v>
      </c>
      <c r="AH78" s="52">
        <f t="shared" si="68"/>
        <v>0</v>
      </c>
      <c r="AI78" s="52">
        <f t="shared" si="69"/>
        <v>0</v>
      </c>
      <c r="AJ78" s="52">
        <f t="shared" si="70"/>
        <v>0</v>
      </c>
      <c r="AK78" s="52">
        <f t="shared" si="70"/>
        <v>0</v>
      </c>
      <c r="AL78" s="258"/>
      <c r="AM78" s="258"/>
      <c r="AN78" s="258"/>
      <c r="AO78" s="258"/>
      <c r="AP78" s="258">
        <f t="shared" si="71"/>
        <v>0</v>
      </c>
      <c r="AQ78" s="258">
        <f t="shared" si="71"/>
        <v>0</v>
      </c>
      <c r="AR78" s="258"/>
      <c r="AS78" s="258"/>
      <c r="AT78" s="258"/>
      <c r="AU78" s="258"/>
      <c r="AV78" s="258">
        <f t="shared" si="72"/>
        <v>0</v>
      </c>
      <c r="AW78" s="258">
        <f t="shared" si="72"/>
        <v>0</v>
      </c>
      <c r="AX78" s="258"/>
      <c r="AY78" s="258"/>
      <c r="AZ78" s="258"/>
      <c r="BA78" s="258"/>
      <c r="BB78" s="258">
        <f t="shared" si="73"/>
        <v>0</v>
      </c>
      <c r="BC78" s="258"/>
      <c r="BD78" s="258">
        <f t="shared" si="49"/>
        <v>0</v>
      </c>
      <c r="BE78" s="258"/>
      <c r="BF78" s="258"/>
      <c r="BG78" s="258"/>
      <c r="BH78" s="258"/>
      <c r="BI78" s="258">
        <f t="shared" si="74"/>
        <v>0</v>
      </c>
      <c r="BJ78" s="258"/>
      <c r="BK78" s="258">
        <f t="shared" si="50"/>
        <v>0</v>
      </c>
      <c r="BL78" s="258"/>
      <c r="BM78" s="258"/>
      <c r="BN78" s="258"/>
      <c r="BO78" s="258"/>
      <c r="BP78" s="258">
        <f t="shared" si="75"/>
        <v>0</v>
      </c>
      <c r="BQ78" s="258"/>
      <c r="BR78" s="258">
        <f t="shared" si="51"/>
        <v>0</v>
      </c>
      <c r="BS78" s="258"/>
      <c r="BT78" s="258"/>
      <c r="BU78" s="258"/>
      <c r="BV78" s="258"/>
      <c r="BW78" s="258">
        <f t="shared" si="76"/>
        <v>0</v>
      </c>
      <c r="BX78" s="258"/>
      <c r="BY78" s="258">
        <f t="shared" si="52"/>
        <v>0</v>
      </c>
      <c r="BZ78" s="258"/>
      <c r="CA78" s="258"/>
      <c r="CB78" s="258"/>
      <c r="CC78" s="258"/>
      <c r="CD78" s="258">
        <f t="shared" si="77"/>
        <v>0</v>
      </c>
      <c r="CE78" s="258">
        <f t="shared" si="77"/>
        <v>0</v>
      </c>
      <c r="CF78" s="258"/>
      <c r="CG78" s="258"/>
      <c r="CH78" s="258"/>
      <c r="CI78" s="258"/>
      <c r="CJ78" s="258">
        <f t="shared" si="78"/>
        <v>0</v>
      </c>
      <c r="CK78" s="258">
        <f t="shared" si="78"/>
        <v>0</v>
      </c>
      <c r="CL78" s="258"/>
      <c r="CM78" s="258"/>
      <c r="CN78" s="258"/>
      <c r="CO78" s="258"/>
      <c r="CP78" s="258">
        <f t="shared" si="79"/>
        <v>0</v>
      </c>
      <c r="CQ78" s="258">
        <f t="shared" si="79"/>
        <v>0</v>
      </c>
      <c r="CR78" s="258"/>
      <c r="CS78" s="258"/>
      <c r="CT78" s="258"/>
      <c r="CU78" s="258"/>
      <c r="CV78" s="258">
        <f t="shared" si="80"/>
        <v>0</v>
      </c>
      <c r="CW78" s="258">
        <f t="shared" si="80"/>
        <v>0</v>
      </c>
      <c r="CX78" s="258"/>
      <c r="CY78" s="258"/>
      <c r="CZ78" s="258"/>
      <c r="DA78" s="258"/>
      <c r="DB78" s="258">
        <f t="shared" si="81"/>
        <v>0</v>
      </c>
      <c r="DC78" s="258">
        <f t="shared" si="81"/>
        <v>0</v>
      </c>
      <c r="DD78" s="258"/>
      <c r="DE78" s="258"/>
      <c r="DF78" s="258"/>
      <c r="DG78" s="258"/>
      <c r="DH78" s="258">
        <f t="shared" si="82"/>
        <v>0</v>
      </c>
      <c r="DI78" s="258">
        <f t="shared" si="82"/>
        <v>0</v>
      </c>
      <c r="DJ78" s="258">
        <f t="shared" si="53"/>
        <v>0</v>
      </c>
      <c r="DK78" s="258">
        <f t="shared" si="54"/>
        <v>0</v>
      </c>
      <c r="DL78" s="52">
        <f t="shared" si="83"/>
        <v>0</v>
      </c>
      <c r="DM78" s="258">
        <f t="shared" si="55"/>
        <v>0</v>
      </c>
      <c r="DN78" s="258">
        <f t="shared" si="84"/>
        <v>0</v>
      </c>
      <c r="DO78" s="258">
        <f t="shared" si="84"/>
        <v>0</v>
      </c>
    </row>
    <row r="79" spans="1:119">
      <c r="A79" s="224">
        <v>71</v>
      </c>
      <c r="B79" s="26" t="s">
        <v>58</v>
      </c>
      <c r="C79" s="53" t="s">
        <v>281</v>
      </c>
      <c r="D79" s="227" t="s">
        <v>282</v>
      </c>
      <c r="E79" s="191" t="s">
        <v>1165</v>
      </c>
      <c r="F79" s="161">
        <f t="shared" si="56"/>
        <v>63836</v>
      </c>
      <c r="G79" s="165">
        <f t="shared" si="57"/>
        <v>113836</v>
      </c>
      <c r="H79" s="54">
        <v>90000</v>
      </c>
      <c r="I79" s="219">
        <v>0</v>
      </c>
      <c r="J79" s="219">
        <v>0</v>
      </c>
      <c r="K79" s="127">
        <f t="shared" si="58"/>
        <v>50000</v>
      </c>
      <c r="L79" s="127">
        <f t="shared" si="59"/>
        <v>0</v>
      </c>
      <c r="M79" s="127">
        <f t="shared" si="60"/>
        <v>50000</v>
      </c>
      <c r="N79" s="127">
        <f t="shared" si="61"/>
        <v>63836</v>
      </c>
      <c r="O79" s="125" t="str">
        <f t="shared" si="62"/>
        <v>მიმდინარეობს</v>
      </c>
      <c r="P79" s="52">
        <v>50000</v>
      </c>
      <c r="Q79" s="52"/>
      <c r="R79" s="52">
        <f t="shared" si="63"/>
        <v>50000</v>
      </c>
      <c r="S79" s="52">
        <f t="shared" si="64"/>
        <v>0</v>
      </c>
      <c r="T79" s="52"/>
      <c r="U79" s="52"/>
      <c r="V79" s="52"/>
      <c r="W79" s="52"/>
      <c r="X79" s="52">
        <f t="shared" si="65"/>
        <v>0</v>
      </c>
      <c r="Y79" s="52">
        <f t="shared" si="65"/>
        <v>0</v>
      </c>
      <c r="Z79" s="52"/>
      <c r="AA79" s="52"/>
      <c r="AB79" s="52"/>
      <c r="AC79" s="52"/>
      <c r="AD79" s="52">
        <f t="shared" si="66"/>
        <v>0</v>
      </c>
      <c r="AE79" s="52">
        <f t="shared" si="66"/>
        <v>0</v>
      </c>
      <c r="AF79" s="52">
        <f t="shared" si="67"/>
        <v>50000</v>
      </c>
      <c r="AG79" s="52">
        <f t="shared" si="68"/>
        <v>50000</v>
      </c>
      <c r="AH79" s="52">
        <f t="shared" si="68"/>
        <v>0</v>
      </c>
      <c r="AI79" s="52">
        <f t="shared" si="69"/>
        <v>0</v>
      </c>
      <c r="AJ79" s="52">
        <f t="shared" si="70"/>
        <v>50000</v>
      </c>
      <c r="AK79" s="52">
        <f t="shared" si="70"/>
        <v>50000</v>
      </c>
      <c r="AL79" s="52"/>
      <c r="AM79" s="52"/>
      <c r="AN79" s="52"/>
      <c r="AO79" s="52"/>
      <c r="AP79" s="52">
        <f t="shared" si="71"/>
        <v>0</v>
      </c>
      <c r="AQ79" s="52">
        <f t="shared" si="71"/>
        <v>0</v>
      </c>
      <c r="AR79" s="52"/>
      <c r="AS79" s="59"/>
      <c r="AT79" s="52"/>
      <c r="AU79" s="52"/>
      <c r="AV79" s="52">
        <f t="shared" si="72"/>
        <v>0</v>
      </c>
      <c r="AW79" s="52">
        <f t="shared" si="72"/>
        <v>0</v>
      </c>
      <c r="AX79" s="52"/>
      <c r="AY79" s="52">
        <v>30000</v>
      </c>
      <c r="AZ79" s="52"/>
      <c r="BA79" s="52"/>
      <c r="BB79" s="52">
        <f t="shared" si="73"/>
        <v>0</v>
      </c>
      <c r="BC79" s="52">
        <v>30000</v>
      </c>
      <c r="BD79" s="52">
        <f t="shared" si="49"/>
        <v>30000</v>
      </c>
      <c r="BE79" s="52"/>
      <c r="BF79" s="52">
        <v>10000</v>
      </c>
      <c r="BG79" s="52"/>
      <c r="BH79" s="52"/>
      <c r="BI79" s="52">
        <f t="shared" si="74"/>
        <v>0</v>
      </c>
      <c r="BJ79" s="52">
        <v>10000</v>
      </c>
      <c r="BK79" s="52">
        <f t="shared" si="50"/>
        <v>10000</v>
      </c>
      <c r="BL79" s="52"/>
      <c r="BM79" s="52">
        <v>20000</v>
      </c>
      <c r="BN79" s="52"/>
      <c r="BO79" s="52"/>
      <c r="BP79" s="52">
        <f t="shared" si="75"/>
        <v>0</v>
      </c>
      <c r="BQ79" s="52">
        <v>20000</v>
      </c>
      <c r="BR79" s="52">
        <f t="shared" si="51"/>
        <v>20000</v>
      </c>
      <c r="BS79" s="52"/>
      <c r="BT79" s="52"/>
      <c r="BU79" s="52"/>
      <c r="BV79" s="52"/>
      <c r="BW79" s="52">
        <f t="shared" si="76"/>
        <v>0</v>
      </c>
      <c r="BX79" s="52">
        <v>3836</v>
      </c>
      <c r="BY79" s="52">
        <f t="shared" si="52"/>
        <v>0</v>
      </c>
      <c r="BZ79" s="52"/>
      <c r="CA79" s="52"/>
      <c r="CB79" s="52"/>
      <c r="CC79" s="52"/>
      <c r="CD79" s="52">
        <f t="shared" si="77"/>
        <v>0</v>
      </c>
      <c r="CE79" s="52">
        <f t="shared" si="77"/>
        <v>0</v>
      </c>
      <c r="CF79" s="52"/>
      <c r="CG79" s="52"/>
      <c r="CH79" s="52"/>
      <c r="CI79" s="52"/>
      <c r="CJ79" s="52">
        <f t="shared" si="78"/>
        <v>0</v>
      </c>
      <c r="CK79" s="52">
        <f t="shared" si="78"/>
        <v>0</v>
      </c>
      <c r="CL79" s="52"/>
      <c r="CM79" s="52"/>
      <c r="CN79" s="52"/>
      <c r="CO79" s="52"/>
      <c r="CP79" s="52">
        <f t="shared" si="79"/>
        <v>0</v>
      </c>
      <c r="CQ79" s="52">
        <f t="shared" si="79"/>
        <v>0</v>
      </c>
      <c r="CR79" s="52"/>
      <c r="CS79" s="52"/>
      <c r="CT79" s="52"/>
      <c r="CU79" s="52"/>
      <c r="CV79" s="52">
        <f t="shared" si="80"/>
        <v>0</v>
      </c>
      <c r="CW79" s="52">
        <f t="shared" si="80"/>
        <v>0</v>
      </c>
      <c r="CX79" s="52"/>
      <c r="CY79" s="52"/>
      <c r="CZ79" s="52"/>
      <c r="DA79" s="52"/>
      <c r="DB79" s="52">
        <f t="shared" si="81"/>
        <v>0</v>
      </c>
      <c r="DC79" s="52">
        <f t="shared" si="81"/>
        <v>0</v>
      </c>
      <c r="DD79" s="52"/>
      <c r="DE79" s="52"/>
      <c r="DF79" s="52"/>
      <c r="DG79" s="52"/>
      <c r="DH79" s="52">
        <f t="shared" si="82"/>
        <v>0</v>
      </c>
      <c r="DI79" s="52">
        <f t="shared" si="82"/>
        <v>0</v>
      </c>
      <c r="DJ79" s="52">
        <f t="shared" si="53"/>
        <v>0</v>
      </c>
      <c r="DK79" s="52">
        <f t="shared" si="54"/>
        <v>60000</v>
      </c>
      <c r="DL79" s="52">
        <f t="shared" si="83"/>
        <v>63836</v>
      </c>
      <c r="DM79" s="52">
        <f t="shared" si="55"/>
        <v>0</v>
      </c>
      <c r="DN79" s="52">
        <f t="shared" si="84"/>
        <v>63836</v>
      </c>
      <c r="DO79" s="52">
        <f t="shared" si="84"/>
        <v>60000</v>
      </c>
    </row>
    <row r="80" spans="1:119">
      <c r="A80" s="224">
        <v>72</v>
      </c>
      <c r="B80" s="26" t="s">
        <v>195</v>
      </c>
      <c r="C80" s="53" t="s">
        <v>279</v>
      </c>
      <c r="D80" s="228" t="s">
        <v>283</v>
      </c>
      <c r="E80" s="198" t="s">
        <v>1164</v>
      </c>
      <c r="F80" s="161">
        <f t="shared" si="56"/>
        <v>0</v>
      </c>
      <c r="G80" s="165">
        <f t="shared" si="57"/>
        <v>416.5</v>
      </c>
      <c r="H80" s="60"/>
      <c r="I80" s="219">
        <v>0</v>
      </c>
      <c r="J80" s="219">
        <v>0</v>
      </c>
      <c r="K80" s="127">
        <f t="shared" si="58"/>
        <v>416.5</v>
      </c>
      <c r="L80" s="127">
        <f t="shared" si="59"/>
        <v>416.5</v>
      </c>
      <c r="M80" s="127">
        <f t="shared" si="60"/>
        <v>416.5</v>
      </c>
      <c r="N80" s="127">
        <f t="shared" si="61"/>
        <v>0</v>
      </c>
      <c r="O80" s="125">
        <f t="shared" si="62"/>
        <v>416.5</v>
      </c>
      <c r="P80" s="52"/>
      <c r="Q80" s="52">
        <v>416.5</v>
      </c>
      <c r="R80" s="52">
        <f t="shared" si="63"/>
        <v>0</v>
      </c>
      <c r="S80" s="52">
        <f t="shared" si="64"/>
        <v>416.5</v>
      </c>
      <c r="T80" s="52"/>
      <c r="U80" s="52"/>
      <c r="V80" s="52"/>
      <c r="W80" s="52"/>
      <c r="X80" s="52">
        <f t="shared" si="65"/>
        <v>0</v>
      </c>
      <c r="Y80" s="52">
        <f t="shared" si="65"/>
        <v>0</v>
      </c>
      <c r="Z80" s="52"/>
      <c r="AA80" s="52"/>
      <c r="AB80" s="57"/>
      <c r="AC80" s="57"/>
      <c r="AD80" s="52">
        <f t="shared" si="66"/>
        <v>0</v>
      </c>
      <c r="AE80" s="52">
        <f t="shared" si="66"/>
        <v>0</v>
      </c>
      <c r="AF80" s="52">
        <f t="shared" si="67"/>
        <v>0</v>
      </c>
      <c r="AG80" s="52">
        <f t="shared" si="68"/>
        <v>0</v>
      </c>
      <c r="AH80" s="52">
        <f t="shared" si="68"/>
        <v>416.5</v>
      </c>
      <c r="AI80" s="52">
        <f t="shared" si="69"/>
        <v>416.5</v>
      </c>
      <c r="AJ80" s="52">
        <f t="shared" si="70"/>
        <v>416.5</v>
      </c>
      <c r="AK80" s="52">
        <f t="shared" si="70"/>
        <v>416.5</v>
      </c>
      <c r="AL80" s="57"/>
      <c r="AM80" s="57"/>
      <c r="AN80" s="57"/>
      <c r="AO80" s="57"/>
      <c r="AP80" s="52">
        <f t="shared" si="71"/>
        <v>0</v>
      </c>
      <c r="AQ80" s="52">
        <f t="shared" si="71"/>
        <v>0</v>
      </c>
      <c r="AR80" s="57"/>
      <c r="AS80" s="52"/>
      <c r="AT80" s="52"/>
      <c r="AU80" s="52"/>
      <c r="AV80" s="52">
        <f t="shared" si="72"/>
        <v>0</v>
      </c>
      <c r="AW80" s="52">
        <f t="shared" si="72"/>
        <v>0</v>
      </c>
      <c r="AX80" s="52"/>
      <c r="AY80" s="52"/>
      <c r="AZ80" s="52"/>
      <c r="BA80" s="52"/>
      <c r="BB80" s="52">
        <f t="shared" si="73"/>
        <v>0</v>
      </c>
      <c r="BC80" s="52"/>
      <c r="BD80" s="52">
        <f t="shared" si="49"/>
        <v>0</v>
      </c>
      <c r="BE80" s="52"/>
      <c r="BF80" s="52"/>
      <c r="BG80" s="52"/>
      <c r="BH80" s="52"/>
      <c r="BI80" s="52">
        <f t="shared" si="74"/>
        <v>0</v>
      </c>
      <c r="BJ80" s="52"/>
      <c r="BK80" s="52">
        <f t="shared" si="50"/>
        <v>0</v>
      </c>
      <c r="BL80" s="52"/>
      <c r="BM80" s="52"/>
      <c r="BN80" s="52"/>
      <c r="BO80" s="52"/>
      <c r="BP80" s="52">
        <f t="shared" si="75"/>
        <v>0</v>
      </c>
      <c r="BQ80" s="52"/>
      <c r="BR80" s="52">
        <f t="shared" si="51"/>
        <v>0</v>
      </c>
      <c r="BS80" s="52"/>
      <c r="BT80" s="52"/>
      <c r="BU80" s="52"/>
      <c r="BV80" s="52"/>
      <c r="BW80" s="52">
        <f t="shared" si="76"/>
        <v>0</v>
      </c>
      <c r="BX80" s="52"/>
      <c r="BY80" s="52">
        <f t="shared" si="52"/>
        <v>0</v>
      </c>
      <c r="BZ80" s="52"/>
      <c r="CA80" s="52"/>
      <c r="CB80" s="52"/>
      <c r="CC80" s="52"/>
      <c r="CD80" s="52">
        <f t="shared" si="77"/>
        <v>0</v>
      </c>
      <c r="CE80" s="52">
        <f t="shared" si="77"/>
        <v>0</v>
      </c>
      <c r="CF80" s="52"/>
      <c r="CG80" s="52"/>
      <c r="CH80" s="52"/>
      <c r="CI80" s="52"/>
      <c r="CJ80" s="52">
        <f t="shared" si="78"/>
        <v>0</v>
      </c>
      <c r="CK80" s="52">
        <f t="shared" si="78"/>
        <v>0</v>
      </c>
      <c r="CL80" s="52"/>
      <c r="CM80" s="52"/>
      <c r="CN80" s="52"/>
      <c r="CO80" s="52"/>
      <c r="CP80" s="52">
        <f t="shared" si="79"/>
        <v>0</v>
      </c>
      <c r="CQ80" s="52">
        <f t="shared" si="79"/>
        <v>0</v>
      </c>
      <c r="CR80" s="52"/>
      <c r="CS80" s="52"/>
      <c r="CT80" s="52"/>
      <c r="CU80" s="52"/>
      <c r="CV80" s="52">
        <f t="shared" si="80"/>
        <v>0</v>
      </c>
      <c r="CW80" s="52">
        <f t="shared" si="80"/>
        <v>0</v>
      </c>
      <c r="CX80" s="52"/>
      <c r="CY80" s="52"/>
      <c r="CZ80" s="52"/>
      <c r="DA80" s="52"/>
      <c r="DB80" s="52">
        <f t="shared" si="81"/>
        <v>0</v>
      </c>
      <c r="DC80" s="52">
        <f t="shared" si="81"/>
        <v>0</v>
      </c>
      <c r="DD80" s="52"/>
      <c r="DE80" s="52"/>
      <c r="DF80" s="52"/>
      <c r="DG80" s="52"/>
      <c r="DH80" s="52">
        <f t="shared" si="82"/>
        <v>0</v>
      </c>
      <c r="DI80" s="52">
        <f t="shared" si="82"/>
        <v>0</v>
      </c>
      <c r="DJ80" s="52">
        <f t="shared" si="53"/>
        <v>0</v>
      </c>
      <c r="DK80" s="52">
        <f t="shared" si="54"/>
        <v>0</v>
      </c>
      <c r="DL80" s="52">
        <f t="shared" si="83"/>
        <v>0</v>
      </c>
      <c r="DM80" s="52">
        <f t="shared" si="55"/>
        <v>0</v>
      </c>
      <c r="DN80" s="52">
        <f t="shared" si="84"/>
        <v>0</v>
      </c>
      <c r="DO80" s="52">
        <f t="shared" si="84"/>
        <v>0</v>
      </c>
    </row>
    <row r="81" spans="1:119" s="278" customFormat="1" ht="13.5" customHeight="1">
      <c r="A81" s="297">
        <v>73</v>
      </c>
      <c r="B81" s="276" t="s">
        <v>195</v>
      </c>
      <c r="C81" s="298" t="s">
        <v>284</v>
      </c>
      <c r="D81" s="299" t="s">
        <v>285</v>
      </c>
      <c r="E81" s="298" t="s">
        <v>1165</v>
      </c>
      <c r="F81" s="255">
        <f t="shared" si="56"/>
        <v>0</v>
      </c>
      <c r="G81" s="256">
        <f t="shared" si="57"/>
        <v>0</v>
      </c>
      <c r="H81" s="54">
        <v>25000</v>
      </c>
      <c r="I81" s="219">
        <v>0</v>
      </c>
      <c r="J81" s="219">
        <v>0</v>
      </c>
      <c r="K81" s="255">
        <f t="shared" si="58"/>
        <v>0</v>
      </c>
      <c r="L81" s="255">
        <f t="shared" si="59"/>
        <v>0</v>
      </c>
      <c r="M81" s="255">
        <f t="shared" si="60"/>
        <v>0</v>
      </c>
      <c r="N81" s="255">
        <f t="shared" si="61"/>
        <v>0</v>
      </c>
      <c r="O81" s="255" t="str">
        <f t="shared" si="62"/>
        <v>ნულოვანი შესრულება</v>
      </c>
      <c r="P81" s="52"/>
      <c r="Q81" s="52"/>
      <c r="R81" s="52">
        <f t="shared" si="63"/>
        <v>0</v>
      </c>
      <c r="S81" s="52">
        <f t="shared" si="64"/>
        <v>0</v>
      </c>
      <c r="T81" s="52"/>
      <c r="U81" s="52"/>
      <c r="V81" s="52"/>
      <c r="W81" s="52"/>
      <c r="X81" s="52">
        <f t="shared" si="65"/>
        <v>0</v>
      </c>
      <c r="Y81" s="52">
        <f t="shared" si="65"/>
        <v>0</v>
      </c>
      <c r="Z81" s="52"/>
      <c r="AA81" s="52"/>
      <c r="AB81" s="52"/>
      <c r="AC81" s="52"/>
      <c r="AD81" s="52">
        <f t="shared" si="66"/>
        <v>0</v>
      </c>
      <c r="AE81" s="52">
        <f t="shared" si="66"/>
        <v>0</v>
      </c>
      <c r="AF81" s="52">
        <f t="shared" si="67"/>
        <v>0</v>
      </c>
      <c r="AG81" s="52">
        <f t="shared" si="68"/>
        <v>0</v>
      </c>
      <c r="AH81" s="52">
        <f t="shared" si="68"/>
        <v>0</v>
      </c>
      <c r="AI81" s="52">
        <f t="shared" si="69"/>
        <v>0</v>
      </c>
      <c r="AJ81" s="52">
        <f t="shared" si="70"/>
        <v>0</v>
      </c>
      <c r="AK81" s="52">
        <f t="shared" si="70"/>
        <v>0</v>
      </c>
      <c r="AL81" s="258"/>
      <c r="AM81" s="258"/>
      <c r="AN81" s="258"/>
      <c r="AO81" s="258"/>
      <c r="AP81" s="258">
        <f t="shared" si="71"/>
        <v>0</v>
      </c>
      <c r="AQ81" s="258">
        <f t="shared" si="71"/>
        <v>0</v>
      </c>
      <c r="AR81" s="258"/>
      <c r="AS81" s="258"/>
      <c r="AT81" s="258"/>
      <c r="AU81" s="258"/>
      <c r="AV81" s="258">
        <f t="shared" si="72"/>
        <v>0</v>
      </c>
      <c r="AW81" s="258">
        <f t="shared" si="72"/>
        <v>0</v>
      </c>
      <c r="AX81" s="258"/>
      <c r="AY81" s="258"/>
      <c r="AZ81" s="258"/>
      <c r="BA81" s="258"/>
      <c r="BB81" s="258">
        <f t="shared" si="73"/>
        <v>0</v>
      </c>
      <c r="BC81" s="258"/>
      <c r="BD81" s="258">
        <f t="shared" si="49"/>
        <v>0</v>
      </c>
      <c r="BE81" s="258"/>
      <c r="BF81" s="258"/>
      <c r="BG81" s="258"/>
      <c r="BH81" s="258"/>
      <c r="BI81" s="258">
        <f t="shared" si="74"/>
        <v>0</v>
      </c>
      <c r="BJ81" s="258"/>
      <c r="BK81" s="258">
        <f t="shared" si="50"/>
        <v>0</v>
      </c>
      <c r="BL81" s="258"/>
      <c r="BM81" s="258"/>
      <c r="BN81" s="258"/>
      <c r="BO81" s="258"/>
      <c r="BP81" s="258">
        <f t="shared" si="75"/>
        <v>0</v>
      </c>
      <c r="BQ81" s="258"/>
      <c r="BR81" s="258">
        <f t="shared" si="51"/>
        <v>0</v>
      </c>
      <c r="BS81" s="258"/>
      <c r="BT81" s="258"/>
      <c r="BU81" s="258"/>
      <c r="BV81" s="258"/>
      <c r="BW81" s="258">
        <f t="shared" si="76"/>
        <v>0</v>
      </c>
      <c r="BX81" s="258"/>
      <c r="BY81" s="258">
        <f t="shared" si="52"/>
        <v>0</v>
      </c>
      <c r="BZ81" s="258"/>
      <c r="CA81" s="258"/>
      <c r="CB81" s="258"/>
      <c r="CC81" s="258"/>
      <c r="CD81" s="258">
        <f t="shared" si="77"/>
        <v>0</v>
      </c>
      <c r="CE81" s="258">
        <f t="shared" si="77"/>
        <v>0</v>
      </c>
      <c r="CF81" s="258"/>
      <c r="CG81" s="258"/>
      <c r="CH81" s="258"/>
      <c r="CI81" s="258"/>
      <c r="CJ81" s="258">
        <f t="shared" si="78"/>
        <v>0</v>
      </c>
      <c r="CK81" s="258">
        <f t="shared" si="78"/>
        <v>0</v>
      </c>
      <c r="CL81" s="258"/>
      <c r="CM81" s="258"/>
      <c r="CN81" s="258"/>
      <c r="CO81" s="258"/>
      <c r="CP81" s="258">
        <f t="shared" si="79"/>
        <v>0</v>
      </c>
      <c r="CQ81" s="258">
        <f t="shared" si="79"/>
        <v>0</v>
      </c>
      <c r="CR81" s="258"/>
      <c r="CS81" s="258"/>
      <c r="CT81" s="258"/>
      <c r="CU81" s="258"/>
      <c r="CV81" s="258">
        <f t="shared" si="80"/>
        <v>0</v>
      </c>
      <c r="CW81" s="258">
        <f t="shared" si="80"/>
        <v>0</v>
      </c>
      <c r="CX81" s="258"/>
      <c r="CY81" s="258"/>
      <c r="CZ81" s="258"/>
      <c r="DA81" s="258"/>
      <c r="DB81" s="258">
        <f t="shared" si="81"/>
        <v>0</v>
      </c>
      <c r="DC81" s="258">
        <f t="shared" si="81"/>
        <v>0</v>
      </c>
      <c r="DD81" s="258"/>
      <c r="DE81" s="258"/>
      <c r="DF81" s="258"/>
      <c r="DG81" s="258"/>
      <c r="DH81" s="258">
        <f t="shared" si="82"/>
        <v>0</v>
      </c>
      <c r="DI81" s="258">
        <f t="shared" si="82"/>
        <v>0</v>
      </c>
      <c r="DJ81" s="258">
        <f t="shared" si="53"/>
        <v>0</v>
      </c>
      <c r="DK81" s="258">
        <f t="shared" si="54"/>
        <v>0</v>
      </c>
      <c r="DL81" s="52">
        <f t="shared" si="83"/>
        <v>0</v>
      </c>
      <c r="DM81" s="258">
        <f t="shared" si="55"/>
        <v>0</v>
      </c>
      <c r="DN81" s="258">
        <f t="shared" si="84"/>
        <v>0</v>
      </c>
      <c r="DO81" s="258">
        <f t="shared" si="84"/>
        <v>0</v>
      </c>
    </row>
    <row r="82" spans="1:119">
      <c r="A82" s="224">
        <v>74</v>
      </c>
      <c r="B82" s="26" t="s">
        <v>286</v>
      </c>
      <c r="C82" s="53" t="s">
        <v>287</v>
      </c>
      <c r="D82" s="227" t="s">
        <v>288</v>
      </c>
      <c r="E82" s="191" t="s">
        <v>1165</v>
      </c>
      <c r="F82" s="161">
        <f t="shared" si="56"/>
        <v>1655</v>
      </c>
      <c r="G82" s="165">
        <f t="shared" si="57"/>
        <v>211371.25</v>
      </c>
      <c r="H82" s="54">
        <v>190000</v>
      </c>
      <c r="I82" s="219">
        <v>4716.25</v>
      </c>
      <c r="J82" s="219">
        <v>0</v>
      </c>
      <c r="K82" s="127">
        <f t="shared" si="58"/>
        <v>205000</v>
      </c>
      <c r="L82" s="127">
        <f t="shared" si="59"/>
        <v>0</v>
      </c>
      <c r="M82" s="127">
        <f t="shared" si="60"/>
        <v>209716.25</v>
      </c>
      <c r="N82" s="127">
        <f t="shared" si="61"/>
        <v>1655</v>
      </c>
      <c r="O82" s="125">
        <f t="shared" si="62"/>
        <v>211371.77</v>
      </c>
      <c r="P82" s="52">
        <v>205000</v>
      </c>
      <c r="Q82" s="52"/>
      <c r="R82" s="52">
        <f t="shared" si="63"/>
        <v>209716.25</v>
      </c>
      <c r="S82" s="52">
        <f t="shared" si="64"/>
        <v>0</v>
      </c>
      <c r="T82" s="52"/>
      <c r="U82" s="52"/>
      <c r="V82" s="52">
        <v>5000</v>
      </c>
      <c r="W82" s="52"/>
      <c r="X82" s="52">
        <f t="shared" si="65"/>
        <v>5000</v>
      </c>
      <c r="Y82" s="52">
        <f t="shared" si="65"/>
        <v>0</v>
      </c>
      <c r="Z82" s="52"/>
      <c r="AA82" s="52"/>
      <c r="AB82" s="52"/>
      <c r="AC82" s="52"/>
      <c r="AD82" s="52">
        <f t="shared" si="66"/>
        <v>0</v>
      </c>
      <c r="AE82" s="52">
        <f t="shared" si="66"/>
        <v>0</v>
      </c>
      <c r="AF82" s="52">
        <f t="shared" si="67"/>
        <v>205000</v>
      </c>
      <c r="AG82" s="52">
        <f t="shared" si="68"/>
        <v>205000</v>
      </c>
      <c r="AH82" s="52">
        <f t="shared" si="68"/>
        <v>5000</v>
      </c>
      <c r="AI82" s="52">
        <f t="shared" si="69"/>
        <v>0</v>
      </c>
      <c r="AJ82" s="52">
        <f t="shared" si="70"/>
        <v>210000</v>
      </c>
      <c r="AK82" s="52">
        <f t="shared" si="70"/>
        <v>205000</v>
      </c>
      <c r="AL82" s="52"/>
      <c r="AM82" s="52"/>
      <c r="AN82" s="75">
        <v>1655</v>
      </c>
      <c r="AO82" s="52">
        <v>1655.52</v>
      </c>
      <c r="AP82" s="52">
        <f t="shared" si="71"/>
        <v>1655</v>
      </c>
      <c r="AQ82" s="52">
        <f t="shared" si="71"/>
        <v>1655.52</v>
      </c>
      <c r="AR82" s="52"/>
      <c r="AS82" s="52"/>
      <c r="AT82" s="52"/>
      <c r="AU82" s="52"/>
      <c r="AV82" s="52">
        <f t="shared" si="72"/>
        <v>0</v>
      </c>
      <c r="AW82" s="52">
        <f t="shared" si="72"/>
        <v>0</v>
      </c>
      <c r="AX82" s="52"/>
      <c r="AY82" s="52"/>
      <c r="AZ82" s="52"/>
      <c r="BA82" s="52"/>
      <c r="BB82" s="52">
        <f t="shared" si="73"/>
        <v>0</v>
      </c>
      <c r="BC82" s="52"/>
      <c r="BD82" s="52">
        <f t="shared" si="49"/>
        <v>0</v>
      </c>
      <c r="BE82" s="52"/>
      <c r="BF82" s="52"/>
      <c r="BG82" s="52"/>
      <c r="BH82" s="52"/>
      <c r="BI82" s="52">
        <f t="shared" si="74"/>
        <v>0</v>
      </c>
      <c r="BJ82" s="52"/>
      <c r="BK82" s="52">
        <f t="shared" si="50"/>
        <v>0</v>
      </c>
      <c r="BL82" s="52"/>
      <c r="BM82" s="52"/>
      <c r="BN82" s="52"/>
      <c r="BO82" s="52"/>
      <c r="BP82" s="52">
        <f t="shared" si="75"/>
        <v>0</v>
      </c>
      <c r="BQ82" s="52"/>
      <c r="BR82" s="52">
        <f t="shared" si="51"/>
        <v>0</v>
      </c>
      <c r="BS82" s="52"/>
      <c r="BT82" s="52"/>
      <c r="BU82" s="52"/>
      <c r="BV82" s="52"/>
      <c r="BW82" s="52">
        <f t="shared" si="76"/>
        <v>0</v>
      </c>
      <c r="BX82" s="52"/>
      <c r="BY82" s="52">
        <f t="shared" si="52"/>
        <v>0</v>
      </c>
      <c r="BZ82" s="52"/>
      <c r="CA82" s="52"/>
      <c r="CB82" s="52"/>
      <c r="CC82" s="52"/>
      <c r="CD82" s="52">
        <f t="shared" si="77"/>
        <v>0</v>
      </c>
      <c r="CE82" s="52">
        <f t="shared" si="77"/>
        <v>0</v>
      </c>
      <c r="CF82" s="52"/>
      <c r="CG82" s="52"/>
      <c r="CH82" s="52"/>
      <c r="CI82" s="52"/>
      <c r="CJ82" s="52">
        <f t="shared" si="78"/>
        <v>0</v>
      </c>
      <c r="CK82" s="52">
        <f t="shared" si="78"/>
        <v>0</v>
      </c>
      <c r="CL82" s="52"/>
      <c r="CM82" s="52"/>
      <c r="CN82" s="52"/>
      <c r="CO82" s="52"/>
      <c r="CP82" s="52">
        <f t="shared" si="79"/>
        <v>0</v>
      </c>
      <c r="CQ82" s="52">
        <f t="shared" si="79"/>
        <v>0</v>
      </c>
      <c r="CR82" s="52"/>
      <c r="CS82" s="52"/>
      <c r="CT82" s="52"/>
      <c r="CU82" s="52"/>
      <c r="CV82" s="52">
        <f t="shared" si="80"/>
        <v>0</v>
      </c>
      <c r="CW82" s="52">
        <f t="shared" si="80"/>
        <v>0</v>
      </c>
      <c r="CX82" s="52"/>
      <c r="CY82" s="52"/>
      <c r="CZ82" s="52"/>
      <c r="DA82" s="52"/>
      <c r="DB82" s="52">
        <f t="shared" si="81"/>
        <v>0</v>
      </c>
      <c r="DC82" s="52">
        <f t="shared" si="81"/>
        <v>0</v>
      </c>
      <c r="DD82" s="52"/>
      <c r="DE82" s="52"/>
      <c r="DF82" s="52"/>
      <c r="DG82" s="52"/>
      <c r="DH82" s="52">
        <f t="shared" si="82"/>
        <v>0</v>
      </c>
      <c r="DI82" s="52">
        <f t="shared" si="82"/>
        <v>0</v>
      </c>
      <c r="DJ82" s="52">
        <f t="shared" si="53"/>
        <v>0</v>
      </c>
      <c r="DK82" s="52">
        <f t="shared" si="54"/>
        <v>0</v>
      </c>
      <c r="DL82" s="52">
        <f t="shared" si="83"/>
        <v>1655</v>
      </c>
      <c r="DM82" s="52">
        <f t="shared" si="55"/>
        <v>1655.52</v>
      </c>
      <c r="DN82" s="52">
        <f t="shared" si="84"/>
        <v>1655</v>
      </c>
      <c r="DO82" s="52">
        <f t="shared" si="84"/>
        <v>1655.52</v>
      </c>
    </row>
    <row r="83" spans="1:119">
      <c r="A83" s="224">
        <v>75</v>
      </c>
      <c r="B83" s="26" t="s">
        <v>176</v>
      </c>
      <c r="C83" s="53" t="s">
        <v>289</v>
      </c>
      <c r="D83" s="227" t="s">
        <v>290</v>
      </c>
      <c r="E83" s="191" t="s">
        <v>1165</v>
      </c>
      <c r="F83" s="161">
        <f t="shared" si="56"/>
        <v>0</v>
      </c>
      <c r="G83" s="165">
        <f t="shared" si="57"/>
        <v>60000</v>
      </c>
      <c r="H83" s="54">
        <v>30000</v>
      </c>
      <c r="I83" s="219">
        <v>0</v>
      </c>
      <c r="J83" s="219">
        <v>0</v>
      </c>
      <c r="K83" s="127">
        <f t="shared" si="58"/>
        <v>60000</v>
      </c>
      <c r="L83" s="127">
        <f t="shared" si="59"/>
        <v>0</v>
      </c>
      <c r="M83" s="127">
        <f t="shared" si="60"/>
        <v>60000</v>
      </c>
      <c r="N83" s="127">
        <f t="shared" si="61"/>
        <v>0</v>
      </c>
      <c r="O83" s="125" t="str">
        <f t="shared" si="62"/>
        <v>მიმდინარეობს</v>
      </c>
      <c r="P83" s="52">
        <v>60000</v>
      </c>
      <c r="Q83" s="52"/>
      <c r="R83" s="52">
        <f t="shared" si="63"/>
        <v>60000</v>
      </c>
      <c r="S83" s="52">
        <f t="shared" si="64"/>
        <v>0</v>
      </c>
      <c r="T83" s="52"/>
      <c r="U83" s="52"/>
      <c r="V83" s="52"/>
      <c r="W83" s="52"/>
      <c r="X83" s="52">
        <f t="shared" si="65"/>
        <v>0</v>
      </c>
      <c r="Y83" s="52">
        <f t="shared" si="65"/>
        <v>0</v>
      </c>
      <c r="Z83" s="52"/>
      <c r="AA83" s="52"/>
      <c r="AB83" s="52"/>
      <c r="AC83" s="52"/>
      <c r="AD83" s="52">
        <f t="shared" si="66"/>
        <v>0</v>
      </c>
      <c r="AE83" s="52">
        <f t="shared" si="66"/>
        <v>0</v>
      </c>
      <c r="AF83" s="52">
        <f t="shared" si="67"/>
        <v>60000</v>
      </c>
      <c r="AG83" s="52">
        <f t="shared" si="68"/>
        <v>60000</v>
      </c>
      <c r="AH83" s="52">
        <f t="shared" si="68"/>
        <v>0</v>
      </c>
      <c r="AI83" s="52">
        <f t="shared" si="69"/>
        <v>0</v>
      </c>
      <c r="AJ83" s="52">
        <f t="shared" si="70"/>
        <v>60000</v>
      </c>
      <c r="AK83" s="52">
        <f t="shared" si="70"/>
        <v>60000</v>
      </c>
      <c r="AL83" s="52"/>
      <c r="AM83" s="52"/>
      <c r="AN83" s="52"/>
      <c r="AO83" s="52"/>
      <c r="AP83" s="52">
        <f t="shared" si="71"/>
        <v>0</v>
      </c>
      <c r="AQ83" s="52">
        <f t="shared" si="71"/>
        <v>0</v>
      </c>
      <c r="AR83" s="52"/>
      <c r="AS83" s="52"/>
      <c r="AT83" s="52"/>
      <c r="AU83" s="52"/>
      <c r="AV83" s="52">
        <f t="shared" si="72"/>
        <v>0</v>
      </c>
      <c r="AW83" s="52">
        <f t="shared" si="72"/>
        <v>0</v>
      </c>
      <c r="AX83" s="52"/>
      <c r="AY83" s="52"/>
      <c r="AZ83" s="52"/>
      <c r="BA83" s="52"/>
      <c r="BB83" s="52">
        <f t="shared" si="73"/>
        <v>0</v>
      </c>
      <c r="BC83" s="52"/>
      <c r="BD83" s="52">
        <f t="shared" si="49"/>
        <v>0</v>
      </c>
      <c r="BE83" s="52"/>
      <c r="BF83" s="52"/>
      <c r="BG83" s="52"/>
      <c r="BH83" s="52"/>
      <c r="BI83" s="52">
        <f t="shared" si="74"/>
        <v>0</v>
      </c>
      <c r="BJ83" s="52"/>
      <c r="BK83" s="52">
        <f t="shared" si="50"/>
        <v>0</v>
      </c>
      <c r="BL83" s="52"/>
      <c r="BM83" s="52"/>
      <c r="BN83" s="52"/>
      <c r="BO83" s="52"/>
      <c r="BP83" s="52">
        <f t="shared" si="75"/>
        <v>0</v>
      </c>
      <c r="BQ83" s="52"/>
      <c r="BR83" s="52">
        <f t="shared" si="51"/>
        <v>0</v>
      </c>
      <c r="BS83" s="52"/>
      <c r="BT83" s="52"/>
      <c r="BU83" s="52"/>
      <c r="BV83" s="52"/>
      <c r="BW83" s="52">
        <f t="shared" si="76"/>
        <v>0</v>
      </c>
      <c r="BX83" s="52"/>
      <c r="BY83" s="52">
        <f t="shared" si="52"/>
        <v>0</v>
      </c>
      <c r="BZ83" s="52"/>
      <c r="CA83" s="52"/>
      <c r="CB83" s="52"/>
      <c r="CC83" s="52"/>
      <c r="CD83" s="52">
        <f t="shared" si="77"/>
        <v>0</v>
      </c>
      <c r="CE83" s="52">
        <f t="shared" si="77"/>
        <v>0</v>
      </c>
      <c r="CF83" s="52"/>
      <c r="CG83" s="52"/>
      <c r="CH83" s="52"/>
      <c r="CI83" s="52"/>
      <c r="CJ83" s="52">
        <f t="shared" si="78"/>
        <v>0</v>
      </c>
      <c r="CK83" s="52">
        <f t="shared" si="78"/>
        <v>0</v>
      </c>
      <c r="CL83" s="52"/>
      <c r="CM83" s="52"/>
      <c r="CN83" s="52"/>
      <c r="CO83" s="52"/>
      <c r="CP83" s="52">
        <f t="shared" si="79"/>
        <v>0</v>
      </c>
      <c r="CQ83" s="52">
        <f t="shared" si="79"/>
        <v>0</v>
      </c>
      <c r="CR83" s="52"/>
      <c r="CS83" s="52"/>
      <c r="CT83" s="52"/>
      <c r="CU83" s="52"/>
      <c r="CV83" s="52">
        <f t="shared" si="80"/>
        <v>0</v>
      </c>
      <c r="CW83" s="52">
        <f t="shared" si="80"/>
        <v>0</v>
      </c>
      <c r="CX83" s="52"/>
      <c r="CY83" s="52"/>
      <c r="CZ83" s="52"/>
      <c r="DA83" s="52"/>
      <c r="DB83" s="52">
        <f t="shared" si="81"/>
        <v>0</v>
      </c>
      <c r="DC83" s="52">
        <f t="shared" si="81"/>
        <v>0</v>
      </c>
      <c r="DD83" s="52"/>
      <c r="DE83" s="52"/>
      <c r="DF83" s="52"/>
      <c r="DG83" s="52"/>
      <c r="DH83" s="52">
        <f t="shared" si="82"/>
        <v>0</v>
      </c>
      <c r="DI83" s="52">
        <f t="shared" si="82"/>
        <v>0</v>
      </c>
      <c r="DJ83" s="52">
        <f t="shared" si="53"/>
        <v>0</v>
      </c>
      <c r="DK83" s="52">
        <f t="shared" si="54"/>
        <v>0</v>
      </c>
      <c r="DL83" s="52">
        <f t="shared" si="83"/>
        <v>0</v>
      </c>
      <c r="DM83" s="52">
        <f t="shared" si="55"/>
        <v>0</v>
      </c>
      <c r="DN83" s="52">
        <f t="shared" si="84"/>
        <v>0</v>
      </c>
      <c r="DO83" s="52">
        <f t="shared" si="84"/>
        <v>0</v>
      </c>
    </row>
    <row r="84" spans="1:119">
      <c r="A84" s="224">
        <v>76</v>
      </c>
      <c r="B84" s="26" t="s">
        <v>58</v>
      </c>
      <c r="C84" s="53" t="s">
        <v>291</v>
      </c>
      <c r="D84" s="227" t="s">
        <v>292</v>
      </c>
      <c r="E84" s="191" t="s">
        <v>1165</v>
      </c>
      <c r="F84" s="161">
        <f t="shared" si="56"/>
        <v>0</v>
      </c>
      <c r="G84" s="165">
        <f t="shared" si="57"/>
        <v>0</v>
      </c>
      <c r="H84" s="54">
        <v>30000</v>
      </c>
      <c r="I84" s="220">
        <v>0</v>
      </c>
      <c r="J84" s="220">
        <v>0</v>
      </c>
      <c r="K84" s="127">
        <f t="shared" si="58"/>
        <v>0</v>
      </c>
      <c r="L84" s="127">
        <f t="shared" si="59"/>
        <v>0</v>
      </c>
      <c r="M84" s="127">
        <f t="shared" si="60"/>
        <v>0</v>
      </c>
      <c r="N84" s="127">
        <f t="shared" si="61"/>
        <v>0</v>
      </c>
      <c r="O84" s="125" t="str">
        <f t="shared" si="62"/>
        <v>ნულოვანი შესრულება</v>
      </c>
      <c r="P84" s="57"/>
      <c r="Q84" s="57"/>
      <c r="R84" s="52">
        <f t="shared" si="63"/>
        <v>0</v>
      </c>
      <c r="S84" s="52">
        <f t="shared" si="64"/>
        <v>0</v>
      </c>
      <c r="T84" s="57"/>
      <c r="U84" s="57"/>
      <c r="V84" s="57"/>
      <c r="W84" s="52"/>
      <c r="X84" s="52">
        <f t="shared" si="65"/>
        <v>0</v>
      </c>
      <c r="Y84" s="52">
        <f t="shared" si="65"/>
        <v>0</v>
      </c>
      <c r="Z84" s="52"/>
      <c r="AA84" s="52"/>
      <c r="AB84" s="52"/>
      <c r="AC84" s="52"/>
      <c r="AD84" s="52">
        <f t="shared" si="66"/>
        <v>0</v>
      </c>
      <c r="AE84" s="52">
        <f t="shared" si="66"/>
        <v>0</v>
      </c>
      <c r="AF84" s="52">
        <f t="shared" si="67"/>
        <v>0</v>
      </c>
      <c r="AG84" s="52">
        <f t="shared" si="68"/>
        <v>0</v>
      </c>
      <c r="AH84" s="52">
        <f t="shared" si="68"/>
        <v>0</v>
      </c>
      <c r="AI84" s="52">
        <f t="shared" si="69"/>
        <v>0</v>
      </c>
      <c r="AJ84" s="52">
        <f t="shared" si="70"/>
        <v>0</v>
      </c>
      <c r="AK84" s="52">
        <f t="shared" si="70"/>
        <v>0</v>
      </c>
      <c r="AL84" s="52"/>
      <c r="AM84" s="52"/>
      <c r="AN84" s="52"/>
      <c r="AO84" s="52"/>
      <c r="AP84" s="52">
        <f t="shared" si="71"/>
        <v>0</v>
      </c>
      <c r="AQ84" s="52">
        <f t="shared" si="71"/>
        <v>0</v>
      </c>
      <c r="AR84" s="52"/>
      <c r="AS84" s="62"/>
      <c r="AT84" s="57"/>
      <c r="AU84" s="57"/>
      <c r="AV84" s="52">
        <f t="shared" si="72"/>
        <v>0</v>
      </c>
      <c r="AW84" s="52">
        <f t="shared" si="72"/>
        <v>0</v>
      </c>
      <c r="AX84" s="57"/>
      <c r="AY84" s="57"/>
      <c r="AZ84" s="57"/>
      <c r="BA84" s="57"/>
      <c r="BB84" s="52">
        <f t="shared" si="73"/>
        <v>0</v>
      </c>
      <c r="BC84" s="52"/>
      <c r="BD84" s="52">
        <f t="shared" si="49"/>
        <v>0</v>
      </c>
      <c r="BE84" s="52"/>
      <c r="BF84" s="52"/>
      <c r="BG84" s="52"/>
      <c r="BH84" s="52"/>
      <c r="BI84" s="52">
        <f t="shared" si="74"/>
        <v>0</v>
      </c>
      <c r="BJ84" s="52"/>
      <c r="BK84" s="52">
        <f t="shared" si="50"/>
        <v>0</v>
      </c>
      <c r="BL84" s="52"/>
      <c r="BM84" s="52"/>
      <c r="BN84" s="52"/>
      <c r="BO84" s="52"/>
      <c r="BP84" s="52">
        <f t="shared" si="75"/>
        <v>0</v>
      </c>
      <c r="BQ84" s="52"/>
      <c r="BR84" s="52">
        <f t="shared" si="51"/>
        <v>0</v>
      </c>
      <c r="BS84" s="52"/>
      <c r="BT84" s="52"/>
      <c r="BU84" s="52"/>
      <c r="BV84" s="52"/>
      <c r="BW84" s="52">
        <f t="shared" si="76"/>
        <v>0</v>
      </c>
      <c r="BX84" s="52"/>
      <c r="BY84" s="52">
        <f t="shared" si="52"/>
        <v>0</v>
      </c>
      <c r="BZ84" s="52"/>
      <c r="CA84" s="52"/>
      <c r="CB84" s="52"/>
      <c r="CC84" s="52"/>
      <c r="CD84" s="52">
        <f t="shared" si="77"/>
        <v>0</v>
      </c>
      <c r="CE84" s="52">
        <f t="shared" si="77"/>
        <v>0</v>
      </c>
      <c r="CF84" s="52"/>
      <c r="CG84" s="52"/>
      <c r="CH84" s="52"/>
      <c r="CI84" s="52"/>
      <c r="CJ84" s="52">
        <f t="shared" si="78"/>
        <v>0</v>
      </c>
      <c r="CK84" s="52">
        <f t="shared" si="78"/>
        <v>0</v>
      </c>
      <c r="CL84" s="52"/>
      <c r="CM84" s="52"/>
      <c r="CN84" s="52"/>
      <c r="CO84" s="52"/>
      <c r="CP84" s="52">
        <f t="shared" si="79"/>
        <v>0</v>
      </c>
      <c r="CQ84" s="52">
        <f t="shared" si="79"/>
        <v>0</v>
      </c>
      <c r="CR84" s="52"/>
      <c r="CS84" s="52"/>
      <c r="CT84" s="52"/>
      <c r="CU84" s="52"/>
      <c r="CV84" s="52">
        <f t="shared" si="80"/>
        <v>0</v>
      </c>
      <c r="CW84" s="52">
        <f t="shared" si="80"/>
        <v>0</v>
      </c>
      <c r="CX84" s="52"/>
      <c r="CY84" s="52"/>
      <c r="CZ84" s="52"/>
      <c r="DA84" s="52"/>
      <c r="DB84" s="52">
        <f t="shared" si="81"/>
        <v>0</v>
      </c>
      <c r="DC84" s="52">
        <f t="shared" si="81"/>
        <v>0</v>
      </c>
      <c r="DD84" s="52"/>
      <c r="DE84" s="52"/>
      <c r="DF84" s="52"/>
      <c r="DG84" s="52"/>
      <c r="DH84" s="52">
        <f t="shared" si="82"/>
        <v>0</v>
      </c>
      <c r="DI84" s="52">
        <f t="shared" si="82"/>
        <v>0</v>
      </c>
      <c r="DJ84" s="52">
        <f t="shared" si="53"/>
        <v>0</v>
      </c>
      <c r="DK84" s="52">
        <f t="shared" si="54"/>
        <v>0</v>
      </c>
      <c r="DL84" s="52">
        <f t="shared" si="83"/>
        <v>0</v>
      </c>
      <c r="DM84" s="52">
        <f t="shared" si="55"/>
        <v>0</v>
      </c>
      <c r="DN84" s="52">
        <f t="shared" si="84"/>
        <v>0</v>
      </c>
      <c r="DO84" s="52">
        <f t="shared" si="84"/>
        <v>0</v>
      </c>
    </row>
    <row r="85" spans="1:119">
      <c r="A85" s="224">
        <v>77</v>
      </c>
      <c r="B85" s="26" t="s">
        <v>168</v>
      </c>
      <c r="C85" s="53" t="s">
        <v>260</v>
      </c>
      <c r="D85" s="228" t="s">
        <v>293</v>
      </c>
      <c r="E85" s="198" t="s">
        <v>1164</v>
      </c>
      <c r="F85" s="161">
        <f t="shared" si="56"/>
        <v>0</v>
      </c>
      <c r="G85" s="165">
        <f t="shared" si="57"/>
        <v>2619.75</v>
      </c>
      <c r="H85" s="54"/>
      <c r="I85" s="219">
        <v>0</v>
      </c>
      <c r="J85" s="219">
        <v>0</v>
      </c>
      <c r="K85" s="127">
        <f t="shared" si="58"/>
        <v>2619.75</v>
      </c>
      <c r="L85" s="127">
        <f t="shared" si="59"/>
        <v>2619.75</v>
      </c>
      <c r="M85" s="127">
        <f t="shared" si="60"/>
        <v>2619.75</v>
      </c>
      <c r="N85" s="127">
        <f t="shared" si="61"/>
        <v>0</v>
      </c>
      <c r="O85" s="125">
        <f t="shared" si="62"/>
        <v>2619.75</v>
      </c>
      <c r="P85" s="52"/>
      <c r="Q85" s="52">
        <v>2619.75</v>
      </c>
      <c r="R85" s="52">
        <f t="shared" si="63"/>
        <v>0</v>
      </c>
      <c r="S85" s="52">
        <f t="shared" si="64"/>
        <v>2619.75</v>
      </c>
      <c r="T85" s="52"/>
      <c r="U85" s="52"/>
      <c r="V85" s="52"/>
      <c r="W85" s="57"/>
      <c r="X85" s="52">
        <f t="shared" si="65"/>
        <v>0</v>
      </c>
      <c r="Y85" s="52">
        <f t="shared" si="65"/>
        <v>0</v>
      </c>
      <c r="Z85" s="52"/>
      <c r="AA85" s="52"/>
      <c r="AB85" s="52"/>
      <c r="AC85" s="52"/>
      <c r="AD85" s="52">
        <f t="shared" si="66"/>
        <v>0</v>
      </c>
      <c r="AE85" s="52">
        <f t="shared" si="66"/>
        <v>0</v>
      </c>
      <c r="AF85" s="52">
        <f t="shared" si="67"/>
        <v>0</v>
      </c>
      <c r="AG85" s="52">
        <f t="shared" si="68"/>
        <v>0</v>
      </c>
      <c r="AH85" s="52">
        <f t="shared" si="68"/>
        <v>2619.75</v>
      </c>
      <c r="AI85" s="52">
        <f t="shared" si="69"/>
        <v>2619.75</v>
      </c>
      <c r="AJ85" s="52">
        <f t="shared" si="70"/>
        <v>2619.75</v>
      </c>
      <c r="AK85" s="52">
        <f t="shared" si="70"/>
        <v>2619.75</v>
      </c>
      <c r="AL85" s="57"/>
      <c r="AM85" s="57"/>
      <c r="AN85" s="57"/>
      <c r="AO85" s="57"/>
      <c r="AP85" s="52">
        <f t="shared" si="71"/>
        <v>0</v>
      </c>
      <c r="AQ85" s="52">
        <f t="shared" si="71"/>
        <v>0</v>
      </c>
      <c r="AR85" s="57"/>
      <c r="AS85" s="52"/>
      <c r="AT85" s="52"/>
      <c r="AU85" s="52"/>
      <c r="AV85" s="52">
        <f t="shared" si="72"/>
        <v>0</v>
      </c>
      <c r="AW85" s="52">
        <f t="shared" si="72"/>
        <v>0</v>
      </c>
      <c r="AX85" s="52"/>
      <c r="AY85" s="52"/>
      <c r="AZ85" s="52"/>
      <c r="BA85" s="52"/>
      <c r="BB85" s="52">
        <f t="shared" si="73"/>
        <v>0</v>
      </c>
      <c r="BC85" s="52"/>
      <c r="BD85" s="52">
        <f t="shared" si="49"/>
        <v>0</v>
      </c>
      <c r="BE85" s="52"/>
      <c r="BF85" s="52"/>
      <c r="BG85" s="52"/>
      <c r="BH85" s="52"/>
      <c r="BI85" s="52">
        <f t="shared" si="74"/>
        <v>0</v>
      </c>
      <c r="BJ85" s="52"/>
      <c r="BK85" s="52">
        <f t="shared" si="50"/>
        <v>0</v>
      </c>
      <c r="BL85" s="52"/>
      <c r="BM85" s="52"/>
      <c r="BN85" s="52"/>
      <c r="BO85" s="52"/>
      <c r="BP85" s="52">
        <f t="shared" si="75"/>
        <v>0</v>
      </c>
      <c r="BQ85" s="52"/>
      <c r="BR85" s="52">
        <f t="shared" si="51"/>
        <v>0</v>
      </c>
      <c r="BS85" s="52"/>
      <c r="BT85" s="52"/>
      <c r="BU85" s="52"/>
      <c r="BV85" s="52"/>
      <c r="BW85" s="52">
        <f t="shared" si="76"/>
        <v>0</v>
      </c>
      <c r="BX85" s="52"/>
      <c r="BY85" s="52">
        <f t="shared" si="52"/>
        <v>0</v>
      </c>
      <c r="BZ85" s="52"/>
      <c r="CA85" s="52"/>
      <c r="CB85" s="52"/>
      <c r="CC85" s="52"/>
      <c r="CD85" s="52">
        <f t="shared" si="77"/>
        <v>0</v>
      </c>
      <c r="CE85" s="52">
        <f t="shared" si="77"/>
        <v>0</v>
      </c>
      <c r="CF85" s="52"/>
      <c r="CG85" s="52"/>
      <c r="CH85" s="52"/>
      <c r="CI85" s="52"/>
      <c r="CJ85" s="52">
        <f t="shared" si="78"/>
        <v>0</v>
      </c>
      <c r="CK85" s="52">
        <f t="shared" si="78"/>
        <v>0</v>
      </c>
      <c r="CL85" s="52"/>
      <c r="CM85" s="52"/>
      <c r="CN85" s="52"/>
      <c r="CO85" s="52"/>
      <c r="CP85" s="52">
        <f t="shared" si="79"/>
        <v>0</v>
      </c>
      <c r="CQ85" s="52">
        <f t="shared" si="79"/>
        <v>0</v>
      </c>
      <c r="CR85" s="52"/>
      <c r="CS85" s="52"/>
      <c r="CT85" s="52"/>
      <c r="CU85" s="52"/>
      <c r="CV85" s="52">
        <f t="shared" si="80"/>
        <v>0</v>
      </c>
      <c r="CW85" s="52">
        <f t="shared" si="80"/>
        <v>0</v>
      </c>
      <c r="CX85" s="52"/>
      <c r="CY85" s="52"/>
      <c r="CZ85" s="52"/>
      <c r="DA85" s="52"/>
      <c r="DB85" s="52">
        <f t="shared" si="81"/>
        <v>0</v>
      </c>
      <c r="DC85" s="52">
        <f t="shared" si="81"/>
        <v>0</v>
      </c>
      <c r="DD85" s="52"/>
      <c r="DE85" s="52"/>
      <c r="DF85" s="52"/>
      <c r="DG85" s="52"/>
      <c r="DH85" s="52">
        <f t="shared" si="82"/>
        <v>0</v>
      </c>
      <c r="DI85" s="52">
        <f t="shared" si="82"/>
        <v>0</v>
      </c>
      <c r="DJ85" s="52">
        <f t="shared" si="53"/>
        <v>0</v>
      </c>
      <c r="DK85" s="52">
        <f t="shared" si="54"/>
        <v>0</v>
      </c>
      <c r="DL85" s="52">
        <f t="shared" si="83"/>
        <v>0</v>
      </c>
      <c r="DM85" s="52">
        <f t="shared" si="55"/>
        <v>0</v>
      </c>
      <c r="DN85" s="52">
        <f t="shared" si="84"/>
        <v>0</v>
      </c>
      <c r="DO85" s="52">
        <f t="shared" si="84"/>
        <v>0</v>
      </c>
    </row>
    <row r="86" spans="1:119">
      <c r="A86" s="224">
        <v>78</v>
      </c>
      <c r="B86" s="26" t="s">
        <v>168</v>
      </c>
      <c r="C86" s="53" t="s">
        <v>294</v>
      </c>
      <c r="D86" s="227" t="s">
        <v>295</v>
      </c>
      <c r="E86" s="191" t="s">
        <v>1165</v>
      </c>
      <c r="F86" s="161">
        <f t="shared" si="56"/>
        <v>0</v>
      </c>
      <c r="G86" s="165">
        <f t="shared" si="57"/>
        <v>0</v>
      </c>
      <c r="H86" s="54">
        <v>30000</v>
      </c>
      <c r="I86" s="219">
        <v>0</v>
      </c>
      <c r="J86" s="219">
        <v>0</v>
      </c>
      <c r="K86" s="127">
        <f t="shared" si="58"/>
        <v>0</v>
      </c>
      <c r="L86" s="127">
        <f t="shared" si="59"/>
        <v>0</v>
      </c>
      <c r="M86" s="127">
        <f t="shared" si="60"/>
        <v>0</v>
      </c>
      <c r="N86" s="127">
        <f t="shared" si="61"/>
        <v>0</v>
      </c>
      <c r="O86" s="125" t="str">
        <f t="shared" si="62"/>
        <v>ნულოვანი შესრულება</v>
      </c>
      <c r="P86" s="52"/>
      <c r="Q86" s="52"/>
      <c r="R86" s="52">
        <f t="shared" si="63"/>
        <v>0</v>
      </c>
      <c r="S86" s="52">
        <f t="shared" si="64"/>
        <v>0</v>
      </c>
      <c r="T86" s="52"/>
      <c r="U86" s="52"/>
      <c r="V86" s="52"/>
      <c r="W86" s="52"/>
      <c r="X86" s="52">
        <f t="shared" si="65"/>
        <v>0</v>
      </c>
      <c r="Y86" s="52">
        <f t="shared" si="65"/>
        <v>0</v>
      </c>
      <c r="Z86" s="52"/>
      <c r="AA86" s="52"/>
      <c r="AB86" s="52"/>
      <c r="AC86" s="52"/>
      <c r="AD86" s="52">
        <f t="shared" si="66"/>
        <v>0</v>
      </c>
      <c r="AE86" s="52">
        <f t="shared" si="66"/>
        <v>0</v>
      </c>
      <c r="AF86" s="52">
        <f t="shared" si="67"/>
        <v>0</v>
      </c>
      <c r="AG86" s="52">
        <f t="shared" si="68"/>
        <v>0</v>
      </c>
      <c r="AH86" s="52">
        <f t="shared" si="68"/>
        <v>0</v>
      </c>
      <c r="AI86" s="52">
        <f t="shared" si="69"/>
        <v>0</v>
      </c>
      <c r="AJ86" s="52">
        <f t="shared" si="70"/>
        <v>0</v>
      </c>
      <c r="AK86" s="52">
        <f t="shared" si="70"/>
        <v>0</v>
      </c>
      <c r="AL86" s="52"/>
      <c r="AM86" s="52"/>
      <c r="AN86" s="52"/>
      <c r="AO86" s="52"/>
      <c r="AP86" s="52">
        <f t="shared" si="71"/>
        <v>0</v>
      </c>
      <c r="AQ86" s="52">
        <f t="shared" si="71"/>
        <v>0</v>
      </c>
      <c r="AR86" s="52"/>
      <c r="AS86" s="52"/>
      <c r="AT86" s="52"/>
      <c r="AU86" s="52"/>
      <c r="AV86" s="52">
        <f t="shared" si="72"/>
        <v>0</v>
      </c>
      <c r="AW86" s="52">
        <f t="shared" si="72"/>
        <v>0</v>
      </c>
      <c r="AX86" s="52"/>
      <c r="AY86" s="52"/>
      <c r="AZ86" s="52"/>
      <c r="BA86" s="52"/>
      <c r="BB86" s="52">
        <f t="shared" si="73"/>
        <v>0</v>
      </c>
      <c r="BC86" s="52">
        <v>0</v>
      </c>
      <c r="BD86" s="52">
        <f t="shared" si="49"/>
        <v>0</v>
      </c>
      <c r="BE86" s="52"/>
      <c r="BF86" s="52"/>
      <c r="BG86" s="52"/>
      <c r="BH86" s="52"/>
      <c r="BI86" s="52">
        <f t="shared" si="74"/>
        <v>0</v>
      </c>
      <c r="BJ86" s="52"/>
      <c r="BK86" s="52">
        <f t="shared" si="50"/>
        <v>0</v>
      </c>
      <c r="BL86" s="52"/>
      <c r="BM86" s="52"/>
      <c r="BN86" s="52"/>
      <c r="BO86" s="52"/>
      <c r="BP86" s="52">
        <f t="shared" si="75"/>
        <v>0</v>
      </c>
      <c r="BQ86" s="52"/>
      <c r="BR86" s="52">
        <f t="shared" si="51"/>
        <v>0</v>
      </c>
      <c r="BS86" s="52"/>
      <c r="BT86" s="52"/>
      <c r="BU86" s="52"/>
      <c r="BV86" s="52"/>
      <c r="BW86" s="52">
        <f t="shared" si="76"/>
        <v>0</v>
      </c>
      <c r="BX86" s="52"/>
      <c r="BY86" s="52">
        <f t="shared" si="52"/>
        <v>0</v>
      </c>
      <c r="BZ86" s="52"/>
      <c r="CA86" s="52"/>
      <c r="CB86" s="52"/>
      <c r="CC86" s="52"/>
      <c r="CD86" s="52">
        <f t="shared" si="77"/>
        <v>0</v>
      </c>
      <c r="CE86" s="52">
        <f t="shared" si="77"/>
        <v>0</v>
      </c>
      <c r="CF86" s="52"/>
      <c r="CG86" s="52"/>
      <c r="CH86" s="52"/>
      <c r="CI86" s="52"/>
      <c r="CJ86" s="52">
        <f t="shared" si="78"/>
        <v>0</v>
      </c>
      <c r="CK86" s="52">
        <f t="shared" si="78"/>
        <v>0</v>
      </c>
      <c r="CL86" s="52"/>
      <c r="CM86" s="52"/>
      <c r="CN86" s="52"/>
      <c r="CO86" s="52"/>
      <c r="CP86" s="52">
        <f t="shared" si="79"/>
        <v>0</v>
      </c>
      <c r="CQ86" s="52">
        <f t="shared" si="79"/>
        <v>0</v>
      </c>
      <c r="CR86" s="52"/>
      <c r="CS86" s="52"/>
      <c r="CT86" s="52"/>
      <c r="CU86" s="52"/>
      <c r="CV86" s="52">
        <f t="shared" si="80"/>
        <v>0</v>
      </c>
      <c r="CW86" s="52">
        <f t="shared" si="80"/>
        <v>0</v>
      </c>
      <c r="CX86" s="52"/>
      <c r="CY86" s="52"/>
      <c r="CZ86" s="52"/>
      <c r="DA86" s="52"/>
      <c r="DB86" s="52">
        <f t="shared" si="81"/>
        <v>0</v>
      </c>
      <c r="DC86" s="52">
        <f t="shared" si="81"/>
        <v>0</v>
      </c>
      <c r="DD86" s="52"/>
      <c r="DE86" s="52"/>
      <c r="DF86" s="52"/>
      <c r="DG86" s="52"/>
      <c r="DH86" s="52">
        <f t="shared" si="82"/>
        <v>0</v>
      </c>
      <c r="DI86" s="52">
        <f t="shared" si="82"/>
        <v>0</v>
      </c>
      <c r="DJ86" s="52">
        <f t="shared" si="53"/>
        <v>0</v>
      </c>
      <c r="DK86" s="52">
        <f t="shared" si="54"/>
        <v>0</v>
      </c>
      <c r="DL86" s="52">
        <f t="shared" si="83"/>
        <v>0</v>
      </c>
      <c r="DM86" s="52">
        <f t="shared" si="55"/>
        <v>0</v>
      </c>
      <c r="DN86" s="52">
        <f t="shared" si="84"/>
        <v>0</v>
      </c>
      <c r="DO86" s="52">
        <f t="shared" si="84"/>
        <v>0</v>
      </c>
    </row>
    <row r="87" spans="1:119">
      <c r="A87" s="224">
        <v>79</v>
      </c>
      <c r="B87" s="26" t="s">
        <v>176</v>
      </c>
      <c r="C87" s="53" t="s">
        <v>296</v>
      </c>
      <c r="D87" s="230" t="s">
        <v>297</v>
      </c>
      <c r="E87" s="200" t="s">
        <v>1165</v>
      </c>
      <c r="F87" s="161">
        <f t="shared" si="56"/>
        <v>0</v>
      </c>
      <c r="G87" s="165">
        <f t="shared" si="57"/>
        <v>483964.43</v>
      </c>
      <c r="H87" s="54">
        <v>160178</v>
      </c>
      <c r="I87" s="219">
        <v>380000</v>
      </c>
      <c r="J87" s="219">
        <v>0</v>
      </c>
      <c r="K87" s="127">
        <f t="shared" si="58"/>
        <v>103964.43</v>
      </c>
      <c r="L87" s="127">
        <f t="shared" si="59"/>
        <v>483964.43</v>
      </c>
      <c r="M87" s="127">
        <f t="shared" si="60"/>
        <v>483964.43</v>
      </c>
      <c r="N87" s="127">
        <f t="shared" si="61"/>
        <v>0</v>
      </c>
      <c r="O87" s="125">
        <f t="shared" si="62"/>
        <v>483964.43</v>
      </c>
      <c r="P87" s="52">
        <v>70000</v>
      </c>
      <c r="Q87" s="52">
        <v>33964.43</v>
      </c>
      <c r="R87" s="52">
        <f t="shared" si="63"/>
        <v>450000</v>
      </c>
      <c r="S87" s="52">
        <f t="shared" si="64"/>
        <v>33964.43</v>
      </c>
      <c r="T87" s="52"/>
      <c r="U87" s="52"/>
      <c r="V87" s="52"/>
      <c r="W87" s="52"/>
      <c r="X87" s="52">
        <f t="shared" si="65"/>
        <v>0</v>
      </c>
      <c r="Y87" s="52">
        <f t="shared" si="65"/>
        <v>0</v>
      </c>
      <c r="Z87" s="52"/>
      <c r="AA87" s="52"/>
      <c r="AB87" s="52"/>
      <c r="AC87" s="52"/>
      <c r="AD87" s="52">
        <f t="shared" si="66"/>
        <v>0</v>
      </c>
      <c r="AE87" s="52">
        <f t="shared" si="66"/>
        <v>0</v>
      </c>
      <c r="AF87" s="52">
        <f t="shared" si="67"/>
        <v>70000</v>
      </c>
      <c r="AG87" s="52">
        <f t="shared" si="68"/>
        <v>70000</v>
      </c>
      <c r="AH87" s="52">
        <f t="shared" si="68"/>
        <v>33964.43</v>
      </c>
      <c r="AI87" s="52">
        <f t="shared" si="69"/>
        <v>33964.43</v>
      </c>
      <c r="AJ87" s="52">
        <f t="shared" si="70"/>
        <v>103964.43</v>
      </c>
      <c r="AK87" s="52">
        <f t="shared" si="70"/>
        <v>103964.43</v>
      </c>
      <c r="AL87" s="52"/>
      <c r="AM87" s="52"/>
      <c r="AN87" s="52"/>
      <c r="AO87" s="52"/>
      <c r="AP87" s="52">
        <f t="shared" si="71"/>
        <v>0</v>
      </c>
      <c r="AQ87" s="52">
        <f t="shared" si="71"/>
        <v>0</v>
      </c>
      <c r="AR87" s="52"/>
      <c r="AS87" s="52"/>
      <c r="AT87" s="52"/>
      <c r="AU87" s="52"/>
      <c r="AV87" s="52">
        <f t="shared" si="72"/>
        <v>0</v>
      </c>
      <c r="AW87" s="52">
        <f t="shared" si="72"/>
        <v>0</v>
      </c>
      <c r="AX87" s="52"/>
      <c r="AY87" s="52"/>
      <c r="AZ87" s="52"/>
      <c r="BA87" s="52"/>
      <c r="BB87" s="52">
        <f t="shared" si="73"/>
        <v>0</v>
      </c>
      <c r="BC87" s="52"/>
      <c r="BD87" s="52">
        <f t="shared" si="49"/>
        <v>0</v>
      </c>
      <c r="BE87" s="52"/>
      <c r="BF87" s="52"/>
      <c r="BG87" s="52"/>
      <c r="BH87" s="52"/>
      <c r="BI87" s="52">
        <f t="shared" si="74"/>
        <v>0</v>
      </c>
      <c r="BJ87" s="52"/>
      <c r="BK87" s="52">
        <f t="shared" si="50"/>
        <v>0</v>
      </c>
      <c r="BL87" s="52"/>
      <c r="BM87" s="52"/>
      <c r="BN87" s="52"/>
      <c r="BO87" s="52"/>
      <c r="BP87" s="52">
        <f t="shared" si="75"/>
        <v>0</v>
      </c>
      <c r="BQ87" s="52"/>
      <c r="BR87" s="52">
        <f t="shared" si="51"/>
        <v>0</v>
      </c>
      <c r="BS87" s="52"/>
      <c r="BT87" s="52"/>
      <c r="BU87" s="52"/>
      <c r="BV87" s="52"/>
      <c r="BW87" s="52">
        <f t="shared" si="76"/>
        <v>0</v>
      </c>
      <c r="BX87" s="52"/>
      <c r="BY87" s="52">
        <f t="shared" si="52"/>
        <v>0</v>
      </c>
      <c r="BZ87" s="52"/>
      <c r="CA87" s="52"/>
      <c r="CB87" s="52"/>
      <c r="CC87" s="52"/>
      <c r="CD87" s="52">
        <f t="shared" si="77"/>
        <v>0</v>
      </c>
      <c r="CE87" s="52">
        <f t="shared" si="77"/>
        <v>0</v>
      </c>
      <c r="CF87" s="52"/>
      <c r="CG87" s="52"/>
      <c r="CH87" s="52"/>
      <c r="CI87" s="52"/>
      <c r="CJ87" s="52">
        <f t="shared" si="78"/>
        <v>0</v>
      </c>
      <c r="CK87" s="52">
        <f t="shared" si="78"/>
        <v>0</v>
      </c>
      <c r="CL87" s="52"/>
      <c r="CM87" s="52"/>
      <c r="CN87" s="52"/>
      <c r="CO87" s="52"/>
      <c r="CP87" s="52">
        <f t="shared" si="79"/>
        <v>0</v>
      </c>
      <c r="CQ87" s="52">
        <f t="shared" si="79"/>
        <v>0</v>
      </c>
      <c r="CR87" s="52"/>
      <c r="CS87" s="52"/>
      <c r="CT87" s="52"/>
      <c r="CU87" s="52"/>
      <c r="CV87" s="52">
        <f t="shared" si="80"/>
        <v>0</v>
      </c>
      <c r="CW87" s="52">
        <f t="shared" si="80"/>
        <v>0</v>
      </c>
      <c r="CX87" s="52"/>
      <c r="CY87" s="52"/>
      <c r="CZ87" s="52"/>
      <c r="DA87" s="52"/>
      <c r="DB87" s="52">
        <f t="shared" si="81"/>
        <v>0</v>
      </c>
      <c r="DC87" s="52">
        <f t="shared" si="81"/>
        <v>0</v>
      </c>
      <c r="DD87" s="52"/>
      <c r="DE87" s="52"/>
      <c r="DF87" s="52"/>
      <c r="DG87" s="52"/>
      <c r="DH87" s="52">
        <f t="shared" si="82"/>
        <v>0</v>
      </c>
      <c r="DI87" s="52">
        <f t="shared" si="82"/>
        <v>0</v>
      </c>
      <c r="DJ87" s="52">
        <f t="shared" si="53"/>
        <v>0</v>
      </c>
      <c r="DK87" s="52">
        <f t="shared" si="54"/>
        <v>0</v>
      </c>
      <c r="DL87" s="52">
        <f t="shared" si="83"/>
        <v>0</v>
      </c>
      <c r="DM87" s="52">
        <f t="shared" si="55"/>
        <v>0</v>
      </c>
      <c r="DN87" s="52">
        <f t="shared" si="84"/>
        <v>0</v>
      </c>
      <c r="DO87" s="52">
        <f t="shared" si="84"/>
        <v>0</v>
      </c>
    </row>
    <row r="88" spans="1:119" s="278" customFormat="1">
      <c r="A88" s="297">
        <v>80</v>
      </c>
      <c r="B88" s="276" t="s">
        <v>176</v>
      </c>
      <c r="C88" s="298" t="s">
        <v>298</v>
      </c>
      <c r="D88" s="299" t="s">
        <v>299</v>
      </c>
      <c r="E88" s="298" t="s">
        <v>1165</v>
      </c>
      <c r="F88" s="255">
        <f t="shared" si="56"/>
        <v>0</v>
      </c>
      <c r="G88" s="256">
        <f t="shared" si="57"/>
        <v>0</v>
      </c>
      <c r="H88" s="54">
        <v>25000</v>
      </c>
      <c r="I88" s="219">
        <v>0</v>
      </c>
      <c r="J88" s="219">
        <v>0</v>
      </c>
      <c r="K88" s="255">
        <f t="shared" si="58"/>
        <v>0</v>
      </c>
      <c r="L88" s="255">
        <f t="shared" si="59"/>
        <v>0</v>
      </c>
      <c r="M88" s="255">
        <f t="shared" si="60"/>
        <v>0</v>
      </c>
      <c r="N88" s="255">
        <f t="shared" si="61"/>
        <v>0</v>
      </c>
      <c r="O88" s="255" t="str">
        <f t="shared" si="62"/>
        <v>ნულოვანი შესრულება</v>
      </c>
      <c r="P88" s="52"/>
      <c r="Q88" s="52"/>
      <c r="R88" s="52">
        <f t="shared" si="63"/>
        <v>0</v>
      </c>
      <c r="S88" s="52">
        <f t="shared" si="64"/>
        <v>0</v>
      </c>
      <c r="T88" s="52"/>
      <c r="U88" s="52"/>
      <c r="V88" s="52"/>
      <c r="W88" s="52"/>
      <c r="X88" s="52">
        <f t="shared" si="65"/>
        <v>0</v>
      </c>
      <c r="Y88" s="52">
        <f t="shared" si="65"/>
        <v>0</v>
      </c>
      <c r="Z88" s="52"/>
      <c r="AA88" s="52"/>
      <c r="AB88" s="52"/>
      <c r="AC88" s="52"/>
      <c r="AD88" s="52">
        <f t="shared" si="66"/>
        <v>0</v>
      </c>
      <c r="AE88" s="52">
        <f t="shared" si="66"/>
        <v>0</v>
      </c>
      <c r="AF88" s="52">
        <f t="shared" si="67"/>
        <v>0</v>
      </c>
      <c r="AG88" s="52">
        <f t="shared" si="68"/>
        <v>0</v>
      </c>
      <c r="AH88" s="52">
        <f t="shared" si="68"/>
        <v>0</v>
      </c>
      <c r="AI88" s="52">
        <f t="shared" si="69"/>
        <v>0</v>
      </c>
      <c r="AJ88" s="52">
        <f t="shared" si="70"/>
        <v>0</v>
      </c>
      <c r="AK88" s="52">
        <f t="shared" si="70"/>
        <v>0</v>
      </c>
      <c r="AL88" s="258"/>
      <c r="AM88" s="258"/>
      <c r="AN88" s="258"/>
      <c r="AO88" s="258"/>
      <c r="AP88" s="258">
        <f t="shared" si="71"/>
        <v>0</v>
      </c>
      <c r="AQ88" s="258">
        <f t="shared" si="71"/>
        <v>0</v>
      </c>
      <c r="AR88" s="258"/>
      <c r="AS88" s="258"/>
      <c r="AT88" s="258"/>
      <c r="AU88" s="258"/>
      <c r="AV88" s="258">
        <f t="shared" si="72"/>
        <v>0</v>
      </c>
      <c r="AW88" s="258">
        <f t="shared" si="72"/>
        <v>0</v>
      </c>
      <c r="AX88" s="258"/>
      <c r="AY88" s="258"/>
      <c r="AZ88" s="258"/>
      <c r="BA88" s="258"/>
      <c r="BB88" s="258">
        <f t="shared" si="73"/>
        <v>0</v>
      </c>
      <c r="BC88" s="55">
        <v>0</v>
      </c>
      <c r="BD88" s="258">
        <f t="shared" si="49"/>
        <v>0</v>
      </c>
      <c r="BE88" s="258"/>
      <c r="BF88" s="258"/>
      <c r="BG88" s="258"/>
      <c r="BH88" s="258"/>
      <c r="BI88" s="258">
        <f t="shared" si="74"/>
        <v>0</v>
      </c>
      <c r="BJ88" s="258"/>
      <c r="BK88" s="258">
        <f t="shared" si="50"/>
        <v>0</v>
      </c>
      <c r="BL88" s="258"/>
      <c r="BM88" s="258"/>
      <c r="BN88" s="258"/>
      <c r="BO88" s="258"/>
      <c r="BP88" s="258">
        <f t="shared" si="75"/>
        <v>0</v>
      </c>
      <c r="BQ88" s="258"/>
      <c r="BR88" s="258">
        <f t="shared" si="51"/>
        <v>0</v>
      </c>
      <c r="BS88" s="258"/>
      <c r="BT88" s="258"/>
      <c r="BU88" s="258"/>
      <c r="BV88" s="258"/>
      <c r="BW88" s="258">
        <f t="shared" si="76"/>
        <v>0</v>
      </c>
      <c r="BX88" s="258"/>
      <c r="BY88" s="258">
        <f t="shared" si="52"/>
        <v>0</v>
      </c>
      <c r="BZ88" s="258"/>
      <c r="CA88" s="258"/>
      <c r="CB88" s="258"/>
      <c r="CC88" s="258"/>
      <c r="CD88" s="258">
        <f t="shared" si="77"/>
        <v>0</v>
      </c>
      <c r="CE88" s="258">
        <f t="shared" si="77"/>
        <v>0</v>
      </c>
      <c r="CF88" s="258"/>
      <c r="CG88" s="258"/>
      <c r="CH88" s="258"/>
      <c r="CI88" s="258"/>
      <c r="CJ88" s="258">
        <f t="shared" si="78"/>
        <v>0</v>
      </c>
      <c r="CK88" s="258">
        <f t="shared" si="78"/>
        <v>0</v>
      </c>
      <c r="CL88" s="258"/>
      <c r="CM88" s="258"/>
      <c r="CN88" s="258"/>
      <c r="CO88" s="258"/>
      <c r="CP88" s="258">
        <f t="shared" si="79"/>
        <v>0</v>
      </c>
      <c r="CQ88" s="258">
        <f t="shared" si="79"/>
        <v>0</v>
      </c>
      <c r="CR88" s="258"/>
      <c r="CS88" s="258"/>
      <c r="CT88" s="258"/>
      <c r="CU88" s="258"/>
      <c r="CV88" s="258">
        <f t="shared" si="80"/>
        <v>0</v>
      </c>
      <c r="CW88" s="258">
        <f t="shared" si="80"/>
        <v>0</v>
      </c>
      <c r="CX88" s="258"/>
      <c r="CY88" s="258"/>
      <c r="CZ88" s="258"/>
      <c r="DA88" s="258"/>
      <c r="DB88" s="258">
        <f t="shared" si="81"/>
        <v>0</v>
      </c>
      <c r="DC88" s="258">
        <f t="shared" si="81"/>
        <v>0</v>
      </c>
      <c r="DD88" s="258"/>
      <c r="DE88" s="258"/>
      <c r="DF88" s="258"/>
      <c r="DG88" s="258"/>
      <c r="DH88" s="258">
        <f t="shared" si="82"/>
        <v>0</v>
      </c>
      <c r="DI88" s="258">
        <f t="shared" si="82"/>
        <v>0</v>
      </c>
      <c r="DJ88" s="258">
        <f t="shared" si="53"/>
        <v>0</v>
      </c>
      <c r="DK88" s="258">
        <f t="shared" si="54"/>
        <v>0</v>
      </c>
      <c r="DL88" s="52">
        <f t="shared" si="83"/>
        <v>0</v>
      </c>
      <c r="DM88" s="258">
        <f t="shared" si="55"/>
        <v>0</v>
      </c>
      <c r="DN88" s="258">
        <f t="shared" si="84"/>
        <v>0</v>
      </c>
      <c r="DO88" s="258">
        <f t="shared" si="84"/>
        <v>0</v>
      </c>
    </row>
    <row r="89" spans="1:119" s="278" customFormat="1">
      <c r="A89" s="297">
        <v>81</v>
      </c>
      <c r="B89" s="276" t="s">
        <v>168</v>
      </c>
      <c r="C89" s="298" t="s">
        <v>300</v>
      </c>
      <c r="D89" s="299" t="s">
        <v>301</v>
      </c>
      <c r="E89" s="298" t="s">
        <v>1165</v>
      </c>
      <c r="F89" s="255">
        <f t="shared" si="56"/>
        <v>0</v>
      </c>
      <c r="G89" s="256">
        <f t="shared" si="57"/>
        <v>0</v>
      </c>
      <c r="H89" s="54">
        <v>20000</v>
      </c>
      <c r="I89" s="220">
        <v>0</v>
      </c>
      <c r="J89" s="220">
        <v>0</v>
      </c>
      <c r="K89" s="255">
        <f t="shared" si="58"/>
        <v>0</v>
      </c>
      <c r="L89" s="255">
        <f t="shared" si="59"/>
        <v>0</v>
      </c>
      <c r="M89" s="255">
        <f t="shared" si="60"/>
        <v>0</v>
      </c>
      <c r="N89" s="255">
        <f t="shared" si="61"/>
        <v>0</v>
      </c>
      <c r="O89" s="255" t="str">
        <f t="shared" si="62"/>
        <v>ნულოვანი შესრულება</v>
      </c>
      <c r="P89" s="57"/>
      <c r="Q89" s="57"/>
      <c r="R89" s="52">
        <f t="shared" si="63"/>
        <v>0</v>
      </c>
      <c r="S89" s="52">
        <f t="shared" si="64"/>
        <v>0</v>
      </c>
      <c r="T89" s="57"/>
      <c r="U89" s="57"/>
      <c r="V89" s="57"/>
      <c r="W89" s="57"/>
      <c r="X89" s="52">
        <f t="shared" si="65"/>
        <v>0</v>
      </c>
      <c r="Y89" s="52">
        <f t="shared" si="65"/>
        <v>0</v>
      </c>
      <c r="Z89" s="57"/>
      <c r="AA89" s="57"/>
      <c r="AB89" s="57"/>
      <c r="AC89" s="57"/>
      <c r="AD89" s="52">
        <f t="shared" si="66"/>
        <v>0</v>
      </c>
      <c r="AE89" s="52">
        <f t="shared" si="66"/>
        <v>0</v>
      </c>
      <c r="AF89" s="52">
        <f t="shared" si="67"/>
        <v>0</v>
      </c>
      <c r="AG89" s="52">
        <f t="shared" si="68"/>
        <v>0</v>
      </c>
      <c r="AH89" s="52">
        <f t="shared" si="68"/>
        <v>0</v>
      </c>
      <c r="AI89" s="52">
        <f t="shared" si="69"/>
        <v>0</v>
      </c>
      <c r="AJ89" s="52">
        <f t="shared" si="70"/>
        <v>0</v>
      </c>
      <c r="AK89" s="52">
        <f t="shared" si="70"/>
        <v>0</v>
      </c>
      <c r="AL89" s="301"/>
      <c r="AM89" s="301"/>
      <c r="AN89" s="301"/>
      <c r="AO89" s="301"/>
      <c r="AP89" s="258">
        <f t="shared" si="71"/>
        <v>0</v>
      </c>
      <c r="AQ89" s="258">
        <f t="shared" si="71"/>
        <v>0</v>
      </c>
      <c r="AR89" s="301"/>
      <c r="AS89" s="301"/>
      <c r="AT89" s="301"/>
      <c r="AU89" s="301"/>
      <c r="AV89" s="258">
        <f t="shared" si="72"/>
        <v>0</v>
      </c>
      <c r="AW89" s="258">
        <f t="shared" si="72"/>
        <v>0</v>
      </c>
      <c r="AX89" s="301"/>
      <c r="AY89" s="301"/>
      <c r="AZ89" s="301"/>
      <c r="BA89" s="301"/>
      <c r="BB89" s="258">
        <f t="shared" si="73"/>
        <v>0</v>
      </c>
      <c r="BC89" s="258"/>
      <c r="BD89" s="258">
        <f t="shared" si="49"/>
        <v>0</v>
      </c>
      <c r="BE89" s="258"/>
      <c r="BF89" s="258"/>
      <c r="BG89" s="258"/>
      <c r="BH89" s="258"/>
      <c r="BI89" s="258">
        <f t="shared" si="74"/>
        <v>0</v>
      </c>
      <c r="BJ89" s="258"/>
      <c r="BK89" s="258">
        <f t="shared" si="50"/>
        <v>0</v>
      </c>
      <c r="BL89" s="258"/>
      <c r="BM89" s="258"/>
      <c r="BN89" s="258"/>
      <c r="BO89" s="258"/>
      <c r="BP89" s="258">
        <f t="shared" si="75"/>
        <v>0</v>
      </c>
      <c r="BQ89" s="258"/>
      <c r="BR89" s="258">
        <f t="shared" si="51"/>
        <v>0</v>
      </c>
      <c r="BS89" s="258"/>
      <c r="BT89" s="258"/>
      <c r="BU89" s="258"/>
      <c r="BV89" s="258"/>
      <c r="BW89" s="258">
        <f t="shared" si="76"/>
        <v>0</v>
      </c>
      <c r="BX89" s="258"/>
      <c r="BY89" s="258">
        <f t="shared" si="52"/>
        <v>0</v>
      </c>
      <c r="BZ89" s="258"/>
      <c r="CA89" s="258"/>
      <c r="CB89" s="258"/>
      <c r="CC89" s="258"/>
      <c r="CD89" s="258">
        <f t="shared" si="77"/>
        <v>0</v>
      </c>
      <c r="CE89" s="258">
        <f t="shared" si="77"/>
        <v>0</v>
      </c>
      <c r="CF89" s="258"/>
      <c r="CG89" s="258"/>
      <c r="CH89" s="258"/>
      <c r="CI89" s="258"/>
      <c r="CJ89" s="258">
        <f t="shared" si="78"/>
        <v>0</v>
      </c>
      <c r="CK89" s="258">
        <f t="shared" si="78"/>
        <v>0</v>
      </c>
      <c r="CL89" s="258"/>
      <c r="CM89" s="258"/>
      <c r="CN89" s="258"/>
      <c r="CO89" s="258"/>
      <c r="CP89" s="258">
        <f t="shared" si="79"/>
        <v>0</v>
      </c>
      <c r="CQ89" s="258">
        <f t="shared" si="79"/>
        <v>0</v>
      </c>
      <c r="CR89" s="258"/>
      <c r="CS89" s="258"/>
      <c r="CT89" s="258"/>
      <c r="CU89" s="258"/>
      <c r="CV89" s="258">
        <f t="shared" si="80"/>
        <v>0</v>
      </c>
      <c r="CW89" s="258">
        <f t="shared" si="80"/>
        <v>0</v>
      </c>
      <c r="CX89" s="258"/>
      <c r="CY89" s="258"/>
      <c r="CZ89" s="258"/>
      <c r="DA89" s="258"/>
      <c r="DB89" s="258">
        <f t="shared" si="81"/>
        <v>0</v>
      </c>
      <c r="DC89" s="258">
        <f t="shared" si="81"/>
        <v>0</v>
      </c>
      <c r="DD89" s="258"/>
      <c r="DE89" s="258"/>
      <c r="DF89" s="258"/>
      <c r="DG89" s="258"/>
      <c r="DH89" s="258">
        <f t="shared" si="82"/>
        <v>0</v>
      </c>
      <c r="DI89" s="258">
        <f t="shared" si="82"/>
        <v>0</v>
      </c>
      <c r="DJ89" s="258">
        <f t="shared" si="53"/>
        <v>0</v>
      </c>
      <c r="DK89" s="258">
        <f t="shared" si="54"/>
        <v>0</v>
      </c>
      <c r="DL89" s="52">
        <f t="shared" si="83"/>
        <v>0</v>
      </c>
      <c r="DM89" s="258">
        <f t="shared" si="55"/>
        <v>0</v>
      </c>
      <c r="DN89" s="258">
        <f t="shared" si="84"/>
        <v>0</v>
      </c>
      <c r="DO89" s="258">
        <f t="shared" si="84"/>
        <v>0</v>
      </c>
    </row>
    <row r="90" spans="1:119" s="278" customFormat="1">
      <c r="A90" s="297">
        <v>82</v>
      </c>
      <c r="B90" s="276" t="s">
        <v>168</v>
      </c>
      <c r="C90" s="298" t="s">
        <v>302</v>
      </c>
      <c r="D90" s="299" t="s">
        <v>303</v>
      </c>
      <c r="E90" s="298" t="s">
        <v>1165</v>
      </c>
      <c r="F90" s="255">
        <f t="shared" si="56"/>
        <v>0</v>
      </c>
      <c r="G90" s="256">
        <f t="shared" si="57"/>
        <v>0</v>
      </c>
      <c r="H90" s="54">
        <v>20000</v>
      </c>
      <c r="I90" s="219">
        <v>0</v>
      </c>
      <c r="J90" s="219">
        <v>0</v>
      </c>
      <c r="K90" s="255">
        <f t="shared" si="58"/>
        <v>0</v>
      </c>
      <c r="L90" s="255">
        <f t="shared" si="59"/>
        <v>0</v>
      </c>
      <c r="M90" s="255">
        <f t="shared" si="60"/>
        <v>0</v>
      </c>
      <c r="N90" s="255">
        <f t="shared" si="61"/>
        <v>0</v>
      </c>
      <c r="O90" s="255" t="str">
        <f t="shared" si="62"/>
        <v>ნულოვანი შესრულება</v>
      </c>
      <c r="P90" s="52"/>
      <c r="Q90" s="52"/>
      <c r="R90" s="52">
        <f t="shared" si="63"/>
        <v>0</v>
      </c>
      <c r="S90" s="52">
        <f t="shared" si="64"/>
        <v>0</v>
      </c>
      <c r="T90" s="52"/>
      <c r="U90" s="52"/>
      <c r="V90" s="52"/>
      <c r="W90" s="52"/>
      <c r="X90" s="52">
        <f t="shared" si="65"/>
        <v>0</v>
      </c>
      <c r="Y90" s="52">
        <f t="shared" si="65"/>
        <v>0</v>
      </c>
      <c r="Z90" s="52"/>
      <c r="AA90" s="52"/>
      <c r="AB90" s="52"/>
      <c r="AC90" s="52"/>
      <c r="AD90" s="52">
        <f t="shared" si="66"/>
        <v>0</v>
      </c>
      <c r="AE90" s="52">
        <f t="shared" si="66"/>
        <v>0</v>
      </c>
      <c r="AF90" s="52">
        <f t="shared" si="67"/>
        <v>0</v>
      </c>
      <c r="AG90" s="52">
        <f t="shared" si="68"/>
        <v>0</v>
      </c>
      <c r="AH90" s="52">
        <f t="shared" si="68"/>
        <v>0</v>
      </c>
      <c r="AI90" s="52">
        <f t="shared" si="69"/>
        <v>0</v>
      </c>
      <c r="AJ90" s="52">
        <f t="shared" si="70"/>
        <v>0</v>
      </c>
      <c r="AK90" s="52">
        <f t="shared" si="70"/>
        <v>0</v>
      </c>
      <c r="AL90" s="258"/>
      <c r="AM90" s="258"/>
      <c r="AN90" s="258"/>
      <c r="AO90" s="258"/>
      <c r="AP90" s="258">
        <f t="shared" si="71"/>
        <v>0</v>
      </c>
      <c r="AQ90" s="258">
        <f t="shared" si="71"/>
        <v>0</v>
      </c>
      <c r="AR90" s="258"/>
      <c r="AS90" s="258"/>
      <c r="AT90" s="258"/>
      <c r="AU90" s="258"/>
      <c r="AV90" s="258">
        <f t="shared" si="72"/>
        <v>0</v>
      </c>
      <c r="AW90" s="258">
        <f t="shared" si="72"/>
        <v>0</v>
      </c>
      <c r="AX90" s="258"/>
      <c r="AY90" s="258"/>
      <c r="AZ90" s="258"/>
      <c r="BA90" s="258"/>
      <c r="BB90" s="258">
        <f t="shared" si="73"/>
        <v>0</v>
      </c>
      <c r="BC90" s="258"/>
      <c r="BD90" s="258">
        <f t="shared" si="49"/>
        <v>0</v>
      </c>
      <c r="BE90" s="258"/>
      <c r="BF90" s="258"/>
      <c r="BG90" s="258"/>
      <c r="BH90" s="258"/>
      <c r="BI90" s="258">
        <f t="shared" si="74"/>
        <v>0</v>
      </c>
      <c r="BJ90" s="258"/>
      <c r="BK90" s="258">
        <f t="shared" si="50"/>
        <v>0</v>
      </c>
      <c r="BL90" s="258"/>
      <c r="BM90" s="258"/>
      <c r="BN90" s="258"/>
      <c r="BO90" s="258"/>
      <c r="BP90" s="258">
        <f t="shared" si="75"/>
        <v>0</v>
      </c>
      <c r="BQ90" s="258"/>
      <c r="BR90" s="258">
        <f t="shared" si="51"/>
        <v>0</v>
      </c>
      <c r="BS90" s="258"/>
      <c r="BT90" s="258"/>
      <c r="BU90" s="258"/>
      <c r="BV90" s="258"/>
      <c r="BW90" s="258">
        <f t="shared" si="76"/>
        <v>0</v>
      </c>
      <c r="BX90" s="258"/>
      <c r="BY90" s="258">
        <f t="shared" si="52"/>
        <v>0</v>
      </c>
      <c r="BZ90" s="258"/>
      <c r="CA90" s="258"/>
      <c r="CB90" s="258"/>
      <c r="CC90" s="258"/>
      <c r="CD90" s="258">
        <f t="shared" si="77"/>
        <v>0</v>
      </c>
      <c r="CE90" s="258">
        <f t="shared" si="77"/>
        <v>0</v>
      </c>
      <c r="CF90" s="258"/>
      <c r="CG90" s="258"/>
      <c r="CH90" s="258"/>
      <c r="CI90" s="258"/>
      <c r="CJ90" s="258">
        <f t="shared" si="78"/>
        <v>0</v>
      </c>
      <c r="CK90" s="258">
        <f t="shared" si="78"/>
        <v>0</v>
      </c>
      <c r="CL90" s="258"/>
      <c r="CM90" s="258"/>
      <c r="CN90" s="258"/>
      <c r="CO90" s="258"/>
      <c r="CP90" s="258">
        <f t="shared" si="79"/>
        <v>0</v>
      </c>
      <c r="CQ90" s="258">
        <f t="shared" si="79"/>
        <v>0</v>
      </c>
      <c r="CR90" s="258"/>
      <c r="CS90" s="258"/>
      <c r="CT90" s="258"/>
      <c r="CU90" s="258"/>
      <c r="CV90" s="258">
        <f t="shared" si="80"/>
        <v>0</v>
      </c>
      <c r="CW90" s="258">
        <f t="shared" si="80"/>
        <v>0</v>
      </c>
      <c r="CX90" s="258"/>
      <c r="CY90" s="258"/>
      <c r="CZ90" s="258"/>
      <c r="DA90" s="258"/>
      <c r="DB90" s="258">
        <f t="shared" si="81"/>
        <v>0</v>
      </c>
      <c r="DC90" s="258">
        <f t="shared" si="81"/>
        <v>0</v>
      </c>
      <c r="DD90" s="258"/>
      <c r="DE90" s="258"/>
      <c r="DF90" s="258"/>
      <c r="DG90" s="258"/>
      <c r="DH90" s="258">
        <f t="shared" si="82"/>
        <v>0</v>
      </c>
      <c r="DI90" s="258">
        <f t="shared" si="82"/>
        <v>0</v>
      </c>
      <c r="DJ90" s="258">
        <f t="shared" si="53"/>
        <v>0</v>
      </c>
      <c r="DK90" s="258">
        <f t="shared" si="54"/>
        <v>0</v>
      </c>
      <c r="DL90" s="52">
        <f t="shared" si="83"/>
        <v>0</v>
      </c>
      <c r="DM90" s="258">
        <f t="shared" si="55"/>
        <v>0</v>
      </c>
      <c r="DN90" s="258">
        <f t="shared" si="84"/>
        <v>0</v>
      </c>
      <c r="DO90" s="258">
        <f t="shared" si="84"/>
        <v>0</v>
      </c>
    </row>
    <row r="91" spans="1:119">
      <c r="A91" s="224">
        <v>83</v>
      </c>
      <c r="B91" s="26" t="s">
        <v>58</v>
      </c>
      <c r="C91" s="53" t="s">
        <v>304</v>
      </c>
      <c r="D91" s="227" t="s">
        <v>305</v>
      </c>
      <c r="E91" s="191" t="s">
        <v>1165</v>
      </c>
      <c r="F91" s="161">
        <f t="shared" si="56"/>
        <v>0</v>
      </c>
      <c r="G91" s="165">
        <f t="shared" si="57"/>
        <v>0</v>
      </c>
      <c r="H91" s="54">
        <v>20000</v>
      </c>
      <c r="I91" s="219">
        <v>0</v>
      </c>
      <c r="J91" s="219">
        <v>0</v>
      </c>
      <c r="K91" s="127">
        <f t="shared" si="58"/>
        <v>0</v>
      </c>
      <c r="L91" s="127">
        <f t="shared" si="59"/>
        <v>0</v>
      </c>
      <c r="M91" s="127">
        <f t="shared" si="60"/>
        <v>0</v>
      </c>
      <c r="N91" s="127">
        <f t="shared" si="61"/>
        <v>0</v>
      </c>
      <c r="O91" s="125" t="str">
        <f t="shared" si="62"/>
        <v>ნულოვანი შესრულება</v>
      </c>
      <c r="P91" s="52"/>
      <c r="Q91" s="52"/>
      <c r="R91" s="52">
        <f t="shared" si="63"/>
        <v>0</v>
      </c>
      <c r="S91" s="52">
        <f t="shared" si="64"/>
        <v>0</v>
      </c>
      <c r="T91" s="52"/>
      <c r="U91" s="52"/>
      <c r="V91" s="52"/>
      <c r="W91" s="52"/>
      <c r="X91" s="52">
        <f t="shared" si="65"/>
        <v>0</v>
      </c>
      <c r="Y91" s="52">
        <f t="shared" si="65"/>
        <v>0</v>
      </c>
      <c r="Z91" s="52"/>
      <c r="AA91" s="52"/>
      <c r="AB91" s="52"/>
      <c r="AC91" s="52"/>
      <c r="AD91" s="52">
        <f t="shared" si="66"/>
        <v>0</v>
      </c>
      <c r="AE91" s="52">
        <f t="shared" si="66"/>
        <v>0</v>
      </c>
      <c r="AF91" s="52">
        <f t="shared" si="67"/>
        <v>0</v>
      </c>
      <c r="AG91" s="52">
        <f t="shared" si="68"/>
        <v>0</v>
      </c>
      <c r="AH91" s="52">
        <f t="shared" si="68"/>
        <v>0</v>
      </c>
      <c r="AI91" s="52">
        <f t="shared" si="69"/>
        <v>0</v>
      </c>
      <c r="AJ91" s="52">
        <f t="shared" si="70"/>
        <v>0</v>
      </c>
      <c r="AK91" s="52">
        <f t="shared" si="70"/>
        <v>0</v>
      </c>
      <c r="AL91" s="52"/>
      <c r="AM91" s="52"/>
      <c r="AN91" s="52"/>
      <c r="AO91" s="52"/>
      <c r="AP91" s="52">
        <f t="shared" si="71"/>
        <v>0</v>
      </c>
      <c r="AQ91" s="52">
        <f t="shared" si="71"/>
        <v>0</v>
      </c>
      <c r="AR91" s="52"/>
      <c r="AS91" s="59"/>
      <c r="AT91" s="52"/>
      <c r="AU91" s="52"/>
      <c r="AV91" s="52">
        <f t="shared" si="72"/>
        <v>0</v>
      </c>
      <c r="AW91" s="52">
        <f t="shared" si="72"/>
        <v>0</v>
      </c>
      <c r="AX91" s="52"/>
      <c r="AY91" s="52"/>
      <c r="AZ91" s="52"/>
      <c r="BA91" s="52"/>
      <c r="BB91" s="52">
        <f t="shared" si="73"/>
        <v>0</v>
      </c>
      <c r="BC91" s="52"/>
      <c r="BD91" s="52">
        <f t="shared" si="49"/>
        <v>0</v>
      </c>
      <c r="BE91" s="52"/>
      <c r="BF91" s="52"/>
      <c r="BG91" s="52"/>
      <c r="BH91" s="52"/>
      <c r="BI91" s="52">
        <f t="shared" si="74"/>
        <v>0</v>
      </c>
      <c r="BJ91" s="52"/>
      <c r="BK91" s="52">
        <f t="shared" si="50"/>
        <v>0</v>
      </c>
      <c r="BL91" s="52"/>
      <c r="BM91" s="52"/>
      <c r="BN91" s="52"/>
      <c r="BO91" s="52"/>
      <c r="BP91" s="52">
        <f t="shared" si="75"/>
        <v>0</v>
      </c>
      <c r="BQ91" s="52"/>
      <c r="BR91" s="52">
        <f t="shared" si="51"/>
        <v>0</v>
      </c>
      <c r="BS91" s="52"/>
      <c r="BT91" s="52"/>
      <c r="BU91" s="52"/>
      <c r="BV91" s="52"/>
      <c r="BW91" s="52">
        <f t="shared" si="76"/>
        <v>0</v>
      </c>
      <c r="BX91" s="52"/>
      <c r="BY91" s="52">
        <f t="shared" si="52"/>
        <v>0</v>
      </c>
      <c r="BZ91" s="52"/>
      <c r="CA91" s="52"/>
      <c r="CB91" s="52"/>
      <c r="CC91" s="52"/>
      <c r="CD91" s="52">
        <f t="shared" si="77"/>
        <v>0</v>
      </c>
      <c r="CE91" s="52">
        <f t="shared" si="77"/>
        <v>0</v>
      </c>
      <c r="CF91" s="52"/>
      <c r="CG91" s="52"/>
      <c r="CH91" s="52"/>
      <c r="CI91" s="52"/>
      <c r="CJ91" s="52">
        <f t="shared" si="78"/>
        <v>0</v>
      </c>
      <c r="CK91" s="52">
        <f t="shared" si="78"/>
        <v>0</v>
      </c>
      <c r="CL91" s="52"/>
      <c r="CM91" s="52"/>
      <c r="CN91" s="52"/>
      <c r="CO91" s="52"/>
      <c r="CP91" s="52">
        <f t="shared" si="79"/>
        <v>0</v>
      </c>
      <c r="CQ91" s="52">
        <f t="shared" si="79"/>
        <v>0</v>
      </c>
      <c r="CR91" s="52"/>
      <c r="CS91" s="52"/>
      <c r="CT91" s="52"/>
      <c r="CU91" s="52"/>
      <c r="CV91" s="52">
        <f t="shared" si="80"/>
        <v>0</v>
      </c>
      <c r="CW91" s="52">
        <f t="shared" si="80"/>
        <v>0</v>
      </c>
      <c r="CX91" s="52"/>
      <c r="CY91" s="52"/>
      <c r="CZ91" s="52"/>
      <c r="DA91" s="52"/>
      <c r="DB91" s="52">
        <f t="shared" si="81"/>
        <v>0</v>
      </c>
      <c r="DC91" s="52">
        <f t="shared" si="81"/>
        <v>0</v>
      </c>
      <c r="DD91" s="52"/>
      <c r="DE91" s="52"/>
      <c r="DF91" s="52"/>
      <c r="DG91" s="52"/>
      <c r="DH91" s="52">
        <f t="shared" si="82"/>
        <v>0</v>
      </c>
      <c r="DI91" s="52">
        <f t="shared" si="82"/>
        <v>0</v>
      </c>
      <c r="DJ91" s="52">
        <f t="shared" si="53"/>
        <v>0</v>
      </c>
      <c r="DK91" s="52">
        <f t="shared" si="54"/>
        <v>0</v>
      </c>
      <c r="DL91" s="52">
        <f t="shared" si="83"/>
        <v>0</v>
      </c>
      <c r="DM91" s="52">
        <f t="shared" si="55"/>
        <v>0</v>
      </c>
      <c r="DN91" s="52">
        <f t="shared" si="84"/>
        <v>0</v>
      </c>
      <c r="DO91" s="52">
        <f t="shared" si="84"/>
        <v>0</v>
      </c>
    </row>
    <row r="92" spans="1:119">
      <c r="A92" s="224">
        <v>84</v>
      </c>
      <c r="B92" s="26" t="s">
        <v>36</v>
      </c>
      <c r="C92" s="69"/>
      <c r="D92" s="228" t="s">
        <v>161</v>
      </c>
      <c r="E92" s="201" t="s">
        <v>1164</v>
      </c>
      <c r="F92" s="161">
        <f t="shared" si="56"/>
        <v>0</v>
      </c>
      <c r="G92" s="165">
        <f t="shared" si="57"/>
        <v>22149.75</v>
      </c>
      <c r="H92" s="64">
        <v>20000</v>
      </c>
      <c r="I92" s="220">
        <v>0</v>
      </c>
      <c r="J92" s="220">
        <v>0</v>
      </c>
      <c r="K92" s="127">
        <f t="shared" si="58"/>
        <v>22149.75</v>
      </c>
      <c r="L92" s="127">
        <f t="shared" si="59"/>
        <v>22149.75</v>
      </c>
      <c r="M92" s="127">
        <f t="shared" si="60"/>
        <v>22149.75</v>
      </c>
      <c r="N92" s="127">
        <f t="shared" si="61"/>
        <v>0</v>
      </c>
      <c r="O92" s="125">
        <f t="shared" si="62"/>
        <v>22149.75</v>
      </c>
      <c r="P92" s="57"/>
      <c r="Q92" s="57"/>
      <c r="R92" s="52">
        <f t="shared" si="63"/>
        <v>0</v>
      </c>
      <c r="S92" s="52">
        <f t="shared" si="64"/>
        <v>0</v>
      </c>
      <c r="T92" s="57"/>
      <c r="U92" s="57"/>
      <c r="V92" s="57">
        <v>20000</v>
      </c>
      <c r="W92" s="57">
        <v>22149.75</v>
      </c>
      <c r="X92" s="52">
        <f t="shared" si="65"/>
        <v>20000</v>
      </c>
      <c r="Y92" s="52">
        <f t="shared" si="65"/>
        <v>22149.75</v>
      </c>
      <c r="Z92" s="57"/>
      <c r="AA92" s="57"/>
      <c r="AB92" s="57"/>
      <c r="AC92" s="57"/>
      <c r="AD92" s="52">
        <f t="shared" si="66"/>
        <v>0</v>
      </c>
      <c r="AE92" s="52">
        <f t="shared" si="66"/>
        <v>0</v>
      </c>
      <c r="AF92" s="52">
        <f t="shared" si="67"/>
        <v>0</v>
      </c>
      <c r="AG92" s="52">
        <f t="shared" si="68"/>
        <v>0</v>
      </c>
      <c r="AH92" s="52">
        <f t="shared" si="68"/>
        <v>20000</v>
      </c>
      <c r="AI92" s="52">
        <f t="shared" si="69"/>
        <v>22149.75</v>
      </c>
      <c r="AJ92" s="52">
        <f t="shared" si="70"/>
        <v>20000</v>
      </c>
      <c r="AK92" s="52">
        <f t="shared" si="70"/>
        <v>22149.75</v>
      </c>
      <c r="AL92" s="57"/>
      <c r="AM92" s="57"/>
      <c r="AN92" s="57"/>
      <c r="AO92" s="57"/>
      <c r="AP92" s="52">
        <f t="shared" si="71"/>
        <v>0</v>
      </c>
      <c r="AQ92" s="52">
        <f t="shared" si="71"/>
        <v>0</v>
      </c>
      <c r="AR92" s="57"/>
      <c r="AS92" s="52"/>
      <c r="AT92" s="52"/>
      <c r="AU92" s="52"/>
      <c r="AV92" s="52">
        <f t="shared" si="72"/>
        <v>0</v>
      </c>
      <c r="AW92" s="52">
        <f t="shared" si="72"/>
        <v>0</v>
      </c>
      <c r="AX92" s="52"/>
      <c r="AY92" s="52"/>
      <c r="AZ92" s="52"/>
      <c r="BA92" s="52"/>
      <c r="BB92" s="52">
        <f t="shared" si="73"/>
        <v>0</v>
      </c>
      <c r="BC92" s="52"/>
      <c r="BD92" s="52">
        <f t="shared" si="49"/>
        <v>0</v>
      </c>
      <c r="BE92" s="52"/>
      <c r="BF92" s="52"/>
      <c r="BG92" s="52"/>
      <c r="BH92" s="52"/>
      <c r="BI92" s="52">
        <f t="shared" si="74"/>
        <v>0</v>
      </c>
      <c r="BJ92" s="52"/>
      <c r="BK92" s="52">
        <f t="shared" si="50"/>
        <v>0</v>
      </c>
      <c r="BL92" s="52"/>
      <c r="BM92" s="52"/>
      <c r="BN92" s="52"/>
      <c r="BO92" s="52"/>
      <c r="BP92" s="52">
        <f t="shared" si="75"/>
        <v>0</v>
      </c>
      <c r="BQ92" s="52"/>
      <c r="BR92" s="52">
        <f t="shared" si="51"/>
        <v>0</v>
      </c>
      <c r="BS92" s="52"/>
      <c r="BT92" s="52"/>
      <c r="BU92" s="52"/>
      <c r="BV92" s="52"/>
      <c r="BW92" s="52">
        <f t="shared" si="76"/>
        <v>0</v>
      </c>
      <c r="BX92" s="52"/>
      <c r="BY92" s="52">
        <f t="shared" si="52"/>
        <v>0</v>
      </c>
      <c r="BZ92" s="52"/>
      <c r="CA92" s="52"/>
      <c r="CB92" s="52"/>
      <c r="CC92" s="52"/>
      <c r="CD92" s="52">
        <f t="shared" si="77"/>
        <v>0</v>
      </c>
      <c r="CE92" s="52">
        <f t="shared" si="77"/>
        <v>0</v>
      </c>
      <c r="CF92" s="52"/>
      <c r="CG92" s="52"/>
      <c r="CH92" s="52"/>
      <c r="CI92" s="52"/>
      <c r="CJ92" s="52">
        <f t="shared" si="78"/>
        <v>0</v>
      </c>
      <c r="CK92" s="52">
        <f t="shared" si="78"/>
        <v>0</v>
      </c>
      <c r="CL92" s="52"/>
      <c r="CM92" s="52"/>
      <c r="CN92" s="52"/>
      <c r="CO92" s="52"/>
      <c r="CP92" s="52">
        <f t="shared" si="79"/>
        <v>0</v>
      </c>
      <c r="CQ92" s="52">
        <f t="shared" si="79"/>
        <v>0</v>
      </c>
      <c r="CR92" s="52"/>
      <c r="CS92" s="52"/>
      <c r="CT92" s="52"/>
      <c r="CU92" s="52"/>
      <c r="CV92" s="52">
        <f t="shared" si="80"/>
        <v>0</v>
      </c>
      <c r="CW92" s="52">
        <f t="shared" si="80"/>
        <v>0</v>
      </c>
      <c r="CX92" s="52"/>
      <c r="CY92" s="52"/>
      <c r="CZ92" s="52"/>
      <c r="DA92" s="52"/>
      <c r="DB92" s="52">
        <f t="shared" si="81"/>
        <v>0</v>
      </c>
      <c r="DC92" s="52">
        <f t="shared" si="81"/>
        <v>0</v>
      </c>
      <c r="DD92" s="52"/>
      <c r="DE92" s="52"/>
      <c r="DF92" s="52"/>
      <c r="DG92" s="52"/>
      <c r="DH92" s="52">
        <f t="shared" si="82"/>
        <v>0</v>
      </c>
      <c r="DI92" s="52">
        <f t="shared" si="82"/>
        <v>0</v>
      </c>
      <c r="DJ92" s="52">
        <f t="shared" si="53"/>
        <v>0</v>
      </c>
      <c r="DK92" s="52">
        <f t="shared" si="54"/>
        <v>0</v>
      </c>
      <c r="DL92" s="52">
        <f t="shared" si="83"/>
        <v>0</v>
      </c>
      <c r="DM92" s="52">
        <f t="shared" si="55"/>
        <v>0</v>
      </c>
      <c r="DN92" s="52">
        <f t="shared" si="84"/>
        <v>0</v>
      </c>
      <c r="DO92" s="52">
        <f t="shared" si="84"/>
        <v>0</v>
      </c>
    </row>
    <row r="93" spans="1:119" s="278" customFormat="1">
      <c r="A93" s="297">
        <v>85</v>
      </c>
      <c r="B93" s="276" t="s">
        <v>36</v>
      </c>
      <c r="C93" s="298" t="s">
        <v>306</v>
      </c>
      <c r="D93" s="299" t="s">
        <v>307</v>
      </c>
      <c r="E93" s="300" t="s">
        <v>1165</v>
      </c>
      <c r="F93" s="255">
        <f t="shared" si="56"/>
        <v>0</v>
      </c>
      <c r="G93" s="256">
        <f t="shared" si="57"/>
        <v>0</v>
      </c>
      <c r="H93" s="56">
        <v>17000</v>
      </c>
      <c r="I93" s="219">
        <v>0</v>
      </c>
      <c r="J93" s="219">
        <v>0</v>
      </c>
      <c r="K93" s="255">
        <f t="shared" si="58"/>
        <v>0</v>
      </c>
      <c r="L93" s="255">
        <f t="shared" si="59"/>
        <v>0</v>
      </c>
      <c r="M93" s="255">
        <f t="shared" si="60"/>
        <v>0</v>
      </c>
      <c r="N93" s="255">
        <f t="shared" si="61"/>
        <v>0</v>
      </c>
      <c r="O93" s="255" t="str">
        <f t="shared" si="62"/>
        <v>ნულოვანი შესრულება</v>
      </c>
      <c r="P93" s="52"/>
      <c r="Q93" s="52"/>
      <c r="R93" s="52">
        <f t="shared" si="63"/>
        <v>0</v>
      </c>
      <c r="S93" s="52">
        <f t="shared" si="64"/>
        <v>0</v>
      </c>
      <c r="T93" s="52"/>
      <c r="U93" s="52"/>
      <c r="V93" s="52"/>
      <c r="W93" s="52"/>
      <c r="X93" s="52">
        <f t="shared" si="65"/>
        <v>0</v>
      </c>
      <c r="Y93" s="52">
        <f t="shared" si="65"/>
        <v>0</v>
      </c>
      <c r="Z93" s="52"/>
      <c r="AA93" s="52"/>
      <c r="AB93" s="52"/>
      <c r="AC93" s="52"/>
      <c r="AD93" s="52">
        <f t="shared" si="66"/>
        <v>0</v>
      </c>
      <c r="AE93" s="52">
        <f t="shared" si="66"/>
        <v>0</v>
      </c>
      <c r="AF93" s="52">
        <f t="shared" si="67"/>
        <v>0</v>
      </c>
      <c r="AG93" s="52">
        <f t="shared" si="68"/>
        <v>0</v>
      </c>
      <c r="AH93" s="52">
        <f t="shared" si="68"/>
        <v>0</v>
      </c>
      <c r="AI93" s="52">
        <f t="shared" si="69"/>
        <v>0</v>
      </c>
      <c r="AJ93" s="52">
        <f t="shared" si="70"/>
        <v>0</v>
      </c>
      <c r="AK93" s="52">
        <f t="shared" si="70"/>
        <v>0</v>
      </c>
      <c r="AL93" s="258"/>
      <c r="AM93" s="258"/>
      <c r="AN93" s="258"/>
      <c r="AO93" s="258"/>
      <c r="AP93" s="258">
        <f t="shared" si="71"/>
        <v>0</v>
      </c>
      <c r="AQ93" s="258">
        <f t="shared" si="71"/>
        <v>0</v>
      </c>
      <c r="AR93" s="258"/>
      <c r="AS93" s="258"/>
      <c r="AT93" s="258"/>
      <c r="AU93" s="258"/>
      <c r="AV93" s="258">
        <f t="shared" si="72"/>
        <v>0</v>
      </c>
      <c r="AW93" s="258">
        <f t="shared" si="72"/>
        <v>0</v>
      </c>
      <c r="AX93" s="258"/>
      <c r="AY93" s="258"/>
      <c r="AZ93" s="258"/>
      <c r="BA93" s="258"/>
      <c r="BB93" s="258">
        <f t="shared" si="73"/>
        <v>0</v>
      </c>
      <c r="BC93" s="258"/>
      <c r="BD93" s="258">
        <f t="shared" si="49"/>
        <v>0</v>
      </c>
      <c r="BE93" s="258"/>
      <c r="BF93" s="258"/>
      <c r="BG93" s="258"/>
      <c r="BH93" s="258"/>
      <c r="BI93" s="258">
        <f t="shared" si="74"/>
        <v>0</v>
      </c>
      <c r="BJ93" s="258"/>
      <c r="BK93" s="258">
        <f t="shared" si="50"/>
        <v>0</v>
      </c>
      <c r="BL93" s="258"/>
      <c r="BM93" s="258"/>
      <c r="BN93" s="258"/>
      <c r="BO93" s="258"/>
      <c r="BP93" s="258">
        <f t="shared" si="75"/>
        <v>0</v>
      </c>
      <c r="BQ93" s="258"/>
      <c r="BR93" s="258">
        <f t="shared" si="51"/>
        <v>0</v>
      </c>
      <c r="BS93" s="258"/>
      <c r="BT93" s="258"/>
      <c r="BU93" s="258"/>
      <c r="BV93" s="258"/>
      <c r="BW93" s="258">
        <f t="shared" si="76"/>
        <v>0</v>
      </c>
      <c r="BX93" s="258"/>
      <c r="BY93" s="258">
        <f t="shared" si="52"/>
        <v>0</v>
      </c>
      <c r="BZ93" s="258"/>
      <c r="CA93" s="258"/>
      <c r="CB93" s="258"/>
      <c r="CC93" s="258"/>
      <c r="CD93" s="258">
        <f t="shared" si="77"/>
        <v>0</v>
      </c>
      <c r="CE93" s="258">
        <f t="shared" si="77"/>
        <v>0</v>
      </c>
      <c r="CF93" s="258"/>
      <c r="CG93" s="258"/>
      <c r="CH93" s="258"/>
      <c r="CI93" s="258"/>
      <c r="CJ93" s="258">
        <f t="shared" si="78"/>
        <v>0</v>
      </c>
      <c r="CK93" s="258">
        <f t="shared" si="78"/>
        <v>0</v>
      </c>
      <c r="CL93" s="258"/>
      <c r="CM93" s="258"/>
      <c r="CN93" s="258"/>
      <c r="CO93" s="258"/>
      <c r="CP93" s="258">
        <f t="shared" si="79"/>
        <v>0</v>
      </c>
      <c r="CQ93" s="258">
        <f t="shared" si="79"/>
        <v>0</v>
      </c>
      <c r="CR93" s="258"/>
      <c r="CS93" s="258"/>
      <c r="CT93" s="258"/>
      <c r="CU93" s="258"/>
      <c r="CV93" s="258">
        <f t="shared" si="80"/>
        <v>0</v>
      </c>
      <c r="CW93" s="258">
        <f t="shared" si="80"/>
        <v>0</v>
      </c>
      <c r="CX93" s="258"/>
      <c r="CY93" s="258"/>
      <c r="CZ93" s="258"/>
      <c r="DA93" s="258"/>
      <c r="DB93" s="258">
        <f t="shared" si="81"/>
        <v>0</v>
      </c>
      <c r="DC93" s="258">
        <f t="shared" si="81"/>
        <v>0</v>
      </c>
      <c r="DD93" s="258"/>
      <c r="DE93" s="258"/>
      <c r="DF93" s="258"/>
      <c r="DG93" s="258"/>
      <c r="DH93" s="258">
        <f t="shared" si="82"/>
        <v>0</v>
      </c>
      <c r="DI93" s="258">
        <f t="shared" si="82"/>
        <v>0</v>
      </c>
      <c r="DJ93" s="258">
        <f t="shared" si="53"/>
        <v>0</v>
      </c>
      <c r="DK93" s="258">
        <f t="shared" si="54"/>
        <v>0</v>
      </c>
      <c r="DL93" s="52">
        <f t="shared" si="83"/>
        <v>0</v>
      </c>
      <c r="DM93" s="258">
        <f t="shared" si="55"/>
        <v>0</v>
      </c>
      <c r="DN93" s="258">
        <f t="shared" si="84"/>
        <v>0</v>
      </c>
      <c r="DO93" s="258">
        <f t="shared" si="84"/>
        <v>0</v>
      </c>
    </row>
    <row r="94" spans="1:119">
      <c r="A94" s="224">
        <v>86</v>
      </c>
      <c r="B94" s="26" t="s">
        <v>176</v>
      </c>
      <c r="C94" s="53" t="s">
        <v>308</v>
      </c>
      <c r="D94" s="227" t="s">
        <v>309</v>
      </c>
      <c r="E94" s="191" t="s">
        <v>1165</v>
      </c>
      <c r="F94" s="161">
        <f t="shared" si="56"/>
        <v>43419</v>
      </c>
      <c r="G94" s="165">
        <f t="shared" si="57"/>
        <v>93419</v>
      </c>
      <c r="H94" s="54">
        <v>45000</v>
      </c>
      <c r="I94" s="219">
        <v>0</v>
      </c>
      <c r="J94" s="219">
        <v>0</v>
      </c>
      <c r="K94" s="127">
        <f t="shared" si="58"/>
        <v>50000</v>
      </c>
      <c r="L94" s="127">
        <f t="shared" si="59"/>
        <v>0</v>
      </c>
      <c r="M94" s="127">
        <f t="shared" si="60"/>
        <v>50000</v>
      </c>
      <c r="N94" s="127">
        <f t="shared" si="61"/>
        <v>43419</v>
      </c>
      <c r="O94" s="125">
        <f t="shared" si="62"/>
        <v>94387.48000000001</v>
      </c>
      <c r="P94" s="52">
        <v>50000</v>
      </c>
      <c r="Q94" s="52"/>
      <c r="R94" s="52">
        <f t="shared" si="63"/>
        <v>50000</v>
      </c>
      <c r="S94" s="52">
        <f t="shared" si="64"/>
        <v>0</v>
      </c>
      <c r="T94" s="52">
        <v>15000</v>
      </c>
      <c r="U94" s="52"/>
      <c r="V94" s="52"/>
      <c r="W94" s="52"/>
      <c r="X94" s="52">
        <f t="shared" si="65"/>
        <v>15000</v>
      </c>
      <c r="Y94" s="52">
        <f t="shared" si="65"/>
        <v>0</v>
      </c>
      <c r="Z94" s="52"/>
      <c r="AA94" s="52"/>
      <c r="AB94" s="52"/>
      <c r="AC94" s="52"/>
      <c r="AD94" s="52">
        <f t="shared" si="66"/>
        <v>0</v>
      </c>
      <c r="AE94" s="52">
        <f t="shared" si="66"/>
        <v>0</v>
      </c>
      <c r="AF94" s="52">
        <f t="shared" si="67"/>
        <v>65000</v>
      </c>
      <c r="AG94" s="52">
        <f t="shared" si="68"/>
        <v>50000</v>
      </c>
      <c r="AH94" s="52">
        <f t="shared" si="68"/>
        <v>0</v>
      </c>
      <c r="AI94" s="52">
        <f t="shared" si="69"/>
        <v>0</v>
      </c>
      <c r="AJ94" s="52">
        <f t="shared" si="70"/>
        <v>65000</v>
      </c>
      <c r="AK94" s="52">
        <f t="shared" si="70"/>
        <v>50000</v>
      </c>
      <c r="AL94" s="52"/>
      <c r="AM94" s="52">
        <v>43000</v>
      </c>
      <c r="AN94" s="219">
        <v>43419</v>
      </c>
      <c r="AO94" s="52"/>
      <c r="AP94" s="52">
        <f t="shared" si="71"/>
        <v>43419</v>
      </c>
      <c r="AQ94" s="52">
        <f t="shared" si="71"/>
        <v>43000</v>
      </c>
      <c r="AR94" s="52"/>
      <c r="AS94" s="52"/>
      <c r="AT94" s="52"/>
      <c r="AU94" s="52">
        <v>1387.48</v>
      </c>
      <c r="AV94" s="52">
        <f t="shared" si="72"/>
        <v>0</v>
      </c>
      <c r="AW94" s="52">
        <f t="shared" si="72"/>
        <v>1387.48</v>
      </c>
      <c r="AX94" s="52"/>
      <c r="AY94" s="52"/>
      <c r="AZ94" s="52"/>
      <c r="BA94" s="52"/>
      <c r="BB94" s="52">
        <f t="shared" si="73"/>
        <v>0</v>
      </c>
      <c r="BC94" s="52"/>
      <c r="BD94" s="52">
        <f t="shared" si="49"/>
        <v>0</v>
      </c>
      <c r="BE94" s="52"/>
      <c r="BF94" s="52"/>
      <c r="BG94" s="52"/>
      <c r="BH94" s="52"/>
      <c r="BI94" s="52">
        <f t="shared" si="74"/>
        <v>0</v>
      </c>
      <c r="BJ94" s="52"/>
      <c r="BK94" s="52">
        <f t="shared" si="50"/>
        <v>0</v>
      </c>
      <c r="BL94" s="52"/>
      <c r="BM94" s="52"/>
      <c r="BN94" s="52"/>
      <c r="BO94" s="52"/>
      <c r="BP94" s="52">
        <f t="shared" si="75"/>
        <v>0</v>
      </c>
      <c r="BQ94" s="52"/>
      <c r="BR94" s="52">
        <f t="shared" si="51"/>
        <v>0</v>
      </c>
      <c r="BS94" s="52"/>
      <c r="BT94" s="52"/>
      <c r="BU94" s="52"/>
      <c r="BV94" s="52"/>
      <c r="BW94" s="52">
        <f t="shared" si="76"/>
        <v>0</v>
      </c>
      <c r="BX94" s="52"/>
      <c r="BY94" s="52">
        <f t="shared" si="52"/>
        <v>0</v>
      </c>
      <c r="BZ94" s="52"/>
      <c r="CA94" s="52"/>
      <c r="CB94" s="52"/>
      <c r="CC94" s="52"/>
      <c r="CD94" s="52">
        <f t="shared" si="77"/>
        <v>0</v>
      </c>
      <c r="CE94" s="52">
        <f t="shared" si="77"/>
        <v>0</v>
      </c>
      <c r="CF94" s="52"/>
      <c r="CG94" s="52"/>
      <c r="CH94" s="52"/>
      <c r="CI94" s="52"/>
      <c r="CJ94" s="52">
        <f t="shared" si="78"/>
        <v>0</v>
      </c>
      <c r="CK94" s="52">
        <f t="shared" si="78"/>
        <v>0</v>
      </c>
      <c r="CL94" s="52"/>
      <c r="CM94" s="52"/>
      <c r="CN94" s="52"/>
      <c r="CO94" s="52"/>
      <c r="CP94" s="52">
        <f t="shared" si="79"/>
        <v>0</v>
      </c>
      <c r="CQ94" s="52">
        <f t="shared" si="79"/>
        <v>0</v>
      </c>
      <c r="CR94" s="52"/>
      <c r="CS94" s="52"/>
      <c r="CT94" s="52"/>
      <c r="CU94" s="52"/>
      <c r="CV94" s="52">
        <f t="shared" si="80"/>
        <v>0</v>
      </c>
      <c r="CW94" s="52">
        <f t="shared" si="80"/>
        <v>0</v>
      </c>
      <c r="CX94" s="52"/>
      <c r="CY94" s="52"/>
      <c r="CZ94" s="52"/>
      <c r="DA94" s="52"/>
      <c r="DB94" s="52">
        <f t="shared" si="81"/>
        <v>0</v>
      </c>
      <c r="DC94" s="52">
        <f t="shared" si="81"/>
        <v>0</v>
      </c>
      <c r="DD94" s="52"/>
      <c r="DE94" s="52"/>
      <c r="DF94" s="52"/>
      <c r="DG94" s="52"/>
      <c r="DH94" s="52">
        <f t="shared" si="82"/>
        <v>0</v>
      </c>
      <c r="DI94" s="52">
        <f t="shared" si="82"/>
        <v>0</v>
      </c>
      <c r="DJ94" s="52">
        <f t="shared" si="53"/>
        <v>0</v>
      </c>
      <c r="DK94" s="52">
        <f t="shared" si="54"/>
        <v>43000</v>
      </c>
      <c r="DL94" s="52">
        <f t="shared" si="83"/>
        <v>43419</v>
      </c>
      <c r="DM94" s="52">
        <f t="shared" si="55"/>
        <v>1387.48</v>
      </c>
      <c r="DN94" s="52">
        <f t="shared" si="84"/>
        <v>43419</v>
      </c>
      <c r="DO94" s="52">
        <f t="shared" si="84"/>
        <v>44387.48</v>
      </c>
    </row>
    <row r="95" spans="1:119">
      <c r="A95" s="224">
        <v>87</v>
      </c>
      <c r="B95" s="26" t="s">
        <v>195</v>
      </c>
      <c r="C95" s="53" t="s">
        <v>284</v>
      </c>
      <c r="D95" s="227" t="s">
        <v>310</v>
      </c>
      <c r="E95" s="191" t="s">
        <v>1164</v>
      </c>
      <c r="F95" s="161">
        <f t="shared" si="56"/>
        <v>0</v>
      </c>
      <c r="G95" s="165">
        <f t="shared" si="57"/>
        <v>829.5</v>
      </c>
      <c r="H95" s="54"/>
      <c r="I95" s="219">
        <v>0</v>
      </c>
      <c r="J95" s="219">
        <v>0</v>
      </c>
      <c r="K95" s="127">
        <f t="shared" si="58"/>
        <v>829.5</v>
      </c>
      <c r="L95" s="127">
        <f t="shared" si="59"/>
        <v>829.5</v>
      </c>
      <c r="M95" s="127">
        <f t="shared" si="60"/>
        <v>829.5</v>
      </c>
      <c r="N95" s="127">
        <f t="shared" si="61"/>
        <v>0</v>
      </c>
      <c r="O95" s="125">
        <f t="shared" si="62"/>
        <v>829.5</v>
      </c>
      <c r="P95" s="52"/>
      <c r="Q95" s="52">
        <v>829.5</v>
      </c>
      <c r="R95" s="52">
        <f t="shared" si="63"/>
        <v>0</v>
      </c>
      <c r="S95" s="52">
        <f t="shared" si="64"/>
        <v>829.5</v>
      </c>
      <c r="T95" s="52"/>
      <c r="U95" s="52"/>
      <c r="V95" s="52"/>
      <c r="W95" s="52"/>
      <c r="X95" s="52">
        <f t="shared" si="65"/>
        <v>0</v>
      </c>
      <c r="Y95" s="52">
        <f t="shared" si="65"/>
        <v>0</v>
      </c>
      <c r="Z95" s="52"/>
      <c r="AA95" s="52"/>
      <c r="AB95" s="57"/>
      <c r="AC95" s="57"/>
      <c r="AD95" s="52">
        <f t="shared" si="66"/>
        <v>0</v>
      </c>
      <c r="AE95" s="52">
        <f t="shared" si="66"/>
        <v>0</v>
      </c>
      <c r="AF95" s="52">
        <f t="shared" si="67"/>
        <v>0</v>
      </c>
      <c r="AG95" s="52">
        <f t="shared" si="68"/>
        <v>0</v>
      </c>
      <c r="AH95" s="52">
        <f t="shared" si="68"/>
        <v>829.5</v>
      </c>
      <c r="AI95" s="52">
        <f t="shared" si="69"/>
        <v>829.5</v>
      </c>
      <c r="AJ95" s="52">
        <f t="shared" si="70"/>
        <v>829.5</v>
      </c>
      <c r="AK95" s="52">
        <f t="shared" si="70"/>
        <v>829.5</v>
      </c>
      <c r="AL95" s="57"/>
      <c r="AM95" s="57"/>
      <c r="AN95" s="57"/>
      <c r="AO95" s="57"/>
      <c r="AP95" s="52">
        <f t="shared" si="71"/>
        <v>0</v>
      </c>
      <c r="AQ95" s="52">
        <f t="shared" si="71"/>
        <v>0</v>
      </c>
      <c r="AR95" s="57"/>
      <c r="AS95" s="57"/>
      <c r="AT95" s="57"/>
      <c r="AU95" s="57"/>
      <c r="AV95" s="52">
        <f t="shared" si="72"/>
        <v>0</v>
      </c>
      <c r="AW95" s="52">
        <f t="shared" si="72"/>
        <v>0</v>
      </c>
      <c r="AX95" s="57"/>
      <c r="AY95" s="57"/>
      <c r="AZ95" s="57"/>
      <c r="BA95" s="57"/>
      <c r="BB95" s="52">
        <f t="shared" si="73"/>
        <v>0</v>
      </c>
      <c r="BC95" s="52"/>
      <c r="BD95" s="52">
        <f t="shared" si="49"/>
        <v>0</v>
      </c>
      <c r="BE95" s="52"/>
      <c r="BF95" s="52"/>
      <c r="BG95" s="52"/>
      <c r="BH95" s="52"/>
      <c r="BI95" s="52">
        <f t="shared" si="74"/>
        <v>0</v>
      </c>
      <c r="BJ95" s="52"/>
      <c r="BK95" s="52">
        <f t="shared" si="50"/>
        <v>0</v>
      </c>
      <c r="BL95" s="52"/>
      <c r="BM95" s="52"/>
      <c r="BN95" s="52"/>
      <c r="BO95" s="52"/>
      <c r="BP95" s="52">
        <f t="shared" si="75"/>
        <v>0</v>
      </c>
      <c r="BQ95" s="52"/>
      <c r="BR95" s="52">
        <f t="shared" si="51"/>
        <v>0</v>
      </c>
      <c r="BS95" s="52"/>
      <c r="BT95" s="52"/>
      <c r="BU95" s="52"/>
      <c r="BV95" s="52"/>
      <c r="BW95" s="52">
        <f t="shared" si="76"/>
        <v>0</v>
      </c>
      <c r="BX95" s="52"/>
      <c r="BY95" s="52">
        <f t="shared" si="52"/>
        <v>0</v>
      </c>
      <c r="BZ95" s="52"/>
      <c r="CA95" s="52"/>
      <c r="CB95" s="52"/>
      <c r="CC95" s="52"/>
      <c r="CD95" s="52">
        <f t="shared" si="77"/>
        <v>0</v>
      </c>
      <c r="CE95" s="52">
        <f t="shared" si="77"/>
        <v>0</v>
      </c>
      <c r="CF95" s="52"/>
      <c r="CG95" s="52"/>
      <c r="CH95" s="52"/>
      <c r="CI95" s="52"/>
      <c r="CJ95" s="52">
        <f t="shared" si="78"/>
        <v>0</v>
      </c>
      <c r="CK95" s="52">
        <f t="shared" si="78"/>
        <v>0</v>
      </c>
      <c r="CL95" s="52"/>
      <c r="CM95" s="52"/>
      <c r="CN95" s="52"/>
      <c r="CO95" s="52"/>
      <c r="CP95" s="52">
        <f t="shared" si="79"/>
        <v>0</v>
      </c>
      <c r="CQ95" s="52">
        <f t="shared" si="79"/>
        <v>0</v>
      </c>
      <c r="CR95" s="52"/>
      <c r="CS95" s="52"/>
      <c r="CT95" s="52"/>
      <c r="CU95" s="52"/>
      <c r="CV95" s="52">
        <f t="shared" si="80"/>
        <v>0</v>
      </c>
      <c r="CW95" s="52">
        <f t="shared" si="80"/>
        <v>0</v>
      </c>
      <c r="CX95" s="52"/>
      <c r="CY95" s="52"/>
      <c r="CZ95" s="52"/>
      <c r="DA95" s="52"/>
      <c r="DB95" s="52">
        <f t="shared" si="81"/>
        <v>0</v>
      </c>
      <c r="DC95" s="52">
        <f t="shared" si="81"/>
        <v>0</v>
      </c>
      <c r="DD95" s="52"/>
      <c r="DE95" s="52"/>
      <c r="DF95" s="52"/>
      <c r="DG95" s="52"/>
      <c r="DH95" s="52">
        <f t="shared" si="82"/>
        <v>0</v>
      </c>
      <c r="DI95" s="52">
        <f t="shared" si="82"/>
        <v>0</v>
      </c>
      <c r="DJ95" s="52">
        <f t="shared" si="53"/>
        <v>0</v>
      </c>
      <c r="DK95" s="52">
        <f t="shared" si="54"/>
        <v>0</v>
      </c>
      <c r="DL95" s="52">
        <f t="shared" si="83"/>
        <v>0</v>
      </c>
      <c r="DM95" s="52">
        <f t="shared" si="55"/>
        <v>0</v>
      </c>
      <c r="DN95" s="52">
        <f t="shared" si="84"/>
        <v>0</v>
      </c>
      <c r="DO95" s="52">
        <f t="shared" si="84"/>
        <v>0</v>
      </c>
    </row>
    <row r="96" spans="1:119">
      <c r="A96" s="224">
        <v>88</v>
      </c>
      <c r="B96" s="26" t="s">
        <v>195</v>
      </c>
      <c r="C96" s="53" t="s">
        <v>311</v>
      </c>
      <c r="D96" s="227" t="s">
        <v>312</v>
      </c>
      <c r="E96" s="191" t="s">
        <v>1165</v>
      </c>
      <c r="F96" s="161">
        <f t="shared" si="56"/>
        <v>13256</v>
      </c>
      <c r="G96" s="165">
        <f t="shared" si="57"/>
        <v>93256</v>
      </c>
      <c r="H96" s="54">
        <v>60000</v>
      </c>
      <c r="I96" s="219">
        <v>0</v>
      </c>
      <c r="J96" s="219">
        <v>0</v>
      </c>
      <c r="K96" s="127">
        <f t="shared" si="58"/>
        <v>80000</v>
      </c>
      <c r="L96" s="127">
        <f t="shared" si="59"/>
        <v>0</v>
      </c>
      <c r="M96" s="127">
        <f t="shared" si="60"/>
        <v>80000</v>
      </c>
      <c r="N96" s="127">
        <f t="shared" si="61"/>
        <v>13256</v>
      </c>
      <c r="O96" s="125">
        <f t="shared" si="62"/>
        <v>94092.85</v>
      </c>
      <c r="P96" s="52">
        <v>80000</v>
      </c>
      <c r="Q96" s="52"/>
      <c r="R96" s="52">
        <f t="shared" si="63"/>
        <v>80000</v>
      </c>
      <c r="S96" s="52">
        <f t="shared" si="64"/>
        <v>0</v>
      </c>
      <c r="T96" s="52"/>
      <c r="U96" s="52"/>
      <c r="V96" s="52"/>
      <c r="W96" s="52"/>
      <c r="X96" s="52">
        <f t="shared" si="65"/>
        <v>0</v>
      </c>
      <c r="Y96" s="52">
        <f t="shared" si="65"/>
        <v>0</v>
      </c>
      <c r="Z96" s="52">
        <v>15000</v>
      </c>
      <c r="AA96" s="52"/>
      <c r="AB96" s="52"/>
      <c r="AC96" s="52"/>
      <c r="AD96" s="52">
        <f t="shared" si="66"/>
        <v>15000</v>
      </c>
      <c r="AE96" s="52">
        <f t="shared" si="66"/>
        <v>0</v>
      </c>
      <c r="AF96" s="52">
        <f t="shared" si="67"/>
        <v>95000</v>
      </c>
      <c r="AG96" s="52">
        <f t="shared" si="68"/>
        <v>80000</v>
      </c>
      <c r="AH96" s="52">
        <f t="shared" si="68"/>
        <v>0</v>
      </c>
      <c r="AI96" s="52">
        <f t="shared" si="69"/>
        <v>0</v>
      </c>
      <c r="AJ96" s="52">
        <f t="shared" si="70"/>
        <v>95000</v>
      </c>
      <c r="AK96" s="52">
        <f t="shared" si="70"/>
        <v>80000</v>
      </c>
      <c r="AL96" s="52"/>
      <c r="AM96" s="52"/>
      <c r="AN96" s="52"/>
      <c r="AO96" s="52"/>
      <c r="AP96" s="52">
        <f t="shared" si="71"/>
        <v>0</v>
      </c>
      <c r="AQ96" s="52">
        <f t="shared" si="71"/>
        <v>0</v>
      </c>
      <c r="AR96" s="52"/>
      <c r="AS96" s="52"/>
      <c r="AT96" s="52"/>
      <c r="AU96" s="52"/>
      <c r="AV96" s="52">
        <f t="shared" si="72"/>
        <v>0</v>
      </c>
      <c r="AW96" s="52">
        <f t="shared" si="72"/>
        <v>0</v>
      </c>
      <c r="AX96" s="52"/>
      <c r="AY96" s="52"/>
      <c r="AZ96" s="52"/>
      <c r="BA96" s="52"/>
      <c r="BB96" s="52">
        <f t="shared" si="73"/>
        <v>0</v>
      </c>
      <c r="BC96" s="52"/>
      <c r="BD96" s="52">
        <f t="shared" si="49"/>
        <v>0</v>
      </c>
      <c r="BE96" s="52"/>
      <c r="BF96" s="52"/>
      <c r="BG96" s="52"/>
      <c r="BH96" s="52">
        <v>14092.85</v>
      </c>
      <c r="BI96" s="52">
        <f t="shared" si="74"/>
        <v>0</v>
      </c>
      <c r="BJ96" s="52">
        <v>13256</v>
      </c>
      <c r="BK96" s="52">
        <f t="shared" si="50"/>
        <v>14092.85</v>
      </c>
      <c r="BL96" s="52"/>
      <c r="BM96" s="52"/>
      <c r="BN96" s="52"/>
      <c r="BO96" s="52"/>
      <c r="BP96" s="52">
        <f t="shared" si="75"/>
        <v>0</v>
      </c>
      <c r="BQ96" s="52"/>
      <c r="BR96" s="52">
        <f t="shared" si="51"/>
        <v>0</v>
      </c>
      <c r="BS96" s="52"/>
      <c r="BT96" s="52"/>
      <c r="BU96" s="52"/>
      <c r="BV96" s="52"/>
      <c r="BW96" s="52">
        <f t="shared" si="76"/>
        <v>0</v>
      </c>
      <c r="BX96" s="52"/>
      <c r="BY96" s="52">
        <f t="shared" si="52"/>
        <v>0</v>
      </c>
      <c r="BZ96" s="52"/>
      <c r="CA96" s="52"/>
      <c r="CB96" s="52"/>
      <c r="CC96" s="52"/>
      <c r="CD96" s="52">
        <f t="shared" si="77"/>
        <v>0</v>
      </c>
      <c r="CE96" s="52">
        <f t="shared" si="77"/>
        <v>0</v>
      </c>
      <c r="CF96" s="52"/>
      <c r="CG96" s="52"/>
      <c r="CH96" s="52"/>
      <c r="CI96" s="52"/>
      <c r="CJ96" s="52">
        <f t="shared" si="78"/>
        <v>0</v>
      </c>
      <c r="CK96" s="52">
        <f t="shared" si="78"/>
        <v>0</v>
      </c>
      <c r="CL96" s="52"/>
      <c r="CM96" s="52"/>
      <c r="CN96" s="52"/>
      <c r="CO96" s="52"/>
      <c r="CP96" s="52">
        <f t="shared" si="79"/>
        <v>0</v>
      </c>
      <c r="CQ96" s="52">
        <f t="shared" si="79"/>
        <v>0</v>
      </c>
      <c r="CR96" s="52"/>
      <c r="CS96" s="52"/>
      <c r="CT96" s="52"/>
      <c r="CU96" s="52"/>
      <c r="CV96" s="52">
        <f t="shared" si="80"/>
        <v>0</v>
      </c>
      <c r="CW96" s="52">
        <f t="shared" si="80"/>
        <v>0</v>
      </c>
      <c r="CX96" s="52"/>
      <c r="CY96" s="52"/>
      <c r="CZ96" s="52"/>
      <c r="DA96" s="52"/>
      <c r="DB96" s="52">
        <f t="shared" si="81"/>
        <v>0</v>
      </c>
      <c r="DC96" s="52">
        <f t="shared" si="81"/>
        <v>0</v>
      </c>
      <c r="DD96" s="52"/>
      <c r="DE96" s="52"/>
      <c r="DF96" s="52"/>
      <c r="DG96" s="52"/>
      <c r="DH96" s="52">
        <f t="shared" si="82"/>
        <v>0</v>
      </c>
      <c r="DI96" s="52">
        <f t="shared" si="82"/>
        <v>0</v>
      </c>
      <c r="DJ96" s="52">
        <f t="shared" si="53"/>
        <v>0</v>
      </c>
      <c r="DK96" s="52">
        <f t="shared" si="54"/>
        <v>0</v>
      </c>
      <c r="DL96" s="52">
        <f t="shared" si="83"/>
        <v>13256</v>
      </c>
      <c r="DM96" s="52">
        <f t="shared" si="55"/>
        <v>14092.85</v>
      </c>
      <c r="DN96" s="52">
        <f t="shared" si="84"/>
        <v>13256</v>
      </c>
      <c r="DO96" s="52">
        <f t="shared" si="84"/>
        <v>14092.85</v>
      </c>
    </row>
    <row r="97" spans="1:119">
      <c r="A97" s="224">
        <v>89</v>
      </c>
      <c r="B97" s="26" t="s">
        <v>58</v>
      </c>
      <c r="C97" s="53" t="s">
        <v>313</v>
      </c>
      <c r="D97" s="227" t="s">
        <v>314</v>
      </c>
      <c r="E97" s="191" t="s">
        <v>1165</v>
      </c>
      <c r="F97" s="161">
        <f t="shared" si="56"/>
        <v>50008</v>
      </c>
      <c r="G97" s="165">
        <f t="shared" si="57"/>
        <v>70008</v>
      </c>
      <c r="H97" s="54">
        <v>35000</v>
      </c>
      <c r="I97" s="219">
        <v>0</v>
      </c>
      <c r="J97" s="219">
        <v>0</v>
      </c>
      <c r="K97" s="127">
        <f t="shared" si="58"/>
        <v>20000</v>
      </c>
      <c r="L97" s="127">
        <f t="shared" si="59"/>
        <v>0</v>
      </c>
      <c r="M97" s="127">
        <f t="shared" si="60"/>
        <v>20000</v>
      </c>
      <c r="N97" s="127">
        <f t="shared" si="61"/>
        <v>50008</v>
      </c>
      <c r="O97" s="125" t="str">
        <f t="shared" si="62"/>
        <v>მიმდინარეობს</v>
      </c>
      <c r="P97" s="52">
        <v>20000</v>
      </c>
      <c r="Q97" s="52"/>
      <c r="R97" s="52">
        <f t="shared" si="63"/>
        <v>20000</v>
      </c>
      <c r="S97" s="52">
        <f t="shared" si="64"/>
        <v>0</v>
      </c>
      <c r="T97" s="52"/>
      <c r="U97" s="52"/>
      <c r="V97" s="52"/>
      <c r="W97" s="52"/>
      <c r="X97" s="52">
        <f t="shared" si="65"/>
        <v>0</v>
      </c>
      <c r="Y97" s="52">
        <f t="shared" si="65"/>
        <v>0</v>
      </c>
      <c r="Z97" s="52"/>
      <c r="AA97" s="52"/>
      <c r="AB97" s="52"/>
      <c r="AC97" s="52"/>
      <c r="AD97" s="52">
        <f t="shared" si="66"/>
        <v>0</v>
      </c>
      <c r="AE97" s="52">
        <f t="shared" si="66"/>
        <v>0</v>
      </c>
      <c r="AF97" s="52">
        <f t="shared" si="67"/>
        <v>20000</v>
      </c>
      <c r="AG97" s="52">
        <f t="shared" si="68"/>
        <v>20000</v>
      </c>
      <c r="AH97" s="52">
        <f t="shared" si="68"/>
        <v>0</v>
      </c>
      <c r="AI97" s="52">
        <f t="shared" si="69"/>
        <v>0</v>
      </c>
      <c r="AJ97" s="52">
        <f t="shared" si="70"/>
        <v>20000</v>
      </c>
      <c r="AK97" s="52">
        <f t="shared" si="70"/>
        <v>20000</v>
      </c>
      <c r="AL97" s="52"/>
      <c r="AM97" s="52"/>
      <c r="AN97" s="52"/>
      <c r="AO97" s="52"/>
      <c r="AP97" s="52">
        <f t="shared" si="71"/>
        <v>0</v>
      </c>
      <c r="AQ97" s="52">
        <f t="shared" si="71"/>
        <v>0</v>
      </c>
      <c r="AR97" s="52"/>
      <c r="AS97" s="59"/>
      <c r="AT97" s="52">
        <v>25000</v>
      </c>
      <c r="AU97" s="52"/>
      <c r="AV97" s="52">
        <f t="shared" si="72"/>
        <v>25000</v>
      </c>
      <c r="AW97" s="52">
        <f t="shared" si="72"/>
        <v>0</v>
      </c>
      <c r="AX97" s="52"/>
      <c r="AY97" s="52"/>
      <c r="AZ97" s="52"/>
      <c r="BA97" s="52"/>
      <c r="BB97" s="52">
        <f t="shared" si="73"/>
        <v>0</v>
      </c>
      <c r="BC97" s="52"/>
      <c r="BD97" s="52">
        <f t="shared" si="49"/>
        <v>0</v>
      </c>
      <c r="BE97" s="52"/>
      <c r="BF97" s="52"/>
      <c r="BG97" s="52"/>
      <c r="BH97" s="52"/>
      <c r="BI97" s="52">
        <f t="shared" si="74"/>
        <v>0</v>
      </c>
      <c r="BJ97" s="52"/>
      <c r="BK97" s="52">
        <f t="shared" si="50"/>
        <v>0</v>
      </c>
      <c r="BL97" s="52"/>
      <c r="BM97" s="52"/>
      <c r="BN97" s="52"/>
      <c r="BO97" s="52"/>
      <c r="BP97" s="52">
        <f t="shared" si="75"/>
        <v>0</v>
      </c>
      <c r="BQ97" s="52"/>
      <c r="BR97" s="52">
        <f t="shared" si="51"/>
        <v>0</v>
      </c>
      <c r="BS97" s="52"/>
      <c r="BT97" s="52">
        <v>20000</v>
      </c>
      <c r="BU97" s="52"/>
      <c r="BV97" s="52"/>
      <c r="BW97" s="52">
        <f t="shared" si="76"/>
        <v>0</v>
      </c>
      <c r="BX97" s="52">
        <v>25008</v>
      </c>
      <c r="BY97" s="52">
        <f t="shared" si="52"/>
        <v>20000</v>
      </c>
      <c r="BZ97" s="52"/>
      <c r="CA97" s="52"/>
      <c r="CB97" s="52"/>
      <c r="CC97" s="52"/>
      <c r="CD97" s="52">
        <f t="shared" si="77"/>
        <v>0</v>
      </c>
      <c r="CE97" s="52">
        <f t="shared" si="77"/>
        <v>0</v>
      </c>
      <c r="CF97" s="52"/>
      <c r="CG97" s="52"/>
      <c r="CH97" s="52"/>
      <c r="CI97" s="52"/>
      <c r="CJ97" s="52">
        <f t="shared" si="78"/>
        <v>0</v>
      </c>
      <c r="CK97" s="52">
        <f t="shared" si="78"/>
        <v>0</v>
      </c>
      <c r="CL97" s="52"/>
      <c r="CM97" s="52"/>
      <c r="CN97" s="52"/>
      <c r="CO97" s="52"/>
      <c r="CP97" s="52">
        <f t="shared" si="79"/>
        <v>0</v>
      </c>
      <c r="CQ97" s="52">
        <f t="shared" si="79"/>
        <v>0</v>
      </c>
      <c r="CR97" s="52"/>
      <c r="CS97" s="52"/>
      <c r="CT97" s="52"/>
      <c r="CU97" s="52"/>
      <c r="CV97" s="52">
        <f t="shared" si="80"/>
        <v>0</v>
      </c>
      <c r="CW97" s="52">
        <f t="shared" si="80"/>
        <v>0</v>
      </c>
      <c r="CX97" s="52"/>
      <c r="CY97" s="52"/>
      <c r="CZ97" s="52"/>
      <c r="DA97" s="52"/>
      <c r="DB97" s="52">
        <f t="shared" si="81"/>
        <v>0</v>
      </c>
      <c r="DC97" s="52">
        <f t="shared" si="81"/>
        <v>0</v>
      </c>
      <c r="DD97" s="52"/>
      <c r="DE97" s="52"/>
      <c r="DF97" s="52"/>
      <c r="DG97" s="52"/>
      <c r="DH97" s="52">
        <f t="shared" si="82"/>
        <v>0</v>
      </c>
      <c r="DI97" s="52">
        <f t="shared" si="82"/>
        <v>0</v>
      </c>
      <c r="DJ97" s="52">
        <f t="shared" si="53"/>
        <v>0</v>
      </c>
      <c r="DK97" s="52">
        <f t="shared" si="54"/>
        <v>20000</v>
      </c>
      <c r="DL97" s="52">
        <f t="shared" si="83"/>
        <v>50008</v>
      </c>
      <c r="DM97" s="52">
        <f t="shared" si="55"/>
        <v>0</v>
      </c>
      <c r="DN97" s="52">
        <f t="shared" si="84"/>
        <v>50008</v>
      </c>
      <c r="DO97" s="52">
        <f t="shared" si="84"/>
        <v>20000</v>
      </c>
    </row>
    <row r="98" spans="1:119" s="278" customFormat="1">
      <c r="A98" s="297">
        <v>90</v>
      </c>
      <c r="B98" s="276" t="s">
        <v>168</v>
      </c>
      <c r="C98" s="298" t="s">
        <v>315</v>
      </c>
      <c r="D98" s="304" t="s">
        <v>316</v>
      </c>
      <c r="E98" s="305" t="s">
        <v>1165</v>
      </c>
      <c r="F98" s="255">
        <f t="shared" si="56"/>
        <v>0</v>
      </c>
      <c r="G98" s="256">
        <f t="shared" si="57"/>
        <v>0</v>
      </c>
      <c r="H98" s="60">
        <v>15000</v>
      </c>
      <c r="I98" s="220">
        <v>0</v>
      </c>
      <c r="J98" s="220">
        <v>0</v>
      </c>
      <c r="K98" s="255">
        <f t="shared" si="58"/>
        <v>0</v>
      </c>
      <c r="L98" s="255">
        <f t="shared" si="59"/>
        <v>0</v>
      </c>
      <c r="M98" s="255">
        <f t="shared" si="60"/>
        <v>0</v>
      </c>
      <c r="N98" s="255">
        <f t="shared" si="61"/>
        <v>0</v>
      </c>
      <c r="O98" s="255" t="str">
        <f t="shared" si="62"/>
        <v>ნულოვანი შესრულება</v>
      </c>
      <c r="P98" s="57"/>
      <c r="Q98" s="57"/>
      <c r="R98" s="52">
        <f t="shared" si="63"/>
        <v>0</v>
      </c>
      <c r="S98" s="52">
        <f t="shared" si="64"/>
        <v>0</v>
      </c>
      <c r="T98" s="57"/>
      <c r="U98" s="57"/>
      <c r="V98" s="57"/>
      <c r="W98" s="57"/>
      <c r="X98" s="52">
        <f t="shared" si="65"/>
        <v>0</v>
      </c>
      <c r="Y98" s="52">
        <f t="shared" si="65"/>
        <v>0</v>
      </c>
      <c r="Z98" s="57"/>
      <c r="AA98" s="57"/>
      <c r="AB98" s="57"/>
      <c r="AC98" s="57"/>
      <c r="AD98" s="52">
        <f t="shared" si="66"/>
        <v>0</v>
      </c>
      <c r="AE98" s="52">
        <f t="shared" si="66"/>
        <v>0</v>
      </c>
      <c r="AF98" s="52">
        <f t="shared" si="67"/>
        <v>0</v>
      </c>
      <c r="AG98" s="52">
        <f t="shared" si="68"/>
        <v>0</v>
      </c>
      <c r="AH98" s="52">
        <f t="shared" si="68"/>
        <v>0</v>
      </c>
      <c r="AI98" s="52">
        <f t="shared" si="69"/>
        <v>0</v>
      </c>
      <c r="AJ98" s="52">
        <f t="shared" si="70"/>
        <v>0</v>
      </c>
      <c r="AK98" s="52">
        <f t="shared" si="70"/>
        <v>0</v>
      </c>
      <c r="AL98" s="301"/>
      <c r="AM98" s="301"/>
      <c r="AN98" s="301"/>
      <c r="AO98" s="301"/>
      <c r="AP98" s="258">
        <f t="shared" si="71"/>
        <v>0</v>
      </c>
      <c r="AQ98" s="258">
        <f t="shared" si="71"/>
        <v>0</v>
      </c>
      <c r="AR98" s="301"/>
      <c r="AS98" s="258"/>
      <c r="AT98" s="258"/>
      <c r="AU98" s="258"/>
      <c r="AV98" s="258">
        <f t="shared" si="72"/>
        <v>0</v>
      </c>
      <c r="AW98" s="258">
        <f t="shared" si="72"/>
        <v>0</v>
      </c>
      <c r="AX98" s="258"/>
      <c r="AY98" s="258"/>
      <c r="AZ98" s="258"/>
      <c r="BA98" s="258"/>
      <c r="BB98" s="258">
        <f t="shared" si="73"/>
        <v>0</v>
      </c>
      <c r="BC98" s="258"/>
      <c r="BD98" s="258">
        <f t="shared" si="49"/>
        <v>0</v>
      </c>
      <c r="BE98" s="258"/>
      <c r="BF98" s="258"/>
      <c r="BG98" s="258"/>
      <c r="BH98" s="258"/>
      <c r="BI98" s="258">
        <f t="shared" si="74"/>
        <v>0</v>
      </c>
      <c r="BJ98" s="258"/>
      <c r="BK98" s="258">
        <f t="shared" si="50"/>
        <v>0</v>
      </c>
      <c r="BL98" s="258"/>
      <c r="BM98" s="258"/>
      <c r="BN98" s="258"/>
      <c r="BO98" s="258"/>
      <c r="BP98" s="258">
        <f t="shared" si="75"/>
        <v>0</v>
      </c>
      <c r="BQ98" s="258"/>
      <c r="BR98" s="258">
        <f t="shared" si="51"/>
        <v>0</v>
      </c>
      <c r="BS98" s="258"/>
      <c r="BT98" s="258"/>
      <c r="BU98" s="258"/>
      <c r="BV98" s="258"/>
      <c r="BW98" s="258">
        <f t="shared" si="76"/>
        <v>0</v>
      </c>
      <c r="BX98" s="258"/>
      <c r="BY98" s="258">
        <f t="shared" si="52"/>
        <v>0</v>
      </c>
      <c r="BZ98" s="258"/>
      <c r="CA98" s="258"/>
      <c r="CB98" s="258"/>
      <c r="CC98" s="258"/>
      <c r="CD98" s="258">
        <f t="shared" si="77"/>
        <v>0</v>
      </c>
      <c r="CE98" s="258">
        <f t="shared" si="77"/>
        <v>0</v>
      </c>
      <c r="CF98" s="258"/>
      <c r="CG98" s="258"/>
      <c r="CH98" s="258"/>
      <c r="CI98" s="258"/>
      <c r="CJ98" s="258">
        <f t="shared" si="78"/>
        <v>0</v>
      </c>
      <c r="CK98" s="258">
        <f t="shared" si="78"/>
        <v>0</v>
      </c>
      <c r="CL98" s="258"/>
      <c r="CM98" s="258"/>
      <c r="CN98" s="258"/>
      <c r="CO98" s="258"/>
      <c r="CP98" s="258">
        <f t="shared" si="79"/>
        <v>0</v>
      </c>
      <c r="CQ98" s="258">
        <f t="shared" si="79"/>
        <v>0</v>
      </c>
      <c r="CR98" s="258"/>
      <c r="CS98" s="258"/>
      <c r="CT98" s="258"/>
      <c r="CU98" s="258"/>
      <c r="CV98" s="258">
        <f t="shared" si="80"/>
        <v>0</v>
      </c>
      <c r="CW98" s="258">
        <f t="shared" si="80"/>
        <v>0</v>
      </c>
      <c r="CX98" s="258"/>
      <c r="CY98" s="258"/>
      <c r="CZ98" s="258"/>
      <c r="DA98" s="258"/>
      <c r="DB98" s="258">
        <f t="shared" si="81"/>
        <v>0</v>
      </c>
      <c r="DC98" s="258">
        <f t="shared" si="81"/>
        <v>0</v>
      </c>
      <c r="DD98" s="258"/>
      <c r="DE98" s="258"/>
      <c r="DF98" s="258"/>
      <c r="DG98" s="258"/>
      <c r="DH98" s="258">
        <f t="shared" si="82"/>
        <v>0</v>
      </c>
      <c r="DI98" s="258">
        <f t="shared" si="82"/>
        <v>0</v>
      </c>
      <c r="DJ98" s="258">
        <f t="shared" si="53"/>
        <v>0</v>
      </c>
      <c r="DK98" s="258">
        <f t="shared" si="54"/>
        <v>0</v>
      </c>
      <c r="DL98" s="52">
        <f t="shared" si="83"/>
        <v>0</v>
      </c>
      <c r="DM98" s="258">
        <f t="shared" si="55"/>
        <v>0</v>
      </c>
      <c r="DN98" s="258">
        <f t="shared" si="84"/>
        <v>0</v>
      </c>
      <c r="DO98" s="258">
        <f t="shared" si="84"/>
        <v>0</v>
      </c>
    </row>
    <row r="99" spans="1:119">
      <c r="A99" s="224">
        <v>91</v>
      </c>
      <c r="B99" s="26" t="s">
        <v>48</v>
      </c>
      <c r="C99" s="53" t="s">
        <v>317</v>
      </c>
      <c r="D99" s="227" t="s">
        <v>318</v>
      </c>
      <c r="E99" s="191" t="s">
        <v>1165</v>
      </c>
      <c r="F99" s="161">
        <f t="shared" si="56"/>
        <v>20000</v>
      </c>
      <c r="G99" s="165">
        <f t="shared" si="57"/>
        <v>70000</v>
      </c>
      <c r="H99" s="54">
        <v>95000</v>
      </c>
      <c r="I99" s="219">
        <v>0</v>
      </c>
      <c r="J99" s="219">
        <v>0</v>
      </c>
      <c r="K99" s="127">
        <f t="shared" si="58"/>
        <v>50000</v>
      </c>
      <c r="L99" s="127">
        <f t="shared" si="59"/>
        <v>0</v>
      </c>
      <c r="M99" s="127">
        <f t="shared" si="60"/>
        <v>50000</v>
      </c>
      <c r="N99" s="127">
        <f t="shared" si="61"/>
        <v>20000</v>
      </c>
      <c r="O99" s="125">
        <f t="shared" si="62"/>
        <v>54195.18</v>
      </c>
      <c r="P99" s="52">
        <v>50000</v>
      </c>
      <c r="Q99" s="52"/>
      <c r="R99" s="52">
        <f t="shared" si="63"/>
        <v>50000</v>
      </c>
      <c r="S99" s="52">
        <f t="shared" si="64"/>
        <v>0</v>
      </c>
      <c r="T99" s="52"/>
      <c r="U99" s="52"/>
      <c r="V99" s="52"/>
      <c r="W99" s="52"/>
      <c r="X99" s="52">
        <f t="shared" si="65"/>
        <v>0</v>
      </c>
      <c r="Y99" s="52">
        <f t="shared" si="65"/>
        <v>0</v>
      </c>
      <c r="Z99" s="52"/>
      <c r="AA99" s="52"/>
      <c r="AB99" s="52"/>
      <c r="AC99" s="52"/>
      <c r="AD99" s="52">
        <f t="shared" si="66"/>
        <v>0</v>
      </c>
      <c r="AE99" s="52">
        <f t="shared" si="66"/>
        <v>0</v>
      </c>
      <c r="AF99" s="52">
        <f t="shared" si="67"/>
        <v>50000</v>
      </c>
      <c r="AG99" s="52">
        <f t="shared" si="68"/>
        <v>50000</v>
      </c>
      <c r="AH99" s="52">
        <f t="shared" si="68"/>
        <v>0</v>
      </c>
      <c r="AI99" s="52">
        <f t="shared" si="69"/>
        <v>0</v>
      </c>
      <c r="AJ99" s="52">
        <f t="shared" si="70"/>
        <v>50000</v>
      </c>
      <c r="AK99" s="52">
        <f t="shared" si="70"/>
        <v>50000</v>
      </c>
      <c r="AL99" s="52"/>
      <c r="AM99" s="52"/>
      <c r="AN99" s="75">
        <v>10000</v>
      </c>
      <c r="AO99" s="52"/>
      <c r="AP99" s="52">
        <f t="shared" si="71"/>
        <v>10000</v>
      </c>
      <c r="AQ99" s="52">
        <f t="shared" si="71"/>
        <v>0</v>
      </c>
      <c r="AR99" s="52"/>
      <c r="AS99" s="52"/>
      <c r="AT99" s="52">
        <v>10000</v>
      </c>
      <c r="AU99" s="52">
        <v>4195.18</v>
      </c>
      <c r="AV99" s="52">
        <f t="shared" si="72"/>
        <v>10000</v>
      </c>
      <c r="AW99" s="52">
        <f t="shared" si="72"/>
        <v>4195.18</v>
      </c>
      <c r="AX99" s="52"/>
      <c r="AY99" s="52"/>
      <c r="AZ99" s="52"/>
      <c r="BA99" s="52"/>
      <c r="BB99" s="52">
        <f t="shared" si="73"/>
        <v>0</v>
      </c>
      <c r="BC99" s="52"/>
      <c r="BD99" s="52">
        <f t="shared" si="49"/>
        <v>0</v>
      </c>
      <c r="BE99" s="52"/>
      <c r="BF99" s="52"/>
      <c r="BG99" s="52"/>
      <c r="BH99" s="52"/>
      <c r="BI99" s="52">
        <f t="shared" si="74"/>
        <v>0</v>
      </c>
      <c r="BJ99" s="52"/>
      <c r="BK99" s="52">
        <f t="shared" si="50"/>
        <v>0</v>
      </c>
      <c r="BL99" s="52"/>
      <c r="BM99" s="52"/>
      <c r="BN99" s="52"/>
      <c r="BO99" s="52"/>
      <c r="BP99" s="52">
        <f t="shared" si="75"/>
        <v>0</v>
      </c>
      <c r="BQ99" s="52"/>
      <c r="BR99" s="52">
        <f t="shared" si="51"/>
        <v>0</v>
      </c>
      <c r="BS99" s="52"/>
      <c r="BT99" s="52"/>
      <c r="BU99" s="52"/>
      <c r="BV99" s="52"/>
      <c r="BW99" s="52">
        <f t="shared" si="76"/>
        <v>0</v>
      </c>
      <c r="BX99" s="52"/>
      <c r="BY99" s="52">
        <f t="shared" si="52"/>
        <v>0</v>
      </c>
      <c r="BZ99" s="52"/>
      <c r="CA99" s="52"/>
      <c r="CB99" s="52"/>
      <c r="CC99" s="52"/>
      <c r="CD99" s="52">
        <f t="shared" si="77"/>
        <v>0</v>
      </c>
      <c r="CE99" s="52">
        <f t="shared" si="77"/>
        <v>0</v>
      </c>
      <c r="CF99" s="52"/>
      <c r="CG99" s="52"/>
      <c r="CH99" s="52"/>
      <c r="CI99" s="52"/>
      <c r="CJ99" s="52">
        <f t="shared" si="78"/>
        <v>0</v>
      </c>
      <c r="CK99" s="52">
        <f t="shared" si="78"/>
        <v>0</v>
      </c>
      <c r="CL99" s="52"/>
      <c r="CM99" s="52"/>
      <c r="CN99" s="52"/>
      <c r="CO99" s="52"/>
      <c r="CP99" s="52">
        <f t="shared" si="79"/>
        <v>0</v>
      </c>
      <c r="CQ99" s="52">
        <f t="shared" si="79"/>
        <v>0</v>
      </c>
      <c r="CR99" s="52"/>
      <c r="CS99" s="52"/>
      <c r="CT99" s="52"/>
      <c r="CU99" s="52"/>
      <c r="CV99" s="52">
        <f t="shared" si="80"/>
        <v>0</v>
      </c>
      <c r="CW99" s="52">
        <f t="shared" si="80"/>
        <v>0</v>
      </c>
      <c r="CX99" s="52"/>
      <c r="CY99" s="52"/>
      <c r="CZ99" s="52"/>
      <c r="DA99" s="52"/>
      <c r="DB99" s="52">
        <f t="shared" si="81"/>
        <v>0</v>
      </c>
      <c r="DC99" s="52">
        <f t="shared" si="81"/>
        <v>0</v>
      </c>
      <c r="DD99" s="52"/>
      <c r="DE99" s="52"/>
      <c r="DF99" s="52"/>
      <c r="DG99" s="52"/>
      <c r="DH99" s="52">
        <f t="shared" si="82"/>
        <v>0</v>
      </c>
      <c r="DI99" s="52">
        <f t="shared" si="82"/>
        <v>0</v>
      </c>
      <c r="DJ99" s="52">
        <f t="shared" si="53"/>
        <v>0</v>
      </c>
      <c r="DK99" s="52">
        <f t="shared" si="54"/>
        <v>0</v>
      </c>
      <c r="DL99" s="52">
        <f t="shared" si="83"/>
        <v>20000</v>
      </c>
      <c r="DM99" s="52">
        <f t="shared" si="55"/>
        <v>4195.18</v>
      </c>
      <c r="DN99" s="52">
        <f t="shared" si="84"/>
        <v>20000</v>
      </c>
      <c r="DO99" s="52">
        <f t="shared" si="84"/>
        <v>4195.18</v>
      </c>
    </row>
    <row r="100" spans="1:119" s="278" customFormat="1">
      <c r="A100" s="297">
        <v>92</v>
      </c>
      <c r="B100" s="276" t="s">
        <v>168</v>
      </c>
      <c r="C100" s="298" t="s">
        <v>319</v>
      </c>
      <c r="D100" s="299" t="s">
        <v>320</v>
      </c>
      <c r="E100" s="298" t="s">
        <v>1165</v>
      </c>
      <c r="F100" s="255">
        <f t="shared" si="56"/>
        <v>0</v>
      </c>
      <c r="G100" s="256">
        <f t="shared" si="57"/>
        <v>0</v>
      </c>
      <c r="H100" s="54">
        <v>10000</v>
      </c>
      <c r="I100" s="220">
        <v>0</v>
      </c>
      <c r="J100" s="220">
        <v>0</v>
      </c>
      <c r="K100" s="255">
        <f t="shared" si="58"/>
        <v>0</v>
      </c>
      <c r="L100" s="255">
        <f t="shared" si="59"/>
        <v>0</v>
      </c>
      <c r="M100" s="255">
        <f t="shared" si="60"/>
        <v>0</v>
      </c>
      <c r="N100" s="255">
        <f t="shared" si="61"/>
        <v>0</v>
      </c>
      <c r="O100" s="255" t="str">
        <f t="shared" si="62"/>
        <v>ნულოვანი შესრულება</v>
      </c>
      <c r="P100" s="57"/>
      <c r="Q100" s="57"/>
      <c r="R100" s="52">
        <f t="shared" si="63"/>
        <v>0</v>
      </c>
      <c r="S100" s="52">
        <f t="shared" si="64"/>
        <v>0</v>
      </c>
      <c r="T100" s="57"/>
      <c r="U100" s="57"/>
      <c r="V100" s="57"/>
      <c r="W100" s="57"/>
      <c r="X100" s="52">
        <f t="shared" si="65"/>
        <v>0</v>
      </c>
      <c r="Y100" s="52">
        <f t="shared" si="65"/>
        <v>0</v>
      </c>
      <c r="Z100" s="57"/>
      <c r="AA100" s="57"/>
      <c r="AB100" s="57"/>
      <c r="AC100" s="57"/>
      <c r="AD100" s="52">
        <f t="shared" si="66"/>
        <v>0</v>
      </c>
      <c r="AE100" s="52">
        <f t="shared" si="66"/>
        <v>0</v>
      </c>
      <c r="AF100" s="52">
        <f t="shared" si="67"/>
        <v>0</v>
      </c>
      <c r="AG100" s="52">
        <f t="shared" si="68"/>
        <v>0</v>
      </c>
      <c r="AH100" s="52">
        <f t="shared" si="68"/>
        <v>0</v>
      </c>
      <c r="AI100" s="52">
        <f t="shared" si="69"/>
        <v>0</v>
      </c>
      <c r="AJ100" s="52">
        <f t="shared" si="70"/>
        <v>0</v>
      </c>
      <c r="AK100" s="52">
        <f t="shared" si="70"/>
        <v>0</v>
      </c>
      <c r="AL100" s="258"/>
      <c r="AM100" s="258"/>
      <c r="AN100" s="258"/>
      <c r="AO100" s="258"/>
      <c r="AP100" s="258">
        <f t="shared" si="71"/>
        <v>0</v>
      </c>
      <c r="AQ100" s="258">
        <f t="shared" si="71"/>
        <v>0</v>
      </c>
      <c r="AR100" s="258"/>
      <c r="AS100" s="258"/>
      <c r="AT100" s="258"/>
      <c r="AU100" s="258"/>
      <c r="AV100" s="258">
        <f t="shared" si="72"/>
        <v>0</v>
      </c>
      <c r="AW100" s="258">
        <f t="shared" si="72"/>
        <v>0</v>
      </c>
      <c r="AX100" s="258"/>
      <c r="AY100" s="258"/>
      <c r="AZ100" s="258"/>
      <c r="BA100" s="258"/>
      <c r="BB100" s="258">
        <f t="shared" si="73"/>
        <v>0</v>
      </c>
      <c r="BC100" s="258"/>
      <c r="BD100" s="258">
        <f t="shared" si="49"/>
        <v>0</v>
      </c>
      <c r="BE100" s="258"/>
      <c r="BF100" s="258"/>
      <c r="BG100" s="258"/>
      <c r="BH100" s="258"/>
      <c r="BI100" s="258">
        <f t="shared" si="74"/>
        <v>0</v>
      </c>
      <c r="BJ100" s="258"/>
      <c r="BK100" s="258">
        <f t="shared" si="50"/>
        <v>0</v>
      </c>
      <c r="BL100" s="258"/>
      <c r="BM100" s="258"/>
      <c r="BN100" s="258"/>
      <c r="BO100" s="258"/>
      <c r="BP100" s="258">
        <f t="shared" si="75"/>
        <v>0</v>
      </c>
      <c r="BQ100" s="258"/>
      <c r="BR100" s="258">
        <f t="shared" si="51"/>
        <v>0</v>
      </c>
      <c r="BS100" s="258"/>
      <c r="BT100" s="258"/>
      <c r="BU100" s="258"/>
      <c r="BV100" s="258"/>
      <c r="BW100" s="258">
        <f t="shared" si="76"/>
        <v>0</v>
      </c>
      <c r="BX100" s="258"/>
      <c r="BY100" s="258">
        <f t="shared" si="52"/>
        <v>0</v>
      </c>
      <c r="BZ100" s="258"/>
      <c r="CA100" s="258"/>
      <c r="CB100" s="258"/>
      <c r="CC100" s="258"/>
      <c r="CD100" s="258">
        <f t="shared" si="77"/>
        <v>0</v>
      </c>
      <c r="CE100" s="258">
        <f t="shared" si="77"/>
        <v>0</v>
      </c>
      <c r="CF100" s="258"/>
      <c r="CG100" s="258"/>
      <c r="CH100" s="258"/>
      <c r="CI100" s="258"/>
      <c r="CJ100" s="258">
        <f t="shared" si="78"/>
        <v>0</v>
      </c>
      <c r="CK100" s="258">
        <f t="shared" si="78"/>
        <v>0</v>
      </c>
      <c r="CL100" s="258"/>
      <c r="CM100" s="258"/>
      <c r="CN100" s="258"/>
      <c r="CO100" s="258"/>
      <c r="CP100" s="258">
        <f t="shared" si="79"/>
        <v>0</v>
      </c>
      <c r="CQ100" s="258">
        <f t="shared" si="79"/>
        <v>0</v>
      </c>
      <c r="CR100" s="258"/>
      <c r="CS100" s="258"/>
      <c r="CT100" s="258"/>
      <c r="CU100" s="258"/>
      <c r="CV100" s="258">
        <f t="shared" si="80"/>
        <v>0</v>
      </c>
      <c r="CW100" s="258">
        <f t="shared" si="80"/>
        <v>0</v>
      </c>
      <c r="CX100" s="258"/>
      <c r="CY100" s="258"/>
      <c r="CZ100" s="258"/>
      <c r="DA100" s="258"/>
      <c r="DB100" s="258">
        <f t="shared" si="81"/>
        <v>0</v>
      </c>
      <c r="DC100" s="258">
        <f t="shared" si="81"/>
        <v>0</v>
      </c>
      <c r="DD100" s="258"/>
      <c r="DE100" s="258"/>
      <c r="DF100" s="258"/>
      <c r="DG100" s="258"/>
      <c r="DH100" s="258">
        <f t="shared" si="82"/>
        <v>0</v>
      </c>
      <c r="DI100" s="258">
        <f t="shared" si="82"/>
        <v>0</v>
      </c>
      <c r="DJ100" s="258">
        <f t="shared" si="53"/>
        <v>0</v>
      </c>
      <c r="DK100" s="258">
        <f t="shared" si="54"/>
        <v>0</v>
      </c>
      <c r="DL100" s="52">
        <f t="shared" si="83"/>
        <v>0</v>
      </c>
      <c r="DM100" s="258">
        <f t="shared" si="55"/>
        <v>0</v>
      </c>
      <c r="DN100" s="258">
        <f t="shared" si="84"/>
        <v>0</v>
      </c>
      <c r="DO100" s="258">
        <f t="shared" si="84"/>
        <v>0</v>
      </c>
    </row>
    <row r="101" spans="1:119" s="278" customFormat="1">
      <c r="A101" s="297">
        <v>93</v>
      </c>
      <c r="B101" s="276" t="s">
        <v>168</v>
      </c>
      <c r="C101" s="298" t="s">
        <v>321</v>
      </c>
      <c r="D101" s="299" t="s">
        <v>322</v>
      </c>
      <c r="E101" s="298" t="s">
        <v>1165</v>
      </c>
      <c r="F101" s="255">
        <f t="shared" si="56"/>
        <v>0</v>
      </c>
      <c r="G101" s="256">
        <f t="shared" si="57"/>
        <v>0</v>
      </c>
      <c r="H101" s="54">
        <v>10000</v>
      </c>
      <c r="I101" s="219">
        <v>0</v>
      </c>
      <c r="J101" s="219">
        <v>0</v>
      </c>
      <c r="K101" s="255">
        <f t="shared" si="58"/>
        <v>0</v>
      </c>
      <c r="L101" s="255">
        <f t="shared" si="59"/>
        <v>0</v>
      </c>
      <c r="M101" s="255">
        <f t="shared" si="60"/>
        <v>0</v>
      </c>
      <c r="N101" s="255">
        <f t="shared" si="61"/>
        <v>0</v>
      </c>
      <c r="O101" s="255" t="str">
        <f t="shared" si="62"/>
        <v>ნულოვანი შესრულება</v>
      </c>
      <c r="P101" s="52"/>
      <c r="Q101" s="52"/>
      <c r="R101" s="52">
        <f t="shared" si="63"/>
        <v>0</v>
      </c>
      <c r="S101" s="52">
        <f t="shared" si="64"/>
        <v>0</v>
      </c>
      <c r="T101" s="52"/>
      <c r="U101" s="52"/>
      <c r="V101" s="52"/>
      <c r="W101" s="52"/>
      <c r="X101" s="52">
        <f t="shared" si="65"/>
        <v>0</v>
      </c>
      <c r="Y101" s="52">
        <f t="shared" si="65"/>
        <v>0</v>
      </c>
      <c r="Z101" s="52"/>
      <c r="AA101" s="52"/>
      <c r="AB101" s="52"/>
      <c r="AC101" s="52"/>
      <c r="AD101" s="52">
        <f t="shared" si="66"/>
        <v>0</v>
      </c>
      <c r="AE101" s="52">
        <f t="shared" si="66"/>
        <v>0</v>
      </c>
      <c r="AF101" s="52">
        <f t="shared" si="67"/>
        <v>0</v>
      </c>
      <c r="AG101" s="52">
        <f t="shared" si="68"/>
        <v>0</v>
      </c>
      <c r="AH101" s="52">
        <f t="shared" si="68"/>
        <v>0</v>
      </c>
      <c r="AI101" s="52">
        <f t="shared" si="69"/>
        <v>0</v>
      </c>
      <c r="AJ101" s="52">
        <f t="shared" si="70"/>
        <v>0</v>
      </c>
      <c r="AK101" s="52">
        <f t="shared" si="70"/>
        <v>0</v>
      </c>
      <c r="AL101" s="258"/>
      <c r="AM101" s="258"/>
      <c r="AN101" s="258"/>
      <c r="AO101" s="258"/>
      <c r="AP101" s="258">
        <f t="shared" si="71"/>
        <v>0</v>
      </c>
      <c r="AQ101" s="258">
        <f t="shared" si="71"/>
        <v>0</v>
      </c>
      <c r="AR101" s="258"/>
      <c r="AS101" s="258"/>
      <c r="AT101" s="258"/>
      <c r="AU101" s="258"/>
      <c r="AV101" s="258">
        <f t="shared" si="72"/>
        <v>0</v>
      </c>
      <c r="AW101" s="258">
        <f t="shared" si="72"/>
        <v>0</v>
      </c>
      <c r="AX101" s="258"/>
      <c r="AY101" s="258"/>
      <c r="AZ101" s="258"/>
      <c r="BA101" s="258"/>
      <c r="BB101" s="258">
        <f t="shared" si="73"/>
        <v>0</v>
      </c>
      <c r="BC101" s="258"/>
      <c r="BD101" s="258">
        <f t="shared" si="49"/>
        <v>0</v>
      </c>
      <c r="BE101" s="258"/>
      <c r="BF101" s="258"/>
      <c r="BG101" s="258"/>
      <c r="BH101" s="258"/>
      <c r="BI101" s="258">
        <f t="shared" si="74"/>
        <v>0</v>
      </c>
      <c r="BJ101" s="258"/>
      <c r="BK101" s="258">
        <f t="shared" si="50"/>
        <v>0</v>
      </c>
      <c r="BL101" s="258"/>
      <c r="BM101" s="258"/>
      <c r="BN101" s="258"/>
      <c r="BO101" s="258"/>
      <c r="BP101" s="258">
        <f t="shared" si="75"/>
        <v>0</v>
      </c>
      <c r="BQ101" s="258"/>
      <c r="BR101" s="258">
        <f t="shared" si="51"/>
        <v>0</v>
      </c>
      <c r="BS101" s="258"/>
      <c r="BT101" s="258"/>
      <c r="BU101" s="258"/>
      <c r="BV101" s="258"/>
      <c r="BW101" s="258">
        <f t="shared" si="76"/>
        <v>0</v>
      </c>
      <c r="BX101" s="258"/>
      <c r="BY101" s="258">
        <f t="shared" si="52"/>
        <v>0</v>
      </c>
      <c r="BZ101" s="258"/>
      <c r="CA101" s="258"/>
      <c r="CB101" s="258"/>
      <c r="CC101" s="258"/>
      <c r="CD101" s="258">
        <f t="shared" si="77"/>
        <v>0</v>
      </c>
      <c r="CE101" s="258">
        <f t="shared" si="77"/>
        <v>0</v>
      </c>
      <c r="CF101" s="258"/>
      <c r="CG101" s="258"/>
      <c r="CH101" s="258"/>
      <c r="CI101" s="258"/>
      <c r="CJ101" s="258">
        <f t="shared" si="78"/>
        <v>0</v>
      </c>
      <c r="CK101" s="258">
        <f t="shared" si="78"/>
        <v>0</v>
      </c>
      <c r="CL101" s="258"/>
      <c r="CM101" s="258"/>
      <c r="CN101" s="258"/>
      <c r="CO101" s="258"/>
      <c r="CP101" s="258">
        <f t="shared" si="79"/>
        <v>0</v>
      </c>
      <c r="CQ101" s="258">
        <f t="shared" si="79"/>
        <v>0</v>
      </c>
      <c r="CR101" s="258"/>
      <c r="CS101" s="258"/>
      <c r="CT101" s="258"/>
      <c r="CU101" s="258"/>
      <c r="CV101" s="258">
        <f t="shared" si="80"/>
        <v>0</v>
      </c>
      <c r="CW101" s="258">
        <f t="shared" si="80"/>
        <v>0</v>
      </c>
      <c r="CX101" s="258"/>
      <c r="CY101" s="258"/>
      <c r="CZ101" s="258"/>
      <c r="DA101" s="258"/>
      <c r="DB101" s="258">
        <f t="shared" si="81"/>
        <v>0</v>
      </c>
      <c r="DC101" s="258">
        <f t="shared" si="81"/>
        <v>0</v>
      </c>
      <c r="DD101" s="258"/>
      <c r="DE101" s="258"/>
      <c r="DF101" s="258"/>
      <c r="DG101" s="258"/>
      <c r="DH101" s="258">
        <f t="shared" si="82"/>
        <v>0</v>
      </c>
      <c r="DI101" s="258">
        <f t="shared" si="82"/>
        <v>0</v>
      </c>
      <c r="DJ101" s="258">
        <f t="shared" si="53"/>
        <v>0</v>
      </c>
      <c r="DK101" s="258">
        <f t="shared" si="54"/>
        <v>0</v>
      </c>
      <c r="DL101" s="52">
        <f t="shared" si="83"/>
        <v>0</v>
      </c>
      <c r="DM101" s="258">
        <f t="shared" si="55"/>
        <v>0</v>
      </c>
      <c r="DN101" s="258">
        <f t="shared" si="84"/>
        <v>0</v>
      </c>
      <c r="DO101" s="258">
        <f t="shared" si="84"/>
        <v>0</v>
      </c>
    </row>
    <row r="102" spans="1:119" s="278" customFormat="1">
      <c r="A102" s="297">
        <v>94</v>
      </c>
      <c r="B102" s="276" t="s">
        <v>36</v>
      </c>
      <c r="C102" s="298" t="s">
        <v>174</v>
      </c>
      <c r="D102" s="299" t="s">
        <v>323</v>
      </c>
      <c r="E102" s="300" t="s">
        <v>1164</v>
      </c>
      <c r="F102" s="255">
        <f t="shared" si="56"/>
        <v>0</v>
      </c>
      <c r="G102" s="256">
        <f t="shared" si="57"/>
        <v>0</v>
      </c>
      <c r="H102" s="56">
        <v>0</v>
      </c>
      <c r="I102" s="219">
        <v>0</v>
      </c>
      <c r="J102" s="219">
        <v>0</v>
      </c>
      <c r="K102" s="255">
        <f t="shared" si="58"/>
        <v>0</v>
      </c>
      <c r="L102" s="255">
        <f t="shared" si="59"/>
        <v>0</v>
      </c>
      <c r="M102" s="255">
        <f t="shared" si="60"/>
        <v>0</v>
      </c>
      <c r="N102" s="255">
        <f t="shared" si="61"/>
        <v>0</v>
      </c>
      <c r="O102" s="255" t="str">
        <f t="shared" si="62"/>
        <v>ნულოვანი შესრულება</v>
      </c>
      <c r="P102" s="52"/>
      <c r="Q102" s="52"/>
      <c r="R102" s="52">
        <f t="shared" si="63"/>
        <v>0</v>
      </c>
      <c r="S102" s="52">
        <f t="shared" si="64"/>
        <v>0</v>
      </c>
      <c r="T102" s="52"/>
      <c r="U102" s="52"/>
      <c r="V102" s="52"/>
      <c r="W102" s="52"/>
      <c r="X102" s="52">
        <f t="shared" si="65"/>
        <v>0</v>
      </c>
      <c r="Y102" s="52">
        <f t="shared" si="65"/>
        <v>0</v>
      </c>
      <c r="Z102" s="52"/>
      <c r="AA102" s="52"/>
      <c r="AB102" s="52"/>
      <c r="AC102" s="52"/>
      <c r="AD102" s="52">
        <f t="shared" si="66"/>
        <v>0</v>
      </c>
      <c r="AE102" s="52">
        <f t="shared" si="66"/>
        <v>0</v>
      </c>
      <c r="AF102" s="52">
        <f t="shared" si="67"/>
        <v>0</v>
      </c>
      <c r="AG102" s="52">
        <f t="shared" si="68"/>
        <v>0</v>
      </c>
      <c r="AH102" s="52">
        <f t="shared" si="68"/>
        <v>0</v>
      </c>
      <c r="AI102" s="52">
        <f t="shared" si="69"/>
        <v>0</v>
      </c>
      <c r="AJ102" s="52">
        <f t="shared" si="70"/>
        <v>0</v>
      </c>
      <c r="AK102" s="52">
        <f t="shared" si="70"/>
        <v>0</v>
      </c>
      <c r="AL102" s="258"/>
      <c r="AM102" s="258"/>
      <c r="AN102" s="258"/>
      <c r="AO102" s="258"/>
      <c r="AP102" s="258">
        <f t="shared" si="71"/>
        <v>0</v>
      </c>
      <c r="AQ102" s="258">
        <f t="shared" si="71"/>
        <v>0</v>
      </c>
      <c r="AR102" s="258"/>
      <c r="AS102" s="258"/>
      <c r="AT102" s="258"/>
      <c r="AU102" s="258"/>
      <c r="AV102" s="258">
        <f t="shared" si="72"/>
        <v>0</v>
      </c>
      <c r="AW102" s="258">
        <f t="shared" si="72"/>
        <v>0</v>
      </c>
      <c r="AX102" s="258"/>
      <c r="AY102" s="258"/>
      <c r="AZ102" s="258"/>
      <c r="BA102" s="258"/>
      <c r="BB102" s="258">
        <f t="shared" si="73"/>
        <v>0</v>
      </c>
      <c r="BC102" s="258"/>
      <c r="BD102" s="258">
        <f t="shared" si="49"/>
        <v>0</v>
      </c>
      <c r="BE102" s="258"/>
      <c r="BF102" s="258"/>
      <c r="BG102" s="258"/>
      <c r="BH102" s="258"/>
      <c r="BI102" s="258">
        <f t="shared" si="74"/>
        <v>0</v>
      </c>
      <c r="BJ102" s="258"/>
      <c r="BK102" s="258">
        <f t="shared" si="50"/>
        <v>0</v>
      </c>
      <c r="BL102" s="258"/>
      <c r="BM102" s="258"/>
      <c r="BN102" s="258"/>
      <c r="BO102" s="258"/>
      <c r="BP102" s="258">
        <f t="shared" si="75"/>
        <v>0</v>
      </c>
      <c r="BQ102" s="258"/>
      <c r="BR102" s="258">
        <f t="shared" si="51"/>
        <v>0</v>
      </c>
      <c r="BS102" s="258"/>
      <c r="BT102" s="258"/>
      <c r="BU102" s="258"/>
      <c r="BV102" s="258"/>
      <c r="BW102" s="258">
        <f t="shared" si="76"/>
        <v>0</v>
      </c>
      <c r="BX102" s="258"/>
      <c r="BY102" s="258">
        <f t="shared" si="52"/>
        <v>0</v>
      </c>
      <c r="BZ102" s="258"/>
      <c r="CA102" s="258"/>
      <c r="CB102" s="258"/>
      <c r="CC102" s="258"/>
      <c r="CD102" s="258">
        <f t="shared" si="77"/>
        <v>0</v>
      </c>
      <c r="CE102" s="258">
        <f t="shared" si="77"/>
        <v>0</v>
      </c>
      <c r="CF102" s="258"/>
      <c r="CG102" s="258"/>
      <c r="CH102" s="258"/>
      <c r="CI102" s="258"/>
      <c r="CJ102" s="258">
        <f t="shared" si="78"/>
        <v>0</v>
      </c>
      <c r="CK102" s="258">
        <f t="shared" si="78"/>
        <v>0</v>
      </c>
      <c r="CL102" s="258"/>
      <c r="CM102" s="258"/>
      <c r="CN102" s="258"/>
      <c r="CO102" s="258"/>
      <c r="CP102" s="258">
        <f t="shared" si="79"/>
        <v>0</v>
      </c>
      <c r="CQ102" s="258">
        <f t="shared" si="79"/>
        <v>0</v>
      </c>
      <c r="CR102" s="258"/>
      <c r="CS102" s="258"/>
      <c r="CT102" s="258"/>
      <c r="CU102" s="258"/>
      <c r="CV102" s="258">
        <f t="shared" si="80"/>
        <v>0</v>
      </c>
      <c r="CW102" s="258">
        <f t="shared" si="80"/>
        <v>0</v>
      </c>
      <c r="CX102" s="258"/>
      <c r="CY102" s="258"/>
      <c r="CZ102" s="258"/>
      <c r="DA102" s="258"/>
      <c r="DB102" s="258">
        <f t="shared" si="81"/>
        <v>0</v>
      </c>
      <c r="DC102" s="258">
        <f t="shared" si="81"/>
        <v>0</v>
      </c>
      <c r="DD102" s="258"/>
      <c r="DE102" s="258"/>
      <c r="DF102" s="258"/>
      <c r="DG102" s="258"/>
      <c r="DH102" s="258">
        <f t="shared" si="82"/>
        <v>0</v>
      </c>
      <c r="DI102" s="258">
        <f t="shared" si="82"/>
        <v>0</v>
      </c>
      <c r="DJ102" s="258">
        <f t="shared" si="53"/>
        <v>0</v>
      </c>
      <c r="DK102" s="258">
        <f t="shared" si="54"/>
        <v>0</v>
      </c>
      <c r="DL102" s="52">
        <f t="shared" si="83"/>
        <v>0</v>
      </c>
      <c r="DM102" s="258">
        <f t="shared" si="55"/>
        <v>0</v>
      </c>
      <c r="DN102" s="258">
        <f t="shared" si="84"/>
        <v>0</v>
      </c>
      <c r="DO102" s="258">
        <f t="shared" si="84"/>
        <v>0</v>
      </c>
    </row>
    <row r="103" spans="1:119">
      <c r="A103" s="224">
        <v>95</v>
      </c>
      <c r="B103" s="26" t="s">
        <v>168</v>
      </c>
      <c r="C103" s="53" t="s">
        <v>169</v>
      </c>
      <c r="D103" s="227" t="s">
        <v>324</v>
      </c>
      <c r="E103" s="191" t="s">
        <v>1164</v>
      </c>
      <c r="F103" s="161">
        <f t="shared" si="56"/>
        <v>0</v>
      </c>
      <c r="G103" s="165">
        <f t="shared" si="57"/>
        <v>26528.25</v>
      </c>
      <c r="H103" s="54">
        <v>0</v>
      </c>
      <c r="I103" s="219">
        <v>0</v>
      </c>
      <c r="J103" s="219">
        <v>0</v>
      </c>
      <c r="K103" s="127">
        <f t="shared" si="58"/>
        <v>26528.25</v>
      </c>
      <c r="L103" s="127">
        <f t="shared" si="59"/>
        <v>26528.25</v>
      </c>
      <c r="M103" s="127">
        <f t="shared" si="60"/>
        <v>26528.25</v>
      </c>
      <c r="N103" s="127">
        <f t="shared" si="61"/>
        <v>0</v>
      </c>
      <c r="O103" s="125">
        <f t="shared" si="62"/>
        <v>26528.25</v>
      </c>
      <c r="P103" s="52"/>
      <c r="Q103" s="52">
        <v>26528.25</v>
      </c>
      <c r="R103" s="52">
        <f t="shared" si="63"/>
        <v>0</v>
      </c>
      <c r="S103" s="52">
        <f t="shared" si="64"/>
        <v>26528.25</v>
      </c>
      <c r="T103" s="52"/>
      <c r="U103" s="52"/>
      <c r="V103" s="52"/>
      <c r="W103" s="52"/>
      <c r="X103" s="52">
        <f t="shared" si="65"/>
        <v>0</v>
      </c>
      <c r="Y103" s="52">
        <f t="shared" si="65"/>
        <v>0</v>
      </c>
      <c r="Z103" s="52"/>
      <c r="AA103" s="52"/>
      <c r="AB103" s="52"/>
      <c r="AC103" s="52"/>
      <c r="AD103" s="52">
        <f t="shared" si="66"/>
        <v>0</v>
      </c>
      <c r="AE103" s="52">
        <f t="shared" si="66"/>
        <v>0</v>
      </c>
      <c r="AF103" s="52">
        <f t="shared" si="67"/>
        <v>0</v>
      </c>
      <c r="AG103" s="52">
        <f t="shared" si="68"/>
        <v>0</v>
      </c>
      <c r="AH103" s="52">
        <f t="shared" si="68"/>
        <v>26528.25</v>
      </c>
      <c r="AI103" s="52">
        <f t="shared" si="69"/>
        <v>26528.25</v>
      </c>
      <c r="AJ103" s="52">
        <f t="shared" si="70"/>
        <v>26528.25</v>
      </c>
      <c r="AK103" s="52">
        <f t="shared" si="70"/>
        <v>26528.25</v>
      </c>
      <c r="AL103" s="52"/>
      <c r="AM103" s="52"/>
      <c r="AN103" s="52"/>
      <c r="AO103" s="52"/>
      <c r="AP103" s="52">
        <f t="shared" si="71"/>
        <v>0</v>
      </c>
      <c r="AQ103" s="52">
        <f t="shared" si="71"/>
        <v>0</v>
      </c>
      <c r="AR103" s="52"/>
      <c r="AS103" s="52"/>
      <c r="AT103" s="57"/>
      <c r="AU103" s="52"/>
      <c r="AV103" s="52">
        <f t="shared" si="72"/>
        <v>0</v>
      </c>
      <c r="AW103" s="52">
        <f t="shared" si="72"/>
        <v>0</v>
      </c>
      <c r="AX103" s="52"/>
      <c r="AY103" s="52"/>
      <c r="AZ103" s="52"/>
      <c r="BA103" s="52"/>
      <c r="BB103" s="52">
        <f t="shared" si="73"/>
        <v>0</v>
      </c>
      <c r="BC103" s="52"/>
      <c r="BD103" s="52">
        <f t="shared" si="49"/>
        <v>0</v>
      </c>
      <c r="BE103" s="52"/>
      <c r="BF103" s="52"/>
      <c r="BG103" s="52"/>
      <c r="BH103" s="52"/>
      <c r="BI103" s="52">
        <f t="shared" si="74"/>
        <v>0</v>
      </c>
      <c r="BJ103" s="52"/>
      <c r="BK103" s="52">
        <f t="shared" si="50"/>
        <v>0</v>
      </c>
      <c r="BL103" s="52"/>
      <c r="BM103" s="52"/>
      <c r="BN103" s="52"/>
      <c r="BO103" s="52"/>
      <c r="BP103" s="52">
        <f t="shared" si="75"/>
        <v>0</v>
      </c>
      <c r="BQ103" s="52"/>
      <c r="BR103" s="52">
        <f t="shared" si="51"/>
        <v>0</v>
      </c>
      <c r="BS103" s="52"/>
      <c r="BT103" s="52"/>
      <c r="BU103" s="52"/>
      <c r="BV103" s="52"/>
      <c r="BW103" s="52">
        <f t="shared" si="76"/>
        <v>0</v>
      </c>
      <c r="BX103" s="52"/>
      <c r="BY103" s="52">
        <f t="shared" si="52"/>
        <v>0</v>
      </c>
      <c r="BZ103" s="52"/>
      <c r="CA103" s="52"/>
      <c r="CB103" s="52"/>
      <c r="CC103" s="52"/>
      <c r="CD103" s="52">
        <f t="shared" si="77"/>
        <v>0</v>
      </c>
      <c r="CE103" s="52">
        <f t="shared" si="77"/>
        <v>0</v>
      </c>
      <c r="CF103" s="52"/>
      <c r="CG103" s="52"/>
      <c r="CH103" s="52"/>
      <c r="CI103" s="52"/>
      <c r="CJ103" s="52">
        <f t="shared" si="78"/>
        <v>0</v>
      </c>
      <c r="CK103" s="52">
        <f t="shared" si="78"/>
        <v>0</v>
      </c>
      <c r="CL103" s="52"/>
      <c r="CM103" s="52"/>
      <c r="CN103" s="52"/>
      <c r="CO103" s="52"/>
      <c r="CP103" s="52">
        <f t="shared" si="79"/>
        <v>0</v>
      </c>
      <c r="CQ103" s="52">
        <f t="shared" si="79"/>
        <v>0</v>
      </c>
      <c r="CR103" s="52"/>
      <c r="CS103" s="52"/>
      <c r="CT103" s="52"/>
      <c r="CU103" s="52"/>
      <c r="CV103" s="52">
        <f t="shared" si="80"/>
        <v>0</v>
      </c>
      <c r="CW103" s="52">
        <f t="shared" si="80"/>
        <v>0</v>
      </c>
      <c r="CX103" s="52"/>
      <c r="CY103" s="52"/>
      <c r="CZ103" s="52"/>
      <c r="DA103" s="52"/>
      <c r="DB103" s="52">
        <f t="shared" si="81"/>
        <v>0</v>
      </c>
      <c r="DC103" s="52">
        <f t="shared" si="81"/>
        <v>0</v>
      </c>
      <c r="DD103" s="52"/>
      <c r="DE103" s="52"/>
      <c r="DF103" s="52"/>
      <c r="DG103" s="52"/>
      <c r="DH103" s="52">
        <f t="shared" si="82"/>
        <v>0</v>
      </c>
      <c r="DI103" s="52">
        <f t="shared" si="82"/>
        <v>0</v>
      </c>
      <c r="DJ103" s="52">
        <f t="shared" si="53"/>
        <v>0</v>
      </c>
      <c r="DK103" s="52">
        <f t="shared" si="54"/>
        <v>0</v>
      </c>
      <c r="DL103" s="52">
        <f t="shared" si="83"/>
        <v>0</v>
      </c>
      <c r="DM103" s="52">
        <f t="shared" si="55"/>
        <v>0</v>
      </c>
      <c r="DN103" s="52">
        <f t="shared" si="84"/>
        <v>0</v>
      </c>
      <c r="DO103" s="52">
        <f t="shared" si="84"/>
        <v>0</v>
      </c>
    </row>
    <row r="104" spans="1:119">
      <c r="A104" s="224">
        <v>96</v>
      </c>
      <c r="B104" s="26" t="s">
        <v>176</v>
      </c>
      <c r="C104" s="53" t="s">
        <v>177</v>
      </c>
      <c r="D104" s="227" t="s">
        <v>325</v>
      </c>
      <c r="E104" s="191" t="s">
        <v>1164</v>
      </c>
      <c r="F104" s="161">
        <f t="shared" si="56"/>
        <v>0</v>
      </c>
      <c r="G104" s="165">
        <f t="shared" si="57"/>
        <v>23567</v>
      </c>
      <c r="H104" s="54">
        <v>0</v>
      </c>
      <c r="I104" s="219">
        <v>0</v>
      </c>
      <c r="J104" s="219">
        <v>0</v>
      </c>
      <c r="K104" s="127">
        <f t="shared" si="58"/>
        <v>23567</v>
      </c>
      <c r="L104" s="127">
        <f t="shared" si="59"/>
        <v>23567</v>
      </c>
      <c r="M104" s="127">
        <f t="shared" si="60"/>
        <v>23567</v>
      </c>
      <c r="N104" s="127">
        <f t="shared" si="61"/>
        <v>0</v>
      </c>
      <c r="O104" s="125">
        <f t="shared" si="62"/>
        <v>23567</v>
      </c>
      <c r="P104" s="52"/>
      <c r="Q104" s="52">
        <v>23567</v>
      </c>
      <c r="R104" s="52">
        <f t="shared" si="63"/>
        <v>0</v>
      </c>
      <c r="S104" s="52">
        <f t="shared" si="64"/>
        <v>23567</v>
      </c>
      <c r="T104" s="52"/>
      <c r="U104" s="52"/>
      <c r="V104" s="52"/>
      <c r="W104" s="52"/>
      <c r="X104" s="52">
        <f t="shared" si="65"/>
        <v>0</v>
      </c>
      <c r="Y104" s="52">
        <f t="shared" si="65"/>
        <v>0</v>
      </c>
      <c r="Z104" s="52"/>
      <c r="AA104" s="52"/>
      <c r="AB104" s="52"/>
      <c r="AC104" s="52"/>
      <c r="AD104" s="52">
        <f t="shared" si="66"/>
        <v>0</v>
      </c>
      <c r="AE104" s="52">
        <f t="shared" si="66"/>
        <v>0</v>
      </c>
      <c r="AF104" s="52">
        <f t="shared" si="67"/>
        <v>0</v>
      </c>
      <c r="AG104" s="52">
        <f t="shared" si="68"/>
        <v>0</v>
      </c>
      <c r="AH104" s="52">
        <f t="shared" si="68"/>
        <v>23567</v>
      </c>
      <c r="AI104" s="52">
        <f t="shared" si="69"/>
        <v>23567</v>
      </c>
      <c r="AJ104" s="52">
        <f t="shared" si="70"/>
        <v>23567</v>
      </c>
      <c r="AK104" s="52">
        <f t="shared" si="70"/>
        <v>23567</v>
      </c>
      <c r="AL104" s="52"/>
      <c r="AM104" s="52"/>
      <c r="AN104" s="52"/>
      <c r="AO104" s="52"/>
      <c r="AP104" s="52">
        <f t="shared" si="71"/>
        <v>0</v>
      </c>
      <c r="AQ104" s="52">
        <f t="shared" si="71"/>
        <v>0</v>
      </c>
      <c r="AR104" s="52"/>
      <c r="AS104" s="52"/>
      <c r="AT104" s="52"/>
      <c r="AU104" s="52"/>
      <c r="AV104" s="52">
        <f t="shared" si="72"/>
        <v>0</v>
      </c>
      <c r="AW104" s="52">
        <f t="shared" si="72"/>
        <v>0</v>
      </c>
      <c r="AX104" s="52"/>
      <c r="AY104" s="52"/>
      <c r="AZ104" s="52"/>
      <c r="BA104" s="52"/>
      <c r="BB104" s="52">
        <f t="shared" si="73"/>
        <v>0</v>
      </c>
      <c r="BC104" s="52"/>
      <c r="BD104" s="52">
        <f t="shared" si="49"/>
        <v>0</v>
      </c>
      <c r="BE104" s="52"/>
      <c r="BF104" s="52"/>
      <c r="BG104" s="52"/>
      <c r="BH104" s="52"/>
      <c r="BI104" s="52">
        <f t="shared" si="74"/>
        <v>0</v>
      </c>
      <c r="BJ104" s="52"/>
      <c r="BK104" s="52">
        <f t="shared" si="50"/>
        <v>0</v>
      </c>
      <c r="BL104" s="52"/>
      <c r="BM104" s="52"/>
      <c r="BN104" s="52"/>
      <c r="BO104" s="52"/>
      <c r="BP104" s="52">
        <f t="shared" si="75"/>
        <v>0</v>
      </c>
      <c r="BQ104" s="52"/>
      <c r="BR104" s="52">
        <f t="shared" si="51"/>
        <v>0</v>
      </c>
      <c r="BS104" s="52"/>
      <c r="BT104" s="52"/>
      <c r="BU104" s="52"/>
      <c r="BV104" s="52"/>
      <c r="BW104" s="52">
        <f t="shared" si="76"/>
        <v>0</v>
      </c>
      <c r="BX104" s="52"/>
      <c r="BY104" s="52">
        <f t="shared" si="52"/>
        <v>0</v>
      </c>
      <c r="BZ104" s="52"/>
      <c r="CA104" s="52"/>
      <c r="CB104" s="52"/>
      <c r="CC104" s="52"/>
      <c r="CD104" s="52">
        <f t="shared" si="77"/>
        <v>0</v>
      </c>
      <c r="CE104" s="52">
        <f t="shared" si="77"/>
        <v>0</v>
      </c>
      <c r="CF104" s="52"/>
      <c r="CG104" s="52"/>
      <c r="CH104" s="52"/>
      <c r="CI104" s="52"/>
      <c r="CJ104" s="52">
        <f t="shared" si="78"/>
        <v>0</v>
      </c>
      <c r="CK104" s="52">
        <f t="shared" si="78"/>
        <v>0</v>
      </c>
      <c r="CL104" s="52"/>
      <c r="CM104" s="52"/>
      <c r="CN104" s="52"/>
      <c r="CO104" s="52"/>
      <c r="CP104" s="52">
        <f t="shared" si="79"/>
        <v>0</v>
      </c>
      <c r="CQ104" s="52">
        <f t="shared" si="79"/>
        <v>0</v>
      </c>
      <c r="CR104" s="52"/>
      <c r="CS104" s="52"/>
      <c r="CT104" s="52"/>
      <c r="CU104" s="52"/>
      <c r="CV104" s="52">
        <f t="shared" si="80"/>
        <v>0</v>
      </c>
      <c r="CW104" s="52">
        <f t="shared" si="80"/>
        <v>0</v>
      </c>
      <c r="CX104" s="52"/>
      <c r="CY104" s="52"/>
      <c r="CZ104" s="52"/>
      <c r="DA104" s="52"/>
      <c r="DB104" s="52">
        <f t="shared" si="81"/>
        <v>0</v>
      </c>
      <c r="DC104" s="52">
        <f t="shared" si="81"/>
        <v>0</v>
      </c>
      <c r="DD104" s="52"/>
      <c r="DE104" s="52"/>
      <c r="DF104" s="52"/>
      <c r="DG104" s="52"/>
      <c r="DH104" s="52">
        <f t="shared" si="82"/>
        <v>0</v>
      </c>
      <c r="DI104" s="52">
        <f t="shared" si="82"/>
        <v>0</v>
      </c>
      <c r="DJ104" s="52">
        <f t="shared" si="53"/>
        <v>0</v>
      </c>
      <c r="DK104" s="52">
        <f t="shared" si="54"/>
        <v>0</v>
      </c>
      <c r="DL104" s="52">
        <f t="shared" si="83"/>
        <v>0</v>
      </c>
      <c r="DM104" s="52">
        <f t="shared" si="55"/>
        <v>0</v>
      </c>
      <c r="DN104" s="52">
        <f t="shared" si="84"/>
        <v>0</v>
      </c>
      <c r="DO104" s="52">
        <f t="shared" si="84"/>
        <v>0</v>
      </c>
    </row>
    <row r="105" spans="1:119">
      <c r="A105" s="224">
        <v>97</v>
      </c>
      <c r="B105" s="26" t="s">
        <v>176</v>
      </c>
      <c r="C105" s="53" t="s">
        <v>193</v>
      </c>
      <c r="D105" s="227" t="s">
        <v>326</v>
      </c>
      <c r="E105" s="191" t="s">
        <v>1164</v>
      </c>
      <c r="F105" s="161">
        <f t="shared" si="56"/>
        <v>30223.75</v>
      </c>
      <c r="G105" s="165">
        <f t="shared" si="57"/>
        <v>30223.75</v>
      </c>
      <c r="H105" s="54">
        <v>0</v>
      </c>
      <c r="I105" s="219">
        <v>0</v>
      </c>
      <c r="J105" s="219">
        <v>0</v>
      </c>
      <c r="K105" s="127">
        <f t="shared" si="58"/>
        <v>0</v>
      </c>
      <c r="L105" s="127">
        <f t="shared" si="59"/>
        <v>0</v>
      </c>
      <c r="M105" s="127">
        <f t="shared" si="60"/>
        <v>0</v>
      </c>
      <c r="N105" s="127">
        <f t="shared" si="61"/>
        <v>30223.75</v>
      </c>
      <c r="O105" s="125" t="str">
        <f t="shared" si="62"/>
        <v>ნულოვანი შესრულება</v>
      </c>
      <c r="P105" s="52"/>
      <c r="Q105" s="52"/>
      <c r="R105" s="52">
        <f t="shared" si="63"/>
        <v>0</v>
      </c>
      <c r="S105" s="52">
        <f t="shared" si="64"/>
        <v>0</v>
      </c>
      <c r="T105" s="52"/>
      <c r="U105" s="52"/>
      <c r="V105" s="52"/>
      <c r="W105" s="52"/>
      <c r="X105" s="52">
        <f t="shared" si="65"/>
        <v>0</v>
      </c>
      <c r="Y105" s="52">
        <f t="shared" si="65"/>
        <v>0</v>
      </c>
      <c r="Z105" s="52"/>
      <c r="AA105" s="52"/>
      <c r="AB105" s="52"/>
      <c r="AC105" s="52"/>
      <c r="AD105" s="52">
        <f t="shared" si="66"/>
        <v>0</v>
      </c>
      <c r="AE105" s="52">
        <f t="shared" si="66"/>
        <v>0</v>
      </c>
      <c r="AF105" s="52">
        <f t="shared" si="67"/>
        <v>0</v>
      </c>
      <c r="AG105" s="52">
        <f t="shared" si="68"/>
        <v>0</v>
      </c>
      <c r="AH105" s="52">
        <f t="shared" si="68"/>
        <v>0</v>
      </c>
      <c r="AI105" s="52">
        <f t="shared" si="69"/>
        <v>0</v>
      </c>
      <c r="AJ105" s="52">
        <f t="shared" si="70"/>
        <v>0</v>
      </c>
      <c r="AK105" s="52">
        <f t="shared" si="70"/>
        <v>0</v>
      </c>
      <c r="AL105" s="52"/>
      <c r="AM105" s="52"/>
      <c r="AN105" s="75">
        <v>22723.75</v>
      </c>
      <c r="AO105" s="52"/>
      <c r="AP105" s="52">
        <f t="shared" si="71"/>
        <v>22723.75</v>
      </c>
      <c r="AQ105" s="52">
        <f t="shared" si="71"/>
        <v>0</v>
      </c>
      <c r="AR105" s="52"/>
      <c r="AS105" s="52"/>
      <c r="AT105" s="52">
        <v>7500</v>
      </c>
      <c r="AU105" s="52"/>
      <c r="AV105" s="52">
        <f t="shared" si="72"/>
        <v>7500</v>
      </c>
      <c r="AW105" s="52">
        <f t="shared" si="72"/>
        <v>0</v>
      </c>
      <c r="AX105" s="52"/>
      <c r="AY105" s="52"/>
      <c r="AZ105" s="52"/>
      <c r="BA105" s="52"/>
      <c r="BB105" s="52">
        <f t="shared" si="73"/>
        <v>0</v>
      </c>
      <c r="BC105" s="52"/>
      <c r="BD105" s="52">
        <f t="shared" ref="BD105:BD136" si="85">AY105+BA105</f>
        <v>0</v>
      </c>
      <c r="BE105" s="52"/>
      <c r="BF105" s="52"/>
      <c r="BG105" s="52"/>
      <c r="BH105" s="52"/>
      <c r="BI105" s="52">
        <f t="shared" si="74"/>
        <v>0</v>
      </c>
      <c r="BJ105" s="52"/>
      <c r="BK105" s="52">
        <f t="shared" si="50"/>
        <v>0</v>
      </c>
      <c r="BL105" s="52"/>
      <c r="BM105" s="52"/>
      <c r="BN105" s="52"/>
      <c r="BO105" s="52"/>
      <c r="BP105" s="52">
        <f t="shared" si="75"/>
        <v>0</v>
      </c>
      <c r="BQ105" s="52"/>
      <c r="BR105" s="52">
        <f t="shared" ref="BR105:BR136" si="86">BM105+BO105</f>
        <v>0</v>
      </c>
      <c r="BS105" s="52"/>
      <c r="BT105" s="52"/>
      <c r="BU105" s="52"/>
      <c r="BV105" s="52"/>
      <c r="BW105" s="52">
        <f t="shared" si="76"/>
        <v>0</v>
      </c>
      <c r="BX105" s="52"/>
      <c r="BY105" s="52">
        <f t="shared" ref="BY105:BY136" si="87">BT105+BV105</f>
        <v>0</v>
      </c>
      <c r="BZ105" s="52"/>
      <c r="CA105" s="52"/>
      <c r="CB105" s="52"/>
      <c r="CC105" s="52"/>
      <c r="CD105" s="52">
        <f t="shared" si="77"/>
        <v>0</v>
      </c>
      <c r="CE105" s="52">
        <f t="shared" si="77"/>
        <v>0</v>
      </c>
      <c r="CF105" s="52"/>
      <c r="CG105" s="52"/>
      <c r="CH105" s="52"/>
      <c r="CI105" s="52"/>
      <c r="CJ105" s="52">
        <f t="shared" si="78"/>
        <v>0</v>
      </c>
      <c r="CK105" s="52">
        <f t="shared" si="78"/>
        <v>0</v>
      </c>
      <c r="CL105" s="52"/>
      <c r="CM105" s="52"/>
      <c r="CN105" s="52"/>
      <c r="CO105" s="52"/>
      <c r="CP105" s="52">
        <f t="shared" si="79"/>
        <v>0</v>
      </c>
      <c r="CQ105" s="52">
        <f t="shared" si="79"/>
        <v>0</v>
      </c>
      <c r="CR105" s="52"/>
      <c r="CS105" s="52"/>
      <c r="CT105" s="52"/>
      <c r="CU105" s="52"/>
      <c r="CV105" s="52">
        <f t="shared" si="80"/>
        <v>0</v>
      </c>
      <c r="CW105" s="52">
        <f t="shared" si="80"/>
        <v>0</v>
      </c>
      <c r="CX105" s="52"/>
      <c r="CY105" s="52"/>
      <c r="CZ105" s="52"/>
      <c r="DA105" s="52"/>
      <c r="DB105" s="52">
        <f t="shared" si="81"/>
        <v>0</v>
      </c>
      <c r="DC105" s="52">
        <f t="shared" si="81"/>
        <v>0</v>
      </c>
      <c r="DD105" s="52"/>
      <c r="DE105" s="52"/>
      <c r="DF105" s="52"/>
      <c r="DG105" s="52"/>
      <c r="DH105" s="52">
        <f t="shared" si="82"/>
        <v>0</v>
      </c>
      <c r="DI105" s="52">
        <f t="shared" si="82"/>
        <v>0</v>
      </c>
      <c r="DJ105" s="52">
        <f t="shared" si="53"/>
        <v>0</v>
      </c>
      <c r="DK105" s="52">
        <f t="shared" si="54"/>
        <v>0</v>
      </c>
      <c r="DL105" s="52">
        <f t="shared" si="83"/>
        <v>30223.75</v>
      </c>
      <c r="DM105" s="52">
        <f t="shared" si="55"/>
        <v>0</v>
      </c>
      <c r="DN105" s="52">
        <f t="shared" si="84"/>
        <v>30223.75</v>
      </c>
      <c r="DO105" s="52">
        <f t="shared" si="84"/>
        <v>0</v>
      </c>
    </row>
    <row r="106" spans="1:119" s="278" customFormat="1">
      <c r="A106" s="297">
        <v>98</v>
      </c>
      <c r="B106" s="276" t="s">
        <v>36</v>
      </c>
      <c r="C106" s="298" t="s">
        <v>183</v>
      </c>
      <c r="D106" s="299" t="s">
        <v>327</v>
      </c>
      <c r="E106" s="300" t="s">
        <v>1164</v>
      </c>
      <c r="F106" s="255">
        <f t="shared" si="56"/>
        <v>0</v>
      </c>
      <c r="G106" s="256">
        <f t="shared" si="57"/>
        <v>0</v>
      </c>
      <c r="H106" s="56">
        <v>0</v>
      </c>
      <c r="I106" s="220">
        <v>0</v>
      </c>
      <c r="J106" s="220">
        <v>0</v>
      </c>
      <c r="K106" s="255">
        <f t="shared" si="58"/>
        <v>0</v>
      </c>
      <c r="L106" s="255">
        <f t="shared" si="59"/>
        <v>0</v>
      </c>
      <c r="M106" s="255">
        <f t="shared" si="60"/>
        <v>0</v>
      </c>
      <c r="N106" s="255">
        <f t="shared" si="61"/>
        <v>0</v>
      </c>
      <c r="O106" s="255" t="str">
        <f t="shared" si="62"/>
        <v>ნულოვანი შესრულება</v>
      </c>
      <c r="P106" s="57"/>
      <c r="Q106" s="57"/>
      <c r="R106" s="52">
        <f t="shared" si="63"/>
        <v>0</v>
      </c>
      <c r="S106" s="52">
        <f t="shared" si="64"/>
        <v>0</v>
      </c>
      <c r="T106" s="57"/>
      <c r="U106" s="57"/>
      <c r="V106" s="57"/>
      <c r="W106" s="57"/>
      <c r="X106" s="52">
        <f t="shared" si="65"/>
        <v>0</v>
      </c>
      <c r="Y106" s="52">
        <f t="shared" si="65"/>
        <v>0</v>
      </c>
      <c r="Z106" s="57"/>
      <c r="AA106" s="57"/>
      <c r="AB106" s="57"/>
      <c r="AC106" s="57"/>
      <c r="AD106" s="52">
        <f t="shared" si="66"/>
        <v>0</v>
      </c>
      <c r="AE106" s="52">
        <f t="shared" si="66"/>
        <v>0</v>
      </c>
      <c r="AF106" s="52">
        <f t="shared" si="67"/>
        <v>0</v>
      </c>
      <c r="AG106" s="52">
        <f t="shared" si="68"/>
        <v>0</v>
      </c>
      <c r="AH106" s="52">
        <f t="shared" si="68"/>
        <v>0</v>
      </c>
      <c r="AI106" s="52">
        <f t="shared" si="69"/>
        <v>0</v>
      </c>
      <c r="AJ106" s="52">
        <f t="shared" si="70"/>
        <v>0</v>
      </c>
      <c r="AK106" s="52">
        <f t="shared" si="70"/>
        <v>0</v>
      </c>
      <c r="AL106" s="301"/>
      <c r="AM106" s="301"/>
      <c r="AN106" s="301"/>
      <c r="AO106" s="301"/>
      <c r="AP106" s="258">
        <f t="shared" si="71"/>
        <v>0</v>
      </c>
      <c r="AQ106" s="258">
        <f t="shared" si="71"/>
        <v>0</v>
      </c>
      <c r="AR106" s="301"/>
      <c r="AS106" s="301"/>
      <c r="AT106" s="301"/>
      <c r="AU106" s="301"/>
      <c r="AV106" s="258">
        <f t="shared" si="72"/>
        <v>0</v>
      </c>
      <c r="AW106" s="258">
        <f t="shared" si="72"/>
        <v>0</v>
      </c>
      <c r="AX106" s="301"/>
      <c r="AY106" s="301"/>
      <c r="AZ106" s="301"/>
      <c r="BA106" s="301"/>
      <c r="BB106" s="258">
        <f t="shared" si="73"/>
        <v>0</v>
      </c>
      <c r="BC106" s="258"/>
      <c r="BD106" s="258">
        <f t="shared" si="85"/>
        <v>0</v>
      </c>
      <c r="BE106" s="258"/>
      <c r="BF106" s="258"/>
      <c r="BG106" s="258"/>
      <c r="BH106" s="258"/>
      <c r="BI106" s="258">
        <f t="shared" si="74"/>
        <v>0</v>
      </c>
      <c r="BJ106" s="258"/>
      <c r="BK106" s="258">
        <f t="shared" si="50"/>
        <v>0</v>
      </c>
      <c r="BL106" s="258"/>
      <c r="BM106" s="258"/>
      <c r="BN106" s="258"/>
      <c r="BO106" s="258"/>
      <c r="BP106" s="258">
        <f t="shared" si="75"/>
        <v>0</v>
      </c>
      <c r="BQ106" s="258"/>
      <c r="BR106" s="258">
        <f t="shared" si="86"/>
        <v>0</v>
      </c>
      <c r="BS106" s="258"/>
      <c r="BT106" s="258"/>
      <c r="BU106" s="258"/>
      <c r="BV106" s="258"/>
      <c r="BW106" s="258">
        <f t="shared" si="76"/>
        <v>0</v>
      </c>
      <c r="BX106" s="258"/>
      <c r="BY106" s="258">
        <f t="shared" si="87"/>
        <v>0</v>
      </c>
      <c r="BZ106" s="258"/>
      <c r="CA106" s="258"/>
      <c r="CB106" s="258"/>
      <c r="CC106" s="258"/>
      <c r="CD106" s="258">
        <f t="shared" si="77"/>
        <v>0</v>
      </c>
      <c r="CE106" s="258">
        <f t="shared" si="77"/>
        <v>0</v>
      </c>
      <c r="CF106" s="258"/>
      <c r="CG106" s="258"/>
      <c r="CH106" s="258"/>
      <c r="CI106" s="258"/>
      <c r="CJ106" s="258">
        <f t="shared" si="78"/>
        <v>0</v>
      </c>
      <c r="CK106" s="258">
        <f t="shared" si="78"/>
        <v>0</v>
      </c>
      <c r="CL106" s="258"/>
      <c r="CM106" s="258"/>
      <c r="CN106" s="258"/>
      <c r="CO106" s="258"/>
      <c r="CP106" s="258">
        <f t="shared" si="79"/>
        <v>0</v>
      </c>
      <c r="CQ106" s="258">
        <f t="shared" si="79"/>
        <v>0</v>
      </c>
      <c r="CR106" s="258"/>
      <c r="CS106" s="258"/>
      <c r="CT106" s="258"/>
      <c r="CU106" s="258"/>
      <c r="CV106" s="258">
        <f t="shared" si="80"/>
        <v>0</v>
      </c>
      <c r="CW106" s="258">
        <f t="shared" si="80"/>
        <v>0</v>
      </c>
      <c r="CX106" s="258"/>
      <c r="CY106" s="258"/>
      <c r="CZ106" s="258"/>
      <c r="DA106" s="258"/>
      <c r="DB106" s="258">
        <f t="shared" si="81"/>
        <v>0</v>
      </c>
      <c r="DC106" s="258">
        <f t="shared" si="81"/>
        <v>0</v>
      </c>
      <c r="DD106" s="258"/>
      <c r="DE106" s="258"/>
      <c r="DF106" s="258"/>
      <c r="DG106" s="258"/>
      <c r="DH106" s="258">
        <f t="shared" si="82"/>
        <v>0</v>
      </c>
      <c r="DI106" s="258">
        <f t="shared" si="82"/>
        <v>0</v>
      </c>
      <c r="DJ106" s="258">
        <f t="shared" si="53"/>
        <v>0</v>
      </c>
      <c r="DK106" s="258">
        <f t="shared" si="54"/>
        <v>0</v>
      </c>
      <c r="DL106" s="52">
        <f t="shared" si="83"/>
        <v>0</v>
      </c>
      <c r="DM106" s="258">
        <f t="shared" si="55"/>
        <v>0</v>
      </c>
      <c r="DN106" s="258">
        <f t="shared" si="84"/>
        <v>0</v>
      </c>
      <c r="DO106" s="258">
        <f t="shared" si="84"/>
        <v>0</v>
      </c>
    </row>
    <row r="107" spans="1:119" s="278" customFormat="1">
      <c r="A107" s="297">
        <v>99</v>
      </c>
      <c r="B107" s="276" t="s">
        <v>36</v>
      </c>
      <c r="C107" s="298" t="s">
        <v>328</v>
      </c>
      <c r="D107" s="299" t="s">
        <v>329</v>
      </c>
      <c r="E107" s="298" t="s">
        <v>1165</v>
      </c>
      <c r="F107" s="255">
        <f t="shared" si="56"/>
        <v>0</v>
      </c>
      <c r="G107" s="256">
        <f t="shared" si="57"/>
        <v>0</v>
      </c>
      <c r="H107" s="54">
        <v>7000</v>
      </c>
      <c r="I107" s="219">
        <v>0</v>
      </c>
      <c r="J107" s="219">
        <v>0</v>
      </c>
      <c r="K107" s="255">
        <f t="shared" si="58"/>
        <v>0</v>
      </c>
      <c r="L107" s="255">
        <f t="shared" si="59"/>
        <v>0</v>
      </c>
      <c r="M107" s="255">
        <f t="shared" si="60"/>
        <v>0</v>
      </c>
      <c r="N107" s="255">
        <f t="shared" si="61"/>
        <v>0</v>
      </c>
      <c r="O107" s="255" t="str">
        <f t="shared" si="62"/>
        <v>ნულოვანი შესრულება</v>
      </c>
      <c r="P107" s="52"/>
      <c r="Q107" s="52"/>
      <c r="R107" s="52">
        <f t="shared" si="63"/>
        <v>0</v>
      </c>
      <c r="S107" s="52">
        <f t="shared" si="64"/>
        <v>0</v>
      </c>
      <c r="T107" s="52"/>
      <c r="U107" s="52"/>
      <c r="V107" s="52"/>
      <c r="W107" s="52"/>
      <c r="X107" s="52">
        <f t="shared" si="65"/>
        <v>0</v>
      </c>
      <c r="Y107" s="52">
        <f t="shared" si="65"/>
        <v>0</v>
      </c>
      <c r="Z107" s="52"/>
      <c r="AA107" s="52"/>
      <c r="AB107" s="52"/>
      <c r="AC107" s="52"/>
      <c r="AD107" s="52">
        <f t="shared" si="66"/>
        <v>0</v>
      </c>
      <c r="AE107" s="52">
        <f t="shared" si="66"/>
        <v>0</v>
      </c>
      <c r="AF107" s="52">
        <f t="shared" si="67"/>
        <v>0</v>
      </c>
      <c r="AG107" s="52">
        <f t="shared" si="68"/>
        <v>0</v>
      </c>
      <c r="AH107" s="52">
        <f t="shared" si="68"/>
        <v>0</v>
      </c>
      <c r="AI107" s="52">
        <f t="shared" si="69"/>
        <v>0</v>
      </c>
      <c r="AJ107" s="52">
        <f t="shared" si="70"/>
        <v>0</v>
      </c>
      <c r="AK107" s="52">
        <f t="shared" si="70"/>
        <v>0</v>
      </c>
      <c r="AL107" s="258"/>
      <c r="AM107" s="258"/>
      <c r="AN107" s="258"/>
      <c r="AO107" s="258"/>
      <c r="AP107" s="258">
        <f t="shared" si="71"/>
        <v>0</v>
      </c>
      <c r="AQ107" s="258">
        <f t="shared" si="71"/>
        <v>0</v>
      </c>
      <c r="AR107" s="258"/>
      <c r="AS107" s="258"/>
      <c r="AT107" s="258"/>
      <c r="AU107" s="258"/>
      <c r="AV107" s="258">
        <f t="shared" si="72"/>
        <v>0</v>
      </c>
      <c r="AW107" s="258">
        <f t="shared" si="72"/>
        <v>0</v>
      </c>
      <c r="AX107" s="258"/>
      <c r="AY107" s="258"/>
      <c r="AZ107" s="258"/>
      <c r="BA107" s="258"/>
      <c r="BB107" s="258">
        <f t="shared" si="73"/>
        <v>0</v>
      </c>
      <c r="BC107" s="258"/>
      <c r="BD107" s="258">
        <f t="shared" si="85"/>
        <v>0</v>
      </c>
      <c r="BE107" s="258"/>
      <c r="BF107" s="258"/>
      <c r="BG107" s="258"/>
      <c r="BH107" s="258"/>
      <c r="BI107" s="258">
        <f t="shared" si="74"/>
        <v>0</v>
      </c>
      <c r="BJ107" s="258"/>
      <c r="BK107" s="258">
        <f t="shared" si="50"/>
        <v>0</v>
      </c>
      <c r="BL107" s="258"/>
      <c r="BM107" s="258"/>
      <c r="BN107" s="258"/>
      <c r="BO107" s="258"/>
      <c r="BP107" s="258">
        <f t="shared" si="75"/>
        <v>0</v>
      </c>
      <c r="BQ107" s="258"/>
      <c r="BR107" s="258">
        <f t="shared" si="86"/>
        <v>0</v>
      </c>
      <c r="BS107" s="258"/>
      <c r="BT107" s="258"/>
      <c r="BU107" s="258"/>
      <c r="BV107" s="258"/>
      <c r="BW107" s="258">
        <f t="shared" si="76"/>
        <v>0</v>
      </c>
      <c r="BX107" s="258"/>
      <c r="BY107" s="258">
        <f t="shared" si="87"/>
        <v>0</v>
      </c>
      <c r="BZ107" s="258"/>
      <c r="CA107" s="258"/>
      <c r="CB107" s="258"/>
      <c r="CC107" s="258"/>
      <c r="CD107" s="258">
        <f t="shared" si="77"/>
        <v>0</v>
      </c>
      <c r="CE107" s="258">
        <f t="shared" si="77"/>
        <v>0</v>
      </c>
      <c r="CF107" s="258"/>
      <c r="CG107" s="258"/>
      <c r="CH107" s="258"/>
      <c r="CI107" s="258"/>
      <c r="CJ107" s="258">
        <f t="shared" si="78"/>
        <v>0</v>
      </c>
      <c r="CK107" s="258">
        <f t="shared" si="78"/>
        <v>0</v>
      </c>
      <c r="CL107" s="258"/>
      <c r="CM107" s="258"/>
      <c r="CN107" s="258"/>
      <c r="CO107" s="258"/>
      <c r="CP107" s="258">
        <f t="shared" si="79"/>
        <v>0</v>
      </c>
      <c r="CQ107" s="258">
        <f t="shared" si="79"/>
        <v>0</v>
      </c>
      <c r="CR107" s="258"/>
      <c r="CS107" s="258"/>
      <c r="CT107" s="258"/>
      <c r="CU107" s="258"/>
      <c r="CV107" s="258">
        <f t="shared" si="80"/>
        <v>0</v>
      </c>
      <c r="CW107" s="258">
        <f t="shared" si="80"/>
        <v>0</v>
      </c>
      <c r="CX107" s="258"/>
      <c r="CY107" s="258"/>
      <c r="CZ107" s="258"/>
      <c r="DA107" s="258"/>
      <c r="DB107" s="258">
        <f t="shared" si="81"/>
        <v>0</v>
      </c>
      <c r="DC107" s="258">
        <f t="shared" si="81"/>
        <v>0</v>
      </c>
      <c r="DD107" s="258"/>
      <c r="DE107" s="258"/>
      <c r="DF107" s="258"/>
      <c r="DG107" s="258"/>
      <c r="DH107" s="258">
        <f t="shared" si="82"/>
        <v>0</v>
      </c>
      <c r="DI107" s="258">
        <f t="shared" si="82"/>
        <v>0</v>
      </c>
      <c r="DJ107" s="258">
        <f t="shared" si="53"/>
        <v>0</v>
      </c>
      <c r="DK107" s="258">
        <f t="shared" si="54"/>
        <v>0</v>
      </c>
      <c r="DL107" s="52">
        <f t="shared" si="83"/>
        <v>0</v>
      </c>
      <c r="DM107" s="258">
        <f t="shared" si="55"/>
        <v>0</v>
      </c>
      <c r="DN107" s="258">
        <f t="shared" si="84"/>
        <v>0</v>
      </c>
      <c r="DO107" s="258">
        <f t="shared" si="84"/>
        <v>0</v>
      </c>
    </row>
    <row r="108" spans="1:119">
      <c r="A108" s="224">
        <v>106</v>
      </c>
      <c r="B108" s="26" t="s">
        <v>195</v>
      </c>
      <c r="C108" s="53" t="s">
        <v>311</v>
      </c>
      <c r="D108" s="227" t="s">
        <v>312</v>
      </c>
      <c r="E108" s="191" t="s">
        <v>1164</v>
      </c>
      <c r="F108" s="161">
        <f t="shared" si="56"/>
        <v>0</v>
      </c>
      <c r="G108" s="165">
        <f t="shared" si="57"/>
        <v>2754.5</v>
      </c>
      <c r="H108" s="54"/>
      <c r="I108" s="219">
        <v>0</v>
      </c>
      <c r="J108" s="219">
        <v>0</v>
      </c>
      <c r="K108" s="127">
        <f t="shared" si="58"/>
        <v>2754.5</v>
      </c>
      <c r="L108" s="127">
        <f t="shared" si="59"/>
        <v>2754.5</v>
      </c>
      <c r="M108" s="127">
        <f t="shared" si="60"/>
        <v>2754.5</v>
      </c>
      <c r="N108" s="127">
        <f t="shared" si="61"/>
        <v>0</v>
      </c>
      <c r="O108" s="125">
        <f t="shared" si="62"/>
        <v>2754.5</v>
      </c>
      <c r="P108" s="52"/>
      <c r="Q108" s="52">
        <v>2754.5</v>
      </c>
      <c r="R108" s="52">
        <f t="shared" si="63"/>
        <v>0</v>
      </c>
      <c r="S108" s="52">
        <f t="shared" si="64"/>
        <v>2754.5</v>
      </c>
      <c r="T108" s="52"/>
      <c r="U108" s="52"/>
      <c r="V108" s="52"/>
      <c r="W108" s="52"/>
      <c r="X108" s="52">
        <f t="shared" si="65"/>
        <v>0</v>
      </c>
      <c r="Y108" s="52">
        <f t="shared" si="65"/>
        <v>0</v>
      </c>
      <c r="Z108" s="52"/>
      <c r="AA108" s="52"/>
      <c r="AB108" s="63"/>
      <c r="AC108" s="63"/>
      <c r="AD108" s="52">
        <f t="shared" si="66"/>
        <v>0</v>
      </c>
      <c r="AE108" s="52">
        <f t="shared" si="66"/>
        <v>0</v>
      </c>
      <c r="AF108" s="52">
        <f t="shared" si="67"/>
        <v>0</v>
      </c>
      <c r="AG108" s="52">
        <f t="shared" si="68"/>
        <v>0</v>
      </c>
      <c r="AH108" s="52">
        <f t="shared" si="68"/>
        <v>2754.5</v>
      </c>
      <c r="AI108" s="52">
        <f t="shared" si="69"/>
        <v>2754.5</v>
      </c>
      <c r="AJ108" s="52">
        <f t="shared" si="70"/>
        <v>2754.5</v>
      </c>
      <c r="AK108" s="52">
        <f t="shared" si="70"/>
        <v>2754.5</v>
      </c>
      <c r="AL108" s="57"/>
      <c r="AM108" s="57"/>
      <c r="AN108" s="57"/>
      <c r="AO108" s="57"/>
      <c r="AP108" s="52">
        <f t="shared" si="71"/>
        <v>0</v>
      </c>
      <c r="AQ108" s="52">
        <f t="shared" si="71"/>
        <v>0</v>
      </c>
      <c r="AR108" s="57"/>
      <c r="AS108" s="57"/>
      <c r="AT108" s="57"/>
      <c r="AU108" s="57"/>
      <c r="AV108" s="52">
        <f t="shared" si="72"/>
        <v>0</v>
      </c>
      <c r="AW108" s="52">
        <f t="shared" si="72"/>
        <v>0</v>
      </c>
      <c r="AX108" s="57"/>
      <c r="AY108" s="57"/>
      <c r="AZ108" s="52"/>
      <c r="BA108" s="57"/>
      <c r="BB108" s="52">
        <f t="shared" si="73"/>
        <v>0</v>
      </c>
      <c r="BC108" s="52"/>
      <c r="BD108" s="52">
        <f t="shared" si="85"/>
        <v>0</v>
      </c>
      <c r="BE108" s="52"/>
      <c r="BF108" s="52"/>
      <c r="BG108" s="52"/>
      <c r="BH108" s="52"/>
      <c r="BI108" s="52">
        <f t="shared" si="74"/>
        <v>0</v>
      </c>
      <c r="BJ108" s="52"/>
      <c r="BK108" s="52">
        <f t="shared" si="50"/>
        <v>0</v>
      </c>
      <c r="BL108" s="52"/>
      <c r="BM108" s="52"/>
      <c r="BN108" s="52"/>
      <c r="BO108" s="52"/>
      <c r="BP108" s="52">
        <f t="shared" si="75"/>
        <v>0</v>
      </c>
      <c r="BQ108" s="52"/>
      <c r="BR108" s="52">
        <f t="shared" si="86"/>
        <v>0</v>
      </c>
      <c r="BS108" s="52"/>
      <c r="BT108" s="52"/>
      <c r="BU108" s="52"/>
      <c r="BV108" s="52"/>
      <c r="BW108" s="52">
        <f t="shared" si="76"/>
        <v>0</v>
      </c>
      <c r="BX108" s="52"/>
      <c r="BY108" s="52">
        <f t="shared" si="87"/>
        <v>0</v>
      </c>
      <c r="BZ108" s="52"/>
      <c r="CA108" s="52"/>
      <c r="CB108" s="52"/>
      <c r="CC108" s="52"/>
      <c r="CD108" s="52">
        <f t="shared" si="77"/>
        <v>0</v>
      </c>
      <c r="CE108" s="52">
        <f t="shared" si="77"/>
        <v>0</v>
      </c>
      <c r="CF108" s="52"/>
      <c r="CG108" s="52"/>
      <c r="CH108" s="52"/>
      <c r="CI108" s="52"/>
      <c r="CJ108" s="52">
        <f t="shared" si="78"/>
        <v>0</v>
      </c>
      <c r="CK108" s="52">
        <f t="shared" si="78"/>
        <v>0</v>
      </c>
      <c r="CL108" s="52"/>
      <c r="CM108" s="52"/>
      <c r="CN108" s="52"/>
      <c r="CO108" s="52"/>
      <c r="CP108" s="52">
        <f t="shared" si="79"/>
        <v>0</v>
      </c>
      <c r="CQ108" s="52">
        <f t="shared" si="79"/>
        <v>0</v>
      </c>
      <c r="CR108" s="52"/>
      <c r="CS108" s="52"/>
      <c r="CT108" s="52"/>
      <c r="CU108" s="52"/>
      <c r="CV108" s="52">
        <f t="shared" si="80"/>
        <v>0</v>
      </c>
      <c r="CW108" s="52">
        <f t="shared" si="80"/>
        <v>0</v>
      </c>
      <c r="CX108" s="52"/>
      <c r="CY108" s="52"/>
      <c r="CZ108" s="52"/>
      <c r="DA108" s="52"/>
      <c r="DB108" s="52">
        <f t="shared" si="81"/>
        <v>0</v>
      </c>
      <c r="DC108" s="52">
        <f t="shared" si="81"/>
        <v>0</v>
      </c>
      <c r="DD108" s="52"/>
      <c r="DE108" s="52"/>
      <c r="DF108" s="52"/>
      <c r="DG108" s="52"/>
      <c r="DH108" s="52">
        <f t="shared" si="82"/>
        <v>0</v>
      </c>
      <c r="DI108" s="52">
        <f t="shared" si="82"/>
        <v>0</v>
      </c>
      <c r="DJ108" s="52">
        <f t="shared" si="53"/>
        <v>0</v>
      </c>
      <c r="DK108" s="52">
        <f t="shared" si="54"/>
        <v>0</v>
      </c>
      <c r="DL108" s="52">
        <f t="shared" si="83"/>
        <v>0</v>
      </c>
      <c r="DM108" s="52">
        <f t="shared" si="55"/>
        <v>0</v>
      </c>
      <c r="DN108" s="52">
        <f t="shared" si="84"/>
        <v>0</v>
      </c>
      <c r="DO108" s="52">
        <f t="shared" si="84"/>
        <v>0</v>
      </c>
    </row>
    <row r="109" spans="1:119">
      <c r="A109" s="224">
        <v>109</v>
      </c>
      <c r="B109" s="26" t="s">
        <v>286</v>
      </c>
      <c r="C109" s="53" t="s">
        <v>672</v>
      </c>
      <c r="D109" s="227" t="s">
        <v>673</v>
      </c>
      <c r="E109" s="196" t="s">
        <v>1165</v>
      </c>
      <c r="F109" s="161">
        <f t="shared" si="56"/>
        <v>0</v>
      </c>
      <c r="G109" s="165">
        <f t="shared" si="57"/>
        <v>59725</v>
      </c>
      <c r="H109" s="56"/>
      <c r="I109" s="219">
        <v>0</v>
      </c>
      <c r="J109" s="219">
        <v>0</v>
      </c>
      <c r="K109" s="127">
        <f t="shared" si="58"/>
        <v>59725</v>
      </c>
      <c r="L109" s="127">
        <f t="shared" si="59"/>
        <v>59725</v>
      </c>
      <c r="M109" s="127">
        <f t="shared" si="60"/>
        <v>59725</v>
      </c>
      <c r="N109" s="127">
        <f t="shared" si="61"/>
        <v>0</v>
      </c>
      <c r="O109" s="125">
        <f t="shared" si="62"/>
        <v>59725</v>
      </c>
      <c r="P109" s="52"/>
      <c r="Q109" s="52">
        <v>59725</v>
      </c>
      <c r="R109" s="52">
        <f t="shared" si="63"/>
        <v>0</v>
      </c>
      <c r="S109" s="52">
        <f t="shared" si="64"/>
        <v>59725</v>
      </c>
      <c r="T109" s="52"/>
      <c r="U109" s="52"/>
      <c r="V109" s="65"/>
      <c r="W109" s="52"/>
      <c r="X109" s="52">
        <f t="shared" ref="X109:X110" si="88">T109+V109</f>
        <v>0</v>
      </c>
      <c r="Y109" s="52">
        <f t="shared" ref="Y109:Y110" si="89">U109+W109</f>
        <v>0</v>
      </c>
      <c r="Z109" s="52"/>
      <c r="AA109" s="52"/>
      <c r="AB109" s="52"/>
      <c r="AC109" s="52"/>
      <c r="AD109" s="52">
        <f t="shared" ref="AD109:AD110" si="90">Z109+AB109</f>
        <v>0</v>
      </c>
      <c r="AE109" s="52">
        <f t="shared" ref="AE109:AE110" si="91">AA109+AC109</f>
        <v>0</v>
      </c>
      <c r="AF109" s="52">
        <f t="shared" ref="AF109:AF110" si="92">P109+T109+Z109</f>
        <v>0</v>
      </c>
      <c r="AG109" s="52">
        <f t="shared" ref="AG109:AG110" si="93">P109+U109+AA109</f>
        <v>0</v>
      </c>
      <c r="AH109" s="52">
        <f t="shared" ref="AH109:AH110" si="94">Q109+V109+AB109</f>
        <v>59725</v>
      </c>
      <c r="AI109" s="52">
        <f t="shared" ref="AI109:AI110" si="95">Q109+W109+AC109</f>
        <v>59725</v>
      </c>
      <c r="AJ109" s="52">
        <f t="shared" ref="AJ109:AJ110" si="96">AF109+AH109</f>
        <v>59725</v>
      </c>
      <c r="AK109" s="52">
        <f t="shared" ref="AK109:AK110" si="97">AG109+AI109</f>
        <v>59725</v>
      </c>
      <c r="AL109" s="52"/>
      <c r="AM109" s="52"/>
      <c r="AN109" s="52"/>
      <c r="AO109" s="59"/>
      <c r="AP109" s="52">
        <f t="shared" ref="AP109:AP110" si="98">AL109+AN109</f>
        <v>0</v>
      </c>
      <c r="AQ109" s="52">
        <f t="shared" ref="AQ109:AQ110" si="99">AM109+AO109</f>
        <v>0</v>
      </c>
      <c r="AR109" s="52"/>
      <c r="AS109" s="52"/>
      <c r="AT109" s="52"/>
      <c r="AU109" s="52"/>
      <c r="AV109" s="52"/>
      <c r="AW109" s="52"/>
      <c r="AX109" s="52"/>
      <c r="AY109" s="52"/>
      <c r="AZ109" s="52"/>
      <c r="BA109" s="52"/>
      <c r="BB109" s="52">
        <f t="shared" si="73"/>
        <v>0</v>
      </c>
      <c r="BC109" s="52"/>
      <c r="BD109" s="52">
        <f t="shared" si="85"/>
        <v>0</v>
      </c>
      <c r="BE109" s="52"/>
      <c r="BF109" s="52"/>
      <c r="BG109" s="52"/>
      <c r="BH109" s="52"/>
      <c r="BI109" s="52">
        <f t="shared" ref="BI109:BI110" si="100">BE109+BG109</f>
        <v>0</v>
      </c>
      <c r="BJ109" s="52"/>
      <c r="BK109" s="52">
        <f t="shared" ref="BK109:BK110" si="101">BF109+BH109</f>
        <v>0</v>
      </c>
      <c r="BL109" s="52"/>
      <c r="BM109" s="52"/>
      <c r="BN109" s="52"/>
      <c r="BO109" s="52"/>
      <c r="BP109" s="52">
        <f t="shared" si="75"/>
        <v>0</v>
      </c>
      <c r="BQ109" s="52"/>
      <c r="BR109" s="52">
        <f t="shared" si="86"/>
        <v>0</v>
      </c>
      <c r="BS109" s="52"/>
      <c r="BT109" s="52"/>
      <c r="BU109" s="52"/>
      <c r="BV109" s="52"/>
      <c r="BW109" s="52">
        <f t="shared" si="76"/>
        <v>0</v>
      </c>
      <c r="BX109" s="52"/>
      <c r="BY109" s="52">
        <f t="shared" si="87"/>
        <v>0</v>
      </c>
      <c r="BZ109" s="52"/>
      <c r="CA109" s="52"/>
      <c r="CB109" s="52"/>
      <c r="CC109" s="52"/>
      <c r="CD109" s="52">
        <f t="shared" si="77"/>
        <v>0</v>
      </c>
      <c r="CE109" s="52">
        <f t="shared" si="77"/>
        <v>0</v>
      </c>
      <c r="CF109" s="52"/>
      <c r="CG109" s="52"/>
      <c r="CH109" s="52"/>
      <c r="CI109" s="52"/>
      <c r="CJ109" s="52">
        <f t="shared" si="78"/>
        <v>0</v>
      </c>
      <c r="CK109" s="52">
        <f t="shared" si="78"/>
        <v>0</v>
      </c>
      <c r="CL109" s="52"/>
      <c r="CM109" s="52"/>
      <c r="CN109" s="52"/>
      <c r="CO109" s="52"/>
      <c r="CP109" s="52">
        <f t="shared" si="79"/>
        <v>0</v>
      </c>
      <c r="CQ109" s="52">
        <f t="shared" si="79"/>
        <v>0</v>
      </c>
      <c r="CR109" s="52"/>
      <c r="CS109" s="52"/>
      <c r="CT109" s="52"/>
      <c r="CU109" s="52"/>
      <c r="CV109" s="52">
        <f t="shared" si="80"/>
        <v>0</v>
      </c>
      <c r="CW109" s="52">
        <f t="shared" si="80"/>
        <v>0</v>
      </c>
      <c r="CX109" s="52"/>
      <c r="CY109" s="52"/>
      <c r="CZ109" s="52"/>
      <c r="DA109" s="52"/>
      <c r="DB109" s="52">
        <f t="shared" si="81"/>
        <v>0</v>
      </c>
      <c r="DC109" s="52">
        <f t="shared" si="81"/>
        <v>0</v>
      </c>
      <c r="DD109" s="52"/>
      <c r="DE109" s="52"/>
      <c r="DF109" s="52"/>
      <c r="DG109" s="52"/>
      <c r="DH109" s="52">
        <f t="shared" si="82"/>
        <v>0</v>
      </c>
      <c r="DI109" s="52">
        <f t="shared" si="82"/>
        <v>0</v>
      </c>
      <c r="DJ109" s="52">
        <f t="shared" ref="DJ109:DJ119" si="102">AL109+AR109+AX109+BE109+BL109+BS109+BZ109+CF109+CL109+CR109+CX109+DD109</f>
        <v>0</v>
      </c>
      <c r="DK109" s="52">
        <f t="shared" ref="DK109:DK119" si="103">AM109+AS109+AY109+BF109+BM109+BT109+CA109+CG109+CM109+CS109+CY109+DE109</f>
        <v>0</v>
      </c>
      <c r="DL109" s="52">
        <f t="shared" si="83"/>
        <v>0</v>
      </c>
      <c r="DM109" s="52">
        <f t="shared" ref="DM109:DM110" si="104">AO109+AU109+BA109+BH109+BO109+BV109+CC109+CI109+CO109+CU109+DA109+DG109</f>
        <v>0</v>
      </c>
      <c r="DN109" s="52">
        <f t="shared" ref="DN109:DN110" si="105">DJ109+DL109</f>
        <v>0</v>
      </c>
      <c r="DO109" s="52">
        <f t="shared" ref="DO109:DO110" si="106">DK109+DM109</f>
        <v>0</v>
      </c>
    </row>
    <row r="110" spans="1:119">
      <c r="A110" s="224">
        <v>110</v>
      </c>
      <c r="B110" s="26" t="s">
        <v>286</v>
      </c>
      <c r="C110" s="53" t="s">
        <v>672</v>
      </c>
      <c r="D110" s="227" t="s">
        <v>673</v>
      </c>
      <c r="E110" s="196" t="s">
        <v>1164</v>
      </c>
      <c r="F110" s="161">
        <f t="shared" si="56"/>
        <v>0</v>
      </c>
      <c r="G110" s="165">
        <f t="shared" si="57"/>
        <v>2117</v>
      </c>
      <c r="H110" s="56"/>
      <c r="I110" s="219">
        <v>0</v>
      </c>
      <c r="J110" s="219">
        <v>0</v>
      </c>
      <c r="K110" s="127">
        <f t="shared" si="58"/>
        <v>2117</v>
      </c>
      <c r="L110" s="127">
        <f t="shared" si="59"/>
        <v>2117</v>
      </c>
      <c r="M110" s="127">
        <f t="shared" si="60"/>
        <v>2117</v>
      </c>
      <c r="N110" s="127">
        <f t="shared" si="61"/>
        <v>0</v>
      </c>
      <c r="O110" s="125">
        <f t="shared" si="62"/>
        <v>2117</v>
      </c>
      <c r="P110" s="52"/>
      <c r="Q110" s="52">
        <v>2117</v>
      </c>
      <c r="R110" s="52">
        <f t="shared" si="63"/>
        <v>0</v>
      </c>
      <c r="S110" s="52">
        <f t="shared" si="64"/>
        <v>2117</v>
      </c>
      <c r="T110" s="52"/>
      <c r="U110" s="52"/>
      <c r="V110" s="65"/>
      <c r="W110" s="52"/>
      <c r="X110" s="52">
        <f t="shared" si="88"/>
        <v>0</v>
      </c>
      <c r="Y110" s="52">
        <f t="shared" si="89"/>
        <v>0</v>
      </c>
      <c r="Z110" s="52"/>
      <c r="AA110" s="52"/>
      <c r="AB110" s="52"/>
      <c r="AC110" s="52"/>
      <c r="AD110" s="52">
        <f t="shared" si="90"/>
        <v>0</v>
      </c>
      <c r="AE110" s="52">
        <f t="shared" si="91"/>
        <v>0</v>
      </c>
      <c r="AF110" s="52">
        <f t="shared" si="92"/>
        <v>0</v>
      </c>
      <c r="AG110" s="52">
        <f t="shared" si="93"/>
        <v>0</v>
      </c>
      <c r="AH110" s="52">
        <f t="shared" si="94"/>
        <v>2117</v>
      </c>
      <c r="AI110" s="52">
        <f t="shared" si="95"/>
        <v>2117</v>
      </c>
      <c r="AJ110" s="52">
        <f t="shared" si="96"/>
        <v>2117</v>
      </c>
      <c r="AK110" s="52">
        <f t="shared" si="97"/>
        <v>2117</v>
      </c>
      <c r="AL110" s="52"/>
      <c r="AM110" s="52"/>
      <c r="AN110" s="52"/>
      <c r="AO110" s="59"/>
      <c r="AP110" s="52">
        <f t="shared" si="98"/>
        <v>0</v>
      </c>
      <c r="AQ110" s="52">
        <f t="shared" si="99"/>
        <v>0</v>
      </c>
      <c r="AR110" s="52"/>
      <c r="AS110" s="52"/>
      <c r="AT110" s="52"/>
      <c r="AU110" s="52"/>
      <c r="AV110" s="52"/>
      <c r="AW110" s="52"/>
      <c r="AX110" s="52"/>
      <c r="AY110" s="52"/>
      <c r="AZ110" s="52"/>
      <c r="BA110" s="52"/>
      <c r="BB110" s="52">
        <f t="shared" si="73"/>
        <v>0</v>
      </c>
      <c r="BC110" s="52"/>
      <c r="BD110" s="52">
        <f t="shared" si="85"/>
        <v>0</v>
      </c>
      <c r="BE110" s="52"/>
      <c r="BF110" s="52"/>
      <c r="BG110" s="52"/>
      <c r="BH110" s="52"/>
      <c r="BI110" s="52">
        <f t="shared" si="100"/>
        <v>0</v>
      </c>
      <c r="BJ110" s="52"/>
      <c r="BK110" s="52">
        <f t="shared" si="101"/>
        <v>0</v>
      </c>
      <c r="BL110" s="52"/>
      <c r="BM110" s="52"/>
      <c r="BN110" s="52"/>
      <c r="BO110" s="52"/>
      <c r="BP110" s="52">
        <f t="shared" si="75"/>
        <v>0</v>
      </c>
      <c r="BQ110" s="52"/>
      <c r="BR110" s="52">
        <f t="shared" si="86"/>
        <v>0</v>
      </c>
      <c r="BS110" s="52"/>
      <c r="BT110" s="52"/>
      <c r="BU110" s="52"/>
      <c r="BV110" s="52"/>
      <c r="BW110" s="52">
        <f t="shared" si="76"/>
        <v>0</v>
      </c>
      <c r="BX110" s="52"/>
      <c r="BY110" s="52">
        <f t="shared" si="87"/>
        <v>0</v>
      </c>
      <c r="BZ110" s="52"/>
      <c r="CA110" s="52"/>
      <c r="CB110" s="52"/>
      <c r="CC110" s="52"/>
      <c r="CD110" s="52">
        <f t="shared" si="77"/>
        <v>0</v>
      </c>
      <c r="CE110" s="52">
        <f t="shared" si="77"/>
        <v>0</v>
      </c>
      <c r="CF110" s="52"/>
      <c r="CG110" s="52"/>
      <c r="CH110" s="52"/>
      <c r="CI110" s="52"/>
      <c r="CJ110" s="52">
        <f t="shared" si="78"/>
        <v>0</v>
      </c>
      <c r="CK110" s="52">
        <f t="shared" si="78"/>
        <v>0</v>
      </c>
      <c r="CL110" s="52"/>
      <c r="CM110" s="52"/>
      <c r="CN110" s="52"/>
      <c r="CO110" s="52"/>
      <c r="CP110" s="52">
        <f t="shared" si="79"/>
        <v>0</v>
      </c>
      <c r="CQ110" s="52">
        <f t="shared" si="79"/>
        <v>0</v>
      </c>
      <c r="CR110" s="52"/>
      <c r="CS110" s="52"/>
      <c r="CT110" s="52"/>
      <c r="CU110" s="52"/>
      <c r="CV110" s="52">
        <f t="shared" si="80"/>
        <v>0</v>
      </c>
      <c r="CW110" s="52">
        <f t="shared" si="80"/>
        <v>0</v>
      </c>
      <c r="CX110" s="52"/>
      <c r="CY110" s="52"/>
      <c r="CZ110" s="52"/>
      <c r="DA110" s="52"/>
      <c r="DB110" s="52">
        <f t="shared" si="81"/>
        <v>0</v>
      </c>
      <c r="DC110" s="52">
        <f t="shared" si="81"/>
        <v>0</v>
      </c>
      <c r="DD110" s="52"/>
      <c r="DE110" s="52"/>
      <c r="DF110" s="52"/>
      <c r="DG110" s="52"/>
      <c r="DH110" s="52">
        <f t="shared" si="82"/>
        <v>0</v>
      </c>
      <c r="DI110" s="52">
        <f t="shared" si="82"/>
        <v>0</v>
      </c>
      <c r="DJ110" s="52">
        <f t="shared" si="102"/>
        <v>0</v>
      </c>
      <c r="DK110" s="52">
        <f t="shared" si="103"/>
        <v>0</v>
      </c>
      <c r="DL110" s="52">
        <f t="shared" si="83"/>
        <v>0</v>
      </c>
      <c r="DM110" s="52">
        <f t="shared" si="104"/>
        <v>0</v>
      </c>
      <c r="DN110" s="52">
        <f t="shared" si="105"/>
        <v>0</v>
      </c>
      <c r="DO110" s="52">
        <f t="shared" si="106"/>
        <v>0</v>
      </c>
    </row>
    <row r="111" spans="1:119" s="278" customFormat="1">
      <c r="A111" s="297">
        <v>119</v>
      </c>
      <c r="B111" s="276" t="s">
        <v>168</v>
      </c>
      <c r="C111" s="298" t="s">
        <v>330</v>
      </c>
      <c r="D111" s="299" t="s">
        <v>331</v>
      </c>
      <c r="E111" s="298" t="s">
        <v>1165</v>
      </c>
      <c r="F111" s="255">
        <f t="shared" si="56"/>
        <v>0</v>
      </c>
      <c r="G111" s="256">
        <f t="shared" si="57"/>
        <v>0</v>
      </c>
      <c r="H111" s="54">
        <v>5000</v>
      </c>
      <c r="I111" s="219">
        <v>0</v>
      </c>
      <c r="J111" s="219">
        <v>0</v>
      </c>
      <c r="K111" s="255">
        <f t="shared" si="58"/>
        <v>0</v>
      </c>
      <c r="L111" s="255">
        <f t="shared" si="59"/>
        <v>0</v>
      </c>
      <c r="M111" s="255">
        <f t="shared" si="60"/>
        <v>0</v>
      </c>
      <c r="N111" s="255">
        <f t="shared" si="61"/>
        <v>0</v>
      </c>
      <c r="O111" s="255" t="str">
        <f t="shared" si="62"/>
        <v>ნულოვანი შესრულება</v>
      </c>
      <c r="P111" s="52"/>
      <c r="Q111" s="52"/>
      <c r="R111" s="52">
        <f t="shared" si="63"/>
        <v>0</v>
      </c>
      <c r="S111" s="52">
        <f t="shared" si="64"/>
        <v>0</v>
      </c>
      <c r="T111" s="52"/>
      <c r="U111" s="52"/>
      <c r="V111" s="52"/>
      <c r="W111" s="52"/>
      <c r="X111" s="52">
        <f t="shared" si="65"/>
        <v>0</v>
      </c>
      <c r="Y111" s="52">
        <f t="shared" si="65"/>
        <v>0</v>
      </c>
      <c r="Z111" s="52"/>
      <c r="AA111" s="52"/>
      <c r="AB111" s="52"/>
      <c r="AC111" s="52"/>
      <c r="AD111" s="52">
        <f t="shared" si="66"/>
        <v>0</v>
      </c>
      <c r="AE111" s="52">
        <f t="shared" si="66"/>
        <v>0</v>
      </c>
      <c r="AF111" s="52">
        <f t="shared" si="67"/>
        <v>0</v>
      </c>
      <c r="AG111" s="52">
        <f t="shared" si="68"/>
        <v>0</v>
      </c>
      <c r="AH111" s="52">
        <f t="shared" si="68"/>
        <v>0</v>
      </c>
      <c r="AI111" s="52">
        <f t="shared" si="69"/>
        <v>0</v>
      </c>
      <c r="AJ111" s="52">
        <f t="shared" si="70"/>
        <v>0</v>
      </c>
      <c r="AK111" s="52">
        <f t="shared" si="70"/>
        <v>0</v>
      </c>
      <c r="AL111" s="258"/>
      <c r="AM111" s="258"/>
      <c r="AN111" s="258"/>
      <c r="AO111" s="258"/>
      <c r="AP111" s="258">
        <f t="shared" si="71"/>
        <v>0</v>
      </c>
      <c r="AQ111" s="258">
        <f t="shared" si="71"/>
        <v>0</v>
      </c>
      <c r="AR111" s="258"/>
      <c r="AS111" s="258"/>
      <c r="AT111" s="258"/>
      <c r="AU111" s="258"/>
      <c r="AV111" s="258">
        <f t="shared" si="72"/>
        <v>0</v>
      </c>
      <c r="AW111" s="258">
        <f t="shared" si="72"/>
        <v>0</v>
      </c>
      <c r="AX111" s="258"/>
      <c r="AY111" s="258"/>
      <c r="AZ111" s="258"/>
      <c r="BA111" s="258"/>
      <c r="BB111" s="258">
        <f t="shared" si="73"/>
        <v>0</v>
      </c>
      <c r="BC111" s="258"/>
      <c r="BD111" s="258">
        <f t="shared" si="85"/>
        <v>0</v>
      </c>
      <c r="BE111" s="258"/>
      <c r="BF111" s="258"/>
      <c r="BG111" s="258"/>
      <c r="BH111" s="258"/>
      <c r="BI111" s="258">
        <f t="shared" si="74"/>
        <v>0</v>
      </c>
      <c r="BJ111" s="258"/>
      <c r="BK111" s="258">
        <f t="shared" ref="BK111:BK153" si="107">BF111+BH111</f>
        <v>0</v>
      </c>
      <c r="BL111" s="258"/>
      <c r="BM111" s="258"/>
      <c r="BN111" s="258"/>
      <c r="BO111" s="258"/>
      <c r="BP111" s="258">
        <f t="shared" si="75"/>
        <v>0</v>
      </c>
      <c r="BQ111" s="258"/>
      <c r="BR111" s="258">
        <f t="shared" si="86"/>
        <v>0</v>
      </c>
      <c r="BS111" s="258"/>
      <c r="BT111" s="258"/>
      <c r="BU111" s="258"/>
      <c r="BV111" s="258"/>
      <c r="BW111" s="258">
        <f t="shared" si="76"/>
        <v>0</v>
      </c>
      <c r="BX111" s="258"/>
      <c r="BY111" s="258">
        <f t="shared" si="87"/>
        <v>0</v>
      </c>
      <c r="BZ111" s="258"/>
      <c r="CA111" s="258"/>
      <c r="CB111" s="258"/>
      <c r="CC111" s="258"/>
      <c r="CD111" s="258">
        <f t="shared" si="77"/>
        <v>0</v>
      </c>
      <c r="CE111" s="258">
        <f t="shared" si="77"/>
        <v>0</v>
      </c>
      <c r="CF111" s="258"/>
      <c r="CG111" s="258"/>
      <c r="CH111" s="258"/>
      <c r="CI111" s="258"/>
      <c r="CJ111" s="258">
        <f t="shared" si="78"/>
        <v>0</v>
      </c>
      <c r="CK111" s="258">
        <f t="shared" si="78"/>
        <v>0</v>
      </c>
      <c r="CL111" s="258"/>
      <c r="CM111" s="258"/>
      <c r="CN111" s="258"/>
      <c r="CO111" s="258"/>
      <c r="CP111" s="258">
        <f t="shared" si="79"/>
        <v>0</v>
      </c>
      <c r="CQ111" s="258">
        <f t="shared" si="79"/>
        <v>0</v>
      </c>
      <c r="CR111" s="258"/>
      <c r="CS111" s="258"/>
      <c r="CT111" s="258"/>
      <c r="CU111" s="258"/>
      <c r="CV111" s="258">
        <f t="shared" si="80"/>
        <v>0</v>
      </c>
      <c r="CW111" s="258">
        <f t="shared" si="80"/>
        <v>0</v>
      </c>
      <c r="CX111" s="258"/>
      <c r="CY111" s="258"/>
      <c r="CZ111" s="258"/>
      <c r="DA111" s="258"/>
      <c r="DB111" s="258">
        <f t="shared" si="81"/>
        <v>0</v>
      </c>
      <c r="DC111" s="258">
        <f t="shared" si="81"/>
        <v>0</v>
      </c>
      <c r="DD111" s="258"/>
      <c r="DE111" s="258"/>
      <c r="DF111" s="258"/>
      <c r="DG111" s="258"/>
      <c r="DH111" s="258">
        <f t="shared" si="82"/>
        <v>0</v>
      </c>
      <c r="DI111" s="258">
        <f t="shared" si="82"/>
        <v>0</v>
      </c>
      <c r="DJ111" s="258">
        <f t="shared" si="102"/>
        <v>0</v>
      </c>
      <c r="DK111" s="258">
        <f t="shared" si="103"/>
        <v>0</v>
      </c>
      <c r="DL111" s="52">
        <f t="shared" si="83"/>
        <v>0</v>
      </c>
      <c r="DM111" s="258">
        <f t="shared" si="55"/>
        <v>0</v>
      </c>
      <c r="DN111" s="258">
        <f t="shared" si="84"/>
        <v>0</v>
      </c>
      <c r="DO111" s="258">
        <f t="shared" si="84"/>
        <v>0</v>
      </c>
    </row>
    <row r="112" spans="1:119" s="278" customFormat="1">
      <c r="A112" s="297">
        <v>120</v>
      </c>
      <c r="B112" s="276" t="s">
        <v>168</v>
      </c>
      <c r="C112" s="298" t="s">
        <v>332</v>
      </c>
      <c r="D112" s="299" t="s">
        <v>333</v>
      </c>
      <c r="E112" s="298" t="s">
        <v>1165</v>
      </c>
      <c r="F112" s="255">
        <f t="shared" si="56"/>
        <v>0</v>
      </c>
      <c r="G112" s="256">
        <f t="shared" si="57"/>
        <v>0</v>
      </c>
      <c r="H112" s="54">
        <v>5000</v>
      </c>
      <c r="I112" s="219">
        <v>0</v>
      </c>
      <c r="J112" s="219">
        <v>0</v>
      </c>
      <c r="K112" s="255">
        <f t="shared" si="58"/>
        <v>0</v>
      </c>
      <c r="L112" s="255">
        <f t="shared" si="59"/>
        <v>0</v>
      </c>
      <c r="M112" s="255">
        <f t="shared" si="60"/>
        <v>0</v>
      </c>
      <c r="N112" s="255">
        <f t="shared" si="61"/>
        <v>0</v>
      </c>
      <c r="O112" s="255" t="str">
        <f t="shared" si="62"/>
        <v>ნულოვანი შესრულება</v>
      </c>
      <c r="P112" s="52"/>
      <c r="Q112" s="52"/>
      <c r="R112" s="52">
        <f t="shared" si="63"/>
        <v>0</v>
      </c>
      <c r="S112" s="52">
        <f t="shared" si="64"/>
        <v>0</v>
      </c>
      <c r="T112" s="52"/>
      <c r="U112" s="52"/>
      <c r="V112" s="52"/>
      <c r="W112" s="52"/>
      <c r="X112" s="52">
        <f t="shared" si="65"/>
        <v>0</v>
      </c>
      <c r="Y112" s="52">
        <f t="shared" si="65"/>
        <v>0</v>
      </c>
      <c r="Z112" s="52"/>
      <c r="AA112" s="52"/>
      <c r="AB112" s="52"/>
      <c r="AC112" s="52"/>
      <c r="AD112" s="52">
        <f t="shared" si="66"/>
        <v>0</v>
      </c>
      <c r="AE112" s="52">
        <f t="shared" si="66"/>
        <v>0</v>
      </c>
      <c r="AF112" s="52">
        <f t="shared" si="67"/>
        <v>0</v>
      </c>
      <c r="AG112" s="52">
        <f t="shared" si="68"/>
        <v>0</v>
      </c>
      <c r="AH112" s="52">
        <f t="shared" si="68"/>
        <v>0</v>
      </c>
      <c r="AI112" s="52">
        <f t="shared" si="69"/>
        <v>0</v>
      </c>
      <c r="AJ112" s="52">
        <f t="shared" si="70"/>
        <v>0</v>
      </c>
      <c r="AK112" s="52">
        <f t="shared" si="70"/>
        <v>0</v>
      </c>
      <c r="AL112" s="258"/>
      <c r="AM112" s="258"/>
      <c r="AN112" s="258"/>
      <c r="AO112" s="258"/>
      <c r="AP112" s="258">
        <f t="shared" si="71"/>
        <v>0</v>
      </c>
      <c r="AQ112" s="258">
        <f t="shared" si="71"/>
        <v>0</v>
      </c>
      <c r="AR112" s="258"/>
      <c r="AS112" s="258"/>
      <c r="AT112" s="258"/>
      <c r="AU112" s="258"/>
      <c r="AV112" s="258">
        <f t="shared" si="72"/>
        <v>0</v>
      </c>
      <c r="AW112" s="258">
        <f t="shared" si="72"/>
        <v>0</v>
      </c>
      <c r="AX112" s="258"/>
      <c r="AY112" s="258"/>
      <c r="AZ112" s="258"/>
      <c r="BA112" s="258"/>
      <c r="BB112" s="258">
        <f t="shared" si="73"/>
        <v>0</v>
      </c>
      <c r="BC112" s="258"/>
      <c r="BD112" s="258">
        <f t="shared" si="85"/>
        <v>0</v>
      </c>
      <c r="BE112" s="258"/>
      <c r="BF112" s="258"/>
      <c r="BG112" s="258"/>
      <c r="BH112" s="258"/>
      <c r="BI112" s="258">
        <f t="shared" si="74"/>
        <v>0</v>
      </c>
      <c r="BJ112" s="258"/>
      <c r="BK112" s="258">
        <f t="shared" si="107"/>
        <v>0</v>
      </c>
      <c r="BL112" s="258"/>
      <c r="BM112" s="258"/>
      <c r="BN112" s="258"/>
      <c r="BO112" s="258"/>
      <c r="BP112" s="258">
        <f t="shared" si="75"/>
        <v>0</v>
      </c>
      <c r="BQ112" s="258"/>
      <c r="BR112" s="258">
        <f t="shared" si="86"/>
        <v>0</v>
      </c>
      <c r="BS112" s="258"/>
      <c r="BT112" s="258"/>
      <c r="BU112" s="258"/>
      <c r="BV112" s="258"/>
      <c r="BW112" s="258">
        <f t="shared" si="76"/>
        <v>0</v>
      </c>
      <c r="BX112" s="258"/>
      <c r="BY112" s="258">
        <f t="shared" si="87"/>
        <v>0</v>
      </c>
      <c r="BZ112" s="258"/>
      <c r="CA112" s="258"/>
      <c r="CB112" s="258"/>
      <c r="CC112" s="258"/>
      <c r="CD112" s="258">
        <f t="shared" si="77"/>
        <v>0</v>
      </c>
      <c r="CE112" s="258">
        <f t="shared" si="77"/>
        <v>0</v>
      </c>
      <c r="CF112" s="258"/>
      <c r="CG112" s="258"/>
      <c r="CH112" s="258"/>
      <c r="CI112" s="258"/>
      <c r="CJ112" s="258">
        <f t="shared" si="78"/>
        <v>0</v>
      </c>
      <c r="CK112" s="258">
        <f t="shared" si="78"/>
        <v>0</v>
      </c>
      <c r="CL112" s="258"/>
      <c r="CM112" s="258"/>
      <c r="CN112" s="258"/>
      <c r="CO112" s="258"/>
      <c r="CP112" s="258">
        <f t="shared" si="79"/>
        <v>0</v>
      </c>
      <c r="CQ112" s="258">
        <f t="shared" si="79"/>
        <v>0</v>
      </c>
      <c r="CR112" s="258"/>
      <c r="CS112" s="258"/>
      <c r="CT112" s="258"/>
      <c r="CU112" s="258"/>
      <c r="CV112" s="258">
        <f t="shared" si="80"/>
        <v>0</v>
      </c>
      <c r="CW112" s="258">
        <f t="shared" si="80"/>
        <v>0</v>
      </c>
      <c r="CX112" s="258"/>
      <c r="CY112" s="258"/>
      <c r="CZ112" s="258"/>
      <c r="DA112" s="258"/>
      <c r="DB112" s="258">
        <f t="shared" si="81"/>
        <v>0</v>
      </c>
      <c r="DC112" s="258">
        <f t="shared" si="81"/>
        <v>0</v>
      </c>
      <c r="DD112" s="258"/>
      <c r="DE112" s="258"/>
      <c r="DF112" s="258"/>
      <c r="DG112" s="258"/>
      <c r="DH112" s="258">
        <f t="shared" si="82"/>
        <v>0</v>
      </c>
      <c r="DI112" s="258">
        <f t="shared" si="82"/>
        <v>0</v>
      </c>
      <c r="DJ112" s="258">
        <f t="shared" si="102"/>
        <v>0</v>
      </c>
      <c r="DK112" s="258">
        <f t="shared" si="103"/>
        <v>0</v>
      </c>
      <c r="DL112" s="52">
        <f t="shared" si="83"/>
        <v>0</v>
      </c>
      <c r="DM112" s="258">
        <f t="shared" si="55"/>
        <v>0</v>
      </c>
      <c r="DN112" s="258">
        <f t="shared" si="84"/>
        <v>0</v>
      </c>
      <c r="DO112" s="258">
        <f t="shared" si="84"/>
        <v>0</v>
      </c>
    </row>
    <row r="113" spans="1:119" s="278" customFormat="1">
      <c r="A113" s="297">
        <v>121</v>
      </c>
      <c r="B113" s="276" t="s">
        <v>58</v>
      </c>
      <c r="C113" s="298" t="s">
        <v>334</v>
      </c>
      <c r="D113" s="299" t="s">
        <v>335</v>
      </c>
      <c r="E113" s="298" t="s">
        <v>1165</v>
      </c>
      <c r="F113" s="255">
        <f t="shared" si="56"/>
        <v>0</v>
      </c>
      <c r="G113" s="256">
        <f t="shared" si="57"/>
        <v>0</v>
      </c>
      <c r="H113" s="54">
        <v>5000</v>
      </c>
      <c r="I113" s="219">
        <v>0</v>
      </c>
      <c r="J113" s="219">
        <v>0</v>
      </c>
      <c r="K113" s="255">
        <f t="shared" si="58"/>
        <v>0</v>
      </c>
      <c r="L113" s="255">
        <f t="shared" si="59"/>
        <v>0</v>
      </c>
      <c r="M113" s="255">
        <f t="shared" si="60"/>
        <v>0</v>
      </c>
      <c r="N113" s="255">
        <f t="shared" si="61"/>
        <v>0</v>
      </c>
      <c r="O113" s="255" t="str">
        <f t="shared" si="62"/>
        <v>ნულოვანი შესრულება</v>
      </c>
      <c r="P113" s="52"/>
      <c r="Q113" s="52"/>
      <c r="R113" s="52">
        <f t="shared" si="63"/>
        <v>0</v>
      </c>
      <c r="S113" s="52">
        <f t="shared" si="64"/>
        <v>0</v>
      </c>
      <c r="T113" s="52"/>
      <c r="U113" s="52"/>
      <c r="V113" s="52"/>
      <c r="W113" s="52"/>
      <c r="X113" s="52">
        <f t="shared" si="65"/>
        <v>0</v>
      </c>
      <c r="Y113" s="52">
        <f t="shared" si="65"/>
        <v>0</v>
      </c>
      <c r="Z113" s="52"/>
      <c r="AA113" s="52"/>
      <c r="AB113" s="52"/>
      <c r="AC113" s="52"/>
      <c r="AD113" s="52">
        <f t="shared" si="66"/>
        <v>0</v>
      </c>
      <c r="AE113" s="52">
        <f t="shared" si="66"/>
        <v>0</v>
      </c>
      <c r="AF113" s="52">
        <f t="shared" si="67"/>
        <v>0</v>
      </c>
      <c r="AG113" s="52">
        <f t="shared" si="68"/>
        <v>0</v>
      </c>
      <c r="AH113" s="52">
        <f t="shared" si="68"/>
        <v>0</v>
      </c>
      <c r="AI113" s="52">
        <f t="shared" si="69"/>
        <v>0</v>
      </c>
      <c r="AJ113" s="52">
        <f t="shared" si="70"/>
        <v>0</v>
      </c>
      <c r="AK113" s="52">
        <f t="shared" si="70"/>
        <v>0</v>
      </c>
      <c r="AL113" s="258"/>
      <c r="AM113" s="258"/>
      <c r="AN113" s="258"/>
      <c r="AO113" s="258"/>
      <c r="AP113" s="258">
        <f t="shared" si="71"/>
        <v>0</v>
      </c>
      <c r="AQ113" s="258">
        <f t="shared" si="71"/>
        <v>0</v>
      </c>
      <c r="AR113" s="258"/>
      <c r="AS113" s="303"/>
      <c r="AT113" s="258"/>
      <c r="AU113" s="258"/>
      <c r="AV113" s="258">
        <f t="shared" si="72"/>
        <v>0</v>
      </c>
      <c r="AW113" s="258">
        <f t="shared" si="72"/>
        <v>0</v>
      </c>
      <c r="AX113" s="258"/>
      <c r="AY113" s="258"/>
      <c r="AZ113" s="258"/>
      <c r="BA113" s="258"/>
      <c r="BB113" s="258">
        <f t="shared" si="73"/>
        <v>0</v>
      </c>
      <c r="BC113" s="258"/>
      <c r="BD113" s="258">
        <f t="shared" si="85"/>
        <v>0</v>
      </c>
      <c r="BE113" s="258"/>
      <c r="BF113" s="258"/>
      <c r="BG113" s="258"/>
      <c r="BH113" s="258"/>
      <c r="BI113" s="258">
        <f t="shared" si="74"/>
        <v>0</v>
      </c>
      <c r="BJ113" s="258"/>
      <c r="BK113" s="258">
        <f t="shared" si="107"/>
        <v>0</v>
      </c>
      <c r="BL113" s="258"/>
      <c r="BM113" s="258"/>
      <c r="BN113" s="258"/>
      <c r="BO113" s="258"/>
      <c r="BP113" s="258">
        <f t="shared" si="75"/>
        <v>0</v>
      </c>
      <c r="BQ113" s="258"/>
      <c r="BR113" s="258">
        <f t="shared" si="86"/>
        <v>0</v>
      </c>
      <c r="BS113" s="258"/>
      <c r="BT113" s="258"/>
      <c r="BU113" s="258"/>
      <c r="BV113" s="258"/>
      <c r="BW113" s="258">
        <f t="shared" si="76"/>
        <v>0</v>
      </c>
      <c r="BX113" s="258"/>
      <c r="BY113" s="258">
        <f t="shared" si="87"/>
        <v>0</v>
      </c>
      <c r="BZ113" s="258"/>
      <c r="CA113" s="258"/>
      <c r="CB113" s="258"/>
      <c r="CC113" s="258"/>
      <c r="CD113" s="258">
        <f t="shared" si="77"/>
        <v>0</v>
      </c>
      <c r="CE113" s="258">
        <f t="shared" si="77"/>
        <v>0</v>
      </c>
      <c r="CF113" s="258"/>
      <c r="CG113" s="258"/>
      <c r="CH113" s="302"/>
      <c r="CI113" s="302"/>
      <c r="CJ113" s="258">
        <f t="shared" si="78"/>
        <v>0</v>
      </c>
      <c r="CK113" s="258">
        <f t="shared" si="78"/>
        <v>0</v>
      </c>
      <c r="CL113" s="302"/>
      <c r="CM113" s="302"/>
      <c r="CN113" s="302"/>
      <c r="CO113" s="302"/>
      <c r="CP113" s="258">
        <f t="shared" si="79"/>
        <v>0</v>
      </c>
      <c r="CQ113" s="258">
        <f t="shared" si="79"/>
        <v>0</v>
      </c>
      <c r="CR113" s="302"/>
      <c r="CS113" s="302"/>
      <c r="CT113" s="302"/>
      <c r="CU113" s="302"/>
      <c r="CV113" s="258">
        <f t="shared" si="80"/>
        <v>0</v>
      </c>
      <c r="CW113" s="258">
        <f t="shared" si="80"/>
        <v>0</v>
      </c>
      <c r="CX113" s="302"/>
      <c r="CY113" s="258"/>
      <c r="CZ113" s="258"/>
      <c r="DA113" s="258"/>
      <c r="DB113" s="258">
        <f t="shared" si="81"/>
        <v>0</v>
      </c>
      <c r="DC113" s="258">
        <f t="shared" si="81"/>
        <v>0</v>
      </c>
      <c r="DD113" s="258"/>
      <c r="DE113" s="258"/>
      <c r="DF113" s="258"/>
      <c r="DG113" s="258"/>
      <c r="DH113" s="258">
        <f t="shared" si="82"/>
        <v>0</v>
      </c>
      <c r="DI113" s="258">
        <f t="shared" si="82"/>
        <v>0</v>
      </c>
      <c r="DJ113" s="258">
        <f t="shared" si="102"/>
        <v>0</v>
      </c>
      <c r="DK113" s="258">
        <f t="shared" si="103"/>
        <v>0</v>
      </c>
      <c r="DL113" s="52">
        <f t="shared" si="83"/>
        <v>0</v>
      </c>
      <c r="DM113" s="258">
        <f t="shared" si="55"/>
        <v>0</v>
      </c>
      <c r="DN113" s="258">
        <f t="shared" si="84"/>
        <v>0</v>
      </c>
      <c r="DO113" s="258">
        <f t="shared" si="84"/>
        <v>0</v>
      </c>
    </row>
    <row r="114" spans="1:119">
      <c r="A114" s="224">
        <v>122</v>
      </c>
      <c r="B114" s="26" t="s">
        <v>168</v>
      </c>
      <c r="C114" s="53" t="s">
        <v>181</v>
      </c>
      <c r="D114" s="228" t="s">
        <v>336</v>
      </c>
      <c r="E114" s="198" t="s">
        <v>1164</v>
      </c>
      <c r="F114" s="161">
        <f t="shared" si="56"/>
        <v>0</v>
      </c>
      <c r="G114" s="165">
        <f t="shared" si="57"/>
        <v>0</v>
      </c>
      <c r="H114" s="60">
        <v>0</v>
      </c>
      <c r="I114" s="220">
        <v>0</v>
      </c>
      <c r="J114" s="220">
        <v>0</v>
      </c>
      <c r="K114" s="127">
        <f t="shared" si="58"/>
        <v>0</v>
      </c>
      <c r="L114" s="127">
        <f t="shared" si="59"/>
        <v>0</v>
      </c>
      <c r="M114" s="127">
        <f t="shared" si="60"/>
        <v>0</v>
      </c>
      <c r="N114" s="127">
        <f t="shared" si="61"/>
        <v>0</v>
      </c>
      <c r="O114" s="125" t="str">
        <f t="shared" si="62"/>
        <v>ნულოვანი შესრულება</v>
      </c>
      <c r="P114" s="57"/>
      <c r="Q114" s="57"/>
      <c r="R114" s="52">
        <f t="shared" si="63"/>
        <v>0</v>
      </c>
      <c r="S114" s="52">
        <f t="shared" si="64"/>
        <v>0</v>
      </c>
      <c r="T114" s="57"/>
      <c r="U114" s="57"/>
      <c r="V114" s="57"/>
      <c r="W114" s="57"/>
      <c r="X114" s="52">
        <f t="shared" si="65"/>
        <v>0</v>
      </c>
      <c r="Y114" s="52">
        <f t="shared" si="65"/>
        <v>0</v>
      </c>
      <c r="Z114" s="57"/>
      <c r="AA114" s="57"/>
      <c r="AB114" s="57"/>
      <c r="AC114" s="57"/>
      <c r="AD114" s="52">
        <f t="shared" si="66"/>
        <v>0</v>
      </c>
      <c r="AE114" s="52">
        <f t="shared" si="66"/>
        <v>0</v>
      </c>
      <c r="AF114" s="52">
        <f t="shared" si="67"/>
        <v>0</v>
      </c>
      <c r="AG114" s="52">
        <f t="shared" si="68"/>
        <v>0</v>
      </c>
      <c r="AH114" s="52">
        <f t="shared" si="68"/>
        <v>0</v>
      </c>
      <c r="AI114" s="52">
        <f t="shared" si="69"/>
        <v>0</v>
      </c>
      <c r="AJ114" s="52">
        <f t="shared" si="70"/>
        <v>0</v>
      </c>
      <c r="AK114" s="52">
        <f t="shared" si="70"/>
        <v>0</v>
      </c>
      <c r="AL114" s="57"/>
      <c r="AM114" s="57"/>
      <c r="AN114" s="57"/>
      <c r="AO114" s="57"/>
      <c r="AP114" s="52">
        <f t="shared" si="71"/>
        <v>0</v>
      </c>
      <c r="AQ114" s="52">
        <f t="shared" si="71"/>
        <v>0</v>
      </c>
      <c r="AR114" s="57"/>
      <c r="AS114" s="52"/>
      <c r="AT114" s="52"/>
      <c r="AU114" s="52"/>
      <c r="AV114" s="52">
        <f t="shared" si="72"/>
        <v>0</v>
      </c>
      <c r="AW114" s="52">
        <f t="shared" si="72"/>
        <v>0</v>
      </c>
      <c r="AX114" s="52"/>
      <c r="AY114" s="52"/>
      <c r="AZ114" s="52"/>
      <c r="BA114" s="52"/>
      <c r="BB114" s="52">
        <f t="shared" si="73"/>
        <v>0</v>
      </c>
      <c r="BC114" s="52"/>
      <c r="BD114" s="52">
        <f t="shared" si="85"/>
        <v>0</v>
      </c>
      <c r="BE114" s="52"/>
      <c r="BF114" s="52"/>
      <c r="BG114" s="52"/>
      <c r="BH114" s="52"/>
      <c r="BI114" s="52">
        <f t="shared" si="74"/>
        <v>0</v>
      </c>
      <c r="BJ114" s="52"/>
      <c r="BK114" s="52">
        <f t="shared" si="107"/>
        <v>0</v>
      </c>
      <c r="BL114" s="52"/>
      <c r="BM114" s="52"/>
      <c r="BN114" s="52"/>
      <c r="BO114" s="52"/>
      <c r="BP114" s="52">
        <f t="shared" si="75"/>
        <v>0</v>
      </c>
      <c r="BQ114" s="52"/>
      <c r="BR114" s="52">
        <f t="shared" si="86"/>
        <v>0</v>
      </c>
      <c r="BS114" s="52"/>
      <c r="BT114" s="52"/>
      <c r="BU114" s="52"/>
      <c r="BV114" s="52"/>
      <c r="BW114" s="52">
        <f t="shared" si="76"/>
        <v>0</v>
      </c>
      <c r="BX114" s="52"/>
      <c r="BY114" s="52">
        <f t="shared" si="87"/>
        <v>0</v>
      </c>
      <c r="BZ114" s="52"/>
      <c r="CA114" s="52"/>
      <c r="CB114" s="52"/>
      <c r="CC114" s="52"/>
      <c r="CD114" s="52">
        <f t="shared" si="77"/>
        <v>0</v>
      </c>
      <c r="CE114" s="52">
        <f t="shared" si="77"/>
        <v>0</v>
      </c>
      <c r="CF114" s="52"/>
      <c r="CG114" s="65"/>
      <c r="CH114" s="52"/>
      <c r="CI114" s="52"/>
      <c r="CJ114" s="52">
        <f t="shared" si="78"/>
        <v>0</v>
      </c>
      <c r="CK114" s="52">
        <f t="shared" si="78"/>
        <v>0</v>
      </c>
      <c r="CL114" s="52"/>
      <c r="CM114" s="52"/>
      <c r="CN114" s="52"/>
      <c r="CO114" s="52"/>
      <c r="CP114" s="52">
        <f t="shared" si="79"/>
        <v>0</v>
      </c>
      <c r="CQ114" s="52">
        <f t="shared" si="79"/>
        <v>0</v>
      </c>
      <c r="CR114" s="52"/>
      <c r="CS114" s="52"/>
      <c r="CT114" s="52"/>
      <c r="CU114" s="52"/>
      <c r="CV114" s="52">
        <f t="shared" si="80"/>
        <v>0</v>
      </c>
      <c r="CW114" s="52">
        <f t="shared" si="80"/>
        <v>0</v>
      </c>
      <c r="CX114" s="52"/>
      <c r="CY114" s="52"/>
      <c r="CZ114" s="52"/>
      <c r="DA114" s="52"/>
      <c r="DB114" s="52">
        <f t="shared" si="81"/>
        <v>0</v>
      </c>
      <c r="DC114" s="52">
        <f t="shared" si="81"/>
        <v>0</v>
      </c>
      <c r="DD114" s="52"/>
      <c r="DE114" s="52"/>
      <c r="DF114" s="52"/>
      <c r="DG114" s="52"/>
      <c r="DH114" s="52">
        <f t="shared" si="82"/>
        <v>0</v>
      </c>
      <c r="DI114" s="52">
        <f t="shared" si="82"/>
        <v>0</v>
      </c>
      <c r="DJ114" s="52">
        <f t="shared" si="102"/>
        <v>0</v>
      </c>
      <c r="DK114" s="52">
        <f t="shared" si="103"/>
        <v>0</v>
      </c>
      <c r="DL114" s="52">
        <f t="shared" si="83"/>
        <v>0</v>
      </c>
      <c r="DM114" s="52">
        <f t="shared" si="55"/>
        <v>0</v>
      </c>
      <c r="DN114" s="52">
        <f t="shared" si="84"/>
        <v>0</v>
      </c>
      <c r="DO114" s="52">
        <f t="shared" si="84"/>
        <v>0</v>
      </c>
    </row>
    <row r="115" spans="1:119">
      <c r="A115" s="224">
        <v>123</v>
      </c>
      <c r="B115" s="26" t="s">
        <v>176</v>
      </c>
      <c r="C115" s="53" t="s">
        <v>200</v>
      </c>
      <c r="D115" s="227" t="s">
        <v>337</v>
      </c>
      <c r="E115" s="191" t="s">
        <v>1164</v>
      </c>
      <c r="F115" s="161">
        <f t="shared" si="56"/>
        <v>0</v>
      </c>
      <c r="G115" s="165">
        <f t="shared" si="57"/>
        <v>3143</v>
      </c>
      <c r="H115" s="54">
        <v>0</v>
      </c>
      <c r="I115" s="219">
        <v>0</v>
      </c>
      <c r="J115" s="219">
        <v>0</v>
      </c>
      <c r="K115" s="127">
        <f t="shared" si="58"/>
        <v>3143</v>
      </c>
      <c r="L115" s="127">
        <f t="shared" si="59"/>
        <v>3143</v>
      </c>
      <c r="M115" s="127">
        <f t="shared" si="60"/>
        <v>3143</v>
      </c>
      <c r="N115" s="127">
        <f t="shared" si="61"/>
        <v>0</v>
      </c>
      <c r="O115" s="125">
        <f t="shared" si="62"/>
        <v>3143</v>
      </c>
      <c r="P115" s="52"/>
      <c r="Q115" s="52">
        <v>3143</v>
      </c>
      <c r="R115" s="52">
        <f t="shared" si="63"/>
        <v>0</v>
      </c>
      <c r="S115" s="52">
        <f t="shared" si="64"/>
        <v>3143</v>
      </c>
      <c r="T115" s="52"/>
      <c r="U115" s="52"/>
      <c r="V115" s="52"/>
      <c r="W115" s="52"/>
      <c r="X115" s="52">
        <f t="shared" si="65"/>
        <v>0</v>
      </c>
      <c r="Y115" s="52">
        <f t="shared" si="65"/>
        <v>0</v>
      </c>
      <c r="Z115" s="52"/>
      <c r="AA115" s="52"/>
      <c r="AB115" s="52"/>
      <c r="AC115" s="52"/>
      <c r="AD115" s="52">
        <f t="shared" si="66"/>
        <v>0</v>
      </c>
      <c r="AE115" s="52">
        <f t="shared" si="66"/>
        <v>0</v>
      </c>
      <c r="AF115" s="52">
        <f t="shared" si="67"/>
        <v>0</v>
      </c>
      <c r="AG115" s="52">
        <f t="shared" si="68"/>
        <v>0</v>
      </c>
      <c r="AH115" s="52">
        <f t="shared" si="68"/>
        <v>3143</v>
      </c>
      <c r="AI115" s="52">
        <f t="shared" si="69"/>
        <v>3143</v>
      </c>
      <c r="AJ115" s="52">
        <f t="shared" si="70"/>
        <v>3143</v>
      </c>
      <c r="AK115" s="52">
        <f t="shared" si="70"/>
        <v>3143</v>
      </c>
      <c r="AL115" s="52"/>
      <c r="AM115" s="52"/>
      <c r="AN115" s="52"/>
      <c r="AO115" s="52"/>
      <c r="AP115" s="52">
        <f t="shared" si="71"/>
        <v>0</v>
      </c>
      <c r="AQ115" s="52">
        <f t="shared" si="71"/>
        <v>0</v>
      </c>
      <c r="AR115" s="52"/>
      <c r="AS115" s="52"/>
      <c r="AT115" s="52"/>
      <c r="AU115" s="52"/>
      <c r="AV115" s="52">
        <f t="shared" si="72"/>
        <v>0</v>
      </c>
      <c r="AW115" s="52">
        <f t="shared" si="72"/>
        <v>0</v>
      </c>
      <c r="AX115" s="52"/>
      <c r="AY115" s="52"/>
      <c r="AZ115" s="52"/>
      <c r="BA115" s="52"/>
      <c r="BB115" s="52">
        <f t="shared" si="73"/>
        <v>0</v>
      </c>
      <c r="BC115" s="52"/>
      <c r="BD115" s="52">
        <f t="shared" si="85"/>
        <v>0</v>
      </c>
      <c r="BE115" s="52"/>
      <c r="BF115" s="52"/>
      <c r="BG115" s="52"/>
      <c r="BH115" s="52"/>
      <c r="BI115" s="52">
        <f t="shared" si="74"/>
        <v>0</v>
      </c>
      <c r="BJ115" s="52"/>
      <c r="BK115" s="52">
        <f t="shared" si="107"/>
        <v>0</v>
      </c>
      <c r="BL115" s="52"/>
      <c r="BM115" s="52"/>
      <c r="BN115" s="52"/>
      <c r="BO115" s="52"/>
      <c r="BP115" s="52">
        <f t="shared" si="75"/>
        <v>0</v>
      </c>
      <c r="BQ115" s="52"/>
      <c r="BR115" s="52">
        <f t="shared" si="86"/>
        <v>0</v>
      </c>
      <c r="BS115" s="52"/>
      <c r="BT115" s="52"/>
      <c r="BU115" s="52"/>
      <c r="BV115" s="52"/>
      <c r="BW115" s="52">
        <f t="shared" si="76"/>
        <v>0</v>
      </c>
      <c r="BX115" s="52"/>
      <c r="BY115" s="52">
        <f t="shared" si="87"/>
        <v>0</v>
      </c>
      <c r="BZ115" s="52"/>
      <c r="CA115" s="52"/>
      <c r="CB115" s="52"/>
      <c r="CC115" s="52"/>
      <c r="CD115" s="52">
        <f t="shared" si="77"/>
        <v>0</v>
      </c>
      <c r="CE115" s="52">
        <f t="shared" si="77"/>
        <v>0</v>
      </c>
      <c r="CF115" s="52"/>
      <c r="CG115" s="52"/>
      <c r="CH115" s="57"/>
      <c r="CI115" s="57"/>
      <c r="CJ115" s="52">
        <f t="shared" si="78"/>
        <v>0</v>
      </c>
      <c r="CK115" s="52">
        <f t="shared" si="78"/>
        <v>0</v>
      </c>
      <c r="CL115" s="57"/>
      <c r="CM115" s="57"/>
      <c r="CN115" s="57"/>
      <c r="CO115" s="57"/>
      <c r="CP115" s="52">
        <f t="shared" si="79"/>
        <v>0</v>
      </c>
      <c r="CQ115" s="52">
        <f t="shared" si="79"/>
        <v>0</v>
      </c>
      <c r="CR115" s="57"/>
      <c r="CS115" s="57"/>
      <c r="CT115" s="57"/>
      <c r="CU115" s="57"/>
      <c r="CV115" s="52">
        <f t="shared" si="80"/>
        <v>0</v>
      </c>
      <c r="CW115" s="52">
        <f t="shared" si="80"/>
        <v>0</v>
      </c>
      <c r="CX115" s="57"/>
      <c r="CY115" s="52"/>
      <c r="CZ115" s="52"/>
      <c r="DA115" s="52"/>
      <c r="DB115" s="52">
        <f t="shared" si="81"/>
        <v>0</v>
      </c>
      <c r="DC115" s="52">
        <f t="shared" si="81"/>
        <v>0</v>
      </c>
      <c r="DD115" s="52"/>
      <c r="DE115" s="52"/>
      <c r="DF115" s="52"/>
      <c r="DG115" s="52"/>
      <c r="DH115" s="52">
        <f t="shared" si="82"/>
        <v>0</v>
      </c>
      <c r="DI115" s="52">
        <f t="shared" si="82"/>
        <v>0</v>
      </c>
      <c r="DJ115" s="52">
        <f t="shared" si="102"/>
        <v>0</v>
      </c>
      <c r="DK115" s="52">
        <f t="shared" si="103"/>
        <v>0</v>
      </c>
      <c r="DL115" s="52">
        <f t="shared" si="83"/>
        <v>0</v>
      </c>
      <c r="DM115" s="52">
        <f t="shared" si="55"/>
        <v>0</v>
      </c>
      <c r="DN115" s="52">
        <f t="shared" si="84"/>
        <v>0</v>
      </c>
      <c r="DO115" s="52">
        <f t="shared" si="84"/>
        <v>0</v>
      </c>
    </row>
    <row r="116" spans="1:119">
      <c r="A116" s="224">
        <v>124</v>
      </c>
      <c r="B116" s="26" t="s">
        <v>41</v>
      </c>
      <c r="C116" s="53" t="s">
        <v>46</v>
      </c>
      <c r="D116" s="227" t="s">
        <v>1202</v>
      </c>
      <c r="E116" s="197" t="s">
        <v>1164</v>
      </c>
      <c r="F116" s="161">
        <f t="shared" si="56"/>
        <v>0</v>
      </c>
      <c r="G116" s="165">
        <f t="shared" si="57"/>
        <v>4077.5</v>
      </c>
      <c r="H116" s="54"/>
      <c r="I116" s="219">
        <v>0</v>
      </c>
      <c r="J116" s="219">
        <v>0</v>
      </c>
      <c r="K116" s="127">
        <f t="shared" si="58"/>
        <v>4077.5</v>
      </c>
      <c r="L116" s="127">
        <f t="shared" si="59"/>
        <v>4077.5</v>
      </c>
      <c r="M116" s="127">
        <f t="shared" si="60"/>
        <v>4077.5</v>
      </c>
      <c r="N116" s="127">
        <f t="shared" si="61"/>
        <v>0</v>
      </c>
      <c r="O116" s="125">
        <f t="shared" si="62"/>
        <v>4077.5</v>
      </c>
      <c r="P116" s="52"/>
      <c r="Q116" s="52">
        <v>4077.5</v>
      </c>
      <c r="R116" s="52">
        <f t="shared" si="63"/>
        <v>0</v>
      </c>
      <c r="S116" s="52">
        <f t="shared" si="64"/>
        <v>4077.5</v>
      </c>
      <c r="T116" s="52"/>
      <c r="U116" s="52"/>
      <c r="V116" s="52"/>
      <c r="W116" s="52"/>
      <c r="X116" s="52">
        <f t="shared" si="65"/>
        <v>0</v>
      </c>
      <c r="Y116" s="52">
        <f t="shared" si="65"/>
        <v>0</v>
      </c>
      <c r="Z116" s="52"/>
      <c r="AA116" s="52"/>
      <c r="AB116" s="52"/>
      <c r="AC116" s="52"/>
      <c r="AD116" s="52">
        <f t="shared" si="66"/>
        <v>0</v>
      </c>
      <c r="AE116" s="52">
        <f t="shared" si="66"/>
        <v>0</v>
      </c>
      <c r="AF116" s="52">
        <f t="shared" si="67"/>
        <v>0</v>
      </c>
      <c r="AG116" s="52">
        <f t="shared" si="68"/>
        <v>0</v>
      </c>
      <c r="AH116" s="52">
        <f t="shared" si="68"/>
        <v>4077.5</v>
      </c>
      <c r="AI116" s="52">
        <f t="shared" si="69"/>
        <v>4077.5</v>
      </c>
      <c r="AJ116" s="52">
        <f t="shared" si="70"/>
        <v>4077.5</v>
      </c>
      <c r="AK116" s="52">
        <f t="shared" si="70"/>
        <v>4077.5</v>
      </c>
      <c r="AL116" s="52"/>
      <c r="AM116" s="52"/>
      <c r="AN116" s="52"/>
      <c r="AO116" s="52"/>
      <c r="AP116" s="52">
        <f t="shared" si="71"/>
        <v>0</v>
      </c>
      <c r="AQ116" s="52">
        <f t="shared" si="71"/>
        <v>0</v>
      </c>
      <c r="AR116" s="52"/>
      <c r="AS116" s="52"/>
      <c r="AT116" s="52"/>
      <c r="AU116" s="52"/>
      <c r="AV116" s="52">
        <f t="shared" si="72"/>
        <v>0</v>
      </c>
      <c r="AW116" s="52">
        <f t="shared" si="72"/>
        <v>0</v>
      </c>
      <c r="AX116" s="52"/>
      <c r="AY116" s="52"/>
      <c r="AZ116" s="52"/>
      <c r="BA116" s="52"/>
      <c r="BB116" s="52">
        <f t="shared" si="73"/>
        <v>0</v>
      </c>
      <c r="BC116" s="52"/>
      <c r="BD116" s="52">
        <f t="shared" si="85"/>
        <v>0</v>
      </c>
      <c r="BE116" s="52"/>
      <c r="BF116" s="52"/>
      <c r="BG116" s="52"/>
      <c r="BH116" s="52"/>
      <c r="BI116" s="52">
        <f t="shared" si="74"/>
        <v>0</v>
      </c>
      <c r="BJ116" s="52"/>
      <c r="BK116" s="52">
        <f t="shared" si="107"/>
        <v>0</v>
      </c>
      <c r="BL116" s="52"/>
      <c r="BM116" s="52"/>
      <c r="BN116" s="52"/>
      <c r="BO116" s="52"/>
      <c r="BP116" s="52">
        <f t="shared" si="75"/>
        <v>0</v>
      </c>
      <c r="BQ116" s="52"/>
      <c r="BR116" s="52">
        <f t="shared" si="86"/>
        <v>0</v>
      </c>
      <c r="BS116" s="52"/>
      <c r="BT116" s="52"/>
      <c r="BU116" s="52"/>
      <c r="BV116" s="52"/>
      <c r="BW116" s="52">
        <f t="shared" si="76"/>
        <v>0</v>
      </c>
      <c r="BX116" s="52"/>
      <c r="BY116" s="52">
        <f t="shared" si="87"/>
        <v>0</v>
      </c>
      <c r="BZ116" s="52"/>
      <c r="CA116" s="52"/>
      <c r="CB116" s="52"/>
      <c r="CC116" s="52"/>
      <c r="CD116" s="52">
        <f t="shared" si="77"/>
        <v>0</v>
      </c>
      <c r="CE116" s="52">
        <f t="shared" si="77"/>
        <v>0</v>
      </c>
      <c r="CF116" s="52"/>
      <c r="CG116" s="52"/>
      <c r="CH116" s="52"/>
      <c r="CI116" s="52"/>
      <c r="CJ116" s="52">
        <f t="shared" si="78"/>
        <v>0</v>
      </c>
      <c r="CK116" s="52">
        <f t="shared" si="78"/>
        <v>0</v>
      </c>
      <c r="CL116" s="52"/>
      <c r="CM116" s="52"/>
      <c r="CN116" s="52"/>
      <c r="CO116" s="52"/>
      <c r="CP116" s="52">
        <f t="shared" si="79"/>
        <v>0</v>
      </c>
      <c r="CQ116" s="52">
        <f t="shared" si="79"/>
        <v>0</v>
      </c>
      <c r="CR116" s="52"/>
      <c r="CS116" s="52"/>
      <c r="CT116" s="52"/>
      <c r="CU116" s="52"/>
      <c r="CV116" s="52">
        <f t="shared" si="80"/>
        <v>0</v>
      </c>
      <c r="CW116" s="52">
        <f t="shared" si="80"/>
        <v>0</v>
      </c>
      <c r="CX116" s="52"/>
      <c r="CY116" s="52"/>
      <c r="CZ116" s="52"/>
      <c r="DA116" s="52"/>
      <c r="DB116" s="52">
        <f t="shared" si="81"/>
        <v>0</v>
      </c>
      <c r="DC116" s="52">
        <f t="shared" si="81"/>
        <v>0</v>
      </c>
      <c r="DD116" s="52"/>
      <c r="DE116" s="52"/>
      <c r="DF116" s="52"/>
      <c r="DG116" s="52"/>
      <c r="DH116" s="52">
        <f t="shared" si="82"/>
        <v>0</v>
      </c>
      <c r="DI116" s="52">
        <f t="shared" si="82"/>
        <v>0</v>
      </c>
      <c r="DJ116" s="52">
        <f t="shared" si="102"/>
        <v>0</v>
      </c>
      <c r="DK116" s="52">
        <f t="shared" si="103"/>
        <v>0</v>
      </c>
      <c r="DL116" s="52">
        <f t="shared" si="83"/>
        <v>0</v>
      </c>
      <c r="DM116" s="52">
        <f t="shared" si="55"/>
        <v>0</v>
      </c>
      <c r="DN116" s="52">
        <f t="shared" si="84"/>
        <v>0</v>
      </c>
      <c r="DO116" s="52">
        <f t="shared" si="84"/>
        <v>0</v>
      </c>
    </row>
    <row r="117" spans="1:119">
      <c r="A117" s="224">
        <v>125</v>
      </c>
      <c r="B117" s="26" t="s">
        <v>41</v>
      </c>
      <c r="C117" s="53" t="s">
        <v>42</v>
      </c>
      <c r="D117" s="228" t="s">
        <v>338</v>
      </c>
      <c r="E117" s="198" t="s">
        <v>1164</v>
      </c>
      <c r="F117" s="161">
        <f t="shared" si="56"/>
        <v>0</v>
      </c>
      <c r="G117" s="165">
        <f t="shared" si="57"/>
        <v>5146.75</v>
      </c>
      <c r="H117" s="60">
        <v>0</v>
      </c>
      <c r="I117" s="219">
        <v>0</v>
      </c>
      <c r="J117" s="219">
        <v>0</v>
      </c>
      <c r="K117" s="127">
        <f t="shared" si="58"/>
        <v>5146.75</v>
      </c>
      <c r="L117" s="127">
        <f t="shared" si="59"/>
        <v>5146.75</v>
      </c>
      <c r="M117" s="127">
        <f t="shared" si="60"/>
        <v>5146.75</v>
      </c>
      <c r="N117" s="127">
        <f t="shared" si="61"/>
        <v>0</v>
      </c>
      <c r="O117" s="125">
        <f t="shared" si="62"/>
        <v>5146.75</v>
      </c>
      <c r="P117" s="52"/>
      <c r="Q117" s="52">
        <v>5146.75</v>
      </c>
      <c r="R117" s="52">
        <f t="shared" si="63"/>
        <v>0</v>
      </c>
      <c r="S117" s="52">
        <f t="shared" si="64"/>
        <v>5146.75</v>
      </c>
      <c r="T117" s="52"/>
      <c r="U117" s="52"/>
      <c r="V117" s="52"/>
      <c r="W117" s="52"/>
      <c r="X117" s="52">
        <f t="shared" si="65"/>
        <v>0</v>
      </c>
      <c r="Y117" s="52">
        <f t="shared" si="65"/>
        <v>0</v>
      </c>
      <c r="Z117" s="52"/>
      <c r="AA117" s="52"/>
      <c r="AB117" s="52"/>
      <c r="AC117" s="52"/>
      <c r="AD117" s="52">
        <f t="shared" si="66"/>
        <v>0</v>
      </c>
      <c r="AE117" s="52">
        <f t="shared" si="66"/>
        <v>0</v>
      </c>
      <c r="AF117" s="52">
        <f t="shared" si="67"/>
        <v>0</v>
      </c>
      <c r="AG117" s="52">
        <f t="shared" si="68"/>
        <v>0</v>
      </c>
      <c r="AH117" s="52">
        <f t="shared" si="68"/>
        <v>5146.75</v>
      </c>
      <c r="AI117" s="52">
        <f t="shared" si="69"/>
        <v>5146.75</v>
      </c>
      <c r="AJ117" s="52">
        <f t="shared" si="70"/>
        <v>5146.75</v>
      </c>
      <c r="AK117" s="52">
        <f t="shared" si="70"/>
        <v>5146.75</v>
      </c>
      <c r="AL117" s="52"/>
      <c r="AM117" s="52"/>
      <c r="AN117" s="52"/>
      <c r="AO117" s="52"/>
      <c r="AP117" s="52">
        <f t="shared" si="71"/>
        <v>0</v>
      </c>
      <c r="AQ117" s="52">
        <f t="shared" si="71"/>
        <v>0</v>
      </c>
      <c r="AR117" s="52"/>
      <c r="AS117" s="52"/>
      <c r="AT117" s="52"/>
      <c r="AU117" s="52"/>
      <c r="AV117" s="52">
        <f t="shared" si="72"/>
        <v>0</v>
      </c>
      <c r="AW117" s="52">
        <f t="shared" si="72"/>
        <v>0</v>
      </c>
      <c r="AX117" s="52"/>
      <c r="AY117" s="52"/>
      <c r="AZ117" s="52"/>
      <c r="BA117" s="52"/>
      <c r="BB117" s="52">
        <f t="shared" si="73"/>
        <v>0</v>
      </c>
      <c r="BC117" s="52"/>
      <c r="BD117" s="52">
        <f t="shared" si="85"/>
        <v>0</v>
      </c>
      <c r="BE117" s="52"/>
      <c r="BF117" s="52"/>
      <c r="BG117" s="52"/>
      <c r="BH117" s="52"/>
      <c r="BI117" s="52">
        <f t="shared" si="74"/>
        <v>0</v>
      </c>
      <c r="BJ117" s="52"/>
      <c r="BK117" s="52">
        <f t="shared" si="107"/>
        <v>0</v>
      </c>
      <c r="BL117" s="52"/>
      <c r="BM117" s="52"/>
      <c r="BN117" s="52"/>
      <c r="BO117" s="52"/>
      <c r="BP117" s="52">
        <f t="shared" si="75"/>
        <v>0</v>
      </c>
      <c r="BQ117" s="52"/>
      <c r="BR117" s="52">
        <f t="shared" si="86"/>
        <v>0</v>
      </c>
      <c r="BS117" s="52"/>
      <c r="BT117" s="52"/>
      <c r="BU117" s="52"/>
      <c r="BV117" s="52"/>
      <c r="BW117" s="52">
        <f t="shared" si="76"/>
        <v>0</v>
      </c>
      <c r="BX117" s="52"/>
      <c r="BY117" s="52">
        <f t="shared" si="87"/>
        <v>0</v>
      </c>
      <c r="BZ117" s="52"/>
      <c r="CA117" s="52"/>
      <c r="CB117" s="52"/>
      <c r="CC117" s="52"/>
      <c r="CD117" s="52">
        <f t="shared" si="77"/>
        <v>0</v>
      </c>
      <c r="CE117" s="52">
        <f t="shared" si="77"/>
        <v>0</v>
      </c>
      <c r="CF117" s="52"/>
      <c r="CG117" s="52"/>
      <c r="CH117" s="52"/>
      <c r="CI117" s="52"/>
      <c r="CJ117" s="52">
        <f t="shared" si="78"/>
        <v>0</v>
      </c>
      <c r="CK117" s="52">
        <f t="shared" si="78"/>
        <v>0</v>
      </c>
      <c r="CL117" s="52"/>
      <c r="CM117" s="52"/>
      <c r="CN117" s="52"/>
      <c r="CO117" s="52"/>
      <c r="CP117" s="52">
        <f t="shared" si="79"/>
        <v>0</v>
      </c>
      <c r="CQ117" s="52">
        <f t="shared" si="79"/>
        <v>0</v>
      </c>
      <c r="CR117" s="52"/>
      <c r="CS117" s="52"/>
      <c r="CT117" s="52"/>
      <c r="CU117" s="52"/>
      <c r="CV117" s="52">
        <f t="shared" si="80"/>
        <v>0</v>
      </c>
      <c r="CW117" s="52">
        <f t="shared" si="80"/>
        <v>0</v>
      </c>
      <c r="CX117" s="52"/>
      <c r="CY117" s="52"/>
      <c r="CZ117" s="52"/>
      <c r="DA117" s="52"/>
      <c r="DB117" s="52">
        <f t="shared" si="81"/>
        <v>0</v>
      </c>
      <c r="DC117" s="52">
        <f t="shared" si="81"/>
        <v>0</v>
      </c>
      <c r="DD117" s="52"/>
      <c r="DE117" s="52"/>
      <c r="DF117" s="52"/>
      <c r="DG117" s="52"/>
      <c r="DH117" s="52">
        <f t="shared" si="82"/>
        <v>0</v>
      </c>
      <c r="DI117" s="52">
        <f t="shared" si="82"/>
        <v>0</v>
      </c>
      <c r="DJ117" s="52">
        <f t="shared" si="102"/>
        <v>0</v>
      </c>
      <c r="DK117" s="52">
        <f t="shared" si="103"/>
        <v>0</v>
      </c>
      <c r="DL117" s="52">
        <f t="shared" si="83"/>
        <v>0</v>
      </c>
      <c r="DM117" s="52">
        <f t="shared" si="55"/>
        <v>0</v>
      </c>
      <c r="DN117" s="52">
        <f t="shared" si="84"/>
        <v>0</v>
      </c>
      <c r="DO117" s="52">
        <f t="shared" si="84"/>
        <v>0</v>
      </c>
    </row>
    <row r="118" spans="1:119">
      <c r="A118" s="224">
        <v>126</v>
      </c>
      <c r="B118" s="26" t="s">
        <v>176</v>
      </c>
      <c r="C118" s="53" t="s">
        <v>179</v>
      </c>
      <c r="D118" s="227" t="s">
        <v>339</v>
      </c>
      <c r="E118" s="191" t="s">
        <v>1164</v>
      </c>
      <c r="F118" s="161">
        <f t="shared" si="56"/>
        <v>17785.25</v>
      </c>
      <c r="G118" s="165">
        <f t="shared" si="57"/>
        <v>17785.25</v>
      </c>
      <c r="H118" s="54">
        <v>0</v>
      </c>
      <c r="I118" s="220">
        <v>0</v>
      </c>
      <c r="J118" s="220">
        <v>0</v>
      </c>
      <c r="K118" s="127">
        <f t="shared" si="58"/>
        <v>0</v>
      </c>
      <c r="L118" s="127">
        <f t="shared" si="59"/>
        <v>0</v>
      </c>
      <c r="M118" s="127">
        <f t="shared" si="60"/>
        <v>0</v>
      </c>
      <c r="N118" s="127">
        <f t="shared" si="61"/>
        <v>17785.25</v>
      </c>
      <c r="O118" s="125" t="str">
        <f t="shared" si="62"/>
        <v>ნულოვანი შესრულება</v>
      </c>
      <c r="P118" s="57"/>
      <c r="Q118" s="57"/>
      <c r="R118" s="52">
        <f t="shared" si="63"/>
        <v>0</v>
      </c>
      <c r="S118" s="52">
        <f t="shared" si="64"/>
        <v>0</v>
      </c>
      <c r="T118" s="57"/>
      <c r="U118" s="57"/>
      <c r="V118" s="57"/>
      <c r="W118" s="57"/>
      <c r="X118" s="52">
        <f t="shared" si="65"/>
        <v>0</v>
      </c>
      <c r="Y118" s="52">
        <f t="shared" si="65"/>
        <v>0</v>
      </c>
      <c r="Z118" s="57"/>
      <c r="AA118" s="57"/>
      <c r="AB118" s="57"/>
      <c r="AC118" s="57"/>
      <c r="AD118" s="52">
        <f t="shared" si="66"/>
        <v>0</v>
      </c>
      <c r="AE118" s="52">
        <f t="shared" si="66"/>
        <v>0</v>
      </c>
      <c r="AF118" s="52">
        <f t="shared" si="67"/>
        <v>0</v>
      </c>
      <c r="AG118" s="52">
        <f t="shared" si="68"/>
        <v>0</v>
      </c>
      <c r="AH118" s="52">
        <f t="shared" si="68"/>
        <v>0</v>
      </c>
      <c r="AI118" s="52">
        <f t="shared" si="69"/>
        <v>0</v>
      </c>
      <c r="AJ118" s="52">
        <f t="shared" si="70"/>
        <v>0</v>
      </c>
      <c r="AK118" s="52">
        <f t="shared" si="70"/>
        <v>0</v>
      </c>
      <c r="AL118" s="57"/>
      <c r="AM118" s="57"/>
      <c r="AN118" s="269">
        <v>14985.25</v>
      </c>
      <c r="AO118" s="57"/>
      <c r="AP118" s="52">
        <f t="shared" si="71"/>
        <v>14985.25</v>
      </c>
      <c r="AQ118" s="52">
        <f t="shared" si="71"/>
        <v>0</v>
      </c>
      <c r="AR118" s="57"/>
      <c r="AS118" s="57"/>
      <c r="AT118" s="57">
        <v>2800</v>
      </c>
      <c r="AU118" s="57"/>
      <c r="AV118" s="52">
        <f t="shared" si="72"/>
        <v>2800</v>
      </c>
      <c r="AW118" s="52">
        <f t="shared" si="72"/>
        <v>0</v>
      </c>
      <c r="AX118" s="57"/>
      <c r="AY118" s="57"/>
      <c r="AZ118" s="57"/>
      <c r="BA118" s="57"/>
      <c r="BB118" s="52">
        <f t="shared" si="73"/>
        <v>0</v>
      </c>
      <c r="BC118" s="52"/>
      <c r="BD118" s="52">
        <f t="shared" si="85"/>
        <v>0</v>
      </c>
      <c r="BE118" s="57"/>
      <c r="BF118" s="57"/>
      <c r="BG118" s="57"/>
      <c r="BH118" s="57"/>
      <c r="BI118" s="52">
        <f t="shared" si="74"/>
        <v>0</v>
      </c>
      <c r="BJ118" s="52"/>
      <c r="BK118" s="52">
        <f t="shared" si="107"/>
        <v>0</v>
      </c>
      <c r="BL118" s="57"/>
      <c r="BM118" s="57"/>
      <c r="BN118" s="57"/>
      <c r="BO118" s="57"/>
      <c r="BP118" s="52">
        <f t="shared" si="75"/>
        <v>0</v>
      </c>
      <c r="BQ118" s="52"/>
      <c r="BR118" s="52">
        <f t="shared" si="86"/>
        <v>0</v>
      </c>
      <c r="BS118" s="57"/>
      <c r="BT118" s="57"/>
      <c r="BU118" s="57"/>
      <c r="BV118" s="57"/>
      <c r="BW118" s="52">
        <f t="shared" si="76"/>
        <v>0</v>
      </c>
      <c r="BX118" s="52"/>
      <c r="BY118" s="52">
        <f t="shared" si="87"/>
        <v>0</v>
      </c>
      <c r="BZ118" s="57"/>
      <c r="CA118" s="57"/>
      <c r="CB118" s="57"/>
      <c r="CC118" s="57"/>
      <c r="CD118" s="52">
        <f t="shared" si="77"/>
        <v>0</v>
      </c>
      <c r="CE118" s="52">
        <f t="shared" si="77"/>
        <v>0</v>
      </c>
      <c r="CF118" s="57"/>
      <c r="CG118" s="57"/>
      <c r="CH118" s="57"/>
      <c r="CI118" s="57"/>
      <c r="CJ118" s="52">
        <f t="shared" si="78"/>
        <v>0</v>
      </c>
      <c r="CK118" s="52">
        <f t="shared" si="78"/>
        <v>0</v>
      </c>
      <c r="CL118" s="57"/>
      <c r="CM118" s="57"/>
      <c r="CN118" s="57"/>
      <c r="CO118" s="57"/>
      <c r="CP118" s="52">
        <f t="shared" si="79"/>
        <v>0</v>
      </c>
      <c r="CQ118" s="52">
        <f t="shared" si="79"/>
        <v>0</v>
      </c>
      <c r="CR118" s="57"/>
      <c r="CS118" s="57"/>
      <c r="CT118" s="57"/>
      <c r="CU118" s="57"/>
      <c r="CV118" s="52">
        <f t="shared" si="80"/>
        <v>0</v>
      </c>
      <c r="CW118" s="52">
        <f t="shared" si="80"/>
        <v>0</v>
      </c>
      <c r="CX118" s="57"/>
      <c r="CY118" s="57"/>
      <c r="CZ118" s="57"/>
      <c r="DA118" s="57"/>
      <c r="DB118" s="52">
        <f t="shared" si="81"/>
        <v>0</v>
      </c>
      <c r="DC118" s="52">
        <f t="shared" si="81"/>
        <v>0</v>
      </c>
      <c r="DD118" s="57"/>
      <c r="DE118" s="57"/>
      <c r="DF118" s="57"/>
      <c r="DG118" s="57"/>
      <c r="DH118" s="52">
        <f t="shared" si="82"/>
        <v>0</v>
      </c>
      <c r="DI118" s="52">
        <f t="shared" si="82"/>
        <v>0</v>
      </c>
      <c r="DJ118" s="52">
        <f t="shared" si="102"/>
        <v>0</v>
      </c>
      <c r="DK118" s="52">
        <f t="shared" si="103"/>
        <v>0</v>
      </c>
      <c r="DL118" s="52">
        <f t="shared" si="83"/>
        <v>17785.25</v>
      </c>
      <c r="DM118" s="52">
        <f t="shared" si="55"/>
        <v>0</v>
      </c>
      <c r="DN118" s="52">
        <f t="shared" si="84"/>
        <v>17785.25</v>
      </c>
      <c r="DO118" s="52">
        <f t="shared" si="84"/>
        <v>0</v>
      </c>
    </row>
    <row r="119" spans="1:119">
      <c r="A119" s="224">
        <v>127</v>
      </c>
      <c r="B119" s="26" t="s">
        <v>41</v>
      </c>
      <c r="C119" s="53" t="s">
        <v>234</v>
      </c>
      <c r="D119" s="227" t="s">
        <v>235</v>
      </c>
      <c r="E119" s="191" t="s">
        <v>1164</v>
      </c>
      <c r="F119" s="161">
        <f t="shared" si="56"/>
        <v>0</v>
      </c>
      <c r="G119" s="165">
        <f t="shared" si="57"/>
        <v>4425.75</v>
      </c>
      <c r="H119" s="54">
        <v>0</v>
      </c>
      <c r="I119" s="219">
        <v>0</v>
      </c>
      <c r="J119" s="219">
        <v>0</v>
      </c>
      <c r="K119" s="127">
        <f t="shared" si="58"/>
        <v>4425.75</v>
      </c>
      <c r="L119" s="127">
        <f t="shared" si="59"/>
        <v>4425.75</v>
      </c>
      <c r="M119" s="127">
        <f t="shared" si="60"/>
        <v>4425.75</v>
      </c>
      <c r="N119" s="127">
        <f t="shared" si="61"/>
        <v>0</v>
      </c>
      <c r="O119" s="125">
        <f t="shared" si="62"/>
        <v>4425.75</v>
      </c>
      <c r="P119" s="52"/>
      <c r="Q119" s="52">
        <v>4425.75</v>
      </c>
      <c r="R119" s="52">
        <f t="shared" si="63"/>
        <v>0</v>
      </c>
      <c r="S119" s="52">
        <f t="shared" si="64"/>
        <v>4425.75</v>
      </c>
      <c r="T119" s="52"/>
      <c r="U119" s="52"/>
      <c r="V119" s="52"/>
      <c r="W119" s="52"/>
      <c r="X119" s="52">
        <f t="shared" si="65"/>
        <v>0</v>
      </c>
      <c r="Y119" s="52">
        <f t="shared" si="65"/>
        <v>0</v>
      </c>
      <c r="Z119" s="52"/>
      <c r="AA119" s="52"/>
      <c r="AB119" s="52"/>
      <c r="AC119" s="52"/>
      <c r="AD119" s="52">
        <f t="shared" si="66"/>
        <v>0</v>
      </c>
      <c r="AE119" s="52">
        <f t="shared" si="66"/>
        <v>0</v>
      </c>
      <c r="AF119" s="52">
        <f t="shared" si="67"/>
        <v>0</v>
      </c>
      <c r="AG119" s="52">
        <f t="shared" si="68"/>
        <v>0</v>
      </c>
      <c r="AH119" s="52">
        <f t="shared" si="68"/>
        <v>4425.75</v>
      </c>
      <c r="AI119" s="52">
        <f t="shared" si="69"/>
        <v>4425.75</v>
      </c>
      <c r="AJ119" s="52">
        <f t="shared" si="70"/>
        <v>4425.75</v>
      </c>
      <c r="AK119" s="52">
        <f t="shared" si="70"/>
        <v>4425.75</v>
      </c>
      <c r="AL119" s="52"/>
      <c r="AM119" s="52"/>
      <c r="AN119" s="52"/>
      <c r="AO119" s="52"/>
      <c r="AP119" s="52">
        <f t="shared" si="71"/>
        <v>0</v>
      </c>
      <c r="AQ119" s="52">
        <f t="shared" si="71"/>
        <v>0</v>
      </c>
      <c r="AR119" s="52"/>
      <c r="AS119" s="52"/>
      <c r="AT119" s="52"/>
      <c r="AU119" s="52"/>
      <c r="AV119" s="52">
        <f t="shared" si="72"/>
        <v>0</v>
      </c>
      <c r="AW119" s="52">
        <f t="shared" si="72"/>
        <v>0</v>
      </c>
      <c r="AX119" s="52"/>
      <c r="AY119" s="52"/>
      <c r="AZ119" s="52"/>
      <c r="BA119" s="52"/>
      <c r="BB119" s="52">
        <f t="shared" si="73"/>
        <v>0</v>
      </c>
      <c r="BC119" s="52"/>
      <c r="BD119" s="52">
        <f t="shared" si="85"/>
        <v>0</v>
      </c>
      <c r="BE119" s="52"/>
      <c r="BF119" s="52"/>
      <c r="BG119" s="52"/>
      <c r="BH119" s="52"/>
      <c r="BI119" s="52">
        <f t="shared" si="74"/>
        <v>0</v>
      </c>
      <c r="BJ119" s="52"/>
      <c r="BK119" s="52">
        <f t="shared" si="107"/>
        <v>0</v>
      </c>
      <c r="BL119" s="52"/>
      <c r="BM119" s="52"/>
      <c r="BN119" s="52"/>
      <c r="BO119" s="52"/>
      <c r="BP119" s="52">
        <f t="shared" si="75"/>
        <v>0</v>
      </c>
      <c r="BQ119" s="52"/>
      <c r="BR119" s="52">
        <f t="shared" si="86"/>
        <v>0</v>
      </c>
      <c r="BS119" s="52"/>
      <c r="BT119" s="52"/>
      <c r="BU119" s="52"/>
      <c r="BV119" s="52"/>
      <c r="BW119" s="52">
        <f t="shared" si="76"/>
        <v>0</v>
      </c>
      <c r="BX119" s="52"/>
      <c r="BY119" s="52">
        <f t="shared" si="87"/>
        <v>0</v>
      </c>
      <c r="BZ119" s="52"/>
      <c r="CA119" s="52"/>
      <c r="CB119" s="52"/>
      <c r="CC119" s="52"/>
      <c r="CD119" s="52">
        <f t="shared" si="77"/>
        <v>0</v>
      </c>
      <c r="CE119" s="52">
        <f t="shared" si="77"/>
        <v>0</v>
      </c>
      <c r="CF119" s="52"/>
      <c r="CG119" s="52"/>
      <c r="CH119" s="52"/>
      <c r="CI119" s="52"/>
      <c r="CJ119" s="52">
        <f t="shared" si="78"/>
        <v>0</v>
      </c>
      <c r="CK119" s="52">
        <f t="shared" si="78"/>
        <v>0</v>
      </c>
      <c r="CL119" s="52"/>
      <c r="CM119" s="52"/>
      <c r="CN119" s="52"/>
      <c r="CO119" s="52"/>
      <c r="CP119" s="52">
        <f t="shared" si="79"/>
        <v>0</v>
      </c>
      <c r="CQ119" s="52">
        <f t="shared" si="79"/>
        <v>0</v>
      </c>
      <c r="CR119" s="52"/>
      <c r="CS119" s="52"/>
      <c r="CT119" s="52"/>
      <c r="CU119" s="52"/>
      <c r="CV119" s="52">
        <f t="shared" si="80"/>
        <v>0</v>
      </c>
      <c r="CW119" s="52">
        <f t="shared" si="80"/>
        <v>0</v>
      </c>
      <c r="CX119" s="52"/>
      <c r="CY119" s="52"/>
      <c r="CZ119" s="52"/>
      <c r="DA119" s="52"/>
      <c r="DB119" s="52">
        <f t="shared" si="81"/>
        <v>0</v>
      </c>
      <c r="DC119" s="52">
        <f t="shared" si="81"/>
        <v>0</v>
      </c>
      <c r="DD119" s="52"/>
      <c r="DE119" s="52"/>
      <c r="DF119" s="52"/>
      <c r="DG119" s="52"/>
      <c r="DH119" s="52">
        <f t="shared" si="82"/>
        <v>0</v>
      </c>
      <c r="DI119" s="52">
        <f t="shared" si="82"/>
        <v>0</v>
      </c>
      <c r="DJ119" s="52">
        <f t="shared" si="102"/>
        <v>0</v>
      </c>
      <c r="DK119" s="52">
        <f t="shared" si="103"/>
        <v>0</v>
      </c>
      <c r="DL119" s="52">
        <f t="shared" si="83"/>
        <v>0</v>
      </c>
      <c r="DM119" s="52">
        <f t="shared" si="55"/>
        <v>0</v>
      </c>
      <c r="DN119" s="52">
        <f t="shared" si="84"/>
        <v>0</v>
      </c>
      <c r="DO119" s="52">
        <f t="shared" si="84"/>
        <v>0</v>
      </c>
    </row>
    <row r="120" spans="1:119">
      <c r="A120" s="224">
        <v>128</v>
      </c>
      <c r="B120" s="26" t="s">
        <v>195</v>
      </c>
      <c r="C120" s="53"/>
      <c r="D120" s="227" t="s">
        <v>674</v>
      </c>
      <c r="E120" s="191" t="s">
        <v>1191</v>
      </c>
      <c r="F120" s="161">
        <f t="shared" si="56"/>
        <v>0</v>
      </c>
      <c r="G120" s="165">
        <f t="shared" si="57"/>
        <v>99594</v>
      </c>
      <c r="H120" s="54"/>
      <c r="I120" s="219">
        <v>0</v>
      </c>
      <c r="J120" s="219">
        <v>0</v>
      </c>
      <c r="K120" s="127">
        <f t="shared" si="58"/>
        <v>99594</v>
      </c>
      <c r="L120" s="127">
        <f t="shared" si="59"/>
        <v>99594</v>
      </c>
      <c r="M120" s="127">
        <f t="shared" si="60"/>
        <v>99594</v>
      </c>
      <c r="N120" s="127">
        <f t="shared" si="61"/>
        <v>0</v>
      </c>
      <c r="O120" s="125">
        <f t="shared" si="62"/>
        <v>99594</v>
      </c>
      <c r="P120" s="52"/>
      <c r="Q120" s="52">
        <v>99594</v>
      </c>
      <c r="R120" s="52">
        <f t="shared" si="63"/>
        <v>0</v>
      </c>
      <c r="S120" s="52">
        <f t="shared" si="64"/>
        <v>99594</v>
      </c>
      <c r="T120" s="52"/>
      <c r="U120" s="52"/>
      <c r="V120" s="52"/>
      <c r="W120" s="52"/>
      <c r="X120" s="52">
        <f t="shared" ref="X120" si="108">T120+V120</f>
        <v>0</v>
      </c>
      <c r="Y120" s="52">
        <f t="shared" ref="Y120" si="109">U120+W120</f>
        <v>0</v>
      </c>
      <c r="Z120" s="52"/>
      <c r="AA120" s="52"/>
      <c r="AB120" s="52"/>
      <c r="AC120" s="52"/>
      <c r="AD120" s="52">
        <f t="shared" ref="AD120" si="110">Z120+AB120</f>
        <v>0</v>
      </c>
      <c r="AE120" s="52">
        <f t="shared" ref="AE120" si="111">AA120+AC120</f>
        <v>0</v>
      </c>
      <c r="AF120" s="52">
        <f t="shared" ref="AF120" si="112">P120+T120+Z120</f>
        <v>0</v>
      </c>
      <c r="AG120" s="52">
        <f t="shared" ref="AG120" si="113">P120+U120+AA120</f>
        <v>0</v>
      </c>
      <c r="AH120" s="52">
        <f t="shared" ref="AH120" si="114">Q120+V120+AB120</f>
        <v>99594</v>
      </c>
      <c r="AI120" s="52">
        <f t="shared" ref="AI120" si="115">Q120+W120+AC120</f>
        <v>99594</v>
      </c>
      <c r="AJ120" s="52">
        <f t="shared" ref="AJ120" si="116">AF120+AH120</f>
        <v>99594</v>
      </c>
      <c r="AK120" s="52">
        <f t="shared" ref="AK120" si="117">AG120+AI120</f>
        <v>99594</v>
      </c>
      <c r="AL120" s="52"/>
      <c r="AM120" s="52"/>
      <c r="AN120" s="52"/>
      <c r="AO120" s="52"/>
      <c r="AP120" s="52">
        <f t="shared" ref="AP120" si="118">AL120+AN120</f>
        <v>0</v>
      </c>
      <c r="AQ120" s="52">
        <f t="shared" ref="AQ120" si="119">AM120+AO120</f>
        <v>0</v>
      </c>
      <c r="AR120" s="52"/>
      <c r="AS120" s="52"/>
      <c r="AT120" s="52"/>
      <c r="AU120" s="52"/>
      <c r="AV120" s="52">
        <f t="shared" si="72"/>
        <v>0</v>
      </c>
      <c r="AW120" s="52">
        <f t="shared" si="72"/>
        <v>0</v>
      </c>
      <c r="AX120" s="57"/>
      <c r="AY120" s="57"/>
      <c r="AZ120" s="57"/>
      <c r="BA120" s="57"/>
      <c r="BB120" s="52">
        <f t="shared" si="73"/>
        <v>0</v>
      </c>
      <c r="BC120" s="52"/>
      <c r="BD120" s="52">
        <f t="shared" si="85"/>
        <v>0</v>
      </c>
      <c r="BE120" s="57"/>
      <c r="BF120" s="57"/>
      <c r="BG120" s="57"/>
      <c r="BH120" s="57"/>
      <c r="BI120" s="52">
        <f t="shared" si="74"/>
        <v>0</v>
      </c>
      <c r="BJ120" s="52"/>
      <c r="BK120" s="52">
        <f t="shared" si="107"/>
        <v>0</v>
      </c>
      <c r="BL120" s="57"/>
      <c r="BM120" s="57"/>
      <c r="BN120" s="57"/>
      <c r="BO120" s="57"/>
      <c r="BP120" s="52">
        <f t="shared" si="75"/>
        <v>0</v>
      </c>
      <c r="BQ120" s="52"/>
      <c r="BR120" s="52">
        <f t="shared" si="86"/>
        <v>0</v>
      </c>
      <c r="BS120" s="57"/>
      <c r="BT120" s="57"/>
      <c r="BU120" s="57"/>
      <c r="BV120" s="57"/>
      <c r="BW120" s="52">
        <f t="shared" si="76"/>
        <v>0</v>
      </c>
      <c r="BX120" s="52"/>
      <c r="BY120" s="52">
        <f t="shared" si="87"/>
        <v>0</v>
      </c>
      <c r="BZ120" s="57"/>
      <c r="CA120" s="57"/>
      <c r="CB120" s="57"/>
      <c r="CC120" s="57"/>
      <c r="CD120" s="52">
        <f t="shared" si="77"/>
        <v>0</v>
      </c>
      <c r="CE120" s="52">
        <f t="shared" si="77"/>
        <v>0</v>
      </c>
      <c r="CF120" s="57"/>
      <c r="CG120" s="57"/>
      <c r="CH120" s="57"/>
      <c r="CI120" s="57"/>
      <c r="CJ120" s="52">
        <f t="shared" si="78"/>
        <v>0</v>
      </c>
      <c r="CK120" s="52">
        <f t="shared" si="78"/>
        <v>0</v>
      </c>
      <c r="CL120" s="57"/>
      <c r="CM120" s="57"/>
      <c r="CN120" s="57"/>
      <c r="CO120" s="57"/>
      <c r="CP120" s="52">
        <f t="shared" si="79"/>
        <v>0</v>
      </c>
      <c r="CQ120" s="52">
        <f t="shared" si="79"/>
        <v>0</v>
      </c>
      <c r="CR120" s="57"/>
      <c r="CS120" s="57"/>
      <c r="CT120" s="57"/>
      <c r="CU120" s="57"/>
      <c r="CV120" s="52">
        <f t="shared" si="80"/>
        <v>0</v>
      </c>
      <c r="CW120" s="52">
        <f t="shared" si="80"/>
        <v>0</v>
      </c>
      <c r="CX120" s="57"/>
      <c r="CY120" s="57"/>
      <c r="CZ120" s="57"/>
      <c r="DA120" s="57"/>
      <c r="DB120" s="52">
        <f t="shared" si="81"/>
        <v>0</v>
      </c>
      <c r="DC120" s="52">
        <f t="shared" si="81"/>
        <v>0</v>
      </c>
      <c r="DD120" s="57"/>
      <c r="DE120" s="57"/>
      <c r="DF120" s="57"/>
      <c r="DG120" s="57"/>
      <c r="DH120" s="52">
        <f t="shared" si="82"/>
        <v>0</v>
      </c>
      <c r="DI120" s="52">
        <f t="shared" si="82"/>
        <v>0</v>
      </c>
      <c r="DJ120" s="52">
        <f t="shared" ref="DJ120" si="120">AL120+AR120+AX120+BE120+BL120+BS120+BZ120+CF120+CL120+CR120+CX120+DD120</f>
        <v>0</v>
      </c>
      <c r="DK120" s="52">
        <f t="shared" ref="DK120" si="121">AM120+AS120+AY120+BF120+BM120+BT120+CA120+CG120+CM120+CS120+CY120+DE120</f>
        <v>0</v>
      </c>
      <c r="DL120" s="52">
        <f t="shared" si="83"/>
        <v>0</v>
      </c>
      <c r="DM120" s="52">
        <f t="shared" ref="DM120" si="122">AO120+AU120+BA120+BH120+BO120+BV120+CC120+CI120+CO120+CU120+DA120+DG120</f>
        <v>0</v>
      </c>
      <c r="DN120" s="52">
        <f t="shared" ref="DN120" si="123">DJ120+DL120</f>
        <v>0</v>
      </c>
      <c r="DO120" s="52">
        <f t="shared" ref="DO120" si="124">DK120+DM120</f>
        <v>0</v>
      </c>
    </row>
    <row r="121" spans="1:119">
      <c r="A121" s="224">
        <v>129</v>
      </c>
      <c r="B121" s="26" t="s">
        <v>195</v>
      </c>
      <c r="C121" s="53" t="s">
        <v>196</v>
      </c>
      <c r="D121" s="227" t="s">
        <v>197</v>
      </c>
      <c r="E121" s="191" t="s">
        <v>1164</v>
      </c>
      <c r="F121" s="161">
        <f t="shared" si="56"/>
        <v>0</v>
      </c>
      <c r="G121" s="165">
        <f t="shared" si="57"/>
        <v>0</v>
      </c>
      <c r="H121" s="54">
        <v>0</v>
      </c>
      <c r="I121" s="219">
        <v>0</v>
      </c>
      <c r="J121" s="219">
        <v>0</v>
      </c>
      <c r="K121" s="127">
        <f t="shared" si="58"/>
        <v>0</v>
      </c>
      <c r="L121" s="127">
        <f t="shared" si="59"/>
        <v>0</v>
      </c>
      <c r="M121" s="127">
        <f t="shared" si="60"/>
        <v>0</v>
      </c>
      <c r="N121" s="127">
        <f t="shared" si="61"/>
        <v>0</v>
      </c>
      <c r="O121" s="125" t="str">
        <f t="shared" si="62"/>
        <v>ნულოვანი შესრულება</v>
      </c>
      <c r="P121" s="52"/>
      <c r="Q121" s="52"/>
      <c r="R121" s="52">
        <f t="shared" si="63"/>
        <v>0</v>
      </c>
      <c r="S121" s="52">
        <f t="shared" si="64"/>
        <v>0</v>
      </c>
      <c r="T121" s="52"/>
      <c r="U121" s="52"/>
      <c r="V121" s="52"/>
      <c r="W121" s="52"/>
      <c r="X121" s="52">
        <f t="shared" si="65"/>
        <v>0</v>
      </c>
      <c r="Y121" s="52">
        <f t="shared" si="65"/>
        <v>0</v>
      </c>
      <c r="Z121" s="52"/>
      <c r="AA121" s="52"/>
      <c r="AB121" s="52"/>
      <c r="AC121" s="52"/>
      <c r="AD121" s="52">
        <f t="shared" si="66"/>
        <v>0</v>
      </c>
      <c r="AE121" s="52">
        <f t="shared" si="66"/>
        <v>0</v>
      </c>
      <c r="AF121" s="52">
        <f t="shared" si="67"/>
        <v>0</v>
      </c>
      <c r="AG121" s="52">
        <f t="shared" si="68"/>
        <v>0</v>
      </c>
      <c r="AH121" s="52">
        <f t="shared" si="68"/>
        <v>0</v>
      </c>
      <c r="AI121" s="52">
        <f t="shared" si="69"/>
        <v>0</v>
      </c>
      <c r="AJ121" s="52">
        <f t="shared" si="70"/>
        <v>0</v>
      </c>
      <c r="AK121" s="52">
        <f t="shared" si="70"/>
        <v>0</v>
      </c>
      <c r="AL121" s="52"/>
      <c r="AM121" s="52"/>
      <c r="AN121" s="52"/>
      <c r="AO121" s="52"/>
      <c r="AP121" s="52">
        <f t="shared" si="71"/>
        <v>0</v>
      </c>
      <c r="AQ121" s="52">
        <f t="shared" si="71"/>
        <v>0</v>
      </c>
      <c r="AR121" s="52"/>
      <c r="AS121" s="52"/>
      <c r="AT121" s="52"/>
      <c r="AU121" s="52"/>
      <c r="AV121" s="52">
        <f t="shared" si="72"/>
        <v>0</v>
      </c>
      <c r="AW121" s="52">
        <f t="shared" si="72"/>
        <v>0</v>
      </c>
      <c r="AX121" s="57"/>
      <c r="AY121" s="57"/>
      <c r="AZ121" s="57">
        <v>2600</v>
      </c>
      <c r="BA121" s="57"/>
      <c r="BB121" s="52">
        <f t="shared" si="73"/>
        <v>2600</v>
      </c>
      <c r="BC121" s="52"/>
      <c r="BD121" s="52">
        <f t="shared" si="85"/>
        <v>0</v>
      </c>
      <c r="BE121" s="57"/>
      <c r="BF121" s="57"/>
      <c r="BG121" s="57"/>
      <c r="BH121" s="57"/>
      <c r="BI121" s="52">
        <f t="shared" si="74"/>
        <v>0</v>
      </c>
      <c r="BJ121" s="52"/>
      <c r="BK121" s="52">
        <f t="shared" si="107"/>
        <v>0</v>
      </c>
      <c r="BL121" s="57"/>
      <c r="BM121" s="57"/>
      <c r="BN121" s="57"/>
      <c r="BO121" s="57"/>
      <c r="BP121" s="52">
        <f t="shared" si="75"/>
        <v>0</v>
      </c>
      <c r="BQ121" s="52"/>
      <c r="BR121" s="52">
        <f t="shared" si="86"/>
        <v>0</v>
      </c>
      <c r="BS121" s="57"/>
      <c r="BT121" s="57"/>
      <c r="BU121" s="57"/>
      <c r="BV121" s="57"/>
      <c r="BW121" s="52">
        <f t="shared" si="76"/>
        <v>0</v>
      </c>
      <c r="BX121" s="52"/>
      <c r="BY121" s="52">
        <f t="shared" si="87"/>
        <v>0</v>
      </c>
      <c r="BZ121" s="57"/>
      <c r="CA121" s="57"/>
      <c r="CB121" s="57"/>
      <c r="CC121" s="57"/>
      <c r="CD121" s="52">
        <f t="shared" si="77"/>
        <v>0</v>
      </c>
      <c r="CE121" s="52">
        <f t="shared" si="77"/>
        <v>0</v>
      </c>
      <c r="CF121" s="57"/>
      <c r="CG121" s="57"/>
      <c r="CH121" s="57"/>
      <c r="CI121" s="57"/>
      <c r="CJ121" s="52">
        <f t="shared" si="78"/>
        <v>0</v>
      </c>
      <c r="CK121" s="52">
        <f t="shared" si="78"/>
        <v>0</v>
      </c>
      <c r="CL121" s="57"/>
      <c r="CM121" s="57"/>
      <c r="CN121" s="57"/>
      <c r="CO121" s="57"/>
      <c r="CP121" s="52">
        <f t="shared" si="79"/>
        <v>0</v>
      </c>
      <c r="CQ121" s="52">
        <f t="shared" si="79"/>
        <v>0</v>
      </c>
      <c r="CR121" s="57"/>
      <c r="CS121" s="57"/>
      <c r="CT121" s="57"/>
      <c r="CU121" s="57"/>
      <c r="CV121" s="52">
        <f t="shared" si="80"/>
        <v>0</v>
      </c>
      <c r="CW121" s="52">
        <f t="shared" si="80"/>
        <v>0</v>
      </c>
      <c r="CX121" s="57"/>
      <c r="CY121" s="57"/>
      <c r="CZ121" s="57"/>
      <c r="DA121" s="57"/>
      <c r="DB121" s="52">
        <f t="shared" si="81"/>
        <v>0</v>
      </c>
      <c r="DC121" s="52">
        <f t="shared" si="81"/>
        <v>0</v>
      </c>
      <c r="DD121" s="57"/>
      <c r="DE121" s="57"/>
      <c r="DF121" s="57"/>
      <c r="DG121" s="57"/>
      <c r="DH121" s="52">
        <f t="shared" si="82"/>
        <v>0</v>
      </c>
      <c r="DI121" s="52">
        <f t="shared" si="82"/>
        <v>0</v>
      </c>
      <c r="DJ121" s="52">
        <f t="shared" ref="DJ121:DJ140" si="125">AL121+AR121+AX121+BE121+BL121+BS121+BZ121+CF121+CL121+CR121+CX121+DD121</f>
        <v>0</v>
      </c>
      <c r="DK121" s="52">
        <f t="shared" ref="DK121:DK140" si="126">AM121+AS121+AY121+BF121+BM121+BT121+CA121+CG121+CM121+CS121+CY121+DE121</f>
        <v>0</v>
      </c>
      <c r="DL121" s="52">
        <f t="shared" si="83"/>
        <v>0</v>
      </c>
      <c r="DM121" s="52">
        <f t="shared" ref="DM121:DM140" si="127">AO121+AU121+BA121+BH121+BO121+BV121+CC121+CI121+CO121+CU121+DA121+DG121</f>
        <v>0</v>
      </c>
      <c r="DN121" s="52">
        <f t="shared" si="84"/>
        <v>0</v>
      </c>
      <c r="DO121" s="52">
        <f t="shared" si="84"/>
        <v>0</v>
      </c>
    </row>
    <row r="122" spans="1:119">
      <c r="A122" s="224">
        <v>130</v>
      </c>
      <c r="B122" s="26" t="s">
        <v>36</v>
      </c>
      <c r="C122" s="53" t="s">
        <v>37</v>
      </c>
      <c r="D122" s="227" t="s">
        <v>340</v>
      </c>
      <c r="E122" s="196" t="s">
        <v>1164</v>
      </c>
      <c r="F122" s="161">
        <f t="shared" ref="F122:F153" si="128">SUM(DN122)</f>
        <v>2100</v>
      </c>
      <c r="G122" s="165">
        <f t="shared" ref="G122:G153" si="129">I122+AK122+DN122</f>
        <v>2100</v>
      </c>
      <c r="H122" s="56">
        <v>0</v>
      </c>
      <c r="I122" s="220">
        <v>0</v>
      </c>
      <c r="J122" s="220">
        <v>0</v>
      </c>
      <c r="K122" s="127">
        <f t="shared" ref="K122:K153" si="130">AK122</f>
        <v>0</v>
      </c>
      <c r="L122" s="127">
        <f t="shared" ref="L122:L153" si="131">IF(AI122&gt;0,I122+AK122-J122,0)</f>
        <v>0</v>
      </c>
      <c r="M122" s="127">
        <f t="shared" ref="M122:M153" si="132">I122+K122</f>
        <v>0</v>
      </c>
      <c r="N122" s="127">
        <f t="shared" si="61"/>
        <v>2100</v>
      </c>
      <c r="O122" s="125" t="str">
        <f t="shared" ref="O122:O153" si="133">IF(AND(AI122&gt;0,DM122&gt;0),"შეცდომაა! ერთზე მეტი ბოლო ჩაბარება!",IF(OR(AI122&gt;0,DM122&gt;0,),IF(AI122&gt;0,I122+AK122,I122+AK122+DO122),IF(AND(I122=0,K122=0,DO122=0),"ნულოვანი შესრულება","მიმდინარეობს")))</f>
        <v>ნულოვანი შესრულება</v>
      </c>
      <c r="P122" s="57"/>
      <c r="Q122" s="57"/>
      <c r="R122" s="52">
        <f t="shared" ref="R122:R153" si="134">I122+P122</f>
        <v>0</v>
      </c>
      <c r="S122" s="52">
        <f t="shared" ref="S122:S153" si="135">Q122</f>
        <v>0</v>
      </c>
      <c r="T122" s="57"/>
      <c r="U122" s="57"/>
      <c r="V122" s="57"/>
      <c r="W122" s="57"/>
      <c r="X122" s="52">
        <f t="shared" si="65"/>
        <v>0</v>
      </c>
      <c r="Y122" s="52">
        <f t="shared" si="65"/>
        <v>0</v>
      </c>
      <c r="Z122" s="57"/>
      <c r="AA122" s="57"/>
      <c r="AB122" s="57"/>
      <c r="AC122" s="57"/>
      <c r="AD122" s="52">
        <f t="shared" si="66"/>
        <v>0</v>
      </c>
      <c r="AE122" s="52">
        <f t="shared" si="66"/>
        <v>0</v>
      </c>
      <c r="AF122" s="52">
        <f t="shared" si="67"/>
        <v>0</v>
      </c>
      <c r="AG122" s="52">
        <f t="shared" si="68"/>
        <v>0</v>
      </c>
      <c r="AH122" s="52">
        <f t="shared" si="68"/>
        <v>0</v>
      </c>
      <c r="AI122" s="52">
        <f t="shared" si="69"/>
        <v>0</v>
      </c>
      <c r="AJ122" s="52">
        <f t="shared" si="70"/>
        <v>0</v>
      </c>
      <c r="AK122" s="52">
        <f t="shared" si="70"/>
        <v>0</v>
      </c>
      <c r="AL122" s="57"/>
      <c r="AM122" s="57"/>
      <c r="AN122" s="57"/>
      <c r="AO122" s="57"/>
      <c r="AP122" s="52">
        <f t="shared" si="71"/>
        <v>0</v>
      </c>
      <c r="AQ122" s="52">
        <f t="shared" si="71"/>
        <v>0</v>
      </c>
      <c r="AR122" s="57"/>
      <c r="AS122" s="57"/>
      <c r="AT122" s="57">
        <v>2100</v>
      </c>
      <c r="AU122" s="57"/>
      <c r="AV122" s="52">
        <f t="shared" si="72"/>
        <v>2100</v>
      </c>
      <c r="AW122" s="52">
        <f t="shared" si="72"/>
        <v>0</v>
      </c>
      <c r="AX122" s="52"/>
      <c r="AY122" s="52"/>
      <c r="AZ122" s="52"/>
      <c r="BA122" s="52"/>
      <c r="BB122" s="52">
        <f t="shared" si="73"/>
        <v>0</v>
      </c>
      <c r="BC122" s="52"/>
      <c r="BD122" s="52">
        <f t="shared" si="85"/>
        <v>0</v>
      </c>
      <c r="BE122" s="52"/>
      <c r="BF122" s="52"/>
      <c r="BG122" s="52"/>
      <c r="BH122" s="52"/>
      <c r="BI122" s="52">
        <f t="shared" si="74"/>
        <v>0</v>
      </c>
      <c r="BJ122" s="52"/>
      <c r="BK122" s="52">
        <f t="shared" si="107"/>
        <v>0</v>
      </c>
      <c r="BL122" s="52"/>
      <c r="BM122" s="52"/>
      <c r="BN122" s="52"/>
      <c r="BO122" s="52"/>
      <c r="BP122" s="52">
        <f t="shared" si="75"/>
        <v>0</v>
      </c>
      <c r="BQ122" s="52"/>
      <c r="BR122" s="52">
        <f t="shared" si="86"/>
        <v>0</v>
      </c>
      <c r="BS122" s="52"/>
      <c r="BT122" s="52"/>
      <c r="BU122" s="52"/>
      <c r="BV122" s="52"/>
      <c r="BW122" s="52">
        <f t="shared" si="76"/>
        <v>0</v>
      </c>
      <c r="BX122" s="52"/>
      <c r="BY122" s="52">
        <f t="shared" si="87"/>
        <v>0</v>
      </c>
      <c r="BZ122" s="52"/>
      <c r="CA122" s="52"/>
      <c r="CB122" s="52"/>
      <c r="CC122" s="52"/>
      <c r="CD122" s="52">
        <f t="shared" si="77"/>
        <v>0</v>
      </c>
      <c r="CE122" s="52">
        <f t="shared" si="77"/>
        <v>0</v>
      </c>
      <c r="CF122" s="52"/>
      <c r="CG122" s="52"/>
      <c r="CH122" s="52"/>
      <c r="CI122" s="52"/>
      <c r="CJ122" s="52">
        <f t="shared" si="78"/>
        <v>0</v>
      </c>
      <c r="CK122" s="52">
        <f t="shared" si="78"/>
        <v>0</v>
      </c>
      <c r="CL122" s="52"/>
      <c r="CM122" s="52"/>
      <c r="CN122" s="52"/>
      <c r="CO122" s="52"/>
      <c r="CP122" s="52">
        <f t="shared" si="79"/>
        <v>0</v>
      </c>
      <c r="CQ122" s="52">
        <f t="shared" si="79"/>
        <v>0</v>
      </c>
      <c r="CR122" s="52"/>
      <c r="CS122" s="52"/>
      <c r="CT122" s="52"/>
      <c r="CU122" s="52"/>
      <c r="CV122" s="52">
        <f t="shared" si="80"/>
        <v>0</v>
      </c>
      <c r="CW122" s="52">
        <f t="shared" si="80"/>
        <v>0</v>
      </c>
      <c r="CX122" s="52"/>
      <c r="CY122" s="52"/>
      <c r="CZ122" s="52"/>
      <c r="DA122" s="52"/>
      <c r="DB122" s="52">
        <f t="shared" si="81"/>
        <v>0</v>
      </c>
      <c r="DC122" s="52">
        <f t="shared" si="81"/>
        <v>0</v>
      </c>
      <c r="DD122" s="52"/>
      <c r="DE122" s="52"/>
      <c r="DF122" s="52"/>
      <c r="DG122" s="52"/>
      <c r="DH122" s="52">
        <f t="shared" si="82"/>
        <v>0</v>
      </c>
      <c r="DI122" s="52">
        <f t="shared" si="82"/>
        <v>0</v>
      </c>
      <c r="DJ122" s="52">
        <f t="shared" si="125"/>
        <v>0</v>
      </c>
      <c r="DK122" s="52">
        <f t="shared" si="126"/>
        <v>0</v>
      </c>
      <c r="DL122" s="52">
        <f t="shared" si="83"/>
        <v>2100</v>
      </c>
      <c r="DM122" s="52">
        <f t="shared" si="127"/>
        <v>0</v>
      </c>
      <c r="DN122" s="52">
        <f t="shared" si="84"/>
        <v>2100</v>
      </c>
      <c r="DO122" s="52">
        <f t="shared" si="84"/>
        <v>0</v>
      </c>
    </row>
    <row r="123" spans="1:119">
      <c r="A123" s="224">
        <v>131</v>
      </c>
      <c r="B123" s="26" t="s">
        <v>176</v>
      </c>
      <c r="C123" s="53" t="s">
        <v>198</v>
      </c>
      <c r="D123" s="227" t="s">
        <v>341</v>
      </c>
      <c r="E123" s="191" t="s">
        <v>1164</v>
      </c>
      <c r="F123" s="161">
        <f t="shared" si="128"/>
        <v>5983.25</v>
      </c>
      <c r="G123" s="165">
        <f t="shared" si="129"/>
        <v>5983.25</v>
      </c>
      <c r="H123" s="54">
        <v>0</v>
      </c>
      <c r="I123" s="219">
        <v>0</v>
      </c>
      <c r="J123" s="219">
        <v>0</v>
      </c>
      <c r="K123" s="127">
        <f t="shared" si="130"/>
        <v>0</v>
      </c>
      <c r="L123" s="127">
        <f t="shared" si="131"/>
        <v>0</v>
      </c>
      <c r="M123" s="127">
        <f t="shared" si="132"/>
        <v>0</v>
      </c>
      <c r="N123" s="127">
        <f t="shared" si="61"/>
        <v>5983.25</v>
      </c>
      <c r="O123" s="125" t="str">
        <f t="shared" si="133"/>
        <v>ნულოვანი შესრულება</v>
      </c>
      <c r="P123" s="52"/>
      <c r="Q123" s="52"/>
      <c r="R123" s="52">
        <f t="shared" si="134"/>
        <v>0</v>
      </c>
      <c r="S123" s="52">
        <f t="shared" si="135"/>
        <v>0</v>
      </c>
      <c r="T123" s="52"/>
      <c r="U123" s="52"/>
      <c r="V123" s="52"/>
      <c r="W123" s="52"/>
      <c r="X123" s="52">
        <f t="shared" si="65"/>
        <v>0</v>
      </c>
      <c r="Y123" s="52">
        <f t="shared" si="65"/>
        <v>0</v>
      </c>
      <c r="Z123" s="52"/>
      <c r="AA123" s="52"/>
      <c r="AB123" s="52"/>
      <c r="AC123" s="52"/>
      <c r="AD123" s="52">
        <f t="shared" si="66"/>
        <v>0</v>
      </c>
      <c r="AE123" s="52">
        <f t="shared" si="66"/>
        <v>0</v>
      </c>
      <c r="AF123" s="52">
        <f t="shared" si="67"/>
        <v>0</v>
      </c>
      <c r="AG123" s="52">
        <f t="shared" si="68"/>
        <v>0</v>
      </c>
      <c r="AH123" s="52">
        <f t="shared" si="68"/>
        <v>0</v>
      </c>
      <c r="AI123" s="52">
        <f t="shared" si="69"/>
        <v>0</v>
      </c>
      <c r="AJ123" s="52">
        <f t="shared" si="70"/>
        <v>0</v>
      </c>
      <c r="AK123" s="52">
        <f t="shared" si="70"/>
        <v>0</v>
      </c>
      <c r="AL123" s="52"/>
      <c r="AM123" s="52"/>
      <c r="AN123" s="75">
        <v>3883.25</v>
      </c>
      <c r="AO123" s="52"/>
      <c r="AP123" s="52">
        <f t="shared" si="71"/>
        <v>3883.25</v>
      </c>
      <c r="AQ123" s="52">
        <f t="shared" si="71"/>
        <v>0</v>
      </c>
      <c r="AR123" s="52"/>
      <c r="AS123" s="52"/>
      <c r="AT123" s="52">
        <v>2100</v>
      </c>
      <c r="AU123" s="52"/>
      <c r="AV123" s="52">
        <f t="shared" si="72"/>
        <v>2100</v>
      </c>
      <c r="AW123" s="52">
        <f t="shared" si="72"/>
        <v>0</v>
      </c>
      <c r="AX123" s="52"/>
      <c r="AY123" s="52"/>
      <c r="AZ123" s="52"/>
      <c r="BA123" s="52"/>
      <c r="BB123" s="52">
        <f t="shared" si="73"/>
        <v>0</v>
      </c>
      <c r="BC123" s="52"/>
      <c r="BD123" s="52">
        <f t="shared" si="85"/>
        <v>0</v>
      </c>
      <c r="BE123" s="52"/>
      <c r="BF123" s="52"/>
      <c r="BG123" s="52"/>
      <c r="BH123" s="52"/>
      <c r="BI123" s="52">
        <f t="shared" si="74"/>
        <v>0</v>
      </c>
      <c r="BJ123" s="52"/>
      <c r="BK123" s="52">
        <f t="shared" si="107"/>
        <v>0</v>
      </c>
      <c r="BL123" s="52"/>
      <c r="BM123" s="52"/>
      <c r="BN123" s="52"/>
      <c r="BO123" s="52"/>
      <c r="BP123" s="52">
        <f t="shared" si="75"/>
        <v>0</v>
      </c>
      <c r="BQ123" s="52"/>
      <c r="BR123" s="52">
        <f t="shared" si="86"/>
        <v>0</v>
      </c>
      <c r="BS123" s="52"/>
      <c r="BT123" s="52"/>
      <c r="BU123" s="52"/>
      <c r="BV123" s="52"/>
      <c r="BW123" s="52">
        <f t="shared" si="76"/>
        <v>0</v>
      </c>
      <c r="BX123" s="52"/>
      <c r="BY123" s="52">
        <f t="shared" si="87"/>
        <v>0</v>
      </c>
      <c r="BZ123" s="52"/>
      <c r="CA123" s="52"/>
      <c r="CB123" s="52"/>
      <c r="CC123" s="52"/>
      <c r="CD123" s="52">
        <f t="shared" si="77"/>
        <v>0</v>
      </c>
      <c r="CE123" s="52">
        <f t="shared" si="77"/>
        <v>0</v>
      </c>
      <c r="CF123" s="52"/>
      <c r="CG123" s="52"/>
      <c r="CH123" s="52"/>
      <c r="CI123" s="52"/>
      <c r="CJ123" s="52">
        <f t="shared" si="78"/>
        <v>0</v>
      </c>
      <c r="CK123" s="52">
        <f t="shared" si="78"/>
        <v>0</v>
      </c>
      <c r="CL123" s="52"/>
      <c r="CM123" s="52"/>
      <c r="CN123" s="52"/>
      <c r="CO123" s="52"/>
      <c r="CP123" s="52">
        <f t="shared" si="79"/>
        <v>0</v>
      </c>
      <c r="CQ123" s="52">
        <f t="shared" si="79"/>
        <v>0</v>
      </c>
      <c r="CR123" s="52"/>
      <c r="CS123" s="52"/>
      <c r="CT123" s="52"/>
      <c r="CU123" s="52"/>
      <c r="CV123" s="52">
        <f t="shared" si="80"/>
        <v>0</v>
      </c>
      <c r="CW123" s="52">
        <f t="shared" si="80"/>
        <v>0</v>
      </c>
      <c r="CX123" s="52"/>
      <c r="CY123" s="52"/>
      <c r="CZ123" s="52"/>
      <c r="DA123" s="52"/>
      <c r="DB123" s="52">
        <f t="shared" si="81"/>
        <v>0</v>
      </c>
      <c r="DC123" s="52">
        <f t="shared" si="81"/>
        <v>0</v>
      </c>
      <c r="DD123" s="52"/>
      <c r="DE123" s="52"/>
      <c r="DF123" s="52"/>
      <c r="DG123" s="52"/>
      <c r="DH123" s="52">
        <f t="shared" si="82"/>
        <v>0</v>
      </c>
      <c r="DI123" s="52">
        <f t="shared" si="82"/>
        <v>0</v>
      </c>
      <c r="DJ123" s="52">
        <f t="shared" si="125"/>
        <v>0</v>
      </c>
      <c r="DK123" s="52">
        <f t="shared" si="126"/>
        <v>0</v>
      </c>
      <c r="DL123" s="52">
        <f t="shared" si="83"/>
        <v>5983.25</v>
      </c>
      <c r="DM123" s="52">
        <f t="shared" si="127"/>
        <v>0</v>
      </c>
      <c r="DN123" s="52">
        <f t="shared" si="84"/>
        <v>5983.25</v>
      </c>
      <c r="DO123" s="52">
        <f t="shared" si="84"/>
        <v>0</v>
      </c>
    </row>
    <row r="124" spans="1:119">
      <c r="A124" s="224">
        <v>132</v>
      </c>
      <c r="B124" s="26" t="s">
        <v>36</v>
      </c>
      <c r="C124" s="53" t="s">
        <v>39</v>
      </c>
      <c r="D124" s="227" t="s">
        <v>342</v>
      </c>
      <c r="E124" s="196" t="s">
        <v>1164</v>
      </c>
      <c r="F124" s="161">
        <f t="shared" si="128"/>
        <v>0</v>
      </c>
      <c r="G124" s="165">
        <f t="shared" si="129"/>
        <v>2138</v>
      </c>
      <c r="H124" s="56">
        <v>0</v>
      </c>
      <c r="I124" s="220">
        <v>0</v>
      </c>
      <c r="J124" s="220">
        <v>0</v>
      </c>
      <c r="K124" s="127">
        <f t="shared" si="130"/>
        <v>2138</v>
      </c>
      <c r="L124" s="127">
        <f t="shared" si="131"/>
        <v>2138</v>
      </c>
      <c r="M124" s="127">
        <f t="shared" si="132"/>
        <v>2138</v>
      </c>
      <c r="N124" s="127">
        <f t="shared" si="61"/>
        <v>0</v>
      </c>
      <c r="O124" s="125">
        <f t="shared" si="133"/>
        <v>2138</v>
      </c>
      <c r="P124" s="57"/>
      <c r="Q124" s="57">
        <v>2138</v>
      </c>
      <c r="R124" s="52">
        <f t="shared" si="134"/>
        <v>0</v>
      </c>
      <c r="S124" s="52">
        <f t="shared" si="135"/>
        <v>2138</v>
      </c>
      <c r="T124" s="57"/>
      <c r="U124" s="57"/>
      <c r="V124" s="57"/>
      <c r="W124" s="57"/>
      <c r="X124" s="52">
        <f t="shared" si="65"/>
        <v>0</v>
      </c>
      <c r="Y124" s="52">
        <f t="shared" si="65"/>
        <v>0</v>
      </c>
      <c r="Z124" s="57"/>
      <c r="AA124" s="57"/>
      <c r="AB124" s="57"/>
      <c r="AC124" s="57"/>
      <c r="AD124" s="52">
        <f t="shared" si="66"/>
        <v>0</v>
      </c>
      <c r="AE124" s="52">
        <f t="shared" si="66"/>
        <v>0</v>
      </c>
      <c r="AF124" s="52">
        <f t="shared" si="67"/>
        <v>0</v>
      </c>
      <c r="AG124" s="52">
        <f t="shared" si="68"/>
        <v>0</v>
      </c>
      <c r="AH124" s="52">
        <f t="shared" si="68"/>
        <v>2138</v>
      </c>
      <c r="AI124" s="52">
        <f t="shared" si="69"/>
        <v>2138</v>
      </c>
      <c r="AJ124" s="52">
        <f t="shared" si="70"/>
        <v>2138</v>
      </c>
      <c r="AK124" s="52">
        <f t="shared" si="70"/>
        <v>2138</v>
      </c>
      <c r="AL124" s="57"/>
      <c r="AM124" s="57"/>
      <c r="AN124" s="57"/>
      <c r="AO124" s="57"/>
      <c r="AP124" s="52">
        <f t="shared" si="71"/>
        <v>0</v>
      </c>
      <c r="AQ124" s="52">
        <f t="shared" si="71"/>
        <v>0</v>
      </c>
      <c r="AR124" s="52"/>
      <c r="AS124" s="52"/>
      <c r="AT124" s="52"/>
      <c r="AU124" s="52"/>
      <c r="AV124" s="52">
        <f t="shared" si="72"/>
        <v>0</v>
      </c>
      <c r="AW124" s="52">
        <f t="shared" si="72"/>
        <v>0</v>
      </c>
      <c r="AX124" s="52"/>
      <c r="AY124" s="52"/>
      <c r="AZ124" s="52"/>
      <c r="BA124" s="57"/>
      <c r="BB124" s="52">
        <f t="shared" si="73"/>
        <v>0</v>
      </c>
      <c r="BC124" s="52"/>
      <c r="BD124" s="52">
        <f t="shared" si="85"/>
        <v>0</v>
      </c>
      <c r="BE124" s="52"/>
      <c r="BF124" s="52"/>
      <c r="BG124" s="52"/>
      <c r="BH124" s="52"/>
      <c r="BI124" s="52">
        <f t="shared" si="74"/>
        <v>0</v>
      </c>
      <c r="BJ124" s="52"/>
      <c r="BK124" s="52">
        <f t="shared" si="107"/>
        <v>0</v>
      </c>
      <c r="BL124" s="52"/>
      <c r="BM124" s="52"/>
      <c r="BN124" s="52"/>
      <c r="BO124" s="52"/>
      <c r="BP124" s="52">
        <f t="shared" si="75"/>
        <v>0</v>
      </c>
      <c r="BQ124" s="52"/>
      <c r="BR124" s="52">
        <f t="shared" si="86"/>
        <v>0</v>
      </c>
      <c r="BS124" s="52"/>
      <c r="BT124" s="52"/>
      <c r="BU124" s="52"/>
      <c r="BV124" s="58"/>
      <c r="BW124" s="52">
        <f t="shared" si="76"/>
        <v>0</v>
      </c>
      <c r="BX124" s="52"/>
      <c r="BY124" s="52">
        <f t="shared" si="87"/>
        <v>0</v>
      </c>
      <c r="BZ124" s="58"/>
      <c r="CA124" s="58"/>
      <c r="CB124" s="58"/>
      <c r="CC124" s="58"/>
      <c r="CD124" s="52">
        <f t="shared" si="77"/>
        <v>0</v>
      </c>
      <c r="CE124" s="52">
        <f t="shared" si="77"/>
        <v>0</v>
      </c>
      <c r="CF124" s="58"/>
      <c r="CG124" s="58"/>
      <c r="CH124" s="58"/>
      <c r="CI124" s="58"/>
      <c r="CJ124" s="52">
        <f t="shared" si="78"/>
        <v>0</v>
      </c>
      <c r="CK124" s="52">
        <f t="shared" si="78"/>
        <v>0</v>
      </c>
      <c r="CL124" s="58"/>
      <c r="CM124" s="58"/>
      <c r="CN124" s="58"/>
      <c r="CO124" s="58"/>
      <c r="CP124" s="52">
        <f t="shared" si="79"/>
        <v>0</v>
      </c>
      <c r="CQ124" s="52">
        <f t="shared" si="79"/>
        <v>0</v>
      </c>
      <c r="CR124" s="58"/>
      <c r="CS124" s="58"/>
      <c r="CT124" s="58"/>
      <c r="CU124" s="58"/>
      <c r="CV124" s="52">
        <f t="shared" si="80"/>
        <v>0</v>
      </c>
      <c r="CW124" s="52">
        <f t="shared" si="80"/>
        <v>0</v>
      </c>
      <c r="CX124" s="58"/>
      <c r="CY124" s="58"/>
      <c r="CZ124" s="58"/>
      <c r="DA124" s="58"/>
      <c r="DB124" s="52">
        <f t="shared" si="81"/>
        <v>0</v>
      </c>
      <c r="DC124" s="52">
        <f t="shared" si="81"/>
        <v>0</v>
      </c>
      <c r="DD124" s="58"/>
      <c r="DE124" s="58"/>
      <c r="DF124" s="58"/>
      <c r="DG124" s="58"/>
      <c r="DH124" s="52">
        <f t="shared" si="82"/>
        <v>0</v>
      </c>
      <c r="DI124" s="52">
        <f t="shared" si="82"/>
        <v>0</v>
      </c>
      <c r="DJ124" s="52">
        <f t="shared" si="125"/>
        <v>0</v>
      </c>
      <c r="DK124" s="52">
        <f t="shared" si="126"/>
        <v>0</v>
      </c>
      <c r="DL124" s="52">
        <f t="shared" si="83"/>
        <v>0</v>
      </c>
      <c r="DM124" s="52">
        <f t="shared" si="127"/>
        <v>0</v>
      </c>
      <c r="DN124" s="52">
        <f t="shared" si="84"/>
        <v>0</v>
      </c>
      <c r="DO124" s="52">
        <f t="shared" si="84"/>
        <v>0</v>
      </c>
    </row>
    <row r="125" spans="1:119">
      <c r="A125" s="224">
        <v>133</v>
      </c>
      <c r="B125" s="26" t="s">
        <v>176</v>
      </c>
      <c r="C125" s="53" t="s">
        <v>208</v>
      </c>
      <c r="D125" s="227" t="s">
        <v>343</v>
      </c>
      <c r="E125" s="191" t="s">
        <v>1164</v>
      </c>
      <c r="F125" s="161">
        <f t="shared" si="128"/>
        <v>0</v>
      </c>
      <c r="G125" s="165">
        <f t="shared" si="129"/>
        <v>5302.5</v>
      </c>
      <c r="H125" s="54">
        <v>0</v>
      </c>
      <c r="I125" s="219">
        <v>0</v>
      </c>
      <c r="J125" s="219">
        <v>0</v>
      </c>
      <c r="K125" s="127">
        <f t="shared" si="130"/>
        <v>5302.5</v>
      </c>
      <c r="L125" s="127">
        <f t="shared" si="131"/>
        <v>5302.5</v>
      </c>
      <c r="M125" s="127">
        <f t="shared" si="132"/>
        <v>5302.5</v>
      </c>
      <c r="N125" s="127">
        <f t="shared" si="61"/>
        <v>0</v>
      </c>
      <c r="O125" s="125">
        <f t="shared" si="133"/>
        <v>5302.5</v>
      </c>
      <c r="P125" s="52"/>
      <c r="Q125" s="52">
        <v>5302.5</v>
      </c>
      <c r="R125" s="52">
        <f t="shared" si="134"/>
        <v>0</v>
      </c>
      <c r="S125" s="52">
        <f t="shared" si="135"/>
        <v>5302.5</v>
      </c>
      <c r="T125" s="52"/>
      <c r="U125" s="52"/>
      <c r="V125" s="52"/>
      <c r="W125" s="52"/>
      <c r="X125" s="52">
        <f t="shared" ref="X125:Y153" si="136">T125+V125</f>
        <v>0</v>
      </c>
      <c r="Y125" s="52">
        <f t="shared" si="136"/>
        <v>0</v>
      </c>
      <c r="Z125" s="52"/>
      <c r="AA125" s="52"/>
      <c r="AB125" s="52"/>
      <c r="AC125" s="52"/>
      <c r="AD125" s="52">
        <f t="shared" ref="AD125:AE153" si="137">Z125+AB125</f>
        <v>0</v>
      </c>
      <c r="AE125" s="52">
        <f t="shared" si="137"/>
        <v>0</v>
      </c>
      <c r="AF125" s="52">
        <f t="shared" ref="AF125:AF153" si="138">P125+T125+Z125</f>
        <v>0</v>
      </c>
      <c r="AG125" s="52">
        <f t="shared" ref="AG125:AH153" si="139">P125+U125+AA125</f>
        <v>0</v>
      </c>
      <c r="AH125" s="52">
        <f t="shared" si="139"/>
        <v>5302.5</v>
      </c>
      <c r="AI125" s="52">
        <f t="shared" ref="AI125:AI153" si="140">Q125+W125+AC125</f>
        <v>5302.5</v>
      </c>
      <c r="AJ125" s="52">
        <f t="shared" ref="AJ125:AK153" si="141">AF125+AH125</f>
        <v>5302.5</v>
      </c>
      <c r="AK125" s="52">
        <f t="shared" si="141"/>
        <v>5302.5</v>
      </c>
      <c r="AL125" s="52"/>
      <c r="AM125" s="52"/>
      <c r="AN125" s="52"/>
      <c r="AO125" s="52"/>
      <c r="AP125" s="52">
        <f t="shared" ref="AP125:AQ153" si="142">AL125+AN125</f>
        <v>0</v>
      </c>
      <c r="AQ125" s="52">
        <f t="shared" si="142"/>
        <v>0</v>
      </c>
      <c r="AR125" s="52"/>
      <c r="AS125" s="52"/>
      <c r="AT125" s="52"/>
      <c r="AU125" s="52"/>
      <c r="AV125" s="52">
        <f t="shared" ref="AV125:AW153" si="143">AR125+AT125</f>
        <v>0</v>
      </c>
      <c r="AW125" s="52">
        <f t="shared" si="143"/>
        <v>0</v>
      </c>
      <c r="AX125" s="52"/>
      <c r="AY125" s="52"/>
      <c r="AZ125" s="52"/>
      <c r="BA125" s="65"/>
      <c r="BB125" s="52">
        <f t="shared" ref="BB125:BB153" si="144">AX125+AZ125</f>
        <v>0</v>
      </c>
      <c r="BC125" s="52"/>
      <c r="BD125" s="52">
        <f t="shared" si="85"/>
        <v>0</v>
      </c>
      <c r="BE125" s="52"/>
      <c r="BF125" s="52"/>
      <c r="BG125" s="52"/>
      <c r="BH125" s="52"/>
      <c r="BI125" s="52">
        <f t="shared" ref="BI125:BI153" si="145">BE125+BG125</f>
        <v>0</v>
      </c>
      <c r="BJ125" s="52"/>
      <c r="BK125" s="52">
        <f t="shared" si="107"/>
        <v>0</v>
      </c>
      <c r="BL125" s="52"/>
      <c r="BM125" s="52"/>
      <c r="BN125" s="52"/>
      <c r="BO125" s="52"/>
      <c r="BP125" s="52">
        <f t="shared" ref="BP125:BP153" si="146">BL125+BN125</f>
        <v>0</v>
      </c>
      <c r="BQ125" s="52"/>
      <c r="BR125" s="52">
        <f t="shared" si="86"/>
        <v>0</v>
      </c>
      <c r="BS125" s="52"/>
      <c r="BT125" s="52"/>
      <c r="BU125" s="52"/>
      <c r="BV125" s="52"/>
      <c r="BW125" s="52">
        <f t="shared" ref="BW125:BW153" si="147">BS125+BU125</f>
        <v>0</v>
      </c>
      <c r="BX125" s="52"/>
      <c r="BY125" s="52">
        <f t="shared" si="87"/>
        <v>0</v>
      </c>
      <c r="BZ125" s="52"/>
      <c r="CA125" s="52"/>
      <c r="CB125" s="52"/>
      <c r="CC125" s="52"/>
      <c r="CD125" s="52">
        <f t="shared" ref="CD125:CE153" si="148">BZ125+CB125</f>
        <v>0</v>
      </c>
      <c r="CE125" s="52">
        <f t="shared" si="148"/>
        <v>0</v>
      </c>
      <c r="CF125" s="52"/>
      <c r="CG125" s="52"/>
      <c r="CH125" s="52"/>
      <c r="CI125" s="52"/>
      <c r="CJ125" s="52">
        <f t="shared" ref="CJ125:CK153" si="149">CF125+CH125</f>
        <v>0</v>
      </c>
      <c r="CK125" s="52">
        <f t="shared" si="149"/>
        <v>0</v>
      </c>
      <c r="CL125" s="52"/>
      <c r="CM125" s="52"/>
      <c r="CN125" s="52"/>
      <c r="CO125" s="52"/>
      <c r="CP125" s="52">
        <f t="shared" ref="CP125:CQ153" si="150">CL125+CN125</f>
        <v>0</v>
      </c>
      <c r="CQ125" s="52">
        <f t="shared" si="150"/>
        <v>0</v>
      </c>
      <c r="CR125" s="52"/>
      <c r="CS125" s="52"/>
      <c r="CT125" s="52"/>
      <c r="CU125" s="52"/>
      <c r="CV125" s="52">
        <f t="shared" ref="CV125:CW153" si="151">CR125+CT125</f>
        <v>0</v>
      </c>
      <c r="CW125" s="52">
        <f t="shared" si="151"/>
        <v>0</v>
      </c>
      <c r="CX125" s="52"/>
      <c r="CY125" s="52"/>
      <c r="CZ125" s="52"/>
      <c r="DA125" s="52"/>
      <c r="DB125" s="52">
        <f t="shared" ref="DB125:DC153" si="152">CX125+CZ125</f>
        <v>0</v>
      </c>
      <c r="DC125" s="52">
        <f t="shared" si="152"/>
        <v>0</v>
      </c>
      <c r="DD125" s="52"/>
      <c r="DE125" s="52"/>
      <c r="DF125" s="52"/>
      <c r="DG125" s="52"/>
      <c r="DH125" s="52">
        <f t="shared" ref="DH125:DI153" si="153">DD125+DF125</f>
        <v>0</v>
      </c>
      <c r="DI125" s="52">
        <f t="shared" si="153"/>
        <v>0</v>
      </c>
      <c r="DJ125" s="52">
        <f t="shared" si="125"/>
        <v>0</v>
      </c>
      <c r="DK125" s="52">
        <f t="shared" si="126"/>
        <v>0</v>
      </c>
      <c r="DL125" s="52">
        <f t="shared" si="83"/>
        <v>0</v>
      </c>
      <c r="DM125" s="52">
        <f t="shared" si="127"/>
        <v>0</v>
      </c>
      <c r="DN125" s="52">
        <f t="shared" ref="DN125:DO153" si="154">DJ125+DL125</f>
        <v>0</v>
      </c>
      <c r="DO125" s="52">
        <f t="shared" si="154"/>
        <v>0</v>
      </c>
    </row>
    <row r="126" spans="1:119">
      <c r="A126" s="224">
        <v>134</v>
      </c>
      <c r="B126" s="26" t="s">
        <v>176</v>
      </c>
      <c r="C126" s="53" t="s">
        <v>213</v>
      </c>
      <c r="D126" s="227" t="s">
        <v>214</v>
      </c>
      <c r="E126" s="191" t="s">
        <v>1164</v>
      </c>
      <c r="F126" s="161">
        <f t="shared" si="128"/>
        <v>6246</v>
      </c>
      <c r="G126" s="165">
        <f t="shared" si="129"/>
        <v>6246</v>
      </c>
      <c r="H126" s="54">
        <v>0</v>
      </c>
      <c r="I126" s="219">
        <v>0</v>
      </c>
      <c r="J126" s="219">
        <v>0</v>
      </c>
      <c r="K126" s="127">
        <f t="shared" si="130"/>
        <v>0</v>
      </c>
      <c r="L126" s="127">
        <f t="shared" si="131"/>
        <v>0</v>
      </c>
      <c r="M126" s="127">
        <f t="shared" si="132"/>
        <v>0</v>
      </c>
      <c r="N126" s="127">
        <f t="shared" si="61"/>
        <v>6246</v>
      </c>
      <c r="O126" s="125" t="str">
        <f t="shared" si="133"/>
        <v>ნულოვანი შესრულება</v>
      </c>
      <c r="P126" s="52"/>
      <c r="Q126" s="52"/>
      <c r="R126" s="52">
        <f t="shared" si="134"/>
        <v>0</v>
      </c>
      <c r="S126" s="52">
        <f t="shared" si="135"/>
        <v>0</v>
      </c>
      <c r="T126" s="52"/>
      <c r="U126" s="52"/>
      <c r="V126" s="52"/>
      <c r="W126" s="52"/>
      <c r="X126" s="52">
        <f t="shared" si="136"/>
        <v>0</v>
      </c>
      <c r="Y126" s="52">
        <f t="shared" si="136"/>
        <v>0</v>
      </c>
      <c r="Z126" s="52"/>
      <c r="AA126" s="52"/>
      <c r="AB126" s="52"/>
      <c r="AC126" s="52"/>
      <c r="AD126" s="52">
        <f t="shared" si="137"/>
        <v>0</v>
      </c>
      <c r="AE126" s="52">
        <f t="shared" si="137"/>
        <v>0</v>
      </c>
      <c r="AF126" s="52">
        <f t="shared" si="138"/>
        <v>0</v>
      </c>
      <c r="AG126" s="52">
        <f t="shared" si="139"/>
        <v>0</v>
      </c>
      <c r="AH126" s="52">
        <f t="shared" si="139"/>
        <v>0</v>
      </c>
      <c r="AI126" s="52">
        <f t="shared" si="140"/>
        <v>0</v>
      </c>
      <c r="AJ126" s="52">
        <f t="shared" si="141"/>
        <v>0</v>
      </c>
      <c r="AK126" s="52">
        <f t="shared" si="141"/>
        <v>0</v>
      </c>
      <c r="AL126" s="52"/>
      <c r="AM126" s="52"/>
      <c r="AN126" s="75">
        <v>4746</v>
      </c>
      <c r="AO126" s="52"/>
      <c r="AP126" s="52">
        <f t="shared" si="142"/>
        <v>4746</v>
      </c>
      <c r="AQ126" s="52">
        <f t="shared" si="142"/>
        <v>0</v>
      </c>
      <c r="AR126" s="52"/>
      <c r="AS126" s="52"/>
      <c r="AT126" s="52">
        <v>1500</v>
      </c>
      <c r="AU126" s="52"/>
      <c r="AV126" s="52">
        <f t="shared" si="143"/>
        <v>1500</v>
      </c>
      <c r="AW126" s="52">
        <f t="shared" si="143"/>
        <v>0</v>
      </c>
      <c r="AX126" s="52"/>
      <c r="AY126" s="52"/>
      <c r="AZ126" s="52"/>
      <c r="BA126" s="52"/>
      <c r="BB126" s="52">
        <f t="shared" si="144"/>
        <v>0</v>
      </c>
      <c r="BC126" s="52"/>
      <c r="BD126" s="52">
        <f t="shared" si="85"/>
        <v>0</v>
      </c>
      <c r="BE126" s="52"/>
      <c r="BF126" s="52"/>
      <c r="BG126" s="52"/>
      <c r="BH126" s="52"/>
      <c r="BI126" s="52">
        <f t="shared" si="145"/>
        <v>0</v>
      </c>
      <c r="BJ126" s="52"/>
      <c r="BK126" s="52">
        <f t="shared" si="107"/>
        <v>0</v>
      </c>
      <c r="BL126" s="52"/>
      <c r="BM126" s="52"/>
      <c r="BN126" s="52"/>
      <c r="BO126" s="52"/>
      <c r="BP126" s="52">
        <f t="shared" si="146"/>
        <v>0</v>
      </c>
      <c r="BQ126" s="52"/>
      <c r="BR126" s="52">
        <f t="shared" si="86"/>
        <v>0</v>
      </c>
      <c r="BS126" s="52"/>
      <c r="BT126" s="52"/>
      <c r="BU126" s="52"/>
      <c r="BV126" s="52"/>
      <c r="BW126" s="52">
        <f t="shared" si="147"/>
        <v>0</v>
      </c>
      <c r="BX126" s="52"/>
      <c r="BY126" s="52">
        <f t="shared" si="87"/>
        <v>0</v>
      </c>
      <c r="BZ126" s="52"/>
      <c r="CA126" s="52"/>
      <c r="CB126" s="52"/>
      <c r="CC126" s="52"/>
      <c r="CD126" s="52">
        <f t="shared" si="148"/>
        <v>0</v>
      </c>
      <c r="CE126" s="52">
        <f t="shared" si="148"/>
        <v>0</v>
      </c>
      <c r="CF126" s="52"/>
      <c r="CG126" s="52"/>
      <c r="CH126" s="52"/>
      <c r="CI126" s="52"/>
      <c r="CJ126" s="52">
        <f t="shared" si="149"/>
        <v>0</v>
      </c>
      <c r="CK126" s="52">
        <f t="shared" si="149"/>
        <v>0</v>
      </c>
      <c r="CL126" s="52"/>
      <c r="CM126" s="52"/>
      <c r="CN126" s="52"/>
      <c r="CO126" s="52"/>
      <c r="CP126" s="52">
        <f t="shared" si="150"/>
        <v>0</v>
      </c>
      <c r="CQ126" s="52">
        <f t="shared" si="150"/>
        <v>0</v>
      </c>
      <c r="CR126" s="52"/>
      <c r="CS126" s="52"/>
      <c r="CT126" s="52"/>
      <c r="CU126" s="52"/>
      <c r="CV126" s="52">
        <f t="shared" si="151"/>
        <v>0</v>
      </c>
      <c r="CW126" s="52">
        <f t="shared" si="151"/>
        <v>0</v>
      </c>
      <c r="CX126" s="52"/>
      <c r="CY126" s="52"/>
      <c r="CZ126" s="52"/>
      <c r="DA126" s="52"/>
      <c r="DB126" s="52">
        <f t="shared" si="152"/>
        <v>0</v>
      </c>
      <c r="DC126" s="52">
        <f t="shared" si="152"/>
        <v>0</v>
      </c>
      <c r="DD126" s="52"/>
      <c r="DE126" s="52"/>
      <c r="DF126" s="52"/>
      <c r="DG126" s="52"/>
      <c r="DH126" s="52">
        <f t="shared" si="153"/>
        <v>0</v>
      </c>
      <c r="DI126" s="52">
        <f t="shared" si="153"/>
        <v>0</v>
      </c>
      <c r="DJ126" s="52">
        <f t="shared" si="125"/>
        <v>0</v>
      </c>
      <c r="DK126" s="52">
        <f t="shared" si="126"/>
        <v>0</v>
      </c>
      <c r="DL126" s="52">
        <f t="shared" si="83"/>
        <v>6246</v>
      </c>
      <c r="DM126" s="52">
        <f t="shared" si="127"/>
        <v>0</v>
      </c>
      <c r="DN126" s="52">
        <f t="shared" si="154"/>
        <v>6246</v>
      </c>
      <c r="DO126" s="52">
        <f t="shared" si="154"/>
        <v>0</v>
      </c>
    </row>
    <row r="127" spans="1:119">
      <c r="A127" s="224">
        <v>135</v>
      </c>
      <c r="B127" s="26" t="s">
        <v>176</v>
      </c>
      <c r="C127" s="53" t="s">
        <v>236</v>
      </c>
      <c r="D127" s="227" t="s">
        <v>237</v>
      </c>
      <c r="E127" s="191" t="s">
        <v>1164</v>
      </c>
      <c r="F127" s="161">
        <f t="shared" si="128"/>
        <v>4192.75</v>
      </c>
      <c r="G127" s="165">
        <f t="shared" si="129"/>
        <v>4192.75</v>
      </c>
      <c r="H127" s="54">
        <v>0</v>
      </c>
      <c r="I127" s="221">
        <v>0</v>
      </c>
      <c r="J127" s="221">
        <v>0</v>
      </c>
      <c r="K127" s="127">
        <f t="shared" si="130"/>
        <v>0</v>
      </c>
      <c r="L127" s="127">
        <f t="shared" si="131"/>
        <v>0</v>
      </c>
      <c r="M127" s="127">
        <f t="shared" si="132"/>
        <v>0</v>
      </c>
      <c r="N127" s="127">
        <f t="shared" si="61"/>
        <v>4192.75</v>
      </c>
      <c r="O127" s="125" t="str">
        <f t="shared" si="133"/>
        <v>ნულოვანი შესრულება</v>
      </c>
      <c r="P127" s="58"/>
      <c r="Q127" s="58"/>
      <c r="R127" s="52">
        <f t="shared" si="134"/>
        <v>0</v>
      </c>
      <c r="S127" s="52">
        <f t="shared" si="135"/>
        <v>0</v>
      </c>
      <c r="T127" s="58"/>
      <c r="U127" s="58"/>
      <c r="V127" s="58"/>
      <c r="W127" s="58"/>
      <c r="X127" s="52">
        <f t="shared" si="136"/>
        <v>0</v>
      </c>
      <c r="Y127" s="52">
        <f t="shared" si="136"/>
        <v>0</v>
      </c>
      <c r="Z127" s="58"/>
      <c r="AA127" s="58"/>
      <c r="AB127" s="58"/>
      <c r="AC127" s="58"/>
      <c r="AD127" s="52">
        <f t="shared" si="137"/>
        <v>0</v>
      </c>
      <c r="AE127" s="52">
        <f t="shared" si="137"/>
        <v>0</v>
      </c>
      <c r="AF127" s="52">
        <f t="shared" si="138"/>
        <v>0</v>
      </c>
      <c r="AG127" s="52">
        <f t="shared" si="139"/>
        <v>0</v>
      </c>
      <c r="AH127" s="52">
        <f t="shared" si="139"/>
        <v>0</v>
      </c>
      <c r="AI127" s="52">
        <f t="shared" si="140"/>
        <v>0</v>
      </c>
      <c r="AJ127" s="52">
        <f t="shared" si="141"/>
        <v>0</v>
      </c>
      <c r="AK127" s="52">
        <f t="shared" si="141"/>
        <v>0</v>
      </c>
      <c r="AL127" s="52"/>
      <c r="AM127" s="52"/>
      <c r="AN127" s="75">
        <v>2892.75</v>
      </c>
      <c r="AO127" s="52"/>
      <c r="AP127" s="52">
        <f t="shared" si="142"/>
        <v>2892.75</v>
      </c>
      <c r="AQ127" s="52">
        <f t="shared" si="142"/>
        <v>0</v>
      </c>
      <c r="AR127" s="52"/>
      <c r="AS127" s="52"/>
      <c r="AT127" s="52">
        <v>1300</v>
      </c>
      <c r="AU127" s="52"/>
      <c r="AV127" s="52">
        <f t="shared" si="143"/>
        <v>1300</v>
      </c>
      <c r="AW127" s="52">
        <f t="shared" si="143"/>
        <v>0</v>
      </c>
      <c r="AX127" s="52"/>
      <c r="AY127" s="52"/>
      <c r="AZ127" s="52"/>
      <c r="BA127" s="52"/>
      <c r="BB127" s="52">
        <f t="shared" si="144"/>
        <v>0</v>
      </c>
      <c r="BC127" s="52"/>
      <c r="BD127" s="52">
        <f t="shared" si="85"/>
        <v>0</v>
      </c>
      <c r="BE127" s="52"/>
      <c r="BF127" s="52"/>
      <c r="BG127" s="52"/>
      <c r="BH127" s="52"/>
      <c r="BI127" s="52">
        <f t="shared" si="145"/>
        <v>0</v>
      </c>
      <c r="BJ127" s="52"/>
      <c r="BK127" s="52">
        <f t="shared" si="107"/>
        <v>0</v>
      </c>
      <c r="BL127" s="52"/>
      <c r="BM127" s="52"/>
      <c r="BN127" s="52"/>
      <c r="BO127" s="52"/>
      <c r="BP127" s="52">
        <f t="shared" si="146"/>
        <v>0</v>
      </c>
      <c r="BQ127" s="52"/>
      <c r="BR127" s="52">
        <f t="shared" si="86"/>
        <v>0</v>
      </c>
      <c r="BS127" s="52"/>
      <c r="BT127" s="52"/>
      <c r="BU127" s="58"/>
      <c r="BV127" s="58"/>
      <c r="BW127" s="52">
        <f t="shared" si="147"/>
        <v>0</v>
      </c>
      <c r="BX127" s="52"/>
      <c r="BY127" s="52">
        <f t="shared" si="87"/>
        <v>0</v>
      </c>
      <c r="BZ127" s="58"/>
      <c r="CA127" s="58"/>
      <c r="CB127" s="58"/>
      <c r="CC127" s="58"/>
      <c r="CD127" s="52">
        <f t="shared" si="148"/>
        <v>0</v>
      </c>
      <c r="CE127" s="52">
        <f t="shared" si="148"/>
        <v>0</v>
      </c>
      <c r="CF127" s="58"/>
      <c r="CG127" s="58"/>
      <c r="CH127" s="58"/>
      <c r="CI127" s="58"/>
      <c r="CJ127" s="52">
        <f t="shared" si="149"/>
        <v>0</v>
      </c>
      <c r="CK127" s="52">
        <f t="shared" si="149"/>
        <v>0</v>
      </c>
      <c r="CL127" s="58"/>
      <c r="CM127" s="58"/>
      <c r="CN127" s="58"/>
      <c r="CO127" s="58"/>
      <c r="CP127" s="52">
        <f t="shared" si="150"/>
        <v>0</v>
      </c>
      <c r="CQ127" s="52">
        <f t="shared" si="150"/>
        <v>0</v>
      </c>
      <c r="CR127" s="58"/>
      <c r="CS127" s="58"/>
      <c r="CT127" s="58"/>
      <c r="CU127" s="58"/>
      <c r="CV127" s="52">
        <f t="shared" si="151"/>
        <v>0</v>
      </c>
      <c r="CW127" s="52">
        <f t="shared" si="151"/>
        <v>0</v>
      </c>
      <c r="CX127" s="58"/>
      <c r="CY127" s="58"/>
      <c r="CZ127" s="58"/>
      <c r="DA127" s="58"/>
      <c r="DB127" s="52">
        <f t="shared" si="152"/>
        <v>0</v>
      </c>
      <c r="DC127" s="52">
        <f t="shared" si="152"/>
        <v>0</v>
      </c>
      <c r="DD127" s="58"/>
      <c r="DE127" s="58"/>
      <c r="DF127" s="58"/>
      <c r="DG127" s="58"/>
      <c r="DH127" s="52">
        <f t="shared" si="153"/>
        <v>0</v>
      </c>
      <c r="DI127" s="52">
        <f t="shared" si="153"/>
        <v>0</v>
      </c>
      <c r="DJ127" s="52">
        <f t="shared" si="125"/>
        <v>0</v>
      </c>
      <c r="DK127" s="52">
        <f t="shared" si="126"/>
        <v>0</v>
      </c>
      <c r="DL127" s="52">
        <f t="shared" si="83"/>
        <v>4192.75</v>
      </c>
      <c r="DM127" s="52">
        <f t="shared" si="127"/>
        <v>0</v>
      </c>
      <c r="DN127" s="52">
        <f t="shared" si="154"/>
        <v>4192.75</v>
      </c>
      <c r="DO127" s="52">
        <f t="shared" si="154"/>
        <v>0</v>
      </c>
    </row>
    <row r="128" spans="1:119">
      <c r="A128" s="224">
        <v>136</v>
      </c>
      <c r="B128" s="26" t="s">
        <v>94</v>
      </c>
      <c r="C128" s="53" t="s">
        <v>191</v>
      </c>
      <c r="D128" s="227" t="s">
        <v>344</v>
      </c>
      <c r="E128" s="191" t="s">
        <v>1164</v>
      </c>
      <c r="F128" s="161">
        <f t="shared" si="128"/>
        <v>0</v>
      </c>
      <c r="G128" s="165">
        <f t="shared" si="129"/>
        <v>7505</v>
      </c>
      <c r="H128" s="54">
        <v>0</v>
      </c>
      <c r="I128" s="219">
        <v>0</v>
      </c>
      <c r="J128" s="219">
        <v>0</v>
      </c>
      <c r="K128" s="127">
        <f t="shared" si="130"/>
        <v>7505</v>
      </c>
      <c r="L128" s="127">
        <f t="shared" si="131"/>
        <v>7505</v>
      </c>
      <c r="M128" s="127">
        <f t="shared" si="132"/>
        <v>7505</v>
      </c>
      <c r="N128" s="127">
        <f t="shared" si="61"/>
        <v>0</v>
      </c>
      <c r="O128" s="125">
        <f t="shared" si="133"/>
        <v>7505</v>
      </c>
      <c r="P128" s="52"/>
      <c r="Q128" s="52">
        <v>7505</v>
      </c>
      <c r="R128" s="52">
        <f t="shared" si="134"/>
        <v>0</v>
      </c>
      <c r="S128" s="52">
        <f t="shared" si="135"/>
        <v>7505</v>
      </c>
      <c r="T128" s="52"/>
      <c r="U128" s="52"/>
      <c r="V128" s="52"/>
      <c r="W128" s="52"/>
      <c r="X128" s="52">
        <f t="shared" si="136"/>
        <v>0</v>
      </c>
      <c r="Y128" s="52">
        <f t="shared" si="136"/>
        <v>0</v>
      </c>
      <c r="Z128" s="52"/>
      <c r="AA128" s="52"/>
      <c r="AB128" s="52"/>
      <c r="AC128" s="52"/>
      <c r="AD128" s="52">
        <f t="shared" si="137"/>
        <v>0</v>
      </c>
      <c r="AE128" s="52">
        <f t="shared" si="137"/>
        <v>0</v>
      </c>
      <c r="AF128" s="52">
        <f t="shared" si="138"/>
        <v>0</v>
      </c>
      <c r="AG128" s="52">
        <f t="shared" si="139"/>
        <v>0</v>
      </c>
      <c r="AH128" s="52">
        <f t="shared" si="139"/>
        <v>7505</v>
      </c>
      <c r="AI128" s="52">
        <f t="shared" si="140"/>
        <v>7505</v>
      </c>
      <c r="AJ128" s="52">
        <f t="shared" si="141"/>
        <v>7505</v>
      </c>
      <c r="AK128" s="52">
        <f t="shared" si="141"/>
        <v>7505</v>
      </c>
      <c r="AL128" s="52"/>
      <c r="AM128" s="52"/>
      <c r="AN128" s="52"/>
      <c r="AO128" s="52"/>
      <c r="AP128" s="52">
        <f t="shared" si="142"/>
        <v>0</v>
      </c>
      <c r="AQ128" s="52">
        <f t="shared" si="142"/>
        <v>0</v>
      </c>
      <c r="AR128" s="52"/>
      <c r="AS128" s="52"/>
      <c r="AT128" s="52"/>
      <c r="AU128" s="52"/>
      <c r="AV128" s="52">
        <f t="shared" si="143"/>
        <v>0</v>
      </c>
      <c r="AW128" s="52">
        <f t="shared" si="143"/>
        <v>0</v>
      </c>
      <c r="AX128" s="52"/>
      <c r="AY128" s="52"/>
      <c r="AZ128" s="52"/>
      <c r="BA128" s="52"/>
      <c r="BB128" s="52">
        <f t="shared" si="144"/>
        <v>0</v>
      </c>
      <c r="BC128" s="52"/>
      <c r="BD128" s="52">
        <f t="shared" si="85"/>
        <v>0</v>
      </c>
      <c r="BE128" s="52"/>
      <c r="BF128" s="52"/>
      <c r="BG128" s="52"/>
      <c r="BH128" s="52"/>
      <c r="BI128" s="52">
        <f t="shared" si="145"/>
        <v>0</v>
      </c>
      <c r="BJ128" s="52"/>
      <c r="BK128" s="52">
        <f t="shared" si="107"/>
        <v>0</v>
      </c>
      <c r="BL128" s="52"/>
      <c r="BM128" s="52"/>
      <c r="BN128" s="52"/>
      <c r="BO128" s="52"/>
      <c r="BP128" s="52">
        <f t="shared" si="146"/>
        <v>0</v>
      </c>
      <c r="BQ128" s="52"/>
      <c r="BR128" s="52">
        <f t="shared" si="86"/>
        <v>0</v>
      </c>
      <c r="BS128" s="52"/>
      <c r="BT128" s="52"/>
      <c r="BU128" s="52"/>
      <c r="BV128" s="52"/>
      <c r="BW128" s="52">
        <f t="shared" si="147"/>
        <v>0</v>
      </c>
      <c r="BX128" s="52"/>
      <c r="BY128" s="52">
        <f t="shared" si="87"/>
        <v>0</v>
      </c>
      <c r="BZ128" s="52"/>
      <c r="CA128" s="52"/>
      <c r="CB128" s="52"/>
      <c r="CC128" s="52"/>
      <c r="CD128" s="52">
        <f t="shared" si="148"/>
        <v>0</v>
      </c>
      <c r="CE128" s="52">
        <f t="shared" si="148"/>
        <v>0</v>
      </c>
      <c r="CF128" s="52"/>
      <c r="CG128" s="52"/>
      <c r="CH128" s="52"/>
      <c r="CI128" s="52"/>
      <c r="CJ128" s="52">
        <f t="shared" si="149"/>
        <v>0</v>
      </c>
      <c r="CK128" s="52">
        <f t="shared" si="149"/>
        <v>0</v>
      </c>
      <c r="CL128" s="52"/>
      <c r="CM128" s="52"/>
      <c r="CN128" s="52"/>
      <c r="CO128" s="52"/>
      <c r="CP128" s="52">
        <f t="shared" si="150"/>
        <v>0</v>
      </c>
      <c r="CQ128" s="52">
        <f t="shared" si="150"/>
        <v>0</v>
      </c>
      <c r="CR128" s="52"/>
      <c r="CS128" s="52"/>
      <c r="CT128" s="52"/>
      <c r="CU128" s="52"/>
      <c r="CV128" s="52">
        <f t="shared" si="151"/>
        <v>0</v>
      </c>
      <c r="CW128" s="52">
        <f t="shared" si="151"/>
        <v>0</v>
      </c>
      <c r="CX128" s="52"/>
      <c r="CY128" s="52"/>
      <c r="CZ128" s="52"/>
      <c r="DA128" s="52"/>
      <c r="DB128" s="52">
        <f t="shared" si="152"/>
        <v>0</v>
      </c>
      <c r="DC128" s="52">
        <f t="shared" si="152"/>
        <v>0</v>
      </c>
      <c r="DD128" s="52"/>
      <c r="DE128" s="52"/>
      <c r="DF128" s="52"/>
      <c r="DG128" s="52"/>
      <c r="DH128" s="52">
        <f t="shared" si="153"/>
        <v>0</v>
      </c>
      <c r="DI128" s="52">
        <f t="shared" si="153"/>
        <v>0</v>
      </c>
      <c r="DJ128" s="52">
        <f t="shared" si="125"/>
        <v>0</v>
      </c>
      <c r="DK128" s="52">
        <f t="shared" si="126"/>
        <v>0</v>
      </c>
      <c r="DL128" s="52">
        <f t="shared" si="83"/>
        <v>0</v>
      </c>
      <c r="DM128" s="52">
        <f t="shared" si="127"/>
        <v>0</v>
      </c>
      <c r="DN128" s="52">
        <f t="shared" si="154"/>
        <v>0</v>
      </c>
      <c r="DO128" s="52">
        <f t="shared" si="154"/>
        <v>0</v>
      </c>
    </row>
    <row r="129" spans="1:119">
      <c r="A129" s="224">
        <v>137</v>
      </c>
      <c r="B129" s="26" t="s">
        <v>41</v>
      </c>
      <c r="C129" s="53" t="s">
        <v>44</v>
      </c>
      <c r="D129" s="227" t="s">
        <v>345</v>
      </c>
      <c r="E129" s="191" t="s">
        <v>1164</v>
      </c>
      <c r="F129" s="161">
        <f t="shared" si="128"/>
        <v>0</v>
      </c>
      <c r="G129" s="165">
        <f t="shared" si="129"/>
        <v>8485.75</v>
      </c>
      <c r="H129" s="54">
        <v>0</v>
      </c>
      <c r="I129" s="219">
        <v>0</v>
      </c>
      <c r="J129" s="219">
        <v>0</v>
      </c>
      <c r="K129" s="127">
        <f t="shared" si="130"/>
        <v>8485.75</v>
      </c>
      <c r="L129" s="127">
        <f t="shared" si="131"/>
        <v>8485.75</v>
      </c>
      <c r="M129" s="127">
        <f t="shared" si="132"/>
        <v>8485.75</v>
      </c>
      <c r="N129" s="127">
        <f t="shared" si="61"/>
        <v>0</v>
      </c>
      <c r="O129" s="125">
        <f t="shared" si="133"/>
        <v>8485.75</v>
      </c>
      <c r="P129" s="52"/>
      <c r="Q129" s="52">
        <v>8485.75</v>
      </c>
      <c r="R129" s="52">
        <f t="shared" si="134"/>
        <v>0</v>
      </c>
      <c r="S129" s="52">
        <f t="shared" si="135"/>
        <v>8485.75</v>
      </c>
      <c r="T129" s="63"/>
      <c r="U129" s="63"/>
      <c r="V129" s="63"/>
      <c r="W129" s="63"/>
      <c r="X129" s="52">
        <f t="shared" si="136"/>
        <v>0</v>
      </c>
      <c r="Y129" s="52">
        <f t="shared" si="136"/>
        <v>0</v>
      </c>
      <c r="Z129" s="63"/>
      <c r="AA129" s="63"/>
      <c r="AB129" s="63"/>
      <c r="AC129" s="63"/>
      <c r="AD129" s="52">
        <f t="shared" si="137"/>
        <v>0</v>
      </c>
      <c r="AE129" s="52">
        <f t="shared" si="137"/>
        <v>0</v>
      </c>
      <c r="AF129" s="52">
        <f t="shared" si="138"/>
        <v>0</v>
      </c>
      <c r="AG129" s="52">
        <f t="shared" si="139"/>
        <v>0</v>
      </c>
      <c r="AH129" s="52">
        <f t="shared" si="139"/>
        <v>8485.75</v>
      </c>
      <c r="AI129" s="52">
        <f t="shared" si="140"/>
        <v>8485.75</v>
      </c>
      <c r="AJ129" s="52">
        <f t="shared" si="141"/>
        <v>8485.75</v>
      </c>
      <c r="AK129" s="52">
        <f t="shared" si="141"/>
        <v>8485.75</v>
      </c>
      <c r="AL129" s="52"/>
      <c r="AM129" s="52"/>
      <c r="AN129" s="52"/>
      <c r="AO129" s="52"/>
      <c r="AP129" s="52">
        <f t="shared" si="142"/>
        <v>0</v>
      </c>
      <c r="AQ129" s="52">
        <f t="shared" si="142"/>
        <v>0</v>
      </c>
      <c r="AR129" s="52"/>
      <c r="AS129" s="52"/>
      <c r="AT129" s="52"/>
      <c r="AU129" s="52"/>
      <c r="AV129" s="52">
        <f t="shared" si="143"/>
        <v>0</v>
      </c>
      <c r="AW129" s="52">
        <f t="shared" si="143"/>
        <v>0</v>
      </c>
      <c r="AX129" s="52"/>
      <c r="AY129" s="52"/>
      <c r="AZ129" s="52"/>
      <c r="BA129" s="52"/>
      <c r="BB129" s="52">
        <f t="shared" si="144"/>
        <v>0</v>
      </c>
      <c r="BC129" s="52"/>
      <c r="BD129" s="52">
        <f t="shared" si="85"/>
        <v>0</v>
      </c>
      <c r="BE129" s="52"/>
      <c r="BF129" s="52"/>
      <c r="BG129" s="52"/>
      <c r="BH129" s="52"/>
      <c r="BI129" s="52">
        <f t="shared" si="145"/>
        <v>0</v>
      </c>
      <c r="BJ129" s="52"/>
      <c r="BK129" s="52">
        <f t="shared" si="107"/>
        <v>0</v>
      </c>
      <c r="BL129" s="52"/>
      <c r="BM129" s="52"/>
      <c r="BN129" s="52"/>
      <c r="BO129" s="52"/>
      <c r="BP129" s="52">
        <f t="shared" si="146"/>
        <v>0</v>
      </c>
      <c r="BQ129" s="52"/>
      <c r="BR129" s="52">
        <f t="shared" si="86"/>
        <v>0</v>
      </c>
      <c r="BS129" s="52"/>
      <c r="BT129" s="52"/>
      <c r="BU129" s="63"/>
      <c r="BV129" s="66"/>
      <c r="BW129" s="52">
        <f t="shared" si="147"/>
        <v>0</v>
      </c>
      <c r="BX129" s="52"/>
      <c r="BY129" s="52">
        <f t="shared" si="87"/>
        <v>0</v>
      </c>
      <c r="BZ129" s="63"/>
      <c r="CA129" s="63"/>
      <c r="CB129" s="63"/>
      <c r="CC129" s="63"/>
      <c r="CD129" s="52">
        <f t="shared" si="148"/>
        <v>0</v>
      </c>
      <c r="CE129" s="52">
        <f t="shared" si="148"/>
        <v>0</v>
      </c>
      <c r="CF129" s="63"/>
      <c r="CG129" s="63"/>
      <c r="CH129" s="63"/>
      <c r="CI129" s="63"/>
      <c r="CJ129" s="52">
        <f t="shared" si="149"/>
        <v>0</v>
      </c>
      <c r="CK129" s="52">
        <f t="shared" si="149"/>
        <v>0</v>
      </c>
      <c r="CL129" s="63"/>
      <c r="CM129" s="63"/>
      <c r="CN129" s="63"/>
      <c r="CO129" s="63"/>
      <c r="CP129" s="52">
        <f t="shared" si="150"/>
        <v>0</v>
      </c>
      <c r="CQ129" s="52">
        <f t="shared" si="150"/>
        <v>0</v>
      </c>
      <c r="CR129" s="63"/>
      <c r="CS129" s="63"/>
      <c r="CT129" s="63"/>
      <c r="CU129" s="63"/>
      <c r="CV129" s="52">
        <f t="shared" si="151"/>
        <v>0</v>
      </c>
      <c r="CW129" s="52">
        <f t="shared" si="151"/>
        <v>0</v>
      </c>
      <c r="CX129" s="63"/>
      <c r="CY129" s="63"/>
      <c r="CZ129" s="63"/>
      <c r="DA129" s="63"/>
      <c r="DB129" s="52">
        <f t="shared" si="152"/>
        <v>0</v>
      </c>
      <c r="DC129" s="52">
        <f t="shared" si="152"/>
        <v>0</v>
      </c>
      <c r="DD129" s="63"/>
      <c r="DE129" s="63"/>
      <c r="DF129" s="63"/>
      <c r="DG129" s="63"/>
      <c r="DH129" s="52">
        <f t="shared" si="153"/>
        <v>0</v>
      </c>
      <c r="DI129" s="52">
        <f t="shared" si="153"/>
        <v>0</v>
      </c>
      <c r="DJ129" s="52">
        <f t="shared" si="125"/>
        <v>0</v>
      </c>
      <c r="DK129" s="52">
        <f t="shared" si="126"/>
        <v>0</v>
      </c>
      <c r="DL129" s="52">
        <f t="shared" si="83"/>
        <v>0</v>
      </c>
      <c r="DM129" s="52">
        <f t="shared" si="127"/>
        <v>0</v>
      </c>
      <c r="DN129" s="52">
        <f t="shared" si="154"/>
        <v>0</v>
      </c>
      <c r="DO129" s="52">
        <f t="shared" si="154"/>
        <v>0</v>
      </c>
    </row>
    <row r="130" spans="1:119">
      <c r="A130" s="224">
        <v>138</v>
      </c>
      <c r="B130" s="26" t="s">
        <v>94</v>
      </c>
      <c r="C130" s="53" t="s">
        <v>189</v>
      </c>
      <c r="D130" s="227" t="s">
        <v>346</v>
      </c>
      <c r="E130" s="191" t="s">
        <v>1164</v>
      </c>
      <c r="F130" s="161">
        <f t="shared" si="128"/>
        <v>4000</v>
      </c>
      <c r="G130" s="165">
        <f t="shared" si="129"/>
        <v>4000</v>
      </c>
      <c r="H130" s="54">
        <v>0</v>
      </c>
      <c r="I130" s="219">
        <v>0</v>
      </c>
      <c r="J130" s="219">
        <v>0</v>
      </c>
      <c r="K130" s="127">
        <f t="shared" si="130"/>
        <v>0</v>
      </c>
      <c r="L130" s="127">
        <f t="shared" si="131"/>
        <v>0</v>
      </c>
      <c r="M130" s="127">
        <f t="shared" si="132"/>
        <v>0</v>
      </c>
      <c r="N130" s="127">
        <f t="shared" si="61"/>
        <v>4000</v>
      </c>
      <c r="O130" s="125" t="str">
        <f t="shared" si="133"/>
        <v>ნულოვანი შესრულება</v>
      </c>
      <c r="P130" s="52"/>
      <c r="Q130" s="52"/>
      <c r="R130" s="52">
        <f t="shared" si="134"/>
        <v>0</v>
      </c>
      <c r="S130" s="52">
        <f t="shared" si="135"/>
        <v>0</v>
      </c>
      <c r="T130" s="52"/>
      <c r="U130" s="52"/>
      <c r="V130" s="52"/>
      <c r="W130" s="52"/>
      <c r="X130" s="52">
        <f t="shared" si="136"/>
        <v>0</v>
      </c>
      <c r="Y130" s="52">
        <f t="shared" si="136"/>
        <v>0</v>
      </c>
      <c r="Z130" s="52"/>
      <c r="AA130" s="52"/>
      <c r="AB130" s="52"/>
      <c r="AC130" s="52"/>
      <c r="AD130" s="52">
        <f t="shared" si="137"/>
        <v>0</v>
      </c>
      <c r="AE130" s="52">
        <f t="shared" si="137"/>
        <v>0</v>
      </c>
      <c r="AF130" s="52">
        <f t="shared" si="138"/>
        <v>0</v>
      </c>
      <c r="AG130" s="52">
        <f t="shared" si="139"/>
        <v>0</v>
      </c>
      <c r="AH130" s="52">
        <f t="shared" si="139"/>
        <v>0</v>
      </c>
      <c r="AI130" s="52">
        <f t="shared" si="140"/>
        <v>0</v>
      </c>
      <c r="AJ130" s="52">
        <f t="shared" si="141"/>
        <v>0</v>
      </c>
      <c r="AK130" s="52">
        <f t="shared" si="141"/>
        <v>0</v>
      </c>
      <c r="AL130" s="52"/>
      <c r="AM130" s="52"/>
      <c r="AN130" s="52"/>
      <c r="AO130" s="52"/>
      <c r="AP130" s="52">
        <f t="shared" si="142"/>
        <v>0</v>
      </c>
      <c r="AQ130" s="52">
        <f t="shared" si="142"/>
        <v>0</v>
      </c>
      <c r="AR130" s="52"/>
      <c r="AS130" s="52"/>
      <c r="AT130" s="52">
        <v>4000</v>
      </c>
      <c r="AU130" s="52"/>
      <c r="AV130" s="52">
        <f t="shared" si="143"/>
        <v>4000</v>
      </c>
      <c r="AW130" s="52">
        <f t="shared" si="143"/>
        <v>0</v>
      </c>
      <c r="AX130" s="52"/>
      <c r="AY130" s="52"/>
      <c r="AZ130" s="52"/>
      <c r="BA130" s="52"/>
      <c r="BB130" s="52">
        <f t="shared" si="144"/>
        <v>0</v>
      </c>
      <c r="BC130" s="52"/>
      <c r="BD130" s="52">
        <f t="shared" si="85"/>
        <v>0</v>
      </c>
      <c r="BE130" s="52"/>
      <c r="BF130" s="52"/>
      <c r="BG130" s="52"/>
      <c r="BH130" s="52"/>
      <c r="BI130" s="52">
        <f t="shared" si="145"/>
        <v>0</v>
      </c>
      <c r="BJ130" s="52"/>
      <c r="BK130" s="52">
        <f t="shared" si="107"/>
        <v>0</v>
      </c>
      <c r="BL130" s="52"/>
      <c r="BM130" s="52"/>
      <c r="BN130" s="52"/>
      <c r="BO130" s="52"/>
      <c r="BP130" s="52">
        <f t="shared" si="146"/>
        <v>0</v>
      </c>
      <c r="BQ130" s="52"/>
      <c r="BR130" s="52">
        <f t="shared" si="86"/>
        <v>0</v>
      </c>
      <c r="BS130" s="52"/>
      <c r="BT130" s="52"/>
      <c r="BU130" s="52"/>
      <c r="BV130" s="52"/>
      <c r="BW130" s="52">
        <f t="shared" si="147"/>
        <v>0</v>
      </c>
      <c r="BX130" s="52"/>
      <c r="BY130" s="52">
        <f t="shared" si="87"/>
        <v>0</v>
      </c>
      <c r="BZ130" s="52"/>
      <c r="CA130" s="52"/>
      <c r="CB130" s="52"/>
      <c r="CC130" s="52"/>
      <c r="CD130" s="52">
        <f t="shared" si="148"/>
        <v>0</v>
      </c>
      <c r="CE130" s="52">
        <f t="shared" si="148"/>
        <v>0</v>
      </c>
      <c r="CF130" s="52"/>
      <c r="CG130" s="52"/>
      <c r="CH130" s="52"/>
      <c r="CI130" s="52"/>
      <c r="CJ130" s="52">
        <f t="shared" si="149"/>
        <v>0</v>
      </c>
      <c r="CK130" s="52">
        <f t="shared" si="149"/>
        <v>0</v>
      </c>
      <c r="CL130" s="52"/>
      <c r="CM130" s="52"/>
      <c r="CN130" s="52"/>
      <c r="CO130" s="52"/>
      <c r="CP130" s="52">
        <f t="shared" si="150"/>
        <v>0</v>
      </c>
      <c r="CQ130" s="52">
        <f t="shared" si="150"/>
        <v>0</v>
      </c>
      <c r="CR130" s="52"/>
      <c r="CS130" s="52"/>
      <c r="CT130" s="52"/>
      <c r="CU130" s="52"/>
      <c r="CV130" s="52">
        <f t="shared" si="151"/>
        <v>0</v>
      </c>
      <c r="CW130" s="52">
        <f t="shared" si="151"/>
        <v>0</v>
      </c>
      <c r="CX130" s="52"/>
      <c r="CY130" s="52"/>
      <c r="CZ130" s="52"/>
      <c r="DA130" s="52"/>
      <c r="DB130" s="52">
        <f t="shared" si="152"/>
        <v>0</v>
      </c>
      <c r="DC130" s="52">
        <f t="shared" si="152"/>
        <v>0</v>
      </c>
      <c r="DD130" s="52"/>
      <c r="DE130" s="52"/>
      <c r="DF130" s="52"/>
      <c r="DG130" s="52"/>
      <c r="DH130" s="52">
        <f t="shared" si="153"/>
        <v>0</v>
      </c>
      <c r="DI130" s="52">
        <f t="shared" si="153"/>
        <v>0</v>
      </c>
      <c r="DJ130" s="52">
        <f t="shared" si="125"/>
        <v>0</v>
      </c>
      <c r="DK130" s="52">
        <f t="shared" si="126"/>
        <v>0</v>
      </c>
      <c r="DL130" s="52">
        <f t="shared" si="83"/>
        <v>4000</v>
      </c>
      <c r="DM130" s="52">
        <f t="shared" si="127"/>
        <v>0</v>
      </c>
      <c r="DN130" s="52">
        <f t="shared" si="154"/>
        <v>4000</v>
      </c>
      <c r="DO130" s="52">
        <f t="shared" si="154"/>
        <v>0</v>
      </c>
    </row>
    <row r="131" spans="1:119">
      <c r="A131" s="224">
        <v>139</v>
      </c>
      <c r="B131" s="26" t="s">
        <v>202</v>
      </c>
      <c r="C131" s="53" t="s">
        <v>276</v>
      </c>
      <c r="D131" s="227" t="s">
        <v>347</v>
      </c>
      <c r="E131" s="191" t="s">
        <v>1164</v>
      </c>
      <c r="F131" s="161">
        <f t="shared" si="128"/>
        <v>0</v>
      </c>
      <c r="G131" s="165">
        <f t="shared" si="129"/>
        <v>1029</v>
      </c>
      <c r="H131" s="54"/>
      <c r="I131" s="219">
        <v>0</v>
      </c>
      <c r="J131" s="219">
        <v>0</v>
      </c>
      <c r="K131" s="127">
        <f t="shared" si="130"/>
        <v>1029</v>
      </c>
      <c r="L131" s="127">
        <f t="shared" si="131"/>
        <v>1029</v>
      </c>
      <c r="M131" s="127">
        <f t="shared" si="132"/>
        <v>1029</v>
      </c>
      <c r="N131" s="127">
        <f t="shared" si="61"/>
        <v>0</v>
      </c>
      <c r="O131" s="125">
        <f t="shared" si="133"/>
        <v>1029</v>
      </c>
      <c r="P131" s="52"/>
      <c r="Q131" s="52">
        <v>1029</v>
      </c>
      <c r="R131" s="52">
        <f t="shared" si="134"/>
        <v>0</v>
      </c>
      <c r="S131" s="52">
        <f t="shared" si="135"/>
        <v>1029</v>
      </c>
      <c r="T131" s="52"/>
      <c r="U131" s="52"/>
      <c r="V131" s="52"/>
      <c r="W131" s="52"/>
      <c r="X131" s="52">
        <f t="shared" si="136"/>
        <v>0</v>
      </c>
      <c r="Y131" s="52">
        <f t="shared" si="136"/>
        <v>0</v>
      </c>
      <c r="Z131" s="52"/>
      <c r="AA131" s="52"/>
      <c r="AB131" s="52"/>
      <c r="AC131" s="52"/>
      <c r="AD131" s="52">
        <f t="shared" si="137"/>
        <v>0</v>
      </c>
      <c r="AE131" s="52">
        <f t="shared" si="137"/>
        <v>0</v>
      </c>
      <c r="AF131" s="52">
        <f t="shared" si="138"/>
        <v>0</v>
      </c>
      <c r="AG131" s="52">
        <f t="shared" si="139"/>
        <v>0</v>
      </c>
      <c r="AH131" s="52">
        <f t="shared" si="139"/>
        <v>1029</v>
      </c>
      <c r="AI131" s="52">
        <f t="shared" si="140"/>
        <v>1029</v>
      </c>
      <c r="AJ131" s="52">
        <f t="shared" si="141"/>
        <v>1029</v>
      </c>
      <c r="AK131" s="52">
        <f t="shared" si="141"/>
        <v>1029</v>
      </c>
      <c r="AL131" s="63"/>
      <c r="AM131" s="63"/>
      <c r="AN131" s="52"/>
      <c r="AO131" s="52"/>
      <c r="AP131" s="52">
        <f t="shared" si="142"/>
        <v>0</v>
      </c>
      <c r="AQ131" s="52">
        <f t="shared" si="142"/>
        <v>0</v>
      </c>
      <c r="AR131" s="52"/>
      <c r="AS131" s="52"/>
      <c r="AT131" s="52"/>
      <c r="AU131" s="52"/>
      <c r="AV131" s="52">
        <f t="shared" si="143"/>
        <v>0</v>
      </c>
      <c r="AW131" s="52">
        <f t="shared" si="143"/>
        <v>0</v>
      </c>
      <c r="AX131" s="52"/>
      <c r="AY131" s="52"/>
      <c r="AZ131" s="52"/>
      <c r="BA131" s="52"/>
      <c r="BB131" s="52">
        <f t="shared" si="144"/>
        <v>0</v>
      </c>
      <c r="BC131" s="52"/>
      <c r="BD131" s="52">
        <f t="shared" si="85"/>
        <v>0</v>
      </c>
      <c r="BE131" s="52"/>
      <c r="BF131" s="52"/>
      <c r="BG131" s="52"/>
      <c r="BH131" s="52"/>
      <c r="BI131" s="52">
        <f t="shared" si="145"/>
        <v>0</v>
      </c>
      <c r="BJ131" s="52"/>
      <c r="BK131" s="52">
        <f t="shared" si="107"/>
        <v>0</v>
      </c>
      <c r="BL131" s="52"/>
      <c r="BM131" s="52"/>
      <c r="BN131" s="52"/>
      <c r="BO131" s="52"/>
      <c r="BP131" s="52">
        <f t="shared" si="146"/>
        <v>0</v>
      </c>
      <c r="BQ131" s="52"/>
      <c r="BR131" s="52">
        <f t="shared" si="86"/>
        <v>0</v>
      </c>
      <c r="BS131" s="52"/>
      <c r="BT131" s="52"/>
      <c r="BU131" s="57"/>
      <c r="BV131" s="52"/>
      <c r="BW131" s="52">
        <f t="shared" si="147"/>
        <v>0</v>
      </c>
      <c r="BX131" s="52"/>
      <c r="BY131" s="52">
        <f t="shared" si="87"/>
        <v>0</v>
      </c>
      <c r="BZ131" s="52"/>
      <c r="CA131" s="52"/>
      <c r="CB131" s="52"/>
      <c r="CC131" s="52"/>
      <c r="CD131" s="52">
        <f t="shared" si="148"/>
        <v>0</v>
      </c>
      <c r="CE131" s="52">
        <f t="shared" si="148"/>
        <v>0</v>
      </c>
      <c r="CF131" s="52"/>
      <c r="CG131" s="52"/>
      <c r="CH131" s="52"/>
      <c r="CI131" s="52"/>
      <c r="CJ131" s="52">
        <f t="shared" si="149"/>
        <v>0</v>
      </c>
      <c r="CK131" s="52">
        <f t="shared" si="149"/>
        <v>0</v>
      </c>
      <c r="CL131" s="52"/>
      <c r="CM131" s="52"/>
      <c r="CN131" s="52"/>
      <c r="CO131" s="52"/>
      <c r="CP131" s="52">
        <f t="shared" si="150"/>
        <v>0</v>
      </c>
      <c r="CQ131" s="52">
        <f t="shared" si="150"/>
        <v>0</v>
      </c>
      <c r="CR131" s="52"/>
      <c r="CS131" s="52"/>
      <c r="CT131" s="52"/>
      <c r="CU131" s="52"/>
      <c r="CV131" s="52">
        <f t="shared" si="151"/>
        <v>0</v>
      </c>
      <c r="CW131" s="52">
        <f t="shared" si="151"/>
        <v>0</v>
      </c>
      <c r="CX131" s="52"/>
      <c r="CY131" s="52"/>
      <c r="CZ131" s="52"/>
      <c r="DA131" s="52"/>
      <c r="DB131" s="52">
        <f t="shared" si="152"/>
        <v>0</v>
      </c>
      <c r="DC131" s="52">
        <f t="shared" si="152"/>
        <v>0</v>
      </c>
      <c r="DD131" s="52"/>
      <c r="DE131" s="52"/>
      <c r="DF131" s="52"/>
      <c r="DG131" s="52"/>
      <c r="DH131" s="52">
        <f t="shared" si="153"/>
        <v>0</v>
      </c>
      <c r="DI131" s="52">
        <f t="shared" si="153"/>
        <v>0</v>
      </c>
      <c r="DJ131" s="52">
        <f t="shared" si="125"/>
        <v>0</v>
      </c>
      <c r="DK131" s="52">
        <f t="shared" si="126"/>
        <v>0</v>
      </c>
      <c r="DL131" s="52">
        <f t="shared" si="83"/>
        <v>0</v>
      </c>
      <c r="DM131" s="52">
        <f t="shared" si="127"/>
        <v>0</v>
      </c>
      <c r="DN131" s="52">
        <f t="shared" si="154"/>
        <v>0</v>
      </c>
      <c r="DO131" s="52">
        <f t="shared" si="154"/>
        <v>0</v>
      </c>
    </row>
    <row r="132" spans="1:119">
      <c r="A132" s="224">
        <v>140</v>
      </c>
      <c r="B132" s="26" t="s">
        <v>202</v>
      </c>
      <c r="C132" s="53" t="s">
        <v>348</v>
      </c>
      <c r="D132" s="227" t="s">
        <v>349</v>
      </c>
      <c r="E132" s="191" t="s">
        <v>1165</v>
      </c>
      <c r="F132" s="161">
        <f t="shared" si="128"/>
        <v>84342</v>
      </c>
      <c r="G132" s="165">
        <f t="shared" si="129"/>
        <v>184342</v>
      </c>
      <c r="H132" s="54">
        <v>150000</v>
      </c>
      <c r="I132" s="219">
        <v>0</v>
      </c>
      <c r="J132" s="219">
        <v>0</v>
      </c>
      <c r="K132" s="127">
        <f t="shared" si="130"/>
        <v>100000</v>
      </c>
      <c r="L132" s="127">
        <f t="shared" si="131"/>
        <v>0</v>
      </c>
      <c r="M132" s="127">
        <f t="shared" si="132"/>
        <v>100000</v>
      </c>
      <c r="N132" s="127">
        <f t="shared" si="61"/>
        <v>84342</v>
      </c>
      <c r="O132" s="125">
        <f t="shared" si="133"/>
        <v>175630.39</v>
      </c>
      <c r="P132" s="52">
        <v>100000</v>
      </c>
      <c r="Q132" s="52"/>
      <c r="R132" s="52">
        <f t="shared" si="134"/>
        <v>100000</v>
      </c>
      <c r="S132" s="52">
        <f t="shared" si="135"/>
        <v>0</v>
      </c>
      <c r="T132" s="52"/>
      <c r="U132" s="52"/>
      <c r="V132" s="52"/>
      <c r="W132" s="52"/>
      <c r="X132" s="52">
        <f t="shared" si="136"/>
        <v>0</v>
      </c>
      <c r="Y132" s="52">
        <f t="shared" si="136"/>
        <v>0</v>
      </c>
      <c r="Z132" s="52"/>
      <c r="AA132" s="52"/>
      <c r="AB132" s="52"/>
      <c r="AC132" s="52"/>
      <c r="AD132" s="52">
        <f t="shared" si="137"/>
        <v>0</v>
      </c>
      <c r="AE132" s="52">
        <f t="shared" si="137"/>
        <v>0</v>
      </c>
      <c r="AF132" s="52">
        <f t="shared" si="138"/>
        <v>100000</v>
      </c>
      <c r="AG132" s="52">
        <f t="shared" si="139"/>
        <v>100000</v>
      </c>
      <c r="AH132" s="52">
        <f t="shared" si="139"/>
        <v>0</v>
      </c>
      <c r="AI132" s="52">
        <f t="shared" si="140"/>
        <v>0</v>
      </c>
      <c r="AJ132" s="52">
        <f t="shared" si="141"/>
        <v>100000</v>
      </c>
      <c r="AK132" s="52">
        <f t="shared" si="141"/>
        <v>100000</v>
      </c>
      <c r="AL132" s="52"/>
      <c r="AM132" s="52"/>
      <c r="AN132" s="52"/>
      <c r="AO132" s="52"/>
      <c r="AP132" s="52">
        <f t="shared" si="142"/>
        <v>0</v>
      </c>
      <c r="AQ132" s="52">
        <f t="shared" si="142"/>
        <v>0</v>
      </c>
      <c r="AR132" s="52"/>
      <c r="AS132" s="52">
        <v>30000</v>
      </c>
      <c r="AT132" s="52">
        <v>50000</v>
      </c>
      <c r="AU132" s="52"/>
      <c r="AV132" s="52">
        <f t="shared" si="143"/>
        <v>50000</v>
      </c>
      <c r="AW132" s="52">
        <f t="shared" si="143"/>
        <v>30000</v>
      </c>
      <c r="AX132" s="52"/>
      <c r="AY132" s="52"/>
      <c r="AZ132" s="52"/>
      <c r="BA132" s="52"/>
      <c r="BB132" s="52">
        <f t="shared" si="144"/>
        <v>0</v>
      </c>
      <c r="BC132" s="52"/>
      <c r="BD132" s="52">
        <f t="shared" si="85"/>
        <v>0</v>
      </c>
      <c r="BE132" s="52"/>
      <c r="BF132" s="52"/>
      <c r="BG132" s="52"/>
      <c r="BH132" s="52">
        <v>45630.39</v>
      </c>
      <c r="BI132" s="52">
        <f t="shared" si="145"/>
        <v>0</v>
      </c>
      <c r="BJ132" s="52">
        <v>34342</v>
      </c>
      <c r="BK132" s="52">
        <f t="shared" si="107"/>
        <v>45630.39</v>
      </c>
      <c r="BL132" s="52"/>
      <c r="BM132" s="52"/>
      <c r="BN132" s="52"/>
      <c r="BO132" s="52"/>
      <c r="BP132" s="52">
        <f t="shared" si="146"/>
        <v>0</v>
      </c>
      <c r="BQ132" s="52"/>
      <c r="BR132" s="52">
        <f t="shared" si="86"/>
        <v>0</v>
      </c>
      <c r="BS132" s="52"/>
      <c r="BT132" s="52"/>
      <c r="BU132" s="52"/>
      <c r="BV132" s="52"/>
      <c r="BW132" s="52">
        <f t="shared" si="147"/>
        <v>0</v>
      </c>
      <c r="BX132" s="52"/>
      <c r="BY132" s="52">
        <f t="shared" si="87"/>
        <v>0</v>
      </c>
      <c r="BZ132" s="52"/>
      <c r="CA132" s="52"/>
      <c r="CB132" s="52"/>
      <c r="CC132" s="52"/>
      <c r="CD132" s="52">
        <f t="shared" si="148"/>
        <v>0</v>
      </c>
      <c r="CE132" s="52">
        <f t="shared" si="148"/>
        <v>0</v>
      </c>
      <c r="CF132" s="52"/>
      <c r="CG132" s="52"/>
      <c r="CH132" s="52"/>
      <c r="CI132" s="52"/>
      <c r="CJ132" s="52">
        <f t="shared" si="149"/>
        <v>0</v>
      </c>
      <c r="CK132" s="52">
        <f t="shared" si="149"/>
        <v>0</v>
      </c>
      <c r="CL132" s="52"/>
      <c r="CM132" s="52"/>
      <c r="CN132" s="52"/>
      <c r="CO132" s="52"/>
      <c r="CP132" s="52">
        <f t="shared" si="150"/>
        <v>0</v>
      </c>
      <c r="CQ132" s="52">
        <f t="shared" si="150"/>
        <v>0</v>
      </c>
      <c r="CR132" s="52"/>
      <c r="CS132" s="52"/>
      <c r="CT132" s="52"/>
      <c r="CU132" s="52"/>
      <c r="CV132" s="52">
        <f t="shared" si="151"/>
        <v>0</v>
      </c>
      <c r="CW132" s="52">
        <f t="shared" si="151"/>
        <v>0</v>
      </c>
      <c r="CX132" s="52"/>
      <c r="CY132" s="52"/>
      <c r="CZ132" s="52"/>
      <c r="DA132" s="52"/>
      <c r="DB132" s="52">
        <f t="shared" si="152"/>
        <v>0</v>
      </c>
      <c r="DC132" s="52">
        <f t="shared" si="152"/>
        <v>0</v>
      </c>
      <c r="DD132" s="52"/>
      <c r="DE132" s="52"/>
      <c r="DF132" s="52"/>
      <c r="DG132" s="52"/>
      <c r="DH132" s="52">
        <f t="shared" si="153"/>
        <v>0</v>
      </c>
      <c r="DI132" s="52">
        <f t="shared" si="153"/>
        <v>0</v>
      </c>
      <c r="DJ132" s="52">
        <f t="shared" si="125"/>
        <v>0</v>
      </c>
      <c r="DK132" s="52">
        <f t="shared" si="126"/>
        <v>30000</v>
      </c>
      <c r="DL132" s="52">
        <f t="shared" si="83"/>
        <v>84342</v>
      </c>
      <c r="DM132" s="52">
        <f t="shared" si="127"/>
        <v>45630.39</v>
      </c>
      <c r="DN132" s="52">
        <f t="shared" si="154"/>
        <v>84342</v>
      </c>
      <c r="DO132" s="52">
        <f t="shared" si="154"/>
        <v>75630.39</v>
      </c>
    </row>
    <row r="133" spans="1:119">
      <c r="A133" s="224">
        <v>141</v>
      </c>
      <c r="B133" s="26" t="s">
        <v>48</v>
      </c>
      <c r="C133" s="53" t="s">
        <v>350</v>
      </c>
      <c r="D133" s="227" t="s">
        <v>351</v>
      </c>
      <c r="E133" s="191" t="s">
        <v>1165</v>
      </c>
      <c r="F133" s="161">
        <f t="shared" si="128"/>
        <v>0</v>
      </c>
      <c r="G133" s="165">
        <f t="shared" si="129"/>
        <v>175232.09</v>
      </c>
      <c r="H133" s="54">
        <v>225000</v>
      </c>
      <c r="I133" s="219">
        <v>0</v>
      </c>
      <c r="J133" s="219">
        <v>0</v>
      </c>
      <c r="K133" s="127">
        <f t="shared" si="130"/>
        <v>175232.09</v>
      </c>
      <c r="L133" s="127">
        <f t="shared" si="131"/>
        <v>175232.09</v>
      </c>
      <c r="M133" s="127">
        <f t="shared" si="132"/>
        <v>175232.09</v>
      </c>
      <c r="N133" s="127">
        <f t="shared" si="61"/>
        <v>0</v>
      </c>
      <c r="O133" s="125">
        <f t="shared" si="133"/>
        <v>175232.09</v>
      </c>
      <c r="P133" s="52">
        <v>130000</v>
      </c>
      <c r="Q133" s="52"/>
      <c r="R133" s="52">
        <f t="shared" si="134"/>
        <v>130000</v>
      </c>
      <c r="S133" s="52">
        <f t="shared" si="135"/>
        <v>0</v>
      </c>
      <c r="T133" s="52"/>
      <c r="U133" s="52">
        <v>40000</v>
      </c>
      <c r="V133" s="52"/>
      <c r="W133" s="52"/>
      <c r="X133" s="52">
        <f t="shared" si="136"/>
        <v>0</v>
      </c>
      <c r="Y133" s="52">
        <f t="shared" si="136"/>
        <v>40000</v>
      </c>
      <c r="Z133" s="52"/>
      <c r="AA133" s="52"/>
      <c r="AB133" s="52"/>
      <c r="AC133" s="52">
        <v>5232.09</v>
      </c>
      <c r="AD133" s="52">
        <f t="shared" si="137"/>
        <v>0</v>
      </c>
      <c r="AE133" s="52">
        <f t="shared" si="137"/>
        <v>5232.09</v>
      </c>
      <c r="AF133" s="52">
        <f t="shared" si="138"/>
        <v>130000</v>
      </c>
      <c r="AG133" s="52">
        <f t="shared" si="139"/>
        <v>170000</v>
      </c>
      <c r="AH133" s="52">
        <f t="shared" si="139"/>
        <v>0</v>
      </c>
      <c r="AI133" s="52">
        <f t="shared" si="140"/>
        <v>5232.09</v>
      </c>
      <c r="AJ133" s="52">
        <f t="shared" si="141"/>
        <v>130000</v>
      </c>
      <c r="AK133" s="52">
        <f t="shared" si="141"/>
        <v>175232.09</v>
      </c>
      <c r="AL133" s="52"/>
      <c r="AM133" s="52"/>
      <c r="AN133" s="52"/>
      <c r="AO133" s="52"/>
      <c r="AP133" s="52">
        <f t="shared" si="142"/>
        <v>0</v>
      </c>
      <c r="AQ133" s="52">
        <f t="shared" si="142"/>
        <v>0</v>
      </c>
      <c r="AR133" s="52"/>
      <c r="AS133" s="52"/>
      <c r="AT133" s="52"/>
      <c r="AU133" s="52"/>
      <c r="AV133" s="52">
        <f t="shared" si="143"/>
        <v>0</v>
      </c>
      <c r="AW133" s="52">
        <f t="shared" si="143"/>
        <v>0</v>
      </c>
      <c r="AX133" s="52"/>
      <c r="AY133" s="52"/>
      <c r="AZ133" s="52"/>
      <c r="BA133" s="52"/>
      <c r="BB133" s="52">
        <f t="shared" si="144"/>
        <v>0</v>
      </c>
      <c r="BC133" s="52"/>
      <c r="BD133" s="52">
        <f t="shared" si="85"/>
        <v>0</v>
      </c>
      <c r="BE133" s="52"/>
      <c r="BF133" s="52"/>
      <c r="BG133" s="52"/>
      <c r="BH133" s="52"/>
      <c r="BI133" s="52">
        <f t="shared" si="145"/>
        <v>0</v>
      </c>
      <c r="BJ133" s="52"/>
      <c r="BK133" s="52">
        <f t="shared" si="107"/>
        <v>0</v>
      </c>
      <c r="BL133" s="52"/>
      <c r="BM133" s="52"/>
      <c r="BN133" s="52"/>
      <c r="BO133" s="52"/>
      <c r="BP133" s="52">
        <f t="shared" si="146"/>
        <v>0</v>
      </c>
      <c r="BQ133" s="52"/>
      <c r="BR133" s="52">
        <f t="shared" si="86"/>
        <v>0</v>
      </c>
      <c r="BS133" s="52"/>
      <c r="BT133" s="52"/>
      <c r="BU133" s="52"/>
      <c r="BV133" s="52"/>
      <c r="BW133" s="52">
        <f t="shared" si="147"/>
        <v>0</v>
      </c>
      <c r="BX133" s="52"/>
      <c r="BY133" s="52">
        <f t="shared" si="87"/>
        <v>0</v>
      </c>
      <c r="BZ133" s="52"/>
      <c r="CA133" s="52"/>
      <c r="CB133" s="52"/>
      <c r="CC133" s="52"/>
      <c r="CD133" s="52">
        <f t="shared" si="148"/>
        <v>0</v>
      </c>
      <c r="CE133" s="52">
        <f t="shared" si="148"/>
        <v>0</v>
      </c>
      <c r="CF133" s="52"/>
      <c r="CG133" s="52"/>
      <c r="CH133" s="52"/>
      <c r="CI133" s="52"/>
      <c r="CJ133" s="52">
        <f t="shared" si="149"/>
        <v>0</v>
      </c>
      <c r="CK133" s="52">
        <f t="shared" si="149"/>
        <v>0</v>
      </c>
      <c r="CL133" s="52"/>
      <c r="CM133" s="52"/>
      <c r="CN133" s="52"/>
      <c r="CO133" s="52"/>
      <c r="CP133" s="52">
        <f t="shared" si="150"/>
        <v>0</v>
      </c>
      <c r="CQ133" s="52">
        <f t="shared" si="150"/>
        <v>0</v>
      </c>
      <c r="CR133" s="52"/>
      <c r="CS133" s="52"/>
      <c r="CT133" s="52"/>
      <c r="CU133" s="52"/>
      <c r="CV133" s="52">
        <f t="shared" si="151"/>
        <v>0</v>
      </c>
      <c r="CW133" s="52">
        <f t="shared" si="151"/>
        <v>0</v>
      </c>
      <c r="CX133" s="52"/>
      <c r="CY133" s="52"/>
      <c r="CZ133" s="52"/>
      <c r="DA133" s="52"/>
      <c r="DB133" s="52">
        <f t="shared" si="152"/>
        <v>0</v>
      </c>
      <c r="DC133" s="52">
        <f t="shared" si="152"/>
        <v>0</v>
      </c>
      <c r="DD133" s="52"/>
      <c r="DE133" s="52"/>
      <c r="DF133" s="52"/>
      <c r="DG133" s="52"/>
      <c r="DH133" s="52">
        <f t="shared" si="153"/>
        <v>0</v>
      </c>
      <c r="DI133" s="52">
        <f t="shared" si="153"/>
        <v>0</v>
      </c>
      <c r="DJ133" s="52">
        <f t="shared" si="125"/>
        <v>0</v>
      </c>
      <c r="DK133" s="52">
        <f t="shared" si="126"/>
        <v>0</v>
      </c>
      <c r="DL133" s="52">
        <f t="shared" si="83"/>
        <v>0</v>
      </c>
      <c r="DM133" s="52">
        <f t="shared" si="127"/>
        <v>0</v>
      </c>
      <c r="DN133" s="52">
        <f t="shared" si="154"/>
        <v>0</v>
      </c>
      <c r="DO133" s="52">
        <f t="shared" si="154"/>
        <v>0</v>
      </c>
    </row>
    <row r="134" spans="1:119">
      <c r="A134" s="224">
        <v>142</v>
      </c>
      <c r="B134" s="26" t="s">
        <v>58</v>
      </c>
      <c r="C134" s="53" t="s">
        <v>352</v>
      </c>
      <c r="D134" s="227" t="s">
        <v>353</v>
      </c>
      <c r="E134" s="191" t="s">
        <v>1165</v>
      </c>
      <c r="F134" s="161">
        <f t="shared" si="128"/>
        <v>89229</v>
      </c>
      <c r="G134" s="165">
        <f t="shared" si="129"/>
        <v>139229</v>
      </c>
      <c r="H134" s="54">
        <v>110000</v>
      </c>
      <c r="I134" s="219">
        <v>0</v>
      </c>
      <c r="J134" s="219">
        <v>0</v>
      </c>
      <c r="K134" s="127">
        <f t="shared" si="130"/>
        <v>50000</v>
      </c>
      <c r="L134" s="127">
        <f t="shared" si="131"/>
        <v>0</v>
      </c>
      <c r="M134" s="127">
        <f t="shared" si="132"/>
        <v>50000</v>
      </c>
      <c r="N134" s="127">
        <f t="shared" si="61"/>
        <v>89229</v>
      </c>
      <c r="O134" s="125" t="str">
        <f t="shared" si="133"/>
        <v>მიმდინარეობს</v>
      </c>
      <c r="P134" s="52">
        <v>50000</v>
      </c>
      <c r="Q134" s="52"/>
      <c r="R134" s="52">
        <f t="shared" si="134"/>
        <v>50000</v>
      </c>
      <c r="S134" s="52">
        <f t="shared" si="135"/>
        <v>0</v>
      </c>
      <c r="T134" s="52"/>
      <c r="U134" s="52"/>
      <c r="V134" s="52"/>
      <c r="W134" s="52"/>
      <c r="X134" s="52">
        <f t="shared" si="136"/>
        <v>0</v>
      </c>
      <c r="Y134" s="52">
        <f t="shared" si="136"/>
        <v>0</v>
      </c>
      <c r="Z134" s="52"/>
      <c r="AA134" s="52"/>
      <c r="AB134" s="52"/>
      <c r="AC134" s="52"/>
      <c r="AD134" s="52">
        <f t="shared" si="137"/>
        <v>0</v>
      </c>
      <c r="AE134" s="52">
        <f t="shared" si="137"/>
        <v>0</v>
      </c>
      <c r="AF134" s="52">
        <f t="shared" si="138"/>
        <v>50000</v>
      </c>
      <c r="AG134" s="52">
        <f t="shared" si="139"/>
        <v>50000</v>
      </c>
      <c r="AH134" s="52">
        <f t="shared" si="139"/>
        <v>0</v>
      </c>
      <c r="AI134" s="52">
        <f t="shared" si="140"/>
        <v>0</v>
      </c>
      <c r="AJ134" s="52">
        <f t="shared" si="141"/>
        <v>50000</v>
      </c>
      <c r="AK134" s="52">
        <f t="shared" si="141"/>
        <v>50000</v>
      </c>
      <c r="AL134" s="52"/>
      <c r="AM134" s="52"/>
      <c r="AN134" s="52"/>
      <c r="AO134" s="52"/>
      <c r="AP134" s="52">
        <f t="shared" si="142"/>
        <v>0</v>
      </c>
      <c r="AQ134" s="52">
        <f t="shared" si="142"/>
        <v>0</v>
      </c>
      <c r="AR134" s="52"/>
      <c r="AS134" s="52"/>
      <c r="AT134" s="52"/>
      <c r="AU134" s="52"/>
      <c r="AV134" s="52">
        <f t="shared" si="143"/>
        <v>0</v>
      </c>
      <c r="AW134" s="52">
        <f t="shared" si="143"/>
        <v>0</v>
      </c>
      <c r="AX134" s="52"/>
      <c r="AY134" s="52">
        <v>50000</v>
      </c>
      <c r="AZ134" s="52"/>
      <c r="BA134" s="52"/>
      <c r="BB134" s="52">
        <f t="shared" si="144"/>
        <v>0</v>
      </c>
      <c r="BC134" s="52">
        <v>50000</v>
      </c>
      <c r="BD134" s="52">
        <f t="shared" si="85"/>
        <v>50000</v>
      </c>
      <c r="BE134" s="52"/>
      <c r="BF134" s="52">
        <v>3000</v>
      </c>
      <c r="BG134" s="52"/>
      <c r="BH134" s="52"/>
      <c r="BI134" s="52">
        <f t="shared" si="145"/>
        <v>0</v>
      </c>
      <c r="BJ134" s="52">
        <v>3000</v>
      </c>
      <c r="BK134" s="52">
        <f t="shared" si="107"/>
        <v>3000</v>
      </c>
      <c r="BL134" s="52"/>
      <c r="BM134" s="52">
        <v>32000</v>
      </c>
      <c r="BN134" s="52"/>
      <c r="BO134" s="52"/>
      <c r="BP134" s="52">
        <f t="shared" si="146"/>
        <v>0</v>
      </c>
      <c r="BQ134" s="52">
        <v>32000</v>
      </c>
      <c r="BR134" s="52">
        <f t="shared" si="86"/>
        <v>32000</v>
      </c>
      <c r="BS134" s="52"/>
      <c r="BT134" s="52"/>
      <c r="BU134" s="52"/>
      <c r="BV134" s="52"/>
      <c r="BW134" s="52">
        <f t="shared" si="147"/>
        <v>0</v>
      </c>
      <c r="BX134" s="52">
        <v>4229</v>
      </c>
      <c r="BY134" s="52">
        <f t="shared" si="87"/>
        <v>0</v>
      </c>
      <c r="BZ134" s="52"/>
      <c r="CA134" s="52"/>
      <c r="CB134" s="52"/>
      <c r="CC134" s="52"/>
      <c r="CD134" s="52">
        <f t="shared" si="148"/>
        <v>0</v>
      </c>
      <c r="CE134" s="52">
        <f t="shared" si="148"/>
        <v>0</v>
      </c>
      <c r="CF134" s="52"/>
      <c r="CG134" s="52"/>
      <c r="CH134" s="52"/>
      <c r="CI134" s="52"/>
      <c r="CJ134" s="52">
        <f t="shared" si="149"/>
        <v>0</v>
      </c>
      <c r="CK134" s="52">
        <f t="shared" si="149"/>
        <v>0</v>
      </c>
      <c r="CL134" s="52"/>
      <c r="CM134" s="52"/>
      <c r="CN134" s="52"/>
      <c r="CO134" s="52"/>
      <c r="CP134" s="52">
        <f t="shared" si="150"/>
        <v>0</v>
      </c>
      <c r="CQ134" s="52">
        <f t="shared" si="150"/>
        <v>0</v>
      </c>
      <c r="CR134" s="52"/>
      <c r="CS134" s="52"/>
      <c r="CT134" s="52"/>
      <c r="CU134" s="52"/>
      <c r="CV134" s="52">
        <f t="shared" si="151"/>
        <v>0</v>
      </c>
      <c r="CW134" s="52">
        <f t="shared" si="151"/>
        <v>0</v>
      </c>
      <c r="CX134" s="52"/>
      <c r="CY134" s="52"/>
      <c r="CZ134" s="52"/>
      <c r="DA134" s="52"/>
      <c r="DB134" s="52">
        <f t="shared" si="152"/>
        <v>0</v>
      </c>
      <c r="DC134" s="52">
        <f t="shared" si="152"/>
        <v>0</v>
      </c>
      <c r="DD134" s="52"/>
      <c r="DE134" s="52"/>
      <c r="DF134" s="52"/>
      <c r="DG134" s="52"/>
      <c r="DH134" s="52">
        <f t="shared" si="153"/>
        <v>0</v>
      </c>
      <c r="DI134" s="52">
        <f t="shared" si="153"/>
        <v>0</v>
      </c>
      <c r="DJ134" s="52">
        <f t="shared" si="125"/>
        <v>0</v>
      </c>
      <c r="DK134" s="52">
        <f t="shared" si="126"/>
        <v>85000</v>
      </c>
      <c r="DL134" s="52">
        <f t="shared" si="83"/>
        <v>89229</v>
      </c>
      <c r="DM134" s="52">
        <f t="shared" si="127"/>
        <v>0</v>
      </c>
      <c r="DN134" s="52">
        <f t="shared" si="154"/>
        <v>89229</v>
      </c>
      <c r="DO134" s="52">
        <f t="shared" si="154"/>
        <v>85000</v>
      </c>
    </row>
    <row r="135" spans="1:119">
      <c r="A135" s="224">
        <v>143</v>
      </c>
      <c r="B135" s="26" t="s">
        <v>202</v>
      </c>
      <c r="C135" s="53" t="s">
        <v>348</v>
      </c>
      <c r="D135" s="228" t="s">
        <v>354</v>
      </c>
      <c r="E135" s="198" t="s">
        <v>1164</v>
      </c>
      <c r="F135" s="161">
        <f t="shared" si="128"/>
        <v>0</v>
      </c>
      <c r="G135" s="165">
        <f t="shared" si="129"/>
        <v>2800</v>
      </c>
      <c r="H135" s="60"/>
      <c r="I135" s="220">
        <v>0</v>
      </c>
      <c r="J135" s="220">
        <v>0</v>
      </c>
      <c r="K135" s="127">
        <f t="shared" si="130"/>
        <v>2800</v>
      </c>
      <c r="L135" s="127">
        <f t="shared" si="131"/>
        <v>2800</v>
      </c>
      <c r="M135" s="127">
        <f t="shared" si="132"/>
        <v>2800</v>
      </c>
      <c r="N135" s="127">
        <f t="shared" si="61"/>
        <v>0</v>
      </c>
      <c r="O135" s="125">
        <f t="shared" si="133"/>
        <v>2800</v>
      </c>
      <c r="P135" s="52"/>
      <c r="Q135" s="52">
        <v>2800</v>
      </c>
      <c r="R135" s="52">
        <f t="shared" si="134"/>
        <v>0</v>
      </c>
      <c r="S135" s="52">
        <f t="shared" si="135"/>
        <v>2800</v>
      </c>
      <c r="T135" s="52"/>
      <c r="U135" s="52"/>
      <c r="V135" s="52"/>
      <c r="W135" s="52"/>
      <c r="X135" s="52">
        <f t="shared" si="136"/>
        <v>0</v>
      </c>
      <c r="Y135" s="52">
        <f t="shared" si="136"/>
        <v>0</v>
      </c>
      <c r="Z135" s="52"/>
      <c r="AA135" s="52"/>
      <c r="AB135" s="52"/>
      <c r="AC135" s="52"/>
      <c r="AD135" s="52">
        <f t="shared" si="137"/>
        <v>0</v>
      </c>
      <c r="AE135" s="52">
        <f t="shared" si="137"/>
        <v>0</v>
      </c>
      <c r="AF135" s="52">
        <f t="shared" si="138"/>
        <v>0</v>
      </c>
      <c r="AG135" s="52">
        <f t="shared" si="139"/>
        <v>0</v>
      </c>
      <c r="AH135" s="52">
        <f t="shared" si="139"/>
        <v>2800</v>
      </c>
      <c r="AI135" s="52">
        <f t="shared" si="140"/>
        <v>2800</v>
      </c>
      <c r="AJ135" s="52">
        <f t="shared" si="141"/>
        <v>2800</v>
      </c>
      <c r="AK135" s="52">
        <f t="shared" si="141"/>
        <v>2800</v>
      </c>
      <c r="AL135" s="52"/>
      <c r="AM135" s="52"/>
      <c r="AN135" s="52"/>
      <c r="AO135" s="52"/>
      <c r="AP135" s="52">
        <f t="shared" si="142"/>
        <v>0</v>
      </c>
      <c r="AQ135" s="52">
        <f t="shared" si="142"/>
        <v>0</v>
      </c>
      <c r="AR135" s="52"/>
      <c r="AS135" s="52"/>
      <c r="AT135" s="52"/>
      <c r="AU135" s="52"/>
      <c r="AV135" s="52">
        <f t="shared" si="143"/>
        <v>0</v>
      </c>
      <c r="AW135" s="52">
        <f t="shared" si="143"/>
        <v>0</v>
      </c>
      <c r="AX135" s="52"/>
      <c r="AY135" s="52"/>
      <c r="AZ135" s="52"/>
      <c r="BA135" s="52"/>
      <c r="BB135" s="52">
        <f t="shared" si="144"/>
        <v>0</v>
      </c>
      <c r="BC135" s="52"/>
      <c r="BD135" s="52">
        <f t="shared" si="85"/>
        <v>0</v>
      </c>
      <c r="BE135" s="52"/>
      <c r="BF135" s="52"/>
      <c r="BG135" s="52"/>
      <c r="BH135" s="52"/>
      <c r="BI135" s="52">
        <f t="shared" si="145"/>
        <v>0</v>
      </c>
      <c r="BJ135" s="52"/>
      <c r="BK135" s="52">
        <f t="shared" si="107"/>
        <v>0</v>
      </c>
      <c r="BL135" s="52"/>
      <c r="BM135" s="52"/>
      <c r="BN135" s="52"/>
      <c r="BO135" s="52"/>
      <c r="BP135" s="52">
        <f t="shared" si="146"/>
        <v>0</v>
      </c>
      <c r="BQ135" s="52"/>
      <c r="BR135" s="52">
        <f t="shared" si="86"/>
        <v>0</v>
      </c>
      <c r="BS135" s="52"/>
      <c r="BT135" s="52"/>
      <c r="BU135" s="52"/>
      <c r="BV135" s="52"/>
      <c r="BW135" s="52">
        <f t="shared" si="147"/>
        <v>0</v>
      </c>
      <c r="BX135" s="52"/>
      <c r="BY135" s="52">
        <f t="shared" si="87"/>
        <v>0</v>
      </c>
      <c r="BZ135" s="52"/>
      <c r="CA135" s="52"/>
      <c r="CB135" s="52"/>
      <c r="CC135" s="52"/>
      <c r="CD135" s="52">
        <f t="shared" si="148"/>
        <v>0</v>
      </c>
      <c r="CE135" s="52">
        <f t="shared" si="148"/>
        <v>0</v>
      </c>
      <c r="CF135" s="52"/>
      <c r="CG135" s="52"/>
      <c r="CH135" s="52"/>
      <c r="CI135" s="52"/>
      <c r="CJ135" s="52">
        <f t="shared" si="149"/>
        <v>0</v>
      </c>
      <c r="CK135" s="52">
        <f t="shared" si="149"/>
        <v>0</v>
      </c>
      <c r="CL135" s="52"/>
      <c r="CM135" s="52"/>
      <c r="CN135" s="52"/>
      <c r="CO135" s="52"/>
      <c r="CP135" s="52">
        <f t="shared" si="150"/>
        <v>0</v>
      </c>
      <c r="CQ135" s="52">
        <f t="shared" si="150"/>
        <v>0</v>
      </c>
      <c r="CR135" s="52"/>
      <c r="CS135" s="52"/>
      <c r="CT135" s="52"/>
      <c r="CU135" s="52"/>
      <c r="CV135" s="52">
        <f t="shared" si="151"/>
        <v>0</v>
      </c>
      <c r="CW135" s="52">
        <f t="shared" si="151"/>
        <v>0</v>
      </c>
      <c r="CX135" s="52"/>
      <c r="CY135" s="52"/>
      <c r="CZ135" s="52"/>
      <c r="DA135" s="52"/>
      <c r="DB135" s="52">
        <f t="shared" si="152"/>
        <v>0</v>
      </c>
      <c r="DC135" s="52">
        <f t="shared" si="152"/>
        <v>0</v>
      </c>
      <c r="DD135" s="52"/>
      <c r="DE135" s="52"/>
      <c r="DF135" s="52"/>
      <c r="DG135" s="52"/>
      <c r="DH135" s="52">
        <f t="shared" si="153"/>
        <v>0</v>
      </c>
      <c r="DI135" s="52">
        <f t="shared" si="153"/>
        <v>0</v>
      </c>
      <c r="DJ135" s="52">
        <f t="shared" si="125"/>
        <v>0</v>
      </c>
      <c r="DK135" s="52">
        <f t="shared" si="126"/>
        <v>0</v>
      </c>
      <c r="DL135" s="52">
        <f t="shared" si="83"/>
        <v>0</v>
      </c>
      <c r="DM135" s="52">
        <f t="shared" si="127"/>
        <v>0</v>
      </c>
      <c r="DN135" s="52">
        <f t="shared" si="154"/>
        <v>0</v>
      </c>
      <c r="DO135" s="52">
        <f t="shared" si="154"/>
        <v>0</v>
      </c>
    </row>
    <row r="136" spans="1:119">
      <c r="A136" s="224">
        <v>144</v>
      </c>
      <c r="B136" s="26" t="s">
        <v>202</v>
      </c>
      <c r="C136" s="53" t="s">
        <v>355</v>
      </c>
      <c r="D136" s="227" t="s">
        <v>356</v>
      </c>
      <c r="E136" s="191" t="s">
        <v>1165</v>
      </c>
      <c r="F136" s="161">
        <f t="shared" si="128"/>
        <v>0</v>
      </c>
      <c r="G136" s="165">
        <f t="shared" si="129"/>
        <v>69888.160000000003</v>
      </c>
      <c r="H136" s="54">
        <v>100000</v>
      </c>
      <c r="I136" s="219">
        <v>0</v>
      </c>
      <c r="J136" s="219">
        <v>0</v>
      </c>
      <c r="K136" s="127">
        <f t="shared" si="130"/>
        <v>69888.160000000003</v>
      </c>
      <c r="L136" s="127">
        <f t="shared" si="131"/>
        <v>69888.160000000003</v>
      </c>
      <c r="M136" s="127">
        <f t="shared" si="132"/>
        <v>69888.160000000003</v>
      </c>
      <c r="N136" s="127">
        <f t="shared" si="61"/>
        <v>0</v>
      </c>
      <c r="O136" s="125">
        <f t="shared" si="133"/>
        <v>69888.160000000003</v>
      </c>
      <c r="P136" s="52">
        <v>50000</v>
      </c>
      <c r="Q136" s="52"/>
      <c r="R136" s="52">
        <f t="shared" si="134"/>
        <v>50000</v>
      </c>
      <c r="S136" s="52">
        <f t="shared" si="135"/>
        <v>0</v>
      </c>
      <c r="T136" s="52"/>
      <c r="U136" s="52">
        <v>15000</v>
      </c>
      <c r="V136" s="52"/>
      <c r="W136" s="52"/>
      <c r="X136" s="52">
        <f t="shared" si="136"/>
        <v>0</v>
      </c>
      <c r="Y136" s="52">
        <f t="shared" si="136"/>
        <v>15000</v>
      </c>
      <c r="Z136" s="52"/>
      <c r="AA136" s="52"/>
      <c r="AB136" s="52"/>
      <c r="AC136" s="52">
        <v>4888.16</v>
      </c>
      <c r="AD136" s="52">
        <f t="shared" si="137"/>
        <v>0</v>
      </c>
      <c r="AE136" s="52">
        <f t="shared" si="137"/>
        <v>4888.16</v>
      </c>
      <c r="AF136" s="52">
        <f t="shared" si="138"/>
        <v>50000</v>
      </c>
      <c r="AG136" s="52">
        <f t="shared" si="139"/>
        <v>65000</v>
      </c>
      <c r="AH136" s="52">
        <f t="shared" si="139"/>
        <v>0</v>
      </c>
      <c r="AI136" s="52">
        <f t="shared" si="140"/>
        <v>4888.16</v>
      </c>
      <c r="AJ136" s="52">
        <f t="shared" si="141"/>
        <v>50000</v>
      </c>
      <c r="AK136" s="52">
        <f t="shared" si="141"/>
        <v>69888.160000000003</v>
      </c>
      <c r="AL136" s="52"/>
      <c r="AM136" s="52"/>
      <c r="AN136" s="52"/>
      <c r="AO136" s="52"/>
      <c r="AP136" s="52">
        <f t="shared" si="142"/>
        <v>0</v>
      </c>
      <c r="AQ136" s="52">
        <f t="shared" si="142"/>
        <v>0</v>
      </c>
      <c r="AR136" s="52"/>
      <c r="AS136" s="52"/>
      <c r="AT136" s="52"/>
      <c r="AU136" s="52"/>
      <c r="AV136" s="52">
        <f t="shared" si="143"/>
        <v>0</v>
      </c>
      <c r="AW136" s="52">
        <f t="shared" si="143"/>
        <v>0</v>
      </c>
      <c r="AX136" s="52"/>
      <c r="AY136" s="52"/>
      <c r="AZ136" s="52"/>
      <c r="BA136" s="52"/>
      <c r="BB136" s="52">
        <f t="shared" si="144"/>
        <v>0</v>
      </c>
      <c r="BC136" s="52"/>
      <c r="BD136" s="52">
        <f t="shared" si="85"/>
        <v>0</v>
      </c>
      <c r="BE136" s="52"/>
      <c r="BF136" s="52"/>
      <c r="BG136" s="52"/>
      <c r="BH136" s="52"/>
      <c r="BI136" s="52">
        <f t="shared" si="145"/>
        <v>0</v>
      </c>
      <c r="BJ136" s="52"/>
      <c r="BK136" s="52">
        <f t="shared" si="107"/>
        <v>0</v>
      </c>
      <c r="BL136" s="52"/>
      <c r="BM136" s="52"/>
      <c r="BN136" s="52"/>
      <c r="BO136" s="52"/>
      <c r="BP136" s="52">
        <f t="shared" si="146"/>
        <v>0</v>
      </c>
      <c r="BQ136" s="52"/>
      <c r="BR136" s="52">
        <f t="shared" si="86"/>
        <v>0</v>
      </c>
      <c r="BS136" s="52"/>
      <c r="BT136" s="52"/>
      <c r="BU136" s="52"/>
      <c r="BV136" s="52"/>
      <c r="BW136" s="52">
        <f t="shared" si="147"/>
        <v>0</v>
      </c>
      <c r="BX136" s="52"/>
      <c r="BY136" s="52">
        <f t="shared" si="87"/>
        <v>0</v>
      </c>
      <c r="BZ136" s="52"/>
      <c r="CA136" s="52"/>
      <c r="CB136" s="52"/>
      <c r="CC136" s="52"/>
      <c r="CD136" s="52">
        <f t="shared" si="148"/>
        <v>0</v>
      </c>
      <c r="CE136" s="52">
        <f t="shared" si="148"/>
        <v>0</v>
      </c>
      <c r="CF136" s="52"/>
      <c r="CG136" s="52"/>
      <c r="CH136" s="52"/>
      <c r="CI136" s="52"/>
      <c r="CJ136" s="52">
        <f t="shared" si="149"/>
        <v>0</v>
      </c>
      <c r="CK136" s="52">
        <f t="shared" si="149"/>
        <v>0</v>
      </c>
      <c r="CL136" s="52"/>
      <c r="CM136" s="52"/>
      <c r="CN136" s="52"/>
      <c r="CO136" s="52"/>
      <c r="CP136" s="52">
        <f t="shared" si="150"/>
        <v>0</v>
      </c>
      <c r="CQ136" s="52">
        <f t="shared" si="150"/>
        <v>0</v>
      </c>
      <c r="CR136" s="52"/>
      <c r="CS136" s="52"/>
      <c r="CT136" s="52"/>
      <c r="CU136" s="52"/>
      <c r="CV136" s="52">
        <f t="shared" si="151"/>
        <v>0</v>
      </c>
      <c r="CW136" s="52">
        <f t="shared" si="151"/>
        <v>0</v>
      </c>
      <c r="CX136" s="52"/>
      <c r="CY136" s="52"/>
      <c r="CZ136" s="52"/>
      <c r="DA136" s="52"/>
      <c r="DB136" s="52">
        <f t="shared" si="152"/>
        <v>0</v>
      </c>
      <c r="DC136" s="52">
        <f t="shared" si="152"/>
        <v>0</v>
      </c>
      <c r="DD136" s="52"/>
      <c r="DE136" s="52"/>
      <c r="DF136" s="52"/>
      <c r="DG136" s="52"/>
      <c r="DH136" s="52">
        <f t="shared" si="153"/>
        <v>0</v>
      </c>
      <c r="DI136" s="52">
        <f t="shared" si="153"/>
        <v>0</v>
      </c>
      <c r="DJ136" s="52">
        <f t="shared" si="125"/>
        <v>0</v>
      </c>
      <c r="DK136" s="52">
        <f t="shared" si="126"/>
        <v>0</v>
      </c>
      <c r="DL136" s="52">
        <f t="shared" si="83"/>
        <v>0</v>
      </c>
      <c r="DM136" s="52">
        <f t="shared" si="127"/>
        <v>0</v>
      </c>
      <c r="DN136" s="52">
        <f t="shared" si="154"/>
        <v>0</v>
      </c>
      <c r="DO136" s="52">
        <f t="shared" si="154"/>
        <v>0</v>
      </c>
    </row>
    <row r="137" spans="1:119">
      <c r="A137" s="224">
        <v>145</v>
      </c>
      <c r="B137" s="26" t="s">
        <v>176</v>
      </c>
      <c r="C137" s="53" t="s">
        <v>357</v>
      </c>
      <c r="D137" s="227" t="s">
        <v>358</v>
      </c>
      <c r="E137" s="191" t="s">
        <v>1165</v>
      </c>
      <c r="F137" s="161">
        <f t="shared" si="128"/>
        <v>0</v>
      </c>
      <c r="G137" s="165">
        <f t="shared" si="129"/>
        <v>180443.13</v>
      </c>
      <c r="H137" s="54">
        <v>81000</v>
      </c>
      <c r="I137" s="219">
        <v>0</v>
      </c>
      <c r="J137" s="219">
        <v>0</v>
      </c>
      <c r="K137" s="127">
        <f t="shared" si="130"/>
        <v>180443.13</v>
      </c>
      <c r="L137" s="127">
        <f t="shared" si="131"/>
        <v>180443.13</v>
      </c>
      <c r="M137" s="127">
        <f t="shared" si="132"/>
        <v>180443.13</v>
      </c>
      <c r="N137" s="127">
        <f t="shared" si="61"/>
        <v>0</v>
      </c>
      <c r="O137" s="125">
        <f t="shared" si="133"/>
        <v>180443.13</v>
      </c>
      <c r="P137" s="52">
        <v>158000</v>
      </c>
      <c r="Q137" s="52"/>
      <c r="R137" s="52">
        <f t="shared" si="134"/>
        <v>158000</v>
      </c>
      <c r="S137" s="52">
        <f t="shared" si="135"/>
        <v>0</v>
      </c>
      <c r="T137" s="52"/>
      <c r="U137" s="52"/>
      <c r="V137" s="52"/>
      <c r="W137" s="52"/>
      <c r="X137" s="52">
        <f t="shared" si="136"/>
        <v>0</v>
      </c>
      <c r="Y137" s="52">
        <f t="shared" si="136"/>
        <v>0</v>
      </c>
      <c r="Z137" s="52">
        <v>40000</v>
      </c>
      <c r="AA137" s="52"/>
      <c r="AB137" s="52"/>
      <c r="AC137" s="52">
        <f>22443.13</f>
        <v>22443.13</v>
      </c>
      <c r="AD137" s="52">
        <f t="shared" si="137"/>
        <v>40000</v>
      </c>
      <c r="AE137" s="52">
        <f t="shared" si="137"/>
        <v>22443.13</v>
      </c>
      <c r="AF137" s="52">
        <f t="shared" si="138"/>
        <v>198000</v>
      </c>
      <c r="AG137" s="52">
        <f t="shared" si="139"/>
        <v>158000</v>
      </c>
      <c r="AH137" s="52">
        <f t="shared" si="139"/>
        <v>0</v>
      </c>
      <c r="AI137" s="52">
        <f t="shared" si="140"/>
        <v>22443.13</v>
      </c>
      <c r="AJ137" s="52">
        <f t="shared" si="141"/>
        <v>198000</v>
      </c>
      <c r="AK137" s="52">
        <f t="shared" si="141"/>
        <v>180443.13</v>
      </c>
      <c r="AL137" s="52"/>
      <c r="AM137" s="52"/>
      <c r="AN137" s="52"/>
      <c r="AO137" s="52"/>
      <c r="AP137" s="52">
        <f t="shared" si="142"/>
        <v>0</v>
      </c>
      <c r="AQ137" s="52">
        <f t="shared" si="142"/>
        <v>0</v>
      </c>
      <c r="AR137" s="52"/>
      <c r="AS137" s="52"/>
      <c r="AT137" s="52"/>
      <c r="AU137" s="52"/>
      <c r="AV137" s="52">
        <f t="shared" si="143"/>
        <v>0</v>
      </c>
      <c r="AW137" s="52">
        <f t="shared" si="143"/>
        <v>0</v>
      </c>
      <c r="AX137" s="52"/>
      <c r="AY137" s="52"/>
      <c r="AZ137" s="52"/>
      <c r="BA137" s="52"/>
      <c r="BB137" s="52">
        <f t="shared" si="144"/>
        <v>0</v>
      </c>
      <c r="BC137" s="52"/>
      <c r="BD137" s="52">
        <f t="shared" ref="BD137:BD153" si="155">AY137+BA137</f>
        <v>0</v>
      </c>
      <c r="BE137" s="52"/>
      <c r="BF137" s="52"/>
      <c r="BG137" s="52"/>
      <c r="BH137" s="52"/>
      <c r="BI137" s="52">
        <f t="shared" si="145"/>
        <v>0</v>
      </c>
      <c r="BJ137" s="52"/>
      <c r="BK137" s="52">
        <f t="shared" si="107"/>
        <v>0</v>
      </c>
      <c r="BL137" s="52"/>
      <c r="BM137" s="52"/>
      <c r="BN137" s="52"/>
      <c r="BO137" s="52"/>
      <c r="BP137" s="52">
        <f t="shared" si="146"/>
        <v>0</v>
      </c>
      <c r="BQ137" s="52"/>
      <c r="BR137" s="52">
        <f t="shared" ref="BR137:BR153" si="156">BM137+BO137</f>
        <v>0</v>
      </c>
      <c r="BS137" s="52"/>
      <c r="BT137" s="52"/>
      <c r="BU137" s="52"/>
      <c r="BV137" s="52"/>
      <c r="BW137" s="52">
        <f t="shared" si="147"/>
        <v>0</v>
      </c>
      <c r="BX137" s="52"/>
      <c r="BY137" s="52">
        <f t="shared" ref="BY137:BY153" si="157">BT137+BV137</f>
        <v>0</v>
      </c>
      <c r="BZ137" s="52"/>
      <c r="CA137" s="52"/>
      <c r="CB137" s="52"/>
      <c r="CC137" s="52"/>
      <c r="CD137" s="52">
        <f t="shared" si="148"/>
        <v>0</v>
      </c>
      <c r="CE137" s="52">
        <f t="shared" si="148"/>
        <v>0</v>
      </c>
      <c r="CF137" s="52"/>
      <c r="CG137" s="52"/>
      <c r="CH137" s="52"/>
      <c r="CI137" s="52"/>
      <c r="CJ137" s="52">
        <f t="shared" si="149"/>
        <v>0</v>
      </c>
      <c r="CK137" s="52">
        <f t="shared" si="149"/>
        <v>0</v>
      </c>
      <c r="CL137" s="52"/>
      <c r="CM137" s="52"/>
      <c r="CN137" s="52"/>
      <c r="CO137" s="52"/>
      <c r="CP137" s="52">
        <f t="shared" si="150"/>
        <v>0</v>
      </c>
      <c r="CQ137" s="52">
        <f t="shared" si="150"/>
        <v>0</v>
      </c>
      <c r="CR137" s="52"/>
      <c r="CS137" s="52"/>
      <c r="CT137" s="52"/>
      <c r="CU137" s="52"/>
      <c r="CV137" s="52">
        <f t="shared" si="151"/>
        <v>0</v>
      </c>
      <c r="CW137" s="52">
        <f t="shared" si="151"/>
        <v>0</v>
      </c>
      <c r="CX137" s="52"/>
      <c r="CY137" s="52"/>
      <c r="CZ137" s="52"/>
      <c r="DA137" s="52"/>
      <c r="DB137" s="52">
        <f t="shared" si="152"/>
        <v>0</v>
      </c>
      <c r="DC137" s="52">
        <f t="shared" si="152"/>
        <v>0</v>
      </c>
      <c r="DD137" s="52"/>
      <c r="DE137" s="52"/>
      <c r="DF137" s="52"/>
      <c r="DG137" s="52"/>
      <c r="DH137" s="52">
        <f t="shared" si="153"/>
        <v>0</v>
      </c>
      <c r="DI137" s="52">
        <f t="shared" si="153"/>
        <v>0</v>
      </c>
      <c r="DJ137" s="52">
        <f t="shared" si="125"/>
        <v>0</v>
      </c>
      <c r="DK137" s="52">
        <f t="shared" si="126"/>
        <v>0</v>
      </c>
      <c r="DL137" s="52">
        <f t="shared" si="83"/>
        <v>0</v>
      </c>
      <c r="DM137" s="52">
        <f t="shared" si="127"/>
        <v>0</v>
      </c>
      <c r="DN137" s="52">
        <f t="shared" si="154"/>
        <v>0</v>
      </c>
      <c r="DO137" s="52">
        <f t="shared" si="154"/>
        <v>0</v>
      </c>
    </row>
    <row r="138" spans="1:119">
      <c r="A138" s="224">
        <v>146</v>
      </c>
      <c r="B138" s="26" t="s">
        <v>168</v>
      </c>
      <c r="C138" s="53" t="s">
        <v>675</v>
      </c>
      <c r="D138" s="227" t="s">
        <v>676</v>
      </c>
      <c r="E138" s="191" t="s">
        <v>1165</v>
      </c>
      <c r="F138" s="161">
        <f t="shared" si="128"/>
        <v>0</v>
      </c>
      <c r="G138" s="165">
        <f t="shared" si="129"/>
        <v>20655</v>
      </c>
      <c r="H138" s="54"/>
      <c r="I138" s="222">
        <v>0</v>
      </c>
      <c r="J138" s="222">
        <v>0</v>
      </c>
      <c r="K138" s="127">
        <f t="shared" si="130"/>
        <v>20655</v>
      </c>
      <c r="L138" s="127">
        <f t="shared" si="131"/>
        <v>20655</v>
      </c>
      <c r="M138" s="127">
        <f t="shared" si="132"/>
        <v>20655</v>
      </c>
      <c r="N138" s="127">
        <f t="shared" ref="N138:N155" si="158">G138-M138</f>
        <v>0</v>
      </c>
      <c r="O138" s="125">
        <f t="shared" si="133"/>
        <v>20655</v>
      </c>
      <c r="P138" s="63"/>
      <c r="Q138" s="63">
        <v>20655</v>
      </c>
      <c r="R138" s="52">
        <f t="shared" si="134"/>
        <v>0</v>
      </c>
      <c r="S138" s="52">
        <f t="shared" si="135"/>
        <v>20655</v>
      </c>
      <c r="T138" s="52"/>
      <c r="U138" s="52"/>
      <c r="V138" s="52"/>
      <c r="W138" s="52"/>
      <c r="X138" s="52">
        <f t="shared" si="136"/>
        <v>0</v>
      </c>
      <c r="Y138" s="52">
        <f t="shared" si="136"/>
        <v>0</v>
      </c>
      <c r="Z138" s="52"/>
      <c r="AA138" s="52"/>
      <c r="AB138" s="52"/>
      <c r="AC138" s="52"/>
      <c r="AD138" s="52">
        <f t="shared" si="137"/>
        <v>0</v>
      </c>
      <c r="AE138" s="52">
        <f t="shared" si="137"/>
        <v>0</v>
      </c>
      <c r="AF138" s="52">
        <f t="shared" si="138"/>
        <v>0</v>
      </c>
      <c r="AG138" s="52">
        <f t="shared" si="139"/>
        <v>0</v>
      </c>
      <c r="AH138" s="52">
        <f t="shared" si="139"/>
        <v>20655</v>
      </c>
      <c r="AI138" s="52">
        <f t="shared" si="140"/>
        <v>20655</v>
      </c>
      <c r="AJ138" s="52">
        <f t="shared" si="141"/>
        <v>20655</v>
      </c>
      <c r="AK138" s="52">
        <f t="shared" si="141"/>
        <v>20655</v>
      </c>
      <c r="AL138" s="52"/>
      <c r="AM138" s="52"/>
      <c r="AN138" s="52"/>
      <c r="AO138" s="52"/>
      <c r="AP138" s="52">
        <f t="shared" si="142"/>
        <v>0</v>
      </c>
      <c r="AQ138" s="52">
        <f t="shared" si="142"/>
        <v>0</v>
      </c>
      <c r="AR138" s="52"/>
      <c r="AS138" s="52"/>
      <c r="AT138" s="52"/>
      <c r="AU138" s="52"/>
      <c r="AV138" s="52">
        <f t="shared" si="143"/>
        <v>0</v>
      </c>
      <c r="AW138" s="52">
        <f t="shared" si="143"/>
        <v>0</v>
      </c>
      <c r="AX138" s="52"/>
      <c r="AY138" s="52"/>
      <c r="AZ138" s="52"/>
      <c r="BA138" s="52"/>
      <c r="BB138" s="52">
        <f t="shared" si="144"/>
        <v>0</v>
      </c>
      <c r="BC138" s="52"/>
      <c r="BD138" s="52">
        <f t="shared" si="155"/>
        <v>0</v>
      </c>
      <c r="BE138" s="52"/>
      <c r="BF138" s="52"/>
      <c r="BG138" s="52"/>
      <c r="BH138" s="52"/>
      <c r="BI138" s="52">
        <f t="shared" si="145"/>
        <v>0</v>
      </c>
      <c r="BJ138" s="52"/>
      <c r="BK138" s="52">
        <f t="shared" si="107"/>
        <v>0</v>
      </c>
      <c r="BL138" s="52"/>
      <c r="BM138" s="52"/>
      <c r="BN138" s="52"/>
      <c r="BO138" s="52"/>
      <c r="BP138" s="52">
        <f t="shared" si="146"/>
        <v>0</v>
      </c>
      <c r="BQ138" s="52"/>
      <c r="BR138" s="52">
        <f t="shared" si="156"/>
        <v>0</v>
      </c>
      <c r="BS138" s="52"/>
      <c r="BT138" s="52"/>
      <c r="BU138" s="52"/>
      <c r="BV138" s="52"/>
      <c r="BW138" s="52">
        <f t="shared" si="147"/>
        <v>0</v>
      </c>
      <c r="BX138" s="52"/>
      <c r="BY138" s="52">
        <f t="shared" si="157"/>
        <v>0</v>
      </c>
      <c r="BZ138" s="52"/>
      <c r="CA138" s="52"/>
      <c r="CB138" s="52"/>
      <c r="CC138" s="52"/>
      <c r="CD138" s="52">
        <f t="shared" si="148"/>
        <v>0</v>
      </c>
      <c r="CE138" s="52">
        <f t="shared" si="148"/>
        <v>0</v>
      </c>
      <c r="CF138" s="52"/>
      <c r="CG138" s="52"/>
      <c r="CH138" s="52"/>
      <c r="CI138" s="52"/>
      <c r="CJ138" s="52">
        <f t="shared" si="149"/>
        <v>0</v>
      </c>
      <c r="CK138" s="52">
        <f t="shared" si="149"/>
        <v>0</v>
      </c>
      <c r="CL138" s="52"/>
      <c r="CM138" s="52"/>
      <c r="CN138" s="52"/>
      <c r="CO138" s="52"/>
      <c r="CP138" s="52">
        <f t="shared" si="150"/>
        <v>0</v>
      </c>
      <c r="CQ138" s="52">
        <f t="shared" si="150"/>
        <v>0</v>
      </c>
      <c r="CR138" s="52"/>
      <c r="CS138" s="52"/>
      <c r="CT138" s="52"/>
      <c r="CU138" s="52"/>
      <c r="CV138" s="52">
        <f t="shared" si="151"/>
        <v>0</v>
      </c>
      <c r="CW138" s="52">
        <f t="shared" si="151"/>
        <v>0</v>
      </c>
      <c r="CX138" s="52"/>
      <c r="CY138" s="52"/>
      <c r="CZ138" s="52"/>
      <c r="DA138" s="52"/>
      <c r="DB138" s="52">
        <f t="shared" si="152"/>
        <v>0</v>
      </c>
      <c r="DC138" s="52">
        <f t="shared" si="152"/>
        <v>0</v>
      </c>
      <c r="DD138" s="52"/>
      <c r="DE138" s="52"/>
      <c r="DF138" s="52"/>
      <c r="DG138" s="52"/>
      <c r="DH138" s="52">
        <f t="shared" si="153"/>
        <v>0</v>
      </c>
      <c r="DI138" s="52">
        <f t="shared" si="153"/>
        <v>0</v>
      </c>
      <c r="DJ138" s="52">
        <f t="shared" si="125"/>
        <v>0</v>
      </c>
      <c r="DK138" s="52">
        <f t="shared" si="126"/>
        <v>0</v>
      </c>
      <c r="DL138" s="52">
        <f t="shared" ref="DL138:DL155" si="159">AN138+AT138+BC138+BJ138+BQ138+BX138+CB138+CH138+CN138+CT138+CZ138+DF138</f>
        <v>0</v>
      </c>
      <c r="DM138" s="52">
        <f t="shared" si="127"/>
        <v>0</v>
      </c>
      <c r="DN138" s="52">
        <f t="shared" si="154"/>
        <v>0</v>
      </c>
      <c r="DO138" s="52">
        <f t="shared" si="154"/>
        <v>0</v>
      </c>
    </row>
    <row r="139" spans="1:119">
      <c r="A139" s="224">
        <v>147</v>
      </c>
      <c r="B139" s="26" t="s">
        <v>168</v>
      </c>
      <c r="C139" s="53" t="s">
        <v>359</v>
      </c>
      <c r="D139" s="227" t="s">
        <v>360</v>
      </c>
      <c r="E139" s="191" t="s">
        <v>1165</v>
      </c>
      <c r="F139" s="161">
        <f t="shared" si="128"/>
        <v>53839</v>
      </c>
      <c r="G139" s="165">
        <f t="shared" si="129"/>
        <v>866839</v>
      </c>
      <c r="H139" s="54">
        <v>677000</v>
      </c>
      <c r="I139" s="219">
        <v>0</v>
      </c>
      <c r="J139" s="219">
        <v>0</v>
      </c>
      <c r="K139" s="127">
        <f t="shared" si="130"/>
        <v>813000</v>
      </c>
      <c r="L139" s="127">
        <f t="shared" si="131"/>
        <v>0</v>
      </c>
      <c r="M139" s="127">
        <f t="shared" si="132"/>
        <v>813000</v>
      </c>
      <c r="N139" s="127">
        <f t="shared" si="158"/>
        <v>53839</v>
      </c>
      <c r="O139" s="125">
        <f t="shared" si="133"/>
        <v>868031.94</v>
      </c>
      <c r="P139" s="52">
        <v>810000</v>
      </c>
      <c r="Q139" s="52"/>
      <c r="R139" s="52">
        <f t="shared" si="134"/>
        <v>810000</v>
      </c>
      <c r="S139" s="52">
        <f t="shared" si="135"/>
        <v>0</v>
      </c>
      <c r="T139" s="52">
        <v>35000</v>
      </c>
      <c r="U139" s="52">
        <v>3000</v>
      </c>
      <c r="V139" s="52"/>
      <c r="W139" s="52"/>
      <c r="X139" s="52">
        <f t="shared" si="136"/>
        <v>35000</v>
      </c>
      <c r="Y139" s="52">
        <f t="shared" si="136"/>
        <v>3000</v>
      </c>
      <c r="Z139" s="52"/>
      <c r="AA139" s="52"/>
      <c r="AB139" s="52"/>
      <c r="AC139" s="52"/>
      <c r="AD139" s="52">
        <f t="shared" si="137"/>
        <v>0</v>
      </c>
      <c r="AE139" s="52">
        <f t="shared" si="137"/>
        <v>0</v>
      </c>
      <c r="AF139" s="52">
        <f t="shared" si="138"/>
        <v>845000</v>
      </c>
      <c r="AG139" s="52">
        <f t="shared" si="139"/>
        <v>813000</v>
      </c>
      <c r="AH139" s="52">
        <f t="shared" si="139"/>
        <v>0</v>
      </c>
      <c r="AI139" s="52">
        <f t="shared" si="140"/>
        <v>0</v>
      </c>
      <c r="AJ139" s="52">
        <f t="shared" si="141"/>
        <v>845000</v>
      </c>
      <c r="AK139" s="52">
        <f t="shared" si="141"/>
        <v>813000</v>
      </c>
      <c r="AL139" s="52"/>
      <c r="AM139" s="52"/>
      <c r="AN139" s="219">
        <v>53839</v>
      </c>
      <c r="AO139" s="52">
        <v>53000</v>
      </c>
      <c r="AP139" s="52">
        <f t="shared" si="142"/>
        <v>53839</v>
      </c>
      <c r="AQ139" s="52">
        <f t="shared" si="142"/>
        <v>53000</v>
      </c>
      <c r="AR139" s="52"/>
      <c r="AS139" s="52"/>
      <c r="AT139" s="52"/>
      <c r="AU139" s="52">
        <v>2031.94</v>
      </c>
      <c r="AV139" s="52">
        <f t="shared" si="143"/>
        <v>0</v>
      </c>
      <c r="AW139" s="52">
        <f t="shared" si="143"/>
        <v>2031.94</v>
      </c>
      <c r="AX139" s="52"/>
      <c r="AY139" s="52"/>
      <c r="AZ139" s="52"/>
      <c r="BA139" s="52"/>
      <c r="BB139" s="52">
        <f t="shared" si="144"/>
        <v>0</v>
      </c>
      <c r="BC139" s="52"/>
      <c r="BD139" s="52">
        <f t="shared" si="155"/>
        <v>0</v>
      </c>
      <c r="BE139" s="52"/>
      <c r="BF139" s="52"/>
      <c r="BG139" s="52"/>
      <c r="BH139" s="52"/>
      <c r="BI139" s="52">
        <f t="shared" si="145"/>
        <v>0</v>
      </c>
      <c r="BJ139" s="52"/>
      <c r="BK139" s="52">
        <f t="shared" si="107"/>
        <v>0</v>
      </c>
      <c r="BL139" s="52"/>
      <c r="BM139" s="52"/>
      <c r="BN139" s="52"/>
      <c r="BO139" s="52"/>
      <c r="BP139" s="52">
        <f t="shared" si="146"/>
        <v>0</v>
      </c>
      <c r="BQ139" s="52"/>
      <c r="BR139" s="52">
        <f t="shared" si="156"/>
        <v>0</v>
      </c>
      <c r="BS139" s="52"/>
      <c r="BT139" s="52"/>
      <c r="BU139" s="52"/>
      <c r="BV139" s="52"/>
      <c r="BW139" s="52">
        <f t="shared" si="147"/>
        <v>0</v>
      </c>
      <c r="BX139" s="52"/>
      <c r="BY139" s="52">
        <f t="shared" si="157"/>
        <v>0</v>
      </c>
      <c r="BZ139" s="52"/>
      <c r="CA139" s="52"/>
      <c r="CB139" s="52"/>
      <c r="CC139" s="52"/>
      <c r="CD139" s="52">
        <f t="shared" si="148"/>
        <v>0</v>
      </c>
      <c r="CE139" s="52">
        <f t="shared" si="148"/>
        <v>0</v>
      </c>
      <c r="CF139" s="52"/>
      <c r="CG139" s="52"/>
      <c r="CH139" s="52"/>
      <c r="CI139" s="52"/>
      <c r="CJ139" s="52">
        <f t="shared" si="149"/>
        <v>0</v>
      </c>
      <c r="CK139" s="52">
        <f t="shared" si="149"/>
        <v>0</v>
      </c>
      <c r="CL139" s="52"/>
      <c r="CM139" s="52"/>
      <c r="CN139" s="52"/>
      <c r="CO139" s="52"/>
      <c r="CP139" s="52">
        <f t="shared" si="150"/>
        <v>0</v>
      </c>
      <c r="CQ139" s="52">
        <f t="shared" si="150"/>
        <v>0</v>
      </c>
      <c r="CR139" s="52"/>
      <c r="CS139" s="52"/>
      <c r="CT139" s="52"/>
      <c r="CU139" s="52"/>
      <c r="CV139" s="52">
        <f t="shared" si="151"/>
        <v>0</v>
      </c>
      <c r="CW139" s="52">
        <f t="shared" si="151"/>
        <v>0</v>
      </c>
      <c r="CX139" s="52"/>
      <c r="CY139" s="52"/>
      <c r="CZ139" s="52"/>
      <c r="DA139" s="52"/>
      <c r="DB139" s="52">
        <f t="shared" si="152"/>
        <v>0</v>
      </c>
      <c r="DC139" s="52">
        <f t="shared" si="152"/>
        <v>0</v>
      </c>
      <c r="DD139" s="52"/>
      <c r="DE139" s="52"/>
      <c r="DF139" s="52"/>
      <c r="DG139" s="52"/>
      <c r="DH139" s="52">
        <f t="shared" si="153"/>
        <v>0</v>
      </c>
      <c r="DI139" s="52">
        <f t="shared" si="153"/>
        <v>0</v>
      </c>
      <c r="DJ139" s="52">
        <f t="shared" si="125"/>
        <v>0</v>
      </c>
      <c r="DK139" s="52">
        <f t="shared" si="126"/>
        <v>0</v>
      </c>
      <c r="DL139" s="52">
        <f t="shared" si="159"/>
        <v>53839</v>
      </c>
      <c r="DM139" s="52">
        <f t="shared" si="127"/>
        <v>55031.94</v>
      </c>
      <c r="DN139" s="52">
        <f t="shared" si="154"/>
        <v>53839</v>
      </c>
      <c r="DO139" s="52">
        <f t="shared" si="154"/>
        <v>55031.94</v>
      </c>
    </row>
    <row r="140" spans="1:119">
      <c r="A140" s="224">
        <v>148</v>
      </c>
      <c r="B140" s="26" t="s">
        <v>168</v>
      </c>
      <c r="C140" s="53" t="s">
        <v>361</v>
      </c>
      <c r="D140" s="227" t="s">
        <v>362</v>
      </c>
      <c r="E140" s="191" t="s">
        <v>1165</v>
      </c>
      <c r="F140" s="161">
        <f t="shared" si="128"/>
        <v>97861</v>
      </c>
      <c r="G140" s="165">
        <f t="shared" si="129"/>
        <v>1057861</v>
      </c>
      <c r="H140" s="54">
        <v>796000</v>
      </c>
      <c r="I140" s="219">
        <v>0</v>
      </c>
      <c r="J140" s="219">
        <v>0</v>
      </c>
      <c r="K140" s="127">
        <f t="shared" si="130"/>
        <v>960000</v>
      </c>
      <c r="L140" s="127">
        <f t="shared" si="131"/>
        <v>0</v>
      </c>
      <c r="M140" s="127">
        <f t="shared" si="132"/>
        <v>960000</v>
      </c>
      <c r="N140" s="127">
        <f t="shared" si="158"/>
        <v>97861</v>
      </c>
      <c r="O140" s="125">
        <f t="shared" si="133"/>
        <v>1060014.96</v>
      </c>
      <c r="P140" s="52">
        <v>910000</v>
      </c>
      <c r="Q140" s="52"/>
      <c r="R140" s="52">
        <f t="shared" si="134"/>
        <v>910000</v>
      </c>
      <c r="S140" s="52">
        <f t="shared" si="135"/>
        <v>0</v>
      </c>
      <c r="T140" s="52">
        <v>35000</v>
      </c>
      <c r="U140" s="52">
        <v>50000</v>
      </c>
      <c r="V140" s="52"/>
      <c r="W140" s="52"/>
      <c r="X140" s="52">
        <f t="shared" si="136"/>
        <v>35000</v>
      </c>
      <c r="Y140" s="52">
        <f t="shared" si="136"/>
        <v>50000</v>
      </c>
      <c r="Z140" s="52"/>
      <c r="AA140" s="52"/>
      <c r="AB140" s="52"/>
      <c r="AC140" s="52"/>
      <c r="AD140" s="52">
        <f t="shared" si="137"/>
        <v>0</v>
      </c>
      <c r="AE140" s="52">
        <f t="shared" si="137"/>
        <v>0</v>
      </c>
      <c r="AF140" s="52">
        <f t="shared" si="138"/>
        <v>945000</v>
      </c>
      <c r="AG140" s="52">
        <f t="shared" si="139"/>
        <v>960000</v>
      </c>
      <c r="AH140" s="52">
        <f t="shared" si="139"/>
        <v>0</v>
      </c>
      <c r="AI140" s="52">
        <f t="shared" si="140"/>
        <v>0</v>
      </c>
      <c r="AJ140" s="52">
        <f t="shared" si="141"/>
        <v>945000</v>
      </c>
      <c r="AK140" s="52">
        <f t="shared" si="141"/>
        <v>960000</v>
      </c>
      <c r="AL140" s="52"/>
      <c r="AM140" s="52"/>
      <c r="AN140" s="219">
        <v>97861</v>
      </c>
      <c r="AO140" s="52">
        <v>97000</v>
      </c>
      <c r="AP140" s="52">
        <f t="shared" si="142"/>
        <v>97861</v>
      </c>
      <c r="AQ140" s="52">
        <f t="shared" si="142"/>
        <v>97000</v>
      </c>
      <c r="AR140" s="52"/>
      <c r="AS140" s="52"/>
      <c r="AT140" s="52"/>
      <c r="AU140" s="52">
        <v>3014.96</v>
      </c>
      <c r="AV140" s="52">
        <f t="shared" si="143"/>
        <v>0</v>
      </c>
      <c r="AW140" s="52">
        <f t="shared" si="143"/>
        <v>3014.96</v>
      </c>
      <c r="AX140" s="52"/>
      <c r="AY140" s="52"/>
      <c r="AZ140" s="52"/>
      <c r="BA140" s="52"/>
      <c r="BB140" s="52">
        <f t="shared" si="144"/>
        <v>0</v>
      </c>
      <c r="BC140" s="52"/>
      <c r="BD140" s="52">
        <f t="shared" si="155"/>
        <v>0</v>
      </c>
      <c r="BE140" s="52"/>
      <c r="BF140" s="52"/>
      <c r="BG140" s="52"/>
      <c r="BH140" s="52"/>
      <c r="BI140" s="52">
        <f t="shared" si="145"/>
        <v>0</v>
      </c>
      <c r="BJ140" s="52"/>
      <c r="BK140" s="52">
        <f t="shared" si="107"/>
        <v>0</v>
      </c>
      <c r="BL140" s="52"/>
      <c r="BM140" s="52"/>
      <c r="BN140" s="52"/>
      <c r="BO140" s="52"/>
      <c r="BP140" s="52">
        <f t="shared" si="146"/>
        <v>0</v>
      </c>
      <c r="BQ140" s="52"/>
      <c r="BR140" s="52">
        <f t="shared" si="156"/>
        <v>0</v>
      </c>
      <c r="BS140" s="52"/>
      <c r="BT140" s="52"/>
      <c r="BU140" s="52"/>
      <c r="BV140" s="52"/>
      <c r="BW140" s="52">
        <f t="shared" si="147"/>
        <v>0</v>
      </c>
      <c r="BX140" s="52"/>
      <c r="BY140" s="52">
        <f t="shared" si="157"/>
        <v>0</v>
      </c>
      <c r="BZ140" s="52"/>
      <c r="CA140" s="52"/>
      <c r="CB140" s="52"/>
      <c r="CC140" s="52"/>
      <c r="CD140" s="52">
        <f t="shared" si="148"/>
        <v>0</v>
      </c>
      <c r="CE140" s="52">
        <f t="shared" si="148"/>
        <v>0</v>
      </c>
      <c r="CF140" s="52"/>
      <c r="CG140" s="52"/>
      <c r="CH140" s="52"/>
      <c r="CI140" s="52"/>
      <c r="CJ140" s="52">
        <f t="shared" si="149"/>
        <v>0</v>
      </c>
      <c r="CK140" s="52">
        <f t="shared" si="149"/>
        <v>0</v>
      </c>
      <c r="CL140" s="52"/>
      <c r="CM140" s="52"/>
      <c r="CN140" s="52"/>
      <c r="CO140" s="52"/>
      <c r="CP140" s="52">
        <f t="shared" si="150"/>
        <v>0</v>
      </c>
      <c r="CQ140" s="52">
        <f t="shared" si="150"/>
        <v>0</v>
      </c>
      <c r="CR140" s="52"/>
      <c r="CS140" s="52"/>
      <c r="CT140" s="52"/>
      <c r="CU140" s="52"/>
      <c r="CV140" s="52">
        <f t="shared" si="151"/>
        <v>0</v>
      </c>
      <c r="CW140" s="52">
        <f t="shared" si="151"/>
        <v>0</v>
      </c>
      <c r="CX140" s="52"/>
      <c r="CY140" s="52"/>
      <c r="CZ140" s="52"/>
      <c r="DA140" s="52"/>
      <c r="DB140" s="52">
        <f t="shared" si="152"/>
        <v>0</v>
      </c>
      <c r="DC140" s="52">
        <f t="shared" si="152"/>
        <v>0</v>
      </c>
      <c r="DD140" s="52"/>
      <c r="DE140" s="52"/>
      <c r="DF140" s="52"/>
      <c r="DG140" s="52"/>
      <c r="DH140" s="52">
        <f t="shared" si="153"/>
        <v>0</v>
      </c>
      <c r="DI140" s="52">
        <f t="shared" si="153"/>
        <v>0</v>
      </c>
      <c r="DJ140" s="52">
        <f t="shared" si="125"/>
        <v>0</v>
      </c>
      <c r="DK140" s="52">
        <f t="shared" si="126"/>
        <v>0</v>
      </c>
      <c r="DL140" s="52">
        <f t="shared" si="159"/>
        <v>97861</v>
      </c>
      <c r="DM140" s="52">
        <f t="shared" si="127"/>
        <v>100014.96</v>
      </c>
      <c r="DN140" s="52">
        <f t="shared" si="154"/>
        <v>97861</v>
      </c>
      <c r="DO140" s="52">
        <f t="shared" si="154"/>
        <v>100014.96</v>
      </c>
    </row>
    <row r="141" spans="1:119">
      <c r="A141" s="224">
        <v>149</v>
      </c>
      <c r="B141" s="26" t="s">
        <v>202</v>
      </c>
      <c r="C141" s="53" t="s">
        <v>677</v>
      </c>
      <c r="D141" s="227" t="s">
        <v>1203</v>
      </c>
      <c r="E141" s="191" t="s">
        <v>1165</v>
      </c>
      <c r="F141" s="161">
        <f t="shared" si="128"/>
        <v>0</v>
      </c>
      <c r="G141" s="165">
        <f t="shared" si="129"/>
        <v>109129</v>
      </c>
      <c r="H141" s="54"/>
      <c r="I141" s="220">
        <v>50000</v>
      </c>
      <c r="J141" s="220">
        <v>0</v>
      </c>
      <c r="K141" s="127">
        <f t="shared" si="130"/>
        <v>59129</v>
      </c>
      <c r="L141" s="127">
        <f t="shared" si="131"/>
        <v>109129</v>
      </c>
      <c r="M141" s="127">
        <f t="shared" si="132"/>
        <v>109129</v>
      </c>
      <c r="N141" s="127">
        <f t="shared" si="158"/>
        <v>0</v>
      </c>
      <c r="O141" s="125">
        <f t="shared" si="133"/>
        <v>109129</v>
      </c>
      <c r="P141" s="57"/>
      <c r="Q141" s="57">
        <v>59129</v>
      </c>
      <c r="R141" s="52">
        <f t="shared" si="134"/>
        <v>50000</v>
      </c>
      <c r="S141" s="52">
        <f t="shared" si="135"/>
        <v>59129</v>
      </c>
      <c r="T141" s="57"/>
      <c r="U141" s="57"/>
      <c r="V141" s="67"/>
      <c r="W141" s="52"/>
      <c r="X141" s="52">
        <f t="shared" ref="X141" si="160">T141+V141</f>
        <v>0</v>
      </c>
      <c r="Y141" s="52">
        <f t="shared" ref="Y141" si="161">U141+W141</f>
        <v>0</v>
      </c>
      <c r="Z141" s="52"/>
      <c r="AA141" s="52"/>
      <c r="AB141" s="52"/>
      <c r="AC141" s="52"/>
      <c r="AD141" s="52">
        <f t="shared" si="137"/>
        <v>0</v>
      </c>
      <c r="AE141" s="52">
        <f t="shared" si="137"/>
        <v>0</v>
      </c>
      <c r="AF141" s="52">
        <f t="shared" ref="AF141" si="162">P141+T141+Z141</f>
        <v>0</v>
      </c>
      <c r="AG141" s="52">
        <f t="shared" ref="AG141" si="163">P141+U141+AA141</f>
        <v>0</v>
      </c>
      <c r="AH141" s="52">
        <f t="shared" ref="AH141" si="164">Q141+V141+AB141</f>
        <v>59129</v>
      </c>
      <c r="AI141" s="52">
        <f t="shared" ref="AI141" si="165">Q141+W141+AC141</f>
        <v>59129</v>
      </c>
      <c r="AJ141" s="52">
        <f t="shared" ref="AJ141" si="166">AF141+AH141</f>
        <v>59129</v>
      </c>
      <c r="AK141" s="52">
        <f t="shared" ref="AK141" si="167">AG141+AI141</f>
        <v>59129</v>
      </c>
      <c r="AL141" s="57"/>
      <c r="AM141" s="57"/>
      <c r="AN141" s="57"/>
      <c r="AO141" s="57"/>
      <c r="AP141" s="52">
        <f t="shared" ref="AP141" si="168">AL141+AN141</f>
        <v>0</v>
      </c>
      <c r="AQ141" s="52">
        <f t="shared" ref="AQ141" si="169">AM141+AO141</f>
        <v>0</v>
      </c>
      <c r="AR141" s="52"/>
      <c r="AS141" s="52"/>
      <c r="AT141" s="52"/>
      <c r="AU141" s="52"/>
      <c r="AV141" s="52">
        <f t="shared" ref="AV141" si="170">AR141+AT141</f>
        <v>0</v>
      </c>
      <c r="AW141" s="52">
        <f t="shared" ref="AW141" si="171">AS141+AU141</f>
        <v>0</v>
      </c>
      <c r="AX141" s="52"/>
      <c r="AY141" s="52"/>
      <c r="AZ141" s="52"/>
      <c r="BA141" s="52"/>
      <c r="BB141" s="52">
        <f t="shared" si="144"/>
        <v>0</v>
      </c>
      <c r="BC141" s="52"/>
      <c r="BD141" s="52">
        <f t="shared" si="155"/>
        <v>0</v>
      </c>
      <c r="BE141" s="52"/>
      <c r="BF141" s="52"/>
      <c r="BG141" s="52"/>
      <c r="BH141" s="52"/>
      <c r="BI141" s="52">
        <f t="shared" si="145"/>
        <v>0</v>
      </c>
      <c r="BJ141" s="52"/>
      <c r="BK141" s="52">
        <f t="shared" si="107"/>
        <v>0</v>
      </c>
      <c r="BL141" s="52"/>
      <c r="BM141" s="52"/>
      <c r="BN141" s="52"/>
      <c r="BO141" s="52"/>
      <c r="BP141" s="52">
        <f t="shared" si="146"/>
        <v>0</v>
      </c>
      <c r="BQ141" s="52"/>
      <c r="BR141" s="52">
        <f t="shared" si="156"/>
        <v>0</v>
      </c>
      <c r="BS141" s="52"/>
      <c r="BT141" s="52"/>
      <c r="BU141" s="52"/>
      <c r="BV141" s="52"/>
      <c r="BW141" s="52">
        <f t="shared" si="147"/>
        <v>0</v>
      </c>
      <c r="BX141" s="52"/>
      <c r="BY141" s="52">
        <f t="shared" si="157"/>
        <v>0</v>
      </c>
      <c r="BZ141" s="52"/>
      <c r="CA141" s="52"/>
      <c r="CB141" s="52"/>
      <c r="CC141" s="52"/>
      <c r="CD141" s="52">
        <f t="shared" si="148"/>
        <v>0</v>
      </c>
      <c r="CE141" s="52">
        <f t="shared" si="148"/>
        <v>0</v>
      </c>
      <c r="CF141" s="52"/>
      <c r="CG141" s="52"/>
      <c r="CH141" s="52"/>
      <c r="CI141" s="52"/>
      <c r="CJ141" s="52">
        <f t="shared" si="149"/>
        <v>0</v>
      </c>
      <c r="CK141" s="52">
        <f t="shared" si="149"/>
        <v>0</v>
      </c>
      <c r="CL141" s="52"/>
      <c r="CM141" s="52"/>
      <c r="CN141" s="52"/>
      <c r="CO141" s="52"/>
      <c r="CP141" s="52">
        <f t="shared" si="150"/>
        <v>0</v>
      </c>
      <c r="CQ141" s="52">
        <f t="shared" si="150"/>
        <v>0</v>
      </c>
      <c r="CR141" s="52"/>
      <c r="CS141" s="52"/>
      <c r="CT141" s="52"/>
      <c r="CU141" s="52"/>
      <c r="CV141" s="52">
        <f t="shared" si="151"/>
        <v>0</v>
      </c>
      <c r="CW141" s="52">
        <f t="shared" si="151"/>
        <v>0</v>
      </c>
      <c r="CX141" s="52"/>
      <c r="CY141" s="52"/>
      <c r="CZ141" s="52"/>
      <c r="DA141" s="52"/>
      <c r="DB141" s="52">
        <f t="shared" si="152"/>
        <v>0</v>
      </c>
      <c r="DC141" s="52">
        <f t="shared" si="152"/>
        <v>0</v>
      </c>
      <c r="DD141" s="52"/>
      <c r="DE141" s="52"/>
      <c r="DF141" s="52"/>
      <c r="DG141" s="52"/>
      <c r="DH141" s="52">
        <f t="shared" si="153"/>
        <v>0</v>
      </c>
      <c r="DI141" s="52">
        <f t="shared" si="153"/>
        <v>0</v>
      </c>
      <c r="DJ141" s="52">
        <f t="shared" ref="DJ141" si="172">AL141+AR141+AX141+BE141+BL141+BS141+BZ141+CF141+CL141+CR141+CX141+DD141</f>
        <v>0</v>
      </c>
      <c r="DK141" s="52">
        <f t="shared" ref="DK141" si="173">AM141+AS141+AY141+BF141+BM141+BT141+CA141+CG141+CM141+CS141+CY141+DE141</f>
        <v>0</v>
      </c>
      <c r="DL141" s="52">
        <f t="shared" si="159"/>
        <v>0</v>
      </c>
      <c r="DM141" s="52">
        <f t="shared" ref="DM141" si="174">AO141+AU141+BA141+BH141+BO141+BV141+CC141+CI141+CO141+CU141+DA141+DG141</f>
        <v>0</v>
      </c>
      <c r="DN141" s="52">
        <f t="shared" ref="DN141" si="175">DJ141+DL141</f>
        <v>0</v>
      </c>
      <c r="DO141" s="52">
        <f t="shared" ref="DO141" si="176">DK141+DM141</f>
        <v>0</v>
      </c>
    </row>
    <row r="142" spans="1:119">
      <c r="A142" s="224">
        <v>150</v>
      </c>
      <c r="B142" s="26" t="s">
        <v>202</v>
      </c>
      <c r="C142" s="53" t="s">
        <v>363</v>
      </c>
      <c r="D142" s="227" t="s">
        <v>364</v>
      </c>
      <c r="E142" s="191" t="s">
        <v>1165</v>
      </c>
      <c r="F142" s="161">
        <f t="shared" si="128"/>
        <v>15000</v>
      </c>
      <c r="G142" s="165">
        <f t="shared" si="129"/>
        <v>175000</v>
      </c>
      <c r="H142" s="54">
        <v>310000</v>
      </c>
      <c r="I142" s="220">
        <v>0</v>
      </c>
      <c r="J142" s="220">
        <v>0</v>
      </c>
      <c r="K142" s="127">
        <f t="shared" si="130"/>
        <v>160000</v>
      </c>
      <c r="L142" s="127">
        <f t="shared" si="131"/>
        <v>0</v>
      </c>
      <c r="M142" s="127">
        <f t="shared" si="132"/>
        <v>160000</v>
      </c>
      <c r="N142" s="127">
        <f t="shared" si="158"/>
        <v>15000</v>
      </c>
      <c r="O142" s="125">
        <f t="shared" si="133"/>
        <v>165485.91</v>
      </c>
      <c r="P142" s="57">
        <v>160000</v>
      </c>
      <c r="Q142" s="57"/>
      <c r="R142" s="52">
        <f t="shared" si="134"/>
        <v>160000</v>
      </c>
      <c r="S142" s="52">
        <f t="shared" si="135"/>
        <v>0</v>
      </c>
      <c r="T142" s="57"/>
      <c r="U142" s="57"/>
      <c r="V142" s="67"/>
      <c r="W142" s="52"/>
      <c r="X142" s="52">
        <f t="shared" si="136"/>
        <v>0</v>
      </c>
      <c r="Y142" s="52">
        <f t="shared" si="136"/>
        <v>0</v>
      </c>
      <c r="Z142" s="52">
        <v>35000</v>
      </c>
      <c r="AA142" s="52"/>
      <c r="AB142" s="52"/>
      <c r="AC142" s="52"/>
      <c r="AD142" s="52">
        <f t="shared" si="137"/>
        <v>35000</v>
      </c>
      <c r="AE142" s="52">
        <f t="shared" si="137"/>
        <v>0</v>
      </c>
      <c r="AF142" s="52">
        <f t="shared" si="138"/>
        <v>195000</v>
      </c>
      <c r="AG142" s="52">
        <f t="shared" si="139"/>
        <v>160000</v>
      </c>
      <c r="AH142" s="52">
        <f t="shared" si="139"/>
        <v>0</v>
      </c>
      <c r="AI142" s="52">
        <f t="shared" si="140"/>
        <v>0</v>
      </c>
      <c r="AJ142" s="52">
        <f t="shared" si="141"/>
        <v>195000</v>
      </c>
      <c r="AK142" s="52">
        <f t="shared" si="141"/>
        <v>160000</v>
      </c>
      <c r="AL142" s="52"/>
      <c r="AM142" s="52"/>
      <c r="AN142" s="75">
        <v>15000</v>
      </c>
      <c r="AO142" s="52">
        <v>5485.91</v>
      </c>
      <c r="AP142" s="52">
        <f t="shared" si="142"/>
        <v>15000</v>
      </c>
      <c r="AQ142" s="52">
        <f t="shared" si="142"/>
        <v>5485.91</v>
      </c>
      <c r="AR142" s="52"/>
      <c r="AS142" s="52"/>
      <c r="AT142" s="52"/>
      <c r="AU142" s="52"/>
      <c r="AV142" s="52">
        <f t="shared" si="143"/>
        <v>0</v>
      </c>
      <c r="AW142" s="52">
        <f t="shared" si="143"/>
        <v>0</v>
      </c>
      <c r="AX142" s="52"/>
      <c r="AY142" s="52"/>
      <c r="AZ142" s="52"/>
      <c r="BA142" s="52"/>
      <c r="BB142" s="52">
        <f t="shared" si="144"/>
        <v>0</v>
      </c>
      <c r="BC142" s="52"/>
      <c r="BD142" s="52">
        <f t="shared" si="155"/>
        <v>0</v>
      </c>
      <c r="BE142" s="52"/>
      <c r="BF142" s="52"/>
      <c r="BG142" s="52"/>
      <c r="BH142" s="52"/>
      <c r="BI142" s="52">
        <f t="shared" si="145"/>
        <v>0</v>
      </c>
      <c r="BJ142" s="52"/>
      <c r="BK142" s="52">
        <f t="shared" si="107"/>
        <v>0</v>
      </c>
      <c r="BL142" s="52"/>
      <c r="BM142" s="52"/>
      <c r="BN142" s="52"/>
      <c r="BO142" s="52"/>
      <c r="BP142" s="52">
        <f t="shared" si="146"/>
        <v>0</v>
      </c>
      <c r="BQ142" s="52"/>
      <c r="BR142" s="52">
        <f t="shared" si="156"/>
        <v>0</v>
      </c>
      <c r="BS142" s="52"/>
      <c r="BT142" s="52"/>
      <c r="BU142" s="52"/>
      <c r="BV142" s="52"/>
      <c r="BW142" s="52">
        <f t="shared" si="147"/>
        <v>0</v>
      </c>
      <c r="BX142" s="52"/>
      <c r="BY142" s="52">
        <f t="shared" si="157"/>
        <v>0</v>
      </c>
      <c r="BZ142" s="52"/>
      <c r="CA142" s="52"/>
      <c r="CB142" s="52"/>
      <c r="CC142" s="52"/>
      <c r="CD142" s="52">
        <f t="shared" si="148"/>
        <v>0</v>
      </c>
      <c r="CE142" s="52">
        <f t="shared" si="148"/>
        <v>0</v>
      </c>
      <c r="CF142" s="52"/>
      <c r="CG142" s="52"/>
      <c r="CH142" s="52"/>
      <c r="CI142" s="52"/>
      <c r="CJ142" s="52">
        <f t="shared" si="149"/>
        <v>0</v>
      </c>
      <c r="CK142" s="52">
        <f t="shared" si="149"/>
        <v>0</v>
      </c>
      <c r="CL142" s="52"/>
      <c r="CM142" s="52"/>
      <c r="CN142" s="52"/>
      <c r="CO142" s="52"/>
      <c r="CP142" s="52">
        <f t="shared" si="150"/>
        <v>0</v>
      </c>
      <c r="CQ142" s="52">
        <f t="shared" si="150"/>
        <v>0</v>
      </c>
      <c r="CR142" s="52"/>
      <c r="CS142" s="52"/>
      <c r="CT142" s="52"/>
      <c r="CU142" s="52"/>
      <c r="CV142" s="52">
        <f t="shared" si="151"/>
        <v>0</v>
      </c>
      <c r="CW142" s="52">
        <f t="shared" si="151"/>
        <v>0</v>
      </c>
      <c r="CX142" s="52"/>
      <c r="CY142" s="52"/>
      <c r="CZ142" s="52"/>
      <c r="DA142" s="52"/>
      <c r="DB142" s="52">
        <f t="shared" si="152"/>
        <v>0</v>
      </c>
      <c r="DC142" s="52">
        <f t="shared" si="152"/>
        <v>0</v>
      </c>
      <c r="DD142" s="52"/>
      <c r="DE142" s="52"/>
      <c r="DF142" s="52"/>
      <c r="DG142" s="52"/>
      <c r="DH142" s="52">
        <f t="shared" si="153"/>
        <v>0</v>
      </c>
      <c r="DI142" s="52">
        <f t="shared" si="153"/>
        <v>0</v>
      </c>
      <c r="DJ142" s="52">
        <f t="shared" ref="DJ142:DJ153" si="177">AL142+AR142+AX142+BE142+BL142+BS142+BZ142+CF142+CL142+CR142+CX142+DD142</f>
        <v>0</v>
      </c>
      <c r="DK142" s="52">
        <f t="shared" ref="DK142:DK153" si="178">AM142+AS142+AY142+BF142+BM142+BT142+CA142+CG142+CM142+CS142+CY142+DE142</f>
        <v>0</v>
      </c>
      <c r="DL142" s="52">
        <f t="shared" si="159"/>
        <v>15000</v>
      </c>
      <c r="DM142" s="52">
        <f t="shared" ref="DM142:DM153" si="179">AO142+AU142+BA142+BH142+BO142+BV142+CC142+CI142+CO142+CU142+DA142+DG142</f>
        <v>5485.91</v>
      </c>
      <c r="DN142" s="52">
        <f t="shared" si="154"/>
        <v>15000</v>
      </c>
      <c r="DO142" s="52">
        <f t="shared" si="154"/>
        <v>5485.91</v>
      </c>
    </row>
    <row r="143" spans="1:119">
      <c r="A143" s="224">
        <v>151</v>
      </c>
      <c r="B143" s="26" t="s">
        <v>195</v>
      </c>
      <c r="C143" s="53" t="s">
        <v>365</v>
      </c>
      <c r="D143" s="230" t="s">
        <v>366</v>
      </c>
      <c r="E143" s="200" t="s">
        <v>1165</v>
      </c>
      <c r="F143" s="161">
        <f t="shared" si="128"/>
        <v>0</v>
      </c>
      <c r="G143" s="165">
        <f t="shared" si="129"/>
        <v>103846.34</v>
      </c>
      <c r="H143" s="54">
        <v>35700</v>
      </c>
      <c r="I143" s="219">
        <v>60000</v>
      </c>
      <c r="J143" s="219">
        <v>0</v>
      </c>
      <c r="K143" s="127">
        <f t="shared" si="130"/>
        <v>43846.34</v>
      </c>
      <c r="L143" s="127">
        <f t="shared" si="131"/>
        <v>103846.34</v>
      </c>
      <c r="M143" s="127">
        <f t="shared" si="132"/>
        <v>103846.34</v>
      </c>
      <c r="N143" s="127">
        <f t="shared" si="158"/>
        <v>0</v>
      </c>
      <c r="O143" s="125">
        <f t="shared" si="133"/>
        <v>103846.34</v>
      </c>
      <c r="P143" s="52">
        <v>30000</v>
      </c>
      <c r="Q143" s="52">
        <v>13846.34</v>
      </c>
      <c r="R143" s="52">
        <f t="shared" si="134"/>
        <v>90000</v>
      </c>
      <c r="S143" s="52">
        <f t="shared" si="135"/>
        <v>13846.34</v>
      </c>
      <c r="T143" s="52"/>
      <c r="U143" s="52"/>
      <c r="V143" s="52"/>
      <c r="W143" s="57"/>
      <c r="X143" s="52">
        <f t="shared" si="136"/>
        <v>0</v>
      </c>
      <c r="Y143" s="52">
        <f t="shared" si="136"/>
        <v>0</v>
      </c>
      <c r="Z143" s="57"/>
      <c r="AA143" s="57"/>
      <c r="AB143" s="57"/>
      <c r="AC143" s="57"/>
      <c r="AD143" s="52">
        <f t="shared" si="137"/>
        <v>0</v>
      </c>
      <c r="AE143" s="52">
        <f t="shared" si="137"/>
        <v>0</v>
      </c>
      <c r="AF143" s="52">
        <f t="shared" si="138"/>
        <v>30000</v>
      </c>
      <c r="AG143" s="52">
        <f t="shared" si="139"/>
        <v>30000</v>
      </c>
      <c r="AH143" s="52">
        <f t="shared" si="139"/>
        <v>13846.34</v>
      </c>
      <c r="AI143" s="52">
        <f t="shared" si="140"/>
        <v>13846.34</v>
      </c>
      <c r="AJ143" s="52">
        <f t="shared" si="141"/>
        <v>43846.34</v>
      </c>
      <c r="AK143" s="52">
        <f t="shared" si="141"/>
        <v>43846.34</v>
      </c>
      <c r="AL143" s="57"/>
      <c r="AM143" s="57"/>
      <c r="AN143" s="57"/>
      <c r="AO143" s="57"/>
      <c r="AP143" s="52">
        <f t="shared" si="142"/>
        <v>0</v>
      </c>
      <c r="AQ143" s="52">
        <f t="shared" si="142"/>
        <v>0</v>
      </c>
      <c r="AR143" s="52"/>
      <c r="AS143" s="52"/>
      <c r="AT143" s="52"/>
      <c r="AU143" s="52"/>
      <c r="AV143" s="52">
        <f t="shared" si="143"/>
        <v>0</v>
      </c>
      <c r="AW143" s="52">
        <f t="shared" si="143"/>
        <v>0</v>
      </c>
      <c r="AX143" s="52"/>
      <c r="AY143" s="52"/>
      <c r="AZ143" s="52"/>
      <c r="BA143" s="52"/>
      <c r="BB143" s="52">
        <f t="shared" si="144"/>
        <v>0</v>
      </c>
      <c r="BC143" s="52"/>
      <c r="BD143" s="52">
        <f t="shared" si="155"/>
        <v>0</v>
      </c>
      <c r="BE143" s="52"/>
      <c r="BF143" s="52"/>
      <c r="BG143" s="52"/>
      <c r="BH143" s="52"/>
      <c r="BI143" s="52">
        <f t="shared" si="145"/>
        <v>0</v>
      </c>
      <c r="BJ143" s="52"/>
      <c r="BK143" s="52">
        <f t="shared" si="107"/>
        <v>0</v>
      </c>
      <c r="BL143" s="52"/>
      <c r="BM143" s="52"/>
      <c r="BN143" s="52"/>
      <c r="BO143" s="52"/>
      <c r="BP143" s="52">
        <f t="shared" si="146"/>
        <v>0</v>
      </c>
      <c r="BQ143" s="52"/>
      <c r="BR143" s="52">
        <f t="shared" si="156"/>
        <v>0</v>
      </c>
      <c r="BS143" s="52"/>
      <c r="BT143" s="52"/>
      <c r="BU143" s="52"/>
      <c r="BV143" s="52"/>
      <c r="BW143" s="52">
        <f t="shared" si="147"/>
        <v>0</v>
      </c>
      <c r="BX143" s="52"/>
      <c r="BY143" s="52">
        <f t="shared" si="157"/>
        <v>0</v>
      </c>
      <c r="BZ143" s="52"/>
      <c r="CA143" s="52"/>
      <c r="CB143" s="52"/>
      <c r="CC143" s="52"/>
      <c r="CD143" s="52">
        <f t="shared" si="148"/>
        <v>0</v>
      </c>
      <c r="CE143" s="52">
        <f t="shared" si="148"/>
        <v>0</v>
      </c>
      <c r="CF143" s="52"/>
      <c r="CG143" s="52"/>
      <c r="CH143" s="52"/>
      <c r="CI143" s="52"/>
      <c r="CJ143" s="52">
        <f t="shared" si="149"/>
        <v>0</v>
      </c>
      <c r="CK143" s="52">
        <f t="shared" si="149"/>
        <v>0</v>
      </c>
      <c r="CL143" s="52"/>
      <c r="CM143" s="52"/>
      <c r="CN143" s="52"/>
      <c r="CO143" s="52"/>
      <c r="CP143" s="52">
        <f t="shared" si="150"/>
        <v>0</v>
      </c>
      <c r="CQ143" s="52">
        <f t="shared" si="150"/>
        <v>0</v>
      </c>
      <c r="CR143" s="52"/>
      <c r="CS143" s="52"/>
      <c r="CT143" s="52"/>
      <c r="CU143" s="52"/>
      <c r="CV143" s="52">
        <f t="shared" si="151"/>
        <v>0</v>
      </c>
      <c r="CW143" s="52">
        <f t="shared" si="151"/>
        <v>0</v>
      </c>
      <c r="CX143" s="52"/>
      <c r="CY143" s="52"/>
      <c r="CZ143" s="52"/>
      <c r="DA143" s="52"/>
      <c r="DB143" s="52">
        <f t="shared" si="152"/>
        <v>0</v>
      </c>
      <c r="DC143" s="52">
        <f t="shared" si="152"/>
        <v>0</v>
      </c>
      <c r="DD143" s="52"/>
      <c r="DE143" s="52"/>
      <c r="DF143" s="52"/>
      <c r="DG143" s="52"/>
      <c r="DH143" s="52">
        <f t="shared" si="153"/>
        <v>0</v>
      </c>
      <c r="DI143" s="52">
        <f t="shared" si="153"/>
        <v>0</v>
      </c>
      <c r="DJ143" s="52">
        <f t="shared" si="177"/>
        <v>0</v>
      </c>
      <c r="DK143" s="52">
        <f t="shared" si="178"/>
        <v>0</v>
      </c>
      <c r="DL143" s="52">
        <f t="shared" si="159"/>
        <v>0</v>
      </c>
      <c r="DM143" s="52">
        <f t="shared" si="179"/>
        <v>0</v>
      </c>
      <c r="DN143" s="52">
        <f t="shared" si="154"/>
        <v>0</v>
      </c>
      <c r="DO143" s="52">
        <f t="shared" si="154"/>
        <v>0</v>
      </c>
    </row>
    <row r="144" spans="1:119">
      <c r="A144" s="224">
        <v>152</v>
      </c>
      <c r="B144" s="26" t="s">
        <v>195</v>
      </c>
      <c r="C144" s="53" t="s">
        <v>367</v>
      </c>
      <c r="D144" s="227" t="s">
        <v>368</v>
      </c>
      <c r="E144" s="191" t="s">
        <v>1165</v>
      </c>
      <c r="F144" s="161">
        <f t="shared" si="128"/>
        <v>21445</v>
      </c>
      <c r="G144" s="165">
        <f t="shared" si="129"/>
        <v>211445</v>
      </c>
      <c r="H144" s="54">
        <v>90000</v>
      </c>
      <c r="I144" s="219">
        <v>0</v>
      </c>
      <c r="J144" s="219">
        <v>0</v>
      </c>
      <c r="K144" s="127">
        <f t="shared" si="130"/>
        <v>190000</v>
      </c>
      <c r="L144" s="127">
        <f t="shared" si="131"/>
        <v>0</v>
      </c>
      <c r="M144" s="127">
        <f t="shared" si="132"/>
        <v>190000</v>
      </c>
      <c r="N144" s="127">
        <f t="shared" si="158"/>
        <v>21445</v>
      </c>
      <c r="O144" s="125">
        <f t="shared" si="133"/>
        <v>211918.55</v>
      </c>
      <c r="P144" s="52">
        <v>185000</v>
      </c>
      <c r="Q144" s="52"/>
      <c r="R144" s="52">
        <f t="shared" si="134"/>
        <v>185000</v>
      </c>
      <c r="S144" s="52">
        <f t="shared" si="135"/>
        <v>0</v>
      </c>
      <c r="T144" s="52">
        <v>20000</v>
      </c>
      <c r="U144" s="52">
        <v>5000</v>
      </c>
      <c r="V144" s="52"/>
      <c r="W144" s="52"/>
      <c r="X144" s="52">
        <f t="shared" si="136"/>
        <v>20000</v>
      </c>
      <c r="Y144" s="52">
        <f t="shared" si="136"/>
        <v>5000</v>
      </c>
      <c r="Z144" s="52"/>
      <c r="AA144" s="52"/>
      <c r="AB144" s="52"/>
      <c r="AC144" s="52"/>
      <c r="AD144" s="52">
        <f t="shared" si="137"/>
        <v>0</v>
      </c>
      <c r="AE144" s="52">
        <f t="shared" si="137"/>
        <v>0</v>
      </c>
      <c r="AF144" s="52">
        <f t="shared" si="138"/>
        <v>205000</v>
      </c>
      <c r="AG144" s="52">
        <f t="shared" si="139"/>
        <v>190000</v>
      </c>
      <c r="AH144" s="52">
        <f t="shared" si="139"/>
        <v>0</v>
      </c>
      <c r="AI144" s="52">
        <f t="shared" si="140"/>
        <v>0</v>
      </c>
      <c r="AJ144" s="52">
        <f t="shared" si="141"/>
        <v>205000</v>
      </c>
      <c r="AK144" s="52">
        <f t="shared" si="141"/>
        <v>190000</v>
      </c>
      <c r="AL144" s="52"/>
      <c r="AM144" s="52"/>
      <c r="AN144" s="219">
        <v>21445</v>
      </c>
      <c r="AO144" s="52">
        <v>21000</v>
      </c>
      <c r="AP144" s="52">
        <f t="shared" si="142"/>
        <v>21445</v>
      </c>
      <c r="AQ144" s="52">
        <f t="shared" si="142"/>
        <v>21000</v>
      </c>
      <c r="AR144" s="52"/>
      <c r="AS144" s="52"/>
      <c r="AT144" s="52"/>
      <c r="AU144" s="52">
        <v>918.55</v>
      </c>
      <c r="AV144" s="52">
        <f t="shared" si="143"/>
        <v>0</v>
      </c>
      <c r="AW144" s="52">
        <f t="shared" si="143"/>
        <v>918.55</v>
      </c>
      <c r="AX144" s="52"/>
      <c r="AY144" s="52"/>
      <c r="AZ144" s="52"/>
      <c r="BA144" s="52"/>
      <c r="BB144" s="52">
        <f t="shared" si="144"/>
        <v>0</v>
      </c>
      <c r="BC144" s="52"/>
      <c r="BD144" s="52">
        <f t="shared" si="155"/>
        <v>0</v>
      </c>
      <c r="BE144" s="52"/>
      <c r="BF144" s="52"/>
      <c r="BG144" s="52"/>
      <c r="BH144" s="52"/>
      <c r="BI144" s="52">
        <f t="shared" si="145"/>
        <v>0</v>
      </c>
      <c r="BJ144" s="52"/>
      <c r="BK144" s="52">
        <f t="shared" si="107"/>
        <v>0</v>
      </c>
      <c r="BL144" s="52"/>
      <c r="BM144" s="52"/>
      <c r="BN144" s="52"/>
      <c r="BO144" s="52"/>
      <c r="BP144" s="52">
        <f t="shared" si="146"/>
        <v>0</v>
      </c>
      <c r="BQ144" s="52"/>
      <c r="BR144" s="52">
        <f t="shared" si="156"/>
        <v>0</v>
      </c>
      <c r="BS144" s="52"/>
      <c r="BT144" s="52"/>
      <c r="BU144" s="52"/>
      <c r="BV144" s="52"/>
      <c r="BW144" s="52">
        <f t="shared" si="147"/>
        <v>0</v>
      </c>
      <c r="BX144" s="52"/>
      <c r="BY144" s="52">
        <f t="shared" si="157"/>
        <v>0</v>
      </c>
      <c r="BZ144" s="52"/>
      <c r="CA144" s="52"/>
      <c r="CB144" s="52"/>
      <c r="CC144" s="52"/>
      <c r="CD144" s="52">
        <f t="shared" si="148"/>
        <v>0</v>
      </c>
      <c r="CE144" s="52">
        <f t="shared" si="148"/>
        <v>0</v>
      </c>
      <c r="CF144" s="52"/>
      <c r="CG144" s="52"/>
      <c r="CH144" s="52"/>
      <c r="CI144" s="52"/>
      <c r="CJ144" s="52">
        <f t="shared" si="149"/>
        <v>0</v>
      </c>
      <c r="CK144" s="52">
        <f t="shared" si="149"/>
        <v>0</v>
      </c>
      <c r="CL144" s="52"/>
      <c r="CM144" s="52"/>
      <c r="CN144" s="52"/>
      <c r="CO144" s="52"/>
      <c r="CP144" s="52">
        <f t="shared" si="150"/>
        <v>0</v>
      </c>
      <c r="CQ144" s="52">
        <f t="shared" si="150"/>
        <v>0</v>
      </c>
      <c r="CR144" s="52"/>
      <c r="CS144" s="52"/>
      <c r="CT144" s="52"/>
      <c r="CU144" s="52"/>
      <c r="CV144" s="52">
        <f t="shared" si="151"/>
        <v>0</v>
      </c>
      <c r="CW144" s="52">
        <f t="shared" si="151"/>
        <v>0</v>
      </c>
      <c r="CX144" s="52"/>
      <c r="CY144" s="52"/>
      <c r="CZ144" s="52"/>
      <c r="DA144" s="52"/>
      <c r="DB144" s="52">
        <f t="shared" si="152"/>
        <v>0</v>
      </c>
      <c r="DC144" s="52">
        <f t="shared" si="152"/>
        <v>0</v>
      </c>
      <c r="DD144" s="52"/>
      <c r="DE144" s="52"/>
      <c r="DF144" s="52"/>
      <c r="DG144" s="52"/>
      <c r="DH144" s="52">
        <f t="shared" si="153"/>
        <v>0</v>
      </c>
      <c r="DI144" s="52">
        <f t="shared" si="153"/>
        <v>0</v>
      </c>
      <c r="DJ144" s="52">
        <f t="shared" si="177"/>
        <v>0</v>
      </c>
      <c r="DK144" s="52">
        <f t="shared" si="178"/>
        <v>0</v>
      </c>
      <c r="DL144" s="52">
        <f t="shared" si="159"/>
        <v>21445</v>
      </c>
      <c r="DM144" s="52">
        <f t="shared" si="179"/>
        <v>21918.55</v>
      </c>
      <c r="DN144" s="52">
        <f t="shared" si="154"/>
        <v>21445</v>
      </c>
      <c r="DO144" s="52">
        <f t="shared" si="154"/>
        <v>21918.55</v>
      </c>
    </row>
    <row r="145" spans="1:119">
      <c r="A145" s="224">
        <v>153</v>
      </c>
      <c r="B145" s="26" t="s">
        <v>168</v>
      </c>
      <c r="C145" s="53" t="s">
        <v>369</v>
      </c>
      <c r="D145" s="227" t="s">
        <v>370</v>
      </c>
      <c r="E145" s="191" t="s">
        <v>1165</v>
      </c>
      <c r="F145" s="161">
        <f t="shared" si="128"/>
        <v>0</v>
      </c>
      <c r="G145" s="165">
        <f t="shared" si="129"/>
        <v>919433.7</v>
      </c>
      <c r="H145" s="54">
        <v>750000</v>
      </c>
      <c r="I145" s="220">
        <v>0</v>
      </c>
      <c r="J145" s="220">
        <v>0</v>
      </c>
      <c r="K145" s="127">
        <f t="shared" si="130"/>
        <v>919433.7</v>
      </c>
      <c r="L145" s="127">
        <f t="shared" si="131"/>
        <v>919433.7</v>
      </c>
      <c r="M145" s="127">
        <f t="shared" si="132"/>
        <v>919433.7</v>
      </c>
      <c r="N145" s="127">
        <f t="shared" si="158"/>
        <v>0</v>
      </c>
      <c r="O145" s="125">
        <f t="shared" si="133"/>
        <v>919433.7</v>
      </c>
      <c r="P145" s="57">
        <v>880000</v>
      </c>
      <c r="Q145" s="57">
        <v>39433.699999999997</v>
      </c>
      <c r="R145" s="52">
        <f t="shared" si="134"/>
        <v>880000</v>
      </c>
      <c r="S145" s="52">
        <f t="shared" si="135"/>
        <v>39433.699999999997</v>
      </c>
      <c r="T145" s="57"/>
      <c r="U145" s="57"/>
      <c r="V145" s="57"/>
      <c r="W145" s="52"/>
      <c r="X145" s="52">
        <f t="shared" si="136"/>
        <v>0</v>
      </c>
      <c r="Y145" s="52">
        <f t="shared" si="136"/>
        <v>0</v>
      </c>
      <c r="Z145" s="52"/>
      <c r="AA145" s="52"/>
      <c r="AB145" s="52"/>
      <c r="AC145" s="52"/>
      <c r="AD145" s="52">
        <f t="shared" si="137"/>
        <v>0</v>
      </c>
      <c r="AE145" s="52">
        <f t="shared" si="137"/>
        <v>0</v>
      </c>
      <c r="AF145" s="52">
        <f t="shared" si="138"/>
        <v>880000</v>
      </c>
      <c r="AG145" s="52">
        <f t="shared" si="139"/>
        <v>880000</v>
      </c>
      <c r="AH145" s="52">
        <f t="shared" si="139"/>
        <v>39433.699999999997</v>
      </c>
      <c r="AI145" s="52">
        <f t="shared" si="140"/>
        <v>39433.699999999997</v>
      </c>
      <c r="AJ145" s="52">
        <f t="shared" si="141"/>
        <v>919433.7</v>
      </c>
      <c r="AK145" s="52">
        <f t="shared" si="141"/>
        <v>919433.7</v>
      </c>
      <c r="AL145" s="52"/>
      <c r="AM145" s="52"/>
      <c r="AN145" s="52"/>
      <c r="AO145" s="52"/>
      <c r="AP145" s="52">
        <f t="shared" si="142"/>
        <v>0</v>
      </c>
      <c r="AQ145" s="52">
        <f t="shared" si="142"/>
        <v>0</v>
      </c>
      <c r="AR145" s="52"/>
      <c r="AS145" s="52"/>
      <c r="AT145" s="52"/>
      <c r="AU145" s="52"/>
      <c r="AV145" s="52">
        <f t="shared" si="143"/>
        <v>0</v>
      </c>
      <c r="AW145" s="52">
        <f t="shared" si="143"/>
        <v>0</v>
      </c>
      <c r="AX145" s="52"/>
      <c r="AY145" s="52"/>
      <c r="AZ145" s="52"/>
      <c r="BA145" s="52"/>
      <c r="BB145" s="52">
        <f t="shared" si="144"/>
        <v>0</v>
      </c>
      <c r="BC145" s="52"/>
      <c r="BD145" s="52">
        <f t="shared" si="155"/>
        <v>0</v>
      </c>
      <c r="BE145" s="52"/>
      <c r="BF145" s="52"/>
      <c r="BG145" s="52"/>
      <c r="BH145" s="52"/>
      <c r="BI145" s="52">
        <f t="shared" si="145"/>
        <v>0</v>
      </c>
      <c r="BJ145" s="52"/>
      <c r="BK145" s="52">
        <f t="shared" si="107"/>
        <v>0</v>
      </c>
      <c r="BL145" s="52"/>
      <c r="BM145" s="52"/>
      <c r="BN145" s="52"/>
      <c r="BO145" s="52"/>
      <c r="BP145" s="52">
        <f t="shared" si="146"/>
        <v>0</v>
      </c>
      <c r="BQ145" s="52"/>
      <c r="BR145" s="52">
        <f t="shared" si="156"/>
        <v>0</v>
      </c>
      <c r="BS145" s="52"/>
      <c r="BT145" s="52"/>
      <c r="BU145" s="52"/>
      <c r="BV145" s="52"/>
      <c r="BW145" s="52">
        <f t="shared" si="147"/>
        <v>0</v>
      </c>
      <c r="BX145" s="52"/>
      <c r="BY145" s="52">
        <f t="shared" si="157"/>
        <v>0</v>
      </c>
      <c r="BZ145" s="52"/>
      <c r="CA145" s="52"/>
      <c r="CB145" s="52"/>
      <c r="CC145" s="52"/>
      <c r="CD145" s="52">
        <f t="shared" si="148"/>
        <v>0</v>
      </c>
      <c r="CE145" s="52">
        <f t="shared" si="148"/>
        <v>0</v>
      </c>
      <c r="CF145" s="52"/>
      <c r="CG145" s="52"/>
      <c r="CH145" s="52"/>
      <c r="CI145" s="52"/>
      <c r="CJ145" s="52">
        <f t="shared" si="149"/>
        <v>0</v>
      </c>
      <c r="CK145" s="52">
        <f t="shared" si="149"/>
        <v>0</v>
      </c>
      <c r="CL145" s="52"/>
      <c r="CM145" s="52"/>
      <c r="CN145" s="52"/>
      <c r="CO145" s="52"/>
      <c r="CP145" s="52">
        <f t="shared" si="150"/>
        <v>0</v>
      </c>
      <c r="CQ145" s="52">
        <f t="shared" si="150"/>
        <v>0</v>
      </c>
      <c r="CR145" s="52"/>
      <c r="CS145" s="52"/>
      <c r="CT145" s="52"/>
      <c r="CU145" s="52"/>
      <c r="CV145" s="52">
        <f t="shared" si="151"/>
        <v>0</v>
      </c>
      <c r="CW145" s="52">
        <f t="shared" si="151"/>
        <v>0</v>
      </c>
      <c r="CX145" s="52"/>
      <c r="CY145" s="52"/>
      <c r="CZ145" s="52"/>
      <c r="DA145" s="52"/>
      <c r="DB145" s="52">
        <f t="shared" si="152"/>
        <v>0</v>
      </c>
      <c r="DC145" s="52">
        <f t="shared" si="152"/>
        <v>0</v>
      </c>
      <c r="DD145" s="52"/>
      <c r="DE145" s="52"/>
      <c r="DF145" s="52"/>
      <c r="DG145" s="52"/>
      <c r="DH145" s="52">
        <f t="shared" si="153"/>
        <v>0</v>
      </c>
      <c r="DI145" s="52">
        <f t="shared" si="153"/>
        <v>0</v>
      </c>
      <c r="DJ145" s="52">
        <f t="shared" si="177"/>
        <v>0</v>
      </c>
      <c r="DK145" s="52">
        <f t="shared" si="178"/>
        <v>0</v>
      </c>
      <c r="DL145" s="52">
        <f t="shared" si="159"/>
        <v>0</v>
      </c>
      <c r="DM145" s="52">
        <f t="shared" si="179"/>
        <v>0</v>
      </c>
      <c r="DN145" s="52">
        <f t="shared" si="154"/>
        <v>0</v>
      </c>
      <c r="DO145" s="52">
        <f t="shared" si="154"/>
        <v>0</v>
      </c>
    </row>
    <row r="146" spans="1:119">
      <c r="A146" s="224">
        <v>154</v>
      </c>
      <c r="B146" s="26" t="s">
        <v>168</v>
      </c>
      <c r="C146" s="53" t="s">
        <v>371</v>
      </c>
      <c r="D146" s="227" t="s">
        <v>372</v>
      </c>
      <c r="E146" s="191" t="s">
        <v>1165</v>
      </c>
      <c r="F146" s="161">
        <f t="shared" si="128"/>
        <v>0</v>
      </c>
      <c r="G146" s="165">
        <f t="shared" si="129"/>
        <v>20000</v>
      </c>
      <c r="H146" s="54">
        <v>40000</v>
      </c>
      <c r="I146" s="219">
        <v>0</v>
      </c>
      <c r="J146" s="219">
        <v>0</v>
      </c>
      <c r="K146" s="127">
        <f t="shared" si="130"/>
        <v>20000</v>
      </c>
      <c r="L146" s="127">
        <f t="shared" si="131"/>
        <v>0</v>
      </c>
      <c r="M146" s="127">
        <f t="shared" si="132"/>
        <v>20000</v>
      </c>
      <c r="N146" s="127">
        <f t="shared" si="158"/>
        <v>0</v>
      </c>
      <c r="O146" s="125" t="str">
        <f t="shared" si="133"/>
        <v>მიმდინარეობს</v>
      </c>
      <c r="P146" s="52">
        <v>20000</v>
      </c>
      <c r="Q146" s="52"/>
      <c r="R146" s="52">
        <f t="shared" si="134"/>
        <v>20000</v>
      </c>
      <c r="S146" s="52">
        <f t="shared" si="135"/>
        <v>0</v>
      </c>
      <c r="T146" s="52"/>
      <c r="U146" s="52"/>
      <c r="V146" s="52"/>
      <c r="W146" s="52"/>
      <c r="X146" s="52">
        <f t="shared" si="136"/>
        <v>0</v>
      </c>
      <c r="Y146" s="52">
        <f t="shared" si="136"/>
        <v>0</v>
      </c>
      <c r="Z146" s="52"/>
      <c r="AA146" s="52"/>
      <c r="AB146" s="52"/>
      <c r="AC146" s="52"/>
      <c r="AD146" s="52">
        <f t="shared" si="137"/>
        <v>0</v>
      </c>
      <c r="AE146" s="52">
        <f t="shared" si="137"/>
        <v>0</v>
      </c>
      <c r="AF146" s="52">
        <f t="shared" si="138"/>
        <v>20000</v>
      </c>
      <c r="AG146" s="52">
        <f t="shared" si="139"/>
        <v>20000</v>
      </c>
      <c r="AH146" s="52">
        <f t="shared" si="139"/>
        <v>0</v>
      </c>
      <c r="AI146" s="52">
        <f t="shared" si="140"/>
        <v>0</v>
      </c>
      <c r="AJ146" s="52">
        <f t="shared" si="141"/>
        <v>20000</v>
      </c>
      <c r="AK146" s="52">
        <f t="shared" si="141"/>
        <v>20000</v>
      </c>
      <c r="AL146" s="52"/>
      <c r="AM146" s="52"/>
      <c r="AN146" s="52"/>
      <c r="AO146" s="52"/>
      <c r="AP146" s="52">
        <f t="shared" si="142"/>
        <v>0</v>
      </c>
      <c r="AQ146" s="52">
        <f t="shared" si="142"/>
        <v>0</v>
      </c>
      <c r="AR146" s="52"/>
      <c r="AS146" s="52"/>
      <c r="AT146" s="52"/>
      <c r="AU146" s="52"/>
      <c r="AV146" s="52">
        <f t="shared" si="143"/>
        <v>0</v>
      </c>
      <c r="AW146" s="52">
        <f t="shared" si="143"/>
        <v>0</v>
      </c>
      <c r="AX146" s="52"/>
      <c r="AY146" s="52"/>
      <c r="AZ146" s="52"/>
      <c r="BA146" s="52"/>
      <c r="BB146" s="52">
        <f t="shared" si="144"/>
        <v>0</v>
      </c>
      <c r="BC146" s="52"/>
      <c r="BD146" s="52">
        <f t="shared" si="155"/>
        <v>0</v>
      </c>
      <c r="BE146" s="52"/>
      <c r="BF146" s="52"/>
      <c r="BG146" s="52"/>
      <c r="BH146" s="52"/>
      <c r="BI146" s="52">
        <f t="shared" si="145"/>
        <v>0</v>
      </c>
      <c r="BJ146" s="52"/>
      <c r="BK146" s="52">
        <f t="shared" si="107"/>
        <v>0</v>
      </c>
      <c r="BL146" s="52"/>
      <c r="BM146" s="52"/>
      <c r="BN146" s="52"/>
      <c r="BO146" s="52"/>
      <c r="BP146" s="52">
        <f t="shared" si="146"/>
        <v>0</v>
      </c>
      <c r="BQ146" s="52"/>
      <c r="BR146" s="52">
        <f t="shared" si="156"/>
        <v>0</v>
      </c>
      <c r="BS146" s="52"/>
      <c r="BT146" s="52"/>
      <c r="BU146" s="52"/>
      <c r="BV146" s="52"/>
      <c r="BW146" s="52">
        <f t="shared" si="147"/>
        <v>0</v>
      </c>
      <c r="BX146" s="52"/>
      <c r="BY146" s="52">
        <f t="shared" si="157"/>
        <v>0</v>
      </c>
      <c r="BZ146" s="52"/>
      <c r="CA146" s="52"/>
      <c r="CB146" s="52"/>
      <c r="CC146" s="52"/>
      <c r="CD146" s="52">
        <f t="shared" si="148"/>
        <v>0</v>
      </c>
      <c r="CE146" s="52">
        <f t="shared" si="148"/>
        <v>0</v>
      </c>
      <c r="CF146" s="52"/>
      <c r="CG146" s="52"/>
      <c r="CH146" s="52"/>
      <c r="CI146" s="52"/>
      <c r="CJ146" s="52">
        <f t="shared" si="149"/>
        <v>0</v>
      </c>
      <c r="CK146" s="52">
        <f t="shared" si="149"/>
        <v>0</v>
      </c>
      <c r="CL146" s="52"/>
      <c r="CM146" s="52"/>
      <c r="CN146" s="52"/>
      <c r="CO146" s="52"/>
      <c r="CP146" s="52">
        <f t="shared" si="150"/>
        <v>0</v>
      </c>
      <c r="CQ146" s="52">
        <f t="shared" si="150"/>
        <v>0</v>
      </c>
      <c r="CR146" s="52"/>
      <c r="CS146" s="52"/>
      <c r="CT146" s="52"/>
      <c r="CU146" s="52"/>
      <c r="CV146" s="52">
        <f t="shared" si="151"/>
        <v>0</v>
      </c>
      <c r="CW146" s="52">
        <f t="shared" si="151"/>
        <v>0</v>
      </c>
      <c r="CX146" s="52"/>
      <c r="CY146" s="52"/>
      <c r="CZ146" s="52"/>
      <c r="DA146" s="52"/>
      <c r="DB146" s="52">
        <f t="shared" si="152"/>
        <v>0</v>
      </c>
      <c r="DC146" s="52">
        <f t="shared" si="152"/>
        <v>0</v>
      </c>
      <c r="DD146" s="52"/>
      <c r="DE146" s="52"/>
      <c r="DF146" s="52"/>
      <c r="DG146" s="52"/>
      <c r="DH146" s="52">
        <f t="shared" si="153"/>
        <v>0</v>
      </c>
      <c r="DI146" s="52">
        <f t="shared" si="153"/>
        <v>0</v>
      </c>
      <c r="DJ146" s="52">
        <f t="shared" si="177"/>
        <v>0</v>
      </c>
      <c r="DK146" s="52">
        <f t="shared" si="178"/>
        <v>0</v>
      </c>
      <c r="DL146" s="52">
        <f t="shared" si="159"/>
        <v>0</v>
      </c>
      <c r="DM146" s="52">
        <f t="shared" si="179"/>
        <v>0</v>
      </c>
      <c r="DN146" s="52">
        <f t="shared" si="154"/>
        <v>0</v>
      </c>
      <c r="DO146" s="52">
        <f t="shared" si="154"/>
        <v>0</v>
      </c>
    </row>
    <row r="147" spans="1:119">
      <c r="A147" s="224">
        <v>155</v>
      </c>
      <c r="B147" s="26" t="s">
        <v>58</v>
      </c>
      <c r="C147" s="53" t="s">
        <v>67</v>
      </c>
      <c r="D147" s="189" t="s">
        <v>373</v>
      </c>
      <c r="E147" s="195" t="s">
        <v>1164</v>
      </c>
      <c r="F147" s="161">
        <f t="shared" si="128"/>
        <v>0</v>
      </c>
      <c r="G147" s="165">
        <f t="shared" si="129"/>
        <v>2420</v>
      </c>
      <c r="H147" s="54"/>
      <c r="I147" s="220">
        <v>0</v>
      </c>
      <c r="J147" s="220">
        <v>0</v>
      </c>
      <c r="K147" s="127">
        <f t="shared" si="130"/>
        <v>2420</v>
      </c>
      <c r="L147" s="127">
        <f t="shared" si="131"/>
        <v>2420</v>
      </c>
      <c r="M147" s="127">
        <f t="shared" si="132"/>
        <v>2420</v>
      </c>
      <c r="N147" s="127">
        <f t="shared" si="158"/>
        <v>0</v>
      </c>
      <c r="O147" s="125">
        <f t="shared" si="133"/>
        <v>2420</v>
      </c>
      <c r="P147" s="57"/>
      <c r="Q147" s="57">
        <v>2420</v>
      </c>
      <c r="R147" s="52">
        <f t="shared" si="134"/>
        <v>0</v>
      </c>
      <c r="S147" s="52">
        <f t="shared" si="135"/>
        <v>2420</v>
      </c>
      <c r="T147" s="57"/>
      <c r="U147" s="57"/>
      <c r="V147" s="57"/>
      <c r="W147" s="52"/>
      <c r="X147" s="52">
        <f t="shared" si="136"/>
        <v>0</v>
      </c>
      <c r="Y147" s="52">
        <f t="shared" si="136"/>
        <v>0</v>
      </c>
      <c r="Z147" s="52"/>
      <c r="AA147" s="52"/>
      <c r="AB147" s="52"/>
      <c r="AC147" s="52"/>
      <c r="AD147" s="52">
        <f t="shared" si="137"/>
        <v>0</v>
      </c>
      <c r="AE147" s="52">
        <f t="shared" si="137"/>
        <v>0</v>
      </c>
      <c r="AF147" s="52">
        <f t="shared" si="138"/>
        <v>0</v>
      </c>
      <c r="AG147" s="52">
        <f t="shared" si="139"/>
        <v>0</v>
      </c>
      <c r="AH147" s="52">
        <f t="shared" si="139"/>
        <v>2420</v>
      </c>
      <c r="AI147" s="52">
        <f t="shared" si="140"/>
        <v>2420</v>
      </c>
      <c r="AJ147" s="52">
        <f t="shared" si="141"/>
        <v>2420</v>
      </c>
      <c r="AK147" s="52">
        <f t="shared" si="141"/>
        <v>2420</v>
      </c>
      <c r="AL147" s="57"/>
      <c r="AM147" s="57"/>
      <c r="AN147" s="57"/>
      <c r="AO147" s="57"/>
      <c r="AP147" s="52">
        <f t="shared" si="142"/>
        <v>0</v>
      </c>
      <c r="AQ147" s="52">
        <f t="shared" si="142"/>
        <v>0</v>
      </c>
      <c r="AR147" s="52"/>
      <c r="AS147" s="52"/>
      <c r="AT147" s="52"/>
      <c r="AU147" s="52"/>
      <c r="AV147" s="52">
        <f t="shared" si="143"/>
        <v>0</v>
      </c>
      <c r="AW147" s="52">
        <f t="shared" si="143"/>
        <v>0</v>
      </c>
      <c r="AX147" s="52"/>
      <c r="AY147" s="52"/>
      <c r="AZ147" s="52"/>
      <c r="BA147" s="52"/>
      <c r="BB147" s="52">
        <f t="shared" si="144"/>
        <v>0</v>
      </c>
      <c r="BC147" s="52"/>
      <c r="BD147" s="52">
        <f t="shared" si="155"/>
        <v>0</v>
      </c>
      <c r="BE147" s="52"/>
      <c r="BF147" s="52"/>
      <c r="BG147" s="52"/>
      <c r="BH147" s="52"/>
      <c r="BI147" s="52">
        <f t="shared" si="145"/>
        <v>0</v>
      </c>
      <c r="BJ147" s="52"/>
      <c r="BK147" s="52">
        <f t="shared" si="107"/>
        <v>0</v>
      </c>
      <c r="BL147" s="52"/>
      <c r="BM147" s="52"/>
      <c r="BN147" s="52"/>
      <c r="BO147" s="52"/>
      <c r="BP147" s="52">
        <f t="shared" si="146"/>
        <v>0</v>
      </c>
      <c r="BQ147" s="52"/>
      <c r="BR147" s="52">
        <f t="shared" si="156"/>
        <v>0</v>
      </c>
      <c r="BS147" s="52"/>
      <c r="BT147" s="52"/>
      <c r="BU147" s="52"/>
      <c r="BV147" s="52"/>
      <c r="BW147" s="52">
        <f t="shared" si="147"/>
        <v>0</v>
      </c>
      <c r="BX147" s="52"/>
      <c r="BY147" s="52">
        <f t="shared" si="157"/>
        <v>0</v>
      </c>
      <c r="BZ147" s="52"/>
      <c r="CA147" s="52"/>
      <c r="CB147" s="52"/>
      <c r="CC147" s="52"/>
      <c r="CD147" s="52">
        <f t="shared" si="148"/>
        <v>0</v>
      </c>
      <c r="CE147" s="52">
        <f t="shared" si="148"/>
        <v>0</v>
      </c>
      <c r="CF147" s="52"/>
      <c r="CG147" s="52"/>
      <c r="CH147" s="52"/>
      <c r="CI147" s="52"/>
      <c r="CJ147" s="52">
        <f t="shared" si="149"/>
        <v>0</v>
      </c>
      <c r="CK147" s="52">
        <f t="shared" si="149"/>
        <v>0</v>
      </c>
      <c r="CL147" s="52"/>
      <c r="CM147" s="52"/>
      <c r="CN147" s="52"/>
      <c r="CO147" s="52"/>
      <c r="CP147" s="52">
        <f t="shared" si="150"/>
        <v>0</v>
      </c>
      <c r="CQ147" s="52">
        <f t="shared" si="150"/>
        <v>0</v>
      </c>
      <c r="CR147" s="52"/>
      <c r="CS147" s="52"/>
      <c r="CT147" s="52"/>
      <c r="CU147" s="52"/>
      <c r="CV147" s="52">
        <f t="shared" si="151"/>
        <v>0</v>
      </c>
      <c r="CW147" s="52">
        <f t="shared" si="151"/>
        <v>0</v>
      </c>
      <c r="CX147" s="52"/>
      <c r="CY147" s="52"/>
      <c r="CZ147" s="52"/>
      <c r="DA147" s="52"/>
      <c r="DB147" s="52">
        <f t="shared" si="152"/>
        <v>0</v>
      </c>
      <c r="DC147" s="52">
        <f t="shared" si="152"/>
        <v>0</v>
      </c>
      <c r="DD147" s="52"/>
      <c r="DE147" s="52"/>
      <c r="DF147" s="52"/>
      <c r="DG147" s="52"/>
      <c r="DH147" s="52">
        <f t="shared" si="153"/>
        <v>0</v>
      </c>
      <c r="DI147" s="52">
        <f t="shared" si="153"/>
        <v>0</v>
      </c>
      <c r="DJ147" s="52">
        <f t="shared" si="177"/>
        <v>0</v>
      </c>
      <c r="DK147" s="52">
        <f t="shared" si="178"/>
        <v>0</v>
      </c>
      <c r="DL147" s="52">
        <f t="shared" si="159"/>
        <v>0</v>
      </c>
      <c r="DM147" s="52">
        <f t="shared" si="179"/>
        <v>0</v>
      </c>
      <c r="DN147" s="52">
        <f t="shared" si="154"/>
        <v>0</v>
      </c>
      <c r="DO147" s="52">
        <f t="shared" si="154"/>
        <v>0</v>
      </c>
    </row>
    <row r="148" spans="1:119">
      <c r="A148" s="224">
        <v>156</v>
      </c>
      <c r="B148" s="26" t="s">
        <v>58</v>
      </c>
      <c r="C148" s="53" t="s">
        <v>65</v>
      </c>
      <c r="D148" s="189" t="s">
        <v>374</v>
      </c>
      <c r="E148" s="195" t="s">
        <v>1164</v>
      </c>
      <c r="F148" s="161">
        <f t="shared" si="128"/>
        <v>0</v>
      </c>
      <c r="G148" s="165">
        <f t="shared" si="129"/>
        <v>1400</v>
      </c>
      <c r="H148" s="54"/>
      <c r="I148" s="219">
        <v>0</v>
      </c>
      <c r="J148" s="219">
        <v>0</v>
      </c>
      <c r="K148" s="127">
        <f t="shared" si="130"/>
        <v>1400</v>
      </c>
      <c r="L148" s="127">
        <f t="shared" si="131"/>
        <v>1400</v>
      </c>
      <c r="M148" s="127">
        <f t="shared" si="132"/>
        <v>1400</v>
      </c>
      <c r="N148" s="127">
        <f t="shared" si="158"/>
        <v>0</v>
      </c>
      <c r="O148" s="125">
        <f t="shared" si="133"/>
        <v>1400</v>
      </c>
      <c r="P148" s="52"/>
      <c r="Q148" s="52">
        <v>1400</v>
      </c>
      <c r="R148" s="52">
        <f t="shared" si="134"/>
        <v>0</v>
      </c>
      <c r="S148" s="52">
        <f t="shared" si="135"/>
        <v>1400</v>
      </c>
      <c r="T148" s="52"/>
      <c r="U148" s="52"/>
      <c r="V148" s="52"/>
      <c r="W148" s="52"/>
      <c r="X148" s="52">
        <f t="shared" si="136"/>
        <v>0</v>
      </c>
      <c r="Y148" s="52">
        <f t="shared" si="136"/>
        <v>0</v>
      </c>
      <c r="Z148" s="52"/>
      <c r="AA148" s="52"/>
      <c r="AB148" s="52"/>
      <c r="AC148" s="52"/>
      <c r="AD148" s="52">
        <f t="shared" si="137"/>
        <v>0</v>
      </c>
      <c r="AE148" s="52">
        <f t="shared" si="137"/>
        <v>0</v>
      </c>
      <c r="AF148" s="52">
        <f t="shared" si="138"/>
        <v>0</v>
      </c>
      <c r="AG148" s="52">
        <f t="shared" si="139"/>
        <v>0</v>
      </c>
      <c r="AH148" s="52">
        <f t="shared" si="139"/>
        <v>1400</v>
      </c>
      <c r="AI148" s="52">
        <f t="shared" si="140"/>
        <v>1400</v>
      </c>
      <c r="AJ148" s="52">
        <f t="shared" si="141"/>
        <v>1400</v>
      </c>
      <c r="AK148" s="52">
        <f t="shared" si="141"/>
        <v>1400</v>
      </c>
      <c r="AL148" s="52"/>
      <c r="AM148" s="52"/>
      <c r="AN148" s="52"/>
      <c r="AO148" s="52"/>
      <c r="AP148" s="52">
        <f t="shared" si="142"/>
        <v>0</v>
      </c>
      <c r="AQ148" s="52">
        <f t="shared" si="142"/>
        <v>0</v>
      </c>
      <c r="AR148" s="52"/>
      <c r="AS148" s="52"/>
      <c r="AT148" s="52"/>
      <c r="AU148" s="52"/>
      <c r="AV148" s="52">
        <f t="shared" si="143"/>
        <v>0</v>
      </c>
      <c r="AW148" s="52">
        <f t="shared" si="143"/>
        <v>0</v>
      </c>
      <c r="AX148" s="52"/>
      <c r="AY148" s="52"/>
      <c r="AZ148" s="52"/>
      <c r="BA148" s="52"/>
      <c r="BB148" s="52">
        <f t="shared" si="144"/>
        <v>0</v>
      </c>
      <c r="BC148" s="52"/>
      <c r="BD148" s="52">
        <f t="shared" si="155"/>
        <v>0</v>
      </c>
      <c r="BE148" s="52"/>
      <c r="BF148" s="52"/>
      <c r="BG148" s="52"/>
      <c r="BH148" s="52"/>
      <c r="BI148" s="52">
        <f t="shared" si="145"/>
        <v>0</v>
      </c>
      <c r="BJ148" s="52"/>
      <c r="BK148" s="52">
        <f t="shared" si="107"/>
        <v>0</v>
      </c>
      <c r="BL148" s="52"/>
      <c r="BM148" s="52"/>
      <c r="BN148" s="52"/>
      <c r="BO148" s="52"/>
      <c r="BP148" s="52">
        <f t="shared" si="146"/>
        <v>0</v>
      </c>
      <c r="BQ148" s="52"/>
      <c r="BR148" s="52">
        <f t="shared" si="156"/>
        <v>0</v>
      </c>
      <c r="BS148" s="52"/>
      <c r="BT148" s="52"/>
      <c r="BU148" s="52"/>
      <c r="BV148" s="52"/>
      <c r="BW148" s="52">
        <f t="shared" si="147"/>
        <v>0</v>
      </c>
      <c r="BX148" s="52"/>
      <c r="BY148" s="52">
        <f t="shared" si="157"/>
        <v>0</v>
      </c>
      <c r="BZ148" s="52"/>
      <c r="CA148" s="52"/>
      <c r="CB148" s="52"/>
      <c r="CC148" s="52"/>
      <c r="CD148" s="52">
        <f t="shared" si="148"/>
        <v>0</v>
      </c>
      <c r="CE148" s="52">
        <f t="shared" si="148"/>
        <v>0</v>
      </c>
      <c r="CF148" s="52"/>
      <c r="CG148" s="52"/>
      <c r="CH148" s="52"/>
      <c r="CI148" s="52"/>
      <c r="CJ148" s="52">
        <f t="shared" si="149"/>
        <v>0</v>
      </c>
      <c r="CK148" s="52">
        <f t="shared" si="149"/>
        <v>0</v>
      </c>
      <c r="CL148" s="52"/>
      <c r="CM148" s="52"/>
      <c r="CN148" s="52"/>
      <c r="CO148" s="52"/>
      <c r="CP148" s="52">
        <f t="shared" si="150"/>
        <v>0</v>
      </c>
      <c r="CQ148" s="52">
        <f t="shared" si="150"/>
        <v>0</v>
      </c>
      <c r="CR148" s="52"/>
      <c r="CS148" s="52"/>
      <c r="CT148" s="52"/>
      <c r="CU148" s="52"/>
      <c r="CV148" s="52">
        <f t="shared" si="151"/>
        <v>0</v>
      </c>
      <c r="CW148" s="52">
        <f t="shared" si="151"/>
        <v>0</v>
      </c>
      <c r="CX148" s="52"/>
      <c r="CY148" s="52"/>
      <c r="CZ148" s="52"/>
      <c r="DA148" s="52"/>
      <c r="DB148" s="52">
        <f t="shared" si="152"/>
        <v>0</v>
      </c>
      <c r="DC148" s="52">
        <f t="shared" si="152"/>
        <v>0</v>
      </c>
      <c r="DD148" s="52"/>
      <c r="DE148" s="52"/>
      <c r="DF148" s="52"/>
      <c r="DG148" s="52"/>
      <c r="DH148" s="52">
        <f t="shared" si="153"/>
        <v>0</v>
      </c>
      <c r="DI148" s="52">
        <f t="shared" si="153"/>
        <v>0</v>
      </c>
      <c r="DJ148" s="52">
        <f t="shared" si="177"/>
        <v>0</v>
      </c>
      <c r="DK148" s="52">
        <f t="shared" si="178"/>
        <v>0</v>
      </c>
      <c r="DL148" s="52">
        <f t="shared" si="159"/>
        <v>0</v>
      </c>
      <c r="DM148" s="52">
        <f t="shared" si="179"/>
        <v>0</v>
      </c>
      <c r="DN148" s="52">
        <f t="shared" si="154"/>
        <v>0</v>
      </c>
      <c r="DO148" s="52">
        <f t="shared" si="154"/>
        <v>0</v>
      </c>
    </row>
    <row r="149" spans="1:119">
      <c r="A149" s="224">
        <v>157</v>
      </c>
      <c r="B149" s="26" t="s">
        <v>58</v>
      </c>
      <c r="C149" s="53" t="s">
        <v>61</v>
      </c>
      <c r="D149" s="189" t="s">
        <v>375</v>
      </c>
      <c r="E149" s="195" t="s">
        <v>1164</v>
      </c>
      <c r="F149" s="161">
        <f t="shared" si="128"/>
        <v>0</v>
      </c>
      <c r="G149" s="165">
        <f t="shared" si="129"/>
        <v>4639</v>
      </c>
      <c r="H149" s="54"/>
      <c r="I149" s="219">
        <v>0</v>
      </c>
      <c r="J149" s="219">
        <v>0</v>
      </c>
      <c r="K149" s="127">
        <f t="shared" si="130"/>
        <v>4639</v>
      </c>
      <c r="L149" s="127">
        <f t="shared" si="131"/>
        <v>4639</v>
      </c>
      <c r="M149" s="127">
        <f t="shared" si="132"/>
        <v>4639</v>
      </c>
      <c r="N149" s="127">
        <f t="shared" si="158"/>
        <v>0</v>
      </c>
      <c r="O149" s="125">
        <f t="shared" si="133"/>
        <v>4639</v>
      </c>
      <c r="P149" s="52"/>
      <c r="Q149" s="52">
        <v>4639</v>
      </c>
      <c r="R149" s="52">
        <f t="shared" si="134"/>
        <v>0</v>
      </c>
      <c r="S149" s="52">
        <f t="shared" si="135"/>
        <v>4639</v>
      </c>
      <c r="T149" s="52"/>
      <c r="U149" s="52"/>
      <c r="V149" s="52"/>
      <c r="W149" s="52"/>
      <c r="X149" s="52">
        <f t="shared" si="136"/>
        <v>0</v>
      </c>
      <c r="Y149" s="52">
        <f t="shared" si="136"/>
        <v>0</v>
      </c>
      <c r="Z149" s="52"/>
      <c r="AA149" s="52"/>
      <c r="AB149" s="52"/>
      <c r="AC149" s="52"/>
      <c r="AD149" s="52">
        <f t="shared" si="137"/>
        <v>0</v>
      </c>
      <c r="AE149" s="52">
        <f t="shared" si="137"/>
        <v>0</v>
      </c>
      <c r="AF149" s="52">
        <f t="shared" si="138"/>
        <v>0</v>
      </c>
      <c r="AG149" s="52">
        <f t="shared" si="139"/>
        <v>0</v>
      </c>
      <c r="AH149" s="52">
        <f t="shared" si="139"/>
        <v>4639</v>
      </c>
      <c r="AI149" s="52">
        <f t="shared" si="140"/>
        <v>4639</v>
      </c>
      <c r="AJ149" s="52">
        <f t="shared" si="141"/>
        <v>4639</v>
      </c>
      <c r="AK149" s="52">
        <f t="shared" si="141"/>
        <v>4639</v>
      </c>
      <c r="AL149" s="52"/>
      <c r="AM149" s="52"/>
      <c r="AN149" s="52"/>
      <c r="AO149" s="52"/>
      <c r="AP149" s="52">
        <f t="shared" si="142"/>
        <v>0</v>
      </c>
      <c r="AQ149" s="52">
        <f t="shared" si="142"/>
        <v>0</v>
      </c>
      <c r="AR149" s="52"/>
      <c r="AS149" s="52"/>
      <c r="AT149" s="52"/>
      <c r="AU149" s="52"/>
      <c r="AV149" s="52">
        <f t="shared" si="143"/>
        <v>0</v>
      </c>
      <c r="AW149" s="52">
        <f t="shared" si="143"/>
        <v>0</v>
      </c>
      <c r="AX149" s="52"/>
      <c r="AY149" s="52"/>
      <c r="AZ149" s="52"/>
      <c r="BA149" s="52"/>
      <c r="BB149" s="52">
        <f t="shared" si="144"/>
        <v>0</v>
      </c>
      <c r="BC149" s="52"/>
      <c r="BD149" s="52">
        <f t="shared" si="155"/>
        <v>0</v>
      </c>
      <c r="BE149" s="52"/>
      <c r="BF149" s="52"/>
      <c r="BG149" s="52"/>
      <c r="BH149" s="52"/>
      <c r="BI149" s="52">
        <f t="shared" si="145"/>
        <v>0</v>
      </c>
      <c r="BJ149" s="52"/>
      <c r="BK149" s="52">
        <f t="shared" si="107"/>
        <v>0</v>
      </c>
      <c r="BL149" s="52"/>
      <c r="BM149" s="52"/>
      <c r="BN149" s="52"/>
      <c r="BO149" s="52"/>
      <c r="BP149" s="52">
        <f t="shared" si="146"/>
        <v>0</v>
      </c>
      <c r="BQ149" s="52"/>
      <c r="BR149" s="52">
        <f t="shared" si="156"/>
        <v>0</v>
      </c>
      <c r="BS149" s="52"/>
      <c r="BT149" s="52"/>
      <c r="BU149" s="52"/>
      <c r="BV149" s="52"/>
      <c r="BW149" s="52">
        <f t="shared" si="147"/>
        <v>0</v>
      </c>
      <c r="BX149" s="52"/>
      <c r="BY149" s="52">
        <f t="shared" si="157"/>
        <v>0</v>
      </c>
      <c r="BZ149" s="52"/>
      <c r="CA149" s="52"/>
      <c r="CB149" s="52"/>
      <c r="CC149" s="52"/>
      <c r="CD149" s="52">
        <f t="shared" si="148"/>
        <v>0</v>
      </c>
      <c r="CE149" s="52">
        <f t="shared" si="148"/>
        <v>0</v>
      </c>
      <c r="CF149" s="52"/>
      <c r="CG149" s="52"/>
      <c r="CH149" s="52"/>
      <c r="CI149" s="52"/>
      <c r="CJ149" s="52">
        <f t="shared" si="149"/>
        <v>0</v>
      </c>
      <c r="CK149" s="52">
        <f t="shared" si="149"/>
        <v>0</v>
      </c>
      <c r="CL149" s="52"/>
      <c r="CM149" s="52"/>
      <c r="CN149" s="52"/>
      <c r="CO149" s="52"/>
      <c r="CP149" s="52">
        <f t="shared" si="150"/>
        <v>0</v>
      </c>
      <c r="CQ149" s="52">
        <f t="shared" si="150"/>
        <v>0</v>
      </c>
      <c r="CR149" s="52"/>
      <c r="CS149" s="52"/>
      <c r="CT149" s="52"/>
      <c r="CU149" s="52"/>
      <c r="CV149" s="52">
        <f t="shared" si="151"/>
        <v>0</v>
      </c>
      <c r="CW149" s="52">
        <f t="shared" si="151"/>
        <v>0</v>
      </c>
      <c r="CX149" s="52"/>
      <c r="CY149" s="52"/>
      <c r="CZ149" s="52"/>
      <c r="DA149" s="52"/>
      <c r="DB149" s="52">
        <f t="shared" si="152"/>
        <v>0</v>
      </c>
      <c r="DC149" s="52">
        <f t="shared" si="152"/>
        <v>0</v>
      </c>
      <c r="DD149" s="52"/>
      <c r="DE149" s="52"/>
      <c r="DF149" s="52"/>
      <c r="DG149" s="52"/>
      <c r="DH149" s="52">
        <f t="shared" si="153"/>
        <v>0</v>
      </c>
      <c r="DI149" s="52">
        <f t="shared" si="153"/>
        <v>0</v>
      </c>
      <c r="DJ149" s="52">
        <f t="shared" si="177"/>
        <v>0</v>
      </c>
      <c r="DK149" s="52">
        <f t="shared" si="178"/>
        <v>0</v>
      </c>
      <c r="DL149" s="52">
        <f t="shared" si="159"/>
        <v>0</v>
      </c>
      <c r="DM149" s="52">
        <f t="shared" si="179"/>
        <v>0</v>
      </c>
      <c r="DN149" s="52">
        <f t="shared" si="154"/>
        <v>0</v>
      </c>
      <c r="DO149" s="52">
        <f t="shared" si="154"/>
        <v>0</v>
      </c>
    </row>
    <row r="150" spans="1:119">
      <c r="A150" s="224">
        <v>158</v>
      </c>
      <c r="B150" s="26" t="s">
        <v>58</v>
      </c>
      <c r="C150" s="53" t="s">
        <v>63</v>
      </c>
      <c r="D150" s="227" t="s">
        <v>376</v>
      </c>
      <c r="E150" s="191" t="s">
        <v>1164</v>
      </c>
      <c r="F150" s="161">
        <f t="shared" si="128"/>
        <v>0</v>
      </c>
      <c r="G150" s="165">
        <f t="shared" si="129"/>
        <v>4786</v>
      </c>
      <c r="H150" s="54">
        <v>0</v>
      </c>
      <c r="I150" s="219">
        <v>0</v>
      </c>
      <c r="J150" s="219">
        <v>0</v>
      </c>
      <c r="K150" s="127">
        <f t="shared" si="130"/>
        <v>4786</v>
      </c>
      <c r="L150" s="127">
        <f t="shared" si="131"/>
        <v>4786</v>
      </c>
      <c r="M150" s="127">
        <f t="shared" si="132"/>
        <v>4786</v>
      </c>
      <c r="N150" s="127">
        <f t="shared" si="158"/>
        <v>0</v>
      </c>
      <c r="O150" s="125">
        <f t="shared" si="133"/>
        <v>4786</v>
      </c>
      <c r="P150" s="52"/>
      <c r="Q150" s="52">
        <v>4786</v>
      </c>
      <c r="R150" s="52">
        <f t="shared" si="134"/>
        <v>0</v>
      </c>
      <c r="S150" s="52">
        <f t="shared" si="135"/>
        <v>4786</v>
      </c>
      <c r="T150" s="52"/>
      <c r="U150" s="52"/>
      <c r="V150" s="52"/>
      <c r="W150" s="52"/>
      <c r="X150" s="52">
        <f t="shared" si="136"/>
        <v>0</v>
      </c>
      <c r="Y150" s="52">
        <f t="shared" si="136"/>
        <v>0</v>
      </c>
      <c r="Z150" s="52"/>
      <c r="AA150" s="52"/>
      <c r="AB150" s="52"/>
      <c r="AC150" s="52"/>
      <c r="AD150" s="52">
        <f t="shared" si="137"/>
        <v>0</v>
      </c>
      <c r="AE150" s="52">
        <f t="shared" si="137"/>
        <v>0</v>
      </c>
      <c r="AF150" s="52">
        <f t="shared" si="138"/>
        <v>0</v>
      </c>
      <c r="AG150" s="52">
        <f t="shared" si="139"/>
        <v>0</v>
      </c>
      <c r="AH150" s="52">
        <f t="shared" si="139"/>
        <v>4786</v>
      </c>
      <c r="AI150" s="52">
        <f t="shared" si="140"/>
        <v>4786</v>
      </c>
      <c r="AJ150" s="52">
        <f t="shared" si="141"/>
        <v>4786</v>
      </c>
      <c r="AK150" s="52">
        <f t="shared" si="141"/>
        <v>4786</v>
      </c>
      <c r="AL150" s="52"/>
      <c r="AM150" s="52"/>
      <c r="AN150" s="52"/>
      <c r="AO150" s="52"/>
      <c r="AP150" s="52">
        <f t="shared" si="142"/>
        <v>0</v>
      </c>
      <c r="AQ150" s="52">
        <f t="shared" si="142"/>
        <v>0</v>
      </c>
      <c r="AR150" s="52"/>
      <c r="AS150" s="52"/>
      <c r="AT150" s="52"/>
      <c r="AU150" s="52"/>
      <c r="AV150" s="52">
        <f t="shared" si="143"/>
        <v>0</v>
      </c>
      <c r="AW150" s="52">
        <f t="shared" si="143"/>
        <v>0</v>
      </c>
      <c r="AX150" s="52"/>
      <c r="AY150" s="52"/>
      <c r="AZ150" s="52"/>
      <c r="BA150" s="52"/>
      <c r="BB150" s="52">
        <f t="shared" si="144"/>
        <v>0</v>
      </c>
      <c r="BC150" s="52"/>
      <c r="BD150" s="52">
        <f t="shared" si="155"/>
        <v>0</v>
      </c>
      <c r="BE150" s="52"/>
      <c r="BF150" s="52"/>
      <c r="BG150" s="52"/>
      <c r="BH150" s="52"/>
      <c r="BI150" s="52">
        <f t="shared" si="145"/>
        <v>0</v>
      </c>
      <c r="BJ150" s="52"/>
      <c r="BK150" s="52">
        <f t="shared" si="107"/>
        <v>0</v>
      </c>
      <c r="BL150" s="52"/>
      <c r="BM150" s="52"/>
      <c r="BN150" s="52"/>
      <c r="BO150" s="52"/>
      <c r="BP150" s="52">
        <f t="shared" si="146"/>
        <v>0</v>
      </c>
      <c r="BQ150" s="52"/>
      <c r="BR150" s="52">
        <f t="shared" si="156"/>
        <v>0</v>
      </c>
      <c r="BS150" s="52"/>
      <c r="BT150" s="52"/>
      <c r="BU150" s="52"/>
      <c r="BV150" s="52"/>
      <c r="BW150" s="52">
        <f t="shared" si="147"/>
        <v>0</v>
      </c>
      <c r="BX150" s="52"/>
      <c r="BY150" s="52">
        <f t="shared" si="157"/>
        <v>0</v>
      </c>
      <c r="BZ150" s="52"/>
      <c r="CA150" s="52"/>
      <c r="CB150" s="52"/>
      <c r="CC150" s="52"/>
      <c r="CD150" s="52">
        <f t="shared" si="148"/>
        <v>0</v>
      </c>
      <c r="CE150" s="52">
        <f t="shared" si="148"/>
        <v>0</v>
      </c>
      <c r="CF150" s="52"/>
      <c r="CG150" s="52"/>
      <c r="CH150" s="52"/>
      <c r="CI150" s="52"/>
      <c r="CJ150" s="52">
        <f t="shared" si="149"/>
        <v>0</v>
      </c>
      <c r="CK150" s="52">
        <f t="shared" si="149"/>
        <v>0</v>
      </c>
      <c r="CL150" s="52"/>
      <c r="CM150" s="52"/>
      <c r="CN150" s="52"/>
      <c r="CO150" s="52"/>
      <c r="CP150" s="52">
        <f t="shared" si="150"/>
        <v>0</v>
      </c>
      <c r="CQ150" s="52">
        <f t="shared" si="150"/>
        <v>0</v>
      </c>
      <c r="CR150" s="52"/>
      <c r="CS150" s="52"/>
      <c r="CT150" s="52"/>
      <c r="CU150" s="52"/>
      <c r="CV150" s="52">
        <f t="shared" si="151"/>
        <v>0</v>
      </c>
      <c r="CW150" s="52">
        <f t="shared" si="151"/>
        <v>0</v>
      </c>
      <c r="CX150" s="52"/>
      <c r="CY150" s="52"/>
      <c r="CZ150" s="52"/>
      <c r="DA150" s="52"/>
      <c r="DB150" s="52">
        <f t="shared" si="152"/>
        <v>0</v>
      </c>
      <c r="DC150" s="52">
        <f t="shared" si="152"/>
        <v>0</v>
      </c>
      <c r="DD150" s="52"/>
      <c r="DE150" s="52"/>
      <c r="DF150" s="52"/>
      <c r="DG150" s="52"/>
      <c r="DH150" s="52">
        <f t="shared" si="153"/>
        <v>0</v>
      </c>
      <c r="DI150" s="52">
        <f t="shared" si="153"/>
        <v>0</v>
      </c>
      <c r="DJ150" s="52">
        <f t="shared" si="177"/>
        <v>0</v>
      </c>
      <c r="DK150" s="52">
        <f t="shared" si="178"/>
        <v>0</v>
      </c>
      <c r="DL150" s="52">
        <f t="shared" si="159"/>
        <v>0</v>
      </c>
      <c r="DM150" s="52">
        <f t="shared" si="179"/>
        <v>0</v>
      </c>
      <c r="DN150" s="52">
        <f t="shared" si="154"/>
        <v>0</v>
      </c>
      <c r="DO150" s="52">
        <f t="shared" si="154"/>
        <v>0</v>
      </c>
    </row>
    <row r="151" spans="1:119">
      <c r="A151" s="224">
        <v>159</v>
      </c>
      <c r="B151" s="26" t="s">
        <v>36</v>
      </c>
      <c r="C151" s="53" t="s">
        <v>185</v>
      </c>
      <c r="D151" s="228" t="s">
        <v>377</v>
      </c>
      <c r="E151" s="201" t="s">
        <v>1164</v>
      </c>
      <c r="F151" s="161">
        <f t="shared" si="128"/>
        <v>0</v>
      </c>
      <c r="G151" s="165">
        <f t="shared" si="129"/>
        <v>12638.5</v>
      </c>
      <c r="H151" s="64">
        <v>0</v>
      </c>
      <c r="I151" s="220">
        <v>0</v>
      </c>
      <c r="J151" s="220">
        <v>0</v>
      </c>
      <c r="K151" s="127">
        <f t="shared" si="130"/>
        <v>12638.5</v>
      </c>
      <c r="L151" s="127">
        <f t="shared" si="131"/>
        <v>12638.5</v>
      </c>
      <c r="M151" s="127">
        <f t="shared" si="132"/>
        <v>12638.5</v>
      </c>
      <c r="N151" s="127">
        <f t="shared" si="158"/>
        <v>0</v>
      </c>
      <c r="O151" s="125">
        <f t="shared" si="133"/>
        <v>12638.5</v>
      </c>
      <c r="P151" s="57"/>
      <c r="Q151" s="57">
        <v>12638.5</v>
      </c>
      <c r="R151" s="52">
        <f t="shared" si="134"/>
        <v>0</v>
      </c>
      <c r="S151" s="52">
        <f t="shared" si="135"/>
        <v>12638.5</v>
      </c>
      <c r="T151" s="57"/>
      <c r="U151" s="57"/>
      <c r="V151" s="57"/>
      <c r="W151" s="57"/>
      <c r="X151" s="52">
        <f t="shared" si="136"/>
        <v>0</v>
      </c>
      <c r="Y151" s="52">
        <f t="shared" si="136"/>
        <v>0</v>
      </c>
      <c r="Z151" s="57"/>
      <c r="AA151" s="57"/>
      <c r="AB151" s="57"/>
      <c r="AC151" s="57"/>
      <c r="AD151" s="52">
        <f t="shared" si="137"/>
        <v>0</v>
      </c>
      <c r="AE151" s="52">
        <f t="shared" si="137"/>
        <v>0</v>
      </c>
      <c r="AF151" s="52">
        <f t="shared" si="138"/>
        <v>0</v>
      </c>
      <c r="AG151" s="52">
        <f t="shared" si="139"/>
        <v>0</v>
      </c>
      <c r="AH151" s="52">
        <f t="shared" si="139"/>
        <v>12638.5</v>
      </c>
      <c r="AI151" s="52">
        <f t="shared" si="140"/>
        <v>12638.5</v>
      </c>
      <c r="AJ151" s="52">
        <f t="shared" si="141"/>
        <v>12638.5</v>
      </c>
      <c r="AK151" s="52">
        <f t="shared" si="141"/>
        <v>12638.5</v>
      </c>
      <c r="AL151" s="57"/>
      <c r="AM151" s="57"/>
      <c r="AN151" s="57"/>
      <c r="AO151" s="57"/>
      <c r="AP151" s="52">
        <f t="shared" si="142"/>
        <v>0</v>
      </c>
      <c r="AQ151" s="52">
        <f t="shared" si="142"/>
        <v>0</v>
      </c>
      <c r="AR151" s="52"/>
      <c r="AS151" s="52"/>
      <c r="AT151" s="52"/>
      <c r="AU151" s="52"/>
      <c r="AV151" s="52">
        <f t="shared" si="143"/>
        <v>0</v>
      </c>
      <c r="AW151" s="52">
        <f t="shared" si="143"/>
        <v>0</v>
      </c>
      <c r="AX151" s="52"/>
      <c r="AY151" s="52"/>
      <c r="AZ151" s="52"/>
      <c r="BA151" s="52"/>
      <c r="BB151" s="52">
        <f t="shared" si="144"/>
        <v>0</v>
      </c>
      <c r="BC151" s="52"/>
      <c r="BD151" s="52">
        <f t="shared" si="155"/>
        <v>0</v>
      </c>
      <c r="BE151" s="52"/>
      <c r="BF151" s="52"/>
      <c r="BG151" s="52"/>
      <c r="BH151" s="52"/>
      <c r="BI151" s="52">
        <f t="shared" si="145"/>
        <v>0</v>
      </c>
      <c r="BJ151" s="52"/>
      <c r="BK151" s="52">
        <f t="shared" si="107"/>
        <v>0</v>
      </c>
      <c r="BL151" s="52"/>
      <c r="BM151" s="52"/>
      <c r="BN151" s="52"/>
      <c r="BO151" s="52"/>
      <c r="BP151" s="52">
        <f t="shared" si="146"/>
        <v>0</v>
      </c>
      <c r="BQ151" s="52"/>
      <c r="BR151" s="52">
        <f t="shared" si="156"/>
        <v>0</v>
      </c>
      <c r="BS151" s="52"/>
      <c r="BT151" s="52"/>
      <c r="BU151" s="52"/>
      <c r="BV151" s="52"/>
      <c r="BW151" s="52">
        <f t="shared" si="147"/>
        <v>0</v>
      </c>
      <c r="BX151" s="52"/>
      <c r="BY151" s="52">
        <f t="shared" si="157"/>
        <v>0</v>
      </c>
      <c r="BZ151" s="52"/>
      <c r="CA151" s="52"/>
      <c r="CB151" s="52"/>
      <c r="CC151" s="52"/>
      <c r="CD151" s="52">
        <f t="shared" si="148"/>
        <v>0</v>
      </c>
      <c r="CE151" s="52">
        <f t="shared" si="148"/>
        <v>0</v>
      </c>
      <c r="CF151" s="52"/>
      <c r="CG151" s="52"/>
      <c r="CH151" s="52"/>
      <c r="CI151" s="52"/>
      <c r="CJ151" s="52">
        <f t="shared" si="149"/>
        <v>0</v>
      </c>
      <c r="CK151" s="52">
        <f t="shared" si="149"/>
        <v>0</v>
      </c>
      <c r="CL151" s="52"/>
      <c r="CM151" s="52"/>
      <c r="CN151" s="52"/>
      <c r="CO151" s="52"/>
      <c r="CP151" s="52">
        <f t="shared" si="150"/>
        <v>0</v>
      </c>
      <c r="CQ151" s="52">
        <f t="shared" si="150"/>
        <v>0</v>
      </c>
      <c r="CR151" s="52"/>
      <c r="CS151" s="52"/>
      <c r="CT151" s="52"/>
      <c r="CU151" s="52"/>
      <c r="CV151" s="52">
        <f t="shared" si="151"/>
        <v>0</v>
      </c>
      <c r="CW151" s="52">
        <f t="shared" si="151"/>
        <v>0</v>
      </c>
      <c r="CX151" s="52"/>
      <c r="CY151" s="52"/>
      <c r="CZ151" s="52"/>
      <c r="DA151" s="52"/>
      <c r="DB151" s="52">
        <f t="shared" si="152"/>
        <v>0</v>
      </c>
      <c r="DC151" s="52">
        <f t="shared" si="152"/>
        <v>0</v>
      </c>
      <c r="DD151" s="52"/>
      <c r="DE151" s="52"/>
      <c r="DF151" s="52"/>
      <c r="DG151" s="52"/>
      <c r="DH151" s="52">
        <f t="shared" si="153"/>
        <v>0</v>
      </c>
      <c r="DI151" s="52">
        <f t="shared" si="153"/>
        <v>0</v>
      </c>
      <c r="DJ151" s="52">
        <f t="shared" si="177"/>
        <v>0</v>
      </c>
      <c r="DK151" s="52">
        <f t="shared" si="178"/>
        <v>0</v>
      </c>
      <c r="DL151" s="52">
        <f t="shared" si="159"/>
        <v>0</v>
      </c>
      <c r="DM151" s="52">
        <f t="shared" si="179"/>
        <v>0</v>
      </c>
      <c r="DN151" s="52">
        <f t="shared" si="154"/>
        <v>0</v>
      </c>
      <c r="DO151" s="52">
        <f t="shared" si="154"/>
        <v>0</v>
      </c>
    </row>
    <row r="152" spans="1:119">
      <c r="A152" s="224">
        <v>160</v>
      </c>
      <c r="B152" s="26" t="s">
        <v>48</v>
      </c>
      <c r="C152" s="53" t="s">
        <v>49</v>
      </c>
      <c r="D152" s="227" t="s">
        <v>378</v>
      </c>
      <c r="E152" s="191" t="s">
        <v>1164</v>
      </c>
      <c r="F152" s="161">
        <f t="shared" si="128"/>
        <v>71723.75</v>
      </c>
      <c r="G152" s="165">
        <f t="shared" si="129"/>
        <v>71723.75</v>
      </c>
      <c r="H152" s="54">
        <v>0</v>
      </c>
      <c r="I152" s="219">
        <v>0</v>
      </c>
      <c r="J152" s="219">
        <v>0</v>
      </c>
      <c r="K152" s="127">
        <f t="shared" si="130"/>
        <v>0</v>
      </c>
      <c r="L152" s="127">
        <f t="shared" si="131"/>
        <v>0</v>
      </c>
      <c r="M152" s="127">
        <f t="shared" si="132"/>
        <v>0</v>
      </c>
      <c r="N152" s="127">
        <f t="shared" si="158"/>
        <v>71723.75</v>
      </c>
      <c r="O152" s="125" t="str">
        <f t="shared" si="133"/>
        <v>ნულოვანი შესრულება</v>
      </c>
      <c r="P152" s="52"/>
      <c r="Q152" s="52"/>
      <c r="R152" s="52">
        <f t="shared" si="134"/>
        <v>0</v>
      </c>
      <c r="S152" s="52">
        <f t="shared" si="135"/>
        <v>0</v>
      </c>
      <c r="T152" s="52"/>
      <c r="U152" s="52"/>
      <c r="V152" s="52"/>
      <c r="W152" s="58"/>
      <c r="X152" s="52">
        <f t="shared" si="136"/>
        <v>0</v>
      </c>
      <c r="Y152" s="52">
        <f t="shared" si="136"/>
        <v>0</v>
      </c>
      <c r="Z152" s="58"/>
      <c r="AA152" s="58"/>
      <c r="AB152" s="58"/>
      <c r="AC152" s="58"/>
      <c r="AD152" s="52">
        <f t="shared" si="137"/>
        <v>0</v>
      </c>
      <c r="AE152" s="52">
        <f t="shared" si="137"/>
        <v>0</v>
      </c>
      <c r="AF152" s="52">
        <f t="shared" si="138"/>
        <v>0</v>
      </c>
      <c r="AG152" s="52">
        <f t="shared" si="139"/>
        <v>0</v>
      </c>
      <c r="AH152" s="52">
        <f t="shared" si="139"/>
        <v>0</v>
      </c>
      <c r="AI152" s="52">
        <f t="shared" si="140"/>
        <v>0</v>
      </c>
      <c r="AJ152" s="52">
        <f t="shared" si="141"/>
        <v>0</v>
      </c>
      <c r="AK152" s="52">
        <f t="shared" si="141"/>
        <v>0</v>
      </c>
      <c r="AL152" s="52"/>
      <c r="AM152" s="52"/>
      <c r="AN152" s="75">
        <v>36723.75</v>
      </c>
      <c r="AO152" s="52"/>
      <c r="AP152" s="52">
        <f t="shared" si="142"/>
        <v>36723.75</v>
      </c>
      <c r="AQ152" s="52">
        <f t="shared" si="142"/>
        <v>0</v>
      </c>
      <c r="AR152" s="52"/>
      <c r="AS152" s="52"/>
      <c r="AT152" s="52">
        <v>35000</v>
      </c>
      <c r="AU152" s="52"/>
      <c r="AV152" s="52">
        <f t="shared" si="143"/>
        <v>35000</v>
      </c>
      <c r="AW152" s="52">
        <f t="shared" si="143"/>
        <v>0</v>
      </c>
      <c r="AX152" s="52"/>
      <c r="AY152" s="52"/>
      <c r="AZ152" s="52"/>
      <c r="BA152" s="52"/>
      <c r="BB152" s="52">
        <f t="shared" si="144"/>
        <v>0</v>
      </c>
      <c r="BC152" s="52"/>
      <c r="BD152" s="52">
        <f t="shared" si="155"/>
        <v>0</v>
      </c>
      <c r="BE152" s="52"/>
      <c r="BF152" s="52"/>
      <c r="BG152" s="52"/>
      <c r="BH152" s="52"/>
      <c r="BI152" s="52">
        <f t="shared" si="145"/>
        <v>0</v>
      </c>
      <c r="BJ152" s="52"/>
      <c r="BK152" s="52">
        <f t="shared" si="107"/>
        <v>0</v>
      </c>
      <c r="BL152" s="52"/>
      <c r="BM152" s="52"/>
      <c r="BN152" s="52"/>
      <c r="BO152" s="52"/>
      <c r="BP152" s="52">
        <f t="shared" si="146"/>
        <v>0</v>
      </c>
      <c r="BQ152" s="52"/>
      <c r="BR152" s="52">
        <f t="shared" si="156"/>
        <v>0</v>
      </c>
      <c r="BS152" s="52"/>
      <c r="BT152" s="52"/>
      <c r="BU152" s="52"/>
      <c r="BV152" s="52"/>
      <c r="BW152" s="52">
        <f t="shared" si="147"/>
        <v>0</v>
      </c>
      <c r="BX152" s="52"/>
      <c r="BY152" s="52">
        <f t="shared" si="157"/>
        <v>0</v>
      </c>
      <c r="BZ152" s="52"/>
      <c r="CA152" s="52"/>
      <c r="CB152" s="52"/>
      <c r="CC152" s="52"/>
      <c r="CD152" s="52">
        <f t="shared" si="148"/>
        <v>0</v>
      </c>
      <c r="CE152" s="52">
        <f t="shared" si="148"/>
        <v>0</v>
      </c>
      <c r="CF152" s="52"/>
      <c r="CG152" s="52"/>
      <c r="CH152" s="52"/>
      <c r="CI152" s="52"/>
      <c r="CJ152" s="52">
        <f t="shared" si="149"/>
        <v>0</v>
      </c>
      <c r="CK152" s="52">
        <f t="shared" si="149"/>
        <v>0</v>
      </c>
      <c r="CL152" s="52"/>
      <c r="CM152" s="52"/>
      <c r="CN152" s="52"/>
      <c r="CO152" s="52"/>
      <c r="CP152" s="52">
        <f t="shared" si="150"/>
        <v>0</v>
      </c>
      <c r="CQ152" s="52">
        <f t="shared" si="150"/>
        <v>0</v>
      </c>
      <c r="CR152" s="52"/>
      <c r="CS152" s="52"/>
      <c r="CT152" s="52"/>
      <c r="CU152" s="52"/>
      <c r="CV152" s="52">
        <f t="shared" si="151"/>
        <v>0</v>
      </c>
      <c r="CW152" s="52">
        <f t="shared" si="151"/>
        <v>0</v>
      </c>
      <c r="CX152" s="52"/>
      <c r="CY152" s="52"/>
      <c r="CZ152" s="52"/>
      <c r="DA152" s="52"/>
      <c r="DB152" s="52">
        <f t="shared" si="152"/>
        <v>0</v>
      </c>
      <c r="DC152" s="52">
        <f t="shared" si="152"/>
        <v>0</v>
      </c>
      <c r="DD152" s="52"/>
      <c r="DE152" s="52"/>
      <c r="DF152" s="52"/>
      <c r="DG152" s="52"/>
      <c r="DH152" s="52">
        <f t="shared" si="153"/>
        <v>0</v>
      </c>
      <c r="DI152" s="52">
        <f t="shared" si="153"/>
        <v>0</v>
      </c>
      <c r="DJ152" s="52">
        <f t="shared" si="177"/>
        <v>0</v>
      </c>
      <c r="DK152" s="52">
        <f t="shared" si="178"/>
        <v>0</v>
      </c>
      <c r="DL152" s="52">
        <f t="shared" si="159"/>
        <v>71723.75</v>
      </c>
      <c r="DM152" s="52">
        <f t="shared" si="179"/>
        <v>0</v>
      </c>
      <c r="DN152" s="52">
        <f t="shared" si="154"/>
        <v>71723.75</v>
      </c>
      <c r="DO152" s="52">
        <f t="shared" si="154"/>
        <v>0</v>
      </c>
    </row>
    <row r="153" spans="1:119">
      <c r="A153" s="224">
        <v>161</v>
      </c>
      <c r="B153" s="26" t="s">
        <v>202</v>
      </c>
      <c r="C153" s="53" t="s">
        <v>363</v>
      </c>
      <c r="D153" s="227" t="s">
        <v>379</v>
      </c>
      <c r="E153" s="191" t="s">
        <v>1164</v>
      </c>
      <c r="F153" s="161">
        <f t="shared" si="128"/>
        <v>0</v>
      </c>
      <c r="G153" s="165">
        <f t="shared" si="129"/>
        <v>4221</v>
      </c>
      <c r="H153" s="54"/>
      <c r="I153" s="219">
        <v>0</v>
      </c>
      <c r="J153" s="219">
        <v>0</v>
      </c>
      <c r="K153" s="127">
        <f t="shared" si="130"/>
        <v>4221</v>
      </c>
      <c r="L153" s="127">
        <f t="shared" si="131"/>
        <v>4221</v>
      </c>
      <c r="M153" s="127">
        <f t="shared" si="132"/>
        <v>4221</v>
      </c>
      <c r="N153" s="127">
        <f t="shared" si="158"/>
        <v>0</v>
      </c>
      <c r="O153" s="125">
        <f t="shared" si="133"/>
        <v>4221</v>
      </c>
      <c r="P153" s="52"/>
      <c r="Q153" s="52">
        <v>4221</v>
      </c>
      <c r="R153" s="52">
        <f t="shared" si="134"/>
        <v>0</v>
      </c>
      <c r="S153" s="52">
        <f t="shared" si="135"/>
        <v>4221</v>
      </c>
      <c r="T153" s="52"/>
      <c r="U153" s="52"/>
      <c r="V153" s="52"/>
      <c r="W153" s="52"/>
      <c r="X153" s="52">
        <f t="shared" si="136"/>
        <v>0</v>
      </c>
      <c r="Y153" s="52">
        <f t="shared" si="136"/>
        <v>0</v>
      </c>
      <c r="Z153" s="52"/>
      <c r="AA153" s="52"/>
      <c r="AB153" s="52"/>
      <c r="AC153" s="52"/>
      <c r="AD153" s="52">
        <f t="shared" si="137"/>
        <v>0</v>
      </c>
      <c r="AE153" s="52">
        <f t="shared" si="137"/>
        <v>0</v>
      </c>
      <c r="AF153" s="52">
        <f t="shared" si="138"/>
        <v>0</v>
      </c>
      <c r="AG153" s="52">
        <f t="shared" si="139"/>
        <v>0</v>
      </c>
      <c r="AH153" s="52">
        <f t="shared" si="139"/>
        <v>4221</v>
      </c>
      <c r="AI153" s="52">
        <f t="shared" si="140"/>
        <v>4221</v>
      </c>
      <c r="AJ153" s="52">
        <f t="shared" si="141"/>
        <v>4221</v>
      </c>
      <c r="AK153" s="52">
        <f t="shared" si="141"/>
        <v>4221</v>
      </c>
      <c r="AL153" s="52"/>
      <c r="AM153" s="52"/>
      <c r="AN153" s="52"/>
      <c r="AO153" s="52"/>
      <c r="AP153" s="52">
        <f t="shared" si="142"/>
        <v>0</v>
      </c>
      <c r="AQ153" s="52">
        <f t="shared" si="142"/>
        <v>0</v>
      </c>
      <c r="AR153" s="52"/>
      <c r="AS153" s="52"/>
      <c r="AT153" s="52"/>
      <c r="AU153" s="52"/>
      <c r="AV153" s="52">
        <f t="shared" si="143"/>
        <v>0</v>
      </c>
      <c r="AW153" s="52">
        <f t="shared" si="143"/>
        <v>0</v>
      </c>
      <c r="AX153" s="65"/>
      <c r="AY153" s="52"/>
      <c r="AZ153" s="52"/>
      <c r="BA153" s="52"/>
      <c r="BB153" s="52">
        <f t="shared" si="144"/>
        <v>0</v>
      </c>
      <c r="BC153" s="52"/>
      <c r="BD153" s="52">
        <f t="shared" si="155"/>
        <v>0</v>
      </c>
      <c r="BE153" s="52"/>
      <c r="BF153" s="52"/>
      <c r="BG153" s="52"/>
      <c r="BH153" s="52"/>
      <c r="BI153" s="52">
        <f t="shared" si="145"/>
        <v>0</v>
      </c>
      <c r="BJ153" s="52"/>
      <c r="BK153" s="52">
        <f t="shared" si="107"/>
        <v>0</v>
      </c>
      <c r="BL153" s="52"/>
      <c r="BM153" s="52"/>
      <c r="BN153" s="52"/>
      <c r="BO153" s="52"/>
      <c r="BP153" s="52">
        <f t="shared" si="146"/>
        <v>0</v>
      </c>
      <c r="BQ153" s="52"/>
      <c r="BR153" s="52">
        <f t="shared" si="156"/>
        <v>0</v>
      </c>
      <c r="BS153" s="52"/>
      <c r="BT153" s="52"/>
      <c r="BU153" s="52"/>
      <c r="BV153" s="52"/>
      <c r="BW153" s="52">
        <f t="shared" si="147"/>
        <v>0</v>
      </c>
      <c r="BX153" s="52"/>
      <c r="BY153" s="52">
        <f t="shared" si="157"/>
        <v>0</v>
      </c>
      <c r="BZ153" s="52"/>
      <c r="CA153" s="52"/>
      <c r="CB153" s="52"/>
      <c r="CC153" s="52"/>
      <c r="CD153" s="52">
        <f t="shared" si="148"/>
        <v>0</v>
      </c>
      <c r="CE153" s="52">
        <f t="shared" si="148"/>
        <v>0</v>
      </c>
      <c r="CF153" s="52"/>
      <c r="CG153" s="52"/>
      <c r="CH153" s="52"/>
      <c r="CI153" s="52"/>
      <c r="CJ153" s="52">
        <f t="shared" si="149"/>
        <v>0</v>
      </c>
      <c r="CK153" s="52">
        <f t="shared" si="149"/>
        <v>0</v>
      </c>
      <c r="CL153" s="52"/>
      <c r="CM153" s="52"/>
      <c r="CN153" s="52"/>
      <c r="CO153" s="52"/>
      <c r="CP153" s="52">
        <f t="shared" si="150"/>
        <v>0</v>
      </c>
      <c r="CQ153" s="52">
        <f t="shared" si="150"/>
        <v>0</v>
      </c>
      <c r="CR153" s="52"/>
      <c r="CS153" s="52"/>
      <c r="CT153" s="52"/>
      <c r="CU153" s="52"/>
      <c r="CV153" s="52">
        <f t="shared" si="151"/>
        <v>0</v>
      </c>
      <c r="CW153" s="52">
        <f t="shared" si="151"/>
        <v>0</v>
      </c>
      <c r="CX153" s="52"/>
      <c r="CY153" s="52"/>
      <c r="CZ153" s="52"/>
      <c r="DA153" s="52"/>
      <c r="DB153" s="52">
        <f t="shared" si="152"/>
        <v>0</v>
      </c>
      <c r="DC153" s="52">
        <f t="shared" si="152"/>
        <v>0</v>
      </c>
      <c r="DD153" s="52"/>
      <c r="DE153" s="52"/>
      <c r="DF153" s="52"/>
      <c r="DG153" s="52"/>
      <c r="DH153" s="52">
        <f t="shared" si="153"/>
        <v>0</v>
      </c>
      <c r="DI153" s="52">
        <f t="shared" si="153"/>
        <v>0</v>
      </c>
      <c r="DJ153" s="52">
        <f t="shared" si="177"/>
        <v>0</v>
      </c>
      <c r="DK153" s="52">
        <f t="shared" si="178"/>
        <v>0</v>
      </c>
      <c r="DL153" s="52">
        <f t="shared" si="159"/>
        <v>0</v>
      </c>
      <c r="DM153" s="52">
        <f t="shared" si="179"/>
        <v>0</v>
      </c>
      <c r="DN153" s="52">
        <f t="shared" si="154"/>
        <v>0</v>
      </c>
      <c r="DO153" s="52">
        <f t="shared" si="154"/>
        <v>0</v>
      </c>
    </row>
    <row r="154" spans="1:119">
      <c r="A154" s="224">
        <v>161</v>
      </c>
      <c r="B154" s="26" t="s">
        <v>1204</v>
      </c>
      <c r="C154" s="53" t="s">
        <v>387</v>
      </c>
      <c r="D154" s="227" t="s">
        <v>419</v>
      </c>
      <c r="E154" s="191" t="s">
        <v>1164</v>
      </c>
      <c r="F154" s="161">
        <f t="shared" ref="F154" si="180">SUM(DN154)</f>
        <v>0</v>
      </c>
      <c r="G154" s="165">
        <f t="shared" ref="G154" si="181">I154+AK154+DN154</f>
        <v>0</v>
      </c>
      <c r="H154" s="54"/>
      <c r="I154" s="219">
        <v>0</v>
      </c>
      <c r="J154" s="219">
        <v>0</v>
      </c>
      <c r="K154" s="127">
        <f t="shared" ref="K154" si="182">AK154</f>
        <v>0</v>
      </c>
      <c r="L154" s="127">
        <f t="shared" ref="L154" si="183">IF(AI154&gt;0,I154+AK154-J154,0)</f>
        <v>0</v>
      </c>
      <c r="M154" s="127">
        <f t="shared" ref="M154" si="184">I154+K154</f>
        <v>0</v>
      </c>
      <c r="N154" s="127">
        <f t="shared" si="158"/>
        <v>0</v>
      </c>
      <c r="O154" s="125" t="str">
        <f t="shared" ref="O154" si="185">IF(AND(AI154&gt;0,DM154&gt;0),"შეცდომაა! ერთზე მეტი ბოლო ჩაბარება!",IF(OR(AI154&gt;0,DM154&gt;0,),IF(AI154&gt;0,I154+AK154,I154+AK154+DO154),IF(AND(I154=0,K154=0,DO154=0),"ნულოვანი შესრულება","მიმდინარეობს")))</f>
        <v>ნულოვანი შესრულება</v>
      </c>
      <c r="P154" s="52"/>
      <c r="Q154" s="52">
        <v>0</v>
      </c>
      <c r="R154" s="52">
        <f t="shared" ref="R154" si="186">I154+P154</f>
        <v>0</v>
      </c>
      <c r="S154" s="52">
        <f t="shared" ref="S154" si="187">Q154</f>
        <v>0</v>
      </c>
      <c r="T154" s="52"/>
      <c r="U154" s="52"/>
      <c r="V154" s="52"/>
      <c r="W154" s="52"/>
      <c r="X154" s="52">
        <f t="shared" ref="X154" si="188">T154+V154</f>
        <v>0</v>
      </c>
      <c r="Y154" s="52">
        <f t="shared" ref="Y154" si="189">U154+W154</f>
        <v>0</v>
      </c>
      <c r="Z154" s="52"/>
      <c r="AA154" s="52"/>
      <c r="AB154" s="52"/>
      <c r="AC154" s="52"/>
      <c r="AD154" s="52">
        <f t="shared" ref="AD154" si="190">Z154+AB154</f>
        <v>0</v>
      </c>
      <c r="AE154" s="52">
        <f t="shared" ref="AE154" si="191">AA154+AC154</f>
        <v>0</v>
      </c>
      <c r="AF154" s="52">
        <f t="shared" ref="AF154" si="192">P154+T154+Z154</f>
        <v>0</v>
      </c>
      <c r="AG154" s="52">
        <f t="shared" ref="AG154" si="193">P154+U154+AA154</f>
        <v>0</v>
      </c>
      <c r="AH154" s="52">
        <f t="shared" ref="AH154" si="194">Q154+V154+AB154</f>
        <v>0</v>
      </c>
      <c r="AI154" s="52">
        <f t="shared" ref="AI154" si="195">Q154+W154+AC154</f>
        <v>0</v>
      </c>
      <c r="AJ154" s="52">
        <f t="shared" ref="AJ154" si="196">AF154+AH154</f>
        <v>0</v>
      </c>
      <c r="AK154" s="52">
        <f t="shared" ref="AK154" si="197">AG154+AI154</f>
        <v>0</v>
      </c>
      <c r="AL154" s="52"/>
      <c r="AM154" s="52"/>
      <c r="AN154" s="52"/>
      <c r="AO154" s="52"/>
      <c r="AP154" s="52">
        <f t="shared" ref="AP154" si="198">AL154+AN154</f>
        <v>0</v>
      </c>
      <c r="AQ154" s="52">
        <f t="shared" ref="AQ154" si="199">AM154+AO154</f>
        <v>0</v>
      </c>
      <c r="AR154" s="52"/>
      <c r="AS154" s="52"/>
      <c r="AT154" s="52"/>
      <c r="AU154" s="52"/>
      <c r="AV154" s="52">
        <f t="shared" ref="AV154" si="200">AR154+AT154</f>
        <v>0</v>
      </c>
      <c r="AW154" s="52">
        <f t="shared" ref="AW154" si="201">AS154+AU154</f>
        <v>0</v>
      </c>
      <c r="AX154" s="65"/>
      <c r="AY154" s="52"/>
      <c r="AZ154" s="52"/>
      <c r="BA154" s="52"/>
      <c r="BB154" s="52">
        <f t="shared" ref="BB154" si="202">AX154+AZ154</f>
        <v>0</v>
      </c>
      <c r="BC154" s="52"/>
      <c r="BD154" s="52">
        <f t="shared" ref="BD154" si="203">AY154+BA154</f>
        <v>0</v>
      </c>
      <c r="BE154" s="52"/>
      <c r="BF154" s="52"/>
      <c r="BG154" s="52"/>
      <c r="BH154" s="52"/>
      <c r="BI154" s="52">
        <f t="shared" ref="BI154" si="204">BE154+BG154</f>
        <v>0</v>
      </c>
      <c r="BJ154" s="52"/>
      <c r="BK154" s="52">
        <f t="shared" ref="BK154" si="205">BF154+BH154</f>
        <v>0</v>
      </c>
      <c r="BL154" s="52"/>
      <c r="BM154" s="52"/>
      <c r="BN154" s="52"/>
      <c r="BO154" s="52"/>
      <c r="BP154" s="52">
        <f t="shared" ref="BP154" si="206">BL154+BN154</f>
        <v>0</v>
      </c>
      <c r="BQ154" s="52"/>
      <c r="BR154" s="52">
        <f t="shared" ref="BR154" si="207">BM154+BO154</f>
        <v>0</v>
      </c>
      <c r="BS154" s="52"/>
      <c r="BT154" s="52"/>
      <c r="BU154" s="52"/>
      <c r="BV154" s="52"/>
      <c r="BW154" s="52">
        <f t="shared" ref="BW154" si="208">BS154+BU154</f>
        <v>0</v>
      </c>
      <c r="BX154" s="52"/>
      <c r="BY154" s="52">
        <f t="shared" ref="BY154" si="209">BT154+BV154</f>
        <v>0</v>
      </c>
      <c r="BZ154" s="52"/>
      <c r="CA154" s="52"/>
      <c r="CB154" s="52"/>
      <c r="CC154" s="52"/>
      <c r="CD154" s="52">
        <f t="shared" ref="CD154" si="210">BZ154+CB154</f>
        <v>0</v>
      </c>
      <c r="CE154" s="52">
        <f t="shared" ref="CE154" si="211">CA154+CC154</f>
        <v>0</v>
      </c>
      <c r="CF154" s="52"/>
      <c r="CG154" s="52"/>
      <c r="CH154" s="52"/>
      <c r="CI154" s="52"/>
      <c r="CJ154" s="52">
        <f t="shared" ref="CJ154" si="212">CF154+CH154</f>
        <v>0</v>
      </c>
      <c r="CK154" s="52">
        <f t="shared" ref="CK154" si="213">CG154+CI154</f>
        <v>0</v>
      </c>
      <c r="CL154" s="52"/>
      <c r="CM154" s="52"/>
      <c r="CN154" s="52"/>
      <c r="CO154" s="52"/>
      <c r="CP154" s="52">
        <f t="shared" ref="CP154" si="214">CL154+CN154</f>
        <v>0</v>
      </c>
      <c r="CQ154" s="52">
        <f t="shared" ref="CQ154" si="215">CM154+CO154</f>
        <v>0</v>
      </c>
      <c r="CR154" s="52"/>
      <c r="CS154" s="52"/>
      <c r="CT154" s="52"/>
      <c r="CU154" s="52"/>
      <c r="CV154" s="52">
        <f t="shared" ref="CV154" si="216">CR154+CT154</f>
        <v>0</v>
      </c>
      <c r="CW154" s="52">
        <f t="shared" ref="CW154" si="217">CS154+CU154</f>
        <v>0</v>
      </c>
      <c r="CX154" s="52"/>
      <c r="CY154" s="52"/>
      <c r="CZ154" s="52"/>
      <c r="DA154" s="52"/>
      <c r="DB154" s="52">
        <f t="shared" ref="DB154" si="218">CX154+CZ154</f>
        <v>0</v>
      </c>
      <c r="DC154" s="52">
        <f t="shared" ref="DC154" si="219">CY154+DA154</f>
        <v>0</v>
      </c>
      <c r="DD154" s="52"/>
      <c r="DE154" s="52"/>
      <c r="DF154" s="52"/>
      <c r="DG154" s="52"/>
      <c r="DH154" s="52">
        <f t="shared" ref="DH154" si="220">DD154+DF154</f>
        <v>0</v>
      </c>
      <c r="DI154" s="52">
        <f t="shared" ref="DI154" si="221">DE154+DG154</f>
        <v>0</v>
      </c>
      <c r="DJ154" s="52">
        <f t="shared" ref="DJ154" si="222">AL154+AR154+AX154+BE154+BL154+BS154+BZ154+CF154+CL154+CR154+CX154+DD154</f>
        <v>0</v>
      </c>
      <c r="DK154" s="52">
        <f t="shared" ref="DK154" si="223">AM154+AS154+AY154+BF154+BM154+BT154+CA154+CG154+CM154+CS154+CY154+DE154</f>
        <v>0</v>
      </c>
      <c r="DL154" s="52">
        <f t="shared" si="159"/>
        <v>0</v>
      </c>
      <c r="DM154" s="52">
        <f t="shared" ref="DM154" si="224">AO154+AU154+BA154+BH154+BO154+BV154+CC154+CI154+CO154+CU154+DA154+DG154</f>
        <v>0</v>
      </c>
      <c r="DN154" s="52">
        <f t="shared" ref="DN154" si="225">DJ154+DL154</f>
        <v>0</v>
      </c>
      <c r="DO154" s="52">
        <f t="shared" ref="DO154" si="226">DK154+DM154</f>
        <v>0</v>
      </c>
    </row>
    <row r="155" spans="1:119">
      <c r="A155" s="224">
        <v>161</v>
      </c>
      <c r="B155" s="26" t="s">
        <v>1204</v>
      </c>
      <c r="C155" s="53" t="s">
        <v>387</v>
      </c>
      <c r="D155" s="227" t="s">
        <v>388</v>
      </c>
      <c r="E155" s="191" t="s">
        <v>1165</v>
      </c>
      <c r="F155" s="161">
        <f t="shared" ref="F155" si="227">SUM(DN155)</f>
        <v>0</v>
      </c>
      <c r="G155" s="165">
        <f t="shared" ref="G155" si="228">I155+AK155+DN155</f>
        <v>0</v>
      </c>
      <c r="H155" s="54"/>
      <c r="I155" s="219">
        <v>0</v>
      </c>
      <c r="J155" s="219">
        <v>0</v>
      </c>
      <c r="K155" s="127">
        <f t="shared" ref="K155" si="229">AK155</f>
        <v>0</v>
      </c>
      <c r="L155" s="127">
        <f t="shared" ref="L155" si="230">IF(AI155&gt;0,I155+AK155-J155,0)</f>
        <v>0</v>
      </c>
      <c r="M155" s="127">
        <f t="shared" ref="M155" si="231">I155+K155</f>
        <v>0</v>
      </c>
      <c r="N155" s="127">
        <f t="shared" si="158"/>
        <v>0</v>
      </c>
      <c r="O155" s="125" t="str">
        <f t="shared" ref="O155" si="232">IF(AND(AI155&gt;0,DM155&gt;0),"შეცდომაა! ერთზე მეტი ბოლო ჩაბარება!",IF(OR(AI155&gt;0,DM155&gt;0,),IF(AI155&gt;0,I155+AK155,I155+AK155+DO155),IF(AND(I155=0,K155=0,DO155=0),"ნულოვანი შესრულება","მიმდინარეობს")))</f>
        <v>ნულოვანი შესრულება</v>
      </c>
      <c r="P155" s="52"/>
      <c r="Q155" s="52">
        <v>0</v>
      </c>
      <c r="R155" s="52">
        <f t="shared" ref="R155" si="233">I155+P155</f>
        <v>0</v>
      </c>
      <c r="S155" s="52">
        <f t="shared" ref="S155" si="234">Q155</f>
        <v>0</v>
      </c>
      <c r="T155" s="52"/>
      <c r="U155" s="52"/>
      <c r="V155" s="52"/>
      <c r="W155" s="52"/>
      <c r="X155" s="52">
        <f t="shared" ref="X155" si="235">T155+V155</f>
        <v>0</v>
      </c>
      <c r="Y155" s="52">
        <f t="shared" ref="Y155" si="236">U155+W155</f>
        <v>0</v>
      </c>
      <c r="Z155" s="52"/>
      <c r="AA155" s="52"/>
      <c r="AB155" s="52"/>
      <c r="AC155" s="52"/>
      <c r="AD155" s="52">
        <f t="shared" ref="AD155" si="237">Z155+AB155</f>
        <v>0</v>
      </c>
      <c r="AE155" s="52">
        <f t="shared" ref="AE155" si="238">AA155+AC155</f>
        <v>0</v>
      </c>
      <c r="AF155" s="52">
        <f t="shared" ref="AF155" si="239">P155+T155+Z155</f>
        <v>0</v>
      </c>
      <c r="AG155" s="52">
        <f t="shared" ref="AG155" si="240">P155+U155+AA155</f>
        <v>0</v>
      </c>
      <c r="AH155" s="52">
        <f t="shared" ref="AH155" si="241">Q155+V155+AB155</f>
        <v>0</v>
      </c>
      <c r="AI155" s="52">
        <f t="shared" ref="AI155" si="242">Q155+W155+AC155</f>
        <v>0</v>
      </c>
      <c r="AJ155" s="52">
        <f t="shared" ref="AJ155" si="243">AF155+AH155</f>
        <v>0</v>
      </c>
      <c r="AK155" s="52">
        <f t="shared" ref="AK155" si="244">AG155+AI155</f>
        <v>0</v>
      </c>
      <c r="AL155" s="52"/>
      <c r="AM155" s="52"/>
      <c r="AN155" s="52"/>
      <c r="AO155" s="52"/>
      <c r="AP155" s="52">
        <f t="shared" ref="AP155" si="245">AL155+AN155</f>
        <v>0</v>
      </c>
      <c r="AQ155" s="52">
        <f t="shared" ref="AQ155" si="246">AM155+AO155</f>
        <v>0</v>
      </c>
      <c r="AR155" s="52"/>
      <c r="AS155" s="52"/>
      <c r="AT155" s="52"/>
      <c r="AU155" s="52"/>
      <c r="AV155" s="52">
        <f t="shared" ref="AV155" si="247">AR155+AT155</f>
        <v>0</v>
      </c>
      <c r="AW155" s="52">
        <f t="shared" ref="AW155" si="248">AS155+AU155</f>
        <v>0</v>
      </c>
      <c r="AX155" s="65"/>
      <c r="AY155" s="52"/>
      <c r="AZ155" s="52"/>
      <c r="BA155" s="52"/>
      <c r="BB155" s="52">
        <f t="shared" ref="BB155" si="249">AX155+AZ155</f>
        <v>0</v>
      </c>
      <c r="BC155" s="52"/>
      <c r="BD155" s="52">
        <f t="shared" ref="BD155" si="250">AY155+BA155</f>
        <v>0</v>
      </c>
      <c r="BE155" s="52"/>
      <c r="BF155" s="52"/>
      <c r="BG155" s="52"/>
      <c r="BH155" s="52"/>
      <c r="BI155" s="52">
        <f t="shared" ref="BI155" si="251">BE155+BG155</f>
        <v>0</v>
      </c>
      <c r="BJ155" s="52"/>
      <c r="BK155" s="52">
        <f t="shared" ref="BK155" si="252">BF155+BH155</f>
        <v>0</v>
      </c>
      <c r="BL155" s="52"/>
      <c r="BM155" s="52"/>
      <c r="BN155" s="52"/>
      <c r="BO155" s="52"/>
      <c r="BP155" s="52">
        <f t="shared" ref="BP155" si="253">BL155+BN155</f>
        <v>0</v>
      </c>
      <c r="BQ155" s="52"/>
      <c r="BR155" s="52">
        <f t="shared" ref="BR155" si="254">BM155+BO155</f>
        <v>0</v>
      </c>
      <c r="BS155" s="52"/>
      <c r="BT155" s="52"/>
      <c r="BU155" s="52"/>
      <c r="BV155" s="52"/>
      <c r="BW155" s="52">
        <f t="shared" ref="BW155" si="255">BS155+BU155</f>
        <v>0</v>
      </c>
      <c r="BX155" s="52"/>
      <c r="BY155" s="52">
        <f t="shared" ref="BY155" si="256">BT155+BV155</f>
        <v>0</v>
      </c>
      <c r="BZ155" s="52"/>
      <c r="CA155" s="52"/>
      <c r="CB155" s="52"/>
      <c r="CC155" s="52"/>
      <c r="CD155" s="52">
        <f t="shared" ref="CD155" si="257">BZ155+CB155</f>
        <v>0</v>
      </c>
      <c r="CE155" s="52">
        <f t="shared" ref="CE155" si="258">CA155+CC155</f>
        <v>0</v>
      </c>
      <c r="CF155" s="52"/>
      <c r="CG155" s="52"/>
      <c r="CH155" s="52"/>
      <c r="CI155" s="52"/>
      <c r="CJ155" s="52">
        <f t="shared" ref="CJ155" si="259">CF155+CH155</f>
        <v>0</v>
      </c>
      <c r="CK155" s="52">
        <f t="shared" ref="CK155" si="260">CG155+CI155</f>
        <v>0</v>
      </c>
      <c r="CL155" s="52"/>
      <c r="CM155" s="52"/>
      <c r="CN155" s="52"/>
      <c r="CO155" s="52"/>
      <c r="CP155" s="52">
        <f t="shared" ref="CP155" si="261">CL155+CN155</f>
        <v>0</v>
      </c>
      <c r="CQ155" s="52">
        <f t="shared" ref="CQ155" si="262">CM155+CO155</f>
        <v>0</v>
      </c>
      <c r="CR155" s="52"/>
      <c r="CS155" s="52"/>
      <c r="CT155" s="52"/>
      <c r="CU155" s="52"/>
      <c r="CV155" s="52">
        <f t="shared" ref="CV155" si="263">CR155+CT155</f>
        <v>0</v>
      </c>
      <c r="CW155" s="52">
        <f t="shared" ref="CW155" si="264">CS155+CU155</f>
        <v>0</v>
      </c>
      <c r="CX155" s="52"/>
      <c r="CY155" s="52"/>
      <c r="CZ155" s="52"/>
      <c r="DA155" s="52"/>
      <c r="DB155" s="52">
        <f t="shared" ref="DB155" si="265">CX155+CZ155</f>
        <v>0</v>
      </c>
      <c r="DC155" s="52">
        <f t="shared" ref="DC155" si="266">CY155+DA155</f>
        <v>0</v>
      </c>
      <c r="DD155" s="52"/>
      <c r="DE155" s="52"/>
      <c r="DF155" s="52"/>
      <c r="DG155" s="52"/>
      <c r="DH155" s="52">
        <f t="shared" ref="DH155" si="267">DD155+DF155</f>
        <v>0</v>
      </c>
      <c r="DI155" s="52">
        <f t="shared" ref="DI155" si="268">DE155+DG155</f>
        <v>0</v>
      </c>
      <c r="DJ155" s="52">
        <f t="shared" ref="DJ155" si="269">AL155+AR155+AX155+BE155+BL155+BS155+BZ155+CF155+CL155+CR155+CX155+DD155</f>
        <v>0</v>
      </c>
      <c r="DK155" s="52">
        <f t="shared" ref="DK155" si="270">AM155+AS155+AY155+BF155+BM155+BT155+CA155+CG155+CM155+CS155+CY155+DE155</f>
        <v>0</v>
      </c>
      <c r="DL155" s="52">
        <f t="shared" si="159"/>
        <v>0</v>
      </c>
      <c r="DM155" s="52">
        <f t="shared" ref="DM155" si="271">AO155+AU155+BA155+BH155+BO155+BV155+CC155+CI155+CO155+CU155+DA155+DG155</f>
        <v>0</v>
      </c>
      <c r="DN155" s="52">
        <f t="shared" ref="DN155" si="272">DJ155+DL155</f>
        <v>0</v>
      </c>
      <c r="DO155" s="52">
        <f t="shared" ref="DO155" si="273">DK155+DM155</f>
        <v>0</v>
      </c>
    </row>
    <row r="156" spans="1:119">
      <c r="O156" s="279"/>
    </row>
  </sheetData>
  <autoFilter ref="A8:DP155" xr:uid="{00000000-0009-0000-0000-000008000000}"/>
  <mergeCells count="88">
    <mergeCell ref="G3:G6"/>
    <mergeCell ref="A3:A6"/>
    <mergeCell ref="B3:B6"/>
    <mergeCell ref="C3:C6"/>
    <mergeCell ref="D3:D6"/>
    <mergeCell ref="F3:F6"/>
    <mergeCell ref="E3:E6"/>
    <mergeCell ref="AL3:DO3"/>
    <mergeCell ref="T4:Y4"/>
    <mergeCell ref="Z4:AE4"/>
    <mergeCell ref="AF4:AK4"/>
    <mergeCell ref="AL4:AQ4"/>
    <mergeCell ref="DD4:DI4"/>
    <mergeCell ref="DJ4:DO4"/>
    <mergeCell ref="AR4:AW4"/>
    <mergeCell ref="AX4:BD4"/>
    <mergeCell ref="BE4:BK4"/>
    <mergeCell ref="BL4:BR4"/>
    <mergeCell ref="BS4:BY4"/>
    <mergeCell ref="BZ4:CE4"/>
    <mergeCell ref="CF4:CK4"/>
    <mergeCell ref="CL4:CQ4"/>
    <mergeCell ref="CR4:CW4"/>
    <mergeCell ref="H3:H6"/>
    <mergeCell ref="P3:Q4"/>
    <mergeCell ref="R3:S4"/>
    <mergeCell ref="T3:AK3"/>
    <mergeCell ref="T5:U5"/>
    <mergeCell ref="O3:O6"/>
    <mergeCell ref="I3:J4"/>
    <mergeCell ref="K3:L4"/>
    <mergeCell ref="M3:M6"/>
    <mergeCell ref="J5:J6"/>
    <mergeCell ref="K5:K6"/>
    <mergeCell ref="L5:L6"/>
    <mergeCell ref="CX4:DC4"/>
    <mergeCell ref="I5:I6"/>
    <mergeCell ref="P5:P6"/>
    <mergeCell ref="Q5:Q6"/>
    <mergeCell ref="R5:R6"/>
    <mergeCell ref="S5:S6"/>
    <mergeCell ref="AR5:AS5"/>
    <mergeCell ref="V5:W5"/>
    <mergeCell ref="X5:Y5"/>
    <mergeCell ref="Z5:AA5"/>
    <mergeCell ref="AB5:AC5"/>
    <mergeCell ref="AD5:AE5"/>
    <mergeCell ref="AF5:AG5"/>
    <mergeCell ref="AH5:AI5"/>
    <mergeCell ref="AJ5:AK5"/>
    <mergeCell ref="AL5:AM5"/>
    <mergeCell ref="AN5:AO5"/>
    <mergeCell ref="AP5:AQ5"/>
    <mergeCell ref="BS5:BT5"/>
    <mergeCell ref="AT5:AU5"/>
    <mergeCell ref="AV5:AW5"/>
    <mergeCell ref="AX5:AY5"/>
    <mergeCell ref="AZ5:BA5"/>
    <mergeCell ref="BB5:BD5"/>
    <mergeCell ref="BE5:BF5"/>
    <mergeCell ref="DB5:DC5"/>
    <mergeCell ref="DD5:DE5"/>
    <mergeCell ref="CH5:CI5"/>
    <mergeCell ref="CJ5:CK5"/>
    <mergeCell ref="CL5:CM5"/>
    <mergeCell ref="CN5:CO5"/>
    <mergeCell ref="CP5:CQ5"/>
    <mergeCell ref="CR5:CS5"/>
    <mergeCell ref="CT5:CU5"/>
    <mergeCell ref="CV5:CW5"/>
    <mergeCell ref="CX5:CY5"/>
    <mergeCell ref="CZ5:DA5"/>
    <mergeCell ref="CF5:CG5"/>
    <mergeCell ref="BG5:BH5"/>
    <mergeCell ref="BI5:BK5"/>
    <mergeCell ref="BL5:BM5"/>
    <mergeCell ref="BN5:BO5"/>
    <mergeCell ref="BP5:BR5"/>
    <mergeCell ref="BU5:BV5"/>
    <mergeCell ref="BW5:BY5"/>
    <mergeCell ref="BZ5:CA5"/>
    <mergeCell ref="CB5:CC5"/>
    <mergeCell ref="CD5:CE5"/>
    <mergeCell ref="DF5:DG5"/>
    <mergeCell ref="DH5:DI5"/>
    <mergeCell ref="DJ5:DK5"/>
    <mergeCell ref="DL5:DM5"/>
    <mergeCell ref="DN5:DO5"/>
  </mergeCells>
  <dataValidations count="1">
    <dataValidation type="list" allowBlank="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B9:B81 B83:B108 B111:B153" xr:uid="{00000000-0002-0000-0800-000000000000}">
      <formula1>#REF!</formula1>
    </dataValidation>
  </dataValidations>
  <pageMargins left="0.7" right="0.7" top="0.75" bottom="0.75" header="0.3" footer="0.3"/>
  <pageSetup orientation="portrait"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DN80"/>
  <sheetViews>
    <sheetView workbookViewId="0">
      <pane xSplit="37" ySplit="7" topLeftCell="BJ8" activePane="bottomRight" state="frozen"/>
      <selection activeCell="A122" sqref="A122:XFD122"/>
      <selection pane="topRight" activeCell="A122" sqref="A122:XFD122"/>
      <selection pane="bottomLeft" activeCell="A122" sqref="A122:XFD122"/>
      <selection pane="bottomRight" activeCell="F26" sqref="F26"/>
    </sheetView>
  </sheetViews>
  <sheetFormatPr defaultColWidth="10.42578125" defaultRowHeight="15"/>
  <cols>
    <col min="1" max="1" width="6.85546875" style="14" bestFit="1" customWidth="1"/>
    <col min="2" max="2" width="14.140625" style="14" customWidth="1"/>
    <col min="3" max="3" width="11.28515625" style="14" customWidth="1"/>
    <col min="4" max="4" width="34.42578125" style="14" customWidth="1"/>
    <col min="5" max="5" width="13" style="14" customWidth="1"/>
    <col min="6" max="6" width="13.85546875" style="14" bestFit="1" customWidth="1"/>
    <col min="7" max="7" width="15" style="14" bestFit="1" customWidth="1"/>
    <col min="8" max="8" width="14.7109375" style="14" hidden="1" customWidth="1"/>
    <col min="9" max="9" width="13.85546875" style="14" hidden="1" customWidth="1"/>
    <col min="10" max="10" width="24.5703125" style="14" hidden="1" customWidth="1"/>
    <col min="11" max="14" width="14.140625" style="14" hidden="1" customWidth="1"/>
    <col min="15" max="15" width="14.140625" style="14" customWidth="1"/>
    <col min="16" max="19" width="13.85546875" style="14" hidden="1" customWidth="1"/>
    <col min="20" max="21" width="12" style="14" hidden="1" customWidth="1"/>
    <col min="22" max="23" width="10.85546875" style="14" hidden="1" customWidth="1"/>
    <col min="24" max="26" width="12" style="14" hidden="1" customWidth="1"/>
    <col min="27" max="29" width="10.85546875" style="14" hidden="1" customWidth="1"/>
    <col min="30" max="31" width="12" style="14" hidden="1" customWidth="1"/>
    <col min="32" max="37" width="13.85546875" style="14" hidden="1" customWidth="1"/>
    <col min="38" max="40" width="12" style="14" bestFit="1" customWidth="1"/>
    <col min="41" max="41" width="7.5703125" style="14" bestFit="1" customWidth="1"/>
    <col min="42" max="44" width="12" style="14" bestFit="1" customWidth="1"/>
    <col min="45" max="45" width="10.42578125" style="14" bestFit="1" customWidth="1"/>
    <col min="46" max="46" width="10.85546875" style="14" bestFit="1" customWidth="1"/>
    <col min="47" max="47" width="7.5703125" style="14" bestFit="1" customWidth="1"/>
    <col min="48" max="50" width="12" style="14" bestFit="1" customWidth="1"/>
    <col min="51" max="53" width="10.85546875" style="14" bestFit="1" customWidth="1"/>
    <col min="54" max="54" width="12" style="14" bestFit="1" customWidth="1"/>
    <col min="55" max="55" width="13.140625" style="14" bestFit="1" customWidth="1"/>
    <col min="56" max="56" width="10.85546875" style="14" bestFit="1" customWidth="1"/>
    <col min="57" max="57" width="12" style="14" bestFit="1" customWidth="1"/>
    <col min="58" max="58" width="7.5703125" style="14" bestFit="1" customWidth="1"/>
    <col min="59" max="60" width="10.85546875" style="14" bestFit="1" customWidth="1"/>
    <col min="61" max="61" width="12" style="14" bestFit="1" customWidth="1"/>
    <col min="62" max="62" width="11.42578125" style="14" bestFit="1" customWidth="1"/>
    <col min="63" max="63" width="10.85546875" style="14" bestFit="1" customWidth="1"/>
    <col min="64" max="64" width="12" style="14" bestFit="1" customWidth="1"/>
    <col min="65" max="65" width="7.5703125" style="14" bestFit="1" customWidth="1"/>
    <col min="66" max="66" width="10.85546875" style="14" bestFit="1" customWidth="1"/>
    <col min="67" max="67" width="7.5703125" style="14" bestFit="1" customWidth="1"/>
    <col min="68" max="68" width="12" style="14" bestFit="1" customWidth="1"/>
    <col min="69" max="69" width="7.5703125" style="14" bestFit="1" customWidth="1"/>
    <col min="70" max="70" width="12" style="14" bestFit="1" customWidth="1"/>
    <col min="71" max="71" width="7.5703125" style="14" bestFit="1" customWidth="1"/>
    <col min="72" max="72" width="10.85546875" style="14" bestFit="1" customWidth="1"/>
    <col min="73" max="73" width="8" style="14" bestFit="1" customWidth="1"/>
    <col min="74" max="74" width="12" style="14" bestFit="1" customWidth="1"/>
    <col min="75" max="75" width="8" style="14" bestFit="1" customWidth="1"/>
    <col min="76" max="76" width="12" style="14" bestFit="1" customWidth="1"/>
    <col min="77" max="77" width="7.5703125" style="14" bestFit="1" customWidth="1"/>
    <col min="78" max="78" width="10.85546875" style="14" bestFit="1" customWidth="1"/>
    <col min="79" max="79" width="7.5703125" style="14" bestFit="1" customWidth="1"/>
    <col min="80" max="80" width="12" style="14" bestFit="1" customWidth="1"/>
    <col min="81" max="81" width="7.5703125" style="14" bestFit="1" customWidth="1"/>
    <col min="82" max="82" width="12" style="14" bestFit="1" customWidth="1"/>
    <col min="83" max="83" width="7.5703125" style="14" bestFit="1" customWidth="1"/>
    <col min="84" max="84" width="10.85546875" style="14" bestFit="1" customWidth="1"/>
    <col min="85" max="85" width="7.5703125" style="14" bestFit="1" customWidth="1"/>
    <col min="86" max="86" width="12" style="14" bestFit="1" customWidth="1"/>
    <col min="87" max="87" width="7.5703125" style="14" bestFit="1" customWidth="1"/>
    <col min="88" max="88" width="12" style="14" bestFit="1" customWidth="1"/>
    <col min="89" max="89" width="7.5703125" style="14" bestFit="1" customWidth="1"/>
    <col min="90" max="90" width="10.85546875" style="14" bestFit="1" customWidth="1"/>
    <col min="91" max="91" width="7.5703125" style="14" bestFit="1" customWidth="1"/>
    <col min="92" max="92" width="12" style="14" bestFit="1" customWidth="1"/>
    <col min="93" max="93" width="7.5703125" style="14" bestFit="1" customWidth="1"/>
    <col min="94" max="94" width="12" style="14" bestFit="1" customWidth="1"/>
    <col min="95" max="95" width="7.5703125" style="14" bestFit="1" customWidth="1"/>
    <col min="96" max="96" width="10.85546875" style="14" bestFit="1" customWidth="1"/>
    <col min="97" max="97" width="7.5703125" style="14" bestFit="1" customWidth="1"/>
    <col min="98" max="98" width="12" style="14" bestFit="1" customWidth="1"/>
    <col min="99" max="99" width="7.5703125" style="14" bestFit="1" customWidth="1"/>
    <col min="100" max="100" width="12" style="14" bestFit="1" customWidth="1"/>
    <col min="101" max="101" width="7.5703125" style="14" bestFit="1" customWidth="1"/>
    <col min="102" max="102" width="10.85546875" style="14" bestFit="1" customWidth="1"/>
    <col min="103" max="103" width="7.5703125" style="14" bestFit="1" customWidth="1"/>
    <col min="104" max="104" width="12" style="14" bestFit="1" customWidth="1"/>
    <col min="105" max="105" width="7.5703125" style="14" bestFit="1" customWidth="1"/>
    <col min="106" max="106" width="12" style="14" bestFit="1" customWidth="1"/>
    <col min="107" max="107" width="7.5703125" style="14" bestFit="1" customWidth="1"/>
    <col min="108" max="108" width="10.85546875" style="14" bestFit="1" customWidth="1"/>
    <col min="109" max="109" width="7.5703125" style="14" bestFit="1" customWidth="1"/>
    <col min="110" max="110" width="12" style="14" bestFit="1" customWidth="1"/>
    <col min="111" max="111" width="7.5703125" style="14" bestFit="1" customWidth="1"/>
    <col min="112" max="112" width="13.85546875" style="14" bestFit="1" customWidth="1"/>
    <col min="113" max="114" width="12" style="14" bestFit="1" customWidth="1"/>
    <col min="115" max="115" width="7.5703125" style="14" bestFit="1" customWidth="1"/>
    <col min="116" max="116" width="13.85546875" style="14" bestFit="1" customWidth="1"/>
    <col min="117" max="117" width="12" style="14" bestFit="1" customWidth="1"/>
    <col min="118" max="118" width="13.7109375" style="14" customWidth="1"/>
    <col min="119" max="16384" width="10.42578125" style="14"/>
  </cols>
  <sheetData>
    <row r="1" spans="1:118" ht="15.75">
      <c r="B1" s="16" t="s">
        <v>1160</v>
      </c>
      <c r="F1" s="306"/>
      <c r="G1" s="306"/>
      <c r="BC1" s="377"/>
    </row>
    <row r="2" spans="1:118" ht="16.5" thickBot="1">
      <c r="F2" s="279"/>
      <c r="AI2" s="93"/>
      <c r="AQ2" s="279">
        <f>AP7-AQ7</f>
        <v>212.5</v>
      </c>
      <c r="AW2" s="279">
        <f>AW7-AV7</f>
        <v>-500</v>
      </c>
      <c r="BB2" s="173"/>
      <c r="BC2" s="173"/>
      <c r="BI2" s="173"/>
      <c r="BJ2" s="173"/>
    </row>
    <row r="3" spans="1:118" ht="19.5" customHeight="1" thickBot="1">
      <c r="A3" s="513" t="s">
        <v>1</v>
      </c>
      <c r="B3" s="475" t="s">
        <v>2</v>
      </c>
      <c r="C3" s="475" t="s">
        <v>3</v>
      </c>
      <c r="D3" s="475" t="s">
        <v>4</v>
      </c>
      <c r="E3" s="516" t="s">
        <v>1176</v>
      </c>
      <c r="F3" s="516" t="s">
        <v>1170</v>
      </c>
      <c r="G3" s="510" t="s">
        <v>1178</v>
      </c>
      <c r="H3" s="475" t="s">
        <v>5</v>
      </c>
      <c r="I3" s="488" t="s">
        <v>6</v>
      </c>
      <c r="J3" s="489"/>
      <c r="K3" s="492" t="s">
        <v>9</v>
      </c>
      <c r="L3" s="493"/>
      <c r="M3" s="469" t="s">
        <v>1197</v>
      </c>
      <c r="N3" s="273"/>
      <c r="O3" s="485" t="s">
        <v>1196</v>
      </c>
      <c r="P3" s="478" t="s">
        <v>7</v>
      </c>
      <c r="Q3" s="479"/>
      <c r="R3" s="478" t="s">
        <v>8</v>
      </c>
      <c r="S3" s="479"/>
      <c r="T3" s="482" t="s">
        <v>9</v>
      </c>
      <c r="U3" s="483"/>
      <c r="V3" s="483"/>
      <c r="W3" s="483"/>
      <c r="X3" s="483"/>
      <c r="Y3" s="483"/>
      <c r="Z3" s="483"/>
      <c r="AA3" s="483"/>
      <c r="AB3" s="483"/>
      <c r="AC3" s="483"/>
      <c r="AD3" s="483"/>
      <c r="AE3" s="483"/>
      <c r="AF3" s="483"/>
      <c r="AG3" s="483"/>
      <c r="AH3" s="483"/>
      <c r="AI3" s="483"/>
      <c r="AJ3" s="483"/>
      <c r="AK3" s="484"/>
      <c r="AL3" s="499">
        <v>2025</v>
      </c>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3"/>
      <c r="DK3" s="483"/>
      <c r="DL3" s="483"/>
      <c r="DM3" s="484"/>
    </row>
    <row r="4" spans="1:118" ht="80.25" customHeight="1" thickBot="1">
      <c r="A4" s="514"/>
      <c r="B4" s="476"/>
      <c r="C4" s="476"/>
      <c r="D4" s="476"/>
      <c r="E4" s="517"/>
      <c r="F4" s="517"/>
      <c r="G4" s="511"/>
      <c r="H4" s="476"/>
      <c r="I4" s="490"/>
      <c r="J4" s="491"/>
      <c r="K4" s="494"/>
      <c r="L4" s="495"/>
      <c r="M4" s="496"/>
      <c r="N4" s="271" t="s">
        <v>1234</v>
      </c>
      <c r="O4" s="486"/>
      <c r="P4" s="480"/>
      <c r="Q4" s="481"/>
      <c r="R4" s="480"/>
      <c r="S4" s="481"/>
      <c r="T4" s="500" t="s">
        <v>10</v>
      </c>
      <c r="U4" s="501"/>
      <c r="V4" s="501"/>
      <c r="W4" s="501"/>
      <c r="X4" s="501"/>
      <c r="Y4" s="502"/>
      <c r="Z4" s="500" t="s">
        <v>11</v>
      </c>
      <c r="AA4" s="501"/>
      <c r="AB4" s="501"/>
      <c r="AC4" s="501"/>
      <c r="AD4" s="501"/>
      <c r="AE4" s="502"/>
      <c r="AF4" s="503" t="s">
        <v>9</v>
      </c>
      <c r="AG4" s="504"/>
      <c r="AH4" s="504"/>
      <c r="AI4" s="504"/>
      <c r="AJ4" s="504"/>
      <c r="AK4" s="505"/>
      <c r="AL4" s="500" t="s">
        <v>12</v>
      </c>
      <c r="AM4" s="501"/>
      <c r="AN4" s="501"/>
      <c r="AO4" s="501"/>
      <c r="AP4" s="501"/>
      <c r="AQ4" s="502"/>
      <c r="AR4" s="500" t="s">
        <v>13</v>
      </c>
      <c r="AS4" s="501"/>
      <c r="AT4" s="501"/>
      <c r="AU4" s="501"/>
      <c r="AV4" s="501"/>
      <c r="AW4" s="502"/>
      <c r="AX4" s="500" t="s">
        <v>14</v>
      </c>
      <c r="AY4" s="501"/>
      <c r="AZ4" s="501"/>
      <c r="BA4" s="501"/>
      <c r="BB4" s="501"/>
      <c r="BC4" s="509"/>
      <c r="BD4" s="502"/>
      <c r="BE4" s="500" t="s">
        <v>15</v>
      </c>
      <c r="BF4" s="501"/>
      <c r="BG4" s="501"/>
      <c r="BH4" s="501"/>
      <c r="BI4" s="501"/>
      <c r="BJ4" s="509"/>
      <c r="BK4" s="502"/>
      <c r="BL4" s="500" t="s">
        <v>16</v>
      </c>
      <c r="BM4" s="501"/>
      <c r="BN4" s="501"/>
      <c r="BO4" s="501"/>
      <c r="BP4" s="501"/>
      <c r="BQ4" s="502"/>
      <c r="BR4" s="500" t="s">
        <v>17</v>
      </c>
      <c r="BS4" s="501"/>
      <c r="BT4" s="501"/>
      <c r="BU4" s="501"/>
      <c r="BV4" s="501"/>
      <c r="BW4" s="502"/>
      <c r="BX4" s="500" t="s">
        <v>18</v>
      </c>
      <c r="BY4" s="501"/>
      <c r="BZ4" s="501"/>
      <c r="CA4" s="501"/>
      <c r="CB4" s="501"/>
      <c r="CC4" s="502"/>
      <c r="CD4" s="500" t="s">
        <v>19</v>
      </c>
      <c r="CE4" s="501"/>
      <c r="CF4" s="501"/>
      <c r="CG4" s="501"/>
      <c r="CH4" s="501"/>
      <c r="CI4" s="502"/>
      <c r="CJ4" s="500" t="s">
        <v>20</v>
      </c>
      <c r="CK4" s="501"/>
      <c r="CL4" s="501"/>
      <c r="CM4" s="501"/>
      <c r="CN4" s="501"/>
      <c r="CO4" s="502"/>
      <c r="CP4" s="500" t="s">
        <v>21</v>
      </c>
      <c r="CQ4" s="501"/>
      <c r="CR4" s="501"/>
      <c r="CS4" s="501"/>
      <c r="CT4" s="501"/>
      <c r="CU4" s="502"/>
      <c r="CV4" s="500" t="s">
        <v>22</v>
      </c>
      <c r="CW4" s="501"/>
      <c r="CX4" s="501"/>
      <c r="CY4" s="501"/>
      <c r="CZ4" s="501"/>
      <c r="DA4" s="502"/>
      <c r="DB4" s="500" t="s">
        <v>23</v>
      </c>
      <c r="DC4" s="501"/>
      <c r="DD4" s="501"/>
      <c r="DE4" s="501"/>
      <c r="DF4" s="501"/>
      <c r="DG4" s="502"/>
      <c r="DH4" s="506" t="s">
        <v>24</v>
      </c>
      <c r="DI4" s="507"/>
      <c r="DJ4" s="507"/>
      <c r="DK4" s="507"/>
      <c r="DL4" s="507"/>
      <c r="DM4" s="508"/>
    </row>
    <row r="5" spans="1:118">
      <c r="A5" s="514"/>
      <c r="B5" s="476"/>
      <c r="C5" s="476"/>
      <c r="D5" s="476"/>
      <c r="E5" s="517"/>
      <c r="F5" s="517"/>
      <c r="G5" s="511"/>
      <c r="H5" s="476"/>
      <c r="I5" s="469" t="s">
        <v>1169</v>
      </c>
      <c r="J5" s="469" t="s">
        <v>1171</v>
      </c>
      <c r="K5" s="498" t="s">
        <v>1172</v>
      </c>
      <c r="L5" s="469" t="s">
        <v>1177</v>
      </c>
      <c r="M5" s="496"/>
      <c r="N5" s="274"/>
      <c r="O5" s="486"/>
      <c r="P5" s="471" t="s">
        <v>1169</v>
      </c>
      <c r="Q5" s="473" t="s">
        <v>1168</v>
      </c>
      <c r="R5" s="471" t="s">
        <v>1169</v>
      </c>
      <c r="S5" s="473" t="s">
        <v>1168</v>
      </c>
      <c r="T5" s="464" t="s">
        <v>1167</v>
      </c>
      <c r="U5" s="460"/>
      <c r="V5" s="460" t="s">
        <v>1166</v>
      </c>
      <c r="W5" s="461"/>
      <c r="X5" s="462" t="s">
        <v>25</v>
      </c>
      <c r="Y5" s="463"/>
      <c r="Z5" s="464" t="s">
        <v>1167</v>
      </c>
      <c r="AA5" s="460"/>
      <c r="AB5" s="460" t="s">
        <v>1166</v>
      </c>
      <c r="AC5" s="461"/>
      <c r="AD5" s="462" t="s">
        <v>25</v>
      </c>
      <c r="AE5" s="463"/>
      <c r="AF5" s="464" t="s">
        <v>1167</v>
      </c>
      <c r="AG5" s="460"/>
      <c r="AH5" s="460" t="s">
        <v>1166</v>
      </c>
      <c r="AI5" s="461"/>
      <c r="AJ5" s="462" t="s">
        <v>25</v>
      </c>
      <c r="AK5" s="463"/>
      <c r="AL5" s="464" t="s">
        <v>1167</v>
      </c>
      <c r="AM5" s="460"/>
      <c r="AN5" s="460" t="s">
        <v>1166</v>
      </c>
      <c r="AO5" s="461"/>
      <c r="AP5" s="462" t="s">
        <v>25</v>
      </c>
      <c r="AQ5" s="463"/>
      <c r="AR5" s="464" t="s">
        <v>1167</v>
      </c>
      <c r="AS5" s="460"/>
      <c r="AT5" s="460" t="s">
        <v>1166</v>
      </c>
      <c r="AU5" s="461"/>
      <c r="AV5" s="462" t="s">
        <v>25</v>
      </c>
      <c r="AW5" s="463"/>
      <c r="AX5" s="464" t="s">
        <v>1167</v>
      </c>
      <c r="AY5" s="460"/>
      <c r="AZ5" s="460" t="s">
        <v>1166</v>
      </c>
      <c r="BA5" s="461"/>
      <c r="BB5" s="462" t="s">
        <v>25</v>
      </c>
      <c r="BC5" s="465"/>
      <c r="BD5" s="463"/>
      <c r="BE5" s="464" t="s">
        <v>1167</v>
      </c>
      <c r="BF5" s="460"/>
      <c r="BG5" s="460" t="s">
        <v>1166</v>
      </c>
      <c r="BH5" s="461"/>
      <c r="BI5" s="462" t="s">
        <v>25</v>
      </c>
      <c r="BJ5" s="465"/>
      <c r="BK5" s="463"/>
      <c r="BL5" s="464" t="s">
        <v>1167</v>
      </c>
      <c r="BM5" s="460"/>
      <c r="BN5" s="460" t="s">
        <v>1166</v>
      </c>
      <c r="BO5" s="461"/>
      <c r="BP5" s="462" t="s">
        <v>25</v>
      </c>
      <c r="BQ5" s="463"/>
      <c r="BR5" s="464" t="s">
        <v>1167</v>
      </c>
      <c r="BS5" s="460"/>
      <c r="BT5" s="460" t="s">
        <v>1166</v>
      </c>
      <c r="BU5" s="461"/>
      <c r="BV5" s="462" t="s">
        <v>25</v>
      </c>
      <c r="BW5" s="463"/>
      <c r="BX5" s="464" t="s">
        <v>1167</v>
      </c>
      <c r="BY5" s="460"/>
      <c r="BZ5" s="460" t="s">
        <v>1166</v>
      </c>
      <c r="CA5" s="461"/>
      <c r="CB5" s="462" t="s">
        <v>25</v>
      </c>
      <c r="CC5" s="463"/>
      <c r="CD5" s="464" t="s">
        <v>1167</v>
      </c>
      <c r="CE5" s="460"/>
      <c r="CF5" s="460" t="s">
        <v>1166</v>
      </c>
      <c r="CG5" s="461"/>
      <c r="CH5" s="462" t="s">
        <v>25</v>
      </c>
      <c r="CI5" s="463"/>
      <c r="CJ5" s="464" t="s">
        <v>1167</v>
      </c>
      <c r="CK5" s="460"/>
      <c r="CL5" s="460" t="s">
        <v>1166</v>
      </c>
      <c r="CM5" s="461"/>
      <c r="CN5" s="462" t="s">
        <v>25</v>
      </c>
      <c r="CO5" s="463"/>
      <c r="CP5" s="464" t="s">
        <v>1167</v>
      </c>
      <c r="CQ5" s="460"/>
      <c r="CR5" s="460" t="s">
        <v>1166</v>
      </c>
      <c r="CS5" s="461"/>
      <c r="CT5" s="462" t="s">
        <v>25</v>
      </c>
      <c r="CU5" s="463"/>
      <c r="CV5" s="464" t="s">
        <v>1167</v>
      </c>
      <c r="CW5" s="460"/>
      <c r="CX5" s="460" t="s">
        <v>1166</v>
      </c>
      <c r="CY5" s="461"/>
      <c r="CZ5" s="462" t="s">
        <v>25</v>
      </c>
      <c r="DA5" s="463"/>
      <c r="DB5" s="464" t="s">
        <v>1167</v>
      </c>
      <c r="DC5" s="460"/>
      <c r="DD5" s="460" t="s">
        <v>1166</v>
      </c>
      <c r="DE5" s="461"/>
      <c r="DF5" s="462" t="s">
        <v>25</v>
      </c>
      <c r="DG5" s="463"/>
      <c r="DH5" s="464" t="s">
        <v>1167</v>
      </c>
      <c r="DI5" s="460"/>
      <c r="DJ5" s="460" t="s">
        <v>1166</v>
      </c>
      <c r="DK5" s="461"/>
      <c r="DL5" s="462" t="s">
        <v>25</v>
      </c>
      <c r="DM5" s="463"/>
    </row>
    <row r="6" spans="1:118" ht="15.75" thickBot="1">
      <c r="A6" s="515"/>
      <c r="B6" s="477"/>
      <c r="C6" s="477"/>
      <c r="D6" s="477"/>
      <c r="E6" s="518"/>
      <c r="F6" s="518"/>
      <c r="G6" s="512"/>
      <c r="H6" s="477"/>
      <c r="I6" s="470"/>
      <c r="J6" s="497"/>
      <c r="K6" s="497"/>
      <c r="L6" s="497"/>
      <c r="M6" s="470"/>
      <c r="N6" s="275"/>
      <c r="O6" s="487"/>
      <c r="P6" s="472"/>
      <c r="Q6" s="474"/>
      <c r="R6" s="472"/>
      <c r="S6" s="474"/>
      <c r="T6" s="2" t="s">
        <v>26</v>
      </c>
      <c r="U6" s="3" t="s">
        <v>27</v>
      </c>
      <c r="V6" s="3" t="s">
        <v>26</v>
      </c>
      <c r="W6" s="4" t="s">
        <v>27</v>
      </c>
      <c r="X6" s="5" t="s">
        <v>26</v>
      </c>
      <c r="Y6" s="6" t="s">
        <v>27</v>
      </c>
      <c r="Z6" s="2" t="s">
        <v>26</v>
      </c>
      <c r="AA6" s="3" t="s">
        <v>27</v>
      </c>
      <c r="AB6" s="3" t="s">
        <v>26</v>
      </c>
      <c r="AC6" s="4" t="s">
        <v>27</v>
      </c>
      <c r="AD6" s="5" t="s">
        <v>26</v>
      </c>
      <c r="AE6" s="6" t="s">
        <v>27</v>
      </c>
      <c r="AF6" s="2" t="s">
        <v>26</v>
      </c>
      <c r="AG6" s="3" t="s">
        <v>27</v>
      </c>
      <c r="AH6" s="3" t="s">
        <v>26</v>
      </c>
      <c r="AI6" s="4" t="s">
        <v>27</v>
      </c>
      <c r="AJ6" s="5" t="s">
        <v>26</v>
      </c>
      <c r="AK6" s="6" t="s">
        <v>27</v>
      </c>
      <c r="AL6" s="2" t="s">
        <v>26</v>
      </c>
      <c r="AM6" s="3" t="s">
        <v>27</v>
      </c>
      <c r="AN6" s="3" t="s">
        <v>26</v>
      </c>
      <c r="AO6" s="4" t="s">
        <v>27</v>
      </c>
      <c r="AP6" s="5" t="s">
        <v>26</v>
      </c>
      <c r="AQ6" s="6" t="s">
        <v>27</v>
      </c>
      <c r="AR6" s="2" t="s">
        <v>26</v>
      </c>
      <c r="AS6" s="3" t="s">
        <v>27</v>
      </c>
      <c r="AT6" s="3" t="s">
        <v>26</v>
      </c>
      <c r="AU6" s="4" t="s">
        <v>27</v>
      </c>
      <c r="AV6" s="5" t="s">
        <v>26</v>
      </c>
      <c r="AW6" s="6" t="s">
        <v>27</v>
      </c>
      <c r="AX6" s="2" t="s">
        <v>26</v>
      </c>
      <c r="AY6" s="3" t="s">
        <v>27</v>
      </c>
      <c r="AZ6" s="3" t="s">
        <v>26</v>
      </c>
      <c r="BA6" s="4" t="s">
        <v>27</v>
      </c>
      <c r="BB6" s="5" t="s">
        <v>26</v>
      </c>
      <c r="BC6" s="367" t="s">
        <v>1254</v>
      </c>
      <c r="BD6" s="6" t="s">
        <v>27</v>
      </c>
      <c r="BE6" s="2" t="s">
        <v>26</v>
      </c>
      <c r="BF6" s="3" t="s">
        <v>27</v>
      </c>
      <c r="BG6" s="3" t="s">
        <v>26</v>
      </c>
      <c r="BH6" s="4" t="s">
        <v>27</v>
      </c>
      <c r="BI6" s="5" t="s">
        <v>26</v>
      </c>
      <c r="BJ6" s="367" t="s">
        <v>1254</v>
      </c>
      <c r="BK6" s="6" t="s">
        <v>27</v>
      </c>
      <c r="BL6" s="2" t="s">
        <v>26</v>
      </c>
      <c r="BM6" s="3" t="s">
        <v>27</v>
      </c>
      <c r="BN6" s="3" t="s">
        <v>26</v>
      </c>
      <c r="BO6" s="4" t="s">
        <v>27</v>
      </c>
      <c r="BP6" s="5" t="s">
        <v>26</v>
      </c>
      <c r="BQ6" s="6" t="s">
        <v>27</v>
      </c>
      <c r="BR6" s="2" t="s">
        <v>26</v>
      </c>
      <c r="BS6" s="3" t="s">
        <v>27</v>
      </c>
      <c r="BT6" s="3" t="s">
        <v>26</v>
      </c>
      <c r="BU6" s="4" t="s">
        <v>27</v>
      </c>
      <c r="BV6" s="5" t="s">
        <v>26</v>
      </c>
      <c r="BW6" s="6" t="s">
        <v>27</v>
      </c>
      <c r="BX6" s="2" t="s">
        <v>26</v>
      </c>
      <c r="BY6" s="3" t="s">
        <v>27</v>
      </c>
      <c r="BZ6" s="3" t="s">
        <v>26</v>
      </c>
      <c r="CA6" s="4" t="s">
        <v>27</v>
      </c>
      <c r="CB6" s="5" t="s">
        <v>26</v>
      </c>
      <c r="CC6" s="6" t="s">
        <v>27</v>
      </c>
      <c r="CD6" s="2" t="s">
        <v>26</v>
      </c>
      <c r="CE6" s="3" t="s">
        <v>27</v>
      </c>
      <c r="CF6" s="3" t="s">
        <v>26</v>
      </c>
      <c r="CG6" s="4" t="s">
        <v>27</v>
      </c>
      <c r="CH6" s="5" t="s">
        <v>26</v>
      </c>
      <c r="CI6" s="6" t="s">
        <v>27</v>
      </c>
      <c r="CJ6" s="2" t="s">
        <v>26</v>
      </c>
      <c r="CK6" s="3" t="s">
        <v>27</v>
      </c>
      <c r="CL6" s="3" t="s">
        <v>26</v>
      </c>
      <c r="CM6" s="4" t="s">
        <v>27</v>
      </c>
      <c r="CN6" s="5" t="s">
        <v>26</v>
      </c>
      <c r="CO6" s="6" t="s">
        <v>27</v>
      </c>
      <c r="CP6" s="2" t="s">
        <v>26</v>
      </c>
      <c r="CQ6" s="3" t="s">
        <v>27</v>
      </c>
      <c r="CR6" s="3" t="s">
        <v>26</v>
      </c>
      <c r="CS6" s="4" t="s">
        <v>27</v>
      </c>
      <c r="CT6" s="5" t="s">
        <v>26</v>
      </c>
      <c r="CU6" s="6" t="s">
        <v>27</v>
      </c>
      <c r="CV6" s="2" t="s">
        <v>26</v>
      </c>
      <c r="CW6" s="3" t="s">
        <v>27</v>
      </c>
      <c r="CX6" s="3" t="s">
        <v>26</v>
      </c>
      <c r="CY6" s="4" t="s">
        <v>27</v>
      </c>
      <c r="CZ6" s="5" t="s">
        <v>26</v>
      </c>
      <c r="DA6" s="6" t="s">
        <v>27</v>
      </c>
      <c r="DB6" s="2" t="s">
        <v>26</v>
      </c>
      <c r="DC6" s="3" t="s">
        <v>27</v>
      </c>
      <c r="DD6" s="3" t="s">
        <v>26</v>
      </c>
      <c r="DE6" s="4" t="s">
        <v>27</v>
      </c>
      <c r="DF6" s="5" t="s">
        <v>26</v>
      </c>
      <c r="DG6" s="6" t="s">
        <v>27</v>
      </c>
      <c r="DH6" s="2" t="s">
        <v>26</v>
      </c>
      <c r="DI6" s="3" t="s">
        <v>27</v>
      </c>
      <c r="DJ6" s="3" t="s">
        <v>26</v>
      </c>
      <c r="DK6" s="4" t="s">
        <v>27</v>
      </c>
      <c r="DL6" s="5" t="s">
        <v>26</v>
      </c>
      <c r="DM6" s="6" t="s">
        <v>27</v>
      </c>
    </row>
    <row r="7" spans="1:118" ht="15.75">
      <c r="A7" s="48">
        <f>SUBTOTAL(3,A9:A59)</f>
        <v>51</v>
      </c>
      <c r="B7" s="48">
        <f>SUBTOTAL(3,B9:B59)</f>
        <v>50</v>
      </c>
      <c r="C7" s="48">
        <f>SUBTOTAL(3,C9:C59)</f>
        <v>50</v>
      </c>
      <c r="D7" s="48">
        <f>SUBTOTAL(3,D9:D59)</f>
        <v>51</v>
      </c>
      <c r="E7" s="48">
        <f>SUBTOTAL(3,E9:E59)</f>
        <v>51</v>
      </c>
      <c r="F7" s="48">
        <f t="shared" ref="F7:AL7" si="0">SUBTOTAL(9,F9:F59)</f>
        <v>1133712.5</v>
      </c>
      <c r="G7" s="48">
        <f t="shared" si="0"/>
        <v>6884599.4699999997</v>
      </c>
      <c r="H7" s="48">
        <f t="shared" si="0"/>
        <v>1781000</v>
      </c>
      <c r="I7" s="48">
        <f t="shared" si="0"/>
        <v>1246283</v>
      </c>
      <c r="J7" s="48">
        <f t="shared" si="0"/>
        <v>0</v>
      </c>
      <c r="K7" s="48">
        <f t="shared" si="0"/>
        <v>4504603.97</v>
      </c>
      <c r="L7" s="48">
        <f t="shared" si="0"/>
        <v>5266603.97</v>
      </c>
      <c r="M7" s="48">
        <f t="shared" si="0"/>
        <v>5750886.9699999997</v>
      </c>
      <c r="N7" s="48">
        <f t="shared" si="0"/>
        <v>1133712.5</v>
      </c>
      <c r="O7" s="48">
        <f t="shared" si="0"/>
        <v>3055264.81</v>
      </c>
      <c r="P7" s="48">
        <f t="shared" si="0"/>
        <v>3068166.88</v>
      </c>
      <c r="Q7" s="48">
        <f t="shared" si="0"/>
        <v>1063055.5</v>
      </c>
      <c r="R7" s="48">
        <f t="shared" si="0"/>
        <v>4314449.88</v>
      </c>
      <c r="S7" s="48">
        <f t="shared" si="0"/>
        <v>1063055.5</v>
      </c>
      <c r="T7" s="48">
        <f t="shared" si="0"/>
        <v>225000</v>
      </c>
      <c r="U7" s="48">
        <f t="shared" si="0"/>
        <v>226000</v>
      </c>
      <c r="V7" s="48">
        <f t="shared" si="0"/>
        <v>15000</v>
      </c>
      <c r="W7" s="48">
        <f t="shared" si="0"/>
        <v>14745.5</v>
      </c>
      <c r="X7" s="48">
        <f t="shared" si="0"/>
        <v>240000</v>
      </c>
      <c r="Y7" s="48">
        <f t="shared" si="0"/>
        <v>240745.5</v>
      </c>
      <c r="Z7" s="48">
        <f t="shared" si="0"/>
        <v>120000</v>
      </c>
      <c r="AA7" s="48">
        <f t="shared" si="0"/>
        <v>59000</v>
      </c>
      <c r="AB7" s="48">
        <f t="shared" si="0"/>
        <v>13596</v>
      </c>
      <c r="AC7" s="48">
        <f t="shared" si="0"/>
        <v>73636.09</v>
      </c>
      <c r="AD7" s="48">
        <f t="shared" si="0"/>
        <v>133596</v>
      </c>
      <c r="AE7" s="48">
        <f t="shared" si="0"/>
        <v>132636.09</v>
      </c>
      <c r="AF7" s="48">
        <f t="shared" si="0"/>
        <v>3413166.88</v>
      </c>
      <c r="AG7" s="48">
        <f t="shared" si="0"/>
        <v>3353166.88</v>
      </c>
      <c r="AH7" s="48">
        <f t="shared" si="0"/>
        <v>1091651.5</v>
      </c>
      <c r="AI7" s="48">
        <f t="shared" si="0"/>
        <v>1151437.0899999999</v>
      </c>
      <c r="AJ7" s="48">
        <f t="shared" si="0"/>
        <v>4504818.38</v>
      </c>
      <c r="AK7" s="48">
        <f t="shared" si="0"/>
        <v>4504603.97</v>
      </c>
      <c r="AL7" s="48">
        <f t="shared" si="0"/>
        <v>500000</v>
      </c>
      <c r="AM7" s="48">
        <f t="shared" ref="AM7:BT7" si="1">SUBTOTAL(9,AM9:AM59)</f>
        <v>713000</v>
      </c>
      <c r="AN7" s="48">
        <f t="shared" si="1"/>
        <v>213212.5</v>
      </c>
      <c r="AO7" s="48">
        <f t="shared" si="1"/>
        <v>0</v>
      </c>
      <c r="AP7" s="48">
        <f t="shared" si="1"/>
        <v>713212.5</v>
      </c>
      <c r="AQ7" s="48">
        <f t="shared" si="1"/>
        <v>713000</v>
      </c>
      <c r="AR7" s="48">
        <f t="shared" si="1"/>
        <v>235000</v>
      </c>
      <c r="AS7" s="48">
        <f t="shared" si="1"/>
        <v>297000</v>
      </c>
      <c r="AT7" s="48">
        <f t="shared" si="1"/>
        <v>62500</v>
      </c>
      <c r="AU7" s="48">
        <f t="shared" si="1"/>
        <v>0</v>
      </c>
      <c r="AV7" s="48">
        <f t="shared" si="1"/>
        <v>297500</v>
      </c>
      <c r="AW7" s="48">
        <f t="shared" si="1"/>
        <v>297000</v>
      </c>
      <c r="AX7" s="48">
        <f t="shared" si="1"/>
        <v>50000</v>
      </c>
      <c r="AY7" s="48">
        <f t="shared" si="1"/>
        <v>67000</v>
      </c>
      <c r="AZ7" s="48">
        <f t="shared" si="1"/>
        <v>45000</v>
      </c>
      <c r="BA7" s="48">
        <f t="shared" si="1"/>
        <v>16764.14</v>
      </c>
      <c r="BB7" s="48">
        <f t="shared" si="1"/>
        <v>95000</v>
      </c>
      <c r="BC7" s="48">
        <f t="shared" si="1"/>
        <v>95355</v>
      </c>
      <c r="BD7" s="48">
        <f t="shared" si="1"/>
        <v>83764.14</v>
      </c>
      <c r="BE7" s="48">
        <f t="shared" si="1"/>
        <v>0</v>
      </c>
      <c r="BF7" s="48">
        <f t="shared" si="1"/>
        <v>0</v>
      </c>
      <c r="BG7" s="48">
        <f t="shared" si="1"/>
        <v>28000</v>
      </c>
      <c r="BH7" s="48">
        <f t="shared" si="1"/>
        <v>49635.65</v>
      </c>
      <c r="BI7" s="48">
        <f t="shared" si="1"/>
        <v>28000</v>
      </c>
      <c r="BJ7" s="48">
        <f t="shared" si="1"/>
        <v>28000</v>
      </c>
      <c r="BK7" s="48">
        <f t="shared" si="1"/>
        <v>49635.65</v>
      </c>
      <c r="BL7" s="48">
        <f t="shared" si="1"/>
        <v>0</v>
      </c>
      <c r="BM7" s="48">
        <f t="shared" si="1"/>
        <v>0</v>
      </c>
      <c r="BN7" s="48">
        <f t="shared" si="1"/>
        <v>0</v>
      </c>
      <c r="BO7" s="48">
        <f t="shared" si="1"/>
        <v>0</v>
      </c>
      <c r="BP7" s="48">
        <f t="shared" si="1"/>
        <v>0</v>
      </c>
      <c r="BQ7" s="48">
        <f t="shared" si="1"/>
        <v>0</v>
      </c>
      <c r="BR7" s="48">
        <f t="shared" si="1"/>
        <v>0</v>
      </c>
      <c r="BS7" s="48">
        <f t="shared" si="1"/>
        <v>0</v>
      </c>
      <c r="BT7" s="48">
        <f t="shared" si="1"/>
        <v>0</v>
      </c>
      <c r="BU7" s="48">
        <f t="shared" ref="BU7:CZ7" si="2">SUBTOTAL(9,BU9:BU59)</f>
        <v>617.55999999999995</v>
      </c>
      <c r="BV7" s="48">
        <f t="shared" si="2"/>
        <v>0</v>
      </c>
      <c r="BW7" s="48">
        <f t="shared" si="2"/>
        <v>617.55999999999995</v>
      </c>
      <c r="BX7" s="48">
        <f t="shared" si="2"/>
        <v>0</v>
      </c>
      <c r="BY7" s="48">
        <f t="shared" si="2"/>
        <v>0</v>
      </c>
      <c r="BZ7" s="48">
        <f t="shared" si="2"/>
        <v>0</v>
      </c>
      <c r="CA7" s="48">
        <f t="shared" si="2"/>
        <v>0</v>
      </c>
      <c r="CB7" s="48">
        <f t="shared" si="2"/>
        <v>0</v>
      </c>
      <c r="CC7" s="48">
        <f t="shared" si="2"/>
        <v>0</v>
      </c>
      <c r="CD7" s="48">
        <f t="shared" si="2"/>
        <v>0</v>
      </c>
      <c r="CE7" s="48">
        <f t="shared" si="2"/>
        <v>0</v>
      </c>
      <c r="CF7" s="48">
        <f t="shared" si="2"/>
        <v>0</v>
      </c>
      <c r="CG7" s="48">
        <f t="shared" si="2"/>
        <v>0</v>
      </c>
      <c r="CH7" s="48">
        <f t="shared" si="2"/>
        <v>0</v>
      </c>
      <c r="CI7" s="48">
        <f t="shared" si="2"/>
        <v>0</v>
      </c>
      <c r="CJ7" s="48">
        <f t="shared" si="2"/>
        <v>0</v>
      </c>
      <c r="CK7" s="48">
        <f t="shared" si="2"/>
        <v>0</v>
      </c>
      <c r="CL7" s="48">
        <f t="shared" si="2"/>
        <v>0</v>
      </c>
      <c r="CM7" s="48">
        <f t="shared" si="2"/>
        <v>0</v>
      </c>
      <c r="CN7" s="48">
        <f t="shared" si="2"/>
        <v>0</v>
      </c>
      <c r="CO7" s="48">
        <f t="shared" si="2"/>
        <v>0</v>
      </c>
      <c r="CP7" s="48">
        <f t="shared" si="2"/>
        <v>0</v>
      </c>
      <c r="CQ7" s="48">
        <f t="shared" si="2"/>
        <v>0</v>
      </c>
      <c r="CR7" s="48">
        <f t="shared" si="2"/>
        <v>0</v>
      </c>
      <c r="CS7" s="48">
        <f t="shared" si="2"/>
        <v>0</v>
      </c>
      <c r="CT7" s="48">
        <f t="shared" si="2"/>
        <v>0</v>
      </c>
      <c r="CU7" s="48">
        <f t="shared" si="2"/>
        <v>0</v>
      </c>
      <c r="CV7" s="48">
        <f t="shared" si="2"/>
        <v>0</v>
      </c>
      <c r="CW7" s="48">
        <f t="shared" si="2"/>
        <v>0</v>
      </c>
      <c r="CX7" s="48">
        <f t="shared" si="2"/>
        <v>0</v>
      </c>
      <c r="CY7" s="48">
        <f t="shared" si="2"/>
        <v>0</v>
      </c>
      <c r="CZ7" s="48">
        <f t="shared" si="2"/>
        <v>0</v>
      </c>
      <c r="DA7" s="48">
        <f t="shared" ref="DA7:DM7" si="3">SUBTOTAL(9,DA9:DA59)</f>
        <v>0</v>
      </c>
      <c r="DB7" s="48">
        <f t="shared" si="3"/>
        <v>0</v>
      </c>
      <c r="DC7" s="48">
        <f t="shared" si="3"/>
        <v>0</v>
      </c>
      <c r="DD7" s="48">
        <f t="shared" si="3"/>
        <v>0</v>
      </c>
      <c r="DE7" s="48">
        <f t="shared" si="3"/>
        <v>0</v>
      </c>
      <c r="DF7" s="48">
        <f t="shared" si="3"/>
        <v>0</v>
      </c>
      <c r="DG7" s="48">
        <f t="shared" si="3"/>
        <v>0</v>
      </c>
      <c r="DH7" s="48">
        <f t="shared" si="3"/>
        <v>785000</v>
      </c>
      <c r="DI7" s="48">
        <f t="shared" si="3"/>
        <v>1077000</v>
      </c>
      <c r="DJ7" s="48">
        <f t="shared" si="3"/>
        <v>348712.5</v>
      </c>
      <c r="DK7" s="48">
        <f t="shared" si="3"/>
        <v>67017.350000000006</v>
      </c>
      <c r="DL7" s="48">
        <f t="shared" si="3"/>
        <v>1133712.5</v>
      </c>
      <c r="DM7" s="48">
        <f t="shared" si="3"/>
        <v>1144017.3500000001</v>
      </c>
    </row>
    <row r="8" spans="1:118">
      <c r="A8" s="92"/>
      <c r="H8" s="175"/>
      <c r="I8" s="193"/>
      <c r="J8" s="193"/>
      <c r="K8" s="193"/>
      <c r="L8" s="193"/>
      <c r="M8" s="193"/>
      <c r="N8" s="193"/>
      <c r="O8" s="193"/>
      <c r="P8" s="193"/>
      <c r="Q8" s="193"/>
      <c r="R8" s="193"/>
      <c r="S8" s="193"/>
      <c r="T8" s="193"/>
      <c r="U8" s="193"/>
      <c r="V8" s="193"/>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3"/>
      <c r="BD8" s="193"/>
      <c r="BE8" s="193"/>
      <c r="BF8" s="193"/>
      <c r="BG8" s="193"/>
      <c r="BH8" s="193"/>
      <c r="BI8" s="193"/>
      <c r="BJ8" s="193"/>
      <c r="BK8" s="193"/>
      <c r="BL8" s="193"/>
      <c r="BM8" s="193"/>
      <c r="BN8" s="193"/>
      <c r="BO8" s="193"/>
      <c r="BP8" s="193"/>
      <c r="BQ8" s="193"/>
      <c r="BR8" s="193"/>
      <c r="BS8" s="193"/>
      <c r="BT8" s="193"/>
      <c r="BU8" s="193"/>
      <c r="BV8" s="193"/>
      <c r="BW8" s="193"/>
      <c r="BX8" s="193"/>
      <c r="BY8" s="193"/>
      <c r="BZ8" s="193"/>
      <c r="CA8" s="193"/>
      <c r="CB8" s="193"/>
      <c r="CC8" s="193"/>
      <c r="CD8" s="193"/>
      <c r="CE8" s="193"/>
      <c r="CF8" s="193"/>
      <c r="CG8" s="193"/>
      <c r="CH8" s="193"/>
      <c r="CI8" s="193"/>
      <c r="CJ8" s="193"/>
      <c r="CK8" s="193"/>
      <c r="CL8" s="193"/>
      <c r="CM8" s="193"/>
      <c r="CN8" s="193"/>
      <c r="CO8" s="193"/>
      <c r="CP8" s="193"/>
      <c r="CQ8" s="193"/>
      <c r="CR8" s="193"/>
      <c r="CS8" s="193"/>
      <c r="CT8" s="193"/>
      <c r="CU8" s="193"/>
      <c r="CV8" s="193"/>
      <c r="CW8" s="193"/>
      <c r="CX8" s="193"/>
      <c r="CY8" s="193"/>
      <c r="CZ8" s="193"/>
      <c r="DA8" s="193"/>
      <c r="DB8" s="193"/>
      <c r="DC8" s="193"/>
      <c r="DD8" s="193"/>
      <c r="DE8" s="193"/>
      <c r="DF8" s="193"/>
      <c r="DG8" s="193"/>
      <c r="DH8" s="193"/>
      <c r="DI8" s="193"/>
      <c r="DJ8" s="193"/>
      <c r="DK8" s="193"/>
      <c r="DL8" s="193"/>
      <c r="DM8" s="193"/>
    </row>
    <row r="9" spans="1:118" s="278" customFormat="1">
      <c r="A9" s="253">
        <v>1</v>
      </c>
      <c r="B9" s="307" t="s">
        <v>381</v>
      </c>
      <c r="C9" s="307" t="s">
        <v>382</v>
      </c>
      <c r="D9" s="307" t="s">
        <v>383</v>
      </c>
      <c r="E9" s="307" t="s">
        <v>1165</v>
      </c>
      <c r="F9" s="255">
        <f>SUM(DL9)</f>
        <v>510000</v>
      </c>
      <c r="G9" s="256">
        <f>I9+AK9+DL9</f>
        <v>1790024.61</v>
      </c>
      <c r="H9" s="70"/>
      <c r="I9" s="258">
        <v>0</v>
      </c>
      <c r="J9" s="258">
        <v>0</v>
      </c>
      <c r="K9" s="255">
        <f t="shared" ref="K9" si="4">AK9</f>
        <v>1280024.6100000001</v>
      </c>
      <c r="L9" s="255">
        <f t="shared" ref="L9" si="5">IF(AI9&gt;0,I9+AK9-J9,0)</f>
        <v>1280024.6100000001</v>
      </c>
      <c r="M9" s="255">
        <f t="shared" ref="M9" si="6">I9+K9</f>
        <v>1280024.6100000001</v>
      </c>
      <c r="N9" s="255">
        <f>G9-M9</f>
        <v>510000</v>
      </c>
      <c r="O9" s="255" t="str">
        <f>IF(AND(AI9&gt;0,DK9&gt;0),"შეცდომაა! ერთზე მეტი ბოლო ჩაბარება!",IF(OR(AI9&gt;0,DK9&gt;0,),IF(AI9&gt;0,I9+AK9,I9+AK9+DM9),IF(AND(I9=0,K9=0,DM9=0),"ნულოვანი შესრულება","მიმდინარეობს")))</f>
        <v>შეცდომაა! ერთზე მეტი ბოლო ჩაბარება!</v>
      </c>
      <c r="P9" s="52">
        <v>1048469.25</v>
      </c>
      <c r="Q9" s="52"/>
      <c r="R9" s="52">
        <f>I9+P9</f>
        <v>1048469.25</v>
      </c>
      <c r="S9" s="52">
        <f>Q9</f>
        <v>0</v>
      </c>
      <c r="T9" s="52">
        <v>105000</v>
      </c>
      <c r="U9" s="52">
        <f>40000+30000+30000+20000+20000+10000</f>
        <v>150000</v>
      </c>
      <c r="V9" s="52"/>
      <c r="W9" s="52"/>
      <c r="X9" s="52">
        <f>T9+V9</f>
        <v>105000</v>
      </c>
      <c r="Y9" s="52">
        <f>U9+W9</f>
        <v>150000</v>
      </c>
      <c r="Z9" s="52">
        <v>60000</v>
      </c>
      <c r="AA9" s="52">
        <f>2000+2000+5000+15000+15000+5000+5000+5000</f>
        <v>54000</v>
      </c>
      <c r="AB9" s="52"/>
      <c r="AC9" s="52">
        <f>4125.96+23429.4</f>
        <v>27555.360000000001</v>
      </c>
      <c r="AD9" s="52">
        <f>Z9+AB9</f>
        <v>60000</v>
      </c>
      <c r="AE9" s="52">
        <f>AA9+AC9</f>
        <v>81555.360000000001</v>
      </c>
      <c r="AF9" s="52">
        <f>P9+T9+Z9</f>
        <v>1213469.25</v>
      </c>
      <c r="AG9" s="52">
        <f>P9+U9+AA9</f>
        <v>1252469.25</v>
      </c>
      <c r="AH9" s="52">
        <f>Q9+V9+AB9</f>
        <v>0</v>
      </c>
      <c r="AI9" s="52">
        <f>Q9+W9+AC9</f>
        <v>27555.360000000001</v>
      </c>
      <c r="AJ9" s="52">
        <f>AF9+AH9</f>
        <v>1213469.25</v>
      </c>
      <c r="AK9" s="52">
        <f>AG9+AI9</f>
        <v>1280024.6100000001</v>
      </c>
      <c r="AL9" s="258">
        <v>250000</v>
      </c>
      <c r="AM9" s="258">
        <f>20000+20000+20000+60000+70000+15000+20000+20000+40000+5000+60000+33000</f>
        <v>383000</v>
      </c>
      <c r="AN9" s="258">
        <v>100000</v>
      </c>
      <c r="AO9" s="258">
        <f>0</f>
        <v>0</v>
      </c>
      <c r="AP9" s="258">
        <f>AL9+AN9</f>
        <v>350000</v>
      </c>
      <c r="AQ9" s="258">
        <f>AM9+AO9</f>
        <v>383000</v>
      </c>
      <c r="AR9" s="258">
        <v>100000</v>
      </c>
      <c r="AS9" s="358">
        <f>18000+8000+13000+18000+18000+8000+10000+20000+27000+25000+25000</f>
        <v>190000</v>
      </c>
      <c r="AT9" s="258">
        <v>30000</v>
      </c>
      <c r="AU9" s="258"/>
      <c r="AV9" s="258">
        <f>AR9+AT9</f>
        <v>130000</v>
      </c>
      <c r="AW9" s="360">
        <f>AS9+AU9</f>
        <v>190000</v>
      </c>
      <c r="AX9" s="258"/>
      <c r="AY9" s="55">
        <f>3000+3000+8000+10000</f>
        <v>24000</v>
      </c>
      <c r="AZ9" s="258">
        <v>30000</v>
      </c>
      <c r="BA9" s="75">
        <f>1086.46+1049.69+593.17+238.95+647.63+384.95+20.66+3969.4+4706.59</f>
        <v>12697.5</v>
      </c>
      <c r="BB9" s="258">
        <f>AX9+AZ9</f>
        <v>30000</v>
      </c>
      <c r="BC9" s="55">
        <v>36692</v>
      </c>
      <c r="BD9" s="258">
        <f t="shared" ref="BD9:BD34" si="7">AY9+BA9</f>
        <v>36697.5</v>
      </c>
      <c r="BE9" s="258"/>
      <c r="BF9" s="258"/>
      <c r="BG9" s="258"/>
      <c r="BH9" s="75">
        <f>3455.54+4959.46</f>
        <v>8415</v>
      </c>
      <c r="BI9" s="258">
        <f>BE9+BG9</f>
        <v>0</v>
      </c>
      <c r="BJ9" s="55">
        <v>5000</v>
      </c>
      <c r="BK9" s="75">
        <f t="shared" ref="BK9:BK34" si="8">BF9+BH9</f>
        <v>8415</v>
      </c>
      <c r="BL9" s="258"/>
      <c r="BM9" s="258"/>
      <c r="BN9" s="258"/>
      <c r="BO9" s="258"/>
      <c r="BP9" s="258">
        <f>BL9+BN9</f>
        <v>0</v>
      </c>
      <c r="BQ9" s="258">
        <f>BM9+BO9</f>
        <v>0</v>
      </c>
      <c r="BR9" s="258"/>
      <c r="BS9" s="258"/>
      <c r="BT9" s="258"/>
      <c r="BU9" s="258"/>
      <c r="BV9" s="258">
        <f>BR9+BT9</f>
        <v>0</v>
      </c>
      <c r="BW9" s="258">
        <f>BS9+BU9</f>
        <v>0</v>
      </c>
      <c r="BX9" s="258"/>
      <c r="BY9" s="258"/>
      <c r="BZ9" s="258"/>
      <c r="CA9" s="258"/>
      <c r="CB9" s="258">
        <f>BX9+BZ9</f>
        <v>0</v>
      </c>
      <c r="CC9" s="258">
        <f>BY9+CA9</f>
        <v>0</v>
      </c>
      <c r="CD9" s="258"/>
      <c r="CE9" s="258"/>
      <c r="CF9" s="258"/>
      <c r="CG9" s="258"/>
      <c r="CH9" s="258">
        <f>CD9+CF9</f>
        <v>0</v>
      </c>
      <c r="CI9" s="258">
        <f>CE9+CG9</f>
        <v>0</v>
      </c>
      <c r="CJ9" s="258"/>
      <c r="CK9" s="258"/>
      <c r="CL9" s="258"/>
      <c r="CM9" s="258"/>
      <c r="CN9" s="258">
        <f>CJ9+CL9</f>
        <v>0</v>
      </c>
      <c r="CO9" s="258">
        <f>CK9+CM9</f>
        <v>0</v>
      </c>
      <c r="CP9" s="258"/>
      <c r="CQ9" s="258"/>
      <c r="CR9" s="258"/>
      <c r="CS9" s="258"/>
      <c r="CT9" s="258">
        <f>CP9+CR9</f>
        <v>0</v>
      </c>
      <c r="CU9" s="258">
        <f>CQ9+CS9</f>
        <v>0</v>
      </c>
      <c r="CV9" s="258"/>
      <c r="CW9" s="258"/>
      <c r="CX9" s="258"/>
      <c r="CY9" s="258"/>
      <c r="CZ9" s="258">
        <f>CV9+CX9</f>
        <v>0</v>
      </c>
      <c r="DA9" s="258">
        <f>CW9+CY9</f>
        <v>0</v>
      </c>
      <c r="DB9" s="258"/>
      <c r="DC9" s="258"/>
      <c r="DD9" s="258"/>
      <c r="DE9" s="258"/>
      <c r="DF9" s="258">
        <f>DB9+DD9</f>
        <v>0</v>
      </c>
      <c r="DG9" s="258">
        <f>DC9+DE9</f>
        <v>0</v>
      </c>
      <c r="DH9" s="258">
        <f>AL9+AR9+AX9+BE9+BL9+BR9+BX9+CD9+CJ9+CP9+CV9+DB9</f>
        <v>350000</v>
      </c>
      <c r="DI9" s="258">
        <f>AM9+AS9+AY9+BF9+BM9+BS9+BY9+CE9+CK9+CQ9+CW9+DC9</f>
        <v>597000</v>
      </c>
      <c r="DJ9" s="258">
        <f>AN9+AT9+AZ9+BG9+BN9+BT9+BZ9+CF9+CL9+CR9+CX9+DD9</f>
        <v>160000</v>
      </c>
      <c r="DK9" s="258">
        <f>AO9+AU9+BA9+BH9+BO9+BU9+CA9+CG9+CM9+CS9+CY9+DE9</f>
        <v>21112.5</v>
      </c>
      <c r="DL9" s="258">
        <f>DH9+DJ9</f>
        <v>510000</v>
      </c>
      <c r="DM9" s="258">
        <f>DI9+DK9</f>
        <v>618112.5</v>
      </c>
    </row>
    <row r="10" spans="1:118" s="278" customFormat="1">
      <c r="A10" s="253">
        <v>2</v>
      </c>
      <c r="B10" s="307" t="s">
        <v>381</v>
      </c>
      <c r="C10" s="307" t="s">
        <v>384</v>
      </c>
      <c r="D10" s="307" t="s">
        <v>385</v>
      </c>
      <c r="E10" s="307" t="s">
        <v>1165</v>
      </c>
      <c r="F10" s="255">
        <f t="shared" ref="F10:F59" si="9">SUM(DL10)</f>
        <v>420000</v>
      </c>
      <c r="G10" s="256">
        <f t="shared" ref="G10:G59" si="10">I10+AK10+DL10</f>
        <v>1511215.1099999999</v>
      </c>
      <c r="H10" s="202"/>
      <c r="I10" s="258">
        <v>0</v>
      </c>
      <c r="J10" s="258">
        <v>0</v>
      </c>
      <c r="K10" s="255">
        <f t="shared" ref="K10:K59" si="11">AK10</f>
        <v>1091215.1099999999</v>
      </c>
      <c r="L10" s="255">
        <f t="shared" ref="L10:L59" si="12">IF(AI10&gt;0,I10+AK10-J10,0)</f>
        <v>1091215.1099999999</v>
      </c>
      <c r="M10" s="255">
        <f t="shared" ref="M10:M59" si="13">I10+K10</f>
        <v>1091215.1099999999</v>
      </c>
      <c r="N10" s="255">
        <f t="shared" ref="N10:N59" si="14">G10-M10</f>
        <v>420000</v>
      </c>
      <c r="O10" s="255" t="str">
        <f t="shared" ref="O10:O59" si="15">IF(AND(AI10&gt;0,DK10&gt;0),"შეცდომაა! ერთზე მეტი ბოლო ჩაბარება!",IF(OR(AI10&gt;0,DK10&gt;0,),IF(AI10&gt;0,I10+AK10,I10+AK10+DM10),IF(AND(I10=0,K10=0,DM10=0),"ნულოვანი შესრულება","მიმდინარეობს")))</f>
        <v>შეცდომაა! ერთზე მეტი ბოლო ჩაბარება!</v>
      </c>
      <c r="P10" s="75">
        <v>990697.63</v>
      </c>
      <c r="Q10" s="75"/>
      <c r="R10" s="75">
        <f t="shared" ref="R10:R59" si="16">I10+P10</f>
        <v>990697.63</v>
      </c>
      <c r="S10" s="75">
        <f t="shared" ref="S10:S59" si="17">Q10</f>
        <v>0</v>
      </c>
      <c r="T10" s="75">
        <v>120000</v>
      </c>
      <c r="U10" s="75">
        <f>12000+10000+12000+12000+23000</f>
        <v>69000</v>
      </c>
      <c r="V10" s="75"/>
      <c r="W10" s="75"/>
      <c r="X10" s="75">
        <f t="shared" ref="X10:Y59" si="18">T10+V10</f>
        <v>120000</v>
      </c>
      <c r="Y10" s="75">
        <f t="shared" si="18"/>
        <v>69000</v>
      </c>
      <c r="Z10" s="75">
        <v>60000</v>
      </c>
      <c r="AA10" s="75">
        <f>5000</f>
        <v>5000</v>
      </c>
      <c r="AB10" s="75"/>
      <c r="AC10" s="75">
        <f>3403.39+684+3860.7+1569.39+17000</f>
        <v>26517.48</v>
      </c>
      <c r="AD10" s="75">
        <f t="shared" ref="AD10:AE59" si="19">Z10+AB10</f>
        <v>60000</v>
      </c>
      <c r="AE10" s="75">
        <f t="shared" si="19"/>
        <v>31517.48</v>
      </c>
      <c r="AF10" s="52">
        <f t="shared" ref="AF10:AF59" si="20">P10+T10+Z10</f>
        <v>1170697.6299999999</v>
      </c>
      <c r="AG10" s="52">
        <f t="shared" ref="AG10:AG59" si="21">P10+U10+AA10</f>
        <v>1064697.6299999999</v>
      </c>
      <c r="AH10" s="52">
        <f t="shared" ref="AH10:AH59" si="22">Q10+V10+AB10</f>
        <v>0</v>
      </c>
      <c r="AI10" s="52">
        <f t="shared" ref="AI10:AI59" si="23">Q10+W10+AC10</f>
        <v>26517.48</v>
      </c>
      <c r="AJ10" s="52">
        <f t="shared" ref="AJ10:AJ59" si="24">AF10+AH10</f>
        <v>1170697.6299999999</v>
      </c>
      <c r="AK10" s="52">
        <f t="shared" ref="AK10:AK59" si="25">AG10+AI10</f>
        <v>1091215.1099999999</v>
      </c>
      <c r="AL10" s="302">
        <v>250000</v>
      </c>
      <c r="AM10" s="302">
        <f>80000+30000+30000+80000+50000+10000+50000</f>
        <v>330000</v>
      </c>
      <c r="AN10" s="302">
        <v>100000</v>
      </c>
      <c r="AO10" s="302">
        <f>0</f>
        <v>0</v>
      </c>
      <c r="AP10" s="258">
        <f t="shared" ref="AP10:AQ59" si="26">AL10+AN10</f>
        <v>350000</v>
      </c>
      <c r="AQ10" s="258">
        <f t="shared" si="26"/>
        <v>330000</v>
      </c>
      <c r="AR10" s="302">
        <v>50000</v>
      </c>
      <c r="AS10" s="359">
        <f>18000+31000+18000+3000+14000+10000+13000</f>
        <v>107000</v>
      </c>
      <c r="AT10" s="302">
        <v>10000</v>
      </c>
      <c r="AU10" s="302"/>
      <c r="AV10" s="258">
        <f t="shared" ref="AV10:AW59" si="27">AR10+AT10</f>
        <v>60000</v>
      </c>
      <c r="AW10" s="360">
        <f t="shared" si="27"/>
        <v>107000</v>
      </c>
      <c r="AX10" s="302"/>
      <c r="AY10" s="381">
        <f>10000+23000+10000</f>
        <v>43000</v>
      </c>
      <c r="AZ10" s="302">
        <v>10000</v>
      </c>
      <c r="BA10" s="203">
        <f>598.72+843.49+755.33+1103.57+765.53</f>
        <v>4066.6399999999994</v>
      </c>
      <c r="BB10" s="258">
        <f t="shared" ref="BB10:BB59" si="28">AX10+AZ10</f>
        <v>10000</v>
      </c>
      <c r="BC10" s="55">
        <v>58663</v>
      </c>
      <c r="BD10" s="258">
        <f t="shared" si="7"/>
        <v>47066.64</v>
      </c>
      <c r="BE10" s="302"/>
      <c r="BF10" s="302"/>
      <c r="BG10" s="302"/>
      <c r="BH10" s="203">
        <f>12174.49+2538.72+13090+13417.44</f>
        <v>41220.65</v>
      </c>
      <c r="BI10" s="258">
        <f t="shared" ref="BI10:BI59" si="29">BE10+BG10</f>
        <v>0</v>
      </c>
      <c r="BJ10" s="55">
        <v>16000</v>
      </c>
      <c r="BK10" s="75">
        <f t="shared" si="8"/>
        <v>41220.65</v>
      </c>
      <c r="BL10" s="302"/>
      <c r="BM10" s="302"/>
      <c r="BN10" s="302"/>
      <c r="BO10" s="302"/>
      <c r="BP10" s="258">
        <f t="shared" ref="BP10:BQ59" si="30">BL10+BN10</f>
        <v>0</v>
      </c>
      <c r="BQ10" s="258">
        <f t="shared" si="30"/>
        <v>0</v>
      </c>
      <c r="BR10" s="302"/>
      <c r="BS10" s="302"/>
      <c r="BT10" s="302"/>
      <c r="BU10" s="302"/>
      <c r="BV10" s="258">
        <f t="shared" ref="BV10:BW59" si="31">BR10+BT10</f>
        <v>0</v>
      </c>
      <c r="BW10" s="258">
        <f t="shared" si="31"/>
        <v>0</v>
      </c>
      <c r="BX10" s="302"/>
      <c r="BY10" s="302"/>
      <c r="BZ10" s="302"/>
      <c r="CA10" s="302"/>
      <c r="CB10" s="258">
        <f t="shared" ref="CB10:CC59" si="32">BX10+BZ10</f>
        <v>0</v>
      </c>
      <c r="CC10" s="258">
        <f t="shared" si="32"/>
        <v>0</v>
      </c>
      <c r="CD10" s="302"/>
      <c r="CE10" s="302"/>
      <c r="CF10" s="302"/>
      <c r="CG10" s="302"/>
      <c r="CH10" s="258">
        <f t="shared" ref="CH10:CI59" si="33">CD10+CF10</f>
        <v>0</v>
      </c>
      <c r="CI10" s="258">
        <f t="shared" si="33"/>
        <v>0</v>
      </c>
      <c r="CJ10" s="302"/>
      <c r="CK10" s="302"/>
      <c r="CL10" s="302"/>
      <c r="CM10" s="302"/>
      <c r="CN10" s="258">
        <f t="shared" ref="CN10:CO59" si="34">CJ10+CL10</f>
        <v>0</v>
      </c>
      <c r="CO10" s="258">
        <f t="shared" si="34"/>
        <v>0</v>
      </c>
      <c r="CP10" s="302"/>
      <c r="CQ10" s="302"/>
      <c r="CR10" s="302"/>
      <c r="CS10" s="302"/>
      <c r="CT10" s="258">
        <f t="shared" ref="CT10:CU59" si="35">CP10+CR10</f>
        <v>0</v>
      </c>
      <c r="CU10" s="258">
        <f t="shared" si="35"/>
        <v>0</v>
      </c>
      <c r="CV10" s="302"/>
      <c r="CW10" s="302"/>
      <c r="CX10" s="302"/>
      <c r="CY10" s="302"/>
      <c r="CZ10" s="258">
        <f t="shared" ref="CZ10:DA59" si="36">CV10+CX10</f>
        <v>0</v>
      </c>
      <c r="DA10" s="258">
        <f t="shared" si="36"/>
        <v>0</v>
      </c>
      <c r="DB10" s="302"/>
      <c r="DC10" s="302"/>
      <c r="DD10" s="302"/>
      <c r="DE10" s="302"/>
      <c r="DF10" s="258">
        <f t="shared" ref="DF10:DG59" si="37">DB10+DD10</f>
        <v>0</v>
      </c>
      <c r="DG10" s="258">
        <f t="shared" si="37"/>
        <v>0</v>
      </c>
      <c r="DH10" s="258">
        <f t="shared" ref="DH10:DH59" si="38">AL10+AR10+AX10+BE10+BL10+BR10+BX10+CD10+CJ10+CP10+CV10+DB10</f>
        <v>300000</v>
      </c>
      <c r="DI10" s="258">
        <f t="shared" ref="DI10:DI59" si="39">AM10+AS10+AY10+BF10+BM10+BS10+BY10+CE10+CK10+CQ10+CW10+DC10</f>
        <v>480000</v>
      </c>
      <c r="DJ10" s="258">
        <f t="shared" ref="DJ10:DJ59" si="40">AN10+AT10+AZ10+BG10+BN10+BT10+BZ10+CF10+CL10+CR10+CX10+DD10</f>
        <v>120000</v>
      </c>
      <c r="DK10" s="258">
        <f t="shared" ref="DK10:DK59" si="41">AO10+AU10+BA10+BH10+BO10+BU10+CA10+CG10+CM10+CS10+CY10+DE10</f>
        <v>45287.29</v>
      </c>
      <c r="DL10" s="258">
        <f t="shared" ref="DL10:DL59" si="42">DH10+DJ10</f>
        <v>420000</v>
      </c>
      <c r="DM10" s="258">
        <f t="shared" ref="DM10:DM59" si="43">DI10+DK10</f>
        <v>525287.29</v>
      </c>
    </row>
    <row r="11" spans="1:118">
      <c r="A11" s="68">
        <v>3</v>
      </c>
      <c r="B11" s="244" t="s">
        <v>386</v>
      </c>
      <c r="C11" s="244" t="s">
        <v>387</v>
      </c>
      <c r="D11" s="250" t="s">
        <v>388</v>
      </c>
      <c r="E11" s="245" t="s">
        <v>1165</v>
      </c>
      <c r="F11" s="161">
        <f t="shared" si="9"/>
        <v>0</v>
      </c>
      <c r="G11" s="165">
        <f>I11+AK11+DL11</f>
        <v>0</v>
      </c>
      <c r="H11" s="122">
        <v>210000</v>
      </c>
      <c r="I11" s="219">
        <v>0</v>
      </c>
      <c r="J11" s="219">
        <v>0</v>
      </c>
      <c r="K11" s="127">
        <f t="shared" si="11"/>
        <v>0</v>
      </c>
      <c r="L11" s="127">
        <f t="shared" si="12"/>
        <v>0</v>
      </c>
      <c r="M11" s="127">
        <f t="shared" si="13"/>
        <v>0</v>
      </c>
      <c r="N11" s="131">
        <f t="shared" si="14"/>
        <v>0</v>
      </c>
      <c r="O11" s="125" t="str">
        <f t="shared" si="15"/>
        <v>ნულოვანი შესრულება</v>
      </c>
      <c r="P11" s="75"/>
      <c r="Q11" s="75"/>
      <c r="R11" s="75">
        <f t="shared" si="16"/>
        <v>0</v>
      </c>
      <c r="S11" s="75">
        <f t="shared" si="17"/>
        <v>0</v>
      </c>
      <c r="T11" s="75"/>
      <c r="U11" s="75"/>
      <c r="V11" s="75"/>
      <c r="W11" s="75"/>
      <c r="X11" s="75">
        <f t="shared" si="18"/>
        <v>0</v>
      </c>
      <c r="Y11" s="75">
        <f t="shared" si="18"/>
        <v>0</v>
      </c>
      <c r="Z11" s="75"/>
      <c r="AA11" s="75"/>
      <c r="AB11" s="75"/>
      <c r="AC11" s="75"/>
      <c r="AD11" s="75">
        <f t="shared" si="19"/>
        <v>0</v>
      </c>
      <c r="AE11" s="75">
        <f t="shared" si="19"/>
        <v>0</v>
      </c>
      <c r="AF11" s="52">
        <f t="shared" si="20"/>
        <v>0</v>
      </c>
      <c r="AG11" s="52">
        <f t="shared" si="21"/>
        <v>0</v>
      </c>
      <c r="AH11" s="52">
        <f t="shared" si="22"/>
        <v>0</v>
      </c>
      <c r="AI11" s="52">
        <f t="shared" si="23"/>
        <v>0</v>
      </c>
      <c r="AJ11" s="52">
        <f t="shared" si="24"/>
        <v>0</v>
      </c>
      <c r="AK11" s="52">
        <f t="shared" si="25"/>
        <v>0</v>
      </c>
      <c r="AL11" s="75"/>
      <c r="AM11" s="75"/>
      <c r="AN11" s="75"/>
      <c r="AO11" s="75"/>
      <c r="AP11" s="75">
        <f t="shared" si="26"/>
        <v>0</v>
      </c>
      <c r="AQ11" s="75">
        <f t="shared" si="26"/>
        <v>0</v>
      </c>
      <c r="AR11" s="75"/>
      <c r="AS11" s="75"/>
      <c r="AT11" s="75"/>
      <c r="AU11" s="75"/>
      <c r="AV11" s="75">
        <f t="shared" si="27"/>
        <v>0</v>
      </c>
      <c r="AW11" s="75">
        <f t="shared" si="27"/>
        <v>0</v>
      </c>
      <c r="AX11" s="75"/>
      <c r="AY11" s="75"/>
      <c r="AZ11" s="75"/>
      <c r="BA11" s="75"/>
      <c r="BB11" s="75">
        <f t="shared" si="28"/>
        <v>0</v>
      </c>
      <c r="BC11" s="75"/>
      <c r="BD11" s="75">
        <f t="shared" si="7"/>
        <v>0</v>
      </c>
      <c r="BE11" s="75"/>
      <c r="BF11" s="75"/>
      <c r="BG11" s="75"/>
      <c r="BH11" s="75"/>
      <c r="BI11" s="75">
        <f t="shared" si="29"/>
        <v>0</v>
      </c>
      <c r="BJ11" s="75"/>
      <c r="BK11" s="75">
        <f t="shared" si="8"/>
        <v>0</v>
      </c>
      <c r="BL11" s="75"/>
      <c r="BM11" s="75"/>
      <c r="BN11" s="75"/>
      <c r="BO11" s="75"/>
      <c r="BP11" s="75">
        <f t="shared" si="30"/>
        <v>0</v>
      </c>
      <c r="BQ11" s="75">
        <f t="shared" si="30"/>
        <v>0</v>
      </c>
      <c r="BR11" s="75"/>
      <c r="BS11" s="75"/>
      <c r="BT11" s="75"/>
      <c r="BU11" s="75"/>
      <c r="BV11" s="75">
        <f t="shared" si="31"/>
        <v>0</v>
      </c>
      <c r="BW11" s="75">
        <f t="shared" si="31"/>
        <v>0</v>
      </c>
      <c r="BX11" s="75"/>
      <c r="BY11" s="75"/>
      <c r="BZ11" s="75"/>
      <c r="CA11" s="75"/>
      <c r="CB11" s="75">
        <f t="shared" si="32"/>
        <v>0</v>
      </c>
      <c r="CC11" s="75">
        <f t="shared" si="32"/>
        <v>0</v>
      </c>
      <c r="CD11" s="75"/>
      <c r="CE11" s="75"/>
      <c r="CF11" s="75"/>
      <c r="CG11" s="75"/>
      <c r="CH11" s="75">
        <f t="shared" si="33"/>
        <v>0</v>
      </c>
      <c r="CI11" s="75">
        <f t="shared" si="33"/>
        <v>0</v>
      </c>
      <c r="CJ11" s="75"/>
      <c r="CK11" s="75"/>
      <c r="CL11" s="75"/>
      <c r="CM11" s="75"/>
      <c r="CN11" s="75">
        <f t="shared" si="34"/>
        <v>0</v>
      </c>
      <c r="CO11" s="75">
        <f t="shared" si="34"/>
        <v>0</v>
      </c>
      <c r="CP11" s="75"/>
      <c r="CQ11" s="75"/>
      <c r="CR11" s="75"/>
      <c r="CS11" s="75"/>
      <c r="CT11" s="75">
        <f t="shared" si="35"/>
        <v>0</v>
      </c>
      <c r="CU11" s="75">
        <f t="shared" si="35"/>
        <v>0</v>
      </c>
      <c r="CV11" s="75"/>
      <c r="CW11" s="75"/>
      <c r="CX11" s="75"/>
      <c r="CY11" s="75"/>
      <c r="CZ11" s="75">
        <f t="shared" si="36"/>
        <v>0</v>
      </c>
      <c r="DA11" s="75">
        <f t="shared" si="36"/>
        <v>0</v>
      </c>
      <c r="DB11" s="75"/>
      <c r="DC11" s="75"/>
      <c r="DD11" s="75"/>
      <c r="DE11" s="75"/>
      <c r="DF11" s="75">
        <f t="shared" si="37"/>
        <v>0</v>
      </c>
      <c r="DG11" s="75">
        <f t="shared" si="37"/>
        <v>0</v>
      </c>
      <c r="DH11" s="52">
        <f t="shared" si="38"/>
        <v>0</v>
      </c>
      <c r="DI11" s="52">
        <f t="shared" si="39"/>
        <v>0</v>
      </c>
      <c r="DJ11" s="52">
        <f t="shared" si="40"/>
        <v>0</v>
      </c>
      <c r="DK11" s="52">
        <f t="shared" si="41"/>
        <v>0</v>
      </c>
      <c r="DL11" s="52">
        <f t="shared" si="42"/>
        <v>0</v>
      </c>
      <c r="DM11" s="52">
        <f t="shared" si="43"/>
        <v>0</v>
      </c>
      <c r="DN11" s="14" t="s">
        <v>678</v>
      </c>
    </row>
    <row r="12" spans="1:118" s="61" customFormat="1">
      <c r="A12" s="68">
        <v>4</v>
      </c>
      <c r="B12" s="246" t="s">
        <v>386</v>
      </c>
      <c r="C12" s="246" t="s">
        <v>389</v>
      </c>
      <c r="D12" s="246" t="s">
        <v>390</v>
      </c>
      <c r="E12" s="245" t="s">
        <v>1165</v>
      </c>
      <c r="F12" s="161">
        <f t="shared" si="9"/>
        <v>110000</v>
      </c>
      <c r="G12" s="165">
        <f t="shared" si="10"/>
        <v>310000</v>
      </c>
      <c r="H12" s="54">
        <v>265000</v>
      </c>
      <c r="I12" s="219">
        <v>0</v>
      </c>
      <c r="J12" s="219">
        <v>0</v>
      </c>
      <c r="K12" s="127">
        <f t="shared" si="11"/>
        <v>200000</v>
      </c>
      <c r="L12" s="127">
        <f t="shared" si="12"/>
        <v>0</v>
      </c>
      <c r="M12" s="127">
        <f t="shared" si="13"/>
        <v>200000</v>
      </c>
      <c r="N12" s="131">
        <f t="shared" si="14"/>
        <v>110000</v>
      </c>
      <c r="O12" s="125" t="str">
        <f t="shared" si="15"/>
        <v>მიმდინარეობს</v>
      </c>
      <c r="P12" s="52">
        <v>200000</v>
      </c>
      <c r="Q12" s="52"/>
      <c r="R12" s="52">
        <f t="shared" si="16"/>
        <v>200000</v>
      </c>
      <c r="S12" s="52">
        <f t="shared" si="17"/>
        <v>0</v>
      </c>
      <c r="T12" s="52"/>
      <c r="U12" s="52"/>
      <c r="V12" s="52"/>
      <c r="W12" s="52"/>
      <c r="X12" s="52">
        <f t="shared" si="18"/>
        <v>0</v>
      </c>
      <c r="Y12" s="52">
        <f t="shared" si="18"/>
        <v>0</v>
      </c>
      <c r="Z12" s="52"/>
      <c r="AA12" s="52"/>
      <c r="AB12" s="52"/>
      <c r="AC12" s="52"/>
      <c r="AD12" s="52">
        <f t="shared" si="19"/>
        <v>0</v>
      </c>
      <c r="AE12" s="52">
        <f t="shared" si="19"/>
        <v>0</v>
      </c>
      <c r="AF12" s="52">
        <f t="shared" si="20"/>
        <v>200000</v>
      </c>
      <c r="AG12" s="52">
        <f t="shared" si="21"/>
        <v>200000</v>
      </c>
      <c r="AH12" s="52">
        <f t="shared" si="22"/>
        <v>0</v>
      </c>
      <c r="AI12" s="52">
        <f t="shared" si="23"/>
        <v>0</v>
      </c>
      <c r="AJ12" s="52">
        <f t="shared" si="24"/>
        <v>200000</v>
      </c>
      <c r="AK12" s="52">
        <f t="shared" si="25"/>
        <v>200000</v>
      </c>
      <c r="AL12" s="52"/>
      <c r="AM12" s="52"/>
      <c r="AN12" s="52"/>
      <c r="AO12" s="52"/>
      <c r="AP12" s="52">
        <f t="shared" si="26"/>
        <v>0</v>
      </c>
      <c r="AQ12" s="52">
        <f t="shared" si="26"/>
        <v>0</v>
      </c>
      <c r="AR12" s="52">
        <v>50000</v>
      </c>
      <c r="AS12" s="52"/>
      <c r="AT12" s="52"/>
      <c r="AU12" s="52"/>
      <c r="AV12" s="52">
        <f t="shared" si="27"/>
        <v>50000</v>
      </c>
      <c r="AW12" s="52">
        <f t="shared" si="27"/>
        <v>0</v>
      </c>
      <c r="AX12" s="52">
        <v>50000</v>
      </c>
      <c r="AY12" s="52"/>
      <c r="AZ12" s="52"/>
      <c r="BA12" s="52"/>
      <c r="BB12" s="52">
        <f t="shared" si="28"/>
        <v>50000</v>
      </c>
      <c r="BC12" s="52"/>
      <c r="BD12" s="52">
        <f t="shared" si="7"/>
        <v>0</v>
      </c>
      <c r="BE12" s="52"/>
      <c r="BF12" s="52"/>
      <c r="BG12" s="52">
        <v>10000</v>
      </c>
      <c r="BH12" s="52"/>
      <c r="BI12" s="52">
        <f t="shared" si="29"/>
        <v>10000</v>
      </c>
      <c r="BJ12" s="52"/>
      <c r="BK12" s="52">
        <f t="shared" si="8"/>
        <v>0</v>
      </c>
      <c r="BL12" s="52"/>
      <c r="BM12" s="52"/>
      <c r="BN12" s="52"/>
      <c r="BO12" s="52"/>
      <c r="BP12" s="52">
        <f t="shared" si="30"/>
        <v>0</v>
      </c>
      <c r="BQ12" s="52">
        <f t="shared" si="30"/>
        <v>0</v>
      </c>
      <c r="BR12" s="52"/>
      <c r="BS12" s="52"/>
      <c r="BT12" s="52"/>
      <c r="BU12" s="52"/>
      <c r="BV12" s="52">
        <f t="shared" si="31"/>
        <v>0</v>
      </c>
      <c r="BW12" s="52">
        <f t="shared" si="31"/>
        <v>0</v>
      </c>
      <c r="BX12" s="52"/>
      <c r="BY12" s="52"/>
      <c r="BZ12" s="52"/>
      <c r="CA12" s="52"/>
      <c r="CB12" s="52">
        <f t="shared" si="32"/>
        <v>0</v>
      </c>
      <c r="CC12" s="52">
        <f t="shared" si="32"/>
        <v>0</v>
      </c>
      <c r="CD12" s="52"/>
      <c r="CE12" s="52"/>
      <c r="CF12" s="52"/>
      <c r="CG12" s="52"/>
      <c r="CH12" s="52">
        <f t="shared" si="33"/>
        <v>0</v>
      </c>
      <c r="CI12" s="52">
        <f t="shared" si="33"/>
        <v>0</v>
      </c>
      <c r="CJ12" s="52"/>
      <c r="CK12" s="52"/>
      <c r="CL12" s="52"/>
      <c r="CM12" s="52"/>
      <c r="CN12" s="52">
        <f t="shared" si="34"/>
        <v>0</v>
      </c>
      <c r="CO12" s="52">
        <f t="shared" si="34"/>
        <v>0</v>
      </c>
      <c r="CP12" s="52"/>
      <c r="CQ12" s="52"/>
      <c r="CR12" s="52"/>
      <c r="CS12" s="52"/>
      <c r="CT12" s="52">
        <f t="shared" si="35"/>
        <v>0</v>
      </c>
      <c r="CU12" s="52">
        <f t="shared" si="35"/>
        <v>0</v>
      </c>
      <c r="CV12" s="52"/>
      <c r="CW12" s="52"/>
      <c r="CX12" s="52"/>
      <c r="CY12" s="52"/>
      <c r="CZ12" s="52">
        <f t="shared" si="36"/>
        <v>0</v>
      </c>
      <c r="DA12" s="52">
        <f t="shared" si="36"/>
        <v>0</v>
      </c>
      <c r="DB12" s="52"/>
      <c r="DC12" s="52"/>
      <c r="DD12" s="52"/>
      <c r="DE12" s="52"/>
      <c r="DF12" s="52">
        <f t="shared" si="37"/>
        <v>0</v>
      </c>
      <c r="DG12" s="52">
        <f t="shared" si="37"/>
        <v>0</v>
      </c>
      <c r="DH12" s="52">
        <f t="shared" si="38"/>
        <v>100000</v>
      </c>
      <c r="DI12" s="52">
        <f t="shared" si="39"/>
        <v>0</v>
      </c>
      <c r="DJ12" s="52">
        <f t="shared" si="40"/>
        <v>10000</v>
      </c>
      <c r="DK12" s="52">
        <f t="shared" si="41"/>
        <v>0</v>
      </c>
      <c r="DL12" s="52">
        <f t="shared" si="42"/>
        <v>110000</v>
      </c>
      <c r="DM12" s="52">
        <f t="shared" si="43"/>
        <v>0</v>
      </c>
    </row>
    <row r="13" spans="1:118" s="61" customFormat="1">
      <c r="A13" s="68">
        <v>5</v>
      </c>
      <c r="B13" s="246" t="s">
        <v>381</v>
      </c>
      <c r="C13" s="246" t="s">
        <v>391</v>
      </c>
      <c r="D13" s="246" t="s">
        <v>392</v>
      </c>
      <c r="E13" s="245" t="s">
        <v>1165</v>
      </c>
      <c r="F13" s="161">
        <f t="shared" si="9"/>
        <v>5000</v>
      </c>
      <c r="G13" s="165">
        <f t="shared" si="10"/>
        <v>105000</v>
      </c>
      <c r="H13" s="54">
        <v>175000</v>
      </c>
      <c r="I13" s="219">
        <v>0</v>
      </c>
      <c r="J13" s="219">
        <v>0</v>
      </c>
      <c r="K13" s="127">
        <f t="shared" si="11"/>
        <v>100000</v>
      </c>
      <c r="L13" s="127">
        <f t="shared" si="12"/>
        <v>0</v>
      </c>
      <c r="M13" s="127">
        <f t="shared" si="13"/>
        <v>100000</v>
      </c>
      <c r="N13" s="131">
        <f t="shared" si="14"/>
        <v>5000</v>
      </c>
      <c r="O13" s="125" t="str">
        <f t="shared" si="15"/>
        <v>მიმდინარეობს</v>
      </c>
      <c r="P13" s="52">
        <v>100000</v>
      </c>
      <c r="Q13" s="52"/>
      <c r="R13" s="52">
        <f t="shared" si="16"/>
        <v>100000</v>
      </c>
      <c r="S13" s="52">
        <f t="shared" si="17"/>
        <v>0</v>
      </c>
      <c r="T13" s="52"/>
      <c r="U13" s="52"/>
      <c r="V13" s="52"/>
      <c r="W13" s="52"/>
      <c r="X13" s="52">
        <f t="shared" si="18"/>
        <v>0</v>
      </c>
      <c r="Y13" s="52">
        <f t="shared" si="18"/>
        <v>0</v>
      </c>
      <c r="Z13" s="52"/>
      <c r="AA13" s="52"/>
      <c r="AB13" s="52"/>
      <c r="AC13" s="52"/>
      <c r="AD13" s="52">
        <f t="shared" si="19"/>
        <v>0</v>
      </c>
      <c r="AE13" s="52">
        <f t="shared" si="19"/>
        <v>0</v>
      </c>
      <c r="AF13" s="52">
        <f t="shared" si="20"/>
        <v>100000</v>
      </c>
      <c r="AG13" s="52">
        <f t="shared" si="21"/>
        <v>100000</v>
      </c>
      <c r="AH13" s="52">
        <f t="shared" si="22"/>
        <v>0</v>
      </c>
      <c r="AI13" s="52">
        <f t="shared" si="23"/>
        <v>0</v>
      </c>
      <c r="AJ13" s="52">
        <f t="shared" si="24"/>
        <v>100000</v>
      </c>
      <c r="AK13" s="52">
        <f t="shared" si="25"/>
        <v>100000</v>
      </c>
      <c r="AL13" s="57"/>
      <c r="AM13" s="57"/>
      <c r="AN13" s="57"/>
      <c r="AO13" s="57"/>
      <c r="AP13" s="52">
        <f t="shared" si="26"/>
        <v>0</v>
      </c>
      <c r="AQ13" s="52">
        <f t="shared" si="26"/>
        <v>0</v>
      </c>
      <c r="AR13" s="57"/>
      <c r="AS13" s="57"/>
      <c r="AT13" s="57">
        <v>5000</v>
      </c>
      <c r="AU13" s="57"/>
      <c r="AV13" s="52">
        <f t="shared" si="27"/>
        <v>5000</v>
      </c>
      <c r="AW13" s="52">
        <f t="shared" si="27"/>
        <v>0</v>
      </c>
      <c r="AX13" s="57"/>
      <c r="AY13" s="57"/>
      <c r="AZ13" s="57"/>
      <c r="BA13" s="57"/>
      <c r="BB13" s="52">
        <f t="shared" si="28"/>
        <v>0</v>
      </c>
      <c r="BC13" s="52"/>
      <c r="BD13" s="52">
        <f t="shared" si="7"/>
        <v>0</v>
      </c>
      <c r="BE13" s="57"/>
      <c r="BF13" s="57"/>
      <c r="BG13" s="57"/>
      <c r="BH13" s="57"/>
      <c r="BI13" s="52">
        <f t="shared" si="29"/>
        <v>0</v>
      </c>
      <c r="BJ13" s="52"/>
      <c r="BK13" s="52">
        <f t="shared" si="8"/>
        <v>0</v>
      </c>
      <c r="BL13" s="57"/>
      <c r="BM13" s="57"/>
      <c r="BN13" s="57"/>
      <c r="BO13" s="57"/>
      <c r="BP13" s="52">
        <f t="shared" si="30"/>
        <v>0</v>
      </c>
      <c r="BQ13" s="52">
        <f t="shared" si="30"/>
        <v>0</v>
      </c>
      <c r="BR13" s="57"/>
      <c r="BS13" s="57"/>
      <c r="BT13" s="57"/>
      <c r="BU13" s="57"/>
      <c r="BV13" s="52">
        <f t="shared" si="31"/>
        <v>0</v>
      </c>
      <c r="BW13" s="52">
        <f t="shared" si="31"/>
        <v>0</v>
      </c>
      <c r="BX13" s="57"/>
      <c r="BY13" s="57"/>
      <c r="BZ13" s="57"/>
      <c r="CA13" s="57"/>
      <c r="CB13" s="52">
        <f t="shared" si="32"/>
        <v>0</v>
      </c>
      <c r="CC13" s="52">
        <f t="shared" si="32"/>
        <v>0</v>
      </c>
      <c r="CD13" s="57"/>
      <c r="CE13" s="57"/>
      <c r="CF13" s="57"/>
      <c r="CG13" s="57"/>
      <c r="CH13" s="52">
        <f t="shared" si="33"/>
        <v>0</v>
      </c>
      <c r="CI13" s="52">
        <f t="shared" si="33"/>
        <v>0</v>
      </c>
      <c r="CJ13" s="57"/>
      <c r="CK13" s="57"/>
      <c r="CL13" s="57"/>
      <c r="CM13" s="57"/>
      <c r="CN13" s="52">
        <f t="shared" si="34"/>
        <v>0</v>
      </c>
      <c r="CO13" s="52">
        <f t="shared" si="34"/>
        <v>0</v>
      </c>
      <c r="CP13" s="57"/>
      <c r="CQ13" s="57"/>
      <c r="CR13" s="57"/>
      <c r="CS13" s="57"/>
      <c r="CT13" s="52">
        <f t="shared" si="35"/>
        <v>0</v>
      </c>
      <c r="CU13" s="52">
        <f t="shared" si="35"/>
        <v>0</v>
      </c>
      <c r="CV13" s="57"/>
      <c r="CW13" s="57"/>
      <c r="CX13" s="57"/>
      <c r="CY13" s="57"/>
      <c r="CZ13" s="52">
        <f t="shared" si="36"/>
        <v>0</v>
      </c>
      <c r="DA13" s="52">
        <f t="shared" si="36"/>
        <v>0</v>
      </c>
      <c r="DB13" s="57"/>
      <c r="DC13" s="57"/>
      <c r="DD13" s="57"/>
      <c r="DE13" s="57"/>
      <c r="DF13" s="52">
        <f t="shared" si="37"/>
        <v>0</v>
      </c>
      <c r="DG13" s="52">
        <f t="shared" si="37"/>
        <v>0</v>
      </c>
      <c r="DH13" s="52">
        <f t="shared" si="38"/>
        <v>0</v>
      </c>
      <c r="DI13" s="52">
        <f t="shared" si="39"/>
        <v>0</v>
      </c>
      <c r="DJ13" s="52">
        <f t="shared" si="40"/>
        <v>5000</v>
      </c>
      <c r="DK13" s="52">
        <f t="shared" si="41"/>
        <v>0</v>
      </c>
      <c r="DL13" s="52">
        <f t="shared" si="42"/>
        <v>5000</v>
      </c>
      <c r="DM13" s="52">
        <f t="shared" si="43"/>
        <v>0</v>
      </c>
    </row>
    <row r="14" spans="1:118" s="278" customFormat="1">
      <c r="A14" s="253">
        <v>6</v>
      </c>
      <c r="B14" s="254" t="s">
        <v>381</v>
      </c>
      <c r="C14" s="254" t="s">
        <v>393</v>
      </c>
      <c r="D14" s="254" t="s">
        <v>394</v>
      </c>
      <c r="E14" s="254" t="s">
        <v>1165</v>
      </c>
      <c r="F14" s="255">
        <f t="shared" si="9"/>
        <v>0</v>
      </c>
      <c r="G14" s="256">
        <f t="shared" si="10"/>
        <v>0</v>
      </c>
      <c r="H14" s="54">
        <v>78000</v>
      </c>
      <c r="I14" s="258">
        <v>0</v>
      </c>
      <c r="J14" s="258">
        <v>0</v>
      </c>
      <c r="K14" s="255">
        <f t="shared" si="11"/>
        <v>0</v>
      </c>
      <c r="L14" s="255">
        <f t="shared" si="12"/>
        <v>0</v>
      </c>
      <c r="M14" s="255">
        <f t="shared" si="13"/>
        <v>0</v>
      </c>
      <c r="N14" s="255">
        <f t="shared" si="14"/>
        <v>0</v>
      </c>
      <c r="O14" s="255" t="str">
        <f t="shared" si="15"/>
        <v>ნულოვანი შესრულება</v>
      </c>
      <c r="P14" s="52"/>
      <c r="Q14" s="52"/>
      <c r="R14" s="52">
        <f t="shared" si="16"/>
        <v>0</v>
      </c>
      <c r="S14" s="52">
        <f t="shared" si="17"/>
        <v>0</v>
      </c>
      <c r="T14" s="52"/>
      <c r="U14" s="52"/>
      <c r="V14" s="52"/>
      <c r="W14" s="52"/>
      <c r="X14" s="52">
        <f t="shared" si="18"/>
        <v>0</v>
      </c>
      <c r="Y14" s="52">
        <f t="shared" si="18"/>
        <v>0</v>
      </c>
      <c r="Z14" s="52"/>
      <c r="AA14" s="52"/>
      <c r="AB14" s="52"/>
      <c r="AC14" s="52"/>
      <c r="AD14" s="52">
        <f t="shared" si="19"/>
        <v>0</v>
      </c>
      <c r="AE14" s="52">
        <f t="shared" si="19"/>
        <v>0</v>
      </c>
      <c r="AF14" s="52">
        <f t="shared" si="20"/>
        <v>0</v>
      </c>
      <c r="AG14" s="52">
        <f t="shared" si="21"/>
        <v>0</v>
      </c>
      <c r="AH14" s="52">
        <f t="shared" si="22"/>
        <v>0</v>
      </c>
      <c r="AI14" s="52">
        <f t="shared" si="23"/>
        <v>0</v>
      </c>
      <c r="AJ14" s="52">
        <f t="shared" si="24"/>
        <v>0</v>
      </c>
      <c r="AK14" s="52">
        <f t="shared" si="25"/>
        <v>0</v>
      </c>
      <c r="AL14" s="258"/>
      <c r="AM14" s="258"/>
      <c r="AN14" s="258"/>
      <c r="AO14" s="258"/>
      <c r="AP14" s="258">
        <f t="shared" si="26"/>
        <v>0</v>
      </c>
      <c r="AQ14" s="258">
        <f t="shared" si="26"/>
        <v>0</v>
      </c>
      <c r="AR14" s="258"/>
      <c r="AS14" s="258"/>
      <c r="AT14" s="258"/>
      <c r="AU14" s="258"/>
      <c r="AV14" s="258">
        <f t="shared" si="27"/>
        <v>0</v>
      </c>
      <c r="AW14" s="258">
        <f t="shared" si="27"/>
        <v>0</v>
      </c>
      <c r="AX14" s="258"/>
      <c r="AY14" s="258"/>
      <c r="AZ14" s="258"/>
      <c r="BA14" s="258"/>
      <c r="BB14" s="258">
        <f t="shared" si="28"/>
        <v>0</v>
      </c>
      <c r="BC14" s="258"/>
      <c r="BD14" s="258">
        <f t="shared" si="7"/>
        <v>0</v>
      </c>
      <c r="BE14" s="258"/>
      <c r="BF14" s="258"/>
      <c r="BG14" s="258"/>
      <c r="BH14" s="258"/>
      <c r="BI14" s="258">
        <f t="shared" si="29"/>
        <v>0</v>
      </c>
      <c r="BJ14" s="258"/>
      <c r="BK14" s="258">
        <f t="shared" si="8"/>
        <v>0</v>
      </c>
      <c r="BL14" s="258"/>
      <c r="BM14" s="258"/>
      <c r="BN14" s="258"/>
      <c r="BO14" s="258"/>
      <c r="BP14" s="258">
        <f t="shared" si="30"/>
        <v>0</v>
      </c>
      <c r="BQ14" s="258">
        <f t="shared" si="30"/>
        <v>0</v>
      </c>
      <c r="BR14" s="258"/>
      <c r="BS14" s="258"/>
      <c r="BT14" s="258"/>
      <c r="BU14" s="258"/>
      <c r="BV14" s="258">
        <f t="shared" si="31"/>
        <v>0</v>
      </c>
      <c r="BW14" s="258">
        <f t="shared" si="31"/>
        <v>0</v>
      </c>
      <c r="BX14" s="258"/>
      <c r="BY14" s="258"/>
      <c r="BZ14" s="258"/>
      <c r="CA14" s="258"/>
      <c r="CB14" s="258">
        <f t="shared" si="32"/>
        <v>0</v>
      </c>
      <c r="CC14" s="258">
        <f t="shared" si="32"/>
        <v>0</v>
      </c>
      <c r="CD14" s="258"/>
      <c r="CE14" s="258"/>
      <c r="CF14" s="258"/>
      <c r="CG14" s="258"/>
      <c r="CH14" s="258">
        <f t="shared" si="33"/>
        <v>0</v>
      </c>
      <c r="CI14" s="258">
        <f t="shared" si="33"/>
        <v>0</v>
      </c>
      <c r="CJ14" s="258"/>
      <c r="CK14" s="258"/>
      <c r="CL14" s="258"/>
      <c r="CM14" s="258"/>
      <c r="CN14" s="258">
        <f t="shared" si="34"/>
        <v>0</v>
      </c>
      <c r="CO14" s="258">
        <f t="shared" si="34"/>
        <v>0</v>
      </c>
      <c r="CP14" s="258"/>
      <c r="CQ14" s="258"/>
      <c r="CR14" s="258"/>
      <c r="CS14" s="258"/>
      <c r="CT14" s="258">
        <f t="shared" si="35"/>
        <v>0</v>
      </c>
      <c r="CU14" s="258">
        <f t="shared" si="35"/>
        <v>0</v>
      </c>
      <c r="CV14" s="258"/>
      <c r="CW14" s="258"/>
      <c r="CX14" s="258"/>
      <c r="CY14" s="258"/>
      <c r="CZ14" s="258">
        <f t="shared" si="36"/>
        <v>0</v>
      </c>
      <c r="DA14" s="258">
        <f t="shared" si="36"/>
        <v>0</v>
      </c>
      <c r="DB14" s="258"/>
      <c r="DC14" s="258"/>
      <c r="DD14" s="258"/>
      <c r="DE14" s="258"/>
      <c r="DF14" s="258">
        <f t="shared" si="37"/>
        <v>0</v>
      </c>
      <c r="DG14" s="258">
        <f t="shared" si="37"/>
        <v>0</v>
      </c>
      <c r="DH14" s="258">
        <f t="shared" si="38"/>
        <v>0</v>
      </c>
      <c r="DI14" s="258">
        <f t="shared" si="39"/>
        <v>0</v>
      </c>
      <c r="DJ14" s="258">
        <f t="shared" si="40"/>
        <v>0</v>
      </c>
      <c r="DK14" s="258">
        <f t="shared" si="41"/>
        <v>0</v>
      </c>
      <c r="DL14" s="258">
        <f t="shared" si="42"/>
        <v>0</v>
      </c>
      <c r="DM14" s="258">
        <f t="shared" si="43"/>
        <v>0</v>
      </c>
    </row>
    <row r="15" spans="1:118" s="278" customFormat="1">
      <c r="A15" s="253">
        <v>7</v>
      </c>
      <c r="B15" s="254" t="s">
        <v>381</v>
      </c>
      <c r="C15" s="254" t="s">
        <v>395</v>
      </c>
      <c r="D15" s="254" t="s">
        <v>396</v>
      </c>
      <c r="E15" s="254" t="s">
        <v>1165</v>
      </c>
      <c r="F15" s="255">
        <f t="shared" si="9"/>
        <v>0</v>
      </c>
      <c r="G15" s="256">
        <f t="shared" si="10"/>
        <v>0</v>
      </c>
      <c r="H15" s="54">
        <v>65000</v>
      </c>
      <c r="I15" s="258">
        <v>0</v>
      </c>
      <c r="J15" s="258">
        <v>0</v>
      </c>
      <c r="K15" s="255">
        <f t="shared" si="11"/>
        <v>0</v>
      </c>
      <c r="L15" s="255">
        <f t="shared" si="12"/>
        <v>0</v>
      </c>
      <c r="M15" s="255">
        <f t="shared" si="13"/>
        <v>0</v>
      </c>
      <c r="N15" s="255">
        <f t="shared" si="14"/>
        <v>0</v>
      </c>
      <c r="O15" s="255" t="str">
        <f t="shared" si="15"/>
        <v>ნულოვანი შესრულება</v>
      </c>
      <c r="P15" s="52"/>
      <c r="Q15" s="52"/>
      <c r="R15" s="52">
        <f t="shared" si="16"/>
        <v>0</v>
      </c>
      <c r="S15" s="52">
        <f t="shared" si="17"/>
        <v>0</v>
      </c>
      <c r="T15" s="52"/>
      <c r="U15" s="52"/>
      <c r="V15" s="52"/>
      <c r="W15" s="52"/>
      <c r="X15" s="52">
        <f t="shared" si="18"/>
        <v>0</v>
      </c>
      <c r="Y15" s="52">
        <f t="shared" si="18"/>
        <v>0</v>
      </c>
      <c r="Z15" s="52"/>
      <c r="AA15" s="52"/>
      <c r="AB15" s="52"/>
      <c r="AC15" s="52"/>
      <c r="AD15" s="52">
        <f t="shared" si="19"/>
        <v>0</v>
      </c>
      <c r="AE15" s="52">
        <f t="shared" si="19"/>
        <v>0</v>
      </c>
      <c r="AF15" s="52">
        <f t="shared" si="20"/>
        <v>0</v>
      </c>
      <c r="AG15" s="52">
        <f t="shared" si="21"/>
        <v>0</v>
      </c>
      <c r="AH15" s="52">
        <f t="shared" si="22"/>
        <v>0</v>
      </c>
      <c r="AI15" s="52">
        <f t="shared" si="23"/>
        <v>0</v>
      </c>
      <c r="AJ15" s="52">
        <f t="shared" si="24"/>
        <v>0</v>
      </c>
      <c r="AK15" s="52">
        <f t="shared" si="25"/>
        <v>0</v>
      </c>
      <c r="AL15" s="258"/>
      <c r="AM15" s="258"/>
      <c r="AN15" s="258"/>
      <c r="AO15" s="258"/>
      <c r="AP15" s="258">
        <f t="shared" si="26"/>
        <v>0</v>
      </c>
      <c r="AQ15" s="258">
        <f t="shared" si="26"/>
        <v>0</v>
      </c>
      <c r="AR15" s="258"/>
      <c r="AS15" s="258"/>
      <c r="AT15" s="258"/>
      <c r="AU15" s="258"/>
      <c r="AV15" s="258">
        <f t="shared" si="27"/>
        <v>0</v>
      </c>
      <c r="AW15" s="258">
        <f t="shared" si="27"/>
        <v>0</v>
      </c>
      <c r="AX15" s="258"/>
      <c r="AY15" s="258"/>
      <c r="AZ15" s="258"/>
      <c r="BA15" s="258"/>
      <c r="BB15" s="258">
        <f t="shared" si="28"/>
        <v>0</v>
      </c>
      <c r="BC15" s="258"/>
      <c r="BD15" s="258">
        <f t="shared" si="7"/>
        <v>0</v>
      </c>
      <c r="BE15" s="258"/>
      <c r="BF15" s="258"/>
      <c r="BG15" s="258"/>
      <c r="BH15" s="258"/>
      <c r="BI15" s="258">
        <f t="shared" si="29"/>
        <v>0</v>
      </c>
      <c r="BJ15" s="258"/>
      <c r="BK15" s="258">
        <f t="shared" si="8"/>
        <v>0</v>
      </c>
      <c r="BL15" s="258"/>
      <c r="BM15" s="258"/>
      <c r="BN15" s="258"/>
      <c r="BO15" s="258"/>
      <c r="BP15" s="258">
        <f t="shared" si="30"/>
        <v>0</v>
      </c>
      <c r="BQ15" s="258">
        <f t="shared" si="30"/>
        <v>0</v>
      </c>
      <c r="BR15" s="258"/>
      <c r="BS15" s="258"/>
      <c r="BT15" s="258"/>
      <c r="BU15" s="258"/>
      <c r="BV15" s="258">
        <f t="shared" si="31"/>
        <v>0</v>
      </c>
      <c r="BW15" s="258">
        <f t="shared" si="31"/>
        <v>0</v>
      </c>
      <c r="BX15" s="258"/>
      <c r="BY15" s="258"/>
      <c r="BZ15" s="258"/>
      <c r="CA15" s="258"/>
      <c r="CB15" s="258">
        <f t="shared" si="32"/>
        <v>0</v>
      </c>
      <c r="CC15" s="258">
        <f t="shared" si="32"/>
        <v>0</v>
      </c>
      <c r="CD15" s="258"/>
      <c r="CE15" s="258"/>
      <c r="CF15" s="258"/>
      <c r="CG15" s="258"/>
      <c r="CH15" s="258">
        <f t="shared" si="33"/>
        <v>0</v>
      </c>
      <c r="CI15" s="258">
        <f t="shared" si="33"/>
        <v>0</v>
      </c>
      <c r="CJ15" s="258"/>
      <c r="CK15" s="258"/>
      <c r="CL15" s="258"/>
      <c r="CM15" s="258"/>
      <c r="CN15" s="258">
        <f t="shared" si="34"/>
        <v>0</v>
      </c>
      <c r="CO15" s="258">
        <f t="shared" si="34"/>
        <v>0</v>
      </c>
      <c r="CP15" s="258"/>
      <c r="CQ15" s="258"/>
      <c r="CR15" s="258"/>
      <c r="CS15" s="258"/>
      <c r="CT15" s="258">
        <f t="shared" si="35"/>
        <v>0</v>
      </c>
      <c r="CU15" s="258">
        <f t="shared" si="35"/>
        <v>0</v>
      </c>
      <c r="CV15" s="258"/>
      <c r="CW15" s="258"/>
      <c r="CX15" s="258"/>
      <c r="CY15" s="258"/>
      <c r="CZ15" s="258">
        <f t="shared" si="36"/>
        <v>0</v>
      </c>
      <c r="DA15" s="258">
        <f t="shared" si="36"/>
        <v>0</v>
      </c>
      <c r="DB15" s="258"/>
      <c r="DC15" s="258"/>
      <c r="DD15" s="258"/>
      <c r="DE15" s="258"/>
      <c r="DF15" s="258">
        <f t="shared" si="37"/>
        <v>0</v>
      </c>
      <c r="DG15" s="258">
        <f t="shared" si="37"/>
        <v>0</v>
      </c>
      <c r="DH15" s="258">
        <f t="shared" si="38"/>
        <v>0</v>
      </c>
      <c r="DI15" s="258">
        <f t="shared" si="39"/>
        <v>0</v>
      </c>
      <c r="DJ15" s="258">
        <f t="shared" si="40"/>
        <v>0</v>
      </c>
      <c r="DK15" s="258">
        <f t="shared" si="41"/>
        <v>0</v>
      </c>
      <c r="DL15" s="258">
        <f t="shared" si="42"/>
        <v>0</v>
      </c>
      <c r="DM15" s="258">
        <f t="shared" si="43"/>
        <v>0</v>
      </c>
    </row>
    <row r="16" spans="1:118" s="278" customFormat="1">
      <c r="A16" s="253">
        <v>8</v>
      </c>
      <c r="B16" s="254" t="s">
        <v>381</v>
      </c>
      <c r="C16" s="254" t="s">
        <v>397</v>
      </c>
      <c r="D16" s="254" t="s">
        <v>398</v>
      </c>
      <c r="E16" s="254" t="s">
        <v>1165</v>
      </c>
      <c r="F16" s="255">
        <f t="shared" si="9"/>
        <v>0</v>
      </c>
      <c r="G16" s="256">
        <f t="shared" si="10"/>
        <v>0</v>
      </c>
      <c r="H16" s="54">
        <v>20000</v>
      </c>
      <c r="I16" s="258">
        <v>0</v>
      </c>
      <c r="J16" s="258">
        <v>0</v>
      </c>
      <c r="K16" s="255">
        <f t="shared" si="11"/>
        <v>0</v>
      </c>
      <c r="L16" s="255">
        <f t="shared" si="12"/>
        <v>0</v>
      </c>
      <c r="M16" s="255">
        <f t="shared" si="13"/>
        <v>0</v>
      </c>
      <c r="N16" s="255">
        <f t="shared" si="14"/>
        <v>0</v>
      </c>
      <c r="O16" s="255" t="str">
        <f t="shared" si="15"/>
        <v>ნულოვანი შესრულება</v>
      </c>
      <c r="P16" s="52"/>
      <c r="Q16" s="52"/>
      <c r="R16" s="52">
        <f t="shared" si="16"/>
        <v>0</v>
      </c>
      <c r="S16" s="52">
        <f t="shared" si="17"/>
        <v>0</v>
      </c>
      <c r="T16" s="52"/>
      <c r="U16" s="52"/>
      <c r="V16" s="52"/>
      <c r="W16" s="52"/>
      <c r="X16" s="52">
        <f t="shared" si="18"/>
        <v>0</v>
      </c>
      <c r="Y16" s="52">
        <f t="shared" si="18"/>
        <v>0</v>
      </c>
      <c r="Z16" s="52"/>
      <c r="AA16" s="52"/>
      <c r="AB16" s="52"/>
      <c r="AC16" s="52"/>
      <c r="AD16" s="52">
        <f t="shared" si="19"/>
        <v>0</v>
      </c>
      <c r="AE16" s="52">
        <f t="shared" si="19"/>
        <v>0</v>
      </c>
      <c r="AF16" s="52">
        <f t="shared" si="20"/>
        <v>0</v>
      </c>
      <c r="AG16" s="52">
        <f t="shared" si="21"/>
        <v>0</v>
      </c>
      <c r="AH16" s="52">
        <f t="shared" si="22"/>
        <v>0</v>
      </c>
      <c r="AI16" s="52">
        <f t="shared" si="23"/>
        <v>0</v>
      </c>
      <c r="AJ16" s="52">
        <f t="shared" si="24"/>
        <v>0</v>
      </c>
      <c r="AK16" s="52">
        <f t="shared" si="25"/>
        <v>0</v>
      </c>
      <c r="AL16" s="258"/>
      <c r="AM16" s="258"/>
      <c r="AN16" s="258"/>
      <c r="AO16" s="258"/>
      <c r="AP16" s="258">
        <f t="shared" si="26"/>
        <v>0</v>
      </c>
      <c r="AQ16" s="258">
        <f t="shared" si="26"/>
        <v>0</v>
      </c>
      <c r="AR16" s="258"/>
      <c r="AS16" s="258"/>
      <c r="AT16" s="258"/>
      <c r="AU16" s="258"/>
      <c r="AV16" s="258">
        <f t="shared" si="27"/>
        <v>0</v>
      </c>
      <c r="AW16" s="258">
        <f t="shared" si="27"/>
        <v>0</v>
      </c>
      <c r="AX16" s="258"/>
      <c r="AY16" s="258"/>
      <c r="AZ16" s="258"/>
      <c r="BA16" s="258"/>
      <c r="BB16" s="258">
        <f t="shared" si="28"/>
        <v>0</v>
      </c>
      <c r="BC16" s="258"/>
      <c r="BD16" s="258">
        <f t="shared" si="7"/>
        <v>0</v>
      </c>
      <c r="BE16" s="258"/>
      <c r="BF16" s="258"/>
      <c r="BG16" s="258"/>
      <c r="BH16" s="258"/>
      <c r="BI16" s="258">
        <f t="shared" si="29"/>
        <v>0</v>
      </c>
      <c r="BJ16" s="258"/>
      <c r="BK16" s="258">
        <f t="shared" si="8"/>
        <v>0</v>
      </c>
      <c r="BL16" s="258"/>
      <c r="BM16" s="258"/>
      <c r="BN16" s="258"/>
      <c r="BO16" s="258"/>
      <c r="BP16" s="258">
        <f t="shared" si="30"/>
        <v>0</v>
      </c>
      <c r="BQ16" s="258">
        <f t="shared" si="30"/>
        <v>0</v>
      </c>
      <c r="BR16" s="258"/>
      <c r="BS16" s="258"/>
      <c r="BT16" s="258"/>
      <c r="BU16" s="258"/>
      <c r="BV16" s="258">
        <f t="shared" si="31"/>
        <v>0</v>
      </c>
      <c r="BW16" s="258">
        <f t="shared" si="31"/>
        <v>0</v>
      </c>
      <c r="BX16" s="258"/>
      <c r="BY16" s="258"/>
      <c r="BZ16" s="258"/>
      <c r="CA16" s="258"/>
      <c r="CB16" s="258">
        <f t="shared" si="32"/>
        <v>0</v>
      </c>
      <c r="CC16" s="258">
        <f t="shared" si="32"/>
        <v>0</v>
      </c>
      <c r="CD16" s="258"/>
      <c r="CE16" s="258"/>
      <c r="CF16" s="258"/>
      <c r="CG16" s="258"/>
      <c r="CH16" s="258">
        <f t="shared" si="33"/>
        <v>0</v>
      </c>
      <c r="CI16" s="258">
        <f t="shared" si="33"/>
        <v>0</v>
      </c>
      <c r="CJ16" s="258"/>
      <c r="CK16" s="258"/>
      <c r="CL16" s="258"/>
      <c r="CM16" s="258"/>
      <c r="CN16" s="258">
        <f t="shared" si="34"/>
        <v>0</v>
      </c>
      <c r="CO16" s="258">
        <f t="shared" si="34"/>
        <v>0</v>
      </c>
      <c r="CP16" s="258"/>
      <c r="CQ16" s="258"/>
      <c r="CR16" s="258"/>
      <c r="CS16" s="258"/>
      <c r="CT16" s="258">
        <f t="shared" si="35"/>
        <v>0</v>
      </c>
      <c r="CU16" s="258">
        <f t="shared" si="35"/>
        <v>0</v>
      </c>
      <c r="CV16" s="258"/>
      <c r="CW16" s="258"/>
      <c r="CX16" s="258"/>
      <c r="CY16" s="258"/>
      <c r="CZ16" s="258">
        <f t="shared" si="36"/>
        <v>0</v>
      </c>
      <c r="DA16" s="258">
        <f t="shared" si="36"/>
        <v>0</v>
      </c>
      <c r="DB16" s="258"/>
      <c r="DC16" s="258"/>
      <c r="DD16" s="258"/>
      <c r="DE16" s="258"/>
      <c r="DF16" s="258">
        <f t="shared" si="37"/>
        <v>0</v>
      </c>
      <c r="DG16" s="258">
        <f t="shared" si="37"/>
        <v>0</v>
      </c>
      <c r="DH16" s="258">
        <f t="shared" si="38"/>
        <v>0</v>
      </c>
      <c r="DI16" s="258">
        <f t="shared" si="39"/>
        <v>0</v>
      </c>
      <c r="DJ16" s="258">
        <f t="shared" si="40"/>
        <v>0</v>
      </c>
      <c r="DK16" s="258">
        <f t="shared" si="41"/>
        <v>0</v>
      </c>
      <c r="DL16" s="258">
        <f t="shared" si="42"/>
        <v>0</v>
      </c>
      <c r="DM16" s="258">
        <f t="shared" si="43"/>
        <v>0</v>
      </c>
    </row>
    <row r="17" spans="1:117" s="278" customFormat="1">
      <c r="A17" s="253">
        <v>9</v>
      </c>
      <c r="B17" s="254" t="s">
        <v>381</v>
      </c>
      <c r="C17" s="254" t="s">
        <v>399</v>
      </c>
      <c r="D17" s="254" t="s">
        <v>400</v>
      </c>
      <c r="E17" s="254" t="s">
        <v>1165</v>
      </c>
      <c r="F17" s="255">
        <f t="shared" si="9"/>
        <v>0</v>
      </c>
      <c r="G17" s="256">
        <f t="shared" si="10"/>
        <v>0</v>
      </c>
      <c r="H17" s="54">
        <v>33000</v>
      </c>
      <c r="I17" s="258">
        <v>0</v>
      </c>
      <c r="J17" s="258">
        <v>0</v>
      </c>
      <c r="K17" s="255">
        <f t="shared" si="11"/>
        <v>0</v>
      </c>
      <c r="L17" s="255">
        <f t="shared" si="12"/>
        <v>0</v>
      </c>
      <c r="M17" s="255">
        <f t="shared" si="13"/>
        <v>0</v>
      </c>
      <c r="N17" s="255">
        <f t="shared" si="14"/>
        <v>0</v>
      </c>
      <c r="O17" s="255" t="str">
        <f t="shared" si="15"/>
        <v>ნულოვანი შესრულება</v>
      </c>
      <c r="P17" s="52"/>
      <c r="Q17" s="52"/>
      <c r="R17" s="52">
        <f t="shared" si="16"/>
        <v>0</v>
      </c>
      <c r="S17" s="52">
        <f t="shared" si="17"/>
        <v>0</v>
      </c>
      <c r="T17" s="52"/>
      <c r="U17" s="52"/>
      <c r="V17" s="52"/>
      <c r="W17" s="52"/>
      <c r="X17" s="52">
        <f t="shared" si="18"/>
        <v>0</v>
      </c>
      <c r="Y17" s="52">
        <f t="shared" si="18"/>
        <v>0</v>
      </c>
      <c r="Z17" s="52"/>
      <c r="AA17" s="52"/>
      <c r="AB17" s="52"/>
      <c r="AC17" s="52"/>
      <c r="AD17" s="52">
        <f t="shared" si="19"/>
        <v>0</v>
      </c>
      <c r="AE17" s="52">
        <f t="shared" si="19"/>
        <v>0</v>
      </c>
      <c r="AF17" s="52">
        <f t="shared" si="20"/>
        <v>0</v>
      </c>
      <c r="AG17" s="52">
        <f t="shared" si="21"/>
        <v>0</v>
      </c>
      <c r="AH17" s="52">
        <f t="shared" si="22"/>
        <v>0</v>
      </c>
      <c r="AI17" s="52">
        <f t="shared" si="23"/>
        <v>0</v>
      </c>
      <c r="AJ17" s="52">
        <f t="shared" si="24"/>
        <v>0</v>
      </c>
      <c r="AK17" s="52">
        <f t="shared" si="25"/>
        <v>0</v>
      </c>
      <c r="AL17" s="302"/>
      <c r="AM17" s="302"/>
      <c r="AN17" s="302"/>
      <c r="AO17" s="302"/>
      <c r="AP17" s="258">
        <f t="shared" si="26"/>
        <v>0</v>
      </c>
      <c r="AQ17" s="258">
        <f t="shared" si="26"/>
        <v>0</v>
      </c>
      <c r="AR17" s="302"/>
      <c r="AS17" s="302"/>
      <c r="AT17" s="302"/>
      <c r="AU17" s="302"/>
      <c r="AV17" s="258">
        <f t="shared" si="27"/>
        <v>0</v>
      </c>
      <c r="AW17" s="258">
        <f t="shared" si="27"/>
        <v>0</v>
      </c>
      <c r="AX17" s="302"/>
      <c r="AY17" s="302"/>
      <c r="AZ17" s="302"/>
      <c r="BA17" s="302"/>
      <c r="BB17" s="258">
        <f t="shared" si="28"/>
        <v>0</v>
      </c>
      <c r="BC17" s="258"/>
      <c r="BD17" s="258">
        <f t="shared" si="7"/>
        <v>0</v>
      </c>
      <c r="BE17" s="302"/>
      <c r="BF17" s="302"/>
      <c r="BG17" s="302"/>
      <c r="BH17" s="302"/>
      <c r="BI17" s="258">
        <f t="shared" si="29"/>
        <v>0</v>
      </c>
      <c r="BJ17" s="258"/>
      <c r="BK17" s="258">
        <f t="shared" si="8"/>
        <v>0</v>
      </c>
      <c r="BL17" s="302"/>
      <c r="BM17" s="302"/>
      <c r="BN17" s="302"/>
      <c r="BO17" s="302"/>
      <c r="BP17" s="258">
        <f t="shared" si="30"/>
        <v>0</v>
      </c>
      <c r="BQ17" s="258">
        <f t="shared" si="30"/>
        <v>0</v>
      </c>
      <c r="BR17" s="302"/>
      <c r="BS17" s="302"/>
      <c r="BT17" s="302"/>
      <c r="BU17" s="302"/>
      <c r="BV17" s="258">
        <f t="shared" si="31"/>
        <v>0</v>
      </c>
      <c r="BW17" s="258">
        <f t="shared" si="31"/>
        <v>0</v>
      </c>
      <c r="BX17" s="302"/>
      <c r="BY17" s="302"/>
      <c r="BZ17" s="302"/>
      <c r="CA17" s="302"/>
      <c r="CB17" s="258">
        <f t="shared" si="32"/>
        <v>0</v>
      </c>
      <c r="CC17" s="258">
        <f t="shared" si="32"/>
        <v>0</v>
      </c>
      <c r="CD17" s="302"/>
      <c r="CE17" s="302"/>
      <c r="CF17" s="302"/>
      <c r="CG17" s="302"/>
      <c r="CH17" s="258">
        <f t="shared" si="33"/>
        <v>0</v>
      </c>
      <c r="CI17" s="258">
        <f t="shared" si="33"/>
        <v>0</v>
      </c>
      <c r="CJ17" s="302"/>
      <c r="CK17" s="302"/>
      <c r="CL17" s="302"/>
      <c r="CM17" s="302"/>
      <c r="CN17" s="258">
        <f t="shared" si="34"/>
        <v>0</v>
      </c>
      <c r="CO17" s="258">
        <f t="shared" si="34"/>
        <v>0</v>
      </c>
      <c r="CP17" s="302"/>
      <c r="CQ17" s="302"/>
      <c r="CR17" s="302"/>
      <c r="CS17" s="302"/>
      <c r="CT17" s="258">
        <f t="shared" si="35"/>
        <v>0</v>
      </c>
      <c r="CU17" s="258">
        <f t="shared" si="35"/>
        <v>0</v>
      </c>
      <c r="CV17" s="302"/>
      <c r="CW17" s="302"/>
      <c r="CX17" s="302"/>
      <c r="CY17" s="302"/>
      <c r="CZ17" s="258">
        <f t="shared" si="36"/>
        <v>0</v>
      </c>
      <c r="DA17" s="258">
        <f t="shared" si="36"/>
        <v>0</v>
      </c>
      <c r="DB17" s="302"/>
      <c r="DC17" s="302"/>
      <c r="DD17" s="302"/>
      <c r="DE17" s="302"/>
      <c r="DF17" s="258">
        <f t="shared" si="37"/>
        <v>0</v>
      </c>
      <c r="DG17" s="258">
        <f t="shared" si="37"/>
        <v>0</v>
      </c>
      <c r="DH17" s="258">
        <f t="shared" si="38"/>
        <v>0</v>
      </c>
      <c r="DI17" s="258">
        <f t="shared" si="39"/>
        <v>0</v>
      </c>
      <c r="DJ17" s="258">
        <f t="shared" si="40"/>
        <v>0</v>
      </c>
      <c r="DK17" s="258">
        <f t="shared" si="41"/>
        <v>0</v>
      </c>
      <c r="DL17" s="258">
        <f t="shared" si="42"/>
        <v>0</v>
      </c>
      <c r="DM17" s="258">
        <f t="shared" si="43"/>
        <v>0</v>
      </c>
    </row>
    <row r="18" spans="1:117" s="61" customFormat="1">
      <c r="A18" s="68">
        <v>10</v>
      </c>
      <c r="B18" s="246" t="s">
        <v>386</v>
      </c>
      <c r="C18" s="246" t="s">
        <v>389</v>
      </c>
      <c r="D18" s="246" t="s">
        <v>390</v>
      </c>
      <c r="E18" s="245" t="s">
        <v>1164</v>
      </c>
      <c r="F18" s="161">
        <f t="shared" si="9"/>
        <v>0</v>
      </c>
      <c r="G18" s="165">
        <f t="shared" si="10"/>
        <v>12040</v>
      </c>
      <c r="H18" s="54"/>
      <c r="I18" s="219">
        <v>0</v>
      </c>
      <c r="J18" s="219">
        <v>0</v>
      </c>
      <c r="K18" s="127">
        <f t="shared" si="11"/>
        <v>12040</v>
      </c>
      <c r="L18" s="127">
        <f t="shared" si="12"/>
        <v>12040</v>
      </c>
      <c r="M18" s="127">
        <f t="shared" si="13"/>
        <v>12040</v>
      </c>
      <c r="N18" s="131">
        <f t="shared" si="14"/>
        <v>0</v>
      </c>
      <c r="O18" s="125">
        <f t="shared" si="15"/>
        <v>12040</v>
      </c>
      <c r="P18" s="52"/>
      <c r="Q18" s="52">
        <v>12040</v>
      </c>
      <c r="R18" s="52">
        <f t="shared" si="16"/>
        <v>0</v>
      </c>
      <c r="S18" s="52">
        <f t="shared" si="17"/>
        <v>12040</v>
      </c>
      <c r="T18" s="52"/>
      <c r="U18" s="52"/>
      <c r="V18" s="52"/>
      <c r="W18" s="52"/>
      <c r="X18" s="52">
        <f t="shared" si="18"/>
        <v>0</v>
      </c>
      <c r="Y18" s="52">
        <f t="shared" si="18"/>
        <v>0</v>
      </c>
      <c r="Z18" s="52"/>
      <c r="AA18" s="52"/>
      <c r="AB18" s="52"/>
      <c r="AC18" s="52"/>
      <c r="AD18" s="52">
        <f t="shared" si="19"/>
        <v>0</v>
      </c>
      <c r="AE18" s="52">
        <f t="shared" si="19"/>
        <v>0</v>
      </c>
      <c r="AF18" s="52">
        <f t="shared" si="20"/>
        <v>0</v>
      </c>
      <c r="AG18" s="52">
        <f t="shared" si="21"/>
        <v>0</v>
      </c>
      <c r="AH18" s="52">
        <f t="shared" si="22"/>
        <v>12040</v>
      </c>
      <c r="AI18" s="52">
        <f t="shared" si="23"/>
        <v>12040</v>
      </c>
      <c r="AJ18" s="52">
        <f t="shared" si="24"/>
        <v>12040</v>
      </c>
      <c r="AK18" s="52">
        <f t="shared" si="25"/>
        <v>12040</v>
      </c>
      <c r="AL18" s="58"/>
      <c r="AM18" s="58"/>
      <c r="AN18" s="58"/>
      <c r="AO18" s="58"/>
      <c r="AP18" s="52">
        <f t="shared" si="26"/>
        <v>0</v>
      </c>
      <c r="AQ18" s="52">
        <f t="shared" si="26"/>
        <v>0</v>
      </c>
      <c r="AR18" s="58"/>
      <c r="AS18" s="58"/>
      <c r="AT18" s="58"/>
      <c r="AU18" s="58"/>
      <c r="AV18" s="52">
        <f t="shared" si="27"/>
        <v>0</v>
      </c>
      <c r="AW18" s="52">
        <f t="shared" si="27"/>
        <v>0</v>
      </c>
      <c r="AX18" s="58"/>
      <c r="AY18" s="58"/>
      <c r="AZ18" s="58"/>
      <c r="BA18" s="58"/>
      <c r="BB18" s="52">
        <f t="shared" si="28"/>
        <v>0</v>
      </c>
      <c r="BC18" s="52"/>
      <c r="BD18" s="52">
        <f t="shared" si="7"/>
        <v>0</v>
      </c>
      <c r="BE18" s="58"/>
      <c r="BF18" s="58"/>
      <c r="BG18" s="58"/>
      <c r="BH18" s="58"/>
      <c r="BI18" s="52">
        <f t="shared" si="29"/>
        <v>0</v>
      </c>
      <c r="BJ18" s="52"/>
      <c r="BK18" s="52">
        <f t="shared" si="8"/>
        <v>0</v>
      </c>
      <c r="BL18" s="58"/>
      <c r="BM18" s="58"/>
      <c r="BN18" s="58"/>
      <c r="BO18" s="58"/>
      <c r="BP18" s="52">
        <f t="shared" si="30"/>
        <v>0</v>
      </c>
      <c r="BQ18" s="52">
        <f t="shared" si="30"/>
        <v>0</v>
      </c>
      <c r="BR18" s="58"/>
      <c r="BS18" s="58"/>
      <c r="BT18" s="58"/>
      <c r="BU18" s="58"/>
      <c r="BV18" s="52">
        <f t="shared" si="31"/>
        <v>0</v>
      </c>
      <c r="BW18" s="52">
        <f t="shared" si="31"/>
        <v>0</v>
      </c>
      <c r="BX18" s="58"/>
      <c r="BY18" s="58"/>
      <c r="BZ18" s="58"/>
      <c r="CA18" s="58"/>
      <c r="CB18" s="52">
        <f t="shared" si="32"/>
        <v>0</v>
      </c>
      <c r="CC18" s="52">
        <f t="shared" si="32"/>
        <v>0</v>
      </c>
      <c r="CD18" s="58"/>
      <c r="CE18" s="58"/>
      <c r="CF18" s="58"/>
      <c r="CG18" s="58"/>
      <c r="CH18" s="52">
        <f t="shared" si="33"/>
        <v>0</v>
      </c>
      <c r="CI18" s="52">
        <f t="shared" si="33"/>
        <v>0</v>
      </c>
      <c r="CJ18" s="58"/>
      <c r="CK18" s="58"/>
      <c r="CL18" s="58"/>
      <c r="CM18" s="58"/>
      <c r="CN18" s="52">
        <f t="shared" si="34"/>
        <v>0</v>
      </c>
      <c r="CO18" s="52">
        <f t="shared" si="34"/>
        <v>0</v>
      </c>
      <c r="CP18" s="58"/>
      <c r="CQ18" s="58"/>
      <c r="CR18" s="58"/>
      <c r="CS18" s="58"/>
      <c r="CT18" s="52">
        <f t="shared" si="35"/>
        <v>0</v>
      </c>
      <c r="CU18" s="52">
        <f t="shared" si="35"/>
        <v>0</v>
      </c>
      <c r="CV18" s="58"/>
      <c r="CW18" s="58"/>
      <c r="CX18" s="58"/>
      <c r="CY18" s="58"/>
      <c r="CZ18" s="52">
        <f t="shared" si="36"/>
        <v>0</v>
      </c>
      <c r="DA18" s="52">
        <f t="shared" si="36"/>
        <v>0</v>
      </c>
      <c r="DB18" s="58"/>
      <c r="DC18" s="58"/>
      <c r="DD18" s="58"/>
      <c r="DE18" s="58"/>
      <c r="DF18" s="52">
        <f t="shared" si="37"/>
        <v>0</v>
      </c>
      <c r="DG18" s="52">
        <f t="shared" si="37"/>
        <v>0</v>
      </c>
      <c r="DH18" s="52">
        <f t="shared" si="38"/>
        <v>0</v>
      </c>
      <c r="DI18" s="52">
        <f t="shared" si="39"/>
        <v>0</v>
      </c>
      <c r="DJ18" s="52">
        <f t="shared" si="40"/>
        <v>0</v>
      </c>
      <c r="DK18" s="52">
        <f t="shared" si="41"/>
        <v>0</v>
      </c>
      <c r="DL18" s="52">
        <f t="shared" si="42"/>
        <v>0</v>
      </c>
      <c r="DM18" s="52">
        <f t="shared" si="43"/>
        <v>0</v>
      </c>
    </row>
    <row r="19" spans="1:117" s="278" customFormat="1">
      <c r="A19" s="253">
        <v>11</v>
      </c>
      <c r="B19" s="254" t="s">
        <v>386</v>
      </c>
      <c r="C19" s="254" t="s">
        <v>401</v>
      </c>
      <c r="D19" s="254" t="s">
        <v>402</v>
      </c>
      <c r="E19" s="254" t="s">
        <v>1165</v>
      </c>
      <c r="F19" s="255">
        <f t="shared" si="9"/>
        <v>0</v>
      </c>
      <c r="G19" s="256">
        <f t="shared" si="10"/>
        <v>0</v>
      </c>
      <c r="H19" s="54">
        <v>160000</v>
      </c>
      <c r="I19" s="258">
        <v>0</v>
      </c>
      <c r="J19" s="258">
        <v>0</v>
      </c>
      <c r="K19" s="255">
        <f t="shared" si="11"/>
        <v>0</v>
      </c>
      <c r="L19" s="255">
        <f t="shared" si="12"/>
        <v>0</v>
      </c>
      <c r="M19" s="255">
        <f t="shared" si="13"/>
        <v>0</v>
      </c>
      <c r="N19" s="255">
        <f t="shared" si="14"/>
        <v>0</v>
      </c>
      <c r="O19" s="255" t="str">
        <f t="shared" si="15"/>
        <v>ნულოვანი შესრულება</v>
      </c>
      <c r="P19" s="52"/>
      <c r="Q19" s="52"/>
      <c r="R19" s="52">
        <f t="shared" si="16"/>
        <v>0</v>
      </c>
      <c r="S19" s="52">
        <f t="shared" si="17"/>
        <v>0</v>
      </c>
      <c r="T19" s="52"/>
      <c r="U19" s="52"/>
      <c r="V19" s="52"/>
      <c r="W19" s="52"/>
      <c r="X19" s="52">
        <f t="shared" si="18"/>
        <v>0</v>
      </c>
      <c r="Y19" s="52">
        <f t="shared" si="18"/>
        <v>0</v>
      </c>
      <c r="Z19" s="52"/>
      <c r="AA19" s="52"/>
      <c r="AB19" s="52"/>
      <c r="AC19" s="52"/>
      <c r="AD19" s="52">
        <f t="shared" si="19"/>
        <v>0</v>
      </c>
      <c r="AE19" s="52">
        <f t="shared" si="19"/>
        <v>0</v>
      </c>
      <c r="AF19" s="52">
        <f t="shared" si="20"/>
        <v>0</v>
      </c>
      <c r="AG19" s="52">
        <f t="shared" si="21"/>
        <v>0</v>
      </c>
      <c r="AH19" s="52">
        <f t="shared" si="22"/>
        <v>0</v>
      </c>
      <c r="AI19" s="52">
        <f t="shared" si="23"/>
        <v>0</v>
      </c>
      <c r="AJ19" s="52">
        <f t="shared" si="24"/>
        <v>0</v>
      </c>
      <c r="AK19" s="52">
        <f t="shared" si="25"/>
        <v>0</v>
      </c>
      <c r="AL19" s="258"/>
      <c r="AM19" s="258"/>
      <c r="AN19" s="258"/>
      <c r="AO19" s="258"/>
      <c r="AP19" s="258">
        <f t="shared" si="26"/>
        <v>0</v>
      </c>
      <c r="AQ19" s="258">
        <f t="shared" si="26"/>
        <v>0</v>
      </c>
      <c r="AR19" s="258"/>
      <c r="AS19" s="258"/>
      <c r="AT19" s="258"/>
      <c r="AU19" s="258"/>
      <c r="AV19" s="258">
        <f t="shared" si="27"/>
        <v>0</v>
      </c>
      <c r="AW19" s="258">
        <f t="shared" si="27"/>
        <v>0</v>
      </c>
      <c r="AX19" s="258"/>
      <c r="AY19" s="258"/>
      <c r="AZ19" s="258"/>
      <c r="BA19" s="258"/>
      <c r="BB19" s="258">
        <f t="shared" si="28"/>
        <v>0</v>
      </c>
      <c r="BC19" s="258"/>
      <c r="BD19" s="258">
        <f t="shared" si="7"/>
        <v>0</v>
      </c>
      <c r="BE19" s="258"/>
      <c r="BF19" s="258"/>
      <c r="BG19" s="258"/>
      <c r="BH19" s="258"/>
      <c r="BI19" s="258">
        <f t="shared" si="29"/>
        <v>0</v>
      </c>
      <c r="BJ19" s="258"/>
      <c r="BK19" s="258">
        <f t="shared" si="8"/>
        <v>0</v>
      </c>
      <c r="BL19" s="258"/>
      <c r="BM19" s="258"/>
      <c r="BN19" s="258"/>
      <c r="BO19" s="258"/>
      <c r="BP19" s="258">
        <f t="shared" si="30"/>
        <v>0</v>
      </c>
      <c r="BQ19" s="258">
        <f t="shared" si="30"/>
        <v>0</v>
      </c>
      <c r="BR19" s="258"/>
      <c r="BS19" s="258"/>
      <c r="BT19" s="258"/>
      <c r="BU19" s="258"/>
      <c r="BV19" s="258">
        <f t="shared" si="31"/>
        <v>0</v>
      </c>
      <c r="BW19" s="258">
        <f t="shared" si="31"/>
        <v>0</v>
      </c>
      <c r="BX19" s="258"/>
      <c r="BY19" s="258"/>
      <c r="BZ19" s="258"/>
      <c r="CA19" s="258"/>
      <c r="CB19" s="258">
        <f t="shared" si="32"/>
        <v>0</v>
      </c>
      <c r="CC19" s="258">
        <f t="shared" si="32"/>
        <v>0</v>
      </c>
      <c r="CD19" s="258"/>
      <c r="CE19" s="258"/>
      <c r="CF19" s="258"/>
      <c r="CG19" s="258"/>
      <c r="CH19" s="258">
        <f t="shared" si="33"/>
        <v>0</v>
      </c>
      <c r="CI19" s="258">
        <f t="shared" si="33"/>
        <v>0</v>
      </c>
      <c r="CJ19" s="258"/>
      <c r="CK19" s="258"/>
      <c r="CL19" s="258"/>
      <c r="CM19" s="258"/>
      <c r="CN19" s="258">
        <f t="shared" si="34"/>
        <v>0</v>
      </c>
      <c r="CO19" s="258">
        <f t="shared" si="34"/>
        <v>0</v>
      </c>
      <c r="CP19" s="258"/>
      <c r="CQ19" s="258"/>
      <c r="CR19" s="258"/>
      <c r="CS19" s="258"/>
      <c r="CT19" s="258">
        <f t="shared" si="35"/>
        <v>0</v>
      </c>
      <c r="CU19" s="258">
        <f t="shared" si="35"/>
        <v>0</v>
      </c>
      <c r="CV19" s="258"/>
      <c r="CW19" s="258"/>
      <c r="CX19" s="258"/>
      <c r="CY19" s="258"/>
      <c r="CZ19" s="258">
        <f t="shared" si="36"/>
        <v>0</v>
      </c>
      <c r="DA19" s="258">
        <f t="shared" si="36"/>
        <v>0</v>
      </c>
      <c r="DB19" s="258"/>
      <c r="DC19" s="258"/>
      <c r="DD19" s="258"/>
      <c r="DE19" s="258"/>
      <c r="DF19" s="258">
        <f t="shared" si="37"/>
        <v>0</v>
      </c>
      <c r="DG19" s="258">
        <f t="shared" si="37"/>
        <v>0</v>
      </c>
      <c r="DH19" s="258">
        <f t="shared" si="38"/>
        <v>0</v>
      </c>
      <c r="DI19" s="258">
        <f t="shared" si="39"/>
        <v>0</v>
      </c>
      <c r="DJ19" s="258">
        <f t="shared" si="40"/>
        <v>0</v>
      </c>
      <c r="DK19" s="258">
        <f t="shared" si="41"/>
        <v>0</v>
      </c>
      <c r="DL19" s="258">
        <f t="shared" si="42"/>
        <v>0</v>
      </c>
      <c r="DM19" s="258">
        <f t="shared" si="43"/>
        <v>0</v>
      </c>
    </row>
    <row r="20" spans="1:117" s="278" customFormat="1">
      <c r="A20" s="253">
        <v>12</v>
      </c>
      <c r="B20" s="254" t="s">
        <v>381</v>
      </c>
      <c r="C20" s="254" t="s">
        <v>403</v>
      </c>
      <c r="D20" s="254" t="s">
        <v>404</v>
      </c>
      <c r="E20" s="254" t="s">
        <v>1165</v>
      </c>
      <c r="F20" s="255">
        <f t="shared" si="9"/>
        <v>0</v>
      </c>
      <c r="G20" s="256">
        <f t="shared" si="10"/>
        <v>0</v>
      </c>
      <c r="H20" s="252">
        <v>20000</v>
      </c>
      <c r="I20" s="258">
        <v>0</v>
      </c>
      <c r="J20" s="258">
        <v>0</v>
      </c>
      <c r="K20" s="255">
        <f t="shared" si="11"/>
        <v>0</v>
      </c>
      <c r="L20" s="255">
        <f t="shared" si="12"/>
        <v>0</v>
      </c>
      <c r="M20" s="255">
        <f t="shared" si="13"/>
        <v>0</v>
      </c>
      <c r="N20" s="255">
        <f t="shared" si="14"/>
        <v>0</v>
      </c>
      <c r="O20" s="255" t="str">
        <f t="shared" si="15"/>
        <v>ნულოვანი შესრულება</v>
      </c>
      <c r="P20" s="52"/>
      <c r="Q20" s="52"/>
      <c r="R20" s="52">
        <f t="shared" si="16"/>
        <v>0</v>
      </c>
      <c r="S20" s="52">
        <f t="shared" si="17"/>
        <v>0</v>
      </c>
      <c r="T20" s="52"/>
      <c r="U20" s="52"/>
      <c r="V20" s="52"/>
      <c r="W20" s="52"/>
      <c r="X20" s="52">
        <f t="shared" si="18"/>
        <v>0</v>
      </c>
      <c r="Y20" s="52">
        <f t="shared" si="18"/>
        <v>0</v>
      </c>
      <c r="Z20" s="52"/>
      <c r="AA20" s="52"/>
      <c r="AB20" s="52"/>
      <c r="AC20" s="52"/>
      <c r="AD20" s="52">
        <f t="shared" si="19"/>
        <v>0</v>
      </c>
      <c r="AE20" s="52">
        <f t="shared" si="19"/>
        <v>0</v>
      </c>
      <c r="AF20" s="52">
        <f t="shared" si="20"/>
        <v>0</v>
      </c>
      <c r="AG20" s="52">
        <f t="shared" si="21"/>
        <v>0</v>
      </c>
      <c r="AH20" s="52">
        <f t="shared" si="22"/>
        <v>0</v>
      </c>
      <c r="AI20" s="52">
        <f t="shared" si="23"/>
        <v>0</v>
      </c>
      <c r="AJ20" s="52">
        <f t="shared" si="24"/>
        <v>0</v>
      </c>
      <c r="AK20" s="52">
        <f t="shared" si="25"/>
        <v>0</v>
      </c>
      <c r="AL20" s="301"/>
      <c r="AM20" s="301"/>
      <c r="AN20" s="301"/>
      <c r="AO20" s="301"/>
      <c r="AP20" s="258">
        <f t="shared" si="26"/>
        <v>0</v>
      </c>
      <c r="AQ20" s="258">
        <f t="shared" si="26"/>
        <v>0</v>
      </c>
      <c r="AR20" s="301"/>
      <c r="AS20" s="301"/>
      <c r="AT20" s="301"/>
      <c r="AU20" s="301"/>
      <c r="AV20" s="258">
        <f t="shared" si="27"/>
        <v>0</v>
      </c>
      <c r="AW20" s="258">
        <f t="shared" si="27"/>
        <v>0</v>
      </c>
      <c r="AX20" s="301"/>
      <c r="AY20" s="301"/>
      <c r="AZ20" s="301"/>
      <c r="BA20" s="301"/>
      <c r="BB20" s="258">
        <f t="shared" si="28"/>
        <v>0</v>
      </c>
      <c r="BC20" s="258"/>
      <c r="BD20" s="258">
        <f t="shared" si="7"/>
        <v>0</v>
      </c>
      <c r="BE20" s="301"/>
      <c r="BF20" s="301"/>
      <c r="BG20" s="301"/>
      <c r="BH20" s="301"/>
      <c r="BI20" s="258">
        <f t="shared" si="29"/>
        <v>0</v>
      </c>
      <c r="BJ20" s="258"/>
      <c r="BK20" s="258">
        <f t="shared" si="8"/>
        <v>0</v>
      </c>
      <c r="BL20" s="301"/>
      <c r="BM20" s="301"/>
      <c r="BN20" s="301"/>
      <c r="BO20" s="301"/>
      <c r="BP20" s="258">
        <f t="shared" si="30"/>
        <v>0</v>
      </c>
      <c r="BQ20" s="258">
        <f t="shared" si="30"/>
        <v>0</v>
      </c>
      <c r="BR20" s="301"/>
      <c r="BS20" s="301"/>
      <c r="BT20" s="301"/>
      <c r="BU20" s="301"/>
      <c r="BV20" s="258">
        <f t="shared" si="31"/>
        <v>0</v>
      </c>
      <c r="BW20" s="258">
        <f t="shared" si="31"/>
        <v>0</v>
      </c>
      <c r="BX20" s="301"/>
      <c r="BY20" s="301"/>
      <c r="BZ20" s="301"/>
      <c r="CA20" s="301"/>
      <c r="CB20" s="258">
        <f t="shared" si="32"/>
        <v>0</v>
      </c>
      <c r="CC20" s="258">
        <f t="shared" si="32"/>
        <v>0</v>
      </c>
      <c r="CD20" s="301"/>
      <c r="CE20" s="301"/>
      <c r="CF20" s="301"/>
      <c r="CG20" s="301"/>
      <c r="CH20" s="258">
        <f t="shared" si="33"/>
        <v>0</v>
      </c>
      <c r="CI20" s="258">
        <f t="shared" si="33"/>
        <v>0</v>
      </c>
      <c r="CJ20" s="301"/>
      <c r="CK20" s="301"/>
      <c r="CL20" s="301"/>
      <c r="CM20" s="301"/>
      <c r="CN20" s="258">
        <f t="shared" si="34"/>
        <v>0</v>
      </c>
      <c r="CO20" s="258">
        <f t="shared" si="34"/>
        <v>0</v>
      </c>
      <c r="CP20" s="301"/>
      <c r="CQ20" s="301"/>
      <c r="CR20" s="301"/>
      <c r="CS20" s="301"/>
      <c r="CT20" s="258">
        <f t="shared" si="35"/>
        <v>0</v>
      </c>
      <c r="CU20" s="258">
        <f t="shared" si="35"/>
        <v>0</v>
      </c>
      <c r="CV20" s="301"/>
      <c r="CW20" s="301"/>
      <c r="CX20" s="301"/>
      <c r="CY20" s="301"/>
      <c r="CZ20" s="258">
        <f t="shared" si="36"/>
        <v>0</v>
      </c>
      <c r="DA20" s="258">
        <f t="shared" si="36"/>
        <v>0</v>
      </c>
      <c r="DB20" s="301"/>
      <c r="DC20" s="301"/>
      <c r="DD20" s="301"/>
      <c r="DE20" s="301"/>
      <c r="DF20" s="258">
        <f t="shared" si="37"/>
        <v>0</v>
      </c>
      <c r="DG20" s="258">
        <f t="shared" si="37"/>
        <v>0</v>
      </c>
      <c r="DH20" s="258">
        <f t="shared" si="38"/>
        <v>0</v>
      </c>
      <c r="DI20" s="258">
        <f t="shared" si="39"/>
        <v>0</v>
      </c>
      <c r="DJ20" s="258">
        <f t="shared" si="40"/>
        <v>0</v>
      </c>
      <c r="DK20" s="258">
        <f t="shared" si="41"/>
        <v>0</v>
      </c>
      <c r="DL20" s="258">
        <f t="shared" si="42"/>
        <v>0</v>
      </c>
      <c r="DM20" s="258">
        <f t="shared" si="43"/>
        <v>0</v>
      </c>
    </row>
    <row r="21" spans="1:117" s="61" customFormat="1">
      <c r="A21" s="68">
        <v>13</v>
      </c>
      <c r="B21" s="246" t="s">
        <v>381</v>
      </c>
      <c r="C21" s="246" t="s">
        <v>384</v>
      </c>
      <c r="D21" s="246" t="s">
        <v>385</v>
      </c>
      <c r="E21" s="245" t="s">
        <v>1164</v>
      </c>
      <c r="F21" s="161">
        <f t="shared" si="9"/>
        <v>0</v>
      </c>
      <c r="G21" s="165">
        <f t="shared" si="10"/>
        <v>41288</v>
      </c>
      <c r="H21" s="54">
        <v>0</v>
      </c>
      <c r="I21" s="219">
        <v>0</v>
      </c>
      <c r="J21" s="219">
        <v>0</v>
      </c>
      <c r="K21" s="127">
        <f t="shared" si="11"/>
        <v>41288</v>
      </c>
      <c r="L21" s="127">
        <f t="shared" si="12"/>
        <v>41288</v>
      </c>
      <c r="M21" s="127">
        <f t="shared" si="13"/>
        <v>41288</v>
      </c>
      <c r="N21" s="131">
        <f t="shared" si="14"/>
        <v>0</v>
      </c>
      <c r="O21" s="125">
        <f t="shared" si="15"/>
        <v>41288</v>
      </c>
      <c r="P21" s="52"/>
      <c r="Q21" s="52">
        <v>32144.25</v>
      </c>
      <c r="R21" s="52">
        <f t="shared" si="16"/>
        <v>0</v>
      </c>
      <c r="S21" s="52">
        <f t="shared" si="17"/>
        <v>32144.25</v>
      </c>
      <c r="T21" s="52"/>
      <c r="U21" s="52"/>
      <c r="V21" s="52">
        <v>3000</v>
      </c>
      <c r="W21" s="52">
        <v>2754.5</v>
      </c>
      <c r="X21" s="52">
        <f t="shared" si="18"/>
        <v>3000</v>
      </c>
      <c r="Y21" s="52">
        <f t="shared" si="18"/>
        <v>2754.5</v>
      </c>
      <c r="Z21" s="52"/>
      <c r="AA21" s="52"/>
      <c r="AB21" s="52">
        <v>8596</v>
      </c>
      <c r="AC21" s="52">
        <f>1148+171.5+364+2296+2409.75</f>
        <v>6389.25</v>
      </c>
      <c r="AD21" s="52">
        <f t="shared" si="19"/>
        <v>8596</v>
      </c>
      <c r="AE21" s="52">
        <f t="shared" si="19"/>
        <v>6389.25</v>
      </c>
      <c r="AF21" s="52">
        <f t="shared" si="20"/>
        <v>0</v>
      </c>
      <c r="AG21" s="52">
        <f t="shared" si="21"/>
        <v>0</v>
      </c>
      <c r="AH21" s="52">
        <f t="shared" si="22"/>
        <v>43740.25</v>
      </c>
      <c r="AI21" s="52">
        <f t="shared" si="23"/>
        <v>41288</v>
      </c>
      <c r="AJ21" s="52">
        <f t="shared" si="24"/>
        <v>43740.25</v>
      </c>
      <c r="AK21" s="52">
        <f t="shared" si="25"/>
        <v>41288</v>
      </c>
      <c r="AL21" s="52"/>
      <c r="AM21" s="52"/>
      <c r="AN21" s="52"/>
      <c r="AO21" s="52"/>
      <c r="AP21" s="52">
        <f t="shared" si="26"/>
        <v>0</v>
      </c>
      <c r="AQ21" s="52">
        <f t="shared" si="26"/>
        <v>0</v>
      </c>
      <c r="AR21" s="52"/>
      <c r="AS21" s="52"/>
      <c r="AT21" s="52"/>
      <c r="AU21" s="52"/>
      <c r="AV21" s="52">
        <f t="shared" si="27"/>
        <v>0</v>
      </c>
      <c r="AW21" s="52">
        <f t="shared" si="27"/>
        <v>0</v>
      </c>
      <c r="AX21" s="52"/>
      <c r="AY21" s="52"/>
      <c r="AZ21" s="52"/>
      <c r="BA21" s="52"/>
      <c r="BB21" s="52">
        <f t="shared" si="28"/>
        <v>0</v>
      </c>
      <c r="BC21" s="52"/>
      <c r="BD21" s="52">
        <f t="shared" si="7"/>
        <v>0</v>
      </c>
      <c r="BE21" s="52"/>
      <c r="BF21" s="52"/>
      <c r="BG21" s="52"/>
      <c r="BH21" s="52"/>
      <c r="BI21" s="52">
        <f t="shared" si="29"/>
        <v>0</v>
      </c>
      <c r="BJ21" s="52"/>
      <c r="BK21" s="52">
        <f t="shared" si="8"/>
        <v>0</v>
      </c>
      <c r="BL21" s="52"/>
      <c r="BM21" s="52"/>
      <c r="BN21" s="52"/>
      <c r="BO21" s="52"/>
      <c r="BP21" s="52">
        <f t="shared" si="30"/>
        <v>0</v>
      </c>
      <c r="BQ21" s="52">
        <f t="shared" si="30"/>
        <v>0</v>
      </c>
      <c r="BR21" s="52"/>
      <c r="BS21" s="52"/>
      <c r="BT21" s="52"/>
      <c r="BU21" s="52"/>
      <c r="BV21" s="52">
        <f t="shared" si="31"/>
        <v>0</v>
      </c>
      <c r="BW21" s="52">
        <f t="shared" si="31"/>
        <v>0</v>
      </c>
      <c r="BX21" s="52"/>
      <c r="BY21" s="52"/>
      <c r="BZ21" s="52"/>
      <c r="CA21" s="52"/>
      <c r="CB21" s="52">
        <f t="shared" si="32"/>
        <v>0</v>
      </c>
      <c r="CC21" s="52">
        <f t="shared" si="32"/>
        <v>0</v>
      </c>
      <c r="CD21" s="52"/>
      <c r="CE21" s="52"/>
      <c r="CF21" s="52"/>
      <c r="CG21" s="52"/>
      <c r="CH21" s="52">
        <f t="shared" si="33"/>
        <v>0</v>
      </c>
      <c r="CI21" s="52">
        <f t="shared" si="33"/>
        <v>0</v>
      </c>
      <c r="CJ21" s="52"/>
      <c r="CK21" s="52"/>
      <c r="CL21" s="52"/>
      <c r="CM21" s="52"/>
      <c r="CN21" s="52">
        <f t="shared" si="34"/>
        <v>0</v>
      </c>
      <c r="CO21" s="52">
        <f t="shared" si="34"/>
        <v>0</v>
      </c>
      <c r="CP21" s="52"/>
      <c r="CQ21" s="52"/>
      <c r="CR21" s="52"/>
      <c r="CS21" s="52"/>
      <c r="CT21" s="52">
        <f t="shared" si="35"/>
        <v>0</v>
      </c>
      <c r="CU21" s="52">
        <f t="shared" si="35"/>
        <v>0</v>
      </c>
      <c r="CV21" s="52"/>
      <c r="CW21" s="52"/>
      <c r="CX21" s="52"/>
      <c r="CY21" s="52"/>
      <c r="CZ21" s="52">
        <f t="shared" si="36"/>
        <v>0</v>
      </c>
      <c r="DA21" s="52">
        <f t="shared" si="36"/>
        <v>0</v>
      </c>
      <c r="DB21" s="52"/>
      <c r="DC21" s="52"/>
      <c r="DD21" s="52"/>
      <c r="DE21" s="52"/>
      <c r="DF21" s="52">
        <f t="shared" si="37"/>
        <v>0</v>
      </c>
      <c r="DG21" s="52">
        <f t="shared" si="37"/>
        <v>0</v>
      </c>
      <c r="DH21" s="52">
        <f t="shared" si="38"/>
        <v>0</v>
      </c>
      <c r="DI21" s="52">
        <f t="shared" si="39"/>
        <v>0</v>
      </c>
      <c r="DJ21" s="52">
        <f t="shared" si="40"/>
        <v>0</v>
      </c>
      <c r="DK21" s="52">
        <f t="shared" si="41"/>
        <v>0</v>
      </c>
      <c r="DL21" s="52">
        <f t="shared" si="42"/>
        <v>0</v>
      </c>
      <c r="DM21" s="52">
        <f t="shared" si="43"/>
        <v>0</v>
      </c>
    </row>
    <row r="22" spans="1:117" s="278" customFormat="1">
      <c r="A22" s="253">
        <v>14</v>
      </c>
      <c r="B22" s="254" t="s">
        <v>381</v>
      </c>
      <c r="C22" s="254" t="s">
        <v>405</v>
      </c>
      <c r="D22" s="254" t="s">
        <v>406</v>
      </c>
      <c r="E22" s="254" t="s">
        <v>1165</v>
      </c>
      <c r="F22" s="255">
        <f t="shared" si="9"/>
        <v>0</v>
      </c>
      <c r="G22" s="256">
        <f t="shared" si="10"/>
        <v>0</v>
      </c>
      <c r="H22" s="54">
        <v>8000</v>
      </c>
      <c r="I22" s="258">
        <v>0</v>
      </c>
      <c r="J22" s="258">
        <v>0</v>
      </c>
      <c r="K22" s="255">
        <f t="shared" si="11"/>
        <v>0</v>
      </c>
      <c r="L22" s="255">
        <f t="shared" si="12"/>
        <v>0</v>
      </c>
      <c r="M22" s="255">
        <f t="shared" si="13"/>
        <v>0</v>
      </c>
      <c r="N22" s="255">
        <f t="shared" si="14"/>
        <v>0</v>
      </c>
      <c r="O22" s="255" t="str">
        <f t="shared" si="15"/>
        <v>ნულოვანი შესრულება</v>
      </c>
      <c r="P22" s="52"/>
      <c r="Q22" s="52"/>
      <c r="R22" s="52">
        <f t="shared" si="16"/>
        <v>0</v>
      </c>
      <c r="S22" s="52">
        <f t="shared" si="17"/>
        <v>0</v>
      </c>
      <c r="T22" s="52"/>
      <c r="U22" s="52"/>
      <c r="V22" s="52"/>
      <c r="W22" s="52"/>
      <c r="X22" s="52">
        <f t="shared" si="18"/>
        <v>0</v>
      </c>
      <c r="Y22" s="52">
        <f t="shared" si="18"/>
        <v>0</v>
      </c>
      <c r="Z22" s="52"/>
      <c r="AA22" s="52"/>
      <c r="AB22" s="52"/>
      <c r="AC22" s="52"/>
      <c r="AD22" s="52">
        <f t="shared" si="19"/>
        <v>0</v>
      </c>
      <c r="AE22" s="52">
        <f t="shared" si="19"/>
        <v>0</v>
      </c>
      <c r="AF22" s="52">
        <f t="shared" si="20"/>
        <v>0</v>
      </c>
      <c r="AG22" s="52">
        <f t="shared" si="21"/>
        <v>0</v>
      </c>
      <c r="AH22" s="52">
        <f t="shared" si="22"/>
        <v>0</v>
      </c>
      <c r="AI22" s="52">
        <f t="shared" si="23"/>
        <v>0</v>
      </c>
      <c r="AJ22" s="52">
        <f t="shared" si="24"/>
        <v>0</v>
      </c>
      <c r="AK22" s="52">
        <f t="shared" si="25"/>
        <v>0</v>
      </c>
      <c r="AL22" s="258"/>
      <c r="AM22" s="258"/>
      <c r="AN22" s="258"/>
      <c r="AO22" s="258"/>
      <c r="AP22" s="258">
        <f t="shared" si="26"/>
        <v>0</v>
      </c>
      <c r="AQ22" s="258">
        <f t="shared" si="26"/>
        <v>0</v>
      </c>
      <c r="AR22" s="258"/>
      <c r="AS22" s="258"/>
      <c r="AT22" s="258"/>
      <c r="AU22" s="258"/>
      <c r="AV22" s="258">
        <f t="shared" si="27"/>
        <v>0</v>
      </c>
      <c r="AW22" s="258">
        <f t="shared" si="27"/>
        <v>0</v>
      </c>
      <c r="AX22" s="258"/>
      <c r="AY22" s="258"/>
      <c r="AZ22" s="258"/>
      <c r="BA22" s="258"/>
      <c r="BB22" s="258">
        <f t="shared" si="28"/>
        <v>0</v>
      </c>
      <c r="BC22" s="258"/>
      <c r="BD22" s="258">
        <f t="shared" si="7"/>
        <v>0</v>
      </c>
      <c r="BE22" s="258"/>
      <c r="BF22" s="258"/>
      <c r="BG22" s="258"/>
      <c r="BH22" s="258"/>
      <c r="BI22" s="258">
        <f t="shared" si="29"/>
        <v>0</v>
      </c>
      <c r="BJ22" s="258"/>
      <c r="BK22" s="258">
        <f t="shared" si="8"/>
        <v>0</v>
      </c>
      <c r="BL22" s="258"/>
      <c r="BM22" s="258"/>
      <c r="BN22" s="258"/>
      <c r="BO22" s="258"/>
      <c r="BP22" s="258">
        <f t="shared" si="30"/>
        <v>0</v>
      </c>
      <c r="BQ22" s="258">
        <f t="shared" si="30"/>
        <v>0</v>
      </c>
      <c r="BR22" s="258"/>
      <c r="BS22" s="258"/>
      <c r="BT22" s="258"/>
      <c r="BU22" s="258"/>
      <c r="BV22" s="258">
        <f t="shared" si="31"/>
        <v>0</v>
      </c>
      <c r="BW22" s="258">
        <f t="shared" si="31"/>
        <v>0</v>
      </c>
      <c r="BX22" s="258"/>
      <c r="BY22" s="258"/>
      <c r="BZ22" s="258"/>
      <c r="CA22" s="258"/>
      <c r="CB22" s="258">
        <f t="shared" si="32"/>
        <v>0</v>
      </c>
      <c r="CC22" s="258">
        <f t="shared" si="32"/>
        <v>0</v>
      </c>
      <c r="CD22" s="258"/>
      <c r="CE22" s="258"/>
      <c r="CF22" s="258"/>
      <c r="CG22" s="258"/>
      <c r="CH22" s="258">
        <f t="shared" si="33"/>
        <v>0</v>
      </c>
      <c r="CI22" s="258">
        <f t="shared" si="33"/>
        <v>0</v>
      </c>
      <c r="CJ22" s="258"/>
      <c r="CK22" s="258"/>
      <c r="CL22" s="258"/>
      <c r="CM22" s="258"/>
      <c r="CN22" s="258">
        <f t="shared" si="34"/>
        <v>0</v>
      </c>
      <c r="CO22" s="258">
        <f t="shared" si="34"/>
        <v>0</v>
      </c>
      <c r="CP22" s="258"/>
      <c r="CQ22" s="258"/>
      <c r="CR22" s="258"/>
      <c r="CS22" s="258"/>
      <c r="CT22" s="258">
        <f t="shared" si="35"/>
        <v>0</v>
      </c>
      <c r="CU22" s="258">
        <f t="shared" si="35"/>
        <v>0</v>
      </c>
      <c r="CV22" s="258"/>
      <c r="CW22" s="258"/>
      <c r="CX22" s="258"/>
      <c r="CY22" s="258"/>
      <c r="CZ22" s="258">
        <f t="shared" si="36"/>
        <v>0</v>
      </c>
      <c r="DA22" s="258">
        <f t="shared" si="36"/>
        <v>0</v>
      </c>
      <c r="DB22" s="258"/>
      <c r="DC22" s="258"/>
      <c r="DD22" s="258"/>
      <c r="DE22" s="258"/>
      <c r="DF22" s="258">
        <f t="shared" si="37"/>
        <v>0</v>
      </c>
      <c r="DG22" s="258">
        <f t="shared" si="37"/>
        <v>0</v>
      </c>
      <c r="DH22" s="258">
        <f t="shared" si="38"/>
        <v>0</v>
      </c>
      <c r="DI22" s="258">
        <f t="shared" si="39"/>
        <v>0</v>
      </c>
      <c r="DJ22" s="258">
        <f t="shared" si="40"/>
        <v>0</v>
      </c>
      <c r="DK22" s="258">
        <f t="shared" si="41"/>
        <v>0</v>
      </c>
      <c r="DL22" s="258">
        <f t="shared" si="42"/>
        <v>0</v>
      </c>
      <c r="DM22" s="258">
        <f t="shared" si="43"/>
        <v>0</v>
      </c>
    </row>
    <row r="23" spans="1:117" s="278" customFormat="1">
      <c r="A23" s="253">
        <v>15</v>
      </c>
      <c r="B23" s="254" t="s">
        <v>381</v>
      </c>
      <c r="C23" s="254" t="s">
        <v>407</v>
      </c>
      <c r="D23" s="254" t="s">
        <v>408</v>
      </c>
      <c r="E23" s="254" t="s">
        <v>1165</v>
      </c>
      <c r="F23" s="255">
        <f t="shared" si="9"/>
        <v>0</v>
      </c>
      <c r="G23" s="256">
        <f t="shared" si="10"/>
        <v>0</v>
      </c>
      <c r="H23" s="54">
        <v>10000</v>
      </c>
      <c r="I23" s="258">
        <v>0</v>
      </c>
      <c r="J23" s="258">
        <v>0</v>
      </c>
      <c r="K23" s="255">
        <f t="shared" si="11"/>
        <v>0</v>
      </c>
      <c r="L23" s="255">
        <f t="shared" si="12"/>
        <v>0</v>
      </c>
      <c r="M23" s="255">
        <f t="shared" si="13"/>
        <v>0</v>
      </c>
      <c r="N23" s="255">
        <f t="shared" si="14"/>
        <v>0</v>
      </c>
      <c r="O23" s="255" t="str">
        <f t="shared" si="15"/>
        <v>ნულოვანი შესრულება</v>
      </c>
      <c r="P23" s="52"/>
      <c r="Q23" s="52"/>
      <c r="R23" s="52">
        <f t="shared" si="16"/>
        <v>0</v>
      </c>
      <c r="S23" s="52">
        <f t="shared" si="17"/>
        <v>0</v>
      </c>
      <c r="T23" s="52"/>
      <c r="U23" s="52"/>
      <c r="V23" s="52"/>
      <c r="W23" s="52"/>
      <c r="X23" s="52">
        <f t="shared" si="18"/>
        <v>0</v>
      </c>
      <c r="Y23" s="52">
        <f t="shared" si="18"/>
        <v>0</v>
      </c>
      <c r="Z23" s="52"/>
      <c r="AA23" s="52"/>
      <c r="AB23" s="52"/>
      <c r="AC23" s="52"/>
      <c r="AD23" s="52">
        <f t="shared" si="19"/>
        <v>0</v>
      </c>
      <c r="AE23" s="52">
        <f t="shared" si="19"/>
        <v>0</v>
      </c>
      <c r="AF23" s="52">
        <f t="shared" si="20"/>
        <v>0</v>
      </c>
      <c r="AG23" s="52">
        <f t="shared" si="21"/>
        <v>0</v>
      </c>
      <c r="AH23" s="52">
        <f t="shared" si="22"/>
        <v>0</v>
      </c>
      <c r="AI23" s="52">
        <f t="shared" si="23"/>
        <v>0</v>
      </c>
      <c r="AJ23" s="52">
        <f t="shared" si="24"/>
        <v>0</v>
      </c>
      <c r="AK23" s="52">
        <f t="shared" si="25"/>
        <v>0</v>
      </c>
      <c r="AL23" s="302"/>
      <c r="AM23" s="302"/>
      <c r="AN23" s="302"/>
      <c r="AO23" s="302"/>
      <c r="AP23" s="258">
        <f t="shared" si="26"/>
        <v>0</v>
      </c>
      <c r="AQ23" s="258">
        <f t="shared" si="26"/>
        <v>0</v>
      </c>
      <c r="AR23" s="302"/>
      <c r="AS23" s="302"/>
      <c r="AT23" s="302"/>
      <c r="AU23" s="302"/>
      <c r="AV23" s="258">
        <f t="shared" si="27"/>
        <v>0</v>
      </c>
      <c r="AW23" s="258">
        <f t="shared" si="27"/>
        <v>0</v>
      </c>
      <c r="AX23" s="302"/>
      <c r="AY23" s="302"/>
      <c r="AZ23" s="302"/>
      <c r="BA23" s="302"/>
      <c r="BB23" s="258">
        <f t="shared" si="28"/>
        <v>0</v>
      </c>
      <c r="BC23" s="258"/>
      <c r="BD23" s="258">
        <f t="shared" si="7"/>
        <v>0</v>
      </c>
      <c r="BE23" s="302"/>
      <c r="BF23" s="302"/>
      <c r="BG23" s="302"/>
      <c r="BH23" s="302"/>
      <c r="BI23" s="258">
        <f t="shared" si="29"/>
        <v>0</v>
      </c>
      <c r="BJ23" s="258"/>
      <c r="BK23" s="258">
        <f t="shared" si="8"/>
        <v>0</v>
      </c>
      <c r="BL23" s="302"/>
      <c r="BM23" s="302"/>
      <c r="BN23" s="302"/>
      <c r="BO23" s="302"/>
      <c r="BP23" s="258">
        <f t="shared" si="30"/>
        <v>0</v>
      </c>
      <c r="BQ23" s="258">
        <f t="shared" si="30"/>
        <v>0</v>
      </c>
      <c r="BR23" s="302"/>
      <c r="BS23" s="302"/>
      <c r="BT23" s="302"/>
      <c r="BU23" s="302"/>
      <c r="BV23" s="258">
        <f t="shared" si="31"/>
        <v>0</v>
      </c>
      <c r="BW23" s="258">
        <f t="shared" si="31"/>
        <v>0</v>
      </c>
      <c r="BX23" s="302"/>
      <c r="BY23" s="302"/>
      <c r="BZ23" s="302"/>
      <c r="CA23" s="302"/>
      <c r="CB23" s="258">
        <f t="shared" si="32"/>
        <v>0</v>
      </c>
      <c r="CC23" s="258">
        <f t="shared" si="32"/>
        <v>0</v>
      </c>
      <c r="CD23" s="302"/>
      <c r="CE23" s="302"/>
      <c r="CF23" s="302"/>
      <c r="CG23" s="302"/>
      <c r="CH23" s="258">
        <f t="shared" si="33"/>
        <v>0</v>
      </c>
      <c r="CI23" s="258">
        <f t="shared" si="33"/>
        <v>0</v>
      </c>
      <c r="CJ23" s="302"/>
      <c r="CK23" s="302"/>
      <c r="CL23" s="302"/>
      <c r="CM23" s="302"/>
      <c r="CN23" s="258">
        <f t="shared" si="34"/>
        <v>0</v>
      </c>
      <c r="CO23" s="258">
        <f t="shared" si="34"/>
        <v>0</v>
      </c>
      <c r="CP23" s="302"/>
      <c r="CQ23" s="302"/>
      <c r="CR23" s="302"/>
      <c r="CS23" s="302"/>
      <c r="CT23" s="258">
        <f t="shared" si="35"/>
        <v>0</v>
      </c>
      <c r="CU23" s="258">
        <f t="shared" si="35"/>
        <v>0</v>
      </c>
      <c r="CV23" s="302"/>
      <c r="CW23" s="302"/>
      <c r="CX23" s="302"/>
      <c r="CY23" s="302"/>
      <c r="CZ23" s="258">
        <f t="shared" si="36"/>
        <v>0</v>
      </c>
      <c r="DA23" s="258">
        <f t="shared" si="36"/>
        <v>0</v>
      </c>
      <c r="DB23" s="302"/>
      <c r="DC23" s="302"/>
      <c r="DD23" s="302"/>
      <c r="DE23" s="302"/>
      <c r="DF23" s="258">
        <f t="shared" si="37"/>
        <v>0</v>
      </c>
      <c r="DG23" s="258">
        <f t="shared" si="37"/>
        <v>0</v>
      </c>
      <c r="DH23" s="258">
        <f t="shared" si="38"/>
        <v>0</v>
      </c>
      <c r="DI23" s="258">
        <f t="shared" si="39"/>
        <v>0</v>
      </c>
      <c r="DJ23" s="258">
        <f t="shared" si="40"/>
        <v>0</v>
      </c>
      <c r="DK23" s="258">
        <f t="shared" si="41"/>
        <v>0</v>
      </c>
      <c r="DL23" s="258">
        <f t="shared" si="42"/>
        <v>0</v>
      </c>
      <c r="DM23" s="258">
        <f t="shared" si="43"/>
        <v>0</v>
      </c>
    </row>
    <row r="24" spans="1:117" s="278" customFormat="1">
      <c r="A24" s="253">
        <v>16</v>
      </c>
      <c r="B24" s="254" t="s">
        <v>386</v>
      </c>
      <c r="C24" s="254" t="s">
        <v>409</v>
      </c>
      <c r="D24" s="254" t="s">
        <v>410</v>
      </c>
      <c r="E24" s="254" t="s">
        <v>1165</v>
      </c>
      <c r="F24" s="255">
        <f t="shared" si="9"/>
        <v>0</v>
      </c>
      <c r="G24" s="256">
        <f t="shared" si="10"/>
        <v>0</v>
      </c>
      <c r="H24" s="54">
        <v>20000</v>
      </c>
      <c r="I24" s="258">
        <v>0</v>
      </c>
      <c r="J24" s="258">
        <v>0</v>
      </c>
      <c r="K24" s="255">
        <f t="shared" si="11"/>
        <v>0</v>
      </c>
      <c r="L24" s="255">
        <f t="shared" si="12"/>
        <v>0</v>
      </c>
      <c r="M24" s="255">
        <f t="shared" si="13"/>
        <v>0</v>
      </c>
      <c r="N24" s="255">
        <f t="shared" si="14"/>
        <v>0</v>
      </c>
      <c r="O24" s="255" t="str">
        <f t="shared" si="15"/>
        <v>ნულოვანი შესრულება</v>
      </c>
      <c r="P24" s="52"/>
      <c r="Q24" s="52"/>
      <c r="R24" s="52">
        <f t="shared" si="16"/>
        <v>0</v>
      </c>
      <c r="S24" s="52">
        <f t="shared" si="17"/>
        <v>0</v>
      </c>
      <c r="T24" s="52"/>
      <c r="U24" s="52"/>
      <c r="V24" s="52"/>
      <c r="W24" s="52"/>
      <c r="X24" s="52">
        <f t="shared" si="18"/>
        <v>0</v>
      </c>
      <c r="Y24" s="52">
        <f t="shared" si="18"/>
        <v>0</v>
      </c>
      <c r="Z24" s="52"/>
      <c r="AA24" s="52"/>
      <c r="AB24" s="52"/>
      <c r="AC24" s="52"/>
      <c r="AD24" s="52">
        <f t="shared" si="19"/>
        <v>0</v>
      </c>
      <c r="AE24" s="52">
        <f t="shared" si="19"/>
        <v>0</v>
      </c>
      <c r="AF24" s="52">
        <f t="shared" si="20"/>
        <v>0</v>
      </c>
      <c r="AG24" s="52">
        <f t="shared" si="21"/>
        <v>0</v>
      </c>
      <c r="AH24" s="52">
        <f t="shared" si="22"/>
        <v>0</v>
      </c>
      <c r="AI24" s="52">
        <f t="shared" si="23"/>
        <v>0</v>
      </c>
      <c r="AJ24" s="52">
        <f t="shared" si="24"/>
        <v>0</v>
      </c>
      <c r="AK24" s="52">
        <f t="shared" si="25"/>
        <v>0</v>
      </c>
      <c r="AL24" s="258"/>
      <c r="AM24" s="258"/>
      <c r="AN24" s="258"/>
      <c r="AO24" s="258"/>
      <c r="AP24" s="258">
        <f t="shared" si="26"/>
        <v>0</v>
      </c>
      <c r="AQ24" s="258">
        <f t="shared" si="26"/>
        <v>0</v>
      </c>
      <c r="AR24" s="258"/>
      <c r="AS24" s="258"/>
      <c r="AT24" s="258"/>
      <c r="AU24" s="258"/>
      <c r="AV24" s="258">
        <f t="shared" si="27"/>
        <v>0</v>
      </c>
      <c r="AW24" s="258">
        <f t="shared" si="27"/>
        <v>0</v>
      </c>
      <c r="AX24" s="258"/>
      <c r="AY24" s="258"/>
      <c r="AZ24" s="258"/>
      <c r="BA24" s="258"/>
      <c r="BB24" s="258">
        <f t="shared" si="28"/>
        <v>0</v>
      </c>
      <c r="BC24" s="258"/>
      <c r="BD24" s="258">
        <f t="shared" si="7"/>
        <v>0</v>
      </c>
      <c r="BE24" s="258"/>
      <c r="BF24" s="258"/>
      <c r="BG24" s="258"/>
      <c r="BH24" s="258"/>
      <c r="BI24" s="258">
        <f t="shared" si="29"/>
        <v>0</v>
      </c>
      <c r="BJ24" s="258"/>
      <c r="BK24" s="258">
        <f t="shared" si="8"/>
        <v>0</v>
      </c>
      <c r="BL24" s="258"/>
      <c r="BM24" s="258"/>
      <c r="BN24" s="258"/>
      <c r="BO24" s="258"/>
      <c r="BP24" s="258">
        <f t="shared" si="30"/>
        <v>0</v>
      </c>
      <c r="BQ24" s="258">
        <f t="shared" si="30"/>
        <v>0</v>
      </c>
      <c r="BR24" s="258"/>
      <c r="BS24" s="258"/>
      <c r="BT24" s="258"/>
      <c r="BU24" s="258"/>
      <c r="BV24" s="258">
        <f t="shared" si="31"/>
        <v>0</v>
      </c>
      <c r="BW24" s="258">
        <f t="shared" si="31"/>
        <v>0</v>
      </c>
      <c r="BX24" s="258"/>
      <c r="BY24" s="258"/>
      <c r="BZ24" s="258"/>
      <c r="CA24" s="258"/>
      <c r="CB24" s="258">
        <f t="shared" si="32"/>
        <v>0</v>
      </c>
      <c r="CC24" s="258">
        <f t="shared" si="32"/>
        <v>0</v>
      </c>
      <c r="CD24" s="258"/>
      <c r="CE24" s="258"/>
      <c r="CF24" s="258"/>
      <c r="CG24" s="258"/>
      <c r="CH24" s="258">
        <f t="shared" si="33"/>
        <v>0</v>
      </c>
      <c r="CI24" s="258">
        <f t="shared" si="33"/>
        <v>0</v>
      </c>
      <c r="CJ24" s="258"/>
      <c r="CK24" s="258"/>
      <c r="CL24" s="258"/>
      <c r="CM24" s="258"/>
      <c r="CN24" s="258">
        <f t="shared" si="34"/>
        <v>0</v>
      </c>
      <c r="CO24" s="258">
        <f t="shared" si="34"/>
        <v>0</v>
      </c>
      <c r="CP24" s="258"/>
      <c r="CQ24" s="258"/>
      <c r="CR24" s="258"/>
      <c r="CS24" s="258"/>
      <c r="CT24" s="258">
        <f t="shared" si="35"/>
        <v>0</v>
      </c>
      <c r="CU24" s="258">
        <f t="shared" si="35"/>
        <v>0</v>
      </c>
      <c r="CV24" s="258"/>
      <c r="CW24" s="258"/>
      <c r="CX24" s="258"/>
      <c r="CY24" s="258"/>
      <c r="CZ24" s="258">
        <f t="shared" si="36"/>
        <v>0</v>
      </c>
      <c r="DA24" s="258">
        <f t="shared" si="36"/>
        <v>0</v>
      </c>
      <c r="DB24" s="258"/>
      <c r="DC24" s="258"/>
      <c r="DD24" s="258"/>
      <c r="DE24" s="258"/>
      <c r="DF24" s="258">
        <f t="shared" si="37"/>
        <v>0</v>
      </c>
      <c r="DG24" s="258">
        <f t="shared" si="37"/>
        <v>0</v>
      </c>
      <c r="DH24" s="258">
        <f t="shared" si="38"/>
        <v>0</v>
      </c>
      <c r="DI24" s="258">
        <f t="shared" si="39"/>
        <v>0</v>
      </c>
      <c r="DJ24" s="258">
        <f t="shared" si="40"/>
        <v>0</v>
      </c>
      <c r="DK24" s="258">
        <f t="shared" si="41"/>
        <v>0</v>
      </c>
      <c r="DL24" s="258">
        <f t="shared" si="42"/>
        <v>0</v>
      </c>
      <c r="DM24" s="258">
        <f t="shared" si="43"/>
        <v>0</v>
      </c>
    </row>
    <row r="25" spans="1:117" s="61" customFormat="1">
      <c r="A25" s="68">
        <v>17</v>
      </c>
      <c r="B25" s="246" t="s">
        <v>381</v>
      </c>
      <c r="C25" s="246" t="s">
        <v>382</v>
      </c>
      <c r="D25" s="246" t="s">
        <v>383</v>
      </c>
      <c r="E25" s="245" t="s">
        <v>1164</v>
      </c>
      <c r="F25" s="161">
        <f t="shared" si="9"/>
        <v>0</v>
      </c>
      <c r="G25" s="165">
        <f t="shared" si="10"/>
        <v>111214.25</v>
      </c>
      <c r="H25" s="54">
        <v>0</v>
      </c>
      <c r="I25" s="219">
        <v>0</v>
      </c>
      <c r="J25" s="219">
        <v>0</v>
      </c>
      <c r="K25" s="127">
        <f t="shared" si="11"/>
        <v>111214.25</v>
      </c>
      <c r="L25" s="127">
        <f t="shared" si="12"/>
        <v>111214.25</v>
      </c>
      <c r="M25" s="127">
        <f t="shared" si="13"/>
        <v>111214.25</v>
      </c>
      <c r="N25" s="131">
        <f t="shared" si="14"/>
        <v>0</v>
      </c>
      <c r="O25" s="125">
        <f t="shared" si="15"/>
        <v>111214.25</v>
      </c>
      <c r="P25" s="52"/>
      <c r="Q25" s="52">
        <v>86049.25</v>
      </c>
      <c r="R25" s="52">
        <f t="shared" si="16"/>
        <v>0</v>
      </c>
      <c r="S25" s="52">
        <f t="shared" si="17"/>
        <v>86049.25</v>
      </c>
      <c r="T25" s="52"/>
      <c r="U25" s="52"/>
      <c r="V25" s="52">
        <v>12000</v>
      </c>
      <c r="W25" s="52">
        <v>11991</v>
      </c>
      <c r="X25" s="52">
        <f t="shared" si="18"/>
        <v>12000</v>
      </c>
      <c r="Y25" s="52">
        <f t="shared" si="18"/>
        <v>11991</v>
      </c>
      <c r="Z25" s="52"/>
      <c r="AA25" s="52"/>
      <c r="AB25" s="52">
        <v>5000</v>
      </c>
      <c r="AC25" s="52">
        <f>1501.5+2408+1053.5+1841+465.5+418.25+439.25+749+705.25+1746.5+1846.25</f>
        <v>13174</v>
      </c>
      <c r="AD25" s="52">
        <f t="shared" si="19"/>
        <v>5000</v>
      </c>
      <c r="AE25" s="52">
        <f t="shared" si="19"/>
        <v>13174</v>
      </c>
      <c r="AF25" s="52">
        <f t="shared" si="20"/>
        <v>0</v>
      </c>
      <c r="AG25" s="52">
        <f t="shared" si="21"/>
        <v>0</v>
      </c>
      <c r="AH25" s="52">
        <f t="shared" si="22"/>
        <v>103049.25</v>
      </c>
      <c r="AI25" s="52">
        <f t="shared" si="23"/>
        <v>111214.25</v>
      </c>
      <c r="AJ25" s="52">
        <f t="shared" si="24"/>
        <v>103049.25</v>
      </c>
      <c r="AK25" s="52">
        <f t="shared" si="25"/>
        <v>111214.25</v>
      </c>
      <c r="AL25" s="57"/>
      <c r="AM25" s="57"/>
      <c r="AN25" s="57"/>
      <c r="AO25" s="57"/>
      <c r="AP25" s="52">
        <f t="shared" si="26"/>
        <v>0</v>
      </c>
      <c r="AQ25" s="52">
        <f t="shared" si="26"/>
        <v>0</v>
      </c>
      <c r="AR25" s="57"/>
      <c r="AS25" s="57"/>
      <c r="AT25" s="57"/>
      <c r="AU25" s="57"/>
      <c r="AV25" s="52">
        <f t="shared" si="27"/>
        <v>0</v>
      </c>
      <c r="AW25" s="52">
        <f t="shared" si="27"/>
        <v>0</v>
      </c>
      <c r="AX25" s="57"/>
      <c r="AY25" s="57"/>
      <c r="AZ25" s="57"/>
      <c r="BA25" s="57"/>
      <c r="BB25" s="52">
        <f t="shared" si="28"/>
        <v>0</v>
      </c>
      <c r="BC25" s="52"/>
      <c r="BD25" s="52">
        <f t="shared" si="7"/>
        <v>0</v>
      </c>
      <c r="BE25" s="57"/>
      <c r="BF25" s="57"/>
      <c r="BG25" s="57"/>
      <c r="BH25" s="57"/>
      <c r="BI25" s="52">
        <f t="shared" si="29"/>
        <v>0</v>
      </c>
      <c r="BJ25" s="52"/>
      <c r="BK25" s="52">
        <f t="shared" si="8"/>
        <v>0</v>
      </c>
      <c r="BL25" s="57"/>
      <c r="BM25" s="57"/>
      <c r="BN25" s="57"/>
      <c r="BO25" s="57"/>
      <c r="BP25" s="52">
        <f t="shared" si="30"/>
        <v>0</v>
      </c>
      <c r="BQ25" s="52">
        <f t="shared" si="30"/>
        <v>0</v>
      </c>
      <c r="BR25" s="57"/>
      <c r="BS25" s="57"/>
      <c r="BT25" s="57"/>
      <c r="BU25" s="57"/>
      <c r="BV25" s="52">
        <f t="shared" si="31"/>
        <v>0</v>
      </c>
      <c r="BW25" s="52">
        <f t="shared" si="31"/>
        <v>0</v>
      </c>
      <c r="BX25" s="57"/>
      <c r="BY25" s="57"/>
      <c r="BZ25" s="57"/>
      <c r="CA25" s="57"/>
      <c r="CB25" s="52">
        <f t="shared" si="32"/>
        <v>0</v>
      </c>
      <c r="CC25" s="52">
        <f t="shared" si="32"/>
        <v>0</v>
      </c>
      <c r="CD25" s="57"/>
      <c r="CE25" s="57"/>
      <c r="CF25" s="57"/>
      <c r="CG25" s="57"/>
      <c r="CH25" s="52">
        <f t="shared" si="33"/>
        <v>0</v>
      </c>
      <c r="CI25" s="52">
        <f t="shared" si="33"/>
        <v>0</v>
      </c>
      <c r="CJ25" s="57"/>
      <c r="CK25" s="57"/>
      <c r="CL25" s="57"/>
      <c r="CM25" s="57"/>
      <c r="CN25" s="52">
        <f t="shared" si="34"/>
        <v>0</v>
      </c>
      <c r="CO25" s="52">
        <f t="shared" si="34"/>
        <v>0</v>
      </c>
      <c r="CP25" s="57"/>
      <c r="CQ25" s="57"/>
      <c r="CR25" s="57"/>
      <c r="CS25" s="57"/>
      <c r="CT25" s="52">
        <f t="shared" si="35"/>
        <v>0</v>
      </c>
      <c r="CU25" s="52">
        <f t="shared" si="35"/>
        <v>0</v>
      </c>
      <c r="CV25" s="57"/>
      <c r="CW25" s="57"/>
      <c r="CX25" s="57"/>
      <c r="CY25" s="57"/>
      <c r="CZ25" s="52">
        <f t="shared" si="36"/>
        <v>0</v>
      </c>
      <c r="DA25" s="52">
        <f t="shared" si="36"/>
        <v>0</v>
      </c>
      <c r="DB25" s="57"/>
      <c r="DC25" s="57"/>
      <c r="DD25" s="57"/>
      <c r="DE25" s="57"/>
      <c r="DF25" s="52">
        <f t="shared" si="37"/>
        <v>0</v>
      </c>
      <c r="DG25" s="52">
        <f t="shared" si="37"/>
        <v>0</v>
      </c>
      <c r="DH25" s="52">
        <f t="shared" si="38"/>
        <v>0</v>
      </c>
      <c r="DI25" s="52">
        <f t="shared" si="39"/>
        <v>0</v>
      </c>
      <c r="DJ25" s="52">
        <f t="shared" si="40"/>
        <v>0</v>
      </c>
      <c r="DK25" s="52">
        <f t="shared" si="41"/>
        <v>0</v>
      </c>
      <c r="DL25" s="52">
        <f t="shared" si="42"/>
        <v>0</v>
      </c>
      <c r="DM25" s="52">
        <f t="shared" si="43"/>
        <v>0</v>
      </c>
    </row>
    <row r="26" spans="1:117" s="61" customFormat="1">
      <c r="A26" s="68">
        <v>18</v>
      </c>
      <c r="B26" s="246" t="s">
        <v>381</v>
      </c>
      <c r="C26" s="246" t="s">
        <v>411</v>
      </c>
      <c r="D26" s="246" t="s">
        <v>412</v>
      </c>
      <c r="E26" s="245" t="s">
        <v>1165</v>
      </c>
      <c r="F26" s="161">
        <f t="shared" si="9"/>
        <v>0</v>
      </c>
      <c r="G26" s="165">
        <f t="shared" si="10"/>
        <v>0</v>
      </c>
      <c r="H26" s="54">
        <v>5000</v>
      </c>
      <c r="I26" s="219">
        <v>0</v>
      </c>
      <c r="J26" s="219">
        <v>0</v>
      </c>
      <c r="K26" s="127">
        <f t="shared" si="11"/>
        <v>0</v>
      </c>
      <c r="L26" s="127">
        <f t="shared" si="12"/>
        <v>0</v>
      </c>
      <c r="M26" s="127">
        <f t="shared" si="13"/>
        <v>0</v>
      </c>
      <c r="N26" s="131">
        <f t="shared" si="14"/>
        <v>0</v>
      </c>
      <c r="O26" s="125" t="str">
        <f t="shared" si="15"/>
        <v>ნულოვანი შესრულება</v>
      </c>
      <c r="P26" s="52"/>
      <c r="Q26" s="52"/>
      <c r="R26" s="52">
        <f t="shared" si="16"/>
        <v>0</v>
      </c>
      <c r="S26" s="52">
        <f t="shared" si="17"/>
        <v>0</v>
      </c>
      <c r="T26" s="52"/>
      <c r="U26" s="52"/>
      <c r="V26" s="52"/>
      <c r="W26" s="52"/>
      <c r="X26" s="52">
        <f t="shared" si="18"/>
        <v>0</v>
      </c>
      <c r="Y26" s="52">
        <f t="shared" si="18"/>
        <v>0</v>
      </c>
      <c r="Z26" s="52"/>
      <c r="AA26" s="52"/>
      <c r="AB26" s="52"/>
      <c r="AC26" s="52"/>
      <c r="AD26" s="52">
        <f t="shared" si="19"/>
        <v>0</v>
      </c>
      <c r="AE26" s="52">
        <f t="shared" si="19"/>
        <v>0</v>
      </c>
      <c r="AF26" s="52">
        <f t="shared" si="20"/>
        <v>0</v>
      </c>
      <c r="AG26" s="52">
        <f t="shared" si="21"/>
        <v>0</v>
      </c>
      <c r="AH26" s="52">
        <f t="shared" si="22"/>
        <v>0</v>
      </c>
      <c r="AI26" s="52">
        <f t="shared" si="23"/>
        <v>0</v>
      </c>
      <c r="AJ26" s="52">
        <f t="shared" si="24"/>
        <v>0</v>
      </c>
      <c r="AK26" s="52">
        <f t="shared" si="25"/>
        <v>0</v>
      </c>
      <c r="AL26" s="52"/>
      <c r="AM26" s="52"/>
      <c r="AN26" s="52"/>
      <c r="AO26" s="52"/>
      <c r="AP26" s="52">
        <f t="shared" si="26"/>
        <v>0</v>
      </c>
      <c r="AQ26" s="52">
        <f t="shared" si="26"/>
        <v>0</v>
      </c>
      <c r="AR26" s="52"/>
      <c r="AS26" s="52"/>
      <c r="AT26" s="52"/>
      <c r="AU26" s="52"/>
      <c r="AV26" s="52">
        <f t="shared" si="27"/>
        <v>0</v>
      </c>
      <c r="AW26" s="52">
        <f t="shared" si="27"/>
        <v>0</v>
      </c>
      <c r="AX26" s="52"/>
      <c r="AY26" s="52"/>
      <c r="AZ26" s="52"/>
      <c r="BA26" s="52"/>
      <c r="BB26" s="52">
        <f t="shared" si="28"/>
        <v>0</v>
      </c>
      <c r="BC26" s="52"/>
      <c r="BD26" s="52">
        <f t="shared" si="7"/>
        <v>0</v>
      </c>
      <c r="BE26" s="52"/>
      <c r="BF26" s="52"/>
      <c r="BG26" s="52"/>
      <c r="BH26" s="52"/>
      <c r="BI26" s="52">
        <f t="shared" si="29"/>
        <v>0</v>
      </c>
      <c r="BJ26" s="52"/>
      <c r="BK26" s="52">
        <f t="shared" si="8"/>
        <v>0</v>
      </c>
      <c r="BL26" s="52"/>
      <c r="BM26" s="52"/>
      <c r="BN26" s="52"/>
      <c r="BO26" s="52"/>
      <c r="BP26" s="52">
        <f t="shared" si="30"/>
        <v>0</v>
      </c>
      <c r="BQ26" s="52">
        <f t="shared" si="30"/>
        <v>0</v>
      </c>
      <c r="BR26" s="52"/>
      <c r="BS26" s="52"/>
      <c r="BT26" s="52"/>
      <c r="BU26" s="52"/>
      <c r="BV26" s="52">
        <f t="shared" si="31"/>
        <v>0</v>
      </c>
      <c r="BW26" s="52">
        <f t="shared" si="31"/>
        <v>0</v>
      </c>
      <c r="BX26" s="52"/>
      <c r="BY26" s="52"/>
      <c r="BZ26" s="52"/>
      <c r="CA26" s="52"/>
      <c r="CB26" s="52">
        <f t="shared" si="32"/>
        <v>0</v>
      </c>
      <c r="CC26" s="52">
        <f t="shared" si="32"/>
        <v>0</v>
      </c>
      <c r="CD26" s="52"/>
      <c r="CE26" s="52"/>
      <c r="CF26" s="52"/>
      <c r="CG26" s="52"/>
      <c r="CH26" s="52">
        <f t="shared" si="33"/>
        <v>0</v>
      </c>
      <c r="CI26" s="52">
        <f t="shared" si="33"/>
        <v>0</v>
      </c>
      <c r="CJ26" s="52"/>
      <c r="CK26" s="52"/>
      <c r="CL26" s="52"/>
      <c r="CM26" s="52"/>
      <c r="CN26" s="52">
        <f t="shared" si="34"/>
        <v>0</v>
      </c>
      <c r="CO26" s="52">
        <f t="shared" si="34"/>
        <v>0</v>
      </c>
      <c r="CP26" s="52"/>
      <c r="CQ26" s="52"/>
      <c r="CR26" s="52"/>
      <c r="CS26" s="52"/>
      <c r="CT26" s="52">
        <f t="shared" si="35"/>
        <v>0</v>
      </c>
      <c r="CU26" s="52">
        <f t="shared" si="35"/>
        <v>0</v>
      </c>
      <c r="CV26" s="52"/>
      <c r="CW26" s="52"/>
      <c r="CX26" s="52"/>
      <c r="CY26" s="52"/>
      <c r="CZ26" s="52">
        <f t="shared" si="36"/>
        <v>0</v>
      </c>
      <c r="DA26" s="52">
        <f t="shared" si="36"/>
        <v>0</v>
      </c>
      <c r="DB26" s="52"/>
      <c r="DC26" s="52"/>
      <c r="DD26" s="52"/>
      <c r="DE26" s="52"/>
      <c r="DF26" s="52">
        <f t="shared" si="37"/>
        <v>0</v>
      </c>
      <c r="DG26" s="52">
        <f t="shared" si="37"/>
        <v>0</v>
      </c>
      <c r="DH26" s="52">
        <f t="shared" si="38"/>
        <v>0</v>
      </c>
      <c r="DI26" s="52">
        <f t="shared" si="39"/>
        <v>0</v>
      </c>
      <c r="DJ26" s="52">
        <f t="shared" si="40"/>
        <v>0</v>
      </c>
      <c r="DK26" s="52">
        <f t="shared" si="41"/>
        <v>0</v>
      </c>
      <c r="DL26" s="52">
        <f t="shared" si="42"/>
        <v>0</v>
      </c>
      <c r="DM26" s="52">
        <f t="shared" si="43"/>
        <v>0</v>
      </c>
    </row>
    <row r="27" spans="1:117" s="61" customFormat="1">
      <c r="A27" s="68">
        <v>19</v>
      </c>
      <c r="B27" s="246" t="s">
        <v>381</v>
      </c>
      <c r="C27" s="246" t="s">
        <v>411</v>
      </c>
      <c r="D27" s="246" t="s">
        <v>412</v>
      </c>
      <c r="E27" s="245" t="s">
        <v>1164</v>
      </c>
      <c r="F27" s="161">
        <f t="shared" si="9"/>
        <v>0</v>
      </c>
      <c r="G27" s="165">
        <f t="shared" si="10"/>
        <v>199.5</v>
      </c>
      <c r="H27" s="54"/>
      <c r="I27" s="219">
        <v>0</v>
      </c>
      <c r="J27" s="219">
        <v>0</v>
      </c>
      <c r="K27" s="127">
        <f t="shared" si="11"/>
        <v>199.5</v>
      </c>
      <c r="L27" s="127">
        <f t="shared" si="12"/>
        <v>199.5</v>
      </c>
      <c r="M27" s="127">
        <f t="shared" si="13"/>
        <v>199.5</v>
      </c>
      <c r="N27" s="131">
        <f t="shared" si="14"/>
        <v>0</v>
      </c>
      <c r="O27" s="125">
        <f t="shared" si="15"/>
        <v>199.5</v>
      </c>
      <c r="P27" s="52"/>
      <c r="Q27" s="52">
        <v>199.5</v>
      </c>
      <c r="R27" s="52">
        <f t="shared" si="16"/>
        <v>0</v>
      </c>
      <c r="S27" s="52">
        <f t="shared" si="17"/>
        <v>199.5</v>
      </c>
      <c r="T27" s="52"/>
      <c r="U27" s="52"/>
      <c r="V27" s="52"/>
      <c r="W27" s="52"/>
      <c r="X27" s="52">
        <f t="shared" si="18"/>
        <v>0</v>
      </c>
      <c r="Y27" s="52">
        <f t="shared" si="18"/>
        <v>0</v>
      </c>
      <c r="Z27" s="52"/>
      <c r="AA27" s="52"/>
      <c r="AB27" s="52"/>
      <c r="AC27" s="52"/>
      <c r="AD27" s="52">
        <f t="shared" si="19"/>
        <v>0</v>
      </c>
      <c r="AE27" s="52">
        <f t="shared" si="19"/>
        <v>0</v>
      </c>
      <c r="AF27" s="52">
        <f t="shared" si="20"/>
        <v>0</v>
      </c>
      <c r="AG27" s="52">
        <f t="shared" si="21"/>
        <v>0</v>
      </c>
      <c r="AH27" s="52">
        <f t="shared" si="22"/>
        <v>199.5</v>
      </c>
      <c r="AI27" s="52">
        <f t="shared" si="23"/>
        <v>199.5</v>
      </c>
      <c r="AJ27" s="52">
        <f t="shared" si="24"/>
        <v>199.5</v>
      </c>
      <c r="AK27" s="52">
        <f t="shared" si="25"/>
        <v>199.5</v>
      </c>
      <c r="AL27" s="52"/>
      <c r="AM27" s="52"/>
      <c r="AN27" s="52"/>
      <c r="AO27" s="52"/>
      <c r="AP27" s="52">
        <f t="shared" si="26"/>
        <v>0</v>
      </c>
      <c r="AQ27" s="52">
        <f t="shared" si="26"/>
        <v>0</v>
      </c>
      <c r="AR27" s="52"/>
      <c r="AS27" s="52"/>
      <c r="AT27" s="52"/>
      <c r="AU27" s="52"/>
      <c r="AV27" s="52">
        <f t="shared" si="27"/>
        <v>0</v>
      </c>
      <c r="AW27" s="52">
        <f t="shared" si="27"/>
        <v>0</v>
      </c>
      <c r="AX27" s="52"/>
      <c r="AY27" s="52"/>
      <c r="AZ27" s="52"/>
      <c r="BA27" s="52"/>
      <c r="BB27" s="52">
        <f t="shared" si="28"/>
        <v>0</v>
      </c>
      <c r="BC27" s="52"/>
      <c r="BD27" s="52">
        <f t="shared" si="7"/>
        <v>0</v>
      </c>
      <c r="BE27" s="52"/>
      <c r="BF27" s="52"/>
      <c r="BG27" s="52"/>
      <c r="BH27" s="52"/>
      <c r="BI27" s="52">
        <f t="shared" si="29"/>
        <v>0</v>
      </c>
      <c r="BJ27" s="52"/>
      <c r="BK27" s="52">
        <f t="shared" si="8"/>
        <v>0</v>
      </c>
      <c r="BL27" s="52"/>
      <c r="BM27" s="52"/>
      <c r="BN27" s="52"/>
      <c r="BO27" s="52"/>
      <c r="BP27" s="52">
        <f t="shared" si="30"/>
        <v>0</v>
      </c>
      <c r="BQ27" s="52">
        <f t="shared" si="30"/>
        <v>0</v>
      </c>
      <c r="BR27" s="52"/>
      <c r="BS27" s="52"/>
      <c r="BT27" s="52"/>
      <c r="BU27" s="52"/>
      <c r="BV27" s="52">
        <f t="shared" si="31"/>
        <v>0</v>
      </c>
      <c r="BW27" s="52">
        <f t="shared" si="31"/>
        <v>0</v>
      </c>
      <c r="BX27" s="52"/>
      <c r="BY27" s="52"/>
      <c r="BZ27" s="52"/>
      <c r="CA27" s="52"/>
      <c r="CB27" s="52">
        <f t="shared" si="32"/>
        <v>0</v>
      </c>
      <c r="CC27" s="52">
        <f t="shared" si="32"/>
        <v>0</v>
      </c>
      <c r="CD27" s="52"/>
      <c r="CE27" s="52"/>
      <c r="CF27" s="52"/>
      <c r="CG27" s="52"/>
      <c r="CH27" s="52">
        <f t="shared" si="33"/>
        <v>0</v>
      </c>
      <c r="CI27" s="52">
        <f t="shared" si="33"/>
        <v>0</v>
      </c>
      <c r="CJ27" s="52"/>
      <c r="CK27" s="52"/>
      <c r="CL27" s="52"/>
      <c r="CM27" s="52"/>
      <c r="CN27" s="52">
        <f t="shared" si="34"/>
        <v>0</v>
      </c>
      <c r="CO27" s="52">
        <f t="shared" si="34"/>
        <v>0</v>
      </c>
      <c r="CP27" s="52"/>
      <c r="CQ27" s="52"/>
      <c r="CR27" s="52"/>
      <c r="CS27" s="52"/>
      <c r="CT27" s="52">
        <f t="shared" si="35"/>
        <v>0</v>
      </c>
      <c r="CU27" s="52">
        <f t="shared" si="35"/>
        <v>0</v>
      </c>
      <c r="CV27" s="52"/>
      <c r="CW27" s="52"/>
      <c r="CX27" s="52"/>
      <c r="CY27" s="52"/>
      <c r="CZ27" s="52">
        <f t="shared" si="36"/>
        <v>0</v>
      </c>
      <c r="DA27" s="52">
        <f t="shared" si="36"/>
        <v>0</v>
      </c>
      <c r="DB27" s="52"/>
      <c r="DC27" s="52"/>
      <c r="DD27" s="52"/>
      <c r="DE27" s="52"/>
      <c r="DF27" s="52">
        <f t="shared" si="37"/>
        <v>0</v>
      </c>
      <c r="DG27" s="52">
        <f t="shared" si="37"/>
        <v>0</v>
      </c>
      <c r="DH27" s="52">
        <f t="shared" si="38"/>
        <v>0</v>
      </c>
      <c r="DI27" s="52">
        <f t="shared" si="39"/>
        <v>0</v>
      </c>
      <c r="DJ27" s="52">
        <f t="shared" si="40"/>
        <v>0</v>
      </c>
      <c r="DK27" s="52">
        <f t="shared" si="41"/>
        <v>0</v>
      </c>
      <c r="DL27" s="52">
        <f t="shared" si="42"/>
        <v>0</v>
      </c>
      <c r="DM27" s="52">
        <f t="shared" si="43"/>
        <v>0</v>
      </c>
    </row>
    <row r="28" spans="1:117" s="61" customFormat="1">
      <c r="A28" s="68">
        <v>20</v>
      </c>
      <c r="B28" s="246" t="s">
        <v>381</v>
      </c>
      <c r="C28" s="246" t="s">
        <v>413</v>
      </c>
      <c r="D28" s="246" t="s">
        <v>414</v>
      </c>
      <c r="E28" s="245" t="s">
        <v>1165</v>
      </c>
      <c r="F28" s="161">
        <f t="shared" si="9"/>
        <v>0</v>
      </c>
      <c r="G28" s="165">
        <f t="shared" si="10"/>
        <v>0</v>
      </c>
      <c r="H28" s="54">
        <v>5000</v>
      </c>
      <c r="I28" s="219">
        <v>0</v>
      </c>
      <c r="J28" s="219">
        <v>0</v>
      </c>
      <c r="K28" s="127">
        <f t="shared" si="11"/>
        <v>0</v>
      </c>
      <c r="L28" s="127">
        <f t="shared" si="12"/>
        <v>0</v>
      </c>
      <c r="M28" s="127">
        <f t="shared" si="13"/>
        <v>0</v>
      </c>
      <c r="N28" s="131">
        <f t="shared" si="14"/>
        <v>0</v>
      </c>
      <c r="O28" s="125" t="str">
        <f t="shared" si="15"/>
        <v>ნულოვანი შესრულება</v>
      </c>
      <c r="P28" s="52"/>
      <c r="Q28" s="52"/>
      <c r="R28" s="52">
        <f t="shared" si="16"/>
        <v>0</v>
      </c>
      <c r="S28" s="52">
        <f t="shared" si="17"/>
        <v>0</v>
      </c>
      <c r="T28" s="52"/>
      <c r="U28" s="52"/>
      <c r="V28" s="52"/>
      <c r="W28" s="52"/>
      <c r="X28" s="52">
        <f t="shared" si="18"/>
        <v>0</v>
      </c>
      <c r="Y28" s="52">
        <f t="shared" si="18"/>
        <v>0</v>
      </c>
      <c r="Z28" s="52"/>
      <c r="AA28" s="52"/>
      <c r="AB28" s="52"/>
      <c r="AC28" s="52"/>
      <c r="AD28" s="52">
        <f t="shared" si="19"/>
        <v>0</v>
      </c>
      <c r="AE28" s="52">
        <f t="shared" si="19"/>
        <v>0</v>
      </c>
      <c r="AF28" s="52">
        <f t="shared" si="20"/>
        <v>0</v>
      </c>
      <c r="AG28" s="52">
        <f t="shared" si="21"/>
        <v>0</v>
      </c>
      <c r="AH28" s="52">
        <f t="shared" si="22"/>
        <v>0</v>
      </c>
      <c r="AI28" s="52">
        <f t="shared" si="23"/>
        <v>0</v>
      </c>
      <c r="AJ28" s="52">
        <f t="shared" si="24"/>
        <v>0</v>
      </c>
      <c r="AK28" s="52">
        <f t="shared" si="25"/>
        <v>0</v>
      </c>
      <c r="AL28" s="52"/>
      <c r="AM28" s="52"/>
      <c r="AN28" s="52"/>
      <c r="AO28" s="52"/>
      <c r="AP28" s="52">
        <f t="shared" si="26"/>
        <v>0</v>
      </c>
      <c r="AQ28" s="52">
        <f t="shared" si="26"/>
        <v>0</v>
      </c>
      <c r="AR28" s="52"/>
      <c r="AS28" s="52"/>
      <c r="AT28" s="52"/>
      <c r="AU28" s="52"/>
      <c r="AV28" s="52">
        <f t="shared" si="27"/>
        <v>0</v>
      </c>
      <c r="AW28" s="52">
        <f t="shared" si="27"/>
        <v>0</v>
      </c>
      <c r="AX28" s="52"/>
      <c r="AY28" s="52"/>
      <c r="AZ28" s="52"/>
      <c r="BA28" s="52"/>
      <c r="BB28" s="52">
        <f t="shared" si="28"/>
        <v>0</v>
      </c>
      <c r="BC28" s="52"/>
      <c r="BD28" s="52">
        <f t="shared" si="7"/>
        <v>0</v>
      </c>
      <c r="BE28" s="52"/>
      <c r="BF28" s="52"/>
      <c r="BG28" s="52"/>
      <c r="BH28" s="52"/>
      <c r="BI28" s="52">
        <f t="shared" si="29"/>
        <v>0</v>
      </c>
      <c r="BJ28" s="52"/>
      <c r="BK28" s="52">
        <f t="shared" si="8"/>
        <v>0</v>
      </c>
      <c r="BL28" s="52"/>
      <c r="BM28" s="52"/>
      <c r="BN28" s="52"/>
      <c r="BO28" s="52"/>
      <c r="BP28" s="52">
        <f t="shared" si="30"/>
        <v>0</v>
      </c>
      <c r="BQ28" s="52">
        <f t="shared" si="30"/>
        <v>0</v>
      </c>
      <c r="BR28" s="52"/>
      <c r="BS28" s="52"/>
      <c r="BT28" s="52"/>
      <c r="BU28" s="52"/>
      <c r="BV28" s="52">
        <f t="shared" si="31"/>
        <v>0</v>
      </c>
      <c r="BW28" s="52">
        <f t="shared" si="31"/>
        <v>0</v>
      </c>
      <c r="BX28" s="52"/>
      <c r="BY28" s="52"/>
      <c r="BZ28" s="52"/>
      <c r="CA28" s="52"/>
      <c r="CB28" s="52">
        <f t="shared" si="32"/>
        <v>0</v>
      </c>
      <c r="CC28" s="52">
        <f t="shared" si="32"/>
        <v>0</v>
      </c>
      <c r="CD28" s="52"/>
      <c r="CE28" s="52"/>
      <c r="CF28" s="52"/>
      <c r="CG28" s="52"/>
      <c r="CH28" s="52">
        <f t="shared" si="33"/>
        <v>0</v>
      </c>
      <c r="CI28" s="52">
        <f t="shared" si="33"/>
        <v>0</v>
      </c>
      <c r="CJ28" s="52"/>
      <c r="CK28" s="52"/>
      <c r="CL28" s="52"/>
      <c r="CM28" s="52"/>
      <c r="CN28" s="52">
        <f t="shared" si="34"/>
        <v>0</v>
      </c>
      <c r="CO28" s="52">
        <f t="shared" si="34"/>
        <v>0</v>
      </c>
      <c r="CP28" s="52"/>
      <c r="CQ28" s="52"/>
      <c r="CR28" s="52"/>
      <c r="CS28" s="52"/>
      <c r="CT28" s="52">
        <f t="shared" si="35"/>
        <v>0</v>
      </c>
      <c r="CU28" s="52">
        <f t="shared" si="35"/>
        <v>0</v>
      </c>
      <c r="CV28" s="52"/>
      <c r="CW28" s="52"/>
      <c r="CX28" s="52"/>
      <c r="CY28" s="52"/>
      <c r="CZ28" s="52">
        <f t="shared" si="36"/>
        <v>0</v>
      </c>
      <c r="DA28" s="52">
        <f t="shared" si="36"/>
        <v>0</v>
      </c>
      <c r="DB28" s="52"/>
      <c r="DC28" s="52"/>
      <c r="DD28" s="52"/>
      <c r="DE28" s="52"/>
      <c r="DF28" s="52">
        <f t="shared" si="37"/>
        <v>0</v>
      </c>
      <c r="DG28" s="52">
        <f t="shared" si="37"/>
        <v>0</v>
      </c>
      <c r="DH28" s="52">
        <f t="shared" si="38"/>
        <v>0</v>
      </c>
      <c r="DI28" s="52">
        <f t="shared" si="39"/>
        <v>0</v>
      </c>
      <c r="DJ28" s="52">
        <f t="shared" si="40"/>
        <v>0</v>
      </c>
      <c r="DK28" s="52">
        <f t="shared" si="41"/>
        <v>0</v>
      </c>
      <c r="DL28" s="52">
        <f t="shared" si="42"/>
        <v>0</v>
      </c>
      <c r="DM28" s="52">
        <f t="shared" si="43"/>
        <v>0</v>
      </c>
    </row>
    <row r="29" spans="1:117" s="61" customFormat="1">
      <c r="A29" s="68">
        <v>21</v>
      </c>
      <c r="B29" s="246" t="s">
        <v>381</v>
      </c>
      <c r="C29" s="246" t="s">
        <v>413</v>
      </c>
      <c r="D29" s="246" t="s">
        <v>414</v>
      </c>
      <c r="E29" s="245" t="s">
        <v>1164</v>
      </c>
      <c r="F29" s="161">
        <f t="shared" si="9"/>
        <v>0</v>
      </c>
      <c r="G29" s="165">
        <f t="shared" si="10"/>
        <v>176.75</v>
      </c>
      <c r="H29" s="54"/>
      <c r="I29" s="219">
        <v>0</v>
      </c>
      <c r="J29" s="219">
        <v>0</v>
      </c>
      <c r="K29" s="127">
        <f t="shared" si="11"/>
        <v>176.75</v>
      </c>
      <c r="L29" s="127">
        <f t="shared" si="12"/>
        <v>176.75</v>
      </c>
      <c r="M29" s="127">
        <f t="shared" si="13"/>
        <v>176.75</v>
      </c>
      <c r="N29" s="131">
        <f t="shared" si="14"/>
        <v>0</v>
      </c>
      <c r="O29" s="125">
        <f t="shared" si="15"/>
        <v>176.75</v>
      </c>
      <c r="P29" s="52"/>
      <c r="Q29" s="52">
        <v>176.75</v>
      </c>
      <c r="R29" s="52">
        <f t="shared" si="16"/>
        <v>0</v>
      </c>
      <c r="S29" s="52">
        <f t="shared" si="17"/>
        <v>176.75</v>
      </c>
      <c r="T29" s="52"/>
      <c r="U29" s="52"/>
      <c r="V29" s="52"/>
      <c r="W29" s="52"/>
      <c r="X29" s="52">
        <f t="shared" si="18"/>
        <v>0</v>
      </c>
      <c r="Y29" s="52">
        <f t="shared" si="18"/>
        <v>0</v>
      </c>
      <c r="Z29" s="52"/>
      <c r="AA29" s="52"/>
      <c r="AB29" s="52"/>
      <c r="AC29" s="52"/>
      <c r="AD29" s="52">
        <f t="shared" si="19"/>
        <v>0</v>
      </c>
      <c r="AE29" s="52">
        <f t="shared" si="19"/>
        <v>0</v>
      </c>
      <c r="AF29" s="52">
        <f t="shared" si="20"/>
        <v>0</v>
      </c>
      <c r="AG29" s="52">
        <f t="shared" si="21"/>
        <v>0</v>
      </c>
      <c r="AH29" s="52">
        <f t="shared" si="22"/>
        <v>176.75</v>
      </c>
      <c r="AI29" s="52">
        <f t="shared" si="23"/>
        <v>176.75</v>
      </c>
      <c r="AJ29" s="52">
        <f t="shared" si="24"/>
        <v>176.75</v>
      </c>
      <c r="AK29" s="52">
        <f t="shared" si="25"/>
        <v>176.75</v>
      </c>
      <c r="AL29" s="52"/>
      <c r="AM29" s="52"/>
      <c r="AN29" s="52"/>
      <c r="AO29" s="52"/>
      <c r="AP29" s="52">
        <f t="shared" si="26"/>
        <v>0</v>
      </c>
      <c r="AQ29" s="52">
        <f t="shared" si="26"/>
        <v>0</v>
      </c>
      <c r="AR29" s="52"/>
      <c r="AS29" s="52"/>
      <c r="AT29" s="52"/>
      <c r="AU29" s="52"/>
      <c r="AV29" s="52">
        <f t="shared" si="27"/>
        <v>0</v>
      </c>
      <c r="AW29" s="52">
        <f t="shared" si="27"/>
        <v>0</v>
      </c>
      <c r="AX29" s="52"/>
      <c r="AY29" s="52"/>
      <c r="AZ29" s="52"/>
      <c r="BA29" s="52"/>
      <c r="BB29" s="52">
        <f t="shared" si="28"/>
        <v>0</v>
      </c>
      <c r="BC29" s="52"/>
      <c r="BD29" s="52">
        <f t="shared" si="7"/>
        <v>0</v>
      </c>
      <c r="BE29" s="52"/>
      <c r="BF29" s="52"/>
      <c r="BG29" s="52"/>
      <c r="BH29" s="52"/>
      <c r="BI29" s="52">
        <f t="shared" si="29"/>
        <v>0</v>
      </c>
      <c r="BJ29" s="52"/>
      <c r="BK29" s="52">
        <f t="shared" si="8"/>
        <v>0</v>
      </c>
      <c r="BL29" s="52"/>
      <c r="BM29" s="52"/>
      <c r="BN29" s="52"/>
      <c r="BO29" s="52"/>
      <c r="BP29" s="52">
        <f t="shared" si="30"/>
        <v>0</v>
      </c>
      <c r="BQ29" s="52">
        <f t="shared" si="30"/>
        <v>0</v>
      </c>
      <c r="BR29" s="52"/>
      <c r="BS29" s="52"/>
      <c r="BT29" s="52"/>
      <c r="BU29" s="52"/>
      <c r="BV29" s="52">
        <f t="shared" si="31"/>
        <v>0</v>
      </c>
      <c r="BW29" s="52">
        <f t="shared" si="31"/>
        <v>0</v>
      </c>
      <c r="BX29" s="52"/>
      <c r="BY29" s="52"/>
      <c r="BZ29" s="52"/>
      <c r="CA29" s="52"/>
      <c r="CB29" s="52">
        <f t="shared" si="32"/>
        <v>0</v>
      </c>
      <c r="CC29" s="52">
        <f t="shared" si="32"/>
        <v>0</v>
      </c>
      <c r="CD29" s="52"/>
      <c r="CE29" s="52"/>
      <c r="CF29" s="52"/>
      <c r="CG29" s="52"/>
      <c r="CH29" s="52">
        <f t="shared" si="33"/>
        <v>0</v>
      </c>
      <c r="CI29" s="52">
        <f t="shared" si="33"/>
        <v>0</v>
      </c>
      <c r="CJ29" s="52"/>
      <c r="CK29" s="52"/>
      <c r="CL29" s="52"/>
      <c r="CM29" s="52"/>
      <c r="CN29" s="52">
        <f t="shared" si="34"/>
        <v>0</v>
      </c>
      <c r="CO29" s="52">
        <f t="shared" si="34"/>
        <v>0</v>
      </c>
      <c r="CP29" s="52"/>
      <c r="CQ29" s="52"/>
      <c r="CR29" s="52"/>
      <c r="CS29" s="52"/>
      <c r="CT29" s="52">
        <f t="shared" si="35"/>
        <v>0</v>
      </c>
      <c r="CU29" s="52">
        <f t="shared" si="35"/>
        <v>0</v>
      </c>
      <c r="CV29" s="52"/>
      <c r="CW29" s="52"/>
      <c r="CX29" s="52"/>
      <c r="CY29" s="52"/>
      <c r="CZ29" s="52">
        <f t="shared" si="36"/>
        <v>0</v>
      </c>
      <c r="DA29" s="52">
        <f t="shared" si="36"/>
        <v>0</v>
      </c>
      <c r="DB29" s="52"/>
      <c r="DC29" s="52"/>
      <c r="DD29" s="52"/>
      <c r="DE29" s="52"/>
      <c r="DF29" s="52">
        <f t="shared" si="37"/>
        <v>0</v>
      </c>
      <c r="DG29" s="52">
        <f t="shared" si="37"/>
        <v>0</v>
      </c>
      <c r="DH29" s="52">
        <f t="shared" si="38"/>
        <v>0</v>
      </c>
      <c r="DI29" s="52">
        <f t="shared" si="39"/>
        <v>0</v>
      </c>
      <c r="DJ29" s="52">
        <f t="shared" si="40"/>
        <v>0</v>
      </c>
      <c r="DK29" s="52">
        <f t="shared" si="41"/>
        <v>0</v>
      </c>
      <c r="DL29" s="52">
        <f t="shared" si="42"/>
        <v>0</v>
      </c>
      <c r="DM29" s="52">
        <f t="shared" si="43"/>
        <v>0</v>
      </c>
    </row>
    <row r="30" spans="1:117" s="61" customFormat="1">
      <c r="A30" s="68">
        <v>22</v>
      </c>
      <c r="B30" s="246" t="s">
        <v>381</v>
      </c>
      <c r="C30" s="246" t="s">
        <v>415</v>
      </c>
      <c r="D30" s="246" t="s">
        <v>416</v>
      </c>
      <c r="E30" s="245" t="s">
        <v>1165</v>
      </c>
      <c r="F30" s="161">
        <f t="shared" si="9"/>
        <v>0</v>
      </c>
      <c r="G30" s="165">
        <f t="shared" si="10"/>
        <v>0</v>
      </c>
      <c r="H30" s="54">
        <v>5000</v>
      </c>
      <c r="I30" s="219">
        <v>0</v>
      </c>
      <c r="J30" s="219">
        <v>0</v>
      </c>
      <c r="K30" s="127">
        <f t="shared" si="11"/>
        <v>0</v>
      </c>
      <c r="L30" s="127">
        <f t="shared" si="12"/>
        <v>0</v>
      </c>
      <c r="M30" s="127">
        <f t="shared" si="13"/>
        <v>0</v>
      </c>
      <c r="N30" s="131">
        <f t="shared" si="14"/>
        <v>0</v>
      </c>
      <c r="O30" s="125" t="str">
        <f t="shared" si="15"/>
        <v>ნულოვანი შესრულება</v>
      </c>
      <c r="P30" s="52"/>
      <c r="Q30" s="52"/>
      <c r="R30" s="52">
        <f t="shared" si="16"/>
        <v>0</v>
      </c>
      <c r="S30" s="52">
        <f t="shared" si="17"/>
        <v>0</v>
      </c>
      <c r="T30" s="52"/>
      <c r="U30" s="52"/>
      <c r="V30" s="52"/>
      <c r="W30" s="52"/>
      <c r="X30" s="52">
        <f t="shared" si="18"/>
        <v>0</v>
      </c>
      <c r="Y30" s="52">
        <f t="shared" si="18"/>
        <v>0</v>
      </c>
      <c r="Z30" s="52"/>
      <c r="AA30" s="52"/>
      <c r="AB30" s="52"/>
      <c r="AC30" s="52"/>
      <c r="AD30" s="52">
        <f t="shared" si="19"/>
        <v>0</v>
      </c>
      <c r="AE30" s="52">
        <f t="shared" si="19"/>
        <v>0</v>
      </c>
      <c r="AF30" s="52">
        <f t="shared" si="20"/>
        <v>0</v>
      </c>
      <c r="AG30" s="52">
        <f t="shared" si="21"/>
        <v>0</v>
      </c>
      <c r="AH30" s="52">
        <f t="shared" si="22"/>
        <v>0</v>
      </c>
      <c r="AI30" s="52">
        <f t="shared" si="23"/>
        <v>0</v>
      </c>
      <c r="AJ30" s="52">
        <f t="shared" si="24"/>
        <v>0</v>
      </c>
      <c r="AK30" s="52">
        <f t="shared" si="25"/>
        <v>0</v>
      </c>
      <c r="AL30" s="52"/>
      <c r="AM30" s="52"/>
      <c r="AN30" s="52"/>
      <c r="AO30" s="52"/>
      <c r="AP30" s="52">
        <f t="shared" si="26"/>
        <v>0</v>
      </c>
      <c r="AQ30" s="52">
        <f t="shared" si="26"/>
        <v>0</v>
      </c>
      <c r="AR30" s="52"/>
      <c r="AS30" s="52"/>
      <c r="AT30" s="52"/>
      <c r="AU30" s="52"/>
      <c r="AV30" s="52">
        <f t="shared" si="27"/>
        <v>0</v>
      </c>
      <c r="AW30" s="52">
        <f t="shared" si="27"/>
        <v>0</v>
      </c>
      <c r="AX30" s="52"/>
      <c r="AY30" s="52"/>
      <c r="AZ30" s="52"/>
      <c r="BA30" s="52"/>
      <c r="BB30" s="52">
        <f t="shared" si="28"/>
        <v>0</v>
      </c>
      <c r="BC30" s="52"/>
      <c r="BD30" s="52">
        <f t="shared" si="7"/>
        <v>0</v>
      </c>
      <c r="BE30" s="52"/>
      <c r="BF30" s="52"/>
      <c r="BG30" s="52"/>
      <c r="BH30" s="52"/>
      <c r="BI30" s="52">
        <f t="shared" si="29"/>
        <v>0</v>
      </c>
      <c r="BJ30" s="52"/>
      <c r="BK30" s="52">
        <f t="shared" si="8"/>
        <v>0</v>
      </c>
      <c r="BL30" s="52"/>
      <c r="BM30" s="52"/>
      <c r="BN30" s="52"/>
      <c r="BO30" s="52"/>
      <c r="BP30" s="52">
        <f t="shared" si="30"/>
        <v>0</v>
      </c>
      <c r="BQ30" s="52">
        <f t="shared" si="30"/>
        <v>0</v>
      </c>
      <c r="BR30" s="52"/>
      <c r="BS30" s="52"/>
      <c r="BT30" s="52"/>
      <c r="BU30" s="52"/>
      <c r="BV30" s="52">
        <f t="shared" si="31"/>
        <v>0</v>
      </c>
      <c r="BW30" s="52">
        <f t="shared" si="31"/>
        <v>0</v>
      </c>
      <c r="BX30" s="52"/>
      <c r="BY30" s="52"/>
      <c r="BZ30" s="52"/>
      <c r="CA30" s="52"/>
      <c r="CB30" s="52">
        <f t="shared" si="32"/>
        <v>0</v>
      </c>
      <c r="CC30" s="52">
        <f t="shared" si="32"/>
        <v>0</v>
      </c>
      <c r="CD30" s="52"/>
      <c r="CE30" s="52"/>
      <c r="CF30" s="52"/>
      <c r="CG30" s="52"/>
      <c r="CH30" s="52">
        <f t="shared" si="33"/>
        <v>0</v>
      </c>
      <c r="CI30" s="52">
        <f t="shared" si="33"/>
        <v>0</v>
      </c>
      <c r="CJ30" s="52"/>
      <c r="CK30" s="52"/>
      <c r="CL30" s="52"/>
      <c r="CM30" s="52"/>
      <c r="CN30" s="52">
        <f t="shared" si="34"/>
        <v>0</v>
      </c>
      <c r="CO30" s="52">
        <f t="shared" si="34"/>
        <v>0</v>
      </c>
      <c r="CP30" s="52"/>
      <c r="CQ30" s="52"/>
      <c r="CR30" s="52"/>
      <c r="CS30" s="52"/>
      <c r="CT30" s="52">
        <f t="shared" si="35"/>
        <v>0</v>
      </c>
      <c r="CU30" s="52">
        <f t="shared" si="35"/>
        <v>0</v>
      </c>
      <c r="CV30" s="52"/>
      <c r="CW30" s="52"/>
      <c r="CX30" s="52"/>
      <c r="CY30" s="52"/>
      <c r="CZ30" s="52">
        <f t="shared" si="36"/>
        <v>0</v>
      </c>
      <c r="DA30" s="52">
        <f t="shared" si="36"/>
        <v>0</v>
      </c>
      <c r="DB30" s="52"/>
      <c r="DC30" s="52"/>
      <c r="DD30" s="52"/>
      <c r="DE30" s="52"/>
      <c r="DF30" s="52">
        <f t="shared" si="37"/>
        <v>0</v>
      </c>
      <c r="DG30" s="52">
        <f t="shared" si="37"/>
        <v>0</v>
      </c>
      <c r="DH30" s="52">
        <f t="shared" si="38"/>
        <v>0</v>
      </c>
      <c r="DI30" s="52">
        <f t="shared" si="39"/>
        <v>0</v>
      </c>
      <c r="DJ30" s="52">
        <f t="shared" si="40"/>
        <v>0</v>
      </c>
      <c r="DK30" s="52">
        <f t="shared" si="41"/>
        <v>0</v>
      </c>
      <c r="DL30" s="52">
        <f t="shared" si="42"/>
        <v>0</v>
      </c>
      <c r="DM30" s="52">
        <f t="shared" si="43"/>
        <v>0</v>
      </c>
    </row>
    <row r="31" spans="1:117" s="61" customFormat="1">
      <c r="A31" s="68">
        <v>24</v>
      </c>
      <c r="B31" s="246" t="s">
        <v>381</v>
      </c>
      <c r="C31" s="246" t="s">
        <v>415</v>
      </c>
      <c r="D31" s="246" t="s">
        <v>416</v>
      </c>
      <c r="E31" s="245" t="s">
        <v>1164</v>
      </c>
      <c r="F31" s="161">
        <f t="shared" si="9"/>
        <v>0</v>
      </c>
      <c r="G31" s="165">
        <f t="shared" si="10"/>
        <v>196</v>
      </c>
      <c r="H31" s="54"/>
      <c r="I31" s="219">
        <v>0</v>
      </c>
      <c r="J31" s="219">
        <v>0</v>
      </c>
      <c r="K31" s="127">
        <f t="shared" si="11"/>
        <v>196</v>
      </c>
      <c r="L31" s="127">
        <f t="shared" si="12"/>
        <v>196</v>
      </c>
      <c r="M31" s="127">
        <f t="shared" si="13"/>
        <v>196</v>
      </c>
      <c r="N31" s="131">
        <f t="shared" si="14"/>
        <v>0</v>
      </c>
      <c r="O31" s="125">
        <f t="shared" si="15"/>
        <v>196</v>
      </c>
      <c r="P31" s="52"/>
      <c r="Q31" s="52">
        <v>196</v>
      </c>
      <c r="R31" s="52">
        <f t="shared" si="16"/>
        <v>0</v>
      </c>
      <c r="S31" s="52">
        <f t="shared" si="17"/>
        <v>196</v>
      </c>
      <c r="T31" s="52"/>
      <c r="U31" s="52"/>
      <c r="V31" s="52"/>
      <c r="W31" s="52"/>
      <c r="X31" s="52">
        <f t="shared" si="18"/>
        <v>0</v>
      </c>
      <c r="Y31" s="52">
        <f t="shared" si="18"/>
        <v>0</v>
      </c>
      <c r="Z31" s="52"/>
      <c r="AA31" s="52"/>
      <c r="AB31" s="52"/>
      <c r="AC31" s="52"/>
      <c r="AD31" s="52">
        <f t="shared" si="19"/>
        <v>0</v>
      </c>
      <c r="AE31" s="52">
        <f t="shared" si="19"/>
        <v>0</v>
      </c>
      <c r="AF31" s="52">
        <f t="shared" si="20"/>
        <v>0</v>
      </c>
      <c r="AG31" s="52">
        <f t="shared" si="21"/>
        <v>0</v>
      </c>
      <c r="AH31" s="52">
        <f t="shared" si="22"/>
        <v>196</v>
      </c>
      <c r="AI31" s="52">
        <f t="shared" si="23"/>
        <v>196</v>
      </c>
      <c r="AJ31" s="52">
        <f t="shared" si="24"/>
        <v>196</v>
      </c>
      <c r="AK31" s="52">
        <f t="shared" si="25"/>
        <v>196</v>
      </c>
      <c r="AL31" s="58"/>
      <c r="AM31" s="58"/>
      <c r="AN31" s="58"/>
      <c r="AO31" s="58"/>
      <c r="AP31" s="52">
        <f t="shared" si="26"/>
        <v>0</v>
      </c>
      <c r="AQ31" s="52">
        <f t="shared" si="26"/>
        <v>0</v>
      </c>
      <c r="AR31" s="58"/>
      <c r="AS31" s="58"/>
      <c r="AT31" s="58"/>
      <c r="AU31" s="58"/>
      <c r="AV31" s="52">
        <f t="shared" si="27"/>
        <v>0</v>
      </c>
      <c r="AW31" s="52">
        <f t="shared" si="27"/>
        <v>0</v>
      </c>
      <c r="AX31" s="58"/>
      <c r="AY31" s="58"/>
      <c r="AZ31" s="58"/>
      <c r="BA31" s="58"/>
      <c r="BB31" s="52">
        <f t="shared" si="28"/>
        <v>0</v>
      </c>
      <c r="BC31" s="52"/>
      <c r="BD31" s="52">
        <f t="shared" si="7"/>
        <v>0</v>
      </c>
      <c r="BE31" s="58"/>
      <c r="BF31" s="58"/>
      <c r="BG31" s="58"/>
      <c r="BH31" s="58"/>
      <c r="BI31" s="52">
        <f t="shared" si="29"/>
        <v>0</v>
      </c>
      <c r="BJ31" s="52"/>
      <c r="BK31" s="52">
        <f t="shared" si="8"/>
        <v>0</v>
      </c>
      <c r="BL31" s="58"/>
      <c r="BM31" s="58"/>
      <c r="BN31" s="58"/>
      <c r="BO31" s="58"/>
      <c r="BP31" s="52">
        <f t="shared" si="30"/>
        <v>0</v>
      </c>
      <c r="BQ31" s="52">
        <f t="shared" si="30"/>
        <v>0</v>
      </c>
      <c r="BR31" s="58"/>
      <c r="BS31" s="58"/>
      <c r="BT31" s="58"/>
      <c r="BU31" s="58"/>
      <c r="BV31" s="52">
        <f t="shared" si="31"/>
        <v>0</v>
      </c>
      <c r="BW31" s="52">
        <f t="shared" si="31"/>
        <v>0</v>
      </c>
      <c r="BX31" s="58"/>
      <c r="BY31" s="58"/>
      <c r="BZ31" s="58"/>
      <c r="CA31" s="58"/>
      <c r="CB31" s="52">
        <f t="shared" si="32"/>
        <v>0</v>
      </c>
      <c r="CC31" s="52">
        <f t="shared" si="32"/>
        <v>0</v>
      </c>
      <c r="CD31" s="58"/>
      <c r="CE31" s="58"/>
      <c r="CF31" s="58"/>
      <c r="CG31" s="58"/>
      <c r="CH31" s="52">
        <f t="shared" si="33"/>
        <v>0</v>
      </c>
      <c r="CI31" s="52">
        <f t="shared" si="33"/>
        <v>0</v>
      </c>
      <c r="CJ31" s="58"/>
      <c r="CK31" s="58"/>
      <c r="CL31" s="58"/>
      <c r="CM31" s="58"/>
      <c r="CN31" s="52">
        <f t="shared" si="34"/>
        <v>0</v>
      </c>
      <c r="CO31" s="52">
        <f t="shared" si="34"/>
        <v>0</v>
      </c>
      <c r="CP31" s="58"/>
      <c r="CQ31" s="58"/>
      <c r="CR31" s="58"/>
      <c r="CS31" s="58"/>
      <c r="CT31" s="52">
        <f t="shared" si="35"/>
        <v>0</v>
      </c>
      <c r="CU31" s="52">
        <f t="shared" si="35"/>
        <v>0</v>
      </c>
      <c r="CV31" s="58"/>
      <c r="CW31" s="58"/>
      <c r="CX31" s="58"/>
      <c r="CY31" s="58"/>
      <c r="CZ31" s="52">
        <f t="shared" si="36"/>
        <v>0</v>
      </c>
      <c r="DA31" s="52">
        <f t="shared" si="36"/>
        <v>0</v>
      </c>
      <c r="DB31" s="58"/>
      <c r="DC31" s="58"/>
      <c r="DD31" s="58"/>
      <c r="DE31" s="58"/>
      <c r="DF31" s="52">
        <f t="shared" si="37"/>
        <v>0</v>
      </c>
      <c r="DG31" s="52">
        <f t="shared" si="37"/>
        <v>0</v>
      </c>
      <c r="DH31" s="52">
        <f t="shared" si="38"/>
        <v>0</v>
      </c>
      <c r="DI31" s="52">
        <f t="shared" si="39"/>
        <v>0</v>
      </c>
      <c r="DJ31" s="52">
        <f t="shared" si="40"/>
        <v>0</v>
      </c>
      <c r="DK31" s="52">
        <f t="shared" si="41"/>
        <v>0</v>
      </c>
      <c r="DL31" s="52">
        <f t="shared" si="42"/>
        <v>0</v>
      </c>
      <c r="DM31" s="52">
        <f t="shared" si="43"/>
        <v>0</v>
      </c>
    </row>
    <row r="32" spans="1:117">
      <c r="A32" s="25">
        <v>25</v>
      </c>
      <c r="B32" s="244" t="s">
        <v>381</v>
      </c>
      <c r="C32" s="244" t="s">
        <v>397</v>
      </c>
      <c r="D32" s="244" t="s">
        <v>418</v>
      </c>
      <c r="E32" s="244" t="s">
        <v>1164</v>
      </c>
      <c r="F32" s="131">
        <f t="shared" si="9"/>
        <v>3794</v>
      </c>
      <c r="G32" s="283">
        <f t="shared" si="10"/>
        <v>3794</v>
      </c>
      <c r="H32" s="54">
        <v>0</v>
      </c>
      <c r="I32" s="75">
        <v>0</v>
      </c>
      <c r="J32" s="75">
        <v>0</v>
      </c>
      <c r="K32" s="131">
        <f t="shared" si="11"/>
        <v>0</v>
      </c>
      <c r="L32" s="131">
        <f t="shared" si="12"/>
        <v>0</v>
      </c>
      <c r="M32" s="131">
        <f t="shared" si="13"/>
        <v>0</v>
      </c>
      <c r="N32" s="131">
        <f t="shared" si="14"/>
        <v>3794</v>
      </c>
      <c r="O32" s="131" t="str">
        <f t="shared" si="15"/>
        <v>ნულოვანი შესრულება</v>
      </c>
      <c r="P32" s="52"/>
      <c r="Q32" s="52"/>
      <c r="R32" s="52">
        <f t="shared" si="16"/>
        <v>0</v>
      </c>
      <c r="S32" s="52">
        <f t="shared" si="17"/>
        <v>0</v>
      </c>
      <c r="T32" s="52"/>
      <c r="U32" s="52"/>
      <c r="V32" s="52"/>
      <c r="W32" s="52"/>
      <c r="X32" s="52">
        <f t="shared" si="18"/>
        <v>0</v>
      </c>
      <c r="Y32" s="52">
        <f t="shared" si="18"/>
        <v>0</v>
      </c>
      <c r="Z32" s="52"/>
      <c r="AA32" s="52"/>
      <c r="AB32" s="52"/>
      <c r="AC32" s="52"/>
      <c r="AD32" s="52">
        <f t="shared" si="19"/>
        <v>0</v>
      </c>
      <c r="AE32" s="52">
        <f t="shared" si="19"/>
        <v>0</v>
      </c>
      <c r="AF32" s="52">
        <f t="shared" si="20"/>
        <v>0</v>
      </c>
      <c r="AG32" s="52">
        <f t="shared" si="21"/>
        <v>0</v>
      </c>
      <c r="AH32" s="52">
        <f t="shared" si="22"/>
        <v>0</v>
      </c>
      <c r="AI32" s="52">
        <f t="shared" si="23"/>
        <v>0</v>
      </c>
      <c r="AJ32" s="52">
        <f t="shared" si="24"/>
        <v>0</v>
      </c>
      <c r="AK32" s="52">
        <f t="shared" si="25"/>
        <v>0</v>
      </c>
      <c r="AL32" s="75"/>
      <c r="AM32" s="75"/>
      <c r="AN32" s="75">
        <v>3794</v>
      </c>
      <c r="AO32" s="75"/>
      <c r="AP32" s="75">
        <f t="shared" si="26"/>
        <v>3794</v>
      </c>
      <c r="AQ32" s="75">
        <f t="shared" si="26"/>
        <v>0</v>
      </c>
      <c r="AR32" s="75"/>
      <c r="AS32" s="75"/>
      <c r="AT32" s="75"/>
      <c r="AU32" s="75"/>
      <c r="AV32" s="75">
        <f t="shared" si="27"/>
        <v>0</v>
      </c>
      <c r="AW32" s="75">
        <f t="shared" si="27"/>
        <v>0</v>
      </c>
      <c r="AX32" s="75"/>
      <c r="AY32" s="75"/>
      <c r="AZ32" s="75"/>
      <c r="BA32" s="75"/>
      <c r="BB32" s="75">
        <f t="shared" si="28"/>
        <v>0</v>
      </c>
      <c r="BC32" s="75"/>
      <c r="BD32" s="75">
        <f t="shared" si="7"/>
        <v>0</v>
      </c>
      <c r="BE32" s="75"/>
      <c r="BF32" s="75"/>
      <c r="BG32" s="75"/>
      <c r="BH32" s="75"/>
      <c r="BI32" s="75">
        <f t="shared" si="29"/>
        <v>0</v>
      </c>
      <c r="BJ32" s="75"/>
      <c r="BK32" s="75">
        <f t="shared" si="8"/>
        <v>0</v>
      </c>
      <c r="BL32" s="203"/>
      <c r="BM32" s="203"/>
      <c r="BN32" s="203"/>
      <c r="BO32" s="203"/>
      <c r="BP32" s="75">
        <f t="shared" si="30"/>
        <v>0</v>
      </c>
      <c r="BQ32" s="75">
        <f t="shared" si="30"/>
        <v>0</v>
      </c>
      <c r="BR32" s="203"/>
      <c r="BS32" s="203"/>
      <c r="BT32" s="203"/>
      <c r="BU32" s="203"/>
      <c r="BV32" s="75">
        <f t="shared" si="31"/>
        <v>0</v>
      </c>
      <c r="BW32" s="75">
        <f t="shared" si="31"/>
        <v>0</v>
      </c>
      <c r="BX32" s="203"/>
      <c r="BY32" s="203"/>
      <c r="BZ32" s="203"/>
      <c r="CA32" s="203"/>
      <c r="CB32" s="75">
        <f t="shared" si="32"/>
        <v>0</v>
      </c>
      <c r="CC32" s="75">
        <f t="shared" si="32"/>
        <v>0</v>
      </c>
      <c r="CD32" s="203"/>
      <c r="CE32" s="203"/>
      <c r="CF32" s="203"/>
      <c r="CG32" s="203"/>
      <c r="CH32" s="75">
        <f t="shared" si="33"/>
        <v>0</v>
      </c>
      <c r="CI32" s="75">
        <f t="shared" si="33"/>
        <v>0</v>
      </c>
      <c r="CJ32" s="203"/>
      <c r="CK32" s="203"/>
      <c r="CL32" s="203"/>
      <c r="CM32" s="203"/>
      <c r="CN32" s="75">
        <f t="shared" si="34"/>
        <v>0</v>
      </c>
      <c r="CO32" s="75">
        <f t="shared" si="34"/>
        <v>0</v>
      </c>
      <c r="CP32" s="203"/>
      <c r="CQ32" s="203"/>
      <c r="CR32" s="203"/>
      <c r="CS32" s="203"/>
      <c r="CT32" s="75">
        <f t="shared" si="35"/>
        <v>0</v>
      </c>
      <c r="CU32" s="75">
        <f t="shared" si="35"/>
        <v>0</v>
      </c>
      <c r="CV32" s="203"/>
      <c r="CW32" s="203"/>
      <c r="CX32" s="203"/>
      <c r="CY32" s="203"/>
      <c r="CZ32" s="75">
        <f t="shared" si="36"/>
        <v>0</v>
      </c>
      <c r="DA32" s="75">
        <f t="shared" si="36"/>
        <v>0</v>
      </c>
      <c r="DB32" s="203"/>
      <c r="DC32" s="203"/>
      <c r="DD32" s="203"/>
      <c r="DE32" s="203"/>
      <c r="DF32" s="75">
        <f t="shared" si="37"/>
        <v>0</v>
      </c>
      <c r="DG32" s="75">
        <f t="shared" si="37"/>
        <v>0</v>
      </c>
      <c r="DH32" s="75">
        <f t="shared" si="38"/>
        <v>0</v>
      </c>
      <c r="DI32" s="75">
        <f t="shared" si="39"/>
        <v>0</v>
      </c>
      <c r="DJ32" s="75">
        <f t="shared" si="40"/>
        <v>3794</v>
      </c>
      <c r="DK32" s="75">
        <f t="shared" si="41"/>
        <v>0</v>
      </c>
      <c r="DL32" s="75">
        <f t="shared" si="42"/>
        <v>3794</v>
      </c>
      <c r="DM32" s="75">
        <f t="shared" si="43"/>
        <v>0</v>
      </c>
    </row>
    <row r="33" spans="1:118" s="61" customFormat="1">
      <c r="A33" s="68">
        <v>26</v>
      </c>
      <c r="B33" s="246" t="s">
        <v>386</v>
      </c>
      <c r="C33" s="246" t="s">
        <v>409</v>
      </c>
      <c r="D33" s="246" t="s">
        <v>410</v>
      </c>
      <c r="E33" s="245" t="s">
        <v>1164</v>
      </c>
      <c r="F33" s="161">
        <f t="shared" si="9"/>
        <v>0</v>
      </c>
      <c r="G33" s="165">
        <f t="shared" si="10"/>
        <v>2556</v>
      </c>
      <c r="H33" s="54"/>
      <c r="I33" s="219">
        <v>0</v>
      </c>
      <c r="J33" s="219">
        <v>0</v>
      </c>
      <c r="K33" s="127">
        <f t="shared" si="11"/>
        <v>2556</v>
      </c>
      <c r="L33" s="127">
        <f t="shared" si="12"/>
        <v>2556</v>
      </c>
      <c r="M33" s="127">
        <f t="shared" si="13"/>
        <v>2556</v>
      </c>
      <c r="N33" s="131">
        <f t="shared" si="14"/>
        <v>0</v>
      </c>
      <c r="O33" s="125">
        <f t="shared" si="15"/>
        <v>2556</v>
      </c>
      <c r="P33" s="52"/>
      <c r="Q33" s="52">
        <v>2556</v>
      </c>
      <c r="R33" s="52">
        <f t="shared" si="16"/>
        <v>0</v>
      </c>
      <c r="S33" s="52">
        <f t="shared" si="17"/>
        <v>2556</v>
      </c>
      <c r="T33" s="52"/>
      <c r="U33" s="52"/>
      <c r="V33" s="52"/>
      <c r="W33" s="52"/>
      <c r="X33" s="52">
        <f t="shared" si="18"/>
        <v>0</v>
      </c>
      <c r="Y33" s="52">
        <f t="shared" si="18"/>
        <v>0</v>
      </c>
      <c r="Z33" s="52"/>
      <c r="AA33" s="52"/>
      <c r="AB33" s="52"/>
      <c r="AC33" s="52"/>
      <c r="AD33" s="52">
        <f t="shared" si="19"/>
        <v>0</v>
      </c>
      <c r="AE33" s="52">
        <f t="shared" si="19"/>
        <v>0</v>
      </c>
      <c r="AF33" s="52">
        <f t="shared" si="20"/>
        <v>0</v>
      </c>
      <c r="AG33" s="52">
        <f t="shared" si="21"/>
        <v>0</v>
      </c>
      <c r="AH33" s="52">
        <f t="shared" si="22"/>
        <v>2556</v>
      </c>
      <c r="AI33" s="52">
        <f t="shared" si="23"/>
        <v>2556</v>
      </c>
      <c r="AJ33" s="52">
        <f t="shared" si="24"/>
        <v>2556</v>
      </c>
      <c r="AK33" s="52">
        <f t="shared" si="25"/>
        <v>2556</v>
      </c>
      <c r="AL33" s="58"/>
      <c r="AM33" s="58"/>
      <c r="AN33" s="58"/>
      <c r="AO33" s="58"/>
      <c r="AP33" s="52">
        <f t="shared" si="26"/>
        <v>0</v>
      </c>
      <c r="AQ33" s="52">
        <f t="shared" si="26"/>
        <v>0</v>
      </c>
      <c r="AR33" s="58"/>
      <c r="AS33" s="58"/>
      <c r="AT33" s="58"/>
      <c r="AU33" s="58"/>
      <c r="AV33" s="52">
        <f t="shared" si="27"/>
        <v>0</v>
      </c>
      <c r="AW33" s="52">
        <f t="shared" si="27"/>
        <v>0</v>
      </c>
      <c r="AX33" s="58"/>
      <c r="AY33" s="58"/>
      <c r="AZ33" s="58"/>
      <c r="BA33" s="58"/>
      <c r="BB33" s="52">
        <f t="shared" si="28"/>
        <v>0</v>
      </c>
      <c r="BC33" s="52"/>
      <c r="BD33" s="52">
        <f t="shared" si="7"/>
        <v>0</v>
      </c>
      <c r="BE33" s="58"/>
      <c r="BF33" s="58"/>
      <c r="BG33" s="58"/>
      <c r="BH33" s="58"/>
      <c r="BI33" s="52">
        <f t="shared" si="29"/>
        <v>0</v>
      </c>
      <c r="BJ33" s="52"/>
      <c r="BK33" s="52">
        <f t="shared" si="8"/>
        <v>0</v>
      </c>
      <c r="BL33" s="58"/>
      <c r="BM33" s="58"/>
      <c r="BN33" s="58"/>
      <c r="BO33" s="58"/>
      <c r="BP33" s="52">
        <f t="shared" si="30"/>
        <v>0</v>
      </c>
      <c r="BQ33" s="52">
        <f t="shared" si="30"/>
        <v>0</v>
      </c>
      <c r="BR33" s="58"/>
      <c r="BS33" s="58"/>
      <c r="BT33" s="58"/>
      <c r="BU33" s="58"/>
      <c r="BV33" s="52">
        <f t="shared" si="31"/>
        <v>0</v>
      </c>
      <c r="BW33" s="52">
        <f t="shared" si="31"/>
        <v>0</v>
      </c>
      <c r="BX33" s="58"/>
      <c r="BY33" s="58"/>
      <c r="BZ33" s="58"/>
      <c r="CA33" s="58"/>
      <c r="CB33" s="52">
        <f t="shared" si="32"/>
        <v>0</v>
      </c>
      <c r="CC33" s="52">
        <f t="shared" si="32"/>
        <v>0</v>
      </c>
      <c r="CD33" s="58"/>
      <c r="CE33" s="58"/>
      <c r="CF33" s="58"/>
      <c r="CG33" s="58"/>
      <c r="CH33" s="52">
        <f t="shared" si="33"/>
        <v>0</v>
      </c>
      <c r="CI33" s="52">
        <f t="shared" si="33"/>
        <v>0</v>
      </c>
      <c r="CJ33" s="58"/>
      <c r="CK33" s="58"/>
      <c r="CL33" s="58"/>
      <c r="CM33" s="58"/>
      <c r="CN33" s="52">
        <f t="shared" si="34"/>
        <v>0</v>
      </c>
      <c r="CO33" s="52">
        <f t="shared" si="34"/>
        <v>0</v>
      </c>
      <c r="CP33" s="58"/>
      <c r="CQ33" s="58"/>
      <c r="CR33" s="58"/>
      <c r="CS33" s="58"/>
      <c r="CT33" s="52">
        <f t="shared" si="35"/>
        <v>0</v>
      </c>
      <c r="CU33" s="52">
        <f t="shared" si="35"/>
        <v>0</v>
      </c>
      <c r="CV33" s="58"/>
      <c r="CW33" s="58"/>
      <c r="CX33" s="58"/>
      <c r="CY33" s="58"/>
      <c r="CZ33" s="52">
        <f t="shared" si="36"/>
        <v>0</v>
      </c>
      <c r="DA33" s="52">
        <f t="shared" si="36"/>
        <v>0</v>
      </c>
      <c r="DB33" s="58"/>
      <c r="DC33" s="58"/>
      <c r="DD33" s="58"/>
      <c r="DE33" s="58"/>
      <c r="DF33" s="52">
        <f t="shared" si="37"/>
        <v>0</v>
      </c>
      <c r="DG33" s="52">
        <f t="shared" si="37"/>
        <v>0</v>
      </c>
      <c r="DH33" s="52">
        <f t="shared" si="38"/>
        <v>0</v>
      </c>
      <c r="DI33" s="52">
        <f t="shared" si="39"/>
        <v>0</v>
      </c>
      <c r="DJ33" s="52">
        <f t="shared" si="40"/>
        <v>0</v>
      </c>
      <c r="DK33" s="52">
        <f t="shared" si="41"/>
        <v>0</v>
      </c>
      <c r="DL33" s="52">
        <f t="shared" si="42"/>
        <v>0</v>
      </c>
      <c r="DM33" s="52">
        <f t="shared" si="43"/>
        <v>0</v>
      </c>
    </row>
    <row r="34" spans="1:118">
      <c r="A34" s="25">
        <v>27</v>
      </c>
      <c r="B34" s="244" t="s">
        <v>386</v>
      </c>
      <c r="C34" s="244" t="s">
        <v>387</v>
      </c>
      <c r="D34" s="244" t="s">
        <v>419</v>
      </c>
      <c r="E34" s="244" t="s">
        <v>1164</v>
      </c>
      <c r="F34" s="131">
        <f t="shared" si="9"/>
        <v>7393.75</v>
      </c>
      <c r="G34" s="283">
        <f t="shared" si="10"/>
        <v>7393.75</v>
      </c>
      <c r="H34" s="54">
        <v>0</v>
      </c>
      <c r="I34" s="75">
        <v>0</v>
      </c>
      <c r="J34" s="75">
        <v>0</v>
      </c>
      <c r="K34" s="131">
        <f t="shared" si="11"/>
        <v>0</v>
      </c>
      <c r="L34" s="131">
        <f t="shared" si="12"/>
        <v>0</v>
      </c>
      <c r="M34" s="131">
        <f t="shared" si="13"/>
        <v>0</v>
      </c>
      <c r="N34" s="131">
        <f t="shared" si="14"/>
        <v>7393.75</v>
      </c>
      <c r="O34" s="131" t="str">
        <f t="shared" si="15"/>
        <v>ნულოვანი შესრულება</v>
      </c>
      <c r="P34" s="52"/>
      <c r="Q34" s="52"/>
      <c r="R34" s="52">
        <f t="shared" si="16"/>
        <v>0</v>
      </c>
      <c r="S34" s="52">
        <f t="shared" si="17"/>
        <v>0</v>
      </c>
      <c r="T34" s="52"/>
      <c r="U34" s="52"/>
      <c r="V34" s="52"/>
      <c r="W34" s="52"/>
      <c r="X34" s="52">
        <f t="shared" si="18"/>
        <v>0</v>
      </c>
      <c r="Y34" s="52">
        <f t="shared" si="18"/>
        <v>0</v>
      </c>
      <c r="Z34" s="52"/>
      <c r="AA34" s="52"/>
      <c r="AB34" s="52"/>
      <c r="AC34" s="52"/>
      <c r="AD34" s="52">
        <f t="shared" si="19"/>
        <v>0</v>
      </c>
      <c r="AE34" s="52">
        <f t="shared" si="19"/>
        <v>0</v>
      </c>
      <c r="AF34" s="52">
        <f t="shared" si="20"/>
        <v>0</v>
      </c>
      <c r="AG34" s="52">
        <f t="shared" si="21"/>
        <v>0</v>
      </c>
      <c r="AH34" s="52">
        <f t="shared" si="22"/>
        <v>0</v>
      </c>
      <c r="AI34" s="52">
        <f t="shared" si="23"/>
        <v>0</v>
      </c>
      <c r="AJ34" s="52">
        <f t="shared" si="24"/>
        <v>0</v>
      </c>
      <c r="AK34" s="52">
        <f t="shared" si="25"/>
        <v>0</v>
      </c>
      <c r="AL34" s="75"/>
      <c r="AM34" s="75"/>
      <c r="AN34" s="75">
        <v>7393.75</v>
      </c>
      <c r="AO34" s="75"/>
      <c r="AP34" s="75">
        <f t="shared" si="26"/>
        <v>7393.75</v>
      </c>
      <c r="AQ34" s="75">
        <f t="shared" si="26"/>
        <v>0</v>
      </c>
      <c r="AR34" s="75"/>
      <c r="AS34" s="75"/>
      <c r="AT34" s="75"/>
      <c r="AU34" s="75"/>
      <c r="AV34" s="75">
        <f t="shared" si="27"/>
        <v>0</v>
      </c>
      <c r="AW34" s="75">
        <f t="shared" si="27"/>
        <v>0</v>
      </c>
      <c r="AX34" s="75"/>
      <c r="AY34" s="75"/>
      <c r="AZ34" s="75"/>
      <c r="BA34" s="75"/>
      <c r="BB34" s="75">
        <f t="shared" si="28"/>
        <v>0</v>
      </c>
      <c r="BC34" s="75"/>
      <c r="BD34" s="75">
        <f t="shared" si="7"/>
        <v>0</v>
      </c>
      <c r="BE34" s="75"/>
      <c r="BF34" s="75"/>
      <c r="BG34" s="75"/>
      <c r="BH34" s="75"/>
      <c r="BI34" s="75">
        <f t="shared" si="29"/>
        <v>0</v>
      </c>
      <c r="BJ34" s="75"/>
      <c r="BK34" s="75">
        <f t="shared" si="8"/>
        <v>0</v>
      </c>
      <c r="BL34" s="75"/>
      <c r="BM34" s="75"/>
      <c r="BN34" s="75"/>
      <c r="BO34" s="75"/>
      <c r="BP34" s="75">
        <f t="shared" si="30"/>
        <v>0</v>
      </c>
      <c r="BQ34" s="75">
        <f t="shared" si="30"/>
        <v>0</v>
      </c>
      <c r="BR34" s="75"/>
      <c r="BS34" s="75"/>
      <c r="BT34" s="75"/>
      <c r="BU34" s="75"/>
      <c r="BV34" s="75">
        <f t="shared" si="31"/>
        <v>0</v>
      </c>
      <c r="BW34" s="75">
        <f t="shared" si="31"/>
        <v>0</v>
      </c>
      <c r="BX34" s="75"/>
      <c r="BY34" s="75"/>
      <c r="BZ34" s="75"/>
      <c r="CA34" s="75"/>
      <c r="CB34" s="75">
        <f t="shared" si="32"/>
        <v>0</v>
      </c>
      <c r="CC34" s="75">
        <f t="shared" si="32"/>
        <v>0</v>
      </c>
      <c r="CD34" s="75"/>
      <c r="CE34" s="75"/>
      <c r="CF34" s="75"/>
      <c r="CG34" s="75"/>
      <c r="CH34" s="75">
        <f t="shared" si="33"/>
        <v>0</v>
      </c>
      <c r="CI34" s="75">
        <f t="shared" si="33"/>
        <v>0</v>
      </c>
      <c r="CJ34" s="75"/>
      <c r="CK34" s="75"/>
      <c r="CL34" s="75"/>
      <c r="CM34" s="75"/>
      <c r="CN34" s="75">
        <f t="shared" si="34"/>
        <v>0</v>
      </c>
      <c r="CO34" s="75">
        <f t="shared" si="34"/>
        <v>0</v>
      </c>
      <c r="CP34" s="75"/>
      <c r="CQ34" s="75"/>
      <c r="CR34" s="75"/>
      <c r="CS34" s="75"/>
      <c r="CT34" s="75">
        <f t="shared" si="35"/>
        <v>0</v>
      </c>
      <c r="CU34" s="75">
        <f t="shared" si="35"/>
        <v>0</v>
      </c>
      <c r="CV34" s="75"/>
      <c r="CW34" s="75"/>
      <c r="CX34" s="75"/>
      <c r="CY34" s="75"/>
      <c r="CZ34" s="75">
        <f t="shared" si="36"/>
        <v>0</v>
      </c>
      <c r="DA34" s="75">
        <f t="shared" si="36"/>
        <v>0</v>
      </c>
      <c r="DB34" s="75"/>
      <c r="DC34" s="75"/>
      <c r="DD34" s="75"/>
      <c r="DE34" s="75"/>
      <c r="DF34" s="75">
        <f t="shared" si="37"/>
        <v>0</v>
      </c>
      <c r="DG34" s="75">
        <f t="shared" si="37"/>
        <v>0</v>
      </c>
      <c r="DH34" s="75">
        <f t="shared" si="38"/>
        <v>0</v>
      </c>
      <c r="DI34" s="75">
        <f t="shared" si="39"/>
        <v>0</v>
      </c>
      <c r="DJ34" s="75">
        <f t="shared" si="40"/>
        <v>7393.75</v>
      </c>
      <c r="DK34" s="75">
        <f t="shared" si="41"/>
        <v>0</v>
      </c>
      <c r="DL34" s="75">
        <f t="shared" si="42"/>
        <v>7393.75</v>
      </c>
      <c r="DM34" s="75">
        <f t="shared" si="43"/>
        <v>0</v>
      </c>
    </row>
    <row r="35" spans="1:118" s="61" customFormat="1">
      <c r="A35" s="68">
        <v>28</v>
      </c>
      <c r="B35" s="246" t="s">
        <v>386</v>
      </c>
      <c r="C35" s="246" t="s">
        <v>679</v>
      </c>
      <c r="D35" s="246" t="s">
        <v>1224</v>
      </c>
      <c r="E35" s="245" t="s">
        <v>1164</v>
      </c>
      <c r="F35" s="161">
        <f t="shared" si="9"/>
        <v>0</v>
      </c>
      <c r="G35" s="165">
        <f t="shared" si="10"/>
        <v>5328.75</v>
      </c>
      <c r="H35" s="54"/>
      <c r="I35" s="219">
        <v>0</v>
      </c>
      <c r="J35" s="219">
        <v>0</v>
      </c>
      <c r="K35" s="127">
        <f t="shared" si="11"/>
        <v>5328.75</v>
      </c>
      <c r="L35" s="127">
        <f t="shared" si="12"/>
        <v>5328.75</v>
      </c>
      <c r="M35" s="127">
        <f t="shared" si="13"/>
        <v>5328.75</v>
      </c>
      <c r="N35" s="131">
        <f t="shared" si="14"/>
        <v>0</v>
      </c>
      <c r="O35" s="125">
        <f t="shared" si="15"/>
        <v>5328.75</v>
      </c>
      <c r="P35" s="52">
        <v>0</v>
      </c>
      <c r="Q35" s="52">
        <v>5328.75</v>
      </c>
      <c r="R35" s="52">
        <f t="shared" si="16"/>
        <v>0</v>
      </c>
      <c r="S35" s="52">
        <f t="shared" si="17"/>
        <v>5328.75</v>
      </c>
      <c r="T35" s="52"/>
      <c r="U35" s="52"/>
      <c r="V35" s="52"/>
      <c r="W35" s="52"/>
      <c r="X35" s="52"/>
      <c r="Y35" s="52"/>
      <c r="Z35" s="52"/>
      <c r="AA35" s="52"/>
      <c r="AB35" s="52"/>
      <c r="AC35" s="52"/>
      <c r="AD35" s="52"/>
      <c r="AE35" s="52"/>
      <c r="AF35" s="52">
        <f t="shared" si="20"/>
        <v>0</v>
      </c>
      <c r="AG35" s="52">
        <f t="shared" si="21"/>
        <v>0</v>
      </c>
      <c r="AH35" s="52">
        <f t="shared" si="22"/>
        <v>5328.75</v>
      </c>
      <c r="AI35" s="52">
        <f t="shared" si="23"/>
        <v>5328.75</v>
      </c>
      <c r="AJ35" s="52">
        <f t="shared" si="24"/>
        <v>5328.75</v>
      </c>
      <c r="AK35" s="52">
        <f t="shared" si="25"/>
        <v>5328.75</v>
      </c>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c r="CS35" s="52"/>
      <c r="CT35" s="52"/>
      <c r="CU35" s="52"/>
      <c r="CV35" s="52"/>
      <c r="CW35" s="52"/>
      <c r="CX35" s="52"/>
      <c r="CY35" s="52"/>
      <c r="CZ35" s="52"/>
      <c r="DA35" s="52"/>
      <c r="DB35" s="52"/>
      <c r="DC35" s="52"/>
      <c r="DD35" s="52"/>
      <c r="DE35" s="52"/>
      <c r="DF35" s="52"/>
      <c r="DG35" s="52"/>
      <c r="DH35" s="52">
        <f t="shared" si="38"/>
        <v>0</v>
      </c>
      <c r="DI35" s="52">
        <f t="shared" si="39"/>
        <v>0</v>
      </c>
      <c r="DJ35" s="52">
        <f t="shared" si="40"/>
        <v>0</v>
      </c>
      <c r="DK35" s="52">
        <f t="shared" si="41"/>
        <v>0</v>
      </c>
      <c r="DL35" s="52">
        <f t="shared" si="42"/>
        <v>0</v>
      </c>
      <c r="DM35" s="52">
        <f t="shared" si="43"/>
        <v>0</v>
      </c>
    </row>
    <row r="36" spans="1:118" s="61" customFormat="1">
      <c r="A36" s="68">
        <v>29</v>
      </c>
      <c r="B36" s="246" t="s">
        <v>386</v>
      </c>
      <c r="C36" s="246" t="s">
        <v>679</v>
      </c>
      <c r="D36" s="246" t="s">
        <v>1225</v>
      </c>
      <c r="E36" s="245" t="s">
        <v>1165</v>
      </c>
      <c r="F36" s="161">
        <f t="shared" si="9"/>
        <v>0</v>
      </c>
      <c r="G36" s="165">
        <f t="shared" si="10"/>
        <v>117994</v>
      </c>
      <c r="H36" s="54"/>
      <c r="I36" s="219">
        <v>0</v>
      </c>
      <c r="J36" s="219">
        <v>0</v>
      </c>
      <c r="K36" s="127">
        <f t="shared" si="11"/>
        <v>117994</v>
      </c>
      <c r="L36" s="127">
        <f t="shared" si="12"/>
        <v>117994</v>
      </c>
      <c r="M36" s="127">
        <f t="shared" si="13"/>
        <v>117994</v>
      </c>
      <c r="N36" s="131">
        <f t="shared" si="14"/>
        <v>0</v>
      </c>
      <c r="O36" s="125">
        <f t="shared" si="15"/>
        <v>117994</v>
      </c>
      <c r="P36" s="52">
        <v>0</v>
      </c>
      <c r="Q36" s="52">
        <v>117994</v>
      </c>
      <c r="R36" s="52">
        <f t="shared" si="16"/>
        <v>0</v>
      </c>
      <c r="S36" s="52">
        <f t="shared" si="17"/>
        <v>117994</v>
      </c>
      <c r="T36" s="52"/>
      <c r="U36" s="52"/>
      <c r="V36" s="52"/>
      <c r="W36" s="52"/>
      <c r="X36" s="52"/>
      <c r="Y36" s="52"/>
      <c r="Z36" s="52"/>
      <c r="AA36" s="52"/>
      <c r="AB36" s="52"/>
      <c r="AC36" s="52"/>
      <c r="AD36" s="52"/>
      <c r="AE36" s="52"/>
      <c r="AF36" s="52">
        <f t="shared" si="20"/>
        <v>0</v>
      </c>
      <c r="AG36" s="52">
        <f t="shared" si="21"/>
        <v>0</v>
      </c>
      <c r="AH36" s="52">
        <f t="shared" si="22"/>
        <v>117994</v>
      </c>
      <c r="AI36" s="52">
        <f t="shared" si="23"/>
        <v>117994</v>
      </c>
      <c r="AJ36" s="52">
        <f t="shared" si="24"/>
        <v>117994</v>
      </c>
      <c r="AK36" s="52">
        <f t="shared" si="25"/>
        <v>117994</v>
      </c>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c r="CS36" s="52"/>
      <c r="CT36" s="52"/>
      <c r="CU36" s="52"/>
      <c r="CV36" s="52"/>
      <c r="CW36" s="52"/>
      <c r="CX36" s="52"/>
      <c r="CY36" s="52"/>
      <c r="CZ36" s="52"/>
      <c r="DA36" s="52"/>
      <c r="DB36" s="52"/>
      <c r="DC36" s="52"/>
      <c r="DD36" s="52"/>
      <c r="DE36" s="52"/>
      <c r="DF36" s="52"/>
      <c r="DG36" s="52"/>
      <c r="DH36" s="52">
        <f t="shared" si="38"/>
        <v>0</v>
      </c>
      <c r="DI36" s="52">
        <f t="shared" si="39"/>
        <v>0</v>
      </c>
      <c r="DJ36" s="52">
        <f t="shared" si="40"/>
        <v>0</v>
      </c>
      <c r="DK36" s="52">
        <f t="shared" si="41"/>
        <v>0</v>
      </c>
      <c r="DL36" s="52">
        <f t="shared" si="42"/>
        <v>0</v>
      </c>
      <c r="DM36" s="52">
        <f t="shared" si="43"/>
        <v>0</v>
      </c>
    </row>
    <row r="37" spans="1:118">
      <c r="A37" s="25">
        <v>30</v>
      </c>
      <c r="B37" s="244" t="s">
        <v>386</v>
      </c>
      <c r="C37" s="244" t="s">
        <v>401</v>
      </c>
      <c r="D37" s="244" t="s">
        <v>420</v>
      </c>
      <c r="E37" s="244" t="s">
        <v>1164</v>
      </c>
      <c r="F37" s="131">
        <f t="shared" si="9"/>
        <v>9024.75</v>
      </c>
      <c r="G37" s="283">
        <f t="shared" si="10"/>
        <v>9024.75</v>
      </c>
      <c r="H37" s="54">
        <v>0</v>
      </c>
      <c r="I37" s="75">
        <v>0</v>
      </c>
      <c r="J37" s="75">
        <v>0</v>
      </c>
      <c r="K37" s="131">
        <f t="shared" si="11"/>
        <v>0</v>
      </c>
      <c r="L37" s="131">
        <f t="shared" si="12"/>
        <v>0</v>
      </c>
      <c r="M37" s="131">
        <f t="shared" si="13"/>
        <v>0</v>
      </c>
      <c r="N37" s="131">
        <f t="shared" si="14"/>
        <v>9024.75</v>
      </c>
      <c r="O37" s="131" t="str">
        <f t="shared" si="15"/>
        <v>ნულოვანი შესრულება</v>
      </c>
      <c r="P37" s="52"/>
      <c r="Q37" s="52"/>
      <c r="R37" s="52">
        <f t="shared" si="16"/>
        <v>0</v>
      </c>
      <c r="S37" s="52">
        <f t="shared" si="17"/>
        <v>0</v>
      </c>
      <c r="T37" s="52"/>
      <c r="U37" s="52"/>
      <c r="V37" s="52"/>
      <c r="W37" s="52"/>
      <c r="X37" s="52">
        <f t="shared" si="18"/>
        <v>0</v>
      </c>
      <c r="Y37" s="52">
        <f t="shared" si="18"/>
        <v>0</v>
      </c>
      <c r="Z37" s="52"/>
      <c r="AA37" s="52"/>
      <c r="AB37" s="52"/>
      <c r="AC37" s="52"/>
      <c r="AD37" s="52">
        <f t="shared" si="19"/>
        <v>0</v>
      </c>
      <c r="AE37" s="52">
        <f t="shared" si="19"/>
        <v>0</v>
      </c>
      <c r="AF37" s="52">
        <f t="shared" si="20"/>
        <v>0</v>
      </c>
      <c r="AG37" s="52">
        <f t="shared" si="21"/>
        <v>0</v>
      </c>
      <c r="AH37" s="52">
        <f t="shared" si="22"/>
        <v>0</v>
      </c>
      <c r="AI37" s="52">
        <f t="shared" si="23"/>
        <v>0</v>
      </c>
      <c r="AJ37" s="52">
        <f t="shared" si="24"/>
        <v>0</v>
      </c>
      <c r="AK37" s="52">
        <f t="shared" si="25"/>
        <v>0</v>
      </c>
      <c r="AL37" s="75"/>
      <c r="AM37" s="75"/>
      <c r="AN37" s="75">
        <v>2024.75</v>
      </c>
      <c r="AO37" s="75"/>
      <c r="AP37" s="75">
        <f t="shared" si="26"/>
        <v>2024.75</v>
      </c>
      <c r="AQ37" s="75">
        <f t="shared" si="26"/>
        <v>0</v>
      </c>
      <c r="AR37" s="75"/>
      <c r="AS37" s="75"/>
      <c r="AT37" s="75">
        <v>7000</v>
      </c>
      <c r="AU37" s="75"/>
      <c r="AV37" s="75">
        <f t="shared" si="27"/>
        <v>7000</v>
      </c>
      <c r="AW37" s="75">
        <f t="shared" si="27"/>
        <v>0</v>
      </c>
      <c r="AX37" s="75"/>
      <c r="AY37" s="75"/>
      <c r="AZ37" s="75"/>
      <c r="BA37" s="75"/>
      <c r="BB37" s="75">
        <f t="shared" si="28"/>
        <v>0</v>
      </c>
      <c r="BC37" s="75"/>
      <c r="BD37" s="75">
        <f>AY37+BA37</f>
        <v>0</v>
      </c>
      <c r="BE37" s="75"/>
      <c r="BF37" s="75"/>
      <c r="BG37" s="75"/>
      <c r="BH37" s="75"/>
      <c r="BI37" s="75">
        <f t="shared" si="29"/>
        <v>0</v>
      </c>
      <c r="BJ37" s="75"/>
      <c r="BK37" s="75">
        <f>BF37+BH37</f>
        <v>0</v>
      </c>
      <c r="BL37" s="75"/>
      <c r="BM37" s="75"/>
      <c r="BN37" s="75"/>
      <c r="BO37" s="75"/>
      <c r="BP37" s="75">
        <f t="shared" si="30"/>
        <v>0</v>
      </c>
      <c r="BQ37" s="75">
        <f t="shared" si="30"/>
        <v>0</v>
      </c>
      <c r="BR37" s="75"/>
      <c r="BS37" s="75"/>
      <c r="BT37" s="75"/>
      <c r="BU37" s="75"/>
      <c r="BV37" s="75">
        <f t="shared" si="31"/>
        <v>0</v>
      </c>
      <c r="BW37" s="75">
        <f t="shared" si="31"/>
        <v>0</v>
      </c>
      <c r="BX37" s="75"/>
      <c r="BY37" s="75"/>
      <c r="BZ37" s="75"/>
      <c r="CA37" s="75"/>
      <c r="CB37" s="75">
        <f t="shared" si="32"/>
        <v>0</v>
      </c>
      <c r="CC37" s="75">
        <f t="shared" si="32"/>
        <v>0</v>
      </c>
      <c r="CD37" s="75"/>
      <c r="CE37" s="75"/>
      <c r="CF37" s="75"/>
      <c r="CG37" s="75"/>
      <c r="CH37" s="75">
        <f t="shared" si="33"/>
        <v>0</v>
      </c>
      <c r="CI37" s="75">
        <f t="shared" si="33"/>
        <v>0</v>
      </c>
      <c r="CJ37" s="75"/>
      <c r="CK37" s="75"/>
      <c r="CL37" s="75"/>
      <c r="CM37" s="75"/>
      <c r="CN37" s="75">
        <f t="shared" si="34"/>
        <v>0</v>
      </c>
      <c r="CO37" s="75">
        <f t="shared" si="34"/>
        <v>0</v>
      </c>
      <c r="CP37" s="75"/>
      <c r="CQ37" s="75"/>
      <c r="CR37" s="75"/>
      <c r="CS37" s="75"/>
      <c r="CT37" s="75">
        <f t="shared" si="35"/>
        <v>0</v>
      </c>
      <c r="CU37" s="75">
        <f t="shared" si="35"/>
        <v>0</v>
      </c>
      <c r="CV37" s="75"/>
      <c r="CW37" s="75"/>
      <c r="CX37" s="75"/>
      <c r="CY37" s="75"/>
      <c r="CZ37" s="75">
        <f t="shared" si="36"/>
        <v>0</v>
      </c>
      <c r="DA37" s="75">
        <f t="shared" si="36"/>
        <v>0</v>
      </c>
      <c r="DB37" s="75"/>
      <c r="DC37" s="75"/>
      <c r="DD37" s="75"/>
      <c r="DE37" s="75"/>
      <c r="DF37" s="75">
        <f t="shared" si="37"/>
        <v>0</v>
      </c>
      <c r="DG37" s="75">
        <f t="shared" si="37"/>
        <v>0</v>
      </c>
      <c r="DH37" s="75">
        <f t="shared" si="38"/>
        <v>0</v>
      </c>
      <c r="DI37" s="75">
        <f t="shared" si="39"/>
        <v>0</v>
      </c>
      <c r="DJ37" s="75">
        <f t="shared" si="40"/>
        <v>9024.75</v>
      </c>
      <c r="DK37" s="75">
        <f t="shared" si="41"/>
        <v>0</v>
      </c>
      <c r="DL37" s="75">
        <f t="shared" si="42"/>
        <v>9024.75</v>
      </c>
      <c r="DM37" s="75">
        <f t="shared" si="43"/>
        <v>0</v>
      </c>
    </row>
    <row r="38" spans="1:118">
      <c r="A38" s="25">
        <v>31</v>
      </c>
      <c r="B38" s="244" t="s">
        <v>381</v>
      </c>
      <c r="C38" s="244" t="s">
        <v>403</v>
      </c>
      <c r="D38" s="244" t="s">
        <v>404</v>
      </c>
      <c r="E38" s="244" t="s">
        <v>1164</v>
      </c>
      <c r="F38" s="131">
        <f t="shared" si="9"/>
        <v>1000</v>
      </c>
      <c r="G38" s="283">
        <f t="shared" si="10"/>
        <v>1000</v>
      </c>
      <c r="H38" s="252">
        <v>0</v>
      </c>
      <c r="I38" s="75">
        <v>0</v>
      </c>
      <c r="J38" s="75">
        <v>0</v>
      </c>
      <c r="K38" s="131">
        <f t="shared" si="11"/>
        <v>0</v>
      </c>
      <c r="L38" s="131">
        <f t="shared" si="12"/>
        <v>0</v>
      </c>
      <c r="M38" s="131">
        <f t="shared" si="13"/>
        <v>0</v>
      </c>
      <c r="N38" s="131">
        <f t="shared" si="14"/>
        <v>1000</v>
      </c>
      <c r="O38" s="131" t="str">
        <f t="shared" si="15"/>
        <v>ნულოვანი შესრულება</v>
      </c>
      <c r="P38" s="52"/>
      <c r="Q38" s="52"/>
      <c r="R38" s="52">
        <f t="shared" si="16"/>
        <v>0</v>
      </c>
      <c r="S38" s="52">
        <f t="shared" si="17"/>
        <v>0</v>
      </c>
      <c r="T38" s="52"/>
      <c r="U38" s="52"/>
      <c r="V38" s="52"/>
      <c r="W38" s="52"/>
      <c r="X38" s="52">
        <f t="shared" si="18"/>
        <v>0</v>
      </c>
      <c r="Y38" s="52">
        <f t="shared" si="18"/>
        <v>0</v>
      </c>
      <c r="Z38" s="52"/>
      <c r="AA38" s="52"/>
      <c r="AB38" s="52"/>
      <c r="AC38" s="52"/>
      <c r="AD38" s="52">
        <f t="shared" si="19"/>
        <v>0</v>
      </c>
      <c r="AE38" s="52">
        <f t="shared" si="19"/>
        <v>0</v>
      </c>
      <c r="AF38" s="52">
        <f t="shared" si="20"/>
        <v>0</v>
      </c>
      <c r="AG38" s="52">
        <f t="shared" si="21"/>
        <v>0</v>
      </c>
      <c r="AH38" s="52">
        <f t="shared" si="22"/>
        <v>0</v>
      </c>
      <c r="AI38" s="52">
        <f t="shared" si="23"/>
        <v>0</v>
      </c>
      <c r="AJ38" s="52">
        <f t="shared" si="24"/>
        <v>0</v>
      </c>
      <c r="AK38" s="52">
        <f t="shared" si="25"/>
        <v>0</v>
      </c>
      <c r="AL38" s="269"/>
      <c r="AM38" s="269"/>
      <c r="AN38" s="269"/>
      <c r="AO38" s="269"/>
      <c r="AP38" s="75">
        <f t="shared" si="26"/>
        <v>0</v>
      </c>
      <c r="AQ38" s="75">
        <f t="shared" si="26"/>
        <v>0</v>
      </c>
      <c r="AR38" s="269"/>
      <c r="AS38" s="269"/>
      <c r="AT38" s="269">
        <v>1000</v>
      </c>
      <c r="AU38" s="269"/>
      <c r="AV38" s="75">
        <f t="shared" si="27"/>
        <v>1000</v>
      </c>
      <c r="AW38" s="75">
        <f t="shared" si="27"/>
        <v>0</v>
      </c>
      <c r="AX38" s="269"/>
      <c r="AY38" s="269"/>
      <c r="AZ38" s="269"/>
      <c r="BA38" s="269"/>
      <c r="BB38" s="75">
        <f t="shared" si="28"/>
        <v>0</v>
      </c>
      <c r="BC38" s="75"/>
      <c r="BD38" s="75">
        <f>AY38+BA38</f>
        <v>0</v>
      </c>
      <c r="BE38" s="269"/>
      <c r="BF38" s="269"/>
      <c r="BG38" s="269"/>
      <c r="BH38" s="269"/>
      <c r="BI38" s="75">
        <f t="shared" si="29"/>
        <v>0</v>
      </c>
      <c r="BJ38" s="75"/>
      <c r="BK38" s="75">
        <f>BF38+BH38</f>
        <v>0</v>
      </c>
      <c r="BL38" s="269"/>
      <c r="BM38" s="269"/>
      <c r="BN38" s="269"/>
      <c r="BO38" s="269"/>
      <c r="BP38" s="75">
        <f t="shared" si="30"/>
        <v>0</v>
      </c>
      <c r="BQ38" s="75">
        <f t="shared" si="30"/>
        <v>0</v>
      </c>
      <c r="BR38" s="269"/>
      <c r="BS38" s="269"/>
      <c r="BT38" s="269"/>
      <c r="BU38" s="269"/>
      <c r="BV38" s="75">
        <f t="shared" si="31"/>
        <v>0</v>
      </c>
      <c r="BW38" s="75">
        <f t="shared" si="31"/>
        <v>0</v>
      </c>
      <c r="BX38" s="269"/>
      <c r="BY38" s="269"/>
      <c r="BZ38" s="269"/>
      <c r="CA38" s="269"/>
      <c r="CB38" s="75">
        <f t="shared" si="32"/>
        <v>0</v>
      </c>
      <c r="CC38" s="75">
        <f t="shared" si="32"/>
        <v>0</v>
      </c>
      <c r="CD38" s="269"/>
      <c r="CE38" s="269"/>
      <c r="CF38" s="269"/>
      <c r="CG38" s="269"/>
      <c r="CH38" s="75">
        <f t="shared" si="33"/>
        <v>0</v>
      </c>
      <c r="CI38" s="75">
        <f t="shared" si="33"/>
        <v>0</v>
      </c>
      <c r="CJ38" s="269"/>
      <c r="CK38" s="269"/>
      <c r="CL38" s="269"/>
      <c r="CM38" s="269"/>
      <c r="CN38" s="75">
        <f t="shared" si="34"/>
        <v>0</v>
      </c>
      <c r="CO38" s="75">
        <f t="shared" si="34"/>
        <v>0</v>
      </c>
      <c r="CP38" s="269"/>
      <c r="CQ38" s="269"/>
      <c r="CR38" s="269"/>
      <c r="CS38" s="269"/>
      <c r="CT38" s="75">
        <f t="shared" si="35"/>
        <v>0</v>
      </c>
      <c r="CU38" s="75">
        <f t="shared" si="35"/>
        <v>0</v>
      </c>
      <c r="CV38" s="269"/>
      <c r="CW38" s="269"/>
      <c r="CX38" s="269"/>
      <c r="CY38" s="269"/>
      <c r="CZ38" s="75">
        <f t="shared" si="36"/>
        <v>0</v>
      </c>
      <c r="DA38" s="75">
        <f t="shared" si="36"/>
        <v>0</v>
      </c>
      <c r="DB38" s="269"/>
      <c r="DC38" s="269"/>
      <c r="DD38" s="269"/>
      <c r="DE38" s="269"/>
      <c r="DF38" s="75">
        <f t="shared" si="37"/>
        <v>0</v>
      </c>
      <c r="DG38" s="75">
        <f t="shared" si="37"/>
        <v>0</v>
      </c>
      <c r="DH38" s="75">
        <f t="shared" si="38"/>
        <v>0</v>
      </c>
      <c r="DI38" s="75">
        <f t="shared" si="39"/>
        <v>0</v>
      </c>
      <c r="DJ38" s="75">
        <f t="shared" si="40"/>
        <v>1000</v>
      </c>
      <c r="DK38" s="75">
        <f t="shared" si="41"/>
        <v>0</v>
      </c>
      <c r="DL38" s="75">
        <f t="shared" si="42"/>
        <v>1000</v>
      </c>
      <c r="DM38" s="75">
        <f t="shared" si="43"/>
        <v>0</v>
      </c>
    </row>
    <row r="39" spans="1:118">
      <c r="A39" s="25">
        <v>32</v>
      </c>
      <c r="B39" s="244" t="s">
        <v>381</v>
      </c>
      <c r="C39" s="244" t="s">
        <v>407</v>
      </c>
      <c r="D39" s="244" t="s">
        <v>421</v>
      </c>
      <c r="E39" s="244" t="s">
        <v>1164</v>
      </c>
      <c r="F39" s="131">
        <f t="shared" si="9"/>
        <v>1000</v>
      </c>
      <c r="G39" s="283">
        <f t="shared" si="10"/>
        <v>1000</v>
      </c>
      <c r="H39" s="54">
        <v>0</v>
      </c>
      <c r="I39" s="75">
        <v>0</v>
      </c>
      <c r="J39" s="75">
        <v>0</v>
      </c>
      <c r="K39" s="131">
        <f t="shared" si="11"/>
        <v>0</v>
      </c>
      <c r="L39" s="131">
        <f t="shared" si="12"/>
        <v>0</v>
      </c>
      <c r="M39" s="131">
        <f t="shared" si="13"/>
        <v>0</v>
      </c>
      <c r="N39" s="131">
        <f t="shared" si="14"/>
        <v>1000</v>
      </c>
      <c r="O39" s="131" t="str">
        <f t="shared" si="15"/>
        <v>ნულოვანი შესრულება</v>
      </c>
      <c r="P39" s="52"/>
      <c r="Q39" s="52"/>
      <c r="R39" s="52">
        <f t="shared" si="16"/>
        <v>0</v>
      </c>
      <c r="S39" s="52">
        <f t="shared" si="17"/>
        <v>0</v>
      </c>
      <c r="T39" s="52"/>
      <c r="U39" s="52"/>
      <c r="V39" s="52"/>
      <c r="W39" s="52"/>
      <c r="X39" s="52">
        <f t="shared" si="18"/>
        <v>0</v>
      </c>
      <c r="Y39" s="52">
        <f t="shared" si="18"/>
        <v>0</v>
      </c>
      <c r="Z39" s="52"/>
      <c r="AA39" s="52"/>
      <c r="AB39" s="52"/>
      <c r="AC39" s="52"/>
      <c r="AD39" s="52">
        <f t="shared" si="19"/>
        <v>0</v>
      </c>
      <c r="AE39" s="52">
        <f t="shared" si="19"/>
        <v>0</v>
      </c>
      <c r="AF39" s="52">
        <f t="shared" si="20"/>
        <v>0</v>
      </c>
      <c r="AG39" s="52">
        <f t="shared" si="21"/>
        <v>0</v>
      </c>
      <c r="AH39" s="52">
        <f t="shared" si="22"/>
        <v>0</v>
      </c>
      <c r="AI39" s="52">
        <f t="shared" si="23"/>
        <v>0</v>
      </c>
      <c r="AJ39" s="52">
        <f t="shared" si="24"/>
        <v>0</v>
      </c>
      <c r="AK39" s="52">
        <f t="shared" si="25"/>
        <v>0</v>
      </c>
      <c r="AL39" s="75"/>
      <c r="AM39" s="75"/>
      <c r="AN39" s="75"/>
      <c r="AO39" s="75"/>
      <c r="AP39" s="75">
        <f t="shared" si="26"/>
        <v>0</v>
      </c>
      <c r="AQ39" s="75">
        <f t="shared" si="26"/>
        <v>0</v>
      </c>
      <c r="AR39" s="75"/>
      <c r="AS39" s="75"/>
      <c r="AT39" s="75">
        <v>1000</v>
      </c>
      <c r="AU39" s="75"/>
      <c r="AV39" s="75">
        <f t="shared" si="27"/>
        <v>1000</v>
      </c>
      <c r="AW39" s="75">
        <f t="shared" si="27"/>
        <v>0</v>
      </c>
      <c r="AX39" s="75"/>
      <c r="AY39" s="75"/>
      <c r="AZ39" s="75"/>
      <c r="BA39" s="75"/>
      <c r="BB39" s="75">
        <f t="shared" si="28"/>
        <v>0</v>
      </c>
      <c r="BC39" s="75"/>
      <c r="BD39" s="75">
        <f>AY39+BA39</f>
        <v>0</v>
      </c>
      <c r="BE39" s="75"/>
      <c r="BF39" s="75"/>
      <c r="BG39" s="75"/>
      <c r="BH39" s="75"/>
      <c r="BI39" s="75">
        <f t="shared" si="29"/>
        <v>0</v>
      </c>
      <c r="BJ39" s="75"/>
      <c r="BK39" s="75">
        <f>BF39+BH39</f>
        <v>0</v>
      </c>
      <c r="BL39" s="75"/>
      <c r="BM39" s="75"/>
      <c r="BN39" s="75"/>
      <c r="BO39" s="75"/>
      <c r="BP39" s="75">
        <f t="shared" si="30"/>
        <v>0</v>
      </c>
      <c r="BQ39" s="75">
        <f t="shared" si="30"/>
        <v>0</v>
      </c>
      <c r="BR39" s="75"/>
      <c r="BS39" s="75"/>
      <c r="BT39" s="75"/>
      <c r="BU39" s="75"/>
      <c r="BV39" s="75">
        <f t="shared" si="31"/>
        <v>0</v>
      </c>
      <c r="BW39" s="75">
        <f t="shared" si="31"/>
        <v>0</v>
      </c>
      <c r="BX39" s="75"/>
      <c r="BY39" s="75"/>
      <c r="BZ39" s="75"/>
      <c r="CA39" s="75"/>
      <c r="CB39" s="75">
        <f t="shared" si="32"/>
        <v>0</v>
      </c>
      <c r="CC39" s="75">
        <f t="shared" si="32"/>
        <v>0</v>
      </c>
      <c r="CD39" s="75"/>
      <c r="CE39" s="75"/>
      <c r="CF39" s="75"/>
      <c r="CG39" s="75"/>
      <c r="CH39" s="75">
        <f t="shared" si="33"/>
        <v>0</v>
      </c>
      <c r="CI39" s="75">
        <f t="shared" si="33"/>
        <v>0</v>
      </c>
      <c r="CJ39" s="75"/>
      <c r="CK39" s="75"/>
      <c r="CL39" s="75"/>
      <c r="CM39" s="75"/>
      <c r="CN39" s="75">
        <f t="shared" si="34"/>
        <v>0</v>
      </c>
      <c r="CO39" s="75">
        <f t="shared" si="34"/>
        <v>0</v>
      </c>
      <c r="CP39" s="75"/>
      <c r="CQ39" s="75"/>
      <c r="CR39" s="75"/>
      <c r="CS39" s="75"/>
      <c r="CT39" s="75">
        <f t="shared" si="35"/>
        <v>0</v>
      </c>
      <c r="CU39" s="75">
        <f t="shared" si="35"/>
        <v>0</v>
      </c>
      <c r="CV39" s="75"/>
      <c r="CW39" s="75"/>
      <c r="CX39" s="75"/>
      <c r="CY39" s="75"/>
      <c r="CZ39" s="75">
        <f t="shared" si="36"/>
        <v>0</v>
      </c>
      <c r="DA39" s="75">
        <f t="shared" si="36"/>
        <v>0</v>
      </c>
      <c r="DB39" s="75"/>
      <c r="DC39" s="75"/>
      <c r="DD39" s="75"/>
      <c r="DE39" s="75"/>
      <c r="DF39" s="75">
        <f t="shared" si="37"/>
        <v>0</v>
      </c>
      <c r="DG39" s="75">
        <f t="shared" si="37"/>
        <v>0</v>
      </c>
      <c r="DH39" s="75">
        <f t="shared" si="38"/>
        <v>0</v>
      </c>
      <c r="DI39" s="75">
        <f t="shared" si="39"/>
        <v>0</v>
      </c>
      <c r="DJ39" s="75">
        <f t="shared" si="40"/>
        <v>1000</v>
      </c>
      <c r="DK39" s="75">
        <f t="shared" si="41"/>
        <v>0</v>
      </c>
      <c r="DL39" s="75">
        <f t="shared" si="42"/>
        <v>1000</v>
      </c>
      <c r="DM39" s="75">
        <f t="shared" si="43"/>
        <v>0</v>
      </c>
    </row>
    <row r="40" spans="1:118" s="61" customFormat="1">
      <c r="A40" s="68">
        <v>33</v>
      </c>
      <c r="B40" s="246" t="s">
        <v>381</v>
      </c>
      <c r="C40" s="246" t="s">
        <v>405</v>
      </c>
      <c r="D40" s="246" t="s">
        <v>422</v>
      </c>
      <c r="E40" s="245" t="s">
        <v>1164</v>
      </c>
      <c r="F40" s="161">
        <f t="shared" si="9"/>
        <v>500</v>
      </c>
      <c r="G40" s="165">
        <f t="shared" si="10"/>
        <v>500</v>
      </c>
      <c r="H40" s="54">
        <v>0</v>
      </c>
      <c r="I40" s="219">
        <v>0</v>
      </c>
      <c r="J40" s="219">
        <v>0</v>
      </c>
      <c r="K40" s="127">
        <f t="shared" si="11"/>
        <v>0</v>
      </c>
      <c r="L40" s="127">
        <f t="shared" si="12"/>
        <v>0</v>
      </c>
      <c r="M40" s="127">
        <f t="shared" si="13"/>
        <v>0</v>
      </c>
      <c r="N40" s="131">
        <f t="shared" si="14"/>
        <v>500</v>
      </c>
      <c r="O40" s="125" t="str">
        <f t="shared" si="15"/>
        <v>ნულოვანი შესრულება</v>
      </c>
      <c r="P40" s="52"/>
      <c r="Q40" s="52"/>
      <c r="R40" s="52">
        <f t="shared" si="16"/>
        <v>0</v>
      </c>
      <c r="S40" s="52">
        <f t="shared" si="17"/>
        <v>0</v>
      </c>
      <c r="T40" s="52"/>
      <c r="U40" s="52"/>
      <c r="V40" s="52"/>
      <c r="W40" s="52"/>
      <c r="X40" s="52">
        <f t="shared" si="18"/>
        <v>0</v>
      </c>
      <c r="Y40" s="52">
        <f t="shared" si="18"/>
        <v>0</v>
      </c>
      <c r="Z40" s="52"/>
      <c r="AA40" s="52"/>
      <c r="AB40" s="52"/>
      <c r="AC40" s="52"/>
      <c r="AD40" s="52">
        <f t="shared" si="19"/>
        <v>0</v>
      </c>
      <c r="AE40" s="52">
        <f t="shared" si="19"/>
        <v>0</v>
      </c>
      <c r="AF40" s="52">
        <f t="shared" si="20"/>
        <v>0</v>
      </c>
      <c r="AG40" s="52">
        <f t="shared" si="21"/>
        <v>0</v>
      </c>
      <c r="AH40" s="52">
        <f t="shared" si="22"/>
        <v>0</v>
      </c>
      <c r="AI40" s="52">
        <f t="shared" si="23"/>
        <v>0</v>
      </c>
      <c r="AJ40" s="52">
        <f t="shared" si="24"/>
        <v>0</v>
      </c>
      <c r="AK40" s="52">
        <f t="shared" si="25"/>
        <v>0</v>
      </c>
      <c r="AL40" s="52"/>
      <c r="AM40" s="52"/>
      <c r="AN40" s="52"/>
      <c r="AO40" s="52"/>
      <c r="AP40" s="52">
        <f t="shared" si="26"/>
        <v>0</v>
      </c>
      <c r="AQ40" s="52">
        <f t="shared" si="26"/>
        <v>0</v>
      </c>
      <c r="AR40" s="52"/>
      <c r="AS40" s="52"/>
      <c r="AT40" s="52">
        <v>500</v>
      </c>
      <c r="AU40" s="52"/>
      <c r="AV40" s="52">
        <f t="shared" si="27"/>
        <v>500</v>
      </c>
      <c r="AW40" s="52">
        <f t="shared" si="27"/>
        <v>0</v>
      </c>
      <c r="AX40" s="52"/>
      <c r="AY40" s="52"/>
      <c r="AZ40" s="52"/>
      <c r="BA40" s="52"/>
      <c r="BB40" s="52">
        <f t="shared" si="28"/>
        <v>0</v>
      </c>
      <c r="BC40" s="52"/>
      <c r="BD40" s="52">
        <f>AY40+BA40</f>
        <v>0</v>
      </c>
      <c r="BE40" s="52"/>
      <c r="BF40" s="52"/>
      <c r="BG40" s="52"/>
      <c r="BH40" s="52"/>
      <c r="BI40" s="52">
        <f t="shared" si="29"/>
        <v>0</v>
      </c>
      <c r="BJ40" s="52"/>
      <c r="BK40" s="52">
        <f>BF40+BH40</f>
        <v>0</v>
      </c>
      <c r="BL40" s="52"/>
      <c r="BM40" s="52"/>
      <c r="BN40" s="52"/>
      <c r="BO40" s="52"/>
      <c r="BP40" s="52">
        <f t="shared" si="30"/>
        <v>0</v>
      </c>
      <c r="BQ40" s="52">
        <f t="shared" si="30"/>
        <v>0</v>
      </c>
      <c r="BR40" s="52"/>
      <c r="BS40" s="52"/>
      <c r="BT40" s="52"/>
      <c r="BU40" s="52"/>
      <c r="BV40" s="52">
        <f t="shared" si="31"/>
        <v>0</v>
      </c>
      <c r="BW40" s="52">
        <f t="shared" si="31"/>
        <v>0</v>
      </c>
      <c r="BX40" s="52"/>
      <c r="BY40" s="52"/>
      <c r="BZ40" s="52"/>
      <c r="CA40" s="52"/>
      <c r="CB40" s="52">
        <f t="shared" si="32"/>
        <v>0</v>
      </c>
      <c r="CC40" s="52">
        <f t="shared" si="32"/>
        <v>0</v>
      </c>
      <c r="CD40" s="52"/>
      <c r="CE40" s="52"/>
      <c r="CF40" s="52"/>
      <c r="CG40" s="52"/>
      <c r="CH40" s="52">
        <f t="shared" si="33"/>
        <v>0</v>
      </c>
      <c r="CI40" s="52">
        <f t="shared" si="33"/>
        <v>0</v>
      </c>
      <c r="CJ40" s="52"/>
      <c r="CK40" s="52"/>
      <c r="CL40" s="52"/>
      <c r="CM40" s="52"/>
      <c r="CN40" s="52">
        <f t="shared" si="34"/>
        <v>0</v>
      </c>
      <c r="CO40" s="52">
        <f t="shared" si="34"/>
        <v>0</v>
      </c>
      <c r="CP40" s="52"/>
      <c r="CQ40" s="52"/>
      <c r="CR40" s="52"/>
      <c r="CS40" s="52"/>
      <c r="CT40" s="52">
        <f t="shared" si="35"/>
        <v>0</v>
      </c>
      <c r="CU40" s="52">
        <f t="shared" si="35"/>
        <v>0</v>
      </c>
      <c r="CV40" s="52"/>
      <c r="CW40" s="52"/>
      <c r="CX40" s="52"/>
      <c r="CY40" s="52"/>
      <c r="CZ40" s="52">
        <f t="shared" si="36"/>
        <v>0</v>
      </c>
      <c r="DA40" s="52">
        <f t="shared" si="36"/>
        <v>0</v>
      </c>
      <c r="DB40" s="52"/>
      <c r="DC40" s="52"/>
      <c r="DD40" s="52"/>
      <c r="DE40" s="52"/>
      <c r="DF40" s="52">
        <f t="shared" si="37"/>
        <v>0</v>
      </c>
      <c r="DG40" s="52">
        <f t="shared" si="37"/>
        <v>0</v>
      </c>
      <c r="DH40" s="52">
        <f t="shared" si="38"/>
        <v>0</v>
      </c>
      <c r="DI40" s="52">
        <f t="shared" si="39"/>
        <v>0</v>
      </c>
      <c r="DJ40" s="52">
        <f t="shared" si="40"/>
        <v>500</v>
      </c>
      <c r="DK40" s="52">
        <f t="shared" si="41"/>
        <v>0</v>
      </c>
      <c r="DL40" s="52">
        <f t="shared" si="42"/>
        <v>500</v>
      </c>
      <c r="DM40" s="52">
        <f t="shared" si="43"/>
        <v>0</v>
      </c>
    </row>
    <row r="41" spans="1:118" s="61" customFormat="1">
      <c r="A41" s="68">
        <v>34</v>
      </c>
      <c r="B41" s="246" t="s">
        <v>417</v>
      </c>
      <c r="C41" s="246" t="s">
        <v>423</v>
      </c>
      <c r="D41" s="246" t="s">
        <v>424</v>
      </c>
      <c r="E41" s="245" t="s">
        <v>1165</v>
      </c>
      <c r="F41" s="161">
        <f t="shared" si="9"/>
        <v>7000</v>
      </c>
      <c r="G41" s="165">
        <f t="shared" si="10"/>
        <v>166283</v>
      </c>
      <c r="H41" s="54">
        <v>130000</v>
      </c>
      <c r="I41" s="219">
        <v>157283</v>
      </c>
      <c r="J41" s="219">
        <v>0</v>
      </c>
      <c r="K41" s="127">
        <f t="shared" si="11"/>
        <v>2000</v>
      </c>
      <c r="L41" s="127">
        <f t="shared" si="12"/>
        <v>0</v>
      </c>
      <c r="M41" s="127">
        <f t="shared" si="13"/>
        <v>159283</v>
      </c>
      <c r="N41" s="131">
        <f t="shared" si="14"/>
        <v>7000</v>
      </c>
      <c r="O41" s="125">
        <f t="shared" si="15"/>
        <v>159900.56</v>
      </c>
      <c r="P41" s="52">
        <v>0</v>
      </c>
      <c r="Q41" s="52">
        <v>0</v>
      </c>
      <c r="R41" s="52">
        <f t="shared" si="16"/>
        <v>157283</v>
      </c>
      <c r="S41" s="52">
        <f t="shared" si="17"/>
        <v>0</v>
      </c>
      <c r="T41" s="52">
        <v>0</v>
      </c>
      <c r="U41" s="52">
        <v>2000</v>
      </c>
      <c r="V41" s="52"/>
      <c r="W41" s="52"/>
      <c r="X41" s="52">
        <f t="shared" si="18"/>
        <v>0</v>
      </c>
      <c r="Y41" s="52">
        <f t="shared" si="18"/>
        <v>2000</v>
      </c>
      <c r="Z41" s="52"/>
      <c r="AA41" s="52"/>
      <c r="AB41" s="52"/>
      <c r="AC41" s="52"/>
      <c r="AD41" s="52">
        <f t="shared" si="19"/>
        <v>0</v>
      </c>
      <c r="AE41" s="52">
        <f t="shared" si="19"/>
        <v>0</v>
      </c>
      <c r="AF41" s="52">
        <f t="shared" si="20"/>
        <v>0</v>
      </c>
      <c r="AG41" s="52">
        <f t="shared" si="21"/>
        <v>2000</v>
      </c>
      <c r="AH41" s="52">
        <f t="shared" si="22"/>
        <v>0</v>
      </c>
      <c r="AI41" s="52">
        <f t="shared" si="23"/>
        <v>0</v>
      </c>
      <c r="AJ41" s="52">
        <f t="shared" si="24"/>
        <v>0</v>
      </c>
      <c r="AK41" s="52">
        <f t="shared" si="25"/>
        <v>2000</v>
      </c>
      <c r="AL41" s="52"/>
      <c r="AM41" s="52"/>
      <c r="AN41" s="52"/>
      <c r="AO41" s="52"/>
      <c r="AP41" s="52">
        <f t="shared" si="26"/>
        <v>0</v>
      </c>
      <c r="AQ41" s="52">
        <f t="shared" si="26"/>
        <v>0</v>
      </c>
      <c r="AR41" s="52"/>
      <c r="AS41" s="52"/>
      <c r="AT41" s="52">
        <v>7000</v>
      </c>
      <c r="AU41" s="52"/>
      <c r="AV41" s="52">
        <f t="shared" si="27"/>
        <v>7000</v>
      </c>
      <c r="AW41" s="52">
        <f t="shared" si="27"/>
        <v>0</v>
      </c>
      <c r="AX41" s="52"/>
      <c r="AY41" s="52"/>
      <c r="AZ41" s="52"/>
      <c r="BA41" s="52"/>
      <c r="BB41" s="52">
        <f t="shared" si="28"/>
        <v>0</v>
      </c>
      <c r="BC41" s="52"/>
      <c r="BD41" s="52">
        <f>AY41+BA41</f>
        <v>0</v>
      </c>
      <c r="BE41" s="52"/>
      <c r="BF41" s="52"/>
      <c r="BG41" s="52"/>
      <c r="BH41" s="52"/>
      <c r="BI41" s="52">
        <f t="shared" si="29"/>
        <v>0</v>
      </c>
      <c r="BJ41" s="52">
        <v>7000</v>
      </c>
      <c r="BK41" s="52">
        <f>BF41+BH41</f>
        <v>0</v>
      </c>
      <c r="BL41" s="52"/>
      <c r="BM41" s="52"/>
      <c r="BN41" s="52"/>
      <c r="BO41" s="52"/>
      <c r="BP41" s="52">
        <f t="shared" si="30"/>
        <v>0</v>
      </c>
      <c r="BQ41" s="52">
        <f t="shared" si="30"/>
        <v>0</v>
      </c>
      <c r="BR41" s="52"/>
      <c r="BS41" s="52"/>
      <c r="BT41" s="52"/>
      <c r="BU41" s="52">
        <v>617.55999999999995</v>
      </c>
      <c r="BV41" s="52">
        <f t="shared" si="31"/>
        <v>0</v>
      </c>
      <c r="BW41" s="52">
        <f t="shared" si="31"/>
        <v>617.55999999999995</v>
      </c>
      <c r="BX41" s="52"/>
      <c r="BY41" s="52"/>
      <c r="BZ41" s="52"/>
      <c r="CA41" s="52"/>
      <c r="CB41" s="52">
        <f t="shared" si="32"/>
        <v>0</v>
      </c>
      <c r="CC41" s="52">
        <f t="shared" si="32"/>
        <v>0</v>
      </c>
      <c r="CD41" s="52"/>
      <c r="CE41" s="52"/>
      <c r="CF41" s="52"/>
      <c r="CG41" s="52"/>
      <c r="CH41" s="52">
        <f t="shared" si="33"/>
        <v>0</v>
      </c>
      <c r="CI41" s="52">
        <f t="shared" si="33"/>
        <v>0</v>
      </c>
      <c r="CJ41" s="52"/>
      <c r="CK41" s="52"/>
      <c r="CL41" s="52"/>
      <c r="CM41" s="52"/>
      <c r="CN41" s="52">
        <f t="shared" si="34"/>
        <v>0</v>
      </c>
      <c r="CO41" s="52">
        <f t="shared" si="34"/>
        <v>0</v>
      </c>
      <c r="CP41" s="52"/>
      <c r="CQ41" s="52"/>
      <c r="CR41" s="52"/>
      <c r="CS41" s="52"/>
      <c r="CT41" s="52">
        <f t="shared" si="35"/>
        <v>0</v>
      </c>
      <c r="CU41" s="52">
        <f t="shared" si="35"/>
        <v>0</v>
      </c>
      <c r="CV41" s="52"/>
      <c r="CW41" s="52"/>
      <c r="CX41" s="52"/>
      <c r="CY41" s="52"/>
      <c r="CZ41" s="52">
        <f t="shared" si="36"/>
        <v>0</v>
      </c>
      <c r="DA41" s="52">
        <f t="shared" si="36"/>
        <v>0</v>
      </c>
      <c r="DB41" s="52"/>
      <c r="DC41" s="52"/>
      <c r="DD41" s="52"/>
      <c r="DE41" s="52"/>
      <c r="DF41" s="52">
        <f t="shared" si="37"/>
        <v>0</v>
      </c>
      <c r="DG41" s="52">
        <f t="shared" si="37"/>
        <v>0</v>
      </c>
      <c r="DH41" s="52">
        <f t="shared" si="38"/>
        <v>0</v>
      </c>
      <c r="DI41" s="52">
        <f t="shared" si="39"/>
        <v>0</v>
      </c>
      <c r="DJ41" s="52">
        <f t="shared" si="40"/>
        <v>7000</v>
      </c>
      <c r="DK41" s="52">
        <f t="shared" si="41"/>
        <v>617.55999999999995</v>
      </c>
      <c r="DL41" s="52">
        <f t="shared" si="42"/>
        <v>7000</v>
      </c>
      <c r="DM41" s="52">
        <f t="shared" si="43"/>
        <v>617.55999999999995</v>
      </c>
    </row>
    <row r="42" spans="1:118" s="61" customFormat="1">
      <c r="A42" s="25">
        <v>35</v>
      </c>
      <c r="B42" s="244" t="s">
        <v>381</v>
      </c>
      <c r="C42" s="244" t="s">
        <v>1228</v>
      </c>
      <c r="D42" s="244" t="s">
        <v>1227</v>
      </c>
      <c r="E42" s="245" t="s">
        <v>1165</v>
      </c>
      <c r="F42" s="161">
        <f t="shared" si="9"/>
        <v>0</v>
      </c>
      <c r="G42" s="165">
        <f t="shared" si="10"/>
        <v>24014</v>
      </c>
      <c r="H42" s="122"/>
      <c r="I42" s="219">
        <v>0</v>
      </c>
      <c r="J42" s="219">
        <v>0</v>
      </c>
      <c r="K42" s="127">
        <f t="shared" si="11"/>
        <v>24014</v>
      </c>
      <c r="L42" s="127">
        <f t="shared" si="12"/>
        <v>24014</v>
      </c>
      <c r="M42" s="127">
        <f t="shared" si="13"/>
        <v>24014</v>
      </c>
      <c r="N42" s="131">
        <f t="shared" si="14"/>
        <v>0</v>
      </c>
      <c r="O42" s="125">
        <f t="shared" si="15"/>
        <v>24014</v>
      </c>
      <c r="P42" s="52"/>
      <c r="Q42" s="52">
        <v>24014</v>
      </c>
      <c r="R42" s="52">
        <f t="shared" si="16"/>
        <v>0</v>
      </c>
      <c r="S42" s="52">
        <f t="shared" si="17"/>
        <v>24014</v>
      </c>
      <c r="T42" s="52"/>
      <c r="U42" s="52"/>
      <c r="V42" s="52"/>
      <c r="W42" s="52"/>
      <c r="X42" s="52"/>
      <c r="Y42" s="52"/>
      <c r="Z42" s="52"/>
      <c r="AA42" s="52"/>
      <c r="AB42" s="52"/>
      <c r="AC42" s="52"/>
      <c r="AD42" s="52"/>
      <c r="AE42" s="52"/>
      <c r="AF42" s="52">
        <f t="shared" si="20"/>
        <v>0</v>
      </c>
      <c r="AG42" s="52">
        <f t="shared" si="21"/>
        <v>0</v>
      </c>
      <c r="AH42" s="52">
        <f t="shared" si="22"/>
        <v>24014</v>
      </c>
      <c r="AI42" s="52">
        <f t="shared" si="23"/>
        <v>24014</v>
      </c>
      <c r="AJ42" s="52">
        <f t="shared" si="24"/>
        <v>24014</v>
      </c>
      <c r="AK42" s="52">
        <f t="shared" si="25"/>
        <v>24014</v>
      </c>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c r="BY42" s="52"/>
      <c r="BZ42" s="52"/>
      <c r="CA42" s="52"/>
      <c r="CB42" s="52"/>
      <c r="CC42" s="52"/>
      <c r="CD42" s="52"/>
      <c r="CE42" s="52"/>
      <c r="CF42" s="52"/>
      <c r="CG42" s="52"/>
      <c r="CH42" s="52"/>
      <c r="CI42" s="52"/>
      <c r="CJ42" s="52"/>
      <c r="CK42" s="52"/>
      <c r="CL42" s="52"/>
      <c r="CM42" s="52"/>
      <c r="CN42" s="52"/>
      <c r="CO42" s="52"/>
      <c r="CP42" s="52"/>
      <c r="CQ42" s="52"/>
      <c r="CR42" s="52"/>
      <c r="CS42" s="52"/>
      <c r="CT42" s="52"/>
      <c r="CU42" s="52"/>
      <c r="CV42" s="52"/>
      <c r="CW42" s="52"/>
      <c r="CX42" s="52"/>
      <c r="CY42" s="52"/>
      <c r="CZ42" s="52"/>
      <c r="DA42" s="52"/>
      <c r="DB42" s="52"/>
      <c r="DC42" s="52"/>
      <c r="DD42" s="52"/>
      <c r="DE42" s="52"/>
      <c r="DF42" s="52"/>
      <c r="DG42" s="52"/>
      <c r="DH42" s="52">
        <f t="shared" si="38"/>
        <v>0</v>
      </c>
      <c r="DI42" s="52">
        <f t="shared" si="39"/>
        <v>0</v>
      </c>
      <c r="DJ42" s="52">
        <f t="shared" si="40"/>
        <v>0</v>
      </c>
      <c r="DK42" s="52">
        <f t="shared" si="41"/>
        <v>0</v>
      </c>
      <c r="DL42" s="52">
        <f t="shared" si="42"/>
        <v>0</v>
      </c>
      <c r="DM42" s="52">
        <f t="shared" si="43"/>
        <v>0</v>
      </c>
    </row>
    <row r="43" spans="1:118" s="61" customFormat="1">
      <c r="A43" s="25">
        <v>36</v>
      </c>
      <c r="B43" s="244" t="s">
        <v>381</v>
      </c>
      <c r="C43" s="244" t="s">
        <v>1228</v>
      </c>
      <c r="D43" s="244" t="s">
        <v>1226</v>
      </c>
      <c r="E43" s="245" t="s">
        <v>1164</v>
      </c>
      <c r="F43" s="161">
        <f t="shared" si="9"/>
        <v>0</v>
      </c>
      <c r="G43" s="165">
        <f t="shared" si="10"/>
        <v>589.75</v>
      </c>
      <c r="H43" s="122"/>
      <c r="I43" s="219">
        <v>0</v>
      </c>
      <c r="J43" s="219">
        <v>0</v>
      </c>
      <c r="K43" s="127">
        <f t="shared" si="11"/>
        <v>589.75</v>
      </c>
      <c r="L43" s="127">
        <f t="shared" si="12"/>
        <v>589.75</v>
      </c>
      <c r="M43" s="127">
        <f t="shared" si="13"/>
        <v>589.75</v>
      </c>
      <c r="N43" s="131">
        <f t="shared" si="14"/>
        <v>0</v>
      </c>
      <c r="O43" s="125">
        <f t="shared" si="15"/>
        <v>589.75</v>
      </c>
      <c r="P43" s="52"/>
      <c r="Q43" s="52">
        <v>589.75</v>
      </c>
      <c r="R43" s="52">
        <f t="shared" si="16"/>
        <v>0</v>
      </c>
      <c r="S43" s="52">
        <f t="shared" si="17"/>
        <v>589.75</v>
      </c>
      <c r="T43" s="52"/>
      <c r="U43" s="52"/>
      <c r="V43" s="52"/>
      <c r="W43" s="52"/>
      <c r="X43" s="52"/>
      <c r="Y43" s="52"/>
      <c r="Z43" s="52"/>
      <c r="AA43" s="52"/>
      <c r="AB43" s="52"/>
      <c r="AC43" s="52"/>
      <c r="AD43" s="52"/>
      <c r="AE43" s="52"/>
      <c r="AF43" s="52">
        <f t="shared" si="20"/>
        <v>0</v>
      </c>
      <c r="AG43" s="52">
        <f t="shared" si="21"/>
        <v>0</v>
      </c>
      <c r="AH43" s="52">
        <f t="shared" si="22"/>
        <v>589.75</v>
      </c>
      <c r="AI43" s="52">
        <f t="shared" si="23"/>
        <v>589.75</v>
      </c>
      <c r="AJ43" s="52">
        <f t="shared" si="24"/>
        <v>589.75</v>
      </c>
      <c r="AK43" s="52">
        <f t="shared" si="25"/>
        <v>589.75</v>
      </c>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2"/>
      <c r="BP43" s="52"/>
      <c r="BQ43" s="52"/>
      <c r="BR43" s="52"/>
      <c r="BS43" s="52"/>
      <c r="BT43" s="52"/>
      <c r="BU43" s="52"/>
      <c r="BV43" s="52"/>
      <c r="BW43" s="52"/>
      <c r="BX43" s="52"/>
      <c r="BY43" s="52"/>
      <c r="BZ43" s="52"/>
      <c r="CA43" s="52"/>
      <c r="CB43" s="52"/>
      <c r="CC43" s="52"/>
      <c r="CD43" s="52"/>
      <c r="CE43" s="52"/>
      <c r="CF43" s="52"/>
      <c r="CG43" s="52"/>
      <c r="CH43" s="52"/>
      <c r="CI43" s="52"/>
      <c r="CJ43" s="52"/>
      <c r="CK43" s="52"/>
      <c r="CL43" s="52"/>
      <c r="CM43" s="52"/>
      <c r="CN43" s="52"/>
      <c r="CO43" s="52"/>
      <c r="CP43" s="52"/>
      <c r="CQ43" s="52"/>
      <c r="CR43" s="52"/>
      <c r="CS43" s="52"/>
      <c r="CT43" s="52"/>
      <c r="CU43" s="52"/>
      <c r="CV43" s="52"/>
      <c r="CW43" s="52"/>
      <c r="CX43" s="52"/>
      <c r="CY43" s="52"/>
      <c r="CZ43" s="52"/>
      <c r="DA43" s="52"/>
      <c r="DB43" s="52"/>
      <c r="DC43" s="52"/>
      <c r="DD43" s="52"/>
      <c r="DE43" s="52"/>
      <c r="DF43" s="52"/>
      <c r="DG43" s="52"/>
      <c r="DH43" s="52">
        <f t="shared" si="38"/>
        <v>0</v>
      </c>
      <c r="DI43" s="52">
        <f t="shared" si="39"/>
        <v>0</v>
      </c>
      <c r="DJ43" s="52">
        <f t="shared" si="40"/>
        <v>0</v>
      </c>
      <c r="DK43" s="52">
        <f t="shared" si="41"/>
        <v>0</v>
      </c>
      <c r="DL43" s="52">
        <f t="shared" si="42"/>
        <v>0</v>
      </c>
      <c r="DM43" s="52">
        <f t="shared" si="43"/>
        <v>0</v>
      </c>
    </row>
    <row r="44" spans="1:118" s="61" customFormat="1">
      <c r="A44" s="68">
        <v>37</v>
      </c>
      <c r="B44" s="246" t="s">
        <v>381</v>
      </c>
      <c r="C44" s="246" t="s">
        <v>425</v>
      </c>
      <c r="D44" s="246" t="s">
        <v>426</v>
      </c>
      <c r="E44" s="245" t="s">
        <v>1165</v>
      </c>
      <c r="F44" s="161">
        <f t="shared" si="9"/>
        <v>40000</v>
      </c>
      <c r="G44" s="165">
        <f t="shared" si="10"/>
        <v>65000</v>
      </c>
      <c r="H44" s="54">
        <v>65000</v>
      </c>
      <c r="I44" s="219">
        <v>0</v>
      </c>
      <c r="J44" s="219">
        <v>0</v>
      </c>
      <c r="K44" s="127">
        <f t="shared" si="11"/>
        <v>25000</v>
      </c>
      <c r="L44" s="127">
        <f t="shared" si="12"/>
        <v>0</v>
      </c>
      <c r="M44" s="127">
        <f t="shared" si="13"/>
        <v>25000</v>
      </c>
      <c r="N44" s="131">
        <f t="shared" si="14"/>
        <v>40000</v>
      </c>
      <c r="O44" s="125" t="str">
        <f t="shared" si="15"/>
        <v>მიმდინარეობს</v>
      </c>
      <c r="P44" s="52">
        <v>20000</v>
      </c>
      <c r="Q44" s="52"/>
      <c r="R44" s="52">
        <f t="shared" si="16"/>
        <v>20000</v>
      </c>
      <c r="S44" s="52">
        <f t="shared" si="17"/>
        <v>0</v>
      </c>
      <c r="T44" s="52">
        <v>0</v>
      </c>
      <c r="U44" s="52">
        <v>5000</v>
      </c>
      <c r="V44" s="52"/>
      <c r="W44" s="52"/>
      <c r="X44" s="52">
        <f t="shared" si="18"/>
        <v>0</v>
      </c>
      <c r="Y44" s="52">
        <f t="shared" si="18"/>
        <v>5000</v>
      </c>
      <c r="Z44" s="52"/>
      <c r="AA44" s="52"/>
      <c r="AB44" s="52"/>
      <c r="AC44" s="52"/>
      <c r="AD44" s="52">
        <f t="shared" si="19"/>
        <v>0</v>
      </c>
      <c r="AE44" s="52">
        <f t="shared" si="19"/>
        <v>0</v>
      </c>
      <c r="AF44" s="52">
        <f t="shared" si="20"/>
        <v>20000</v>
      </c>
      <c r="AG44" s="52">
        <f t="shared" si="21"/>
        <v>25000</v>
      </c>
      <c r="AH44" s="52">
        <f t="shared" si="22"/>
        <v>0</v>
      </c>
      <c r="AI44" s="52">
        <f t="shared" si="23"/>
        <v>0</v>
      </c>
      <c r="AJ44" s="52">
        <f t="shared" si="24"/>
        <v>20000</v>
      </c>
      <c r="AK44" s="52">
        <f t="shared" si="25"/>
        <v>25000</v>
      </c>
      <c r="AL44" s="52"/>
      <c r="AM44" s="52"/>
      <c r="AN44" s="52"/>
      <c r="AO44" s="52"/>
      <c r="AP44" s="52">
        <f t="shared" si="26"/>
        <v>0</v>
      </c>
      <c r="AQ44" s="52">
        <f t="shared" si="26"/>
        <v>0</v>
      </c>
      <c r="AR44" s="52">
        <v>35000</v>
      </c>
      <c r="AS44" s="52"/>
      <c r="AT44" s="52"/>
      <c r="AU44" s="52"/>
      <c r="AV44" s="52">
        <f t="shared" si="27"/>
        <v>35000</v>
      </c>
      <c r="AW44" s="52">
        <f t="shared" si="27"/>
        <v>0</v>
      </c>
      <c r="AX44" s="52"/>
      <c r="AY44" s="52"/>
      <c r="AZ44" s="52">
        <v>5000</v>
      </c>
      <c r="BA44" s="52"/>
      <c r="BB44" s="52">
        <f t="shared" si="28"/>
        <v>5000</v>
      </c>
      <c r="BC44" s="52"/>
      <c r="BD44" s="52">
        <f>AY44+BA44</f>
        <v>0</v>
      </c>
      <c r="BE44" s="52"/>
      <c r="BF44" s="52"/>
      <c r="BG44" s="52"/>
      <c r="BH44" s="52"/>
      <c r="BI44" s="52">
        <f t="shared" si="29"/>
        <v>0</v>
      </c>
      <c r="BJ44" s="52"/>
      <c r="BK44" s="52">
        <f>BF44+BH44</f>
        <v>0</v>
      </c>
      <c r="BL44" s="52"/>
      <c r="BM44" s="52"/>
      <c r="BN44" s="52"/>
      <c r="BO44" s="52"/>
      <c r="BP44" s="52">
        <f t="shared" si="30"/>
        <v>0</v>
      </c>
      <c r="BQ44" s="52">
        <f t="shared" si="30"/>
        <v>0</v>
      </c>
      <c r="BR44" s="52"/>
      <c r="BS44" s="52"/>
      <c r="BT44" s="52"/>
      <c r="BU44" s="52"/>
      <c r="BV44" s="52">
        <f t="shared" si="31"/>
        <v>0</v>
      </c>
      <c r="BW44" s="52">
        <f t="shared" si="31"/>
        <v>0</v>
      </c>
      <c r="BX44" s="52"/>
      <c r="BY44" s="52"/>
      <c r="BZ44" s="52"/>
      <c r="CA44" s="52"/>
      <c r="CB44" s="52">
        <f t="shared" si="32"/>
        <v>0</v>
      </c>
      <c r="CC44" s="52">
        <f t="shared" si="32"/>
        <v>0</v>
      </c>
      <c r="CD44" s="52"/>
      <c r="CE44" s="52"/>
      <c r="CF44" s="52"/>
      <c r="CG44" s="52"/>
      <c r="CH44" s="52">
        <f t="shared" si="33"/>
        <v>0</v>
      </c>
      <c r="CI44" s="52">
        <f t="shared" si="33"/>
        <v>0</v>
      </c>
      <c r="CJ44" s="52"/>
      <c r="CK44" s="52"/>
      <c r="CL44" s="52"/>
      <c r="CM44" s="52"/>
      <c r="CN44" s="52">
        <f t="shared" si="34"/>
        <v>0</v>
      </c>
      <c r="CO44" s="52">
        <f t="shared" si="34"/>
        <v>0</v>
      </c>
      <c r="CP44" s="52"/>
      <c r="CQ44" s="52"/>
      <c r="CR44" s="52"/>
      <c r="CS44" s="52"/>
      <c r="CT44" s="52">
        <f t="shared" si="35"/>
        <v>0</v>
      </c>
      <c r="CU44" s="52">
        <f t="shared" si="35"/>
        <v>0</v>
      </c>
      <c r="CV44" s="52"/>
      <c r="CW44" s="52"/>
      <c r="CX44" s="52"/>
      <c r="CY44" s="52"/>
      <c r="CZ44" s="52">
        <f t="shared" si="36"/>
        <v>0</v>
      </c>
      <c r="DA44" s="52">
        <f t="shared" si="36"/>
        <v>0</v>
      </c>
      <c r="DB44" s="52"/>
      <c r="DC44" s="52"/>
      <c r="DD44" s="52"/>
      <c r="DE44" s="52"/>
      <c r="DF44" s="52">
        <f t="shared" si="37"/>
        <v>0</v>
      </c>
      <c r="DG44" s="52">
        <f t="shared" si="37"/>
        <v>0</v>
      </c>
      <c r="DH44" s="52">
        <f t="shared" si="38"/>
        <v>35000</v>
      </c>
      <c r="DI44" s="52">
        <f t="shared" si="39"/>
        <v>0</v>
      </c>
      <c r="DJ44" s="52">
        <f t="shared" si="40"/>
        <v>5000</v>
      </c>
      <c r="DK44" s="52">
        <f t="shared" si="41"/>
        <v>0</v>
      </c>
      <c r="DL44" s="52">
        <f t="shared" si="42"/>
        <v>40000</v>
      </c>
      <c r="DM44" s="52">
        <f t="shared" si="43"/>
        <v>0</v>
      </c>
    </row>
    <row r="45" spans="1:118" s="61" customFormat="1">
      <c r="A45" s="68">
        <v>38</v>
      </c>
      <c r="B45" s="246" t="s">
        <v>417</v>
      </c>
      <c r="C45" s="246" t="s">
        <v>95</v>
      </c>
      <c r="D45" s="246" t="s">
        <v>1223</v>
      </c>
      <c r="E45" s="245" t="s">
        <v>1164</v>
      </c>
      <c r="F45" s="161">
        <f t="shared" si="9"/>
        <v>0</v>
      </c>
      <c r="G45" s="165">
        <f t="shared" si="10"/>
        <v>54500.25</v>
      </c>
      <c r="H45" s="54"/>
      <c r="I45" s="219">
        <v>0</v>
      </c>
      <c r="J45" s="219">
        <v>0</v>
      </c>
      <c r="K45" s="127">
        <f t="shared" si="11"/>
        <v>54500.25</v>
      </c>
      <c r="L45" s="127">
        <f t="shared" si="12"/>
        <v>54500.25</v>
      </c>
      <c r="M45" s="127">
        <f t="shared" si="13"/>
        <v>54500.25</v>
      </c>
      <c r="N45" s="131">
        <f t="shared" si="14"/>
        <v>0</v>
      </c>
      <c r="O45" s="125">
        <f t="shared" si="15"/>
        <v>54500.25</v>
      </c>
      <c r="P45" s="52"/>
      <c r="Q45" s="52">
        <v>54500.25</v>
      </c>
      <c r="R45" s="52">
        <f t="shared" si="16"/>
        <v>0</v>
      </c>
      <c r="S45" s="52">
        <f t="shared" si="17"/>
        <v>54500.25</v>
      </c>
      <c r="T45" s="52"/>
      <c r="U45" s="52"/>
      <c r="V45" s="52"/>
      <c r="W45" s="52"/>
      <c r="X45" s="52"/>
      <c r="Y45" s="52"/>
      <c r="Z45" s="52"/>
      <c r="AA45" s="52"/>
      <c r="AB45" s="52"/>
      <c r="AC45" s="52"/>
      <c r="AD45" s="52"/>
      <c r="AE45" s="52"/>
      <c r="AF45" s="52">
        <f t="shared" si="20"/>
        <v>0</v>
      </c>
      <c r="AG45" s="52">
        <f t="shared" si="21"/>
        <v>0</v>
      </c>
      <c r="AH45" s="52">
        <f t="shared" si="22"/>
        <v>54500.25</v>
      </c>
      <c r="AI45" s="52">
        <f t="shared" si="23"/>
        <v>54500.25</v>
      </c>
      <c r="AJ45" s="52">
        <f t="shared" si="24"/>
        <v>54500.25</v>
      </c>
      <c r="AK45" s="52">
        <f t="shared" si="25"/>
        <v>54500.25</v>
      </c>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c r="BT45" s="52"/>
      <c r="BU45" s="52"/>
      <c r="BV45" s="52"/>
      <c r="BW45" s="52"/>
      <c r="BX45" s="52"/>
      <c r="BY45" s="52"/>
      <c r="BZ45" s="52"/>
      <c r="CA45" s="52"/>
      <c r="CB45" s="52"/>
      <c r="CC45" s="52"/>
      <c r="CD45" s="52"/>
      <c r="CE45" s="52"/>
      <c r="CF45" s="52"/>
      <c r="CG45" s="52"/>
      <c r="CH45" s="52"/>
      <c r="CI45" s="52"/>
      <c r="CJ45" s="52"/>
      <c r="CK45" s="52"/>
      <c r="CL45" s="52"/>
      <c r="CM45" s="52"/>
      <c r="CN45" s="52"/>
      <c r="CO45" s="52"/>
      <c r="CP45" s="52"/>
      <c r="CQ45" s="52"/>
      <c r="CR45" s="52"/>
      <c r="CS45" s="52"/>
      <c r="CT45" s="52"/>
      <c r="CU45" s="52"/>
      <c r="CV45" s="52"/>
      <c r="CW45" s="52"/>
      <c r="CX45" s="52"/>
      <c r="CY45" s="52"/>
      <c r="CZ45" s="52"/>
      <c r="DA45" s="52"/>
      <c r="DB45" s="52"/>
      <c r="DC45" s="52"/>
      <c r="DD45" s="52"/>
      <c r="DE45" s="52"/>
      <c r="DF45" s="52"/>
      <c r="DG45" s="52"/>
      <c r="DH45" s="52">
        <f t="shared" si="38"/>
        <v>0</v>
      </c>
      <c r="DI45" s="52">
        <f t="shared" si="39"/>
        <v>0</v>
      </c>
      <c r="DJ45" s="52">
        <f t="shared" si="40"/>
        <v>0</v>
      </c>
      <c r="DK45" s="52">
        <f t="shared" si="41"/>
        <v>0</v>
      </c>
      <c r="DL45" s="52">
        <f t="shared" si="42"/>
        <v>0</v>
      </c>
      <c r="DM45" s="52">
        <f t="shared" si="43"/>
        <v>0</v>
      </c>
    </row>
    <row r="46" spans="1:118" s="61" customFormat="1">
      <c r="A46" s="68">
        <v>39</v>
      </c>
      <c r="B46" s="246" t="s">
        <v>417</v>
      </c>
      <c r="C46" s="246" t="s">
        <v>680</v>
      </c>
      <c r="D46" s="246" t="s">
        <v>1222</v>
      </c>
      <c r="E46" s="245" t="s">
        <v>1165</v>
      </c>
      <c r="F46" s="161">
        <f t="shared" si="9"/>
        <v>0</v>
      </c>
      <c r="G46" s="165">
        <f t="shared" si="10"/>
        <v>68210</v>
      </c>
      <c r="H46" s="54"/>
      <c r="I46" s="219">
        <v>60000</v>
      </c>
      <c r="J46" s="219">
        <v>0</v>
      </c>
      <c r="K46" s="127">
        <f t="shared" si="11"/>
        <v>8210</v>
      </c>
      <c r="L46" s="127">
        <f t="shared" si="12"/>
        <v>68210</v>
      </c>
      <c r="M46" s="127">
        <f t="shared" si="13"/>
        <v>68210</v>
      </c>
      <c r="N46" s="131">
        <f t="shared" si="14"/>
        <v>0</v>
      </c>
      <c r="O46" s="125">
        <f t="shared" si="15"/>
        <v>68210</v>
      </c>
      <c r="P46" s="52"/>
      <c r="Q46" s="52">
        <v>8210</v>
      </c>
      <c r="R46" s="52">
        <f t="shared" si="16"/>
        <v>60000</v>
      </c>
      <c r="S46" s="52">
        <f t="shared" si="17"/>
        <v>8210</v>
      </c>
      <c r="T46" s="52"/>
      <c r="U46" s="52"/>
      <c r="V46" s="52"/>
      <c r="W46" s="52"/>
      <c r="X46" s="52"/>
      <c r="Y46" s="52"/>
      <c r="Z46" s="52"/>
      <c r="AA46" s="52"/>
      <c r="AB46" s="52"/>
      <c r="AC46" s="52"/>
      <c r="AD46" s="52"/>
      <c r="AE46" s="52"/>
      <c r="AF46" s="52">
        <f t="shared" si="20"/>
        <v>0</v>
      </c>
      <c r="AG46" s="52">
        <f t="shared" si="21"/>
        <v>0</v>
      </c>
      <c r="AH46" s="52">
        <f t="shared" si="22"/>
        <v>8210</v>
      </c>
      <c r="AI46" s="52">
        <f t="shared" si="23"/>
        <v>8210</v>
      </c>
      <c r="AJ46" s="52">
        <f t="shared" si="24"/>
        <v>8210</v>
      </c>
      <c r="AK46" s="52">
        <f t="shared" si="25"/>
        <v>8210</v>
      </c>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2"/>
      <c r="CF46" s="52"/>
      <c r="CG46" s="52"/>
      <c r="CH46" s="52"/>
      <c r="CI46" s="52"/>
      <c r="CJ46" s="52"/>
      <c r="CK46" s="52"/>
      <c r="CL46" s="52"/>
      <c r="CM46" s="52"/>
      <c r="CN46" s="52"/>
      <c r="CO46" s="52"/>
      <c r="CP46" s="52"/>
      <c r="CQ46" s="52"/>
      <c r="CR46" s="52"/>
      <c r="CS46" s="52"/>
      <c r="CT46" s="52"/>
      <c r="CU46" s="52"/>
      <c r="CV46" s="52"/>
      <c r="CW46" s="52"/>
      <c r="CX46" s="52"/>
      <c r="CY46" s="52"/>
      <c r="CZ46" s="52"/>
      <c r="DA46" s="52"/>
      <c r="DB46" s="52"/>
      <c r="DC46" s="52"/>
      <c r="DD46" s="52"/>
      <c r="DE46" s="52"/>
      <c r="DF46" s="52"/>
      <c r="DG46" s="52"/>
      <c r="DH46" s="52">
        <f t="shared" si="38"/>
        <v>0</v>
      </c>
      <c r="DI46" s="52">
        <f t="shared" si="39"/>
        <v>0</v>
      </c>
      <c r="DJ46" s="52">
        <f t="shared" si="40"/>
        <v>0</v>
      </c>
      <c r="DK46" s="52">
        <f t="shared" si="41"/>
        <v>0</v>
      </c>
      <c r="DL46" s="52">
        <f t="shared" si="42"/>
        <v>0</v>
      </c>
      <c r="DM46" s="52">
        <f t="shared" si="43"/>
        <v>0</v>
      </c>
    </row>
    <row r="47" spans="1:118">
      <c r="A47" s="25">
        <v>40</v>
      </c>
      <c r="B47" s="244" t="s">
        <v>417</v>
      </c>
      <c r="C47" s="244" t="s">
        <v>427</v>
      </c>
      <c r="D47" s="244" t="s">
        <v>428</v>
      </c>
      <c r="E47" s="245" t="s">
        <v>1165</v>
      </c>
      <c r="F47" s="161">
        <f t="shared" si="9"/>
        <v>0</v>
      </c>
      <c r="G47" s="165">
        <f t="shared" si="10"/>
        <v>0</v>
      </c>
      <c r="H47" s="122">
        <v>430000</v>
      </c>
      <c r="I47" s="219">
        <v>0</v>
      </c>
      <c r="J47" s="219">
        <v>0</v>
      </c>
      <c r="K47" s="127">
        <f t="shared" si="11"/>
        <v>0</v>
      </c>
      <c r="L47" s="127">
        <f t="shared" si="12"/>
        <v>0</v>
      </c>
      <c r="M47" s="127">
        <f t="shared" si="13"/>
        <v>0</v>
      </c>
      <c r="N47" s="131">
        <f t="shared" si="14"/>
        <v>0</v>
      </c>
      <c r="O47" s="125" t="str">
        <f t="shared" si="15"/>
        <v>ნულოვანი შესრულება</v>
      </c>
      <c r="P47" s="75"/>
      <c r="Q47" s="75"/>
      <c r="R47" s="75">
        <f t="shared" si="16"/>
        <v>0</v>
      </c>
      <c r="S47" s="75">
        <f t="shared" si="17"/>
        <v>0</v>
      </c>
      <c r="T47" s="75"/>
      <c r="U47" s="75"/>
      <c r="V47" s="75"/>
      <c r="W47" s="75"/>
      <c r="X47" s="75">
        <f t="shared" si="18"/>
        <v>0</v>
      </c>
      <c r="Y47" s="75">
        <f t="shared" si="18"/>
        <v>0</v>
      </c>
      <c r="Z47" s="75"/>
      <c r="AA47" s="75"/>
      <c r="AB47" s="75"/>
      <c r="AC47" s="75"/>
      <c r="AD47" s="75">
        <f t="shared" si="19"/>
        <v>0</v>
      </c>
      <c r="AE47" s="75">
        <f t="shared" si="19"/>
        <v>0</v>
      </c>
      <c r="AF47" s="52">
        <f t="shared" si="20"/>
        <v>0</v>
      </c>
      <c r="AG47" s="52">
        <f t="shared" si="21"/>
        <v>0</v>
      </c>
      <c r="AH47" s="52">
        <f t="shared" si="22"/>
        <v>0</v>
      </c>
      <c r="AI47" s="52">
        <f t="shared" si="23"/>
        <v>0</v>
      </c>
      <c r="AJ47" s="52">
        <f t="shared" si="24"/>
        <v>0</v>
      </c>
      <c r="AK47" s="52">
        <f t="shared" si="25"/>
        <v>0</v>
      </c>
      <c r="AL47" s="75"/>
      <c r="AM47" s="75"/>
      <c r="AN47" s="75"/>
      <c r="AO47" s="75"/>
      <c r="AP47" s="75">
        <f t="shared" si="26"/>
        <v>0</v>
      </c>
      <c r="AQ47" s="75">
        <f t="shared" si="26"/>
        <v>0</v>
      </c>
      <c r="AR47" s="75"/>
      <c r="AS47" s="75"/>
      <c r="AT47" s="75"/>
      <c r="AU47" s="75"/>
      <c r="AV47" s="75">
        <f t="shared" si="27"/>
        <v>0</v>
      </c>
      <c r="AW47" s="75">
        <f t="shared" si="27"/>
        <v>0</v>
      </c>
      <c r="AX47" s="75"/>
      <c r="AY47" s="75"/>
      <c r="AZ47" s="75"/>
      <c r="BA47" s="75"/>
      <c r="BB47" s="75">
        <f t="shared" si="28"/>
        <v>0</v>
      </c>
      <c r="BC47" s="75"/>
      <c r="BD47" s="75">
        <f t="shared" ref="BD47:BD59" si="44">AY47+BA47</f>
        <v>0</v>
      </c>
      <c r="BE47" s="75"/>
      <c r="BF47" s="75"/>
      <c r="BG47" s="75"/>
      <c r="BH47" s="75"/>
      <c r="BI47" s="75">
        <f t="shared" si="29"/>
        <v>0</v>
      </c>
      <c r="BJ47" s="75"/>
      <c r="BK47" s="75">
        <f t="shared" ref="BK47:BK59" si="45">BF47+BH47</f>
        <v>0</v>
      </c>
      <c r="BL47" s="75"/>
      <c r="BM47" s="75"/>
      <c r="BN47" s="75"/>
      <c r="BO47" s="75"/>
      <c r="BP47" s="75">
        <f t="shared" si="30"/>
        <v>0</v>
      </c>
      <c r="BQ47" s="75">
        <f t="shared" si="30"/>
        <v>0</v>
      </c>
      <c r="BR47" s="75"/>
      <c r="BS47" s="75"/>
      <c r="BT47" s="75"/>
      <c r="BU47" s="75"/>
      <c r="BV47" s="75">
        <f t="shared" si="31"/>
        <v>0</v>
      </c>
      <c r="BW47" s="75">
        <f t="shared" si="31"/>
        <v>0</v>
      </c>
      <c r="BX47" s="75"/>
      <c r="BY47" s="75"/>
      <c r="BZ47" s="75"/>
      <c r="CA47" s="75"/>
      <c r="CB47" s="75">
        <f t="shared" si="32"/>
        <v>0</v>
      </c>
      <c r="CC47" s="75">
        <f t="shared" si="32"/>
        <v>0</v>
      </c>
      <c r="CD47" s="75"/>
      <c r="CE47" s="75"/>
      <c r="CF47" s="75"/>
      <c r="CG47" s="75"/>
      <c r="CH47" s="75">
        <f t="shared" si="33"/>
        <v>0</v>
      </c>
      <c r="CI47" s="75">
        <f t="shared" si="33"/>
        <v>0</v>
      </c>
      <c r="CJ47" s="75"/>
      <c r="CK47" s="75"/>
      <c r="CL47" s="75"/>
      <c r="CM47" s="75"/>
      <c r="CN47" s="75">
        <f t="shared" si="34"/>
        <v>0</v>
      </c>
      <c r="CO47" s="75">
        <f t="shared" si="34"/>
        <v>0</v>
      </c>
      <c r="CP47" s="75"/>
      <c r="CQ47" s="75"/>
      <c r="CR47" s="75"/>
      <c r="CS47" s="75"/>
      <c r="CT47" s="75">
        <f t="shared" si="35"/>
        <v>0</v>
      </c>
      <c r="CU47" s="75">
        <f t="shared" si="35"/>
        <v>0</v>
      </c>
      <c r="CV47" s="75"/>
      <c r="CW47" s="75"/>
      <c r="CX47" s="75"/>
      <c r="CY47" s="75"/>
      <c r="CZ47" s="75">
        <f t="shared" si="36"/>
        <v>0</v>
      </c>
      <c r="DA47" s="75">
        <f t="shared" si="36"/>
        <v>0</v>
      </c>
      <c r="DB47" s="75"/>
      <c r="DC47" s="75"/>
      <c r="DD47" s="75"/>
      <c r="DE47" s="75"/>
      <c r="DF47" s="75">
        <f t="shared" si="37"/>
        <v>0</v>
      </c>
      <c r="DG47" s="75">
        <f t="shared" si="37"/>
        <v>0</v>
      </c>
      <c r="DH47" s="52">
        <f t="shared" si="38"/>
        <v>0</v>
      </c>
      <c r="DI47" s="52">
        <f t="shared" si="39"/>
        <v>0</v>
      </c>
      <c r="DJ47" s="52">
        <f t="shared" si="40"/>
        <v>0</v>
      </c>
      <c r="DK47" s="52">
        <f t="shared" si="41"/>
        <v>0</v>
      </c>
      <c r="DL47" s="52">
        <f t="shared" si="42"/>
        <v>0</v>
      </c>
      <c r="DM47" s="52">
        <f t="shared" si="43"/>
        <v>0</v>
      </c>
      <c r="DN47" s="14" t="s">
        <v>429</v>
      </c>
    </row>
    <row r="48" spans="1:118">
      <c r="A48" s="25">
        <v>41</v>
      </c>
      <c r="B48" s="244" t="s">
        <v>417</v>
      </c>
      <c r="C48" s="244" t="s">
        <v>430</v>
      </c>
      <c r="D48" s="244" t="s">
        <v>431</v>
      </c>
      <c r="E48" s="245" t="s">
        <v>1165</v>
      </c>
      <c r="F48" s="161">
        <f t="shared" si="9"/>
        <v>0</v>
      </c>
      <c r="G48" s="165">
        <f t="shared" si="10"/>
        <v>0</v>
      </c>
      <c r="H48" s="122">
        <v>30000</v>
      </c>
      <c r="I48" s="219">
        <v>0</v>
      </c>
      <c r="J48" s="219">
        <v>0</v>
      </c>
      <c r="K48" s="127">
        <f t="shared" si="11"/>
        <v>0</v>
      </c>
      <c r="L48" s="127">
        <f t="shared" si="12"/>
        <v>0</v>
      </c>
      <c r="M48" s="127">
        <f t="shared" si="13"/>
        <v>0</v>
      </c>
      <c r="N48" s="131">
        <f t="shared" si="14"/>
        <v>0</v>
      </c>
      <c r="O48" s="125" t="str">
        <f t="shared" si="15"/>
        <v>ნულოვანი შესრულება</v>
      </c>
      <c r="P48" s="75"/>
      <c r="Q48" s="75"/>
      <c r="R48" s="75">
        <f t="shared" si="16"/>
        <v>0</v>
      </c>
      <c r="S48" s="75">
        <f t="shared" si="17"/>
        <v>0</v>
      </c>
      <c r="T48" s="75"/>
      <c r="U48" s="75"/>
      <c r="V48" s="75"/>
      <c r="W48" s="75"/>
      <c r="X48" s="75">
        <f t="shared" si="18"/>
        <v>0</v>
      </c>
      <c r="Y48" s="75">
        <f t="shared" si="18"/>
        <v>0</v>
      </c>
      <c r="Z48" s="75"/>
      <c r="AA48" s="75"/>
      <c r="AB48" s="75"/>
      <c r="AC48" s="75"/>
      <c r="AD48" s="75">
        <f t="shared" si="19"/>
        <v>0</v>
      </c>
      <c r="AE48" s="75">
        <f t="shared" si="19"/>
        <v>0</v>
      </c>
      <c r="AF48" s="52">
        <f t="shared" si="20"/>
        <v>0</v>
      </c>
      <c r="AG48" s="52">
        <f t="shared" si="21"/>
        <v>0</v>
      </c>
      <c r="AH48" s="52">
        <f t="shared" si="22"/>
        <v>0</v>
      </c>
      <c r="AI48" s="52">
        <f t="shared" si="23"/>
        <v>0</v>
      </c>
      <c r="AJ48" s="52">
        <f t="shared" si="24"/>
        <v>0</v>
      </c>
      <c r="AK48" s="52">
        <f t="shared" si="25"/>
        <v>0</v>
      </c>
      <c r="AL48" s="75"/>
      <c r="AM48" s="75"/>
      <c r="AN48" s="75"/>
      <c r="AO48" s="75"/>
      <c r="AP48" s="75">
        <f t="shared" si="26"/>
        <v>0</v>
      </c>
      <c r="AQ48" s="75">
        <f t="shared" si="26"/>
        <v>0</v>
      </c>
      <c r="AR48" s="75"/>
      <c r="AS48" s="75"/>
      <c r="AT48" s="75"/>
      <c r="AU48" s="75"/>
      <c r="AV48" s="75">
        <f t="shared" si="27"/>
        <v>0</v>
      </c>
      <c r="AW48" s="75">
        <f t="shared" si="27"/>
        <v>0</v>
      </c>
      <c r="AX48" s="75"/>
      <c r="AY48" s="75"/>
      <c r="AZ48" s="75"/>
      <c r="BA48" s="75"/>
      <c r="BB48" s="75">
        <f t="shared" si="28"/>
        <v>0</v>
      </c>
      <c r="BC48" s="75"/>
      <c r="BD48" s="75">
        <f t="shared" si="44"/>
        <v>0</v>
      </c>
      <c r="BE48" s="75"/>
      <c r="BF48" s="75"/>
      <c r="BG48" s="75"/>
      <c r="BH48" s="75"/>
      <c r="BI48" s="75">
        <f t="shared" si="29"/>
        <v>0</v>
      </c>
      <c r="BJ48" s="75"/>
      <c r="BK48" s="75">
        <f t="shared" si="45"/>
        <v>0</v>
      </c>
      <c r="BL48" s="75"/>
      <c r="BM48" s="75"/>
      <c r="BN48" s="75"/>
      <c r="BO48" s="75"/>
      <c r="BP48" s="75">
        <f t="shared" si="30"/>
        <v>0</v>
      </c>
      <c r="BQ48" s="75">
        <f t="shared" si="30"/>
        <v>0</v>
      </c>
      <c r="BR48" s="75"/>
      <c r="BS48" s="75"/>
      <c r="BT48" s="75"/>
      <c r="BU48" s="75"/>
      <c r="BV48" s="75">
        <f t="shared" si="31"/>
        <v>0</v>
      </c>
      <c r="BW48" s="75">
        <f t="shared" si="31"/>
        <v>0</v>
      </c>
      <c r="BX48" s="75"/>
      <c r="BY48" s="75"/>
      <c r="BZ48" s="75"/>
      <c r="CA48" s="75"/>
      <c r="CB48" s="75">
        <f t="shared" si="32"/>
        <v>0</v>
      </c>
      <c r="CC48" s="75">
        <f t="shared" si="32"/>
        <v>0</v>
      </c>
      <c r="CD48" s="75"/>
      <c r="CE48" s="75"/>
      <c r="CF48" s="75"/>
      <c r="CG48" s="75"/>
      <c r="CH48" s="75">
        <f t="shared" si="33"/>
        <v>0</v>
      </c>
      <c r="CI48" s="75">
        <f t="shared" si="33"/>
        <v>0</v>
      </c>
      <c r="CJ48" s="75"/>
      <c r="CK48" s="75"/>
      <c r="CL48" s="75"/>
      <c r="CM48" s="75"/>
      <c r="CN48" s="75">
        <f t="shared" si="34"/>
        <v>0</v>
      </c>
      <c r="CO48" s="75">
        <f t="shared" si="34"/>
        <v>0</v>
      </c>
      <c r="CP48" s="75"/>
      <c r="CQ48" s="75"/>
      <c r="CR48" s="75"/>
      <c r="CS48" s="75"/>
      <c r="CT48" s="75">
        <f t="shared" si="35"/>
        <v>0</v>
      </c>
      <c r="CU48" s="75">
        <f t="shared" si="35"/>
        <v>0</v>
      </c>
      <c r="CV48" s="75"/>
      <c r="CW48" s="75"/>
      <c r="CX48" s="75"/>
      <c r="CY48" s="75"/>
      <c r="CZ48" s="75">
        <f t="shared" si="36"/>
        <v>0</v>
      </c>
      <c r="DA48" s="75">
        <f t="shared" si="36"/>
        <v>0</v>
      </c>
      <c r="DB48" s="75"/>
      <c r="DC48" s="75"/>
      <c r="DD48" s="75"/>
      <c r="DE48" s="75"/>
      <c r="DF48" s="75">
        <f t="shared" si="37"/>
        <v>0</v>
      </c>
      <c r="DG48" s="75">
        <f t="shared" si="37"/>
        <v>0</v>
      </c>
      <c r="DH48" s="52">
        <f t="shared" si="38"/>
        <v>0</v>
      </c>
      <c r="DI48" s="52">
        <f t="shared" si="39"/>
        <v>0</v>
      </c>
      <c r="DJ48" s="52">
        <f t="shared" si="40"/>
        <v>0</v>
      </c>
      <c r="DK48" s="52">
        <f t="shared" si="41"/>
        <v>0</v>
      </c>
      <c r="DL48" s="52">
        <f t="shared" si="42"/>
        <v>0</v>
      </c>
      <c r="DM48" s="52">
        <f t="shared" si="43"/>
        <v>0</v>
      </c>
      <c r="DN48" s="14" t="s">
        <v>429</v>
      </c>
    </row>
    <row r="49" spans="1:118">
      <c r="A49" s="25">
        <v>42</v>
      </c>
      <c r="B49" s="244" t="s">
        <v>417</v>
      </c>
      <c r="C49" s="244" t="s">
        <v>432</v>
      </c>
      <c r="D49" s="244" t="s">
        <v>433</v>
      </c>
      <c r="E49" s="245" t="s">
        <v>1165</v>
      </c>
      <c r="F49" s="161">
        <f t="shared" si="9"/>
        <v>0</v>
      </c>
      <c r="G49" s="165">
        <f t="shared" si="10"/>
        <v>0</v>
      </c>
      <c r="H49" s="122">
        <v>29000</v>
      </c>
      <c r="I49" s="219">
        <v>0</v>
      </c>
      <c r="J49" s="219">
        <v>0</v>
      </c>
      <c r="K49" s="127">
        <f t="shared" si="11"/>
        <v>0</v>
      </c>
      <c r="L49" s="127">
        <f t="shared" si="12"/>
        <v>0</v>
      </c>
      <c r="M49" s="127">
        <f t="shared" si="13"/>
        <v>0</v>
      </c>
      <c r="N49" s="131">
        <f t="shared" si="14"/>
        <v>0</v>
      </c>
      <c r="O49" s="125" t="str">
        <f t="shared" si="15"/>
        <v>ნულოვანი შესრულება</v>
      </c>
      <c r="P49" s="75"/>
      <c r="Q49" s="75"/>
      <c r="R49" s="75">
        <f t="shared" si="16"/>
        <v>0</v>
      </c>
      <c r="S49" s="75">
        <f t="shared" si="17"/>
        <v>0</v>
      </c>
      <c r="T49" s="75"/>
      <c r="U49" s="75"/>
      <c r="V49" s="75"/>
      <c r="W49" s="75"/>
      <c r="X49" s="75">
        <f t="shared" si="18"/>
        <v>0</v>
      </c>
      <c r="Y49" s="75">
        <f t="shared" si="18"/>
        <v>0</v>
      </c>
      <c r="Z49" s="75"/>
      <c r="AA49" s="75"/>
      <c r="AB49" s="75"/>
      <c r="AC49" s="75"/>
      <c r="AD49" s="75">
        <f t="shared" si="19"/>
        <v>0</v>
      </c>
      <c r="AE49" s="75">
        <f t="shared" si="19"/>
        <v>0</v>
      </c>
      <c r="AF49" s="52">
        <f t="shared" si="20"/>
        <v>0</v>
      </c>
      <c r="AG49" s="52">
        <f t="shared" si="21"/>
        <v>0</v>
      </c>
      <c r="AH49" s="52">
        <f t="shared" si="22"/>
        <v>0</v>
      </c>
      <c r="AI49" s="52">
        <f t="shared" si="23"/>
        <v>0</v>
      </c>
      <c r="AJ49" s="52">
        <f t="shared" si="24"/>
        <v>0</v>
      </c>
      <c r="AK49" s="52">
        <f t="shared" si="25"/>
        <v>0</v>
      </c>
      <c r="AL49" s="75"/>
      <c r="AM49" s="75"/>
      <c r="AN49" s="75"/>
      <c r="AO49" s="75"/>
      <c r="AP49" s="75">
        <f t="shared" si="26"/>
        <v>0</v>
      </c>
      <c r="AQ49" s="75">
        <f t="shared" si="26"/>
        <v>0</v>
      </c>
      <c r="AR49" s="75"/>
      <c r="AS49" s="75"/>
      <c r="AT49" s="75"/>
      <c r="AU49" s="75"/>
      <c r="AV49" s="75">
        <f t="shared" si="27"/>
        <v>0</v>
      </c>
      <c r="AW49" s="75">
        <f t="shared" si="27"/>
        <v>0</v>
      </c>
      <c r="AX49" s="75"/>
      <c r="AY49" s="75"/>
      <c r="AZ49" s="75"/>
      <c r="BA49" s="75"/>
      <c r="BB49" s="75">
        <f t="shared" si="28"/>
        <v>0</v>
      </c>
      <c r="BC49" s="75"/>
      <c r="BD49" s="75">
        <f t="shared" si="44"/>
        <v>0</v>
      </c>
      <c r="BE49" s="75"/>
      <c r="BF49" s="75"/>
      <c r="BG49" s="75"/>
      <c r="BH49" s="75"/>
      <c r="BI49" s="75">
        <f t="shared" si="29"/>
        <v>0</v>
      </c>
      <c r="BJ49" s="75"/>
      <c r="BK49" s="75">
        <f t="shared" si="45"/>
        <v>0</v>
      </c>
      <c r="BL49" s="75"/>
      <c r="BM49" s="75"/>
      <c r="BN49" s="75"/>
      <c r="BO49" s="75"/>
      <c r="BP49" s="75">
        <f t="shared" si="30"/>
        <v>0</v>
      </c>
      <c r="BQ49" s="75">
        <f t="shared" si="30"/>
        <v>0</v>
      </c>
      <c r="BR49" s="75"/>
      <c r="BS49" s="75"/>
      <c r="BT49" s="75"/>
      <c r="BU49" s="75"/>
      <c r="BV49" s="75">
        <f t="shared" si="31"/>
        <v>0</v>
      </c>
      <c r="BW49" s="75">
        <f t="shared" si="31"/>
        <v>0</v>
      </c>
      <c r="BX49" s="75"/>
      <c r="BY49" s="75"/>
      <c r="BZ49" s="75"/>
      <c r="CA49" s="75"/>
      <c r="CB49" s="75">
        <f t="shared" si="32"/>
        <v>0</v>
      </c>
      <c r="CC49" s="75">
        <f t="shared" si="32"/>
        <v>0</v>
      </c>
      <c r="CD49" s="75"/>
      <c r="CE49" s="75"/>
      <c r="CF49" s="75"/>
      <c r="CG49" s="75"/>
      <c r="CH49" s="75">
        <f t="shared" si="33"/>
        <v>0</v>
      </c>
      <c r="CI49" s="75">
        <f t="shared" si="33"/>
        <v>0</v>
      </c>
      <c r="CJ49" s="75"/>
      <c r="CK49" s="75"/>
      <c r="CL49" s="75"/>
      <c r="CM49" s="75"/>
      <c r="CN49" s="75">
        <f t="shared" si="34"/>
        <v>0</v>
      </c>
      <c r="CO49" s="75">
        <f t="shared" si="34"/>
        <v>0</v>
      </c>
      <c r="CP49" s="75"/>
      <c r="CQ49" s="75"/>
      <c r="CR49" s="75"/>
      <c r="CS49" s="75"/>
      <c r="CT49" s="75">
        <f t="shared" si="35"/>
        <v>0</v>
      </c>
      <c r="CU49" s="75">
        <f t="shared" si="35"/>
        <v>0</v>
      </c>
      <c r="CV49" s="75"/>
      <c r="CW49" s="75"/>
      <c r="CX49" s="75"/>
      <c r="CY49" s="75"/>
      <c r="CZ49" s="75">
        <f t="shared" si="36"/>
        <v>0</v>
      </c>
      <c r="DA49" s="75">
        <f t="shared" si="36"/>
        <v>0</v>
      </c>
      <c r="DB49" s="75"/>
      <c r="DC49" s="75"/>
      <c r="DD49" s="75"/>
      <c r="DE49" s="75"/>
      <c r="DF49" s="75">
        <f t="shared" si="37"/>
        <v>0</v>
      </c>
      <c r="DG49" s="75">
        <f t="shared" si="37"/>
        <v>0</v>
      </c>
      <c r="DH49" s="52">
        <f t="shared" si="38"/>
        <v>0</v>
      </c>
      <c r="DI49" s="52">
        <f t="shared" si="39"/>
        <v>0</v>
      </c>
      <c r="DJ49" s="52">
        <f t="shared" si="40"/>
        <v>0</v>
      </c>
      <c r="DK49" s="52">
        <f t="shared" si="41"/>
        <v>0</v>
      </c>
      <c r="DL49" s="52">
        <f t="shared" si="42"/>
        <v>0</v>
      </c>
      <c r="DM49" s="52">
        <f t="shared" si="43"/>
        <v>0</v>
      </c>
      <c r="DN49" s="14" t="s">
        <v>429</v>
      </c>
    </row>
    <row r="50" spans="1:118">
      <c r="A50" s="25">
        <v>43</v>
      </c>
      <c r="B50" s="244" t="s">
        <v>381</v>
      </c>
      <c r="C50" s="244" t="s">
        <v>425</v>
      </c>
      <c r="D50" s="244" t="s">
        <v>426</v>
      </c>
      <c r="E50" s="245" t="s">
        <v>1164</v>
      </c>
      <c r="F50" s="161">
        <f t="shared" si="9"/>
        <v>0</v>
      </c>
      <c r="G50" s="165">
        <f t="shared" si="10"/>
        <v>539</v>
      </c>
      <c r="H50" s="122"/>
      <c r="I50" s="219">
        <v>0</v>
      </c>
      <c r="J50" s="219">
        <v>0</v>
      </c>
      <c r="K50" s="127">
        <f t="shared" si="11"/>
        <v>539</v>
      </c>
      <c r="L50" s="127">
        <f t="shared" si="12"/>
        <v>539</v>
      </c>
      <c r="M50" s="127">
        <f t="shared" si="13"/>
        <v>539</v>
      </c>
      <c r="N50" s="131">
        <f t="shared" si="14"/>
        <v>0</v>
      </c>
      <c r="O50" s="125">
        <f t="shared" si="15"/>
        <v>539</v>
      </c>
      <c r="P50" s="75"/>
      <c r="Q50" s="75">
        <v>539</v>
      </c>
      <c r="R50" s="75">
        <f t="shared" si="16"/>
        <v>0</v>
      </c>
      <c r="S50" s="75">
        <f t="shared" si="17"/>
        <v>539</v>
      </c>
      <c r="T50" s="75"/>
      <c r="U50" s="75"/>
      <c r="V50" s="75"/>
      <c r="W50" s="75"/>
      <c r="X50" s="75">
        <f t="shared" si="18"/>
        <v>0</v>
      </c>
      <c r="Y50" s="75">
        <f t="shared" si="18"/>
        <v>0</v>
      </c>
      <c r="Z50" s="75"/>
      <c r="AA50" s="75"/>
      <c r="AB50" s="75"/>
      <c r="AC50" s="75"/>
      <c r="AD50" s="75">
        <f t="shared" si="19"/>
        <v>0</v>
      </c>
      <c r="AE50" s="75">
        <f t="shared" si="19"/>
        <v>0</v>
      </c>
      <c r="AF50" s="52">
        <f t="shared" si="20"/>
        <v>0</v>
      </c>
      <c r="AG50" s="52">
        <f t="shared" si="21"/>
        <v>0</v>
      </c>
      <c r="AH50" s="52">
        <f t="shared" si="22"/>
        <v>539</v>
      </c>
      <c r="AI50" s="52">
        <f t="shared" si="23"/>
        <v>539</v>
      </c>
      <c r="AJ50" s="52">
        <f t="shared" si="24"/>
        <v>539</v>
      </c>
      <c r="AK50" s="52">
        <f t="shared" si="25"/>
        <v>539</v>
      </c>
      <c r="AL50" s="75"/>
      <c r="AM50" s="75"/>
      <c r="AN50" s="75"/>
      <c r="AO50" s="75"/>
      <c r="AP50" s="75">
        <f t="shared" si="26"/>
        <v>0</v>
      </c>
      <c r="AQ50" s="75">
        <f t="shared" si="26"/>
        <v>0</v>
      </c>
      <c r="AR50" s="75"/>
      <c r="AS50" s="75"/>
      <c r="AT50" s="75"/>
      <c r="AU50" s="75"/>
      <c r="AV50" s="75">
        <f t="shared" si="27"/>
        <v>0</v>
      </c>
      <c r="AW50" s="75">
        <f t="shared" si="27"/>
        <v>0</v>
      </c>
      <c r="AX50" s="75"/>
      <c r="AY50" s="75"/>
      <c r="AZ50" s="75"/>
      <c r="BA50" s="75"/>
      <c r="BB50" s="75">
        <f t="shared" si="28"/>
        <v>0</v>
      </c>
      <c r="BC50" s="75"/>
      <c r="BD50" s="75">
        <f t="shared" si="44"/>
        <v>0</v>
      </c>
      <c r="BE50" s="75"/>
      <c r="BF50" s="75"/>
      <c r="BG50" s="75"/>
      <c r="BH50" s="75"/>
      <c r="BI50" s="75">
        <f t="shared" si="29"/>
        <v>0</v>
      </c>
      <c r="BJ50" s="75"/>
      <c r="BK50" s="75">
        <f t="shared" si="45"/>
        <v>0</v>
      </c>
      <c r="BL50" s="75"/>
      <c r="BM50" s="75"/>
      <c r="BN50" s="75"/>
      <c r="BO50" s="75"/>
      <c r="BP50" s="75">
        <f t="shared" si="30"/>
        <v>0</v>
      </c>
      <c r="BQ50" s="75">
        <f t="shared" si="30"/>
        <v>0</v>
      </c>
      <c r="BR50" s="75"/>
      <c r="BS50" s="75"/>
      <c r="BT50" s="75"/>
      <c r="BU50" s="75"/>
      <c r="BV50" s="75">
        <f t="shared" si="31"/>
        <v>0</v>
      </c>
      <c r="BW50" s="75">
        <f t="shared" si="31"/>
        <v>0</v>
      </c>
      <c r="BX50" s="75"/>
      <c r="BY50" s="75"/>
      <c r="BZ50" s="75"/>
      <c r="CA50" s="75"/>
      <c r="CB50" s="75">
        <f t="shared" si="32"/>
        <v>0</v>
      </c>
      <c r="CC50" s="75">
        <f t="shared" si="32"/>
        <v>0</v>
      </c>
      <c r="CD50" s="75"/>
      <c r="CE50" s="75"/>
      <c r="CF50" s="75"/>
      <c r="CG50" s="75"/>
      <c r="CH50" s="75">
        <f t="shared" si="33"/>
        <v>0</v>
      </c>
      <c r="CI50" s="75">
        <f t="shared" si="33"/>
        <v>0</v>
      </c>
      <c r="CJ50" s="75"/>
      <c r="CK50" s="75"/>
      <c r="CL50" s="75"/>
      <c r="CM50" s="75"/>
      <c r="CN50" s="75">
        <f t="shared" si="34"/>
        <v>0</v>
      </c>
      <c r="CO50" s="75">
        <f t="shared" si="34"/>
        <v>0</v>
      </c>
      <c r="CP50" s="75"/>
      <c r="CQ50" s="75"/>
      <c r="CR50" s="75"/>
      <c r="CS50" s="75"/>
      <c r="CT50" s="75">
        <f t="shared" si="35"/>
        <v>0</v>
      </c>
      <c r="CU50" s="75">
        <f t="shared" si="35"/>
        <v>0</v>
      </c>
      <c r="CV50" s="75"/>
      <c r="CW50" s="75"/>
      <c r="CX50" s="75"/>
      <c r="CY50" s="75"/>
      <c r="CZ50" s="75">
        <f t="shared" si="36"/>
        <v>0</v>
      </c>
      <c r="DA50" s="75">
        <f t="shared" si="36"/>
        <v>0</v>
      </c>
      <c r="DB50" s="75"/>
      <c r="DC50" s="75"/>
      <c r="DD50" s="75"/>
      <c r="DE50" s="75"/>
      <c r="DF50" s="75">
        <f t="shared" si="37"/>
        <v>0</v>
      </c>
      <c r="DG50" s="75">
        <f t="shared" si="37"/>
        <v>0</v>
      </c>
      <c r="DH50" s="52">
        <f t="shared" si="38"/>
        <v>0</v>
      </c>
      <c r="DI50" s="52">
        <f t="shared" si="39"/>
        <v>0</v>
      </c>
      <c r="DJ50" s="52">
        <f t="shared" si="40"/>
        <v>0</v>
      </c>
      <c r="DK50" s="52">
        <f t="shared" si="41"/>
        <v>0</v>
      </c>
      <c r="DL50" s="52">
        <f t="shared" si="42"/>
        <v>0</v>
      </c>
      <c r="DM50" s="52">
        <f t="shared" si="43"/>
        <v>0</v>
      </c>
    </row>
    <row r="51" spans="1:118">
      <c r="A51" s="259">
        <v>45</v>
      </c>
      <c r="B51" s="260"/>
      <c r="C51" s="260"/>
      <c r="D51" s="260" t="s">
        <v>681</v>
      </c>
      <c r="E51" s="260" t="s">
        <v>1164</v>
      </c>
      <c r="F51" s="261">
        <f t="shared" si="9"/>
        <v>18000</v>
      </c>
      <c r="G51" s="262">
        <f t="shared" si="10"/>
        <v>18000</v>
      </c>
      <c r="H51" s="263">
        <v>18000</v>
      </c>
      <c r="I51" s="55"/>
      <c r="J51" s="55"/>
      <c r="K51" s="127">
        <f t="shared" si="11"/>
        <v>0</v>
      </c>
      <c r="L51" s="127">
        <f t="shared" si="12"/>
        <v>0</v>
      </c>
      <c r="M51" s="127">
        <f t="shared" si="13"/>
        <v>0</v>
      </c>
      <c r="N51" s="131">
        <f t="shared" si="14"/>
        <v>18000</v>
      </c>
      <c r="O51" s="125" t="str">
        <f t="shared" si="15"/>
        <v>ნულოვანი შესრულება</v>
      </c>
      <c r="P51" s="75"/>
      <c r="Q51" s="75"/>
      <c r="R51" s="75">
        <f t="shared" si="16"/>
        <v>0</v>
      </c>
      <c r="S51" s="75">
        <f t="shared" si="17"/>
        <v>0</v>
      </c>
      <c r="T51" s="75"/>
      <c r="U51" s="75"/>
      <c r="V51" s="75"/>
      <c r="W51" s="75"/>
      <c r="X51" s="75">
        <f t="shared" si="18"/>
        <v>0</v>
      </c>
      <c r="Y51" s="75">
        <f t="shared" si="18"/>
        <v>0</v>
      </c>
      <c r="Z51" s="75"/>
      <c r="AA51" s="75"/>
      <c r="AB51" s="75"/>
      <c r="AC51" s="75"/>
      <c r="AD51" s="75">
        <f t="shared" si="19"/>
        <v>0</v>
      </c>
      <c r="AE51" s="75">
        <f t="shared" si="19"/>
        <v>0</v>
      </c>
      <c r="AF51" s="52">
        <f t="shared" si="20"/>
        <v>0</v>
      </c>
      <c r="AG51" s="52">
        <f t="shared" si="21"/>
        <v>0</v>
      </c>
      <c r="AH51" s="52">
        <f t="shared" si="22"/>
        <v>0</v>
      </c>
      <c r="AI51" s="52">
        <f t="shared" si="23"/>
        <v>0</v>
      </c>
      <c r="AJ51" s="52">
        <f t="shared" si="24"/>
        <v>0</v>
      </c>
      <c r="AK51" s="52">
        <f t="shared" si="25"/>
        <v>0</v>
      </c>
      <c r="AL51" s="75"/>
      <c r="AM51" s="75"/>
      <c r="AN51" s="75"/>
      <c r="AO51" s="75"/>
      <c r="AP51" s="75">
        <f t="shared" si="26"/>
        <v>0</v>
      </c>
      <c r="AQ51" s="75">
        <f t="shared" si="26"/>
        <v>0</v>
      </c>
      <c r="AR51" s="75"/>
      <c r="AS51" s="75"/>
      <c r="AT51" s="75"/>
      <c r="AU51" s="75"/>
      <c r="AV51" s="75">
        <f t="shared" si="27"/>
        <v>0</v>
      </c>
      <c r="AW51" s="75">
        <f t="shared" si="27"/>
        <v>0</v>
      </c>
      <c r="AX51" s="75"/>
      <c r="AY51" s="75"/>
      <c r="AZ51" s="75"/>
      <c r="BA51" s="75"/>
      <c r="BB51" s="75">
        <f t="shared" si="28"/>
        <v>0</v>
      </c>
      <c r="BC51" s="75"/>
      <c r="BD51" s="75">
        <f t="shared" si="44"/>
        <v>0</v>
      </c>
      <c r="BE51" s="75"/>
      <c r="BF51" s="75"/>
      <c r="BG51" s="75">
        <v>18000</v>
      </c>
      <c r="BH51" s="75"/>
      <c r="BI51" s="75">
        <f t="shared" si="29"/>
        <v>18000</v>
      </c>
      <c r="BJ51" s="75"/>
      <c r="BK51" s="75">
        <f t="shared" si="45"/>
        <v>0</v>
      </c>
      <c r="BL51" s="75"/>
      <c r="BM51" s="75"/>
      <c r="BN51" s="75"/>
      <c r="BO51" s="75"/>
      <c r="BP51" s="75">
        <f t="shared" si="30"/>
        <v>0</v>
      </c>
      <c r="BQ51" s="75">
        <f t="shared" si="30"/>
        <v>0</v>
      </c>
      <c r="BR51" s="75"/>
      <c r="BS51" s="75"/>
      <c r="BT51" s="75"/>
      <c r="BU51" s="75"/>
      <c r="BV51" s="75">
        <f t="shared" si="31"/>
        <v>0</v>
      </c>
      <c r="BW51" s="75">
        <f t="shared" si="31"/>
        <v>0</v>
      </c>
      <c r="BX51" s="75"/>
      <c r="BY51" s="75"/>
      <c r="BZ51" s="75"/>
      <c r="CA51" s="75"/>
      <c r="CB51" s="75">
        <f t="shared" si="32"/>
        <v>0</v>
      </c>
      <c r="CC51" s="75">
        <f t="shared" si="32"/>
        <v>0</v>
      </c>
      <c r="CD51" s="75"/>
      <c r="CE51" s="75"/>
      <c r="CF51" s="75"/>
      <c r="CG51" s="75"/>
      <c r="CH51" s="75">
        <f t="shared" si="33"/>
        <v>0</v>
      </c>
      <c r="CI51" s="75">
        <f t="shared" si="33"/>
        <v>0</v>
      </c>
      <c r="CJ51" s="75"/>
      <c r="CK51" s="75"/>
      <c r="CL51" s="75"/>
      <c r="CM51" s="75"/>
      <c r="CN51" s="75">
        <f t="shared" si="34"/>
        <v>0</v>
      </c>
      <c r="CO51" s="75">
        <f t="shared" si="34"/>
        <v>0</v>
      </c>
      <c r="CP51" s="75"/>
      <c r="CQ51" s="75"/>
      <c r="CR51" s="75"/>
      <c r="CS51" s="75"/>
      <c r="CT51" s="75">
        <f t="shared" si="35"/>
        <v>0</v>
      </c>
      <c r="CU51" s="75">
        <f t="shared" si="35"/>
        <v>0</v>
      </c>
      <c r="CV51" s="75"/>
      <c r="CW51" s="75"/>
      <c r="CX51" s="75"/>
      <c r="CY51" s="75"/>
      <c r="CZ51" s="75">
        <f t="shared" si="36"/>
        <v>0</v>
      </c>
      <c r="DA51" s="75">
        <f t="shared" si="36"/>
        <v>0</v>
      </c>
      <c r="DB51" s="75"/>
      <c r="DC51" s="75"/>
      <c r="DD51" s="75"/>
      <c r="DE51" s="75"/>
      <c r="DF51" s="75">
        <f t="shared" si="37"/>
        <v>0</v>
      </c>
      <c r="DG51" s="75">
        <f t="shared" si="37"/>
        <v>0</v>
      </c>
      <c r="DH51" s="52">
        <f t="shared" si="38"/>
        <v>0</v>
      </c>
      <c r="DI51" s="52">
        <f t="shared" si="39"/>
        <v>0</v>
      </c>
      <c r="DJ51" s="52">
        <f t="shared" si="40"/>
        <v>18000</v>
      </c>
      <c r="DK51" s="52">
        <f t="shared" si="41"/>
        <v>0</v>
      </c>
      <c r="DL51" s="52">
        <f t="shared" si="42"/>
        <v>18000</v>
      </c>
      <c r="DM51" s="52">
        <f t="shared" si="43"/>
        <v>0</v>
      </c>
      <c r="DN51" s="14" t="s">
        <v>434</v>
      </c>
    </row>
    <row r="52" spans="1:118" s="61" customFormat="1">
      <c r="A52" s="68">
        <v>46</v>
      </c>
      <c r="B52" s="246" t="s">
        <v>381</v>
      </c>
      <c r="C52" s="247" t="s">
        <v>435</v>
      </c>
      <c r="D52" s="248" t="s">
        <v>436</v>
      </c>
      <c r="E52" s="249" t="s">
        <v>1165</v>
      </c>
      <c r="F52" s="161">
        <f t="shared" si="9"/>
        <v>0</v>
      </c>
      <c r="G52" s="165">
        <f t="shared" si="10"/>
        <v>172600</v>
      </c>
      <c r="H52" s="54"/>
      <c r="I52" s="251">
        <v>50000</v>
      </c>
      <c r="J52" s="251">
        <v>0</v>
      </c>
      <c r="K52" s="127">
        <f t="shared" si="11"/>
        <v>122600</v>
      </c>
      <c r="L52" s="127">
        <f t="shared" si="12"/>
        <v>172600</v>
      </c>
      <c r="M52" s="127">
        <f t="shared" si="13"/>
        <v>172600</v>
      </c>
      <c r="N52" s="131">
        <f t="shared" si="14"/>
        <v>0</v>
      </c>
      <c r="O52" s="125">
        <f t="shared" si="15"/>
        <v>172600</v>
      </c>
      <c r="P52" s="52">
        <v>2000</v>
      </c>
      <c r="Q52" s="52">
        <v>120600</v>
      </c>
      <c r="R52" s="52">
        <f t="shared" si="16"/>
        <v>52000</v>
      </c>
      <c r="S52" s="52">
        <f t="shared" si="17"/>
        <v>120600</v>
      </c>
      <c r="T52" s="52"/>
      <c r="U52" s="52"/>
      <c r="V52" s="52"/>
      <c r="W52" s="52"/>
      <c r="X52" s="52">
        <f t="shared" si="18"/>
        <v>0</v>
      </c>
      <c r="Y52" s="52">
        <f t="shared" si="18"/>
        <v>0</v>
      </c>
      <c r="Z52" s="52"/>
      <c r="AA52" s="52"/>
      <c r="AB52" s="52"/>
      <c r="AC52" s="52"/>
      <c r="AD52" s="52">
        <f t="shared" si="19"/>
        <v>0</v>
      </c>
      <c r="AE52" s="52">
        <f t="shared" si="19"/>
        <v>0</v>
      </c>
      <c r="AF52" s="52">
        <f t="shared" si="20"/>
        <v>2000</v>
      </c>
      <c r="AG52" s="52">
        <f t="shared" si="21"/>
        <v>2000</v>
      </c>
      <c r="AH52" s="52">
        <f t="shared" si="22"/>
        <v>120600</v>
      </c>
      <c r="AI52" s="52">
        <f t="shared" si="23"/>
        <v>120600</v>
      </c>
      <c r="AJ52" s="52">
        <f t="shared" si="24"/>
        <v>122600</v>
      </c>
      <c r="AK52" s="52">
        <f t="shared" si="25"/>
        <v>122600</v>
      </c>
      <c r="AL52" s="52"/>
      <c r="AM52" s="52"/>
      <c r="AN52" s="52"/>
      <c r="AO52" s="52"/>
      <c r="AP52" s="52">
        <f t="shared" si="26"/>
        <v>0</v>
      </c>
      <c r="AQ52" s="52">
        <f t="shared" si="26"/>
        <v>0</v>
      </c>
      <c r="AR52" s="52"/>
      <c r="AS52" s="52"/>
      <c r="AT52" s="52"/>
      <c r="AU52" s="52"/>
      <c r="AV52" s="52">
        <f t="shared" si="27"/>
        <v>0</v>
      </c>
      <c r="AW52" s="52">
        <f t="shared" si="27"/>
        <v>0</v>
      </c>
      <c r="AX52" s="52"/>
      <c r="AY52" s="52"/>
      <c r="AZ52" s="52"/>
      <c r="BA52" s="52"/>
      <c r="BB52" s="52">
        <f t="shared" si="28"/>
        <v>0</v>
      </c>
      <c r="BC52" s="52"/>
      <c r="BD52" s="52">
        <f t="shared" si="44"/>
        <v>0</v>
      </c>
      <c r="BE52" s="52"/>
      <c r="BF52" s="52"/>
      <c r="BG52" s="52"/>
      <c r="BH52" s="52"/>
      <c r="BI52" s="52">
        <f t="shared" si="29"/>
        <v>0</v>
      </c>
      <c r="BJ52" s="52"/>
      <c r="BK52" s="52">
        <f t="shared" si="45"/>
        <v>0</v>
      </c>
      <c r="BL52" s="52"/>
      <c r="BM52" s="52"/>
      <c r="BN52" s="52"/>
      <c r="BO52" s="52"/>
      <c r="BP52" s="52">
        <f t="shared" si="30"/>
        <v>0</v>
      </c>
      <c r="BQ52" s="52">
        <f t="shared" si="30"/>
        <v>0</v>
      </c>
      <c r="BR52" s="52"/>
      <c r="BS52" s="52"/>
      <c r="BT52" s="52"/>
      <c r="BU52" s="52"/>
      <c r="BV52" s="52">
        <f t="shared" si="31"/>
        <v>0</v>
      </c>
      <c r="BW52" s="52">
        <f t="shared" si="31"/>
        <v>0</v>
      </c>
      <c r="BX52" s="52"/>
      <c r="BY52" s="52"/>
      <c r="BZ52" s="52"/>
      <c r="CA52" s="52"/>
      <c r="CB52" s="52">
        <f t="shared" si="32"/>
        <v>0</v>
      </c>
      <c r="CC52" s="52">
        <f t="shared" si="32"/>
        <v>0</v>
      </c>
      <c r="CD52" s="52"/>
      <c r="CE52" s="52"/>
      <c r="CF52" s="52"/>
      <c r="CG52" s="52"/>
      <c r="CH52" s="52">
        <f t="shared" si="33"/>
        <v>0</v>
      </c>
      <c r="CI52" s="52">
        <f t="shared" si="33"/>
        <v>0</v>
      </c>
      <c r="CJ52" s="52"/>
      <c r="CK52" s="52"/>
      <c r="CL52" s="52"/>
      <c r="CM52" s="52"/>
      <c r="CN52" s="52">
        <f t="shared" si="34"/>
        <v>0</v>
      </c>
      <c r="CO52" s="52">
        <f t="shared" si="34"/>
        <v>0</v>
      </c>
      <c r="CP52" s="52"/>
      <c r="CQ52" s="52"/>
      <c r="CR52" s="52"/>
      <c r="CS52" s="52"/>
      <c r="CT52" s="52">
        <f t="shared" si="35"/>
        <v>0</v>
      </c>
      <c r="CU52" s="52">
        <f t="shared" si="35"/>
        <v>0</v>
      </c>
      <c r="CV52" s="52"/>
      <c r="CW52" s="52"/>
      <c r="CX52" s="52"/>
      <c r="CY52" s="52"/>
      <c r="CZ52" s="52">
        <f t="shared" si="36"/>
        <v>0</v>
      </c>
      <c r="DA52" s="52">
        <f t="shared" si="36"/>
        <v>0</v>
      </c>
      <c r="DB52" s="52"/>
      <c r="DC52" s="52"/>
      <c r="DD52" s="52"/>
      <c r="DE52" s="52"/>
      <c r="DF52" s="52">
        <f t="shared" si="37"/>
        <v>0</v>
      </c>
      <c r="DG52" s="52">
        <f t="shared" si="37"/>
        <v>0</v>
      </c>
      <c r="DH52" s="52">
        <f t="shared" si="38"/>
        <v>0</v>
      </c>
      <c r="DI52" s="52">
        <f t="shared" si="39"/>
        <v>0</v>
      </c>
      <c r="DJ52" s="52">
        <f t="shared" si="40"/>
        <v>0</v>
      </c>
      <c r="DK52" s="52">
        <f t="shared" si="41"/>
        <v>0</v>
      </c>
      <c r="DL52" s="52">
        <f t="shared" si="42"/>
        <v>0</v>
      </c>
      <c r="DM52" s="52">
        <f t="shared" si="43"/>
        <v>0</v>
      </c>
    </row>
    <row r="53" spans="1:118" s="61" customFormat="1">
      <c r="A53" s="68">
        <v>47</v>
      </c>
      <c r="B53" s="246" t="s">
        <v>381</v>
      </c>
      <c r="C53" s="247" t="s">
        <v>437</v>
      </c>
      <c r="D53" s="248" t="s">
        <v>438</v>
      </c>
      <c r="E53" s="249" t="s">
        <v>1165</v>
      </c>
      <c r="F53" s="161">
        <f t="shared" si="9"/>
        <v>0</v>
      </c>
      <c r="G53" s="165">
        <f t="shared" si="10"/>
        <v>309150</v>
      </c>
      <c r="H53" s="54"/>
      <c r="I53" s="251">
        <v>209000</v>
      </c>
      <c r="J53" s="251">
        <v>0</v>
      </c>
      <c r="K53" s="127">
        <f t="shared" si="11"/>
        <v>100150</v>
      </c>
      <c r="L53" s="127">
        <f t="shared" si="12"/>
        <v>309150</v>
      </c>
      <c r="M53" s="127">
        <f t="shared" si="13"/>
        <v>309150</v>
      </c>
      <c r="N53" s="131">
        <f t="shared" si="14"/>
        <v>0</v>
      </c>
      <c r="O53" s="125">
        <f t="shared" si="15"/>
        <v>309150</v>
      </c>
      <c r="P53" s="52">
        <v>1000</v>
      </c>
      <c r="Q53" s="52">
        <v>99150</v>
      </c>
      <c r="R53" s="52">
        <f t="shared" si="16"/>
        <v>210000</v>
      </c>
      <c r="S53" s="52">
        <f t="shared" si="17"/>
        <v>99150</v>
      </c>
      <c r="T53" s="52"/>
      <c r="U53" s="52"/>
      <c r="V53" s="52"/>
      <c r="W53" s="52"/>
      <c r="X53" s="52">
        <f t="shared" si="18"/>
        <v>0</v>
      </c>
      <c r="Y53" s="52">
        <f t="shared" si="18"/>
        <v>0</v>
      </c>
      <c r="Z53" s="52"/>
      <c r="AA53" s="52"/>
      <c r="AB53" s="52"/>
      <c r="AC53" s="52"/>
      <c r="AD53" s="52">
        <f t="shared" si="19"/>
        <v>0</v>
      </c>
      <c r="AE53" s="52">
        <f t="shared" si="19"/>
        <v>0</v>
      </c>
      <c r="AF53" s="52">
        <f t="shared" si="20"/>
        <v>1000</v>
      </c>
      <c r="AG53" s="52">
        <f t="shared" si="21"/>
        <v>1000</v>
      </c>
      <c r="AH53" s="52">
        <f t="shared" si="22"/>
        <v>99150</v>
      </c>
      <c r="AI53" s="52">
        <f t="shared" si="23"/>
        <v>99150</v>
      </c>
      <c r="AJ53" s="52">
        <f t="shared" si="24"/>
        <v>100150</v>
      </c>
      <c r="AK53" s="52">
        <f t="shared" si="25"/>
        <v>100150</v>
      </c>
      <c r="AL53" s="52"/>
      <c r="AM53" s="52"/>
      <c r="AN53" s="52"/>
      <c r="AO53" s="52"/>
      <c r="AP53" s="52">
        <f t="shared" si="26"/>
        <v>0</v>
      </c>
      <c r="AQ53" s="52">
        <f t="shared" si="26"/>
        <v>0</v>
      </c>
      <c r="AR53" s="52"/>
      <c r="AS53" s="52"/>
      <c r="AT53" s="52"/>
      <c r="AU53" s="52"/>
      <c r="AV53" s="52">
        <f t="shared" si="27"/>
        <v>0</v>
      </c>
      <c r="AW53" s="52">
        <f t="shared" si="27"/>
        <v>0</v>
      </c>
      <c r="AX53" s="52"/>
      <c r="AY53" s="52"/>
      <c r="AZ53" s="52"/>
      <c r="BA53" s="52"/>
      <c r="BB53" s="52">
        <f t="shared" si="28"/>
        <v>0</v>
      </c>
      <c r="BC53" s="52"/>
      <c r="BD53" s="52">
        <f t="shared" si="44"/>
        <v>0</v>
      </c>
      <c r="BE53" s="52"/>
      <c r="BF53" s="52"/>
      <c r="BG53" s="52"/>
      <c r="BH53" s="52"/>
      <c r="BI53" s="52">
        <f t="shared" si="29"/>
        <v>0</v>
      </c>
      <c r="BJ53" s="52"/>
      <c r="BK53" s="52">
        <f t="shared" si="45"/>
        <v>0</v>
      </c>
      <c r="BL53" s="52"/>
      <c r="BM53" s="52"/>
      <c r="BN53" s="52"/>
      <c r="BO53" s="52"/>
      <c r="BP53" s="52">
        <f t="shared" si="30"/>
        <v>0</v>
      </c>
      <c r="BQ53" s="52">
        <f t="shared" si="30"/>
        <v>0</v>
      </c>
      <c r="BR53" s="52"/>
      <c r="BS53" s="52"/>
      <c r="BT53" s="52"/>
      <c r="BU53" s="52"/>
      <c r="BV53" s="52">
        <f t="shared" si="31"/>
        <v>0</v>
      </c>
      <c r="BW53" s="52">
        <f t="shared" si="31"/>
        <v>0</v>
      </c>
      <c r="BX53" s="52"/>
      <c r="BY53" s="52"/>
      <c r="BZ53" s="52"/>
      <c r="CA53" s="52"/>
      <c r="CB53" s="52">
        <f t="shared" si="32"/>
        <v>0</v>
      </c>
      <c r="CC53" s="52">
        <f t="shared" si="32"/>
        <v>0</v>
      </c>
      <c r="CD53" s="52"/>
      <c r="CE53" s="52"/>
      <c r="CF53" s="52"/>
      <c r="CG53" s="52"/>
      <c r="CH53" s="52">
        <f t="shared" si="33"/>
        <v>0</v>
      </c>
      <c r="CI53" s="52">
        <f t="shared" si="33"/>
        <v>0</v>
      </c>
      <c r="CJ53" s="52"/>
      <c r="CK53" s="52"/>
      <c r="CL53" s="52"/>
      <c r="CM53" s="52"/>
      <c r="CN53" s="52">
        <f t="shared" si="34"/>
        <v>0</v>
      </c>
      <c r="CO53" s="52">
        <f t="shared" si="34"/>
        <v>0</v>
      </c>
      <c r="CP53" s="52"/>
      <c r="CQ53" s="52"/>
      <c r="CR53" s="52"/>
      <c r="CS53" s="52"/>
      <c r="CT53" s="52">
        <f t="shared" si="35"/>
        <v>0</v>
      </c>
      <c r="CU53" s="52">
        <f t="shared" si="35"/>
        <v>0</v>
      </c>
      <c r="CV53" s="52"/>
      <c r="CW53" s="52"/>
      <c r="CX53" s="52"/>
      <c r="CY53" s="52"/>
      <c r="CZ53" s="52">
        <f t="shared" si="36"/>
        <v>0</v>
      </c>
      <c r="DA53" s="52">
        <f t="shared" si="36"/>
        <v>0</v>
      </c>
      <c r="DB53" s="52"/>
      <c r="DC53" s="52"/>
      <c r="DD53" s="52"/>
      <c r="DE53" s="52"/>
      <c r="DF53" s="52">
        <f t="shared" si="37"/>
        <v>0</v>
      </c>
      <c r="DG53" s="52">
        <f t="shared" si="37"/>
        <v>0</v>
      </c>
      <c r="DH53" s="52">
        <f t="shared" si="38"/>
        <v>0</v>
      </c>
      <c r="DI53" s="52">
        <f t="shared" si="39"/>
        <v>0</v>
      </c>
      <c r="DJ53" s="52">
        <f t="shared" si="40"/>
        <v>0</v>
      </c>
      <c r="DK53" s="52">
        <f t="shared" si="41"/>
        <v>0</v>
      </c>
      <c r="DL53" s="52">
        <f t="shared" si="42"/>
        <v>0</v>
      </c>
      <c r="DM53" s="52">
        <f t="shared" si="43"/>
        <v>0</v>
      </c>
    </row>
    <row r="54" spans="1:118" s="61" customFormat="1">
      <c r="A54" s="68">
        <v>48</v>
      </c>
      <c r="B54" s="246" t="s">
        <v>381</v>
      </c>
      <c r="C54" s="247" t="s">
        <v>439</v>
      </c>
      <c r="D54" s="248" t="s">
        <v>440</v>
      </c>
      <c r="E54" s="249" t="s">
        <v>1165</v>
      </c>
      <c r="F54" s="161">
        <f t="shared" si="9"/>
        <v>0</v>
      </c>
      <c r="G54" s="165">
        <f t="shared" si="10"/>
        <v>187842</v>
      </c>
      <c r="H54" s="54"/>
      <c r="I54" s="251">
        <v>80000</v>
      </c>
      <c r="J54" s="251">
        <v>0</v>
      </c>
      <c r="K54" s="127">
        <f t="shared" si="11"/>
        <v>107842</v>
      </c>
      <c r="L54" s="127">
        <f t="shared" si="12"/>
        <v>187842</v>
      </c>
      <c r="M54" s="127">
        <f t="shared" si="13"/>
        <v>187842</v>
      </c>
      <c r="N54" s="131">
        <f t="shared" si="14"/>
        <v>0</v>
      </c>
      <c r="O54" s="125">
        <f t="shared" si="15"/>
        <v>187842</v>
      </c>
      <c r="P54" s="52">
        <v>82000</v>
      </c>
      <c r="Q54" s="52">
        <v>25842</v>
      </c>
      <c r="R54" s="52">
        <f t="shared" si="16"/>
        <v>162000</v>
      </c>
      <c r="S54" s="52">
        <f t="shared" si="17"/>
        <v>25842</v>
      </c>
      <c r="T54" s="52"/>
      <c r="U54" s="52"/>
      <c r="V54" s="52"/>
      <c r="W54" s="52"/>
      <c r="X54" s="52">
        <f t="shared" si="18"/>
        <v>0</v>
      </c>
      <c r="Y54" s="52">
        <f t="shared" si="18"/>
        <v>0</v>
      </c>
      <c r="Z54" s="52"/>
      <c r="AA54" s="52"/>
      <c r="AB54" s="52"/>
      <c r="AC54" s="52"/>
      <c r="AD54" s="52">
        <f t="shared" si="19"/>
        <v>0</v>
      </c>
      <c r="AE54" s="52">
        <f t="shared" si="19"/>
        <v>0</v>
      </c>
      <c r="AF54" s="52">
        <f t="shared" si="20"/>
        <v>82000</v>
      </c>
      <c r="AG54" s="52">
        <f t="shared" si="21"/>
        <v>82000</v>
      </c>
      <c r="AH54" s="52">
        <f t="shared" si="22"/>
        <v>25842</v>
      </c>
      <c r="AI54" s="52">
        <f t="shared" si="23"/>
        <v>25842</v>
      </c>
      <c r="AJ54" s="52">
        <f t="shared" si="24"/>
        <v>107842</v>
      </c>
      <c r="AK54" s="52">
        <f t="shared" si="25"/>
        <v>107842</v>
      </c>
      <c r="AL54" s="52"/>
      <c r="AM54" s="52"/>
      <c r="AN54" s="52"/>
      <c r="AO54" s="52"/>
      <c r="AP54" s="52">
        <f t="shared" si="26"/>
        <v>0</v>
      </c>
      <c r="AQ54" s="52">
        <f t="shared" si="26"/>
        <v>0</v>
      </c>
      <c r="AR54" s="52"/>
      <c r="AS54" s="52"/>
      <c r="AT54" s="52"/>
      <c r="AU54" s="52"/>
      <c r="AV54" s="52">
        <f t="shared" si="27"/>
        <v>0</v>
      </c>
      <c r="AW54" s="52">
        <f t="shared" si="27"/>
        <v>0</v>
      </c>
      <c r="AX54" s="52"/>
      <c r="AY54" s="52"/>
      <c r="AZ54" s="52"/>
      <c r="BA54" s="52"/>
      <c r="BB54" s="52">
        <f t="shared" si="28"/>
        <v>0</v>
      </c>
      <c r="BC54" s="52"/>
      <c r="BD54" s="52">
        <f t="shared" si="44"/>
        <v>0</v>
      </c>
      <c r="BE54" s="52"/>
      <c r="BF54" s="52"/>
      <c r="BG54" s="52"/>
      <c r="BH54" s="52"/>
      <c r="BI54" s="52">
        <f t="shared" si="29"/>
        <v>0</v>
      </c>
      <c r="BJ54" s="52"/>
      <c r="BK54" s="52">
        <f t="shared" si="45"/>
        <v>0</v>
      </c>
      <c r="BL54" s="52"/>
      <c r="BM54" s="52"/>
      <c r="BN54" s="52"/>
      <c r="BO54" s="52"/>
      <c r="BP54" s="52">
        <f t="shared" si="30"/>
        <v>0</v>
      </c>
      <c r="BQ54" s="52">
        <f t="shared" si="30"/>
        <v>0</v>
      </c>
      <c r="BR54" s="52"/>
      <c r="BS54" s="52"/>
      <c r="BT54" s="52"/>
      <c r="BU54" s="52"/>
      <c r="BV54" s="52">
        <f t="shared" si="31"/>
        <v>0</v>
      </c>
      <c r="BW54" s="52">
        <f t="shared" si="31"/>
        <v>0</v>
      </c>
      <c r="BX54" s="52"/>
      <c r="BY54" s="52"/>
      <c r="BZ54" s="52"/>
      <c r="CA54" s="52"/>
      <c r="CB54" s="52">
        <f t="shared" si="32"/>
        <v>0</v>
      </c>
      <c r="CC54" s="52">
        <f t="shared" si="32"/>
        <v>0</v>
      </c>
      <c r="CD54" s="52"/>
      <c r="CE54" s="52"/>
      <c r="CF54" s="52"/>
      <c r="CG54" s="52"/>
      <c r="CH54" s="52">
        <f t="shared" si="33"/>
        <v>0</v>
      </c>
      <c r="CI54" s="52">
        <f t="shared" si="33"/>
        <v>0</v>
      </c>
      <c r="CJ54" s="52"/>
      <c r="CK54" s="52"/>
      <c r="CL54" s="52"/>
      <c r="CM54" s="52"/>
      <c r="CN54" s="52">
        <f t="shared" si="34"/>
        <v>0</v>
      </c>
      <c r="CO54" s="52">
        <f t="shared" si="34"/>
        <v>0</v>
      </c>
      <c r="CP54" s="52"/>
      <c r="CQ54" s="52"/>
      <c r="CR54" s="52"/>
      <c r="CS54" s="52"/>
      <c r="CT54" s="52">
        <f t="shared" si="35"/>
        <v>0</v>
      </c>
      <c r="CU54" s="52">
        <f t="shared" si="35"/>
        <v>0</v>
      </c>
      <c r="CV54" s="52"/>
      <c r="CW54" s="52"/>
      <c r="CX54" s="52"/>
      <c r="CY54" s="52"/>
      <c r="CZ54" s="52">
        <f t="shared" si="36"/>
        <v>0</v>
      </c>
      <c r="DA54" s="52">
        <f t="shared" si="36"/>
        <v>0</v>
      </c>
      <c r="DB54" s="52"/>
      <c r="DC54" s="52"/>
      <c r="DD54" s="52"/>
      <c r="DE54" s="52"/>
      <c r="DF54" s="52">
        <f t="shared" si="37"/>
        <v>0</v>
      </c>
      <c r="DG54" s="52">
        <f t="shared" si="37"/>
        <v>0</v>
      </c>
      <c r="DH54" s="52">
        <f t="shared" si="38"/>
        <v>0</v>
      </c>
      <c r="DI54" s="52">
        <f t="shared" si="39"/>
        <v>0</v>
      </c>
      <c r="DJ54" s="52">
        <f t="shared" si="40"/>
        <v>0</v>
      </c>
      <c r="DK54" s="52">
        <f t="shared" si="41"/>
        <v>0</v>
      </c>
      <c r="DL54" s="52">
        <f t="shared" si="42"/>
        <v>0</v>
      </c>
      <c r="DM54" s="52">
        <f t="shared" si="43"/>
        <v>0</v>
      </c>
    </row>
    <row r="55" spans="1:118" s="61" customFormat="1">
      <c r="A55" s="68">
        <v>49</v>
      </c>
      <c r="B55" s="246" t="s">
        <v>381</v>
      </c>
      <c r="C55" s="247" t="s">
        <v>441</v>
      </c>
      <c r="D55" s="248" t="s">
        <v>442</v>
      </c>
      <c r="E55" s="249" t="s">
        <v>1165</v>
      </c>
      <c r="F55" s="161">
        <f t="shared" si="9"/>
        <v>0</v>
      </c>
      <c r="G55" s="165">
        <f t="shared" si="10"/>
        <v>362819</v>
      </c>
      <c r="H55" s="54"/>
      <c r="I55" s="251">
        <v>180000</v>
      </c>
      <c r="J55" s="251">
        <v>0</v>
      </c>
      <c r="K55" s="127">
        <f t="shared" si="11"/>
        <v>182819</v>
      </c>
      <c r="L55" s="127">
        <f t="shared" si="12"/>
        <v>362819</v>
      </c>
      <c r="M55" s="127">
        <f t="shared" si="13"/>
        <v>362819</v>
      </c>
      <c r="N55" s="131">
        <f t="shared" si="14"/>
        <v>0</v>
      </c>
      <c r="O55" s="125">
        <f t="shared" si="15"/>
        <v>362819</v>
      </c>
      <c r="P55" s="52">
        <v>112000</v>
      </c>
      <c r="Q55" s="52">
        <v>70819</v>
      </c>
      <c r="R55" s="52">
        <f t="shared" si="16"/>
        <v>292000</v>
      </c>
      <c r="S55" s="52">
        <f t="shared" si="17"/>
        <v>70819</v>
      </c>
      <c r="T55" s="52"/>
      <c r="U55" s="52"/>
      <c r="V55" s="52"/>
      <c r="W55" s="52"/>
      <c r="X55" s="52">
        <f t="shared" si="18"/>
        <v>0</v>
      </c>
      <c r="Y55" s="52">
        <f t="shared" si="18"/>
        <v>0</v>
      </c>
      <c r="Z55" s="52"/>
      <c r="AA55" s="52"/>
      <c r="AB55" s="52"/>
      <c r="AC55" s="52"/>
      <c r="AD55" s="52">
        <f t="shared" si="19"/>
        <v>0</v>
      </c>
      <c r="AE55" s="52">
        <f t="shared" si="19"/>
        <v>0</v>
      </c>
      <c r="AF55" s="52">
        <f t="shared" si="20"/>
        <v>112000</v>
      </c>
      <c r="AG55" s="52">
        <f t="shared" si="21"/>
        <v>112000</v>
      </c>
      <c r="AH55" s="52">
        <f t="shared" si="22"/>
        <v>70819</v>
      </c>
      <c r="AI55" s="52">
        <f t="shared" si="23"/>
        <v>70819</v>
      </c>
      <c r="AJ55" s="52">
        <f t="shared" si="24"/>
        <v>182819</v>
      </c>
      <c r="AK55" s="52">
        <f t="shared" si="25"/>
        <v>182819</v>
      </c>
      <c r="AL55" s="52"/>
      <c r="AM55" s="52"/>
      <c r="AN55" s="52"/>
      <c r="AO55" s="52"/>
      <c r="AP55" s="52">
        <f t="shared" si="26"/>
        <v>0</v>
      </c>
      <c r="AQ55" s="52">
        <f t="shared" si="26"/>
        <v>0</v>
      </c>
      <c r="AR55" s="52"/>
      <c r="AS55" s="52"/>
      <c r="AT55" s="52"/>
      <c r="AU55" s="52"/>
      <c r="AV55" s="52">
        <f t="shared" si="27"/>
        <v>0</v>
      </c>
      <c r="AW55" s="52">
        <f t="shared" si="27"/>
        <v>0</v>
      </c>
      <c r="AX55" s="52"/>
      <c r="AY55" s="52"/>
      <c r="AZ55" s="52"/>
      <c r="BA55" s="52"/>
      <c r="BB55" s="52">
        <f t="shared" si="28"/>
        <v>0</v>
      </c>
      <c r="BC55" s="52"/>
      <c r="BD55" s="52">
        <f t="shared" si="44"/>
        <v>0</v>
      </c>
      <c r="BE55" s="52"/>
      <c r="BF55" s="52"/>
      <c r="BG55" s="52"/>
      <c r="BH55" s="52"/>
      <c r="BI55" s="52">
        <f t="shared" si="29"/>
        <v>0</v>
      </c>
      <c r="BJ55" s="52"/>
      <c r="BK55" s="52">
        <f t="shared" si="45"/>
        <v>0</v>
      </c>
      <c r="BL55" s="52"/>
      <c r="BM55" s="52"/>
      <c r="BN55" s="52"/>
      <c r="BO55" s="52"/>
      <c r="BP55" s="52">
        <f t="shared" si="30"/>
        <v>0</v>
      </c>
      <c r="BQ55" s="52">
        <f t="shared" si="30"/>
        <v>0</v>
      </c>
      <c r="BR55" s="52"/>
      <c r="BS55" s="52"/>
      <c r="BT55" s="52"/>
      <c r="BU55" s="52"/>
      <c r="BV55" s="52">
        <f t="shared" si="31"/>
        <v>0</v>
      </c>
      <c r="BW55" s="52">
        <f t="shared" si="31"/>
        <v>0</v>
      </c>
      <c r="BX55" s="52"/>
      <c r="BY55" s="52"/>
      <c r="BZ55" s="52"/>
      <c r="CA55" s="52"/>
      <c r="CB55" s="52">
        <f t="shared" si="32"/>
        <v>0</v>
      </c>
      <c r="CC55" s="52">
        <f t="shared" si="32"/>
        <v>0</v>
      </c>
      <c r="CD55" s="52"/>
      <c r="CE55" s="52"/>
      <c r="CF55" s="52"/>
      <c r="CG55" s="52"/>
      <c r="CH55" s="52">
        <f t="shared" si="33"/>
        <v>0</v>
      </c>
      <c r="CI55" s="52">
        <f t="shared" si="33"/>
        <v>0</v>
      </c>
      <c r="CJ55" s="52"/>
      <c r="CK55" s="52"/>
      <c r="CL55" s="52"/>
      <c r="CM55" s="52"/>
      <c r="CN55" s="52">
        <f t="shared" si="34"/>
        <v>0</v>
      </c>
      <c r="CO55" s="52">
        <f t="shared" si="34"/>
        <v>0</v>
      </c>
      <c r="CP55" s="52"/>
      <c r="CQ55" s="52"/>
      <c r="CR55" s="52"/>
      <c r="CS55" s="52"/>
      <c r="CT55" s="52">
        <f t="shared" si="35"/>
        <v>0</v>
      </c>
      <c r="CU55" s="52">
        <f t="shared" si="35"/>
        <v>0</v>
      </c>
      <c r="CV55" s="52"/>
      <c r="CW55" s="52"/>
      <c r="CX55" s="52"/>
      <c r="CY55" s="52"/>
      <c r="CZ55" s="52">
        <f t="shared" si="36"/>
        <v>0</v>
      </c>
      <c r="DA55" s="52">
        <f t="shared" si="36"/>
        <v>0</v>
      </c>
      <c r="DB55" s="52"/>
      <c r="DC55" s="52"/>
      <c r="DD55" s="52"/>
      <c r="DE55" s="52"/>
      <c r="DF55" s="52">
        <f t="shared" si="37"/>
        <v>0</v>
      </c>
      <c r="DG55" s="52">
        <f t="shared" si="37"/>
        <v>0</v>
      </c>
      <c r="DH55" s="52">
        <f t="shared" si="38"/>
        <v>0</v>
      </c>
      <c r="DI55" s="52">
        <f t="shared" si="39"/>
        <v>0</v>
      </c>
      <c r="DJ55" s="52">
        <f t="shared" si="40"/>
        <v>0</v>
      </c>
      <c r="DK55" s="52">
        <f t="shared" si="41"/>
        <v>0</v>
      </c>
      <c r="DL55" s="52">
        <f t="shared" si="42"/>
        <v>0</v>
      </c>
      <c r="DM55" s="52">
        <f t="shared" si="43"/>
        <v>0</v>
      </c>
    </row>
    <row r="56" spans="1:118" s="61" customFormat="1">
      <c r="A56" s="68">
        <v>50</v>
      </c>
      <c r="B56" s="246" t="s">
        <v>381</v>
      </c>
      <c r="C56" s="247" t="s">
        <v>443</v>
      </c>
      <c r="D56" s="248" t="s">
        <v>444</v>
      </c>
      <c r="E56" s="249" t="s">
        <v>1165</v>
      </c>
      <c r="F56" s="161">
        <f t="shared" si="9"/>
        <v>0</v>
      </c>
      <c r="G56" s="165">
        <f t="shared" si="10"/>
        <v>83474</v>
      </c>
      <c r="H56" s="54"/>
      <c r="I56" s="251">
        <v>80000</v>
      </c>
      <c r="J56" s="251">
        <v>0</v>
      </c>
      <c r="K56" s="127">
        <f t="shared" si="11"/>
        <v>3474</v>
      </c>
      <c r="L56" s="127">
        <f t="shared" si="12"/>
        <v>83474</v>
      </c>
      <c r="M56" s="127">
        <f t="shared" si="13"/>
        <v>83474</v>
      </c>
      <c r="N56" s="131">
        <f t="shared" si="14"/>
        <v>0</v>
      </c>
      <c r="O56" s="125">
        <f t="shared" si="15"/>
        <v>83474</v>
      </c>
      <c r="P56" s="52"/>
      <c r="Q56" s="52">
        <v>3474</v>
      </c>
      <c r="R56" s="52">
        <f t="shared" si="16"/>
        <v>80000</v>
      </c>
      <c r="S56" s="52">
        <f t="shared" si="17"/>
        <v>3474</v>
      </c>
      <c r="T56" s="52"/>
      <c r="U56" s="52"/>
      <c r="V56" s="52"/>
      <c r="W56" s="52"/>
      <c r="X56" s="52">
        <f t="shared" si="18"/>
        <v>0</v>
      </c>
      <c r="Y56" s="52">
        <f t="shared" si="18"/>
        <v>0</v>
      </c>
      <c r="Z56" s="52"/>
      <c r="AA56" s="52"/>
      <c r="AB56" s="52"/>
      <c r="AC56" s="52"/>
      <c r="AD56" s="52">
        <f t="shared" si="19"/>
        <v>0</v>
      </c>
      <c r="AE56" s="52">
        <f t="shared" si="19"/>
        <v>0</v>
      </c>
      <c r="AF56" s="52">
        <f t="shared" si="20"/>
        <v>0</v>
      </c>
      <c r="AG56" s="52">
        <f t="shared" si="21"/>
        <v>0</v>
      </c>
      <c r="AH56" s="52">
        <f t="shared" si="22"/>
        <v>3474</v>
      </c>
      <c r="AI56" s="52">
        <f t="shared" si="23"/>
        <v>3474</v>
      </c>
      <c r="AJ56" s="52">
        <f t="shared" si="24"/>
        <v>3474</v>
      </c>
      <c r="AK56" s="52">
        <f t="shared" si="25"/>
        <v>3474</v>
      </c>
      <c r="AL56" s="52"/>
      <c r="AM56" s="52"/>
      <c r="AN56" s="52"/>
      <c r="AO56" s="52"/>
      <c r="AP56" s="52">
        <f t="shared" si="26"/>
        <v>0</v>
      </c>
      <c r="AQ56" s="52">
        <f t="shared" si="26"/>
        <v>0</v>
      </c>
      <c r="AR56" s="52"/>
      <c r="AS56" s="52"/>
      <c r="AT56" s="52"/>
      <c r="AU56" s="52"/>
      <c r="AV56" s="52">
        <f t="shared" si="27"/>
        <v>0</v>
      </c>
      <c r="AW56" s="52">
        <f t="shared" si="27"/>
        <v>0</v>
      </c>
      <c r="AX56" s="52"/>
      <c r="AY56" s="52"/>
      <c r="AZ56" s="52"/>
      <c r="BA56" s="52"/>
      <c r="BB56" s="52">
        <f t="shared" si="28"/>
        <v>0</v>
      </c>
      <c r="BC56" s="52"/>
      <c r="BD56" s="52">
        <f t="shared" si="44"/>
        <v>0</v>
      </c>
      <c r="BE56" s="52"/>
      <c r="BF56" s="52"/>
      <c r="BG56" s="52"/>
      <c r="BH56" s="52"/>
      <c r="BI56" s="52">
        <f t="shared" si="29"/>
        <v>0</v>
      </c>
      <c r="BJ56" s="52"/>
      <c r="BK56" s="52">
        <f t="shared" si="45"/>
        <v>0</v>
      </c>
      <c r="BL56" s="52"/>
      <c r="BM56" s="52"/>
      <c r="BN56" s="52"/>
      <c r="BO56" s="52"/>
      <c r="BP56" s="52">
        <f t="shared" si="30"/>
        <v>0</v>
      </c>
      <c r="BQ56" s="52">
        <f t="shared" si="30"/>
        <v>0</v>
      </c>
      <c r="BR56" s="52"/>
      <c r="BS56" s="52"/>
      <c r="BT56" s="52"/>
      <c r="BU56" s="52"/>
      <c r="BV56" s="52">
        <f t="shared" si="31"/>
        <v>0</v>
      </c>
      <c r="BW56" s="52">
        <f t="shared" si="31"/>
        <v>0</v>
      </c>
      <c r="BX56" s="52"/>
      <c r="BY56" s="52"/>
      <c r="BZ56" s="52"/>
      <c r="CA56" s="52"/>
      <c r="CB56" s="52">
        <f t="shared" si="32"/>
        <v>0</v>
      </c>
      <c r="CC56" s="52">
        <f t="shared" si="32"/>
        <v>0</v>
      </c>
      <c r="CD56" s="52"/>
      <c r="CE56" s="52"/>
      <c r="CF56" s="52"/>
      <c r="CG56" s="52"/>
      <c r="CH56" s="52">
        <f t="shared" si="33"/>
        <v>0</v>
      </c>
      <c r="CI56" s="52">
        <f t="shared" si="33"/>
        <v>0</v>
      </c>
      <c r="CJ56" s="52"/>
      <c r="CK56" s="52"/>
      <c r="CL56" s="52"/>
      <c r="CM56" s="52"/>
      <c r="CN56" s="52">
        <f t="shared" si="34"/>
        <v>0</v>
      </c>
      <c r="CO56" s="52">
        <f t="shared" si="34"/>
        <v>0</v>
      </c>
      <c r="CP56" s="52"/>
      <c r="CQ56" s="52"/>
      <c r="CR56" s="52"/>
      <c r="CS56" s="52"/>
      <c r="CT56" s="52">
        <f t="shared" si="35"/>
        <v>0</v>
      </c>
      <c r="CU56" s="52">
        <f t="shared" si="35"/>
        <v>0</v>
      </c>
      <c r="CV56" s="52"/>
      <c r="CW56" s="52"/>
      <c r="CX56" s="52"/>
      <c r="CY56" s="52"/>
      <c r="CZ56" s="52">
        <f t="shared" si="36"/>
        <v>0</v>
      </c>
      <c r="DA56" s="52">
        <f t="shared" si="36"/>
        <v>0</v>
      </c>
      <c r="DB56" s="52"/>
      <c r="DC56" s="52"/>
      <c r="DD56" s="52"/>
      <c r="DE56" s="52"/>
      <c r="DF56" s="52">
        <f t="shared" si="37"/>
        <v>0</v>
      </c>
      <c r="DG56" s="52">
        <f t="shared" si="37"/>
        <v>0</v>
      </c>
      <c r="DH56" s="52">
        <f t="shared" si="38"/>
        <v>0</v>
      </c>
      <c r="DI56" s="52">
        <f t="shared" si="39"/>
        <v>0</v>
      </c>
      <c r="DJ56" s="52">
        <f t="shared" si="40"/>
        <v>0</v>
      </c>
      <c r="DK56" s="52">
        <f t="shared" si="41"/>
        <v>0</v>
      </c>
      <c r="DL56" s="52">
        <f t="shared" si="42"/>
        <v>0</v>
      </c>
      <c r="DM56" s="52">
        <f t="shared" si="43"/>
        <v>0</v>
      </c>
    </row>
    <row r="57" spans="1:118" s="61" customFormat="1">
      <c r="A57" s="68">
        <v>51</v>
      </c>
      <c r="B57" s="246" t="s">
        <v>381</v>
      </c>
      <c r="C57" s="247" t="s">
        <v>445</v>
      </c>
      <c r="D57" s="248" t="s">
        <v>446</v>
      </c>
      <c r="E57" s="249" t="s">
        <v>1165</v>
      </c>
      <c r="F57" s="161">
        <f t="shared" si="9"/>
        <v>0</v>
      </c>
      <c r="G57" s="165">
        <f t="shared" si="10"/>
        <v>1340633</v>
      </c>
      <c r="H57" s="54"/>
      <c r="I57" s="251">
        <v>430000</v>
      </c>
      <c r="J57" s="251">
        <v>0</v>
      </c>
      <c r="K57" s="127">
        <f t="shared" si="11"/>
        <v>910633</v>
      </c>
      <c r="L57" s="127">
        <f t="shared" si="12"/>
        <v>1340633</v>
      </c>
      <c r="M57" s="127">
        <f t="shared" si="13"/>
        <v>1340633</v>
      </c>
      <c r="N57" s="131">
        <f t="shared" si="14"/>
        <v>0</v>
      </c>
      <c r="O57" s="125">
        <f t="shared" si="15"/>
        <v>1340633</v>
      </c>
      <c r="P57" s="52">
        <v>512000</v>
      </c>
      <c r="Q57" s="52">
        <v>398633</v>
      </c>
      <c r="R57" s="52">
        <f t="shared" si="16"/>
        <v>942000</v>
      </c>
      <c r="S57" s="52">
        <f t="shared" si="17"/>
        <v>398633</v>
      </c>
      <c r="T57" s="52"/>
      <c r="U57" s="52"/>
      <c r="V57" s="52"/>
      <c r="W57" s="52"/>
      <c r="X57" s="52">
        <f t="shared" si="18"/>
        <v>0</v>
      </c>
      <c r="Y57" s="52">
        <f t="shared" si="18"/>
        <v>0</v>
      </c>
      <c r="Z57" s="52"/>
      <c r="AA57" s="52"/>
      <c r="AB57" s="52"/>
      <c r="AC57" s="52"/>
      <c r="AD57" s="52">
        <f t="shared" si="19"/>
        <v>0</v>
      </c>
      <c r="AE57" s="52">
        <f t="shared" si="19"/>
        <v>0</v>
      </c>
      <c r="AF57" s="52">
        <f t="shared" si="20"/>
        <v>512000</v>
      </c>
      <c r="AG57" s="52">
        <f t="shared" si="21"/>
        <v>512000</v>
      </c>
      <c r="AH57" s="52">
        <f t="shared" si="22"/>
        <v>398633</v>
      </c>
      <c r="AI57" s="52">
        <f t="shared" si="23"/>
        <v>398633</v>
      </c>
      <c r="AJ57" s="52">
        <f t="shared" si="24"/>
        <v>910633</v>
      </c>
      <c r="AK57" s="52">
        <f t="shared" si="25"/>
        <v>910633</v>
      </c>
      <c r="AL57" s="52"/>
      <c r="AM57" s="52"/>
      <c r="AN57" s="52"/>
      <c r="AO57" s="52"/>
      <c r="AP57" s="52">
        <f t="shared" si="26"/>
        <v>0</v>
      </c>
      <c r="AQ57" s="52">
        <f t="shared" si="26"/>
        <v>0</v>
      </c>
      <c r="AR57" s="52"/>
      <c r="AS57" s="52"/>
      <c r="AT57" s="52"/>
      <c r="AU57" s="52"/>
      <c r="AV57" s="52">
        <f t="shared" si="27"/>
        <v>0</v>
      </c>
      <c r="AW57" s="52">
        <f t="shared" si="27"/>
        <v>0</v>
      </c>
      <c r="AX57" s="52"/>
      <c r="AY57" s="52"/>
      <c r="AZ57" s="52"/>
      <c r="BA57" s="52"/>
      <c r="BB57" s="52">
        <f t="shared" si="28"/>
        <v>0</v>
      </c>
      <c r="BC57" s="52"/>
      <c r="BD57" s="52">
        <f t="shared" si="44"/>
        <v>0</v>
      </c>
      <c r="BE57" s="52"/>
      <c r="BF57" s="52"/>
      <c r="BG57" s="52"/>
      <c r="BH57" s="52"/>
      <c r="BI57" s="52">
        <f t="shared" si="29"/>
        <v>0</v>
      </c>
      <c r="BJ57" s="52"/>
      <c r="BK57" s="52">
        <f t="shared" si="45"/>
        <v>0</v>
      </c>
      <c r="BL57" s="52"/>
      <c r="BM57" s="52"/>
      <c r="BN57" s="52"/>
      <c r="BO57" s="52"/>
      <c r="BP57" s="52">
        <f t="shared" si="30"/>
        <v>0</v>
      </c>
      <c r="BQ57" s="52">
        <f t="shared" si="30"/>
        <v>0</v>
      </c>
      <c r="BR57" s="52"/>
      <c r="BS57" s="52"/>
      <c r="BT57" s="52"/>
      <c r="BU57" s="52"/>
      <c r="BV57" s="52">
        <f t="shared" si="31"/>
        <v>0</v>
      </c>
      <c r="BW57" s="52">
        <f t="shared" si="31"/>
        <v>0</v>
      </c>
      <c r="BX57" s="52"/>
      <c r="BY57" s="52"/>
      <c r="BZ57" s="52"/>
      <c r="CA57" s="52"/>
      <c r="CB57" s="52">
        <f t="shared" si="32"/>
        <v>0</v>
      </c>
      <c r="CC57" s="52">
        <f t="shared" si="32"/>
        <v>0</v>
      </c>
      <c r="CD57" s="52"/>
      <c r="CE57" s="52"/>
      <c r="CF57" s="52"/>
      <c r="CG57" s="52"/>
      <c r="CH57" s="52">
        <f t="shared" si="33"/>
        <v>0</v>
      </c>
      <c r="CI57" s="52">
        <f t="shared" si="33"/>
        <v>0</v>
      </c>
      <c r="CJ57" s="52"/>
      <c r="CK57" s="52"/>
      <c r="CL57" s="52"/>
      <c r="CM57" s="52"/>
      <c r="CN57" s="52">
        <f t="shared" si="34"/>
        <v>0</v>
      </c>
      <c r="CO57" s="52">
        <f t="shared" si="34"/>
        <v>0</v>
      </c>
      <c r="CP57" s="52"/>
      <c r="CQ57" s="52"/>
      <c r="CR57" s="52"/>
      <c r="CS57" s="52"/>
      <c r="CT57" s="52">
        <f t="shared" si="35"/>
        <v>0</v>
      </c>
      <c r="CU57" s="52">
        <f t="shared" si="35"/>
        <v>0</v>
      </c>
      <c r="CV57" s="52"/>
      <c r="CW57" s="52"/>
      <c r="CX57" s="52"/>
      <c r="CY57" s="52"/>
      <c r="CZ57" s="52">
        <f t="shared" si="36"/>
        <v>0</v>
      </c>
      <c r="DA57" s="52">
        <f t="shared" si="36"/>
        <v>0</v>
      </c>
      <c r="DB57" s="52"/>
      <c r="DC57" s="52"/>
      <c r="DD57" s="52"/>
      <c r="DE57" s="52"/>
      <c r="DF57" s="52">
        <f t="shared" si="37"/>
        <v>0</v>
      </c>
      <c r="DG57" s="52">
        <f t="shared" si="37"/>
        <v>0</v>
      </c>
      <c r="DH57" s="52">
        <f t="shared" si="38"/>
        <v>0</v>
      </c>
      <c r="DI57" s="52">
        <f t="shared" si="39"/>
        <v>0</v>
      </c>
      <c r="DJ57" s="52">
        <f t="shared" si="40"/>
        <v>0</v>
      </c>
      <c r="DK57" s="52">
        <f t="shared" si="41"/>
        <v>0</v>
      </c>
      <c r="DL57" s="52">
        <f t="shared" si="42"/>
        <v>0</v>
      </c>
      <c r="DM57" s="52">
        <f t="shared" si="43"/>
        <v>0</v>
      </c>
    </row>
    <row r="58" spans="1:118" s="278" customFormat="1">
      <c r="A58" s="253">
        <v>52</v>
      </c>
      <c r="B58" s="254" t="s">
        <v>381</v>
      </c>
      <c r="C58" s="254" t="s">
        <v>447</v>
      </c>
      <c r="D58" s="254" t="s">
        <v>448</v>
      </c>
      <c r="E58" s="254" t="s">
        <v>1165</v>
      </c>
      <c r="F58" s="255">
        <f t="shared" si="9"/>
        <v>0</v>
      </c>
      <c r="G58" s="256">
        <f t="shared" si="10"/>
        <v>0</v>
      </c>
      <c r="H58" s="257"/>
      <c r="I58" s="258"/>
      <c r="J58" s="258"/>
      <c r="K58" s="255">
        <f t="shared" si="11"/>
        <v>0</v>
      </c>
      <c r="L58" s="255">
        <f t="shared" si="12"/>
        <v>0</v>
      </c>
      <c r="M58" s="255">
        <f t="shared" si="13"/>
        <v>0</v>
      </c>
      <c r="N58" s="255">
        <f t="shared" si="14"/>
        <v>0</v>
      </c>
      <c r="O58" s="255" t="str">
        <f t="shared" si="15"/>
        <v>ნულოვანი შესრულება</v>
      </c>
      <c r="P58" s="52"/>
      <c r="Q58" s="52"/>
      <c r="R58" s="52">
        <f t="shared" si="16"/>
        <v>0</v>
      </c>
      <c r="S58" s="52">
        <f t="shared" si="17"/>
        <v>0</v>
      </c>
      <c r="T58" s="52"/>
      <c r="U58" s="52"/>
      <c r="V58" s="52"/>
      <c r="W58" s="52"/>
      <c r="X58" s="52">
        <f t="shared" si="18"/>
        <v>0</v>
      </c>
      <c r="Y58" s="52">
        <f t="shared" si="18"/>
        <v>0</v>
      </c>
      <c r="Z58" s="52"/>
      <c r="AA58" s="52"/>
      <c r="AB58" s="52"/>
      <c r="AC58" s="52"/>
      <c r="AD58" s="52">
        <f t="shared" si="19"/>
        <v>0</v>
      </c>
      <c r="AE58" s="52">
        <f t="shared" si="19"/>
        <v>0</v>
      </c>
      <c r="AF58" s="52">
        <f t="shared" si="20"/>
        <v>0</v>
      </c>
      <c r="AG58" s="52">
        <f t="shared" si="21"/>
        <v>0</v>
      </c>
      <c r="AH58" s="52">
        <f t="shared" si="22"/>
        <v>0</v>
      </c>
      <c r="AI58" s="52">
        <f t="shared" si="23"/>
        <v>0</v>
      </c>
      <c r="AJ58" s="52">
        <f t="shared" si="24"/>
        <v>0</v>
      </c>
      <c r="AK58" s="52">
        <f t="shared" si="25"/>
        <v>0</v>
      </c>
      <c r="AL58" s="258"/>
      <c r="AM58" s="258"/>
      <c r="AN58" s="258"/>
      <c r="AO58" s="258"/>
      <c r="AP58" s="258">
        <f t="shared" si="26"/>
        <v>0</v>
      </c>
      <c r="AQ58" s="258">
        <f t="shared" si="26"/>
        <v>0</v>
      </c>
      <c r="AR58" s="258"/>
      <c r="AS58" s="258"/>
      <c r="AT58" s="258"/>
      <c r="AU58" s="258"/>
      <c r="AV58" s="258">
        <f t="shared" si="27"/>
        <v>0</v>
      </c>
      <c r="AW58" s="258">
        <f t="shared" si="27"/>
        <v>0</v>
      </c>
      <c r="AX58" s="258"/>
      <c r="AY58" s="258"/>
      <c r="AZ58" s="258"/>
      <c r="BA58" s="258"/>
      <c r="BB58" s="258">
        <f t="shared" si="28"/>
        <v>0</v>
      </c>
      <c r="BC58" s="258"/>
      <c r="BD58" s="258">
        <f t="shared" si="44"/>
        <v>0</v>
      </c>
      <c r="BE58" s="258"/>
      <c r="BF58" s="258"/>
      <c r="BG58" s="258"/>
      <c r="BH58" s="258"/>
      <c r="BI58" s="258">
        <f t="shared" si="29"/>
        <v>0</v>
      </c>
      <c r="BJ58" s="258"/>
      <c r="BK58" s="258">
        <f t="shared" si="45"/>
        <v>0</v>
      </c>
      <c r="BL58" s="258"/>
      <c r="BM58" s="258"/>
      <c r="BN58" s="258"/>
      <c r="BO58" s="258"/>
      <c r="BP58" s="258">
        <f t="shared" si="30"/>
        <v>0</v>
      </c>
      <c r="BQ58" s="258">
        <f t="shared" si="30"/>
        <v>0</v>
      </c>
      <c r="BR58" s="258"/>
      <c r="BS58" s="258"/>
      <c r="BT58" s="258"/>
      <c r="BU58" s="258"/>
      <c r="BV58" s="258">
        <f t="shared" si="31"/>
        <v>0</v>
      </c>
      <c r="BW58" s="258">
        <f t="shared" si="31"/>
        <v>0</v>
      </c>
      <c r="BX58" s="258"/>
      <c r="BY58" s="258"/>
      <c r="BZ58" s="258"/>
      <c r="CA58" s="258"/>
      <c r="CB58" s="258">
        <f t="shared" si="32"/>
        <v>0</v>
      </c>
      <c r="CC58" s="258">
        <f t="shared" si="32"/>
        <v>0</v>
      </c>
      <c r="CD58" s="258"/>
      <c r="CE58" s="258"/>
      <c r="CF58" s="258"/>
      <c r="CG58" s="258"/>
      <c r="CH58" s="258">
        <f t="shared" si="33"/>
        <v>0</v>
      </c>
      <c r="CI58" s="258">
        <f t="shared" si="33"/>
        <v>0</v>
      </c>
      <c r="CJ58" s="258"/>
      <c r="CK58" s="258"/>
      <c r="CL58" s="258"/>
      <c r="CM58" s="258"/>
      <c r="CN58" s="258">
        <f t="shared" si="34"/>
        <v>0</v>
      </c>
      <c r="CO58" s="258">
        <f t="shared" si="34"/>
        <v>0</v>
      </c>
      <c r="CP58" s="258"/>
      <c r="CQ58" s="258"/>
      <c r="CR58" s="258"/>
      <c r="CS58" s="258"/>
      <c r="CT58" s="258">
        <f t="shared" si="35"/>
        <v>0</v>
      </c>
      <c r="CU58" s="258">
        <f t="shared" si="35"/>
        <v>0</v>
      </c>
      <c r="CV58" s="258"/>
      <c r="CW58" s="258"/>
      <c r="CX58" s="258"/>
      <c r="CY58" s="258"/>
      <c r="CZ58" s="258">
        <f t="shared" si="36"/>
        <v>0</v>
      </c>
      <c r="DA58" s="258">
        <f t="shared" si="36"/>
        <v>0</v>
      </c>
      <c r="DB58" s="258"/>
      <c r="DC58" s="258"/>
      <c r="DD58" s="258"/>
      <c r="DE58" s="258"/>
      <c r="DF58" s="258">
        <f t="shared" si="37"/>
        <v>0</v>
      </c>
      <c r="DG58" s="258">
        <f t="shared" si="37"/>
        <v>0</v>
      </c>
      <c r="DH58" s="258">
        <f t="shared" si="38"/>
        <v>0</v>
      </c>
      <c r="DI58" s="258">
        <f t="shared" si="39"/>
        <v>0</v>
      </c>
      <c r="DJ58" s="258">
        <f t="shared" si="40"/>
        <v>0</v>
      </c>
      <c r="DK58" s="258">
        <f t="shared" si="41"/>
        <v>0</v>
      </c>
      <c r="DL58" s="258">
        <f t="shared" si="42"/>
        <v>0</v>
      </c>
      <c r="DM58" s="258">
        <f t="shared" si="43"/>
        <v>0</v>
      </c>
    </row>
    <row r="59" spans="1:118">
      <c r="A59" s="25">
        <v>53</v>
      </c>
      <c r="B59" s="244" t="s">
        <v>381</v>
      </c>
      <c r="C59" s="244" t="s">
        <v>447</v>
      </c>
      <c r="D59" s="244" t="s">
        <v>448</v>
      </c>
      <c r="E59" s="244" t="s">
        <v>1164</v>
      </c>
      <c r="F59" s="131">
        <f t="shared" si="9"/>
        <v>1000</v>
      </c>
      <c r="G59" s="283">
        <f t="shared" si="10"/>
        <v>1000</v>
      </c>
      <c r="H59" s="257">
        <v>0</v>
      </c>
      <c r="I59" s="75"/>
      <c r="J59" s="75"/>
      <c r="K59" s="131">
        <f t="shared" si="11"/>
        <v>0</v>
      </c>
      <c r="L59" s="131">
        <f t="shared" si="12"/>
        <v>0</v>
      </c>
      <c r="M59" s="131">
        <f t="shared" si="13"/>
        <v>0</v>
      </c>
      <c r="N59" s="131">
        <f t="shared" si="14"/>
        <v>1000</v>
      </c>
      <c r="O59" s="131" t="str">
        <f t="shared" si="15"/>
        <v>ნულოვანი შესრულება</v>
      </c>
      <c r="P59" s="52"/>
      <c r="Q59" s="52"/>
      <c r="R59" s="52">
        <f t="shared" si="16"/>
        <v>0</v>
      </c>
      <c r="S59" s="52">
        <f t="shared" si="17"/>
        <v>0</v>
      </c>
      <c r="T59" s="52"/>
      <c r="U59" s="52"/>
      <c r="V59" s="52"/>
      <c r="W59" s="52"/>
      <c r="X59" s="52">
        <f t="shared" si="18"/>
        <v>0</v>
      </c>
      <c r="Y59" s="52">
        <f t="shared" si="18"/>
        <v>0</v>
      </c>
      <c r="Z59" s="52"/>
      <c r="AA59" s="52"/>
      <c r="AB59" s="52"/>
      <c r="AC59" s="52"/>
      <c r="AD59" s="52">
        <f t="shared" si="19"/>
        <v>0</v>
      </c>
      <c r="AE59" s="52">
        <f t="shared" si="19"/>
        <v>0</v>
      </c>
      <c r="AF59" s="52">
        <f t="shared" si="20"/>
        <v>0</v>
      </c>
      <c r="AG59" s="52">
        <f t="shared" si="21"/>
        <v>0</v>
      </c>
      <c r="AH59" s="52">
        <f t="shared" si="22"/>
        <v>0</v>
      </c>
      <c r="AI59" s="52">
        <f t="shared" si="23"/>
        <v>0</v>
      </c>
      <c r="AJ59" s="52">
        <f t="shared" si="24"/>
        <v>0</v>
      </c>
      <c r="AK59" s="52">
        <f t="shared" si="25"/>
        <v>0</v>
      </c>
      <c r="AL59" s="75"/>
      <c r="AM59" s="75"/>
      <c r="AN59" s="75"/>
      <c r="AO59" s="75"/>
      <c r="AP59" s="75">
        <f t="shared" si="26"/>
        <v>0</v>
      </c>
      <c r="AQ59" s="75">
        <f t="shared" si="26"/>
        <v>0</v>
      </c>
      <c r="AR59" s="75"/>
      <c r="AS59" s="75"/>
      <c r="AT59" s="75">
        <v>1000</v>
      </c>
      <c r="AU59" s="75"/>
      <c r="AV59" s="75">
        <f t="shared" si="27"/>
        <v>1000</v>
      </c>
      <c r="AW59" s="75">
        <f t="shared" si="27"/>
        <v>0</v>
      </c>
      <c r="AX59" s="75"/>
      <c r="AY59" s="75"/>
      <c r="AZ59" s="75"/>
      <c r="BA59" s="75"/>
      <c r="BB59" s="75">
        <f t="shared" si="28"/>
        <v>0</v>
      </c>
      <c r="BC59" s="75"/>
      <c r="BD59" s="75">
        <f t="shared" si="44"/>
        <v>0</v>
      </c>
      <c r="BE59" s="75"/>
      <c r="BF59" s="75"/>
      <c r="BG59" s="75"/>
      <c r="BH59" s="75"/>
      <c r="BI59" s="75">
        <f t="shared" si="29"/>
        <v>0</v>
      </c>
      <c r="BJ59" s="75"/>
      <c r="BK59" s="75">
        <f t="shared" si="45"/>
        <v>0</v>
      </c>
      <c r="BL59" s="75"/>
      <c r="BM59" s="75"/>
      <c r="BN59" s="75"/>
      <c r="BO59" s="75"/>
      <c r="BP59" s="75">
        <f t="shared" si="30"/>
        <v>0</v>
      </c>
      <c r="BQ59" s="75">
        <f t="shared" si="30"/>
        <v>0</v>
      </c>
      <c r="BR59" s="75"/>
      <c r="BS59" s="75"/>
      <c r="BT59" s="75"/>
      <c r="BU59" s="75"/>
      <c r="BV59" s="75">
        <f t="shared" si="31"/>
        <v>0</v>
      </c>
      <c r="BW59" s="75">
        <f t="shared" si="31"/>
        <v>0</v>
      </c>
      <c r="BX59" s="75"/>
      <c r="BY59" s="75"/>
      <c r="BZ59" s="75"/>
      <c r="CA59" s="75"/>
      <c r="CB59" s="75">
        <f t="shared" si="32"/>
        <v>0</v>
      </c>
      <c r="CC59" s="75">
        <f t="shared" si="32"/>
        <v>0</v>
      </c>
      <c r="CD59" s="75"/>
      <c r="CE59" s="75"/>
      <c r="CF59" s="75"/>
      <c r="CG59" s="75"/>
      <c r="CH59" s="75">
        <f t="shared" si="33"/>
        <v>0</v>
      </c>
      <c r="CI59" s="75">
        <f t="shared" si="33"/>
        <v>0</v>
      </c>
      <c r="CJ59" s="75"/>
      <c r="CK59" s="75"/>
      <c r="CL59" s="75"/>
      <c r="CM59" s="75"/>
      <c r="CN59" s="75">
        <f t="shared" si="34"/>
        <v>0</v>
      </c>
      <c r="CO59" s="75">
        <f t="shared" si="34"/>
        <v>0</v>
      </c>
      <c r="CP59" s="75"/>
      <c r="CQ59" s="75"/>
      <c r="CR59" s="75"/>
      <c r="CS59" s="75"/>
      <c r="CT59" s="75">
        <f t="shared" si="35"/>
        <v>0</v>
      </c>
      <c r="CU59" s="75">
        <f t="shared" si="35"/>
        <v>0</v>
      </c>
      <c r="CV59" s="75"/>
      <c r="CW59" s="308"/>
      <c r="CX59" s="75"/>
      <c r="CY59" s="75"/>
      <c r="CZ59" s="75">
        <f t="shared" si="36"/>
        <v>0</v>
      </c>
      <c r="DA59" s="75">
        <f t="shared" si="36"/>
        <v>0</v>
      </c>
      <c r="DB59" s="75"/>
      <c r="DC59" s="75"/>
      <c r="DD59" s="75"/>
      <c r="DE59" s="75"/>
      <c r="DF59" s="75">
        <f t="shared" si="37"/>
        <v>0</v>
      </c>
      <c r="DG59" s="75">
        <f t="shared" si="37"/>
        <v>0</v>
      </c>
      <c r="DH59" s="75">
        <f t="shared" si="38"/>
        <v>0</v>
      </c>
      <c r="DI59" s="75">
        <f t="shared" si="39"/>
        <v>0</v>
      </c>
      <c r="DJ59" s="75">
        <f t="shared" si="40"/>
        <v>1000</v>
      </c>
      <c r="DK59" s="75">
        <f t="shared" si="41"/>
        <v>0</v>
      </c>
      <c r="DL59" s="75">
        <f t="shared" si="42"/>
        <v>1000</v>
      </c>
      <c r="DM59" s="75">
        <f t="shared" si="43"/>
        <v>0</v>
      </c>
    </row>
    <row r="60" spans="1:118">
      <c r="A60" s="92"/>
    </row>
    <row r="61" spans="1:118">
      <c r="A61" s="92"/>
    </row>
    <row r="62" spans="1:118">
      <c r="A62" s="92"/>
    </row>
    <row r="63" spans="1:118">
      <c r="A63" s="92"/>
      <c r="AA63" s="265"/>
      <c r="AB63" s="265"/>
      <c r="AC63" s="265"/>
      <c r="AD63" s="265"/>
      <c r="AE63" s="265"/>
    </row>
    <row r="64" spans="1:118">
      <c r="A64" s="92"/>
      <c r="D64" s="173"/>
      <c r="E64" s="173"/>
      <c r="F64" s="173"/>
      <c r="G64" s="173"/>
      <c r="H64" s="173"/>
      <c r="I64" s="173"/>
      <c r="J64" s="173"/>
    </row>
    <row r="65" spans="1:27">
      <c r="A65" s="92"/>
      <c r="D65" s="173"/>
      <c r="E65" s="173"/>
      <c r="F65" s="173"/>
      <c r="G65" s="173"/>
      <c r="H65" s="173"/>
      <c r="I65" s="173"/>
      <c r="J65" s="173"/>
      <c r="AA65" s="266"/>
    </row>
    <row r="66" spans="1:27">
      <c r="A66" s="92"/>
      <c r="D66" s="173"/>
      <c r="E66" s="173"/>
      <c r="F66" s="173"/>
      <c r="G66" s="173"/>
      <c r="H66" s="173"/>
      <c r="I66" s="173"/>
      <c r="J66" s="173"/>
    </row>
    <row r="67" spans="1:27">
      <c r="A67" s="92"/>
      <c r="D67" s="173"/>
      <c r="E67" s="173"/>
      <c r="F67" s="173"/>
      <c r="G67" s="173"/>
      <c r="H67" s="173"/>
      <c r="I67" s="173"/>
      <c r="J67" s="173"/>
    </row>
    <row r="68" spans="1:27">
      <c r="A68" s="92"/>
      <c r="D68" s="173"/>
      <c r="E68" s="173"/>
      <c r="F68" s="173"/>
      <c r="G68" s="173"/>
      <c r="H68" s="173"/>
      <c r="I68" s="173"/>
      <c r="J68" s="173"/>
    </row>
    <row r="69" spans="1:27">
      <c r="A69" s="92"/>
      <c r="D69" s="173"/>
      <c r="E69" s="173"/>
      <c r="F69" s="173"/>
      <c r="G69" s="173"/>
      <c r="H69" s="173"/>
      <c r="I69" s="173"/>
      <c r="J69" s="173"/>
    </row>
    <row r="70" spans="1:27">
      <c r="D70" s="173"/>
      <c r="E70" s="173"/>
      <c r="F70" s="173"/>
      <c r="G70" s="173"/>
      <c r="H70" s="173"/>
      <c r="I70" s="173"/>
      <c r="J70" s="173"/>
    </row>
    <row r="71" spans="1:27">
      <c r="D71" s="173"/>
      <c r="E71" s="173"/>
      <c r="F71" s="173"/>
      <c r="G71" s="173"/>
      <c r="H71" s="173"/>
      <c r="I71" s="173"/>
      <c r="J71" s="173"/>
    </row>
    <row r="72" spans="1:27">
      <c r="D72" s="173"/>
      <c r="E72" s="173"/>
      <c r="F72" s="173"/>
      <c r="G72" s="173"/>
      <c r="H72" s="173"/>
      <c r="I72" s="173"/>
      <c r="J72" s="173"/>
    </row>
    <row r="73" spans="1:27">
      <c r="D73" s="173"/>
      <c r="E73" s="173"/>
      <c r="F73" s="173"/>
      <c r="G73" s="173"/>
      <c r="H73" s="173"/>
      <c r="I73" s="173"/>
      <c r="J73" s="173"/>
    </row>
    <row r="74" spans="1:27">
      <c r="D74" s="173"/>
      <c r="E74" s="173"/>
      <c r="F74" s="173"/>
      <c r="G74" s="173"/>
      <c r="H74" s="173"/>
      <c r="I74" s="173"/>
      <c r="J74" s="173"/>
    </row>
    <row r="75" spans="1:27">
      <c r="D75" s="173"/>
      <c r="E75" s="173"/>
      <c r="F75" s="173"/>
      <c r="G75" s="173"/>
      <c r="H75" s="173"/>
      <c r="I75" s="173"/>
      <c r="J75" s="173"/>
    </row>
    <row r="76" spans="1:27">
      <c r="D76" s="173"/>
      <c r="E76" s="173"/>
      <c r="F76" s="173"/>
      <c r="G76" s="173"/>
      <c r="H76" s="173"/>
      <c r="I76" s="173"/>
      <c r="J76" s="173"/>
    </row>
    <row r="77" spans="1:27">
      <c r="D77" s="173"/>
      <c r="E77" s="173"/>
      <c r="F77" s="173"/>
      <c r="G77" s="173"/>
      <c r="H77" s="173"/>
      <c r="I77" s="173"/>
      <c r="J77" s="173"/>
    </row>
    <row r="78" spans="1:27">
      <c r="D78" s="173"/>
      <c r="E78" s="173"/>
      <c r="F78" s="173"/>
      <c r="G78" s="173"/>
      <c r="H78" s="173"/>
      <c r="I78" s="173"/>
      <c r="J78" s="173"/>
    </row>
    <row r="79" spans="1:27">
      <c r="D79" s="173"/>
      <c r="E79" s="173"/>
      <c r="F79" s="173"/>
      <c r="G79" s="173"/>
      <c r="H79" s="173"/>
      <c r="I79" s="173"/>
      <c r="J79" s="173"/>
    </row>
    <row r="80" spans="1:27">
      <c r="D80" s="173"/>
      <c r="E80" s="173"/>
      <c r="F80" s="173"/>
      <c r="G80" s="173"/>
      <c r="H80" s="173"/>
      <c r="I80" s="173"/>
      <c r="J80" s="173"/>
    </row>
  </sheetData>
  <autoFilter ref="A8:DN59" xr:uid="{00000000-0009-0000-0000-000007000000}"/>
  <mergeCells count="88">
    <mergeCell ref="H3:H6"/>
    <mergeCell ref="A3:A6"/>
    <mergeCell ref="B3:B6"/>
    <mergeCell ref="C3:C6"/>
    <mergeCell ref="D3:D6"/>
    <mergeCell ref="E3:E6"/>
    <mergeCell ref="F3:F6"/>
    <mergeCell ref="G3:G6"/>
    <mergeCell ref="AL3:DM3"/>
    <mergeCell ref="T4:Y4"/>
    <mergeCell ref="Z4:AE4"/>
    <mergeCell ref="AF4:AK4"/>
    <mergeCell ref="AL4:AQ4"/>
    <mergeCell ref="AR4:AW4"/>
    <mergeCell ref="DH4:DM4"/>
    <mergeCell ref="AX4:BD4"/>
    <mergeCell ref="BE4:BK4"/>
    <mergeCell ref="BL4:BQ4"/>
    <mergeCell ref="BR4:BW4"/>
    <mergeCell ref="BX4:CC4"/>
    <mergeCell ref="CD4:CI4"/>
    <mergeCell ref="CJ4:CO4"/>
    <mergeCell ref="CP4:CU4"/>
    <mergeCell ref="CV4:DA4"/>
    <mergeCell ref="P3:Q4"/>
    <mergeCell ref="R3:S4"/>
    <mergeCell ref="T3:AK3"/>
    <mergeCell ref="AD5:AE5"/>
    <mergeCell ref="I5:I6"/>
    <mergeCell ref="P5:P6"/>
    <mergeCell ref="Q5:Q6"/>
    <mergeCell ref="R5:R6"/>
    <mergeCell ref="S5:S6"/>
    <mergeCell ref="I3:J4"/>
    <mergeCell ref="K3:L4"/>
    <mergeCell ref="M3:M6"/>
    <mergeCell ref="O3:O6"/>
    <mergeCell ref="J5:J6"/>
    <mergeCell ref="K5:K6"/>
    <mergeCell ref="L5:L6"/>
    <mergeCell ref="DB4:DG4"/>
    <mergeCell ref="T5:U5"/>
    <mergeCell ref="V5:W5"/>
    <mergeCell ref="X5:Y5"/>
    <mergeCell ref="Z5:AA5"/>
    <mergeCell ref="AB5:AC5"/>
    <mergeCell ref="BB5:BD5"/>
    <mergeCell ref="AF5:AG5"/>
    <mergeCell ref="AH5:AI5"/>
    <mergeCell ref="AJ5:AK5"/>
    <mergeCell ref="AL5:AM5"/>
    <mergeCell ref="AN5:AO5"/>
    <mergeCell ref="AP5:AQ5"/>
    <mergeCell ref="AR5:AS5"/>
    <mergeCell ref="AT5:AU5"/>
    <mergeCell ref="AV5:AW5"/>
    <mergeCell ref="AX5:AY5"/>
    <mergeCell ref="AZ5:BA5"/>
    <mergeCell ref="CB5:CC5"/>
    <mergeCell ref="BE5:BF5"/>
    <mergeCell ref="BG5:BH5"/>
    <mergeCell ref="BI5:BK5"/>
    <mergeCell ref="BL5:BM5"/>
    <mergeCell ref="BN5:BO5"/>
    <mergeCell ref="BP5:BQ5"/>
    <mergeCell ref="DJ5:DK5"/>
    <mergeCell ref="DL5:DM5"/>
    <mergeCell ref="CP5:CQ5"/>
    <mergeCell ref="CR5:CS5"/>
    <mergeCell ref="CT5:CU5"/>
    <mergeCell ref="CV5:CW5"/>
    <mergeCell ref="CX5:CY5"/>
    <mergeCell ref="CZ5:DA5"/>
    <mergeCell ref="DB5:DC5"/>
    <mergeCell ref="DD5:DE5"/>
    <mergeCell ref="DF5:DG5"/>
    <mergeCell ref="DH5:DI5"/>
    <mergeCell ref="CN5:CO5"/>
    <mergeCell ref="BR5:BS5"/>
    <mergeCell ref="BT5:BU5"/>
    <mergeCell ref="BV5:BW5"/>
    <mergeCell ref="BX5:BY5"/>
    <mergeCell ref="BZ5:CA5"/>
    <mergeCell ref="CD5:CE5"/>
    <mergeCell ref="CF5:CG5"/>
    <mergeCell ref="CH5:CI5"/>
    <mergeCell ref="CJ5:CK5"/>
    <mergeCell ref="CL5:CM5"/>
  </mergeCells>
  <dataValidations count="1">
    <dataValidation type="list" allowBlank="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B52:B58 B9:B50" xr:uid="{00000000-0002-0000-0700-000000000000}">
      <formula1>#REF!</formula1>
    </dataValidation>
  </dataValidations>
  <pageMargins left="0.7" right="0.7" top="0.75" bottom="0.75" header="0.3" footer="0.3"/>
  <pageSetup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DU147"/>
  <sheetViews>
    <sheetView zoomScaleNormal="100" workbookViewId="0">
      <pane xSplit="40" ySplit="8" topLeftCell="CH58" activePane="bottomRight" state="frozen"/>
      <selection activeCell="A122" sqref="A122:XFD122"/>
      <selection pane="topRight" activeCell="A122" sqref="A122:XFD122"/>
      <selection pane="bottomLeft" activeCell="A122" sqref="A122:XFD122"/>
      <selection pane="bottomRight" activeCell="C8" sqref="C8"/>
    </sheetView>
  </sheetViews>
  <sheetFormatPr defaultColWidth="9.140625" defaultRowHeight="15"/>
  <cols>
    <col min="1" max="1" width="8.140625" style="95" customWidth="1"/>
    <col min="2" max="2" width="7.7109375" style="95" customWidth="1"/>
    <col min="3" max="3" width="10.140625" style="102" customWidth="1"/>
    <col min="4" max="4" width="38.85546875" style="95" customWidth="1"/>
    <col min="5" max="5" width="11.85546875" style="95" customWidth="1"/>
    <col min="6" max="9" width="13.85546875" style="95" bestFit="1" customWidth="1"/>
    <col min="10" max="10" width="15" style="95" bestFit="1" customWidth="1"/>
    <col min="11" max="11" width="16.5703125" style="103" hidden="1" customWidth="1"/>
    <col min="12" max="12" width="13.85546875" style="95" hidden="1" customWidth="1"/>
    <col min="13" max="13" width="24.5703125" style="95" hidden="1" customWidth="1"/>
    <col min="14" max="14" width="14.42578125" style="95" hidden="1" customWidth="1"/>
    <col min="15" max="15" width="13.85546875" style="95" hidden="1" customWidth="1"/>
    <col min="16" max="17" width="15" style="95" hidden="1" customWidth="1"/>
    <col min="18" max="18" width="14.140625" style="95" hidden="1" customWidth="1"/>
    <col min="19" max="19" width="13.85546875" style="95" hidden="1" customWidth="1"/>
    <col min="20" max="20" width="12" style="95" hidden="1" customWidth="1"/>
    <col min="21" max="21" width="15" style="95" hidden="1" customWidth="1"/>
    <col min="22" max="22" width="12" style="95" hidden="1" customWidth="1"/>
    <col min="23" max="23" width="7.5703125" style="95" hidden="1" customWidth="1"/>
    <col min="24" max="24" width="7.85546875" style="95" hidden="1" customWidth="1"/>
    <col min="25" max="25" width="12" style="95" hidden="1" customWidth="1"/>
    <col min="26" max="26" width="10.7109375" style="95" hidden="1" customWidth="1"/>
    <col min="27" max="27" width="17.5703125" style="95" hidden="1" customWidth="1"/>
    <col min="28" max="28" width="10.85546875" style="95" hidden="1" customWidth="1"/>
    <col min="29" max="29" width="7.5703125" style="95" hidden="1" customWidth="1"/>
    <col min="30" max="30" width="10.85546875" style="95" hidden="1" customWidth="1"/>
    <col min="31" max="31" width="12" style="95" hidden="1" customWidth="1"/>
    <col min="32" max="32" width="10.7109375" style="95" hidden="1" customWidth="1"/>
    <col min="33" max="33" width="12" style="95" hidden="1" customWidth="1"/>
    <col min="34" max="34" width="10.85546875" style="95" hidden="1" customWidth="1"/>
    <col min="35" max="36" width="13.85546875" style="95" hidden="1" customWidth="1"/>
    <col min="37" max="38" width="12" style="95" hidden="1" customWidth="1"/>
    <col min="39" max="40" width="13.85546875" style="95" hidden="1" customWidth="1"/>
    <col min="41" max="43" width="13.85546875" style="95" bestFit="1" customWidth="1"/>
    <col min="44" max="44" width="12" style="95" bestFit="1" customWidth="1"/>
    <col min="45" max="48" width="13.85546875" style="95" bestFit="1" customWidth="1"/>
    <col min="49" max="49" width="12" style="95" bestFit="1" customWidth="1"/>
    <col min="50" max="50" width="7.5703125" style="95" bestFit="1" customWidth="1"/>
    <col min="51" max="53" width="13.85546875" style="95" bestFit="1" customWidth="1"/>
    <col min="54" max="55" width="12" style="95" bestFit="1" customWidth="1"/>
    <col min="56" max="56" width="10.85546875" style="95" bestFit="1" customWidth="1"/>
    <col min="57" max="57" width="13.85546875" style="95" bestFit="1" customWidth="1"/>
    <col min="58" max="58" width="13.140625" style="95" bestFit="1" customWidth="1"/>
    <col min="59" max="59" width="12" style="95" bestFit="1" customWidth="1"/>
    <col min="60" max="61" width="13.85546875" style="95" bestFit="1" customWidth="1"/>
    <col min="62" max="62" width="10.85546875" style="95" bestFit="1" customWidth="1"/>
    <col min="63" max="63" width="9.7109375" style="95" bestFit="1" customWidth="1"/>
    <col min="64" max="64" width="13.85546875" style="95" bestFit="1" customWidth="1"/>
    <col min="65" max="65" width="13.85546875" style="95" customWidth="1"/>
    <col min="66" max="66" width="13.85546875" style="95" bestFit="1" customWidth="1"/>
    <col min="67" max="67" width="12" style="95" bestFit="1" customWidth="1"/>
    <col min="68" max="68" width="13.85546875" style="95" bestFit="1" customWidth="1"/>
    <col min="69" max="69" width="12" style="95" bestFit="1" customWidth="1"/>
    <col min="70" max="70" width="8" style="95" bestFit="1" customWidth="1"/>
    <col min="71" max="71" width="13.85546875" style="95" bestFit="1" customWidth="1"/>
    <col min="72" max="72" width="13.85546875" style="95" customWidth="1"/>
    <col min="73" max="73" width="13.85546875" style="95" bestFit="1" customWidth="1"/>
    <col min="74" max="76" width="12" style="95" bestFit="1" customWidth="1"/>
    <col min="77" max="77" width="9.7109375" style="95" bestFit="1" customWidth="1"/>
    <col min="78" max="78" width="12" style="95" bestFit="1" customWidth="1"/>
    <col min="79" max="79" width="12" style="95" customWidth="1"/>
    <col min="80" max="83" width="12" style="95" bestFit="1" customWidth="1"/>
    <col min="84" max="84" width="10.85546875" style="95" bestFit="1" customWidth="1"/>
    <col min="85" max="85" width="12" style="95" bestFit="1" customWidth="1"/>
    <col min="86" max="86" width="12" style="95" customWidth="1"/>
    <col min="87" max="87" width="12" style="95" bestFit="1" customWidth="1"/>
    <col min="88" max="88" width="7.5703125" style="95" bestFit="1" customWidth="1"/>
    <col min="89" max="89" width="10.85546875" style="95" bestFit="1" customWidth="1"/>
    <col min="90" max="90" width="12" style="95" bestFit="1" customWidth="1"/>
    <col min="91" max="91" width="9.7109375" style="95" bestFit="1" customWidth="1"/>
    <col min="92" max="92" width="12" style="95" bestFit="1" customWidth="1"/>
    <col min="93" max="93" width="12" style="95" customWidth="1"/>
    <col min="94" max="94" width="10.85546875" style="95" bestFit="1" customWidth="1"/>
    <col min="95" max="99" width="7.5703125" style="95" bestFit="1" customWidth="1"/>
    <col min="100" max="100" width="13.140625" style="95" bestFit="1" customWidth="1"/>
    <col min="101" max="102" width="7.5703125" style="95" bestFit="1" customWidth="1"/>
    <col min="103" max="103" width="12" style="95" bestFit="1" customWidth="1"/>
    <col min="104" max="104" width="7.5703125" style="95" bestFit="1" customWidth="1"/>
    <col min="105" max="105" width="10.85546875" style="95" bestFit="1" customWidth="1"/>
    <col min="106" max="106" width="7.5703125" style="95" bestFit="1" customWidth="1"/>
    <col min="107" max="107" width="12" style="95" bestFit="1" customWidth="1"/>
    <col min="108" max="108" width="7.5703125" style="95" bestFit="1" customWidth="1"/>
    <col min="109" max="109" width="12" style="95" bestFit="1" customWidth="1"/>
    <col min="110" max="112" width="7.5703125" style="95" bestFit="1" customWidth="1"/>
    <col min="113" max="113" width="12" style="95" bestFit="1" customWidth="1"/>
    <col min="114" max="119" width="7.5703125" style="95" bestFit="1" customWidth="1"/>
    <col min="120" max="122" width="13.85546875" style="95" bestFit="1" customWidth="1"/>
    <col min="123" max="123" width="12" style="95" bestFit="1" customWidth="1"/>
    <col min="124" max="124" width="15" style="95" bestFit="1" customWidth="1"/>
    <col min="125" max="125" width="13.85546875" style="95" bestFit="1" customWidth="1"/>
    <col min="126" max="16384" width="9.140625" style="95"/>
  </cols>
  <sheetData>
    <row r="1" spans="1:125" ht="15.75">
      <c r="B1" s="101" t="s">
        <v>745</v>
      </c>
      <c r="F1" s="317"/>
      <c r="G1" s="317"/>
      <c r="H1" s="317"/>
      <c r="I1" s="317"/>
      <c r="J1" s="317"/>
      <c r="L1" s="104"/>
      <c r="M1" s="104"/>
      <c r="N1" s="104"/>
      <c r="O1" s="104"/>
      <c r="P1" s="104"/>
      <c r="Q1" s="104"/>
      <c r="R1" s="104"/>
      <c r="S1" s="105"/>
      <c r="T1" s="105"/>
      <c r="U1" s="268"/>
      <c r="V1" s="105"/>
      <c r="W1" s="105"/>
      <c r="X1" s="106" t="s">
        <v>26</v>
      </c>
      <c r="Y1" s="106" t="s">
        <v>83</v>
      </c>
      <c r="Z1" s="106">
        <v>250000</v>
      </c>
      <c r="AA1" s="106"/>
      <c r="AC1" s="106"/>
      <c r="AD1" s="106" t="s">
        <v>26</v>
      </c>
      <c r="AE1" s="106" t="s">
        <v>83</v>
      </c>
      <c r="AF1" s="106">
        <v>240000</v>
      </c>
      <c r="AG1" s="105"/>
      <c r="AH1" s="105"/>
      <c r="AI1" s="105"/>
      <c r="AJ1" s="105"/>
      <c r="AK1" s="105"/>
      <c r="AL1" s="105"/>
      <c r="AM1" s="105"/>
      <c r="AN1" s="105"/>
      <c r="AO1" s="105"/>
      <c r="AP1" s="105"/>
      <c r="AQ1" s="105"/>
      <c r="AR1" s="105"/>
      <c r="AS1" s="105"/>
      <c r="AT1" s="105"/>
      <c r="AU1" s="105"/>
      <c r="AV1" s="105"/>
      <c r="AW1" s="105"/>
      <c r="AX1" s="105"/>
      <c r="AY1" s="105"/>
      <c r="AZ1" s="105"/>
      <c r="BA1" s="105"/>
      <c r="BB1" s="105"/>
      <c r="BC1" s="105"/>
      <c r="BD1" s="105"/>
      <c r="BE1" s="105"/>
      <c r="BF1" s="105"/>
      <c r="BG1" s="105"/>
      <c r="BH1" s="105"/>
      <c r="BI1" s="105"/>
      <c r="BJ1" s="105"/>
      <c r="BK1" s="105"/>
      <c r="BL1" s="105"/>
      <c r="BM1" s="105"/>
      <c r="BN1" s="105"/>
      <c r="BO1" s="105"/>
      <c r="BP1" s="105"/>
      <c r="BQ1" s="105"/>
      <c r="BR1" s="105"/>
      <c r="BS1" s="105"/>
      <c r="BT1" s="105"/>
      <c r="BU1" s="105"/>
      <c r="BV1" s="105"/>
      <c r="BW1" s="105"/>
      <c r="BX1" s="105"/>
      <c r="BY1" s="105"/>
      <c r="BZ1" s="105"/>
      <c r="CA1" s="105"/>
      <c r="CB1" s="105"/>
      <c r="CC1" s="105"/>
      <c r="CD1" s="105"/>
      <c r="CE1" s="105"/>
      <c r="CF1" s="105"/>
      <c r="CG1" s="105"/>
      <c r="CH1" s="105"/>
      <c r="CI1" s="105"/>
      <c r="CJ1" s="105"/>
      <c r="CK1" s="105"/>
      <c r="CL1" s="105"/>
      <c r="CM1" s="105"/>
      <c r="CN1" s="105"/>
      <c r="CO1" s="105"/>
      <c r="CP1" s="105"/>
      <c r="CQ1" s="105"/>
      <c r="CR1" s="105"/>
      <c r="CS1" s="105"/>
      <c r="CT1" s="105"/>
      <c r="CU1" s="105"/>
      <c r="CV1" s="105"/>
      <c r="CW1" s="105"/>
      <c r="CX1" s="105"/>
      <c r="CY1" s="105"/>
      <c r="CZ1" s="105"/>
      <c r="DA1" s="105"/>
      <c r="DB1" s="105"/>
      <c r="DC1" s="105"/>
      <c r="DD1" s="105"/>
      <c r="DE1" s="105"/>
      <c r="DF1" s="105"/>
      <c r="DG1" s="105"/>
      <c r="DH1" s="105"/>
      <c r="DI1" s="105"/>
      <c r="DJ1" s="105"/>
      <c r="DK1" s="105"/>
      <c r="DL1" s="105"/>
      <c r="DM1" s="105"/>
      <c r="DN1" s="105"/>
      <c r="DO1" s="105"/>
      <c r="DP1" s="105"/>
      <c r="DQ1" s="105"/>
      <c r="DR1" s="105"/>
      <c r="DS1" s="105"/>
      <c r="DT1" s="105"/>
      <c r="DU1" s="105"/>
    </row>
    <row r="2" spans="1:125" ht="15.75" thickBot="1">
      <c r="A2" s="102">
        <f t="shared" ref="A2:C2" si="0">SUBTOTAL(3,A9:A134)</f>
        <v>126</v>
      </c>
      <c r="B2" s="102">
        <f t="shared" si="0"/>
        <v>126</v>
      </c>
      <c r="C2" s="102">
        <f t="shared" si="0"/>
        <v>126</v>
      </c>
      <c r="D2" s="102"/>
      <c r="E2" s="102"/>
      <c r="F2" s="324"/>
      <c r="G2" s="324"/>
      <c r="H2" s="324"/>
      <c r="I2" s="324">
        <f>I7-H7</f>
        <v>4700790.2476258306</v>
      </c>
      <c r="J2" s="324"/>
      <c r="K2" s="102">
        <f>SUBTOTAL(3,K9:K134)</f>
        <v>70</v>
      </c>
      <c r="S2" s="105"/>
      <c r="T2" s="105"/>
      <c r="U2" s="105"/>
      <c r="V2" s="102">
        <f>SUBTOTAL(3,V9:V134)</f>
        <v>126</v>
      </c>
      <c r="W2" s="105"/>
      <c r="X2" s="106" t="s">
        <v>26</v>
      </c>
      <c r="Y2" s="106" t="s">
        <v>84</v>
      </c>
      <c r="Z2" s="107">
        <v>240000</v>
      </c>
      <c r="AA2" s="107" t="s">
        <v>746</v>
      </c>
      <c r="AC2" s="106"/>
      <c r="AD2" s="106" t="s">
        <v>26</v>
      </c>
      <c r="AE2" s="106" t="s">
        <v>84</v>
      </c>
      <c r="AF2" s="106">
        <v>170000</v>
      </c>
      <c r="AG2" s="105"/>
      <c r="AH2" s="105"/>
      <c r="AI2" s="105"/>
      <c r="AJ2" s="105"/>
      <c r="AK2" s="105"/>
      <c r="AL2" s="105"/>
      <c r="AM2" s="105"/>
      <c r="AN2" s="105"/>
      <c r="AO2" s="105"/>
      <c r="AP2" s="105"/>
      <c r="AQ2" s="105"/>
      <c r="AR2" s="105"/>
      <c r="AS2" s="105"/>
      <c r="AT2" s="105">
        <f>AT7-AS7</f>
        <v>-1397.75</v>
      </c>
      <c r="AU2" s="105"/>
      <c r="AV2" s="105"/>
      <c r="AW2" s="105"/>
      <c r="AX2" s="105"/>
      <c r="AY2" s="105"/>
      <c r="AZ2" s="105">
        <f>AZ7-AY7</f>
        <v>-2000</v>
      </c>
      <c r="BA2" s="105"/>
      <c r="BB2" s="105"/>
      <c r="BC2" s="105"/>
      <c r="BD2" s="105"/>
      <c r="BE2" s="105"/>
      <c r="BF2" s="105"/>
      <c r="BG2" s="105"/>
      <c r="BH2" s="105"/>
      <c r="BI2" s="105"/>
      <c r="BJ2" s="105"/>
      <c r="BK2" s="105"/>
      <c r="BL2" s="105"/>
      <c r="BM2" s="105"/>
      <c r="BN2" s="105"/>
      <c r="BO2" s="105"/>
      <c r="BP2" s="105"/>
      <c r="BQ2" s="105"/>
      <c r="BR2" s="105"/>
      <c r="BS2" s="105"/>
      <c r="BT2" s="105"/>
      <c r="BU2" s="105"/>
      <c r="BV2" s="105"/>
      <c r="BW2" s="105"/>
      <c r="BX2" s="105"/>
      <c r="BY2" s="105"/>
      <c r="BZ2" s="105"/>
      <c r="CA2" s="105"/>
      <c r="CB2" s="105"/>
      <c r="CC2" s="105"/>
      <c r="CD2" s="105"/>
      <c r="CE2" s="105"/>
      <c r="CF2" s="105"/>
      <c r="CG2" s="105"/>
      <c r="CH2" s="105"/>
      <c r="CI2" s="105"/>
      <c r="CJ2" s="105"/>
      <c r="CK2" s="105"/>
      <c r="CL2" s="105"/>
      <c r="CM2" s="105"/>
      <c r="CN2" s="105"/>
      <c r="CO2" s="105"/>
      <c r="CP2" s="105"/>
      <c r="CQ2" s="105"/>
      <c r="CR2" s="105"/>
      <c r="CS2" s="105"/>
      <c r="CT2" s="105"/>
      <c r="CU2" s="105"/>
      <c r="CV2" s="105"/>
      <c r="CW2" s="105"/>
      <c r="CX2" s="105"/>
      <c r="CY2" s="105"/>
      <c r="CZ2" s="105"/>
      <c r="DA2" s="105"/>
      <c r="DB2" s="105"/>
      <c r="DC2" s="105"/>
      <c r="DD2" s="105"/>
      <c r="DE2" s="105"/>
      <c r="DF2" s="105"/>
      <c r="DG2" s="105"/>
      <c r="DH2" s="105"/>
      <c r="DI2" s="105"/>
      <c r="DJ2" s="105"/>
      <c r="DK2" s="105"/>
      <c r="DL2" s="105"/>
      <c r="DM2" s="105"/>
      <c r="DN2" s="105"/>
      <c r="DO2" s="105"/>
      <c r="DP2" s="105"/>
      <c r="DQ2" s="105"/>
      <c r="DR2" s="105"/>
      <c r="DS2" s="105"/>
      <c r="DT2" s="105"/>
      <c r="DU2" s="105"/>
    </row>
    <row r="3" spans="1:125" ht="19.5" customHeight="1" thickBot="1">
      <c r="A3" s="434" t="s">
        <v>1</v>
      </c>
      <c r="B3" s="434" t="s">
        <v>2</v>
      </c>
      <c r="C3" s="522" t="s">
        <v>3</v>
      </c>
      <c r="D3" s="434" t="s">
        <v>4</v>
      </c>
      <c r="E3" s="516" t="s">
        <v>1176</v>
      </c>
      <c r="F3" s="516" t="s">
        <v>1170</v>
      </c>
      <c r="G3" s="519" t="s">
        <v>1242</v>
      </c>
      <c r="H3" s="519" t="s">
        <v>1259</v>
      </c>
      <c r="I3" s="519" t="s">
        <v>1258</v>
      </c>
      <c r="J3" s="510" t="s">
        <v>1178</v>
      </c>
      <c r="K3" s="475" t="s">
        <v>5</v>
      </c>
      <c r="L3" s="488" t="s">
        <v>6</v>
      </c>
      <c r="M3" s="489"/>
      <c r="N3" s="492" t="s">
        <v>9</v>
      </c>
      <c r="O3" s="493"/>
      <c r="P3" s="469" t="s">
        <v>1197</v>
      </c>
      <c r="Q3" s="273"/>
      <c r="R3" s="485" t="s">
        <v>1196</v>
      </c>
      <c r="S3" s="478" t="s">
        <v>7</v>
      </c>
      <c r="T3" s="479"/>
      <c r="U3" s="478" t="s">
        <v>8</v>
      </c>
      <c r="V3" s="479"/>
      <c r="W3" s="526" t="s">
        <v>9</v>
      </c>
      <c r="X3" s="527"/>
      <c r="Y3" s="527"/>
      <c r="Z3" s="527"/>
      <c r="AA3" s="527"/>
      <c r="AB3" s="527"/>
      <c r="AC3" s="527"/>
      <c r="AD3" s="527"/>
      <c r="AE3" s="527"/>
      <c r="AF3" s="527"/>
      <c r="AG3" s="527"/>
      <c r="AH3" s="527"/>
      <c r="AI3" s="528"/>
      <c r="AJ3" s="528"/>
      <c r="AK3" s="528"/>
      <c r="AL3" s="528"/>
      <c r="AM3" s="528"/>
      <c r="AN3" s="529"/>
      <c r="AO3" s="530">
        <v>2025</v>
      </c>
      <c r="AP3" s="527"/>
      <c r="AQ3" s="527"/>
      <c r="AR3" s="527"/>
      <c r="AS3" s="527"/>
      <c r="AT3" s="527"/>
      <c r="AU3" s="527"/>
      <c r="AV3" s="527"/>
      <c r="AW3" s="527"/>
      <c r="AX3" s="527"/>
      <c r="AY3" s="527"/>
      <c r="AZ3" s="527"/>
      <c r="BA3" s="527"/>
      <c r="BB3" s="527"/>
      <c r="BC3" s="527"/>
      <c r="BD3" s="527"/>
      <c r="BE3" s="527"/>
      <c r="BF3" s="527"/>
      <c r="BG3" s="527"/>
      <c r="BH3" s="527"/>
      <c r="BI3" s="527"/>
      <c r="BJ3" s="527"/>
      <c r="BK3" s="527"/>
      <c r="BL3" s="527"/>
      <c r="BM3" s="527"/>
      <c r="BN3" s="527"/>
      <c r="BO3" s="527"/>
      <c r="BP3" s="527"/>
      <c r="BQ3" s="527"/>
      <c r="BR3" s="527"/>
      <c r="BS3" s="527"/>
      <c r="BT3" s="527"/>
      <c r="BU3" s="527"/>
      <c r="BV3" s="527"/>
      <c r="BW3" s="527"/>
      <c r="BX3" s="527"/>
      <c r="BY3" s="527"/>
      <c r="BZ3" s="527"/>
      <c r="CA3" s="527"/>
      <c r="CB3" s="527"/>
      <c r="CC3" s="527"/>
      <c r="CD3" s="527"/>
      <c r="CE3" s="527"/>
      <c r="CF3" s="527"/>
      <c r="CG3" s="527"/>
      <c r="CH3" s="527"/>
      <c r="CI3" s="527"/>
      <c r="CJ3" s="527"/>
      <c r="CK3" s="527"/>
      <c r="CL3" s="527"/>
      <c r="CM3" s="527"/>
      <c r="CN3" s="527"/>
      <c r="CO3" s="527"/>
      <c r="CP3" s="527"/>
      <c r="CQ3" s="527"/>
      <c r="CR3" s="527"/>
      <c r="CS3" s="527"/>
      <c r="CT3" s="527"/>
      <c r="CU3" s="527"/>
      <c r="CV3" s="527"/>
      <c r="CW3" s="527"/>
      <c r="CX3" s="527"/>
      <c r="CY3" s="527"/>
      <c r="CZ3" s="527"/>
      <c r="DA3" s="527"/>
      <c r="DB3" s="527"/>
      <c r="DC3" s="527"/>
      <c r="DD3" s="527"/>
      <c r="DE3" s="527"/>
      <c r="DF3" s="527"/>
      <c r="DG3" s="527"/>
      <c r="DH3" s="527"/>
      <c r="DI3" s="527"/>
      <c r="DJ3" s="527"/>
      <c r="DK3" s="527"/>
      <c r="DL3" s="527"/>
      <c r="DM3" s="527"/>
      <c r="DN3" s="527"/>
      <c r="DO3" s="527"/>
      <c r="DP3" s="527"/>
      <c r="DQ3" s="527"/>
      <c r="DR3" s="527"/>
      <c r="DS3" s="527"/>
      <c r="DT3" s="527"/>
      <c r="DU3" s="531"/>
    </row>
    <row r="4" spans="1:125" ht="68.25" customHeight="1" thickBot="1">
      <c r="A4" s="435"/>
      <c r="B4" s="435"/>
      <c r="C4" s="523"/>
      <c r="D4" s="435"/>
      <c r="E4" s="517"/>
      <c r="F4" s="517"/>
      <c r="G4" s="520"/>
      <c r="H4" s="520"/>
      <c r="I4" s="520"/>
      <c r="J4" s="511"/>
      <c r="K4" s="476"/>
      <c r="L4" s="490"/>
      <c r="M4" s="491"/>
      <c r="N4" s="494"/>
      <c r="O4" s="495"/>
      <c r="P4" s="496"/>
      <c r="Q4" s="271" t="s">
        <v>1234</v>
      </c>
      <c r="R4" s="486"/>
      <c r="S4" s="480"/>
      <c r="T4" s="481"/>
      <c r="U4" s="480"/>
      <c r="V4" s="481"/>
      <c r="W4" s="500" t="s">
        <v>10</v>
      </c>
      <c r="X4" s="501"/>
      <c r="Y4" s="501"/>
      <c r="Z4" s="501"/>
      <c r="AA4" s="501"/>
      <c r="AB4" s="502"/>
      <c r="AC4" s="500" t="s">
        <v>11</v>
      </c>
      <c r="AD4" s="501"/>
      <c r="AE4" s="501"/>
      <c r="AF4" s="501"/>
      <c r="AG4" s="501"/>
      <c r="AH4" s="502"/>
      <c r="AI4" s="503" t="s">
        <v>9</v>
      </c>
      <c r="AJ4" s="504"/>
      <c r="AK4" s="504"/>
      <c r="AL4" s="504"/>
      <c r="AM4" s="504"/>
      <c r="AN4" s="505"/>
      <c r="AO4" s="500" t="s">
        <v>12</v>
      </c>
      <c r="AP4" s="501"/>
      <c r="AQ4" s="501"/>
      <c r="AR4" s="501"/>
      <c r="AS4" s="501"/>
      <c r="AT4" s="502"/>
      <c r="AU4" s="500" t="s">
        <v>13</v>
      </c>
      <c r="AV4" s="501"/>
      <c r="AW4" s="501"/>
      <c r="AX4" s="501"/>
      <c r="AY4" s="501"/>
      <c r="AZ4" s="502"/>
      <c r="BA4" s="500" t="s">
        <v>14</v>
      </c>
      <c r="BB4" s="501"/>
      <c r="BC4" s="501"/>
      <c r="BD4" s="501"/>
      <c r="BE4" s="501"/>
      <c r="BF4" s="509"/>
      <c r="BG4" s="502"/>
      <c r="BH4" s="500" t="s">
        <v>15</v>
      </c>
      <c r="BI4" s="501"/>
      <c r="BJ4" s="501"/>
      <c r="BK4" s="501"/>
      <c r="BL4" s="501"/>
      <c r="BM4" s="509"/>
      <c r="BN4" s="502"/>
      <c r="BO4" s="500" t="s">
        <v>16</v>
      </c>
      <c r="BP4" s="501"/>
      <c r="BQ4" s="501"/>
      <c r="BR4" s="501"/>
      <c r="BS4" s="501"/>
      <c r="BT4" s="509"/>
      <c r="BU4" s="502"/>
      <c r="BV4" s="500" t="s">
        <v>17</v>
      </c>
      <c r="BW4" s="501"/>
      <c r="BX4" s="501"/>
      <c r="BY4" s="501"/>
      <c r="BZ4" s="501"/>
      <c r="CA4" s="509"/>
      <c r="CB4" s="502"/>
      <c r="CC4" s="500" t="s">
        <v>18</v>
      </c>
      <c r="CD4" s="501"/>
      <c r="CE4" s="501"/>
      <c r="CF4" s="501"/>
      <c r="CG4" s="501"/>
      <c r="CH4" s="509"/>
      <c r="CI4" s="502"/>
      <c r="CJ4" s="500" t="s">
        <v>19</v>
      </c>
      <c r="CK4" s="501"/>
      <c r="CL4" s="501"/>
      <c r="CM4" s="501"/>
      <c r="CN4" s="501"/>
      <c r="CO4" s="509"/>
      <c r="CP4" s="502"/>
      <c r="CQ4" s="500" t="s">
        <v>20</v>
      </c>
      <c r="CR4" s="501"/>
      <c r="CS4" s="501"/>
      <c r="CT4" s="501"/>
      <c r="CU4" s="501"/>
      <c r="CV4" s="509"/>
      <c r="CW4" s="502"/>
      <c r="CX4" s="500" t="s">
        <v>21</v>
      </c>
      <c r="CY4" s="501"/>
      <c r="CZ4" s="501"/>
      <c r="DA4" s="501"/>
      <c r="DB4" s="501"/>
      <c r="DC4" s="509"/>
      <c r="DD4" s="466" t="s">
        <v>22</v>
      </c>
      <c r="DE4" s="467"/>
      <c r="DF4" s="467"/>
      <c r="DG4" s="467"/>
      <c r="DH4" s="467"/>
      <c r="DI4" s="525"/>
      <c r="DJ4" s="500" t="s">
        <v>23</v>
      </c>
      <c r="DK4" s="501"/>
      <c r="DL4" s="501"/>
      <c r="DM4" s="501"/>
      <c r="DN4" s="501"/>
      <c r="DO4" s="502"/>
      <c r="DP4" s="506" t="s">
        <v>24</v>
      </c>
      <c r="DQ4" s="507"/>
      <c r="DR4" s="507"/>
      <c r="DS4" s="507"/>
      <c r="DT4" s="507"/>
      <c r="DU4" s="508"/>
    </row>
    <row r="5" spans="1:125" hidden="1">
      <c r="A5" s="435"/>
      <c r="B5" s="435"/>
      <c r="C5" s="523"/>
      <c r="D5" s="435"/>
      <c r="E5" s="517"/>
      <c r="F5" s="517"/>
      <c r="G5" s="520"/>
      <c r="H5" s="520"/>
      <c r="I5" s="520"/>
      <c r="J5" s="511"/>
      <c r="K5" s="476"/>
      <c r="L5" s="469" t="s">
        <v>1169</v>
      </c>
      <c r="M5" s="469" t="s">
        <v>1171</v>
      </c>
      <c r="N5" s="498" t="s">
        <v>1172</v>
      </c>
      <c r="O5" s="469" t="s">
        <v>1177</v>
      </c>
      <c r="P5" s="496"/>
      <c r="Q5" s="274"/>
      <c r="R5" s="486"/>
      <c r="S5" s="471" t="s">
        <v>1169</v>
      </c>
      <c r="T5" s="473" t="s">
        <v>1168</v>
      </c>
      <c r="U5" s="471" t="s">
        <v>1169</v>
      </c>
      <c r="V5" s="473" t="s">
        <v>1168</v>
      </c>
      <c r="W5" s="464" t="s">
        <v>1167</v>
      </c>
      <c r="X5" s="460"/>
      <c r="Y5" s="460" t="s">
        <v>1166</v>
      </c>
      <c r="Z5" s="461"/>
      <c r="AA5" s="462" t="s">
        <v>25</v>
      </c>
      <c r="AB5" s="463"/>
      <c r="AC5" s="464" t="s">
        <v>1167</v>
      </c>
      <c r="AD5" s="460"/>
      <c r="AE5" s="460" t="s">
        <v>1166</v>
      </c>
      <c r="AF5" s="461"/>
      <c r="AG5" s="462" t="s">
        <v>25</v>
      </c>
      <c r="AH5" s="463"/>
      <c r="AI5" s="464" t="s">
        <v>1167</v>
      </c>
      <c r="AJ5" s="460"/>
      <c r="AK5" s="460" t="s">
        <v>1166</v>
      </c>
      <c r="AL5" s="461"/>
      <c r="AM5" s="462" t="s">
        <v>25</v>
      </c>
      <c r="AN5" s="463"/>
      <c r="AO5" s="464" t="s">
        <v>1167</v>
      </c>
      <c r="AP5" s="460"/>
      <c r="AQ5" s="460" t="s">
        <v>1166</v>
      </c>
      <c r="AR5" s="461"/>
      <c r="AS5" s="462" t="s">
        <v>25</v>
      </c>
      <c r="AT5" s="463"/>
      <c r="AU5" s="464" t="s">
        <v>1167</v>
      </c>
      <c r="AV5" s="460"/>
      <c r="AW5" s="460" t="s">
        <v>1166</v>
      </c>
      <c r="AX5" s="461"/>
      <c r="AY5" s="462" t="s">
        <v>25</v>
      </c>
      <c r="AZ5" s="463"/>
      <c r="BA5" s="464" t="s">
        <v>1167</v>
      </c>
      <c r="BB5" s="460"/>
      <c r="BC5" s="460" t="s">
        <v>1166</v>
      </c>
      <c r="BD5" s="461"/>
      <c r="BE5" s="462" t="s">
        <v>25</v>
      </c>
      <c r="BF5" s="465"/>
      <c r="BG5" s="463"/>
      <c r="BH5" s="464" t="s">
        <v>1167</v>
      </c>
      <c r="BI5" s="460"/>
      <c r="BJ5" s="460" t="s">
        <v>1166</v>
      </c>
      <c r="BK5" s="461"/>
      <c r="BL5" s="462" t="s">
        <v>25</v>
      </c>
      <c r="BM5" s="465"/>
      <c r="BN5" s="463"/>
      <c r="BO5" s="464" t="s">
        <v>1167</v>
      </c>
      <c r="BP5" s="460"/>
      <c r="BQ5" s="460" t="s">
        <v>1166</v>
      </c>
      <c r="BR5" s="461"/>
      <c r="BS5" s="462" t="s">
        <v>25</v>
      </c>
      <c r="BT5" s="465"/>
      <c r="BU5" s="463"/>
      <c r="BV5" s="464" t="s">
        <v>1167</v>
      </c>
      <c r="BW5" s="460"/>
      <c r="BX5" s="460" t="s">
        <v>1166</v>
      </c>
      <c r="BY5" s="461"/>
      <c r="BZ5" s="462" t="s">
        <v>25</v>
      </c>
      <c r="CA5" s="465"/>
      <c r="CB5" s="463"/>
      <c r="CC5" s="464" t="s">
        <v>1167</v>
      </c>
      <c r="CD5" s="460"/>
      <c r="CE5" s="460" t="s">
        <v>1166</v>
      </c>
      <c r="CF5" s="461"/>
      <c r="CG5" s="462" t="s">
        <v>25</v>
      </c>
      <c r="CH5" s="465"/>
      <c r="CI5" s="463"/>
      <c r="CJ5" s="464" t="s">
        <v>1167</v>
      </c>
      <c r="CK5" s="460"/>
      <c r="CL5" s="460" t="s">
        <v>1166</v>
      </c>
      <c r="CM5" s="461"/>
      <c r="CN5" s="462" t="s">
        <v>25</v>
      </c>
      <c r="CO5" s="465"/>
      <c r="CP5" s="463"/>
      <c r="CQ5" s="464" t="s">
        <v>1167</v>
      </c>
      <c r="CR5" s="460"/>
      <c r="CS5" s="460" t="s">
        <v>1166</v>
      </c>
      <c r="CT5" s="461"/>
      <c r="CU5" s="462" t="s">
        <v>25</v>
      </c>
      <c r="CV5" s="465"/>
      <c r="CW5" s="463"/>
      <c r="CX5" s="464" t="s">
        <v>1167</v>
      </c>
      <c r="CY5" s="460"/>
      <c r="CZ5" s="460" t="s">
        <v>1166</v>
      </c>
      <c r="DA5" s="461"/>
      <c r="DB5" s="462" t="s">
        <v>25</v>
      </c>
      <c r="DC5" s="463"/>
      <c r="DD5" s="464" t="s">
        <v>1167</v>
      </c>
      <c r="DE5" s="460"/>
      <c r="DF5" s="460" t="s">
        <v>1166</v>
      </c>
      <c r="DG5" s="461"/>
      <c r="DH5" s="462" t="s">
        <v>25</v>
      </c>
      <c r="DI5" s="463"/>
      <c r="DJ5" s="464" t="s">
        <v>1167</v>
      </c>
      <c r="DK5" s="460"/>
      <c r="DL5" s="460" t="s">
        <v>1166</v>
      </c>
      <c r="DM5" s="461"/>
      <c r="DN5" s="462" t="s">
        <v>25</v>
      </c>
      <c r="DO5" s="463"/>
      <c r="DP5" s="464" t="s">
        <v>1167</v>
      </c>
      <c r="DQ5" s="460"/>
      <c r="DR5" s="460" t="s">
        <v>1166</v>
      </c>
      <c r="DS5" s="461"/>
      <c r="DT5" s="462" t="s">
        <v>25</v>
      </c>
      <c r="DU5" s="463"/>
    </row>
    <row r="6" spans="1:125" ht="15.75" thickBot="1">
      <c r="A6" s="436"/>
      <c r="B6" s="436"/>
      <c r="C6" s="524"/>
      <c r="D6" s="436"/>
      <c r="E6" s="518"/>
      <c r="F6" s="518"/>
      <c r="G6" s="521"/>
      <c r="H6" s="521"/>
      <c r="I6" s="521"/>
      <c r="J6" s="512"/>
      <c r="K6" s="477"/>
      <c r="L6" s="470"/>
      <c r="M6" s="497"/>
      <c r="N6" s="497"/>
      <c r="O6" s="497"/>
      <c r="P6" s="470"/>
      <c r="Q6" s="275"/>
      <c r="R6" s="487"/>
      <c r="S6" s="472"/>
      <c r="T6" s="474"/>
      <c r="U6" s="472"/>
      <c r="V6" s="474"/>
      <c r="W6" s="2" t="s">
        <v>26</v>
      </c>
      <c r="X6" s="3" t="s">
        <v>27</v>
      </c>
      <c r="Y6" s="3" t="s">
        <v>26</v>
      </c>
      <c r="Z6" s="4" t="s">
        <v>27</v>
      </c>
      <c r="AA6" s="5" t="s">
        <v>26</v>
      </c>
      <c r="AB6" s="6" t="s">
        <v>27</v>
      </c>
      <c r="AC6" s="2" t="s">
        <v>26</v>
      </c>
      <c r="AD6" s="3" t="s">
        <v>27</v>
      </c>
      <c r="AE6" s="3" t="s">
        <v>26</v>
      </c>
      <c r="AF6" s="4" t="s">
        <v>27</v>
      </c>
      <c r="AG6" s="5" t="s">
        <v>26</v>
      </c>
      <c r="AH6" s="6" t="s">
        <v>27</v>
      </c>
      <c r="AI6" s="2" t="s">
        <v>26</v>
      </c>
      <c r="AJ6" s="3" t="s">
        <v>27</v>
      </c>
      <c r="AK6" s="3" t="s">
        <v>26</v>
      </c>
      <c r="AL6" s="4" t="s">
        <v>27</v>
      </c>
      <c r="AM6" s="5" t="s">
        <v>26</v>
      </c>
      <c r="AN6" s="6" t="s">
        <v>27</v>
      </c>
      <c r="AO6" s="2" t="s">
        <v>26</v>
      </c>
      <c r="AP6" s="3" t="s">
        <v>27</v>
      </c>
      <c r="AQ6" s="3" t="s">
        <v>26</v>
      </c>
      <c r="AR6" s="4" t="s">
        <v>27</v>
      </c>
      <c r="AS6" s="5" t="s">
        <v>26</v>
      </c>
      <c r="AT6" s="6" t="s">
        <v>27</v>
      </c>
      <c r="AU6" s="2" t="s">
        <v>26</v>
      </c>
      <c r="AV6" s="3" t="s">
        <v>27</v>
      </c>
      <c r="AW6" s="3" t="s">
        <v>26</v>
      </c>
      <c r="AX6" s="4" t="s">
        <v>27</v>
      </c>
      <c r="AY6" s="5" t="s">
        <v>26</v>
      </c>
      <c r="AZ6" s="6" t="s">
        <v>27</v>
      </c>
      <c r="BA6" s="2" t="s">
        <v>26</v>
      </c>
      <c r="BB6" s="3" t="s">
        <v>27</v>
      </c>
      <c r="BC6" s="3" t="s">
        <v>26</v>
      </c>
      <c r="BD6" s="4" t="s">
        <v>27</v>
      </c>
      <c r="BE6" s="5" t="s">
        <v>26</v>
      </c>
      <c r="BF6" s="367" t="s">
        <v>1254</v>
      </c>
      <c r="BG6" s="6" t="s">
        <v>27</v>
      </c>
      <c r="BH6" s="2" t="s">
        <v>26</v>
      </c>
      <c r="BI6" s="3" t="s">
        <v>27</v>
      </c>
      <c r="BJ6" s="3" t="s">
        <v>26</v>
      </c>
      <c r="BK6" s="4" t="s">
        <v>27</v>
      </c>
      <c r="BL6" s="5" t="s">
        <v>26</v>
      </c>
      <c r="BM6" s="367" t="s">
        <v>1254</v>
      </c>
      <c r="BN6" s="6" t="s">
        <v>27</v>
      </c>
      <c r="BO6" s="2" t="s">
        <v>26</v>
      </c>
      <c r="BP6" s="3" t="s">
        <v>27</v>
      </c>
      <c r="BQ6" s="3" t="s">
        <v>26</v>
      </c>
      <c r="BR6" s="4" t="s">
        <v>27</v>
      </c>
      <c r="BS6" s="5" t="s">
        <v>26</v>
      </c>
      <c r="BT6" s="367" t="s">
        <v>1254</v>
      </c>
      <c r="BU6" s="6" t="s">
        <v>27</v>
      </c>
      <c r="BV6" s="2" t="s">
        <v>26</v>
      </c>
      <c r="BW6" s="3" t="s">
        <v>27</v>
      </c>
      <c r="BX6" s="3" t="s">
        <v>26</v>
      </c>
      <c r="BY6" s="4" t="s">
        <v>27</v>
      </c>
      <c r="BZ6" s="5" t="s">
        <v>26</v>
      </c>
      <c r="CA6" s="367" t="s">
        <v>1254</v>
      </c>
      <c r="CB6" s="6" t="s">
        <v>27</v>
      </c>
      <c r="CC6" s="2" t="s">
        <v>26</v>
      </c>
      <c r="CD6" s="3" t="s">
        <v>27</v>
      </c>
      <c r="CE6" s="3" t="s">
        <v>26</v>
      </c>
      <c r="CF6" s="4" t="s">
        <v>27</v>
      </c>
      <c r="CG6" s="5" t="s">
        <v>26</v>
      </c>
      <c r="CH6" s="367" t="s">
        <v>1254</v>
      </c>
      <c r="CI6" s="6" t="s">
        <v>27</v>
      </c>
      <c r="CJ6" s="2" t="s">
        <v>26</v>
      </c>
      <c r="CK6" s="3" t="s">
        <v>27</v>
      </c>
      <c r="CL6" s="3" t="s">
        <v>26</v>
      </c>
      <c r="CM6" s="4" t="s">
        <v>27</v>
      </c>
      <c r="CN6" s="5" t="s">
        <v>26</v>
      </c>
      <c r="CO6" s="367" t="s">
        <v>1254</v>
      </c>
      <c r="CP6" s="6" t="s">
        <v>27</v>
      </c>
      <c r="CQ6" s="2" t="s">
        <v>26</v>
      </c>
      <c r="CR6" s="3" t="s">
        <v>27</v>
      </c>
      <c r="CS6" s="3" t="s">
        <v>26</v>
      </c>
      <c r="CT6" s="4" t="s">
        <v>27</v>
      </c>
      <c r="CU6" s="5" t="s">
        <v>26</v>
      </c>
      <c r="CV6" s="367" t="s">
        <v>1254</v>
      </c>
      <c r="CW6" s="6" t="s">
        <v>27</v>
      </c>
      <c r="CX6" s="2" t="s">
        <v>26</v>
      </c>
      <c r="CY6" s="3" t="s">
        <v>27</v>
      </c>
      <c r="CZ6" s="3" t="s">
        <v>26</v>
      </c>
      <c r="DA6" s="4" t="s">
        <v>27</v>
      </c>
      <c r="DB6" s="5" t="s">
        <v>26</v>
      </c>
      <c r="DC6" s="6" t="s">
        <v>27</v>
      </c>
      <c r="DD6" s="2" t="s">
        <v>26</v>
      </c>
      <c r="DE6" s="3" t="s">
        <v>27</v>
      </c>
      <c r="DF6" s="3" t="s">
        <v>26</v>
      </c>
      <c r="DG6" s="4" t="s">
        <v>27</v>
      </c>
      <c r="DH6" s="5" t="s">
        <v>26</v>
      </c>
      <c r="DI6" s="6" t="s">
        <v>27</v>
      </c>
      <c r="DJ6" s="2" t="s">
        <v>26</v>
      </c>
      <c r="DK6" s="3" t="s">
        <v>27</v>
      </c>
      <c r="DL6" s="3" t="s">
        <v>26</v>
      </c>
      <c r="DM6" s="4" t="s">
        <v>27</v>
      </c>
      <c r="DN6" s="5" t="s">
        <v>26</v>
      </c>
      <c r="DO6" s="6" t="s">
        <v>27</v>
      </c>
      <c r="DP6" s="2" t="s">
        <v>26</v>
      </c>
      <c r="DQ6" s="3" t="s">
        <v>27</v>
      </c>
      <c r="DR6" s="3" t="s">
        <v>26</v>
      </c>
      <c r="DS6" s="4" t="s">
        <v>27</v>
      </c>
      <c r="DT6" s="5" t="s">
        <v>26</v>
      </c>
      <c r="DU6" s="6" t="s">
        <v>27</v>
      </c>
    </row>
    <row r="7" spans="1:125" ht="15.75">
      <c r="A7" s="108">
        <f>SUBTOTAL(3,A9:A134)</f>
        <v>126</v>
      </c>
      <c r="B7" s="108">
        <f>SUBTOTAL(3,B9:B134)</f>
        <v>126</v>
      </c>
      <c r="C7" s="108">
        <f>SUBTOTAL(3,C9:C134)</f>
        <v>126</v>
      </c>
      <c r="D7" s="108">
        <f>SUBTOTAL(3,D9:D134)</f>
        <v>126</v>
      </c>
      <c r="E7" s="108">
        <f>SUBTOTAL(3,E9:E134)</f>
        <v>126</v>
      </c>
      <c r="F7" s="108">
        <f t="shared" ref="F7:AO7" si="1">SUBTOTAL(9,F9:F134)</f>
        <v>7957217.75</v>
      </c>
      <c r="G7" s="108">
        <f t="shared" si="1"/>
        <v>8066078.8999999994</v>
      </c>
      <c r="H7" s="108">
        <f t="shared" si="1"/>
        <v>-108861.15000000004</v>
      </c>
      <c r="I7" s="108">
        <f t="shared" si="1"/>
        <v>4591929.0976258302</v>
      </c>
      <c r="J7" s="108">
        <f t="shared" si="1"/>
        <v>21028965.440000001</v>
      </c>
      <c r="K7" s="108">
        <f t="shared" si="1"/>
        <v>10479376.179</v>
      </c>
      <c r="L7" s="108">
        <f t="shared" si="1"/>
        <v>5246137.5</v>
      </c>
      <c r="M7" s="108">
        <f t="shared" si="1"/>
        <v>0</v>
      </c>
      <c r="N7" s="108">
        <f t="shared" si="1"/>
        <v>7825610.1899999995</v>
      </c>
      <c r="O7" s="108">
        <f t="shared" si="1"/>
        <v>2253057.9900000002</v>
      </c>
      <c r="P7" s="108">
        <f t="shared" si="1"/>
        <v>13071747.690000001</v>
      </c>
      <c r="Q7" s="108">
        <f t="shared" si="1"/>
        <v>7957217.75</v>
      </c>
      <c r="R7" s="108">
        <f t="shared" si="1"/>
        <v>7582860.6099999994</v>
      </c>
      <c r="S7" s="108">
        <f t="shared" si="1"/>
        <v>7231891.5</v>
      </c>
      <c r="T7" s="108">
        <f t="shared" si="1"/>
        <v>480762.10000000003</v>
      </c>
      <c r="U7" s="108">
        <f t="shared" si="1"/>
        <v>12478029</v>
      </c>
      <c r="V7" s="108">
        <f t="shared" si="1"/>
        <v>480762.10000000003</v>
      </c>
      <c r="W7" s="108">
        <f t="shared" si="1"/>
        <v>0</v>
      </c>
      <c r="X7" s="108">
        <f t="shared" si="1"/>
        <v>0</v>
      </c>
      <c r="Y7" s="108">
        <f t="shared" si="1"/>
        <v>247530</v>
      </c>
      <c r="Z7" s="108">
        <f t="shared" si="1"/>
        <v>48600.14</v>
      </c>
      <c r="AA7" s="108">
        <f t="shared" si="1"/>
        <v>247530</v>
      </c>
      <c r="AB7" s="108">
        <f t="shared" si="1"/>
        <v>48600.14</v>
      </c>
      <c r="AC7" s="108">
        <f t="shared" si="1"/>
        <v>0</v>
      </c>
      <c r="AD7" s="108">
        <f t="shared" si="1"/>
        <v>27069.200000000001</v>
      </c>
      <c r="AE7" s="108">
        <f t="shared" si="1"/>
        <v>225000</v>
      </c>
      <c r="AF7" s="108">
        <f t="shared" si="1"/>
        <v>37287.25</v>
      </c>
      <c r="AG7" s="108">
        <f t="shared" si="1"/>
        <v>225000</v>
      </c>
      <c r="AH7" s="108">
        <f t="shared" si="1"/>
        <v>64356.45</v>
      </c>
      <c r="AI7" s="108">
        <f t="shared" si="1"/>
        <v>7231891.5</v>
      </c>
      <c r="AJ7" s="108">
        <f t="shared" si="1"/>
        <v>7258960.7000000002</v>
      </c>
      <c r="AK7" s="108">
        <f t="shared" si="1"/>
        <v>953292.1</v>
      </c>
      <c r="AL7" s="108">
        <f t="shared" si="1"/>
        <v>566649.49000000011</v>
      </c>
      <c r="AM7" s="108">
        <f t="shared" si="1"/>
        <v>8185183.5999999996</v>
      </c>
      <c r="AN7" s="108">
        <f t="shared" si="1"/>
        <v>7825610.1899999995</v>
      </c>
      <c r="AO7" s="108">
        <f t="shared" si="1"/>
        <v>900000</v>
      </c>
      <c r="AP7" s="108">
        <f t="shared" ref="AP7:BX7" si="2">SUBTOTAL(9,AP9:AP134)</f>
        <v>1615000</v>
      </c>
      <c r="AQ7" s="108">
        <f t="shared" si="2"/>
        <v>960217.75</v>
      </c>
      <c r="AR7" s="108">
        <f t="shared" si="2"/>
        <v>243820</v>
      </c>
      <c r="AS7" s="108">
        <f t="shared" si="2"/>
        <v>1860217.75</v>
      </c>
      <c r="AT7" s="108">
        <f t="shared" si="2"/>
        <v>1858820</v>
      </c>
      <c r="AU7" s="108">
        <f t="shared" si="2"/>
        <v>700000</v>
      </c>
      <c r="AV7" s="108">
        <f t="shared" si="2"/>
        <v>1505000</v>
      </c>
      <c r="AW7" s="108">
        <f t="shared" si="2"/>
        <v>807000</v>
      </c>
      <c r="AX7" s="108">
        <f t="shared" si="2"/>
        <v>0</v>
      </c>
      <c r="AY7" s="108">
        <f t="shared" si="2"/>
        <v>1507000</v>
      </c>
      <c r="AZ7" s="108">
        <f t="shared" si="2"/>
        <v>1505000</v>
      </c>
      <c r="BA7" s="108">
        <f t="shared" si="2"/>
        <v>1300000</v>
      </c>
      <c r="BB7" s="108">
        <f t="shared" si="2"/>
        <v>494000</v>
      </c>
      <c r="BC7" s="108">
        <f t="shared" si="2"/>
        <v>110000</v>
      </c>
      <c r="BD7" s="108">
        <f t="shared" si="2"/>
        <v>35191.64</v>
      </c>
      <c r="BE7" s="108">
        <f t="shared" si="2"/>
        <v>1410000</v>
      </c>
      <c r="BF7" s="108">
        <f t="shared" si="2"/>
        <v>524273.09762583015</v>
      </c>
      <c r="BG7" s="108">
        <f t="shared" si="2"/>
        <v>529191.64</v>
      </c>
      <c r="BH7" s="108">
        <f t="shared" si="2"/>
        <v>1250000</v>
      </c>
      <c r="BI7" s="108">
        <f t="shared" si="2"/>
        <v>1321000</v>
      </c>
      <c r="BJ7" s="108">
        <f t="shared" si="2"/>
        <v>90000</v>
      </c>
      <c r="BK7" s="108">
        <f t="shared" si="2"/>
        <v>8383.65</v>
      </c>
      <c r="BL7" s="108">
        <f t="shared" si="2"/>
        <v>1340000</v>
      </c>
      <c r="BM7" s="108">
        <f>SUBTOTAL(9,BM9:BM134)</f>
        <v>1325619</v>
      </c>
      <c r="BN7" s="108">
        <f t="shared" si="2"/>
        <v>1329383.6500000001</v>
      </c>
      <c r="BO7" s="108">
        <f t="shared" si="2"/>
        <v>650000</v>
      </c>
      <c r="BP7" s="108">
        <f t="shared" si="2"/>
        <v>1000000</v>
      </c>
      <c r="BQ7" s="108">
        <f t="shared" si="2"/>
        <v>300000</v>
      </c>
      <c r="BR7" s="108">
        <f t="shared" si="2"/>
        <v>313.25</v>
      </c>
      <c r="BS7" s="108">
        <f t="shared" si="2"/>
        <v>950000</v>
      </c>
      <c r="BT7" s="108">
        <f t="shared" si="2"/>
        <v>1116370</v>
      </c>
      <c r="BU7" s="108">
        <f t="shared" si="2"/>
        <v>1000313.25</v>
      </c>
      <c r="BV7" s="108">
        <f t="shared" si="2"/>
        <v>300000</v>
      </c>
      <c r="BW7" s="108">
        <f t="shared" si="2"/>
        <v>200000</v>
      </c>
      <c r="BX7" s="108">
        <f t="shared" si="2"/>
        <v>120000</v>
      </c>
      <c r="BY7" s="108">
        <f t="shared" ref="BY7:DH7" si="3">SUBTOTAL(9,BY9:BY134)</f>
        <v>6327.51</v>
      </c>
      <c r="BZ7" s="108">
        <f t="shared" si="3"/>
        <v>420000</v>
      </c>
      <c r="CA7" s="108">
        <f t="shared" si="3"/>
        <v>535667</v>
      </c>
      <c r="CB7" s="108">
        <f t="shared" si="3"/>
        <v>206327.51</v>
      </c>
      <c r="CC7" s="108">
        <f t="shared" si="3"/>
        <v>200000</v>
      </c>
      <c r="CD7" s="108">
        <f t="shared" si="3"/>
        <v>812000</v>
      </c>
      <c r="CE7" s="108">
        <f t="shared" si="3"/>
        <v>70000</v>
      </c>
      <c r="CF7" s="108">
        <f t="shared" si="3"/>
        <v>25335.43</v>
      </c>
      <c r="CG7" s="108">
        <f t="shared" si="3"/>
        <v>270000</v>
      </c>
      <c r="CH7" s="108">
        <f t="shared" si="3"/>
        <v>440000</v>
      </c>
      <c r="CI7" s="108">
        <f t="shared" si="3"/>
        <v>837335.43</v>
      </c>
      <c r="CJ7" s="108">
        <f t="shared" si="3"/>
        <v>0</v>
      </c>
      <c r="CK7" s="108">
        <f t="shared" si="3"/>
        <v>20000</v>
      </c>
      <c r="CL7" s="108">
        <f t="shared" si="3"/>
        <v>200000</v>
      </c>
      <c r="CM7" s="108">
        <f t="shared" si="3"/>
        <v>9114.880000000001</v>
      </c>
      <c r="CN7" s="108">
        <f t="shared" si="3"/>
        <v>200000</v>
      </c>
      <c r="CO7" s="108">
        <f t="shared" si="3"/>
        <v>350000</v>
      </c>
      <c r="CP7" s="108">
        <f t="shared" si="3"/>
        <v>29114.880000000001</v>
      </c>
      <c r="CQ7" s="108">
        <f t="shared" si="3"/>
        <v>0</v>
      </c>
      <c r="CR7" s="108">
        <f t="shared" si="3"/>
        <v>0</v>
      </c>
      <c r="CS7" s="108">
        <f t="shared" si="3"/>
        <v>0</v>
      </c>
      <c r="CT7" s="108">
        <f t="shared" si="3"/>
        <v>0</v>
      </c>
      <c r="CU7" s="108">
        <f t="shared" si="3"/>
        <v>0</v>
      </c>
      <c r="CV7" s="108">
        <f t="shared" si="3"/>
        <v>300000</v>
      </c>
      <c r="CW7" s="108">
        <f t="shared" si="3"/>
        <v>0</v>
      </c>
      <c r="CX7" s="108">
        <f t="shared" si="3"/>
        <v>0</v>
      </c>
      <c r="CY7" s="108">
        <f t="shared" si="3"/>
        <v>436000</v>
      </c>
      <c r="CZ7" s="108">
        <f t="shared" si="3"/>
        <v>0</v>
      </c>
      <c r="DA7" s="108">
        <f t="shared" si="3"/>
        <v>12228.720000000001</v>
      </c>
      <c r="DB7" s="108">
        <f t="shared" si="3"/>
        <v>0</v>
      </c>
      <c r="DC7" s="108">
        <f t="shared" si="3"/>
        <v>448228.72</v>
      </c>
      <c r="DD7" s="108">
        <f t="shared" si="3"/>
        <v>0</v>
      </c>
      <c r="DE7" s="108">
        <f t="shared" si="3"/>
        <v>322363.82000000007</v>
      </c>
      <c r="DF7" s="108">
        <f t="shared" si="3"/>
        <v>0</v>
      </c>
      <c r="DG7" s="108">
        <f t="shared" si="3"/>
        <v>0</v>
      </c>
      <c r="DH7" s="108">
        <f t="shared" si="3"/>
        <v>0</v>
      </c>
      <c r="DI7" s="108">
        <f t="shared" ref="DI7:DU7" si="4">SUBTOTAL(9,DI9:DI134)</f>
        <v>322363.82000000007</v>
      </c>
      <c r="DJ7" s="108">
        <f t="shared" si="4"/>
        <v>0</v>
      </c>
      <c r="DK7" s="108">
        <f t="shared" si="4"/>
        <v>0</v>
      </c>
      <c r="DL7" s="108">
        <f t="shared" si="4"/>
        <v>0</v>
      </c>
      <c r="DM7" s="108">
        <f t="shared" si="4"/>
        <v>0</v>
      </c>
      <c r="DN7" s="108">
        <f t="shared" si="4"/>
        <v>0</v>
      </c>
      <c r="DO7" s="108">
        <f t="shared" si="4"/>
        <v>0</v>
      </c>
      <c r="DP7" s="108">
        <f t="shared" si="4"/>
        <v>5300000</v>
      </c>
      <c r="DQ7" s="108">
        <f t="shared" si="4"/>
        <v>7725363.8199999994</v>
      </c>
      <c r="DR7" s="108">
        <f t="shared" si="4"/>
        <v>2657217.75</v>
      </c>
      <c r="DS7" s="108">
        <f t="shared" si="4"/>
        <v>340715.08000000007</v>
      </c>
      <c r="DT7" s="108">
        <f t="shared" si="4"/>
        <v>7957217.75</v>
      </c>
      <c r="DU7" s="108">
        <f t="shared" si="4"/>
        <v>8066078.8999999994</v>
      </c>
    </row>
    <row r="8" spans="1:125" ht="15.75" customHeight="1">
      <c r="A8" s="109"/>
      <c r="B8" s="109"/>
      <c r="C8" s="109"/>
      <c r="D8" s="109"/>
      <c r="E8" s="109"/>
      <c r="F8" s="109"/>
      <c r="G8" s="109"/>
      <c r="H8" s="109"/>
      <c r="I8" s="109"/>
      <c r="J8" s="109"/>
      <c r="K8" s="110"/>
      <c r="L8" s="109"/>
      <c r="M8" s="109"/>
      <c r="N8" s="109"/>
      <c r="O8" s="109"/>
      <c r="P8" s="109"/>
      <c r="Q8" s="116"/>
      <c r="R8" s="109"/>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c r="CY8" s="111"/>
      <c r="CZ8" s="111"/>
      <c r="DA8" s="111"/>
      <c r="DB8" s="111"/>
      <c r="DC8" s="111"/>
      <c r="DD8" s="111"/>
      <c r="DE8" s="111"/>
      <c r="DF8" s="111"/>
      <c r="DG8" s="111"/>
      <c r="DH8" s="111"/>
      <c r="DI8" s="111"/>
      <c r="DJ8" s="111"/>
      <c r="DK8" s="111"/>
      <c r="DL8" s="111"/>
      <c r="DM8" s="111"/>
      <c r="DN8" s="111"/>
      <c r="DO8" s="111"/>
      <c r="DP8" s="111"/>
      <c r="DQ8" s="111"/>
      <c r="DR8" s="111"/>
      <c r="DS8" s="111"/>
      <c r="DT8" s="111"/>
      <c r="DU8" s="111"/>
    </row>
    <row r="9" spans="1:125">
      <c r="A9" s="15">
        <v>2</v>
      </c>
      <c r="B9" s="7" t="s">
        <v>747</v>
      </c>
      <c r="C9" s="7" t="s">
        <v>748</v>
      </c>
      <c r="D9" s="96" t="s">
        <v>749</v>
      </c>
      <c r="E9" s="184" t="s">
        <v>1164</v>
      </c>
      <c r="F9" s="161">
        <f t="shared" ref="F9:F70" si="5">SUM(DT9)</f>
        <v>0</v>
      </c>
      <c r="G9" s="161">
        <f>AT9+AZ9+BG9+BN9+BU9+CB9+CI9+CP9+CW9+DC9+DI9+DO9</f>
        <v>4165</v>
      </c>
      <c r="H9" s="161">
        <f>F9-G9</f>
        <v>-4165</v>
      </c>
      <c r="I9" s="161">
        <f t="shared" ref="I9:I72" si="6">BF9+BM9+BT9+CA9+CH9+CO9+CV9</f>
        <v>0</v>
      </c>
      <c r="J9" s="165">
        <f t="shared" ref="J9:J70" si="7">L9+AN9+DT9</f>
        <v>0</v>
      </c>
      <c r="K9" s="115"/>
      <c r="L9" s="211">
        <v>0</v>
      </c>
      <c r="M9" s="211">
        <v>0</v>
      </c>
      <c r="N9" s="127">
        <f t="shared" ref="N9:N70" si="8">AN9</f>
        <v>0</v>
      </c>
      <c r="O9" s="127">
        <f t="shared" ref="O9:O70" si="9">IF(AL9&gt;0,L9+AN9-M9,0)</f>
        <v>0</v>
      </c>
      <c r="P9" s="127">
        <f t="shared" ref="P9:P70" si="10">L9+N9</f>
        <v>0</v>
      </c>
      <c r="Q9" s="131">
        <f>J9-P9</f>
        <v>0</v>
      </c>
      <c r="R9" s="125">
        <f t="shared" ref="R9:R70" si="11">IF(AND(AL9&gt;0,DS9&gt;0),"შეცდომაა! ერთზე მეტი ბოლო ჩაბარება!",IF(OR(AL9&gt;0,DS9&gt;0,),IF(AL9&gt;0,L9+AN9,L9+AN9+DU9),IF(AND(L9=0,N9=0,DU9=0),"ნულოვანი შესრულება","მიმდინარეობს")))</f>
        <v>4165</v>
      </c>
      <c r="S9" s="113">
        <v>0</v>
      </c>
      <c r="T9" s="113"/>
      <c r="U9" s="113">
        <f t="shared" ref="U9:U70" si="12">L9+S9</f>
        <v>0</v>
      </c>
      <c r="V9" s="113">
        <f t="shared" ref="V9:V69" si="13">T9</f>
        <v>0</v>
      </c>
      <c r="W9" s="113">
        <v>0</v>
      </c>
      <c r="X9" s="113">
        <v>0</v>
      </c>
      <c r="Y9" s="113">
        <v>0</v>
      </c>
      <c r="Z9" s="113">
        <v>0</v>
      </c>
      <c r="AA9" s="113">
        <f t="shared" ref="AA9:AB23" si="14">W9+Y9</f>
        <v>0</v>
      </c>
      <c r="AB9" s="113">
        <f t="shared" si="14"/>
        <v>0</v>
      </c>
      <c r="AC9" s="113"/>
      <c r="AD9" s="113"/>
      <c r="AE9" s="113"/>
      <c r="AF9" s="113"/>
      <c r="AG9" s="113">
        <f t="shared" ref="AG9:AH23" si="15">AC9+AE9</f>
        <v>0</v>
      </c>
      <c r="AH9" s="113">
        <f t="shared" si="15"/>
        <v>0</v>
      </c>
      <c r="AI9" s="114">
        <f t="shared" ref="AI9:AI69" si="16">S9+W9+AC9</f>
        <v>0</v>
      </c>
      <c r="AJ9" s="114">
        <f t="shared" ref="AJ9:AK23" si="17">S9+X9+AD9</f>
        <v>0</v>
      </c>
      <c r="AK9" s="114">
        <f t="shared" si="17"/>
        <v>0</v>
      </c>
      <c r="AL9" s="114">
        <f t="shared" ref="AL9:AL69" si="18">T9+Z9+AF9</f>
        <v>0</v>
      </c>
      <c r="AM9" s="113">
        <f t="shared" ref="AM9:AN23" si="19">AI9+AK9</f>
        <v>0</v>
      </c>
      <c r="AN9" s="113">
        <f t="shared" si="19"/>
        <v>0</v>
      </c>
      <c r="AO9" s="113"/>
      <c r="AP9" s="113"/>
      <c r="AQ9" s="113"/>
      <c r="AR9" s="113"/>
      <c r="AS9" s="113">
        <f t="shared" ref="AS9:AT23" si="20">AO9+AQ9</f>
        <v>0</v>
      </c>
      <c r="AT9" s="113">
        <f t="shared" si="20"/>
        <v>0</v>
      </c>
      <c r="AU9" s="113"/>
      <c r="AV9" s="113"/>
      <c r="AW9" s="113"/>
      <c r="AX9" s="113"/>
      <c r="AY9" s="113">
        <f t="shared" ref="AY9:AZ23" si="21">AU9+AW9</f>
        <v>0</v>
      </c>
      <c r="AZ9" s="113">
        <f t="shared" si="21"/>
        <v>0</v>
      </c>
      <c r="BA9" s="113"/>
      <c r="BB9" s="113"/>
      <c r="BC9" s="113"/>
      <c r="BD9" s="113"/>
      <c r="BE9" s="113">
        <f t="shared" ref="BE9:BE23" si="22">BA9+BC9</f>
        <v>0</v>
      </c>
      <c r="BF9" s="113"/>
      <c r="BG9" s="113">
        <f t="shared" ref="BG9:BG40" si="23">BB9+BD9</f>
        <v>0</v>
      </c>
      <c r="BH9" s="113"/>
      <c r="BI9" s="113"/>
      <c r="BJ9" s="113"/>
      <c r="BK9" s="113"/>
      <c r="BL9" s="113">
        <f t="shared" ref="BL9:BL23" si="24">BH9+BJ9</f>
        <v>0</v>
      </c>
      <c r="BM9" s="113"/>
      <c r="BN9" s="113">
        <f t="shared" ref="BN9:BN40" si="25">BI9+BK9</f>
        <v>0</v>
      </c>
      <c r="BO9" s="113"/>
      <c r="BP9" s="113"/>
      <c r="BQ9" s="113"/>
      <c r="BR9" s="113"/>
      <c r="BS9" s="113">
        <f t="shared" ref="BS9:BS23" si="26">BO9+BQ9</f>
        <v>0</v>
      </c>
      <c r="BT9" s="113"/>
      <c r="BU9" s="113">
        <f t="shared" ref="BU9:BU40" si="27">BP9+BR9</f>
        <v>0</v>
      </c>
      <c r="BV9" s="113"/>
      <c r="BW9" s="113"/>
      <c r="BX9" s="113"/>
      <c r="BY9" s="113"/>
      <c r="BZ9" s="113">
        <f t="shared" ref="BZ9:BZ23" si="28">BV9+BX9</f>
        <v>0</v>
      </c>
      <c r="CA9" s="113"/>
      <c r="CB9" s="113">
        <f t="shared" ref="CB9:CB40" si="29">BW9+BY9</f>
        <v>0</v>
      </c>
      <c r="CC9" s="113"/>
      <c r="CD9" s="113"/>
      <c r="CE9" s="113"/>
      <c r="CF9" s="113"/>
      <c r="CG9" s="113">
        <f t="shared" ref="CG9:CG23" si="30">CC9+CE9</f>
        <v>0</v>
      </c>
      <c r="CH9" s="113"/>
      <c r="CI9" s="113">
        <f t="shared" ref="CI9:CI40" si="31">CD9+CF9</f>
        <v>0</v>
      </c>
      <c r="CJ9" s="113"/>
      <c r="CK9" s="113"/>
      <c r="CL9" s="113"/>
      <c r="CM9" s="113">
        <v>4165</v>
      </c>
      <c r="CN9" s="113">
        <f t="shared" ref="CN9:CN23" si="32">CJ9+CL9</f>
        <v>0</v>
      </c>
      <c r="CO9" s="113"/>
      <c r="CP9" s="113">
        <f t="shared" ref="CP9:CP40" si="33">CK9+CM9</f>
        <v>4165</v>
      </c>
      <c r="CQ9" s="113"/>
      <c r="CR9" s="113"/>
      <c r="CS9" s="113"/>
      <c r="CT9" s="113"/>
      <c r="CU9" s="113">
        <f t="shared" ref="CU9:CU23" si="34">CQ9+CS9</f>
        <v>0</v>
      </c>
      <c r="CV9" s="113"/>
      <c r="CW9" s="113">
        <f t="shared" ref="CW9:CW40" si="35">CR9+CT9</f>
        <v>0</v>
      </c>
      <c r="CX9" s="113"/>
      <c r="CY9" s="113"/>
      <c r="CZ9" s="113"/>
      <c r="DA9" s="113"/>
      <c r="DB9" s="113">
        <f t="shared" ref="DB9:DC23" si="36">CX9+CZ9</f>
        <v>0</v>
      </c>
      <c r="DC9" s="113">
        <f t="shared" si="36"/>
        <v>0</v>
      </c>
      <c r="DD9" s="113"/>
      <c r="DE9" s="113"/>
      <c r="DF9" s="113"/>
      <c r="DG9" s="113"/>
      <c r="DH9" s="113">
        <f t="shared" ref="DH9:DI23" si="37">DD9+DF9</f>
        <v>0</v>
      </c>
      <c r="DI9" s="113">
        <f t="shared" si="37"/>
        <v>0</v>
      </c>
      <c r="DJ9" s="113"/>
      <c r="DK9" s="113"/>
      <c r="DL9" s="113"/>
      <c r="DM9" s="113"/>
      <c r="DN9" s="113">
        <f t="shared" ref="DN9:DO23" si="38">DJ9+DL9</f>
        <v>0</v>
      </c>
      <c r="DO9" s="113">
        <f t="shared" si="38"/>
        <v>0</v>
      </c>
      <c r="DP9" s="113">
        <f t="shared" ref="DP9:DP40" si="39">AO9+AU9+BA9+BH9+BO9+BV9+CC9+CJ9+CQ9+CX9+DD9+DJ9</f>
        <v>0</v>
      </c>
      <c r="DQ9" s="113">
        <f t="shared" ref="DQ9:DQ40" si="40">AP9+AV9+BB9+BI9+BP9+BW9+CD9+CK9+CR9+CY9+DE9+DK9</f>
        <v>0</v>
      </c>
      <c r="DR9" s="113">
        <f t="shared" ref="DR9:DR40" si="41">AQ9+AW9+BC9+BJ9+BQ9+BX9+CE9+CL9+CS9+CZ9+DF9+DL9</f>
        <v>0</v>
      </c>
      <c r="DS9" s="113">
        <f t="shared" ref="DS9:DS40" si="42">AR9+AX9+BD9+BK9+BR9+BY9+CF9+CM9+CT9+DA9+DG9+DM9</f>
        <v>4165</v>
      </c>
      <c r="DT9" s="113">
        <f t="shared" ref="DT9:DU23" si="43">DP9+DR9</f>
        <v>0</v>
      </c>
      <c r="DU9" s="113">
        <f t="shared" si="43"/>
        <v>4165</v>
      </c>
    </row>
    <row r="10" spans="1:125" ht="30">
      <c r="A10" s="15">
        <v>3</v>
      </c>
      <c r="B10" s="7" t="s">
        <v>747</v>
      </c>
      <c r="C10" s="112" t="s">
        <v>748</v>
      </c>
      <c r="D10" s="96" t="s">
        <v>750</v>
      </c>
      <c r="E10" s="183" t="s">
        <v>1165</v>
      </c>
      <c r="F10" s="161">
        <f t="shared" si="5"/>
        <v>190000</v>
      </c>
      <c r="G10" s="161">
        <f t="shared" ref="G10:G73" si="44">AT10+AZ10+BG10+BN10+BU10+CB10+CI10+CP10+CW10+DC10+DI10+DO10</f>
        <v>403079.54</v>
      </c>
      <c r="H10" s="161">
        <f t="shared" ref="H10:H73" si="45">F10-G10</f>
        <v>-213079.53999999998</v>
      </c>
      <c r="I10" s="161">
        <f t="shared" si="6"/>
        <v>2000</v>
      </c>
      <c r="J10" s="165">
        <f t="shared" si="7"/>
        <v>190000</v>
      </c>
      <c r="K10" s="115">
        <v>127784</v>
      </c>
      <c r="L10" s="211">
        <v>0</v>
      </c>
      <c r="M10" s="211">
        <v>0</v>
      </c>
      <c r="N10" s="127">
        <f t="shared" si="8"/>
        <v>0</v>
      </c>
      <c r="O10" s="127">
        <f t="shared" si="9"/>
        <v>0</v>
      </c>
      <c r="P10" s="127">
        <f t="shared" si="10"/>
        <v>0</v>
      </c>
      <c r="Q10" s="131">
        <f t="shared" ref="Q10:Q73" si="46">J10-P10</f>
        <v>190000</v>
      </c>
      <c r="R10" s="125">
        <f t="shared" si="11"/>
        <v>403079.54</v>
      </c>
      <c r="S10" s="113">
        <v>0</v>
      </c>
      <c r="T10" s="113"/>
      <c r="U10" s="113">
        <f t="shared" si="12"/>
        <v>0</v>
      </c>
      <c r="V10" s="113">
        <f t="shared" si="13"/>
        <v>0</v>
      </c>
      <c r="W10" s="113">
        <v>0</v>
      </c>
      <c r="X10" s="113">
        <v>0</v>
      </c>
      <c r="Y10" s="113">
        <v>0</v>
      </c>
      <c r="Z10" s="113">
        <v>0</v>
      </c>
      <c r="AA10" s="113">
        <f t="shared" si="14"/>
        <v>0</v>
      </c>
      <c r="AB10" s="113">
        <f t="shared" si="14"/>
        <v>0</v>
      </c>
      <c r="AC10" s="113"/>
      <c r="AD10" s="113"/>
      <c r="AE10" s="113"/>
      <c r="AF10" s="113"/>
      <c r="AG10" s="113">
        <f t="shared" si="15"/>
        <v>0</v>
      </c>
      <c r="AH10" s="113">
        <f t="shared" si="15"/>
        <v>0</v>
      </c>
      <c r="AI10" s="114">
        <f t="shared" si="16"/>
        <v>0</v>
      </c>
      <c r="AJ10" s="114">
        <f t="shared" si="17"/>
        <v>0</v>
      </c>
      <c r="AK10" s="114">
        <f t="shared" si="17"/>
        <v>0</v>
      </c>
      <c r="AL10" s="114">
        <f t="shared" si="18"/>
        <v>0</v>
      </c>
      <c r="AM10" s="113">
        <f t="shared" si="19"/>
        <v>0</v>
      </c>
      <c r="AN10" s="113">
        <f t="shared" si="19"/>
        <v>0</v>
      </c>
      <c r="AO10" s="113">
        <v>100000</v>
      </c>
      <c r="AP10" s="113">
        <v>85000</v>
      </c>
      <c r="AQ10" s="113"/>
      <c r="AR10" s="113"/>
      <c r="AS10" s="113">
        <f t="shared" si="20"/>
        <v>100000</v>
      </c>
      <c r="AT10" s="113">
        <f t="shared" si="20"/>
        <v>85000</v>
      </c>
      <c r="AU10" s="113"/>
      <c r="AV10" s="113">
        <v>250000</v>
      </c>
      <c r="AW10" s="113">
        <v>90000</v>
      </c>
      <c r="AX10" s="113"/>
      <c r="AY10" s="113">
        <f t="shared" si="21"/>
        <v>90000</v>
      </c>
      <c r="AZ10" s="113">
        <f t="shared" si="21"/>
        <v>250000</v>
      </c>
      <c r="BA10" s="113"/>
      <c r="BB10" s="113"/>
      <c r="BC10" s="113"/>
      <c r="BD10" s="113"/>
      <c r="BE10" s="113">
        <f t="shared" si="22"/>
        <v>0</v>
      </c>
      <c r="BF10" s="113"/>
      <c r="BG10" s="113">
        <f t="shared" si="23"/>
        <v>0</v>
      </c>
      <c r="BH10" s="113"/>
      <c r="BI10" s="113"/>
      <c r="BJ10" s="113"/>
      <c r="BK10" s="113"/>
      <c r="BL10" s="113">
        <f t="shared" si="24"/>
        <v>0</v>
      </c>
      <c r="BM10" s="113"/>
      <c r="BN10" s="113">
        <f t="shared" si="25"/>
        <v>0</v>
      </c>
      <c r="BO10" s="113"/>
      <c r="BP10" s="113"/>
      <c r="BQ10" s="113"/>
      <c r="BR10" s="113"/>
      <c r="BS10" s="113">
        <f t="shared" si="26"/>
        <v>0</v>
      </c>
      <c r="BT10" s="113">
        <v>2000</v>
      </c>
      <c r="BU10" s="113">
        <f t="shared" si="27"/>
        <v>0</v>
      </c>
      <c r="BV10" s="113"/>
      <c r="BW10" s="113"/>
      <c r="BX10" s="113"/>
      <c r="BY10" s="113"/>
      <c r="BZ10" s="113">
        <f t="shared" si="28"/>
        <v>0</v>
      </c>
      <c r="CA10" s="113"/>
      <c r="CB10" s="113">
        <f t="shared" si="29"/>
        <v>0</v>
      </c>
      <c r="CC10" s="113"/>
      <c r="CD10" s="113"/>
      <c r="CE10" s="113"/>
      <c r="CF10" s="113"/>
      <c r="CG10" s="113">
        <f t="shared" si="30"/>
        <v>0</v>
      </c>
      <c r="CH10" s="113"/>
      <c r="CI10" s="113">
        <f t="shared" si="31"/>
        <v>0</v>
      </c>
      <c r="CJ10" s="113"/>
      <c r="CK10" s="113"/>
      <c r="CL10" s="113"/>
      <c r="CM10" s="113"/>
      <c r="CN10" s="113">
        <f t="shared" si="32"/>
        <v>0</v>
      </c>
      <c r="CO10" s="113"/>
      <c r="CP10" s="113">
        <f t="shared" si="33"/>
        <v>0</v>
      </c>
      <c r="CQ10" s="113"/>
      <c r="CR10" s="113"/>
      <c r="CS10" s="113"/>
      <c r="CT10" s="113"/>
      <c r="CU10" s="113">
        <f t="shared" si="34"/>
        <v>0</v>
      </c>
      <c r="CV10" s="113"/>
      <c r="CW10" s="113">
        <f t="shared" si="35"/>
        <v>0</v>
      </c>
      <c r="CX10" s="113"/>
      <c r="CY10" s="113">
        <f>63000</f>
        <v>63000</v>
      </c>
      <c r="CZ10" s="113"/>
      <c r="DA10" s="113">
        <v>5079.54</v>
      </c>
      <c r="DB10" s="113">
        <f t="shared" si="36"/>
        <v>0</v>
      </c>
      <c r="DC10" s="113">
        <f t="shared" si="36"/>
        <v>68079.539999999994</v>
      </c>
      <c r="DD10" s="113"/>
      <c r="DE10" s="113"/>
      <c r="DF10" s="113"/>
      <c r="DG10" s="113"/>
      <c r="DH10" s="113">
        <f t="shared" si="37"/>
        <v>0</v>
      </c>
      <c r="DI10" s="113">
        <f t="shared" si="37"/>
        <v>0</v>
      </c>
      <c r="DJ10" s="113"/>
      <c r="DK10" s="113"/>
      <c r="DL10" s="113"/>
      <c r="DM10" s="113"/>
      <c r="DN10" s="113">
        <f t="shared" si="38"/>
        <v>0</v>
      </c>
      <c r="DO10" s="113">
        <f t="shared" si="38"/>
        <v>0</v>
      </c>
      <c r="DP10" s="113">
        <f t="shared" si="39"/>
        <v>100000</v>
      </c>
      <c r="DQ10" s="113">
        <f t="shared" si="40"/>
        <v>398000</v>
      </c>
      <c r="DR10" s="113">
        <f t="shared" si="41"/>
        <v>90000</v>
      </c>
      <c r="DS10" s="113">
        <f t="shared" si="42"/>
        <v>5079.54</v>
      </c>
      <c r="DT10" s="113">
        <f t="shared" si="43"/>
        <v>190000</v>
      </c>
      <c r="DU10" s="113">
        <f t="shared" si="43"/>
        <v>403079.54</v>
      </c>
    </row>
    <row r="11" spans="1:125">
      <c r="A11" s="15">
        <v>4</v>
      </c>
      <c r="B11" s="96" t="s">
        <v>751</v>
      </c>
      <c r="C11" s="96" t="s">
        <v>752</v>
      </c>
      <c r="D11" s="96" t="s">
        <v>753</v>
      </c>
      <c r="E11" s="185" t="s">
        <v>1164</v>
      </c>
      <c r="F11" s="161">
        <f t="shared" si="5"/>
        <v>0</v>
      </c>
      <c r="G11" s="161">
        <f t="shared" si="44"/>
        <v>0</v>
      </c>
      <c r="H11" s="161">
        <f t="shared" si="45"/>
        <v>0</v>
      </c>
      <c r="I11" s="161">
        <f t="shared" si="6"/>
        <v>0</v>
      </c>
      <c r="J11" s="165">
        <f t="shared" si="7"/>
        <v>34615</v>
      </c>
      <c r="K11" s="115"/>
      <c r="L11" s="211">
        <v>0</v>
      </c>
      <c r="M11" s="211">
        <v>0</v>
      </c>
      <c r="N11" s="127">
        <f t="shared" si="8"/>
        <v>34615</v>
      </c>
      <c r="O11" s="127">
        <f t="shared" si="9"/>
        <v>34615</v>
      </c>
      <c r="P11" s="127">
        <f t="shared" si="10"/>
        <v>34615</v>
      </c>
      <c r="Q11" s="131">
        <f t="shared" si="46"/>
        <v>0</v>
      </c>
      <c r="R11" s="125">
        <f t="shared" si="11"/>
        <v>34615</v>
      </c>
      <c r="S11" s="113"/>
      <c r="T11" s="113">
        <v>34615</v>
      </c>
      <c r="U11" s="113">
        <f t="shared" si="12"/>
        <v>0</v>
      </c>
      <c r="V11" s="113">
        <f t="shared" si="13"/>
        <v>34615</v>
      </c>
      <c r="W11" s="113">
        <v>0</v>
      </c>
      <c r="X11" s="113">
        <v>0</v>
      </c>
      <c r="Y11" s="113">
        <v>0</v>
      </c>
      <c r="Z11" s="113">
        <v>0</v>
      </c>
      <c r="AA11" s="113">
        <f t="shared" si="14"/>
        <v>0</v>
      </c>
      <c r="AB11" s="113">
        <f t="shared" si="14"/>
        <v>0</v>
      </c>
      <c r="AC11" s="113"/>
      <c r="AD11" s="113"/>
      <c r="AE11" s="113"/>
      <c r="AF11" s="113"/>
      <c r="AG11" s="113">
        <f t="shared" si="15"/>
        <v>0</v>
      </c>
      <c r="AH11" s="113">
        <f t="shared" si="15"/>
        <v>0</v>
      </c>
      <c r="AI11" s="114">
        <f t="shared" si="16"/>
        <v>0</v>
      </c>
      <c r="AJ11" s="114">
        <f t="shared" si="17"/>
        <v>0</v>
      </c>
      <c r="AK11" s="114">
        <f t="shared" si="17"/>
        <v>34615</v>
      </c>
      <c r="AL11" s="114">
        <f t="shared" si="18"/>
        <v>34615</v>
      </c>
      <c r="AM11" s="113">
        <f t="shared" si="19"/>
        <v>34615</v>
      </c>
      <c r="AN11" s="113">
        <f t="shared" si="19"/>
        <v>34615</v>
      </c>
      <c r="AO11" s="113"/>
      <c r="AP11" s="113"/>
      <c r="AQ11" s="113"/>
      <c r="AR11" s="113"/>
      <c r="AS11" s="113">
        <f t="shared" si="20"/>
        <v>0</v>
      </c>
      <c r="AT11" s="113">
        <f t="shared" si="20"/>
        <v>0</v>
      </c>
      <c r="AU11" s="113"/>
      <c r="AV11" s="113"/>
      <c r="AW11" s="113"/>
      <c r="AX11" s="113"/>
      <c r="AY11" s="113">
        <f t="shared" si="21"/>
        <v>0</v>
      </c>
      <c r="AZ11" s="113">
        <f t="shared" si="21"/>
        <v>0</v>
      </c>
      <c r="BA11" s="113"/>
      <c r="BB11" s="113"/>
      <c r="BC11" s="113"/>
      <c r="BD11" s="113"/>
      <c r="BE11" s="113">
        <f t="shared" si="22"/>
        <v>0</v>
      </c>
      <c r="BF11" s="113"/>
      <c r="BG11" s="113">
        <f t="shared" si="23"/>
        <v>0</v>
      </c>
      <c r="BH11" s="113"/>
      <c r="BI11" s="113"/>
      <c r="BJ11" s="113"/>
      <c r="BK11" s="113"/>
      <c r="BL11" s="113">
        <f t="shared" si="24"/>
        <v>0</v>
      </c>
      <c r="BM11" s="113"/>
      <c r="BN11" s="113">
        <f t="shared" si="25"/>
        <v>0</v>
      </c>
      <c r="BO11" s="113"/>
      <c r="BP11" s="113"/>
      <c r="BQ11" s="113"/>
      <c r="BR11" s="113"/>
      <c r="BS11" s="113">
        <f t="shared" si="26"/>
        <v>0</v>
      </c>
      <c r="BT11" s="113"/>
      <c r="BU11" s="113">
        <f t="shared" si="27"/>
        <v>0</v>
      </c>
      <c r="BV11" s="113"/>
      <c r="BW11" s="113"/>
      <c r="BX11" s="113"/>
      <c r="BY11" s="113"/>
      <c r="BZ11" s="113">
        <f t="shared" si="28"/>
        <v>0</v>
      </c>
      <c r="CA11" s="113"/>
      <c r="CB11" s="113">
        <f t="shared" si="29"/>
        <v>0</v>
      </c>
      <c r="CC11" s="113"/>
      <c r="CD11" s="113"/>
      <c r="CE11" s="113"/>
      <c r="CF11" s="113"/>
      <c r="CG11" s="113">
        <f t="shared" si="30"/>
        <v>0</v>
      </c>
      <c r="CH11" s="113"/>
      <c r="CI11" s="113">
        <f t="shared" si="31"/>
        <v>0</v>
      </c>
      <c r="CJ11" s="113"/>
      <c r="CK11" s="113"/>
      <c r="CL11" s="113"/>
      <c r="CM11" s="113"/>
      <c r="CN11" s="113">
        <f t="shared" si="32"/>
        <v>0</v>
      </c>
      <c r="CO11" s="113"/>
      <c r="CP11" s="113">
        <f t="shared" si="33"/>
        <v>0</v>
      </c>
      <c r="CQ11" s="113"/>
      <c r="CR11" s="113"/>
      <c r="CS11" s="113"/>
      <c r="CT11" s="113"/>
      <c r="CU11" s="113">
        <f t="shared" si="34"/>
        <v>0</v>
      </c>
      <c r="CV11" s="113"/>
      <c r="CW11" s="113">
        <f t="shared" si="35"/>
        <v>0</v>
      </c>
      <c r="CX11" s="113"/>
      <c r="CY11" s="113"/>
      <c r="CZ11" s="113"/>
      <c r="DA11" s="113"/>
      <c r="DB11" s="113">
        <f t="shared" si="36"/>
        <v>0</v>
      </c>
      <c r="DC11" s="113">
        <f t="shared" si="36"/>
        <v>0</v>
      </c>
      <c r="DD11" s="113"/>
      <c r="DE11" s="113"/>
      <c r="DF11" s="113"/>
      <c r="DG11" s="113"/>
      <c r="DH11" s="113">
        <f t="shared" si="37"/>
        <v>0</v>
      </c>
      <c r="DI11" s="113">
        <f t="shared" si="37"/>
        <v>0</v>
      </c>
      <c r="DJ11" s="113"/>
      <c r="DK11" s="113"/>
      <c r="DL11" s="113"/>
      <c r="DM11" s="113"/>
      <c r="DN11" s="113">
        <f t="shared" si="38"/>
        <v>0</v>
      </c>
      <c r="DO11" s="113">
        <f t="shared" si="38"/>
        <v>0</v>
      </c>
      <c r="DP11" s="113">
        <f t="shared" si="39"/>
        <v>0</v>
      </c>
      <c r="DQ11" s="113">
        <f t="shared" si="40"/>
        <v>0</v>
      </c>
      <c r="DR11" s="113">
        <f t="shared" si="41"/>
        <v>0</v>
      </c>
      <c r="DS11" s="113">
        <f t="shared" si="42"/>
        <v>0</v>
      </c>
      <c r="DT11" s="113">
        <f t="shared" si="43"/>
        <v>0</v>
      </c>
      <c r="DU11" s="113">
        <f t="shared" si="43"/>
        <v>0</v>
      </c>
    </row>
    <row r="12" spans="1:125" s="333" customFormat="1">
      <c r="A12" s="328">
        <v>5</v>
      </c>
      <c r="B12" s="329" t="s">
        <v>751</v>
      </c>
      <c r="C12" s="330" t="s">
        <v>752</v>
      </c>
      <c r="D12" s="329" t="s">
        <v>754</v>
      </c>
      <c r="E12" s="329" t="s">
        <v>1165</v>
      </c>
      <c r="F12" s="261">
        <f t="shared" si="5"/>
        <v>570000</v>
      </c>
      <c r="G12" s="261">
        <f t="shared" si="44"/>
        <v>480000</v>
      </c>
      <c r="H12" s="161">
        <f t="shared" si="45"/>
        <v>90000</v>
      </c>
      <c r="I12" s="161">
        <f t="shared" si="6"/>
        <v>370000</v>
      </c>
      <c r="J12" s="262">
        <f t="shared" si="7"/>
        <v>970000</v>
      </c>
      <c r="K12" s="331">
        <f>544600+62080+222670</f>
        <v>829350</v>
      </c>
      <c r="L12" s="322">
        <v>0</v>
      </c>
      <c r="M12" s="322">
        <v>0</v>
      </c>
      <c r="N12" s="261">
        <f t="shared" si="8"/>
        <v>400000</v>
      </c>
      <c r="O12" s="261">
        <f t="shared" si="9"/>
        <v>0</v>
      </c>
      <c r="P12" s="261">
        <f t="shared" si="10"/>
        <v>400000</v>
      </c>
      <c r="Q12" s="261">
        <f t="shared" si="46"/>
        <v>570000</v>
      </c>
      <c r="R12" s="261" t="str">
        <f t="shared" si="11"/>
        <v>მიმდინარეობს</v>
      </c>
      <c r="S12" s="322">
        <v>400000</v>
      </c>
      <c r="T12" s="322"/>
      <c r="U12" s="322">
        <f t="shared" si="12"/>
        <v>400000</v>
      </c>
      <c r="V12" s="322">
        <f t="shared" si="13"/>
        <v>0</v>
      </c>
      <c r="W12" s="322">
        <v>0</v>
      </c>
      <c r="X12" s="322">
        <v>0</v>
      </c>
      <c r="Y12" s="322">
        <v>0</v>
      </c>
      <c r="Z12" s="322">
        <v>0</v>
      </c>
      <c r="AA12" s="322">
        <f t="shared" si="14"/>
        <v>0</v>
      </c>
      <c r="AB12" s="322">
        <f t="shared" si="14"/>
        <v>0</v>
      </c>
      <c r="AC12" s="322"/>
      <c r="AD12" s="322"/>
      <c r="AE12" s="322"/>
      <c r="AF12" s="322"/>
      <c r="AG12" s="322">
        <f t="shared" si="15"/>
        <v>0</v>
      </c>
      <c r="AH12" s="322">
        <f t="shared" si="15"/>
        <v>0</v>
      </c>
      <c r="AI12" s="334">
        <f t="shared" si="16"/>
        <v>400000</v>
      </c>
      <c r="AJ12" s="334">
        <f t="shared" si="17"/>
        <v>400000</v>
      </c>
      <c r="AK12" s="334">
        <f t="shared" si="17"/>
        <v>0</v>
      </c>
      <c r="AL12" s="334">
        <f t="shared" si="18"/>
        <v>0</v>
      </c>
      <c r="AM12" s="322">
        <f t="shared" si="19"/>
        <v>400000</v>
      </c>
      <c r="AN12" s="322">
        <f t="shared" si="19"/>
        <v>400000</v>
      </c>
      <c r="AO12" s="332"/>
      <c r="AP12" s="332"/>
      <c r="AQ12" s="332"/>
      <c r="AR12" s="332"/>
      <c r="AS12" s="332">
        <f t="shared" si="20"/>
        <v>0</v>
      </c>
      <c r="AT12" s="332">
        <f t="shared" si="20"/>
        <v>0</v>
      </c>
      <c r="AU12" s="332"/>
      <c r="AV12" s="332">
        <v>300000</v>
      </c>
      <c r="AW12" s="332"/>
      <c r="AX12" s="332"/>
      <c r="AY12" s="332">
        <f t="shared" si="21"/>
        <v>0</v>
      </c>
      <c r="AZ12" s="332">
        <f t="shared" si="21"/>
        <v>300000</v>
      </c>
      <c r="BA12" s="332">
        <v>200000</v>
      </c>
      <c r="BB12" s="332"/>
      <c r="BC12" s="332"/>
      <c r="BD12" s="332"/>
      <c r="BE12" s="332">
        <f t="shared" si="22"/>
        <v>200000</v>
      </c>
      <c r="BF12" s="332"/>
      <c r="BG12" s="332">
        <f t="shared" si="23"/>
        <v>0</v>
      </c>
      <c r="BH12" s="332">
        <v>100000</v>
      </c>
      <c r="BI12" s="332">
        <v>180000</v>
      </c>
      <c r="BJ12" s="332"/>
      <c r="BK12" s="332"/>
      <c r="BL12" s="332">
        <f t="shared" si="24"/>
        <v>100000</v>
      </c>
      <c r="BM12" s="332">
        <v>100000</v>
      </c>
      <c r="BN12" s="332">
        <f t="shared" si="25"/>
        <v>180000</v>
      </c>
      <c r="BO12" s="332">
        <v>100000</v>
      </c>
      <c r="BP12" s="332"/>
      <c r="BQ12" s="332"/>
      <c r="BR12" s="332"/>
      <c r="BS12" s="332">
        <f t="shared" si="26"/>
        <v>100000</v>
      </c>
      <c r="BT12" s="332">
        <v>100000</v>
      </c>
      <c r="BU12" s="332">
        <f t="shared" si="27"/>
        <v>0</v>
      </c>
      <c r="BV12" s="332">
        <v>100000</v>
      </c>
      <c r="BW12" s="332"/>
      <c r="BX12" s="332"/>
      <c r="BY12" s="332"/>
      <c r="BZ12" s="332">
        <f t="shared" si="28"/>
        <v>100000</v>
      </c>
      <c r="CA12" s="332">
        <v>100000</v>
      </c>
      <c r="CB12" s="332">
        <f t="shared" si="29"/>
        <v>0</v>
      </c>
      <c r="CC12" s="332"/>
      <c r="CD12" s="332"/>
      <c r="CE12" s="332">
        <v>70000</v>
      </c>
      <c r="CF12" s="332"/>
      <c r="CG12" s="332">
        <f t="shared" si="30"/>
        <v>70000</v>
      </c>
      <c r="CH12" s="332">
        <v>70000</v>
      </c>
      <c r="CI12" s="332">
        <f t="shared" si="31"/>
        <v>0</v>
      </c>
      <c r="CJ12" s="332"/>
      <c r="CK12" s="332"/>
      <c r="CL12" s="332"/>
      <c r="CM12" s="332"/>
      <c r="CN12" s="332">
        <f t="shared" si="32"/>
        <v>0</v>
      </c>
      <c r="CO12" s="332"/>
      <c r="CP12" s="332">
        <f t="shared" si="33"/>
        <v>0</v>
      </c>
      <c r="CQ12" s="332"/>
      <c r="CR12" s="332"/>
      <c r="CS12" s="332"/>
      <c r="CT12" s="332"/>
      <c r="CU12" s="332">
        <f t="shared" si="34"/>
        <v>0</v>
      </c>
      <c r="CV12" s="332"/>
      <c r="CW12" s="332">
        <f t="shared" si="35"/>
        <v>0</v>
      </c>
      <c r="CX12" s="332"/>
      <c r="CY12" s="332"/>
      <c r="CZ12" s="332"/>
      <c r="DA12" s="332"/>
      <c r="DB12" s="332">
        <f t="shared" si="36"/>
        <v>0</v>
      </c>
      <c r="DC12" s="332">
        <f t="shared" si="36"/>
        <v>0</v>
      </c>
      <c r="DD12" s="332"/>
      <c r="DE12" s="332"/>
      <c r="DF12" s="332"/>
      <c r="DG12" s="332"/>
      <c r="DH12" s="332">
        <f t="shared" si="37"/>
        <v>0</v>
      </c>
      <c r="DI12" s="332">
        <f t="shared" si="37"/>
        <v>0</v>
      </c>
      <c r="DJ12" s="332"/>
      <c r="DK12" s="332"/>
      <c r="DL12" s="332"/>
      <c r="DM12" s="332"/>
      <c r="DN12" s="332">
        <f t="shared" si="38"/>
        <v>0</v>
      </c>
      <c r="DO12" s="332">
        <f t="shared" si="38"/>
        <v>0</v>
      </c>
      <c r="DP12" s="332">
        <f t="shared" si="39"/>
        <v>500000</v>
      </c>
      <c r="DQ12" s="332">
        <f t="shared" si="40"/>
        <v>480000</v>
      </c>
      <c r="DR12" s="332">
        <f t="shared" si="41"/>
        <v>70000</v>
      </c>
      <c r="DS12" s="332">
        <f t="shared" si="42"/>
        <v>0</v>
      </c>
      <c r="DT12" s="332">
        <f t="shared" si="43"/>
        <v>570000</v>
      </c>
      <c r="DU12" s="332">
        <f t="shared" si="43"/>
        <v>480000</v>
      </c>
    </row>
    <row r="13" spans="1:125">
      <c r="A13" s="15">
        <v>6</v>
      </c>
      <c r="B13" s="96" t="s">
        <v>751</v>
      </c>
      <c r="C13" s="7" t="s">
        <v>755</v>
      </c>
      <c r="D13" s="96" t="s">
        <v>756</v>
      </c>
      <c r="E13" s="185" t="s">
        <v>1164</v>
      </c>
      <c r="F13" s="161">
        <f t="shared" si="5"/>
        <v>0</v>
      </c>
      <c r="G13" s="161">
        <f t="shared" si="44"/>
        <v>0</v>
      </c>
      <c r="H13" s="161">
        <f t="shared" si="45"/>
        <v>0</v>
      </c>
      <c r="I13" s="161">
        <f t="shared" si="6"/>
        <v>0</v>
      </c>
      <c r="J13" s="165">
        <f t="shared" si="7"/>
        <v>0</v>
      </c>
      <c r="K13" s="115"/>
      <c r="L13" s="211">
        <v>0</v>
      </c>
      <c r="M13" s="211">
        <v>0</v>
      </c>
      <c r="N13" s="127">
        <f t="shared" si="8"/>
        <v>0</v>
      </c>
      <c r="O13" s="127">
        <f t="shared" si="9"/>
        <v>0</v>
      </c>
      <c r="P13" s="127">
        <f t="shared" si="10"/>
        <v>0</v>
      </c>
      <c r="Q13" s="131">
        <f t="shared" si="46"/>
        <v>0</v>
      </c>
      <c r="R13" s="125" t="str">
        <f t="shared" si="11"/>
        <v>ნულოვანი შესრულება</v>
      </c>
      <c r="S13" s="113">
        <v>0</v>
      </c>
      <c r="T13" s="113"/>
      <c r="U13" s="113">
        <f t="shared" si="12"/>
        <v>0</v>
      </c>
      <c r="V13" s="113">
        <f t="shared" si="13"/>
        <v>0</v>
      </c>
      <c r="W13" s="113">
        <v>0</v>
      </c>
      <c r="X13" s="113">
        <v>0</v>
      </c>
      <c r="Y13" s="113">
        <v>0</v>
      </c>
      <c r="Z13" s="113">
        <v>0</v>
      </c>
      <c r="AA13" s="113">
        <f t="shared" si="14"/>
        <v>0</v>
      </c>
      <c r="AB13" s="113">
        <f t="shared" si="14"/>
        <v>0</v>
      </c>
      <c r="AC13" s="113"/>
      <c r="AD13" s="113"/>
      <c r="AE13" s="113"/>
      <c r="AF13" s="113"/>
      <c r="AG13" s="113">
        <f t="shared" si="15"/>
        <v>0</v>
      </c>
      <c r="AH13" s="113">
        <f t="shared" si="15"/>
        <v>0</v>
      </c>
      <c r="AI13" s="114">
        <f t="shared" si="16"/>
        <v>0</v>
      </c>
      <c r="AJ13" s="114">
        <f t="shared" si="17"/>
        <v>0</v>
      </c>
      <c r="AK13" s="114">
        <f t="shared" si="17"/>
        <v>0</v>
      </c>
      <c r="AL13" s="114">
        <f t="shared" si="18"/>
        <v>0</v>
      </c>
      <c r="AM13" s="113">
        <f t="shared" si="19"/>
        <v>0</v>
      </c>
      <c r="AN13" s="113">
        <f t="shared" si="19"/>
        <v>0</v>
      </c>
      <c r="AO13" s="113"/>
      <c r="AP13" s="113"/>
      <c r="AQ13" s="113"/>
      <c r="AR13" s="113"/>
      <c r="AS13" s="113">
        <f t="shared" si="20"/>
        <v>0</v>
      </c>
      <c r="AT13" s="113">
        <f t="shared" si="20"/>
        <v>0</v>
      </c>
      <c r="AU13" s="113"/>
      <c r="AV13" s="113"/>
      <c r="AW13" s="113"/>
      <c r="AX13" s="113"/>
      <c r="AY13" s="113">
        <f t="shared" si="21"/>
        <v>0</v>
      </c>
      <c r="AZ13" s="113">
        <f t="shared" si="21"/>
        <v>0</v>
      </c>
      <c r="BA13" s="113"/>
      <c r="BB13" s="113"/>
      <c r="BC13" s="113"/>
      <c r="BD13" s="113"/>
      <c r="BE13" s="113">
        <f t="shared" si="22"/>
        <v>0</v>
      </c>
      <c r="BF13" s="113"/>
      <c r="BG13" s="113">
        <f t="shared" si="23"/>
        <v>0</v>
      </c>
      <c r="BH13" s="113"/>
      <c r="BI13" s="113"/>
      <c r="BJ13" s="113"/>
      <c r="BK13" s="113"/>
      <c r="BL13" s="113">
        <f t="shared" si="24"/>
        <v>0</v>
      </c>
      <c r="BM13" s="113"/>
      <c r="BN13" s="113">
        <f t="shared" si="25"/>
        <v>0</v>
      </c>
      <c r="BO13" s="113"/>
      <c r="BP13" s="113"/>
      <c r="BQ13" s="113"/>
      <c r="BR13" s="113"/>
      <c r="BS13" s="113">
        <f t="shared" si="26"/>
        <v>0</v>
      </c>
      <c r="BT13" s="113"/>
      <c r="BU13" s="113">
        <f t="shared" si="27"/>
        <v>0</v>
      </c>
      <c r="BV13" s="113"/>
      <c r="BW13" s="113"/>
      <c r="BX13" s="113"/>
      <c r="BY13" s="113"/>
      <c r="BZ13" s="113">
        <f t="shared" si="28"/>
        <v>0</v>
      </c>
      <c r="CA13" s="113"/>
      <c r="CB13" s="113">
        <f t="shared" si="29"/>
        <v>0</v>
      </c>
      <c r="CC13" s="113"/>
      <c r="CD13" s="113"/>
      <c r="CE13" s="113"/>
      <c r="CF13" s="113"/>
      <c r="CG13" s="113">
        <f t="shared" si="30"/>
        <v>0</v>
      </c>
      <c r="CH13" s="113"/>
      <c r="CI13" s="113">
        <f t="shared" si="31"/>
        <v>0</v>
      </c>
      <c r="CJ13" s="113"/>
      <c r="CK13" s="113"/>
      <c r="CL13" s="113"/>
      <c r="CM13" s="113"/>
      <c r="CN13" s="113">
        <f t="shared" si="32"/>
        <v>0</v>
      </c>
      <c r="CO13" s="113"/>
      <c r="CP13" s="113">
        <f t="shared" si="33"/>
        <v>0</v>
      </c>
      <c r="CQ13" s="113"/>
      <c r="CR13" s="113"/>
      <c r="CS13" s="113"/>
      <c r="CT13" s="113"/>
      <c r="CU13" s="113">
        <f t="shared" si="34"/>
        <v>0</v>
      </c>
      <c r="CV13" s="113"/>
      <c r="CW13" s="113">
        <f t="shared" si="35"/>
        <v>0</v>
      </c>
      <c r="CX13" s="113"/>
      <c r="CY13" s="113"/>
      <c r="CZ13" s="113"/>
      <c r="DA13" s="113"/>
      <c r="DB13" s="113">
        <f t="shared" si="36"/>
        <v>0</v>
      </c>
      <c r="DC13" s="113">
        <f t="shared" si="36"/>
        <v>0</v>
      </c>
      <c r="DD13" s="113"/>
      <c r="DE13" s="113"/>
      <c r="DF13" s="113"/>
      <c r="DG13" s="113"/>
      <c r="DH13" s="113">
        <f t="shared" si="37"/>
        <v>0</v>
      </c>
      <c r="DI13" s="113">
        <f t="shared" si="37"/>
        <v>0</v>
      </c>
      <c r="DJ13" s="113"/>
      <c r="DK13" s="113"/>
      <c r="DL13" s="113"/>
      <c r="DM13" s="113"/>
      <c r="DN13" s="113">
        <f t="shared" si="38"/>
        <v>0</v>
      </c>
      <c r="DO13" s="113">
        <f t="shared" si="38"/>
        <v>0</v>
      </c>
      <c r="DP13" s="113">
        <f t="shared" si="39"/>
        <v>0</v>
      </c>
      <c r="DQ13" s="113">
        <f t="shared" si="40"/>
        <v>0</v>
      </c>
      <c r="DR13" s="113">
        <f t="shared" si="41"/>
        <v>0</v>
      </c>
      <c r="DS13" s="113">
        <f t="shared" si="42"/>
        <v>0</v>
      </c>
      <c r="DT13" s="113">
        <f t="shared" si="43"/>
        <v>0</v>
      </c>
      <c r="DU13" s="113">
        <f t="shared" si="43"/>
        <v>0</v>
      </c>
    </row>
    <row r="14" spans="1:125">
      <c r="A14" s="15">
        <v>7</v>
      </c>
      <c r="B14" s="96" t="s">
        <v>751</v>
      </c>
      <c r="C14" s="7" t="s">
        <v>757</v>
      </c>
      <c r="D14" s="96" t="s">
        <v>758</v>
      </c>
      <c r="E14" s="185" t="s">
        <v>1164</v>
      </c>
      <c r="F14" s="161">
        <f t="shared" si="5"/>
        <v>0</v>
      </c>
      <c r="G14" s="161">
        <f t="shared" si="44"/>
        <v>0</v>
      </c>
      <c r="H14" s="161">
        <f t="shared" si="45"/>
        <v>0</v>
      </c>
      <c r="I14" s="161">
        <f t="shared" si="6"/>
        <v>0</v>
      </c>
      <c r="J14" s="165">
        <f t="shared" si="7"/>
        <v>0</v>
      </c>
      <c r="K14" s="115"/>
      <c r="L14" s="211">
        <v>0</v>
      </c>
      <c r="M14" s="211">
        <v>0</v>
      </c>
      <c r="N14" s="127">
        <f t="shared" si="8"/>
        <v>0</v>
      </c>
      <c r="O14" s="127">
        <f t="shared" si="9"/>
        <v>0</v>
      </c>
      <c r="P14" s="127">
        <f t="shared" si="10"/>
        <v>0</v>
      </c>
      <c r="Q14" s="131">
        <f t="shared" si="46"/>
        <v>0</v>
      </c>
      <c r="R14" s="125" t="str">
        <f t="shared" si="11"/>
        <v>ნულოვანი შესრულება</v>
      </c>
      <c r="S14" s="113">
        <v>0</v>
      </c>
      <c r="T14" s="113"/>
      <c r="U14" s="113">
        <f t="shared" si="12"/>
        <v>0</v>
      </c>
      <c r="V14" s="113">
        <f t="shared" si="13"/>
        <v>0</v>
      </c>
      <c r="W14" s="113">
        <v>0</v>
      </c>
      <c r="X14" s="113">
        <v>0</v>
      </c>
      <c r="Y14" s="113">
        <v>0</v>
      </c>
      <c r="Z14" s="113">
        <v>0</v>
      </c>
      <c r="AA14" s="113">
        <f t="shared" si="14"/>
        <v>0</v>
      </c>
      <c r="AB14" s="113">
        <f t="shared" si="14"/>
        <v>0</v>
      </c>
      <c r="AC14" s="113"/>
      <c r="AD14" s="113"/>
      <c r="AE14" s="113"/>
      <c r="AF14" s="113"/>
      <c r="AG14" s="113">
        <f t="shared" si="15"/>
        <v>0</v>
      </c>
      <c r="AH14" s="113">
        <f t="shared" si="15"/>
        <v>0</v>
      </c>
      <c r="AI14" s="114">
        <f t="shared" si="16"/>
        <v>0</v>
      </c>
      <c r="AJ14" s="114">
        <f t="shared" si="17"/>
        <v>0</v>
      </c>
      <c r="AK14" s="114">
        <f t="shared" si="17"/>
        <v>0</v>
      </c>
      <c r="AL14" s="114">
        <f t="shared" si="18"/>
        <v>0</v>
      </c>
      <c r="AM14" s="113">
        <f t="shared" si="19"/>
        <v>0</v>
      </c>
      <c r="AN14" s="113">
        <f t="shared" si="19"/>
        <v>0</v>
      </c>
      <c r="AO14" s="113"/>
      <c r="AP14" s="113"/>
      <c r="AQ14" s="113"/>
      <c r="AR14" s="113"/>
      <c r="AS14" s="113">
        <f t="shared" si="20"/>
        <v>0</v>
      </c>
      <c r="AT14" s="113">
        <f t="shared" si="20"/>
        <v>0</v>
      </c>
      <c r="AU14" s="113"/>
      <c r="AV14" s="113"/>
      <c r="AW14" s="113"/>
      <c r="AX14" s="113"/>
      <c r="AY14" s="113">
        <f t="shared" si="21"/>
        <v>0</v>
      </c>
      <c r="AZ14" s="113">
        <f t="shared" si="21"/>
        <v>0</v>
      </c>
      <c r="BA14" s="113"/>
      <c r="BB14" s="113"/>
      <c r="BC14" s="113"/>
      <c r="BD14" s="113"/>
      <c r="BE14" s="113">
        <f t="shared" si="22"/>
        <v>0</v>
      </c>
      <c r="BF14" s="113"/>
      <c r="BG14" s="113">
        <f t="shared" si="23"/>
        <v>0</v>
      </c>
      <c r="BH14" s="113"/>
      <c r="BI14" s="113"/>
      <c r="BJ14" s="113"/>
      <c r="BK14" s="113"/>
      <c r="BL14" s="113">
        <f t="shared" si="24"/>
        <v>0</v>
      </c>
      <c r="BM14" s="113"/>
      <c r="BN14" s="113">
        <f t="shared" si="25"/>
        <v>0</v>
      </c>
      <c r="BO14" s="113"/>
      <c r="BP14" s="113"/>
      <c r="BQ14" s="113"/>
      <c r="BR14" s="113"/>
      <c r="BS14" s="113">
        <f t="shared" si="26"/>
        <v>0</v>
      </c>
      <c r="BT14" s="113"/>
      <c r="BU14" s="113">
        <f t="shared" si="27"/>
        <v>0</v>
      </c>
      <c r="BV14" s="113"/>
      <c r="BW14" s="113"/>
      <c r="BX14" s="113"/>
      <c r="BY14" s="113"/>
      <c r="BZ14" s="113">
        <f t="shared" si="28"/>
        <v>0</v>
      </c>
      <c r="CA14" s="113"/>
      <c r="CB14" s="113">
        <f t="shared" si="29"/>
        <v>0</v>
      </c>
      <c r="CC14" s="113"/>
      <c r="CD14" s="113"/>
      <c r="CE14" s="113"/>
      <c r="CF14" s="113"/>
      <c r="CG14" s="113">
        <f t="shared" si="30"/>
        <v>0</v>
      </c>
      <c r="CH14" s="113"/>
      <c r="CI14" s="113">
        <f t="shared" si="31"/>
        <v>0</v>
      </c>
      <c r="CJ14" s="113"/>
      <c r="CK14" s="113"/>
      <c r="CL14" s="113"/>
      <c r="CM14" s="113"/>
      <c r="CN14" s="113">
        <f t="shared" si="32"/>
        <v>0</v>
      </c>
      <c r="CO14" s="113"/>
      <c r="CP14" s="113">
        <f t="shared" si="33"/>
        <v>0</v>
      </c>
      <c r="CQ14" s="113"/>
      <c r="CR14" s="113"/>
      <c r="CS14" s="113"/>
      <c r="CT14" s="113"/>
      <c r="CU14" s="113">
        <f t="shared" si="34"/>
        <v>0</v>
      </c>
      <c r="CV14" s="113"/>
      <c r="CW14" s="113">
        <f t="shared" si="35"/>
        <v>0</v>
      </c>
      <c r="CX14" s="113"/>
      <c r="CY14" s="113"/>
      <c r="CZ14" s="113"/>
      <c r="DA14" s="113"/>
      <c r="DB14" s="113">
        <f t="shared" si="36"/>
        <v>0</v>
      </c>
      <c r="DC14" s="113">
        <f t="shared" si="36"/>
        <v>0</v>
      </c>
      <c r="DD14" s="113"/>
      <c r="DE14" s="113"/>
      <c r="DF14" s="113"/>
      <c r="DG14" s="113"/>
      <c r="DH14" s="113">
        <f t="shared" si="37"/>
        <v>0</v>
      </c>
      <c r="DI14" s="113">
        <f t="shared" si="37"/>
        <v>0</v>
      </c>
      <c r="DJ14" s="113"/>
      <c r="DK14" s="113"/>
      <c r="DL14" s="113"/>
      <c r="DM14" s="113"/>
      <c r="DN14" s="113">
        <f t="shared" si="38"/>
        <v>0</v>
      </c>
      <c r="DO14" s="113">
        <f t="shared" si="38"/>
        <v>0</v>
      </c>
      <c r="DP14" s="113">
        <f t="shared" si="39"/>
        <v>0</v>
      </c>
      <c r="DQ14" s="113">
        <f t="shared" si="40"/>
        <v>0</v>
      </c>
      <c r="DR14" s="113">
        <f t="shared" si="41"/>
        <v>0</v>
      </c>
      <c r="DS14" s="113">
        <f t="shared" si="42"/>
        <v>0</v>
      </c>
      <c r="DT14" s="113">
        <f t="shared" si="43"/>
        <v>0</v>
      </c>
      <c r="DU14" s="113">
        <f t="shared" si="43"/>
        <v>0</v>
      </c>
    </row>
    <row r="15" spans="1:125">
      <c r="A15" s="15">
        <v>8</v>
      </c>
      <c r="B15" s="96" t="s">
        <v>751</v>
      </c>
      <c r="C15" s="7" t="s">
        <v>759</v>
      </c>
      <c r="D15" s="96" t="s">
        <v>760</v>
      </c>
      <c r="E15" s="185" t="s">
        <v>1164</v>
      </c>
      <c r="F15" s="161">
        <f t="shared" si="5"/>
        <v>0</v>
      </c>
      <c r="G15" s="161">
        <f t="shared" si="44"/>
        <v>0</v>
      </c>
      <c r="H15" s="161">
        <f t="shared" si="45"/>
        <v>0</v>
      </c>
      <c r="I15" s="161">
        <f t="shared" si="6"/>
        <v>0</v>
      </c>
      <c r="J15" s="165">
        <f t="shared" si="7"/>
        <v>2481.5</v>
      </c>
      <c r="K15" s="115">
        <v>45437.57</v>
      </c>
      <c r="L15" s="211">
        <v>0</v>
      </c>
      <c r="M15" s="211">
        <v>0</v>
      </c>
      <c r="N15" s="127">
        <f t="shared" si="8"/>
        <v>2481.5</v>
      </c>
      <c r="O15" s="127">
        <f t="shared" si="9"/>
        <v>2481.5</v>
      </c>
      <c r="P15" s="127">
        <f t="shared" si="10"/>
        <v>2481.5</v>
      </c>
      <c r="Q15" s="131">
        <f t="shared" si="46"/>
        <v>0</v>
      </c>
      <c r="R15" s="125">
        <f t="shared" si="11"/>
        <v>2481.5</v>
      </c>
      <c r="S15" s="113"/>
      <c r="T15" s="113">
        <v>2481.5</v>
      </c>
      <c r="U15" s="113">
        <f t="shared" si="12"/>
        <v>0</v>
      </c>
      <c r="V15" s="113">
        <f t="shared" si="13"/>
        <v>2481.5</v>
      </c>
      <c r="W15" s="113">
        <v>0</v>
      </c>
      <c r="X15" s="113">
        <v>0</v>
      </c>
      <c r="Y15" s="113">
        <v>0</v>
      </c>
      <c r="Z15" s="113">
        <v>0</v>
      </c>
      <c r="AA15" s="113">
        <f t="shared" si="14"/>
        <v>0</v>
      </c>
      <c r="AB15" s="113">
        <f t="shared" si="14"/>
        <v>0</v>
      </c>
      <c r="AC15" s="113"/>
      <c r="AD15" s="113"/>
      <c r="AE15" s="113"/>
      <c r="AF15" s="113"/>
      <c r="AG15" s="113">
        <f t="shared" si="15"/>
        <v>0</v>
      </c>
      <c r="AH15" s="113">
        <f t="shared" si="15"/>
        <v>0</v>
      </c>
      <c r="AI15" s="114">
        <f t="shared" si="16"/>
        <v>0</v>
      </c>
      <c r="AJ15" s="114">
        <f t="shared" si="17"/>
        <v>0</v>
      </c>
      <c r="AK15" s="114">
        <f t="shared" si="17"/>
        <v>2481.5</v>
      </c>
      <c r="AL15" s="114">
        <f t="shared" si="18"/>
        <v>2481.5</v>
      </c>
      <c r="AM15" s="113">
        <f t="shared" si="19"/>
        <v>2481.5</v>
      </c>
      <c r="AN15" s="113">
        <f t="shared" si="19"/>
        <v>2481.5</v>
      </c>
      <c r="AO15" s="113"/>
      <c r="AP15" s="113"/>
      <c r="AQ15" s="113"/>
      <c r="AR15" s="113"/>
      <c r="AS15" s="113">
        <f t="shared" si="20"/>
        <v>0</v>
      </c>
      <c r="AT15" s="113">
        <f t="shared" si="20"/>
        <v>0</v>
      </c>
      <c r="AU15" s="113"/>
      <c r="AV15" s="113"/>
      <c r="AW15" s="113"/>
      <c r="AX15" s="113"/>
      <c r="AY15" s="113">
        <f t="shared" si="21"/>
        <v>0</v>
      </c>
      <c r="AZ15" s="113">
        <f t="shared" si="21"/>
        <v>0</v>
      </c>
      <c r="BA15" s="113"/>
      <c r="BB15" s="113"/>
      <c r="BC15" s="113"/>
      <c r="BD15" s="113"/>
      <c r="BE15" s="113">
        <f t="shared" si="22"/>
        <v>0</v>
      </c>
      <c r="BF15" s="113"/>
      <c r="BG15" s="113">
        <f t="shared" si="23"/>
        <v>0</v>
      </c>
      <c r="BH15" s="113"/>
      <c r="BI15" s="113"/>
      <c r="BJ15" s="113"/>
      <c r="BK15" s="113"/>
      <c r="BL15" s="113">
        <f t="shared" si="24"/>
        <v>0</v>
      </c>
      <c r="BM15" s="113"/>
      <c r="BN15" s="113">
        <f t="shared" si="25"/>
        <v>0</v>
      </c>
      <c r="BO15" s="113"/>
      <c r="BP15" s="113"/>
      <c r="BQ15" s="113"/>
      <c r="BR15" s="113"/>
      <c r="BS15" s="113">
        <f t="shared" si="26"/>
        <v>0</v>
      </c>
      <c r="BT15" s="113"/>
      <c r="BU15" s="113">
        <f t="shared" si="27"/>
        <v>0</v>
      </c>
      <c r="BV15" s="113"/>
      <c r="BW15" s="113"/>
      <c r="BX15" s="113"/>
      <c r="BY15" s="113"/>
      <c r="BZ15" s="113">
        <f t="shared" si="28"/>
        <v>0</v>
      </c>
      <c r="CA15" s="113"/>
      <c r="CB15" s="113">
        <f t="shared" si="29"/>
        <v>0</v>
      </c>
      <c r="CC15" s="113"/>
      <c r="CD15" s="113"/>
      <c r="CE15" s="113"/>
      <c r="CF15" s="113"/>
      <c r="CG15" s="113">
        <f t="shared" si="30"/>
        <v>0</v>
      </c>
      <c r="CH15" s="113"/>
      <c r="CI15" s="113">
        <f t="shared" si="31"/>
        <v>0</v>
      </c>
      <c r="CJ15" s="113"/>
      <c r="CK15" s="113"/>
      <c r="CL15" s="113"/>
      <c r="CM15" s="113"/>
      <c r="CN15" s="113">
        <f t="shared" si="32"/>
        <v>0</v>
      </c>
      <c r="CO15" s="113"/>
      <c r="CP15" s="113">
        <f t="shared" si="33"/>
        <v>0</v>
      </c>
      <c r="CQ15" s="113"/>
      <c r="CR15" s="113"/>
      <c r="CS15" s="113"/>
      <c r="CT15" s="113"/>
      <c r="CU15" s="113">
        <f t="shared" si="34"/>
        <v>0</v>
      </c>
      <c r="CV15" s="113"/>
      <c r="CW15" s="113">
        <f t="shared" si="35"/>
        <v>0</v>
      </c>
      <c r="CX15" s="113"/>
      <c r="CY15" s="113"/>
      <c r="CZ15" s="113"/>
      <c r="DA15" s="113"/>
      <c r="DB15" s="113">
        <f t="shared" si="36"/>
        <v>0</v>
      </c>
      <c r="DC15" s="113">
        <f t="shared" si="36"/>
        <v>0</v>
      </c>
      <c r="DD15" s="113"/>
      <c r="DE15" s="113"/>
      <c r="DF15" s="113"/>
      <c r="DG15" s="113"/>
      <c r="DH15" s="113">
        <f t="shared" si="37"/>
        <v>0</v>
      </c>
      <c r="DI15" s="113">
        <f t="shared" si="37"/>
        <v>0</v>
      </c>
      <c r="DJ15" s="113"/>
      <c r="DK15" s="113"/>
      <c r="DL15" s="113"/>
      <c r="DM15" s="113"/>
      <c r="DN15" s="113">
        <f t="shared" si="38"/>
        <v>0</v>
      </c>
      <c r="DO15" s="113">
        <f t="shared" si="38"/>
        <v>0</v>
      </c>
      <c r="DP15" s="113">
        <f t="shared" si="39"/>
        <v>0</v>
      </c>
      <c r="DQ15" s="113">
        <f t="shared" si="40"/>
        <v>0</v>
      </c>
      <c r="DR15" s="113">
        <f t="shared" si="41"/>
        <v>0</v>
      </c>
      <c r="DS15" s="113">
        <f t="shared" si="42"/>
        <v>0</v>
      </c>
      <c r="DT15" s="113">
        <f t="shared" si="43"/>
        <v>0</v>
      </c>
      <c r="DU15" s="113">
        <f t="shared" si="43"/>
        <v>0</v>
      </c>
    </row>
    <row r="16" spans="1:125">
      <c r="A16" s="15">
        <v>9</v>
      </c>
      <c r="B16" s="96" t="s">
        <v>751</v>
      </c>
      <c r="C16" s="112" t="s">
        <v>759</v>
      </c>
      <c r="D16" s="96" t="s">
        <v>761</v>
      </c>
      <c r="E16" s="185" t="s">
        <v>1165</v>
      </c>
      <c r="F16" s="161">
        <f t="shared" si="5"/>
        <v>0</v>
      </c>
      <c r="G16" s="161">
        <f t="shared" si="44"/>
        <v>0</v>
      </c>
      <c r="H16" s="161">
        <f t="shared" si="45"/>
        <v>0</v>
      </c>
      <c r="I16" s="161">
        <f t="shared" si="6"/>
        <v>0</v>
      </c>
      <c r="J16" s="165">
        <f t="shared" si="7"/>
        <v>195437.57</v>
      </c>
      <c r="K16" s="115">
        <v>51000</v>
      </c>
      <c r="L16" s="211">
        <v>0</v>
      </c>
      <c r="M16" s="211">
        <v>0</v>
      </c>
      <c r="N16" s="127">
        <f t="shared" si="8"/>
        <v>195437.57</v>
      </c>
      <c r="O16" s="127">
        <f t="shared" si="9"/>
        <v>195437.57</v>
      </c>
      <c r="P16" s="127">
        <f t="shared" si="10"/>
        <v>195437.57</v>
      </c>
      <c r="Q16" s="131">
        <f t="shared" si="46"/>
        <v>0</v>
      </c>
      <c r="R16" s="125">
        <f t="shared" si="11"/>
        <v>195437.57</v>
      </c>
      <c r="S16" s="113">
        <v>150000</v>
      </c>
      <c r="T16" s="113">
        <v>45437.57</v>
      </c>
      <c r="U16" s="113">
        <f t="shared" si="12"/>
        <v>150000</v>
      </c>
      <c r="V16" s="113">
        <f t="shared" si="13"/>
        <v>45437.57</v>
      </c>
      <c r="W16" s="113">
        <v>0</v>
      </c>
      <c r="X16" s="113">
        <v>0</v>
      </c>
      <c r="Y16" s="113">
        <v>0</v>
      </c>
      <c r="Z16" s="113">
        <v>0</v>
      </c>
      <c r="AA16" s="113">
        <f t="shared" si="14"/>
        <v>0</v>
      </c>
      <c r="AB16" s="113">
        <f t="shared" si="14"/>
        <v>0</v>
      </c>
      <c r="AC16" s="113"/>
      <c r="AD16" s="113"/>
      <c r="AE16" s="113"/>
      <c r="AF16" s="113"/>
      <c r="AG16" s="113">
        <f t="shared" si="15"/>
        <v>0</v>
      </c>
      <c r="AH16" s="113">
        <f t="shared" si="15"/>
        <v>0</v>
      </c>
      <c r="AI16" s="114">
        <f t="shared" si="16"/>
        <v>150000</v>
      </c>
      <c r="AJ16" s="114">
        <f t="shared" si="17"/>
        <v>150000</v>
      </c>
      <c r="AK16" s="114">
        <f t="shared" si="17"/>
        <v>45437.57</v>
      </c>
      <c r="AL16" s="114">
        <f t="shared" si="18"/>
        <v>45437.57</v>
      </c>
      <c r="AM16" s="113">
        <f t="shared" si="19"/>
        <v>195437.57</v>
      </c>
      <c r="AN16" s="113">
        <f t="shared" si="19"/>
        <v>195437.57</v>
      </c>
      <c r="AO16" s="113"/>
      <c r="AP16" s="113"/>
      <c r="AQ16" s="113"/>
      <c r="AR16" s="113"/>
      <c r="AS16" s="113">
        <f t="shared" si="20"/>
        <v>0</v>
      </c>
      <c r="AT16" s="113">
        <f t="shared" si="20"/>
        <v>0</v>
      </c>
      <c r="AU16" s="113"/>
      <c r="AV16" s="113"/>
      <c r="AW16" s="113"/>
      <c r="AX16" s="113"/>
      <c r="AY16" s="113">
        <f t="shared" si="21"/>
        <v>0</v>
      </c>
      <c r="AZ16" s="113">
        <f t="shared" si="21"/>
        <v>0</v>
      </c>
      <c r="BA16" s="113"/>
      <c r="BB16" s="113"/>
      <c r="BC16" s="113"/>
      <c r="BD16" s="113"/>
      <c r="BE16" s="113">
        <f t="shared" si="22"/>
        <v>0</v>
      </c>
      <c r="BF16" s="113"/>
      <c r="BG16" s="113">
        <f t="shared" si="23"/>
        <v>0</v>
      </c>
      <c r="BH16" s="113"/>
      <c r="BI16" s="113"/>
      <c r="BJ16" s="113"/>
      <c r="BK16" s="113"/>
      <c r="BL16" s="113">
        <f t="shared" si="24"/>
        <v>0</v>
      </c>
      <c r="BM16" s="113"/>
      <c r="BN16" s="113">
        <f t="shared" si="25"/>
        <v>0</v>
      </c>
      <c r="BO16" s="113"/>
      <c r="BP16" s="113"/>
      <c r="BQ16" s="113"/>
      <c r="BR16" s="113"/>
      <c r="BS16" s="113">
        <f t="shared" si="26"/>
        <v>0</v>
      </c>
      <c r="BT16" s="113"/>
      <c r="BU16" s="113">
        <f t="shared" si="27"/>
        <v>0</v>
      </c>
      <c r="BV16" s="113"/>
      <c r="BW16" s="113"/>
      <c r="BX16" s="113"/>
      <c r="BY16" s="113"/>
      <c r="BZ16" s="113">
        <f t="shared" si="28"/>
        <v>0</v>
      </c>
      <c r="CA16" s="113"/>
      <c r="CB16" s="113">
        <f t="shared" si="29"/>
        <v>0</v>
      </c>
      <c r="CC16" s="113"/>
      <c r="CD16" s="113"/>
      <c r="CE16" s="113"/>
      <c r="CF16" s="113"/>
      <c r="CG16" s="113">
        <f t="shared" si="30"/>
        <v>0</v>
      </c>
      <c r="CH16" s="113"/>
      <c r="CI16" s="113">
        <f t="shared" si="31"/>
        <v>0</v>
      </c>
      <c r="CJ16" s="113"/>
      <c r="CK16" s="113"/>
      <c r="CL16" s="113"/>
      <c r="CM16" s="113"/>
      <c r="CN16" s="113">
        <f t="shared" si="32"/>
        <v>0</v>
      </c>
      <c r="CO16" s="113"/>
      <c r="CP16" s="113">
        <f t="shared" si="33"/>
        <v>0</v>
      </c>
      <c r="CQ16" s="113"/>
      <c r="CR16" s="113"/>
      <c r="CS16" s="113"/>
      <c r="CT16" s="113"/>
      <c r="CU16" s="113">
        <f t="shared" si="34"/>
        <v>0</v>
      </c>
      <c r="CV16" s="113"/>
      <c r="CW16" s="113">
        <f t="shared" si="35"/>
        <v>0</v>
      </c>
      <c r="CX16" s="113"/>
      <c r="CY16" s="113"/>
      <c r="CZ16" s="113"/>
      <c r="DA16" s="113"/>
      <c r="DB16" s="113">
        <f t="shared" si="36"/>
        <v>0</v>
      </c>
      <c r="DC16" s="113">
        <f t="shared" si="36"/>
        <v>0</v>
      </c>
      <c r="DD16" s="113"/>
      <c r="DE16" s="113"/>
      <c r="DF16" s="113"/>
      <c r="DG16" s="113"/>
      <c r="DH16" s="113">
        <f t="shared" si="37"/>
        <v>0</v>
      </c>
      <c r="DI16" s="113">
        <f t="shared" si="37"/>
        <v>0</v>
      </c>
      <c r="DJ16" s="113"/>
      <c r="DK16" s="113"/>
      <c r="DL16" s="113"/>
      <c r="DM16" s="113"/>
      <c r="DN16" s="113">
        <f t="shared" si="38"/>
        <v>0</v>
      </c>
      <c r="DO16" s="113">
        <f t="shared" si="38"/>
        <v>0</v>
      </c>
      <c r="DP16" s="113">
        <f t="shared" si="39"/>
        <v>0</v>
      </c>
      <c r="DQ16" s="113">
        <f t="shared" si="40"/>
        <v>0</v>
      </c>
      <c r="DR16" s="113">
        <f t="shared" si="41"/>
        <v>0</v>
      </c>
      <c r="DS16" s="113">
        <f t="shared" si="42"/>
        <v>0</v>
      </c>
      <c r="DT16" s="113">
        <f t="shared" si="43"/>
        <v>0</v>
      </c>
      <c r="DU16" s="113">
        <f t="shared" si="43"/>
        <v>0</v>
      </c>
    </row>
    <row r="17" spans="1:125">
      <c r="A17" s="15">
        <v>10</v>
      </c>
      <c r="B17" s="96" t="s">
        <v>751</v>
      </c>
      <c r="C17" s="7" t="s">
        <v>762</v>
      </c>
      <c r="D17" s="96" t="s">
        <v>763</v>
      </c>
      <c r="E17" s="185" t="s">
        <v>1164</v>
      </c>
      <c r="F17" s="161">
        <f t="shared" si="5"/>
        <v>0</v>
      </c>
      <c r="G17" s="161">
        <f t="shared" si="44"/>
        <v>1308.6500000000001</v>
      </c>
      <c r="H17" s="161">
        <f t="shared" si="45"/>
        <v>-1308.6500000000001</v>
      </c>
      <c r="I17" s="161">
        <f t="shared" si="6"/>
        <v>0</v>
      </c>
      <c r="J17" s="165">
        <f t="shared" si="7"/>
        <v>0</v>
      </c>
      <c r="K17" s="115"/>
      <c r="L17" s="211">
        <v>0</v>
      </c>
      <c r="M17" s="211">
        <v>0</v>
      </c>
      <c r="N17" s="127">
        <f t="shared" si="8"/>
        <v>0</v>
      </c>
      <c r="O17" s="127">
        <f t="shared" si="9"/>
        <v>0</v>
      </c>
      <c r="P17" s="127">
        <f t="shared" si="10"/>
        <v>0</v>
      </c>
      <c r="Q17" s="131">
        <f t="shared" si="46"/>
        <v>0</v>
      </c>
      <c r="R17" s="125">
        <f t="shared" si="11"/>
        <v>1308.6500000000001</v>
      </c>
      <c r="S17" s="113">
        <v>0</v>
      </c>
      <c r="T17" s="113"/>
      <c r="U17" s="113">
        <f t="shared" si="12"/>
        <v>0</v>
      </c>
      <c r="V17" s="113">
        <f t="shared" si="13"/>
        <v>0</v>
      </c>
      <c r="W17" s="113">
        <v>0</v>
      </c>
      <c r="X17" s="113">
        <v>0</v>
      </c>
      <c r="Y17" s="113">
        <v>0</v>
      </c>
      <c r="Z17" s="113">
        <v>0</v>
      </c>
      <c r="AA17" s="113">
        <f t="shared" si="14"/>
        <v>0</v>
      </c>
      <c r="AB17" s="113">
        <f t="shared" si="14"/>
        <v>0</v>
      </c>
      <c r="AC17" s="113"/>
      <c r="AD17" s="113"/>
      <c r="AE17" s="113"/>
      <c r="AF17" s="113"/>
      <c r="AG17" s="113">
        <f t="shared" si="15"/>
        <v>0</v>
      </c>
      <c r="AH17" s="113">
        <f t="shared" si="15"/>
        <v>0</v>
      </c>
      <c r="AI17" s="114">
        <f t="shared" si="16"/>
        <v>0</v>
      </c>
      <c r="AJ17" s="114">
        <f t="shared" si="17"/>
        <v>0</v>
      </c>
      <c r="AK17" s="114">
        <f t="shared" si="17"/>
        <v>0</v>
      </c>
      <c r="AL17" s="114">
        <f t="shared" si="18"/>
        <v>0</v>
      </c>
      <c r="AM17" s="113">
        <f t="shared" si="19"/>
        <v>0</v>
      </c>
      <c r="AN17" s="113">
        <f t="shared" si="19"/>
        <v>0</v>
      </c>
      <c r="AO17" s="113"/>
      <c r="AP17" s="113"/>
      <c r="AQ17" s="113"/>
      <c r="AR17" s="113"/>
      <c r="AS17" s="113">
        <f t="shared" si="20"/>
        <v>0</v>
      </c>
      <c r="AT17" s="113">
        <f t="shared" si="20"/>
        <v>0</v>
      </c>
      <c r="AU17" s="113"/>
      <c r="AV17" s="113"/>
      <c r="AW17" s="113"/>
      <c r="AX17" s="113"/>
      <c r="AY17" s="113">
        <f t="shared" si="21"/>
        <v>0</v>
      </c>
      <c r="AZ17" s="113">
        <f t="shared" si="21"/>
        <v>0</v>
      </c>
      <c r="BA17" s="113"/>
      <c r="BB17" s="113"/>
      <c r="BC17" s="113"/>
      <c r="BD17" s="113"/>
      <c r="BE17" s="113">
        <f t="shared" si="22"/>
        <v>0</v>
      </c>
      <c r="BF17" s="113"/>
      <c r="BG17" s="113">
        <f t="shared" si="23"/>
        <v>0</v>
      </c>
      <c r="BH17" s="113"/>
      <c r="BI17" s="113"/>
      <c r="BJ17" s="113"/>
      <c r="BK17" s="113"/>
      <c r="BL17" s="113">
        <f t="shared" si="24"/>
        <v>0</v>
      </c>
      <c r="BM17" s="113"/>
      <c r="BN17" s="113">
        <f t="shared" si="25"/>
        <v>0</v>
      </c>
      <c r="BO17" s="113"/>
      <c r="BP17" s="113"/>
      <c r="BQ17" s="113"/>
      <c r="BR17" s="113"/>
      <c r="BS17" s="113">
        <f t="shared" si="26"/>
        <v>0</v>
      </c>
      <c r="BT17" s="113"/>
      <c r="BU17" s="113">
        <f t="shared" si="27"/>
        <v>0</v>
      </c>
      <c r="BV17" s="113"/>
      <c r="BW17" s="113"/>
      <c r="BX17" s="113"/>
      <c r="BY17" s="113"/>
      <c r="BZ17" s="113">
        <f t="shared" si="28"/>
        <v>0</v>
      </c>
      <c r="CA17" s="113"/>
      <c r="CB17" s="113">
        <f t="shared" si="29"/>
        <v>0</v>
      </c>
      <c r="CC17" s="113"/>
      <c r="CD17" s="113"/>
      <c r="CE17" s="113"/>
      <c r="CF17" s="113">
        <v>1308.6500000000001</v>
      </c>
      <c r="CG17" s="113">
        <f t="shared" si="30"/>
        <v>0</v>
      </c>
      <c r="CH17" s="113"/>
      <c r="CI17" s="113">
        <f t="shared" si="31"/>
        <v>1308.6500000000001</v>
      </c>
      <c r="CJ17" s="113"/>
      <c r="CK17" s="113"/>
      <c r="CL17" s="113"/>
      <c r="CM17" s="113"/>
      <c r="CN17" s="113">
        <f t="shared" si="32"/>
        <v>0</v>
      </c>
      <c r="CO17" s="113"/>
      <c r="CP17" s="113">
        <f t="shared" si="33"/>
        <v>0</v>
      </c>
      <c r="CQ17" s="113"/>
      <c r="CR17" s="113"/>
      <c r="CS17" s="113"/>
      <c r="CT17" s="113"/>
      <c r="CU17" s="113">
        <f t="shared" si="34"/>
        <v>0</v>
      </c>
      <c r="CV17" s="113"/>
      <c r="CW17" s="113">
        <f t="shared" si="35"/>
        <v>0</v>
      </c>
      <c r="CX17" s="113"/>
      <c r="CY17" s="113"/>
      <c r="CZ17" s="113"/>
      <c r="DA17" s="113"/>
      <c r="DB17" s="113">
        <f t="shared" si="36"/>
        <v>0</v>
      </c>
      <c r="DC17" s="113">
        <f t="shared" si="36"/>
        <v>0</v>
      </c>
      <c r="DD17" s="113"/>
      <c r="DE17" s="113"/>
      <c r="DF17" s="113"/>
      <c r="DG17" s="113"/>
      <c r="DH17" s="113">
        <f t="shared" si="37"/>
        <v>0</v>
      </c>
      <c r="DI17" s="113">
        <f t="shared" si="37"/>
        <v>0</v>
      </c>
      <c r="DJ17" s="113"/>
      <c r="DK17" s="113"/>
      <c r="DL17" s="113"/>
      <c r="DM17" s="113"/>
      <c r="DN17" s="113">
        <f t="shared" si="38"/>
        <v>0</v>
      </c>
      <c r="DO17" s="113">
        <f t="shared" si="38"/>
        <v>0</v>
      </c>
      <c r="DP17" s="113">
        <f t="shared" si="39"/>
        <v>0</v>
      </c>
      <c r="DQ17" s="113">
        <f t="shared" si="40"/>
        <v>0</v>
      </c>
      <c r="DR17" s="113">
        <f t="shared" si="41"/>
        <v>0</v>
      </c>
      <c r="DS17" s="113">
        <f t="shared" si="42"/>
        <v>1308.6500000000001</v>
      </c>
      <c r="DT17" s="113">
        <f t="shared" si="43"/>
        <v>0</v>
      </c>
      <c r="DU17" s="113">
        <f t="shared" si="43"/>
        <v>1308.6500000000001</v>
      </c>
    </row>
    <row r="18" spans="1:125">
      <c r="A18" s="15">
        <v>11</v>
      </c>
      <c r="B18" s="96" t="s">
        <v>751</v>
      </c>
      <c r="C18" s="112" t="s">
        <v>762</v>
      </c>
      <c r="D18" s="96" t="s">
        <v>764</v>
      </c>
      <c r="E18" s="185" t="s">
        <v>1165</v>
      </c>
      <c r="F18" s="161">
        <f t="shared" si="5"/>
        <v>12000</v>
      </c>
      <c r="G18" s="161">
        <f t="shared" si="44"/>
        <v>26949.88</v>
      </c>
      <c r="H18" s="161">
        <f t="shared" si="45"/>
        <v>-14949.880000000001</v>
      </c>
      <c r="I18" s="161">
        <f t="shared" si="6"/>
        <v>12000</v>
      </c>
      <c r="J18" s="165">
        <f t="shared" si="7"/>
        <v>12000</v>
      </c>
      <c r="K18" s="115">
        <v>3120</v>
      </c>
      <c r="L18" s="211">
        <v>0</v>
      </c>
      <c r="M18" s="211">
        <v>0</v>
      </c>
      <c r="N18" s="127">
        <f t="shared" si="8"/>
        <v>0</v>
      </c>
      <c r="O18" s="127">
        <f t="shared" si="9"/>
        <v>0</v>
      </c>
      <c r="P18" s="127">
        <f t="shared" si="10"/>
        <v>0</v>
      </c>
      <c r="Q18" s="131">
        <f t="shared" si="46"/>
        <v>12000</v>
      </c>
      <c r="R18" s="125">
        <f t="shared" si="11"/>
        <v>26949.88</v>
      </c>
      <c r="S18" s="113">
        <v>0</v>
      </c>
      <c r="T18" s="113"/>
      <c r="U18" s="113">
        <f t="shared" si="12"/>
        <v>0</v>
      </c>
      <c r="V18" s="113">
        <f t="shared" si="13"/>
        <v>0</v>
      </c>
      <c r="W18" s="113">
        <v>0</v>
      </c>
      <c r="X18" s="113">
        <v>0</v>
      </c>
      <c r="Y18" s="113">
        <v>0</v>
      </c>
      <c r="Z18" s="113">
        <v>0</v>
      </c>
      <c r="AA18" s="113">
        <f t="shared" si="14"/>
        <v>0</v>
      </c>
      <c r="AB18" s="113">
        <f t="shared" si="14"/>
        <v>0</v>
      </c>
      <c r="AC18" s="113"/>
      <c r="AD18" s="113"/>
      <c r="AE18" s="113"/>
      <c r="AF18" s="113"/>
      <c r="AG18" s="113">
        <f t="shared" si="15"/>
        <v>0</v>
      </c>
      <c r="AH18" s="113">
        <f t="shared" si="15"/>
        <v>0</v>
      </c>
      <c r="AI18" s="114">
        <f t="shared" si="16"/>
        <v>0</v>
      </c>
      <c r="AJ18" s="114">
        <f t="shared" si="17"/>
        <v>0</v>
      </c>
      <c r="AK18" s="114">
        <f t="shared" si="17"/>
        <v>0</v>
      </c>
      <c r="AL18" s="114">
        <f t="shared" si="18"/>
        <v>0</v>
      </c>
      <c r="AM18" s="113">
        <f t="shared" si="19"/>
        <v>0</v>
      </c>
      <c r="AN18" s="113">
        <f t="shared" si="19"/>
        <v>0</v>
      </c>
      <c r="AO18" s="113"/>
      <c r="AP18" s="113"/>
      <c r="AQ18" s="113"/>
      <c r="AR18" s="113"/>
      <c r="AS18" s="113">
        <f t="shared" si="20"/>
        <v>0</v>
      </c>
      <c r="AT18" s="113">
        <f t="shared" si="20"/>
        <v>0</v>
      </c>
      <c r="AU18" s="113"/>
      <c r="AV18" s="113"/>
      <c r="AW18" s="113">
        <v>12000</v>
      </c>
      <c r="AX18" s="113"/>
      <c r="AY18" s="113">
        <f t="shared" si="21"/>
        <v>12000</v>
      </c>
      <c r="AZ18" s="113">
        <f t="shared" si="21"/>
        <v>0</v>
      </c>
      <c r="BA18" s="113"/>
      <c r="BB18" s="113"/>
      <c r="BC18" s="113"/>
      <c r="BD18" s="113"/>
      <c r="BE18" s="113">
        <f t="shared" si="22"/>
        <v>0</v>
      </c>
      <c r="BF18" s="113"/>
      <c r="BG18" s="113">
        <f t="shared" si="23"/>
        <v>0</v>
      </c>
      <c r="BH18" s="113"/>
      <c r="BI18" s="113"/>
      <c r="BJ18" s="113"/>
      <c r="BK18" s="113"/>
      <c r="BL18" s="113">
        <f t="shared" si="24"/>
        <v>0</v>
      </c>
      <c r="BM18" s="113"/>
      <c r="BN18" s="113">
        <f t="shared" si="25"/>
        <v>0</v>
      </c>
      <c r="BO18" s="113"/>
      <c r="BP18" s="113"/>
      <c r="BQ18" s="113"/>
      <c r="BR18" s="113"/>
      <c r="BS18" s="113">
        <f t="shared" si="26"/>
        <v>0</v>
      </c>
      <c r="BT18" s="113">
        <v>12000</v>
      </c>
      <c r="BU18" s="113">
        <f t="shared" si="27"/>
        <v>0</v>
      </c>
      <c r="BV18" s="113"/>
      <c r="BW18" s="113"/>
      <c r="BX18" s="113"/>
      <c r="BY18" s="113"/>
      <c r="BZ18" s="113">
        <f t="shared" si="28"/>
        <v>0</v>
      </c>
      <c r="CA18" s="113"/>
      <c r="CB18" s="113">
        <f t="shared" si="29"/>
        <v>0</v>
      </c>
      <c r="CC18" s="113"/>
      <c r="CD18" s="113">
        <v>22000</v>
      </c>
      <c r="CE18" s="113"/>
      <c r="CF18" s="113"/>
      <c r="CG18" s="113">
        <f t="shared" si="30"/>
        <v>0</v>
      </c>
      <c r="CH18" s="113"/>
      <c r="CI18" s="113">
        <f t="shared" si="31"/>
        <v>22000</v>
      </c>
      <c r="CJ18" s="113"/>
      <c r="CK18" s="113"/>
      <c r="CL18" s="113"/>
      <c r="CM18" s="113">
        <v>4949.88</v>
      </c>
      <c r="CN18" s="113">
        <f t="shared" si="32"/>
        <v>0</v>
      </c>
      <c r="CO18" s="113"/>
      <c r="CP18" s="113">
        <f t="shared" si="33"/>
        <v>4949.88</v>
      </c>
      <c r="CQ18" s="113"/>
      <c r="CR18" s="113"/>
      <c r="CS18" s="113"/>
      <c r="CT18" s="113"/>
      <c r="CU18" s="113">
        <f t="shared" si="34"/>
        <v>0</v>
      </c>
      <c r="CV18" s="113"/>
      <c r="CW18" s="113">
        <f t="shared" si="35"/>
        <v>0</v>
      </c>
      <c r="CX18" s="113"/>
      <c r="CY18" s="113"/>
      <c r="CZ18" s="113"/>
      <c r="DA18" s="113"/>
      <c r="DB18" s="113">
        <f t="shared" si="36"/>
        <v>0</v>
      </c>
      <c r="DC18" s="113">
        <f t="shared" si="36"/>
        <v>0</v>
      </c>
      <c r="DD18" s="113"/>
      <c r="DE18" s="113"/>
      <c r="DF18" s="113"/>
      <c r="DG18" s="113"/>
      <c r="DH18" s="113">
        <f t="shared" si="37"/>
        <v>0</v>
      </c>
      <c r="DI18" s="113">
        <f t="shared" si="37"/>
        <v>0</v>
      </c>
      <c r="DJ18" s="113"/>
      <c r="DK18" s="113"/>
      <c r="DL18" s="113"/>
      <c r="DM18" s="113"/>
      <c r="DN18" s="113">
        <f t="shared" si="38"/>
        <v>0</v>
      </c>
      <c r="DO18" s="113">
        <f t="shared" si="38"/>
        <v>0</v>
      </c>
      <c r="DP18" s="113">
        <f t="shared" si="39"/>
        <v>0</v>
      </c>
      <c r="DQ18" s="113">
        <f t="shared" si="40"/>
        <v>22000</v>
      </c>
      <c r="DR18" s="113">
        <f t="shared" si="41"/>
        <v>12000</v>
      </c>
      <c r="DS18" s="113">
        <f t="shared" si="42"/>
        <v>4949.88</v>
      </c>
      <c r="DT18" s="113">
        <f t="shared" si="43"/>
        <v>12000</v>
      </c>
      <c r="DU18" s="113">
        <f t="shared" si="43"/>
        <v>26949.88</v>
      </c>
    </row>
    <row r="19" spans="1:125">
      <c r="A19" s="15">
        <v>12</v>
      </c>
      <c r="B19" s="96" t="s">
        <v>751</v>
      </c>
      <c r="C19" s="7" t="s">
        <v>765</v>
      </c>
      <c r="D19" s="96" t="s">
        <v>766</v>
      </c>
      <c r="E19" s="186" t="s">
        <v>1164</v>
      </c>
      <c r="F19" s="161">
        <f t="shared" si="5"/>
        <v>0</v>
      </c>
      <c r="G19" s="161">
        <f t="shared" si="44"/>
        <v>0</v>
      </c>
      <c r="H19" s="161">
        <f t="shared" si="45"/>
        <v>0</v>
      </c>
      <c r="I19" s="161">
        <f t="shared" si="6"/>
        <v>0</v>
      </c>
      <c r="J19" s="165">
        <f t="shared" si="7"/>
        <v>0</v>
      </c>
      <c r="K19" s="115"/>
      <c r="L19" s="211">
        <v>0</v>
      </c>
      <c r="M19" s="211">
        <v>0</v>
      </c>
      <c r="N19" s="127">
        <f t="shared" si="8"/>
        <v>0</v>
      </c>
      <c r="O19" s="127">
        <f t="shared" si="9"/>
        <v>0</v>
      </c>
      <c r="P19" s="127">
        <f t="shared" si="10"/>
        <v>0</v>
      </c>
      <c r="Q19" s="131">
        <f t="shared" si="46"/>
        <v>0</v>
      </c>
      <c r="R19" s="125" t="str">
        <f t="shared" si="11"/>
        <v>ნულოვანი შესრულება</v>
      </c>
      <c r="S19" s="113">
        <v>0</v>
      </c>
      <c r="T19" s="113"/>
      <c r="U19" s="113">
        <f t="shared" si="12"/>
        <v>0</v>
      </c>
      <c r="V19" s="113">
        <f t="shared" si="13"/>
        <v>0</v>
      </c>
      <c r="W19" s="113">
        <v>0</v>
      </c>
      <c r="X19" s="113">
        <v>0</v>
      </c>
      <c r="Y19" s="113">
        <v>0</v>
      </c>
      <c r="Z19" s="113">
        <v>0</v>
      </c>
      <c r="AA19" s="113">
        <f t="shared" si="14"/>
        <v>0</v>
      </c>
      <c r="AB19" s="113">
        <f t="shared" si="14"/>
        <v>0</v>
      </c>
      <c r="AC19" s="113"/>
      <c r="AD19" s="113"/>
      <c r="AE19" s="113"/>
      <c r="AF19" s="113"/>
      <c r="AG19" s="113">
        <f t="shared" si="15"/>
        <v>0</v>
      </c>
      <c r="AH19" s="113">
        <f t="shared" si="15"/>
        <v>0</v>
      </c>
      <c r="AI19" s="114">
        <f t="shared" si="16"/>
        <v>0</v>
      </c>
      <c r="AJ19" s="114">
        <f t="shared" si="17"/>
        <v>0</v>
      </c>
      <c r="AK19" s="114">
        <f t="shared" si="17"/>
        <v>0</v>
      </c>
      <c r="AL19" s="114">
        <f t="shared" si="18"/>
        <v>0</v>
      </c>
      <c r="AM19" s="113">
        <f t="shared" si="19"/>
        <v>0</v>
      </c>
      <c r="AN19" s="113">
        <f t="shared" si="19"/>
        <v>0</v>
      </c>
      <c r="AO19" s="113"/>
      <c r="AP19" s="113"/>
      <c r="AQ19" s="113"/>
      <c r="AR19" s="113"/>
      <c r="AS19" s="113">
        <f t="shared" si="20"/>
        <v>0</v>
      </c>
      <c r="AT19" s="113">
        <f t="shared" si="20"/>
        <v>0</v>
      </c>
      <c r="AU19" s="113"/>
      <c r="AV19" s="113"/>
      <c r="AW19" s="113"/>
      <c r="AX19" s="113"/>
      <c r="AY19" s="113">
        <f t="shared" si="21"/>
        <v>0</v>
      </c>
      <c r="AZ19" s="113">
        <f t="shared" si="21"/>
        <v>0</v>
      </c>
      <c r="BA19" s="113"/>
      <c r="BB19" s="113"/>
      <c r="BC19" s="113"/>
      <c r="BD19" s="113"/>
      <c r="BE19" s="113">
        <f t="shared" si="22"/>
        <v>0</v>
      </c>
      <c r="BF19" s="113"/>
      <c r="BG19" s="113">
        <f t="shared" si="23"/>
        <v>0</v>
      </c>
      <c r="BH19" s="113"/>
      <c r="BI19" s="113"/>
      <c r="BJ19" s="113"/>
      <c r="BK19" s="113"/>
      <c r="BL19" s="113">
        <f t="shared" si="24"/>
        <v>0</v>
      </c>
      <c r="BM19" s="113"/>
      <c r="BN19" s="113">
        <f t="shared" si="25"/>
        <v>0</v>
      </c>
      <c r="BO19" s="113"/>
      <c r="BP19" s="113"/>
      <c r="BQ19" s="113"/>
      <c r="BR19" s="113"/>
      <c r="BS19" s="113">
        <f t="shared" si="26"/>
        <v>0</v>
      </c>
      <c r="BT19" s="113"/>
      <c r="BU19" s="113">
        <f t="shared" si="27"/>
        <v>0</v>
      </c>
      <c r="BV19" s="113"/>
      <c r="BW19" s="113"/>
      <c r="BX19" s="113"/>
      <c r="BY19" s="113"/>
      <c r="BZ19" s="113">
        <f t="shared" si="28"/>
        <v>0</v>
      </c>
      <c r="CA19" s="113"/>
      <c r="CB19" s="113">
        <f t="shared" si="29"/>
        <v>0</v>
      </c>
      <c r="CC19" s="113"/>
      <c r="CD19" s="113"/>
      <c r="CE19" s="113"/>
      <c r="CF19" s="113"/>
      <c r="CG19" s="113">
        <f t="shared" si="30"/>
        <v>0</v>
      </c>
      <c r="CH19" s="113"/>
      <c r="CI19" s="113">
        <f t="shared" si="31"/>
        <v>0</v>
      </c>
      <c r="CJ19" s="113"/>
      <c r="CK19" s="113"/>
      <c r="CL19" s="113"/>
      <c r="CM19" s="113"/>
      <c r="CN19" s="113">
        <f t="shared" si="32"/>
        <v>0</v>
      </c>
      <c r="CO19" s="113"/>
      <c r="CP19" s="113">
        <f t="shared" si="33"/>
        <v>0</v>
      </c>
      <c r="CQ19" s="113"/>
      <c r="CR19" s="113"/>
      <c r="CS19" s="113"/>
      <c r="CT19" s="113"/>
      <c r="CU19" s="113">
        <f t="shared" si="34"/>
        <v>0</v>
      </c>
      <c r="CV19" s="113"/>
      <c r="CW19" s="113">
        <f t="shared" si="35"/>
        <v>0</v>
      </c>
      <c r="CX19" s="113"/>
      <c r="CY19" s="113"/>
      <c r="CZ19" s="113"/>
      <c r="DA19" s="113"/>
      <c r="DB19" s="113">
        <f t="shared" si="36"/>
        <v>0</v>
      </c>
      <c r="DC19" s="113">
        <f t="shared" si="36"/>
        <v>0</v>
      </c>
      <c r="DD19" s="113"/>
      <c r="DE19" s="113"/>
      <c r="DF19" s="113"/>
      <c r="DG19" s="113"/>
      <c r="DH19" s="113">
        <f t="shared" si="37"/>
        <v>0</v>
      </c>
      <c r="DI19" s="113">
        <f t="shared" si="37"/>
        <v>0</v>
      </c>
      <c r="DJ19" s="113"/>
      <c r="DK19" s="113"/>
      <c r="DL19" s="113"/>
      <c r="DM19" s="113"/>
      <c r="DN19" s="113">
        <f t="shared" si="38"/>
        <v>0</v>
      </c>
      <c r="DO19" s="113">
        <f t="shared" si="38"/>
        <v>0</v>
      </c>
      <c r="DP19" s="113">
        <f t="shared" si="39"/>
        <v>0</v>
      </c>
      <c r="DQ19" s="113">
        <f t="shared" si="40"/>
        <v>0</v>
      </c>
      <c r="DR19" s="113">
        <f t="shared" si="41"/>
        <v>0</v>
      </c>
      <c r="DS19" s="113">
        <f t="shared" si="42"/>
        <v>0</v>
      </c>
      <c r="DT19" s="113">
        <f t="shared" si="43"/>
        <v>0</v>
      </c>
      <c r="DU19" s="113">
        <f t="shared" si="43"/>
        <v>0</v>
      </c>
    </row>
    <row r="20" spans="1:125" s="333" customFormat="1">
      <c r="A20" s="328">
        <v>13</v>
      </c>
      <c r="B20" s="329" t="s">
        <v>751</v>
      </c>
      <c r="C20" s="330" t="s">
        <v>765</v>
      </c>
      <c r="D20" s="329" t="s">
        <v>767</v>
      </c>
      <c r="E20" s="329" t="s">
        <v>1165</v>
      </c>
      <c r="F20" s="261">
        <f t="shared" si="5"/>
        <v>20000</v>
      </c>
      <c r="G20" s="261">
        <f t="shared" ref="G20" si="47">AT20+AZ20+BG20+BN20+BU20+CB20+CI20+CP20+CW20+DC20+DI20+DO20</f>
        <v>0</v>
      </c>
      <c r="H20" s="161">
        <f t="shared" si="45"/>
        <v>20000</v>
      </c>
      <c r="I20" s="161">
        <f t="shared" si="6"/>
        <v>0</v>
      </c>
      <c r="J20" s="262">
        <f t="shared" si="7"/>
        <v>20000</v>
      </c>
      <c r="K20" s="331">
        <v>16600</v>
      </c>
      <c r="L20" s="211">
        <v>0</v>
      </c>
      <c r="M20" s="211">
        <v>0</v>
      </c>
      <c r="N20" s="261">
        <f t="shared" si="8"/>
        <v>0</v>
      </c>
      <c r="O20" s="261">
        <f t="shared" si="9"/>
        <v>0</v>
      </c>
      <c r="P20" s="261">
        <f t="shared" si="10"/>
        <v>0</v>
      </c>
      <c r="Q20" s="261">
        <f t="shared" si="46"/>
        <v>20000</v>
      </c>
      <c r="R20" s="261" t="str">
        <f t="shared" si="11"/>
        <v>ნულოვანი შესრულება</v>
      </c>
      <c r="S20" s="113">
        <v>0</v>
      </c>
      <c r="T20" s="113"/>
      <c r="U20" s="113">
        <f t="shared" si="12"/>
        <v>0</v>
      </c>
      <c r="V20" s="113">
        <f t="shared" si="13"/>
        <v>0</v>
      </c>
      <c r="W20" s="113">
        <v>0</v>
      </c>
      <c r="X20" s="113">
        <v>0</v>
      </c>
      <c r="Y20" s="113">
        <v>0</v>
      </c>
      <c r="Z20" s="113">
        <v>0</v>
      </c>
      <c r="AA20" s="113">
        <f t="shared" si="14"/>
        <v>0</v>
      </c>
      <c r="AB20" s="113">
        <f t="shared" si="14"/>
        <v>0</v>
      </c>
      <c r="AC20" s="113"/>
      <c r="AD20" s="113"/>
      <c r="AE20" s="113"/>
      <c r="AF20" s="113"/>
      <c r="AG20" s="113">
        <f t="shared" si="15"/>
        <v>0</v>
      </c>
      <c r="AH20" s="113">
        <f t="shared" si="15"/>
        <v>0</v>
      </c>
      <c r="AI20" s="114">
        <f t="shared" si="16"/>
        <v>0</v>
      </c>
      <c r="AJ20" s="114">
        <f t="shared" si="17"/>
        <v>0</v>
      </c>
      <c r="AK20" s="114">
        <f t="shared" si="17"/>
        <v>0</v>
      </c>
      <c r="AL20" s="114">
        <f t="shared" si="18"/>
        <v>0</v>
      </c>
      <c r="AM20" s="113">
        <f t="shared" si="19"/>
        <v>0</v>
      </c>
      <c r="AN20" s="113">
        <f t="shared" si="19"/>
        <v>0</v>
      </c>
      <c r="AO20" s="332"/>
      <c r="AP20" s="332"/>
      <c r="AQ20" s="332"/>
      <c r="AR20" s="332"/>
      <c r="AS20" s="332">
        <f t="shared" si="20"/>
        <v>0</v>
      </c>
      <c r="AT20" s="332">
        <f t="shared" si="20"/>
        <v>0</v>
      </c>
      <c r="AU20" s="332"/>
      <c r="AV20" s="332"/>
      <c r="AW20" s="332"/>
      <c r="AX20" s="332"/>
      <c r="AY20" s="332">
        <f t="shared" si="21"/>
        <v>0</v>
      </c>
      <c r="AZ20" s="332">
        <f t="shared" si="21"/>
        <v>0</v>
      </c>
      <c r="BA20" s="332"/>
      <c r="BB20" s="332"/>
      <c r="BC20" s="332"/>
      <c r="BD20" s="332"/>
      <c r="BE20" s="332">
        <f t="shared" si="22"/>
        <v>0</v>
      </c>
      <c r="BF20" s="332"/>
      <c r="BG20" s="332">
        <f t="shared" si="23"/>
        <v>0</v>
      </c>
      <c r="BH20" s="332"/>
      <c r="BI20" s="332"/>
      <c r="BJ20" s="332"/>
      <c r="BK20" s="332"/>
      <c r="BL20" s="332">
        <f t="shared" si="24"/>
        <v>0</v>
      </c>
      <c r="BM20" s="332"/>
      <c r="BN20" s="332">
        <f t="shared" si="25"/>
        <v>0</v>
      </c>
      <c r="BO20" s="332"/>
      <c r="BP20" s="332"/>
      <c r="BQ20" s="332">
        <v>20000</v>
      </c>
      <c r="BR20" s="332"/>
      <c r="BS20" s="332">
        <f t="shared" si="26"/>
        <v>20000</v>
      </c>
      <c r="BT20" s="332"/>
      <c r="BU20" s="332">
        <f t="shared" si="27"/>
        <v>0</v>
      </c>
      <c r="BV20" s="332"/>
      <c r="BW20" s="332"/>
      <c r="BX20" s="332"/>
      <c r="BY20" s="332"/>
      <c r="BZ20" s="332">
        <f t="shared" si="28"/>
        <v>0</v>
      </c>
      <c r="CA20" s="332"/>
      <c r="CB20" s="332">
        <f t="shared" si="29"/>
        <v>0</v>
      </c>
      <c r="CC20" s="332"/>
      <c r="CD20" s="332"/>
      <c r="CE20" s="332"/>
      <c r="CF20" s="332"/>
      <c r="CG20" s="332">
        <f t="shared" si="30"/>
        <v>0</v>
      </c>
      <c r="CH20" s="332"/>
      <c r="CI20" s="332">
        <f t="shared" si="31"/>
        <v>0</v>
      </c>
      <c r="CJ20" s="332"/>
      <c r="CK20" s="332"/>
      <c r="CL20" s="332"/>
      <c r="CM20" s="332"/>
      <c r="CN20" s="332">
        <f t="shared" si="32"/>
        <v>0</v>
      </c>
      <c r="CO20" s="332"/>
      <c r="CP20" s="332">
        <f t="shared" si="33"/>
        <v>0</v>
      </c>
      <c r="CQ20" s="332"/>
      <c r="CR20" s="332"/>
      <c r="CS20" s="332"/>
      <c r="CT20" s="332"/>
      <c r="CU20" s="332">
        <f t="shared" si="34"/>
        <v>0</v>
      </c>
      <c r="CV20" s="332"/>
      <c r="CW20" s="332">
        <f t="shared" si="35"/>
        <v>0</v>
      </c>
      <c r="CX20" s="332"/>
      <c r="CY20" s="332"/>
      <c r="CZ20" s="332"/>
      <c r="DA20" s="332"/>
      <c r="DB20" s="332">
        <f t="shared" si="36"/>
        <v>0</v>
      </c>
      <c r="DC20" s="332">
        <f t="shared" si="36"/>
        <v>0</v>
      </c>
      <c r="DD20" s="332"/>
      <c r="DE20" s="332"/>
      <c r="DF20" s="332"/>
      <c r="DG20" s="332"/>
      <c r="DH20" s="332">
        <f t="shared" si="37"/>
        <v>0</v>
      </c>
      <c r="DI20" s="332">
        <f t="shared" si="37"/>
        <v>0</v>
      </c>
      <c r="DJ20" s="332"/>
      <c r="DK20" s="332"/>
      <c r="DL20" s="332"/>
      <c r="DM20" s="332"/>
      <c r="DN20" s="332">
        <f t="shared" si="38"/>
        <v>0</v>
      </c>
      <c r="DO20" s="332">
        <f t="shared" si="38"/>
        <v>0</v>
      </c>
      <c r="DP20" s="332">
        <f t="shared" si="39"/>
        <v>0</v>
      </c>
      <c r="DQ20" s="332">
        <f t="shared" si="40"/>
        <v>0</v>
      </c>
      <c r="DR20" s="332">
        <f t="shared" si="41"/>
        <v>20000</v>
      </c>
      <c r="DS20" s="332">
        <f t="shared" si="42"/>
        <v>0</v>
      </c>
      <c r="DT20" s="332">
        <f t="shared" si="43"/>
        <v>20000</v>
      </c>
      <c r="DU20" s="332">
        <f t="shared" si="43"/>
        <v>0</v>
      </c>
    </row>
    <row r="21" spans="1:125">
      <c r="A21" s="15">
        <v>14</v>
      </c>
      <c r="B21" s="96" t="s">
        <v>751</v>
      </c>
      <c r="C21" s="7" t="s">
        <v>768</v>
      </c>
      <c r="D21" s="96" t="s">
        <v>769</v>
      </c>
      <c r="E21" s="185" t="s">
        <v>1164</v>
      </c>
      <c r="F21" s="161">
        <f t="shared" si="5"/>
        <v>0</v>
      </c>
      <c r="G21" s="161">
        <f t="shared" si="44"/>
        <v>0</v>
      </c>
      <c r="H21" s="161">
        <f t="shared" si="45"/>
        <v>0</v>
      </c>
      <c r="I21" s="161">
        <f t="shared" si="6"/>
        <v>0</v>
      </c>
      <c r="J21" s="165">
        <f t="shared" si="7"/>
        <v>0</v>
      </c>
      <c r="K21" s="115"/>
      <c r="L21" s="211">
        <v>0</v>
      </c>
      <c r="M21" s="211">
        <v>0</v>
      </c>
      <c r="N21" s="127">
        <f t="shared" si="8"/>
        <v>0</v>
      </c>
      <c r="O21" s="127">
        <f t="shared" si="9"/>
        <v>0</v>
      </c>
      <c r="P21" s="127">
        <f t="shared" si="10"/>
        <v>0</v>
      </c>
      <c r="Q21" s="131">
        <f t="shared" si="46"/>
        <v>0</v>
      </c>
      <c r="R21" s="125" t="str">
        <f t="shared" si="11"/>
        <v>ნულოვანი შესრულება</v>
      </c>
      <c r="S21" s="113">
        <v>0</v>
      </c>
      <c r="T21" s="113"/>
      <c r="U21" s="113">
        <f t="shared" si="12"/>
        <v>0</v>
      </c>
      <c r="V21" s="113">
        <f t="shared" si="13"/>
        <v>0</v>
      </c>
      <c r="W21" s="113">
        <v>0</v>
      </c>
      <c r="X21" s="113">
        <v>0</v>
      </c>
      <c r="Y21" s="113">
        <v>0</v>
      </c>
      <c r="Z21" s="113">
        <v>0</v>
      </c>
      <c r="AA21" s="113">
        <f t="shared" si="14"/>
        <v>0</v>
      </c>
      <c r="AB21" s="113">
        <f t="shared" si="14"/>
        <v>0</v>
      </c>
      <c r="AC21" s="113"/>
      <c r="AD21" s="113"/>
      <c r="AE21" s="113"/>
      <c r="AF21" s="113"/>
      <c r="AG21" s="113">
        <f t="shared" si="15"/>
        <v>0</v>
      </c>
      <c r="AH21" s="113">
        <f t="shared" si="15"/>
        <v>0</v>
      </c>
      <c r="AI21" s="114">
        <f t="shared" si="16"/>
        <v>0</v>
      </c>
      <c r="AJ21" s="114">
        <f t="shared" si="17"/>
        <v>0</v>
      </c>
      <c r="AK21" s="114">
        <f t="shared" si="17"/>
        <v>0</v>
      </c>
      <c r="AL21" s="114">
        <f t="shared" si="18"/>
        <v>0</v>
      </c>
      <c r="AM21" s="113">
        <f t="shared" si="19"/>
        <v>0</v>
      </c>
      <c r="AN21" s="113">
        <f t="shared" si="19"/>
        <v>0</v>
      </c>
      <c r="AO21" s="113"/>
      <c r="AP21" s="113"/>
      <c r="AQ21" s="113"/>
      <c r="AR21" s="113"/>
      <c r="AS21" s="113">
        <f t="shared" si="20"/>
        <v>0</v>
      </c>
      <c r="AT21" s="113">
        <f t="shared" si="20"/>
        <v>0</v>
      </c>
      <c r="AU21" s="113"/>
      <c r="AV21" s="113"/>
      <c r="AW21" s="113"/>
      <c r="AX21" s="113"/>
      <c r="AY21" s="113">
        <f t="shared" si="21"/>
        <v>0</v>
      </c>
      <c r="AZ21" s="113">
        <f t="shared" si="21"/>
        <v>0</v>
      </c>
      <c r="BA21" s="113"/>
      <c r="BB21" s="113"/>
      <c r="BC21" s="113"/>
      <c r="BD21" s="113"/>
      <c r="BE21" s="113">
        <f t="shared" si="22"/>
        <v>0</v>
      </c>
      <c r="BF21" s="113"/>
      <c r="BG21" s="113">
        <f t="shared" si="23"/>
        <v>0</v>
      </c>
      <c r="BH21" s="113"/>
      <c r="BI21" s="113"/>
      <c r="BJ21" s="113"/>
      <c r="BK21" s="113"/>
      <c r="BL21" s="113">
        <f t="shared" si="24"/>
        <v>0</v>
      </c>
      <c r="BM21" s="113"/>
      <c r="BN21" s="113">
        <f t="shared" si="25"/>
        <v>0</v>
      </c>
      <c r="BO21" s="113"/>
      <c r="BP21" s="113"/>
      <c r="BQ21" s="113"/>
      <c r="BR21" s="113"/>
      <c r="BS21" s="113">
        <f t="shared" si="26"/>
        <v>0</v>
      </c>
      <c r="BT21" s="113"/>
      <c r="BU21" s="113">
        <f t="shared" si="27"/>
        <v>0</v>
      </c>
      <c r="BV21" s="113"/>
      <c r="BW21" s="113"/>
      <c r="BX21" s="113"/>
      <c r="BY21" s="113"/>
      <c r="BZ21" s="113">
        <f t="shared" si="28"/>
        <v>0</v>
      </c>
      <c r="CA21" s="113"/>
      <c r="CB21" s="113">
        <f t="shared" si="29"/>
        <v>0</v>
      </c>
      <c r="CC21" s="113"/>
      <c r="CD21" s="113"/>
      <c r="CE21" s="113"/>
      <c r="CF21" s="113"/>
      <c r="CG21" s="113">
        <f t="shared" si="30"/>
        <v>0</v>
      </c>
      <c r="CH21" s="113"/>
      <c r="CI21" s="113">
        <f t="shared" si="31"/>
        <v>0</v>
      </c>
      <c r="CJ21" s="113"/>
      <c r="CK21" s="113"/>
      <c r="CL21" s="113"/>
      <c r="CM21" s="113"/>
      <c r="CN21" s="113">
        <f t="shared" si="32"/>
        <v>0</v>
      </c>
      <c r="CO21" s="113"/>
      <c r="CP21" s="113">
        <f t="shared" si="33"/>
        <v>0</v>
      </c>
      <c r="CQ21" s="113"/>
      <c r="CR21" s="113"/>
      <c r="CS21" s="113"/>
      <c r="CT21" s="113"/>
      <c r="CU21" s="113">
        <f t="shared" si="34"/>
        <v>0</v>
      </c>
      <c r="CV21" s="113"/>
      <c r="CW21" s="113">
        <f t="shared" si="35"/>
        <v>0</v>
      </c>
      <c r="CX21" s="113"/>
      <c r="CY21" s="113"/>
      <c r="CZ21" s="113"/>
      <c r="DA21" s="113"/>
      <c r="DB21" s="113">
        <f t="shared" si="36"/>
        <v>0</v>
      </c>
      <c r="DC21" s="113">
        <f t="shared" si="36"/>
        <v>0</v>
      </c>
      <c r="DD21" s="113"/>
      <c r="DE21" s="113"/>
      <c r="DF21" s="113"/>
      <c r="DG21" s="113"/>
      <c r="DH21" s="113">
        <f t="shared" si="37"/>
        <v>0</v>
      </c>
      <c r="DI21" s="113">
        <f t="shared" si="37"/>
        <v>0</v>
      </c>
      <c r="DJ21" s="113"/>
      <c r="DK21" s="113"/>
      <c r="DL21" s="113"/>
      <c r="DM21" s="113"/>
      <c r="DN21" s="113">
        <f t="shared" si="38"/>
        <v>0</v>
      </c>
      <c r="DO21" s="113">
        <f t="shared" si="38"/>
        <v>0</v>
      </c>
      <c r="DP21" s="113">
        <f t="shared" si="39"/>
        <v>0</v>
      </c>
      <c r="DQ21" s="113">
        <f t="shared" si="40"/>
        <v>0</v>
      </c>
      <c r="DR21" s="113">
        <f t="shared" si="41"/>
        <v>0</v>
      </c>
      <c r="DS21" s="113">
        <f t="shared" si="42"/>
        <v>0</v>
      </c>
      <c r="DT21" s="113">
        <f t="shared" si="43"/>
        <v>0</v>
      </c>
      <c r="DU21" s="113">
        <f t="shared" si="43"/>
        <v>0</v>
      </c>
    </row>
    <row r="22" spans="1:125" s="333" customFormat="1">
      <c r="A22" s="328">
        <v>15</v>
      </c>
      <c r="B22" s="329" t="s">
        <v>751</v>
      </c>
      <c r="C22" s="330" t="s">
        <v>768</v>
      </c>
      <c r="D22" s="329" t="s">
        <v>770</v>
      </c>
      <c r="E22" s="329" t="s">
        <v>1165</v>
      </c>
      <c r="F22" s="261">
        <f t="shared" si="5"/>
        <v>20000</v>
      </c>
      <c r="G22" s="261">
        <f t="shared" ref="G22" si="48">AT22+AZ22+BG22+BN22+BU22+CB22+CI22+CP22+CW22+DC22+DI22+DO22</f>
        <v>0</v>
      </c>
      <c r="H22" s="161">
        <f t="shared" si="45"/>
        <v>20000</v>
      </c>
      <c r="I22" s="161">
        <f t="shared" si="6"/>
        <v>0</v>
      </c>
      <c r="J22" s="262">
        <f t="shared" si="7"/>
        <v>20000</v>
      </c>
      <c r="K22" s="331">
        <v>12440</v>
      </c>
      <c r="L22" s="211">
        <v>0</v>
      </c>
      <c r="M22" s="211">
        <v>0</v>
      </c>
      <c r="N22" s="261">
        <f t="shared" si="8"/>
        <v>0</v>
      </c>
      <c r="O22" s="261">
        <f t="shared" si="9"/>
        <v>0</v>
      </c>
      <c r="P22" s="261">
        <f t="shared" si="10"/>
        <v>0</v>
      </c>
      <c r="Q22" s="261">
        <f t="shared" si="46"/>
        <v>20000</v>
      </c>
      <c r="R22" s="261" t="str">
        <f t="shared" si="11"/>
        <v>ნულოვანი შესრულება</v>
      </c>
      <c r="S22" s="113">
        <v>0</v>
      </c>
      <c r="T22" s="113"/>
      <c r="U22" s="113">
        <f t="shared" si="12"/>
        <v>0</v>
      </c>
      <c r="V22" s="113">
        <f t="shared" si="13"/>
        <v>0</v>
      </c>
      <c r="W22" s="113">
        <v>0</v>
      </c>
      <c r="X22" s="113">
        <v>0</v>
      </c>
      <c r="Y22" s="113">
        <v>0</v>
      </c>
      <c r="Z22" s="113">
        <v>0</v>
      </c>
      <c r="AA22" s="113">
        <f t="shared" si="14"/>
        <v>0</v>
      </c>
      <c r="AB22" s="113">
        <f t="shared" si="14"/>
        <v>0</v>
      </c>
      <c r="AC22" s="113"/>
      <c r="AD22" s="113"/>
      <c r="AE22" s="113"/>
      <c r="AF22" s="113"/>
      <c r="AG22" s="113">
        <f t="shared" si="15"/>
        <v>0</v>
      </c>
      <c r="AH22" s="113">
        <f t="shared" si="15"/>
        <v>0</v>
      </c>
      <c r="AI22" s="114">
        <f t="shared" si="16"/>
        <v>0</v>
      </c>
      <c r="AJ22" s="114">
        <f t="shared" si="17"/>
        <v>0</v>
      </c>
      <c r="AK22" s="114">
        <f t="shared" si="17"/>
        <v>0</v>
      </c>
      <c r="AL22" s="114">
        <f t="shared" si="18"/>
        <v>0</v>
      </c>
      <c r="AM22" s="113">
        <f t="shared" si="19"/>
        <v>0</v>
      </c>
      <c r="AN22" s="113">
        <f t="shared" si="19"/>
        <v>0</v>
      </c>
      <c r="AO22" s="332"/>
      <c r="AP22" s="332"/>
      <c r="AQ22" s="332"/>
      <c r="AR22" s="332"/>
      <c r="AS22" s="332">
        <f t="shared" si="20"/>
        <v>0</v>
      </c>
      <c r="AT22" s="332">
        <f t="shared" si="20"/>
        <v>0</v>
      </c>
      <c r="AU22" s="332"/>
      <c r="AV22" s="332"/>
      <c r="AW22" s="332"/>
      <c r="AX22" s="332"/>
      <c r="AY22" s="332">
        <f t="shared" si="21"/>
        <v>0</v>
      </c>
      <c r="AZ22" s="332">
        <f t="shared" si="21"/>
        <v>0</v>
      </c>
      <c r="BA22" s="332"/>
      <c r="BB22" s="332"/>
      <c r="BC22" s="332"/>
      <c r="BD22" s="332"/>
      <c r="BE22" s="332">
        <f t="shared" si="22"/>
        <v>0</v>
      </c>
      <c r="BF22" s="332"/>
      <c r="BG22" s="332">
        <f t="shared" si="23"/>
        <v>0</v>
      </c>
      <c r="BH22" s="332"/>
      <c r="BI22" s="332"/>
      <c r="BJ22" s="332"/>
      <c r="BK22" s="332"/>
      <c r="BL22" s="332">
        <f t="shared" si="24"/>
        <v>0</v>
      </c>
      <c r="BM22" s="332"/>
      <c r="BN22" s="332">
        <f t="shared" si="25"/>
        <v>0</v>
      </c>
      <c r="BO22" s="332"/>
      <c r="BP22" s="332"/>
      <c r="BQ22" s="332">
        <v>20000</v>
      </c>
      <c r="BR22" s="332"/>
      <c r="BS22" s="332">
        <f t="shared" si="26"/>
        <v>20000</v>
      </c>
      <c r="BT22" s="332"/>
      <c r="BU22" s="332">
        <f t="shared" si="27"/>
        <v>0</v>
      </c>
      <c r="BV22" s="332"/>
      <c r="BW22" s="332"/>
      <c r="BX22" s="332"/>
      <c r="BY22" s="332"/>
      <c r="BZ22" s="332">
        <f t="shared" si="28"/>
        <v>0</v>
      </c>
      <c r="CA22" s="332"/>
      <c r="CB22" s="332">
        <f t="shared" si="29"/>
        <v>0</v>
      </c>
      <c r="CC22" s="332"/>
      <c r="CD22" s="332"/>
      <c r="CE22" s="332"/>
      <c r="CF22" s="332"/>
      <c r="CG22" s="332">
        <f t="shared" si="30"/>
        <v>0</v>
      </c>
      <c r="CH22" s="332"/>
      <c r="CI22" s="332">
        <f t="shared" si="31"/>
        <v>0</v>
      </c>
      <c r="CJ22" s="332"/>
      <c r="CK22" s="332"/>
      <c r="CL22" s="332"/>
      <c r="CM22" s="332"/>
      <c r="CN22" s="332">
        <f t="shared" si="32"/>
        <v>0</v>
      </c>
      <c r="CO22" s="332"/>
      <c r="CP22" s="332">
        <f t="shared" si="33"/>
        <v>0</v>
      </c>
      <c r="CQ22" s="332"/>
      <c r="CR22" s="332"/>
      <c r="CS22" s="332"/>
      <c r="CT22" s="332"/>
      <c r="CU22" s="332">
        <f t="shared" si="34"/>
        <v>0</v>
      </c>
      <c r="CV22" s="332"/>
      <c r="CW22" s="332">
        <f t="shared" si="35"/>
        <v>0</v>
      </c>
      <c r="CX22" s="332"/>
      <c r="CY22" s="332"/>
      <c r="CZ22" s="332"/>
      <c r="DA22" s="332"/>
      <c r="DB22" s="332">
        <f t="shared" si="36"/>
        <v>0</v>
      </c>
      <c r="DC22" s="332">
        <f t="shared" si="36"/>
        <v>0</v>
      </c>
      <c r="DD22" s="332"/>
      <c r="DE22" s="332"/>
      <c r="DF22" s="332"/>
      <c r="DG22" s="332"/>
      <c r="DH22" s="332">
        <f t="shared" si="37"/>
        <v>0</v>
      </c>
      <c r="DI22" s="332">
        <f t="shared" si="37"/>
        <v>0</v>
      </c>
      <c r="DJ22" s="332"/>
      <c r="DK22" s="332"/>
      <c r="DL22" s="332"/>
      <c r="DM22" s="332"/>
      <c r="DN22" s="332">
        <f t="shared" si="38"/>
        <v>0</v>
      </c>
      <c r="DO22" s="332">
        <f t="shared" si="38"/>
        <v>0</v>
      </c>
      <c r="DP22" s="332">
        <f t="shared" si="39"/>
        <v>0</v>
      </c>
      <c r="DQ22" s="332">
        <f t="shared" si="40"/>
        <v>0</v>
      </c>
      <c r="DR22" s="332">
        <f t="shared" si="41"/>
        <v>20000</v>
      </c>
      <c r="DS22" s="332">
        <f t="shared" si="42"/>
        <v>0</v>
      </c>
      <c r="DT22" s="332">
        <f t="shared" si="43"/>
        <v>20000</v>
      </c>
      <c r="DU22" s="332">
        <f t="shared" si="43"/>
        <v>0</v>
      </c>
    </row>
    <row r="23" spans="1:125">
      <c r="A23" s="15">
        <v>16</v>
      </c>
      <c r="B23" s="96" t="s">
        <v>751</v>
      </c>
      <c r="C23" s="7" t="s">
        <v>771</v>
      </c>
      <c r="D23" s="96" t="s">
        <v>772</v>
      </c>
      <c r="E23" s="185" t="s">
        <v>1164</v>
      </c>
      <c r="F23" s="161">
        <f t="shared" si="5"/>
        <v>0</v>
      </c>
      <c r="G23" s="161">
        <f t="shared" si="44"/>
        <v>0</v>
      </c>
      <c r="H23" s="161">
        <f t="shared" si="45"/>
        <v>0</v>
      </c>
      <c r="I23" s="161">
        <f t="shared" si="6"/>
        <v>0</v>
      </c>
      <c r="J23" s="165">
        <f t="shared" si="7"/>
        <v>0</v>
      </c>
      <c r="K23" s="115"/>
      <c r="L23" s="211">
        <v>0</v>
      </c>
      <c r="M23" s="211">
        <v>0</v>
      </c>
      <c r="N23" s="127">
        <f t="shared" si="8"/>
        <v>0</v>
      </c>
      <c r="O23" s="127">
        <f t="shared" si="9"/>
        <v>0</v>
      </c>
      <c r="P23" s="127">
        <f t="shared" si="10"/>
        <v>0</v>
      </c>
      <c r="Q23" s="131">
        <f t="shared" si="46"/>
        <v>0</v>
      </c>
      <c r="R23" s="125" t="str">
        <f t="shared" si="11"/>
        <v>ნულოვანი შესრულება</v>
      </c>
      <c r="S23" s="113">
        <v>0</v>
      </c>
      <c r="T23" s="113"/>
      <c r="U23" s="113">
        <f t="shared" si="12"/>
        <v>0</v>
      </c>
      <c r="V23" s="113">
        <f t="shared" si="13"/>
        <v>0</v>
      </c>
      <c r="W23" s="113">
        <v>0</v>
      </c>
      <c r="X23" s="113">
        <v>0</v>
      </c>
      <c r="Y23" s="113">
        <v>0</v>
      </c>
      <c r="Z23" s="113">
        <v>0</v>
      </c>
      <c r="AA23" s="113">
        <f t="shared" si="14"/>
        <v>0</v>
      </c>
      <c r="AB23" s="113">
        <f t="shared" si="14"/>
        <v>0</v>
      </c>
      <c r="AC23" s="113"/>
      <c r="AD23" s="113"/>
      <c r="AE23" s="113"/>
      <c r="AF23" s="113"/>
      <c r="AG23" s="113">
        <f t="shared" si="15"/>
        <v>0</v>
      </c>
      <c r="AH23" s="113">
        <f t="shared" si="15"/>
        <v>0</v>
      </c>
      <c r="AI23" s="114">
        <f t="shared" si="16"/>
        <v>0</v>
      </c>
      <c r="AJ23" s="114">
        <f t="shared" si="17"/>
        <v>0</v>
      </c>
      <c r="AK23" s="114">
        <f t="shared" si="17"/>
        <v>0</v>
      </c>
      <c r="AL23" s="114">
        <f t="shared" si="18"/>
        <v>0</v>
      </c>
      <c r="AM23" s="113">
        <f t="shared" si="19"/>
        <v>0</v>
      </c>
      <c r="AN23" s="113">
        <f t="shared" si="19"/>
        <v>0</v>
      </c>
      <c r="AO23" s="113"/>
      <c r="AP23" s="113"/>
      <c r="AQ23" s="113"/>
      <c r="AR23" s="113"/>
      <c r="AS23" s="113">
        <f t="shared" si="20"/>
        <v>0</v>
      </c>
      <c r="AT23" s="113">
        <f t="shared" si="20"/>
        <v>0</v>
      </c>
      <c r="AU23" s="113"/>
      <c r="AV23" s="113"/>
      <c r="AW23" s="113"/>
      <c r="AX23" s="113"/>
      <c r="AY23" s="113">
        <f t="shared" si="21"/>
        <v>0</v>
      </c>
      <c r="AZ23" s="113">
        <f t="shared" si="21"/>
        <v>0</v>
      </c>
      <c r="BA23" s="113"/>
      <c r="BB23" s="113"/>
      <c r="BC23" s="113"/>
      <c r="BD23" s="113"/>
      <c r="BE23" s="113">
        <f t="shared" si="22"/>
        <v>0</v>
      </c>
      <c r="BF23" s="113"/>
      <c r="BG23" s="113">
        <f t="shared" si="23"/>
        <v>0</v>
      </c>
      <c r="BH23" s="113"/>
      <c r="BI23" s="113"/>
      <c r="BJ23" s="113"/>
      <c r="BK23" s="113"/>
      <c r="BL23" s="113">
        <f t="shared" si="24"/>
        <v>0</v>
      </c>
      <c r="BM23" s="113"/>
      <c r="BN23" s="113">
        <f t="shared" si="25"/>
        <v>0</v>
      </c>
      <c r="BO23" s="113"/>
      <c r="BP23" s="113"/>
      <c r="BQ23" s="113"/>
      <c r="BR23" s="113"/>
      <c r="BS23" s="113">
        <f t="shared" si="26"/>
        <v>0</v>
      </c>
      <c r="BT23" s="113"/>
      <c r="BU23" s="113">
        <f t="shared" si="27"/>
        <v>0</v>
      </c>
      <c r="BV23" s="113"/>
      <c r="BW23" s="113"/>
      <c r="BX23" s="113"/>
      <c r="BY23" s="113"/>
      <c r="BZ23" s="113">
        <f t="shared" si="28"/>
        <v>0</v>
      </c>
      <c r="CA23" s="113"/>
      <c r="CB23" s="113">
        <f t="shared" si="29"/>
        <v>0</v>
      </c>
      <c r="CC23" s="113"/>
      <c r="CD23" s="113"/>
      <c r="CE23" s="113"/>
      <c r="CF23" s="113"/>
      <c r="CG23" s="113">
        <f t="shared" si="30"/>
        <v>0</v>
      </c>
      <c r="CH23" s="113"/>
      <c r="CI23" s="113">
        <f t="shared" si="31"/>
        <v>0</v>
      </c>
      <c r="CJ23" s="113"/>
      <c r="CK23" s="113"/>
      <c r="CL23" s="113"/>
      <c r="CM23" s="113"/>
      <c r="CN23" s="113">
        <f t="shared" si="32"/>
        <v>0</v>
      </c>
      <c r="CO23" s="113"/>
      <c r="CP23" s="113">
        <f t="shared" si="33"/>
        <v>0</v>
      </c>
      <c r="CQ23" s="113"/>
      <c r="CR23" s="113"/>
      <c r="CS23" s="113"/>
      <c r="CT23" s="113"/>
      <c r="CU23" s="113">
        <f t="shared" si="34"/>
        <v>0</v>
      </c>
      <c r="CV23" s="113"/>
      <c r="CW23" s="113">
        <f t="shared" si="35"/>
        <v>0</v>
      </c>
      <c r="CX23" s="113"/>
      <c r="CY23" s="113"/>
      <c r="CZ23" s="113"/>
      <c r="DA23" s="113"/>
      <c r="DB23" s="113">
        <f t="shared" si="36"/>
        <v>0</v>
      </c>
      <c r="DC23" s="113">
        <f t="shared" si="36"/>
        <v>0</v>
      </c>
      <c r="DD23" s="113"/>
      <c r="DE23" s="113"/>
      <c r="DF23" s="113"/>
      <c r="DG23" s="113"/>
      <c r="DH23" s="113">
        <f t="shared" si="37"/>
        <v>0</v>
      </c>
      <c r="DI23" s="113">
        <f t="shared" si="37"/>
        <v>0</v>
      </c>
      <c r="DJ23" s="113"/>
      <c r="DK23" s="113"/>
      <c r="DL23" s="113"/>
      <c r="DM23" s="113"/>
      <c r="DN23" s="113">
        <f t="shared" si="38"/>
        <v>0</v>
      </c>
      <c r="DO23" s="113">
        <f t="shared" si="38"/>
        <v>0</v>
      </c>
      <c r="DP23" s="113">
        <f t="shared" si="39"/>
        <v>0</v>
      </c>
      <c r="DQ23" s="113">
        <f t="shared" si="40"/>
        <v>0</v>
      </c>
      <c r="DR23" s="113">
        <f t="shared" si="41"/>
        <v>0</v>
      </c>
      <c r="DS23" s="113">
        <f t="shared" si="42"/>
        <v>0</v>
      </c>
      <c r="DT23" s="113">
        <f t="shared" si="43"/>
        <v>0</v>
      </c>
      <c r="DU23" s="113">
        <f t="shared" si="43"/>
        <v>0</v>
      </c>
    </row>
    <row r="24" spans="1:125" s="333" customFormat="1">
      <c r="A24" s="328">
        <v>17</v>
      </c>
      <c r="B24" s="329" t="s">
        <v>751</v>
      </c>
      <c r="C24" s="330" t="s">
        <v>771</v>
      </c>
      <c r="D24" s="329" t="s">
        <v>773</v>
      </c>
      <c r="E24" s="329" t="s">
        <v>1165</v>
      </c>
      <c r="F24" s="261">
        <f t="shared" si="5"/>
        <v>20000</v>
      </c>
      <c r="G24" s="261">
        <f t="shared" ref="G24" si="49">AT24+AZ24+BG24+BN24+BU24+CB24+CI24+CP24+CW24+DC24+DI24+DO24</f>
        <v>0</v>
      </c>
      <c r="H24" s="161">
        <f t="shared" si="45"/>
        <v>20000</v>
      </c>
      <c r="I24" s="161">
        <f t="shared" si="6"/>
        <v>0</v>
      </c>
      <c r="J24" s="262">
        <f t="shared" si="7"/>
        <v>20000</v>
      </c>
      <c r="K24" s="331">
        <v>13450</v>
      </c>
      <c r="L24" s="211">
        <v>0</v>
      </c>
      <c r="M24" s="211">
        <v>0</v>
      </c>
      <c r="N24" s="261">
        <f t="shared" si="8"/>
        <v>0</v>
      </c>
      <c r="O24" s="261">
        <f t="shared" si="9"/>
        <v>0</v>
      </c>
      <c r="P24" s="261">
        <f t="shared" si="10"/>
        <v>0</v>
      </c>
      <c r="Q24" s="261">
        <f t="shared" si="46"/>
        <v>20000</v>
      </c>
      <c r="R24" s="261" t="str">
        <f t="shared" si="11"/>
        <v>ნულოვანი შესრულება</v>
      </c>
      <c r="S24" s="113">
        <v>0</v>
      </c>
      <c r="T24" s="113"/>
      <c r="U24" s="113">
        <f t="shared" si="12"/>
        <v>0</v>
      </c>
      <c r="V24" s="113">
        <f t="shared" si="13"/>
        <v>0</v>
      </c>
      <c r="W24" s="113">
        <v>0</v>
      </c>
      <c r="X24" s="113">
        <v>0</v>
      </c>
      <c r="Y24" s="113">
        <v>0</v>
      </c>
      <c r="Z24" s="113">
        <v>0</v>
      </c>
      <c r="AA24" s="113">
        <f t="shared" ref="AA24:AB59" si="50">W24+Y24</f>
        <v>0</v>
      </c>
      <c r="AB24" s="113">
        <f t="shared" si="50"/>
        <v>0</v>
      </c>
      <c r="AC24" s="113"/>
      <c r="AD24" s="113"/>
      <c r="AE24" s="113"/>
      <c r="AF24" s="113"/>
      <c r="AG24" s="113">
        <f t="shared" ref="AG24:AH59" si="51">AC24+AE24</f>
        <v>0</v>
      </c>
      <c r="AH24" s="113">
        <f t="shared" si="51"/>
        <v>0</v>
      </c>
      <c r="AI24" s="114">
        <f t="shared" si="16"/>
        <v>0</v>
      </c>
      <c r="AJ24" s="114">
        <f t="shared" ref="AJ24:AK59" si="52">S24+X24+AD24</f>
        <v>0</v>
      </c>
      <c r="AK24" s="114">
        <f t="shared" si="52"/>
        <v>0</v>
      </c>
      <c r="AL24" s="114">
        <f t="shared" si="18"/>
        <v>0</v>
      </c>
      <c r="AM24" s="113">
        <f t="shared" ref="AM24:AN59" si="53">AI24+AK24</f>
        <v>0</v>
      </c>
      <c r="AN24" s="113">
        <f t="shared" si="53"/>
        <v>0</v>
      </c>
      <c r="AO24" s="332"/>
      <c r="AP24" s="332"/>
      <c r="AQ24" s="332"/>
      <c r="AR24" s="332"/>
      <c r="AS24" s="332">
        <f t="shared" ref="AS24:AT59" si="54">AO24+AQ24</f>
        <v>0</v>
      </c>
      <c r="AT24" s="332">
        <f t="shared" si="54"/>
        <v>0</v>
      </c>
      <c r="AU24" s="332"/>
      <c r="AV24" s="332"/>
      <c r="AW24" s="332"/>
      <c r="AX24" s="332"/>
      <c r="AY24" s="332">
        <f t="shared" ref="AY24:AZ59" si="55">AU24+AW24</f>
        <v>0</v>
      </c>
      <c r="AZ24" s="332">
        <f t="shared" si="55"/>
        <v>0</v>
      </c>
      <c r="BA24" s="332"/>
      <c r="BB24" s="332"/>
      <c r="BC24" s="332"/>
      <c r="BD24" s="332"/>
      <c r="BE24" s="332">
        <f t="shared" ref="BE24:BE59" si="56">BA24+BC24</f>
        <v>0</v>
      </c>
      <c r="BF24" s="332"/>
      <c r="BG24" s="332">
        <f t="shared" si="23"/>
        <v>0</v>
      </c>
      <c r="BH24" s="332"/>
      <c r="BI24" s="332"/>
      <c r="BJ24" s="332"/>
      <c r="BK24" s="332"/>
      <c r="BL24" s="332">
        <f t="shared" ref="BL24:BL59" si="57">BH24+BJ24</f>
        <v>0</v>
      </c>
      <c r="BM24" s="332"/>
      <c r="BN24" s="332">
        <f t="shared" si="25"/>
        <v>0</v>
      </c>
      <c r="BO24" s="332"/>
      <c r="BP24" s="332"/>
      <c r="BQ24" s="332">
        <v>20000</v>
      </c>
      <c r="BR24" s="332"/>
      <c r="BS24" s="332">
        <f t="shared" ref="BS24:BS59" si="58">BO24+BQ24</f>
        <v>20000</v>
      </c>
      <c r="BT24" s="332"/>
      <c r="BU24" s="332">
        <f t="shared" si="27"/>
        <v>0</v>
      </c>
      <c r="BV24" s="332"/>
      <c r="BW24" s="332"/>
      <c r="BX24" s="332"/>
      <c r="BY24" s="332"/>
      <c r="BZ24" s="332">
        <f t="shared" ref="BZ24:BZ59" si="59">BV24+BX24</f>
        <v>0</v>
      </c>
      <c r="CA24" s="332"/>
      <c r="CB24" s="332">
        <f t="shared" si="29"/>
        <v>0</v>
      </c>
      <c r="CC24" s="332"/>
      <c r="CD24" s="332"/>
      <c r="CE24" s="332"/>
      <c r="CF24" s="332"/>
      <c r="CG24" s="332">
        <f t="shared" ref="CG24:CG59" si="60">CC24+CE24</f>
        <v>0</v>
      </c>
      <c r="CH24" s="332"/>
      <c r="CI24" s="332">
        <f t="shared" si="31"/>
        <v>0</v>
      </c>
      <c r="CJ24" s="332"/>
      <c r="CK24" s="332"/>
      <c r="CL24" s="332"/>
      <c r="CM24" s="332"/>
      <c r="CN24" s="332">
        <f t="shared" ref="CN24:CN59" si="61">CJ24+CL24</f>
        <v>0</v>
      </c>
      <c r="CO24" s="332"/>
      <c r="CP24" s="332">
        <f t="shared" si="33"/>
        <v>0</v>
      </c>
      <c r="CQ24" s="332"/>
      <c r="CR24" s="332"/>
      <c r="CS24" s="332"/>
      <c r="CT24" s="332"/>
      <c r="CU24" s="332">
        <f t="shared" ref="CU24:CU59" si="62">CQ24+CS24</f>
        <v>0</v>
      </c>
      <c r="CV24" s="332"/>
      <c r="CW24" s="332">
        <f t="shared" si="35"/>
        <v>0</v>
      </c>
      <c r="CX24" s="332"/>
      <c r="CY24" s="332"/>
      <c r="CZ24" s="332"/>
      <c r="DA24" s="332"/>
      <c r="DB24" s="332">
        <f t="shared" ref="DB24:DC59" si="63">CX24+CZ24</f>
        <v>0</v>
      </c>
      <c r="DC24" s="332">
        <f t="shared" si="63"/>
        <v>0</v>
      </c>
      <c r="DD24" s="332"/>
      <c r="DE24" s="332"/>
      <c r="DF24" s="332"/>
      <c r="DG24" s="332"/>
      <c r="DH24" s="332">
        <f t="shared" ref="DH24:DI59" si="64">DD24+DF24</f>
        <v>0</v>
      </c>
      <c r="DI24" s="332">
        <f t="shared" si="64"/>
        <v>0</v>
      </c>
      <c r="DJ24" s="332"/>
      <c r="DK24" s="332"/>
      <c r="DL24" s="332"/>
      <c r="DM24" s="332"/>
      <c r="DN24" s="332">
        <f t="shared" ref="DN24:DO59" si="65">DJ24+DL24</f>
        <v>0</v>
      </c>
      <c r="DO24" s="332">
        <f t="shared" si="65"/>
        <v>0</v>
      </c>
      <c r="DP24" s="332">
        <f t="shared" si="39"/>
        <v>0</v>
      </c>
      <c r="DQ24" s="332">
        <f t="shared" si="40"/>
        <v>0</v>
      </c>
      <c r="DR24" s="332">
        <f t="shared" si="41"/>
        <v>20000</v>
      </c>
      <c r="DS24" s="332">
        <f t="shared" si="42"/>
        <v>0</v>
      </c>
      <c r="DT24" s="332">
        <f t="shared" ref="DT24:DU59" si="66">DP24+DR24</f>
        <v>20000</v>
      </c>
      <c r="DU24" s="332">
        <f t="shared" si="66"/>
        <v>0</v>
      </c>
    </row>
    <row r="25" spans="1:125">
      <c r="A25" s="15">
        <v>18</v>
      </c>
      <c r="B25" s="96" t="s">
        <v>751</v>
      </c>
      <c r="C25" s="7" t="s">
        <v>774</v>
      </c>
      <c r="D25" s="96" t="s">
        <v>775</v>
      </c>
      <c r="E25" s="185" t="s">
        <v>1164</v>
      </c>
      <c r="F25" s="161">
        <f t="shared" si="5"/>
        <v>1211</v>
      </c>
      <c r="G25" s="161">
        <f t="shared" si="44"/>
        <v>1211</v>
      </c>
      <c r="H25" s="161">
        <f t="shared" si="45"/>
        <v>0</v>
      </c>
      <c r="I25" s="161">
        <f t="shared" si="6"/>
        <v>0</v>
      </c>
      <c r="J25" s="165">
        <f t="shared" si="7"/>
        <v>1211</v>
      </c>
      <c r="K25" s="115"/>
      <c r="L25" s="211">
        <v>0</v>
      </c>
      <c r="M25" s="211">
        <v>0</v>
      </c>
      <c r="N25" s="127">
        <f t="shared" si="8"/>
        <v>0</v>
      </c>
      <c r="O25" s="127">
        <f t="shared" si="9"/>
        <v>0</v>
      </c>
      <c r="P25" s="127">
        <f t="shared" si="10"/>
        <v>0</v>
      </c>
      <c r="Q25" s="131">
        <f t="shared" si="46"/>
        <v>1211</v>
      </c>
      <c r="R25" s="125">
        <f t="shared" si="11"/>
        <v>1211</v>
      </c>
      <c r="S25" s="113">
        <v>0</v>
      </c>
      <c r="T25" s="113"/>
      <c r="U25" s="113">
        <f t="shared" si="12"/>
        <v>0</v>
      </c>
      <c r="V25" s="113">
        <f t="shared" si="13"/>
        <v>0</v>
      </c>
      <c r="W25" s="113">
        <v>0</v>
      </c>
      <c r="X25" s="113">
        <v>0</v>
      </c>
      <c r="Y25" s="113">
        <v>0</v>
      </c>
      <c r="Z25" s="113">
        <v>0</v>
      </c>
      <c r="AA25" s="113">
        <f t="shared" si="50"/>
        <v>0</v>
      </c>
      <c r="AB25" s="113">
        <f t="shared" si="50"/>
        <v>0</v>
      </c>
      <c r="AC25" s="113"/>
      <c r="AD25" s="113"/>
      <c r="AE25" s="113"/>
      <c r="AF25" s="113"/>
      <c r="AG25" s="113">
        <f t="shared" si="51"/>
        <v>0</v>
      </c>
      <c r="AH25" s="113">
        <f t="shared" si="51"/>
        <v>0</v>
      </c>
      <c r="AI25" s="114">
        <f t="shared" si="16"/>
        <v>0</v>
      </c>
      <c r="AJ25" s="114">
        <f t="shared" si="52"/>
        <v>0</v>
      </c>
      <c r="AK25" s="114">
        <f t="shared" si="52"/>
        <v>0</v>
      </c>
      <c r="AL25" s="114">
        <f t="shared" si="18"/>
        <v>0</v>
      </c>
      <c r="AM25" s="113">
        <f t="shared" si="53"/>
        <v>0</v>
      </c>
      <c r="AN25" s="113">
        <f t="shared" si="53"/>
        <v>0</v>
      </c>
      <c r="AO25" s="113"/>
      <c r="AP25" s="113"/>
      <c r="AQ25" s="113">
        <v>1211</v>
      </c>
      <c r="AR25" s="113">
        <v>1211</v>
      </c>
      <c r="AS25" s="113">
        <f t="shared" si="54"/>
        <v>1211</v>
      </c>
      <c r="AT25" s="113">
        <f t="shared" si="54"/>
        <v>1211</v>
      </c>
      <c r="AU25" s="113"/>
      <c r="AV25" s="113"/>
      <c r="AW25" s="113"/>
      <c r="AX25" s="113"/>
      <c r="AY25" s="113">
        <f t="shared" si="55"/>
        <v>0</v>
      </c>
      <c r="AZ25" s="113">
        <f t="shared" si="55"/>
        <v>0</v>
      </c>
      <c r="BA25" s="113"/>
      <c r="BB25" s="113"/>
      <c r="BC25" s="113"/>
      <c r="BD25" s="113"/>
      <c r="BE25" s="113">
        <f t="shared" si="56"/>
        <v>0</v>
      </c>
      <c r="BF25" s="113"/>
      <c r="BG25" s="113">
        <f t="shared" si="23"/>
        <v>0</v>
      </c>
      <c r="BH25" s="113"/>
      <c r="BI25" s="113"/>
      <c r="BJ25" s="113"/>
      <c r="BK25" s="113"/>
      <c r="BL25" s="113">
        <f t="shared" si="57"/>
        <v>0</v>
      </c>
      <c r="BM25" s="113"/>
      <c r="BN25" s="113">
        <f t="shared" si="25"/>
        <v>0</v>
      </c>
      <c r="BO25" s="113"/>
      <c r="BP25" s="113"/>
      <c r="BQ25" s="113"/>
      <c r="BR25" s="113"/>
      <c r="BS25" s="113">
        <f t="shared" si="58"/>
        <v>0</v>
      </c>
      <c r="BT25" s="113"/>
      <c r="BU25" s="113">
        <f t="shared" si="27"/>
        <v>0</v>
      </c>
      <c r="BV25" s="113"/>
      <c r="BW25" s="113"/>
      <c r="BX25" s="113"/>
      <c r="BY25" s="113"/>
      <c r="BZ25" s="113">
        <f t="shared" si="59"/>
        <v>0</v>
      </c>
      <c r="CA25" s="113"/>
      <c r="CB25" s="113">
        <f t="shared" si="29"/>
        <v>0</v>
      </c>
      <c r="CC25" s="113"/>
      <c r="CD25" s="113"/>
      <c r="CE25" s="113"/>
      <c r="CF25" s="113"/>
      <c r="CG25" s="113">
        <f t="shared" si="60"/>
        <v>0</v>
      </c>
      <c r="CH25" s="113"/>
      <c r="CI25" s="113">
        <f t="shared" si="31"/>
        <v>0</v>
      </c>
      <c r="CJ25" s="113"/>
      <c r="CK25" s="113"/>
      <c r="CL25" s="113"/>
      <c r="CM25" s="113"/>
      <c r="CN25" s="113">
        <f t="shared" si="61"/>
        <v>0</v>
      </c>
      <c r="CO25" s="113"/>
      <c r="CP25" s="113">
        <f t="shared" si="33"/>
        <v>0</v>
      </c>
      <c r="CQ25" s="113"/>
      <c r="CR25" s="113"/>
      <c r="CS25" s="113"/>
      <c r="CT25" s="113"/>
      <c r="CU25" s="113">
        <f t="shared" si="62"/>
        <v>0</v>
      </c>
      <c r="CV25" s="113"/>
      <c r="CW25" s="113">
        <f t="shared" si="35"/>
        <v>0</v>
      </c>
      <c r="CX25" s="113"/>
      <c r="CY25" s="113"/>
      <c r="CZ25" s="113"/>
      <c r="DA25" s="113"/>
      <c r="DB25" s="113">
        <f t="shared" si="63"/>
        <v>0</v>
      </c>
      <c r="DC25" s="113">
        <f t="shared" si="63"/>
        <v>0</v>
      </c>
      <c r="DD25" s="113"/>
      <c r="DE25" s="113"/>
      <c r="DF25" s="113"/>
      <c r="DG25" s="113"/>
      <c r="DH25" s="113">
        <f t="shared" si="64"/>
        <v>0</v>
      </c>
      <c r="DI25" s="113">
        <f t="shared" si="64"/>
        <v>0</v>
      </c>
      <c r="DJ25" s="113"/>
      <c r="DK25" s="113"/>
      <c r="DL25" s="113"/>
      <c r="DM25" s="113"/>
      <c r="DN25" s="113">
        <f t="shared" si="65"/>
        <v>0</v>
      </c>
      <c r="DO25" s="113">
        <f t="shared" si="65"/>
        <v>0</v>
      </c>
      <c r="DP25" s="113">
        <f t="shared" si="39"/>
        <v>0</v>
      </c>
      <c r="DQ25" s="113">
        <f t="shared" si="40"/>
        <v>0</v>
      </c>
      <c r="DR25" s="113">
        <f t="shared" si="41"/>
        <v>1211</v>
      </c>
      <c r="DS25" s="113">
        <f t="shared" si="42"/>
        <v>1211</v>
      </c>
      <c r="DT25" s="113">
        <f t="shared" si="66"/>
        <v>1211</v>
      </c>
      <c r="DU25" s="113">
        <f t="shared" si="66"/>
        <v>1211</v>
      </c>
    </row>
    <row r="26" spans="1:125">
      <c r="A26" s="15">
        <v>19</v>
      </c>
      <c r="B26" s="96" t="s">
        <v>751</v>
      </c>
      <c r="C26" s="112" t="s">
        <v>774</v>
      </c>
      <c r="D26" s="96" t="s">
        <v>776</v>
      </c>
      <c r="E26" s="185" t="s">
        <v>1165</v>
      </c>
      <c r="F26" s="161">
        <f t="shared" si="5"/>
        <v>40000</v>
      </c>
      <c r="G26" s="161">
        <f t="shared" si="44"/>
        <v>29000</v>
      </c>
      <c r="H26" s="161">
        <f t="shared" si="45"/>
        <v>11000</v>
      </c>
      <c r="I26" s="161">
        <f t="shared" si="6"/>
        <v>29500</v>
      </c>
      <c r="J26" s="165">
        <f t="shared" si="7"/>
        <v>40000</v>
      </c>
      <c r="K26" s="115">
        <v>32430</v>
      </c>
      <c r="L26" s="211">
        <v>0</v>
      </c>
      <c r="M26" s="211">
        <v>0</v>
      </c>
      <c r="N26" s="127">
        <f t="shared" si="8"/>
        <v>0</v>
      </c>
      <c r="O26" s="127">
        <f t="shared" si="9"/>
        <v>0</v>
      </c>
      <c r="P26" s="127">
        <f t="shared" si="10"/>
        <v>0</v>
      </c>
      <c r="Q26" s="131">
        <f t="shared" si="46"/>
        <v>40000</v>
      </c>
      <c r="R26" s="125" t="str">
        <f t="shared" si="11"/>
        <v>მიმდინარეობს</v>
      </c>
      <c r="S26" s="113">
        <v>0</v>
      </c>
      <c r="T26" s="113"/>
      <c r="U26" s="113">
        <f t="shared" si="12"/>
        <v>0</v>
      </c>
      <c r="V26" s="113">
        <f t="shared" si="13"/>
        <v>0</v>
      </c>
      <c r="W26" s="113">
        <v>0</v>
      </c>
      <c r="X26" s="113">
        <v>0</v>
      </c>
      <c r="Y26" s="113">
        <v>0</v>
      </c>
      <c r="Z26" s="113">
        <v>0</v>
      </c>
      <c r="AA26" s="113">
        <f t="shared" si="50"/>
        <v>0</v>
      </c>
      <c r="AB26" s="113">
        <f t="shared" si="50"/>
        <v>0</v>
      </c>
      <c r="AC26" s="113"/>
      <c r="AD26" s="113"/>
      <c r="AE26" s="113"/>
      <c r="AF26" s="113"/>
      <c r="AG26" s="113">
        <f t="shared" si="51"/>
        <v>0</v>
      </c>
      <c r="AH26" s="113">
        <f t="shared" si="51"/>
        <v>0</v>
      </c>
      <c r="AI26" s="114">
        <f t="shared" si="16"/>
        <v>0</v>
      </c>
      <c r="AJ26" s="114">
        <f t="shared" si="52"/>
        <v>0</v>
      </c>
      <c r="AK26" s="114">
        <f t="shared" si="52"/>
        <v>0</v>
      </c>
      <c r="AL26" s="114">
        <f t="shared" si="18"/>
        <v>0</v>
      </c>
      <c r="AM26" s="113">
        <f t="shared" si="53"/>
        <v>0</v>
      </c>
      <c r="AN26" s="113">
        <f t="shared" si="53"/>
        <v>0</v>
      </c>
      <c r="AO26" s="113"/>
      <c r="AP26" s="113"/>
      <c r="AQ26" s="113"/>
      <c r="AR26" s="113"/>
      <c r="AS26" s="113">
        <f t="shared" si="54"/>
        <v>0</v>
      </c>
      <c r="AT26" s="113">
        <f t="shared" si="54"/>
        <v>0</v>
      </c>
      <c r="AU26" s="113"/>
      <c r="AV26" s="113"/>
      <c r="AW26" s="113"/>
      <c r="AX26" s="113"/>
      <c r="AY26" s="113">
        <f t="shared" si="55"/>
        <v>0</v>
      </c>
      <c r="AZ26" s="113">
        <f t="shared" si="55"/>
        <v>0</v>
      </c>
      <c r="BA26" s="113"/>
      <c r="BB26" s="113">
        <v>29000</v>
      </c>
      <c r="BC26" s="113"/>
      <c r="BD26" s="113"/>
      <c r="BE26" s="113">
        <f t="shared" si="56"/>
        <v>0</v>
      </c>
      <c r="BF26" s="113">
        <v>29000</v>
      </c>
      <c r="BG26" s="113">
        <f t="shared" si="23"/>
        <v>29000</v>
      </c>
      <c r="BH26" s="113"/>
      <c r="BI26" s="113"/>
      <c r="BJ26" s="113"/>
      <c r="BK26" s="113"/>
      <c r="BL26" s="113">
        <f t="shared" si="57"/>
        <v>0</v>
      </c>
      <c r="BM26" s="113"/>
      <c r="BN26" s="113">
        <f t="shared" si="25"/>
        <v>0</v>
      </c>
      <c r="BO26" s="113"/>
      <c r="BP26" s="113"/>
      <c r="BQ26" s="113">
        <v>40000</v>
      </c>
      <c r="BR26" s="113"/>
      <c r="BS26" s="113">
        <f t="shared" si="58"/>
        <v>40000</v>
      </c>
      <c r="BT26" s="113">
        <v>500</v>
      </c>
      <c r="BU26" s="113">
        <f t="shared" si="27"/>
        <v>0</v>
      </c>
      <c r="BV26" s="113"/>
      <c r="BW26" s="113"/>
      <c r="BX26" s="113"/>
      <c r="BY26" s="113"/>
      <c r="BZ26" s="113">
        <f t="shared" si="59"/>
        <v>0</v>
      </c>
      <c r="CA26" s="113"/>
      <c r="CB26" s="113">
        <f t="shared" si="29"/>
        <v>0</v>
      </c>
      <c r="CC26" s="113"/>
      <c r="CD26" s="113"/>
      <c r="CE26" s="113"/>
      <c r="CF26" s="113"/>
      <c r="CG26" s="113">
        <f t="shared" si="60"/>
        <v>0</v>
      </c>
      <c r="CH26" s="113"/>
      <c r="CI26" s="113">
        <f t="shared" si="31"/>
        <v>0</v>
      </c>
      <c r="CJ26" s="113"/>
      <c r="CK26" s="113"/>
      <c r="CL26" s="113"/>
      <c r="CM26" s="113"/>
      <c r="CN26" s="113">
        <f t="shared" si="61"/>
        <v>0</v>
      </c>
      <c r="CO26" s="113"/>
      <c r="CP26" s="113">
        <f t="shared" si="33"/>
        <v>0</v>
      </c>
      <c r="CQ26" s="113"/>
      <c r="CR26" s="113"/>
      <c r="CS26" s="113"/>
      <c r="CT26" s="113"/>
      <c r="CU26" s="113">
        <f t="shared" si="62"/>
        <v>0</v>
      </c>
      <c r="CV26" s="113"/>
      <c r="CW26" s="113">
        <f t="shared" si="35"/>
        <v>0</v>
      </c>
      <c r="CX26" s="113"/>
      <c r="CY26" s="113"/>
      <c r="CZ26" s="113"/>
      <c r="DA26" s="113"/>
      <c r="DB26" s="113">
        <f t="shared" si="63"/>
        <v>0</v>
      </c>
      <c r="DC26" s="113">
        <f t="shared" si="63"/>
        <v>0</v>
      </c>
      <c r="DD26" s="113"/>
      <c r="DE26" s="113"/>
      <c r="DF26" s="113"/>
      <c r="DG26" s="113"/>
      <c r="DH26" s="113">
        <f t="shared" si="64"/>
        <v>0</v>
      </c>
      <c r="DI26" s="113">
        <f t="shared" si="64"/>
        <v>0</v>
      </c>
      <c r="DJ26" s="113"/>
      <c r="DK26" s="113"/>
      <c r="DL26" s="113"/>
      <c r="DM26" s="113"/>
      <c r="DN26" s="113">
        <f t="shared" si="65"/>
        <v>0</v>
      </c>
      <c r="DO26" s="113">
        <f t="shared" si="65"/>
        <v>0</v>
      </c>
      <c r="DP26" s="113">
        <f t="shared" si="39"/>
        <v>0</v>
      </c>
      <c r="DQ26" s="113">
        <f t="shared" si="40"/>
        <v>29000</v>
      </c>
      <c r="DR26" s="113">
        <f t="shared" si="41"/>
        <v>40000</v>
      </c>
      <c r="DS26" s="113">
        <f t="shared" si="42"/>
        <v>0</v>
      </c>
      <c r="DT26" s="113">
        <f t="shared" si="66"/>
        <v>40000</v>
      </c>
      <c r="DU26" s="113">
        <f t="shared" si="66"/>
        <v>29000</v>
      </c>
    </row>
    <row r="27" spans="1:125">
      <c r="A27" s="15">
        <v>20</v>
      </c>
      <c r="B27" s="96" t="s">
        <v>751</v>
      </c>
      <c r="C27" s="96" t="s">
        <v>777</v>
      </c>
      <c r="D27" s="96" t="s">
        <v>778</v>
      </c>
      <c r="E27" s="185" t="s">
        <v>1164</v>
      </c>
      <c r="F27" s="161">
        <f t="shared" si="5"/>
        <v>0</v>
      </c>
      <c r="G27" s="161">
        <f t="shared" si="44"/>
        <v>0</v>
      </c>
      <c r="H27" s="161">
        <f t="shared" si="45"/>
        <v>0</v>
      </c>
      <c r="I27" s="161">
        <f t="shared" si="6"/>
        <v>0</v>
      </c>
      <c r="J27" s="165">
        <f t="shared" si="7"/>
        <v>12540.5</v>
      </c>
      <c r="K27" s="115"/>
      <c r="L27" s="211">
        <v>0</v>
      </c>
      <c r="M27" s="211">
        <v>0</v>
      </c>
      <c r="N27" s="127">
        <f t="shared" si="8"/>
        <v>12540.5</v>
      </c>
      <c r="O27" s="127">
        <f t="shared" si="9"/>
        <v>12540.5</v>
      </c>
      <c r="P27" s="127">
        <f t="shared" si="10"/>
        <v>12540.5</v>
      </c>
      <c r="Q27" s="131">
        <f t="shared" si="46"/>
        <v>0</v>
      </c>
      <c r="R27" s="125">
        <f t="shared" si="11"/>
        <v>12540.5</v>
      </c>
      <c r="S27" s="113"/>
      <c r="T27" s="113">
        <v>12540.5</v>
      </c>
      <c r="U27" s="113">
        <f t="shared" si="12"/>
        <v>0</v>
      </c>
      <c r="V27" s="113">
        <f t="shared" si="13"/>
        <v>12540.5</v>
      </c>
      <c r="W27" s="113">
        <v>0</v>
      </c>
      <c r="X27" s="113">
        <v>0</v>
      </c>
      <c r="Y27" s="113">
        <v>0</v>
      </c>
      <c r="Z27" s="113">
        <v>0</v>
      </c>
      <c r="AA27" s="113">
        <f t="shared" si="50"/>
        <v>0</v>
      </c>
      <c r="AB27" s="113">
        <f t="shared" si="50"/>
        <v>0</v>
      </c>
      <c r="AC27" s="113"/>
      <c r="AD27" s="113"/>
      <c r="AE27" s="113"/>
      <c r="AF27" s="113"/>
      <c r="AG27" s="113">
        <f t="shared" si="51"/>
        <v>0</v>
      </c>
      <c r="AH27" s="113">
        <f t="shared" si="51"/>
        <v>0</v>
      </c>
      <c r="AI27" s="114">
        <f t="shared" si="16"/>
        <v>0</v>
      </c>
      <c r="AJ27" s="114">
        <f t="shared" si="52"/>
        <v>0</v>
      </c>
      <c r="AK27" s="114">
        <f t="shared" si="52"/>
        <v>12540.5</v>
      </c>
      <c r="AL27" s="114">
        <f t="shared" si="18"/>
        <v>12540.5</v>
      </c>
      <c r="AM27" s="113">
        <f t="shared" si="53"/>
        <v>12540.5</v>
      </c>
      <c r="AN27" s="113">
        <f t="shared" si="53"/>
        <v>12540.5</v>
      </c>
      <c r="AO27" s="113"/>
      <c r="AP27" s="113"/>
      <c r="AQ27" s="113"/>
      <c r="AR27" s="113"/>
      <c r="AS27" s="113">
        <f t="shared" si="54"/>
        <v>0</v>
      </c>
      <c r="AT27" s="113">
        <f t="shared" si="54"/>
        <v>0</v>
      </c>
      <c r="AU27" s="113"/>
      <c r="AV27" s="113"/>
      <c r="AW27" s="113"/>
      <c r="AX27" s="113"/>
      <c r="AY27" s="113">
        <f t="shared" si="55"/>
        <v>0</v>
      </c>
      <c r="AZ27" s="113">
        <f t="shared" si="55"/>
        <v>0</v>
      </c>
      <c r="BA27" s="113"/>
      <c r="BB27" s="113"/>
      <c r="BC27" s="113"/>
      <c r="BD27" s="113"/>
      <c r="BE27" s="113">
        <f t="shared" si="56"/>
        <v>0</v>
      </c>
      <c r="BF27" s="113"/>
      <c r="BG27" s="113">
        <f t="shared" si="23"/>
        <v>0</v>
      </c>
      <c r="BH27" s="113"/>
      <c r="BI27" s="113"/>
      <c r="BJ27" s="113"/>
      <c r="BK27" s="113"/>
      <c r="BL27" s="113">
        <f t="shared" si="57"/>
        <v>0</v>
      </c>
      <c r="BM27" s="113"/>
      <c r="BN27" s="113">
        <f t="shared" si="25"/>
        <v>0</v>
      </c>
      <c r="BO27" s="113"/>
      <c r="BP27" s="113"/>
      <c r="BQ27" s="113"/>
      <c r="BR27" s="113"/>
      <c r="BS27" s="113">
        <f t="shared" si="58"/>
        <v>0</v>
      </c>
      <c r="BT27" s="113"/>
      <c r="BU27" s="113">
        <f t="shared" si="27"/>
        <v>0</v>
      </c>
      <c r="BV27" s="113"/>
      <c r="BW27" s="113"/>
      <c r="BX27" s="113"/>
      <c r="BY27" s="113"/>
      <c r="BZ27" s="113">
        <f t="shared" si="59"/>
        <v>0</v>
      </c>
      <c r="CA27" s="113"/>
      <c r="CB27" s="113">
        <f t="shared" si="29"/>
        <v>0</v>
      </c>
      <c r="CC27" s="113"/>
      <c r="CD27" s="113"/>
      <c r="CE27" s="113"/>
      <c r="CF27" s="113"/>
      <c r="CG27" s="113">
        <f t="shared" si="60"/>
        <v>0</v>
      </c>
      <c r="CH27" s="113"/>
      <c r="CI27" s="113">
        <f t="shared" si="31"/>
        <v>0</v>
      </c>
      <c r="CJ27" s="113"/>
      <c r="CK27" s="113"/>
      <c r="CL27" s="113"/>
      <c r="CM27" s="113"/>
      <c r="CN27" s="113">
        <f t="shared" si="61"/>
        <v>0</v>
      </c>
      <c r="CO27" s="113"/>
      <c r="CP27" s="113">
        <f t="shared" si="33"/>
        <v>0</v>
      </c>
      <c r="CQ27" s="113"/>
      <c r="CR27" s="113"/>
      <c r="CS27" s="113"/>
      <c r="CT27" s="113"/>
      <c r="CU27" s="113">
        <f t="shared" si="62"/>
        <v>0</v>
      </c>
      <c r="CV27" s="113"/>
      <c r="CW27" s="113">
        <f t="shared" si="35"/>
        <v>0</v>
      </c>
      <c r="CX27" s="113"/>
      <c r="CY27" s="113"/>
      <c r="CZ27" s="113"/>
      <c r="DA27" s="113"/>
      <c r="DB27" s="113">
        <f t="shared" si="63"/>
        <v>0</v>
      </c>
      <c r="DC27" s="113">
        <f t="shared" si="63"/>
        <v>0</v>
      </c>
      <c r="DD27" s="113"/>
      <c r="DE27" s="113"/>
      <c r="DF27" s="113"/>
      <c r="DG27" s="113"/>
      <c r="DH27" s="113">
        <f t="shared" si="64"/>
        <v>0</v>
      </c>
      <c r="DI27" s="113">
        <f t="shared" si="64"/>
        <v>0</v>
      </c>
      <c r="DJ27" s="113"/>
      <c r="DK27" s="113"/>
      <c r="DL27" s="113"/>
      <c r="DM27" s="113"/>
      <c r="DN27" s="113">
        <f t="shared" si="65"/>
        <v>0</v>
      </c>
      <c r="DO27" s="113">
        <f t="shared" si="65"/>
        <v>0</v>
      </c>
      <c r="DP27" s="113">
        <f t="shared" si="39"/>
        <v>0</v>
      </c>
      <c r="DQ27" s="113">
        <f t="shared" si="40"/>
        <v>0</v>
      </c>
      <c r="DR27" s="113">
        <f t="shared" si="41"/>
        <v>0</v>
      </c>
      <c r="DS27" s="113">
        <f t="shared" si="42"/>
        <v>0</v>
      </c>
      <c r="DT27" s="113">
        <f t="shared" si="66"/>
        <v>0</v>
      </c>
      <c r="DU27" s="113">
        <f t="shared" si="66"/>
        <v>0</v>
      </c>
    </row>
    <row r="28" spans="1:125">
      <c r="A28" s="15">
        <v>21</v>
      </c>
      <c r="B28" s="96" t="s">
        <v>751</v>
      </c>
      <c r="C28" s="112" t="s">
        <v>777</v>
      </c>
      <c r="D28" s="96" t="s">
        <v>779</v>
      </c>
      <c r="E28" s="185" t="s">
        <v>1165</v>
      </c>
      <c r="F28" s="161">
        <f t="shared" si="5"/>
        <v>100000</v>
      </c>
      <c r="G28" s="161">
        <f t="shared" si="44"/>
        <v>0</v>
      </c>
      <c r="H28" s="161">
        <f t="shared" si="45"/>
        <v>100000</v>
      </c>
      <c r="I28" s="161">
        <f t="shared" si="6"/>
        <v>1000</v>
      </c>
      <c r="J28" s="165">
        <f t="shared" si="7"/>
        <v>900000</v>
      </c>
      <c r="K28" s="115">
        <f>127784+71184+18105</f>
        <v>217073</v>
      </c>
      <c r="L28" s="211">
        <v>0</v>
      </c>
      <c r="M28" s="211">
        <v>0</v>
      </c>
      <c r="N28" s="127">
        <f t="shared" si="8"/>
        <v>800000</v>
      </c>
      <c r="O28" s="127">
        <f t="shared" si="9"/>
        <v>0</v>
      </c>
      <c r="P28" s="127">
        <f t="shared" si="10"/>
        <v>800000</v>
      </c>
      <c r="Q28" s="131">
        <f t="shared" si="46"/>
        <v>100000</v>
      </c>
      <c r="R28" s="125" t="str">
        <f t="shared" si="11"/>
        <v>მიმდინარეობს</v>
      </c>
      <c r="S28" s="113">
        <v>800000</v>
      </c>
      <c r="T28" s="113"/>
      <c r="U28" s="113">
        <f t="shared" si="12"/>
        <v>800000</v>
      </c>
      <c r="V28" s="113">
        <f t="shared" si="13"/>
        <v>0</v>
      </c>
      <c r="W28" s="113">
        <v>0</v>
      </c>
      <c r="X28" s="113">
        <v>0</v>
      </c>
      <c r="Y28" s="113">
        <v>0</v>
      </c>
      <c r="Z28" s="113">
        <v>0</v>
      </c>
      <c r="AA28" s="113">
        <f t="shared" si="50"/>
        <v>0</v>
      </c>
      <c r="AB28" s="113">
        <f t="shared" si="50"/>
        <v>0</v>
      </c>
      <c r="AC28" s="113"/>
      <c r="AD28" s="113"/>
      <c r="AE28" s="113"/>
      <c r="AF28" s="113"/>
      <c r="AG28" s="113">
        <f t="shared" si="51"/>
        <v>0</v>
      </c>
      <c r="AH28" s="113">
        <f t="shared" si="51"/>
        <v>0</v>
      </c>
      <c r="AI28" s="114">
        <f t="shared" si="16"/>
        <v>800000</v>
      </c>
      <c r="AJ28" s="114">
        <f t="shared" si="52"/>
        <v>800000</v>
      </c>
      <c r="AK28" s="114">
        <f t="shared" si="52"/>
        <v>0</v>
      </c>
      <c r="AL28" s="114">
        <f t="shared" si="18"/>
        <v>0</v>
      </c>
      <c r="AM28" s="113">
        <f t="shared" si="53"/>
        <v>800000</v>
      </c>
      <c r="AN28" s="113">
        <f t="shared" si="53"/>
        <v>800000</v>
      </c>
      <c r="AO28" s="113"/>
      <c r="AP28" s="113"/>
      <c r="AQ28" s="113"/>
      <c r="AR28" s="113"/>
      <c r="AS28" s="113">
        <f t="shared" si="54"/>
        <v>0</v>
      </c>
      <c r="AT28" s="113">
        <f t="shared" si="54"/>
        <v>0</v>
      </c>
      <c r="AU28" s="113"/>
      <c r="AV28" s="113"/>
      <c r="AW28" s="113">
        <v>100000</v>
      </c>
      <c r="AX28" s="113"/>
      <c r="AY28" s="113">
        <f t="shared" si="55"/>
        <v>100000</v>
      </c>
      <c r="AZ28" s="113">
        <f t="shared" si="55"/>
        <v>0</v>
      </c>
      <c r="BA28" s="113"/>
      <c r="BB28" s="113"/>
      <c r="BC28" s="113"/>
      <c r="BD28" s="113"/>
      <c r="BE28" s="113">
        <f t="shared" si="56"/>
        <v>0</v>
      </c>
      <c r="BF28" s="113"/>
      <c r="BG28" s="113">
        <f t="shared" si="23"/>
        <v>0</v>
      </c>
      <c r="BH28" s="113"/>
      <c r="BI28" s="113"/>
      <c r="BJ28" s="113"/>
      <c r="BK28" s="113"/>
      <c r="BL28" s="113">
        <f t="shared" si="57"/>
        <v>0</v>
      </c>
      <c r="BM28" s="113"/>
      <c r="BN28" s="113">
        <f t="shared" si="25"/>
        <v>0</v>
      </c>
      <c r="BO28" s="113"/>
      <c r="BP28" s="113"/>
      <c r="BQ28" s="113"/>
      <c r="BR28" s="113"/>
      <c r="BS28" s="113">
        <f t="shared" si="58"/>
        <v>0</v>
      </c>
      <c r="BT28" s="113">
        <v>1000</v>
      </c>
      <c r="BU28" s="113">
        <f t="shared" si="27"/>
        <v>0</v>
      </c>
      <c r="BV28" s="113"/>
      <c r="BW28" s="113"/>
      <c r="BX28" s="113"/>
      <c r="BY28" s="113"/>
      <c r="BZ28" s="113">
        <f t="shared" si="59"/>
        <v>0</v>
      </c>
      <c r="CA28" s="113"/>
      <c r="CB28" s="113">
        <f t="shared" si="29"/>
        <v>0</v>
      </c>
      <c r="CC28" s="113"/>
      <c r="CD28" s="113"/>
      <c r="CE28" s="113"/>
      <c r="CF28" s="113"/>
      <c r="CG28" s="113">
        <f t="shared" si="60"/>
        <v>0</v>
      </c>
      <c r="CH28" s="113"/>
      <c r="CI28" s="113">
        <f t="shared" si="31"/>
        <v>0</v>
      </c>
      <c r="CJ28" s="113"/>
      <c r="CK28" s="113"/>
      <c r="CL28" s="113"/>
      <c r="CM28" s="113"/>
      <c r="CN28" s="113">
        <f t="shared" si="61"/>
        <v>0</v>
      </c>
      <c r="CO28" s="113"/>
      <c r="CP28" s="113">
        <f t="shared" si="33"/>
        <v>0</v>
      </c>
      <c r="CQ28" s="113"/>
      <c r="CR28" s="113"/>
      <c r="CS28" s="113"/>
      <c r="CT28" s="113"/>
      <c r="CU28" s="113">
        <f t="shared" si="62"/>
        <v>0</v>
      </c>
      <c r="CV28" s="113"/>
      <c r="CW28" s="113">
        <f t="shared" si="35"/>
        <v>0</v>
      </c>
      <c r="CX28" s="113"/>
      <c r="CY28" s="113"/>
      <c r="CZ28" s="113"/>
      <c r="DA28" s="113"/>
      <c r="DB28" s="113">
        <f t="shared" si="63"/>
        <v>0</v>
      </c>
      <c r="DC28" s="113">
        <f t="shared" si="63"/>
        <v>0</v>
      </c>
      <c r="DD28" s="113"/>
      <c r="DE28" s="113"/>
      <c r="DF28" s="113"/>
      <c r="DG28" s="113"/>
      <c r="DH28" s="113">
        <f t="shared" si="64"/>
        <v>0</v>
      </c>
      <c r="DI28" s="113">
        <f t="shared" si="64"/>
        <v>0</v>
      </c>
      <c r="DJ28" s="113"/>
      <c r="DK28" s="113"/>
      <c r="DL28" s="113"/>
      <c r="DM28" s="113"/>
      <c r="DN28" s="113">
        <f t="shared" si="65"/>
        <v>0</v>
      </c>
      <c r="DO28" s="113">
        <f t="shared" si="65"/>
        <v>0</v>
      </c>
      <c r="DP28" s="113">
        <f t="shared" si="39"/>
        <v>0</v>
      </c>
      <c r="DQ28" s="113">
        <f t="shared" si="40"/>
        <v>0</v>
      </c>
      <c r="DR28" s="113">
        <f t="shared" si="41"/>
        <v>100000</v>
      </c>
      <c r="DS28" s="113">
        <f t="shared" si="42"/>
        <v>0</v>
      </c>
      <c r="DT28" s="113">
        <f t="shared" si="66"/>
        <v>100000</v>
      </c>
      <c r="DU28" s="113">
        <f t="shared" si="66"/>
        <v>0</v>
      </c>
    </row>
    <row r="29" spans="1:125" ht="30">
      <c r="A29" s="15">
        <v>22</v>
      </c>
      <c r="B29" s="7" t="s">
        <v>751</v>
      </c>
      <c r="C29" s="112" t="s">
        <v>780</v>
      </c>
      <c r="D29" s="96" t="s">
        <v>781</v>
      </c>
      <c r="E29" s="183" t="s">
        <v>1165</v>
      </c>
      <c r="F29" s="161">
        <f t="shared" si="5"/>
        <v>0</v>
      </c>
      <c r="G29" s="161">
        <f t="shared" si="44"/>
        <v>99455.5</v>
      </c>
      <c r="H29" s="161">
        <f t="shared" si="45"/>
        <v>-99455.5</v>
      </c>
      <c r="I29" s="161">
        <f t="shared" si="6"/>
        <v>2455.5</v>
      </c>
      <c r="J29" s="165">
        <f t="shared" si="7"/>
        <v>2025000</v>
      </c>
      <c r="K29" s="115">
        <v>527900</v>
      </c>
      <c r="L29" s="211">
        <v>1400000</v>
      </c>
      <c r="M29" s="211">
        <v>0</v>
      </c>
      <c r="N29" s="127">
        <f t="shared" si="8"/>
        <v>625000</v>
      </c>
      <c r="O29" s="127">
        <f t="shared" si="9"/>
        <v>0</v>
      </c>
      <c r="P29" s="127">
        <f t="shared" si="10"/>
        <v>2025000</v>
      </c>
      <c r="Q29" s="131">
        <f t="shared" si="46"/>
        <v>0</v>
      </c>
      <c r="R29" s="125">
        <f t="shared" si="11"/>
        <v>2124455.5</v>
      </c>
      <c r="S29" s="113">
        <v>625000</v>
      </c>
      <c r="T29" s="113"/>
      <c r="U29" s="113">
        <f t="shared" si="12"/>
        <v>2025000</v>
      </c>
      <c r="V29" s="113">
        <f t="shared" si="13"/>
        <v>0</v>
      </c>
      <c r="W29" s="113">
        <v>0</v>
      </c>
      <c r="X29" s="113">
        <v>0</v>
      </c>
      <c r="Y29" s="113">
        <v>0</v>
      </c>
      <c r="Z29" s="113">
        <v>0</v>
      </c>
      <c r="AA29" s="113">
        <f t="shared" si="50"/>
        <v>0</v>
      </c>
      <c r="AB29" s="113">
        <f t="shared" si="50"/>
        <v>0</v>
      </c>
      <c r="AC29" s="113"/>
      <c r="AD29" s="113"/>
      <c r="AE29" s="113">
        <v>130000</v>
      </c>
      <c r="AF29" s="113"/>
      <c r="AG29" s="113">
        <f t="shared" si="51"/>
        <v>130000</v>
      </c>
      <c r="AH29" s="113">
        <f t="shared" si="51"/>
        <v>0</v>
      </c>
      <c r="AI29" s="114">
        <f t="shared" si="16"/>
        <v>625000</v>
      </c>
      <c r="AJ29" s="114">
        <f t="shared" si="52"/>
        <v>625000</v>
      </c>
      <c r="AK29" s="114">
        <f t="shared" si="52"/>
        <v>130000</v>
      </c>
      <c r="AL29" s="114">
        <f t="shared" si="18"/>
        <v>0</v>
      </c>
      <c r="AM29" s="113">
        <f t="shared" si="53"/>
        <v>755000</v>
      </c>
      <c r="AN29" s="113">
        <f t="shared" si="53"/>
        <v>625000</v>
      </c>
      <c r="AO29" s="113"/>
      <c r="AP29" s="113"/>
      <c r="AQ29" s="113"/>
      <c r="AR29" s="113">
        <v>97000</v>
      </c>
      <c r="AS29" s="113">
        <f t="shared" si="54"/>
        <v>0</v>
      </c>
      <c r="AT29" s="113">
        <f t="shared" si="54"/>
        <v>97000</v>
      </c>
      <c r="AU29" s="113"/>
      <c r="AV29" s="113"/>
      <c r="AW29" s="113"/>
      <c r="AX29" s="113"/>
      <c r="AY29" s="113">
        <f t="shared" si="55"/>
        <v>0</v>
      </c>
      <c r="AZ29" s="113">
        <f t="shared" si="55"/>
        <v>0</v>
      </c>
      <c r="BA29" s="113"/>
      <c r="BB29" s="113"/>
      <c r="BC29" s="113"/>
      <c r="BD29" s="113">
        <v>2455.5</v>
      </c>
      <c r="BE29" s="113">
        <f t="shared" si="56"/>
        <v>0</v>
      </c>
      <c r="BF29" s="113">
        <v>2455.5</v>
      </c>
      <c r="BG29" s="113">
        <f t="shared" si="23"/>
        <v>2455.5</v>
      </c>
      <c r="BH29" s="113"/>
      <c r="BI29" s="113"/>
      <c r="BJ29" s="113"/>
      <c r="BK29" s="113"/>
      <c r="BL29" s="113">
        <f t="shared" si="57"/>
        <v>0</v>
      </c>
      <c r="BM29" s="113"/>
      <c r="BN29" s="113">
        <f t="shared" si="25"/>
        <v>0</v>
      </c>
      <c r="BO29" s="113"/>
      <c r="BP29" s="113"/>
      <c r="BQ29" s="113"/>
      <c r="BR29" s="113"/>
      <c r="BS29" s="113">
        <f t="shared" si="58"/>
        <v>0</v>
      </c>
      <c r="BT29" s="113"/>
      <c r="BU29" s="113">
        <f t="shared" si="27"/>
        <v>0</v>
      </c>
      <c r="BV29" s="113"/>
      <c r="BW29" s="113"/>
      <c r="BX29" s="113"/>
      <c r="BY29" s="113"/>
      <c r="BZ29" s="113">
        <f t="shared" si="59"/>
        <v>0</v>
      </c>
      <c r="CA29" s="113"/>
      <c r="CB29" s="113">
        <f t="shared" si="29"/>
        <v>0</v>
      </c>
      <c r="CC29" s="113"/>
      <c r="CD29" s="113"/>
      <c r="CE29" s="113"/>
      <c r="CF29" s="113"/>
      <c r="CG29" s="113">
        <f t="shared" si="60"/>
        <v>0</v>
      </c>
      <c r="CH29" s="113"/>
      <c r="CI29" s="113">
        <f t="shared" si="31"/>
        <v>0</v>
      </c>
      <c r="CJ29" s="113"/>
      <c r="CK29" s="113"/>
      <c r="CL29" s="113"/>
      <c r="CM29" s="113"/>
      <c r="CN29" s="113">
        <f t="shared" si="61"/>
        <v>0</v>
      </c>
      <c r="CO29" s="113"/>
      <c r="CP29" s="113">
        <f t="shared" si="33"/>
        <v>0</v>
      </c>
      <c r="CQ29" s="113"/>
      <c r="CR29" s="113"/>
      <c r="CS29" s="113"/>
      <c r="CT29" s="113"/>
      <c r="CU29" s="113">
        <f t="shared" si="62"/>
        <v>0</v>
      </c>
      <c r="CV29" s="113"/>
      <c r="CW29" s="113">
        <f t="shared" si="35"/>
        <v>0</v>
      </c>
      <c r="CX29" s="113"/>
      <c r="CY29" s="113"/>
      <c r="CZ29" s="113"/>
      <c r="DA29" s="113"/>
      <c r="DB29" s="113">
        <f t="shared" si="63"/>
        <v>0</v>
      </c>
      <c r="DC29" s="113">
        <f t="shared" si="63"/>
        <v>0</v>
      </c>
      <c r="DD29" s="113"/>
      <c r="DE29" s="113"/>
      <c r="DF29" s="113"/>
      <c r="DG29" s="113"/>
      <c r="DH29" s="113">
        <f t="shared" si="64"/>
        <v>0</v>
      </c>
      <c r="DI29" s="113">
        <f t="shared" si="64"/>
        <v>0</v>
      </c>
      <c r="DJ29" s="113"/>
      <c r="DK29" s="113"/>
      <c r="DL29" s="113"/>
      <c r="DM29" s="113"/>
      <c r="DN29" s="113">
        <f t="shared" si="65"/>
        <v>0</v>
      </c>
      <c r="DO29" s="113">
        <f t="shared" si="65"/>
        <v>0</v>
      </c>
      <c r="DP29" s="113">
        <f t="shared" si="39"/>
        <v>0</v>
      </c>
      <c r="DQ29" s="113">
        <f t="shared" si="40"/>
        <v>0</v>
      </c>
      <c r="DR29" s="113">
        <f t="shared" si="41"/>
        <v>0</v>
      </c>
      <c r="DS29" s="113">
        <f t="shared" si="42"/>
        <v>99455.5</v>
      </c>
      <c r="DT29" s="113">
        <f t="shared" si="66"/>
        <v>0</v>
      </c>
      <c r="DU29" s="113">
        <f t="shared" si="66"/>
        <v>99455.5</v>
      </c>
    </row>
    <row r="30" spans="1:125">
      <c r="A30" s="15">
        <v>23</v>
      </c>
      <c r="B30" s="96" t="s">
        <v>751</v>
      </c>
      <c r="C30" s="7" t="s">
        <v>782</v>
      </c>
      <c r="D30" s="96" t="s">
        <v>783</v>
      </c>
      <c r="E30" s="185" t="s">
        <v>1164</v>
      </c>
      <c r="F30" s="161">
        <f t="shared" si="5"/>
        <v>0</v>
      </c>
      <c r="G30" s="161">
        <f t="shared" si="44"/>
        <v>0</v>
      </c>
      <c r="H30" s="161">
        <f t="shared" si="45"/>
        <v>0</v>
      </c>
      <c r="I30" s="161">
        <f t="shared" si="6"/>
        <v>0</v>
      </c>
      <c r="J30" s="165">
        <f t="shared" si="7"/>
        <v>6779.5</v>
      </c>
      <c r="K30" s="115"/>
      <c r="L30" s="211">
        <v>0</v>
      </c>
      <c r="M30" s="211">
        <v>0</v>
      </c>
      <c r="N30" s="127">
        <f t="shared" si="8"/>
        <v>6779.5</v>
      </c>
      <c r="O30" s="127">
        <f t="shared" si="9"/>
        <v>6779.5</v>
      </c>
      <c r="P30" s="127">
        <f t="shared" si="10"/>
        <v>6779.5</v>
      </c>
      <c r="Q30" s="131">
        <f t="shared" si="46"/>
        <v>0</v>
      </c>
      <c r="R30" s="125">
        <f t="shared" si="11"/>
        <v>6779.5</v>
      </c>
      <c r="S30" s="113"/>
      <c r="T30" s="113">
        <v>6779.5</v>
      </c>
      <c r="U30" s="113">
        <f t="shared" si="12"/>
        <v>0</v>
      </c>
      <c r="V30" s="113">
        <f t="shared" si="13"/>
        <v>6779.5</v>
      </c>
      <c r="W30" s="113">
        <v>0</v>
      </c>
      <c r="X30" s="113">
        <v>0</v>
      </c>
      <c r="Y30" s="113">
        <v>0</v>
      </c>
      <c r="Z30" s="113">
        <v>0</v>
      </c>
      <c r="AA30" s="113">
        <f t="shared" si="50"/>
        <v>0</v>
      </c>
      <c r="AB30" s="113">
        <f t="shared" si="50"/>
        <v>0</v>
      </c>
      <c r="AC30" s="113"/>
      <c r="AD30" s="113"/>
      <c r="AE30" s="113"/>
      <c r="AF30" s="113"/>
      <c r="AG30" s="113">
        <f t="shared" si="51"/>
        <v>0</v>
      </c>
      <c r="AH30" s="113">
        <f t="shared" si="51"/>
        <v>0</v>
      </c>
      <c r="AI30" s="114">
        <f t="shared" si="16"/>
        <v>0</v>
      </c>
      <c r="AJ30" s="114">
        <f t="shared" si="52"/>
        <v>0</v>
      </c>
      <c r="AK30" s="114">
        <f t="shared" si="52"/>
        <v>6779.5</v>
      </c>
      <c r="AL30" s="114">
        <f t="shared" si="18"/>
        <v>6779.5</v>
      </c>
      <c r="AM30" s="113">
        <f t="shared" si="53"/>
        <v>6779.5</v>
      </c>
      <c r="AN30" s="113">
        <f t="shared" si="53"/>
        <v>6779.5</v>
      </c>
      <c r="AO30" s="113"/>
      <c r="AP30" s="113"/>
      <c r="AQ30" s="113"/>
      <c r="AR30" s="113"/>
      <c r="AS30" s="113">
        <f t="shared" si="54"/>
        <v>0</v>
      </c>
      <c r="AT30" s="113">
        <f t="shared" si="54"/>
        <v>0</v>
      </c>
      <c r="AU30" s="113"/>
      <c r="AV30" s="113"/>
      <c r="AW30" s="113"/>
      <c r="AX30" s="113"/>
      <c r="AY30" s="113">
        <f t="shared" si="55"/>
        <v>0</v>
      </c>
      <c r="AZ30" s="113">
        <f t="shared" si="55"/>
        <v>0</v>
      </c>
      <c r="BA30" s="113"/>
      <c r="BB30" s="113"/>
      <c r="BC30" s="113"/>
      <c r="BD30" s="113"/>
      <c r="BE30" s="113">
        <f t="shared" si="56"/>
        <v>0</v>
      </c>
      <c r="BF30" s="113"/>
      <c r="BG30" s="113">
        <f t="shared" si="23"/>
        <v>0</v>
      </c>
      <c r="BH30" s="113"/>
      <c r="BI30" s="113"/>
      <c r="BJ30" s="113"/>
      <c r="BK30" s="113"/>
      <c r="BL30" s="113">
        <f t="shared" si="57"/>
        <v>0</v>
      </c>
      <c r="BM30" s="113"/>
      <c r="BN30" s="113">
        <f t="shared" si="25"/>
        <v>0</v>
      </c>
      <c r="BO30" s="113"/>
      <c r="BP30" s="113"/>
      <c r="BQ30" s="113"/>
      <c r="BR30" s="113"/>
      <c r="BS30" s="113">
        <f t="shared" si="58"/>
        <v>0</v>
      </c>
      <c r="BT30" s="113"/>
      <c r="BU30" s="113">
        <f t="shared" si="27"/>
        <v>0</v>
      </c>
      <c r="BV30" s="113"/>
      <c r="BW30" s="113"/>
      <c r="BX30" s="113"/>
      <c r="BY30" s="113"/>
      <c r="BZ30" s="113">
        <f t="shared" si="59"/>
        <v>0</v>
      </c>
      <c r="CA30" s="113"/>
      <c r="CB30" s="113">
        <f t="shared" si="29"/>
        <v>0</v>
      </c>
      <c r="CC30" s="113"/>
      <c r="CD30" s="113"/>
      <c r="CE30" s="113"/>
      <c r="CF30" s="113"/>
      <c r="CG30" s="113">
        <f t="shared" si="60"/>
        <v>0</v>
      </c>
      <c r="CH30" s="113"/>
      <c r="CI30" s="113">
        <f t="shared" si="31"/>
        <v>0</v>
      </c>
      <c r="CJ30" s="113"/>
      <c r="CK30" s="113"/>
      <c r="CL30" s="113"/>
      <c r="CM30" s="113"/>
      <c r="CN30" s="113">
        <f t="shared" si="61"/>
        <v>0</v>
      </c>
      <c r="CO30" s="113"/>
      <c r="CP30" s="113">
        <f t="shared" si="33"/>
        <v>0</v>
      </c>
      <c r="CQ30" s="113"/>
      <c r="CR30" s="113"/>
      <c r="CS30" s="113"/>
      <c r="CT30" s="113"/>
      <c r="CU30" s="113">
        <f t="shared" si="62"/>
        <v>0</v>
      </c>
      <c r="CV30" s="113"/>
      <c r="CW30" s="113">
        <f t="shared" si="35"/>
        <v>0</v>
      </c>
      <c r="CX30" s="113"/>
      <c r="CY30" s="113"/>
      <c r="CZ30" s="113"/>
      <c r="DA30" s="113"/>
      <c r="DB30" s="113">
        <f t="shared" si="63"/>
        <v>0</v>
      </c>
      <c r="DC30" s="113">
        <f t="shared" si="63"/>
        <v>0</v>
      </c>
      <c r="DD30" s="113"/>
      <c r="DE30" s="113"/>
      <c r="DF30" s="113"/>
      <c r="DG30" s="113"/>
      <c r="DH30" s="113">
        <f t="shared" si="64"/>
        <v>0</v>
      </c>
      <c r="DI30" s="113">
        <f t="shared" si="64"/>
        <v>0</v>
      </c>
      <c r="DJ30" s="113"/>
      <c r="DK30" s="113"/>
      <c r="DL30" s="113"/>
      <c r="DM30" s="113"/>
      <c r="DN30" s="113">
        <f t="shared" si="65"/>
        <v>0</v>
      </c>
      <c r="DO30" s="113">
        <f t="shared" si="65"/>
        <v>0</v>
      </c>
      <c r="DP30" s="113">
        <f t="shared" si="39"/>
        <v>0</v>
      </c>
      <c r="DQ30" s="113">
        <f t="shared" si="40"/>
        <v>0</v>
      </c>
      <c r="DR30" s="113">
        <f t="shared" si="41"/>
        <v>0</v>
      </c>
      <c r="DS30" s="113">
        <f t="shared" si="42"/>
        <v>0</v>
      </c>
      <c r="DT30" s="113">
        <f t="shared" si="66"/>
        <v>0</v>
      </c>
      <c r="DU30" s="113">
        <f t="shared" si="66"/>
        <v>0</v>
      </c>
    </row>
    <row r="31" spans="1:125">
      <c r="A31" s="15">
        <v>24</v>
      </c>
      <c r="B31" s="96" t="s">
        <v>751</v>
      </c>
      <c r="C31" s="112" t="s">
        <v>782</v>
      </c>
      <c r="D31" s="96" t="s">
        <v>784</v>
      </c>
      <c r="E31" s="185" t="s">
        <v>1165</v>
      </c>
      <c r="F31" s="161">
        <f t="shared" si="5"/>
        <v>1100000</v>
      </c>
      <c r="G31" s="161">
        <f t="shared" si="44"/>
        <v>950000</v>
      </c>
      <c r="H31" s="161">
        <f t="shared" si="45"/>
        <v>150000</v>
      </c>
      <c r="I31" s="161">
        <f t="shared" si="6"/>
        <v>1100000</v>
      </c>
      <c r="J31" s="165">
        <f t="shared" si="7"/>
        <v>1500000</v>
      </c>
      <c r="K31" s="115">
        <v>456124</v>
      </c>
      <c r="L31" s="211">
        <v>0</v>
      </c>
      <c r="M31" s="211">
        <v>0</v>
      </c>
      <c r="N31" s="127">
        <f t="shared" si="8"/>
        <v>400000</v>
      </c>
      <c r="O31" s="127">
        <f t="shared" si="9"/>
        <v>0</v>
      </c>
      <c r="P31" s="127">
        <f t="shared" si="10"/>
        <v>400000</v>
      </c>
      <c r="Q31" s="131">
        <f t="shared" si="46"/>
        <v>1100000</v>
      </c>
      <c r="R31" s="125" t="str">
        <f t="shared" si="11"/>
        <v>მიმდინარეობს</v>
      </c>
      <c r="S31" s="113">
        <v>400000</v>
      </c>
      <c r="T31" s="113"/>
      <c r="U31" s="113">
        <f t="shared" si="12"/>
        <v>400000</v>
      </c>
      <c r="V31" s="113">
        <f t="shared" si="13"/>
        <v>0</v>
      </c>
      <c r="W31" s="113">
        <v>0</v>
      </c>
      <c r="X31" s="113">
        <v>0</v>
      </c>
      <c r="Y31" s="113">
        <v>0</v>
      </c>
      <c r="Z31" s="113">
        <v>0</v>
      </c>
      <c r="AA31" s="113">
        <f t="shared" si="50"/>
        <v>0</v>
      </c>
      <c r="AB31" s="113">
        <f t="shared" si="50"/>
        <v>0</v>
      </c>
      <c r="AC31" s="113"/>
      <c r="AD31" s="113"/>
      <c r="AE31" s="113"/>
      <c r="AF31" s="113"/>
      <c r="AG31" s="113">
        <f t="shared" si="51"/>
        <v>0</v>
      </c>
      <c r="AH31" s="113">
        <f t="shared" si="51"/>
        <v>0</v>
      </c>
      <c r="AI31" s="114">
        <f t="shared" si="16"/>
        <v>400000</v>
      </c>
      <c r="AJ31" s="114">
        <f t="shared" si="52"/>
        <v>400000</v>
      </c>
      <c r="AK31" s="114">
        <f t="shared" si="52"/>
        <v>0</v>
      </c>
      <c r="AL31" s="114">
        <f t="shared" si="18"/>
        <v>0</v>
      </c>
      <c r="AM31" s="113">
        <f t="shared" si="53"/>
        <v>400000</v>
      </c>
      <c r="AN31" s="113">
        <f t="shared" si="53"/>
        <v>400000</v>
      </c>
      <c r="AO31" s="113"/>
      <c r="AP31" s="113"/>
      <c r="AQ31" s="113"/>
      <c r="AR31" s="113"/>
      <c r="AS31" s="113">
        <f t="shared" si="54"/>
        <v>0</v>
      </c>
      <c r="AT31" s="113">
        <f t="shared" si="54"/>
        <v>0</v>
      </c>
      <c r="AU31" s="113"/>
      <c r="AV31" s="113"/>
      <c r="AW31" s="113"/>
      <c r="AX31" s="113"/>
      <c r="AY31" s="113">
        <f t="shared" si="55"/>
        <v>0</v>
      </c>
      <c r="AZ31" s="113">
        <f t="shared" si="55"/>
        <v>0</v>
      </c>
      <c r="BA31" s="113">
        <v>500000</v>
      </c>
      <c r="BB31" s="113"/>
      <c r="BC31" s="113"/>
      <c r="BD31" s="113"/>
      <c r="BE31" s="113">
        <f t="shared" si="56"/>
        <v>500000</v>
      </c>
      <c r="BF31" s="113">
        <v>0</v>
      </c>
      <c r="BG31" s="113">
        <f t="shared" si="23"/>
        <v>0</v>
      </c>
      <c r="BH31" s="113">
        <v>500000</v>
      </c>
      <c r="BI31" s="113">
        <v>250000</v>
      </c>
      <c r="BJ31" s="113"/>
      <c r="BK31" s="113"/>
      <c r="BL31" s="113">
        <f t="shared" si="57"/>
        <v>500000</v>
      </c>
      <c r="BM31" s="113">
        <v>500000</v>
      </c>
      <c r="BN31" s="113">
        <f t="shared" si="25"/>
        <v>250000</v>
      </c>
      <c r="BO31" s="113"/>
      <c r="BP31" s="113">
        <v>700000</v>
      </c>
      <c r="BQ31" s="113">
        <v>100000</v>
      </c>
      <c r="BR31" s="113"/>
      <c r="BS31" s="113">
        <f t="shared" si="58"/>
        <v>100000</v>
      </c>
      <c r="BT31" s="113">
        <v>500000</v>
      </c>
      <c r="BU31" s="113">
        <f t="shared" si="27"/>
        <v>700000</v>
      </c>
      <c r="BV31" s="113"/>
      <c r="BW31" s="113"/>
      <c r="BX31" s="113"/>
      <c r="BY31" s="113"/>
      <c r="BZ31" s="113">
        <f t="shared" si="59"/>
        <v>0</v>
      </c>
      <c r="CA31" s="113">
        <v>80000</v>
      </c>
      <c r="CB31" s="113">
        <f t="shared" si="29"/>
        <v>0</v>
      </c>
      <c r="CC31" s="113"/>
      <c r="CD31" s="113"/>
      <c r="CE31" s="113"/>
      <c r="CF31" s="113"/>
      <c r="CG31" s="113">
        <f t="shared" si="60"/>
        <v>0</v>
      </c>
      <c r="CH31" s="113">
        <v>20000</v>
      </c>
      <c r="CI31" s="113">
        <f t="shared" si="31"/>
        <v>0</v>
      </c>
      <c r="CJ31" s="113"/>
      <c r="CK31" s="113"/>
      <c r="CL31" s="113"/>
      <c r="CM31" s="113"/>
      <c r="CN31" s="113">
        <f t="shared" si="61"/>
        <v>0</v>
      </c>
      <c r="CO31" s="113"/>
      <c r="CP31" s="113">
        <f t="shared" si="33"/>
        <v>0</v>
      </c>
      <c r="CQ31" s="113"/>
      <c r="CR31" s="113"/>
      <c r="CS31" s="113"/>
      <c r="CT31" s="113"/>
      <c r="CU31" s="113">
        <f t="shared" si="62"/>
        <v>0</v>
      </c>
      <c r="CV31" s="113"/>
      <c r="CW31" s="113">
        <f t="shared" si="35"/>
        <v>0</v>
      </c>
      <c r="CX31" s="113"/>
      <c r="CY31" s="113"/>
      <c r="CZ31" s="113"/>
      <c r="DA31" s="113"/>
      <c r="DB31" s="113">
        <f t="shared" si="63"/>
        <v>0</v>
      </c>
      <c r="DC31" s="113">
        <f t="shared" si="63"/>
        <v>0</v>
      </c>
      <c r="DD31" s="113"/>
      <c r="DE31" s="113"/>
      <c r="DF31" s="113"/>
      <c r="DG31" s="113"/>
      <c r="DH31" s="113">
        <f t="shared" si="64"/>
        <v>0</v>
      </c>
      <c r="DI31" s="113">
        <f t="shared" si="64"/>
        <v>0</v>
      </c>
      <c r="DJ31" s="113"/>
      <c r="DK31" s="113"/>
      <c r="DL31" s="113"/>
      <c r="DM31" s="113"/>
      <c r="DN31" s="113">
        <f t="shared" si="65"/>
        <v>0</v>
      </c>
      <c r="DO31" s="113">
        <f t="shared" si="65"/>
        <v>0</v>
      </c>
      <c r="DP31" s="113">
        <f t="shared" si="39"/>
        <v>1000000</v>
      </c>
      <c r="DQ31" s="113">
        <f t="shared" si="40"/>
        <v>950000</v>
      </c>
      <c r="DR31" s="113">
        <f t="shared" si="41"/>
        <v>100000</v>
      </c>
      <c r="DS31" s="113">
        <f t="shared" si="42"/>
        <v>0</v>
      </c>
      <c r="DT31" s="113">
        <f t="shared" si="66"/>
        <v>1100000</v>
      </c>
      <c r="DU31" s="113">
        <f t="shared" si="66"/>
        <v>950000</v>
      </c>
    </row>
    <row r="32" spans="1:125">
      <c r="A32" s="15">
        <v>25</v>
      </c>
      <c r="B32" s="96" t="s">
        <v>751</v>
      </c>
      <c r="C32" s="7" t="s">
        <v>785</v>
      </c>
      <c r="D32" s="96" t="s">
        <v>786</v>
      </c>
      <c r="E32" s="185" t="s">
        <v>1164</v>
      </c>
      <c r="F32" s="161">
        <f t="shared" si="5"/>
        <v>0</v>
      </c>
      <c r="G32" s="161">
        <f t="shared" si="44"/>
        <v>0</v>
      </c>
      <c r="H32" s="161">
        <f t="shared" si="45"/>
        <v>0</v>
      </c>
      <c r="I32" s="161">
        <f t="shared" si="6"/>
        <v>0</v>
      </c>
      <c r="J32" s="165">
        <f t="shared" si="7"/>
        <v>10055.5</v>
      </c>
      <c r="K32" s="115"/>
      <c r="L32" s="211">
        <v>0</v>
      </c>
      <c r="M32" s="211">
        <v>0</v>
      </c>
      <c r="N32" s="127">
        <f t="shared" si="8"/>
        <v>10055.5</v>
      </c>
      <c r="O32" s="127">
        <f t="shared" si="9"/>
        <v>10055.5</v>
      </c>
      <c r="P32" s="127">
        <f t="shared" si="10"/>
        <v>10055.5</v>
      </c>
      <c r="Q32" s="131">
        <f t="shared" si="46"/>
        <v>0</v>
      </c>
      <c r="R32" s="125">
        <f t="shared" si="11"/>
        <v>10055.5</v>
      </c>
      <c r="S32" s="113"/>
      <c r="T32" s="113">
        <v>10055.5</v>
      </c>
      <c r="U32" s="113">
        <f t="shared" si="12"/>
        <v>0</v>
      </c>
      <c r="V32" s="113">
        <f t="shared" si="13"/>
        <v>10055.5</v>
      </c>
      <c r="W32" s="113">
        <v>0</v>
      </c>
      <c r="X32" s="113">
        <v>0</v>
      </c>
      <c r="Y32" s="113">
        <v>0</v>
      </c>
      <c r="Z32" s="113">
        <v>0</v>
      </c>
      <c r="AA32" s="113">
        <f t="shared" si="50"/>
        <v>0</v>
      </c>
      <c r="AB32" s="113">
        <f t="shared" si="50"/>
        <v>0</v>
      </c>
      <c r="AC32" s="113"/>
      <c r="AD32" s="113"/>
      <c r="AE32" s="113"/>
      <c r="AF32" s="113"/>
      <c r="AG32" s="113">
        <f t="shared" si="51"/>
        <v>0</v>
      </c>
      <c r="AH32" s="113">
        <f t="shared" si="51"/>
        <v>0</v>
      </c>
      <c r="AI32" s="114">
        <f t="shared" si="16"/>
        <v>0</v>
      </c>
      <c r="AJ32" s="114">
        <f t="shared" si="52"/>
        <v>0</v>
      </c>
      <c r="AK32" s="114">
        <f t="shared" si="52"/>
        <v>10055.5</v>
      </c>
      <c r="AL32" s="114">
        <f t="shared" si="18"/>
        <v>10055.5</v>
      </c>
      <c r="AM32" s="113">
        <f t="shared" si="53"/>
        <v>10055.5</v>
      </c>
      <c r="AN32" s="113">
        <f t="shared" si="53"/>
        <v>10055.5</v>
      </c>
      <c r="AO32" s="113"/>
      <c r="AP32" s="113"/>
      <c r="AQ32" s="113"/>
      <c r="AR32" s="113"/>
      <c r="AS32" s="113">
        <f t="shared" si="54"/>
        <v>0</v>
      </c>
      <c r="AT32" s="113">
        <f t="shared" si="54"/>
        <v>0</v>
      </c>
      <c r="AU32" s="113"/>
      <c r="AV32" s="113"/>
      <c r="AW32" s="113"/>
      <c r="AX32" s="113"/>
      <c r="AY32" s="113">
        <f t="shared" si="55"/>
        <v>0</v>
      </c>
      <c r="AZ32" s="113">
        <f t="shared" si="55"/>
        <v>0</v>
      </c>
      <c r="BA32" s="113"/>
      <c r="BB32" s="113"/>
      <c r="BC32" s="113"/>
      <c r="BD32" s="113"/>
      <c r="BE32" s="113">
        <f t="shared" si="56"/>
        <v>0</v>
      </c>
      <c r="BF32" s="113"/>
      <c r="BG32" s="113">
        <f t="shared" si="23"/>
        <v>0</v>
      </c>
      <c r="BH32" s="113"/>
      <c r="BI32" s="113"/>
      <c r="BJ32" s="113"/>
      <c r="BK32" s="113"/>
      <c r="BL32" s="113">
        <f t="shared" si="57"/>
        <v>0</v>
      </c>
      <c r="BM32" s="113"/>
      <c r="BN32" s="113">
        <f t="shared" si="25"/>
        <v>0</v>
      </c>
      <c r="BO32" s="113"/>
      <c r="BP32" s="113"/>
      <c r="BQ32" s="113"/>
      <c r="BR32" s="113"/>
      <c r="BS32" s="113">
        <f t="shared" si="58"/>
        <v>0</v>
      </c>
      <c r="BT32" s="113"/>
      <c r="BU32" s="113">
        <f t="shared" si="27"/>
        <v>0</v>
      </c>
      <c r="BV32" s="113"/>
      <c r="BW32" s="113"/>
      <c r="BX32" s="113"/>
      <c r="BY32" s="113"/>
      <c r="BZ32" s="113">
        <f t="shared" si="59"/>
        <v>0</v>
      </c>
      <c r="CA32" s="113"/>
      <c r="CB32" s="113">
        <f t="shared" si="29"/>
        <v>0</v>
      </c>
      <c r="CC32" s="113"/>
      <c r="CD32" s="113"/>
      <c r="CE32" s="113"/>
      <c r="CF32" s="113"/>
      <c r="CG32" s="113">
        <f t="shared" si="60"/>
        <v>0</v>
      </c>
      <c r="CH32" s="113"/>
      <c r="CI32" s="113">
        <f t="shared" si="31"/>
        <v>0</v>
      </c>
      <c r="CJ32" s="113"/>
      <c r="CK32" s="113"/>
      <c r="CL32" s="113"/>
      <c r="CM32" s="113"/>
      <c r="CN32" s="113">
        <f t="shared" si="61"/>
        <v>0</v>
      </c>
      <c r="CO32" s="113"/>
      <c r="CP32" s="113">
        <f t="shared" si="33"/>
        <v>0</v>
      </c>
      <c r="CQ32" s="113"/>
      <c r="CR32" s="113"/>
      <c r="CS32" s="113"/>
      <c r="CT32" s="113"/>
      <c r="CU32" s="113">
        <f t="shared" si="62"/>
        <v>0</v>
      </c>
      <c r="CV32" s="113"/>
      <c r="CW32" s="113">
        <f t="shared" si="35"/>
        <v>0</v>
      </c>
      <c r="CX32" s="113"/>
      <c r="CY32" s="113"/>
      <c r="CZ32" s="113"/>
      <c r="DA32" s="113"/>
      <c r="DB32" s="113">
        <f t="shared" si="63"/>
        <v>0</v>
      </c>
      <c r="DC32" s="113">
        <f t="shared" si="63"/>
        <v>0</v>
      </c>
      <c r="DD32" s="113"/>
      <c r="DE32" s="113"/>
      <c r="DF32" s="113"/>
      <c r="DG32" s="113"/>
      <c r="DH32" s="113">
        <f t="shared" si="64"/>
        <v>0</v>
      </c>
      <c r="DI32" s="113">
        <f t="shared" si="64"/>
        <v>0</v>
      </c>
      <c r="DJ32" s="113"/>
      <c r="DK32" s="113"/>
      <c r="DL32" s="113"/>
      <c r="DM32" s="113"/>
      <c r="DN32" s="113">
        <f t="shared" si="65"/>
        <v>0</v>
      </c>
      <c r="DO32" s="113">
        <f t="shared" si="65"/>
        <v>0</v>
      </c>
      <c r="DP32" s="113">
        <f t="shared" si="39"/>
        <v>0</v>
      </c>
      <c r="DQ32" s="113">
        <f t="shared" si="40"/>
        <v>0</v>
      </c>
      <c r="DR32" s="113">
        <f t="shared" si="41"/>
        <v>0</v>
      </c>
      <c r="DS32" s="113">
        <f t="shared" si="42"/>
        <v>0</v>
      </c>
      <c r="DT32" s="113">
        <f t="shared" si="66"/>
        <v>0</v>
      </c>
      <c r="DU32" s="113">
        <f t="shared" si="66"/>
        <v>0</v>
      </c>
    </row>
    <row r="33" spans="1:125">
      <c r="A33" s="15">
        <v>26</v>
      </c>
      <c r="B33" s="96" t="s">
        <v>751</v>
      </c>
      <c r="C33" s="112" t="s">
        <v>785</v>
      </c>
      <c r="D33" s="96" t="s">
        <v>787</v>
      </c>
      <c r="E33" s="185" t="s">
        <v>1165</v>
      </c>
      <c r="F33" s="161">
        <f t="shared" si="5"/>
        <v>30000</v>
      </c>
      <c r="G33" s="161">
        <f t="shared" si="44"/>
        <v>29501.5</v>
      </c>
      <c r="H33" s="161">
        <f t="shared" si="45"/>
        <v>498.5</v>
      </c>
      <c r="I33" s="161">
        <f t="shared" si="6"/>
        <v>1000</v>
      </c>
      <c r="J33" s="165">
        <f t="shared" si="7"/>
        <v>330000</v>
      </c>
      <c r="K33" s="115">
        <v>375100</v>
      </c>
      <c r="L33" s="211">
        <v>0</v>
      </c>
      <c r="M33" s="211">
        <v>0</v>
      </c>
      <c r="N33" s="127">
        <f t="shared" si="8"/>
        <v>300000</v>
      </c>
      <c r="O33" s="127">
        <f t="shared" si="9"/>
        <v>0</v>
      </c>
      <c r="P33" s="127">
        <f t="shared" si="10"/>
        <v>300000</v>
      </c>
      <c r="Q33" s="131">
        <f t="shared" si="46"/>
        <v>30000</v>
      </c>
      <c r="R33" s="125" t="str">
        <f t="shared" si="11"/>
        <v>მიმდინარეობს</v>
      </c>
      <c r="S33" s="113">
        <v>300000</v>
      </c>
      <c r="T33" s="113"/>
      <c r="U33" s="113">
        <f t="shared" si="12"/>
        <v>300000</v>
      </c>
      <c r="V33" s="113">
        <f t="shared" si="13"/>
        <v>0</v>
      </c>
      <c r="W33" s="113">
        <v>0</v>
      </c>
      <c r="X33" s="113">
        <v>0</v>
      </c>
      <c r="Y33" s="113">
        <v>0</v>
      </c>
      <c r="Z33" s="113">
        <v>0</v>
      </c>
      <c r="AA33" s="113">
        <f t="shared" si="50"/>
        <v>0</v>
      </c>
      <c r="AB33" s="113">
        <f t="shared" si="50"/>
        <v>0</v>
      </c>
      <c r="AC33" s="113"/>
      <c r="AD33" s="113"/>
      <c r="AE33" s="113"/>
      <c r="AF33" s="113"/>
      <c r="AG33" s="113">
        <f t="shared" si="51"/>
        <v>0</v>
      </c>
      <c r="AH33" s="113">
        <f t="shared" si="51"/>
        <v>0</v>
      </c>
      <c r="AI33" s="114">
        <f t="shared" si="16"/>
        <v>300000</v>
      </c>
      <c r="AJ33" s="114">
        <f t="shared" si="52"/>
        <v>300000</v>
      </c>
      <c r="AK33" s="114">
        <f t="shared" si="52"/>
        <v>0</v>
      </c>
      <c r="AL33" s="114">
        <f t="shared" si="18"/>
        <v>0</v>
      </c>
      <c r="AM33" s="113">
        <f t="shared" si="53"/>
        <v>300000</v>
      </c>
      <c r="AN33" s="113">
        <f t="shared" si="53"/>
        <v>300000</v>
      </c>
      <c r="AO33" s="113"/>
      <c r="AP33" s="113"/>
      <c r="AQ33" s="113"/>
      <c r="AR33" s="113"/>
      <c r="AS33" s="113">
        <f t="shared" si="54"/>
        <v>0</v>
      </c>
      <c r="AT33" s="113">
        <f t="shared" si="54"/>
        <v>0</v>
      </c>
      <c r="AU33" s="113"/>
      <c r="AV33" s="113">
        <v>25000</v>
      </c>
      <c r="AW33" s="113">
        <v>30000</v>
      </c>
      <c r="AX33" s="113"/>
      <c r="AY33" s="113">
        <f t="shared" si="55"/>
        <v>30000</v>
      </c>
      <c r="AZ33" s="113">
        <f t="shared" si="55"/>
        <v>25000</v>
      </c>
      <c r="BA33" s="113"/>
      <c r="BB33" s="113"/>
      <c r="BC33" s="113"/>
      <c r="BD33" s="113"/>
      <c r="BE33" s="113">
        <f t="shared" si="56"/>
        <v>0</v>
      </c>
      <c r="BF33" s="113"/>
      <c r="BG33" s="113">
        <f t="shared" si="23"/>
        <v>0</v>
      </c>
      <c r="BH33" s="113"/>
      <c r="BI33" s="113"/>
      <c r="BJ33" s="113"/>
      <c r="BK33" s="113"/>
      <c r="BL33" s="113">
        <f t="shared" si="57"/>
        <v>0</v>
      </c>
      <c r="BM33" s="113"/>
      <c r="BN33" s="113">
        <f t="shared" si="25"/>
        <v>0</v>
      </c>
      <c r="BO33" s="113"/>
      <c r="BP33" s="113"/>
      <c r="BQ33" s="113"/>
      <c r="BR33" s="113"/>
      <c r="BS33" s="113">
        <f t="shared" si="58"/>
        <v>0</v>
      </c>
      <c r="BT33" s="113">
        <v>1000</v>
      </c>
      <c r="BU33" s="113">
        <f t="shared" si="27"/>
        <v>0</v>
      </c>
      <c r="BV33" s="113"/>
      <c r="BW33" s="113"/>
      <c r="BX33" s="113"/>
      <c r="BY33" s="113"/>
      <c r="BZ33" s="113">
        <f t="shared" si="59"/>
        <v>0</v>
      </c>
      <c r="CA33" s="113"/>
      <c r="CB33" s="113">
        <f t="shared" si="29"/>
        <v>0</v>
      </c>
      <c r="CC33" s="113"/>
      <c r="CD33" s="113"/>
      <c r="CE33" s="113"/>
      <c r="CF33" s="113"/>
      <c r="CG33" s="113">
        <f t="shared" si="60"/>
        <v>0</v>
      </c>
      <c r="CH33" s="113"/>
      <c r="CI33" s="113">
        <f t="shared" si="31"/>
        <v>0</v>
      </c>
      <c r="CJ33" s="113"/>
      <c r="CK33" s="113"/>
      <c r="CL33" s="113"/>
      <c r="CM33" s="113"/>
      <c r="CN33" s="113">
        <f t="shared" si="61"/>
        <v>0</v>
      </c>
      <c r="CO33" s="113"/>
      <c r="CP33" s="113">
        <f t="shared" si="33"/>
        <v>0</v>
      </c>
      <c r="CQ33" s="113"/>
      <c r="CR33" s="113"/>
      <c r="CS33" s="113"/>
      <c r="CT33" s="113"/>
      <c r="CU33" s="113">
        <f t="shared" si="62"/>
        <v>0</v>
      </c>
      <c r="CV33" s="113"/>
      <c r="CW33" s="113">
        <f t="shared" si="35"/>
        <v>0</v>
      </c>
      <c r="CX33" s="113"/>
      <c r="CY33" s="113"/>
      <c r="CZ33" s="113"/>
      <c r="DA33" s="113"/>
      <c r="DB33" s="113">
        <f t="shared" si="63"/>
        <v>0</v>
      </c>
      <c r="DC33" s="113">
        <f t="shared" si="63"/>
        <v>0</v>
      </c>
      <c r="DD33" s="113"/>
      <c r="DE33" s="113">
        <v>4501.5</v>
      </c>
      <c r="DF33" s="113"/>
      <c r="DG33" s="113"/>
      <c r="DH33" s="113">
        <f t="shared" si="64"/>
        <v>0</v>
      </c>
      <c r="DI33" s="113">
        <f t="shared" si="64"/>
        <v>4501.5</v>
      </c>
      <c r="DJ33" s="113"/>
      <c r="DK33" s="113"/>
      <c r="DL33" s="113"/>
      <c r="DM33" s="113"/>
      <c r="DN33" s="113">
        <f t="shared" si="65"/>
        <v>0</v>
      </c>
      <c r="DO33" s="113">
        <f t="shared" si="65"/>
        <v>0</v>
      </c>
      <c r="DP33" s="113">
        <f t="shared" si="39"/>
        <v>0</v>
      </c>
      <c r="DQ33" s="113">
        <f t="shared" si="40"/>
        <v>29501.5</v>
      </c>
      <c r="DR33" s="113">
        <f t="shared" si="41"/>
        <v>30000</v>
      </c>
      <c r="DS33" s="113">
        <f t="shared" si="42"/>
        <v>0</v>
      </c>
      <c r="DT33" s="113">
        <f t="shared" si="66"/>
        <v>30000</v>
      </c>
      <c r="DU33" s="113">
        <f t="shared" si="66"/>
        <v>29501.5</v>
      </c>
    </row>
    <row r="34" spans="1:125">
      <c r="A34" s="15">
        <v>27</v>
      </c>
      <c r="B34" s="96" t="s">
        <v>788</v>
      </c>
      <c r="C34" s="7" t="s">
        <v>789</v>
      </c>
      <c r="D34" s="96" t="s">
        <v>790</v>
      </c>
      <c r="E34" s="185" t="s">
        <v>1164</v>
      </c>
      <c r="F34" s="161">
        <f t="shared" si="5"/>
        <v>0</v>
      </c>
      <c r="G34" s="161">
        <f t="shared" si="44"/>
        <v>0</v>
      </c>
      <c r="H34" s="161">
        <f t="shared" si="45"/>
        <v>0</v>
      </c>
      <c r="I34" s="161">
        <f t="shared" si="6"/>
        <v>0</v>
      </c>
      <c r="J34" s="165">
        <f t="shared" si="7"/>
        <v>0</v>
      </c>
      <c r="K34" s="115"/>
      <c r="L34" s="211">
        <v>0</v>
      </c>
      <c r="M34" s="211">
        <v>0</v>
      </c>
      <c r="N34" s="127">
        <f t="shared" si="8"/>
        <v>0</v>
      </c>
      <c r="O34" s="127">
        <f t="shared" si="9"/>
        <v>0</v>
      </c>
      <c r="P34" s="127">
        <f t="shared" si="10"/>
        <v>0</v>
      </c>
      <c r="Q34" s="131">
        <f t="shared" si="46"/>
        <v>0</v>
      </c>
      <c r="R34" s="125" t="str">
        <f t="shared" si="11"/>
        <v>ნულოვანი შესრულება</v>
      </c>
      <c r="S34" s="113">
        <v>0</v>
      </c>
      <c r="T34" s="113"/>
      <c r="U34" s="113">
        <f t="shared" si="12"/>
        <v>0</v>
      </c>
      <c r="V34" s="113">
        <f t="shared" si="13"/>
        <v>0</v>
      </c>
      <c r="W34" s="113">
        <v>0</v>
      </c>
      <c r="X34" s="113">
        <v>0</v>
      </c>
      <c r="Y34" s="113">
        <v>0</v>
      </c>
      <c r="Z34" s="113">
        <v>0</v>
      </c>
      <c r="AA34" s="113">
        <f t="shared" si="50"/>
        <v>0</v>
      </c>
      <c r="AB34" s="113">
        <f t="shared" si="50"/>
        <v>0</v>
      </c>
      <c r="AC34" s="113"/>
      <c r="AD34" s="113"/>
      <c r="AE34" s="113"/>
      <c r="AF34" s="113"/>
      <c r="AG34" s="113">
        <f t="shared" si="51"/>
        <v>0</v>
      </c>
      <c r="AH34" s="113">
        <f t="shared" si="51"/>
        <v>0</v>
      </c>
      <c r="AI34" s="114">
        <f t="shared" si="16"/>
        <v>0</v>
      </c>
      <c r="AJ34" s="114">
        <f t="shared" si="52"/>
        <v>0</v>
      </c>
      <c r="AK34" s="114">
        <f t="shared" si="52"/>
        <v>0</v>
      </c>
      <c r="AL34" s="114">
        <f t="shared" si="18"/>
        <v>0</v>
      </c>
      <c r="AM34" s="113">
        <f t="shared" si="53"/>
        <v>0</v>
      </c>
      <c r="AN34" s="113">
        <f t="shared" si="53"/>
        <v>0</v>
      </c>
      <c r="AO34" s="113"/>
      <c r="AP34" s="113"/>
      <c r="AQ34" s="113"/>
      <c r="AR34" s="113"/>
      <c r="AS34" s="113">
        <f t="shared" si="54"/>
        <v>0</v>
      </c>
      <c r="AT34" s="113">
        <f t="shared" si="54"/>
        <v>0</v>
      </c>
      <c r="AU34" s="113"/>
      <c r="AV34" s="113"/>
      <c r="AW34" s="113"/>
      <c r="AX34" s="113"/>
      <c r="AY34" s="113">
        <f t="shared" si="55"/>
        <v>0</v>
      </c>
      <c r="AZ34" s="113">
        <f t="shared" si="55"/>
        <v>0</v>
      </c>
      <c r="BA34" s="113"/>
      <c r="BB34" s="113"/>
      <c r="BC34" s="113"/>
      <c r="BD34" s="113"/>
      <c r="BE34" s="113">
        <f t="shared" si="56"/>
        <v>0</v>
      </c>
      <c r="BF34" s="113"/>
      <c r="BG34" s="113">
        <f t="shared" si="23"/>
        <v>0</v>
      </c>
      <c r="BH34" s="113"/>
      <c r="BI34" s="113"/>
      <c r="BJ34" s="113"/>
      <c r="BK34" s="113"/>
      <c r="BL34" s="113">
        <f t="shared" si="57"/>
        <v>0</v>
      </c>
      <c r="BM34" s="113"/>
      <c r="BN34" s="113">
        <f t="shared" si="25"/>
        <v>0</v>
      </c>
      <c r="BO34" s="113"/>
      <c r="BP34" s="113"/>
      <c r="BQ34" s="113"/>
      <c r="BR34" s="113"/>
      <c r="BS34" s="113">
        <f t="shared" si="58"/>
        <v>0</v>
      </c>
      <c r="BT34" s="113"/>
      <c r="BU34" s="113">
        <f t="shared" si="27"/>
        <v>0</v>
      </c>
      <c r="BV34" s="113"/>
      <c r="BW34" s="113"/>
      <c r="BX34" s="113"/>
      <c r="BY34" s="113"/>
      <c r="BZ34" s="113">
        <f t="shared" si="59"/>
        <v>0</v>
      </c>
      <c r="CA34" s="113"/>
      <c r="CB34" s="113">
        <f t="shared" si="29"/>
        <v>0</v>
      </c>
      <c r="CC34" s="113"/>
      <c r="CD34" s="113"/>
      <c r="CE34" s="113"/>
      <c r="CF34" s="113"/>
      <c r="CG34" s="113">
        <f t="shared" si="60"/>
        <v>0</v>
      </c>
      <c r="CH34" s="113"/>
      <c r="CI34" s="113">
        <f t="shared" si="31"/>
        <v>0</v>
      </c>
      <c r="CJ34" s="113"/>
      <c r="CK34" s="113"/>
      <c r="CL34" s="113"/>
      <c r="CM34" s="113"/>
      <c r="CN34" s="113">
        <f t="shared" si="61"/>
        <v>0</v>
      </c>
      <c r="CO34" s="113"/>
      <c r="CP34" s="113">
        <f t="shared" si="33"/>
        <v>0</v>
      </c>
      <c r="CQ34" s="113"/>
      <c r="CR34" s="113"/>
      <c r="CS34" s="113"/>
      <c r="CT34" s="113"/>
      <c r="CU34" s="113">
        <f t="shared" si="62"/>
        <v>0</v>
      </c>
      <c r="CV34" s="113"/>
      <c r="CW34" s="113">
        <f t="shared" si="35"/>
        <v>0</v>
      </c>
      <c r="CX34" s="113"/>
      <c r="CY34" s="113"/>
      <c r="CZ34" s="113"/>
      <c r="DA34" s="113"/>
      <c r="DB34" s="113">
        <f t="shared" si="63"/>
        <v>0</v>
      </c>
      <c r="DC34" s="113">
        <f t="shared" si="63"/>
        <v>0</v>
      </c>
      <c r="DD34" s="113"/>
      <c r="DE34" s="113"/>
      <c r="DF34" s="113"/>
      <c r="DG34" s="113"/>
      <c r="DH34" s="113">
        <f t="shared" si="64"/>
        <v>0</v>
      </c>
      <c r="DI34" s="113">
        <f t="shared" si="64"/>
        <v>0</v>
      </c>
      <c r="DJ34" s="113"/>
      <c r="DK34" s="113"/>
      <c r="DL34" s="113"/>
      <c r="DM34" s="113"/>
      <c r="DN34" s="113">
        <f t="shared" si="65"/>
        <v>0</v>
      </c>
      <c r="DO34" s="113">
        <f t="shared" si="65"/>
        <v>0</v>
      </c>
      <c r="DP34" s="113">
        <f t="shared" si="39"/>
        <v>0</v>
      </c>
      <c r="DQ34" s="113">
        <f t="shared" si="40"/>
        <v>0</v>
      </c>
      <c r="DR34" s="113">
        <f t="shared" si="41"/>
        <v>0</v>
      </c>
      <c r="DS34" s="113">
        <f t="shared" si="42"/>
        <v>0</v>
      </c>
      <c r="DT34" s="113">
        <f t="shared" si="66"/>
        <v>0</v>
      </c>
      <c r="DU34" s="113">
        <f t="shared" si="66"/>
        <v>0</v>
      </c>
    </row>
    <row r="35" spans="1:125">
      <c r="A35" s="15">
        <v>28</v>
      </c>
      <c r="B35" s="96" t="s">
        <v>788</v>
      </c>
      <c r="C35" s="7" t="s">
        <v>791</v>
      </c>
      <c r="D35" s="96" t="s">
        <v>792</v>
      </c>
      <c r="E35" s="185" t="s">
        <v>1164</v>
      </c>
      <c r="F35" s="161">
        <f t="shared" si="5"/>
        <v>0</v>
      </c>
      <c r="G35" s="161">
        <f t="shared" si="44"/>
        <v>0</v>
      </c>
      <c r="H35" s="161">
        <f t="shared" si="45"/>
        <v>0</v>
      </c>
      <c r="I35" s="161">
        <f t="shared" si="6"/>
        <v>0</v>
      </c>
      <c r="J35" s="165">
        <f t="shared" si="7"/>
        <v>0</v>
      </c>
      <c r="K35" s="115"/>
      <c r="L35" s="211">
        <v>0</v>
      </c>
      <c r="M35" s="211">
        <v>0</v>
      </c>
      <c r="N35" s="127">
        <f t="shared" si="8"/>
        <v>0</v>
      </c>
      <c r="O35" s="127">
        <f t="shared" si="9"/>
        <v>0</v>
      </c>
      <c r="P35" s="127">
        <f t="shared" si="10"/>
        <v>0</v>
      </c>
      <c r="Q35" s="131">
        <f t="shared" si="46"/>
        <v>0</v>
      </c>
      <c r="R35" s="125" t="str">
        <f t="shared" si="11"/>
        <v>ნულოვანი შესრულება</v>
      </c>
      <c r="S35" s="113">
        <v>0</v>
      </c>
      <c r="T35" s="113"/>
      <c r="U35" s="113">
        <f t="shared" si="12"/>
        <v>0</v>
      </c>
      <c r="V35" s="113">
        <f t="shared" si="13"/>
        <v>0</v>
      </c>
      <c r="W35" s="113">
        <v>0</v>
      </c>
      <c r="X35" s="113">
        <v>0</v>
      </c>
      <c r="Y35" s="113">
        <v>0</v>
      </c>
      <c r="Z35" s="113">
        <v>0</v>
      </c>
      <c r="AA35" s="113">
        <f t="shared" si="50"/>
        <v>0</v>
      </c>
      <c r="AB35" s="113">
        <f t="shared" si="50"/>
        <v>0</v>
      </c>
      <c r="AC35" s="113"/>
      <c r="AD35" s="113"/>
      <c r="AE35" s="113"/>
      <c r="AF35" s="113"/>
      <c r="AG35" s="113">
        <f t="shared" si="51"/>
        <v>0</v>
      </c>
      <c r="AH35" s="113">
        <f t="shared" si="51"/>
        <v>0</v>
      </c>
      <c r="AI35" s="114">
        <f t="shared" si="16"/>
        <v>0</v>
      </c>
      <c r="AJ35" s="114">
        <f t="shared" si="52"/>
        <v>0</v>
      </c>
      <c r="AK35" s="114">
        <f t="shared" si="52"/>
        <v>0</v>
      </c>
      <c r="AL35" s="114">
        <f t="shared" si="18"/>
        <v>0</v>
      </c>
      <c r="AM35" s="113">
        <f t="shared" si="53"/>
        <v>0</v>
      </c>
      <c r="AN35" s="113">
        <f t="shared" si="53"/>
        <v>0</v>
      </c>
      <c r="AO35" s="113"/>
      <c r="AP35" s="113"/>
      <c r="AQ35" s="113"/>
      <c r="AR35" s="113"/>
      <c r="AS35" s="113">
        <f t="shared" si="54"/>
        <v>0</v>
      </c>
      <c r="AT35" s="113">
        <f t="shared" si="54"/>
        <v>0</v>
      </c>
      <c r="AU35" s="113"/>
      <c r="AV35" s="113"/>
      <c r="AW35" s="113"/>
      <c r="AX35" s="113"/>
      <c r="AY35" s="113">
        <f t="shared" si="55"/>
        <v>0</v>
      </c>
      <c r="AZ35" s="113">
        <f t="shared" si="55"/>
        <v>0</v>
      </c>
      <c r="BA35" s="113"/>
      <c r="BB35" s="113"/>
      <c r="BC35" s="113"/>
      <c r="BD35" s="113"/>
      <c r="BE35" s="113">
        <f t="shared" si="56"/>
        <v>0</v>
      </c>
      <c r="BF35" s="113"/>
      <c r="BG35" s="113">
        <f t="shared" si="23"/>
        <v>0</v>
      </c>
      <c r="BH35" s="113"/>
      <c r="BI35" s="113"/>
      <c r="BJ35" s="113"/>
      <c r="BK35" s="113"/>
      <c r="BL35" s="113">
        <f t="shared" si="57"/>
        <v>0</v>
      </c>
      <c r="BM35" s="113"/>
      <c r="BN35" s="113">
        <f t="shared" si="25"/>
        <v>0</v>
      </c>
      <c r="BO35" s="113"/>
      <c r="BP35" s="113"/>
      <c r="BQ35" s="113"/>
      <c r="BR35" s="113"/>
      <c r="BS35" s="113">
        <f t="shared" si="58"/>
        <v>0</v>
      </c>
      <c r="BT35" s="113"/>
      <c r="BU35" s="113">
        <f t="shared" si="27"/>
        <v>0</v>
      </c>
      <c r="BV35" s="113"/>
      <c r="BW35" s="113"/>
      <c r="BX35" s="113"/>
      <c r="BY35" s="113"/>
      <c r="BZ35" s="113">
        <f t="shared" si="59"/>
        <v>0</v>
      </c>
      <c r="CA35" s="113"/>
      <c r="CB35" s="113">
        <f t="shared" si="29"/>
        <v>0</v>
      </c>
      <c r="CC35" s="113"/>
      <c r="CD35" s="113"/>
      <c r="CE35" s="113"/>
      <c r="CF35" s="113"/>
      <c r="CG35" s="113">
        <f t="shared" si="60"/>
        <v>0</v>
      </c>
      <c r="CH35" s="113"/>
      <c r="CI35" s="113">
        <f t="shared" si="31"/>
        <v>0</v>
      </c>
      <c r="CJ35" s="113"/>
      <c r="CK35" s="113"/>
      <c r="CL35" s="113"/>
      <c r="CM35" s="113"/>
      <c r="CN35" s="113">
        <f t="shared" si="61"/>
        <v>0</v>
      </c>
      <c r="CO35" s="113"/>
      <c r="CP35" s="113">
        <f t="shared" si="33"/>
        <v>0</v>
      </c>
      <c r="CQ35" s="113"/>
      <c r="CR35" s="113"/>
      <c r="CS35" s="113"/>
      <c r="CT35" s="113"/>
      <c r="CU35" s="113">
        <f t="shared" si="62"/>
        <v>0</v>
      </c>
      <c r="CV35" s="113"/>
      <c r="CW35" s="113">
        <f t="shared" si="35"/>
        <v>0</v>
      </c>
      <c r="CX35" s="113"/>
      <c r="CY35" s="113"/>
      <c r="CZ35" s="113"/>
      <c r="DA35" s="113"/>
      <c r="DB35" s="113">
        <f t="shared" si="63"/>
        <v>0</v>
      </c>
      <c r="DC35" s="113">
        <f t="shared" si="63"/>
        <v>0</v>
      </c>
      <c r="DD35" s="113"/>
      <c r="DE35" s="113"/>
      <c r="DF35" s="113"/>
      <c r="DG35" s="113"/>
      <c r="DH35" s="113">
        <f t="shared" si="64"/>
        <v>0</v>
      </c>
      <c r="DI35" s="113">
        <f t="shared" si="64"/>
        <v>0</v>
      </c>
      <c r="DJ35" s="113"/>
      <c r="DK35" s="113"/>
      <c r="DL35" s="113"/>
      <c r="DM35" s="113"/>
      <c r="DN35" s="113">
        <f t="shared" si="65"/>
        <v>0</v>
      </c>
      <c r="DO35" s="113">
        <f t="shared" si="65"/>
        <v>0</v>
      </c>
      <c r="DP35" s="113">
        <f t="shared" si="39"/>
        <v>0</v>
      </c>
      <c r="DQ35" s="113">
        <f t="shared" si="40"/>
        <v>0</v>
      </c>
      <c r="DR35" s="113">
        <f t="shared" si="41"/>
        <v>0</v>
      </c>
      <c r="DS35" s="113">
        <f t="shared" si="42"/>
        <v>0</v>
      </c>
      <c r="DT35" s="113">
        <f t="shared" si="66"/>
        <v>0</v>
      </c>
      <c r="DU35" s="113">
        <f t="shared" si="66"/>
        <v>0</v>
      </c>
    </row>
    <row r="36" spans="1:125">
      <c r="A36" s="15">
        <v>29</v>
      </c>
      <c r="B36" s="96" t="s">
        <v>788</v>
      </c>
      <c r="C36" s="7" t="s">
        <v>793</v>
      </c>
      <c r="D36" s="96" t="s">
        <v>794</v>
      </c>
      <c r="E36" s="185" t="s">
        <v>1164</v>
      </c>
      <c r="F36" s="161">
        <f t="shared" si="5"/>
        <v>0</v>
      </c>
      <c r="G36" s="161">
        <f t="shared" si="44"/>
        <v>0</v>
      </c>
      <c r="H36" s="161">
        <f t="shared" si="45"/>
        <v>0</v>
      </c>
      <c r="I36" s="161">
        <f t="shared" si="6"/>
        <v>0</v>
      </c>
      <c r="J36" s="165">
        <f t="shared" si="7"/>
        <v>1634.5</v>
      </c>
      <c r="K36" s="115"/>
      <c r="L36" s="211">
        <v>0</v>
      </c>
      <c r="M36" s="211">
        <v>0</v>
      </c>
      <c r="N36" s="127">
        <f t="shared" si="8"/>
        <v>1634.5</v>
      </c>
      <c r="O36" s="127">
        <f t="shared" si="9"/>
        <v>1634.5</v>
      </c>
      <c r="P36" s="127">
        <f t="shared" si="10"/>
        <v>1634.5</v>
      </c>
      <c r="Q36" s="131">
        <f t="shared" si="46"/>
        <v>0</v>
      </c>
      <c r="R36" s="125">
        <f t="shared" si="11"/>
        <v>1634.5</v>
      </c>
      <c r="S36" s="113">
        <v>0</v>
      </c>
      <c r="T36" s="113">
        <v>0</v>
      </c>
      <c r="U36" s="113">
        <f t="shared" si="12"/>
        <v>0</v>
      </c>
      <c r="V36" s="113">
        <f t="shared" si="13"/>
        <v>0</v>
      </c>
      <c r="W36" s="113">
        <v>0</v>
      </c>
      <c r="X36" s="113">
        <v>0</v>
      </c>
      <c r="Y36" s="113">
        <v>0</v>
      </c>
      <c r="Z36" s="113">
        <v>0</v>
      </c>
      <c r="AA36" s="113">
        <f t="shared" si="50"/>
        <v>0</v>
      </c>
      <c r="AB36" s="113">
        <f t="shared" si="50"/>
        <v>0</v>
      </c>
      <c r="AC36" s="113"/>
      <c r="AD36" s="113"/>
      <c r="AE36" s="113"/>
      <c r="AF36" s="113">
        <v>1634.5</v>
      </c>
      <c r="AG36" s="113">
        <f t="shared" si="51"/>
        <v>0</v>
      </c>
      <c r="AH36" s="113">
        <f t="shared" si="51"/>
        <v>1634.5</v>
      </c>
      <c r="AI36" s="114">
        <f t="shared" si="16"/>
        <v>0</v>
      </c>
      <c r="AJ36" s="114">
        <f t="shared" si="52"/>
        <v>0</v>
      </c>
      <c r="AK36" s="114">
        <f t="shared" si="52"/>
        <v>0</v>
      </c>
      <c r="AL36" s="114">
        <f t="shared" si="18"/>
        <v>1634.5</v>
      </c>
      <c r="AM36" s="113">
        <f t="shared" si="53"/>
        <v>0</v>
      </c>
      <c r="AN36" s="113">
        <f t="shared" si="53"/>
        <v>1634.5</v>
      </c>
      <c r="AO36" s="113"/>
      <c r="AP36" s="113"/>
      <c r="AQ36" s="113"/>
      <c r="AR36" s="113"/>
      <c r="AS36" s="113">
        <f t="shared" si="54"/>
        <v>0</v>
      </c>
      <c r="AT36" s="113">
        <f t="shared" si="54"/>
        <v>0</v>
      </c>
      <c r="AU36" s="113"/>
      <c r="AV36" s="113"/>
      <c r="AW36" s="113"/>
      <c r="AX36" s="113"/>
      <c r="AY36" s="113">
        <f t="shared" si="55"/>
        <v>0</v>
      </c>
      <c r="AZ36" s="113">
        <f t="shared" si="55"/>
        <v>0</v>
      </c>
      <c r="BA36" s="113"/>
      <c r="BB36" s="113"/>
      <c r="BC36" s="113"/>
      <c r="BD36" s="113"/>
      <c r="BE36" s="113">
        <f t="shared" si="56"/>
        <v>0</v>
      </c>
      <c r="BF36" s="113"/>
      <c r="BG36" s="113">
        <f t="shared" si="23"/>
        <v>0</v>
      </c>
      <c r="BH36" s="113"/>
      <c r="BI36" s="113"/>
      <c r="BJ36" s="113"/>
      <c r="BK36" s="113"/>
      <c r="BL36" s="113">
        <f t="shared" si="57"/>
        <v>0</v>
      </c>
      <c r="BM36" s="113"/>
      <c r="BN36" s="113">
        <f t="shared" si="25"/>
        <v>0</v>
      </c>
      <c r="BO36" s="113"/>
      <c r="BP36" s="113"/>
      <c r="BQ36" s="113"/>
      <c r="BR36" s="113"/>
      <c r="BS36" s="113">
        <f t="shared" si="58"/>
        <v>0</v>
      </c>
      <c r="BT36" s="113"/>
      <c r="BU36" s="113">
        <f t="shared" si="27"/>
        <v>0</v>
      </c>
      <c r="BV36" s="113"/>
      <c r="BW36" s="113"/>
      <c r="BX36" s="113"/>
      <c r="BY36" s="113"/>
      <c r="BZ36" s="113">
        <f t="shared" si="59"/>
        <v>0</v>
      </c>
      <c r="CA36" s="113"/>
      <c r="CB36" s="113">
        <f t="shared" si="29"/>
        <v>0</v>
      </c>
      <c r="CC36" s="113"/>
      <c r="CD36" s="113"/>
      <c r="CE36" s="113"/>
      <c r="CF36" s="113"/>
      <c r="CG36" s="113">
        <f t="shared" si="60"/>
        <v>0</v>
      </c>
      <c r="CH36" s="113"/>
      <c r="CI36" s="113">
        <f t="shared" si="31"/>
        <v>0</v>
      </c>
      <c r="CJ36" s="113"/>
      <c r="CK36" s="113"/>
      <c r="CL36" s="113"/>
      <c r="CM36" s="113"/>
      <c r="CN36" s="113">
        <f t="shared" si="61"/>
        <v>0</v>
      </c>
      <c r="CO36" s="113"/>
      <c r="CP36" s="113">
        <f t="shared" si="33"/>
        <v>0</v>
      </c>
      <c r="CQ36" s="113"/>
      <c r="CR36" s="113"/>
      <c r="CS36" s="113"/>
      <c r="CT36" s="113"/>
      <c r="CU36" s="113">
        <f t="shared" si="62"/>
        <v>0</v>
      </c>
      <c r="CV36" s="113"/>
      <c r="CW36" s="113">
        <f t="shared" si="35"/>
        <v>0</v>
      </c>
      <c r="CX36" s="113"/>
      <c r="CY36" s="113"/>
      <c r="CZ36" s="113"/>
      <c r="DA36" s="113"/>
      <c r="DB36" s="113">
        <f t="shared" si="63"/>
        <v>0</v>
      </c>
      <c r="DC36" s="113">
        <f t="shared" si="63"/>
        <v>0</v>
      </c>
      <c r="DD36" s="113"/>
      <c r="DE36" s="113"/>
      <c r="DF36" s="113"/>
      <c r="DG36" s="113"/>
      <c r="DH36" s="113">
        <f t="shared" si="64"/>
        <v>0</v>
      </c>
      <c r="DI36" s="113">
        <f t="shared" si="64"/>
        <v>0</v>
      </c>
      <c r="DJ36" s="113"/>
      <c r="DK36" s="113"/>
      <c r="DL36" s="113"/>
      <c r="DM36" s="113"/>
      <c r="DN36" s="113">
        <f t="shared" si="65"/>
        <v>0</v>
      </c>
      <c r="DO36" s="113">
        <f t="shared" si="65"/>
        <v>0</v>
      </c>
      <c r="DP36" s="113">
        <f t="shared" si="39"/>
        <v>0</v>
      </c>
      <c r="DQ36" s="113">
        <f t="shared" si="40"/>
        <v>0</v>
      </c>
      <c r="DR36" s="113">
        <f t="shared" si="41"/>
        <v>0</v>
      </c>
      <c r="DS36" s="113">
        <f t="shared" si="42"/>
        <v>0</v>
      </c>
      <c r="DT36" s="113">
        <f t="shared" si="66"/>
        <v>0</v>
      </c>
      <c r="DU36" s="113">
        <f t="shared" si="66"/>
        <v>0</v>
      </c>
    </row>
    <row r="37" spans="1:125">
      <c r="A37" s="15">
        <v>30</v>
      </c>
      <c r="B37" s="96" t="s">
        <v>788</v>
      </c>
      <c r="C37" s="112" t="s">
        <v>793</v>
      </c>
      <c r="D37" s="96" t="s">
        <v>795</v>
      </c>
      <c r="E37" s="185" t="s">
        <v>1165</v>
      </c>
      <c r="F37" s="161">
        <f t="shared" si="5"/>
        <v>0</v>
      </c>
      <c r="G37" s="161">
        <f t="shared" si="44"/>
        <v>37729.35</v>
      </c>
      <c r="H37" s="161">
        <f t="shared" si="45"/>
        <v>-37729.35</v>
      </c>
      <c r="I37" s="161">
        <f t="shared" ref="I37" si="67">BF37+BM37+BT37+CA37+CH37+CO37+CV37</f>
        <v>31147</v>
      </c>
      <c r="J37" s="165">
        <f t="shared" si="7"/>
        <v>0</v>
      </c>
      <c r="K37" s="115">
        <v>7650</v>
      </c>
      <c r="L37" s="211">
        <v>0</v>
      </c>
      <c r="M37" s="211">
        <v>0</v>
      </c>
      <c r="N37" s="127">
        <f t="shared" si="8"/>
        <v>0</v>
      </c>
      <c r="O37" s="127">
        <f t="shared" si="9"/>
        <v>0</v>
      </c>
      <c r="P37" s="127">
        <f t="shared" si="10"/>
        <v>0</v>
      </c>
      <c r="Q37" s="131">
        <f t="shared" si="46"/>
        <v>0</v>
      </c>
      <c r="R37" s="125">
        <f t="shared" si="11"/>
        <v>37729.35</v>
      </c>
      <c r="S37" s="113">
        <v>0</v>
      </c>
      <c r="T37" s="113"/>
      <c r="U37" s="113">
        <f t="shared" si="12"/>
        <v>0</v>
      </c>
      <c r="V37" s="113">
        <f t="shared" si="13"/>
        <v>0</v>
      </c>
      <c r="W37" s="113">
        <v>0</v>
      </c>
      <c r="X37" s="113">
        <v>0</v>
      </c>
      <c r="Y37" s="113">
        <v>0</v>
      </c>
      <c r="Z37" s="113">
        <v>0</v>
      </c>
      <c r="AA37" s="113">
        <f t="shared" si="50"/>
        <v>0</v>
      </c>
      <c r="AB37" s="113">
        <f t="shared" si="50"/>
        <v>0</v>
      </c>
      <c r="AC37" s="113"/>
      <c r="AD37" s="113"/>
      <c r="AE37" s="113">
        <v>15000</v>
      </c>
      <c r="AF37" s="113"/>
      <c r="AG37" s="113">
        <f t="shared" si="51"/>
        <v>15000</v>
      </c>
      <c r="AH37" s="113">
        <f t="shared" si="51"/>
        <v>0</v>
      </c>
      <c r="AI37" s="114">
        <f t="shared" si="16"/>
        <v>0</v>
      </c>
      <c r="AJ37" s="114">
        <f t="shared" si="52"/>
        <v>0</v>
      </c>
      <c r="AK37" s="114">
        <f t="shared" si="52"/>
        <v>15000</v>
      </c>
      <c r="AL37" s="114">
        <f t="shared" si="18"/>
        <v>0</v>
      </c>
      <c r="AM37" s="113">
        <f t="shared" si="53"/>
        <v>15000</v>
      </c>
      <c r="AN37" s="113">
        <f t="shared" si="53"/>
        <v>0</v>
      </c>
      <c r="AO37" s="113"/>
      <c r="AP37" s="113"/>
      <c r="AQ37" s="113"/>
      <c r="AR37" s="113"/>
      <c r="AS37" s="113">
        <f t="shared" si="54"/>
        <v>0</v>
      </c>
      <c r="AT37" s="113">
        <f t="shared" si="54"/>
        <v>0</v>
      </c>
      <c r="AU37" s="113"/>
      <c r="AV37" s="113"/>
      <c r="AW37" s="113"/>
      <c r="AX37" s="113"/>
      <c r="AY37" s="113">
        <f t="shared" si="55"/>
        <v>0</v>
      </c>
      <c r="AZ37" s="113">
        <f t="shared" si="55"/>
        <v>0</v>
      </c>
      <c r="BA37" s="113"/>
      <c r="BB37" s="113">
        <v>30000</v>
      </c>
      <c r="BC37" s="113"/>
      <c r="BD37" s="113"/>
      <c r="BE37" s="113">
        <f t="shared" si="56"/>
        <v>0</v>
      </c>
      <c r="BF37" s="113">
        <v>30000</v>
      </c>
      <c r="BG37" s="113">
        <f t="shared" si="23"/>
        <v>30000</v>
      </c>
      <c r="BH37" s="113"/>
      <c r="BI37" s="113"/>
      <c r="BJ37" s="113"/>
      <c r="BK37" s="113">
        <v>7729.35</v>
      </c>
      <c r="BL37" s="113">
        <f t="shared" si="57"/>
        <v>0</v>
      </c>
      <c r="BM37" s="113">
        <v>1147</v>
      </c>
      <c r="BN37" s="113">
        <f t="shared" si="25"/>
        <v>7729.35</v>
      </c>
      <c r="BO37" s="113"/>
      <c r="BP37" s="113"/>
      <c r="BQ37" s="113"/>
      <c r="BR37" s="113"/>
      <c r="BS37" s="113">
        <f t="shared" si="58"/>
        <v>0</v>
      </c>
      <c r="BT37" s="113"/>
      <c r="BU37" s="113">
        <f t="shared" si="27"/>
        <v>0</v>
      </c>
      <c r="BV37" s="113"/>
      <c r="BW37" s="113"/>
      <c r="BX37" s="113"/>
      <c r="BY37" s="113"/>
      <c r="BZ37" s="113">
        <f t="shared" si="59"/>
        <v>0</v>
      </c>
      <c r="CA37" s="113"/>
      <c r="CB37" s="113">
        <f t="shared" si="29"/>
        <v>0</v>
      </c>
      <c r="CC37" s="113"/>
      <c r="CD37" s="113"/>
      <c r="CE37" s="113"/>
      <c r="CF37" s="113"/>
      <c r="CG37" s="113">
        <f t="shared" si="60"/>
        <v>0</v>
      </c>
      <c r="CH37" s="113"/>
      <c r="CI37" s="113">
        <f t="shared" si="31"/>
        <v>0</v>
      </c>
      <c r="CJ37" s="113"/>
      <c r="CK37" s="113"/>
      <c r="CL37" s="113"/>
      <c r="CM37" s="113"/>
      <c r="CN37" s="113">
        <f t="shared" si="61"/>
        <v>0</v>
      </c>
      <c r="CO37" s="113"/>
      <c r="CP37" s="113">
        <f t="shared" si="33"/>
        <v>0</v>
      </c>
      <c r="CQ37" s="113"/>
      <c r="CR37" s="113"/>
      <c r="CS37" s="113"/>
      <c r="CT37" s="113"/>
      <c r="CU37" s="113">
        <f t="shared" si="62"/>
        <v>0</v>
      </c>
      <c r="CV37" s="113"/>
      <c r="CW37" s="113">
        <f t="shared" si="35"/>
        <v>0</v>
      </c>
      <c r="CX37" s="113"/>
      <c r="CY37" s="113"/>
      <c r="CZ37" s="113"/>
      <c r="DA37" s="113"/>
      <c r="DB37" s="113">
        <f t="shared" si="63"/>
        <v>0</v>
      </c>
      <c r="DC37" s="113">
        <f t="shared" si="63"/>
        <v>0</v>
      </c>
      <c r="DD37" s="113"/>
      <c r="DE37" s="113"/>
      <c r="DF37" s="113"/>
      <c r="DG37" s="113"/>
      <c r="DH37" s="113">
        <f t="shared" si="64"/>
        <v>0</v>
      </c>
      <c r="DI37" s="113">
        <f t="shared" si="64"/>
        <v>0</v>
      </c>
      <c r="DJ37" s="113"/>
      <c r="DK37" s="113"/>
      <c r="DL37" s="113"/>
      <c r="DM37" s="113"/>
      <c r="DN37" s="113">
        <f t="shared" si="65"/>
        <v>0</v>
      </c>
      <c r="DO37" s="113">
        <f t="shared" si="65"/>
        <v>0</v>
      </c>
      <c r="DP37" s="113">
        <f t="shared" si="39"/>
        <v>0</v>
      </c>
      <c r="DQ37" s="113">
        <f t="shared" si="40"/>
        <v>30000</v>
      </c>
      <c r="DR37" s="113">
        <f t="shared" si="41"/>
        <v>0</v>
      </c>
      <c r="DS37" s="113">
        <f t="shared" si="42"/>
        <v>7729.35</v>
      </c>
      <c r="DT37" s="113">
        <f t="shared" si="66"/>
        <v>0</v>
      </c>
      <c r="DU37" s="113">
        <f t="shared" si="66"/>
        <v>37729.35</v>
      </c>
    </row>
    <row r="38" spans="1:125">
      <c r="A38" s="15">
        <v>31</v>
      </c>
      <c r="B38" s="96" t="s">
        <v>788</v>
      </c>
      <c r="C38" s="7" t="s">
        <v>796</v>
      </c>
      <c r="D38" s="96" t="s">
        <v>797</v>
      </c>
      <c r="E38" s="185" t="s">
        <v>1164</v>
      </c>
      <c r="F38" s="161">
        <f t="shared" si="5"/>
        <v>0</v>
      </c>
      <c r="G38" s="161">
        <f t="shared" si="44"/>
        <v>0</v>
      </c>
      <c r="H38" s="161">
        <f t="shared" si="45"/>
        <v>0</v>
      </c>
      <c r="I38" s="161">
        <f t="shared" si="6"/>
        <v>0</v>
      </c>
      <c r="J38" s="165">
        <f t="shared" si="7"/>
        <v>0</v>
      </c>
      <c r="K38" s="115"/>
      <c r="L38" s="211">
        <v>0</v>
      </c>
      <c r="M38" s="211">
        <v>0</v>
      </c>
      <c r="N38" s="127">
        <f t="shared" si="8"/>
        <v>0</v>
      </c>
      <c r="O38" s="127">
        <f t="shared" si="9"/>
        <v>0</v>
      </c>
      <c r="P38" s="127">
        <f t="shared" si="10"/>
        <v>0</v>
      </c>
      <c r="Q38" s="131">
        <f t="shared" si="46"/>
        <v>0</v>
      </c>
      <c r="R38" s="125" t="str">
        <f t="shared" si="11"/>
        <v>ნულოვანი შესრულება</v>
      </c>
      <c r="S38" s="113">
        <v>0</v>
      </c>
      <c r="T38" s="113"/>
      <c r="U38" s="113">
        <f t="shared" si="12"/>
        <v>0</v>
      </c>
      <c r="V38" s="113">
        <f t="shared" si="13"/>
        <v>0</v>
      </c>
      <c r="W38" s="113">
        <v>0</v>
      </c>
      <c r="X38" s="113">
        <v>0</v>
      </c>
      <c r="Y38" s="113">
        <v>0</v>
      </c>
      <c r="Z38" s="113">
        <v>0</v>
      </c>
      <c r="AA38" s="113">
        <f t="shared" si="50"/>
        <v>0</v>
      </c>
      <c r="AB38" s="113">
        <f t="shared" si="50"/>
        <v>0</v>
      </c>
      <c r="AC38" s="113"/>
      <c r="AD38" s="113"/>
      <c r="AE38" s="113"/>
      <c r="AF38" s="113"/>
      <c r="AG38" s="113">
        <f t="shared" si="51"/>
        <v>0</v>
      </c>
      <c r="AH38" s="113">
        <f t="shared" si="51"/>
        <v>0</v>
      </c>
      <c r="AI38" s="114">
        <f t="shared" si="16"/>
        <v>0</v>
      </c>
      <c r="AJ38" s="114">
        <f t="shared" si="52"/>
        <v>0</v>
      </c>
      <c r="AK38" s="114">
        <f t="shared" si="52"/>
        <v>0</v>
      </c>
      <c r="AL38" s="114">
        <f t="shared" si="18"/>
        <v>0</v>
      </c>
      <c r="AM38" s="113">
        <f t="shared" si="53"/>
        <v>0</v>
      </c>
      <c r="AN38" s="113">
        <f t="shared" si="53"/>
        <v>0</v>
      </c>
      <c r="AO38" s="113"/>
      <c r="AP38" s="113"/>
      <c r="AQ38" s="113"/>
      <c r="AR38" s="113"/>
      <c r="AS38" s="113">
        <f t="shared" si="54"/>
        <v>0</v>
      </c>
      <c r="AT38" s="113">
        <f t="shared" si="54"/>
        <v>0</v>
      </c>
      <c r="AU38" s="113"/>
      <c r="AV38" s="113"/>
      <c r="AW38" s="113"/>
      <c r="AX38" s="113"/>
      <c r="AY38" s="113">
        <f t="shared" si="55"/>
        <v>0</v>
      </c>
      <c r="AZ38" s="113">
        <f t="shared" si="55"/>
        <v>0</v>
      </c>
      <c r="BA38" s="113"/>
      <c r="BB38" s="113"/>
      <c r="BC38" s="113"/>
      <c r="BD38" s="113"/>
      <c r="BE38" s="113">
        <f t="shared" si="56"/>
        <v>0</v>
      </c>
      <c r="BF38" s="113"/>
      <c r="BG38" s="113">
        <f t="shared" si="23"/>
        <v>0</v>
      </c>
      <c r="BH38" s="113"/>
      <c r="BI38" s="113"/>
      <c r="BJ38" s="113"/>
      <c r="BK38" s="113"/>
      <c r="BL38" s="113">
        <f t="shared" si="57"/>
        <v>0</v>
      </c>
      <c r="BM38" s="113"/>
      <c r="BN38" s="113">
        <f t="shared" si="25"/>
        <v>0</v>
      </c>
      <c r="BO38" s="113"/>
      <c r="BP38" s="113"/>
      <c r="BQ38" s="113"/>
      <c r="BR38" s="113"/>
      <c r="BS38" s="113">
        <f t="shared" si="58"/>
        <v>0</v>
      </c>
      <c r="BT38" s="113"/>
      <c r="BU38" s="113">
        <f t="shared" si="27"/>
        <v>0</v>
      </c>
      <c r="BV38" s="113"/>
      <c r="BW38" s="113"/>
      <c r="BX38" s="113"/>
      <c r="BY38" s="113"/>
      <c r="BZ38" s="113">
        <f t="shared" si="59"/>
        <v>0</v>
      </c>
      <c r="CA38" s="113"/>
      <c r="CB38" s="113">
        <f t="shared" si="29"/>
        <v>0</v>
      </c>
      <c r="CC38" s="113"/>
      <c r="CD38" s="113"/>
      <c r="CE38" s="113"/>
      <c r="CF38" s="113"/>
      <c r="CG38" s="113">
        <f t="shared" si="60"/>
        <v>0</v>
      </c>
      <c r="CH38" s="113"/>
      <c r="CI38" s="113">
        <f t="shared" si="31"/>
        <v>0</v>
      </c>
      <c r="CJ38" s="113"/>
      <c r="CK38" s="113"/>
      <c r="CL38" s="113"/>
      <c r="CM38" s="113"/>
      <c r="CN38" s="113">
        <f t="shared" si="61"/>
        <v>0</v>
      </c>
      <c r="CO38" s="113"/>
      <c r="CP38" s="113">
        <f t="shared" si="33"/>
        <v>0</v>
      </c>
      <c r="CQ38" s="113"/>
      <c r="CR38" s="113"/>
      <c r="CS38" s="113"/>
      <c r="CT38" s="113"/>
      <c r="CU38" s="113">
        <f t="shared" si="62"/>
        <v>0</v>
      </c>
      <c r="CV38" s="113"/>
      <c r="CW38" s="113">
        <f t="shared" si="35"/>
        <v>0</v>
      </c>
      <c r="CX38" s="113"/>
      <c r="CY38" s="113"/>
      <c r="CZ38" s="113"/>
      <c r="DA38" s="113"/>
      <c r="DB38" s="113">
        <f t="shared" si="63"/>
        <v>0</v>
      </c>
      <c r="DC38" s="113">
        <f t="shared" si="63"/>
        <v>0</v>
      </c>
      <c r="DD38" s="113"/>
      <c r="DE38" s="113"/>
      <c r="DF38" s="113"/>
      <c r="DG38" s="113"/>
      <c r="DH38" s="113">
        <f t="shared" si="64"/>
        <v>0</v>
      </c>
      <c r="DI38" s="113">
        <f t="shared" si="64"/>
        <v>0</v>
      </c>
      <c r="DJ38" s="113"/>
      <c r="DK38" s="113"/>
      <c r="DL38" s="113"/>
      <c r="DM38" s="113"/>
      <c r="DN38" s="113">
        <f t="shared" si="65"/>
        <v>0</v>
      </c>
      <c r="DO38" s="113">
        <f t="shared" si="65"/>
        <v>0</v>
      </c>
      <c r="DP38" s="113">
        <f t="shared" si="39"/>
        <v>0</v>
      </c>
      <c r="DQ38" s="113">
        <f t="shared" si="40"/>
        <v>0</v>
      </c>
      <c r="DR38" s="113">
        <f t="shared" si="41"/>
        <v>0</v>
      </c>
      <c r="DS38" s="113">
        <f t="shared" si="42"/>
        <v>0</v>
      </c>
      <c r="DT38" s="113">
        <f t="shared" si="66"/>
        <v>0</v>
      </c>
      <c r="DU38" s="113">
        <f t="shared" si="66"/>
        <v>0</v>
      </c>
    </row>
    <row r="39" spans="1:125" s="333" customFormat="1">
      <c r="A39" s="328">
        <v>32</v>
      </c>
      <c r="B39" s="329" t="s">
        <v>788</v>
      </c>
      <c r="C39" s="330" t="s">
        <v>796</v>
      </c>
      <c r="D39" s="329" t="s">
        <v>798</v>
      </c>
      <c r="E39" s="329" t="s">
        <v>1165</v>
      </c>
      <c r="F39" s="261">
        <f t="shared" si="5"/>
        <v>1300000</v>
      </c>
      <c r="G39" s="261">
        <f t="shared" si="44"/>
        <v>700000</v>
      </c>
      <c r="H39" s="161">
        <f t="shared" si="45"/>
        <v>600000</v>
      </c>
      <c r="I39" s="161">
        <f t="shared" si="6"/>
        <v>1300000</v>
      </c>
      <c r="J39" s="262">
        <f t="shared" si="7"/>
        <v>1300000</v>
      </c>
      <c r="K39" s="331">
        <v>520260</v>
      </c>
      <c r="L39" s="211">
        <v>0</v>
      </c>
      <c r="M39" s="211">
        <v>0</v>
      </c>
      <c r="N39" s="261">
        <f t="shared" si="8"/>
        <v>0</v>
      </c>
      <c r="O39" s="261">
        <f t="shared" si="9"/>
        <v>0</v>
      </c>
      <c r="P39" s="261">
        <f t="shared" si="10"/>
        <v>0</v>
      </c>
      <c r="Q39" s="261">
        <f t="shared" si="46"/>
        <v>1300000</v>
      </c>
      <c r="R39" s="261" t="str">
        <f t="shared" si="11"/>
        <v>მიმდინარეობს</v>
      </c>
      <c r="S39" s="113">
        <v>0</v>
      </c>
      <c r="T39" s="113"/>
      <c r="U39" s="113">
        <f t="shared" si="12"/>
        <v>0</v>
      </c>
      <c r="V39" s="113">
        <f t="shared" si="13"/>
        <v>0</v>
      </c>
      <c r="W39" s="113">
        <v>0</v>
      </c>
      <c r="X39" s="113">
        <v>0</v>
      </c>
      <c r="Y39" s="113">
        <v>0</v>
      </c>
      <c r="Z39" s="113">
        <v>0</v>
      </c>
      <c r="AA39" s="113">
        <f t="shared" si="50"/>
        <v>0</v>
      </c>
      <c r="AB39" s="113">
        <f t="shared" si="50"/>
        <v>0</v>
      </c>
      <c r="AC39" s="113"/>
      <c r="AD39" s="113"/>
      <c r="AE39" s="113"/>
      <c r="AF39" s="113"/>
      <c r="AG39" s="113">
        <f t="shared" si="51"/>
        <v>0</v>
      </c>
      <c r="AH39" s="113">
        <f t="shared" si="51"/>
        <v>0</v>
      </c>
      <c r="AI39" s="114">
        <f t="shared" si="16"/>
        <v>0</v>
      </c>
      <c r="AJ39" s="114">
        <f t="shared" si="52"/>
        <v>0</v>
      </c>
      <c r="AK39" s="114">
        <f t="shared" si="52"/>
        <v>0</v>
      </c>
      <c r="AL39" s="114">
        <f t="shared" si="18"/>
        <v>0</v>
      </c>
      <c r="AM39" s="113">
        <f t="shared" si="53"/>
        <v>0</v>
      </c>
      <c r="AN39" s="113">
        <f t="shared" si="53"/>
        <v>0</v>
      </c>
      <c r="AO39" s="332"/>
      <c r="AP39" s="332"/>
      <c r="AQ39" s="332"/>
      <c r="AR39" s="332"/>
      <c r="AS39" s="332">
        <f t="shared" si="54"/>
        <v>0</v>
      </c>
      <c r="AT39" s="332">
        <f t="shared" si="54"/>
        <v>0</v>
      </c>
      <c r="AU39" s="332"/>
      <c r="AV39" s="332"/>
      <c r="AW39" s="332"/>
      <c r="AX39" s="332"/>
      <c r="AY39" s="332">
        <f t="shared" si="55"/>
        <v>0</v>
      </c>
      <c r="AZ39" s="332">
        <f t="shared" si="55"/>
        <v>0</v>
      </c>
      <c r="BA39" s="332"/>
      <c r="BB39" s="332"/>
      <c r="BC39" s="332"/>
      <c r="BD39" s="332"/>
      <c r="BE39" s="332">
        <f t="shared" si="56"/>
        <v>0</v>
      </c>
      <c r="BF39" s="332">
        <v>0</v>
      </c>
      <c r="BG39" s="332">
        <f t="shared" si="23"/>
        <v>0</v>
      </c>
      <c r="BH39" s="332">
        <v>500000</v>
      </c>
      <c r="BI39" s="332">
        <v>100000</v>
      </c>
      <c r="BJ39" s="332"/>
      <c r="BK39" s="332"/>
      <c r="BL39" s="332">
        <f t="shared" si="57"/>
        <v>500000</v>
      </c>
      <c r="BM39" s="332">
        <v>300000</v>
      </c>
      <c r="BN39" s="332">
        <f t="shared" si="25"/>
        <v>100000</v>
      </c>
      <c r="BO39" s="332">
        <v>200000</v>
      </c>
      <c r="BP39" s="332"/>
      <c r="BQ39" s="332"/>
      <c r="BR39" s="332"/>
      <c r="BS39" s="332">
        <f t="shared" si="58"/>
        <v>200000</v>
      </c>
      <c r="BT39" s="332">
        <v>200000</v>
      </c>
      <c r="BU39" s="332">
        <f t="shared" si="27"/>
        <v>0</v>
      </c>
      <c r="BV39" s="332">
        <v>200000</v>
      </c>
      <c r="BW39" s="332"/>
      <c r="BX39" s="332"/>
      <c r="BY39" s="332"/>
      <c r="BZ39" s="332">
        <f t="shared" si="59"/>
        <v>200000</v>
      </c>
      <c r="CA39" s="332">
        <v>200000</v>
      </c>
      <c r="CB39" s="332">
        <f t="shared" si="29"/>
        <v>0</v>
      </c>
      <c r="CC39" s="332">
        <v>200000</v>
      </c>
      <c r="CD39" s="332">
        <v>600000</v>
      </c>
      <c r="CE39" s="332"/>
      <c r="CF39" s="332"/>
      <c r="CG39" s="332">
        <f t="shared" si="60"/>
        <v>200000</v>
      </c>
      <c r="CH39" s="332">
        <v>200000</v>
      </c>
      <c r="CI39" s="332">
        <f t="shared" si="31"/>
        <v>600000</v>
      </c>
      <c r="CJ39" s="332"/>
      <c r="CK39" s="332"/>
      <c r="CL39" s="332">
        <v>200000</v>
      </c>
      <c r="CM39" s="332"/>
      <c r="CN39" s="332">
        <f t="shared" si="61"/>
        <v>200000</v>
      </c>
      <c r="CO39" s="332">
        <v>200000</v>
      </c>
      <c r="CP39" s="332">
        <f t="shared" si="33"/>
        <v>0</v>
      </c>
      <c r="CQ39" s="332"/>
      <c r="CR39" s="332"/>
      <c r="CS39" s="332"/>
      <c r="CT39" s="332"/>
      <c r="CU39" s="332">
        <f t="shared" si="62"/>
        <v>0</v>
      </c>
      <c r="CV39" s="332">
        <v>200000</v>
      </c>
      <c r="CW39" s="332">
        <f t="shared" si="35"/>
        <v>0</v>
      </c>
      <c r="CX39" s="332"/>
      <c r="CY39" s="332"/>
      <c r="CZ39" s="332"/>
      <c r="DA39" s="332"/>
      <c r="DB39" s="332">
        <f t="shared" si="63"/>
        <v>0</v>
      </c>
      <c r="DC39" s="332">
        <f t="shared" si="63"/>
        <v>0</v>
      </c>
      <c r="DD39" s="332"/>
      <c r="DE39" s="332"/>
      <c r="DF39" s="332"/>
      <c r="DG39" s="332"/>
      <c r="DH39" s="332">
        <f t="shared" si="64"/>
        <v>0</v>
      </c>
      <c r="DI39" s="332">
        <f t="shared" si="64"/>
        <v>0</v>
      </c>
      <c r="DJ39" s="332"/>
      <c r="DK39" s="332"/>
      <c r="DL39" s="332"/>
      <c r="DM39" s="332"/>
      <c r="DN39" s="332">
        <f t="shared" si="65"/>
        <v>0</v>
      </c>
      <c r="DO39" s="332">
        <f t="shared" si="65"/>
        <v>0</v>
      </c>
      <c r="DP39" s="332">
        <f t="shared" si="39"/>
        <v>1100000</v>
      </c>
      <c r="DQ39" s="332">
        <f t="shared" si="40"/>
        <v>700000</v>
      </c>
      <c r="DR39" s="332">
        <f t="shared" si="41"/>
        <v>200000</v>
      </c>
      <c r="DS39" s="332">
        <f t="shared" si="42"/>
        <v>0</v>
      </c>
      <c r="DT39" s="332">
        <f t="shared" si="66"/>
        <v>1300000</v>
      </c>
      <c r="DU39" s="332">
        <f t="shared" si="66"/>
        <v>700000</v>
      </c>
    </row>
    <row r="40" spans="1:125">
      <c r="A40" s="15">
        <v>33</v>
      </c>
      <c r="B40" s="96" t="s">
        <v>788</v>
      </c>
      <c r="C40" s="7" t="s">
        <v>799</v>
      </c>
      <c r="D40" s="96" t="s">
        <v>800</v>
      </c>
      <c r="E40" s="185" t="s">
        <v>1164</v>
      </c>
      <c r="F40" s="161">
        <f t="shared" si="5"/>
        <v>0</v>
      </c>
      <c r="G40" s="161">
        <f t="shared" si="44"/>
        <v>0</v>
      </c>
      <c r="H40" s="161">
        <f t="shared" si="45"/>
        <v>0</v>
      </c>
      <c r="I40" s="161">
        <f t="shared" si="6"/>
        <v>0</v>
      </c>
      <c r="J40" s="165">
        <f t="shared" si="7"/>
        <v>6891.5</v>
      </c>
      <c r="K40" s="115"/>
      <c r="L40" s="211">
        <v>0</v>
      </c>
      <c r="M40" s="211">
        <v>0</v>
      </c>
      <c r="N40" s="127">
        <f t="shared" si="8"/>
        <v>6891.5</v>
      </c>
      <c r="O40" s="127">
        <f t="shared" si="9"/>
        <v>0</v>
      </c>
      <c r="P40" s="127">
        <f t="shared" si="10"/>
        <v>6891.5</v>
      </c>
      <c r="Q40" s="131">
        <f t="shared" si="46"/>
        <v>0</v>
      </c>
      <c r="R40" s="125" t="str">
        <f t="shared" si="11"/>
        <v>მიმდინარეობს</v>
      </c>
      <c r="S40" s="113">
        <v>6891.5</v>
      </c>
      <c r="T40" s="113">
        <v>0</v>
      </c>
      <c r="U40" s="113">
        <f t="shared" si="12"/>
        <v>6891.5</v>
      </c>
      <c r="V40" s="113">
        <f t="shared" si="13"/>
        <v>0</v>
      </c>
      <c r="W40" s="113">
        <v>0</v>
      </c>
      <c r="X40" s="113">
        <v>0</v>
      </c>
      <c r="Y40" s="113">
        <v>0</v>
      </c>
      <c r="Z40" s="113">
        <v>0</v>
      </c>
      <c r="AA40" s="113">
        <f t="shared" si="50"/>
        <v>0</v>
      </c>
      <c r="AB40" s="113">
        <f t="shared" si="50"/>
        <v>0</v>
      </c>
      <c r="AC40" s="113"/>
      <c r="AD40" s="113"/>
      <c r="AE40" s="113"/>
      <c r="AF40" s="113"/>
      <c r="AG40" s="113">
        <f t="shared" si="51"/>
        <v>0</v>
      </c>
      <c r="AH40" s="113">
        <f t="shared" si="51"/>
        <v>0</v>
      </c>
      <c r="AI40" s="114">
        <f t="shared" si="16"/>
        <v>6891.5</v>
      </c>
      <c r="AJ40" s="114">
        <f t="shared" si="52"/>
        <v>6891.5</v>
      </c>
      <c r="AK40" s="114">
        <f t="shared" si="52"/>
        <v>0</v>
      </c>
      <c r="AL40" s="114">
        <f t="shared" si="18"/>
        <v>0</v>
      </c>
      <c r="AM40" s="113">
        <f t="shared" si="53"/>
        <v>6891.5</v>
      </c>
      <c r="AN40" s="113">
        <f t="shared" si="53"/>
        <v>6891.5</v>
      </c>
      <c r="AO40" s="113"/>
      <c r="AP40" s="113"/>
      <c r="AQ40" s="113"/>
      <c r="AR40" s="113"/>
      <c r="AS40" s="113">
        <f t="shared" si="54"/>
        <v>0</v>
      </c>
      <c r="AT40" s="113">
        <f t="shared" si="54"/>
        <v>0</v>
      </c>
      <c r="AU40" s="113"/>
      <c r="AV40" s="113"/>
      <c r="AW40" s="113"/>
      <c r="AX40" s="113"/>
      <c r="AY40" s="113">
        <f t="shared" si="55"/>
        <v>0</v>
      </c>
      <c r="AZ40" s="113">
        <f t="shared" si="55"/>
        <v>0</v>
      </c>
      <c r="BA40" s="113"/>
      <c r="BB40" s="113"/>
      <c r="BC40" s="113"/>
      <c r="BD40" s="113"/>
      <c r="BE40" s="113">
        <f t="shared" si="56"/>
        <v>0</v>
      </c>
      <c r="BF40" s="113"/>
      <c r="BG40" s="113">
        <f t="shared" si="23"/>
        <v>0</v>
      </c>
      <c r="BH40" s="113"/>
      <c r="BI40" s="113"/>
      <c r="BJ40" s="113"/>
      <c r="BK40" s="113"/>
      <c r="BL40" s="113">
        <f t="shared" si="57"/>
        <v>0</v>
      </c>
      <c r="BM40" s="113"/>
      <c r="BN40" s="113">
        <f t="shared" si="25"/>
        <v>0</v>
      </c>
      <c r="BO40" s="113"/>
      <c r="BP40" s="113"/>
      <c r="BQ40" s="113"/>
      <c r="BR40" s="113"/>
      <c r="BS40" s="113">
        <f t="shared" si="58"/>
        <v>0</v>
      </c>
      <c r="BT40" s="113"/>
      <c r="BU40" s="113">
        <f t="shared" si="27"/>
        <v>0</v>
      </c>
      <c r="BV40" s="113"/>
      <c r="BW40" s="113"/>
      <c r="BX40" s="113"/>
      <c r="BY40" s="113"/>
      <c r="BZ40" s="113">
        <f t="shared" si="59"/>
        <v>0</v>
      </c>
      <c r="CA40" s="113"/>
      <c r="CB40" s="113">
        <f t="shared" si="29"/>
        <v>0</v>
      </c>
      <c r="CC40" s="113"/>
      <c r="CD40" s="113"/>
      <c r="CE40" s="113"/>
      <c r="CF40" s="113"/>
      <c r="CG40" s="113">
        <f t="shared" si="60"/>
        <v>0</v>
      </c>
      <c r="CH40" s="113"/>
      <c r="CI40" s="113">
        <f t="shared" si="31"/>
        <v>0</v>
      </c>
      <c r="CJ40" s="113"/>
      <c r="CK40" s="113"/>
      <c r="CL40" s="113"/>
      <c r="CM40" s="113"/>
      <c r="CN40" s="113">
        <f t="shared" si="61"/>
        <v>0</v>
      </c>
      <c r="CO40" s="113"/>
      <c r="CP40" s="113">
        <f t="shared" si="33"/>
        <v>0</v>
      </c>
      <c r="CQ40" s="113"/>
      <c r="CR40" s="113"/>
      <c r="CS40" s="113"/>
      <c r="CT40" s="113"/>
      <c r="CU40" s="113">
        <f t="shared" si="62"/>
        <v>0</v>
      </c>
      <c r="CV40" s="113"/>
      <c r="CW40" s="113">
        <f t="shared" si="35"/>
        <v>0</v>
      </c>
      <c r="CX40" s="113"/>
      <c r="CY40" s="113"/>
      <c r="CZ40" s="113"/>
      <c r="DA40" s="113"/>
      <c r="DB40" s="113">
        <f t="shared" si="63"/>
        <v>0</v>
      </c>
      <c r="DC40" s="113">
        <f t="shared" si="63"/>
        <v>0</v>
      </c>
      <c r="DD40" s="113"/>
      <c r="DE40" s="113"/>
      <c r="DF40" s="113"/>
      <c r="DG40" s="113"/>
      <c r="DH40" s="113">
        <f t="shared" si="64"/>
        <v>0</v>
      </c>
      <c r="DI40" s="113">
        <f t="shared" si="64"/>
        <v>0</v>
      </c>
      <c r="DJ40" s="113"/>
      <c r="DK40" s="113"/>
      <c r="DL40" s="113"/>
      <c r="DM40" s="113"/>
      <c r="DN40" s="113">
        <f t="shared" si="65"/>
        <v>0</v>
      </c>
      <c r="DO40" s="113">
        <f t="shared" si="65"/>
        <v>0</v>
      </c>
      <c r="DP40" s="113">
        <f t="shared" si="39"/>
        <v>0</v>
      </c>
      <c r="DQ40" s="113">
        <f t="shared" si="40"/>
        <v>0</v>
      </c>
      <c r="DR40" s="113">
        <f t="shared" si="41"/>
        <v>0</v>
      </c>
      <c r="DS40" s="113">
        <f t="shared" si="42"/>
        <v>0</v>
      </c>
      <c r="DT40" s="113">
        <f t="shared" si="66"/>
        <v>0</v>
      </c>
      <c r="DU40" s="113">
        <f t="shared" si="66"/>
        <v>0</v>
      </c>
    </row>
    <row r="41" spans="1:125" s="333" customFormat="1">
      <c r="A41" s="328">
        <v>34</v>
      </c>
      <c r="B41" s="329" t="s">
        <v>788</v>
      </c>
      <c r="C41" s="330" t="s">
        <v>799</v>
      </c>
      <c r="D41" s="329" t="s">
        <v>801</v>
      </c>
      <c r="E41" s="329" t="s">
        <v>1165</v>
      </c>
      <c r="F41" s="261">
        <f t="shared" si="5"/>
        <v>200000</v>
      </c>
      <c r="G41" s="261">
        <f t="shared" ref="G41" si="68">AT41+AZ41+BG41+BN41+BU41+CB41+CI41+CP41+CW41+DC41+DI41+DO41</f>
        <v>0</v>
      </c>
      <c r="H41" s="161">
        <f t="shared" si="45"/>
        <v>200000</v>
      </c>
      <c r="I41" s="161">
        <f t="shared" si="6"/>
        <v>5000</v>
      </c>
      <c r="J41" s="262">
        <f t="shared" si="7"/>
        <v>1100000</v>
      </c>
      <c r="K41" s="331">
        <v>323400</v>
      </c>
      <c r="L41" s="211">
        <v>0</v>
      </c>
      <c r="M41" s="211">
        <v>0</v>
      </c>
      <c r="N41" s="261">
        <f t="shared" si="8"/>
        <v>900000</v>
      </c>
      <c r="O41" s="261">
        <f t="shared" si="9"/>
        <v>0</v>
      </c>
      <c r="P41" s="261">
        <f t="shared" si="10"/>
        <v>900000</v>
      </c>
      <c r="Q41" s="261">
        <f t="shared" si="46"/>
        <v>200000</v>
      </c>
      <c r="R41" s="261" t="str">
        <f t="shared" si="11"/>
        <v>მიმდინარეობს</v>
      </c>
      <c r="S41" s="113">
        <v>900000</v>
      </c>
      <c r="T41" s="113"/>
      <c r="U41" s="113">
        <f t="shared" si="12"/>
        <v>900000</v>
      </c>
      <c r="V41" s="113">
        <f t="shared" si="13"/>
        <v>0</v>
      </c>
      <c r="W41" s="113">
        <v>0</v>
      </c>
      <c r="X41" s="113">
        <v>0</v>
      </c>
      <c r="Y41" s="113">
        <v>0</v>
      </c>
      <c r="Z41" s="113">
        <v>0</v>
      </c>
      <c r="AA41" s="113">
        <f t="shared" si="50"/>
        <v>0</v>
      </c>
      <c r="AB41" s="113">
        <f t="shared" si="50"/>
        <v>0</v>
      </c>
      <c r="AC41" s="113"/>
      <c r="AD41" s="113"/>
      <c r="AE41" s="113"/>
      <c r="AF41" s="113"/>
      <c r="AG41" s="113">
        <f t="shared" si="51"/>
        <v>0</v>
      </c>
      <c r="AH41" s="113">
        <f t="shared" si="51"/>
        <v>0</v>
      </c>
      <c r="AI41" s="114">
        <f t="shared" si="16"/>
        <v>900000</v>
      </c>
      <c r="AJ41" s="114">
        <f t="shared" si="52"/>
        <v>900000</v>
      </c>
      <c r="AK41" s="114">
        <f t="shared" si="52"/>
        <v>0</v>
      </c>
      <c r="AL41" s="114">
        <f t="shared" si="18"/>
        <v>0</v>
      </c>
      <c r="AM41" s="113">
        <f t="shared" si="53"/>
        <v>900000</v>
      </c>
      <c r="AN41" s="113">
        <f t="shared" si="53"/>
        <v>900000</v>
      </c>
      <c r="AO41" s="332"/>
      <c r="AP41" s="332"/>
      <c r="AQ41" s="332"/>
      <c r="AR41" s="332"/>
      <c r="AS41" s="332">
        <f t="shared" si="54"/>
        <v>0</v>
      </c>
      <c r="AT41" s="332">
        <f t="shared" si="54"/>
        <v>0</v>
      </c>
      <c r="AU41" s="332"/>
      <c r="AV41" s="332"/>
      <c r="AW41" s="332"/>
      <c r="AX41" s="332"/>
      <c r="AY41" s="332">
        <f t="shared" si="55"/>
        <v>0</v>
      </c>
      <c r="AZ41" s="332">
        <f t="shared" si="55"/>
        <v>0</v>
      </c>
      <c r="BA41" s="332"/>
      <c r="BB41" s="332"/>
      <c r="BC41" s="332"/>
      <c r="BD41" s="332"/>
      <c r="BE41" s="332">
        <f t="shared" si="56"/>
        <v>0</v>
      </c>
      <c r="BF41" s="332"/>
      <c r="BG41" s="332">
        <f t="shared" ref="BG41:BG72" si="69">BB41+BD41</f>
        <v>0</v>
      </c>
      <c r="BH41" s="332"/>
      <c r="BI41" s="332"/>
      <c r="BJ41" s="332"/>
      <c r="BK41" s="332"/>
      <c r="BL41" s="332">
        <f t="shared" si="57"/>
        <v>0</v>
      </c>
      <c r="BM41" s="332"/>
      <c r="BN41" s="332">
        <f t="shared" ref="BN41:BN72" si="70">BI41+BK41</f>
        <v>0</v>
      </c>
      <c r="BO41" s="332">
        <v>150000</v>
      </c>
      <c r="BP41" s="332"/>
      <c r="BQ41" s="332"/>
      <c r="BR41" s="332"/>
      <c r="BS41" s="332">
        <f t="shared" si="58"/>
        <v>150000</v>
      </c>
      <c r="BT41" s="332"/>
      <c r="BU41" s="332">
        <f t="shared" ref="BU41:BU72" si="71">BP41+BR41</f>
        <v>0</v>
      </c>
      <c r="BV41" s="332"/>
      <c r="BW41" s="332"/>
      <c r="BX41" s="332">
        <v>50000</v>
      </c>
      <c r="BY41" s="332"/>
      <c r="BZ41" s="332">
        <f t="shared" si="59"/>
        <v>50000</v>
      </c>
      <c r="CA41" s="332">
        <v>5000</v>
      </c>
      <c r="CB41" s="332">
        <f t="shared" ref="CB41:CB72" si="72">BW41+BY41</f>
        <v>0</v>
      </c>
      <c r="CC41" s="332"/>
      <c r="CD41" s="332"/>
      <c r="CE41" s="332"/>
      <c r="CF41" s="332"/>
      <c r="CG41" s="332">
        <f t="shared" si="60"/>
        <v>0</v>
      </c>
      <c r="CH41" s="332"/>
      <c r="CI41" s="332">
        <f t="shared" ref="CI41:CI72" si="73">CD41+CF41</f>
        <v>0</v>
      </c>
      <c r="CJ41" s="332"/>
      <c r="CK41" s="332"/>
      <c r="CL41" s="332"/>
      <c r="CM41" s="332"/>
      <c r="CN41" s="332">
        <f t="shared" si="61"/>
        <v>0</v>
      </c>
      <c r="CO41" s="332"/>
      <c r="CP41" s="332">
        <f t="shared" ref="CP41:CP72" si="74">CK41+CM41</f>
        <v>0</v>
      </c>
      <c r="CQ41" s="332"/>
      <c r="CR41" s="332"/>
      <c r="CS41" s="332"/>
      <c r="CT41" s="332"/>
      <c r="CU41" s="332">
        <f t="shared" si="62"/>
        <v>0</v>
      </c>
      <c r="CV41" s="332"/>
      <c r="CW41" s="332">
        <f t="shared" ref="CW41:CW72" si="75">CR41+CT41</f>
        <v>0</v>
      </c>
      <c r="CX41" s="332"/>
      <c r="CY41" s="332"/>
      <c r="CZ41" s="332"/>
      <c r="DA41" s="332"/>
      <c r="DB41" s="332">
        <f t="shared" si="63"/>
        <v>0</v>
      </c>
      <c r="DC41" s="332">
        <f t="shared" si="63"/>
        <v>0</v>
      </c>
      <c r="DD41" s="332"/>
      <c r="DE41" s="332"/>
      <c r="DF41" s="332"/>
      <c r="DG41" s="332"/>
      <c r="DH41" s="332">
        <f t="shared" si="64"/>
        <v>0</v>
      </c>
      <c r="DI41" s="332">
        <f t="shared" si="64"/>
        <v>0</v>
      </c>
      <c r="DJ41" s="332"/>
      <c r="DK41" s="332"/>
      <c r="DL41" s="332"/>
      <c r="DM41" s="332"/>
      <c r="DN41" s="332">
        <f t="shared" si="65"/>
        <v>0</v>
      </c>
      <c r="DO41" s="332">
        <f t="shared" si="65"/>
        <v>0</v>
      </c>
      <c r="DP41" s="332">
        <f t="shared" ref="DP41:DP72" si="76">AO41+AU41+BA41+BH41+BO41+BV41+CC41+CJ41+CQ41+CX41+DD41+DJ41</f>
        <v>150000</v>
      </c>
      <c r="DQ41" s="332">
        <f t="shared" ref="DQ41:DQ72" si="77">AP41+AV41+BB41+BI41+BP41+BW41+CD41+CK41+CR41+CY41+DE41+DK41</f>
        <v>0</v>
      </c>
      <c r="DR41" s="332">
        <f t="shared" ref="DR41:DR72" si="78">AQ41+AW41+BC41+BJ41+BQ41+BX41+CE41+CL41+CS41+CZ41+DF41+DL41</f>
        <v>50000</v>
      </c>
      <c r="DS41" s="332">
        <f t="shared" ref="DS41:DS72" si="79">AR41+AX41+BD41+BK41+BR41+BY41+CF41+CM41+CT41+DA41+DG41+DM41</f>
        <v>0</v>
      </c>
      <c r="DT41" s="332">
        <f t="shared" si="66"/>
        <v>200000</v>
      </c>
      <c r="DU41" s="332">
        <f t="shared" si="66"/>
        <v>0</v>
      </c>
    </row>
    <row r="42" spans="1:125">
      <c r="A42" s="15">
        <v>35</v>
      </c>
      <c r="B42" s="96" t="s">
        <v>685</v>
      </c>
      <c r="C42" s="7" t="s">
        <v>802</v>
      </c>
      <c r="D42" s="96" t="s">
        <v>803</v>
      </c>
      <c r="E42" s="185" t="s">
        <v>1164</v>
      </c>
      <c r="F42" s="161">
        <f t="shared" si="5"/>
        <v>0</v>
      </c>
      <c r="G42" s="161">
        <f t="shared" si="44"/>
        <v>0</v>
      </c>
      <c r="H42" s="161">
        <f t="shared" si="45"/>
        <v>0</v>
      </c>
      <c r="I42" s="161">
        <f t="shared" si="6"/>
        <v>0</v>
      </c>
      <c r="J42" s="165">
        <f t="shared" si="7"/>
        <v>0</v>
      </c>
      <c r="K42" s="115"/>
      <c r="L42" s="211">
        <v>0</v>
      </c>
      <c r="M42" s="211">
        <v>0</v>
      </c>
      <c r="N42" s="127">
        <f t="shared" si="8"/>
        <v>0</v>
      </c>
      <c r="O42" s="127">
        <f t="shared" si="9"/>
        <v>0</v>
      </c>
      <c r="P42" s="127">
        <f t="shared" si="10"/>
        <v>0</v>
      </c>
      <c r="Q42" s="131">
        <f t="shared" si="46"/>
        <v>0</v>
      </c>
      <c r="R42" s="125" t="str">
        <f t="shared" si="11"/>
        <v>ნულოვანი შესრულება</v>
      </c>
      <c r="S42" s="113">
        <v>0</v>
      </c>
      <c r="T42" s="113"/>
      <c r="U42" s="113">
        <f t="shared" si="12"/>
        <v>0</v>
      </c>
      <c r="V42" s="113">
        <f t="shared" si="13"/>
        <v>0</v>
      </c>
      <c r="W42" s="113">
        <v>0</v>
      </c>
      <c r="X42" s="113">
        <v>0</v>
      </c>
      <c r="Y42" s="113">
        <v>0</v>
      </c>
      <c r="Z42" s="113">
        <v>0</v>
      </c>
      <c r="AA42" s="113">
        <f t="shared" si="50"/>
        <v>0</v>
      </c>
      <c r="AB42" s="113">
        <f t="shared" si="50"/>
        <v>0</v>
      </c>
      <c r="AC42" s="113"/>
      <c r="AD42" s="113"/>
      <c r="AE42" s="113"/>
      <c r="AF42" s="113"/>
      <c r="AG42" s="113">
        <f t="shared" si="51"/>
        <v>0</v>
      </c>
      <c r="AH42" s="113">
        <f t="shared" si="51"/>
        <v>0</v>
      </c>
      <c r="AI42" s="114">
        <f t="shared" si="16"/>
        <v>0</v>
      </c>
      <c r="AJ42" s="114">
        <f t="shared" si="52"/>
        <v>0</v>
      </c>
      <c r="AK42" s="114">
        <f t="shared" si="52"/>
        <v>0</v>
      </c>
      <c r="AL42" s="114">
        <f t="shared" si="18"/>
        <v>0</v>
      </c>
      <c r="AM42" s="113">
        <f t="shared" si="53"/>
        <v>0</v>
      </c>
      <c r="AN42" s="113">
        <f t="shared" si="53"/>
        <v>0</v>
      </c>
      <c r="AO42" s="113"/>
      <c r="AP42" s="113"/>
      <c r="AQ42" s="113"/>
      <c r="AR42" s="113"/>
      <c r="AS42" s="113">
        <f t="shared" si="54"/>
        <v>0</v>
      </c>
      <c r="AT42" s="113">
        <f t="shared" si="54"/>
        <v>0</v>
      </c>
      <c r="AU42" s="113"/>
      <c r="AV42" s="113"/>
      <c r="AW42" s="113"/>
      <c r="AX42" s="113"/>
      <c r="AY42" s="113">
        <f t="shared" si="55"/>
        <v>0</v>
      </c>
      <c r="AZ42" s="113">
        <f t="shared" si="55"/>
        <v>0</v>
      </c>
      <c r="BA42" s="113"/>
      <c r="BB42" s="113"/>
      <c r="BC42" s="113"/>
      <c r="BD42" s="113"/>
      <c r="BE42" s="113">
        <f t="shared" si="56"/>
        <v>0</v>
      </c>
      <c r="BF42" s="113"/>
      <c r="BG42" s="113">
        <f t="shared" si="69"/>
        <v>0</v>
      </c>
      <c r="BH42" s="113"/>
      <c r="BI42" s="113"/>
      <c r="BJ42" s="113"/>
      <c r="BK42" s="113"/>
      <c r="BL42" s="113">
        <f t="shared" si="57"/>
        <v>0</v>
      </c>
      <c r="BM42" s="113"/>
      <c r="BN42" s="113">
        <f t="shared" si="70"/>
        <v>0</v>
      </c>
      <c r="BO42" s="113"/>
      <c r="BP42" s="113"/>
      <c r="BQ42" s="113"/>
      <c r="BR42" s="113"/>
      <c r="BS42" s="113">
        <f t="shared" si="58"/>
        <v>0</v>
      </c>
      <c r="BT42" s="113"/>
      <c r="BU42" s="113">
        <f t="shared" si="71"/>
        <v>0</v>
      </c>
      <c r="BV42" s="113"/>
      <c r="BW42" s="113"/>
      <c r="BX42" s="113"/>
      <c r="BY42" s="113"/>
      <c r="BZ42" s="113">
        <f t="shared" si="59"/>
        <v>0</v>
      </c>
      <c r="CA42" s="113"/>
      <c r="CB42" s="113">
        <f t="shared" si="72"/>
        <v>0</v>
      </c>
      <c r="CC42" s="113"/>
      <c r="CD42" s="113"/>
      <c r="CE42" s="113"/>
      <c r="CF42" s="113"/>
      <c r="CG42" s="113">
        <f t="shared" si="60"/>
        <v>0</v>
      </c>
      <c r="CH42" s="113"/>
      <c r="CI42" s="113">
        <f t="shared" si="73"/>
        <v>0</v>
      </c>
      <c r="CJ42" s="113"/>
      <c r="CK42" s="113"/>
      <c r="CL42" s="113"/>
      <c r="CM42" s="113"/>
      <c r="CN42" s="113">
        <f t="shared" si="61"/>
        <v>0</v>
      </c>
      <c r="CO42" s="113"/>
      <c r="CP42" s="113">
        <f t="shared" si="74"/>
        <v>0</v>
      </c>
      <c r="CQ42" s="113"/>
      <c r="CR42" s="113"/>
      <c r="CS42" s="113"/>
      <c r="CT42" s="113"/>
      <c r="CU42" s="113">
        <f t="shared" si="62"/>
        <v>0</v>
      </c>
      <c r="CV42" s="113"/>
      <c r="CW42" s="113">
        <f t="shared" si="75"/>
        <v>0</v>
      </c>
      <c r="CX42" s="113"/>
      <c r="CY42" s="113"/>
      <c r="CZ42" s="113"/>
      <c r="DA42" s="113"/>
      <c r="DB42" s="113">
        <f t="shared" si="63"/>
        <v>0</v>
      </c>
      <c r="DC42" s="113">
        <f t="shared" si="63"/>
        <v>0</v>
      </c>
      <c r="DD42" s="113"/>
      <c r="DE42" s="113"/>
      <c r="DF42" s="113"/>
      <c r="DG42" s="113"/>
      <c r="DH42" s="113">
        <f t="shared" si="64"/>
        <v>0</v>
      </c>
      <c r="DI42" s="113">
        <f t="shared" si="64"/>
        <v>0</v>
      </c>
      <c r="DJ42" s="113"/>
      <c r="DK42" s="113"/>
      <c r="DL42" s="113"/>
      <c r="DM42" s="113"/>
      <c r="DN42" s="113">
        <f t="shared" si="65"/>
        <v>0</v>
      </c>
      <c r="DO42" s="113">
        <f t="shared" si="65"/>
        <v>0</v>
      </c>
      <c r="DP42" s="113">
        <f t="shared" si="76"/>
        <v>0</v>
      </c>
      <c r="DQ42" s="113">
        <f t="shared" si="77"/>
        <v>0</v>
      </c>
      <c r="DR42" s="113">
        <f t="shared" si="78"/>
        <v>0</v>
      </c>
      <c r="DS42" s="113">
        <f t="shared" si="79"/>
        <v>0</v>
      </c>
      <c r="DT42" s="113">
        <f t="shared" si="66"/>
        <v>0</v>
      </c>
      <c r="DU42" s="113">
        <f t="shared" si="66"/>
        <v>0</v>
      </c>
    </row>
    <row r="43" spans="1:125">
      <c r="A43" s="15">
        <v>36</v>
      </c>
      <c r="B43" s="96" t="s">
        <v>685</v>
      </c>
      <c r="C43" s="112" t="s">
        <v>802</v>
      </c>
      <c r="D43" s="96" t="s">
        <v>804</v>
      </c>
      <c r="E43" s="185" t="s">
        <v>1165</v>
      </c>
      <c r="F43" s="161">
        <f t="shared" si="5"/>
        <v>50000</v>
      </c>
      <c r="G43" s="161">
        <f t="shared" si="44"/>
        <v>67578.38</v>
      </c>
      <c r="H43" s="161">
        <f t="shared" si="45"/>
        <v>-17578.380000000005</v>
      </c>
      <c r="I43" s="161">
        <f t="shared" si="6"/>
        <v>1578.3800000000047</v>
      </c>
      <c r="J43" s="165">
        <f t="shared" si="7"/>
        <v>254681.56</v>
      </c>
      <c r="K43" s="115">
        <v>306350</v>
      </c>
      <c r="L43" s="211">
        <v>0</v>
      </c>
      <c r="M43" s="211">
        <v>0</v>
      </c>
      <c r="N43" s="127">
        <f t="shared" si="8"/>
        <v>204681.56</v>
      </c>
      <c r="O43" s="127">
        <f t="shared" si="9"/>
        <v>0</v>
      </c>
      <c r="P43" s="127">
        <f t="shared" si="10"/>
        <v>204681.56</v>
      </c>
      <c r="Q43" s="131">
        <f t="shared" si="46"/>
        <v>50000</v>
      </c>
      <c r="R43" s="125">
        <f t="shared" si="11"/>
        <v>272259.94</v>
      </c>
      <c r="S43" s="113">
        <v>200000</v>
      </c>
      <c r="T43" s="113"/>
      <c r="U43" s="113">
        <f t="shared" si="12"/>
        <v>200000</v>
      </c>
      <c r="V43" s="113">
        <f t="shared" si="13"/>
        <v>0</v>
      </c>
      <c r="W43" s="113">
        <v>0</v>
      </c>
      <c r="X43" s="113">
        <v>0</v>
      </c>
      <c r="Y43" s="113">
        <v>0</v>
      </c>
      <c r="Z43" s="113">
        <v>0</v>
      </c>
      <c r="AA43" s="113">
        <f t="shared" si="50"/>
        <v>0</v>
      </c>
      <c r="AB43" s="113">
        <f t="shared" si="50"/>
        <v>0</v>
      </c>
      <c r="AC43" s="113"/>
      <c r="AD43" s="113">
        <v>4681.5600000000004</v>
      </c>
      <c r="AE43" s="113">
        <f>250000-200000</f>
        <v>50000</v>
      </c>
      <c r="AF43" s="113"/>
      <c r="AG43" s="113">
        <f t="shared" si="51"/>
        <v>50000</v>
      </c>
      <c r="AH43" s="113">
        <f t="shared" si="51"/>
        <v>4681.5600000000004</v>
      </c>
      <c r="AI43" s="114">
        <f t="shared" si="16"/>
        <v>200000</v>
      </c>
      <c r="AJ43" s="114">
        <f t="shared" si="52"/>
        <v>204681.56</v>
      </c>
      <c r="AK43" s="114">
        <f t="shared" si="52"/>
        <v>50000</v>
      </c>
      <c r="AL43" s="114">
        <f t="shared" si="18"/>
        <v>0</v>
      </c>
      <c r="AM43" s="113">
        <f t="shared" si="53"/>
        <v>250000</v>
      </c>
      <c r="AN43" s="113">
        <f t="shared" si="53"/>
        <v>204681.56</v>
      </c>
      <c r="AO43" s="113"/>
      <c r="AP43" s="113"/>
      <c r="AQ43" s="113">
        <v>50000</v>
      </c>
      <c r="AR43" s="113">
        <v>66000</v>
      </c>
      <c r="AS43" s="113">
        <f t="shared" si="54"/>
        <v>50000</v>
      </c>
      <c r="AT43" s="113">
        <f t="shared" si="54"/>
        <v>66000</v>
      </c>
      <c r="AU43" s="113"/>
      <c r="AV43" s="113"/>
      <c r="AW43" s="113"/>
      <c r="AX43" s="113"/>
      <c r="AY43" s="113">
        <f t="shared" si="55"/>
        <v>0</v>
      </c>
      <c r="AZ43" s="113">
        <f t="shared" si="55"/>
        <v>0</v>
      </c>
      <c r="BA43" s="113"/>
      <c r="BB43" s="113"/>
      <c r="BC43" s="113"/>
      <c r="BD43" s="113">
        <v>1578.38</v>
      </c>
      <c r="BE43" s="113">
        <f t="shared" si="56"/>
        <v>0</v>
      </c>
      <c r="BF43" s="113">
        <v>1578.3800000000047</v>
      </c>
      <c r="BG43" s="113">
        <f t="shared" si="69"/>
        <v>1578.38</v>
      </c>
      <c r="BH43" s="113"/>
      <c r="BI43" s="113"/>
      <c r="BJ43" s="113"/>
      <c r="BK43" s="113"/>
      <c r="BL43" s="113">
        <f t="shared" si="57"/>
        <v>0</v>
      </c>
      <c r="BM43" s="113"/>
      <c r="BN43" s="113">
        <f t="shared" si="70"/>
        <v>0</v>
      </c>
      <c r="BO43" s="113"/>
      <c r="BP43" s="113"/>
      <c r="BQ43" s="113"/>
      <c r="BR43" s="113"/>
      <c r="BS43" s="113">
        <f t="shared" si="58"/>
        <v>0</v>
      </c>
      <c r="BT43" s="113"/>
      <c r="BU43" s="113">
        <f t="shared" si="71"/>
        <v>0</v>
      </c>
      <c r="BV43" s="113"/>
      <c r="BW43" s="113"/>
      <c r="BX43" s="113"/>
      <c r="BY43" s="113"/>
      <c r="BZ43" s="113">
        <f t="shared" si="59"/>
        <v>0</v>
      </c>
      <c r="CA43" s="113"/>
      <c r="CB43" s="113">
        <f t="shared" si="72"/>
        <v>0</v>
      </c>
      <c r="CC43" s="113"/>
      <c r="CD43" s="113"/>
      <c r="CE43" s="113"/>
      <c r="CF43" s="113"/>
      <c r="CG43" s="113">
        <f t="shared" si="60"/>
        <v>0</v>
      </c>
      <c r="CH43" s="113"/>
      <c r="CI43" s="113">
        <f t="shared" si="73"/>
        <v>0</v>
      </c>
      <c r="CJ43" s="113"/>
      <c r="CK43" s="113"/>
      <c r="CL43" s="113"/>
      <c r="CM43" s="113"/>
      <c r="CN43" s="113">
        <f t="shared" si="61"/>
        <v>0</v>
      </c>
      <c r="CO43" s="113"/>
      <c r="CP43" s="113">
        <f t="shared" si="74"/>
        <v>0</v>
      </c>
      <c r="CQ43" s="113"/>
      <c r="CR43" s="113"/>
      <c r="CS43" s="113"/>
      <c r="CT43" s="113"/>
      <c r="CU43" s="113">
        <f t="shared" si="62"/>
        <v>0</v>
      </c>
      <c r="CV43" s="113"/>
      <c r="CW43" s="113">
        <f t="shared" si="75"/>
        <v>0</v>
      </c>
      <c r="CX43" s="113"/>
      <c r="CY43" s="113"/>
      <c r="CZ43" s="113"/>
      <c r="DA43" s="113"/>
      <c r="DB43" s="113">
        <f t="shared" si="63"/>
        <v>0</v>
      </c>
      <c r="DC43" s="113">
        <f t="shared" si="63"/>
        <v>0</v>
      </c>
      <c r="DD43" s="113"/>
      <c r="DE43" s="113"/>
      <c r="DF43" s="113"/>
      <c r="DG43" s="113"/>
      <c r="DH43" s="113">
        <f t="shared" si="64"/>
        <v>0</v>
      </c>
      <c r="DI43" s="113">
        <f t="shared" si="64"/>
        <v>0</v>
      </c>
      <c r="DJ43" s="113"/>
      <c r="DK43" s="113"/>
      <c r="DL43" s="113"/>
      <c r="DM43" s="113"/>
      <c r="DN43" s="113">
        <f t="shared" si="65"/>
        <v>0</v>
      </c>
      <c r="DO43" s="113">
        <f t="shared" si="65"/>
        <v>0</v>
      </c>
      <c r="DP43" s="113">
        <f t="shared" si="76"/>
        <v>0</v>
      </c>
      <c r="DQ43" s="113">
        <f t="shared" si="77"/>
        <v>0</v>
      </c>
      <c r="DR43" s="113">
        <f t="shared" si="78"/>
        <v>50000</v>
      </c>
      <c r="DS43" s="113">
        <f t="shared" si="79"/>
        <v>67578.38</v>
      </c>
      <c r="DT43" s="113">
        <f t="shared" si="66"/>
        <v>50000</v>
      </c>
      <c r="DU43" s="113">
        <f t="shared" si="66"/>
        <v>67578.38</v>
      </c>
    </row>
    <row r="44" spans="1:125">
      <c r="A44" s="15">
        <v>37</v>
      </c>
      <c r="B44" s="96" t="s">
        <v>685</v>
      </c>
      <c r="C44" s="7" t="s">
        <v>805</v>
      </c>
      <c r="D44" s="96" t="s">
        <v>806</v>
      </c>
      <c r="E44" s="185" t="s">
        <v>1164</v>
      </c>
      <c r="F44" s="161">
        <f t="shared" si="5"/>
        <v>0</v>
      </c>
      <c r="G44" s="161">
        <f t="shared" si="44"/>
        <v>0</v>
      </c>
      <c r="H44" s="161">
        <f t="shared" si="45"/>
        <v>0</v>
      </c>
      <c r="I44" s="161">
        <f t="shared" si="6"/>
        <v>0</v>
      </c>
      <c r="J44" s="165">
        <f t="shared" si="7"/>
        <v>0</v>
      </c>
      <c r="K44" s="115"/>
      <c r="L44" s="211">
        <v>0</v>
      </c>
      <c r="M44" s="211">
        <v>0</v>
      </c>
      <c r="N44" s="127">
        <f t="shared" si="8"/>
        <v>0</v>
      </c>
      <c r="O44" s="127">
        <f t="shared" si="9"/>
        <v>0</v>
      </c>
      <c r="P44" s="127">
        <f t="shared" si="10"/>
        <v>0</v>
      </c>
      <c r="Q44" s="131">
        <f t="shared" si="46"/>
        <v>0</v>
      </c>
      <c r="R44" s="125" t="str">
        <f t="shared" si="11"/>
        <v>ნულოვანი შესრულება</v>
      </c>
      <c r="S44" s="113">
        <v>0</v>
      </c>
      <c r="T44" s="113"/>
      <c r="U44" s="113">
        <f t="shared" si="12"/>
        <v>0</v>
      </c>
      <c r="V44" s="113">
        <f t="shared" si="13"/>
        <v>0</v>
      </c>
      <c r="W44" s="113">
        <v>0</v>
      </c>
      <c r="X44" s="113">
        <v>0</v>
      </c>
      <c r="Y44" s="113">
        <v>0</v>
      </c>
      <c r="Z44" s="113">
        <v>0</v>
      </c>
      <c r="AA44" s="113">
        <f t="shared" si="50"/>
        <v>0</v>
      </c>
      <c r="AB44" s="113">
        <f t="shared" si="50"/>
        <v>0</v>
      </c>
      <c r="AC44" s="113"/>
      <c r="AD44" s="113"/>
      <c r="AE44" s="113"/>
      <c r="AF44" s="113"/>
      <c r="AG44" s="113">
        <f t="shared" si="51"/>
        <v>0</v>
      </c>
      <c r="AH44" s="113">
        <f t="shared" si="51"/>
        <v>0</v>
      </c>
      <c r="AI44" s="114">
        <f t="shared" si="16"/>
        <v>0</v>
      </c>
      <c r="AJ44" s="114">
        <f t="shared" si="52"/>
        <v>0</v>
      </c>
      <c r="AK44" s="114">
        <f t="shared" si="52"/>
        <v>0</v>
      </c>
      <c r="AL44" s="114">
        <f t="shared" si="18"/>
        <v>0</v>
      </c>
      <c r="AM44" s="113">
        <f t="shared" si="53"/>
        <v>0</v>
      </c>
      <c r="AN44" s="113">
        <f t="shared" si="53"/>
        <v>0</v>
      </c>
      <c r="AO44" s="113"/>
      <c r="AP44" s="113"/>
      <c r="AQ44" s="113"/>
      <c r="AR44" s="113"/>
      <c r="AS44" s="113">
        <f t="shared" si="54"/>
        <v>0</v>
      </c>
      <c r="AT44" s="113">
        <f t="shared" si="54"/>
        <v>0</v>
      </c>
      <c r="AU44" s="113"/>
      <c r="AV44" s="113"/>
      <c r="AW44" s="113"/>
      <c r="AX44" s="113"/>
      <c r="AY44" s="113">
        <f t="shared" si="55"/>
        <v>0</v>
      </c>
      <c r="AZ44" s="113">
        <f t="shared" si="55"/>
        <v>0</v>
      </c>
      <c r="BA44" s="113"/>
      <c r="BB44" s="113"/>
      <c r="BC44" s="113"/>
      <c r="BD44" s="113"/>
      <c r="BE44" s="113">
        <f t="shared" si="56"/>
        <v>0</v>
      </c>
      <c r="BF44" s="113"/>
      <c r="BG44" s="113">
        <f t="shared" si="69"/>
        <v>0</v>
      </c>
      <c r="BH44" s="113"/>
      <c r="BI44" s="113"/>
      <c r="BJ44" s="113"/>
      <c r="BK44" s="113"/>
      <c r="BL44" s="113">
        <f t="shared" si="57"/>
        <v>0</v>
      </c>
      <c r="BM44" s="113"/>
      <c r="BN44" s="113">
        <f t="shared" si="70"/>
        <v>0</v>
      </c>
      <c r="BO44" s="113"/>
      <c r="BP44" s="113"/>
      <c r="BQ44" s="113"/>
      <c r="BR44" s="113"/>
      <c r="BS44" s="113">
        <f t="shared" si="58"/>
        <v>0</v>
      </c>
      <c r="BT44" s="113"/>
      <c r="BU44" s="113">
        <f t="shared" si="71"/>
        <v>0</v>
      </c>
      <c r="BV44" s="113"/>
      <c r="BW44" s="113"/>
      <c r="BX44" s="113"/>
      <c r="BY44" s="113"/>
      <c r="BZ44" s="113">
        <f t="shared" si="59"/>
        <v>0</v>
      </c>
      <c r="CA44" s="113"/>
      <c r="CB44" s="113">
        <f t="shared" si="72"/>
        <v>0</v>
      </c>
      <c r="CC44" s="113"/>
      <c r="CD44" s="113"/>
      <c r="CE44" s="113"/>
      <c r="CF44" s="113"/>
      <c r="CG44" s="113">
        <f t="shared" si="60"/>
        <v>0</v>
      </c>
      <c r="CH44" s="113"/>
      <c r="CI44" s="113">
        <f t="shared" si="73"/>
        <v>0</v>
      </c>
      <c r="CJ44" s="113"/>
      <c r="CK44" s="113"/>
      <c r="CL44" s="113"/>
      <c r="CM44" s="113"/>
      <c r="CN44" s="113">
        <f t="shared" si="61"/>
        <v>0</v>
      </c>
      <c r="CO44" s="113"/>
      <c r="CP44" s="113">
        <f t="shared" si="74"/>
        <v>0</v>
      </c>
      <c r="CQ44" s="113"/>
      <c r="CR44" s="113"/>
      <c r="CS44" s="113"/>
      <c r="CT44" s="113"/>
      <c r="CU44" s="113">
        <f t="shared" si="62"/>
        <v>0</v>
      </c>
      <c r="CV44" s="113"/>
      <c r="CW44" s="113">
        <f t="shared" si="75"/>
        <v>0</v>
      </c>
      <c r="CX44" s="113"/>
      <c r="CY44" s="113"/>
      <c r="CZ44" s="113"/>
      <c r="DA44" s="113"/>
      <c r="DB44" s="113">
        <f t="shared" si="63"/>
        <v>0</v>
      </c>
      <c r="DC44" s="113">
        <f t="shared" si="63"/>
        <v>0</v>
      </c>
      <c r="DD44" s="113"/>
      <c r="DE44" s="113"/>
      <c r="DF44" s="113"/>
      <c r="DG44" s="113"/>
      <c r="DH44" s="113">
        <f t="shared" si="64"/>
        <v>0</v>
      </c>
      <c r="DI44" s="113">
        <f t="shared" si="64"/>
        <v>0</v>
      </c>
      <c r="DJ44" s="113"/>
      <c r="DK44" s="113"/>
      <c r="DL44" s="113"/>
      <c r="DM44" s="113"/>
      <c r="DN44" s="113">
        <f t="shared" si="65"/>
        <v>0</v>
      </c>
      <c r="DO44" s="113">
        <f t="shared" si="65"/>
        <v>0</v>
      </c>
      <c r="DP44" s="113">
        <f t="shared" si="76"/>
        <v>0</v>
      </c>
      <c r="DQ44" s="113">
        <f t="shared" si="77"/>
        <v>0</v>
      </c>
      <c r="DR44" s="113">
        <f t="shared" si="78"/>
        <v>0</v>
      </c>
      <c r="DS44" s="113">
        <f t="shared" si="79"/>
        <v>0</v>
      </c>
      <c r="DT44" s="113">
        <f t="shared" si="66"/>
        <v>0</v>
      </c>
      <c r="DU44" s="113">
        <f t="shared" si="66"/>
        <v>0</v>
      </c>
    </row>
    <row r="45" spans="1:125">
      <c r="A45" s="15">
        <v>38</v>
      </c>
      <c r="B45" s="96" t="s">
        <v>685</v>
      </c>
      <c r="C45" s="112" t="s">
        <v>805</v>
      </c>
      <c r="D45" s="96" t="s">
        <v>807</v>
      </c>
      <c r="E45" s="185" t="s">
        <v>1165</v>
      </c>
      <c r="F45" s="161">
        <f t="shared" si="5"/>
        <v>60000</v>
      </c>
      <c r="G45" s="161">
        <f t="shared" si="44"/>
        <v>130000</v>
      </c>
      <c r="H45" s="161">
        <f t="shared" si="45"/>
        <v>-70000</v>
      </c>
      <c r="I45" s="161">
        <f t="shared" si="6"/>
        <v>30500</v>
      </c>
      <c r="J45" s="165">
        <f t="shared" si="7"/>
        <v>60000</v>
      </c>
      <c r="K45" s="115">
        <v>30600</v>
      </c>
      <c r="L45" s="211">
        <v>0</v>
      </c>
      <c r="M45" s="211">
        <v>0</v>
      </c>
      <c r="N45" s="127">
        <f t="shared" si="8"/>
        <v>0</v>
      </c>
      <c r="O45" s="127">
        <f t="shared" si="9"/>
        <v>0</v>
      </c>
      <c r="P45" s="127">
        <f t="shared" si="10"/>
        <v>0</v>
      </c>
      <c r="Q45" s="131">
        <f t="shared" si="46"/>
        <v>60000</v>
      </c>
      <c r="R45" s="125" t="str">
        <f t="shared" si="11"/>
        <v>მიმდინარეობს</v>
      </c>
      <c r="S45" s="113">
        <v>0</v>
      </c>
      <c r="T45" s="113"/>
      <c r="U45" s="113">
        <f t="shared" si="12"/>
        <v>0</v>
      </c>
      <c r="V45" s="113">
        <f t="shared" si="13"/>
        <v>0</v>
      </c>
      <c r="W45" s="113">
        <v>0</v>
      </c>
      <c r="X45" s="113">
        <v>0</v>
      </c>
      <c r="Y45" s="113">
        <v>0</v>
      </c>
      <c r="Z45" s="113">
        <v>0</v>
      </c>
      <c r="AA45" s="113">
        <f t="shared" si="50"/>
        <v>0</v>
      </c>
      <c r="AB45" s="113">
        <f t="shared" si="50"/>
        <v>0</v>
      </c>
      <c r="AC45" s="113"/>
      <c r="AD45" s="113"/>
      <c r="AE45" s="113"/>
      <c r="AF45" s="113"/>
      <c r="AG45" s="113">
        <f t="shared" si="51"/>
        <v>0</v>
      </c>
      <c r="AH45" s="113">
        <f t="shared" si="51"/>
        <v>0</v>
      </c>
      <c r="AI45" s="114">
        <f t="shared" si="16"/>
        <v>0</v>
      </c>
      <c r="AJ45" s="114">
        <f t="shared" si="52"/>
        <v>0</v>
      </c>
      <c r="AK45" s="114">
        <f t="shared" si="52"/>
        <v>0</v>
      </c>
      <c r="AL45" s="114">
        <f t="shared" si="18"/>
        <v>0</v>
      </c>
      <c r="AM45" s="113">
        <f t="shared" si="53"/>
        <v>0</v>
      </c>
      <c r="AN45" s="113">
        <f t="shared" si="53"/>
        <v>0</v>
      </c>
      <c r="AO45" s="113"/>
      <c r="AP45" s="113"/>
      <c r="AQ45" s="113"/>
      <c r="AR45" s="113"/>
      <c r="AS45" s="113">
        <f t="shared" si="54"/>
        <v>0</v>
      </c>
      <c r="AT45" s="113">
        <f t="shared" si="54"/>
        <v>0</v>
      </c>
      <c r="AU45" s="113"/>
      <c r="AV45" s="113"/>
      <c r="AW45" s="113">
        <v>60000</v>
      </c>
      <c r="AX45" s="113"/>
      <c r="AY45" s="113">
        <f t="shared" si="55"/>
        <v>60000</v>
      </c>
      <c r="AZ45" s="113">
        <f t="shared" si="55"/>
        <v>0</v>
      </c>
      <c r="BA45" s="113"/>
      <c r="BB45" s="113">
        <v>30000</v>
      </c>
      <c r="BC45" s="113"/>
      <c r="BD45" s="113"/>
      <c r="BE45" s="113">
        <f t="shared" si="56"/>
        <v>0</v>
      </c>
      <c r="BF45" s="113">
        <v>30000</v>
      </c>
      <c r="BG45" s="113">
        <f t="shared" si="69"/>
        <v>30000</v>
      </c>
      <c r="BH45" s="113"/>
      <c r="BI45" s="113"/>
      <c r="BJ45" s="113"/>
      <c r="BK45" s="113"/>
      <c r="BL45" s="113">
        <f t="shared" si="57"/>
        <v>0</v>
      </c>
      <c r="BM45" s="113"/>
      <c r="BN45" s="113">
        <f t="shared" si="70"/>
        <v>0</v>
      </c>
      <c r="BO45" s="113"/>
      <c r="BP45" s="113"/>
      <c r="BQ45" s="113"/>
      <c r="BR45" s="113"/>
      <c r="BS45" s="113">
        <f t="shared" si="58"/>
        <v>0</v>
      </c>
      <c r="BT45" s="113">
        <v>500</v>
      </c>
      <c r="BU45" s="113">
        <f t="shared" si="71"/>
        <v>0</v>
      </c>
      <c r="BV45" s="113"/>
      <c r="BW45" s="113"/>
      <c r="BX45" s="113"/>
      <c r="BY45" s="113"/>
      <c r="BZ45" s="113">
        <f t="shared" si="59"/>
        <v>0</v>
      </c>
      <c r="CA45" s="113"/>
      <c r="CB45" s="113">
        <f t="shared" si="72"/>
        <v>0</v>
      </c>
      <c r="CC45" s="113"/>
      <c r="CD45" s="113"/>
      <c r="CE45" s="113"/>
      <c r="CF45" s="113"/>
      <c r="CG45" s="113">
        <f t="shared" si="60"/>
        <v>0</v>
      </c>
      <c r="CH45" s="113"/>
      <c r="CI45" s="113">
        <f t="shared" si="73"/>
        <v>0</v>
      </c>
      <c r="CJ45" s="113"/>
      <c r="CK45" s="113"/>
      <c r="CL45" s="113"/>
      <c r="CM45" s="113"/>
      <c r="CN45" s="113">
        <f t="shared" si="61"/>
        <v>0</v>
      </c>
      <c r="CO45" s="113"/>
      <c r="CP45" s="113">
        <f t="shared" si="74"/>
        <v>0</v>
      </c>
      <c r="CQ45" s="113"/>
      <c r="CR45" s="113"/>
      <c r="CS45" s="113"/>
      <c r="CT45" s="113"/>
      <c r="CU45" s="113">
        <f t="shared" si="62"/>
        <v>0</v>
      </c>
      <c r="CV45" s="113"/>
      <c r="CW45" s="113">
        <f t="shared" si="75"/>
        <v>0</v>
      </c>
      <c r="CX45" s="113"/>
      <c r="CY45" s="113">
        <v>100000</v>
      </c>
      <c r="CZ45" s="113"/>
      <c r="DA45" s="113"/>
      <c r="DB45" s="113">
        <f t="shared" si="63"/>
        <v>0</v>
      </c>
      <c r="DC45" s="113">
        <f t="shared" si="63"/>
        <v>100000</v>
      </c>
      <c r="DD45" s="113"/>
      <c r="DE45" s="113"/>
      <c r="DF45" s="113"/>
      <c r="DG45" s="113"/>
      <c r="DH45" s="113">
        <f t="shared" si="64"/>
        <v>0</v>
      </c>
      <c r="DI45" s="113">
        <f t="shared" si="64"/>
        <v>0</v>
      </c>
      <c r="DJ45" s="113"/>
      <c r="DK45" s="113"/>
      <c r="DL45" s="113"/>
      <c r="DM45" s="113"/>
      <c r="DN45" s="113">
        <f t="shared" si="65"/>
        <v>0</v>
      </c>
      <c r="DO45" s="113">
        <f t="shared" si="65"/>
        <v>0</v>
      </c>
      <c r="DP45" s="113">
        <f t="shared" si="76"/>
        <v>0</v>
      </c>
      <c r="DQ45" s="113">
        <f t="shared" si="77"/>
        <v>130000</v>
      </c>
      <c r="DR45" s="113">
        <f t="shared" si="78"/>
        <v>60000</v>
      </c>
      <c r="DS45" s="113">
        <f t="shared" si="79"/>
        <v>0</v>
      </c>
      <c r="DT45" s="113">
        <f t="shared" si="66"/>
        <v>60000</v>
      </c>
      <c r="DU45" s="113">
        <f t="shared" si="66"/>
        <v>130000</v>
      </c>
    </row>
    <row r="46" spans="1:125">
      <c r="A46" s="15">
        <v>39</v>
      </c>
      <c r="B46" s="96" t="s">
        <v>685</v>
      </c>
      <c r="C46" s="7" t="s">
        <v>808</v>
      </c>
      <c r="D46" s="96" t="s">
        <v>809</v>
      </c>
      <c r="E46" s="185" t="s">
        <v>1164</v>
      </c>
      <c r="F46" s="161">
        <f t="shared" si="5"/>
        <v>0</v>
      </c>
      <c r="G46" s="161">
        <f t="shared" si="44"/>
        <v>0</v>
      </c>
      <c r="H46" s="161">
        <f t="shared" si="45"/>
        <v>0</v>
      </c>
      <c r="I46" s="161">
        <f t="shared" si="6"/>
        <v>0</v>
      </c>
      <c r="J46" s="165">
        <f t="shared" si="7"/>
        <v>0</v>
      </c>
      <c r="K46" s="115"/>
      <c r="L46" s="211">
        <v>0</v>
      </c>
      <c r="M46" s="211">
        <v>0</v>
      </c>
      <c r="N46" s="127">
        <f t="shared" si="8"/>
        <v>0</v>
      </c>
      <c r="O46" s="127">
        <f t="shared" si="9"/>
        <v>0</v>
      </c>
      <c r="P46" s="127">
        <f t="shared" si="10"/>
        <v>0</v>
      </c>
      <c r="Q46" s="131">
        <f t="shared" si="46"/>
        <v>0</v>
      </c>
      <c r="R46" s="125" t="str">
        <f t="shared" si="11"/>
        <v>ნულოვანი შესრულება</v>
      </c>
      <c r="S46" s="113">
        <v>0</v>
      </c>
      <c r="T46" s="113"/>
      <c r="U46" s="113">
        <f t="shared" si="12"/>
        <v>0</v>
      </c>
      <c r="V46" s="113">
        <f t="shared" si="13"/>
        <v>0</v>
      </c>
      <c r="W46" s="113">
        <v>0</v>
      </c>
      <c r="X46" s="113">
        <v>0</v>
      </c>
      <c r="Y46" s="113">
        <v>0</v>
      </c>
      <c r="Z46" s="113">
        <v>0</v>
      </c>
      <c r="AA46" s="113">
        <f t="shared" si="50"/>
        <v>0</v>
      </c>
      <c r="AB46" s="113">
        <f t="shared" si="50"/>
        <v>0</v>
      </c>
      <c r="AC46" s="113"/>
      <c r="AD46" s="113"/>
      <c r="AE46" s="113"/>
      <c r="AF46" s="113"/>
      <c r="AG46" s="113">
        <f t="shared" si="51"/>
        <v>0</v>
      </c>
      <c r="AH46" s="113">
        <f t="shared" si="51"/>
        <v>0</v>
      </c>
      <c r="AI46" s="114">
        <f t="shared" si="16"/>
        <v>0</v>
      </c>
      <c r="AJ46" s="114">
        <f t="shared" si="52"/>
        <v>0</v>
      </c>
      <c r="AK46" s="114">
        <f t="shared" si="52"/>
        <v>0</v>
      </c>
      <c r="AL46" s="114">
        <f t="shared" si="18"/>
        <v>0</v>
      </c>
      <c r="AM46" s="113">
        <f t="shared" si="53"/>
        <v>0</v>
      </c>
      <c r="AN46" s="113">
        <f t="shared" si="53"/>
        <v>0</v>
      </c>
      <c r="AO46" s="113"/>
      <c r="AP46" s="113"/>
      <c r="AQ46" s="113"/>
      <c r="AR46" s="113"/>
      <c r="AS46" s="113">
        <f t="shared" si="54"/>
        <v>0</v>
      </c>
      <c r="AT46" s="113">
        <f t="shared" si="54"/>
        <v>0</v>
      </c>
      <c r="AU46" s="113"/>
      <c r="AV46" s="113"/>
      <c r="AW46" s="113"/>
      <c r="AX46" s="113"/>
      <c r="AY46" s="113">
        <f t="shared" si="55"/>
        <v>0</v>
      </c>
      <c r="AZ46" s="113">
        <f t="shared" si="55"/>
        <v>0</v>
      </c>
      <c r="BA46" s="113"/>
      <c r="BB46" s="113"/>
      <c r="BC46" s="113"/>
      <c r="BD46" s="113"/>
      <c r="BE46" s="113">
        <f t="shared" si="56"/>
        <v>0</v>
      </c>
      <c r="BF46" s="113"/>
      <c r="BG46" s="113">
        <f t="shared" si="69"/>
        <v>0</v>
      </c>
      <c r="BH46" s="113"/>
      <c r="BI46" s="113"/>
      <c r="BJ46" s="113"/>
      <c r="BK46" s="113"/>
      <c r="BL46" s="113">
        <f t="shared" si="57"/>
        <v>0</v>
      </c>
      <c r="BM46" s="113"/>
      <c r="BN46" s="113">
        <f t="shared" si="70"/>
        <v>0</v>
      </c>
      <c r="BO46" s="113"/>
      <c r="BP46" s="113"/>
      <c r="BQ46" s="113"/>
      <c r="BR46" s="113"/>
      <c r="BS46" s="113">
        <f t="shared" si="58"/>
        <v>0</v>
      </c>
      <c r="BT46" s="113"/>
      <c r="BU46" s="113">
        <f t="shared" si="71"/>
        <v>0</v>
      </c>
      <c r="BV46" s="113"/>
      <c r="BW46" s="113"/>
      <c r="BX46" s="113"/>
      <c r="BY46" s="113"/>
      <c r="BZ46" s="113">
        <f t="shared" si="59"/>
        <v>0</v>
      </c>
      <c r="CA46" s="113"/>
      <c r="CB46" s="113">
        <f t="shared" si="72"/>
        <v>0</v>
      </c>
      <c r="CC46" s="113"/>
      <c r="CD46" s="113"/>
      <c r="CE46" s="113"/>
      <c r="CF46" s="113"/>
      <c r="CG46" s="113">
        <f t="shared" si="60"/>
        <v>0</v>
      </c>
      <c r="CH46" s="113"/>
      <c r="CI46" s="113">
        <f t="shared" si="73"/>
        <v>0</v>
      </c>
      <c r="CJ46" s="113"/>
      <c r="CK46" s="113"/>
      <c r="CL46" s="113"/>
      <c r="CM46" s="113"/>
      <c r="CN46" s="113">
        <f t="shared" si="61"/>
        <v>0</v>
      </c>
      <c r="CO46" s="113"/>
      <c r="CP46" s="113">
        <f t="shared" si="74"/>
        <v>0</v>
      </c>
      <c r="CQ46" s="113"/>
      <c r="CR46" s="113"/>
      <c r="CS46" s="113"/>
      <c r="CT46" s="113"/>
      <c r="CU46" s="113">
        <f t="shared" si="62"/>
        <v>0</v>
      </c>
      <c r="CV46" s="113"/>
      <c r="CW46" s="113">
        <f t="shared" si="75"/>
        <v>0</v>
      </c>
      <c r="CX46" s="113"/>
      <c r="CY46" s="113"/>
      <c r="CZ46" s="113"/>
      <c r="DA46" s="113"/>
      <c r="DB46" s="113">
        <f t="shared" si="63"/>
        <v>0</v>
      </c>
      <c r="DC46" s="113">
        <f t="shared" si="63"/>
        <v>0</v>
      </c>
      <c r="DD46" s="113"/>
      <c r="DE46" s="113"/>
      <c r="DF46" s="113"/>
      <c r="DG46" s="113"/>
      <c r="DH46" s="113">
        <f t="shared" si="64"/>
        <v>0</v>
      </c>
      <c r="DI46" s="113">
        <f t="shared" si="64"/>
        <v>0</v>
      </c>
      <c r="DJ46" s="113"/>
      <c r="DK46" s="113"/>
      <c r="DL46" s="113"/>
      <c r="DM46" s="113"/>
      <c r="DN46" s="113">
        <f t="shared" si="65"/>
        <v>0</v>
      </c>
      <c r="DO46" s="113">
        <f t="shared" si="65"/>
        <v>0</v>
      </c>
      <c r="DP46" s="113">
        <f t="shared" si="76"/>
        <v>0</v>
      </c>
      <c r="DQ46" s="113">
        <f t="shared" si="77"/>
        <v>0</v>
      </c>
      <c r="DR46" s="113">
        <f t="shared" si="78"/>
        <v>0</v>
      </c>
      <c r="DS46" s="113">
        <f t="shared" si="79"/>
        <v>0</v>
      </c>
      <c r="DT46" s="113">
        <f t="shared" si="66"/>
        <v>0</v>
      </c>
      <c r="DU46" s="113">
        <f t="shared" si="66"/>
        <v>0</v>
      </c>
    </row>
    <row r="47" spans="1:125">
      <c r="A47" s="15">
        <v>40</v>
      </c>
      <c r="B47" s="96" t="s">
        <v>685</v>
      </c>
      <c r="C47" s="112" t="s">
        <v>808</v>
      </c>
      <c r="D47" s="96" t="s">
        <v>810</v>
      </c>
      <c r="E47" s="185" t="s">
        <v>1165</v>
      </c>
      <c r="F47" s="161">
        <f t="shared" si="5"/>
        <v>120000</v>
      </c>
      <c r="G47" s="161">
        <f t="shared" si="44"/>
        <v>100000</v>
      </c>
      <c r="H47" s="161">
        <f t="shared" si="45"/>
        <v>20000</v>
      </c>
      <c r="I47" s="161">
        <f t="shared" si="6"/>
        <v>2000</v>
      </c>
      <c r="J47" s="165">
        <f t="shared" si="7"/>
        <v>120000</v>
      </c>
      <c r="K47" s="115">
        <v>95210.2</v>
      </c>
      <c r="L47" s="211">
        <v>0</v>
      </c>
      <c r="M47" s="211">
        <v>0</v>
      </c>
      <c r="N47" s="127">
        <f t="shared" si="8"/>
        <v>0</v>
      </c>
      <c r="O47" s="127">
        <f t="shared" si="9"/>
        <v>0</v>
      </c>
      <c r="P47" s="127">
        <f t="shared" si="10"/>
        <v>0</v>
      </c>
      <c r="Q47" s="131">
        <f t="shared" si="46"/>
        <v>120000</v>
      </c>
      <c r="R47" s="125" t="str">
        <f t="shared" si="11"/>
        <v>მიმდინარეობს</v>
      </c>
      <c r="S47" s="113">
        <v>0</v>
      </c>
      <c r="T47" s="113"/>
      <c r="U47" s="113">
        <f t="shared" si="12"/>
        <v>0</v>
      </c>
      <c r="V47" s="113">
        <f t="shared" si="13"/>
        <v>0</v>
      </c>
      <c r="W47" s="113">
        <v>0</v>
      </c>
      <c r="X47" s="113">
        <v>0</v>
      </c>
      <c r="Y47" s="113">
        <v>0</v>
      </c>
      <c r="Z47" s="113">
        <v>0</v>
      </c>
      <c r="AA47" s="113">
        <f t="shared" si="50"/>
        <v>0</v>
      </c>
      <c r="AB47" s="113">
        <f t="shared" si="50"/>
        <v>0</v>
      </c>
      <c r="AC47" s="113"/>
      <c r="AD47" s="113"/>
      <c r="AE47" s="113"/>
      <c r="AF47" s="113"/>
      <c r="AG47" s="113">
        <f t="shared" si="51"/>
        <v>0</v>
      </c>
      <c r="AH47" s="113">
        <f t="shared" si="51"/>
        <v>0</v>
      </c>
      <c r="AI47" s="114">
        <f t="shared" si="16"/>
        <v>0</v>
      </c>
      <c r="AJ47" s="114">
        <f t="shared" si="52"/>
        <v>0</v>
      </c>
      <c r="AK47" s="114">
        <f t="shared" si="52"/>
        <v>0</v>
      </c>
      <c r="AL47" s="114">
        <f t="shared" si="18"/>
        <v>0</v>
      </c>
      <c r="AM47" s="113">
        <f t="shared" si="53"/>
        <v>0</v>
      </c>
      <c r="AN47" s="113">
        <f t="shared" si="53"/>
        <v>0</v>
      </c>
      <c r="AO47" s="113"/>
      <c r="AP47" s="113"/>
      <c r="AQ47" s="113"/>
      <c r="AR47" s="113"/>
      <c r="AS47" s="113">
        <f t="shared" si="54"/>
        <v>0</v>
      </c>
      <c r="AT47" s="113">
        <f t="shared" si="54"/>
        <v>0</v>
      </c>
      <c r="AU47" s="113">
        <v>100000</v>
      </c>
      <c r="AV47" s="113">
        <v>100000</v>
      </c>
      <c r="AW47" s="113"/>
      <c r="AX47" s="113"/>
      <c r="AY47" s="113">
        <f t="shared" si="55"/>
        <v>100000</v>
      </c>
      <c r="AZ47" s="113">
        <f t="shared" si="55"/>
        <v>100000</v>
      </c>
      <c r="BA47" s="113"/>
      <c r="BB47" s="113"/>
      <c r="BC47" s="113">
        <v>20000</v>
      </c>
      <c r="BD47" s="113"/>
      <c r="BE47" s="113">
        <f t="shared" si="56"/>
        <v>20000</v>
      </c>
      <c r="BF47" s="113"/>
      <c r="BG47" s="113">
        <f t="shared" si="69"/>
        <v>0</v>
      </c>
      <c r="BH47" s="113"/>
      <c r="BI47" s="113"/>
      <c r="BJ47" s="113"/>
      <c r="BK47" s="113"/>
      <c r="BL47" s="113">
        <f t="shared" si="57"/>
        <v>0</v>
      </c>
      <c r="BM47" s="113"/>
      <c r="BN47" s="113">
        <f t="shared" si="70"/>
        <v>0</v>
      </c>
      <c r="BO47" s="113"/>
      <c r="BP47" s="113"/>
      <c r="BQ47" s="113"/>
      <c r="BR47" s="113"/>
      <c r="BS47" s="113">
        <f t="shared" si="58"/>
        <v>0</v>
      </c>
      <c r="BT47" s="113">
        <v>2000</v>
      </c>
      <c r="BU47" s="113">
        <f t="shared" si="71"/>
        <v>0</v>
      </c>
      <c r="BV47" s="113"/>
      <c r="BW47" s="113"/>
      <c r="BX47" s="113"/>
      <c r="BY47" s="113"/>
      <c r="BZ47" s="113">
        <f t="shared" si="59"/>
        <v>0</v>
      </c>
      <c r="CA47" s="113"/>
      <c r="CB47" s="113">
        <f t="shared" si="72"/>
        <v>0</v>
      </c>
      <c r="CC47" s="113"/>
      <c r="CD47" s="113"/>
      <c r="CE47" s="113"/>
      <c r="CF47" s="113"/>
      <c r="CG47" s="113">
        <f t="shared" si="60"/>
        <v>0</v>
      </c>
      <c r="CH47" s="113"/>
      <c r="CI47" s="113">
        <f t="shared" si="73"/>
        <v>0</v>
      </c>
      <c r="CJ47" s="113"/>
      <c r="CK47" s="113"/>
      <c r="CL47" s="113"/>
      <c r="CM47" s="113"/>
      <c r="CN47" s="113">
        <f t="shared" si="61"/>
        <v>0</v>
      </c>
      <c r="CO47" s="113"/>
      <c r="CP47" s="113">
        <f t="shared" si="74"/>
        <v>0</v>
      </c>
      <c r="CQ47" s="113"/>
      <c r="CR47" s="113"/>
      <c r="CS47" s="113"/>
      <c r="CT47" s="113"/>
      <c r="CU47" s="113">
        <f t="shared" si="62"/>
        <v>0</v>
      </c>
      <c r="CV47" s="113"/>
      <c r="CW47" s="113">
        <f t="shared" si="75"/>
        <v>0</v>
      </c>
      <c r="CX47" s="113"/>
      <c r="CY47" s="113"/>
      <c r="CZ47" s="113"/>
      <c r="DA47" s="113"/>
      <c r="DB47" s="113">
        <f t="shared" si="63"/>
        <v>0</v>
      </c>
      <c r="DC47" s="113">
        <f t="shared" si="63"/>
        <v>0</v>
      </c>
      <c r="DD47" s="113"/>
      <c r="DE47" s="113"/>
      <c r="DF47" s="113"/>
      <c r="DG47" s="113"/>
      <c r="DH47" s="113">
        <f t="shared" si="64"/>
        <v>0</v>
      </c>
      <c r="DI47" s="113">
        <f t="shared" si="64"/>
        <v>0</v>
      </c>
      <c r="DJ47" s="113"/>
      <c r="DK47" s="113"/>
      <c r="DL47" s="113"/>
      <c r="DM47" s="113"/>
      <c r="DN47" s="113">
        <f t="shared" si="65"/>
        <v>0</v>
      </c>
      <c r="DO47" s="113">
        <f t="shared" si="65"/>
        <v>0</v>
      </c>
      <c r="DP47" s="113">
        <f t="shared" si="76"/>
        <v>100000</v>
      </c>
      <c r="DQ47" s="113">
        <f t="shared" si="77"/>
        <v>100000</v>
      </c>
      <c r="DR47" s="113">
        <f t="shared" si="78"/>
        <v>20000</v>
      </c>
      <c r="DS47" s="113">
        <f t="shared" si="79"/>
        <v>0</v>
      </c>
      <c r="DT47" s="113">
        <f t="shared" si="66"/>
        <v>120000</v>
      </c>
      <c r="DU47" s="113">
        <f t="shared" si="66"/>
        <v>100000</v>
      </c>
    </row>
    <row r="48" spans="1:125">
      <c r="A48" s="15">
        <v>41</v>
      </c>
      <c r="B48" s="96" t="s">
        <v>685</v>
      </c>
      <c r="C48" s="112" t="s">
        <v>811</v>
      </c>
      <c r="D48" s="96" t="s">
        <v>812</v>
      </c>
      <c r="E48" s="185" t="s">
        <v>1165</v>
      </c>
      <c r="F48" s="161">
        <f t="shared" si="5"/>
        <v>200000</v>
      </c>
      <c r="G48" s="161">
        <f t="shared" si="44"/>
        <v>29000</v>
      </c>
      <c r="H48" s="161">
        <f t="shared" si="45"/>
        <v>171000</v>
      </c>
      <c r="I48" s="161">
        <f t="shared" si="6"/>
        <v>30000</v>
      </c>
      <c r="J48" s="165">
        <f t="shared" si="7"/>
        <v>1900000</v>
      </c>
      <c r="K48" s="115">
        <v>904230</v>
      </c>
      <c r="L48" s="211">
        <v>1200000</v>
      </c>
      <c r="M48" s="211">
        <v>0</v>
      </c>
      <c r="N48" s="127">
        <f t="shared" si="8"/>
        <v>500000</v>
      </c>
      <c r="O48" s="127">
        <f t="shared" si="9"/>
        <v>0</v>
      </c>
      <c r="P48" s="127">
        <f t="shared" si="10"/>
        <v>1700000</v>
      </c>
      <c r="Q48" s="131">
        <f t="shared" si="46"/>
        <v>200000</v>
      </c>
      <c r="R48" s="125" t="str">
        <f t="shared" si="11"/>
        <v>მიმდინარეობს</v>
      </c>
      <c r="S48" s="113">
        <v>500000</v>
      </c>
      <c r="T48" s="113"/>
      <c r="U48" s="113">
        <f t="shared" si="12"/>
        <v>1700000</v>
      </c>
      <c r="V48" s="113">
        <f t="shared" si="13"/>
        <v>0</v>
      </c>
      <c r="W48" s="113">
        <v>0</v>
      </c>
      <c r="X48" s="113">
        <v>0</v>
      </c>
      <c r="Y48" s="113">
        <v>0</v>
      </c>
      <c r="Z48" s="113">
        <v>0</v>
      </c>
      <c r="AA48" s="113">
        <f t="shared" si="50"/>
        <v>0</v>
      </c>
      <c r="AB48" s="113">
        <f t="shared" si="50"/>
        <v>0</v>
      </c>
      <c r="AC48" s="113"/>
      <c r="AD48" s="113"/>
      <c r="AE48" s="113"/>
      <c r="AF48" s="113"/>
      <c r="AG48" s="113">
        <f t="shared" si="51"/>
        <v>0</v>
      </c>
      <c r="AH48" s="113">
        <f t="shared" si="51"/>
        <v>0</v>
      </c>
      <c r="AI48" s="114">
        <f t="shared" si="16"/>
        <v>500000</v>
      </c>
      <c r="AJ48" s="114">
        <f t="shared" si="52"/>
        <v>500000</v>
      </c>
      <c r="AK48" s="114">
        <f t="shared" si="52"/>
        <v>0</v>
      </c>
      <c r="AL48" s="114">
        <f t="shared" si="18"/>
        <v>0</v>
      </c>
      <c r="AM48" s="113">
        <f t="shared" si="53"/>
        <v>500000</v>
      </c>
      <c r="AN48" s="113">
        <f t="shared" si="53"/>
        <v>500000</v>
      </c>
      <c r="AO48" s="113"/>
      <c r="AP48" s="113"/>
      <c r="AQ48" s="113"/>
      <c r="AR48" s="113"/>
      <c r="AS48" s="113">
        <f t="shared" si="54"/>
        <v>0</v>
      </c>
      <c r="AT48" s="113">
        <f t="shared" si="54"/>
        <v>0</v>
      </c>
      <c r="AU48" s="113"/>
      <c r="AV48" s="113"/>
      <c r="AW48" s="113"/>
      <c r="AX48" s="113"/>
      <c r="AY48" s="113">
        <f t="shared" si="55"/>
        <v>0</v>
      </c>
      <c r="AZ48" s="113">
        <f t="shared" si="55"/>
        <v>0</v>
      </c>
      <c r="BA48" s="113"/>
      <c r="BB48" s="113">
        <v>29000</v>
      </c>
      <c r="BC48" s="113"/>
      <c r="BD48" s="113"/>
      <c r="BE48" s="113">
        <f t="shared" si="56"/>
        <v>0</v>
      </c>
      <c r="BF48" s="113">
        <v>29000</v>
      </c>
      <c r="BG48" s="113">
        <f t="shared" si="69"/>
        <v>29000</v>
      </c>
      <c r="BH48" s="113">
        <v>150000</v>
      </c>
      <c r="BI48" s="113"/>
      <c r="BJ48" s="113"/>
      <c r="BK48" s="113"/>
      <c r="BL48" s="113">
        <f t="shared" si="57"/>
        <v>150000</v>
      </c>
      <c r="BM48" s="113"/>
      <c r="BN48" s="113">
        <f t="shared" si="70"/>
        <v>0</v>
      </c>
      <c r="BO48" s="113"/>
      <c r="BP48" s="113"/>
      <c r="BQ48" s="113">
        <v>50000</v>
      </c>
      <c r="BR48" s="113"/>
      <c r="BS48" s="113">
        <f t="shared" si="58"/>
        <v>50000</v>
      </c>
      <c r="BT48" s="113">
        <v>1000</v>
      </c>
      <c r="BU48" s="113">
        <f t="shared" si="71"/>
        <v>0</v>
      </c>
      <c r="BV48" s="113"/>
      <c r="BW48" s="113"/>
      <c r="BX48" s="113"/>
      <c r="BY48" s="113"/>
      <c r="BZ48" s="113">
        <f t="shared" si="59"/>
        <v>0</v>
      </c>
      <c r="CA48" s="113"/>
      <c r="CB48" s="113">
        <f t="shared" si="72"/>
        <v>0</v>
      </c>
      <c r="CC48" s="113"/>
      <c r="CD48" s="113"/>
      <c r="CE48" s="113"/>
      <c r="CF48" s="113"/>
      <c r="CG48" s="113">
        <f t="shared" si="60"/>
        <v>0</v>
      </c>
      <c r="CH48" s="113"/>
      <c r="CI48" s="113">
        <f t="shared" si="73"/>
        <v>0</v>
      </c>
      <c r="CJ48" s="113"/>
      <c r="CK48" s="113"/>
      <c r="CL48" s="113"/>
      <c r="CM48" s="113"/>
      <c r="CN48" s="113">
        <f t="shared" si="61"/>
        <v>0</v>
      </c>
      <c r="CO48" s="113"/>
      <c r="CP48" s="113">
        <f t="shared" si="74"/>
        <v>0</v>
      </c>
      <c r="CQ48" s="113"/>
      <c r="CR48" s="113"/>
      <c r="CS48" s="113"/>
      <c r="CT48" s="113"/>
      <c r="CU48" s="113">
        <f t="shared" si="62"/>
        <v>0</v>
      </c>
      <c r="CV48" s="113"/>
      <c r="CW48" s="113">
        <f t="shared" si="75"/>
        <v>0</v>
      </c>
      <c r="CX48" s="113"/>
      <c r="CY48" s="113"/>
      <c r="CZ48" s="113"/>
      <c r="DA48" s="113"/>
      <c r="DB48" s="113">
        <f t="shared" si="63"/>
        <v>0</v>
      </c>
      <c r="DC48" s="113">
        <f t="shared" si="63"/>
        <v>0</v>
      </c>
      <c r="DD48" s="113"/>
      <c r="DE48" s="113"/>
      <c r="DF48" s="113"/>
      <c r="DG48" s="113"/>
      <c r="DH48" s="113">
        <f t="shared" si="64"/>
        <v>0</v>
      </c>
      <c r="DI48" s="113">
        <f t="shared" si="64"/>
        <v>0</v>
      </c>
      <c r="DJ48" s="113"/>
      <c r="DK48" s="113"/>
      <c r="DL48" s="113"/>
      <c r="DM48" s="113"/>
      <c r="DN48" s="113">
        <f t="shared" si="65"/>
        <v>0</v>
      </c>
      <c r="DO48" s="113">
        <f t="shared" si="65"/>
        <v>0</v>
      </c>
      <c r="DP48" s="113">
        <f t="shared" si="76"/>
        <v>150000</v>
      </c>
      <c r="DQ48" s="113">
        <f t="shared" si="77"/>
        <v>29000</v>
      </c>
      <c r="DR48" s="113">
        <f t="shared" si="78"/>
        <v>50000</v>
      </c>
      <c r="DS48" s="113">
        <f t="shared" si="79"/>
        <v>0</v>
      </c>
      <c r="DT48" s="113">
        <f t="shared" si="66"/>
        <v>200000</v>
      </c>
      <c r="DU48" s="113">
        <f t="shared" si="66"/>
        <v>29000</v>
      </c>
    </row>
    <row r="49" spans="1:125">
      <c r="A49" s="15">
        <v>42</v>
      </c>
      <c r="B49" s="96" t="s">
        <v>685</v>
      </c>
      <c r="C49" s="7" t="s">
        <v>813</v>
      </c>
      <c r="D49" s="96" t="s">
        <v>814</v>
      </c>
      <c r="E49" s="185" t="s">
        <v>1164</v>
      </c>
      <c r="F49" s="161">
        <f t="shared" si="5"/>
        <v>0</v>
      </c>
      <c r="G49" s="161">
        <f t="shared" si="44"/>
        <v>0</v>
      </c>
      <c r="H49" s="161">
        <f t="shared" si="45"/>
        <v>0</v>
      </c>
      <c r="I49" s="161">
        <f t="shared" si="6"/>
        <v>0</v>
      </c>
      <c r="J49" s="165">
        <f t="shared" si="7"/>
        <v>14652.75</v>
      </c>
      <c r="K49" s="115"/>
      <c r="L49" s="211">
        <v>0</v>
      </c>
      <c r="M49" s="211">
        <v>0</v>
      </c>
      <c r="N49" s="127">
        <f t="shared" si="8"/>
        <v>14652.75</v>
      </c>
      <c r="O49" s="127">
        <f t="shared" si="9"/>
        <v>14652.75</v>
      </c>
      <c r="P49" s="127">
        <f t="shared" si="10"/>
        <v>14652.75</v>
      </c>
      <c r="Q49" s="131">
        <f t="shared" si="46"/>
        <v>0</v>
      </c>
      <c r="R49" s="125">
        <f t="shared" si="11"/>
        <v>14652.75</v>
      </c>
      <c r="S49" s="113">
        <v>0</v>
      </c>
      <c r="T49" s="113">
        <v>14652.75</v>
      </c>
      <c r="U49" s="113">
        <f t="shared" si="12"/>
        <v>0</v>
      </c>
      <c r="V49" s="113">
        <f t="shared" si="13"/>
        <v>14652.75</v>
      </c>
      <c r="W49" s="113">
        <v>0</v>
      </c>
      <c r="X49" s="113">
        <v>0</v>
      </c>
      <c r="Y49" s="113">
        <v>0</v>
      </c>
      <c r="Z49" s="113">
        <v>0</v>
      </c>
      <c r="AA49" s="113">
        <f t="shared" si="50"/>
        <v>0</v>
      </c>
      <c r="AB49" s="113">
        <f t="shared" si="50"/>
        <v>0</v>
      </c>
      <c r="AC49" s="113"/>
      <c r="AD49" s="113"/>
      <c r="AE49" s="113"/>
      <c r="AF49" s="113"/>
      <c r="AG49" s="113">
        <f t="shared" si="51"/>
        <v>0</v>
      </c>
      <c r="AH49" s="113">
        <f t="shared" si="51"/>
        <v>0</v>
      </c>
      <c r="AI49" s="114">
        <f t="shared" si="16"/>
        <v>0</v>
      </c>
      <c r="AJ49" s="114">
        <f t="shared" si="52"/>
        <v>0</v>
      </c>
      <c r="AK49" s="114">
        <f t="shared" si="52"/>
        <v>14652.75</v>
      </c>
      <c r="AL49" s="114">
        <f t="shared" si="18"/>
        <v>14652.75</v>
      </c>
      <c r="AM49" s="113">
        <f t="shared" si="53"/>
        <v>14652.75</v>
      </c>
      <c r="AN49" s="113">
        <f t="shared" si="53"/>
        <v>14652.75</v>
      </c>
      <c r="AO49" s="113"/>
      <c r="AP49" s="113"/>
      <c r="AQ49" s="113"/>
      <c r="AR49" s="113"/>
      <c r="AS49" s="113">
        <f t="shared" si="54"/>
        <v>0</v>
      </c>
      <c r="AT49" s="113">
        <f t="shared" si="54"/>
        <v>0</v>
      </c>
      <c r="AU49" s="113"/>
      <c r="AV49" s="113"/>
      <c r="AW49" s="113"/>
      <c r="AX49" s="113"/>
      <c r="AY49" s="113">
        <f t="shared" si="55"/>
        <v>0</v>
      </c>
      <c r="AZ49" s="113">
        <f t="shared" si="55"/>
        <v>0</v>
      </c>
      <c r="BA49" s="113"/>
      <c r="BB49" s="113"/>
      <c r="BC49" s="113"/>
      <c r="BD49" s="113"/>
      <c r="BE49" s="113">
        <f t="shared" si="56"/>
        <v>0</v>
      </c>
      <c r="BF49" s="113"/>
      <c r="BG49" s="113">
        <f t="shared" si="69"/>
        <v>0</v>
      </c>
      <c r="BH49" s="113"/>
      <c r="BI49" s="113"/>
      <c r="BJ49" s="113"/>
      <c r="BK49" s="113"/>
      <c r="BL49" s="113">
        <f t="shared" si="57"/>
        <v>0</v>
      </c>
      <c r="BM49" s="113"/>
      <c r="BN49" s="113">
        <f t="shared" si="70"/>
        <v>0</v>
      </c>
      <c r="BO49" s="113"/>
      <c r="BP49" s="113"/>
      <c r="BQ49" s="113"/>
      <c r="BR49" s="113"/>
      <c r="BS49" s="113">
        <f t="shared" si="58"/>
        <v>0</v>
      </c>
      <c r="BT49" s="113"/>
      <c r="BU49" s="113">
        <f t="shared" si="71"/>
        <v>0</v>
      </c>
      <c r="BV49" s="113"/>
      <c r="BW49" s="113"/>
      <c r="BX49" s="113"/>
      <c r="BY49" s="113"/>
      <c r="BZ49" s="113">
        <f t="shared" si="59"/>
        <v>0</v>
      </c>
      <c r="CA49" s="113"/>
      <c r="CB49" s="113">
        <f t="shared" si="72"/>
        <v>0</v>
      </c>
      <c r="CC49" s="113"/>
      <c r="CD49" s="113"/>
      <c r="CE49" s="113"/>
      <c r="CF49" s="113"/>
      <c r="CG49" s="113">
        <f t="shared" si="60"/>
        <v>0</v>
      </c>
      <c r="CH49" s="113"/>
      <c r="CI49" s="113">
        <f t="shared" si="73"/>
        <v>0</v>
      </c>
      <c r="CJ49" s="113"/>
      <c r="CK49" s="113"/>
      <c r="CL49" s="113"/>
      <c r="CM49" s="113"/>
      <c r="CN49" s="113">
        <f t="shared" si="61"/>
        <v>0</v>
      </c>
      <c r="CO49" s="113"/>
      <c r="CP49" s="113">
        <f t="shared" si="74"/>
        <v>0</v>
      </c>
      <c r="CQ49" s="113"/>
      <c r="CR49" s="113"/>
      <c r="CS49" s="113"/>
      <c r="CT49" s="113"/>
      <c r="CU49" s="113">
        <f t="shared" si="62"/>
        <v>0</v>
      </c>
      <c r="CV49" s="113"/>
      <c r="CW49" s="113">
        <f t="shared" si="75"/>
        <v>0</v>
      </c>
      <c r="CX49" s="113"/>
      <c r="CY49" s="113"/>
      <c r="CZ49" s="113"/>
      <c r="DA49" s="113"/>
      <c r="DB49" s="113">
        <f t="shared" si="63"/>
        <v>0</v>
      </c>
      <c r="DC49" s="113">
        <f t="shared" si="63"/>
        <v>0</v>
      </c>
      <c r="DD49" s="113"/>
      <c r="DE49" s="113"/>
      <c r="DF49" s="113"/>
      <c r="DG49" s="113"/>
      <c r="DH49" s="113">
        <f t="shared" si="64"/>
        <v>0</v>
      </c>
      <c r="DI49" s="113">
        <f t="shared" si="64"/>
        <v>0</v>
      </c>
      <c r="DJ49" s="113"/>
      <c r="DK49" s="113"/>
      <c r="DL49" s="113"/>
      <c r="DM49" s="113"/>
      <c r="DN49" s="113">
        <f t="shared" si="65"/>
        <v>0</v>
      </c>
      <c r="DO49" s="113">
        <f t="shared" si="65"/>
        <v>0</v>
      </c>
      <c r="DP49" s="113">
        <f t="shared" si="76"/>
        <v>0</v>
      </c>
      <c r="DQ49" s="113">
        <f t="shared" si="77"/>
        <v>0</v>
      </c>
      <c r="DR49" s="113">
        <f t="shared" si="78"/>
        <v>0</v>
      </c>
      <c r="DS49" s="113">
        <f t="shared" si="79"/>
        <v>0</v>
      </c>
      <c r="DT49" s="113">
        <f t="shared" si="66"/>
        <v>0</v>
      </c>
      <c r="DU49" s="113">
        <f t="shared" si="66"/>
        <v>0</v>
      </c>
    </row>
    <row r="50" spans="1:125">
      <c r="A50" s="15">
        <v>43</v>
      </c>
      <c r="B50" s="96" t="s">
        <v>685</v>
      </c>
      <c r="C50" s="112" t="s">
        <v>813</v>
      </c>
      <c r="D50" s="96" t="s">
        <v>815</v>
      </c>
      <c r="E50" s="185" t="s">
        <v>1165</v>
      </c>
      <c r="F50" s="161">
        <f t="shared" si="5"/>
        <v>300000</v>
      </c>
      <c r="G50" s="161">
        <f t="shared" si="44"/>
        <v>229219.44</v>
      </c>
      <c r="H50" s="161">
        <f t="shared" si="45"/>
        <v>70780.56</v>
      </c>
      <c r="I50" s="161">
        <f t="shared" si="6"/>
        <v>50000</v>
      </c>
      <c r="J50" s="165">
        <f t="shared" si="7"/>
        <v>565000</v>
      </c>
      <c r="K50" s="115">
        <v>65252</v>
      </c>
      <c r="L50" s="211">
        <v>0</v>
      </c>
      <c r="M50" s="211">
        <v>0</v>
      </c>
      <c r="N50" s="127">
        <f t="shared" si="8"/>
        <v>265000</v>
      </c>
      <c r="O50" s="127">
        <f t="shared" si="9"/>
        <v>0</v>
      </c>
      <c r="P50" s="127">
        <f t="shared" si="10"/>
        <v>265000</v>
      </c>
      <c r="Q50" s="131">
        <f t="shared" si="46"/>
        <v>300000</v>
      </c>
      <c r="R50" s="125" t="str">
        <f t="shared" si="11"/>
        <v>მიმდინარეობს</v>
      </c>
      <c r="S50" s="113">
        <v>265000</v>
      </c>
      <c r="T50" s="113"/>
      <c r="U50" s="113">
        <f t="shared" si="12"/>
        <v>265000</v>
      </c>
      <c r="V50" s="113">
        <f t="shared" si="13"/>
        <v>0</v>
      </c>
      <c r="W50" s="113">
        <v>0</v>
      </c>
      <c r="X50" s="113">
        <v>0</v>
      </c>
      <c r="Y50" s="113">
        <v>80000</v>
      </c>
      <c r="Z50" s="113">
        <v>0</v>
      </c>
      <c r="AA50" s="113">
        <f t="shared" si="50"/>
        <v>80000</v>
      </c>
      <c r="AB50" s="113">
        <f t="shared" si="50"/>
        <v>0</v>
      </c>
      <c r="AC50" s="113"/>
      <c r="AD50" s="113"/>
      <c r="AE50" s="113"/>
      <c r="AF50" s="113"/>
      <c r="AG50" s="113">
        <f t="shared" si="51"/>
        <v>0</v>
      </c>
      <c r="AH50" s="113">
        <f t="shared" si="51"/>
        <v>0</v>
      </c>
      <c r="AI50" s="114">
        <f t="shared" si="16"/>
        <v>265000</v>
      </c>
      <c r="AJ50" s="114">
        <f t="shared" si="52"/>
        <v>265000</v>
      </c>
      <c r="AK50" s="114">
        <f t="shared" si="52"/>
        <v>80000</v>
      </c>
      <c r="AL50" s="114">
        <f t="shared" si="18"/>
        <v>0</v>
      </c>
      <c r="AM50" s="113">
        <f t="shared" si="53"/>
        <v>345000</v>
      </c>
      <c r="AN50" s="113">
        <f t="shared" si="53"/>
        <v>265000</v>
      </c>
      <c r="AO50" s="113"/>
      <c r="AP50" s="113"/>
      <c r="AQ50" s="113"/>
      <c r="AR50" s="113"/>
      <c r="AS50" s="113">
        <f t="shared" si="54"/>
        <v>0</v>
      </c>
      <c r="AT50" s="113">
        <f t="shared" si="54"/>
        <v>0</v>
      </c>
      <c r="AU50" s="113"/>
      <c r="AV50" s="113">
        <v>220000</v>
      </c>
      <c r="AW50" s="113"/>
      <c r="AX50" s="113"/>
      <c r="AY50" s="113">
        <f t="shared" si="55"/>
        <v>0</v>
      </c>
      <c r="AZ50" s="113">
        <f t="shared" si="55"/>
        <v>220000</v>
      </c>
      <c r="BA50" s="113">
        <v>250000</v>
      </c>
      <c r="BB50" s="113"/>
      <c r="BC50" s="113"/>
      <c r="BD50" s="113"/>
      <c r="BE50" s="113">
        <f t="shared" si="56"/>
        <v>250000</v>
      </c>
      <c r="BF50" s="113"/>
      <c r="BG50" s="113">
        <f t="shared" si="69"/>
        <v>0</v>
      </c>
      <c r="BH50" s="113"/>
      <c r="BI50" s="113"/>
      <c r="BJ50" s="113">
        <v>50000</v>
      </c>
      <c r="BK50" s="113"/>
      <c r="BL50" s="113">
        <f t="shared" si="57"/>
        <v>50000</v>
      </c>
      <c r="BM50" s="113">
        <v>49000</v>
      </c>
      <c r="BN50" s="113">
        <f t="shared" si="70"/>
        <v>0</v>
      </c>
      <c r="BO50" s="113"/>
      <c r="BP50" s="113"/>
      <c r="BQ50" s="113"/>
      <c r="BR50" s="113"/>
      <c r="BS50" s="113">
        <f t="shared" si="58"/>
        <v>0</v>
      </c>
      <c r="BT50" s="113">
        <v>1000</v>
      </c>
      <c r="BU50" s="113">
        <f t="shared" si="71"/>
        <v>0</v>
      </c>
      <c r="BV50" s="113"/>
      <c r="BW50" s="113"/>
      <c r="BX50" s="113"/>
      <c r="BY50" s="113"/>
      <c r="BZ50" s="113">
        <f t="shared" si="59"/>
        <v>0</v>
      </c>
      <c r="CA50" s="113"/>
      <c r="CB50" s="113">
        <f t="shared" si="72"/>
        <v>0</v>
      </c>
      <c r="CC50" s="113"/>
      <c r="CD50" s="113"/>
      <c r="CE50" s="113"/>
      <c r="CF50" s="113"/>
      <c r="CG50" s="113">
        <f t="shared" si="60"/>
        <v>0</v>
      </c>
      <c r="CH50" s="113"/>
      <c r="CI50" s="113">
        <f t="shared" si="73"/>
        <v>0</v>
      </c>
      <c r="CJ50" s="113"/>
      <c r="CK50" s="113"/>
      <c r="CL50" s="113"/>
      <c r="CM50" s="113"/>
      <c r="CN50" s="113">
        <f t="shared" si="61"/>
        <v>0</v>
      </c>
      <c r="CO50" s="113"/>
      <c r="CP50" s="113">
        <f t="shared" si="74"/>
        <v>0</v>
      </c>
      <c r="CQ50" s="113"/>
      <c r="CR50" s="113"/>
      <c r="CS50" s="113"/>
      <c r="CT50" s="113"/>
      <c r="CU50" s="113">
        <f t="shared" si="62"/>
        <v>0</v>
      </c>
      <c r="CV50" s="113"/>
      <c r="CW50" s="113">
        <f t="shared" si="75"/>
        <v>0</v>
      </c>
      <c r="CX50" s="113"/>
      <c r="CY50" s="113"/>
      <c r="CZ50" s="113"/>
      <c r="DA50" s="113"/>
      <c r="DB50" s="113">
        <f t="shared" si="63"/>
        <v>0</v>
      </c>
      <c r="DC50" s="113">
        <f t="shared" si="63"/>
        <v>0</v>
      </c>
      <c r="DD50" s="113"/>
      <c r="DE50" s="113">
        <v>9219.44</v>
      </c>
      <c r="DF50" s="113"/>
      <c r="DG50" s="113"/>
      <c r="DH50" s="113">
        <f t="shared" si="64"/>
        <v>0</v>
      </c>
      <c r="DI50" s="113">
        <f t="shared" si="64"/>
        <v>9219.44</v>
      </c>
      <c r="DJ50" s="113"/>
      <c r="DK50" s="113"/>
      <c r="DL50" s="113"/>
      <c r="DM50" s="113"/>
      <c r="DN50" s="113">
        <f t="shared" si="65"/>
        <v>0</v>
      </c>
      <c r="DO50" s="113">
        <f t="shared" si="65"/>
        <v>0</v>
      </c>
      <c r="DP50" s="113">
        <f t="shared" si="76"/>
        <v>250000</v>
      </c>
      <c r="DQ50" s="113">
        <f t="shared" si="77"/>
        <v>229219.44</v>
      </c>
      <c r="DR50" s="113">
        <f t="shared" si="78"/>
        <v>50000</v>
      </c>
      <c r="DS50" s="113">
        <f t="shared" si="79"/>
        <v>0</v>
      </c>
      <c r="DT50" s="113">
        <f t="shared" si="66"/>
        <v>300000</v>
      </c>
      <c r="DU50" s="113">
        <f t="shared" si="66"/>
        <v>229219.44</v>
      </c>
    </row>
    <row r="51" spans="1:125">
      <c r="A51" s="15">
        <v>44</v>
      </c>
      <c r="B51" s="96" t="s">
        <v>685</v>
      </c>
      <c r="C51" s="7" t="s">
        <v>816</v>
      </c>
      <c r="D51" s="96" t="s">
        <v>817</v>
      </c>
      <c r="E51" s="185" t="s">
        <v>1164</v>
      </c>
      <c r="F51" s="161">
        <f t="shared" si="5"/>
        <v>13450.5</v>
      </c>
      <c r="G51" s="161">
        <f t="shared" si="44"/>
        <v>13450.5</v>
      </c>
      <c r="H51" s="161">
        <f t="shared" si="45"/>
        <v>0</v>
      </c>
      <c r="I51" s="161">
        <f t="shared" si="6"/>
        <v>0</v>
      </c>
      <c r="J51" s="165">
        <f t="shared" si="7"/>
        <v>13450.5</v>
      </c>
      <c r="K51" s="115"/>
      <c r="L51" s="211">
        <v>0</v>
      </c>
      <c r="M51" s="211">
        <v>0</v>
      </c>
      <c r="N51" s="127">
        <f t="shared" si="8"/>
        <v>0</v>
      </c>
      <c r="O51" s="127">
        <f t="shared" si="9"/>
        <v>0</v>
      </c>
      <c r="P51" s="127">
        <f t="shared" si="10"/>
        <v>0</v>
      </c>
      <c r="Q51" s="131">
        <f t="shared" si="46"/>
        <v>13450.5</v>
      </c>
      <c r="R51" s="125">
        <f t="shared" si="11"/>
        <v>13450.5</v>
      </c>
      <c r="S51" s="113">
        <v>0</v>
      </c>
      <c r="T51" s="113"/>
      <c r="U51" s="113">
        <f t="shared" si="12"/>
        <v>0</v>
      </c>
      <c r="V51" s="113">
        <f t="shared" si="13"/>
        <v>0</v>
      </c>
      <c r="W51" s="113">
        <v>0</v>
      </c>
      <c r="X51" s="113">
        <v>0</v>
      </c>
      <c r="Y51" s="113">
        <v>0</v>
      </c>
      <c r="Z51" s="113">
        <v>0</v>
      </c>
      <c r="AA51" s="113">
        <f t="shared" si="50"/>
        <v>0</v>
      </c>
      <c r="AB51" s="113">
        <f t="shared" si="50"/>
        <v>0</v>
      </c>
      <c r="AC51" s="113"/>
      <c r="AD51" s="113"/>
      <c r="AE51" s="113"/>
      <c r="AF51" s="113"/>
      <c r="AG51" s="113">
        <f t="shared" si="51"/>
        <v>0</v>
      </c>
      <c r="AH51" s="113">
        <f t="shared" si="51"/>
        <v>0</v>
      </c>
      <c r="AI51" s="114">
        <f t="shared" si="16"/>
        <v>0</v>
      </c>
      <c r="AJ51" s="114">
        <f t="shared" si="52"/>
        <v>0</v>
      </c>
      <c r="AK51" s="114">
        <f t="shared" si="52"/>
        <v>0</v>
      </c>
      <c r="AL51" s="114">
        <f t="shared" si="18"/>
        <v>0</v>
      </c>
      <c r="AM51" s="113">
        <f t="shared" si="53"/>
        <v>0</v>
      </c>
      <c r="AN51" s="113">
        <f t="shared" si="53"/>
        <v>0</v>
      </c>
      <c r="AO51" s="113"/>
      <c r="AP51" s="113"/>
      <c r="AQ51" s="113">
        <v>13450.5</v>
      </c>
      <c r="AR51" s="113">
        <v>13450.5</v>
      </c>
      <c r="AS51" s="113">
        <f t="shared" si="54"/>
        <v>13450.5</v>
      </c>
      <c r="AT51" s="113">
        <f t="shared" si="54"/>
        <v>13450.5</v>
      </c>
      <c r="AU51" s="113"/>
      <c r="AV51" s="113"/>
      <c r="AW51" s="113"/>
      <c r="AX51" s="113"/>
      <c r="AY51" s="113">
        <f t="shared" si="55"/>
        <v>0</v>
      </c>
      <c r="AZ51" s="113">
        <f t="shared" si="55"/>
        <v>0</v>
      </c>
      <c r="BA51" s="113"/>
      <c r="BB51" s="113"/>
      <c r="BC51" s="113"/>
      <c r="BD51" s="113"/>
      <c r="BE51" s="113">
        <f t="shared" si="56"/>
        <v>0</v>
      </c>
      <c r="BF51" s="113"/>
      <c r="BG51" s="113">
        <f t="shared" si="69"/>
        <v>0</v>
      </c>
      <c r="BH51" s="113"/>
      <c r="BI51" s="113"/>
      <c r="BJ51" s="113"/>
      <c r="BK51" s="113"/>
      <c r="BL51" s="113">
        <f t="shared" si="57"/>
        <v>0</v>
      </c>
      <c r="BM51" s="113"/>
      <c r="BN51" s="113">
        <f t="shared" si="70"/>
        <v>0</v>
      </c>
      <c r="BO51" s="113"/>
      <c r="BP51" s="113"/>
      <c r="BQ51" s="113"/>
      <c r="BR51" s="113"/>
      <c r="BS51" s="113">
        <f t="shared" si="58"/>
        <v>0</v>
      </c>
      <c r="BT51" s="113"/>
      <c r="BU51" s="113">
        <f t="shared" si="71"/>
        <v>0</v>
      </c>
      <c r="BV51" s="113"/>
      <c r="BW51" s="113"/>
      <c r="BX51" s="113"/>
      <c r="BY51" s="113"/>
      <c r="BZ51" s="113">
        <f t="shared" si="59"/>
        <v>0</v>
      </c>
      <c r="CA51" s="113"/>
      <c r="CB51" s="113">
        <f t="shared" si="72"/>
        <v>0</v>
      </c>
      <c r="CC51" s="113"/>
      <c r="CD51" s="113"/>
      <c r="CE51" s="113"/>
      <c r="CF51" s="113"/>
      <c r="CG51" s="113">
        <f t="shared" si="60"/>
        <v>0</v>
      </c>
      <c r="CH51" s="113"/>
      <c r="CI51" s="113">
        <f t="shared" si="73"/>
        <v>0</v>
      </c>
      <c r="CJ51" s="113"/>
      <c r="CK51" s="113"/>
      <c r="CL51" s="113"/>
      <c r="CM51" s="113"/>
      <c r="CN51" s="113">
        <f t="shared" si="61"/>
        <v>0</v>
      </c>
      <c r="CO51" s="113"/>
      <c r="CP51" s="113">
        <f t="shared" si="74"/>
        <v>0</v>
      </c>
      <c r="CQ51" s="113"/>
      <c r="CR51" s="113"/>
      <c r="CS51" s="113"/>
      <c r="CT51" s="113"/>
      <c r="CU51" s="113">
        <f t="shared" si="62"/>
        <v>0</v>
      </c>
      <c r="CV51" s="113"/>
      <c r="CW51" s="113">
        <f t="shared" si="75"/>
        <v>0</v>
      </c>
      <c r="CX51" s="113"/>
      <c r="CY51" s="113"/>
      <c r="CZ51" s="113"/>
      <c r="DA51" s="113"/>
      <c r="DB51" s="113">
        <f t="shared" si="63"/>
        <v>0</v>
      </c>
      <c r="DC51" s="113">
        <f t="shared" si="63"/>
        <v>0</v>
      </c>
      <c r="DD51" s="113"/>
      <c r="DE51" s="113"/>
      <c r="DF51" s="113"/>
      <c r="DG51" s="113"/>
      <c r="DH51" s="113">
        <f t="shared" si="64"/>
        <v>0</v>
      </c>
      <c r="DI51" s="113">
        <f t="shared" si="64"/>
        <v>0</v>
      </c>
      <c r="DJ51" s="113"/>
      <c r="DK51" s="113"/>
      <c r="DL51" s="113"/>
      <c r="DM51" s="113"/>
      <c r="DN51" s="113">
        <f t="shared" si="65"/>
        <v>0</v>
      </c>
      <c r="DO51" s="113">
        <f t="shared" si="65"/>
        <v>0</v>
      </c>
      <c r="DP51" s="113">
        <f t="shared" si="76"/>
        <v>0</v>
      </c>
      <c r="DQ51" s="113">
        <f t="shared" si="77"/>
        <v>0</v>
      </c>
      <c r="DR51" s="113">
        <f t="shared" si="78"/>
        <v>13450.5</v>
      </c>
      <c r="DS51" s="113">
        <f t="shared" si="79"/>
        <v>13450.5</v>
      </c>
      <c r="DT51" s="113">
        <f t="shared" si="66"/>
        <v>13450.5</v>
      </c>
      <c r="DU51" s="113">
        <f t="shared" si="66"/>
        <v>13450.5</v>
      </c>
    </row>
    <row r="52" spans="1:125" s="333" customFormat="1">
      <c r="A52" s="328">
        <v>45</v>
      </c>
      <c r="B52" s="329" t="s">
        <v>685</v>
      </c>
      <c r="C52" s="330" t="s">
        <v>816</v>
      </c>
      <c r="D52" s="329" t="s">
        <v>818</v>
      </c>
      <c r="E52" s="329" t="s">
        <v>1165</v>
      </c>
      <c r="F52" s="261">
        <f t="shared" si="5"/>
        <v>670000</v>
      </c>
      <c r="G52" s="261">
        <f t="shared" si="44"/>
        <v>600000</v>
      </c>
      <c r="H52" s="161">
        <f t="shared" si="45"/>
        <v>70000</v>
      </c>
      <c r="I52" s="161">
        <f t="shared" si="6"/>
        <v>105173</v>
      </c>
      <c r="J52" s="262">
        <f t="shared" si="7"/>
        <v>670000</v>
      </c>
      <c r="K52" s="331">
        <v>272872</v>
      </c>
      <c r="L52" s="211">
        <v>0</v>
      </c>
      <c r="M52" s="211">
        <v>0</v>
      </c>
      <c r="N52" s="261">
        <f t="shared" si="8"/>
        <v>0</v>
      </c>
      <c r="O52" s="261">
        <f t="shared" si="9"/>
        <v>0</v>
      </c>
      <c r="P52" s="261">
        <f t="shared" si="10"/>
        <v>0</v>
      </c>
      <c r="Q52" s="261">
        <f t="shared" si="46"/>
        <v>670000</v>
      </c>
      <c r="R52" s="261" t="str">
        <f t="shared" si="11"/>
        <v>მიმდინარეობს</v>
      </c>
      <c r="S52" s="113">
        <v>0</v>
      </c>
      <c r="T52" s="113"/>
      <c r="U52" s="113">
        <f t="shared" si="12"/>
        <v>0</v>
      </c>
      <c r="V52" s="113">
        <f t="shared" si="13"/>
        <v>0</v>
      </c>
      <c r="W52" s="113">
        <v>0</v>
      </c>
      <c r="X52" s="113">
        <v>0</v>
      </c>
      <c r="Y52" s="113">
        <v>0</v>
      </c>
      <c r="Z52" s="113">
        <v>0</v>
      </c>
      <c r="AA52" s="113">
        <f t="shared" si="50"/>
        <v>0</v>
      </c>
      <c r="AB52" s="113">
        <f t="shared" si="50"/>
        <v>0</v>
      </c>
      <c r="AC52" s="113"/>
      <c r="AD52" s="113"/>
      <c r="AE52" s="113"/>
      <c r="AF52" s="113"/>
      <c r="AG52" s="113">
        <f t="shared" si="51"/>
        <v>0</v>
      </c>
      <c r="AH52" s="113">
        <f t="shared" si="51"/>
        <v>0</v>
      </c>
      <c r="AI52" s="114">
        <f t="shared" si="16"/>
        <v>0</v>
      </c>
      <c r="AJ52" s="114">
        <f t="shared" si="52"/>
        <v>0</v>
      </c>
      <c r="AK52" s="114">
        <f t="shared" si="52"/>
        <v>0</v>
      </c>
      <c r="AL52" s="114">
        <f t="shared" si="18"/>
        <v>0</v>
      </c>
      <c r="AM52" s="113">
        <f t="shared" si="53"/>
        <v>0</v>
      </c>
      <c r="AN52" s="113">
        <f t="shared" si="53"/>
        <v>0</v>
      </c>
      <c r="AO52" s="332">
        <v>300000</v>
      </c>
      <c r="AP52" s="332">
        <v>400000</v>
      </c>
      <c r="AQ52" s="332"/>
      <c r="AR52" s="332"/>
      <c r="AS52" s="332">
        <f t="shared" si="54"/>
        <v>300000</v>
      </c>
      <c r="AT52" s="332">
        <f t="shared" si="54"/>
        <v>400000</v>
      </c>
      <c r="AU52" s="332">
        <v>100000</v>
      </c>
      <c r="AV52" s="332"/>
      <c r="AW52" s="332"/>
      <c r="AX52" s="332"/>
      <c r="AY52" s="332">
        <f t="shared" si="55"/>
        <v>100000</v>
      </c>
      <c r="AZ52" s="332">
        <f t="shared" si="55"/>
        <v>0</v>
      </c>
      <c r="BA52" s="332"/>
      <c r="BB52" s="332"/>
      <c r="BC52" s="332"/>
      <c r="BD52" s="332"/>
      <c r="BE52" s="332">
        <f t="shared" si="56"/>
        <v>0</v>
      </c>
      <c r="BF52" s="332"/>
      <c r="BG52" s="332">
        <f t="shared" si="69"/>
        <v>0</v>
      </c>
      <c r="BH52" s="332"/>
      <c r="BI52" s="332"/>
      <c r="BJ52" s="332"/>
      <c r="BK52" s="332"/>
      <c r="BL52" s="332">
        <f t="shared" si="57"/>
        <v>0</v>
      </c>
      <c r="BM52" s="332"/>
      <c r="BN52" s="332">
        <f t="shared" si="70"/>
        <v>0</v>
      </c>
      <c r="BO52" s="332">
        <v>200000</v>
      </c>
      <c r="BP52" s="332">
        <v>200000</v>
      </c>
      <c r="BQ52" s="332"/>
      <c r="BR52" s="332"/>
      <c r="BS52" s="332">
        <f t="shared" si="58"/>
        <v>200000</v>
      </c>
      <c r="BT52" s="332">
        <v>105000</v>
      </c>
      <c r="BU52" s="332">
        <f t="shared" si="71"/>
        <v>200000</v>
      </c>
      <c r="BV52" s="332"/>
      <c r="BW52" s="332"/>
      <c r="BX52" s="332">
        <v>70000</v>
      </c>
      <c r="BY52" s="332"/>
      <c r="BZ52" s="332">
        <f t="shared" si="59"/>
        <v>70000</v>
      </c>
      <c r="CA52" s="332">
        <v>173</v>
      </c>
      <c r="CB52" s="332">
        <f t="shared" si="72"/>
        <v>0</v>
      </c>
      <c r="CC52" s="332"/>
      <c r="CD52" s="332"/>
      <c r="CE52" s="332"/>
      <c r="CF52" s="332"/>
      <c r="CG52" s="332">
        <f t="shared" si="60"/>
        <v>0</v>
      </c>
      <c r="CH52" s="332"/>
      <c r="CI52" s="332">
        <f t="shared" si="73"/>
        <v>0</v>
      </c>
      <c r="CJ52" s="332"/>
      <c r="CK52" s="332"/>
      <c r="CL52" s="332"/>
      <c r="CM52" s="332"/>
      <c r="CN52" s="332">
        <f t="shared" si="61"/>
        <v>0</v>
      </c>
      <c r="CO52" s="332"/>
      <c r="CP52" s="332">
        <f t="shared" si="74"/>
        <v>0</v>
      </c>
      <c r="CQ52" s="332"/>
      <c r="CR52" s="332"/>
      <c r="CS52" s="332"/>
      <c r="CT52" s="332"/>
      <c r="CU52" s="332">
        <f t="shared" si="62"/>
        <v>0</v>
      </c>
      <c r="CV52" s="332"/>
      <c r="CW52" s="332">
        <f t="shared" si="75"/>
        <v>0</v>
      </c>
      <c r="CX52" s="332"/>
      <c r="CY52" s="332"/>
      <c r="CZ52" s="332"/>
      <c r="DA52" s="332"/>
      <c r="DB52" s="332">
        <f t="shared" si="63"/>
        <v>0</v>
      </c>
      <c r="DC52" s="332">
        <f t="shared" si="63"/>
        <v>0</v>
      </c>
      <c r="DD52" s="332"/>
      <c r="DE52" s="332"/>
      <c r="DF52" s="332"/>
      <c r="DG52" s="332"/>
      <c r="DH52" s="332">
        <f t="shared" si="64"/>
        <v>0</v>
      </c>
      <c r="DI52" s="332">
        <f t="shared" si="64"/>
        <v>0</v>
      </c>
      <c r="DJ52" s="332"/>
      <c r="DK52" s="332"/>
      <c r="DL52" s="332"/>
      <c r="DM52" s="332"/>
      <c r="DN52" s="332">
        <f t="shared" si="65"/>
        <v>0</v>
      </c>
      <c r="DO52" s="332">
        <f t="shared" si="65"/>
        <v>0</v>
      </c>
      <c r="DP52" s="332">
        <f t="shared" si="76"/>
        <v>600000</v>
      </c>
      <c r="DQ52" s="332">
        <f t="shared" si="77"/>
        <v>600000</v>
      </c>
      <c r="DR52" s="332">
        <f t="shared" si="78"/>
        <v>70000</v>
      </c>
      <c r="DS52" s="332">
        <f t="shared" si="79"/>
        <v>0</v>
      </c>
      <c r="DT52" s="332">
        <f t="shared" si="66"/>
        <v>670000</v>
      </c>
      <c r="DU52" s="332">
        <f t="shared" si="66"/>
        <v>600000</v>
      </c>
    </row>
    <row r="53" spans="1:125">
      <c r="A53" s="15">
        <v>46</v>
      </c>
      <c r="B53" s="96" t="s">
        <v>685</v>
      </c>
      <c r="C53" s="7" t="s">
        <v>819</v>
      </c>
      <c r="D53" s="96" t="s">
        <v>820</v>
      </c>
      <c r="E53" s="185" t="s">
        <v>1164</v>
      </c>
      <c r="F53" s="161">
        <f t="shared" si="5"/>
        <v>0</v>
      </c>
      <c r="G53" s="161">
        <f t="shared" si="44"/>
        <v>0</v>
      </c>
      <c r="H53" s="161">
        <f t="shared" si="45"/>
        <v>0</v>
      </c>
      <c r="I53" s="161">
        <f t="shared" si="6"/>
        <v>0</v>
      </c>
      <c r="J53" s="165">
        <f t="shared" si="7"/>
        <v>17577</v>
      </c>
      <c r="K53" s="115"/>
      <c r="L53" s="211">
        <v>14626.5</v>
      </c>
      <c r="M53" s="211">
        <v>0</v>
      </c>
      <c r="N53" s="127">
        <f t="shared" si="8"/>
        <v>2950.5</v>
      </c>
      <c r="O53" s="127">
        <f t="shared" si="9"/>
        <v>17577</v>
      </c>
      <c r="P53" s="127">
        <f t="shared" si="10"/>
        <v>17577</v>
      </c>
      <c r="Q53" s="131">
        <f t="shared" si="46"/>
        <v>0</v>
      </c>
      <c r="R53" s="125">
        <f t="shared" si="11"/>
        <v>17577</v>
      </c>
      <c r="S53" s="113">
        <v>0</v>
      </c>
      <c r="T53" s="113">
        <v>2950.5</v>
      </c>
      <c r="U53" s="113">
        <f t="shared" si="12"/>
        <v>14626.5</v>
      </c>
      <c r="V53" s="113">
        <f t="shared" si="13"/>
        <v>2950.5</v>
      </c>
      <c r="W53" s="113">
        <v>0</v>
      </c>
      <c r="X53" s="113">
        <v>0</v>
      </c>
      <c r="Y53" s="113">
        <v>0</v>
      </c>
      <c r="Z53" s="113">
        <v>0</v>
      </c>
      <c r="AA53" s="113">
        <f t="shared" si="50"/>
        <v>0</v>
      </c>
      <c r="AB53" s="113">
        <f t="shared" si="50"/>
        <v>0</v>
      </c>
      <c r="AC53" s="113"/>
      <c r="AD53" s="113"/>
      <c r="AE53" s="113"/>
      <c r="AF53" s="113"/>
      <c r="AG53" s="113">
        <f t="shared" si="51"/>
        <v>0</v>
      </c>
      <c r="AH53" s="113">
        <f t="shared" si="51"/>
        <v>0</v>
      </c>
      <c r="AI53" s="114">
        <f t="shared" si="16"/>
        <v>0</v>
      </c>
      <c r="AJ53" s="114">
        <f t="shared" si="52"/>
        <v>0</v>
      </c>
      <c r="AK53" s="114">
        <f t="shared" si="52"/>
        <v>2950.5</v>
      </c>
      <c r="AL53" s="114">
        <f t="shared" si="18"/>
        <v>2950.5</v>
      </c>
      <c r="AM53" s="113">
        <f t="shared" si="53"/>
        <v>2950.5</v>
      </c>
      <c r="AN53" s="113">
        <f t="shared" si="53"/>
        <v>2950.5</v>
      </c>
      <c r="AO53" s="113"/>
      <c r="AP53" s="113"/>
      <c r="AQ53" s="113"/>
      <c r="AR53" s="113"/>
      <c r="AS53" s="113">
        <f t="shared" si="54"/>
        <v>0</v>
      </c>
      <c r="AT53" s="113">
        <f t="shared" si="54"/>
        <v>0</v>
      </c>
      <c r="AU53" s="113"/>
      <c r="AV53" s="113"/>
      <c r="AW53" s="113"/>
      <c r="AX53" s="113"/>
      <c r="AY53" s="113">
        <f t="shared" si="55"/>
        <v>0</v>
      </c>
      <c r="AZ53" s="113">
        <f t="shared" si="55"/>
        <v>0</v>
      </c>
      <c r="BA53" s="113"/>
      <c r="BB53" s="113"/>
      <c r="BC53" s="113"/>
      <c r="BD53" s="113"/>
      <c r="BE53" s="113">
        <f t="shared" si="56"/>
        <v>0</v>
      </c>
      <c r="BF53" s="113"/>
      <c r="BG53" s="113">
        <f t="shared" si="69"/>
        <v>0</v>
      </c>
      <c r="BH53" s="113"/>
      <c r="BI53" s="113"/>
      <c r="BJ53" s="113"/>
      <c r="BK53" s="113"/>
      <c r="BL53" s="113">
        <f t="shared" si="57"/>
        <v>0</v>
      </c>
      <c r="BM53" s="113"/>
      <c r="BN53" s="113">
        <f t="shared" si="70"/>
        <v>0</v>
      </c>
      <c r="BO53" s="113"/>
      <c r="BP53" s="113"/>
      <c r="BQ53" s="113"/>
      <c r="BR53" s="113"/>
      <c r="BS53" s="113">
        <f t="shared" si="58"/>
        <v>0</v>
      </c>
      <c r="BT53" s="113"/>
      <c r="BU53" s="113">
        <f t="shared" si="71"/>
        <v>0</v>
      </c>
      <c r="BV53" s="113"/>
      <c r="BW53" s="113"/>
      <c r="BX53" s="113"/>
      <c r="BY53" s="113"/>
      <c r="BZ53" s="113">
        <f t="shared" si="59"/>
        <v>0</v>
      </c>
      <c r="CA53" s="113"/>
      <c r="CB53" s="113">
        <f t="shared" si="72"/>
        <v>0</v>
      </c>
      <c r="CC53" s="113"/>
      <c r="CD53" s="113"/>
      <c r="CE53" s="113"/>
      <c r="CF53" s="113"/>
      <c r="CG53" s="113">
        <f t="shared" si="60"/>
        <v>0</v>
      </c>
      <c r="CH53" s="113"/>
      <c r="CI53" s="113">
        <f t="shared" si="73"/>
        <v>0</v>
      </c>
      <c r="CJ53" s="113"/>
      <c r="CK53" s="113"/>
      <c r="CL53" s="113"/>
      <c r="CM53" s="113"/>
      <c r="CN53" s="113">
        <f t="shared" si="61"/>
        <v>0</v>
      </c>
      <c r="CO53" s="113"/>
      <c r="CP53" s="113">
        <f t="shared" si="74"/>
        <v>0</v>
      </c>
      <c r="CQ53" s="113"/>
      <c r="CR53" s="113"/>
      <c r="CS53" s="113"/>
      <c r="CT53" s="113"/>
      <c r="CU53" s="113">
        <f t="shared" si="62"/>
        <v>0</v>
      </c>
      <c r="CV53" s="113"/>
      <c r="CW53" s="113">
        <f t="shared" si="75"/>
        <v>0</v>
      </c>
      <c r="CX53" s="113"/>
      <c r="CY53" s="113"/>
      <c r="CZ53" s="113"/>
      <c r="DA53" s="113"/>
      <c r="DB53" s="113">
        <f t="shared" si="63"/>
        <v>0</v>
      </c>
      <c r="DC53" s="113">
        <f t="shared" si="63"/>
        <v>0</v>
      </c>
      <c r="DD53" s="113"/>
      <c r="DE53" s="113"/>
      <c r="DF53" s="113"/>
      <c r="DG53" s="113"/>
      <c r="DH53" s="113">
        <f t="shared" si="64"/>
        <v>0</v>
      </c>
      <c r="DI53" s="113">
        <f t="shared" si="64"/>
        <v>0</v>
      </c>
      <c r="DJ53" s="113"/>
      <c r="DK53" s="113"/>
      <c r="DL53" s="113"/>
      <c r="DM53" s="113"/>
      <c r="DN53" s="113">
        <f t="shared" si="65"/>
        <v>0</v>
      </c>
      <c r="DO53" s="113">
        <f t="shared" si="65"/>
        <v>0</v>
      </c>
      <c r="DP53" s="113">
        <f t="shared" si="76"/>
        <v>0</v>
      </c>
      <c r="DQ53" s="113">
        <f t="shared" si="77"/>
        <v>0</v>
      </c>
      <c r="DR53" s="113">
        <f t="shared" si="78"/>
        <v>0</v>
      </c>
      <c r="DS53" s="113">
        <f t="shared" si="79"/>
        <v>0</v>
      </c>
      <c r="DT53" s="113">
        <f t="shared" si="66"/>
        <v>0</v>
      </c>
      <c r="DU53" s="113">
        <f t="shared" si="66"/>
        <v>0</v>
      </c>
    </row>
    <row r="54" spans="1:125">
      <c r="A54" s="15">
        <v>47</v>
      </c>
      <c r="B54" s="96" t="s">
        <v>685</v>
      </c>
      <c r="C54" s="112" t="s">
        <v>819</v>
      </c>
      <c r="D54" s="96" t="s">
        <v>821</v>
      </c>
      <c r="E54" s="185" t="s">
        <v>1165</v>
      </c>
      <c r="F54" s="161">
        <f t="shared" si="5"/>
        <v>0</v>
      </c>
      <c r="G54" s="161">
        <f t="shared" si="44"/>
        <v>0</v>
      </c>
      <c r="H54" s="161">
        <f t="shared" si="45"/>
        <v>0</v>
      </c>
      <c r="I54" s="161">
        <f t="shared" si="6"/>
        <v>0</v>
      </c>
      <c r="J54" s="165">
        <f t="shared" si="7"/>
        <v>752773.03</v>
      </c>
      <c r="K54" s="115">
        <v>474560</v>
      </c>
      <c r="L54" s="211">
        <v>705000</v>
      </c>
      <c r="M54" s="211">
        <v>0</v>
      </c>
      <c r="N54" s="127">
        <f t="shared" si="8"/>
        <v>47773.03</v>
      </c>
      <c r="O54" s="127">
        <f t="shared" si="9"/>
        <v>752773.03</v>
      </c>
      <c r="P54" s="127">
        <f t="shared" si="10"/>
        <v>752773.03</v>
      </c>
      <c r="Q54" s="131">
        <f t="shared" si="46"/>
        <v>0</v>
      </c>
      <c r="R54" s="125">
        <f t="shared" si="11"/>
        <v>752773.03</v>
      </c>
      <c r="S54" s="113">
        <v>0</v>
      </c>
      <c r="T54" s="113">
        <v>47773.03</v>
      </c>
      <c r="U54" s="113">
        <f t="shared" si="12"/>
        <v>705000</v>
      </c>
      <c r="V54" s="113">
        <f t="shared" si="13"/>
        <v>47773.03</v>
      </c>
      <c r="W54" s="113">
        <v>0</v>
      </c>
      <c r="X54" s="113">
        <v>0</v>
      </c>
      <c r="Y54" s="113">
        <v>0</v>
      </c>
      <c r="Z54" s="113">
        <v>0</v>
      </c>
      <c r="AA54" s="113">
        <f t="shared" si="50"/>
        <v>0</v>
      </c>
      <c r="AB54" s="113">
        <f t="shared" si="50"/>
        <v>0</v>
      </c>
      <c r="AC54" s="113"/>
      <c r="AD54" s="113"/>
      <c r="AE54" s="113"/>
      <c r="AF54" s="113"/>
      <c r="AG54" s="113">
        <f t="shared" si="51"/>
        <v>0</v>
      </c>
      <c r="AH54" s="113">
        <f t="shared" si="51"/>
        <v>0</v>
      </c>
      <c r="AI54" s="114">
        <f t="shared" si="16"/>
        <v>0</v>
      </c>
      <c r="AJ54" s="114">
        <f t="shared" si="52"/>
        <v>0</v>
      </c>
      <c r="AK54" s="114">
        <f t="shared" si="52"/>
        <v>47773.03</v>
      </c>
      <c r="AL54" s="114">
        <f t="shared" si="18"/>
        <v>47773.03</v>
      </c>
      <c r="AM54" s="113">
        <f t="shared" si="53"/>
        <v>47773.03</v>
      </c>
      <c r="AN54" s="113">
        <f t="shared" si="53"/>
        <v>47773.03</v>
      </c>
      <c r="AO54" s="113"/>
      <c r="AP54" s="113"/>
      <c r="AQ54" s="113"/>
      <c r="AR54" s="113"/>
      <c r="AS54" s="113">
        <f t="shared" si="54"/>
        <v>0</v>
      </c>
      <c r="AT54" s="113">
        <f t="shared" si="54"/>
        <v>0</v>
      </c>
      <c r="AU54" s="113"/>
      <c r="AV54" s="113"/>
      <c r="AW54" s="113"/>
      <c r="AX54" s="113"/>
      <c r="AY54" s="113">
        <f t="shared" si="55"/>
        <v>0</v>
      </c>
      <c r="AZ54" s="113">
        <f t="shared" si="55"/>
        <v>0</v>
      </c>
      <c r="BA54" s="113"/>
      <c r="BB54" s="113"/>
      <c r="BC54" s="113"/>
      <c r="BD54" s="113"/>
      <c r="BE54" s="113">
        <f t="shared" si="56"/>
        <v>0</v>
      </c>
      <c r="BF54" s="113"/>
      <c r="BG54" s="113">
        <f t="shared" si="69"/>
        <v>0</v>
      </c>
      <c r="BH54" s="113"/>
      <c r="BI54" s="113"/>
      <c r="BJ54" s="113"/>
      <c r="BK54" s="113"/>
      <c r="BL54" s="113">
        <f t="shared" si="57"/>
        <v>0</v>
      </c>
      <c r="BM54" s="113"/>
      <c r="BN54" s="113">
        <f t="shared" si="70"/>
        <v>0</v>
      </c>
      <c r="BO54" s="113"/>
      <c r="BP54" s="113"/>
      <c r="BQ54" s="113"/>
      <c r="BR54" s="113"/>
      <c r="BS54" s="113">
        <f t="shared" si="58"/>
        <v>0</v>
      </c>
      <c r="BT54" s="113"/>
      <c r="BU54" s="113">
        <f t="shared" si="71"/>
        <v>0</v>
      </c>
      <c r="BV54" s="113"/>
      <c r="BW54" s="113"/>
      <c r="BX54" s="113"/>
      <c r="BY54" s="113"/>
      <c r="BZ54" s="113">
        <f t="shared" si="59"/>
        <v>0</v>
      </c>
      <c r="CA54" s="113"/>
      <c r="CB54" s="113">
        <f t="shared" si="72"/>
        <v>0</v>
      </c>
      <c r="CC54" s="113"/>
      <c r="CD54" s="113"/>
      <c r="CE54" s="113"/>
      <c r="CF54" s="113"/>
      <c r="CG54" s="113">
        <f t="shared" si="60"/>
        <v>0</v>
      </c>
      <c r="CH54" s="113"/>
      <c r="CI54" s="113">
        <f t="shared" si="73"/>
        <v>0</v>
      </c>
      <c r="CJ54" s="113"/>
      <c r="CK54" s="113"/>
      <c r="CL54" s="113"/>
      <c r="CM54" s="113"/>
      <c r="CN54" s="113">
        <f t="shared" si="61"/>
        <v>0</v>
      </c>
      <c r="CO54" s="113"/>
      <c r="CP54" s="113">
        <f t="shared" si="74"/>
        <v>0</v>
      </c>
      <c r="CQ54" s="113"/>
      <c r="CR54" s="113"/>
      <c r="CS54" s="113"/>
      <c r="CT54" s="113"/>
      <c r="CU54" s="113">
        <f t="shared" si="62"/>
        <v>0</v>
      </c>
      <c r="CV54" s="113"/>
      <c r="CW54" s="113">
        <f t="shared" si="75"/>
        <v>0</v>
      </c>
      <c r="CX54" s="113"/>
      <c r="CY54" s="113"/>
      <c r="CZ54" s="113"/>
      <c r="DA54" s="113"/>
      <c r="DB54" s="113">
        <f t="shared" si="63"/>
        <v>0</v>
      </c>
      <c r="DC54" s="113">
        <f t="shared" si="63"/>
        <v>0</v>
      </c>
      <c r="DD54" s="113"/>
      <c r="DE54" s="113"/>
      <c r="DF54" s="113"/>
      <c r="DG54" s="113"/>
      <c r="DH54" s="113">
        <f t="shared" si="64"/>
        <v>0</v>
      </c>
      <c r="DI54" s="113">
        <f t="shared" si="64"/>
        <v>0</v>
      </c>
      <c r="DJ54" s="113"/>
      <c r="DK54" s="113"/>
      <c r="DL54" s="113"/>
      <c r="DM54" s="113"/>
      <c r="DN54" s="113">
        <f t="shared" si="65"/>
        <v>0</v>
      </c>
      <c r="DO54" s="113">
        <f t="shared" si="65"/>
        <v>0</v>
      </c>
      <c r="DP54" s="113">
        <f t="shared" si="76"/>
        <v>0</v>
      </c>
      <c r="DQ54" s="113">
        <f t="shared" si="77"/>
        <v>0</v>
      </c>
      <c r="DR54" s="113">
        <f t="shared" si="78"/>
        <v>0</v>
      </c>
      <c r="DS54" s="113">
        <f t="shared" si="79"/>
        <v>0</v>
      </c>
      <c r="DT54" s="113">
        <f t="shared" si="66"/>
        <v>0</v>
      </c>
      <c r="DU54" s="113">
        <f t="shared" si="66"/>
        <v>0</v>
      </c>
    </row>
    <row r="55" spans="1:125">
      <c r="A55" s="15">
        <v>48</v>
      </c>
      <c r="B55" s="96" t="s">
        <v>685</v>
      </c>
      <c r="C55" s="112" t="s">
        <v>822</v>
      </c>
      <c r="D55" s="96" t="s">
        <v>823</v>
      </c>
      <c r="E55" s="185" t="s">
        <v>1165</v>
      </c>
      <c r="F55" s="161">
        <f t="shared" si="5"/>
        <v>550000</v>
      </c>
      <c r="G55" s="161">
        <f t="shared" si="44"/>
        <v>59745.03</v>
      </c>
      <c r="H55" s="161">
        <f t="shared" si="45"/>
        <v>490254.97</v>
      </c>
      <c r="I55" s="161">
        <f t="shared" si="6"/>
        <v>1745.0300000000279</v>
      </c>
      <c r="J55" s="165">
        <f t="shared" si="7"/>
        <v>1139423.1400000001</v>
      </c>
      <c r="K55" s="115">
        <v>148300</v>
      </c>
      <c r="L55" s="211">
        <v>580000</v>
      </c>
      <c r="M55" s="211">
        <v>0</v>
      </c>
      <c r="N55" s="127">
        <f t="shared" si="8"/>
        <v>9423.14</v>
      </c>
      <c r="O55" s="127">
        <f t="shared" si="9"/>
        <v>0</v>
      </c>
      <c r="P55" s="127">
        <f t="shared" si="10"/>
        <v>589423.14</v>
      </c>
      <c r="Q55" s="131">
        <f t="shared" si="46"/>
        <v>550000.00000000012</v>
      </c>
      <c r="R55" s="125">
        <f t="shared" si="11"/>
        <v>649168.17000000004</v>
      </c>
      <c r="S55" s="113">
        <v>0</v>
      </c>
      <c r="T55" s="113"/>
      <c r="U55" s="113">
        <f t="shared" si="12"/>
        <v>580000</v>
      </c>
      <c r="V55" s="113">
        <f t="shared" si="13"/>
        <v>0</v>
      </c>
      <c r="W55" s="113">
        <v>0</v>
      </c>
      <c r="X55" s="113">
        <v>0</v>
      </c>
      <c r="Y55" s="113">
        <v>0</v>
      </c>
      <c r="Z55" s="113">
        <v>0</v>
      </c>
      <c r="AA55" s="113">
        <f t="shared" si="50"/>
        <v>0</v>
      </c>
      <c r="AB55" s="113">
        <f t="shared" si="50"/>
        <v>0</v>
      </c>
      <c r="AC55" s="113"/>
      <c r="AD55" s="113">
        <v>9423.14</v>
      </c>
      <c r="AE55" s="113">
        <f>610000-U55</f>
        <v>30000</v>
      </c>
      <c r="AF55" s="113"/>
      <c r="AG55" s="113">
        <f t="shared" si="51"/>
        <v>30000</v>
      </c>
      <c r="AH55" s="113">
        <f t="shared" si="51"/>
        <v>9423.14</v>
      </c>
      <c r="AI55" s="114">
        <f t="shared" si="16"/>
        <v>0</v>
      </c>
      <c r="AJ55" s="114">
        <f t="shared" si="52"/>
        <v>9423.14</v>
      </c>
      <c r="AK55" s="114">
        <f t="shared" si="52"/>
        <v>30000</v>
      </c>
      <c r="AL55" s="114">
        <f t="shared" si="18"/>
        <v>0</v>
      </c>
      <c r="AM55" s="113">
        <f t="shared" si="53"/>
        <v>30000</v>
      </c>
      <c r="AN55" s="113">
        <f t="shared" si="53"/>
        <v>9423.14</v>
      </c>
      <c r="AO55" s="113"/>
      <c r="AP55" s="113"/>
      <c r="AQ55" s="113">
        <v>550000</v>
      </c>
      <c r="AR55" s="113">
        <v>58000</v>
      </c>
      <c r="AS55" s="113">
        <f t="shared" si="54"/>
        <v>550000</v>
      </c>
      <c r="AT55" s="113">
        <f t="shared" si="54"/>
        <v>58000</v>
      </c>
      <c r="AU55" s="113"/>
      <c r="AV55" s="113"/>
      <c r="AW55" s="113"/>
      <c r="AX55" s="113"/>
      <c r="AY55" s="113">
        <f t="shared" si="55"/>
        <v>0</v>
      </c>
      <c r="AZ55" s="113">
        <f t="shared" si="55"/>
        <v>0</v>
      </c>
      <c r="BA55" s="113"/>
      <c r="BB55" s="113"/>
      <c r="BC55" s="113"/>
      <c r="BD55" s="113">
        <v>1745.03</v>
      </c>
      <c r="BE55" s="113">
        <f t="shared" si="56"/>
        <v>0</v>
      </c>
      <c r="BF55" s="113">
        <v>1745.0300000000279</v>
      </c>
      <c r="BG55" s="113">
        <f t="shared" si="69"/>
        <v>1745.03</v>
      </c>
      <c r="BH55" s="113"/>
      <c r="BI55" s="113"/>
      <c r="BJ55" s="113"/>
      <c r="BK55" s="113"/>
      <c r="BL55" s="113">
        <f t="shared" si="57"/>
        <v>0</v>
      </c>
      <c r="BM55" s="113"/>
      <c r="BN55" s="113">
        <f t="shared" si="70"/>
        <v>0</v>
      </c>
      <c r="BO55" s="113"/>
      <c r="BP55" s="113"/>
      <c r="BQ55" s="113"/>
      <c r="BR55" s="113"/>
      <c r="BS55" s="113">
        <f t="shared" si="58"/>
        <v>0</v>
      </c>
      <c r="BT55" s="113"/>
      <c r="BU55" s="113">
        <f t="shared" si="71"/>
        <v>0</v>
      </c>
      <c r="BV55" s="113"/>
      <c r="BW55" s="113"/>
      <c r="BX55" s="113"/>
      <c r="BY55" s="113"/>
      <c r="BZ55" s="113">
        <f t="shared" si="59"/>
        <v>0</v>
      </c>
      <c r="CA55" s="113"/>
      <c r="CB55" s="113">
        <f t="shared" si="72"/>
        <v>0</v>
      </c>
      <c r="CC55" s="113"/>
      <c r="CD55" s="113"/>
      <c r="CE55" s="113"/>
      <c r="CF55" s="113"/>
      <c r="CG55" s="113">
        <f t="shared" si="60"/>
        <v>0</v>
      </c>
      <c r="CH55" s="113"/>
      <c r="CI55" s="113">
        <f t="shared" si="73"/>
        <v>0</v>
      </c>
      <c r="CJ55" s="113"/>
      <c r="CK55" s="113"/>
      <c r="CL55" s="113"/>
      <c r="CM55" s="113"/>
      <c r="CN55" s="113">
        <f t="shared" si="61"/>
        <v>0</v>
      </c>
      <c r="CO55" s="113"/>
      <c r="CP55" s="113">
        <f t="shared" si="74"/>
        <v>0</v>
      </c>
      <c r="CQ55" s="113"/>
      <c r="CR55" s="113"/>
      <c r="CS55" s="113"/>
      <c r="CT55" s="113"/>
      <c r="CU55" s="113">
        <f t="shared" si="62"/>
        <v>0</v>
      </c>
      <c r="CV55" s="113"/>
      <c r="CW55" s="113">
        <f t="shared" si="75"/>
        <v>0</v>
      </c>
      <c r="CX55" s="113"/>
      <c r="CY55" s="113"/>
      <c r="CZ55" s="113"/>
      <c r="DA55" s="113"/>
      <c r="DB55" s="113">
        <f t="shared" si="63"/>
        <v>0</v>
      </c>
      <c r="DC55" s="113">
        <f t="shared" si="63"/>
        <v>0</v>
      </c>
      <c r="DD55" s="113"/>
      <c r="DE55" s="113"/>
      <c r="DF55" s="113"/>
      <c r="DG55" s="113"/>
      <c r="DH55" s="113">
        <f t="shared" si="64"/>
        <v>0</v>
      </c>
      <c r="DI55" s="113">
        <f t="shared" si="64"/>
        <v>0</v>
      </c>
      <c r="DJ55" s="113"/>
      <c r="DK55" s="113"/>
      <c r="DL55" s="113"/>
      <c r="DM55" s="113"/>
      <c r="DN55" s="113">
        <f t="shared" si="65"/>
        <v>0</v>
      </c>
      <c r="DO55" s="113">
        <f t="shared" si="65"/>
        <v>0</v>
      </c>
      <c r="DP55" s="113">
        <f t="shared" si="76"/>
        <v>0</v>
      </c>
      <c r="DQ55" s="113">
        <f t="shared" si="77"/>
        <v>0</v>
      </c>
      <c r="DR55" s="113">
        <f t="shared" si="78"/>
        <v>550000</v>
      </c>
      <c r="DS55" s="113">
        <f t="shared" si="79"/>
        <v>59745.03</v>
      </c>
      <c r="DT55" s="113">
        <f t="shared" si="66"/>
        <v>550000</v>
      </c>
      <c r="DU55" s="113">
        <f t="shared" si="66"/>
        <v>59745.03</v>
      </c>
    </row>
    <row r="56" spans="1:125">
      <c r="A56" s="15">
        <v>51</v>
      </c>
      <c r="B56" s="96" t="s">
        <v>683</v>
      </c>
      <c r="C56" s="7" t="s">
        <v>824</v>
      </c>
      <c r="D56" s="96" t="s">
        <v>825</v>
      </c>
      <c r="E56" s="185" t="s">
        <v>1164</v>
      </c>
      <c r="F56" s="161">
        <f t="shared" si="5"/>
        <v>0</v>
      </c>
      <c r="G56" s="161">
        <f t="shared" si="44"/>
        <v>0</v>
      </c>
      <c r="H56" s="161">
        <f t="shared" si="45"/>
        <v>0</v>
      </c>
      <c r="I56" s="161">
        <f t="shared" si="6"/>
        <v>0</v>
      </c>
      <c r="J56" s="165">
        <f t="shared" si="7"/>
        <v>633.5</v>
      </c>
      <c r="K56" s="115"/>
      <c r="L56" s="211">
        <v>0</v>
      </c>
      <c r="M56" s="211">
        <v>0</v>
      </c>
      <c r="N56" s="127">
        <f t="shared" si="8"/>
        <v>633.5</v>
      </c>
      <c r="O56" s="127">
        <f t="shared" si="9"/>
        <v>633.5</v>
      </c>
      <c r="P56" s="127">
        <f t="shared" si="10"/>
        <v>633.5</v>
      </c>
      <c r="Q56" s="131">
        <f t="shared" si="46"/>
        <v>0</v>
      </c>
      <c r="R56" s="125">
        <f t="shared" si="11"/>
        <v>633.5</v>
      </c>
      <c r="S56" s="113">
        <v>0</v>
      </c>
      <c r="T56" s="113"/>
      <c r="U56" s="113">
        <f t="shared" si="12"/>
        <v>0</v>
      </c>
      <c r="V56" s="113">
        <f t="shared" si="13"/>
        <v>0</v>
      </c>
      <c r="W56" s="113">
        <v>0</v>
      </c>
      <c r="X56" s="113">
        <v>0</v>
      </c>
      <c r="Y56" s="113">
        <v>0</v>
      </c>
      <c r="Z56" s="113">
        <v>0</v>
      </c>
      <c r="AA56" s="113">
        <f t="shared" si="50"/>
        <v>0</v>
      </c>
      <c r="AB56" s="113">
        <f t="shared" si="50"/>
        <v>0</v>
      </c>
      <c r="AC56" s="113"/>
      <c r="AD56" s="113"/>
      <c r="AE56" s="113"/>
      <c r="AF56" s="113">
        <v>633.5</v>
      </c>
      <c r="AG56" s="113">
        <f t="shared" si="51"/>
        <v>0</v>
      </c>
      <c r="AH56" s="113">
        <f t="shared" si="51"/>
        <v>633.5</v>
      </c>
      <c r="AI56" s="114">
        <f t="shared" si="16"/>
        <v>0</v>
      </c>
      <c r="AJ56" s="114">
        <f t="shared" si="52"/>
        <v>0</v>
      </c>
      <c r="AK56" s="114">
        <f t="shared" si="52"/>
        <v>0</v>
      </c>
      <c r="AL56" s="114">
        <f t="shared" si="18"/>
        <v>633.5</v>
      </c>
      <c r="AM56" s="113">
        <f t="shared" si="53"/>
        <v>0</v>
      </c>
      <c r="AN56" s="113">
        <f t="shared" si="53"/>
        <v>633.5</v>
      </c>
      <c r="AO56" s="113"/>
      <c r="AP56" s="113"/>
      <c r="AQ56" s="113"/>
      <c r="AR56" s="113"/>
      <c r="AS56" s="113">
        <f t="shared" si="54"/>
        <v>0</v>
      </c>
      <c r="AT56" s="113">
        <f t="shared" si="54"/>
        <v>0</v>
      </c>
      <c r="AU56" s="113"/>
      <c r="AV56" s="113"/>
      <c r="AW56" s="113"/>
      <c r="AX56" s="113"/>
      <c r="AY56" s="113">
        <f t="shared" si="55"/>
        <v>0</v>
      </c>
      <c r="AZ56" s="113">
        <f t="shared" si="55"/>
        <v>0</v>
      </c>
      <c r="BA56" s="113"/>
      <c r="BB56" s="113"/>
      <c r="BC56" s="113"/>
      <c r="BD56" s="113"/>
      <c r="BE56" s="113">
        <f t="shared" si="56"/>
        <v>0</v>
      </c>
      <c r="BF56" s="113"/>
      <c r="BG56" s="113">
        <f t="shared" si="69"/>
        <v>0</v>
      </c>
      <c r="BH56" s="113"/>
      <c r="BI56" s="113"/>
      <c r="BJ56" s="113"/>
      <c r="BK56" s="113"/>
      <c r="BL56" s="113">
        <f t="shared" si="57"/>
        <v>0</v>
      </c>
      <c r="BM56" s="113"/>
      <c r="BN56" s="113">
        <f t="shared" si="70"/>
        <v>0</v>
      </c>
      <c r="BO56" s="113"/>
      <c r="BP56" s="113"/>
      <c r="BQ56" s="113"/>
      <c r="BR56" s="113"/>
      <c r="BS56" s="113">
        <f t="shared" si="58"/>
        <v>0</v>
      </c>
      <c r="BT56" s="113"/>
      <c r="BU56" s="113">
        <f t="shared" si="71"/>
        <v>0</v>
      </c>
      <c r="BV56" s="113"/>
      <c r="BW56" s="113"/>
      <c r="BX56" s="113"/>
      <c r="BY56" s="113"/>
      <c r="BZ56" s="113">
        <f t="shared" si="59"/>
        <v>0</v>
      </c>
      <c r="CA56" s="113"/>
      <c r="CB56" s="113">
        <f t="shared" si="72"/>
        <v>0</v>
      </c>
      <c r="CC56" s="113"/>
      <c r="CD56" s="113"/>
      <c r="CE56" s="113"/>
      <c r="CF56" s="113"/>
      <c r="CG56" s="113">
        <f t="shared" si="60"/>
        <v>0</v>
      </c>
      <c r="CH56" s="113"/>
      <c r="CI56" s="113">
        <f t="shared" si="73"/>
        <v>0</v>
      </c>
      <c r="CJ56" s="113"/>
      <c r="CK56" s="113"/>
      <c r="CL56" s="113"/>
      <c r="CM56" s="113"/>
      <c r="CN56" s="113">
        <f t="shared" si="61"/>
        <v>0</v>
      </c>
      <c r="CO56" s="113"/>
      <c r="CP56" s="113">
        <f t="shared" si="74"/>
        <v>0</v>
      </c>
      <c r="CQ56" s="113"/>
      <c r="CR56" s="113"/>
      <c r="CS56" s="113"/>
      <c r="CT56" s="113"/>
      <c r="CU56" s="113">
        <f t="shared" si="62"/>
        <v>0</v>
      </c>
      <c r="CV56" s="113"/>
      <c r="CW56" s="113">
        <f t="shared" si="75"/>
        <v>0</v>
      </c>
      <c r="CX56" s="113"/>
      <c r="CY56" s="113"/>
      <c r="CZ56" s="113"/>
      <c r="DA56" s="113"/>
      <c r="DB56" s="113">
        <f t="shared" si="63"/>
        <v>0</v>
      </c>
      <c r="DC56" s="113">
        <f t="shared" si="63"/>
        <v>0</v>
      </c>
      <c r="DD56" s="113"/>
      <c r="DE56" s="113"/>
      <c r="DF56" s="113"/>
      <c r="DG56" s="113"/>
      <c r="DH56" s="113">
        <f t="shared" si="64"/>
        <v>0</v>
      </c>
      <c r="DI56" s="113">
        <f t="shared" si="64"/>
        <v>0</v>
      </c>
      <c r="DJ56" s="113"/>
      <c r="DK56" s="113"/>
      <c r="DL56" s="113"/>
      <c r="DM56" s="113"/>
      <c r="DN56" s="113">
        <f t="shared" si="65"/>
        <v>0</v>
      </c>
      <c r="DO56" s="113">
        <f t="shared" si="65"/>
        <v>0</v>
      </c>
      <c r="DP56" s="113">
        <f t="shared" si="76"/>
        <v>0</v>
      </c>
      <c r="DQ56" s="113">
        <f t="shared" si="77"/>
        <v>0</v>
      </c>
      <c r="DR56" s="113">
        <f t="shared" si="78"/>
        <v>0</v>
      </c>
      <c r="DS56" s="113">
        <f t="shared" si="79"/>
        <v>0</v>
      </c>
      <c r="DT56" s="113">
        <f t="shared" si="66"/>
        <v>0</v>
      </c>
      <c r="DU56" s="113">
        <f t="shared" si="66"/>
        <v>0</v>
      </c>
    </row>
    <row r="57" spans="1:125">
      <c r="A57" s="15">
        <v>52</v>
      </c>
      <c r="B57" s="96" t="s">
        <v>683</v>
      </c>
      <c r="C57" s="112" t="s">
        <v>824</v>
      </c>
      <c r="D57" s="96" t="s">
        <v>826</v>
      </c>
      <c r="E57" s="185" t="s">
        <v>1165</v>
      </c>
      <c r="F57" s="161">
        <f t="shared" si="5"/>
        <v>40000</v>
      </c>
      <c r="G57" s="161">
        <f t="shared" si="44"/>
        <v>25546.33</v>
      </c>
      <c r="H57" s="161">
        <f t="shared" si="45"/>
        <v>14453.669999999998</v>
      </c>
      <c r="I57" s="161">
        <f t="shared" si="6"/>
        <v>25494</v>
      </c>
      <c r="J57" s="165">
        <f t="shared" si="7"/>
        <v>40000</v>
      </c>
      <c r="K57" s="115">
        <v>18462</v>
      </c>
      <c r="L57" s="211">
        <v>0</v>
      </c>
      <c r="M57" s="211">
        <v>0</v>
      </c>
      <c r="N57" s="127">
        <f t="shared" si="8"/>
        <v>0</v>
      </c>
      <c r="O57" s="127">
        <f t="shared" si="9"/>
        <v>0</v>
      </c>
      <c r="P57" s="127">
        <f t="shared" si="10"/>
        <v>0</v>
      </c>
      <c r="Q57" s="131">
        <f t="shared" si="46"/>
        <v>40000</v>
      </c>
      <c r="R57" s="125">
        <f t="shared" si="11"/>
        <v>25546.33</v>
      </c>
      <c r="S57" s="113">
        <v>0</v>
      </c>
      <c r="T57" s="113"/>
      <c r="U57" s="113">
        <f t="shared" si="12"/>
        <v>0</v>
      </c>
      <c r="V57" s="113">
        <f t="shared" si="13"/>
        <v>0</v>
      </c>
      <c r="W57" s="113">
        <v>0</v>
      </c>
      <c r="X57" s="113">
        <v>0</v>
      </c>
      <c r="Y57" s="113">
        <v>0</v>
      </c>
      <c r="Z57" s="113">
        <v>0</v>
      </c>
      <c r="AA57" s="113">
        <f t="shared" si="50"/>
        <v>0</v>
      </c>
      <c r="AB57" s="113">
        <f t="shared" si="50"/>
        <v>0</v>
      </c>
      <c r="AC57" s="113"/>
      <c r="AD57" s="113"/>
      <c r="AE57" s="113"/>
      <c r="AF57" s="113"/>
      <c r="AG57" s="113">
        <f t="shared" si="51"/>
        <v>0</v>
      </c>
      <c r="AH57" s="113">
        <f t="shared" si="51"/>
        <v>0</v>
      </c>
      <c r="AI57" s="114">
        <f t="shared" si="16"/>
        <v>0</v>
      </c>
      <c r="AJ57" s="114">
        <f t="shared" si="52"/>
        <v>0</v>
      </c>
      <c r="AK57" s="114">
        <f t="shared" si="52"/>
        <v>0</v>
      </c>
      <c r="AL57" s="114">
        <f t="shared" si="18"/>
        <v>0</v>
      </c>
      <c r="AM57" s="113">
        <f t="shared" si="53"/>
        <v>0</v>
      </c>
      <c r="AN57" s="113">
        <f t="shared" si="53"/>
        <v>0</v>
      </c>
      <c r="AO57" s="113"/>
      <c r="AP57" s="113"/>
      <c r="AQ57" s="113"/>
      <c r="AR57" s="113"/>
      <c r="AS57" s="113">
        <f t="shared" si="54"/>
        <v>0</v>
      </c>
      <c r="AT57" s="113">
        <f t="shared" si="54"/>
        <v>0</v>
      </c>
      <c r="AU57" s="113"/>
      <c r="AV57" s="113"/>
      <c r="AW57" s="113"/>
      <c r="AX57" s="113"/>
      <c r="AY57" s="113">
        <f t="shared" si="55"/>
        <v>0</v>
      </c>
      <c r="AZ57" s="113">
        <f t="shared" si="55"/>
        <v>0</v>
      </c>
      <c r="BA57" s="113"/>
      <c r="BB57" s="113"/>
      <c r="BC57" s="113">
        <v>40000</v>
      </c>
      <c r="BD57" s="113"/>
      <c r="BE57" s="113">
        <f t="shared" si="56"/>
        <v>40000</v>
      </c>
      <c r="BF57" s="113"/>
      <c r="BG57" s="113">
        <f t="shared" si="69"/>
        <v>0</v>
      </c>
      <c r="BH57" s="113"/>
      <c r="BI57" s="113"/>
      <c r="BJ57" s="113"/>
      <c r="BK57" s="113"/>
      <c r="BL57" s="113">
        <f t="shared" si="57"/>
        <v>0</v>
      </c>
      <c r="BM57" s="113"/>
      <c r="BN57" s="113">
        <f t="shared" si="70"/>
        <v>0</v>
      </c>
      <c r="BO57" s="113"/>
      <c r="BP57" s="113"/>
      <c r="BQ57" s="113"/>
      <c r="BR57" s="113"/>
      <c r="BS57" s="113">
        <f t="shared" si="58"/>
        <v>0</v>
      </c>
      <c r="BT57" s="113">
        <v>25000</v>
      </c>
      <c r="BU57" s="113">
        <f t="shared" si="71"/>
        <v>0</v>
      </c>
      <c r="BV57" s="113"/>
      <c r="BW57" s="113"/>
      <c r="BX57" s="113"/>
      <c r="BY57" s="113"/>
      <c r="BZ57" s="113">
        <f t="shared" si="59"/>
        <v>0</v>
      </c>
      <c r="CA57" s="113">
        <v>494</v>
      </c>
      <c r="CB57" s="113">
        <f t="shared" si="72"/>
        <v>0</v>
      </c>
      <c r="CC57" s="113"/>
      <c r="CD57" s="113"/>
      <c r="CE57" s="113"/>
      <c r="CF57" s="113"/>
      <c r="CG57" s="113">
        <f t="shared" si="60"/>
        <v>0</v>
      </c>
      <c r="CH57" s="113"/>
      <c r="CI57" s="113">
        <f t="shared" si="73"/>
        <v>0</v>
      </c>
      <c r="CJ57" s="113"/>
      <c r="CK57" s="113"/>
      <c r="CL57" s="113"/>
      <c r="CM57" s="113"/>
      <c r="CN57" s="113">
        <f t="shared" si="61"/>
        <v>0</v>
      </c>
      <c r="CO57" s="113"/>
      <c r="CP57" s="113">
        <f t="shared" si="74"/>
        <v>0</v>
      </c>
      <c r="CQ57" s="113"/>
      <c r="CR57" s="113"/>
      <c r="CS57" s="113"/>
      <c r="CT57" s="113"/>
      <c r="CU57" s="113">
        <f t="shared" si="62"/>
        <v>0</v>
      </c>
      <c r="CV57" s="113"/>
      <c r="CW57" s="113">
        <f t="shared" si="75"/>
        <v>0</v>
      </c>
      <c r="CX57" s="113"/>
      <c r="CY57" s="113">
        <v>23000</v>
      </c>
      <c r="CZ57" s="113"/>
      <c r="DA57" s="113">
        <v>2546.33</v>
      </c>
      <c r="DB57" s="113">
        <f t="shared" si="63"/>
        <v>0</v>
      </c>
      <c r="DC57" s="113">
        <f t="shared" si="63"/>
        <v>25546.33</v>
      </c>
      <c r="DD57" s="113"/>
      <c r="DE57" s="113"/>
      <c r="DF57" s="113"/>
      <c r="DG57" s="113"/>
      <c r="DH57" s="113">
        <f t="shared" si="64"/>
        <v>0</v>
      </c>
      <c r="DI57" s="113">
        <f t="shared" si="64"/>
        <v>0</v>
      </c>
      <c r="DJ57" s="113"/>
      <c r="DK57" s="113"/>
      <c r="DL57" s="113"/>
      <c r="DM57" s="113"/>
      <c r="DN57" s="113">
        <f t="shared" si="65"/>
        <v>0</v>
      </c>
      <c r="DO57" s="113">
        <f t="shared" si="65"/>
        <v>0</v>
      </c>
      <c r="DP57" s="113">
        <f t="shared" si="76"/>
        <v>0</v>
      </c>
      <c r="DQ57" s="113">
        <f t="shared" si="77"/>
        <v>23000</v>
      </c>
      <c r="DR57" s="113">
        <f t="shared" si="78"/>
        <v>40000</v>
      </c>
      <c r="DS57" s="113">
        <f t="shared" si="79"/>
        <v>2546.33</v>
      </c>
      <c r="DT57" s="113">
        <f t="shared" si="66"/>
        <v>40000</v>
      </c>
      <c r="DU57" s="113">
        <f t="shared" si="66"/>
        <v>25546.33</v>
      </c>
    </row>
    <row r="58" spans="1:125" s="323" customFormat="1">
      <c r="A58" s="318">
        <v>53</v>
      </c>
      <c r="B58" s="319" t="s">
        <v>683</v>
      </c>
      <c r="C58" s="320" t="s">
        <v>827</v>
      </c>
      <c r="D58" s="319" t="s">
        <v>828</v>
      </c>
      <c r="E58" s="319" t="s">
        <v>1165</v>
      </c>
      <c r="F58" s="255">
        <f t="shared" si="5"/>
        <v>0</v>
      </c>
      <c r="G58" s="255">
        <f>AT58+AZ58+BG58+BN58+BU58+CB58+CI58+CP58+CW58+DC58+DI58+DO58</f>
        <v>1000000</v>
      </c>
      <c r="H58" s="161">
        <f t="shared" si="45"/>
        <v>-1000000</v>
      </c>
      <c r="I58" s="161">
        <f t="shared" si="6"/>
        <v>1000000</v>
      </c>
      <c r="J58" s="256">
        <f t="shared" si="7"/>
        <v>0</v>
      </c>
      <c r="K58" s="321">
        <v>252000</v>
      </c>
      <c r="L58" s="211">
        <v>0</v>
      </c>
      <c r="M58" s="211">
        <v>0</v>
      </c>
      <c r="N58" s="127">
        <f t="shared" si="8"/>
        <v>0</v>
      </c>
      <c r="O58" s="127">
        <f t="shared" si="9"/>
        <v>0</v>
      </c>
      <c r="P58" s="255">
        <f t="shared" si="10"/>
        <v>0</v>
      </c>
      <c r="Q58" s="255">
        <f t="shared" si="46"/>
        <v>0</v>
      </c>
      <c r="R58" s="255" t="str">
        <f t="shared" si="11"/>
        <v>მიმდინარეობს</v>
      </c>
      <c r="S58" s="113">
        <v>0</v>
      </c>
      <c r="T58" s="113"/>
      <c r="U58" s="113">
        <f t="shared" si="12"/>
        <v>0</v>
      </c>
      <c r="V58" s="113">
        <f t="shared" si="13"/>
        <v>0</v>
      </c>
      <c r="W58" s="113">
        <v>0</v>
      </c>
      <c r="X58" s="113">
        <v>0</v>
      </c>
      <c r="Y58" s="113">
        <v>0</v>
      </c>
      <c r="Z58" s="113">
        <v>0</v>
      </c>
      <c r="AA58" s="113">
        <f t="shared" si="50"/>
        <v>0</v>
      </c>
      <c r="AB58" s="113">
        <f t="shared" si="50"/>
        <v>0</v>
      </c>
      <c r="AC58" s="113"/>
      <c r="AD58" s="113"/>
      <c r="AE58" s="113"/>
      <c r="AF58" s="113"/>
      <c r="AG58" s="113">
        <f t="shared" si="51"/>
        <v>0</v>
      </c>
      <c r="AH58" s="113">
        <f t="shared" si="51"/>
        <v>0</v>
      </c>
      <c r="AI58" s="114">
        <f t="shared" si="16"/>
        <v>0</v>
      </c>
      <c r="AJ58" s="114">
        <f t="shared" si="52"/>
        <v>0</v>
      </c>
      <c r="AK58" s="114">
        <f t="shared" si="52"/>
        <v>0</v>
      </c>
      <c r="AL58" s="114">
        <f t="shared" si="18"/>
        <v>0</v>
      </c>
      <c r="AM58" s="113">
        <f t="shared" si="53"/>
        <v>0</v>
      </c>
      <c r="AN58" s="113">
        <f t="shared" si="53"/>
        <v>0</v>
      </c>
      <c r="AO58" s="322"/>
      <c r="AP58" s="322"/>
      <c r="AQ58" s="322"/>
      <c r="AR58" s="322"/>
      <c r="AS58" s="322">
        <f t="shared" si="54"/>
        <v>0</v>
      </c>
      <c r="AT58" s="322">
        <f t="shared" si="54"/>
        <v>0</v>
      </c>
      <c r="AU58" s="322"/>
      <c r="AV58" s="322"/>
      <c r="AW58" s="322"/>
      <c r="AX58" s="322"/>
      <c r="AY58" s="322">
        <f t="shared" si="55"/>
        <v>0</v>
      </c>
      <c r="AZ58" s="322">
        <f t="shared" si="55"/>
        <v>0</v>
      </c>
      <c r="BA58" s="322"/>
      <c r="BB58" s="322"/>
      <c r="BC58" s="322"/>
      <c r="BD58" s="322"/>
      <c r="BE58" s="322">
        <f t="shared" si="56"/>
        <v>0</v>
      </c>
      <c r="BF58" s="322"/>
      <c r="BG58" s="322">
        <f t="shared" si="69"/>
        <v>0</v>
      </c>
      <c r="BH58" s="322"/>
      <c r="BI58" s="113">
        <v>700000</v>
      </c>
      <c r="BJ58" s="322"/>
      <c r="BK58" s="322"/>
      <c r="BL58" s="322">
        <f t="shared" si="57"/>
        <v>0</v>
      </c>
      <c r="BM58" s="322">
        <v>300000</v>
      </c>
      <c r="BN58" s="113">
        <f t="shared" si="70"/>
        <v>700000</v>
      </c>
      <c r="BO58" s="322"/>
      <c r="BP58" s="322"/>
      <c r="BQ58" s="322"/>
      <c r="BR58" s="322"/>
      <c r="BS58" s="322">
        <f t="shared" si="58"/>
        <v>0</v>
      </c>
      <c r="BT58" s="322">
        <v>150000</v>
      </c>
      <c r="BU58" s="322">
        <f t="shared" si="71"/>
        <v>0</v>
      </c>
      <c r="BV58" s="322"/>
      <c r="BW58" s="322"/>
      <c r="BX58" s="322"/>
      <c r="BY58" s="322"/>
      <c r="BZ58" s="322">
        <f t="shared" si="59"/>
        <v>0</v>
      </c>
      <c r="CA58" s="322">
        <v>150000</v>
      </c>
      <c r="CB58" s="322">
        <f t="shared" si="72"/>
        <v>0</v>
      </c>
      <c r="CC58" s="322"/>
      <c r="CD58" s="322"/>
      <c r="CE58" s="322"/>
      <c r="CF58" s="322"/>
      <c r="CG58" s="322">
        <f t="shared" si="60"/>
        <v>0</v>
      </c>
      <c r="CH58" s="322">
        <v>150000</v>
      </c>
      <c r="CI58" s="322">
        <f t="shared" si="73"/>
        <v>0</v>
      </c>
      <c r="CJ58" s="322"/>
      <c r="CK58" s="322"/>
      <c r="CL58" s="322"/>
      <c r="CM58" s="322"/>
      <c r="CN58" s="322">
        <f t="shared" si="61"/>
        <v>0</v>
      </c>
      <c r="CO58" s="322">
        <v>150000</v>
      </c>
      <c r="CP58" s="322">
        <f t="shared" si="74"/>
        <v>0</v>
      </c>
      <c r="CQ58" s="322"/>
      <c r="CR58" s="322"/>
      <c r="CS58" s="322"/>
      <c r="CT58" s="322"/>
      <c r="CU58" s="322">
        <f t="shared" si="62"/>
        <v>0</v>
      </c>
      <c r="CV58" s="322">
        <v>100000</v>
      </c>
      <c r="CW58" s="322">
        <f t="shared" si="75"/>
        <v>0</v>
      </c>
      <c r="CX58" s="322"/>
      <c r="CY58" s="322"/>
      <c r="CZ58" s="322"/>
      <c r="DA58" s="322"/>
      <c r="DB58" s="322">
        <f t="shared" si="63"/>
        <v>0</v>
      </c>
      <c r="DC58" s="322">
        <f t="shared" si="63"/>
        <v>0</v>
      </c>
      <c r="DD58" s="322"/>
      <c r="DE58" s="322">
        <v>300000</v>
      </c>
      <c r="DF58" s="322"/>
      <c r="DG58" s="322"/>
      <c r="DH58" s="322">
        <f t="shared" si="64"/>
        <v>0</v>
      </c>
      <c r="DI58" s="322">
        <f t="shared" si="64"/>
        <v>300000</v>
      </c>
      <c r="DJ58" s="322"/>
      <c r="DK58" s="322"/>
      <c r="DL58" s="322"/>
      <c r="DM58" s="322"/>
      <c r="DN58" s="322">
        <f t="shared" si="65"/>
        <v>0</v>
      </c>
      <c r="DO58" s="322">
        <f t="shared" si="65"/>
        <v>0</v>
      </c>
      <c r="DP58" s="322">
        <f t="shared" si="76"/>
        <v>0</v>
      </c>
      <c r="DQ58" s="322">
        <f t="shared" si="77"/>
        <v>1000000</v>
      </c>
      <c r="DR58" s="322">
        <f t="shared" si="78"/>
        <v>0</v>
      </c>
      <c r="DS58" s="322">
        <f t="shared" si="79"/>
        <v>0</v>
      </c>
      <c r="DT58" s="322">
        <f t="shared" si="66"/>
        <v>0</v>
      </c>
      <c r="DU58" s="322">
        <f t="shared" si="66"/>
        <v>1000000</v>
      </c>
    </row>
    <row r="59" spans="1:125" s="323" customFormat="1">
      <c r="A59" s="318">
        <v>54</v>
      </c>
      <c r="B59" s="319" t="s">
        <v>683</v>
      </c>
      <c r="C59" s="320" t="s">
        <v>829</v>
      </c>
      <c r="D59" s="319" t="s">
        <v>830</v>
      </c>
      <c r="E59" s="319" t="s">
        <v>1165</v>
      </c>
      <c r="F59" s="255">
        <f t="shared" si="5"/>
        <v>0</v>
      </c>
      <c r="G59" s="255">
        <f t="shared" si="44"/>
        <v>0</v>
      </c>
      <c r="H59" s="161">
        <f t="shared" si="45"/>
        <v>0</v>
      </c>
      <c r="I59" s="161">
        <f t="shared" si="6"/>
        <v>0</v>
      </c>
      <c r="J59" s="256">
        <f t="shared" si="7"/>
        <v>0</v>
      </c>
      <c r="K59" s="321">
        <v>247500</v>
      </c>
      <c r="L59" s="211">
        <v>0</v>
      </c>
      <c r="M59" s="211">
        <v>0</v>
      </c>
      <c r="N59" s="127">
        <f t="shared" si="8"/>
        <v>0</v>
      </c>
      <c r="O59" s="127">
        <f t="shared" si="9"/>
        <v>0</v>
      </c>
      <c r="P59" s="255">
        <f t="shared" si="10"/>
        <v>0</v>
      </c>
      <c r="Q59" s="255">
        <f t="shared" si="46"/>
        <v>0</v>
      </c>
      <c r="R59" s="255" t="str">
        <f t="shared" si="11"/>
        <v>ნულოვანი შესრულება</v>
      </c>
      <c r="S59" s="113">
        <v>0</v>
      </c>
      <c r="T59" s="113"/>
      <c r="U59" s="113">
        <f t="shared" si="12"/>
        <v>0</v>
      </c>
      <c r="V59" s="113">
        <f t="shared" si="13"/>
        <v>0</v>
      </c>
      <c r="W59" s="113">
        <v>0</v>
      </c>
      <c r="X59" s="113">
        <v>0</v>
      </c>
      <c r="Y59" s="113">
        <v>0</v>
      </c>
      <c r="Z59" s="113">
        <v>0</v>
      </c>
      <c r="AA59" s="113">
        <f t="shared" si="50"/>
        <v>0</v>
      </c>
      <c r="AB59" s="113">
        <f t="shared" si="50"/>
        <v>0</v>
      </c>
      <c r="AC59" s="113"/>
      <c r="AD59" s="113"/>
      <c r="AE59" s="113"/>
      <c r="AF59" s="113"/>
      <c r="AG59" s="113">
        <f t="shared" si="51"/>
        <v>0</v>
      </c>
      <c r="AH59" s="113">
        <f t="shared" si="51"/>
        <v>0</v>
      </c>
      <c r="AI59" s="114">
        <f t="shared" si="16"/>
        <v>0</v>
      </c>
      <c r="AJ59" s="114">
        <f t="shared" si="52"/>
        <v>0</v>
      </c>
      <c r="AK59" s="114">
        <f t="shared" si="52"/>
        <v>0</v>
      </c>
      <c r="AL59" s="114">
        <f t="shared" si="18"/>
        <v>0</v>
      </c>
      <c r="AM59" s="113">
        <f t="shared" si="53"/>
        <v>0</v>
      </c>
      <c r="AN59" s="113">
        <f t="shared" si="53"/>
        <v>0</v>
      </c>
      <c r="AO59" s="322"/>
      <c r="AP59" s="322"/>
      <c r="AQ59" s="322"/>
      <c r="AR59" s="322"/>
      <c r="AS59" s="322">
        <f t="shared" si="54"/>
        <v>0</v>
      </c>
      <c r="AT59" s="322">
        <f t="shared" si="54"/>
        <v>0</v>
      </c>
      <c r="AU59" s="322"/>
      <c r="AV59" s="322"/>
      <c r="AW59" s="322"/>
      <c r="AX59" s="322"/>
      <c r="AY59" s="322">
        <f t="shared" si="55"/>
        <v>0</v>
      </c>
      <c r="AZ59" s="322">
        <f t="shared" si="55"/>
        <v>0</v>
      </c>
      <c r="BA59" s="322"/>
      <c r="BB59" s="322"/>
      <c r="BC59" s="322"/>
      <c r="BD59" s="322"/>
      <c r="BE59" s="322">
        <f t="shared" si="56"/>
        <v>0</v>
      </c>
      <c r="BF59" s="322"/>
      <c r="BG59" s="322">
        <f t="shared" si="69"/>
        <v>0</v>
      </c>
      <c r="BH59" s="322"/>
      <c r="BI59" s="322"/>
      <c r="BJ59" s="322"/>
      <c r="BK59" s="322"/>
      <c r="BL59" s="322">
        <f t="shared" si="57"/>
        <v>0</v>
      </c>
      <c r="BM59" s="322"/>
      <c r="BN59" s="322">
        <f t="shared" si="70"/>
        <v>0</v>
      </c>
      <c r="BO59" s="322"/>
      <c r="BP59" s="322"/>
      <c r="BQ59" s="322"/>
      <c r="BR59" s="322"/>
      <c r="BS59" s="322">
        <f t="shared" si="58"/>
        <v>0</v>
      </c>
      <c r="BT59" s="322"/>
      <c r="BU59" s="322">
        <f t="shared" si="71"/>
        <v>0</v>
      </c>
      <c r="BV59" s="322"/>
      <c r="BW59" s="322"/>
      <c r="BX59" s="322"/>
      <c r="BY59" s="322"/>
      <c r="BZ59" s="322">
        <f t="shared" si="59"/>
        <v>0</v>
      </c>
      <c r="CA59" s="322"/>
      <c r="CB59" s="322">
        <f t="shared" si="72"/>
        <v>0</v>
      </c>
      <c r="CC59" s="322"/>
      <c r="CD59" s="322"/>
      <c r="CE59" s="322"/>
      <c r="CF59" s="322"/>
      <c r="CG59" s="322">
        <f t="shared" si="60"/>
        <v>0</v>
      </c>
      <c r="CH59" s="322"/>
      <c r="CI59" s="322">
        <f t="shared" si="73"/>
        <v>0</v>
      </c>
      <c r="CJ59" s="322"/>
      <c r="CK59" s="322"/>
      <c r="CL59" s="322"/>
      <c r="CM59" s="322"/>
      <c r="CN59" s="322">
        <f t="shared" si="61"/>
        <v>0</v>
      </c>
      <c r="CO59" s="322"/>
      <c r="CP59" s="322">
        <f t="shared" si="74"/>
        <v>0</v>
      </c>
      <c r="CQ59" s="322"/>
      <c r="CR59" s="322"/>
      <c r="CS59" s="322"/>
      <c r="CT59" s="322"/>
      <c r="CU59" s="322">
        <f t="shared" si="62"/>
        <v>0</v>
      </c>
      <c r="CV59" s="322"/>
      <c r="CW59" s="322">
        <f t="shared" si="75"/>
        <v>0</v>
      </c>
      <c r="CX59" s="322"/>
      <c r="CY59" s="322"/>
      <c r="CZ59" s="322"/>
      <c r="DA59" s="322"/>
      <c r="DB59" s="322">
        <f t="shared" si="63"/>
        <v>0</v>
      </c>
      <c r="DC59" s="322">
        <f t="shared" si="63"/>
        <v>0</v>
      </c>
      <c r="DD59" s="322"/>
      <c r="DE59" s="322"/>
      <c r="DF59" s="322"/>
      <c r="DG59" s="322"/>
      <c r="DH59" s="322">
        <f t="shared" si="64"/>
        <v>0</v>
      </c>
      <c r="DI59" s="322">
        <f t="shared" si="64"/>
        <v>0</v>
      </c>
      <c r="DJ59" s="322"/>
      <c r="DK59" s="322"/>
      <c r="DL59" s="322"/>
      <c r="DM59" s="322"/>
      <c r="DN59" s="322">
        <f t="shared" si="65"/>
        <v>0</v>
      </c>
      <c r="DO59" s="322">
        <f t="shared" si="65"/>
        <v>0</v>
      </c>
      <c r="DP59" s="322">
        <f t="shared" si="76"/>
        <v>0</v>
      </c>
      <c r="DQ59" s="322">
        <f t="shared" si="77"/>
        <v>0</v>
      </c>
      <c r="DR59" s="322">
        <f t="shared" si="78"/>
        <v>0</v>
      </c>
      <c r="DS59" s="322">
        <f t="shared" si="79"/>
        <v>0</v>
      </c>
      <c r="DT59" s="322">
        <f t="shared" si="66"/>
        <v>0</v>
      </c>
      <c r="DU59" s="322">
        <f t="shared" si="66"/>
        <v>0</v>
      </c>
    </row>
    <row r="60" spans="1:125">
      <c r="A60" s="15">
        <v>55</v>
      </c>
      <c r="B60" s="96" t="s">
        <v>683</v>
      </c>
      <c r="C60" s="112" t="s">
        <v>831</v>
      </c>
      <c r="D60" s="96" t="s">
        <v>832</v>
      </c>
      <c r="E60" s="185" t="s">
        <v>1165</v>
      </c>
      <c r="F60" s="161">
        <f t="shared" si="5"/>
        <v>40000</v>
      </c>
      <c r="G60" s="161">
        <f t="shared" si="44"/>
        <v>324026.78000000003</v>
      </c>
      <c r="H60" s="161">
        <f t="shared" si="45"/>
        <v>-284026.78000000003</v>
      </c>
      <c r="I60" s="161">
        <f t="shared" si="6"/>
        <v>1000</v>
      </c>
      <c r="J60" s="165">
        <f t="shared" si="7"/>
        <v>387922.64</v>
      </c>
      <c r="K60" s="115">
        <v>102000</v>
      </c>
      <c r="L60" s="211">
        <v>200000</v>
      </c>
      <c r="M60" s="211">
        <v>0</v>
      </c>
      <c r="N60" s="127">
        <f t="shared" si="8"/>
        <v>147922.64000000001</v>
      </c>
      <c r="O60" s="127">
        <f t="shared" si="9"/>
        <v>0</v>
      </c>
      <c r="P60" s="127">
        <f t="shared" si="10"/>
        <v>347922.64</v>
      </c>
      <c r="Q60" s="131">
        <f t="shared" si="46"/>
        <v>40000</v>
      </c>
      <c r="R60" s="125">
        <f t="shared" si="11"/>
        <v>671949.42</v>
      </c>
      <c r="S60" s="113">
        <v>140000</v>
      </c>
      <c r="T60" s="113"/>
      <c r="U60" s="113">
        <f t="shared" si="12"/>
        <v>340000</v>
      </c>
      <c r="V60" s="113">
        <f t="shared" si="13"/>
        <v>0</v>
      </c>
      <c r="W60" s="113">
        <v>0</v>
      </c>
      <c r="X60" s="113">
        <v>0</v>
      </c>
      <c r="Y60" s="113">
        <v>0</v>
      </c>
      <c r="Z60" s="113">
        <v>0</v>
      </c>
      <c r="AA60" s="113">
        <f t="shared" ref="AA60:AB81" si="80">W60+Y60</f>
        <v>0</v>
      </c>
      <c r="AB60" s="113">
        <f t="shared" si="80"/>
        <v>0</v>
      </c>
      <c r="AC60" s="113"/>
      <c r="AD60" s="113">
        <v>7922.64</v>
      </c>
      <c r="AE60" s="113"/>
      <c r="AF60" s="113"/>
      <c r="AG60" s="113">
        <f t="shared" ref="AG60:AH81" si="81">AC60+AE60</f>
        <v>0</v>
      </c>
      <c r="AH60" s="113">
        <f t="shared" si="81"/>
        <v>7922.64</v>
      </c>
      <c r="AI60" s="114">
        <f t="shared" si="16"/>
        <v>140000</v>
      </c>
      <c r="AJ60" s="114">
        <f t="shared" ref="AJ60:AK81" si="82">S60+X60+AD60</f>
        <v>147922.64000000001</v>
      </c>
      <c r="AK60" s="114">
        <f t="shared" si="82"/>
        <v>0</v>
      </c>
      <c r="AL60" s="114">
        <f t="shared" si="18"/>
        <v>0</v>
      </c>
      <c r="AM60" s="113">
        <f t="shared" ref="AM60:AN81" si="83">AI60+AK60</f>
        <v>140000</v>
      </c>
      <c r="AN60" s="113">
        <f t="shared" si="83"/>
        <v>147922.64000000001</v>
      </c>
      <c r="AO60" s="113"/>
      <c r="AP60" s="113"/>
      <c r="AQ60" s="113"/>
      <c r="AR60" s="113"/>
      <c r="AS60" s="113">
        <f t="shared" ref="AS60:AT81" si="84">AO60+AQ60</f>
        <v>0</v>
      </c>
      <c r="AT60" s="113">
        <f t="shared" si="84"/>
        <v>0</v>
      </c>
      <c r="AU60" s="113"/>
      <c r="AV60" s="113">
        <v>100000</v>
      </c>
      <c r="AW60" s="113">
        <v>40000</v>
      </c>
      <c r="AX60" s="113"/>
      <c r="AY60" s="113">
        <f t="shared" ref="AY60:AZ81" si="85">AU60+AW60</f>
        <v>40000</v>
      </c>
      <c r="AZ60" s="113">
        <f t="shared" si="85"/>
        <v>100000</v>
      </c>
      <c r="BA60" s="113"/>
      <c r="BB60" s="113"/>
      <c r="BC60" s="113"/>
      <c r="BD60" s="113"/>
      <c r="BE60" s="113">
        <f t="shared" ref="BE60:BE81" si="86">BA60+BC60</f>
        <v>0</v>
      </c>
      <c r="BF60" s="113"/>
      <c r="BG60" s="113">
        <f t="shared" si="69"/>
        <v>0</v>
      </c>
      <c r="BH60" s="113"/>
      <c r="BI60" s="113"/>
      <c r="BJ60" s="113"/>
      <c r="BK60" s="113"/>
      <c r="BL60" s="113">
        <f t="shared" ref="BL60:BL81" si="87">BH60+BJ60</f>
        <v>0</v>
      </c>
      <c r="BM60" s="113"/>
      <c r="BN60" s="113">
        <f t="shared" si="70"/>
        <v>0</v>
      </c>
      <c r="BO60" s="113"/>
      <c r="BP60" s="113"/>
      <c r="BQ60" s="113"/>
      <c r="BR60" s="113"/>
      <c r="BS60" s="113">
        <f t="shared" ref="BS60:BS81" si="88">BO60+BQ60</f>
        <v>0</v>
      </c>
      <c r="BT60" s="113">
        <v>1000</v>
      </c>
      <c r="BU60" s="113">
        <f t="shared" si="71"/>
        <v>0</v>
      </c>
      <c r="BV60" s="113"/>
      <c r="BW60" s="113">
        <v>200000</v>
      </c>
      <c r="BX60" s="113"/>
      <c r="BY60" s="113"/>
      <c r="BZ60" s="113">
        <f t="shared" ref="BZ60:BZ81" si="89">BV60+BX60</f>
        <v>0</v>
      </c>
      <c r="CA60" s="113"/>
      <c r="CB60" s="113">
        <f t="shared" si="72"/>
        <v>200000</v>
      </c>
      <c r="CC60" s="113"/>
      <c r="CD60" s="113"/>
      <c r="CE60" s="113"/>
      <c r="CF60" s="113">
        <v>24026.78</v>
      </c>
      <c r="CG60" s="113">
        <f t="shared" ref="CG60:CG81" si="90">CC60+CE60</f>
        <v>0</v>
      </c>
      <c r="CH60" s="113"/>
      <c r="CI60" s="113">
        <f t="shared" si="73"/>
        <v>24026.78</v>
      </c>
      <c r="CJ60" s="113"/>
      <c r="CK60" s="113"/>
      <c r="CL60" s="113"/>
      <c r="CM60" s="113"/>
      <c r="CN60" s="113">
        <f t="shared" ref="CN60:CN81" si="91">CJ60+CL60</f>
        <v>0</v>
      </c>
      <c r="CO60" s="113"/>
      <c r="CP60" s="113">
        <f t="shared" si="74"/>
        <v>0</v>
      </c>
      <c r="CQ60" s="113"/>
      <c r="CR60" s="113"/>
      <c r="CS60" s="113"/>
      <c r="CT60" s="113"/>
      <c r="CU60" s="113">
        <f t="shared" ref="CU60:CU81" si="92">CQ60+CS60</f>
        <v>0</v>
      </c>
      <c r="CV60" s="113"/>
      <c r="CW60" s="113">
        <f t="shared" si="75"/>
        <v>0</v>
      </c>
      <c r="CX60" s="113"/>
      <c r="CY60" s="113"/>
      <c r="CZ60" s="113"/>
      <c r="DA60" s="113"/>
      <c r="DB60" s="113">
        <f t="shared" ref="DB60:DC81" si="93">CX60+CZ60</f>
        <v>0</v>
      </c>
      <c r="DC60" s="113">
        <f t="shared" si="93"/>
        <v>0</v>
      </c>
      <c r="DD60" s="113"/>
      <c r="DE60" s="113"/>
      <c r="DF60" s="113"/>
      <c r="DG60" s="113"/>
      <c r="DH60" s="113">
        <f t="shared" ref="DH60:DI81" si="94">DD60+DF60</f>
        <v>0</v>
      </c>
      <c r="DI60" s="113">
        <f t="shared" si="94"/>
        <v>0</v>
      </c>
      <c r="DJ60" s="113"/>
      <c r="DK60" s="113"/>
      <c r="DL60" s="113"/>
      <c r="DM60" s="113"/>
      <c r="DN60" s="113">
        <f t="shared" ref="DN60:DO81" si="95">DJ60+DL60</f>
        <v>0</v>
      </c>
      <c r="DO60" s="113">
        <f t="shared" si="95"/>
        <v>0</v>
      </c>
      <c r="DP60" s="113">
        <f t="shared" si="76"/>
        <v>0</v>
      </c>
      <c r="DQ60" s="113">
        <f t="shared" si="77"/>
        <v>300000</v>
      </c>
      <c r="DR60" s="113">
        <f t="shared" si="78"/>
        <v>40000</v>
      </c>
      <c r="DS60" s="113">
        <f t="shared" si="79"/>
        <v>24026.78</v>
      </c>
      <c r="DT60" s="113">
        <f t="shared" ref="DT60:DU81" si="96">DP60+DR60</f>
        <v>40000</v>
      </c>
      <c r="DU60" s="113">
        <f t="shared" si="96"/>
        <v>324026.78000000003</v>
      </c>
    </row>
    <row r="61" spans="1:125">
      <c r="A61" s="15">
        <v>56</v>
      </c>
      <c r="B61" s="96" t="s">
        <v>683</v>
      </c>
      <c r="C61" s="112" t="s">
        <v>833</v>
      </c>
      <c r="D61" s="96" t="s">
        <v>834</v>
      </c>
      <c r="E61" s="185" t="s">
        <v>1165</v>
      </c>
      <c r="F61" s="161">
        <f t="shared" si="5"/>
        <v>0</v>
      </c>
      <c r="G61" s="161">
        <f t="shared" si="44"/>
        <v>0</v>
      </c>
      <c r="H61" s="161">
        <f t="shared" si="45"/>
        <v>0</v>
      </c>
      <c r="I61" s="161">
        <f t="shared" si="6"/>
        <v>0</v>
      </c>
      <c r="J61" s="165">
        <f t="shared" si="7"/>
        <v>68813.34</v>
      </c>
      <c r="K61" s="115">
        <v>64400</v>
      </c>
      <c r="L61" s="211">
        <v>0</v>
      </c>
      <c r="M61" s="211">
        <v>0</v>
      </c>
      <c r="N61" s="127">
        <f t="shared" si="8"/>
        <v>68813.34</v>
      </c>
      <c r="O61" s="127">
        <f t="shared" si="9"/>
        <v>68813.34</v>
      </c>
      <c r="P61" s="127">
        <f t="shared" si="10"/>
        <v>68813.34</v>
      </c>
      <c r="Q61" s="131">
        <f t="shared" si="46"/>
        <v>0</v>
      </c>
      <c r="R61" s="125">
        <f t="shared" si="11"/>
        <v>68813.34</v>
      </c>
      <c r="S61" s="113">
        <v>60000</v>
      </c>
      <c r="T61" s="113">
        <v>8813.34</v>
      </c>
      <c r="U61" s="113">
        <f t="shared" si="12"/>
        <v>60000</v>
      </c>
      <c r="V61" s="113">
        <f t="shared" si="13"/>
        <v>8813.34</v>
      </c>
      <c r="W61" s="113">
        <v>0</v>
      </c>
      <c r="X61" s="113">
        <v>0</v>
      </c>
      <c r="Y61" s="113">
        <v>0</v>
      </c>
      <c r="Z61" s="113">
        <v>0</v>
      </c>
      <c r="AA61" s="113">
        <f t="shared" si="80"/>
        <v>0</v>
      </c>
      <c r="AB61" s="113">
        <f t="shared" si="80"/>
        <v>0</v>
      </c>
      <c r="AC61" s="113"/>
      <c r="AD61" s="113"/>
      <c r="AE61" s="113"/>
      <c r="AF61" s="113"/>
      <c r="AG61" s="113">
        <f t="shared" si="81"/>
        <v>0</v>
      </c>
      <c r="AH61" s="113">
        <f t="shared" si="81"/>
        <v>0</v>
      </c>
      <c r="AI61" s="114">
        <f t="shared" si="16"/>
        <v>60000</v>
      </c>
      <c r="AJ61" s="114">
        <f t="shared" si="82"/>
        <v>60000</v>
      </c>
      <c r="AK61" s="114">
        <f t="shared" si="82"/>
        <v>8813.34</v>
      </c>
      <c r="AL61" s="114">
        <f t="shared" si="18"/>
        <v>8813.34</v>
      </c>
      <c r="AM61" s="113">
        <f t="shared" si="83"/>
        <v>68813.34</v>
      </c>
      <c r="AN61" s="113">
        <f t="shared" si="83"/>
        <v>68813.34</v>
      </c>
      <c r="AO61" s="113"/>
      <c r="AP61" s="113"/>
      <c r="AQ61" s="113"/>
      <c r="AR61" s="113"/>
      <c r="AS61" s="113">
        <f t="shared" si="84"/>
        <v>0</v>
      </c>
      <c r="AT61" s="113">
        <f t="shared" si="84"/>
        <v>0</v>
      </c>
      <c r="AU61" s="113"/>
      <c r="AV61" s="113"/>
      <c r="AW61" s="113"/>
      <c r="AX61" s="113"/>
      <c r="AY61" s="113">
        <f t="shared" si="85"/>
        <v>0</v>
      </c>
      <c r="AZ61" s="113">
        <f t="shared" si="85"/>
        <v>0</v>
      </c>
      <c r="BA61" s="113"/>
      <c r="BB61" s="113"/>
      <c r="BC61" s="113"/>
      <c r="BD61" s="113"/>
      <c r="BE61" s="113">
        <f t="shared" si="86"/>
        <v>0</v>
      </c>
      <c r="BF61" s="113"/>
      <c r="BG61" s="113">
        <f t="shared" si="69"/>
        <v>0</v>
      </c>
      <c r="BH61" s="113"/>
      <c r="BI61" s="113"/>
      <c r="BJ61" s="113"/>
      <c r="BK61" s="113"/>
      <c r="BL61" s="113">
        <f t="shared" si="87"/>
        <v>0</v>
      </c>
      <c r="BM61" s="113"/>
      <c r="BN61" s="113">
        <f t="shared" si="70"/>
        <v>0</v>
      </c>
      <c r="BO61" s="113"/>
      <c r="BP61" s="113"/>
      <c r="BQ61" s="113"/>
      <c r="BR61" s="113"/>
      <c r="BS61" s="113">
        <f t="shared" si="88"/>
        <v>0</v>
      </c>
      <c r="BT61" s="113"/>
      <c r="BU61" s="113">
        <f t="shared" si="71"/>
        <v>0</v>
      </c>
      <c r="BV61" s="113"/>
      <c r="BW61" s="113"/>
      <c r="BX61" s="113"/>
      <c r="BY61" s="113"/>
      <c r="BZ61" s="113">
        <f t="shared" si="89"/>
        <v>0</v>
      </c>
      <c r="CA61" s="113"/>
      <c r="CB61" s="113">
        <f t="shared" si="72"/>
        <v>0</v>
      </c>
      <c r="CC61" s="113"/>
      <c r="CD61" s="113"/>
      <c r="CE61" s="113"/>
      <c r="CF61" s="113"/>
      <c r="CG61" s="113">
        <f t="shared" si="90"/>
        <v>0</v>
      </c>
      <c r="CH61" s="113"/>
      <c r="CI61" s="113">
        <f t="shared" si="73"/>
        <v>0</v>
      </c>
      <c r="CJ61" s="113"/>
      <c r="CK61" s="113"/>
      <c r="CL61" s="113"/>
      <c r="CM61" s="113"/>
      <c r="CN61" s="113">
        <f t="shared" si="91"/>
        <v>0</v>
      </c>
      <c r="CO61" s="113"/>
      <c r="CP61" s="113">
        <f t="shared" si="74"/>
        <v>0</v>
      </c>
      <c r="CQ61" s="113"/>
      <c r="CR61" s="113"/>
      <c r="CS61" s="113"/>
      <c r="CT61" s="113"/>
      <c r="CU61" s="113">
        <f t="shared" si="92"/>
        <v>0</v>
      </c>
      <c r="CV61" s="113"/>
      <c r="CW61" s="113">
        <f t="shared" si="75"/>
        <v>0</v>
      </c>
      <c r="CX61" s="113"/>
      <c r="CY61" s="113"/>
      <c r="CZ61" s="113"/>
      <c r="DA61" s="113"/>
      <c r="DB61" s="113">
        <f t="shared" si="93"/>
        <v>0</v>
      </c>
      <c r="DC61" s="113">
        <f t="shared" si="93"/>
        <v>0</v>
      </c>
      <c r="DD61" s="113"/>
      <c r="DE61" s="113"/>
      <c r="DF61" s="113"/>
      <c r="DG61" s="113"/>
      <c r="DH61" s="113">
        <f t="shared" si="94"/>
        <v>0</v>
      </c>
      <c r="DI61" s="113">
        <f t="shared" si="94"/>
        <v>0</v>
      </c>
      <c r="DJ61" s="113"/>
      <c r="DK61" s="113"/>
      <c r="DL61" s="113"/>
      <c r="DM61" s="113"/>
      <c r="DN61" s="113">
        <f t="shared" si="95"/>
        <v>0</v>
      </c>
      <c r="DO61" s="113">
        <f t="shared" si="95"/>
        <v>0</v>
      </c>
      <c r="DP61" s="113">
        <f t="shared" si="76"/>
        <v>0</v>
      </c>
      <c r="DQ61" s="113">
        <f t="shared" si="77"/>
        <v>0</v>
      </c>
      <c r="DR61" s="113">
        <f t="shared" si="78"/>
        <v>0</v>
      </c>
      <c r="DS61" s="113">
        <f t="shared" si="79"/>
        <v>0</v>
      </c>
      <c r="DT61" s="113">
        <f t="shared" si="96"/>
        <v>0</v>
      </c>
      <c r="DU61" s="113">
        <f t="shared" si="96"/>
        <v>0</v>
      </c>
    </row>
    <row r="62" spans="1:125">
      <c r="A62" s="15">
        <v>57</v>
      </c>
      <c r="B62" s="96" t="s">
        <v>683</v>
      </c>
      <c r="C62" s="7" t="s">
        <v>835</v>
      </c>
      <c r="D62" s="96" t="s">
        <v>836</v>
      </c>
      <c r="E62" s="185" t="s">
        <v>1164</v>
      </c>
      <c r="F62" s="161">
        <f t="shared" si="5"/>
        <v>0</v>
      </c>
      <c r="G62" s="161">
        <f t="shared" si="44"/>
        <v>0</v>
      </c>
      <c r="H62" s="161">
        <f t="shared" si="45"/>
        <v>0</v>
      </c>
      <c r="I62" s="161">
        <f t="shared" si="6"/>
        <v>0</v>
      </c>
      <c r="J62" s="165">
        <f t="shared" si="7"/>
        <v>196</v>
      </c>
      <c r="K62" s="115"/>
      <c r="L62" s="211">
        <v>0</v>
      </c>
      <c r="M62" s="211">
        <v>0</v>
      </c>
      <c r="N62" s="127">
        <f t="shared" si="8"/>
        <v>196</v>
      </c>
      <c r="O62" s="127">
        <f t="shared" si="9"/>
        <v>196</v>
      </c>
      <c r="P62" s="127">
        <f t="shared" si="10"/>
        <v>196</v>
      </c>
      <c r="Q62" s="131">
        <f t="shared" si="46"/>
        <v>0</v>
      </c>
      <c r="R62" s="125">
        <f t="shared" si="11"/>
        <v>196</v>
      </c>
      <c r="S62" s="113">
        <v>0</v>
      </c>
      <c r="T62" s="113"/>
      <c r="U62" s="113">
        <f t="shared" si="12"/>
        <v>0</v>
      </c>
      <c r="V62" s="113">
        <f t="shared" si="13"/>
        <v>0</v>
      </c>
      <c r="W62" s="113">
        <v>0</v>
      </c>
      <c r="X62" s="113">
        <v>0</v>
      </c>
      <c r="Y62" s="113">
        <v>0</v>
      </c>
      <c r="Z62" s="113">
        <v>0</v>
      </c>
      <c r="AA62" s="113">
        <f t="shared" si="80"/>
        <v>0</v>
      </c>
      <c r="AB62" s="113">
        <f t="shared" si="80"/>
        <v>0</v>
      </c>
      <c r="AC62" s="113"/>
      <c r="AD62" s="113"/>
      <c r="AE62" s="113"/>
      <c r="AF62" s="113">
        <v>196</v>
      </c>
      <c r="AG62" s="113">
        <f t="shared" si="81"/>
        <v>0</v>
      </c>
      <c r="AH62" s="113">
        <f t="shared" si="81"/>
        <v>196</v>
      </c>
      <c r="AI62" s="114">
        <f t="shared" si="16"/>
        <v>0</v>
      </c>
      <c r="AJ62" s="114">
        <f t="shared" si="82"/>
        <v>0</v>
      </c>
      <c r="AK62" s="114">
        <f t="shared" si="82"/>
        <v>0</v>
      </c>
      <c r="AL62" s="114">
        <f t="shared" si="18"/>
        <v>196</v>
      </c>
      <c r="AM62" s="113">
        <f t="shared" si="83"/>
        <v>0</v>
      </c>
      <c r="AN62" s="113">
        <f t="shared" si="83"/>
        <v>196</v>
      </c>
      <c r="AO62" s="113"/>
      <c r="AP62" s="113"/>
      <c r="AQ62" s="113"/>
      <c r="AR62" s="113"/>
      <c r="AS62" s="113">
        <f t="shared" si="84"/>
        <v>0</v>
      </c>
      <c r="AT62" s="113">
        <f t="shared" si="84"/>
        <v>0</v>
      </c>
      <c r="AU62" s="113"/>
      <c r="AV62" s="113"/>
      <c r="AW62" s="113"/>
      <c r="AX62" s="113"/>
      <c r="AY62" s="113">
        <f t="shared" si="85"/>
        <v>0</v>
      </c>
      <c r="AZ62" s="113">
        <f t="shared" si="85"/>
        <v>0</v>
      </c>
      <c r="BA62" s="113"/>
      <c r="BB62" s="113"/>
      <c r="BC62" s="113"/>
      <c r="BD62" s="113"/>
      <c r="BE62" s="113">
        <f t="shared" si="86"/>
        <v>0</v>
      </c>
      <c r="BF62" s="113"/>
      <c r="BG62" s="113">
        <f t="shared" si="69"/>
        <v>0</v>
      </c>
      <c r="BH62" s="113"/>
      <c r="BI62" s="113"/>
      <c r="BJ62" s="113"/>
      <c r="BK62" s="113"/>
      <c r="BL62" s="113">
        <f t="shared" si="87"/>
        <v>0</v>
      </c>
      <c r="BM62" s="113"/>
      <c r="BN62" s="113">
        <f t="shared" si="70"/>
        <v>0</v>
      </c>
      <c r="BO62" s="113"/>
      <c r="BP62" s="113"/>
      <c r="BQ62" s="113"/>
      <c r="BR62" s="113"/>
      <c r="BS62" s="113">
        <f t="shared" si="88"/>
        <v>0</v>
      </c>
      <c r="BT62" s="113"/>
      <c r="BU62" s="113">
        <f t="shared" si="71"/>
        <v>0</v>
      </c>
      <c r="BV62" s="113"/>
      <c r="BW62" s="113"/>
      <c r="BX62" s="113"/>
      <c r="BY62" s="113"/>
      <c r="BZ62" s="113">
        <f t="shared" si="89"/>
        <v>0</v>
      </c>
      <c r="CA62" s="113"/>
      <c r="CB62" s="113">
        <f t="shared" si="72"/>
        <v>0</v>
      </c>
      <c r="CC62" s="113"/>
      <c r="CD62" s="113"/>
      <c r="CE62" s="113"/>
      <c r="CF62" s="113"/>
      <c r="CG62" s="113">
        <f t="shared" si="90"/>
        <v>0</v>
      </c>
      <c r="CH62" s="113"/>
      <c r="CI62" s="113">
        <f t="shared" si="73"/>
        <v>0</v>
      </c>
      <c r="CJ62" s="113"/>
      <c r="CK62" s="113"/>
      <c r="CL62" s="113"/>
      <c r="CM62" s="113"/>
      <c r="CN62" s="113">
        <f t="shared" si="91"/>
        <v>0</v>
      </c>
      <c r="CO62" s="113"/>
      <c r="CP62" s="113">
        <f t="shared" si="74"/>
        <v>0</v>
      </c>
      <c r="CQ62" s="113"/>
      <c r="CR62" s="113"/>
      <c r="CS62" s="113"/>
      <c r="CT62" s="113"/>
      <c r="CU62" s="113">
        <f t="shared" si="92"/>
        <v>0</v>
      </c>
      <c r="CV62" s="113"/>
      <c r="CW62" s="113">
        <f t="shared" si="75"/>
        <v>0</v>
      </c>
      <c r="CX62" s="113"/>
      <c r="CY62" s="113"/>
      <c r="CZ62" s="113"/>
      <c r="DA62" s="113"/>
      <c r="DB62" s="113">
        <f t="shared" si="93"/>
        <v>0</v>
      </c>
      <c r="DC62" s="113">
        <f t="shared" si="93"/>
        <v>0</v>
      </c>
      <c r="DD62" s="113"/>
      <c r="DE62" s="113"/>
      <c r="DF62" s="113"/>
      <c r="DG62" s="113"/>
      <c r="DH62" s="113">
        <f t="shared" si="94"/>
        <v>0</v>
      </c>
      <c r="DI62" s="113">
        <f t="shared" si="94"/>
        <v>0</v>
      </c>
      <c r="DJ62" s="113"/>
      <c r="DK62" s="113"/>
      <c r="DL62" s="113"/>
      <c r="DM62" s="113"/>
      <c r="DN62" s="113">
        <f t="shared" si="95"/>
        <v>0</v>
      </c>
      <c r="DO62" s="113">
        <f t="shared" si="95"/>
        <v>0</v>
      </c>
      <c r="DP62" s="113">
        <f t="shared" si="76"/>
        <v>0</v>
      </c>
      <c r="DQ62" s="113">
        <f t="shared" si="77"/>
        <v>0</v>
      </c>
      <c r="DR62" s="113">
        <f t="shared" si="78"/>
        <v>0</v>
      </c>
      <c r="DS62" s="113">
        <f t="shared" si="79"/>
        <v>0</v>
      </c>
      <c r="DT62" s="113">
        <f t="shared" si="96"/>
        <v>0</v>
      </c>
      <c r="DU62" s="113">
        <f t="shared" si="96"/>
        <v>0</v>
      </c>
    </row>
    <row r="63" spans="1:125">
      <c r="A63" s="15">
        <v>58</v>
      </c>
      <c r="B63" s="96" t="s">
        <v>683</v>
      </c>
      <c r="C63" s="112" t="s">
        <v>835</v>
      </c>
      <c r="D63" s="96" t="s">
        <v>837</v>
      </c>
      <c r="E63" s="185" t="s">
        <v>1165</v>
      </c>
      <c r="F63" s="161">
        <f t="shared" si="5"/>
        <v>60000</v>
      </c>
      <c r="G63" s="161">
        <f t="shared" si="44"/>
        <v>0</v>
      </c>
      <c r="H63" s="161">
        <f t="shared" si="45"/>
        <v>60000</v>
      </c>
      <c r="I63" s="161">
        <f t="shared" si="6"/>
        <v>0</v>
      </c>
      <c r="J63" s="165">
        <f t="shared" si="7"/>
        <v>60000</v>
      </c>
      <c r="K63" s="115">
        <v>3060</v>
      </c>
      <c r="L63" s="211">
        <v>0</v>
      </c>
      <c r="M63" s="211">
        <v>0</v>
      </c>
      <c r="N63" s="127">
        <f t="shared" si="8"/>
        <v>0</v>
      </c>
      <c r="O63" s="127">
        <f t="shared" si="9"/>
        <v>0</v>
      </c>
      <c r="P63" s="127">
        <f t="shared" si="10"/>
        <v>0</v>
      </c>
      <c r="Q63" s="131">
        <f t="shared" si="46"/>
        <v>60000</v>
      </c>
      <c r="R63" s="125" t="str">
        <f t="shared" si="11"/>
        <v>ნულოვანი შესრულება</v>
      </c>
      <c r="S63" s="113">
        <v>0</v>
      </c>
      <c r="T63" s="113"/>
      <c r="U63" s="113">
        <f t="shared" si="12"/>
        <v>0</v>
      </c>
      <c r="V63" s="113">
        <f t="shared" si="13"/>
        <v>0</v>
      </c>
      <c r="W63" s="113">
        <v>0</v>
      </c>
      <c r="X63" s="113">
        <v>0</v>
      </c>
      <c r="Y63" s="113">
        <v>0</v>
      </c>
      <c r="Z63" s="113">
        <v>0</v>
      </c>
      <c r="AA63" s="113">
        <f t="shared" si="80"/>
        <v>0</v>
      </c>
      <c r="AB63" s="113">
        <f t="shared" si="80"/>
        <v>0</v>
      </c>
      <c r="AC63" s="113"/>
      <c r="AD63" s="113"/>
      <c r="AE63" s="113"/>
      <c r="AF63" s="113"/>
      <c r="AG63" s="113">
        <f t="shared" si="81"/>
        <v>0</v>
      </c>
      <c r="AH63" s="113">
        <f t="shared" si="81"/>
        <v>0</v>
      </c>
      <c r="AI63" s="114">
        <f t="shared" si="16"/>
        <v>0</v>
      </c>
      <c r="AJ63" s="114">
        <f t="shared" si="82"/>
        <v>0</v>
      </c>
      <c r="AK63" s="114">
        <f t="shared" si="82"/>
        <v>0</v>
      </c>
      <c r="AL63" s="114">
        <f t="shared" si="18"/>
        <v>0</v>
      </c>
      <c r="AM63" s="113">
        <f t="shared" si="83"/>
        <v>0</v>
      </c>
      <c r="AN63" s="113">
        <f t="shared" si="83"/>
        <v>0</v>
      </c>
      <c r="AO63" s="113"/>
      <c r="AP63" s="113"/>
      <c r="AQ63" s="113"/>
      <c r="AR63" s="113"/>
      <c r="AS63" s="113">
        <f t="shared" si="84"/>
        <v>0</v>
      </c>
      <c r="AT63" s="113">
        <f t="shared" si="84"/>
        <v>0</v>
      </c>
      <c r="AU63" s="113"/>
      <c r="AV63" s="113"/>
      <c r="AW63" s="113">
        <v>60000</v>
      </c>
      <c r="AX63" s="113"/>
      <c r="AY63" s="113">
        <f t="shared" si="85"/>
        <v>60000</v>
      </c>
      <c r="AZ63" s="113">
        <f t="shared" si="85"/>
        <v>0</v>
      </c>
      <c r="BA63" s="113"/>
      <c r="BB63" s="113"/>
      <c r="BC63" s="113"/>
      <c r="BD63" s="113"/>
      <c r="BE63" s="113">
        <f t="shared" si="86"/>
        <v>0</v>
      </c>
      <c r="BF63" s="113"/>
      <c r="BG63" s="113">
        <f t="shared" si="69"/>
        <v>0</v>
      </c>
      <c r="BH63" s="113"/>
      <c r="BI63" s="113"/>
      <c r="BJ63" s="113"/>
      <c r="BK63" s="113"/>
      <c r="BL63" s="113">
        <f t="shared" si="87"/>
        <v>0</v>
      </c>
      <c r="BM63" s="113"/>
      <c r="BN63" s="113">
        <f t="shared" si="70"/>
        <v>0</v>
      </c>
      <c r="BO63" s="113"/>
      <c r="BP63" s="113"/>
      <c r="BQ63" s="113"/>
      <c r="BR63" s="113"/>
      <c r="BS63" s="113">
        <f t="shared" si="88"/>
        <v>0</v>
      </c>
      <c r="BT63" s="113"/>
      <c r="BU63" s="113">
        <f t="shared" si="71"/>
        <v>0</v>
      </c>
      <c r="BV63" s="113"/>
      <c r="BW63" s="113"/>
      <c r="BX63" s="113"/>
      <c r="BY63" s="113"/>
      <c r="BZ63" s="113">
        <f t="shared" si="89"/>
        <v>0</v>
      </c>
      <c r="CA63" s="113"/>
      <c r="CB63" s="113">
        <f t="shared" si="72"/>
        <v>0</v>
      </c>
      <c r="CC63" s="113"/>
      <c r="CD63" s="113"/>
      <c r="CE63" s="113"/>
      <c r="CF63" s="113"/>
      <c r="CG63" s="113">
        <f t="shared" si="90"/>
        <v>0</v>
      </c>
      <c r="CH63" s="113"/>
      <c r="CI63" s="113">
        <f t="shared" si="73"/>
        <v>0</v>
      </c>
      <c r="CJ63" s="113"/>
      <c r="CK63" s="113"/>
      <c r="CL63" s="113"/>
      <c r="CM63" s="113"/>
      <c r="CN63" s="113">
        <f t="shared" si="91"/>
        <v>0</v>
      </c>
      <c r="CO63" s="113"/>
      <c r="CP63" s="113">
        <f t="shared" si="74"/>
        <v>0</v>
      </c>
      <c r="CQ63" s="113"/>
      <c r="CR63" s="113"/>
      <c r="CS63" s="113"/>
      <c r="CT63" s="113"/>
      <c r="CU63" s="113">
        <f t="shared" si="92"/>
        <v>0</v>
      </c>
      <c r="CV63" s="113"/>
      <c r="CW63" s="113">
        <f t="shared" si="75"/>
        <v>0</v>
      </c>
      <c r="CX63" s="113"/>
      <c r="CY63" s="113"/>
      <c r="CZ63" s="113"/>
      <c r="DA63" s="113"/>
      <c r="DB63" s="113">
        <f t="shared" si="93"/>
        <v>0</v>
      </c>
      <c r="DC63" s="113">
        <f t="shared" si="93"/>
        <v>0</v>
      </c>
      <c r="DD63" s="113"/>
      <c r="DE63" s="113"/>
      <c r="DF63" s="113"/>
      <c r="DG63" s="113"/>
      <c r="DH63" s="113">
        <f t="shared" si="94"/>
        <v>0</v>
      </c>
      <c r="DI63" s="113">
        <f t="shared" si="94"/>
        <v>0</v>
      </c>
      <c r="DJ63" s="113"/>
      <c r="DK63" s="113"/>
      <c r="DL63" s="113"/>
      <c r="DM63" s="113"/>
      <c r="DN63" s="113">
        <f t="shared" si="95"/>
        <v>0</v>
      </c>
      <c r="DO63" s="113">
        <f t="shared" si="95"/>
        <v>0</v>
      </c>
      <c r="DP63" s="113">
        <f t="shared" si="76"/>
        <v>0</v>
      </c>
      <c r="DQ63" s="113">
        <f t="shared" si="77"/>
        <v>0</v>
      </c>
      <c r="DR63" s="113">
        <f t="shared" si="78"/>
        <v>60000</v>
      </c>
      <c r="DS63" s="113">
        <f t="shared" si="79"/>
        <v>0</v>
      </c>
      <c r="DT63" s="113">
        <f t="shared" si="96"/>
        <v>60000</v>
      </c>
      <c r="DU63" s="113">
        <f t="shared" si="96"/>
        <v>0</v>
      </c>
    </row>
    <row r="64" spans="1:125">
      <c r="A64" s="15">
        <v>59</v>
      </c>
      <c r="B64" s="96" t="s">
        <v>683</v>
      </c>
      <c r="C64" s="7" t="s">
        <v>838</v>
      </c>
      <c r="D64" s="96" t="s">
        <v>839</v>
      </c>
      <c r="E64" s="185" t="s">
        <v>1164</v>
      </c>
      <c r="F64" s="161">
        <f t="shared" si="5"/>
        <v>0</v>
      </c>
      <c r="G64" s="161">
        <f t="shared" si="44"/>
        <v>0</v>
      </c>
      <c r="H64" s="161">
        <f t="shared" si="45"/>
        <v>0</v>
      </c>
      <c r="I64" s="161">
        <f t="shared" si="6"/>
        <v>0</v>
      </c>
      <c r="J64" s="165">
        <f t="shared" si="7"/>
        <v>2954</v>
      </c>
      <c r="K64" s="115"/>
      <c r="L64" s="211">
        <v>0</v>
      </c>
      <c r="M64" s="211">
        <v>0</v>
      </c>
      <c r="N64" s="127">
        <f t="shared" si="8"/>
        <v>2954</v>
      </c>
      <c r="O64" s="127">
        <f t="shared" si="9"/>
        <v>2954</v>
      </c>
      <c r="P64" s="127">
        <f t="shared" si="10"/>
        <v>2954</v>
      </c>
      <c r="Q64" s="131">
        <f t="shared" si="46"/>
        <v>0</v>
      </c>
      <c r="R64" s="125">
        <f t="shared" si="11"/>
        <v>2954</v>
      </c>
      <c r="S64" s="113">
        <v>0</v>
      </c>
      <c r="T64" s="113">
        <v>2954</v>
      </c>
      <c r="U64" s="113">
        <f t="shared" si="12"/>
        <v>0</v>
      </c>
      <c r="V64" s="113">
        <f t="shared" si="13"/>
        <v>2954</v>
      </c>
      <c r="W64" s="113">
        <v>0</v>
      </c>
      <c r="X64" s="113">
        <v>0</v>
      </c>
      <c r="Y64" s="113">
        <v>0</v>
      </c>
      <c r="Z64" s="113">
        <v>0</v>
      </c>
      <c r="AA64" s="113">
        <f t="shared" si="80"/>
        <v>0</v>
      </c>
      <c r="AB64" s="113">
        <f t="shared" si="80"/>
        <v>0</v>
      </c>
      <c r="AC64" s="113"/>
      <c r="AD64" s="113"/>
      <c r="AE64" s="113"/>
      <c r="AF64" s="113"/>
      <c r="AG64" s="113">
        <f t="shared" si="81"/>
        <v>0</v>
      </c>
      <c r="AH64" s="113">
        <f t="shared" si="81"/>
        <v>0</v>
      </c>
      <c r="AI64" s="114">
        <f t="shared" si="16"/>
        <v>0</v>
      </c>
      <c r="AJ64" s="114">
        <f t="shared" si="82"/>
        <v>0</v>
      </c>
      <c r="AK64" s="114">
        <f t="shared" si="82"/>
        <v>2954</v>
      </c>
      <c r="AL64" s="114">
        <f t="shared" si="18"/>
        <v>2954</v>
      </c>
      <c r="AM64" s="113">
        <f t="shared" si="83"/>
        <v>2954</v>
      </c>
      <c r="AN64" s="113">
        <f t="shared" si="83"/>
        <v>2954</v>
      </c>
      <c r="AO64" s="113"/>
      <c r="AP64" s="113"/>
      <c r="AQ64" s="113"/>
      <c r="AR64" s="113"/>
      <c r="AS64" s="113">
        <f t="shared" si="84"/>
        <v>0</v>
      </c>
      <c r="AT64" s="113">
        <f t="shared" si="84"/>
        <v>0</v>
      </c>
      <c r="AU64" s="113"/>
      <c r="AV64" s="113"/>
      <c r="AW64" s="113"/>
      <c r="AX64" s="113"/>
      <c r="AY64" s="113">
        <f t="shared" si="85"/>
        <v>0</v>
      </c>
      <c r="AZ64" s="113">
        <f t="shared" si="85"/>
        <v>0</v>
      </c>
      <c r="BA64" s="113"/>
      <c r="BB64" s="113"/>
      <c r="BC64" s="113"/>
      <c r="BD64" s="113"/>
      <c r="BE64" s="113">
        <f t="shared" si="86"/>
        <v>0</v>
      </c>
      <c r="BF64" s="113"/>
      <c r="BG64" s="113">
        <f t="shared" si="69"/>
        <v>0</v>
      </c>
      <c r="BH64" s="113"/>
      <c r="BI64" s="113"/>
      <c r="BJ64" s="113"/>
      <c r="BK64" s="113"/>
      <c r="BL64" s="113">
        <f t="shared" si="87"/>
        <v>0</v>
      </c>
      <c r="BM64" s="113"/>
      <c r="BN64" s="113">
        <f t="shared" si="70"/>
        <v>0</v>
      </c>
      <c r="BO64" s="113"/>
      <c r="BP64" s="113"/>
      <c r="BQ64" s="113"/>
      <c r="BR64" s="113"/>
      <c r="BS64" s="113">
        <f t="shared" si="88"/>
        <v>0</v>
      </c>
      <c r="BT64" s="113"/>
      <c r="BU64" s="113">
        <f t="shared" si="71"/>
        <v>0</v>
      </c>
      <c r="BV64" s="113"/>
      <c r="BW64" s="113"/>
      <c r="BX64" s="113"/>
      <c r="BY64" s="113"/>
      <c r="BZ64" s="113">
        <f t="shared" si="89"/>
        <v>0</v>
      </c>
      <c r="CA64" s="113"/>
      <c r="CB64" s="113">
        <f t="shared" si="72"/>
        <v>0</v>
      </c>
      <c r="CC64" s="113"/>
      <c r="CD64" s="113"/>
      <c r="CE64" s="113"/>
      <c r="CF64" s="113"/>
      <c r="CG64" s="113">
        <f t="shared" si="90"/>
        <v>0</v>
      </c>
      <c r="CH64" s="113"/>
      <c r="CI64" s="113">
        <f t="shared" si="73"/>
        <v>0</v>
      </c>
      <c r="CJ64" s="113"/>
      <c r="CK64" s="113"/>
      <c r="CL64" s="113"/>
      <c r="CM64" s="113"/>
      <c r="CN64" s="113">
        <f t="shared" si="91"/>
        <v>0</v>
      </c>
      <c r="CO64" s="113"/>
      <c r="CP64" s="113">
        <f t="shared" si="74"/>
        <v>0</v>
      </c>
      <c r="CQ64" s="113"/>
      <c r="CR64" s="113"/>
      <c r="CS64" s="113"/>
      <c r="CT64" s="113"/>
      <c r="CU64" s="113">
        <f t="shared" si="92"/>
        <v>0</v>
      </c>
      <c r="CV64" s="113"/>
      <c r="CW64" s="113">
        <f t="shared" si="75"/>
        <v>0</v>
      </c>
      <c r="CX64" s="113"/>
      <c r="CY64" s="113"/>
      <c r="CZ64" s="113"/>
      <c r="DA64" s="113"/>
      <c r="DB64" s="113">
        <f t="shared" si="93"/>
        <v>0</v>
      </c>
      <c r="DC64" s="113">
        <f t="shared" si="93"/>
        <v>0</v>
      </c>
      <c r="DD64" s="113"/>
      <c r="DE64" s="113"/>
      <c r="DF64" s="113"/>
      <c r="DG64" s="113"/>
      <c r="DH64" s="113">
        <f t="shared" si="94"/>
        <v>0</v>
      </c>
      <c r="DI64" s="113">
        <f t="shared" si="94"/>
        <v>0</v>
      </c>
      <c r="DJ64" s="113"/>
      <c r="DK64" s="113"/>
      <c r="DL64" s="113"/>
      <c r="DM64" s="113"/>
      <c r="DN64" s="113">
        <f t="shared" si="95"/>
        <v>0</v>
      </c>
      <c r="DO64" s="113">
        <f t="shared" si="95"/>
        <v>0</v>
      </c>
      <c r="DP64" s="113">
        <f t="shared" si="76"/>
        <v>0</v>
      </c>
      <c r="DQ64" s="113">
        <f t="shared" si="77"/>
        <v>0</v>
      </c>
      <c r="DR64" s="113">
        <f t="shared" si="78"/>
        <v>0</v>
      </c>
      <c r="DS64" s="113">
        <f t="shared" si="79"/>
        <v>0</v>
      </c>
      <c r="DT64" s="113">
        <f t="shared" si="96"/>
        <v>0</v>
      </c>
      <c r="DU64" s="113">
        <f t="shared" si="96"/>
        <v>0</v>
      </c>
    </row>
    <row r="65" spans="1:125">
      <c r="A65" s="15">
        <v>60</v>
      </c>
      <c r="B65" s="96" t="s">
        <v>683</v>
      </c>
      <c r="C65" s="112" t="s">
        <v>838</v>
      </c>
      <c r="D65" s="96" t="s">
        <v>840</v>
      </c>
      <c r="E65" s="185" t="s">
        <v>1165</v>
      </c>
      <c r="F65" s="161">
        <f t="shared" si="5"/>
        <v>0</v>
      </c>
      <c r="G65" s="161">
        <f t="shared" si="44"/>
        <v>0</v>
      </c>
      <c r="H65" s="161">
        <f t="shared" si="45"/>
        <v>0</v>
      </c>
      <c r="I65" s="161">
        <f t="shared" si="6"/>
        <v>2600</v>
      </c>
      <c r="J65" s="165">
        <f t="shared" si="7"/>
        <v>152400.79999999999</v>
      </c>
      <c r="K65" s="115">
        <v>127500</v>
      </c>
      <c r="L65" s="211">
        <v>0</v>
      </c>
      <c r="M65" s="211">
        <v>0</v>
      </c>
      <c r="N65" s="127">
        <f t="shared" si="8"/>
        <v>152400.79999999999</v>
      </c>
      <c r="O65" s="127">
        <f t="shared" si="9"/>
        <v>0</v>
      </c>
      <c r="P65" s="127">
        <f t="shared" si="10"/>
        <v>152400.79999999999</v>
      </c>
      <c r="Q65" s="131">
        <f t="shared" si="46"/>
        <v>0</v>
      </c>
      <c r="R65" s="125" t="str">
        <f t="shared" si="11"/>
        <v>მიმდინარეობს</v>
      </c>
      <c r="S65" s="113">
        <v>150000</v>
      </c>
      <c r="T65" s="113"/>
      <c r="U65" s="113">
        <f t="shared" si="12"/>
        <v>150000</v>
      </c>
      <c r="V65" s="113">
        <f t="shared" si="13"/>
        <v>0</v>
      </c>
      <c r="W65" s="113">
        <v>0</v>
      </c>
      <c r="X65" s="113">
        <v>0</v>
      </c>
      <c r="Y65" s="113">
        <v>0</v>
      </c>
      <c r="Z65" s="113">
        <v>0</v>
      </c>
      <c r="AA65" s="113">
        <f t="shared" si="80"/>
        <v>0</v>
      </c>
      <c r="AB65" s="113">
        <f t="shared" si="80"/>
        <v>0</v>
      </c>
      <c r="AC65" s="113"/>
      <c r="AD65" s="113">
        <v>2400.8000000000002</v>
      </c>
      <c r="AE65" s="113"/>
      <c r="AF65" s="113"/>
      <c r="AG65" s="113">
        <f t="shared" si="81"/>
        <v>0</v>
      </c>
      <c r="AH65" s="113">
        <f t="shared" si="81"/>
        <v>2400.8000000000002</v>
      </c>
      <c r="AI65" s="114">
        <f t="shared" si="16"/>
        <v>150000</v>
      </c>
      <c r="AJ65" s="114">
        <f t="shared" si="82"/>
        <v>152400.79999999999</v>
      </c>
      <c r="AK65" s="114">
        <f t="shared" si="82"/>
        <v>0</v>
      </c>
      <c r="AL65" s="114">
        <f t="shared" si="18"/>
        <v>0</v>
      </c>
      <c r="AM65" s="113">
        <f t="shared" si="83"/>
        <v>150000</v>
      </c>
      <c r="AN65" s="113">
        <f t="shared" si="83"/>
        <v>152400.79999999999</v>
      </c>
      <c r="AO65" s="113"/>
      <c r="AP65" s="113"/>
      <c r="AQ65" s="113"/>
      <c r="AR65" s="113"/>
      <c r="AS65" s="113">
        <f t="shared" si="84"/>
        <v>0</v>
      </c>
      <c r="AT65" s="113">
        <f t="shared" si="84"/>
        <v>0</v>
      </c>
      <c r="AU65" s="113"/>
      <c r="AV65" s="113"/>
      <c r="AW65" s="113"/>
      <c r="AX65" s="113"/>
      <c r="AY65" s="113">
        <f t="shared" si="85"/>
        <v>0</v>
      </c>
      <c r="AZ65" s="113">
        <f t="shared" si="85"/>
        <v>0</v>
      </c>
      <c r="BA65" s="113"/>
      <c r="BB65" s="113"/>
      <c r="BC65" s="113"/>
      <c r="BD65" s="113"/>
      <c r="BE65" s="113">
        <f t="shared" si="86"/>
        <v>0</v>
      </c>
      <c r="BF65" s="113"/>
      <c r="BG65" s="113">
        <f t="shared" si="69"/>
        <v>0</v>
      </c>
      <c r="BH65" s="113"/>
      <c r="BI65" s="113"/>
      <c r="BJ65" s="113"/>
      <c r="BK65" s="113"/>
      <c r="BL65" s="113">
        <f t="shared" si="87"/>
        <v>0</v>
      </c>
      <c r="BM65" s="113"/>
      <c r="BN65" s="113">
        <f t="shared" si="70"/>
        <v>0</v>
      </c>
      <c r="BO65" s="113"/>
      <c r="BP65" s="113"/>
      <c r="BQ65" s="113"/>
      <c r="BR65" s="113"/>
      <c r="BS65" s="113">
        <f t="shared" si="88"/>
        <v>0</v>
      </c>
      <c r="BT65" s="113">
        <v>2600</v>
      </c>
      <c r="BU65" s="113">
        <f t="shared" si="71"/>
        <v>0</v>
      </c>
      <c r="BV65" s="113"/>
      <c r="BW65" s="113"/>
      <c r="BX65" s="113"/>
      <c r="BY65" s="113"/>
      <c r="BZ65" s="113">
        <f t="shared" si="89"/>
        <v>0</v>
      </c>
      <c r="CA65" s="113"/>
      <c r="CB65" s="113">
        <f t="shared" si="72"/>
        <v>0</v>
      </c>
      <c r="CC65" s="113"/>
      <c r="CD65" s="113"/>
      <c r="CE65" s="113"/>
      <c r="CF65" s="113"/>
      <c r="CG65" s="113">
        <f t="shared" si="90"/>
        <v>0</v>
      </c>
      <c r="CH65" s="113"/>
      <c r="CI65" s="113">
        <f t="shared" si="73"/>
        <v>0</v>
      </c>
      <c r="CJ65" s="113"/>
      <c r="CK65" s="113"/>
      <c r="CL65" s="113"/>
      <c r="CM65" s="113"/>
      <c r="CN65" s="113">
        <f t="shared" si="91"/>
        <v>0</v>
      </c>
      <c r="CO65" s="113"/>
      <c r="CP65" s="113">
        <f t="shared" si="74"/>
        <v>0</v>
      </c>
      <c r="CQ65" s="113"/>
      <c r="CR65" s="113"/>
      <c r="CS65" s="113"/>
      <c r="CT65" s="113"/>
      <c r="CU65" s="113">
        <f t="shared" si="92"/>
        <v>0</v>
      </c>
      <c r="CV65" s="113"/>
      <c r="CW65" s="113">
        <f t="shared" si="75"/>
        <v>0</v>
      </c>
      <c r="CX65" s="113"/>
      <c r="CY65" s="113"/>
      <c r="CZ65" s="113"/>
      <c r="DA65" s="113"/>
      <c r="DB65" s="113">
        <f t="shared" si="93"/>
        <v>0</v>
      </c>
      <c r="DC65" s="113">
        <f t="shared" si="93"/>
        <v>0</v>
      </c>
      <c r="DD65" s="113"/>
      <c r="DE65" s="113"/>
      <c r="DF65" s="113"/>
      <c r="DG65" s="113"/>
      <c r="DH65" s="113">
        <f t="shared" si="94"/>
        <v>0</v>
      </c>
      <c r="DI65" s="113">
        <f t="shared" si="94"/>
        <v>0</v>
      </c>
      <c r="DJ65" s="113"/>
      <c r="DK65" s="113"/>
      <c r="DL65" s="113"/>
      <c r="DM65" s="113"/>
      <c r="DN65" s="113">
        <f t="shared" si="95"/>
        <v>0</v>
      </c>
      <c r="DO65" s="113">
        <f t="shared" si="95"/>
        <v>0</v>
      </c>
      <c r="DP65" s="113">
        <f t="shared" si="76"/>
        <v>0</v>
      </c>
      <c r="DQ65" s="113">
        <f t="shared" si="77"/>
        <v>0</v>
      </c>
      <c r="DR65" s="113">
        <f t="shared" si="78"/>
        <v>0</v>
      </c>
      <c r="DS65" s="113">
        <f t="shared" si="79"/>
        <v>0</v>
      </c>
      <c r="DT65" s="113">
        <f t="shared" si="96"/>
        <v>0</v>
      </c>
      <c r="DU65" s="113">
        <f t="shared" si="96"/>
        <v>0</v>
      </c>
    </row>
    <row r="66" spans="1:125">
      <c r="A66" s="15">
        <v>61</v>
      </c>
      <c r="B66" s="96" t="s">
        <v>683</v>
      </c>
      <c r="C66" s="7" t="s">
        <v>92</v>
      </c>
      <c r="D66" s="96" t="s">
        <v>841</v>
      </c>
      <c r="E66" s="185" t="s">
        <v>1164</v>
      </c>
      <c r="F66" s="161">
        <f t="shared" si="5"/>
        <v>0</v>
      </c>
      <c r="G66" s="161">
        <f t="shared" si="44"/>
        <v>0</v>
      </c>
      <c r="H66" s="161">
        <f t="shared" si="45"/>
        <v>0</v>
      </c>
      <c r="I66" s="161">
        <f t="shared" si="6"/>
        <v>0</v>
      </c>
      <c r="J66" s="165">
        <f t="shared" si="7"/>
        <v>25172</v>
      </c>
      <c r="K66" s="115"/>
      <c r="L66" s="211">
        <v>0</v>
      </c>
      <c r="M66" s="211">
        <v>0</v>
      </c>
      <c r="N66" s="127">
        <f t="shared" si="8"/>
        <v>25172</v>
      </c>
      <c r="O66" s="127">
        <f t="shared" si="9"/>
        <v>25172</v>
      </c>
      <c r="P66" s="127">
        <f t="shared" si="10"/>
        <v>25172</v>
      </c>
      <c r="Q66" s="131">
        <f t="shared" si="46"/>
        <v>0</v>
      </c>
      <c r="R66" s="125">
        <f t="shared" si="11"/>
        <v>25172</v>
      </c>
      <c r="S66" s="113">
        <v>0</v>
      </c>
      <c r="T66" s="113">
        <v>25172</v>
      </c>
      <c r="U66" s="113">
        <f t="shared" si="12"/>
        <v>0</v>
      </c>
      <c r="V66" s="113">
        <f t="shared" si="13"/>
        <v>25172</v>
      </c>
      <c r="W66" s="113">
        <v>0</v>
      </c>
      <c r="X66" s="113">
        <v>0</v>
      </c>
      <c r="Y66" s="113">
        <v>0</v>
      </c>
      <c r="Z66" s="113">
        <v>0</v>
      </c>
      <c r="AA66" s="113">
        <f t="shared" si="80"/>
        <v>0</v>
      </c>
      <c r="AB66" s="113">
        <f t="shared" si="80"/>
        <v>0</v>
      </c>
      <c r="AC66" s="113"/>
      <c r="AD66" s="113"/>
      <c r="AE66" s="113"/>
      <c r="AF66" s="113"/>
      <c r="AG66" s="113">
        <f t="shared" si="81"/>
        <v>0</v>
      </c>
      <c r="AH66" s="113">
        <f t="shared" si="81"/>
        <v>0</v>
      </c>
      <c r="AI66" s="114">
        <f t="shared" si="16"/>
        <v>0</v>
      </c>
      <c r="AJ66" s="114">
        <f t="shared" si="82"/>
        <v>0</v>
      </c>
      <c r="AK66" s="114">
        <f t="shared" si="82"/>
        <v>25172</v>
      </c>
      <c r="AL66" s="114">
        <f t="shared" si="18"/>
        <v>25172</v>
      </c>
      <c r="AM66" s="113">
        <f t="shared" si="83"/>
        <v>25172</v>
      </c>
      <c r="AN66" s="113">
        <f t="shared" si="83"/>
        <v>25172</v>
      </c>
      <c r="AO66" s="113"/>
      <c r="AP66" s="113"/>
      <c r="AQ66" s="113"/>
      <c r="AR66" s="113"/>
      <c r="AS66" s="113">
        <f t="shared" si="84"/>
        <v>0</v>
      </c>
      <c r="AT66" s="113">
        <f t="shared" si="84"/>
        <v>0</v>
      </c>
      <c r="AU66" s="113"/>
      <c r="AV66" s="113"/>
      <c r="AW66" s="113"/>
      <c r="AX66" s="113"/>
      <c r="AY66" s="113">
        <f t="shared" si="85"/>
        <v>0</v>
      </c>
      <c r="AZ66" s="113">
        <f t="shared" si="85"/>
        <v>0</v>
      </c>
      <c r="BA66" s="113"/>
      <c r="BB66" s="113"/>
      <c r="BC66" s="113"/>
      <c r="BD66" s="113"/>
      <c r="BE66" s="113">
        <f t="shared" si="86"/>
        <v>0</v>
      </c>
      <c r="BF66" s="113"/>
      <c r="BG66" s="113">
        <f t="shared" si="69"/>
        <v>0</v>
      </c>
      <c r="BH66" s="113"/>
      <c r="BI66" s="113"/>
      <c r="BJ66" s="113"/>
      <c r="BK66" s="113"/>
      <c r="BL66" s="113">
        <f t="shared" si="87"/>
        <v>0</v>
      </c>
      <c r="BM66" s="113"/>
      <c r="BN66" s="113">
        <f t="shared" si="70"/>
        <v>0</v>
      </c>
      <c r="BO66" s="113"/>
      <c r="BP66" s="113"/>
      <c r="BQ66" s="113"/>
      <c r="BR66" s="113"/>
      <c r="BS66" s="113">
        <f t="shared" si="88"/>
        <v>0</v>
      </c>
      <c r="BT66" s="113"/>
      <c r="BU66" s="113">
        <f t="shared" si="71"/>
        <v>0</v>
      </c>
      <c r="BV66" s="113"/>
      <c r="BW66" s="113"/>
      <c r="BX66" s="113"/>
      <c r="BY66" s="113"/>
      <c r="BZ66" s="113">
        <f t="shared" si="89"/>
        <v>0</v>
      </c>
      <c r="CA66" s="113"/>
      <c r="CB66" s="113">
        <f t="shared" si="72"/>
        <v>0</v>
      </c>
      <c r="CC66" s="113"/>
      <c r="CD66" s="113"/>
      <c r="CE66" s="113"/>
      <c r="CF66" s="113"/>
      <c r="CG66" s="113">
        <f t="shared" si="90"/>
        <v>0</v>
      </c>
      <c r="CH66" s="113"/>
      <c r="CI66" s="113">
        <f t="shared" si="73"/>
        <v>0</v>
      </c>
      <c r="CJ66" s="113"/>
      <c r="CK66" s="113"/>
      <c r="CL66" s="113"/>
      <c r="CM66" s="113"/>
      <c r="CN66" s="113">
        <f t="shared" si="91"/>
        <v>0</v>
      </c>
      <c r="CO66" s="113"/>
      <c r="CP66" s="113">
        <f t="shared" si="74"/>
        <v>0</v>
      </c>
      <c r="CQ66" s="113"/>
      <c r="CR66" s="113"/>
      <c r="CS66" s="113"/>
      <c r="CT66" s="113"/>
      <c r="CU66" s="113">
        <f t="shared" si="92"/>
        <v>0</v>
      </c>
      <c r="CV66" s="113"/>
      <c r="CW66" s="113">
        <f t="shared" si="75"/>
        <v>0</v>
      </c>
      <c r="CX66" s="113"/>
      <c r="CY66" s="113"/>
      <c r="CZ66" s="113"/>
      <c r="DA66" s="113"/>
      <c r="DB66" s="113">
        <f t="shared" si="93"/>
        <v>0</v>
      </c>
      <c r="DC66" s="113">
        <f t="shared" si="93"/>
        <v>0</v>
      </c>
      <c r="DD66" s="113"/>
      <c r="DE66" s="113"/>
      <c r="DF66" s="113"/>
      <c r="DG66" s="113"/>
      <c r="DH66" s="113">
        <f t="shared" si="94"/>
        <v>0</v>
      </c>
      <c r="DI66" s="113">
        <f t="shared" si="94"/>
        <v>0</v>
      </c>
      <c r="DJ66" s="113"/>
      <c r="DK66" s="113"/>
      <c r="DL66" s="113"/>
      <c r="DM66" s="113"/>
      <c r="DN66" s="113">
        <f t="shared" si="95"/>
        <v>0</v>
      </c>
      <c r="DO66" s="113">
        <f t="shared" si="95"/>
        <v>0</v>
      </c>
      <c r="DP66" s="113">
        <f t="shared" si="76"/>
        <v>0</v>
      </c>
      <c r="DQ66" s="113">
        <f t="shared" si="77"/>
        <v>0</v>
      </c>
      <c r="DR66" s="113">
        <f t="shared" si="78"/>
        <v>0</v>
      </c>
      <c r="DS66" s="113">
        <f t="shared" si="79"/>
        <v>0</v>
      </c>
      <c r="DT66" s="113">
        <f t="shared" si="96"/>
        <v>0</v>
      </c>
      <c r="DU66" s="113">
        <f t="shared" si="96"/>
        <v>0</v>
      </c>
    </row>
    <row r="67" spans="1:125">
      <c r="A67" s="15">
        <v>62</v>
      </c>
      <c r="B67" s="96" t="s">
        <v>683</v>
      </c>
      <c r="C67" s="7" t="s">
        <v>842</v>
      </c>
      <c r="D67" s="96" t="s">
        <v>843</v>
      </c>
      <c r="E67" s="185" t="s">
        <v>1164</v>
      </c>
      <c r="F67" s="161">
        <f t="shared" si="5"/>
        <v>0</v>
      </c>
      <c r="G67" s="161">
        <f t="shared" si="44"/>
        <v>0</v>
      </c>
      <c r="H67" s="161">
        <f t="shared" si="45"/>
        <v>0</v>
      </c>
      <c r="I67" s="161">
        <f t="shared" si="6"/>
        <v>0</v>
      </c>
      <c r="J67" s="165">
        <f t="shared" si="7"/>
        <v>266</v>
      </c>
      <c r="K67" s="115"/>
      <c r="L67" s="211">
        <v>0</v>
      </c>
      <c r="M67" s="211">
        <v>0</v>
      </c>
      <c r="N67" s="127">
        <f t="shared" si="8"/>
        <v>266</v>
      </c>
      <c r="O67" s="127">
        <f t="shared" si="9"/>
        <v>266</v>
      </c>
      <c r="P67" s="127">
        <f t="shared" si="10"/>
        <v>266</v>
      </c>
      <c r="Q67" s="131">
        <f t="shared" si="46"/>
        <v>0</v>
      </c>
      <c r="R67" s="125">
        <f t="shared" si="11"/>
        <v>266</v>
      </c>
      <c r="S67" s="113">
        <v>0</v>
      </c>
      <c r="T67" s="113">
        <v>266</v>
      </c>
      <c r="U67" s="113">
        <f t="shared" si="12"/>
        <v>0</v>
      </c>
      <c r="V67" s="113">
        <f t="shared" si="13"/>
        <v>266</v>
      </c>
      <c r="W67" s="113">
        <v>0</v>
      </c>
      <c r="X67" s="113">
        <v>0</v>
      </c>
      <c r="Y67" s="113">
        <v>0</v>
      </c>
      <c r="Z67" s="113">
        <v>0</v>
      </c>
      <c r="AA67" s="113">
        <f t="shared" si="80"/>
        <v>0</v>
      </c>
      <c r="AB67" s="113">
        <f t="shared" si="80"/>
        <v>0</v>
      </c>
      <c r="AC67" s="113"/>
      <c r="AD67" s="113"/>
      <c r="AE67" s="113"/>
      <c r="AF67" s="113"/>
      <c r="AG67" s="113">
        <f t="shared" si="81"/>
        <v>0</v>
      </c>
      <c r="AH67" s="113">
        <f t="shared" si="81"/>
        <v>0</v>
      </c>
      <c r="AI67" s="114">
        <f t="shared" si="16"/>
        <v>0</v>
      </c>
      <c r="AJ67" s="114">
        <f t="shared" si="82"/>
        <v>0</v>
      </c>
      <c r="AK67" s="114">
        <f t="shared" si="82"/>
        <v>266</v>
      </c>
      <c r="AL67" s="114">
        <f t="shared" si="18"/>
        <v>266</v>
      </c>
      <c r="AM67" s="113">
        <f t="shared" si="83"/>
        <v>266</v>
      </c>
      <c r="AN67" s="113">
        <f t="shared" si="83"/>
        <v>266</v>
      </c>
      <c r="AO67" s="113"/>
      <c r="AP67" s="113"/>
      <c r="AQ67" s="113"/>
      <c r="AR67" s="113"/>
      <c r="AS67" s="113">
        <f t="shared" si="84"/>
        <v>0</v>
      </c>
      <c r="AT67" s="113">
        <f t="shared" si="84"/>
        <v>0</v>
      </c>
      <c r="AU67" s="113"/>
      <c r="AV67" s="113"/>
      <c r="AW67" s="113"/>
      <c r="AX67" s="113"/>
      <c r="AY67" s="113">
        <f t="shared" si="85"/>
        <v>0</v>
      </c>
      <c r="AZ67" s="113">
        <f t="shared" si="85"/>
        <v>0</v>
      </c>
      <c r="BA67" s="113"/>
      <c r="BB67" s="113"/>
      <c r="BC67" s="113"/>
      <c r="BD67" s="113"/>
      <c r="BE67" s="113">
        <f t="shared" si="86"/>
        <v>0</v>
      </c>
      <c r="BF67" s="113"/>
      <c r="BG67" s="113">
        <f t="shared" si="69"/>
        <v>0</v>
      </c>
      <c r="BH67" s="113"/>
      <c r="BI67" s="113"/>
      <c r="BJ67" s="113"/>
      <c r="BK67" s="113"/>
      <c r="BL67" s="113">
        <f t="shared" si="87"/>
        <v>0</v>
      </c>
      <c r="BM67" s="113"/>
      <c r="BN67" s="113">
        <f t="shared" si="70"/>
        <v>0</v>
      </c>
      <c r="BO67" s="113"/>
      <c r="BP67" s="113"/>
      <c r="BQ67" s="113"/>
      <c r="BR67" s="113"/>
      <c r="BS67" s="113">
        <f t="shared" si="88"/>
        <v>0</v>
      </c>
      <c r="BT67" s="113"/>
      <c r="BU67" s="113">
        <f t="shared" si="71"/>
        <v>0</v>
      </c>
      <c r="BV67" s="113"/>
      <c r="BW67" s="113"/>
      <c r="BX67" s="113"/>
      <c r="BY67" s="113"/>
      <c r="BZ67" s="113">
        <f t="shared" si="89"/>
        <v>0</v>
      </c>
      <c r="CA67" s="113"/>
      <c r="CB67" s="113">
        <f t="shared" si="72"/>
        <v>0</v>
      </c>
      <c r="CC67" s="113"/>
      <c r="CD67" s="113"/>
      <c r="CE67" s="113"/>
      <c r="CF67" s="113"/>
      <c r="CG67" s="113">
        <f t="shared" si="90"/>
        <v>0</v>
      </c>
      <c r="CH67" s="113"/>
      <c r="CI67" s="113">
        <f t="shared" si="73"/>
        <v>0</v>
      </c>
      <c r="CJ67" s="113"/>
      <c r="CK67" s="113"/>
      <c r="CL67" s="113"/>
      <c r="CM67" s="113"/>
      <c r="CN67" s="113">
        <f t="shared" si="91"/>
        <v>0</v>
      </c>
      <c r="CO67" s="113"/>
      <c r="CP67" s="113">
        <f t="shared" si="74"/>
        <v>0</v>
      </c>
      <c r="CQ67" s="113"/>
      <c r="CR67" s="113"/>
      <c r="CS67" s="113"/>
      <c r="CT67" s="113"/>
      <c r="CU67" s="113">
        <f t="shared" si="92"/>
        <v>0</v>
      </c>
      <c r="CV67" s="113"/>
      <c r="CW67" s="113">
        <f t="shared" si="75"/>
        <v>0</v>
      </c>
      <c r="CX67" s="113"/>
      <c r="CY67" s="113"/>
      <c r="CZ67" s="113"/>
      <c r="DA67" s="113"/>
      <c r="DB67" s="113">
        <f t="shared" si="93"/>
        <v>0</v>
      </c>
      <c r="DC67" s="113">
        <f t="shared" si="93"/>
        <v>0</v>
      </c>
      <c r="DD67" s="113"/>
      <c r="DE67" s="113"/>
      <c r="DF67" s="113"/>
      <c r="DG67" s="113"/>
      <c r="DH67" s="113">
        <f t="shared" si="94"/>
        <v>0</v>
      </c>
      <c r="DI67" s="113">
        <f t="shared" si="94"/>
        <v>0</v>
      </c>
      <c r="DJ67" s="113"/>
      <c r="DK67" s="113"/>
      <c r="DL67" s="113"/>
      <c r="DM67" s="113"/>
      <c r="DN67" s="113">
        <f t="shared" si="95"/>
        <v>0</v>
      </c>
      <c r="DO67" s="113">
        <f t="shared" si="95"/>
        <v>0</v>
      </c>
      <c r="DP67" s="113">
        <f t="shared" si="76"/>
        <v>0</v>
      </c>
      <c r="DQ67" s="113">
        <f t="shared" si="77"/>
        <v>0</v>
      </c>
      <c r="DR67" s="113">
        <f t="shared" si="78"/>
        <v>0</v>
      </c>
      <c r="DS67" s="113">
        <f t="shared" si="79"/>
        <v>0</v>
      </c>
      <c r="DT67" s="113">
        <f t="shared" si="96"/>
        <v>0</v>
      </c>
      <c r="DU67" s="113">
        <f t="shared" si="96"/>
        <v>0</v>
      </c>
    </row>
    <row r="68" spans="1:125">
      <c r="A68" s="15">
        <v>63</v>
      </c>
      <c r="B68" s="96" t="s">
        <v>683</v>
      </c>
      <c r="C68" s="112" t="s">
        <v>842</v>
      </c>
      <c r="D68" s="96" t="s">
        <v>844</v>
      </c>
      <c r="E68" s="185" t="s">
        <v>1165</v>
      </c>
      <c r="F68" s="161">
        <f t="shared" si="5"/>
        <v>40000</v>
      </c>
      <c r="G68" s="161">
        <f t="shared" si="44"/>
        <v>2150.5100000000002</v>
      </c>
      <c r="H68" s="161">
        <f t="shared" si="45"/>
        <v>37849.49</v>
      </c>
      <c r="I68" s="161">
        <f t="shared" si="6"/>
        <v>2150.5100000000002</v>
      </c>
      <c r="J68" s="165">
        <f t="shared" si="7"/>
        <v>80000</v>
      </c>
      <c r="K68" s="115">
        <v>4950</v>
      </c>
      <c r="L68" s="211">
        <v>0</v>
      </c>
      <c r="M68" s="211">
        <v>0</v>
      </c>
      <c r="N68" s="127">
        <f t="shared" si="8"/>
        <v>40000</v>
      </c>
      <c r="O68" s="127">
        <f t="shared" si="9"/>
        <v>0</v>
      </c>
      <c r="P68" s="127">
        <f t="shared" si="10"/>
        <v>40000</v>
      </c>
      <c r="Q68" s="131">
        <f t="shared" si="46"/>
        <v>40000</v>
      </c>
      <c r="R68" s="125">
        <f t="shared" si="11"/>
        <v>42150.51</v>
      </c>
      <c r="S68" s="113">
        <v>40000</v>
      </c>
      <c r="T68" s="113"/>
      <c r="U68" s="113">
        <f t="shared" si="12"/>
        <v>40000</v>
      </c>
      <c r="V68" s="113">
        <f t="shared" si="13"/>
        <v>0</v>
      </c>
      <c r="W68" s="113">
        <v>0</v>
      </c>
      <c r="X68" s="113">
        <v>0</v>
      </c>
      <c r="Y68" s="113">
        <v>0</v>
      </c>
      <c r="Z68" s="113">
        <v>0</v>
      </c>
      <c r="AA68" s="113">
        <f t="shared" si="80"/>
        <v>0</v>
      </c>
      <c r="AB68" s="113">
        <f t="shared" si="80"/>
        <v>0</v>
      </c>
      <c r="AC68" s="113"/>
      <c r="AD68" s="113"/>
      <c r="AE68" s="113"/>
      <c r="AF68" s="113"/>
      <c r="AG68" s="113">
        <f t="shared" si="81"/>
        <v>0</v>
      </c>
      <c r="AH68" s="113">
        <f t="shared" si="81"/>
        <v>0</v>
      </c>
      <c r="AI68" s="114">
        <f t="shared" si="16"/>
        <v>40000</v>
      </c>
      <c r="AJ68" s="114">
        <f t="shared" si="82"/>
        <v>40000</v>
      </c>
      <c r="AK68" s="114">
        <f t="shared" si="82"/>
        <v>0</v>
      </c>
      <c r="AL68" s="114">
        <f t="shared" si="18"/>
        <v>0</v>
      </c>
      <c r="AM68" s="113">
        <f t="shared" si="83"/>
        <v>40000</v>
      </c>
      <c r="AN68" s="113">
        <f t="shared" si="83"/>
        <v>40000</v>
      </c>
      <c r="AO68" s="113"/>
      <c r="AP68" s="113"/>
      <c r="AQ68" s="113"/>
      <c r="AR68" s="113"/>
      <c r="AS68" s="113">
        <f t="shared" si="84"/>
        <v>0</v>
      </c>
      <c r="AT68" s="113">
        <f t="shared" si="84"/>
        <v>0</v>
      </c>
      <c r="AU68" s="113"/>
      <c r="AV68" s="113"/>
      <c r="AW68" s="113">
        <v>40000</v>
      </c>
      <c r="AX68" s="113"/>
      <c r="AY68" s="113">
        <f t="shared" si="85"/>
        <v>40000</v>
      </c>
      <c r="AZ68" s="113">
        <f t="shared" si="85"/>
        <v>0</v>
      </c>
      <c r="BA68" s="113"/>
      <c r="BB68" s="113"/>
      <c r="BC68" s="113"/>
      <c r="BD68" s="113">
        <v>2150.5100000000002</v>
      </c>
      <c r="BE68" s="113">
        <f t="shared" si="86"/>
        <v>0</v>
      </c>
      <c r="BF68" s="113">
        <v>2150.5100000000002</v>
      </c>
      <c r="BG68" s="113">
        <f t="shared" si="69"/>
        <v>2150.5100000000002</v>
      </c>
      <c r="BH68" s="113"/>
      <c r="BI68" s="113"/>
      <c r="BJ68" s="113"/>
      <c r="BK68" s="113"/>
      <c r="BL68" s="113">
        <f t="shared" si="87"/>
        <v>0</v>
      </c>
      <c r="BM68" s="113"/>
      <c r="BN68" s="113">
        <f t="shared" si="70"/>
        <v>0</v>
      </c>
      <c r="BO68" s="113"/>
      <c r="BP68" s="113"/>
      <c r="BQ68" s="113"/>
      <c r="BR68" s="113"/>
      <c r="BS68" s="113">
        <f t="shared" si="88"/>
        <v>0</v>
      </c>
      <c r="BT68" s="113"/>
      <c r="BU68" s="113">
        <f t="shared" si="71"/>
        <v>0</v>
      </c>
      <c r="BV68" s="113"/>
      <c r="BW68" s="113"/>
      <c r="BX68" s="113"/>
      <c r="BY68" s="113"/>
      <c r="BZ68" s="113">
        <f t="shared" si="89"/>
        <v>0</v>
      </c>
      <c r="CA68" s="113"/>
      <c r="CB68" s="113">
        <f t="shared" si="72"/>
        <v>0</v>
      </c>
      <c r="CC68" s="113"/>
      <c r="CD68" s="113"/>
      <c r="CE68" s="113"/>
      <c r="CF68" s="113"/>
      <c r="CG68" s="113">
        <f t="shared" si="90"/>
        <v>0</v>
      </c>
      <c r="CH68" s="113"/>
      <c r="CI68" s="113">
        <f t="shared" si="73"/>
        <v>0</v>
      </c>
      <c r="CJ68" s="113"/>
      <c r="CK68" s="113"/>
      <c r="CL68" s="113"/>
      <c r="CM68" s="113"/>
      <c r="CN68" s="113">
        <f t="shared" si="91"/>
        <v>0</v>
      </c>
      <c r="CO68" s="113"/>
      <c r="CP68" s="113">
        <f t="shared" si="74"/>
        <v>0</v>
      </c>
      <c r="CQ68" s="113"/>
      <c r="CR68" s="113"/>
      <c r="CS68" s="113"/>
      <c r="CT68" s="113"/>
      <c r="CU68" s="113">
        <f t="shared" si="92"/>
        <v>0</v>
      </c>
      <c r="CV68" s="113"/>
      <c r="CW68" s="113">
        <f t="shared" si="75"/>
        <v>0</v>
      </c>
      <c r="CX68" s="113"/>
      <c r="CY68" s="113"/>
      <c r="CZ68" s="113"/>
      <c r="DA68" s="113"/>
      <c r="DB68" s="113">
        <f t="shared" si="93"/>
        <v>0</v>
      </c>
      <c r="DC68" s="113">
        <f t="shared" si="93"/>
        <v>0</v>
      </c>
      <c r="DD68" s="113"/>
      <c r="DE68" s="113"/>
      <c r="DF68" s="113"/>
      <c r="DG68" s="113"/>
      <c r="DH68" s="113">
        <f t="shared" si="94"/>
        <v>0</v>
      </c>
      <c r="DI68" s="113">
        <f t="shared" si="94"/>
        <v>0</v>
      </c>
      <c r="DJ68" s="113"/>
      <c r="DK68" s="113"/>
      <c r="DL68" s="113"/>
      <c r="DM68" s="113"/>
      <c r="DN68" s="113">
        <f t="shared" si="95"/>
        <v>0</v>
      </c>
      <c r="DO68" s="113">
        <f t="shared" si="95"/>
        <v>0</v>
      </c>
      <c r="DP68" s="113">
        <f t="shared" si="76"/>
        <v>0</v>
      </c>
      <c r="DQ68" s="113">
        <f t="shared" si="77"/>
        <v>0</v>
      </c>
      <c r="DR68" s="113">
        <f t="shared" si="78"/>
        <v>40000</v>
      </c>
      <c r="DS68" s="113">
        <f t="shared" si="79"/>
        <v>2150.5100000000002</v>
      </c>
      <c r="DT68" s="113">
        <f t="shared" si="96"/>
        <v>40000</v>
      </c>
      <c r="DU68" s="113">
        <f t="shared" si="96"/>
        <v>2150.5100000000002</v>
      </c>
    </row>
    <row r="69" spans="1:125">
      <c r="A69" s="15">
        <v>64</v>
      </c>
      <c r="B69" s="96" t="s">
        <v>683</v>
      </c>
      <c r="C69" s="7" t="s">
        <v>845</v>
      </c>
      <c r="D69" s="96" t="s">
        <v>846</v>
      </c>
      <c r="E69" s="185" t="s">
        <v>1164</v>
      </c>
      <c r="F69" s="161">
        <f t="shared" si="5"/>
        <v>0</v>
      </c>
      <c r="G69" s="161">
        <f t="shared" si="44"/>
        <v>0</v>
      </c>
      <c r="H69" s="161">
        <f t="shared" si="45"/>
        <v>0</v>
      </c>
      <c r="I69" s="161">
        <f t="shared" si="6"/>
        <v>0</v>
      </c>
      <c r="J69" s="165">
        <f t="shared" si="7"/>
        <v>0</v>
      </c>
      <c r="K69" s="115"/>
      <c r="L69" s="211">
        <v>0</v>
      </c>
      <c r="M69" s="211">
        <v>0</v>
      </c>
      <c r="N69" s="127">
        <f t="shared" si="8"/>
        <v>0</v>
      </c>
      <c r="O69" s="127">
        <f t="shared" si="9"/>
        <v>0</v>
      </c>
      <c r="P69" s="127">
        <f t="shared" si="10"/>
        <v>0</v>
      </c>
      <c r="Q69" s="131">
        <f t="shared" si="46"/>
        <v>0</v>
      </c>
      <c r="R69" s="125" t="str">
        <f t="shared" si="11"/>
        <v>ნულოვანი შესრულება</v>
      </c>
      <c r="S69" s="113">
        <v>0</v>
      </c>
      <c r="T69" s="113"/>
      <c r="U69" s="113">
        <f t="shared" si="12"/>
        <v>0</v>
      </c>
      <c r="V69" s="113">
        <f t="shared" si="13"/>
        <v>0</v>
      </c>
      <c r="W69" s="113">
        <v>0</v>
      </c>
      <c r="X69" s="113">
        <v>0</v>
      </c>
      <c r="Y69" s="113">
        <v>0</v>
      </c>
      <c r="Z69" s="113">
        <v>0</v>
      </c>
      <c r="AA69" s="113">
        <f t="shared" si="80"/>
        <v>0</v>
      </c>
      <c r="AB69" s="113">
        <f t="shared" si="80"/>
        <v>0</v>
      </c>
      <c r="AC69" s="113"/>
      <c r="AD69" s="113"/>
      <c r="AE69" s="113"/>
      <c r="AF69" s="113"/>
      <c r="AG69" s="113">
        <f t="shared" si="81"/>
        <v>0</v>
      </c>
      <c r="AH69" s="113">
        <f t="shared" si="81"/>
        <v>0</v>
      </c>
      <c r="AI69" s="114">
        <f t="shared" si="16"/>
        <v>0</v>
      </c>
      <c r="AJ69" s="114">
        <f t="shared" si="82"/>
        <v>0</v>
      </c>
      <c r="AK69" s="114">
        <f t="shared" si="82"/>
        <v>0</v>
      </c>
      <c r="AL69" s="114">
        <f t="shared" si="18"/>
        <v>0</v>
      </c>
      <c r="AM69" s="113">
        <f t="shared" si="83"/>
        <v>0</v>
      </c>
      <c r="AN69" s="113">
        <f t="shared" si="83"/>
        <v>0</v>
      </c>
      <c r="AO69" s="113"/>
      <c r="AP69" s="113"/>
      <c r="AQ69" s="113"/>
      <c r="AR69" s="113"/>
      <c r="AS69" s="113">
        <f t="shared" si="84"/>
        <v>0</v>
      </c>
      <c r="AT69" s="113">
        <f t="shared" si="84"/>
        <v>0</v>
      </c>
      <c r="AU69" s="113"/>
      <c r="AV69" s="113"/>
      <c r="AW69" s="113"/>
      <c r="AX69" s="113"/>
      <c r="AY69" s="113">
        <f t="shared" si="85"/>
        <v>0</v>
      </c>
      <c r="AZ69" s="113">
        <f t="shared" si="85"/>
        <v>0</v>
      </c>
      <c r="BA69" s="113"/>
      <c r="BB69" s="113"/>
      <c r="BC69" s="113"/>
      <c r="BD69" s="113"/>
      <c r="BE69" s="113">
        <f t="shared" si="86"/>
        <v>0</v>
      </c>
      <c r="BF69" s="113"/>
      <c r="BG69" s="113">
        <f t="shared" si="69"/>
        <v>0</v>
      </c>
      <c r="BH69" s="113"/>
      <c r="BI69" s="113"/>
      <c r="BJ69" s="113"/>
      <c r="BK69" s="113"/>
      <c r="BL69" s="113">
        <f t="shared" si="87"/>
        <v>0</v>
      </c>
      <c r="BM69" s="113"/>
      <c r="BN69" s="113">
        <f t="shared" si="70"/>
        <v>0</v>
      </c>
      <c r="BO69" s="113"/>
      <c r="BP69" s="113"/>
      <c r="BQ69" s="113"/>
      <c r="BR69" s="113"/>
      <c r="BS69" s="113">
        <f t="shared" si="88"/>
        <v>0</v>
      </c>
      <c r="BT69" s="113"/>
      <c r="BU69" s="113">
        <f t="shared" si="71"/>
        <v>0</v>
      </c>
      <c r="BV69" s="113"/>
      <c r="BW69" s="113"/>
      <c r="BX69" s="113"/>
      <c r="BY69" s="113"/>
      <c r="BZ69" s="113">
        <f t="shared" si="89"/>
        <v>0</v>
      </c>
      <c r="CA69" s="113"/>
      <c r="CB69" s="113">
        <f t="shared" si="72"/>
        <v>0</v>
      </c>
      <c r="CC69" s="113"/>
      <c r="CD69" s="113"/>
      <c r="CE69" s="113"/>
      <c r="CF69" s="113"/>
      <c r="CG69" s="113">
        <f t="shared" si="90"/>
        <v>0</v>
      </c>
      <c r="CH69" s="113"/>
      <c r="CI69" s="113">
        <f t="shared" si="73"/>
        <v>0</v>
      </c>
      <c r="CJ69" s="113"/>
      <c r="CK69" s="113"/>
      <c r="CL69" s="113"/>
      <c r="CM69" s="113"/>
      <c r="CN69" s="113">
        <f t="shared" si="91"/>
        <v>0</v>
      </c>
      <c r="CO69" s="113"/>
      <c r="CP69" s="113">
        <f t="shared" si="74"/>
        <v>0</v>
      </c>
      <c r="CQ69" s="113"/>
      <c r="CR69" s="113"/>
      <c r="CS69" s="113"/>
      <c r="CT69" s="113"/>
      <c r="CU69" s="113">
        <f t="shared" si="92"/>
        <v>0</v>
      </c>
      <c r="CV69" s="113"/>
      <c r="CW69" s="113">
        <f t="shared" si="75"/>
        <v>0</v>
      </c>
      <c r="CX69" s="113"/>
      <c r="CY69" s="113"/>
      <c r="CZ69" s="113"/>
      <c r="DA69" s="113"/>
      <c r="DB69" s="113">
        <f t="shared" si="93"/>
        <v>0</v>
      </c>
      <c r="DC69" s="113">
        <f t="shared" si="93"/>
        <v>0</v>
      </c>
      <c r="DD69" s="113"/>
      <c r="DE69" s="113"/>
      <c r="DF69" s="113"/>
      <c r="DG69" s="113"/>
      <c r="DH69" s="113">
        <f t="shared" si="94"/>
        <v>0</v>
      </c>
      <c r="DI69" s="113">
        <f t="shared" si="94"/>
        <v>0</v>
      </c>
      <c r="DJ69" s="113"/>
      <c r="DK69" s="113"/>
      <c r="DL69" s="113"/>
      <c r="DM69" s="113"/>
      <c r="DN69" s="113">
        <f t="shared" si="95"/>
        <v>0</v>
      </c>
      <c r="DO69" s="113">
        <f t="shared" si="95"/>
        <v>0</v>
      </c>
      <c r="DP69" s="113">
        <f t="shared" si="76"/>
        <v>0</v>
      </c>
      <c r="DQ69" s="113">
        <f t="shared" si="77"/>
        <v>0</v>
      </c>
      <c r="DR69" s="113">
        <f t="shared" si="78"/>
        <v>0</v>
      </c>
      <c r="DS69" s="113">
        <f t="shared" si="79"/>
        <v>0</v>
      </c>
      <c r="DT69" s="113">
        <f t="shared" si="96"/>
        <v>0</v>
      </c>
      <c r="DU69" s="113">
        <f t="shared" si="96"/>
        <v>0</v>
      </c>
    </row>
    <row r="70" spans="1:125" s="333" customFormat="1">
      <c r="A70" s="328">
        <v>65</v>
      </c>
      <c r="B70" s="329" t="s">
        <v>683</v>
      </c>
      <c r="C70" s="330" t="s">
        <v>845</v>
      </c>
      <c r="D70" s="329" t="s">
        <v>847</v>
      </c>
      <c r="E70" s="329" t="s">
        <v>1165</v>
      </c>
      <c r="F70" s="261">
        <f t="shared" si="5"/>
        <v>340000</v>
      </c>
      <c r="G70" s="161">
        <f t="shared" si="44"/>
        <v>0</v>
      </c>
      <c r="H70" s="161">
        <f t="shared" si="45"/>
        <v>340000</v>
      </c>
      <c r="I70" s="161">
        <f t="shared" si="6"/>
        <v>0</v>
      </c>
      <c r="J70" s="262">
        <f t="shared" si="7"/>
        <v>340000</v>
      </c>
      <c r="K70" s="331">
        <v>180000</v>
      </c>
      <c r="L70" s="211">
        <v>0</v>
      </c>
      <c r="M70" s="211">
        <v>0</v>
      </c>
      <c r="N70" s="261">
        <f t="shared" si="8"/>
        <v>0</v>
      </c>
      <c r="O70" s="261">
        <f t="shared" si="9"/>
        <v>0</v>
      </c>
      <c r="P70" s="261">
        <f t="shared" si="10"/>
        <v>0</v>
      </c>
      <c r="Q70" s="261">
        <f t="shared" si="46"/>
        <v>340000</v>
      </c>
      <c r="R70" s="261" t="str">
        <f t="shared" si="11"/>
        <v>ნულოვანი შესრულება</v>
      </c>
      <c r="S70" s="113">
        <v>0</v>
      </c>
      <c r="T70" s="113"/>
      <c r="U70" s="113">
        <f t="shared" si="12"/>
        <v>0</v>
      </c>
      <c r="V70" s="113">
        <f t="shared" ref="V70:V132" si="97">T70</f>
        <v>0</v>
      </c>
      <c r="W70" s="113">
        <v>0</v>
      </c>
      <c r="X70" s="113">
        <v>0</v>
      </c>
      <c r="Y70" s="113">
        <v>0</v>
      </c>
      <c r="Z70" s="113">
        <v>0</v>
      </c>
      <c r="AA70" s="113">
        <f t="shared" si="80"/>
        <v>0</v>
      </c>
      <c r="AB70" s="113">
        <f t="shared" si="80"/>
        <v>0</v>
      </c>
      <c r="AC70" s="113"/>
      <c r="AD70" s="113"/>
      <c r="AE70" s="113"/>
      <c r="AF70" s="113"/>
      <c r="AG70" s="113">
        <f t="shared" si="81"/>
        <v>0</v>
      </c>
      <c r="AH70" s="113">
        <f t="shared" si="81"/>
        <v>0</v>
      </c>
      <c r="AI70" s="114">
        <f t="shared" ref="AI70:AI132" si="98">S70+W70+AC70</f>
        <v>0</v>
      </c>
      <c r="AJ70" s="114">
        <f t="shared" si="82"/>
        <v>0</v>
      </c>
      <c r="AK70" s="114">
        <f t="shared" si="82"/>
        <v>0</v>
      </c>
      <c r="AL70" s="114">
        <f t="shared" ref="AL70:AL132" si="99">T70+Z70+AF70</f>
        <v>0</v>
      </c>
      <c r="AM70" s="113">
        <f t="shared" si="83"/>
        <v>0</v>
      </c>
      <c r="AN70" s="113">
        <f t="shared" si="83"/>
        <v>0</v>
      </c>
      <c r="AO70" s="332"/>
      <c r="AP70" s="332"/>
      <c r="AQ70" s="332"/>
      <c r="AR70" s="332"/>
      <c r="AS70" s="332">
        <f t="shared" si="84"/>
        <v>0</v>
      </c>
      <c r="AT70" s="332">
        <f t="shared" si="84"/>
        <v>0</v>
      </c>
      <c r="AU70" s="332">
        <v>200000</v>
      </c>
      <c r="AV70" s="332"/>
      <c r="AW70" s="332"/>
      <c r="AX70" s="332"/>
      <c r="AY70" s="332">
        <f t="shared" si="85"/>
        <v>200000</v>
      </c>
      <c r="AZ70" s="332">
        <f t="shared" si="85"/>
        <v>0</v>
      </c>
      <c r="BA70" s="332">
        <v>100000</v>
      </c>
      <c r="BB70" s="332"/>
      <c r="BC70" s="332"/>
      <c r="BD70" s="332"/>
      <c r="BE70" s="332">
        <f t="shared" si="86"/>
        <v>100000</v>
      </c>
      <c r="BF70" s="332"/>
      <c r="BG70" s="332">
        <f t="shared" si="69"/>
        <v>0</v>
      </c>
      <c r="BH70" s="332"/>
      <c r="BI70" s="332"/>
      <c r="BJ70" s="332">
        <v>40000</v>
      </c>
      <c r="BK70" s="332"/>
      <c r="BL70" s="332">
        <f t="shared" si="87"/>
        <v>40000</v>
      </c>
      <c r="BM70" s="332"/>
      <c r="BN70" s="332">
        <f t="shared" si="70"/>
        <v>0</v>
      </c>
      <c r="BO70" s="332"/>
      <c r="BP70" s="332"/>
      <c r="BQ70" s="332"/>
      <c r="BR70" s="332"/>
      <c r="BS70" s="332">
        <f t="shared" si="88"/>
        <v>0</v>
      </c>
      <c r="BT70" s="332"/>
      <c r="BU70" s="332">
        <f t="shared" si="71"/>
        <v>0</v>
      </c>
      <c r="BV70" s="332"/>
      <c r="BW70" s="332"/>
      <c r="BX70" s="332"/>
      <c r="BY70" s="332"/>
      <c r="BZ70" s="332">
        <f t="shared" si="89"/>
        <v>0</v>
      </c>
      <c r="CA70" s="332"/>
      <c r="CB70" s="332">
        <f t="shared" si="72"/>
        <v>0</v>
      </c>
      <c r="CC70" s="332"/>
      <c r="CD70" s="332"/>
      <c r="CE70" s="332"/>
      <c r="CF70" s="332"/>
      <c r="CG70" s="332">
        <f t="shared" si="90"/>
        <v>0</v>
      </c>
      <c r="CH70" s="332"/>
      <c r="CI70" s="332">
        <f t="shared" si="73"/>
        <v>0</v>
      </c>
      <c r="CJ70" s="332"/>
      <c r="CK70" s="332"/>
      <c r="CL70" s="332"/>
      <c r="CM70" s="332"/>
      <c r="CN70" s="332">
        <f t="shared" si="91"/>
        <v>0</v>
      </c>
      <c r="CO70" s="332"/>
      <c r="CP70" s="332">
        <f t="shared" si="74"/>
        <v>0</v>
      </c>
      <c r="CQ70" s="332"/>
      <c r="CR70" s="332"/>
      <c r="CS70" s="332"/>
      <c r="CT70" s="332"/>
      <c r="CU70" s="332">
        <f t="shared" si="92"/>
        <v>0</v>
      </c>
      <c r="CV70" s="332"/>
      <c r="CW70" s="332">
        <f t="shared" si="75"/>
        <v>0</v>
      </c>
      <c r="CX70" s="332"/>
      <c r="CY70" s="332"/>
      <c r="CZ70" s="332"/>
      <c r="DA70" s="332"/>
      <c r="DB70" s="332">
        <f t="shared" si="93"/>
        <v>0</v>
      </c>
      <c r="DC70" s="332">
        <f t="shared" si="93"/>
        <v>0</v>
      </c>
      <c r="DD70" s="332"/>
      <c r="DE70" s="332"/>
      <c r="DF70" s="332"/>
      <c r="DG70" s="332"/>
      <c r="DH70" s="332">
        <f t="shared" si="94"/>
        <v>0</v>
      </c>
      <c r="DI70" s="332">
        <f t="shared" si="94"/>
        <v>0</v>
      </c>
      <c r="DJ70" s="332"/>
      <c r="DK70" s="332"/>
      <c r="DL70" s="332"/>
      <c r="DM70" s="332"/>
      <c r="DN70" s="332">
        <f t="shared" si="95"/>
        <v>0</v>
      </c>
      <c r="DO70" s="332">
        <f t="shared" si="95"/>
        <v>0</v>
      </c>
      <c r="DP70" s="332">
        <f t="shared" si="76"/>
        <v>300000</v>
      </c>
      <c r="DQ70" s="332">
        <f t="shared" si="77"/>
        <v>0</v>
      </c>
      <c r="DR70" s="332">
        <f t="shared" si="78"/>
        <v>40000</v>
      </c>
      <c r="DS70" s="332">
        <f t="shared" si="79"/>
        <v>0</v>
      </c>
      <c r="DT70" s="332">
        <f t="shared" si="96"/>
        <v>340000</v>
      </c>
      <c r="DU70" s="332">
        <f t="shared" si="96"/>
        <v>0</v>
      </c>
    </row>
    <row r="71" spans="1:125">
      <c r="A71" s="15">
        <v>66</v>
      </c>
      <c r="B71" s="96" t="s">
        <v>683</v>
      </c>
      <c r="C71" s="7" t="s">
        <v>848</v>
      </c>
      <c r="D71" s="96" t="s">
        <v>849</v>
      </c>
      <c r="E71" s="185" t="s">
        <v>1164</v>
      </c>
      <c r="F71" s="161">
        <f t="shared" ref="F71:F133" si="100">SUM(DT71)</f>
        <v>0</v>
      </c>
      <c r="G71" s="161">
        <f t="shared" si="44"/>
        <v>0</v>
      </c>
      <c r="H71" s="161">
        <f t="shared" si="45"/>
        <v>0</v>
      </c>
      <c r="I71" s="161">
        <f t="shared" si="6"/>
        <v>0</v>
      </c>
      <c r="J71" s="165">
        <f t="shared" ref="J71:J133" si="101">L71+AN71+DT71</f>
        <v>4919.25</v>
      </c>
      <c r="K71" s="115"/>
      <c r="L71" s="211">
        <v>0</v>
      </c>
      <c r="M71" s="211">
        <v>0</v>
      </c>
      <c r="N71" s="127">
        <f t="shared" ref="N71:N133" si="102">AN71</f>
        <v>4919.25</v>
      </c>
      <c r="O71" s="127">
        <f t="shared" ref="O71:O133" si="103">IF(AL71&gt;0,L71+AN71-M71,0)</f>
        <v>4919.25</v>
      </c>
      <c r="P71" s="127">
        <f t="shared" ref="P71:P133" si="104">L71+N71</f>
        <v>4919.25</v>
      </c>
      <c r="Q71" s="131">
        <f t="shared" si="46"/>
        <v>0</v>
      </c>
      <c r="R71" s="125">
        <f t="shared" ref="R71:R133" si="105">IF(AND(AL71&gt;0,DS71&gt;0),"შეცდომაა! ერთზე მეტი ბოლო ჩაბარება!",IF(OR(AL71&gt;0,DS71&gt;0,),IF(AL71&gt;0,L71+AN71,L71+AN71+DU71),IF(AND(L71=0,N71=0,DU71=0),"ნულოვანი შესრულება","მიმდინარეობს")))</f>
        <v>4919.25</v>
      </c>
      <c r="S71" s="113">
        <v>0</v>
      </c>
      <c r="T71" s="113"/>
      <c r="U71" s="113">
        <f t="shared" ref="U71:U133" si="106">L71+S71</f>
        <v>0</v>
      </c>
      <c r="V71" s="113">
        <f t="shared" si="97"/>
        <v>0</v>
      </c>
      <c r="W71" s="113">
        <v>0</v>
      </c>
      <c r="X71" s="113">
        <v>0</v>
      </c>
      <c r="Y71" s="113">
        <v>0</v>
      </c>
      <c r="Z71" s="113">
        <v>4919.25</v>
      </c>
      <c r="AA71" s="113">
        <f t="shared" si="80"/>
        <v>0</v>
      </c>
      <c r="AB71" s="113">
        <f t="shared" si="80"/>
        <v>4919.25</v>
      </c>
      <c r="AC71" s="113"/>
      <c r="AD71" s="113"/>
      <c r="AE71" s="113"/>
      <c r="AF71" s="113"/>
      <c r="AG71" s="113">
        <f t="shared" si="81"/>
        <v>0</v>
      </c>
      <c r="AH71" s="113">
        <f t="shared" si="81"/>
        <v>0</v>
      </c>
      <c r="AI71" s="114">
        <f t="shared" si="98"/>
        <v>0</v>
      </c>
      <c r="AJ71" s="114">
        <f t="shared" si="82"/>
        <v>0</v>
      </c>
      <c r="AK71" s="114">
        <f t="shared" si="82"/>
        <v>0</v>
      </c>
      <c r="AL71" s="114">
        <f t="shared" si="99"/>
        <v>4919.25</v>
      </c>
      <c r="AM71" s="113">
        <f t="shared" si="83"/>
        <v>0</v>
      </c>
      <c r="AN71" s="113">
        <f t="shared" si="83"/>
        <v>4919.25</v>
      </c>
      <c r="AO71" s="113"/>
      <c r="AP71" s="113"/>
      <c r="AQ71" s="113"/>
      <c r="AR71" s="113"/>
      <c r="AS71" s="113">
        <f t="shared" si="84"/>
        <v>0</v>
      </c>
      <c r="AT71" s="113">
        <f t="shared" si="84"/>
        <v>0</v>
      </c>
      <c r="AU71" s="113"/>
      <c r="AV71" s="113"/>
      <c r="AW71" s="113"/>
      <c r="AX71" s="113"/>
      <c r="AY71" s="113">
        <f t="shared" si="85"/>
        <v>0</v>
      </c>
      <c r="AZ71" s="113">
        <f t="shared" si="85"/>
        <v>0</v>
      </c>
      <c r="BA71" s="113"/>
      <c r="BB71" s="113"/>
      <c r="BC71" s="113"/>
      <c r="BD71" s="113"/>
      <c r="BE71" s="113">
        <f t="shared" si="86"/>
        <v>0</v>
      </c>
      <c r="BF71" s="113"/>
      <c r="BG71" s="113">
        <f t="shared" si="69"/>
        <v>0</v>
      </c>
      <c r="BH71" s="113"/>
      <c r="BI71" s="113"/>
      <c r="BJ71" s="113"/>
      <c r="BK71" s="113"/>
      <c r="BL71" s="113">
        <f t="shared" si="87"/>
        <v>0</v>
      </c>
      <c r="BM71" s="113"/>
      <c r="BN71" s="113">
        <f t="shared" si="70"/>
        <v>0</v>
      </c>
      <c r="BO71" s="113"/>
      <c r="BP71" s="113"/>
      <c r="BQ71" s="113"/>
      <c r="BR71" s="113"/>
      <c r="BS71" s="113">
        <f t="shared" si="88"/>
        <v>0</v>
      </c>
      <c r="BT71" s="113"/>
      <c r="BU71" s="113">
        <f t="shared" si="71"/>
        <v>0</v>
      </c>
      <c r="BV71" s="113"/>
      <c r="BW71" s="113"/>
      <c r="BX71" s="113"/>
      <c r="BY71" s="113"/>
      <c r="BZ71" s="113">
        <f t="shared" si="89"/>
        <v>0</v>
      </c>
      <c r="CA71" s="113"/>
      <c r="CB71" s="113">
        <f t="shared" si="72"/>
        <v>0</v>
      </c>
      <c r="CC71" s="113"/>
      <c r="CD71" s="113"/>
      <c r="CE71" s="113"/>
      <c r="CF71" s="113"/>
      <c r="CG71" s="113">
        <f t="shared" si="90"/>
        <v>0</v>
      </c>
      <c r="CH71" s="113"/>
      <c r="CI71" s="113">
        <f t="shared" si="73"/>
        <v>0</v>
      </c>
      <c r="CJ71" s="113"/>
      <c r="CK71" s="113"/>
      <c r="CL71" s="113"/>
      <c r="CM71" s="113"/>
      <c r="CN71" s="113">
        <f t="shared" si="91"/>
        <v>0</v>
      </c>
      <c r="CO71" s="113"/>
      <c r="CP71" s="113">
        <f t="shared" si="74"/>
        <v>0</v>
      </c>
      <c r="CQ71" s="113"/>
      <c r="CR71" s="113"/>
      <c r="CS71" s="113"/>
      <c r="CT71" s="113"/>
      <c r="CU71" s="113">
        <f t="shared" si="92"/>
        <v>0</v>
      </c>
      <c r="CV71" s="113"/>
      <c r="CW71" s="113">
        <f t="shared" si="75"/>
        <v>0</v>
      </c>
      <c r="CX71" s="113"/>
      <c r="CY71" s="113"/>
      <c r="CZ71" s="113"/>
      <c r="DA71" s="113"/>
      <c r="DB71" s="113">
        <f t="shared" si="93"/>
        <v>0</v>
      </c>
      <c r="DC71" s="113">
        <f t="shared" si="93"/>
        <v>0</v>
      </c>
      <c r="DD71" s="113"/>
      <c r="DE71" s="113"/>
      <c r="DF71" s="113"/>
      <c r="DG71" s="113"/>
      <c r="DH71" s="113">
        <f t="shared" si="94"/>
        <v>0</v>
      </c>
      <c r="DI71" s="113">
        <f t="shared" si="94"/>
        <v>0</v>
      </c>
      <c r="DJ71" s="113"/>
      <c r="DK71" s="113"/>
      <c r="DL71" s="113"/>
      <c r="DM71" s="113"/>
      <c r="DN71" s="113">
        <f t="shared" si="95"/>
        <v>0</v>
      </c>
      <c r="DO71" s="113">
        <f t="shared" si="95"/>
        <v>0</v>
      </c>
      <c r="DP71" s="113">
        <f t="shared" si="76"/>
        <v>0</v>
      </c>
      <c r="DQ71" s="113">
        <f t="shared" si="77"/>
        <v>0</v>
      </c>
      <c r="DR71" s="113">
        <f t="shared" si="78"/>
        <v>0</v>
      </c>
      <c r="DS71" s="113">
        <f t="shared" si="79"/>
        <v>0</v>
      </c>
      <c r="DT71" s="113">
        <f t="shared" si="96"/>
        <v>0</v>
      </c>
      <c r="DU71" s="113">
        <f t="shared" si="96"/>
        <v>0</v>
      </c>
    </row>
    <row r="72" spans="1:125">
      <c r="A72" s="15">
        <v>67</v>
      </c>
      <c r="B72" s="96" t="s">
        <v>683</v>
      </c>
      <c r="C72" s="112" t="s">
        <v>848</v>
      </c>
      <c r="D72" s="96" t="s">
        <v>850</v>
      </c>
      <c r="E72" s="185" t="s">
        <v>1165</v>
      </c>
      <c r="F72" s="161">
        <f t="shared" si="100"/>
        <v>40000</v>
      </c>
      <c r="G72" s="161">
        <f t="shared" si="44"/>
        <v>140000</v>
      </c>
      <c r="H72" s="161">
        <f t="shared" si="45"/>
        <v>-100000</v>
      </c>
      <c r="I72" s="161">
        <f t="shared" si="6"/>
        <v>1580</v>
      </c>
      <c r="J72" s="165">
        <f t="shared" si="101"/>
        <v>40000</v>
      </c>
      <c r="K72" s="115">
        <v>36312</v>
      </c>
      <c r="L72" s="211">
        <v>0</v>
      </c>
      <c r="M72" s="211">
        <v>0</v>
      </c>
      <c r="N72" s="127">
        <f t="shared" si="102"/>
        <v>0</v>
      </c>
      <c r="O72" s="127">
        <f t="shared" si="103"/>
        <v>0</v>
      </c>
      <c r="P72" s="127">
        <f t="shared" si="104"/>
        <v>0</v>
      </c>
      <c r="Q72" s="131">
        <f t="shared" si="46"/>
        <v>40000</v>
      </c>
      <c r="R72" s="125" t="str">
        <f t="shared" si="105"/>
        <v>მიმდინარეობს</v>
      </c>
      <c r="S72" s="113">
        <v>0</v>
      </c>
      <c r="T72" s="113"/>
      <c r="U72" s="113">
        <f t="shared" si="106"/>
        <v>0</v>
      </c>
      <c r="V72" s="113">
        <f t="shared" si="97"/>
        <v>0</v>
      </c>
      <c r="W72" s="113">
        <v>0</v>
      </c>
      <c r="X72" s="113">
        <v>0</v>
      </c>
      <c r="Y72" s="113">
        <v>0</v>
      </c>
      <c r="Z72" s="113">
        <v>0</v>
      </c>
      <c r="AA72" s="113">
        <f t="shared" si="80"/>
        <v>0</v>
      </c>
      <c r="AB72" s="113">
        <f t="shared" si="80"/>
        <v>0</v>
      </c>
      <c r="AC72" s="113"/>
      <c r="AD72" s="113"/>
      <c r="AE72" s="113"/>
      <c r="AF72" s="113"/>
      <c r="AG72" s="113">
        <f t="shared" si="81"/>
        <v>0</v>
      </c>
      <c r="AH72" s="113">
        <f t="shared" si="81"/>
        <v>0</v>
      </c>
      <c r="AI72" s="114">
        <f t="shared" si="98"/>
        <v>0</v>
      </c>
      <c r="AJ72" s="114">
        <f t="shared" si="82"/>
        <v>0</v>
      </c>
      <c r="AK72" s="114">
        <f t="shared" si="82"/>
        <v>0</v>
      </c>
      <c r="AL72" s="114">
        <f t="shared" si="99"/>
        <v>0</v>
      </c>
      <c r="AM72" s="113">
        <f t="shared" si="83"/>
        <v>0</v>
      </c>
      <c r="AN72" s="113">
        <f t="shared" si="83"/>
        <v>0</v>
      </c>
      <c r="AO72" s="113"/>
      <c r="AP72" s="113"/>
      <c r="AQ72" s="113"/>
      <c r="AR72" s="113"/>
      <c r="AS72" s="113">
        <f t="shared" si="84"/>
        <v>0</v>
      </c>
      <c r="AT72" s="113">
        <f t="shared" si="84"/>
        <v>0</v>
      </c>
      <c r="AU72" s="113"/>
      <c r="AV72" s="113">
        <v>140000</v>
      </c>
      <c r="AW72" s="113">
        <v>40000</v>
      </c>
      <c r="AX72" s="113"/>
      <c r="AY72" s="113">
        <f t="shared" si="85"/>
        <v>40000</v>
      </c>
      <c r="AZ72" s="113">
        <f t="shared" si="85"/>
        <v>140000</v>
      </c>
      <c r="BA72" s="113"/>
      <c r="BB72" s="113"/>
      <c r="BC72" s="113"/>
      <c r="BD72" s="113"/>
      <c r="BE72" s="113">
        <f t="shared" si="86"/>
        <v>0</v>
      </c>
      <c r="BF72" s="113"/>
      <c r="BG72" s="113">
        <f t="shared" si="69"/>
        <v>0</v>
      </c>
      <c r="BH72" s="113"/>
      <c r="BI72" s="113"/>
      <c r="BJ72" s="113"/>
      <c r="BK72" s="113"/>
      <c r="BL72" s="113">
        <f t="shared" si="87"/>
        <v>0</v>
      </c>
      <c r="BM72" s="113"/>
      <c r="BN72" s="113">
        <f t="shared" si="70"/>
        <v>0</v>
      </c>
      <c r="BO72" s="113"/>
      <c r="BP72" s="113"/>
      <c r="BQ72" s="113"/>
      <c r="BR72" s="113"/>
      <c r="BS72" s="113">
        <f t="shared" si="88"/>
        <v>0</v>
      </c>
      <c r="BT72" s="113">
        <v>1580</v>
      </c>
      <c r="BU72" s="113">
        <f t="shared" si="71"/>
        <v>0</v>
      </c>
      <c r="BV72" s="113"/>
      <c r="BW72" s="113"/>
      <c r="BX72" s="113"/>
      <c r="BY72" s="113"/>
      <c r="BZ72" s="113">
        <f t="shared" si="89"/>
        <v>0</v>
      </c>
      <c r="CA72" s="113"/>
      <c r="CB72" s="113">
        <f t="shared" si="72"/>
        <v>0</v>
      </c>
      <c r="CC72" s="113"/>
      <c r="CD72" s="113"/>
      <c r="CE72" s="113"/>
      <c r="CF72" s="113"/>
      <c r="CG72" s="113">
        <f t="shared" si="90"/>
        <v>0</v>
      </c>
      <c r="CH72" s="113"/>
      <c r="CI72" s="113">
        <f t="shared" si="73"/>
        <v>0</v>
      </c>
      <c r="CJ72" s="113"/>
      <c r="CK72" s="113"/>
      <c r="CL72" s="113"/>
      <c r="CM72" s="113"/>
      <c r="CN72" s="113">
        <f t="shared" si="91"/>
        <v>0</v>
      </c>
      <c r="CO72" s="113"/>
      <c r="CP72" s="113">
        <f t="shared" si="74"/>
        <v>0</v>
      </c>
      <c r="CQ72" s="113"/>
      <c r="CR72" s="113"/>
      <c r="CS72" s="113"/>
      <c r="CT72" s="113"/>
      <c r="CU72" s="113">
        <f t="shared" si="92"/>
        <v>0</v>
      </c>
      <c r="CV72" s="113"/>
      <c r="CW72" s="113">
        <f t="shared" si="75"/>
        <v>0</v>
      </c>
      <c r="CX72" s="113"/>
      <c r="CY72" s="113"/>
      <c r="CZ72" s="113"/>
      <c r="DA72" s="113"/>
      <c r="DB72" s="113">
        <f t="shared" si="93"/>
        <v>0</v>
      </c>
      <c r="DC72" s="113">
        <f t="shared" si="93"/>
        <v>0</v>
      </c>
      <c r="DD72" s="113"/>
      <c r="DE72" s="113"/>
      <c r="DF72" s="113"/>
      <c r="DG72" s="113"/>
      <c r="DH72" s="113">
        <f t="shared" si="94"/>
        <v>0</v>
      </c>
      <c r="DI72" s="113">
        <f t="shared" si="94"/>
        <v>0</v>
      </c>
      <c r="DJ72" s="113"/>
      <c r="DK72" s="113"/>
      <c r="DL72" s="113"/>
      <c r="DM72" s="113"/>
      <c r="DN72" s="113">
        <f t="shared" si="95"/>
        <v>0</v>
      </c>
      <c r="DO72" s="113">
        <f t="shared" si="95"/>
        <v>0</v>
      </c>
      <c r="DP72" s="113">
        <f t="shared" si="76"/>
        <v>0</v>
      </c>
      <c r="DQ72" s="113">
        <f t="shared" si="77"/>
        <v>140000</v>
      </c>
      <c r="DR72" s="113">
        <f t="shared" si="78"/>
        <v>40000</v>
      </c>
      <c r="DS72" s="113">
        <f t="shared" si="79"/>
        <v>0</v>
      </c>
      <c r="DT72" s="113">
        <f t="shared" si="96"/>
        <v>40000</v>
      </c>
      <c r="DU72" s="113">
        <f t="shared" si="96"/>
        <v>140000</v>
      </c>
    </row>
    <row r="73" spans="1:125">
      <c r="A73" s="15">
        <v>68</v>
      </c>
      <c r="B73" s="96" t="s">
        <v>683</v>
      </c>
      <c r="C73" s="7" t="s">
        <v>851</v>
      </c>
      <c r="D73" s="96" t="s">
        <v>852</v>
      </c>
      <c r="E73" s="185" t="s">
        <v>1164</v>
      </c>
      <c r="F73" s="161">
        <f t="shared" si="100"/>
        <v>0</v>
      </c>
      <c r="G73" s="161">
        <f t="shared" si="44"/>
        <v>0</v>
      </c>
      <c r="H73" s="161">
        <f t="shared" si="45"/>
        <v>0</v>
      </c>
      <c r="I73" s="161">
        <f t="shared" ref="I73:I134" si="107">BF73+BM73+BT73+CA73+CH73+CO73+CV73</f>
        <v>0</v>
      </c>
      <c r="J73" s="165">
        <f t="shared" si="101"/>
        <v>3001.25</v>
      </c>
      <c r="K73" s="115"/>
      <c r="L73" s="211">
        <v>0</v>
      </c>
      <c r="M73" s="211">
        <v>0</v>
      </c>
      <c r="N73" s="127">
        <f t="shared" si="102"/>
        <v>3001.25</v>
      </c>
      <c r="O73" s="127">
        <f t="shared" si="103"/>
        <v>3001.25</v>
      </c>
      <c r="P73" s="127">
        <f t="shared" si="104"/>
        <v>3001.25</v>
      </c>
      <c r="Q73" s="131">
        <f t="shared" si="46"/>
        <v>0</v>
      </c>
      <c r="R73" s="125">
        <f t="shared" si="105"/>
        <v>3001.25</v>
      </c>
      <c r="S73" s="113">
        <v>0</v>
      </c>
      <c r="T73" s="113">
        <v>3001.25</v>
      </c>
      <c r="U73" s="113">
        <f t="shared" si="106"/>
        <v>0</v>
      </c>
      <c r="V73" s="113">
        <f t="shared" si="97"/>
        <v>3001.25</v>
      </c>
      <c r="W73" s="113">
        <v>0</v>
      </c>
      <c r="X73" s="113">
        <v>0</v>
      </c>
      <c r="Y73" s="113">
        <v>0</v>
      </c>
      <c r="Z73" s="113">
        <v>0</v>
      </c>
      <c r="AA73" s="113">
        <f t="shared" si="80"/>
        <v>0</v>
      </c>
      <c r="AB73" s="113">
        <f t="shared" si="80"/>
        <v>0</v>
      </c>
      <c r="AC73" s="113"/>
      <c r="AD73" s="113"/>
      <c r="AE73" s="113"/>
      <c r="AF73" s="113"/>
      <c r="AG73" s="113">
        <f t="shared" si="81"/>
        <v>0</v>
      </c>
      <c r="AH73" s="113">
        <f t="shared" si="81"/>
        <v>0</v>
      </c>
      <c r="AI73" s="114">
        <f t="shared" si="98"/>
        <v>0</v>
      </c>
      <c r="AJ73" s="114">
        <f t="shared" si="82"/>
        <v>0</v>
      </c>
      <c r="AK73" s="114">
        <f t="shared" si="82"/>
        <v>3001.25</v>
      </c>
      <c r="AL73" s="114">
        <f t="shared" si="99"/>
        <v>3001.25</v>
      </c>
      <c r="AM73" s="113">
        <f t="shared" si="83"/>
        <v>3001.25</v>
      </c>
      <c r="AN73" s="113">
        <f t="shared" si="83"/>
        <v>3001.25</v>
      </c>
      <c r="AO73" s="113"/>
      <c r="AP73" s="113"/>
      <c r="AQ73" s="113"/>
      <c r="AR73" s="113"/>
      <c r="AS73" s="113">
        <f t="shared" si="84"/>
        <v>0</v>
      </c>
      <c r="AT73" s="113">
        <f t="shared" si="84"/>
        <v>0</v>
      </c>
      <c r="AU73" s="113"/>
      <c r="AV73" s="113"/>
      <c r="AW73" s="113"/>
      <c r="AX73" s="113"/>
      <c r="AY73" s="113">
        <f t="shared" si="85"/>
        <v>0</v>
      </c>
      <c r="AZ73" s="113">
        <f t="shared" si="85"/>
        <v>0</v>
      </c>
      <c r="BA73" s="113"/>
      <c r="BB73" s="113"/>
      <c r="BC73" s="113"/>
      <c r="BD73" s="113"/>
      <c r="BE73" s="113">
        <f t="shared" si="86"/>
        <v>0</v>
      </c>
      <c r="BF73" s="113"/>
      <c r="BG73" s="113">
        <f t="shared" ref="BG73:BG104" si="108">BB73+BD73</f>
        <v>0</v>
      </c>
      <c r="BH73" s="113"/>
      <c r="BI73" s="113"/>
      <c r="BJ73" s="113"/>
      <c r="BK73" s="113"/>
      <c r="BL73" s="113">
        <f t="shared" si="87"/>
        <v>0</v>
      </c>
      <c r="BM73" s="113"/>
      <c r="BN73" s="113">
        <f t="shared" ref="BN73:BN104" si="109">BI73+BK73</f>
        <v>0</v>
      </c>
      <c r="BO73" s="113"/>
      <c r="BP73" s="113"/>
      <c r="BQ73" s="113"/>
      <c r="BR73" s="113"/>
      <c r="BS73" s="113">
        <f t="shared" si="88"/>
        <v>0</v>
      </c>
      <c r="BT73" s="113"/>
      <c r="BU73" s="113">
        <f t="shared" ref="BU73:BU104" si="110">BP73+BR73</f>
        <v>0</v>
      </c>
      <c r="BV73" s="113"/>
      <c r="BW73" s="113"/>
      <c r="BX73" s="113"/>
      <c r="BY73" s="113"/>
      <c r="BZ73" s="113">
        <f t="shared" si="89"/>
        <v>0</v>
      </c>
      <c r="CA73" s="113"/>
      <c r="CB73" s="113">
        <f t="shared" ref="CB73:CB104" si="111">BW73+BY73</f>
        <v>0</v>
      </c>
      <c r="CC73" s="113"/>
      <c r="CD73" s="113"/>
      <c r="CE73" s="113"/>
      <c r="CF73" s="113"/>
      <c r="CG73" s="113">
        <f t="shared" si="90"/>
        <v>0</v>
      </c>
      <c r="CH73" s="113"/>
      <c r="CI73" s="113">
        <f t="shared" ref="CI73:CI104" si="112">CD73+CF73</f>
        <v>0</v>
      </c>
      <c r="CJ73" s="113"/>
      <c r="CK73" s="113"/>
      <c r="CL73" s="113"/>
      <c r="CM73" s="113"/>
      <c r="CN73" s="113">
        <f t="shared" si="91"/>
        <v>0</v>
      </c>
      <c r="CO73" s="113"/>
      <c r="CP73" s="113">
        <f t="shared" ref="CP73:CP104" si="113">CK73+CM73</f>
        <v>0</v>
      </c>
      <c r="CQ73" s="113"/>
      <c r="CR73" s="113"/>
      <c r="CS73" s="113"/>
      <c r="CT73" s="113"/>
      <c r="CU73" s="113">
        <f t="shared" si="92"/>
        <v>0</v>
      </c>
      <c r="CV73" s="113"/>
      <c r="CW73" s="113">
        <f t="shared" ref="CW73:CW104" si="114">CR73+CT73</f>
        <v>0</v>
      </c>
      <c r="CX73" s="113"/>
      <c r="CY73" s="113"/>
      <c r="CZ73" s="113"/>
      <c r="DA73" s="113"/>
      <c r="DB73" s="113">
        <f t="shared" si="93"/>
        <v>0</v>
      </c>
      <c r="DC73" s="113">
        <f t="shared" si="93"/>
        <v>0</v>
      </c>
      <c r="DD73" s="113"/>
      <c r="DE73" s="113"/>
      <c r="DF73" s="113"/>
      <c r="DG73" s="113"/>
      <c r="DH73" s="113">
        <f t="shared" si="94"/>
        <v>0</v>
      </c>
      <c r="DI73" s="113">
        <f t="shared" si="94"/>
        <v>0</v>
      </c>
      <c r="DJ73" s="113"/>
      <c r="DK73" s="113"/>
      <c r="DL73" s="113"/>
      <c r="DM73" s="113"/>
      <c r="DN73" s="113">
        <f t="shared" si="95"/>
        <v>0</v>
      </c>
      <c r="DO73" s="113">
        <f t="shared" si="95"/>
        <v>0</v>
      </c>
      <c r="DP73" s="113">
        <f t="shared" ref="DP73:DP104" si="115">AO73+AU73+BA73+BH73+BO73+BV73+CC73+CJ73+CQ73+CX73+DD73+DJ73</f>
        <v>0</v>
      </c>
      <c r="DQ73" s="113">
        <f t="shared" ref="DQ73:DQ104" si="116">AP73+AV73+BB73+BI73+BP73+BW73+CD73+CK73+CR73+CY73+DE73+DK73</f>
        <v>0</v>
      </c>
      <c r="DR73" s="113">
        <f t="shared" ref="DR73:DR104" si="117">AQ73+AW73+BC73+BJ73+BQ73+BX73+CE73+CL73+CS73+CZ73+DF73+DL73</f>
        <v>0</v>
      </c>
      <c r="DS73" s="113">
        <f t="shared" ref="DS73:DS104" si="118">AR73+AX73+BD73+BK73+BR73+BY73+CF73+CM73+CT73+DA73+DG73+DM73</f>
        <v>0</v>
      </c>
      <c r="DT73" s="113">
        <f t="shared" si="96"/>
        <v>0</v>
      </c>
      <c r="DU73" s="113">
        <f t="shared" si="96"/>
        <v>0</v>
      </c>
    </row>
    <row r="74" spans="1:125">
      <c r="A74" s="15">
        <v>69</v>
      </c>
      <c r="B74" s="96" t="s">
        <v>683</v>
      </c>
      <c r="C74" s="112" t="s">
        <v>851</v>
      </c>
      <c r="D74" s="96" t="s">
        <v>853</v>
      </c>
      <c r="E74" s="185" t="s">
        <v>1165</v>
      </c>
      <c r="F74" s="161">
        <f t="shared" si="100"/>
        <v>290000</v>
      </c>
      <c r="G74" s="161">
        <f t="shared" ref="G74:G134" si="119">AT74+AZ74+BG74+BN74+BU74+CB74+CI74+CP74+CW74+DC74+DI74+DO74</f>
        <v>315623.28000000003</v>
      </c>
      <c r="H74" s="161">
        <f t="shared" ref="H74:H134" si="120">F74-G74</f>
        <v>-25623.280000000028</v>
      </c>
      <c r="I74" s="161">
        <f t="shared" si="107"/>
        <v>11152.043431835657</v>
      </c>
      <c r="J74" s="165">
        <f t="shared" si="101"/>
        <v>330000</v>
      </c>
      <c r="K74" s="115">
        <v>59400</v>
      </c>
      <c r="L74" s="211">
        <v>0</v>
      </c>
      <c r="M74" s="211">
        <v>0</v>
      </c>
      <c r="N74" s="127">
        <f t="shared" si="102"/>
        <v>40000</v>
      </c>
      <c r="O74" s="127">
        <f t="shared" si="103"/>
        <v>0</v>
      </c>
      <c r="P74" s="127">
        <f t="shared" si="104"/>
        <v>40000</v>
      </c>
      <c r="Q74" s="131">
        <f t="shared" ref="Q74:Q134" si="121">J74-P74</f>
        <v>290000</v>
      </c>
      <c r="R74" s="125">
        <f t="shared" si="105"/>
        <v>355623.28</v>
      </c>
      <c r="S74" s="113">
        <v>40000</v>
      </c>
      <c r="T74" s="113"/>
      <c r="U74" s="113">
        <f t="shared" si="106"/>
        <v>40000</v>
      </c>
      <c r="V74" s="113">
        <f t="shared" si="97"/>
        <v>0</v>
      </c>
      <c r="W74" s="113">
        <v>0</v>
      </c>
      <c r="X74" s="113">
        <v>0</v>
      </c>
      <c r="Y74" s="113">
        <v>0</v>
      </c>
      <c r="Z74" s="113">
        <v>0</v>
      </c>
      <c r="AA74" s="113">
        <f t="shared" si="80"/>
        <v>0</v>
      </c>
      <c r="AB74" s="113">
        <f t="shared" si="80"/>
        <v>0</v>
      </c>
      <c r="AC74" s="113"/>
      <c r="AD74" s="113"/>
      <c r="AE74" s="113"/>
      <c r="AF74" s="113"/>
      <c r="AG74" s="113">
        <f t="shared" si="81"/>
        <v>0</v>
      </c>
      <c r="AH74" s="113">
        <f t="shared" si="81"/>
        <v>0</v>
      </c>
      <c r="AI74" s="114">
        <f t="shared" si="98"/>
        <v>40000</v>
      </c>
      <c r="AJ74" s="114">
        <f t="shared" si="82"/>
        <v>40000</v>
      </c>
      <c r="AK74" s="114">
        <f t="shared" si="82"/>
        <v>0</v>
      </c>
      <c r="AL74" s="114">
        <f t="shared" si="99"/>
        <v>0</v>
      </c>
      <c r="AM74" s="113">
        <f t="shared" si="83"/>
        <v>40000</v>
      </c>
      <c r="AN74" s="113">
        <f t="shared" si="83"/>
        <v>40000</v>
      </c>
      <c r="AO74" s="113"/>
      <c r="AP74" s="113">
        <v>300000</v>
      </c>
      <c r="AQ74" s="113">
        <v>290000</v>
      </c>
      <c r="AR74" s="113"/>
      <c r="AS74" s="113">
        <f t="shared" si="84"/>
        <v>290000</v>
      </c>
      <c r="AT74" s="113">
        <f t="shared" si="84"/>
        <v>300000</v>
      </c>
      <c r="AU74" s="113"/>
      <c r="AV74" s="113"/>
      <c r="AW74" s="113"/>
      <c r="AX74" s="113"/>
      <c r="AY74" s="113">
        <f t="shared" si="85"/>
        <v>0</v>
      </c>
      <c r="AZ74" s="113">
        <f t="shared" si="85"/>
        <v>0</v>
      </c>
      <c r="BA74" s="113"/>
      <c r="BB74" s="113"/>
      <c r="BC74" s="113"/>
      <c r="BD74" s="113">
        <v>15623.28</v>
      </c>
      <c r="BE74" s="113">
        <f t="shared" si="86"/>
        <v>0</v>
      </c>
      <c r="BF74" s="113">
        <v>11152.043431835657</v>
      </c>
      <c r="BG74" s="113">
        <f t="shared" si="108"/>
        <v>15623.28</v>
      </c>
      <c r="BH74" s="113"/>
      <c r="BI74" s="113"/>
      <c r="BJ74" s="113"/>
      <c r="BK74" s="113"/>
      <c r="BL74" s="113">
        <f t="shared" si="87"/>
        <v>0</v>
      </c>
      <c r="BM74" s="113"/>
      <c r="BN74" s="113">
        <f t="shared" si="109"/>
        <v>0</v>
      </c>
      <c r="BO74" s="113"/>
      <c r="BP74" s="113"/>
      <c r="BQ74" s="113"/>
      <c r="BR74" s="113"/>
      <c r="BS74" s="113">
        <f t="shared" si="88"/>
        <v>0</v>
      </c>
      <c r="BT74" s="113"/>
      <c r="BU74" s="113">
        <f t="shared" si="110"/>
        <v>0</v>
      </c>
      <c r="BV74" s="113"/>
      <c r="BW74" s="113"/>
      <c r="BX74" s="113"/>
      <c r="BY74" s="113"/>
      <c r="BZ74" s="113">
        <f t="shared" si="89"/>
        <v>0</v>
      </c>
      <c r="CA74" s="113"/>
      <c r="CB74" s="113">
        <f t="shared" si="111"/>
        <v>0</v>
      </c>
      <c r="CC74" s="113"/>
      <c r="CD74" s="113"/>
      <c r="CE74" s="113"/>
      <c r="CF74" s="113"/>
      <c r="CG74" s="113">
        <f t="shared" si="90"/>
        <v>0</v>
      </c>
      <c r="CH74" s="113"/>
      <c r="CI74" s="113">
        <f t="shared" si="112"/>
        <v>0</v>
      </c>
      <c r="CJ74" s="113"/>
      <c r="CK74" s="113"/>
      <c r="CL74" s="113"/>
      <c r="CM74" s="113"/>
      <c r="CN74" s="113">
        <f t="shared" si="91"/>
        <v>0</v>
      </c>
      <c r="CO74" s="113"/>
      <c r="CP74" s="113">
        <f t="shared" si="113"/>
        <v>0</v>
      </c>
      <c r="CQ74" s="113"/>
      <c r="CR74" s="113"/>
      <c r="CS74" s="113"/>
      <c r="CT74" s="113"/>
      <c r="CU74" s="113">
        <f t="shared" si="92"/>
        <v>0</v>
      </c>
      <c r="CV74" s="113"/>
      <c r="CW74" s="113">
        <f t="shared" si="114"/>
        <v>0</v>
      </c>
      <c r="CX74" s="113"/>
      <c r="CY74" s="113"/>
      <c r="CZ74" s="113"/>
      <c r="DA74" s="113"/>
      <c r="DB74" s="113">
        <f t="shared" si="93"/>
        <v>0</v>
      </c>
      <c r="DC74" s="113">
        <f t="shared" si="93"/>
        <v>0</v>
      </c>
      <c r="DD74" s="113"/>
      <c r="DE74" s="113"/>
      <c r="DF74" s="113"/>
      <c r="DG74" s="113"/>
      <c r="DH74" s="113">
        <f t="shared" si="94"/>
        <v>0</v>
      </c>
      <c r="DI74" s="113">
        <f t="shared" si="94"/>
        <v>0</v>
      </c>
      <c r="DJ74" s="113"/>
      <c r="DK74" s="113"/>
      <c r="DL74" s="113"/>
      <c r="DM74" s="113"/>
      <c r="DN74" s="113">
        <f t="shared" si="95"/>
        <v>0</v>
      </c>
      <c r="DO74" s="113">
        <f t="shared" si="95"/>
        <v>0</v>
      </c>
      <c r="DP74" s="113">
        <f t="shared" si="115"/>
        <v>0</v>
      </c>
      <c r="DQ74" s="113">
        <f t="shared" si="116"/>
        <v>300000</v>
      </c>
      <c r="DR74" s="113">
        <f t="shared" si="117"/>
        <v>290000</v>
      </c>
      <c r="DS74" s="113">
        <f t="shared" si="118"/>
        <v>15623.28</v>
      </c>
      <c r="DT74" s="113">
        <f t="shared" si="96"/>
        <v>290000</v>
      </c>
      <c r="DU74" s="113">
        <f t="shared" si="96"/>
        <v>315623.28000000003</v>
      </c>
    </row>
    <row r="75" spans="1:125">
      <c r="A75" s="15">
        <v>70</v>
      </c>
      <c r="B75" s="96" t="s">
        <v>683</v>
      </c>
      <c r="C75" s="7" t="s">
        <v>854</v>
      </c>
      <c r="D75" s="96" t="s">
        <v>855</v>
      </c>
      <c r="E75" s="185" t="s">
        <v>1164</v>
      </c>
      <c r="F75" s="161">
        <f t="shared" si="100"/>
        <v>0</v>
      </c>
      <c r="G75" s="161">
        <f t="shared" si="119"/>
        <v>0</v>
      </c>
      <c r="H75" s="161">
        <f t="shared" si="120"/>
        <v>0</v>
      </c>
      <c r="I75" s="161">
        <f t="shared" si="107"/>
        <v>0</v>
      </c>
      <c r="J75" s="165">
        <f t="shared" si="101"/>
        <v>1142.75</v>
      </c>
      <c r="K75" s="115"/>
      <c r="L75" s="211">
        <v>0</v>
      </c>
      <c r="M75" s="211">
        <v>0</v>
      </c>
      <c r="N75" s="127">
        <f t="shared" si="102"/>
        <v>1142.75</v>
      </c>
      <c r="O75" s="127">
        <f t="shared" si="103"/>
        <v>1142.75</v>
      </c>
      <c r="P75" s="127">
        <f t="shared" si="104"/>
        <v>1142.75</v>
      </c>
      <c r="Q75" s="131">
        <f t="shared" si="121"/>
        <v>0</v>
      </c>
      <c r="R75" s="125">
        <f t="shared" si="105"/>
        <v>1142.75</v>
      </c>
      <c r="S75" s="113">
        <v>0</v>
      </c>
      <c r="T75" s="113">
        <v>1142.75</v>
      </c>
      <c r="U75" s="113">
        <f t="shared" si="106"/>
        <v>0</v>
      </c>
      <c r="V75" s="113">
        <f t="shared" si="97"/>
        <v>1142.75</v>
      </c>
      <c r="W75" s="113">
        <v>0</v>
      </c>
      <c r="X75" s="113">
        <v>0</v>
      </c>
      <c r="Y75" s="113">
        <v>0</v>
      </c>
      <c r="Z75" s="113">
        <v>0</v>
      </c>
      <c r="AA75" s="113">
        <f t="shared" si="80"/>
        <v>0</v>
      </c>
      <c r="AB75" s="113">
        <f t="shared" si="80"/>
        <v>0</v>
      </c>
      <c r="AC75" s="113"/>
      <c r="AD75" s="113"/>
      <c r="AE75" s="113"/>
      <c r="AF75" s="113"/>
      <c r="AG75" s="113">
        <f t="shared" si="81"/>
        <v>0</v>
      </c>
      <c r="AH75" s="113">
        <f t="shared" si="81"/>
        <v>0</v>
      </c>
      <c r="AI75" s="114">
        <f t="shared" si="98"/>
        <v>0</v>
      </c>
      <c r="AJ75" s="114">
        <f t="shared" si="82"/>
        <v>0</v>
      </c>
      <c r="AK75" s="114">
        <f t="shared" si="82"/>
        <v>1142.75</v>
      </c>
      <c r="AL75" s="114">
        <f t="shared" si="99"/>
        <v>1142.75</v>
      </c>
      <c r="AM75" s="113">
        <f t="shared" si="83"/>
        <v>1142.75</v>
      </c>
      <c r="AN75" s="113">
        <f t="shared" si="83"/>
        <v>1142.75</v>
      </c>
      <c r="AO75" s="113"/>
      <c r="AP75" s="113"/>
      <c r="AQ75" s="113"/>
      <c r="AR75" s="113"/>
      <c r="AS75" s="113">
        <f t="shared" si="84"/>
        <v>0</v>
      </c>
      <c r="AT75" s="113">
        <f t="shared" si="84"/>
        <v>0</v>
      </c>
      <c r="AU75" s="113"/>
      <c r="AV75" s="113"/>
      <c r="AW75" s="113"/>
      <c r="AX75" s="113"/>
      <c r="AY75" s="113">
        <f t="shared" si="85"/>
        <v>0</v>
      </c>
      <c r="AZ75" s="113">
        <f t="shared" si="85"/>
        <v>0</v>
      </c>
      <c r="BA75" s="113"/>
      <c r="BB75" s="113"/>
      <c r="BC75" s="113"/>
      <c r="BD75" s="113"/>
      <c r="BE75" s="113">
        <f t="shared" si="86"/>
        <v>0</v>
      </c>
      <c r="BF75" s="113"/>
      <c r="BG75" s="113">
        <f t="shared" si="108"/>
        <v>0</v>
      </c>
      <c r="BH75" s="113"/>
      <c r="BI75" s="113"/>
      <c r="BJ75" s="113"/>
      <c r="BK75" s="113"/>
      <c r="BL75" s="113">
        <f t="shared" si="87"/>
        <v>0</v>
      </c>
      <c r="BM75" s="113"/>
      <c r="BN75" s="113">
        <f t="shared" si="109"/>
        <v>0</v>
      </c>
      <c r="BO75" s="113"/>
      <c r="BP75" s="113"/>
      <c r="BQ75" s="113"/>
      <c r="BR75" s="113"/>
      <c r="BS75" s="113">
        <f t="shared" si="88"/>
        <v>0</v>
      </c>
      <c r="BT75" s="113"/>
      <c r="BU75" s="113">
        <f t="shared" si="110"/>
        <v>0</v>
      </c>
      <c r="BV75" s="113"/>
      <c r="BW75" s="113"/>
      <c r="BX75" s="113"/>
      <c r="BY75" s="113"/>
      <c r="BZ75" s="113">
        <f t="shared" si="89"/>
        <v>0</v>
      </c>
      <c r="CA75" s="113"/>
      <c r="CB75" s="113">
        <f t="shared" si="111"/>
        <v>0</v>
      </c>
      <c r="CC75" s="113"/>
      <c r="CD75" s="113"/>
      <c r="CE75" s="113"/>
      <c r="CF75" s="113"/>
      <c r="CG75" s="113">
        <f t="shared" si="90"/>
        <v>0</v>
      </c>
      <c r="CH75" s="113"/>
      <c r="CI75" s="113">
        <f t="shared" si="112"/>
        <v>0</v>
      </c>
      <c r="CJ75" s="113"/>
      <c r="CK75" s="113"/>
      <c r="CL75" s="113"/>
      <c r="CM75" s="113"/>
      <c r="CN75" s="113">
        <f t="shared" si="91"/>
        <v>0</v>
      </c>
      <c r="CO75" s="113"/>
      <c r="CP75" s="113">
        <f t="shared" si="113"/>
        <v>0</v>
      </c>
      <c r="CQ75" s="113"/>
      <c r="CR75" s="113"/>
      <c r="CS75" s="113"/>
      <c r="CT75" s="113"/>
      <c r="CU75" s="113">
        <f t="shared" si="92"/>
        <v>0</v>
      </c>
      <c r="CV75" s="113"/>
      <c r="CW75" s="113">
        <f t="shared" si="114"/>
        <v>0</v>
      </c>
      <c r="CX75" s="113"/>
      <c r="CY75" s="113"/>
      <c r="CZ75" s="113"/>
      <c r="DA75" s="113"/>
      <c r="DB75" s="113">
        <f t="shared" si="93"/>
        <v>0</v>
      </c>
      <c r="DC75" s="113">
        <f t="shared" si="93"/>
        <v>0</v>
      </c>
      <c r="DD75" s="113"/>
      <c r="DE75" s="113"/>
      <c r="DF75" s="113"/>
      <c r="DG75" s="113"/>
      <c r="DH75" s="113">
        <f t="shared" si="94"/>
        <v>0</v>
      </c>
      <c r="DI75" s="113">
        <f t="shared" si="94"/>
        <v>0</v>
      </c>
      <c r="DJ75" s="113"/>
      <c r="DK75" s="113"/>
      <c r="DL75" s="113"/>
      <c r="DM75" s="113"/>
      <c r="DN75" s="113">
        <f t="shared" si="95"/>
        <v>0</v>
      </c>
      <c r="DO75" s="113">
        <f t="shared" si="95"/>
        <v>0</v>
      </c>
      <c r="DP75" s="113">
        <f t="shared" si="115"/>
        <v>0</v>
      </c>
      <c r="DQ75" s="113">
        <f t="shared" si="116"/>
        <v>0</v>
      </c>
      <c r="DR75" s="113">
        <f t="shared" si="117"/>
        <v>0</v>
      </c>
      <c r="DS75" s="113">
        <f t="shared" si="118"/>
        <v>0</v>
      </c>
      <c r="DT75" s="113">
        <f t="shared" si="96"/>
        <v>0</v>
      </c>
      <c r="DU75" s="113">
        <f t="shared" si="96"/>
        <v>0</v>
      </c>
    </row>
    <row r="76" spans="1:125">
      <c r="A76" s="15">
        <v>71</v>
      </c>
      <c r="B76" s="96" t="s">
        <v>683</v>
      </c>
      <c r="C76" s="112" t="s">
        <v>854</v>
      </c>
      <c r="D76" s="96" t="s">
        <v>856</v>
      </c>
      <c r="E76" s="185" t="s">
        <v>1165</v>
      </c>
      <c r="F76" s="161">
        <f t="shared" si="100"/>
        <v>20000</v>
      </c>
      <c r="G76" s="161">
        <f t="shared" si="119"/>
        <v>11150.73</v>
      </c>
      <c r="H76" s="161">
        <f t="shared" si="120"/>
        <v>8849.27</v>
      </c>
      <c r="I76" s="161">
        <f t="shared" si="107"/>
        <v>11150.726011812978</v>
      </c>
      <c r="J76" s="165">
        <f t="shared" si="101"/>
        <v>125000</v>
      </c>
      <c r="K76" s="115">
        <v>4464</v>
      </c>
      <c r="L76" s="211">
        <v>0</v>
      </c>
      <c r="M76" s="211">
        <v>0</v>
      </c>
      <c r="N76" s="127">
        <f t="shared" si="102"/>
        <v>105000</v>
      </c>
      <c r="O76" s="127">
        <f t="shared" si="103"/>
        <v>0</v>
      </c>
      <c r="P76" s="127">
        <f t="shared" si="104"/>
        <v>105000</v>
      </c>
      <c r="Q76" s="131">
        <f t="shared" si="121"/>
        <v>20000</v>
      </c>
      <c r="R76" s="125">
        <f t="shared" si="105"/>
        <v>116150.73</v>
      </c>
      <c r="S76" s="113">
        <v>105000</v>
      </c>
      <c r="T76" s="113"/>
      <c r="U76" s="113">
        <f t="shared" si="106"/>
        <v>105000</v>
      </c>
      <c r="V76" s="113">
        <f t="shared" si="97"/>
        <v>0</v>
      </c>
      <c r="W76" s="113">
        <v>0</v>
      </c>
      <c r="X76" s="113">
        <v>0</v>
      </c>
      <c r="Y76" s="113">
        <v>28000</v>
      </c>
      <c r="Z76" s="113">
        <v>0</v>
      </c>
      <c r="AA76" s="113">
        <f t="shared" si="80"/>
        <v>28000</v>
      </c>
      <c r="AB76" s="113">
        <f t="shared" si="80"/>
        <v>0</v>
      </c>
      <c r="AC76" s="113"/>
      <c r="AD76" s="113"/>
      <c r="AE76" s="113"/>
      <c r="AF76" s="113"/>
      <c r="AG76" s="113">
        <f t="shared" si="81"/>
        <v>0</v>
      </c>
      <c r="AH76" s="113">
        <f t="shared" si="81"/>
        <v>0</v>
      </c>
      <c r="AI76" s="114">
        <f t="shared" si="98"/>
        <v>105000</v>
      </c>
      <c r="AJ76" s="114">
        <f t="shared" si="82"/>
        <v>105000</v>
      </c>
      <c r="AK76" s="114">
        <f t="shared" si="82"/>
        <v>28000</v>
      </c>
      <c r="AL76" s="114">
        <f t="shared" si="99"/>
        <v>0</v>
      </c>
      <c r="AM76" s="113">
        <f t="shared" si="83"/>
        <v>133000</v>
      </c>
      <c r="AN76" s="113">
        <f t="shared" si="83"/>
        <v>105000</v>
      </c>
      <c r="AO76" s="113"/>
      <c r="AP76" s="113"/>
      <c r="AQ76" s="113">
        <v>20000</v>
      </c>
      <c r="AR76" s="113"/>
      <c r="AS76" s="113">
        <f t="shared" si="84"/>
        <v>20000</v>
      </c>
      <c r="AT76" s="113">
        <f t="shared" si="84"/>
        <v>0</v>
      </c>
      <c r="AU76" s="113"/>
      <c r="AV76" s="113"/>
      <c r="AW76" s="113"/>
      <c r="AX76" s="113"/>
      <c r="AY76" s="113">
        <f t="shared" si="85"/>
        <v>0</v>
      </c>
      <c r="AZ76" s="113">
        <f t="shared" si="85"/>
        <v>0</v>
      </c>
      <c r="BA76" s="113"/>
      <c r="BB76" s="113"/>
      <c r="BC76" s="113"/>
      <c r="BD76" s="113">
        <v>11150.73</v>
      </c>
      <c r="BE76" s="113">
        <f t="shared" si="86"/>
        <v>0</v>
      </c>
      <c r="BF76" s="113">
        <v>11150.726011812978</v>
      </c>
      <c r="BG76" s="113">
        <f t="shared" si="108"/>
        <v>11150.73</v>
      </c>
      <c r="BH76" s="113"/>
      <c r="BI76" s="113"/>
      <c r="BJ76" s="113"/>
      <c r="BK76" s="113"/>
      <c r="BL76" s="113">
        <f t="shared" si="87"/>
        <v>0</v>
      </c>
      <c r="BM76" s="113"/>
      <c r="BN76" s="113">
        <f t="shared" si="109"/>
        <v>0</v>
      </c>
      <c r="BO76" s="113"/>
      <c r="BP76" s="113"/>
      <c r="BQ76" s="113"/>
      <c r="BR76" s="113"/>
      <c r="BS76" s="113">
        <f t="shared" si="88"/>
        <v>0</v>
      </c>
      <c r="BT76" s="113"/>
      <c r="BU76" s="113">
        <f t="shared" si="110"/>
        <v>0</v>
      </c>
      <c r="BV76" s="113"/>
      <c r="BW76" s="113"/>
      <c r="BX76" s="113"/>
      <c r="BY76" s="113"/>
      <c r="BZ76" s="113">
        <f t="shared" si="89"/>
        <v>0</v>
      </c>
      <c r="CA76" s="113"/>
      <c r="CB76" s="113">
        <f t="shared" si="111"/>
        <v>0</v>
      </c>
      <c r="CC76" s="113"/>
      <c r="CD76" s="113"/>
      <c r="CE76" s="113"/>
      <c r="CF76" s="113"/>
      <c r="CG76" s="113">
        <f t="shared" si="90"/>
        <v>0</v>
      </c>
      <c r="CH76" s="113"/>
      <c r="CI76" s="113">
        <f t="shared" si="112"/>
        <v>0</v>
      </c>
      <c r="CJ76" s="113"/>
      <c r="CK76" s="113"/>
      <c r="CL76" s="113"/>
      <c r="CM76" s="113"/>
      <c r="CN76" s="113">
        <f t="shared" si="91"/>
        <v>0</v>
      </c>
      <c r="CO76" s="113"/>
      <c r="CP76" s="113">
        <f t="shared" si="113"/>
        <v>0</v>
      </c>
      <c r="CQ76" s="113"/>
      <c r="CR76" s="113"/>
      <c r="CS76" s="113"/>
      <c r="CT76" s="113"/>
      <c r="CU76" s="113">
        <f t="shared" si="92"/>
        <v>0</v>
      </c>
      <c r="CV76" s="113"/>
      <c r="CW76" s="113">
        <f t="shared" si="114"/>
        <v>0</v>
      </c>
      <c r="CX76" s="113"/>
      <c r="CY76" s="113"/>
      <c r="CZ76" s="113"/>
      <c r="DA76" s="113"/>
      <c r="DB76" s="113">
        <f t="shared" si="93"/>
        <v>0</v>
      </c>
      <c r="DC76" s="113">
        <f t="shared" si="93"/>
        <v>0</v>
      </c>
      <c r="DD76" s="113"/>
      <c r="DE76" s="113"/>
      <c r="DF76" s="113"/>
      <c r="DG76" s="113"/>
      <c r="DH76" s="113">
        <f t="shared" si="94"/>
        <v>0</v>
      </c>
      <c r="DI76" s="113">
        <f t="shared" si="94"/>
        <v>0</v>
      </c>
      <c r="DJ76" s="113"/>
      <c r="DK76" s="113"/>
      <c r="DL76" s="113"/>
      <c r="DM76" s="113"/>
      <c r="DN76" s="113">
        <f t="shared" si="95"/>
        <v>0</v>
      </c>
      <c r="DO76" s="113">
        <f t="shared" si="95"/>
        <v>0</v>
      </c>
      <c r="DP76" s="113">
        <f t="shared" si="115"/>
        <v>0</v>
      </c>
      <c r="DQ76" s="113">
        <f t="shared" si="116"/>
        <v>0</v>
      </c>
      <c r="DR76" s="113">
        <f t="shared" si="117"/>
        <v>20000</v>
      </c>
      <c r="DS76" s="113">
        <f t="shared" si="118"/>
        <v>11150.73</v>
      </c>
      <c r="DT76" s="113">
        <f t="shared" si="96"/>
        <v>20000</v>
      </c>
      <c r="DU76" s="113">
        <f t="shared" si="96"/>
        <v>11150.73</v>
      </c>
    </row>
    <row r="77" spans="1:125">
      <c r="A77" s="15">
        <v>72</v>
      </c>
      <c r="B77" s="96" t="s">
        <v>683</v>
      </c>
      <c r="C77" s="96" t="s">
        <v>857</v>
      </c>
      <c r="D77" s="96" t="s">
        <v>858</v>
      </c>
      <c r="E77" s="185" t="s">
        <v>1165</v>
      </c>
      <c r="F77" s="161">
        <f t="shared" si="100"/>
        <v>0</v>
      </c>
      <c r="G77" s="161">
        <f t="shared" si="119"/>
        <v>0</v>
      </c>
      <c r="H77" s="161">
        <f t="shared" si="120"/>
        <v>0</v>
      </c>
      <c r="I77" s="161">
        <f t="shared" si="107"/>
        <v>0</v>
      </c>
      <c r="J77" s="165">
        <f t="shared" si="101"/>
        <v>86581.75</v>
      </c>
      <c r="K77" s="115">
        <v>55150.44</v>
      </c>
      <c r="L77" s="211">
        <v>0</v>
      </c>
      <c r="M77" s="211">
        <v>0</v>
      </c>
      <c r="N77" s="127">
        <f t="shared" si="102"/>
        <v>86581.75</v>
      </c>
      <c r="O77" s="127">
        <f t="shared" si="103"/>
        <v>86581.75</v>
      </c>
      <c r="P77" s="127">
        <f t="shared" si="104"/>
        <v>86581.75</v>
      </c>
      <c r="Q77" s="131">
        <f t="shared" si="121"/>
        <v>0</v>
      </c>
      <c r="R77" s="125">
        <f t="shared" si="105"/>
        <v>86581.75</v>
      </c>
      <c r="S77" s="113">
        <v>0</v>
      </c>
      <c r="T77" s="113">
        <f>2500.75+84081</f>
        <v>86581.75</v>
      </c>
      <c r="U77" s="113">
        <f t="shared" si="106"/>
        <v>0</v>
      </c>
      <c r="V77" s="113">
        <f t="shared" si="97"/>
        <v>86581.75</v>
      </c>
      <c r="W77" s="113">
        <v>0</v>
      </c>
      <c r="X77" s="113">
        <v>0</v>
      </c>
      <c r="Y77" s="113">
        <v>0</v>
      </c>
      <c r="Z77" s="113">
        <v>0</v>
      </c>
      <c r="AA77" s="113">
        <f t="shared" si="80"/>
        <v>0</v>
      </c>
      <c r="AB77" s="113">
        <f t="shared" si="80"/>
        <v>0</v>
      </c>
      <c r="AC77" s="113"/>
      <c r="AD77" s="113"/>
      <c r="AE77" s="113"/>
      <c r="AF77" s="113"/>
      <c r="AG77" s="113">
        <f t="shared" si="81"/>
        <v>0</v>
      </c>
      <c r="AH77" s="113">
        <f t="shared" si="81"/>
        <v>0</v>
      </c>
      <c r="AI77" s="114">
        <f t="shared" si="98"/>
        <v>0</v>
      </c>
      <c r="AJ77" s="114">
        <f t="shared" si="82"/>
        <v>0</v>
      </c>
      <c r="AK77" s="114">
        <f t="shared" si="82"/>
        <v>86581.75</v>
      </c>
      <c r="AL77" s="114">
        <f t="shared" si="99"/>
        <v>86581.75</v>
      </c>
      <c r="AM77" s="113">
        <f t="shared" si="83"/>
        <v>86581.75</v>
      </c>
      <c r="AN77" s="113">
        <f t="shared" si="83"/>
        <v>86581.75</v>
      </c>
      <c r="AO77" s="113"/>
      <c r="AP77" s="113"/>
      <c r="AQ77" s="113"/>
      <c r="AR77" s="113"/>
      <c r="AS77" s="113">
        <f t="shared" si="84"/>
        <v>0</v>
      </c>
      <c r="AT77" s="113">
        <f t="shared" si="84"/>
        <v>0</v>
      </c>
      <c r="AU77" s="113"/>
      <c r="AV77" s="113"/>
      <c r="AW77" s="113"/>
      <c r="AX77" s="113"/>
      <c r="AY77" s="113">
        <f t="shared" si="85"/>
        <v>0</v>
      </c>
      <c r="AZ77" s="113">
        <f t="shared" si="85"/>
        <v>0</v>
      </c>
      <c r="BA77" s="113"/>
      <c r="BB77" s="113"/>
      <c r="BC77" s="113"/>
      <c r="BD77" s="113"/>
      <c r="BE77" s="113">
        <f t="shared" si="86"/>
        <v>0</v>
      </c>
      <c r="BF77" s="113"/>
      <c r="BG77" s="113">
        <f t="shared" si="108"/>
        <v>0</v>
      </c>
      <c r="BH77" s="113"/>
      <c r="BI77" s="113"/>
      <c r="BJ77" s="113"/>
      <c r="BK77" s="113"/>
      <c r="BL77" s="113">
        <f t="shared" si="87"/>
        <v>0</v>
      </c>
      <c r="BM77" s="113"/>
      <c r="BN77" s="113">
        <f t="shared" si="109"/>
        <v>0</v>
      </c>
      <c r="BO77" s="113"/>
      <c r="BP77" s="113"/>
      <c r="BQ77" s="113"/>
      <c r="BR77" s="113"/>
      <c r="BS77" s="113">
        <f t="shared" si="88"/>
        <v>0</v>
      </c>
      <c r="BT77" s="113"/>
      <c r="BU77" s="113">
        <f t="shared" si="110"/>
        <v>0</v>
      </c>
      <c r="BV77" s="113"/>
      <c r="BW77" s="113"/>
      <c r="BX77" s="113"/>
      <c r="BY77" s="113"/>
      <c r="BZ77" s="113">
        <f t="shared" si="89"/>
        <v>0</v>
      </c>
      <c r="CA77" s="113"/>
      <c r="CB77" s="113">
        <f t="shared" si="111"/>
        <v>0</v>
      </c>
      <c r="CC77" s="113"/>
      <c r="CD77" s="113"/>
      <c r="CE77" s="113"/>
      <c r="CF77" s="113"/>
      <c r="CG77" s="113">
        <f t="shared" si="90"/>
        <v>0</v>
      </c>
      <c r="CH77" s="113"/>
      <c r="CI77" s="113">
        <f t="shared" si="112"/>
        <v>0</v>
      </c>
      <c r="CJ77" s="113"/>
      <c r="CK77" s="113"/>
      <c r="CL77" s="113"/>
      <c r="CM77" s="113"/>
      <c r="CN77" s="113">
        <f t="shared" si="91"/>
        <v>0</v>
      </c>
      <c r="CO77" s="113"/>
      <c r="CP77" s="113">
        <f t="shared" si="113"/>
        <v>0</v>
      </c>
      <c r="CQ77" s="113"/>
      <c r="CR77" s="113"/>
      <c r="CS77" s="113"/>
      <c r="CT77" s="113"/>
      <c r="CU77" s="113">
        <f t="shared" si="92"/>
        <v>0</v>
      </c>
      <c r="CV77" s="113"/>
      <c r="CW77" s="113">
        <f t="shared" si="114"/>
        <v>0</v>
      </c>
      <c r="CX77" s="113"/>
      <c r="CY77" s="113"/>
      <c r="CZ77" s="113"/>
      <c r="DA77" s="113"/>
      <c r="DB77" s="113">
        <f t="shared" si="93"/>
        <v>0</v>
      </c>
      <c r="DC77" s="113">
        <f t="shared" si="93"/>
        <v>0</v>
      </c>
      <c r="DD77" s="113"/>
      <c r="DE77" s="113"/>
      <c r="DF77" s="113"/>
      <c r="DG77" s="113"/>
      <c r="DH77" s="113">
        <f t="shared" si="94"/>
        <v>0</v>
      </c>
      <c r="DI77" s="113">
        <f t="shared" si="94"/>
        <v>0</v>
      </c>
      <c r="DJ77" s="113"/>
      <c r="DK77" s="113"/>
      <c r="DL77" s="113"/>
      <c r="DM77" s="113"/>
      <c r="DN77" s="113">
        <f t="shared" si="95"/>
        <v>0</v>
      </c>
      <c r="DO77" s="113">
        <f t="shared" si="95"/>
        <v>0</v>
      </c>
      <c r="DP77" s="113">
        <f t="shared" si="115"/>
        <v>0</v>
      </c>
      <c r="DQ77" s="113">
        <f t="shared" si="116"/>
        <v>0</v>
      </c>
      <c r="DR77" s="113">
        <f t="shared" si="117"/>
        <v>0</v>
      </c>
      <c r="DS77" s="113">
        <f t="shared" si="118"/>
        <v>0</v>
      </c>
      <c r="DT77" s="113">
        <f t="shared" si="96"/>
        <v>0</v>
      </c>
      <c r="DU77" s="113">
        <f t="shared" si="96"/>
        <v>0</v>
      </c>
    </row>
    <row r="78" spans="1:125">
      <c r="A78" s="15">
        <v>73</v>
      </c>
      <c r="B78" s="96" t="s">
        <v>683</v>
      </c>
      <c r="C78" s="112" t="s">
        <v>859</v>
      </c>
      <c r="D78" s="96" t="s">
        <v>860</v>
      </c>
      <c r="E78" s="185" t="s">
        <v>1165</v>
      </c>
      <c r="F78" s="161">
        <f t="shared" si="100"/>
        <v>130000</v>
      </c>
      <c r="G78" s="161">
        <f t="shared" si="119"/>
        <v>140000</v>
      </c>
      <c r="H78" s="161">
        <f t="shared" si="120"/>
        <v>-10000</v>
      </c>
      <c r="I78" s="161">
        <f t="shared" si="107"/>
        <v>3285</v>
      </c>
      <c r="J78" s="165">
        <f t="shared" si="101"/>
        <v>820000</v>
      </c>
      <c r="K78" s="115">
        <v>432000</v>
      </c>
      <c r="L78" s="211">
        <v>0</v>
      </c>
      <c r="M78" s="211">
        <v>0</v>
      </c>
      <c r="N78" s="127">
        <f t="shared" si="102"/>
        <v>690000</v>
      </c>
      <c r="O78" s="127">
        <f t="shared" si="103"/>
        <v>0</v>
      </c>
      <c r="P78" s="127">
        <f t="shared" si="104"/>
        <v>690000</v>
      </c>
      <c r="Q78" s="131">
        <f t="shared" si="121"/>
        <v>130000</v>
      </c>
      <c r="R78" s="125" t="str">
        <f t="shared" si="105"/>
        <v>მიმდინარეობს</v>
      </c>
      <c r="S78" s="113">
        <v>690000</v>
      </c>
      <c r="T78" s="113"/>
      <c r="U78" s="113">
        <f t="shared" si="106"/>
        <v>690000</v>
      </c>
      <c r="V78" s="113">
        <f t="shared" si="97"/>
        <v>0</v>
      </c>
      <c r="W78" s="113">
        <v>0</v>
      </c>
      <c r="X78" s="113">
        <v>0</v>
      </c>
      <c r="Y78" s="113">
        <v>0</v>
      </c>
      <c r="Z78" s="113">
        <v>0</v>
      </c>
      <c r="AA78" s="113">
        <f t="shared" si="80"/>
        <v>0</v>
      </c>
      <c r="AB78" s="113">
        <f t="shared" si="80"/>
        <v>0</v>
      </c>
      <c r="AC78" s="113"/>
      <c r="AD78" s="113"/>
      <c r="AE78" s="113"/>
      <c r="AF78" s="113"/>
      <c r="AG78" s="113">
        <f t="shared" si="81"/>
        <v>0</v>
      </c>
      <c r="AH78" s="113">
        <f t="shared" si="81"/>
        <v>0</v>
      </c>
      <c r="AI78" s="114">
        <f t="shared" si="98"/>
        <v>690000</v>
      </c>
      <c r="AJ78" s="114">
        <f t="shared" si="82"/>
        <v>690000</v>
      </c>
      <c r="AK78" s="114">
        <f t="shared" si="82"/>
        <v>0</v>
      </c>
      <c r="AL78" s="114">
        <f t="shared" si="99"/>
        <v>0</v>
      </c>
      <c r="AM78" s="113">
        <f t="shared" si="83"/>
        <v>690000</v>
      </c>
      <c r="AN78" s="113">
        <f t="shared" si="83"/>
        <v>690000</v>
      </c>
      <c r="AO78" s="113"/>
      <c r="AP78" s="113"/>
      <c r="AQ78" s="113"/>
      <c r="AR78" s="113"/>
      <c r="AS78" s="113">
        <f t="shared" si="84"/>
        <v>0</v>
      </c>
      <c r="AT78" s="113">
        <f t="shared" si="84"/>
        <v>0</v>
      </c>
      <c r="AU78" s="113"/>
      <c r="AV78" s="113">
        <v>140000</v>
      </c>
      <c r="AW78" s="113">
        <v>130000</v>
      </c>
      <c r="AX78" s="113"/>
      <c r="AY78" s="113">
        <f t="shared" si="85"/>
        <v>130000</v>
      </c>
      <c r="AZ78" s="113">
        <f t="shared" si="85"/>
        <v>140000</v>
      </c>
      <c r="BA78" s="113"/>
      <c r="BB78" s="113"/>
      <c r="BC78" s="113"/>
      <c r="BD78" s="113"/>
      <c r="BE78" s="113">
        <f t="shared" si="86"/>
        <v>0</v>
      </c>
      <c r="BF78" s="113"/>
      <c r="BG78" s="113">
        <f t="shared" si="108"/>
        <v>0</v>
      </c>
      <c r="BH78" s="113"/>
      <c r="BI78" s="113"/>
      <c r="BJ78" s="113"/>
      <c r="BK78" s="113"/>
      <c r="BL78" s="113">
        <f t="shared" si="87"/>
        <v>0</v>
      </c>
      <c r="BM78" s="113">
        <v>3285</v>
      </c>
      <c r="BN78" s="113">
        <f t="shared" si="109"/>
        <v>0</v>
      </c>
      <c r="BO78" s="113"/>
      <c r="BP78" s="113"/>
      <c r="BQ78" s="113"/>
      <c r="BR78" s="113"/>
      <c r="BS78" s="113">
        <f t="shared" si="88"/>
        <v>0</v>
      </c>
      <c r="BT78" s="113"/>
      <c r="BU78" s="113">
        <f t="shared" si="110"/>
        <v>0</v>
      </c>
      <c r="BV78" s="113"/>
      <c r="BW78" s="113"/>
      <c r="BX78" s="113"/>
      <c r="BY78" s="113"/>
      <c r="BZ78" s="113">
        <f t="shared" si="89"/>
        <v>0</v>
      </c>
      <c r="CA78" s="113"/>
      <c r="CB78" s="113">
        <f t="shared" si="111"/>
        <v>0</v>
      </c>
      <c r="CC78" s="113"/>
      <c r="CD78" s="113"/>
      <c r="CE78" s="113"/>
      <c r="CF78" s="113"/>
      <c r="CG78" s="113">
        <f t="shared" si="90"/>
        <v>0</v>
      </c>
      <c r="CH78" s="113"/>
      <c r="CI78" s="113">
        <f t="shared" si="112"/>
        <v>0</v>
      </c>
      <c r="CJ78" s="113"/>
      <c r="CK78" s="113"/>
      <c r="CL78" s="113"/>
      <c r="CM78" s="113"/>
      <c r="CN78" s="113">
        <f t="shared" si="91"/>
        <v>0</v>
      </c>
      <c r="CO78" s="113"/>
      <c r="CP78" s="113">
        <f t="shared" si="113"/>
        <v>0</v>
      </c>
      <c r="CQ78" s="113"/>
      <c r="CR78" s="113"/>
      <c r="CS78" s="113"/>
      <c r="CT78" s="113"/>
      <c r="CU78" s="113">
        <f t="shared" si="92"/>
        <v>0</v>
      </c>
      <c r="CV78" s="113"/>
      <c r="CW78" s="113">
        <f t="shared" si="114"/>
        <v>0</v>
      </c>
      <c r="CX78" s="113"/>
      <c r="CY78" s="113"/>
      <c r="CZ78" s="113"/>
      <c r="DA78" s="113"/>
      <c r="DB78" s="113">
        <f t="shared" si="93"/>
        <v>0</v>
      </c>
      <c r="DC78" s="113">
        <f t="shared" si="93"/>
        <v>0</v>
      </c>
      <c r="DD78" s="113"/>
      <c r="DE78" s="113"/>
      <c r="DF78" s="113"/>
      <c r="DG78" s="113"/>
      <c r="DH78" s="113">
        <f t="shared" si="94"/>
        <v>0</v>
      </c>
      <c r="DI78" s="113">
        <f t="shared" si="94"/>
        <v>0</v>
      </c>
      <c r="DJ78" s="113"/>
      <c r="DK78" s="113"/>
      <c r="DL78" s="113"/>
      <c r="DM78" s="113"/>
      <c r="DN78" s="113">
        <f t="shared" si="95"/>
        <v>0</v>
      </c>
      <c r="DO78" s="113">
        <f t="shared" si="95"/>
        <v>0</v>
      </c>
      <c r="DP78" s="113">
        <f t="shared" si="115"/>
        <v>0</v>
      </c>
      <c r="DQ78" s="113">
        <f t="shared" si="116"/>
        <v>140000</v>
      </c>
      <c r="DR78" s="113">
        <f t="shared" si="117"/>
        <v>130000</v>
      </c>
      <c r="DS78" s="113">
        <f t="shared" si="118"/>
        <v>0</v>
      </c>
      <c r="DT78" s="113">
        <f t="shared" si="96"/>
        <v>130000</v>
      </c>
      <c r="DU78" s="113">
        <f t="shared" si="96"/>
        <v>140000</v>
      </c>
    </row>
    <row r="79" spans="1:125">
      <c r="A79" s="15">
        <v>74</v>
      </c>
      <c r="B79" s="96" t="s">
        <v>683</v>
      </c>
      <c r="C79" s="7" t="s">
        <v>861</v>
      </c>
      <c r="D79" s="96" t="s">
        <v>862</v>
      </c>
      <c r="E79" s="185" t="s">
        <v>1164</v>
      </c>
      <c r="F79" s="161">
        <f t="shared" si="100"/>
        <v>0</v>
      </c>
      <c r="G79" s="161">
        <f t="shared" si="119"/>
        <v>0</v>
      </c>
      <c r="H79" s="161">
        <f t="shared" si="120"/>
        <v>0</v>
      </c>
      <c r="I79" s="161">
        <f t="shared" si="107"/>
        <v>0</v>
      </c>
      <c r="J79" s="165">
        <f t="shared" si="101"/>
        <v>973</v>
      </c>
      <c r="K79" s="115"/>
      <c r="L79" s="211">
        <v>0</v>
      </c>
      <c r="M79" s="211">
        <v>0</v>
      </c>
      <c r="N79" s="127">
        <f t="shared" si="102"/>
        <v>973</v>
      </c>
      <c r="O79" s="127">
        <f t="shared" si="103"/>
        <v>973</v>
      </c>
      <c r="P79" s="127">
        <f t="shared" si="104"/>
        <v>973</v>
      </c>
      <c r="Q79" s="131">
        <f t="shared" si="121"/>
        <v>0</v>
      </c>
      <c r="R79" s="125">
        <f t="shared" si="105"/>
        <v>973</v>
      </c>
      <c r="S79" s="113"/>
      <c r="T79" s="113">
        <v>973</v>
      </c>
      <c r="U79" s="113">
        <f t="shared" si="106"/>
        <v>0</v>
      </c>
      <c r="V79" s="113">
        <f t="shared" si="97"/>
        <v>973</v>
      </c>
      <c r="W79" s="113">
        <v>0</v>
      </c>
      <c r="X79" s="113">
        <v>0</v>
      </c>
      <c r="Y79" s="113">
        <v>0</v>
      </c>
      <c r="Z79" s="113">
        <v>0</v>
      </c>
      <c r="AA79" s="113">
        <f t="shared" si="80"/>
        <v>0</v>
      </c>
      <c r="AB79" s="113">
        <f t="shared" si="80"/>
        <v>0</v>
      </c>
      <c r="AC79" s="113"/>
      <c r="AD79" s="113"/>
      <c r="AE79" s="113"/>
      <c r="AF79" s="113"/>
      <c r="AG79" s="113">
        <f t="shared" si="81"/>
        <v>0</v>
      </c>
      <c r="AH79" s="113">
        <f t="shared" si="81"/>
        <v>0</v>
      </c>
      <c r="AI79" s="114">
        <f t="shared" si="98"/>
        <v>0</v>
      </c>
      <c r="AJ79" s="114">
        <f t="shared" si="82"/>
        <v>0</v>
      </c>
      <c r="AK79" s="114">
        <f t="shared" si="82"/>
        <v>973</v>
      </c>
      <c r="AL79" s="114">
        <f t="shared" si="99"/>
        <v>973</v>
      </c>
      <c r="AM79" s="113">
        <f t="shared" si="83"/>
        <v>973</v>
      </c>
      <c r="AN79" s="113">
        <f t="shared" si="83"/>
        <v>973</v>
      </c>
      <c r="AO79" s="113"/>
      <c r="AP79" s="113"/>
      <c r="AQ79" s="113"/>
      <c r="AR79" s="113"/>
      <c r="AS79" s="113">
        <f t="shared" si="84"/>
        <v>0</v>
      </c>
      <c r="AT79" s="113">
        <f t="shared" si="84"/>
        <v>0</v>
      </c>
      <c r="AU79" s="113"/>
      <c r="AV79" s="113"/>
      <c r="AW79" s="113"/>
      <c r="AX79" s="113"/>
      <c r="AY79" s="113">
        <f t="shared" si="85"/>
        <v>0</v>
      </c>
      <c r="AZ79" s="113">
        <f t="shared" si="85"/>
        <v>0</v>
      </c>
      <c r="BA79" s="113"/>
      <c r="BB79" s="113"/>
      <c r="BC79" s="113"/>
      <c r="BD79" s="113"/>
      <c r="BE79" s="113">
        <f t="shared" si="86"/>
        <v>0</v>
      </c>
      <c r="BF79" s="113"/>
      <c r="BG79" s="113">
        <f t="shared" si="108"/>
        <v>0</v>
      </c>
      <c r="BH79" s="113"/>
      <c r="BI79" s="113"/>
      <c r="BJ79" s="113"/>
      <c r="BK79" s="113"/>
      <c r="BL79" s="113">
        <f t="shared" si="87"/>
        <v>0</v>
      </c>
      <c r="BM79" s="113"/>
      <c r="BN79" s="113">
        <f t="shared" si="109"/>
        <v>0</v>
      </c>
      <c r="BO79" s="113"/>
      <c r="BP79" s="113"/>
      <c r="BQ79" s="113"/>
      <c r="BR79" s="113"/>
      <c r="BS79" s="113">
        <f t="shared" si="88"/>
        <v>0</v>
      </c>
      <c r="BT79" s="113"/>
      <c r="BU79" s="113">
        <f t="shared" si="110"/>
        <v>0</v>
      </c>
      <c r="BV79" s="113"/>
      <c r="BW79" s="113"/>
      <c r="BX79" s="113"/>
      <c r="BY79" s="113"/>
      <c r="BZ79" s="113">
        <f t="shared" si="89"/>
        <v>0</v>
      </c>
      <c r="CA79" s="113"/>
      <c r="CB79" s="113">
        <f t="shared" si="111"/>
        <v>0</v>
      </c>
      <c r="CC79" s="113"/>
      <c r="CD79" s="113"/>
      <c r="CE79" s="113"/>
      <c r="CF79" s="113"/>
      <c r="CG79" s="113">
        <f t="shared" si="90"/>
        <v>0</v>
      </c>
      <c r="CH79" s="113"/>
      <c r="CI79" s="113">
        <f t="shared" si="112"/>
        <v>0</v>
      </c>
      <c r="CJ79" s="113"/>
      <c r="CK79" s="113"/>
      <c r="CL79" s="113"/>
      <c r="CM79" s="113"/>
      <c r="CN79" s="113">
        <f t="shared" si="91"/>
        <v>0</v>
      </c>
      <c r="CO79" s="113"/>
      <c r="CP79" s="113">
        <f t="shared" si="113"/>
        <v>0</v>
      </c>
      <c r="CQ79" s="113"/>
      <c r="CR79" s="113"/>
      <c r="CS79" s="113"/>
      <c r="CT79" s="113"/>
      <c r="CU79" s="113">
        <f t="shared" si="92"/>
        <v>0</v>
      </c>
      <c r="CV79" s="113"/>
      <c r="CW79" s="113">
        <f t="shared" si="114"/>
        <v>0</v>
      </c>
      <c r="CX79" s="113"/>
      <c r="CY79" s="113"/>
      <c r="CZ79" s="113"/>
      <c r="DA79" s="113"/>
      <c r="DB79" s="113">
        <f t="shared" si="93"/>
        <v>0</v>
      </c>
      <c r="DC79" s="113">
        <f t="shared" si="93"/>
        <v>0</v>
      </c>
      <c r="DD79" s="113"/>
      <c r="DE79" s="113"/>
      <c r="DF79" s="113"/>
      <c r="DG79" s="113"/>
      <c r="DH79" s="113">
        <f t="shared" si="94"/>
        <v>0</v>
      </c>
      <c r="DI79" s="113">
        <f t="shared" si="94"/>
        <v>0</v>
      </c>
      <c r="DJ79" s="113"/>
      <c r="DK79" s="113"/>
      <c r="DL79" s="113"/>
      <c r="DM79" s="113"/>
      <c r="DN79" s="113">
        <f t="shared" si="95"/>
        <v>0</v>
      </c>
      <c r="DO79" s="113">
        <f t="shared" si="95"/>
        <v>0</v>
      </c>
      <c r="DP79" s="113">
        <f t="shared" si="115"/>
        <v>0</v>
      </c>
      <c r="DQ79" s="113">
        <f t="shared" si="116"/>
        <v>0</v>
      </c>
      <c r="DR79" s="113">
        <f t="shared" si="117"/>
        <v>0</v>
      </c>
      <c r="DS79" s="113">
        <f t="shared" si="118"/>
        <v>0</v>
      </c>
      <c r="DT79" s="113">
        <f t="shared" si="96"/>
        <v>0</v>
      </c>
      <c r="DU79" s="113">
        <f t="shared" si="96"/>
        <v>0</v>
      </c>
    </row>
    <row r="80" spans="1:125">
      <c r="A80" s="15">
        <v>75</v>
      </c>
      <c r="B80" s="96" t="s">
        <v>683</v>
      </c>
      <c r="C80" s="112" t="s">
        <v>861</v>
      </c>
      <c r="D80" s="96" t="s">
        <v>863</v>
      </c>
      <c r="E80" s="185" t="s">
        <v>1165</v>
      </c>
      <c r="F80" s="161">
        <f t="shared" si="100"/>
        <v>30000</v>
      </c>
      <c r="G80" s="161">
        <f t="shared" si="119"/>
        <v>30488.21</v>
      </c>
      <c r="H80" s="161">
        <f t="shared" si="120"/>
        <v>-488.20999999999913</v>
      </c>
      <c r="I80" s="161">
        <f t="shared" si="107"/>
        <v>40.908182181490702</v>
      </c>
      <c r="J80" s="165">
        <f t="shared" si="101"/>
        <v>130060.2</v>
      </c>
      <c r="K80" s="115">
        <v>44400</v>
      </c>
      <c r="L80" s="211">
        <v>0</v>
      </c>
      <c r="M80" s="211">
        <v>0</v>
      </c>
      <c r="N80" s="127">
        <f t="shared" si="102"/>
        <v>100060.2</v>
      </c>
      <c r="O80" s="127">
        <f t="shared" si="103"/>
        <v>0</v>
      </c>
      <c r="P80" s="127">
        <f t="shared" si="104"/>
        <v>100060.2</v>
      </c>
      <c r="Q80" s="131">
        <f t="shared" si="121"/>
        <v>30000</v>
      </c>
      <c r="R80" s="125">
        <f t="shared" si="105"/>
        <v>130548.41</v>
      </c>
      <c r="S80" s="113">
        <v>100000</v>
      </c>
      <c r="T80" s="113"/>
      <c r="U80" s="113">
        <f t="shared" si="106"/>
        <v>100000</v>
      </c>
      <c r="V80" s="113">
        <f t="shared" si="97"/>
        <v>0</v>
      </c>
      <c r="W80" s="113">
        <v>0</v>
      </c>
      <c r="X80" s="113">
        <v>0</v>
      </c>
      <c r="Y80" s="113">
        <v>0</v>
      </c>
      <c r="Z80" s="113">
        <v>0</v>
      </c>
      <c r="AA80" s="113">
        <f t="shared" si="80"/>
        <v>0</v>
      </c>
      <c r="AB80" s="113">
        <f t="shared" si="80"/>
        <v>0</v>
      </c>
      <c r="AC80" s="113"/>
      <c r="AD80" s="113">
        <v>60.2</v>
      </c>
      <c r="AE80" s="113"/>
      <c r="AF80" s="113"/>
      <c r="AG80" s="113">
        <f t="shared" si="81"/>
        <v>0</v>
      </c>
      <c r="AH80" s="113">
        <f t="shared" si="81"/>
        <v>60.2</v>
      </c>
      <c r="AI80" s="114">
        <f t="shared" si="98"/>
        <v>100000</v>
      </c>
      <c r="AJ80" s="114">
        <f t="shared" si="82"/>
        <v>100060.2</v>
      </c>
      <c r="AK80" s="114">
        <f t="shared" si="82"/>
        <v>0</v>
      </c>
      <c r="AL80" s="114">
        <f t="shared" si="99"/>
        <v>0</v>
      </c>
      <c r="AM80" s="113">
        <f t="shared" si="83"/>
        <v>100000</v>
      </c>
      <c r="AN80" s="113">
        <f t="shared" si="83"/>
        <v>100060.2</v>
      </c>
      <c r="AO80" s="113"/>
      <c r="AP80" s="113">
        <v>30000</v>
      </c>
      <c r="AQ80" s="113">
        <v>30000</v>
      </c>
      <c r="AR80" s="113"/>
      <c r="AS80" s="113">
        <f t="shared" si="84"/>
        <v>30000</v>
      </c>
      <c r="AT80" s="113">
        <f t="shared" si="84"/>
        <v>30000</v>
      </c>
      <c r="AU80" s="113"/>
      <c r="AV80" s="113"/>
      <c r="AW80" s="113"/>
      <c r="AX80" s="113"/>
      <c r="AY80" s="113">
        <f t="shared" si="85"/>
        <v>0</v>
      </c>
      <c r="AZ80" s="113">
        <f t="shared" si="85"/>
        <v>0</v>
      </c>
      <c r="BA80" s="113"/>
      <c r="BB80" s="113"/>
      <c r="BC80" s="113"/>
      <c r="BD80" s="113">
        <v>488.21</v>
      </c>
      <c r="BE80" s="113">
        <f t="shared" si="86"/>
        <v>0</v>
      </c>
      <c r="BF80" s="113">
        <v>40.908182181490702</v>
      </c>
      <c r="BG80" s="113">
        <f t="shared" si="108"/>
        <v>488.21</v>
      </c>
      <c r="BH80" s="113"/>
      <c r="BI80" s="113"/>
      <c r="BJ80" s="113"/>
      <c r="BK80" s="113"/>
      <c r="BL80" s="113">
        <f t="shared" si="87"/>
        <v>0</v>
      </c>
      <c r="BM80" s="113"/>
      <c r="BN80" s="113">
        <f t="shared" si="109"/>
        <v>0</v>
      </c>
      <c r="BO80" s="113"/>
      <c r="BP80" s="113"/>
      <c r="BQ80" s="113"/>
      <c r="BR80" s="113"/>
      <c r="BS80" s="113">
        <f t="shared" si="88"/>
        <v>0</v>
      </c>
      <c r="BT80" s="113"/>
      <c r="BU80" s="113">
        <f t="shared" si="110"/>
        <v>0</v>
      </c>
      <c r="BV80" s="113"/>
      <c r="BW80" s="113"/>
      <c r="BX80" s="113"/>
      <c r="BY80" s="113"/>
      <c r="BZ80" s="113">
        <f t="shared" si="89"/>
        <v>0</v>
      </c>
      <c r="CA80" s="113"/>
      <c r="CB80" s="113">
        <f t="shared" si="111"/>
        <v>0</v>
      </c>
      <c r="CC80" s="113"/>
      <c r="CD80" s="113"/>
      <c r="CE80" s="113"/>
      <c r="CF80" s="113"/>
      <c r="CG80" s="113">
        <f t="shared" si="90"/>
        <v>0</v>
      </c>
      <c r="CH80" s="113"/>
      <c r="CI80" s="113">
        <f t="shared" si="112"/>
        <v>0</v>
      </c>
      <c r="CJ80" s="113"/>
      <c r="CK80" s="113"/>
      <c r="CL80" s="113"/>
      <c r="CM80" s="113"/>
      <c r="CN80" s="113">
        <f t="shared" si="91"/>
        <v>0</v>
      </c>
      <c r="CO80" s="113"/>
      <c r="CP80" s="113">
        <f t="shared" si="113"/>
        <v>0</v>
      </c>
      <c r="CQ80" s="113"/>
      <c r="CR80" s="113"/>
      <c r="CS80" s="113"/>
      <c r="CT80" s="113"/>
      <c r="CU80" s="113">
        <f t="shared" si="92"/>
        <v>0</v>
      </c>
      <c r="CV80" s="113"/>
      <c r="CW80" s="113">
        <f t="shared" si="114"/>
        <v>0</v>
      </c>
      <c r="CX80" s="113"/>
      <c r="CY80" s="113"/>
      <c r="CZ80" s="113"/>
      <c r="DA80" s="113"/>
      <c r="DB80" s="113">
        <f t="shared" si="93"/>
        <v>0</v>
      </c>
      <c r="DC80" s="113">
        <f t="shared" si="93"/>
        <v>0</v>
      </c>
      <c r="DD80" s="113"/>
      <c r="DE80" s="113"/>
      <c r="DF80" s="113"/>
      <c r="DG80" s="113"/>
      <c r="DH80" s="113">
        <f t="shared" si="94"/>
        <v>0</v>
      </c>
      <c r="DI80" s="113">
        <f t="shared" si="94"/>
        <v>0</v>
      </c>
      <c r="DJ80" s="113"/>
      <c r="DK80" s="113"/>
      <c r="DL80" s="113"/>
      <c r="DM80" s="113"/>
      <c r="DN80" s="113">
        <f t="shared" si="95"/>
        <v>0</v>
      </c>
      <c r="DO80" s="113">
        <f t="shared" si="95"/>
        <v>0</v>
      </c>
      <c r="DP80" s="113">
        <f t="shared" si="115"/>
        <v>0</v>
      </c>
      <c r="DQ80" s="113">
        <f t="shared" si="116"/>
        <v>30000</v>
      </c>
      <c r="DR80" s="113">
        <f t="shared" si="117"/>
        <v>30000</v>
      </c>
      <c r="DS80" s="113">
        <f t="shared" si="118"/>
        <v>488.21</v>
      </c>
      <c r="DT80" s="113">
        <f t="shared" si="96"/>
        <v>30000</v>
      </c>
      <c r="DU80" s="113">
        <f t="shared" si="96"/>
        <v>30488.21</v>
      </c>
    </row>
    <row r="81" spans="1:125">
      <c r="A81" s="15">
        <v>76</v>
      </c>
      <c r="B81" s="96" t="s">
        <v>683</v>
      </c>
      <c r="C81" s="7" t="s">
        <v>864</v>
      </c>
      <c r="D81" s="96" t="s">
        <v>865</v>
      </c>
      <c r="E81" s="185" t="s">
        <v>1164</v>
      </c>
      <c r="F81" s="161">
        <f t="shared" si="100"/>
        <v>0</v>
      </c>
      <c r="G81" s="161">
        <f t="shared" si="119"/>
        <v>0</v>
      </c>
      <c r="H81" s="161">
        <f t="shared" si="120"/>
        <v>0</v>
      </c>
      <c r="I81" s="161">
        <f t="shared" si="107"/>
        <v>0</v>
      </c>
      <c r="J81" s="165">
        <f t="shared" si="101"/>
        <v>648.375</v>
      </c>
      <c r="K81" s="115"/>
      <c r="L81" s="211">
        <v>0</v>
      </c>
      <c r="M81" s="211">
        <v>0</v>
      </c>
      <c r="N81" s="127">
        <f t="shared" si="102"/>
        <v>648.375</v>
      </c>
      <c r="O81" s="127">
        <f t="shared" si="103"/>
        <v>648.375</v>
      </c>
      <c r="P81" s="127">
        <f t="shared" si="104"/>
        <v>648.375</v>
      </c>
      <c r="Q81" s="131">
        <f t="shared" si="121"/>
        <v>0</v>
      </c>
      <c r="R81" s="125">
        <f t="shared" si="105"/>
        <v>648.375</v>
      </c>
      <c r="S81" s="113">
        <v>0</v>
      </c>
      <c r="T81" s="113"/>
      <c r="U81" s="113">
        <f t="shared" si="106"/>
        <v>0</v>
      </c>
      <c r="V81" s="113">
        <f t="shared" si="97"/>
        <v>0</v>
      </c>
      <c r="W81" s="113">
        <v>0</v>
      </c>
      <c r="X81" s="113">
        <v>0</v>
      </c>
      <c r="Y81" s="113">
        <v>0</v>
      </c>
      <c r="Z81" s="113">
        <v>0</v>
      </c>
      <c r="AA81" s="113">
        <f t="shared" si="80"/>
        <v>0</v>
      </c>
      <c r="AB81" s="113">
        <f t="shared" si="80"/>
        <v>0</v>
      </c>
      <c r="AC81" s="113"/>
      <c r="AD81" s="113"/>
      <c r="AE81" s="113"/>
      <c r="AF81" s="113">
        <v>648.375</v>
      </c>
      <c r="AG81" s="113">
        <f t="shared" si="81"/>
        <v>0</v>
      </c>
      <c r="AH81" s="113">
        <f t="shared" si="81"/>
        <v>648.375</v>
      </c>
      <c r="AI81" s="114">
        <f t="shared" si="98"/>
        <v>0</v>
      </c>
      <c r="AJ81" s="114">
        <f t="shared" si="82"/>
        <v>0</v>
      </c>
      <c r="AK81" s="114">
        <f t="shared" si="82"/>
        <v>0</v>
      </c>
      <c r="AL81" s="114">
        <f t="shared" si="99"/>
        <v>648.375</v>
      </c>
      <c r="AM81" s="113">
        <f t="shared" si="83"/>
        <v>0</v>
      </c>
      <c r="AN81" s="113">
        <f t="shared" si="83"/>
        <v>648.375</v>
      </c>
      <c r="AO81" s="113"/>
      <c r="AP81" s="113"/>
      <c r="AQ81" s="113"/>
      <c r="AR81" s="113"/>
      <c r="AS81" s="113">
        <f t="shared" si="84"/>
        <v>0</v>
      </c>
      <c r="AT81" s="113">
        <f t="shared" si="84"/>
        <v>0</v>
      </c>
      <c r="AU81" s="113"/>
      <c r="AV81" s="113"/>
      <c r="AW81" s="113"/>
      <c r="AX81" s="113"/>
      <c r="AY81" s="113">
        <f t="shared" si="85"/>
        <v>0</v>
      </c>
      <c r="AZ81" s="113">
        <f t="shared" si="85"/>
        <v>0</v>
      </c>
      <c r="BA81" s="113"/>
      <c r="BB81" s="113"/>
      <c r="BC81" s="113"/>
      <c r="BD81" s="113"/>
      <c r="BE81" s="113">
        <f t="shared" si="86"/>
        <v>0</v>
      </c>
      <c r="BF81" s="113"/>
      <c r="BG81" s="113">
        <f t="shared" si="108"/>
        <v>0</v>
      </c>
      <c r="BH81" s="113"/>
      <c r="BI81" s="113"/>
      <c r="BJ81" s="113"/>
      <c r="BK81" s="113"/>
      <c r="BL81" s="113">
        <f t="shared" si="87"/>
        <v>0</v>
      </c>
      <c r="BM81" s="113"/>
      <c r="BN81" s="113">
        <f t="shared" si="109"/>
        <v>0</v>
      </c>
      <c r="BO81" s="113"/>
      <c r="BP81" s="113"/>
      <c r="BQ81" s="113"/>
      <c r="BR81" s="113"/>
      <c r="BS81" s="113">
        <f t="shared" si="88"/>
        <v>0</v>
      </c>
      <c r="BT81" s="113"/>
      <c r="BU81" s="113">
        <f t="shared" si="110"/>
        <v>0</v>
      </c>
      <c r="BV81" s="113"/>
      <c r="BW81" s="113"/>
      <c r="BX81" s="113"/>
      <c r="BY81" s="113"/>
      <c r="BZ81" s="113">
        <f t="shared" si="89"/>
        <v>0</v>
      </c>
      <c r="CA81" s="113"/>
      <c r="CB81" s="113">
        <f t="shared" si="111"/>
        <v>0</v>
      </c>
      <c r="CC81" s="113"/>
      <c r="CD81" s="113"/>
      <c r="CE81" s="113"/>
      <c r="CF81" s="113"/>
      <c r="CG81" s="113">
        <f t="shared" si="90"/>
        <v>0</v>
      </c>
      <c r="CH81" s="113"/>
      <c r="CI81" s="113">
        <f t="shared" si="112"/>
        <v>0</v>
      </c>
      <c r="CJ81" s="113"/>
      <c r="CK81" s="113"/>
      <c r="CL81" s="113"/>
      <c r="CM81" s="113"/>
      <c r="CN81" s="113">
        <f t="shared" si="91"/>
        <v>0</v>
      </c>
      <c r="CO81" s="113"/>
      <c r="CP81" s="113">
        <f t="shared" si="113"/>
        <v>0</v>
      </c>
      <c r="CQ81" s="113"/>
      <c r="CR81" s="113"/>
      <c r="CS81" s="113"/>
      <c r="CT81" s="113"/>
      <c r="CU81" s="113">
        <f t="shared" si="92"/>
        <v>0</v>
      </c>
      <c r="CV81" s="113"/>
      <c r="CW81" s="113">
        <f t="shared" si="114"/>
        <v>0</v>
      </c>
      <c r="CX81" s="113"/>
      <c r="CY81" s="113"/>
      <c r="CZ81" s="113"/>
      <c r="DA81" s="113"/>
      <c r="DB81" s="113">
        <f t="shared" si="93"/>
        <v>0</v>
      </c>
      <c r="DC81" s="113">
        <f t="shared" si="93"/>
        <v>0</v>
      </c>
      <c r="DD81" s="113"/>
      <c r="DE81" s="113"/>
      <c r="DF81" s="113"/>
      <c r="DG81" s="113"/>
      <c r="DH81" s="113">
        <f t="shared" si="94"/>
        <v>0</v>
      </c>
      <c r="DI81" s="113">
        <f t="shared" si="94"/>
        <v>0</v>
      </c>
      <c r="DJ81" s="113"/>
      <c r="DK81" s="113"/>
      <c r="DL81" s="113"/>
      <c r="DM81" s="113"/>
      <c r="DN81" s="113">
        <f t="shared" si="95"/>
        <v>0</v>
      </c>
      <c r="DO81" s="113">
        <f t="shared" si="95"/>
        <v>0</v>
      </c>
      <c r="DP81" s="113">
        <f t="shared" si="115"/>
        <v>0</v>
      </c>
      <c r="DQ81" s="113">
        <f t="shared" si="116"/>
        <v>0</v>
      </c>
      <c r="DR81" s="113">
        <f t="shared" si="117"/>
        <v>0</v>
      </c>
      <c r="DS81" s="113">
        <f t="shared" si="118"/>
        <v>0</v>
      </c>
      <c r="DT81" s="113">
        <f t="shared" si="96"/>
        <v>0</v>
      </c>
      <c r="DU81" s="113">
        <f t="shared" si="96"/>
        <v>0</v>
      </c>
    </row>
    <row r="82" spans="1:125" s="323" customFormat="1">
      <c r="A82" s="318">
        <v>77</v>
      </c>
      <c r="B82" s="319" t="s">
        <v>683</v>
      </c>
      <c r="C82" s="320" t="s">
        <v>864</v>
      </c>
      <c r="D82" s="319" t="s">
        <v>866</v>
      </c>
      <c r="E82" s="319" t="s">
        <v>1165</v>
      </c>
      <c r="F82" s="255">
        <f t="shared" si="100"/>
        <v>0</v>
      </c>
      <c r="G82" s="255">
        <f t="shared" si="119"/>
        <v>0</v>
      </c>
      <c r="H82" s="161">
        <f t="shared" si="120"/>
        <v>0</v>
      </c>
      <c r="I82" s="161">
        <f t="shared" si="107"/>
        <v>0</v>
      </c>
      <c r="J82" s="256">
        <f t="shared" si="101"/>
        <v>0</v>
      </c>
      <c r="K82" s="321">
        <v>25500</v>
      </c>
      <c r="L82" s="211">
        <v>0</v>
      </c>
      <c r="M82" s="211">
        <v>0</v>
      </c>
      <c r="N82" s="127">
        <f t="shared" si="102"/>
        <v>0</v>
      </c>
      <c r="O82" s="127">
        <f t="shared" si="103"/>
        <v>0</v>
      </c>
      <c r="P82" s="255">
        <f t="shared" si="104"/>
        <v>0</v>
      </c>
      <c r="Q82" s="255">
        <f t="shared" si="121"/>
        <v>0</v>
      </c>
      <c r="R82" s="255" t="str">
        <f t="shared" si="105"/>
        <v>ნულოვანი შესრულება</v>
      </c>
      <c r="S82" s="113">
        <v>0</v>
      </c>
      <c r="T82" s="113"/>
      <c r="U82" s="113">
        <f t="shared" si="106"/>
        <v>0</v>
      </c>
      <c r="V82" s="113">
        <f t="shared" si="97"/>
        <v>0</v>
      </c>
      <c r="W82" s="113">
        <v>0</v>
      </c>
      <c r="X82" s="113">
        <v>0</v>
      </c>
      <c r="Y82" s="113">
        <v>0</v>
      </c>
      <c r="Z82" s="113">
        <v>0</v>
      </c>
      <c r="AA82" s="113">
        <f t="shared" ref="AA82:AB134" si="122">W82+Y82</f>
        <v>0</v>
      </c>
      <c r="AB82" s="113">
        <f t="shared" si="122"/>
        <v>0</v>
      </c>
      <c r="AC82" s="113"/>
      <c r="AD82" s="113"/>
      <c r="AE82" s="113"/>
      <c r="AF82" s="113"/>
      <c r="AG82" s="113">
        <f t="shared" ref="AG82:AH134" si="123">AC82+AE82</f>
        <v>0</v>
      </c>
      <c r="AH82" s="113">
        <f t="shared" si="123"/>
        <v>0</v>
      </c>
      <c r="AI82" s="114">
        <f t="shared" si="98"/>
        <v>0</v>
      </c>
      <c r="AJ82" s="114">
        <f t="shared" ref="AJ82:AK134" si="124">S82+X82+AD82</f>
        <v>0</v>
      </c>
      <c r="AK82" s="114">
        <f t="shared" si="124"/>
        <v>0</v>
      </c>
      <c r="AL82" s="114">
        <f t="shared" si="99"/>
        <v>0</v>
      </c>
      <c r="AM82" s="113">
        <f t="shared" ref="AM82:AN134" si="125">AI82+AK82</f>
        <v>0</v>
      </c>
      <c r="AN82" s="113">
        <f t="shared" si="125"/>
        <v>0</v>
      </c>
      <c r="AO82" s="322"/>
      <c r="AP82" s="322"/>
      <c r="AQ82" s="322"/>
      <c r="AR82" s="322"/>
      <c r="AS82" s="322">
        <f t="shared" ref="AS82:AT134" si="126">AO82+AQ82</f>
        <v>0</v>
      </c>
      <c r="AT82" s="322">
        <f t="shared" si="126"/>
        <v>0</v>
      </c>
      <c r="AU82" s="322"/>
      <c r="AV82" s="322"/>
      <c r="AW82" s="322"/>
      <c r="AX82" s="322"/>
      <c r="AY82" s="322">
        <f t="shared" ref="AY82:AZ134" si="127">AU82+AW82</f>
        <v>0</v>
      </c>
      <c r="AZ82" s="322">
        <f t="shared" si="127"/>
        <v>0</v>
      </c>
      <c r="BA82" s="322"/>
      <c r="BB82" s="322"/>
      <c r="BC82" s="322"/>
      <c r="BD82" s="322"/>
      <c r="BE82" s="322">
        <f t="shared" ref="BE82:BE134" si="128">BA82+BC82</f>
        <v>0</v>
      </c>
      <c r="BF82" s="322"/>
      <c r="BG82" s="322">
        <f t="shared" si="108"/>
        <v>0</v>
      </c>
      <c r="BH82" s="322"/>
      <c r="BI82" s="322"/>
      <c r="BJ82" s="322"/>
      <c r="BK82" s="322"/>
      <c r="BL82" s="322">
        <f t="shared" ref="BL82:BL134" si="129">BH82+BJ82</f>
        <v>0</v>
      </c>
      <c r="BM82" s="322"/>
      <c r="BN82" s="322">
        <f t="shared" si="109"/>
        <v>0</v>
      </c>
      <c r="BO82" s="322"/>
      <c r="BP82" s="322"/>
      <c r="BQ82" s="322"/>
      <c r="BR82" s="322"/>
      <c r="BS82" s="322">
        <f t="shared" ref="BS82:BS134" si="130">BO82+BQ82</f>
        <v>0</v>
      </c>
      <c r="BT82" s="322"/>
      <c r="BU82" s="322">
        <f t="shared" si="110"/>
        <v>0</v>
      </c>
      <c r="BV82" s="322"/>
      <c r="BW82" s="322"/>
      <c r="BX82" s="322"/>
      <c r="BY82" s="322"/>
      <c r="BZ82" s="322">
        <f t="shared" ref="BZ82:BZ134" si="131">BV82+BX82</f>
        <v>0</v>
      </c>
      <c r="CA82" s="322"/>
      <c r="CB82" s="322">
        <f t="shared" si="111"/>
        <v>0</v>
      </c>
      <c r="CC82" s="322"/>
      <c r="CD82" s="322"/>
      <c r="CE82" s="322"/>
      <c r="CF82" s="322"/>
      <c r="CG82" s="322">
        <f t="shared" ref="CG82:CG134" si="132">CC82+CE82</f>
        <v>0</v>
      </c>
      <c r="CH82" s="322"/>
      <c r="CI82" s="322">
        <f t="shared" si="112"/>
        <v>0</v>
      </c>
      <c r="CJ82" s="322"/>
      <c r="CK82" s="322"/>
      <c r="CL82" s="322"/>
      <c r="CM82" s="322"/>
      <c r="CN82" s="322">
        <f t="shared" ref="CN82:CN134" si="133">CJ82+CL82</f>
        <v>0</v>
      </c>
      <c r="CO82" s="322"/>
      <c r="CP82" s="322">
        <f t="shared" si="113"/>
        <v>0</v>
      </c>
      <c r="CQ82" s="322"/>
      <c r="CR82" s="322"/>
      <c r="CS82" s="322"/>
      <c r="CT82" s="322"/>
      <c r="CU82" s="322">
        <f t="shared" ref="CU82:CU134" si="134">CQ82+CS82</f>
        <v>0</v>
      </c>
      <c r="CV82" s="322"/>
      <c r="CW82" s="322">
        <f t="shared" si="114"/>
        <v>0</v>
      </c>
      <c r="CX82" s="322"/>
      <c r="CY82" s="322"/>
      <c r="CZ82" s="322"/>
      <c r="DA82" s="322"/>
      <c r="DB82" s="322">
        <f t="shared" ref="DB82:DC134" si="135">CX82+CZ82</f>
        <v>0</v>
      </c>
      <c r="DC82" s="322">
        <f t="shared" si="135"/>
        <v>0</v>
      </c>
      <c r="DD82" s="322"/>
      <c r="DE82" s="322"/>
      <c r="DF82" s="322"/>
      <c r="DG82" s="322"/>
      <c r="DH82" s="322">
        <f t="shared" ref="DH82:DI134" si="136">DD82+DF82</f>
        <v>0</v>
      </c>
      <c r="DI82" s="322">
        <f t="shared" si="136"/>
        <v>0</v>
      </c>
      <c r="DJ82" s="322"/>
      <c r="DK82" s="322"/>
      <c r="DL82" s="322"/>
      <c r="DM82" s="322"/>
      <c r="DN82" s="322">
        <f t="shared" ref="DN82:DO134" si="137">DJ82+DL82</f>
        <v>0</v>
      </c>
      <c r="DO82" s="322">
        <f t="shared" si="137"/>
        <v>0</v>
      </c>
      <c r="DP82" s="322">
        <f t="shared" si="115"/>
        <v>0</v>
      </c>
      <c r="DQ82" s="322">
        <f t="shared" si="116"/>
        <v>0</v>
      </c>
      <c r="DR82" s="322">
        <f t="shared" si="117"/>
        <v>0</v>
      </c>
      <c r="DS82" s="322">
        <f t="shared" si="118"/>
        <v>0</v>
      </c>
      <c r="DT82" s="322">
        <f t="shared" ref="DT82:DU134" si="138">DP82+DR82</f>
        <v>0</v>
      </c>
      <c r="DU82" s="322">
        <f t="shared" si="138"/>
        <v>0</v>
      </c>
    </row>
    <row r="83" spans="1:125">
      <c r="A83" s="15">
        <v>78</v>
      </c>
      <c r="B83" s="96" t="s">
        <v>683</v>
      </c>
      <c r="C83" s="7" t="s">
        <v>867</v>
      </c>
      <c r="D83" s="96" t="s">
        <v>868</v>
      </c>
      <c r="E83" s="185" t="s">
        <v>1164</v>
      </c>
      <c r="F83" s="161">
        <f t="shared" si="100"/>
        <v>0</v>
      </c>
      <c r="G83" s="161">
        <f t="shared" si="119"/>
        <v>0</v>
      </c>
      <c r="H83" s="161">
        <f t="shared" si="120"/>
        <v>0</v>
      </c>
      <c r="I83" s="161">
        <f t="shared" si="107"/>
        <v>0</v>
      </c>
      <c r="J83" s="165">
        <f t="shared" si="101"/>
        <v>0</v>
      </c>
      <c r="K83" s="115"/>
      <c r="L83" s="211">
        <v>0</v>
      </c>
      <c r="M83" s="211">
        <v>0</v>
      </c>
      <c r="N83" s="127">
        <f t="shared" si="102"/>
        <v>0</v>
      </c>
      <c r="O83" s="127">
        <f t="shared" si="103"/>
        <v>0</v>
      </c>
      <c r="P83" s="127">
        <f t="shared" si="104"/>
        <v>0</v>
      </c>
      <c r="Q83" s="131">
        <f t="shared" si="121"/>
        <v>0</v>
      </c>
      <c r="R83" s="125" t="str">
        <f t="shared" si="105"/>
        <v>ნულოვანი შესრულება</v>
      </c>
      <c r="S83" s="113">
        <v>0</v>
      </c>
      <c r="T83" s="113"/>
      <c r="U83" s="113">
        <f t="shared" si="106"/>
        <v>0</v>
      </c>
      <c r="V83" s="113">
        <f t="shared" si="97"/>
        <v>0</v>
      </c>
      <c r="W83" s="113">
        <v>0</v>
      </c>
      <c r="X83" s="113">
        <v>0</v>
      </c>
      <c r="Y83" s="113">
        <v>0</v>
      </c>
      <c r="Z83" s="113">
        <v>0</v>
      </c>
      <c r="AA83" s="113">
        <f t="shared" si="122"/>
        <v>0</v>
      </c>
      <c r="AB83" s="113">
        <f t="shared" si="122"/>
        <v>0</v>
      </c>
      <c r="AC83" s="113"/>
      <c r="AD83" s="113"/>
      <c r="AE83" s="113"/>
      <c r="AF83" s="113"/>
      <c r="AG83" s="113">
        <f t="shared" si="123"/>
        <v>0</v>
      </c>
      <c r="AH83" s="113">
        <f t="shared" si="123"/>
        <v>0</v>
      </c>
      <c r="AI83" s="114">
        <f t="shared" si="98"/>
        <v>0</v>
      </c>
      <c r="AJ83" s="114">
        <f t="shared" si="124"/>
        <v>0</v>
      </c>
      <c r="AK83" s="114">
        <f t="shared" si="124"/>
        <v>0</v>
      </c>
      <c r="AL83" s="114">
        <f t="shared" si="99"/>
        <v>0</v>
      </c>
      <c r="AM83" s="113">
        <f t="shared" si="125"/>
        <v>0</v>
      </c>
      <c r="AN83" s="113">
        <f t="shared" si="125"/>
        <v>0</v>
      </c>
      <c r="AO83" s="113"/>
      <c r="AP83" s="113"/>
      <c r="AQ83" s="113"/>
      <c r="AR83" s="113"/>
      <c r="AS83" s="113">
        <f t="shared" si="126"/>
        <v>0</v>
      </c>
      <c r="AT83" s="113">
        <f t="shared" si="126"/>
        <v>0</v>
      </c>
      <c r="AU83" s="113"/>
      <c r="AV83" s="113"/>
      <c r="AW83" s="113"/>
      <c r="AX83" s="113"/>
      <c r="AY83" s="113">
        <f t="shared" si="127"/>
        <v>0</v>
      </c>
      <c r="AZ83" s="113">
        <f t="shared" si="127"/>
        <v>0</v>
      </c>
      <c r="BA83" s="113"/>
      <c r="BB83" s="113"/>
      <c r="BC83" s="113"/>
      <c r="BD83" s="113"/>
      <c r="BE83" s="113">
        <f t="shared" si="128"/>
        <v>0</v>
      </c>
      <c r="BF83" s="113"/>
      <c r="BG83" s="113">
        <f t="shared" si="108"/>
        <v>0</v>
      </c>
      <c r="BH83" s="113"/>
      <c r="BI83" s="113"/>
      <c r="BJ83" s="113"/>
      <c r="BK83" s="113"/>
      <c r="BL83" s="113">
        <f t="shared" si="129"/>
        <v>0</v>
      </c>
      <c r="BM83" s="113"/>
      <c r="BN83" s="113">
        <f t="shared" si="109"/>
        <v>0</v>
      </c>
      <c r="BO83" s="113"/>
      <c r="BP83" s="113"/>
      <c r="BQ83" s="113"/>
      <c r="BR83" s="113"/>
      <c r="BS83" s="113">
        <f t="shared" si="130"/>
        <v>0</v>
      </c>
      <c r="BT83" s="113"/>
      <c r="BU83" s="113">
        <f t="shared" si="110"/>
        <v>0</v>
      </c>
      <c r="BV83" s="113"/>
      <c r="BW83" s="113"/>
      <c r="BX83" s="113"/>
      <c r="BY83" s="113"/>
      <c r="BZ83" s="113">
        <f t="shared" si="131"/>
        <v>0</v>
      </c>
      <c r="CA83" s="113"/>
      <c r="CB83" s="113">
        <f t="shared" si="111"/>
        <v>0</v>
      </c>
      <c r="CC83" s="113"/>
      <c r="CD83" s="113"/>
      <c r="CE83" s="113"/>
      <c r="CF83" s="113"/>
      <c r="CG83" s="113">
        <f t="shared" si="132"/>
        <v>0</v>
      </c>
      <c r="CH83" s="113"/>
      <c r="CI83" s="113">
        <f t="shared" si="112"/>
        <v>0</v>
      </c>
      <c r="CJ83" s="113"/>
      <c r="CK83" s="113"/>
      <c r="CL83" s="113"/>
      <c r="CM83" s="113"/>
      <c r="CN83" s="113">
        <f t="shared" si="133"/>
        <v>0</v>
      </c>
      <c r="CO83" s="113"/>
      <c r="CP83" s="113">
        <f t="shared" si="113"/>
        <v>0</v>
      </c>
      <c r="CQ83" s="113"/>
      <c r="CR83" s="113"/>
      <c r="CS83" s="113"/>
      <c r="CT83" s="113"/>
      <c r="CU83" s="113">
        <f t="shared" si="134"/>
        <v>0</v>
      </c>
      <c r="CV83" s="113"/>
      <c r="CW83" s="113">
        <f t="shared" si="114"/>
        <v>0</v>
      </c>
      <c r="CX83" s="113"/>
      <c r="CY83" s="113"/>
      <c r="CZ83" s="113"/>
      <c r="DA83" s="113"/>
      <c r="DB83" s="113">
        <f t="shared" si="135"/>
        <v>0</v>
      </c>
      <c r="DC83" s="113">
        <f t="shared" si="135"/>
        <v>0</v>
      </c>
      <c r="DD83" s="113"/>
      <c r="DE83" s="113"/>
      <c r="DF83" s="113"/>
      <c r="DG83" s="113"/>
      <c r="DH83" s="113">
        <f t="shared" si="136"/>
        <v>0</v>
      </c>
      <c r="DI83" s="113">
        <f t="shared" si="136"/>
        <v>0</v>
      </c>
      <c r="DJ83" s="113"/>
      <c r="DK83" s="113"/>
      <c r="DL83" s="113"/>
      <c r="DM83" s="113"/>
      <c r="DN83" s="113">
        <f t="shared" si="137"/>
        <v>0</v>
      </c>
      <c r="DO83" s="113">
        <f t="shared" si="137"/>
        <v>0</v>
      </c>
      <c r="DP83" s="113">
        <f t="shared" si="115"/>
        <v>0</v>
      </c>
      <c r="DQ83" s="113">
        <f t="shared" si="116"/>
        <v>0</v>
      </c>
      <c r="DR83" s="113">
        <f t="shared" si="117"/>
        <v>0</v>
      </c>
      <c r="DS83" s="113">
        <f t="shared" si="118"/>
        <v>0</v>
      </c>
      <c r="DT83" s="113">
        <f t="shared" si="138"/>
        <v>0</v>
      </c>
      <c r="DU83" s="113">
        <f t="shared" si="138"/>
        <v>0</v>
      </c>
    </row>
    <row r="84" spans="1:125" s="323" customFormat="1">
      <c r="A84" s="318">
        <v>79</v>
      </c>
      <c r="B84" s="319" t="s">
        <v>683</v>
      </c>
      <c r="C84" s="320" t="s">
        <v>867</v>
      </c>
      <c r="D84" s="319" t="s">
        <v>869</v>
      </c>
      <c r="E84" s="319" t="s">
        <v>1165</v>
      </c>
      <c r="F84" s="255">
        <f t="shared" si="100"/>
        <v>0</v>
      </c>
      <c r="G84" s="255">
        <f t="shared" si="119"/>
        <v>0</v>
      </c>
      <c r="H84" s="161">
        <f t="shared" si="120"/>
        <v>0</v>
      </c>
      <c r="I84" s="161">
        <f t="shared" si="107"/>
        <v>0</v>
      </c>
      <c r="J84" s="256">
        <f t="shared" si="101"/>
        <v>0</v>
      </c>
      <c r="K84" s="321">
        <v>15400</v>
      </c>
      <c r="L84" s="211">
        <v>0</v>
      </c>
      <c r="M84" s="211">
        <v>0</v>
      </c>
      <c r="N84" s="127">
        <f t="shared" si="102"/>
        <v>0</v>
      </c>
      <c r="O84" s="127">
        <f t="shared" si="103"/>
        <v>0</v>
      </c>
      <c r="P84" s="255">
        <f t="shared" si="104"/>
        <v>0</v>
      </c>
      <c r="Q84" s="255">
        <f t="shared" si="121"/>
        <v>0</v>
      </c>
      <c r="R84" s="255" t="str">
        <f t="shared" si="105"/>
        <v>ნულოვანი შესრულება</v>
      </c>
      <c r="S84" s="113">
        <v>0</v>
      </c>
      <c r="T84" s="113"/>
      <c r="U84" s="113">
        <f t="shared" si="106"/>
        <v>0</v>
      </c>
      <c r="V84" s="113">
        <f t="shared" si="97"/>
        <v>0</v>
      </c>
      <c r="W84" s="113">
        <v>0</v>
      </c>
      <c r="X84" s="113">
        <v>0</v>
      </c>
      <c r="Y84" s="113">
        <v>0</v>
      </c>
      <c r="Z84" s="113">
        <v>0</v>
      </c>
      <c r="AA84" s="113">
        <f t="shared" si="122"/>
        <v>0</v>
      </c>
      <c r="AB84" s="113">
        <f t="shared" si="122"/>
        <v>0</v>
      </c>
      <c r="AC84" s="113"/>
      <c r="AD84" s="113"/>
      <c r="AE84" s="113"/>
      <c r="AF84" s="113"/>
      <c r="AG84" s="113">
        <f t="shared" si="123"/>
        <v>0</v>
      </c>
      <c r="AH84" s="113">
        <f t="shared" si="123"/>
        <v>0</v>
      </c>
      <c r="AI84" s="114">
        <f t="shared" si="98"/>
        <v>0</v>
      </c>
      <c r="AJ84" s="114">
        <f t="shared" si="124"/>
        <v>0</v>
      </c>
      <c r="AK84" s="114">
        <f t="shared" si="124"/>
        <v>0</v>
      </c>
      <c r="AL84" s="114">
        <f t="shared" si="99"/>
        <v>0</v>
      </c>
      <c r="AM84" s="113">
        <f t="shared" si="125"/>
        <v>0</v>
      </c>
      <c r="AN84" s="113">
        <f t="shared" si="125"/>
        <v>0</v>
      </c>
      <c r="AO84" s="322"/>
      <c r="AP84" s="322"/>
      <c r="AQ84" s="322"/>
      <c r="AR84" s="322"/>
      <c r="AS84" s="322">
        <f t="shared" si="126"/>
        <v>0</v>
      </c>
      <c r="AT84" s="322">
        <f t="shared" si="126"/>
        <v>0</v>
      </c>
      <c r="AU84" s="322"/>
      <c r="AV84" s="322"/>
      <c r="AW84" s="322"/>
      <c r="AX84" s="322"/>
      <c r="AY84" s="322">
        <f t="shared" si="127"/>
        <v>0</v>
      </c>
      <c r="AZ84" s="322">
        <f t="shared" si="127"/>
        <v>0</v>
      </c>
      <c r="BA84" s="322"/>
      <c r="BB84" s="322"/>
      <c r="BC84" s="322"/>
      <c r="BD84" s="322"/>
      <c r="BE84" s="322">
        <f t="shared" si="128"/>
        <v>0</v>
      </c>
      <c r="BF84" s="322"/>
      <c r="BG84" s="322">
        <f t="shared" si="108"/>
        <v>0</v>
      </c>
      <c r="BH84" s="322"/>
      <c r="BI84" s="322"/>
      <c r="BJ84" s="322"/>
      <c r="BK84" s="322"/>
      <c r="BL84" s="322">
        <f t="shared" si="129"/>
        <v>0</v>
      </c>
      <c r="BM84" s="322"/>
      <c r="BN84" s="322">
        <f t="shared" si="109"/>
        <v>0</v>
      </c>
      <c r="BO84" s="322"/>
      <c r="BP84" s="322"/>
      <c r="BQ84" s="322"/>
      <c r="BR84" s="322"/>
      <c r="BS84" s="322">
        <f t="shared" si="130"/>
        <v>0</v>
      </c>
      <c r="BT84" s="322"/>
      <c r="BU84" s="322">
        <f t="shared" si="110"/>
        <v>0</v>
      </c>
      <c r="BV84" s="322"/>
      <c r="BW84" s="322"/>
      <c r="BX84" s="322"/>
      <c r="BY84" s="322"/>
      <c r="BZ84" s="322">
        <f t="shared" si="131"/>
        <v>0</v>
      </c>
      <c r="CA84" s="322"/>
      <c r="CB84" s="322">
        <f t="shared" si="111"/>
        <v>0</v>
      </c>
      <c r="CC84" s="322"/>
      <c r="CD84" s="322"/>
      <c r="CE84" s="322"/>
      <c r="CF84" s="322"/>
      <c r="CG84" s="322">
        <f t="shared" si="132"/>
        <v>0</v>
      </c>
      <c r="CH84" s="322"/>
      <c r="CI84" s="322">
        <f t="shared" si="112"/>
        <v>0</v>
      </c>
      <c r="CJ84" s="322"/>
      <c r="CK84" s="322"/>
      <c r="CL84" s="322"/>
      <c r="CM84" s="322"/>
      <c r="CN84" s="322">
        <f t="shared" si="133"/>
        <v>0</v>
      </c>
      <c r="CO84" s="322"/>
      <c r="CP84" s="322">
        <f t="shared" si="113"/>
        <v>0</v>
      </c>
      <c r="CQ84" s="322"/>
      <c r="CR84" s="322"/>
      <c r="CS84" s="322"/>
      <c r="CT84" s="322"/>
      <c r="CU84" s="322">
        <f t="shared" si="134"/>
        <v>0</v>
      </c>
      <c r="CV84" s="322"/>
      <c r="CW84" s="322">
        <f t="shared" si="114"/>
        <v>0</v>
      </c>
      <c r="CX84" s="322"/>
      <c r="CY84" s="322"/>
      <c r="CZ84" s="322"/>
      <c r="DA84" s="322"/>
      <c r="DB84" s="322">
        <f t="shared" si="135"/>
        <v>0</v>
      </c>
      <c r="DC84" s="322">
        <f t="shared" si="135"/>
        <v>0</v>
      </c>
      <c r="DD84" s="322"/>
      <c r="DE84" s="322"/>
      <c r="DF84" s="322"/>
      <c r="DG84" s="322"/>
      <c r="DH84" s="322">
        <f t="shared" si="136"/>
        <v>0</v>
      </c>
      <c r="DI84" s="322">
        <f t="shared" si="136"/>
        <v>0</v>
      </c>
      <c r="DJ84" s="322"/>
      <c r="DK84" s="322"/>
      <c r="DL84" s="322"/>
      <c r="DM84" s="322"/>
      <c r="DN84" s="322">
        <f t="shared" si="137"/>
        <v>0</v>
      </c>
      <c r="DO84" s="322">
        <f t="shared" si="137"/>
        <v>0</v>
      </c>
      <c r="DP84" s="322">
        <f t="shared" si="115"/>
        <v>0</v>
      </c>
      <c r="DQ84" s="322">
        <f t="shared" si="116"/>
        <v>0</v>
      </c>
      <c r="DR84" s="322">
        <f t="shared" si="117"/>
        <v>0</v>
      </c>
      <c r="DS84" s="322">
        <f t="shared" si="118"/>
        <v>0</v>
      </c>
      <c r="DT84" s="322">
        <f t="shared" si="138"/>
        <v>0</v>
      </c>
      <c r="DU84" s="322">
        <f t="shared" si="138"/>
        <v>0</v>
      </c>
    </row>
    <row r="85" spans="1:125">
      <c r="A85" s="15">
        <v>80</v>
      </c>
      <c r="B85" s="96" t="s">
        <v>683</v>
      </c>
      <c r="C85" s="112" t="s">
        <v>870</v>
      </c>
      <c r="D85" s="96" t="s">
        <v>871</v>
      </c>
      <c r="E85" s="185" t="s">
        <v>1165</v>
      </c>
      <c r="F85" s="161">
        <f t="shared" si="100"/>
        <v>0</v>
      </c>
      <c r="G85" s="161">
        <f t="shared" si="119"/>
        <v>0</v>
      </c>
      <c r="H85" s="161">
        <f t="shared" si="120"/>
        <v>0</v>
      </c>
      <c r="I85" s="161">
        <f t="shared" si="107"/>
        <v>0</v>
      </c>
      <c r="J85" s="165">
        <f t="shared" si="101"/>
        <v>124530.14</v>
      </c>
      <c r="K85" s="115">
        <v>25500</v>
      </c>
      <c r="L85" s="211">
        <v>0</v>
      </c>
      <c r="M85" s="211">
        <v>0</v>
      </c>
      <c r="N85" s="127">
        <f t="shared" si="102"/>
        <v>124530.14</v>
      </c>
      <c r="O85" s="127">
        <f t="shared" si="103"/>
        <v>124530.14</v>
      </c>
      <c r="P85" s="127">
        <f t="shared" si="104"/>
        <v>124530.14</v>
      </c>
      <c r="Q85" s="131">
        <f t="shared" si="121"/>
        <v>0</v>
      </c>
      <c r="R85" s="125">
        <f t="shared" si="105"/>
        <v>124530.14</v>
      </c>
      <c r="S85" s="113">
        <v>95000</v>
      </c>
      <c r="T85" s="113"/>
      <c r="U85" s="113">
        <f t="shared" si="106"/>
        <v>95000</v>
      </c>
      <c r="V85" s="113">
        <f t="shared" si="97"/>
        <v>0</v>
      </c>
      <c r="W85" s="113">
        <v>0</v>
      </c>
      <c r="X85" s="113">
        <v>0</v>
      </c>
      <c r="Y85" s="113">
        <f>124530-T85</f>
        <v>124530</v>
      </c>
      <c r="Z85" s="113">
        <v>29530.14</v>
      </c>
      <c r="AA85" s="113">
        <f t="shared" si="122"/>
        <v>124530</v>
      </c>
      <c r="AB85" s="113">
        <f t="shared" si="122"/>
        <v>29530.14</v>
      </c>
      <c r="AC85" s="113"/>
      <c r="AD85" s="113"/>
      <c r="AE85" s="113"/>
      <c r="AF85" s="113"/>
      <c r="AG85" s="113">
        <f t="shared" si="123"/>
        <v>0</v>
      </c>
      <c r="AH85" s="113">
        <f t="shared" si="123"/>
        <v>0</v>
      </c>
      <c r="AI85" s="114">
        <f t="shared" si="98"/>
        <v>95000</v>
      </c>
      <c r="AJ85" s="114">
        <f t="shared" si="124"/>
        <v>95000</v>
      </c>
      <c r="AK85" s="114">
        <f t="shared" si="124"/>
        <v>124530</v>
      </c>
      <c r="AL85" s="114">
        <f t="shared" si="99"/>
        <v>29530.14</v>
      </c>
      <c r="AM85" s="113">
        <f t="shared" si="125"/>
        <v>219530</v>
      </c>
      <c r="AN85" s="113">
        <f t="shared" si="125"/>
        <v>124530.14</v>
      </c>
      <c r="AO85" s="113"/>
      <c r="AP85" s="113"/>
      <c r="AQ85" s="113"/>
      <c r="AR85" s="113"/>
      <c r="AS85" s="113">
        <f t="shared" si="126"/>
        <v>0</v>
      </c>
      <c r="AT85" s="113">
        <f t="shared" si="126"/>
        <v>0</v>
      </c>
      <c r="AU85" s="113"/>
      <c r="AV85" s="113"/>
      <c r="AW85" s="113"/>
      <c r="AX85" s="113"/>
      <c r="AY85" s="113">
        <f t="shared" si="127"/>
        <v>0</v>
      </c>
      <c r="AZ85" s="113">
        <f t="shared" si="127"/>
        <v>0</v>
      </c>
      <c r="BA85" s="113"/>
      <c r="BB85" s="113"/>
      <c r="BC85" s="113"/>
      <c r="BD85" s="113"/>
      <c r="BE85" s="113">
        <f t="shared" si="128"/>
        <v>0</v>
      </c>
      <c r="BF85" s="113"/>
      <c r="BG85" s="113">
        <f t="shared" si="108"/>
        <v>0</v>
      </c>
      <c r="BH85" s="113"/>
      <c r="BI85" s="113"/>
      <c r="BJ85" s="113"/>
      <c r="BK85" s="113"/>
      <c r="BL85" s="113">
        <f t="shared" si="129"/>
        <v>0</v>
      </c>
      <c r="BM85" s="113"/>
      <c r="BN85" s="113">
        <f t="shared" si="109"/>
        <v>0</v>
      </c>
      <c r="BO85" s="113"/>
      <c r="BP85" s="113"/>
      <c r="BQ85" s="113"/>
      <c r="BR85" s="113"/>
      <c r="BS85" s="113">
        <f t="shared" si="130"/>
        <v>0</v>
      </c>
      <c r="BT85" s="113"/>
      <c r="BU85" s="113">
        <f t="shared" si="110"/>
        <v>0</v>
      </c>
      <c r="BV85" s="113"/>
      <c r="BW85" s="113"/>
      <c r="BX85" s="113"/>
      <c r="BY85" s="113"/>
      <c r="BZ85" s="113">
        <f t="shared" si="131"/>
        <v>0</v>
      </c>
      <c r="CA85" s="113"/>
      <c r="CB85" s="113">
        <f t="shared" si="111"/>
        <v>0</v>
      </c>
      <c r="CC85" s="113"/>
      <c r="CD85" s="113"/>
      <c r="CE85" s="113"/>
      <c r="CF85" s="113"/>
      <c r="CG85" s="113">
        <f t="shared" si="132"/>
        <v>0</v>
      </c>
      <c r="CH85" s="113"/>
      <c r="CI85" s="113">
        <f t="shared" si="112"/>
        <v>0</v>
      </c>
      <c r="CJ85" s="113"/>
      <c r="CK85" s="113"/>
      <c r="CL85" s="113"/>
      <c r="CM85" s="113"/>
      <c r="CN85" s="113">
        <f t="shared" si="133"/>
        <v>0</v>
      </c>
      <c r="CO85" s="113"/>
      <c r="CP85" s="113">
        <f t="shared" si="113"/>
        <v>0</v>
      </c>
      <c r="CQ85" s="113"/>
      <c r="CR85" s="113"/>
      <c r="CS85" s="113"/>
      <c r="CT85" s="113"/>
      <c r="CU85" s="113">
        <f t="shared" si="134"/>
        <v>0</v>
      </c>
      <c r="CV85" s="113"/>
      <c r="CW85" s="113">
        <f t="shared" si="114"/>
        <v>0</v>
      </c>
      <c r="CX85" s="113"/>
      <c r="CY85" s="113"/>
      <c r="CZ85" s="113"/>
      <c r="DA85" s="113"/>
      <c r="DB85" s="113">
        <f t="shared" si="135"/>
        <v>0</v>
      </c>
      <c r="DC85" s="113">
        <f t="shared" si="135"/>
        <v>0</v>
      </c>
      <c r="DD85" s="113"/>
      <c r="DE85" s="113"/>
      <c r="DF85" s="113"/>
      <c r="DG85" s="113"/>
      <c r="DH85" s="113">
        <f t="shared" si="136"/>
        <v>0</v>
      </c>
      <c r="DI85" s="113">
        <f t="shared" si="136"/>
        <v>0</v>
      </c>
      <c r="DJ85" s="113"/>
      <c r="DK85" s="113"/>
      <c r="DL85" s="113"/>
      <c r="DM85" s="113"/>
      <c r="DN85" s="113">
        <f t="shared" si="137"/>
        <v>0</v>
      </c>
      <c r="DO85" s="113">
        <f t="shared" si="137"/>
        <v>0</v>
      </c>
      <c r="DP85" s="113">
        <f t="shared" si="115"/>
        <v>0</v>
      </c>
      <c r="DQ85" s="113">
        <f t="shared" si="116"/>
        <v>0</v>
      </c>
      <c r="DR85" s="113">
        <f t="shared" si="117"/>
        <v>0</v>
      </c>
      <c r="DS85" s="113">
        <f t="shared" si="118"/>
        <v>0</v>
      </c>
      <c r="DT85" s="113">
        <f t="shared" si="138"/>
        <v>0</v>
      </c>
      <c r="DU85" s="113">
        <f t="shared" si="138"/>
        <v>0</v>
      </c>
    </row>
    <row r="86" spans="1:125">
      <c r="A86" s="15">
        <v>81</v>
      </c>
      <c r="B86" s="96" t="s">
        <v>683</v>
      </c>
      <c r="C86" s="7" t="s">
        <v>872</v>
      </c>
      <c r="D86" s="96" t="s">
        <v>873</v>
      </c>
      <c r="E86" s="185" t="s">
        <v>1164</v>
      </c>
      <c r="F86" s="161">
        <f t="shared" si="100"/>
        <v>0</v>
      </c>
      <c r="G86" s="161">
        <f t="shared" si="119"/>
        <v>0</v>
      </c>
      <c r="H86" s="161">
        <f t="shared" si="120"/>
        <v>0</v>
      </c>
      <c r="I86" s="161">
        <f t="shared" si="107"/>
        <v>0</v>
      </c>
      <c r="J86" s="165">
        <f t="shared" si="101"/>
        <v>0</v>
      </c>
      <c r="K86" s="115"/>
      <c r="L86" s="211">
        <v>0</v>
      </c>
      <c r="M86" s="211">
        <v>0</v>
      </c>
      <c r="N86" s="127">
        <f t="shared" si="102"/>
        <v>0</v>
      </c>
      <c r="O86" s="127">
        <f t="shared" si="103"/>
        <v>0</v>
      </c>
      <c r="P86" s="127">
        <f t="shared" si="104"/>
        <v>0</v>
      </c>
      <c r="Q86" s="131">
        <f t="shared" si="121"/>
        <v>0</v>
      </c>
      <c r="R86" s="125" t="str">
        <f t="shared" si="105"/>
        <v>ნულოვანი შესრულება</v>
      </c>
      <c r="S86" s="113">
        <v>0</v>
      </c>
      <c r="T86" s="113"/>
      <c r="U86" s="113">
        <f t="shared" si="106"/>
        <v>0</v>
      </c>
      <c r="V86" s="113">
        <f t="shared" si="97"/>
        <v>0</v>
      </c>
      <c r="W86" s="113">
        <v>0</v>
      </c>
      <c r="X86" s="113">
        <v>0</v>
      </c>
      <c r="Y86" s="113">
        <v>0</v>
      </c>
      <c r="Z86" s="113">
        <v>0</v>
      </c>
      <c r="AA86" s="113">
        <f t="shared" si="122"/>
        <v>0</v>
      </c>
      <c r="AB86" s="113">
        <f t="shared" si="122"/>
        <v>0</v>
      </c>
      <c r="AC86" s="113"/>
      <c r="AD86" s="113"/>
      <c r="AE86" s="113"/>
      <c r="AF86" s="113"/>
      <c r="AG86" s="113">
        <f t="shared" si="123"/>
        <v>0</v>
      </c>
      <c r="AH86" s="113">
        <f t="shared" si="123"/>
        <v>0</v>
      </c>
      <c r="AI86" s="114">
        <f t="shared" si="98"/>
        <v>0</v>
      </c>
      <c r="AJ86" s="114">
        <f t="shared" si="124"/>
        <v>0</v>
      </c>
      <c r="AK86" s="114">
        <f t="shared" si="124"/>
        <v>0</v>
      </c>
      <c r="AL86" s="114">
        <f t="shared" si="99"/>
        <v>0</v>
      </c>
      <c r="AM86" s="113">
        <f t="shared" si="125"/>
        <v>0</v>
      </c>
      <c r="AN86" s="113">
        <f t="shared" si="125"/>
        <v>0</v>
      </c>
      <c r="AO86" s="113"/>
      <c r="AP86" s="113"/>
      <c r="AQ86" s="113"/>
      <c r="AR86" s="113"/>
      <c r="AS86" s="113">
        <f t="shared" si="126"/>
        <v>0</v>
      </c>
      <c r="AT86" s="113">
        <f t="shared" si="126"/>
        <v>0</v>
      </c>
      <c r="AU86" s="113"/>
      <c r="AV86" s="113"/>
      <c r="AW86" s="113"/>
      <c r="AX86" s="113"/>
      <c r="AY86" s="113">
        <f t="shared" si="127"/>
        <v>0</v>
      </c>
      <c r="AZ86" s="113">
        <f t="shared" si="127"/>
        <v>0</v>
      </c>
      <c r="BA86" s="113"/>
      <c r="BB86" s="113"/>
      <c r="BC86" s="113"/>
      <c r="BD86" s="113"/>
      <c r="BE86" s="113">
        <f t="shared" si="128"/>
        <v>0</v>
      </c>
      <c r="BF86" s="113"/>
      <c r="BG86" s="113">
        <f t="shared" si="108"/>
        <v>0</v>
      </c>
      <c r="BH86" s="113"/>
      <c r="BI86" s="113"/>
      <c r="BJ86" s="113"/>
      <c r="BK86" s="113"/>
      <c r="BL86" s="113">
        <f t="shared" si="129"/>
        <v>0</v>
      </c>
      <c r="BM86" s="113"/>
      <c r="BN86" s="113">
        <f t="shared" si="109"/>
        <v>0</v>
      </c>
      <c r="BO86" s="113"/>
      <c r="BP86" s="113"/>
      <c r="BQ86" s="113"/>
      <c r="BR86" s="113"/>
      <c r="BS86" s="113">
        <f t="shared" si="130"/>
        <v>0</v>
      </c>
      <c r="BT86" s="113"/>
      <c r="BU86" s="113">
        <f t="shared" si="110"/>
        <v>0</v>
      </c>
      <c r="BV86" s="113"/>
      <c r="BW86" s="113"/>
      <c r="BX86" s="113"/>
      <c r="BY86" s="113"/>
      <c r="BZ86" s="113">
        <f t="shared" si="131"/>
        <v>0</v>
      </c>
      <c r="CA86" s="113"/>
      <c r="CB86" s="113">
        <f t="shared" si="111"/>
        <v>0</v>
      </c>
      <c r="CC86" s="113"/>
      <c r="CD86" s="113"/>
      <c r="CE86" s="113"/>
      <c r="CF86" s="113"/>
      <c r="CG86" s="113">
        <f t="shared" si="132"/>
        <v>0</v>
      </c>
      <c r="CH86" s="113"/>
      <c r="CI86" s="113">
        <f t="shared" si="112"/>
        <v>0</v>
      </c>
      <c r="CJ86" s="113"/>
      <c r="CK86" s="113"/>
      <c r="CL86" s="113"/>
      <c r="CM86" s="113"/>
      <c r="CN86" s="113">
        <f t="shared" si="133"/>
        <v>0</v>
      </c>
      <c r="CO86" s="113"/>
      <c r="CP86" s="113">
        <f t="shared" si="113"/>
        <v>0</v>
      </c>
      <c r="CQ86" s="113"/>
      <c r="CR86" s="113"/>
      <c r="CS86" s="113"/>
      <c r="CT86" s="113"/>
      <c r="CU86" s="113">
        <f t="shared" si="134"/>
        <v>0</v>
      </c>
      <c r="CV86" s="113"/>
      <c r="CW86" s="113">
        <f t="shared" si="114"/>
        <v>0</v>
      </c>
      <c r="CX86" s="113"/>
      <c r="CY86" s="113"/>
      <c r="CZ86" s="113"/>
      <c r="DA86" s="113"/>
      <c r="DB86" s="113">
        <f t="shared" si="135"/>
        <v>0</v>
      </c>
      <c r="DC86" s="113">
        <f t="shared" si="135"/>
        <v>0</v>
      </c>
      <c r="DD86" s="113"/>
      <c r="DE86" s="113"/>
      <c r="DF86" s="113"/>
      <c r="DG86" s="113"/>
      <c r="DH86" s="113">
        <f t="shared" si="136"/>
        <v>0</v>
      </c>
      <c r="DI86" s="113">
        <f t="shared" si="136"/>
        <v>0</v>
      </c>
      <c r="DJ86" s="113"/>
      <c r="DK86" s="113"/>
      <c r="DL86" s="113"/>
      <c r="DM86" s="113"/>
      <c r="DN86" s="113">
        <f t="shared" si="137"/>
        <v>0</v>
      </c>
      <c r="DO86" s="113">
        <f t="shared" si="137"/>
        <v>0</v>
      </c>
      <c r="DP86" s="113">
        <f t="shared" si="115"/>
        <v>0</v>
      </c>
      <c r="DQ86" s="113">
        <f t="shared" si="116"/>
        <v>0</v>
      </c>
      <c r="DR86" s="113">
        <f t="shared" si="117"/>
        <v>0</v>
      </c>
      <c r="DS86" s="113">
        <f t="shared" si="118"/>
        <v>0</v>
      </c>
      <c r="DT86" s="113">
        <f t="shared" si="138"/>
        <v>0</v>
      </c>
      <c r="DU86" s="113">
        <f t="shared" si="138"/>
        <v>0</v>
      </c>
    </row>
    <row r="87" spans="1:125">
      <c r="A87" s="15">
        <v>82</v>
      </c>
      <c r="B87" s="96" t="s">
        <v>683</v>
      </c>
      <c r="C87" s="112" t="s">
        <v>872</v>
      </c>
      <c r="D87" s="96" t="s">
        <v>874</v>
      </c>
      <c r="E87" s="185" t="s">
        <v>1165</v>
      </c>
      <c r="F87" s="161">
        <f t="shared" si="100"/>
        <v>40000</v>
      </c>
      <c r="G87" s="161">
        <f t="shared" si="119"/>
        <v>50021.34</v>
      </c>
      <c r="H87" s="161">
        <f t="shared" si="120"/>
        <v>-10021.339999999997</v>
      </c>
      <c r="I87" s="161">
        <f t="shared" si="107"/>
        <v>46800</v>
      </c>
      <c r="J87" s="165">
        <f t="shared" si="101"/>
        <v>40000</v>
      </c>
      <c r="K87" s="115">
        <v>15298.228999999999</v>
      </c>
      <c r="L87" s="211">
        <v>0</v>
      </c>
      <c r="M87" s="211">
        <v>0</v>
      </c>
      <c r="N87" s="127">
        <f t="shared" si="102"/>
        <v>0</v>
      </c>
      <c r="O87" s="127">
        <f t="shared" si="103"/>
        <v>0</v>
      </c>
      <c r="P87" s="127">
        <f t="shared" si="104"/>
        <v>0</v>
      </c>
      <c r="Q87" s="131">
        <f t="shared" si="121"/>
        <v>40000</v>
      </c>
      <c r="R87" s="125" t="str">
        <f t="shared" si="105"/>
        <v>მიმდინარეობს</v>
      </c>
      <c r="S87" s="113">
        <v>0</v>
      </c>
      <c r="T87" s="113"/>
      <c r="U87" s="113">
        <f t="shared" si="106"/>
        <v>0</v>
      </c>
      <c r="V87" s="113">
        <f t="shared" si="97"/>
        <v>0</v>
      </c>
      <c r="W87" s="113">
        <v>0</v>
      </c>
      <c r="X87" s="113">
        <v>0</v>
      </c>
      <c r="Y87" s="113">
        <v>0</v>
      </c>
      <c r="Z87" s="113">
        <v>0</v>
      </c>
      <c r="AA87" s="113">
        <f t="shared" si="122"/>
        <v>0</v>
      </c>
      <c r="AB87" s="113">
        <f t="shared" si="122"/>
        <v>0</v>
      </c>
      <c r="AC87" s="113"/>
      <c r="AD87" s="113"/>
      <c r="AE87" s="113"/>
      <c r="AF87" s="113"/>
      <c r="AG87" s="113">
        <f t="shared" si="123"/>
        <v>0</v>
      </c>
      <c r="AH87" s="113">
        <f t="shared" si="123"/>
        <v>0</v>
      </c>
      <c r="AI87" s="114">
        <f t="shared" si="98"/>
        <v>0</v>
      </c>
      <c r="AJ87" s="114">
        <f t="shared" si="124"/>
        <v>0</v>
      </c>
      <c r="AK87" s="114">
        <f t="shared" si="124"/>
        <v>0</v>
      </c>
      <c r="AL87" s="114">
        <f t="shared" si="99"/>
        <v>0</v>
      </c>
      <c r="AM87" s="113">
        <f t="shared" si="125"/>
        <v>0</v>
      </c>
      <c r="AN87" s="113">
        <f t="shared" si="125"/>
        <v>0</v>
      </c>
      <c r="AO87" s="113"/>
      <c r="AP87" s="113"/>
      <c r="AQ87" s="113"/>
      <c r="AR87" s="113"/>
      <c r="AS87" s="113">
        <f t="shared" si="126"/>
        <v>0</v>
      </c>
      <c r="AT87" s="113">
        <f t="shared" si="126"/>
        <v>0</v>
      </c>
      <c r="AU87" s="113"/>
      <c r="AV87" s="113"/>
      <c r="AW87" s="113">
        <v>40000</v>
      </c>
      <c r="AX87" s="113"/>
      <c r="AY87" s="113">
        <f t="shared" si="127"/>
        <v>40000</v>
      </c>
      <c r="AZ87" s="113">
        <f t="shared" si="127"/>
        <v>0</v>
      </c>
      <c r="BA87" s="113"/>
      <c r="BB87" s="113">
        <v>46000</v>
      </c>
      <c r="BC87" s="113"/>
      <c r="BD87" s="113"/>
      <c r="BE87" s="113">
        <f t="shared" si="128"/>
        <v>0</v>
      </c>
      <c r="BF87" s="113">
        <v>46000</v>
      </c>
      <c r="BG87" s="113">
        <f t="shared" si="108"/>
        <v>46000</v>
      </c>
      <c r="BH87" s="113"/>
      <c r="BI87" s="113"/>
      <c r="BJ87" s="113"/>
      <c r="BK87" s="113"/>
      <c r="BL87" s="113">
        <f t="shared" si="129"/>
        <v>0</v>
      </c>
      <c r="BM87" s="113"/>
      <c r="BN87" s="113">
        <f t="shared" si="109"/>
        <v>0</v>
      </c>
      <c r="BO87" s="113"/>
      <c r="BP87" s="113"/>
      <c r="BQ87" s="113"/>
      <c r="BR87" s="113"/>
      <c r="BS87" s="113">
        <f t="shared" si="130"/>
        <v>0</v>
      </c>
      <c r="BT87" s="113">
        <v>800</v>
      </c>
      <c r="BU87" s="113">
        <f t="shared" si="110"/>
        <v>0</v>
      </c>
      <c r="BV87" s="113"/>
      <c r="BW87" s="113"/>
      <c r="BX87" s="113"/>
      <c r="BY87" s="113"/>
      <c r="BZ87" s="113">
        <f t="shared" si="131"/>
        <v>0</v>
      </c>
      <c r="CA87" s="113"/>
      <c r="CB87" s="113">
        <f t="shared" si="111"/>
        <v>0</v>
      </c>
      <c r="CC87" s="113"/>
      <c r="CD87" s="113"/>
      <c r="CE87" s="113"/>
      <c r="CF87" s="113"/>
      <c r="CG87" s="113">
        <f t="shared" si="132"/>
        <v>0</v>
      </c>
      <c r="CH87" s="113"/>
      <c r="CI87" s="113">
        <f t="shared" si="112"/>
        <v>0</v>
      </c>
      <c r="CJ87" s="113"/>
      <c r="CK87" s="113"/>
      <c r="CL87" s="113"/>
      <c r="CM87" s="113"/>
      <c r="CN87" s="113">
        <f t="shared" si="133"/>
        <v>0</v>
      </c>
      <c r="CO87" s="113"/>
      <c r="CP87" s="113">
        <f t="shared" si="113"/>
        <v>0</v>
      </c>
      <c r="CQ87" s="113"/>
      <c r="CR87" s="113"/>
      <c r="CS87" s="113"/>
      <c r="CT87" s="113"/>
      <c r="CU87" s="113">
        <f t="shared" si="134"/>
        <v>0</v>
      </c>
      <c r="CV87" s="113"/>
      <c r="CW87" s="113">
        <f t="shared" si="114"/>
        <v>0</v>
      </c>
      <c r="CX87" s="113"/>
      <c r="CY87" s="113"/>
      <c r="CZ87" s="113"/>
      <c r="DA87" s="113"/>
      <c r="DB87" s="113">
        <f t="shared" si="135"/>
        <v>0</v>
      </c>
      <c r="DC87" s="113">
        <f t="shared" si="135"/>
        <v>0</v>
      </c>
      <c r="DD87" s="113"/>
      <c r="DE87" s="113">
        <v>4021.34</v>
      </c>
      <c r="DF87" s="113"/>
      <c r="DG87" s="113"/>
      <c r="DH87" s="113">
        <f t="shared" si="136"/>
        <v>0</v>
      </c>
      <c r="DI87" s="113">
        <f t="shared" si="136"/>
        <v>4021.34</v>
      </c>
      <c r="DJ87" s="113"/>
      <c r="DK87" s="113"/>
      <c r="DL87" s="113"/>
      <c r="DM87" s="113"/>
      <c r="DN87" s="113">
        <f t="shared" si="137"/>
        <v>0</v>
      </c>
      <c r="DO87" s="113">
        <f t="shared" si="137"/>
        <v>0</v>
      </c>
      <c r="DP87" s="113">
        <f t="shared" si="115"/>
        <v>0</v>
      </c>
      <c r="DQ87" s="113">
        <f t="shared" si="116"/>
        <v>50021.34</v>
      </c>
      <c r="DR87" s="113">
        <f t="shared" si="117"/>
        <v>40000</v>
      </c>
      <c r="DS87" s="113">
        <f t="shared" si="118"/>
        <v>0</v>
      </c>
      <c r="DT87" s="113">
        <f t="shared" si="138"/>
        <v>40000</v>
      </c>
      <c r="DU87" s="113">
        <f t="shared" si="138"/>
        <v>50021.34</v>
      </c>
    </row>
    <row r="88" spans="1:125">
      <c r="A88" s="15">
        <v>83</v>
      </c>
      <c r="B88" s="96" t="s">
        <v>683</v>
      </c>
      <c r="C88" s="7" t="s">
        <v>875</v>
      </c>
      <c r="D88" s="96" t="s">
        <v>876</v>
      </c>
      <c r="E88" s="185" t="s">
        <v>1164</v>
      </c>
      <c r="F88" s="161">
        <f t="shared" si="100"/>
        <v>0</v>
      </c>
      <c r="G88" s="161">
        <f t="shared" si="119"/>
        <v>313.25</v>
      </c>
      <c r="H88" s="161">
        <f t="shared" si="120"/>
        <v>-313.25</v>
      </c>
      <c r="I88" s="161">
        <f t="shared" si="107"/>
        <v>0</v>
      </c>
      <c r="J88" s="165">
        <f t="shared" si="101"/>
        <v>0</v>
      </c>
      <c r="K88" s="115"/>
      <c r="L88" s="211">
        <v>0</v>
      </c>
      <c r="M88" s="211">
        <v>0</v>
      </c>
      <c r="N88" s="127">
        <f t="shared" si="102"/>
        <v>0</v>
      </c>
      <c r="O88" s="127">
        <f t="shared" si="103"/>
        <v>0</v>
      </c>
      <c r="P88" s="127">
        <f t="shared" si="104"/>
        <v>0</v>
      </c>
      <c r="Q88" s="131">
        <f t="shared" si="121"/>
        <v>0</v>
      </c>
      <c r="R88" s="125">
        <f t="shared" si="105"/>
        <v>313.25</v>
      </c>
      <c r="S88" s="113">
        <v>0</v>
      </c>
      <c r="T88" s="113"/>
      <c r="U88" s="113">
        <f t="shared" si="106"/>
        <v>0</v>
      </c>
      <c r="V88" s="113">
        <f t="shared" si="97"/>
        <v>0</v>
      </c>
      <c r="W88" s="113">
        <v>0</v>
      </c>
      <c r="X88" s="113">
        <v>0</v>
      </c>
      <c r="Y88" s="113">
        <v>0</v>
      </c>
      <c r="Z88" s="113">
        <v>0</v>
      </c>
      <c r="AA88" s="113">
        <f t="shared" si="122"/>
        <v>0</v>
      </c>
      <c r="AB88" s="113">
        <f t="shared" si="122"/>
        <v>0</v>
      </c>
      <c r="AC88" s="113"/>
      <c r="AD88" s="113"/>
      <c r="AE88" s="113"/>
      <c r="AF88" s="113"/>
      <c r="AG88" s="113">
        <f t="shared" si="123"/>
        <v>0</v>
      </c>
      <c r="AH88" s="113">
        <f t="shared" si="123"/>
        <v>0</v>
      </c>
      <c r="AI88" s="114">
        <f t="shared" si="98"/>
        <v>0</v>
      </c>
      <c r="AJ88" s="114">
        <f t="shared" si="124"/>
        <v>0</v>
      </c>
      <c r="AK88" s="114">
        <f t="shared" si="124"/>
        <v>0</v>
      </c>
      <c r="AL88" s="114">
        <f t="shared" si="99"/>
        <v>0</v>
      </c>
      <c r="AM88" s="113">
        <f t="shared" si="125"/>
        <v>0</v>
      </c>
      <c r="AN88" s="113">
        <f t="shared" si="125"/>
        <v>0</v>
      </c>
      <c r="AO88" s="113"/>
      <c r="AP88" s="113"/>
      <c r="AQ88" s="113"/>
      <c r="AR88" s="113"/>
      <c r="AS88" s="113">
        <f t="shared" si="126"/>
        <v>0</v>
      </c>
      <c r="AT88" s="113">
        <f t="shared" si="126"/>
        <v>0</v>
      </c>
      <c r="AU88" s="113"/>
      <c r="AV88" s="113"/>
      <c r="AW88" s="113"/>
      <c r="AX88" s="113"/>
      <c r="AY88" s="113">
        <f t="shared" si="127"/>
        <v>0</v>
      </c>
      <c r="AZ88" s="113">
        <f t="shared" si="127"/>
        <v>0</v>
      </c>
      <c r="BA88" s="113"/>
      <c r="BB88" s="113"/>
      <c r="BC88" s="113"/>
      <c r="BD88" s="113"/>
      <c r="BE88" s="113">
        <f t="shared" si="128"/>
        <v>0</v>
      </c>
      <c r="BF88" s="113"/>
      <c r="BG88" s="113">
        <f t="shared" si="108"/>
        <v>0</v>
      </c>
      <c r="BH88" s="113"/>
      <c r="BI88" s="113"/>
      <c r="BJ88" s="113"/>
      <c r="BK88" s="113"/>
      <c r="BL88" s="113">
        <f t="shared" si="129"/>
        <v>0</v>
      </c>
      <c r="BM88" s="113"/>
      <c r="BN88" s="113">
        <f t="shared" si="109"/>
        <v>0</v>
      </c>
      <c r="BO88" s="113"/>
      <c r="BP88" s="113"/>
      <c r="BQ88" s="113"/>
      <c r="BR88" s="113">
        <v>313.25</v>
      </c>
      <c r="BS88" s="113">
        <f t="shared" si="130"/>
        <v>0</v>
      </c>
      <c r="BT88" s="113"/>
      <c r="BU88" s="113">
        <f t="shared" si="110"/>
        <v>313.25</v>
      </c>
      <c r="BV88" s="113"/>
      <c r="BW88" s="113"/>
      <c r="BX88" s="113"/>
      <c r="BY88" s="113"/>
      <c r="BZ88" s="113">
        <f t="shared" si="131"/>
        <v>0</v>
      </c>
      <c r="CA88" s="113"/>
      <c r="CB88" s="113">
        <f t="shared" si="111"/>
        <v>0</v>
      </c>
      <c r="CC88" s="113"/>
      <c r="CD88" s="113"/>
      <c r="CE88" s="113"/>
      <c r="CF88" s="113"/>
      <c r="CG88" s="113">
        <f t="shared" si="132"/>
        <v>0</v>
      </c>
      <c r="CH88" s="113"/>
      <c r="CI88" s="113">
        <f t="shared" si="112"/>
        <v>0</v>
      </c>
      <c r="CJ88" s="113"/>
      <c r="CK88" s="113"/>
      <c r="CL88" s="113"/>
      <c r="CM88" s="113"/>
      <c r="CN88" s="113">
        <f t="shared" si="133"/>
        <v>0</v>
      </c>
      <c r="CO88" s="113"/>
      <c r="CP88" s="113">
        <f t="shared" si="113"/>
        <v>0</v>
      </c>
      <c r="CQ88" s="113"/>
      <c r="CR88" s="113"/>
      <c r="CS88" s="113"/>
      <c r="CT88" s="113"/>
      <c r="CU88" s="113">
        <f t="shared" si="134"/>
        <v>0</v>
      </c>
      <c r="CV88" s="113"/>
      <c r="CW88" s="113">
        <f t="shared" si="114"/>
        <v>0</v>
      </c>
      <c r="CX88" s="113"/>
      <c r="CY88" s="113"/>
      <c r="CZ88" s="113"/>
      <c r="DA88" s="113"/>
      <c r="DB88" s="113">
        <f t="shared" si="135"/>
        <v>0</v>
      </c>
      <c r="DC88" s="113">
        <f t="shared" si="135"/>
        <v>0</v>
      </c>
      <c r="DD88" s="113"/>
      <c r="DE88" s="113"/>
      <c r="DF88" s="113"/>
      <c r="DG88" s="113"/>
      <c r="DH88" s="113">
        <f t="shared" si="136"/>
        <v>0</v>
      </c>
      <c r="DI88" s="113">
        <f t="shared" si="136"/>
        <v>0</v>
      </c>
      <c r="DJ88" s="113"/>
      <c r="DK88" s="113"/>
      <c r="DL88" s="113"/>
      <c r="DM88" s="113"/>
      <c r="DN88" s="113">
        <f t="shared" si="137"/>
        <v>0</v>
      </c>
      <c r="DO88" s="113">
        <f t="shared" si="137"/>
        <v>0</v>
      </c>
      <c r="DP88" s="113">
        <f t="shared" si="115"/>
        <v>0</v>
      </c>
      <c r="DQ88" s="113">
        <f t="shared" si="116"/>
        <v>0</v>
      </c>
      <c r="DR88" s="113">
        <f t="shared" si="117"/>
        <v>0</v>
      </c>
      <c r="DS88" s="113">
        <f t="shared" si="118"/>
        <v>313.25</v>
      </c>
      <c r="DT88" s="113">
        <f t="shared" si="138"/>
        <v>0</v>
      </c>
      <c r="DU88" s="113">
        <f t="shared" si="138"/>
        <v>313.25</v>
      </c>
    </row>
    <row r="89" spans="1:125">
      <c r="A89" s="15">
        <v>84</v>
      </c>
      <c r="B89" s="96" t="s">
        <v>683</v>
      </c>
      <c r="C89" s="112" t="s">
        <v>875</v>
      </c>
      <c r="D89" s="96" t="s">
        <v>877</v>
      </c>
      <c r="E89" s="96" t="s">
        <v>1165</v>
      </c>
      <c r="F89" s="131">
        <f t="shared" si="100"/>
        <v>15000</v>
      </c>
      <c r="G89" s="161">
        <f t="shared" si="119"/>
        <v>47327.51</v>
      </c>
      <c r="H89" s="161">
        <f t="shared" si="120"/>
        <v>-32327.510000000002</v>
      </c>
      <c r="I89" s="161">
        <f t="shared" si="107"/>
        <v>20833</v>
      </c>
      <c r="J89" s="283">
        <f t="shared" si="101"/>
        <v>15000</v>
      </c>
      <c r="K89" s="115">
        <v>3080</v>
      </c>
      <c r="L89" s="113">
        <v>0</v>
      </c>
      <c r="M89" s="113">
        <v>0</v>
      </c>
      <c r="N89" s="131">
        <f t="shared" si="102"/>
        <v>0</v>
      </c>
      <c r="O89" s="131">
        <f t="shared" si="103"/>
        <v>0</v>
      </c>
      <c r="P89" s="131">
        <f t="shared" si="104"/>
        <v>0</v>
      </c>
      <c r="Q89" s="131">
        <f t="shared" si="121"/>
        <v>15000</v>
      </c>
      <c r="R89" s="131">
        <f t="shared" si="105"/>
        <v>47327.51</v>
      </c>
      <c r="S89" s="113">
        <v>0</v>
      </c>
      <c r="T89" s="113"/>
      <c r="U89" s="113">
        <f t="shared" si="106"/>
        <v>0</v>
      </c>
      <c r="V89" s="113">
        <f t="shared" si="97"/>
        <v>0</v>
      </c>
      <c r="W89" s="113">
        <v>0</v>
      </c>
      <c r="X89" s="113">
        <v>0</v>
      </c>
      <c r="Y89" s="113">
        <v>0</v>
      </c>
      <c r="Z89" s="113">
        <v>0</v>
      </c>
      <c r="AA89" s="113">
        <f t="shared" si="122"/>
        <v>0</v>
      </c>
      <c r="AB89" s="113">
        <f t="shared" si="122"/>
        <v>0</v>
      </c>
      <c r="AC89" s="113"/>
      <c r="AD89" s="113"/>
      <c r="AE89" s="113"/>
      <c r="AF89" s="113"/>
      <c r="AG89" s="113">
        <f t="shared" si="123"/>
        <v>0</v>
      </c>
      <c r="AH89" s="113">
        <f t="shared" si="123"/>
        <v>0</v>
      </c>
      <c r="AI89" s="114">
        <f t="shared" si="98"/>
        <v>0</v>
      </c>
      <c r="AJ89" s="114">
        <f t="shared" si="124"/>
        <v>0</v>
      </c>
      <c r="AK89" s="114">
        <f t="shared" si="124"/>
        <v>0</v>
      </c>
      <c r="AL89" s="114">
        <f t="shared" si="99"/>
        <v>0</v>
      </c>
      <c r="AM89" s="113">
        <f t="shared" si="125"/>
        <v>0</v>
      </c>
      <c r="AN89" s="113">
        <f t="shared" si="125"/>
        <v>0</v>
      </c>
      <c r="AO89" s="113"/>
      <c r="AP89" s="113"/>
      <c r="AQ89" s="113"/>
      <c r="AR89" s="113"/>
      <c r="AS89" s="113">
        <f t="shared" si="126"/>
        <v>0</v>
      </c>
      <c r="AT89" s="113">
        <f t="shared" si="126"/>
        <v>0</v>
      </c>
      <c r="AU89" s="113"/>
      <c r="AV89" s="113"/>
      <c r="AW89" s="113">
        <v>15000</v>
      </c>
      <c r="AX89" s="113"/>
      <c r="AY89" s="113">
        <f t="shared" si="127"/>
        <v>15000</v>
      </c>
      <c r="AZ89" s="113">
        <f t="shared" si="127"/>
        <v>0</v>
      </c>
      <c r="BA89" s="113"/>
      <c r="BB89" s="113"/>
      <c r="BC89" s="113"/>
      <c r="BD89" s="113"/>
      <c r="BE89" s="113">
        <f t="shared" si="128"/>
        <v>0</v>
      </c>
      <c r="BF89" s="113"/>
      <c r="BG89" s="113">
        <f t="shared" si="108"/>
        <v>0</v>
      </c>
      <c r="BH89" s="113"/>
      <c r="BI89" s="113">
        <v>41000</v>
      </c>
      <c r="BJ89" s="113"/>
      <c r="BK89" s="113"/>
      <c r="BL89" s="113">
        <f t="shared" si="129"/>
        <v>0</v>
      </c>
      <c r="BM89" s="113">
        <v>20000</v>
      </c>
      <c r="BN89" s="113">
        <f t="shared" si="109"/>
        <v>41000</v>
      </c>
      <c r="BO89" s="113"/>
      <c r="BP89" s="113"/>
      <c r="BQ89" s="113"/>
      <c r="BR89" s="113"/>
      <c r="BS89" s="113">
        <f t="shared" si="130"/>
        <v>0</v>
      </c>
      <c r="BT89" s="113">
        <v>833</v>
      </c>
      <c r="BU89" s="113">
        <f t="shared" si="110"/>
        <v>0</v>
      </c>
      <c r="BV89" s="113"/>
      <c r="BW89" s="113"/>
      <c r="BX89" s="113"/>
      <c r="BY89" s="113">
        <v>6327.51</v>
      </c>
      <c r="BZ89" s="113">
        <f t="shared" si="131"/>
        <v>0</v>
      </c>
      <c r="CA89" s="113"/>
      <c r="CB89" s="113">
        <f t="shared" si="111"/>
        <v>6327.51</v>
      </c>
      <c r="CC89" s="113"/>
      <c r="CD89" s="113"/>
      <c r="CE89" s="113"/>
      <c r="CF89" s="113"/>
      <c r="CG89" s="113">
        <f t="shared" si="132"/>
        <v>0</v>
      </c>
      <c r="CH89" s="113"/>
      <c r="CI89" s="113">
        <f t="shared" si="112"/>
        <v>0</v>
      </c>
      <c r="CJ89" s="113"/>
      <c r="CK89" s="113"/>
      <c r="CL89" s="113"/>
      <c r="CM89" s="113"/>
      <c r="CN89" s="113">
        <f t="shared" si="133"/>
        <v>0</v>
      </c>
      <c r="CO89" s="113"/>
      <c r="CP89" s="113">
        <f t="shared" si="113"/>
        <v>0</v>
      </c>
      <c r="CQ89" s="113"/>
      <c r="CR89" s="113"/>
      <c r="CS89" s="113"/>
      <c r="CT89" s="113"/>
      <c r="CU89" s="113">
        <f t="shared" si="134"/>
        <v>0</v>
      </c>
      <c r="CV89" s="113"/>
      <c r="CW89" s="113">
        <f t="shared" si="114"/>
        <v>0</v>
      </c>
      <c r="CX89" s="113"/>
      <c r="CY89" s="113"/>
      <c r="CZ89" s="113"/>
      <c r="DA89" s="113"/>
      <c r="DB89" s="113">
        <f t="shared" si="135"/>
        <v>0</v>
      </c>
      <c r="DC89" s="113">
        <f t="shared" si="135"/>
        <v>0</v>
      </c>
      <c r="DD89" s="113"/>
      <c r="DE89" s="113"/>
      <c r="DF89" s="113"/>
      <c r="DG89" s="113"/>
      <c r="DH89" s="113">
        <f t="shared" si="136"/>
        <v>0</v>
      </c>
      <c r="DI89" s="113">
        <f t="shared" si="136"/>
        <v>0</v>
      </c>
      <c r="DJ89" s="113"/>
      <c r="DK89" s="113"/>
      <c r="DL89" s="113"/>
      <c r="DM89" s="113"/>
      <c r="DN89" s="113">
        <f t="shared" si="137"/>
        <v>0</v>
      </c>
      <c r="DO89" s="113">
        <f t="shared" si="137"/>
        <v>0</v>
      </c>
      <c r="DP89" s="113">
        <f t="shared" si="115"/>
        <v>0</v>
      </c>
      <c r="DQ89" s="113">
        <f t="shared" si="116"/>
        <v>41000</v>
      </c>
      <c r="DR89" s="113">
        <f t="shared" si="117"/>
        <v>15000</v>
      </c>
      <c r="DS89" s="113">
        <f t="shared" si="118"/>
        <v>6327.51</v>
      </c>
      <c r="DT89" s="113">
        <f t="shared" si="138"/>
        <v>15000</v>
      </c>
      <c r="DU89" s="113">
        <f t="shared" si="138"/>
        <v>47327.51</v>
      </c>
    </row>
    <row r="90" spans="1:125">
      <c r="A90" s="15">
        <v>85</v>
      </c>
      <c r="B90" s="96" t="s">
        <v>683</v>
      </c>
      <c r="C90" s="112" t="s">
        <v>878</v>
      </c>
      <c r="D90" s="96" t="s">
        <v>879</v>
      </c>
      <c r="E90" s="185" t="s">
        <v>1165</v>
      </c>
      <c r="F90" s="161">
        <f t="shared" si="100"/>
        <v>50000</v>
      </c>
      <c r="G90" s="161">
        <f t="shared" si="119"/>
        <v>2520.84</v>
      </c>
      <c r="H90" s="161">
        <f t="shared" si="120"/>
        <v>47479.16</v>
      </c>
      <c r="I90" s="161">
        <f t="shared" si="107"/>
        <v>0</v>
      </c>
      <c r="J90" s="165">
        <f t="shared" si="101"/>
        <v>1687580.86</v>
      </c>
      <c r="K90" s="115">
        <v>294000</v>
      </c>
      <c r="L90" s="211">
        <v>525000</v>
      </c>
      <c r="M90" s="211">
        <v>0</v>
      </c>
      <c r="N90" s="127">
        <f t="shared" si="102"/>
        <v>1112580.8600000001</v>
      </c>
      <c r="O90" s="127">
        <f t="shared" si="103"/>
        <v>0</v>
      </c>
      <c r="P90" s="127">
        <f t="shared" si="104"/>
        <v>1637580.86</v>
      </c>
      <c r="Q90" s="131">
        <f t="shared" si="121"/>
        <v>50000</v>
      </c>
      <c r="R90" s="125" t="str">
        <f t="shared" si="105"/>
        <v>მიმდინარეობს</v>
      </c>
      <c r="S90" s="113">
        <v>1110000</v>
      </c>
      <c r="T90" s="113"/>
      <c r="U90" s="113">
        <f t="shared" si="106"/>
        <v>1635000</v>
      </c>
      <c r="V90" s="113">
        <f t="shared" si="97"/>
        <v>0</v>
      </c>
      <c r="W90" s="113">
        <v>0</v>
      </c>
      <c r="X90" s="113">
        <v>0</v>
      </c>
      <c r="Y90" s="113">
        <v>0</v>
      </c>
      <c r="Z90" s="113">
        <v>0</v>
      </c>
      <c r="AA90" s="113">
        <f t="shared" si="122"/>
        <v>0</v>
      </c>
      <c r="AB90" s="113">
        <f t="shared" si="122"/>
        <v>0</v>
      </c>
      <c r="AC90" s="113"/>
      <c r="AD90" s="113">
        <v>2580.86</v>
      </c>
      <c r="AE90" s="113"/>
      <c r="AF90" s="113"/>
      <c r="AG90" s="113">
        <f t="shared" si="123"/>
        <v>0</v>
      </c>
      <c r="AH90" s="113">
        <f t="shared" si="123"/>
        <v>2580.86</v>
      </c>
      <c r="AI90" s="114">
        <f t="shared" si="98"/>
        <v>1110000</v>
      </c>
      <c r="AJ90" s="114">
        <f t="shared" si="124"/>
        <v>1112580.8600000001</v>
      </c>
      <c r="AK90" s="114">
        <f t="shared" si="124"/>
        <v>0</v>
      </c>
      <c r="AL90" s="114">
        <f t="shared" si="99"/>
        <v>0</v>
      </c>
      <c r="AM90" s="113">
        <f t="shared" si="125"/>
        <v>1110000</v>
      </c>
      <c r="AN90" s="113">
        <f t="shared" si="125"/>
        <v>1112580.8600000001</v>
      </c>
      <c r="AO90" s="113"/>
      <c r="AP90" s="113"/>
      <c r="AQ90" s="113"/>
      <c r="AR90" s="113"/>
      <c r="AS90" s="113">
        <f t="shared" si="126"/>
        <v>0</v>
      </c>
      <c r="AT90" s="113">
        <f t="shared" si="126"/>
        <v>0</v>
      </c>
      <c r="AU90" s="113"/>
      <c r="AV90" s="113"/>
      <c r="AW90" s="113"/>
      <c r="AX90" s="113"/>
      <c r="AY90" s="113">
        <f t="shared" si="127"/>
        <v>0</v>
      </c>
      <c r="AZ90" s="113">
        <f t="shared" si="127"/>
        <v>0</v>
      </c>
      <c r="BA90" s="113"/>
      <c r="BB90" s="113"/>
      <c r="BC90" s="113">
        <v>50000</v>
      </c>
      <c r="BD90" s="113"/>
      <c r="BE90" s="113">
        <f t="shared" si="128"/>
        <v>50000</v>
      </c>
      <c r="BF90" s="113"/>
      <c r="BG90" s="113">
        <f t="shared" si="108"/>
        <v>0</v>
      </c>
      <c r="BH90" s="113"/>
      <c r="BI90" s="113"/>
      <c r="BJ90" s="113"/>
      <c r="BK90" s="113"/>
      <c r="BL90" s="113">
        <f t="shared" si="129"/>
        <v>0</v>
      </c>
      <c r="BM90" s="113"/>
      <c r="BN90" s="113">
        <f t="shared" si="109"/>
        <v>0</v>
      </c>
      <c r="BO90" s="113"/>
      <c r="BP90" s="113"/>
      <c r="BQ90" s="113"/>
      <c r="BR90" s="113"/>
      <c r="BS90" s="113">
        <f t="shared" si="130"/>
        <v>0</v>
      </c>
      <c r="BT90" s="113"/>
      <c r="BU90" s="113">
        <f t="shared" si="110"/>
        <v>0</v>
      </c>
      <c r="BV90" s="113"/>
      <c r="BW90" s="113"/>
      <c r="BX90" s="113"/>
      <c r="BY90" s="113"/>
      <c r="BZ90" s="113">
        <f t="shared" si="131"/>
        <v>0</v>
      </c>
      <c r="CA90" s="113"/>
      <c r="CB90" s="113">
        <f t="shared" si="111"/>
        <v>0</v>
      </c>
      <c r="CC90" s="113"/>
      <c r="CD90" s="113"/>
      <c r="CE90" s="113"/>
      <c r="CF90" s="113"/>
      <c r="CG90" s="113">
        <f t="shared" si="132"/>
        <v>0</v>
      </c>
      <c r="CH90" s="113"/>
      <c r="CI90" s="113">
        <f t="shared" si="112"/>
        <v>0</v>
      </c>
      <c r="CJ90" s="113"/>
      <c r="CK90" s="113"/>
      <c r="CL90" s="113"/>
      <c r="CM90" s="113"/>
      <c r="CN90" s="113">
        <f t="shared" si="133"/>
        <v>0</v>
      </c>
      <c r="CO90" s="113"/>
      <c r="CP90" s="113">
        <f t="shared" si="113"/>
        <v>0</v>
      </c>
      <c r="CQ90" s="113"/>
      <c r="CR90" s="113"/>
      <c r="CS90" s="113"/>
      <c r="CT90" s="113"/>
      <c r="CU90" s="113">
        <f t="shared" si="134"/>
        <v>0</v>
      </c>
      <c r="CV90" s="113"/>
      <c r="CW90" s="113">
        <f t="shared" si="114"/>
        <v>0</v>
      </c>
      <c r="CX90" s="113"/>
      <c r="CY90" s="113"/>
      <c r="CZ90" s="113"/>
      <c r="DA90" s="113"/>
      <c r="DB90" s="113">
        <f t="shared" si="135"/>
        <v>0</v>
      </c>
      <c r="DC90" s="113">
        <f t="shared" si="135"/>
        <v>0</v>
      </c>
      <c r="DD90" s="113"/>
      <c r="DE90" s="113">
        <v>2520.84</v>
      </c>
      <c r="DF90" s="113"/>
      <c r="DG90" s="113"/>
      <c r="DH90" s="113">
        <f t="shared" si="136"/>
        <v>0</v>
      </c>
      <c r="DI90" s="113">
        <f t="shared" si="136"/>
        <v>2520.84</v>
      </c>
      <c r="DJ90" s="113"/>
      <c r="DK90" s="113"/>
      <c r="DL90" s="113"/>
      <c r="DM90" s="113"/>
      <c r="DN90" s="113">
        <f t="shared" si="137"/>
        <v>0</v>
      </c>
      <c r="DO90" s="113">
        <f t="shared" si="137"/>
        <v>0</v>
      </c>
      <c r="DP90" s="113">
        <f t="shared" si="115"/>
        <v>0</v>
      </c>
      <c r="DQ90" s="113">
        <f t="shared" si="116"/>
        <v>2520.84</v>
      </c>
      <c r="DR90" s="113">
        <f t="shared" si="117"/>
        <v>50000</v>
      </c>
      <c r="DS90" s="113">
        <f t="shared" si="118"/>
        <v>0</v>
      </c>
      <c r="DT90" s="113">
        <f t="shared" si="138"/>
        <v>50000</v>
      </c>
      <c r="DU90" s="113">
        <f t="shared" si="138"/>
        <v>2520.84</v>
      </c>
    </row>
    <row r="91" spans="1:125">
      <c r="A91" s="15">
        <v>86</v>
      </c>
      <c r="B91" s="96" t="s">
        <v>683</v>
      </c>
      <c r="C91" s="7" t="s">
        <v>880</v>
      </c>
      <c r="D91" s="96" t="s">
        <v>881</v>
      </c>
      <c r="E91" s="185" t="s">
        <v>1164</v>
      </c>
      <c r="F91" s="161">
        <f t="shared" si="100"/>
        <v>0</v>
      </c>
      <c r="G91" s="161">
        <f t="shared" si="119"/>
        <v>0</v>
      </c>
      <c r="H91" s="161">
        <f t="shared" si="120"/>
        <v>0</v>
      </c>
      <c r="I91" s="161">
        <f t="shared" si="107"/>
        <v>0</v>
      </c>
      <c r="J91" s="165">
        <f t="shared" si="101"/>
        <v>18650.625</v>
      </c>
      <c r="K91" s="115"/>
      <c r="L91" s="211">
        <v>0</v>
      </c>
      <c r="M91" s="211">
        <v>0</v>
      </c>
      <c r="N91" s="127">
        <f t="shared" si="102"/>
        <v>18650.625</v>
      </c>
      <c r="O91" s="127">
        <f t="shared" si="103"/>
        <v>18650.625</v>
      </c>
      <c r="P91" s="127">
        <f t="shared" si="104"/>
        <v>18650.625</v>
      </c>
      <c r="Q91" s="131">
        <f t="shared" si="121"/>
        <v>0</v>
      </c>
      <c r="R91" s="125">
        <f t="shared" si="105"/>
        <v>18650.625</v>
      </c>
      <c r="S91" s="113">
        <v>0</v>
      </c>
      <c r="T91" s="113"/>
      <c r="U91" s="113">
        <f t="shared" si="106"/>
        <v>0</v>
      </c>
      <c r="V91" s="113">
        <f t="shared" si="97"/>
        <v>0</v>
      </c>
      <c r="W91" s="113">
        <v>0</v>
      </c>
      <c r="X91" s="113">
        <v>0</v>
      </c>
      <c r="Y91" s="113">
        <v>0</v>
      </c>
      <c r="Z91" s="113">
        <v>0</v>
      </c>
      <c r="AA91" s="113">
        <f t="shared" si="122"/>
        <v>0</v>
      </c>
      <c r="AB91" s="113">
        <f t="shared" si="122"/>
        <v>0</v>
      </c>
      <c r="AC91" s="113"/>
      <c r="AD91" s="113"/>
      <c r="AE91" s="113"/>
      <c r="AF91" s="113">
        <v>18650.625</v>
      </c>
      <c r="AG91" s="113">
        <f t="shared" si="123"/>
        <v>0</v>
      </c>
      <c r="AH91" s="113">
        <f t="shared" si="123"/>
        <v>18650.625</v>
      </c>
      <c r="AI91" s="114">
        <f t="shared" si="98"/>
        <v>0</v>
      </c>
      <c r="AJ91" s="114">
        <f t="shared" si="124"/>
        <v>0</v>
      </c>
      <c r="AK91" s="114">
        <f t="shared" si="124"/>
        <v>0</v>
      </c>
      <c r="AL91" s="114">
        <f t="shared" si="99"/>
        <v>18650.625</v>
      </c>
      <c r="AM91" s="113">
        <f t="shared" si="125"/>
        <v>0</v>
      </c>
      <c r="AN91" s="113">
        <f t="shared" si="125"/>
        <v>18650.625</v>
      </c>
      <c r="AO91" s="113"/>
      <c r="AP91" s="113"/>
      <c r="AQ91" s="113"/>
      <c r="AR91" s="113"/>
      <c r="AS91" s="113">
        <f t="shared" si="126"/>
        <v>0</v>
      </c>
      <c r="AT91" s="113">
        <f t="shared" si="126"/>
        <v>0</v>
      </c>
      <c r="AU91" s="113"/>
      <c r="AV91" s="113"/>
      <c r="AW91" s="113"/>
      <c r="AX91" s="113"/>
      <c r="AY91" s="113">
        <f t="shared" si="127"/>
        <v>0</v>
      </c>
      <c r="AZ91" s="113">
        <f t="shared" si="127"/>
        <v>0</v>
      </c>
      <c r="BA91" s="113"/>
      <c r="BB91" s="113"/>
      <c r="BC91" s="113"/>
      <c r="BD91" s="113"/>
      <c r="BE91" s="113">
        <f t="shared" si="128"/>
        <v>0</v>
      </c>
      <c r="BF91" s="113"/>
      <c r="BG91" s="113">
        <f t="shared" si="108"/>
        <v>0</v>
      </c>
      <c r="BH91" s="113"/>
      <c r="BI91" s="113"/>
      <c r="BJ91" s="113"/>
      <c r="BK91" s="113"/>
      <c r="BL91" s="113">
        <f t="shared" si="129"/>
        <v>0</v>
      </c>
      <c r="BM91" s="113"/>
      <c r="BN91" s="113">
        <f t="shared" si="109"/>
        <v>0</v>
      </c>
      <c r="BO91" s="113"/>
      <c r="BP91" s="113"/>
      <c r="BQ91" s="113"/>
      <c r="BR91" s="113"/>
      <c r="BS91" s="113">
        <f t="shared" si="130"/>
        <v>0</v>
      </c>
      <c r="BT91" s="113"/>
      <c r="BU91" s="113">
        <f t="shared" si="110"/>
        <v>0</v>
      </c>
      <c r="BV91" s="113"/>
      <c r="BW91" s="113"/>
      <c r="BX91" s="113"/>
      <c r="BY91" s="113"/>
      <c r="BZ91" s="113">
        <f t="shared" si="131"/>
        <v>0</v>
      </c>
      <c r="CA91" s="113"/>
      <c r="CB91" s="113">
        <f t="shared" si="111"/>
        <v>0</v>
      </c>
      <c r="CC91" s="113"/>
      <c r="CD91" s="113"/>
      <c r="CE91" s="113"/>
      <c r="CF91" s="113"/>
      <c r="CG91" s="113">
        <f t="shared" si="132"/>
        <v>0</v>
      </c>
      <c r="CH91" s="113"/>
      <c r="CI91" s="113">
        <f t="shared" si="112"/>
        <v>0</v>
      </c>
      <c r="CJ91" s="113"/>
      <c r="CK91" s="113"/>
      <c r="CL91" s="113"/>
      <c r="CM91" s="113"/>
      <c r="CN91" s="113">
        <f t="shared" si="133"/>
        <v>0</v>
      </c>
      <c r="CO91" s="113"/>
      <c r="CP91" s="113">
        <f t="shared" si="113"/>
        <v>0</v>
      </c>
      <c r="CQ91" s="113"/>
      <c r="CR91" s="113"/>
      <c r="CS91" s="113"/>
      <c r="CT91" s="113"/>
      <c r="CU91" s="113">
        <f t="shared" si="134"/>
        <v>0</v>
      </c>
      <c r="CV91" s="113"/>
      <c r="CW91" s="113">
        <f t="shared" si="114"/>
        <v>0</v>
      </c>
      <c r="CX91" s="113"/>
      <c r="CY91" s="113"/>
      <c r="CZ91" s="113"/>
      <c r="DA91" s="113"/>
      <c r="DB91" s="113">
        <f t="shared" si="135"/>
        <v>0</v>
      </c>
      <c r="DC91" s="113">
        <f t="shared" si="135"/>
        <v>0</v>
      </c>
      <c r="DD91" s="113"/>
      <c r="DE91" s="113"/>
      <c r="DF91" s="113"/>
      <c r="DG91" s="113"/>
      <c r="DH91" s="113">
        <f t="shared" si="136"/>
        <v>0</v>
      </c>
      <c r="DI91" s="113">
        <f t="shared" si="136"/>
        <v>0</v>
      </c>
      <c r="DJ91" s="113"/>
      <c r="DK91" s="113"/>
      <c r="DL91" s="113"/>
      <c r="DM91" s="113"/>
      <c r="DN91" s="113">
        <f t="shared" si="137"/>
        <v>0</v>
      </c>
      <c r="DO91" s="113">
        <f t="shared" si="137"/>
        <v>0</v>
      </c>
      <c r="DP91" s="113">
        <f t="shared" si="115"/>
        <v>0</v>
      </c>
      <c r="DQ91" s="113">
        <f t="shared" si="116"/>
        <v>0</v>
      </c>
      <c r="DR91" s="113">
        <f t="shared" si="117"/>
        <v>0</v>
      </c>
      <c r="DS91" s="113">
        <f t="shared" si="118"/>
        <v>0</v>
      </c>
      <c r="DT91" s="113">
        <f t="shared" si="138"/>
        <v>0</v>
      </c>
      <c r="DU91" s="113">
        <f t="shared" si="138"/>
        <v>0</v>
      </c>
    </row>
    <row r="92" spans="1:125">
      <c r="A92" s="15">
        <v>87</v>
      </c>
      <c r="B92" s="96" t="s">
        <v>683</v>
      </c>
      <c r="C92" s="112" t="s">
        <v>880</v>
      </c>
      <c r="D92" s="96" t="s">
        <v>882</v>
      </c>
      <c r="E92" s="185" t="s">
        <v>1165</v>
      </c>
      <c r="F92" s="161">
        <f t="shared" si="100"/>
        <v>900000</v>
      </c>
      <c r="G92" s="161">
        <f t="shared" si="119"/>
        <v>845000</v>
      </c>
      <c r="H92" s="161">
        <f t="shared" si="120"/>
        <v>55000</v>
      </c>
      <c r="I92" s="161">
        <f t="shared" si="107"/>
        <v>45800</v>
      </c>
      <c r="J92" s="165">
        <f t="shared" si="101"/>
        <v>900000</v>
      </c>
      <c r="K92" s="115">
        <v>176400</v>
      </c>
      <c r="L92" s="211">
        <v>0</v>
      </c>
      <c r="M92" s="211">
        <v>0</v>
      </c>
      <c r="N92" s="127">
        <f t="shared" si="102"/>
        <v>0</v>
      </c>
      <c r="O92" s="127">
        <f t="shared" si="103"/>
        <v>0</v>
      </c>
      <c r="P92" s="127">
        <f t="shared" si="104"/>
        <v>0</v>
      </c>
      <c r="Q92" s="131">
        <f t="shared" si="121"/>
        <v>900000</v>
      </c>
      <c r="R92" s="125" t="str">
        <f t="shared" si="105"/>
        <v>მიმდინარეობს</v>
      </c>
      <c r="S92" s="113">
        <v>0</v>
      </c>
      <c r="T92" s="113"/>
      <c r="U92" s="113">
        <f t="shared" si="106"/>
        <v>0</v>
      </c>
      <c r="V92" s="113">
        <f t="shared" si="97"/>
        <v>0</v>
      </c>
      <c r="W92" s="113">
        <v>0</v>
      </c>
      <c r="X92" s="113">
        <v>0</v>
      </c>
      <c r="Y92" s="113">
        <v>0</v>
      </c>
      <c r="Z92" s="113">
        <v>0</v>
      </c>
      <c r="AA92" s="113">
        <f t="shared" si="122"/>
        <v>0</v>
      </c>
      <c r="AB92" s="113">
        <f t="shared" si="122"/>
        <v>0</v>
      </c>
      <c r="AC92" s="113"/>
      <c r="AD92" s="113"/>
      <c r="AE92" s="113"/>
      <c r="AF92" s="113"/>
      <c r="AG92" s="113">
        <f t="shared" si="123"/>
        <v>0</v>
      </c>
      <c r="AH92" s="113">
        <f t="shared" si="123"/>
        <v>0</v>
      </c>
      <c r="AI92" s="114">
        <f t="shared" si="98"/>
        <v>0</v>
      </c>
      <c r="AJ92" s="114">
        <f t="shared" si="124"/>
        <v>0</v>
      </c>
      <c r="AK92" s="114">
        <f t="shared" si="124"/>
        <v>0</v>
      </c>
      <c r="AL92" s="114">
        <f t="shared" si="99"/>
        <v>0</v>
      </c>
      <c r="AM92" s="113">
        <f t="shared" si="125"/>
        <v>0</v>
      </c>
      <c r="AN92" s="113">
        <f t="shared" si="125"/>
        <v>0</v>
      </c>
      <c r="AO92" s="113">
        <v>300000</v>
      </c>
      <c r="AP92" s="113">
        <v>600000</v>
      </c>
      <c r="AQ92" s="113"/>
      <c r="AR92" s="113"/>
      <c r="AS92" s="113">
        <f t="shared" si="126"/>
        <v>300000</v>
      </c>
      <c r="AT92" s="113">
        <f t="shared" si="126"/>
        <v>600000</v>
      </c>
      <c r="AU92" s="113">
        <v>300000</v>
      </c>
      <c r="AV92" s="113"/>
      <c r="AW92" s="113"/>
      <c r="AX92" s="113"/>
      <c r="AY92" s="113">
        <f t="shared" si="127"/>
        <v>300000</v>
      </c>
      <c r="AZ92" s="113">
        <f t="shared" si="127"/>
        <v>0</v>
      </c>
      <c r="BA92" s="113">
        <v>250000</v>
      </c>
      <c r="BB92" s="113">
        <v>45000</v>
      </c>
      <c r="BC92" s="113"/>
      <c r="BD92" s="113"/>
      <c r="BE92" s="113">
        <f t="shared" si="128"/>
        <v>250000</v>
      </c>
      <c r="BF92" s="113">
        <v>45000</v>
      </c>
      <c r="BG92" s="113">
        <f t="shared" si="108"/>
        <v>45000</v>
      </c>
      <c r="BH92" s="113"/>
      <c r="BI92" s="113"/>
      <c r="BJ92" s="113"/>
      <c r="BK92" s="113"/>
      <c r="BL92" s="113">
        <f t="shared" si="129"/>
        <v>0</v>
      </c>
      <c r="BM92" s="113"/>
      <c r="BN92" s="113">
        <f t="shared" si="109"/>
        <v>0</v>
      </c>
      <c r="BO92" s="113"/>
      <c r="BP92" s="113">
        <v>100000</v>
      </c>
      <c r="BQ92" s="113">
        <v>50000</v>
      </c>
      <c r="BR92" s="113"/>
      <c r="BS92" s="113">
        <f t="shared" si="130"/>
        <v>50000</v>
      </c>
      <c r="BT92" s="113">
        <v>800</v>
      </c>
      <c r="BU92" s="113">
        <f t="shared" si="110"/>
        <v>100000</v>
      </c>
      <c r="BV92" s="113"/>
      <c r="BW92" s="113">
        <v>0</v>
      </c>
      <c r="BX92" s="113"/>
      <c r="BY92" s="113"/>
      <c r="BZ92" s="113">
        <f t="shared" si="131"/>
        <v>0</v>
      </c>
      <c r="CA92" s="113"/>
      <c r="CB92" s="113">
        <f t="shared" si="111"/>
        <v>0</v>
      </c>
      <c r="CC92" s="113"/>
      <c r="CD92" s="113"/>
      <c r="CE92" s="113"/>
      <c r="CF92" s="113"/>
      <c r="CG92" s="113">
        <f t="shared" si="132"/>
        <v>0</v>
      </c>
      <c r="CH92" s="113"/>
      <c r="CI92" s="113">
        <f t="shared" si="112"/>
        <v>0</v>
      </c>
      <c r="CJ92" s="113"/>
      <c r="CK92" s="113"/>
      <c r="CL92" s="113"/>
      <c r="CM92" s="113"/>
      <c r="CN92" s="113">
        <f t="shared" si="133"/>
        <v>0</v>
      </c>
      <c r="CO92" s="113"/>
      <c r="CP92" s="113">
        <f t="shared" si="113"/>
        <v>0</v>
      </c>
      <c r="CQ92" s="113"/>
      <c r="CR92" s="113"/>
      <c r="CS92" s="113"/>
      <c r="CT92" s="113"/>
      <c r="CU92" s="113">
        <f t="shared" si="134"/>
        <v>0</v>
      </c>
      <c r="CV92" s="113"/>
      <c r="CW92" s="113">
        <f t="shared" si="114"/>
        <v>0</v>
      </c>
      <c r="CX92" s="113"/>
      <c r="CY92" s="113">
        <v>100000</v>
      </c>
      <c r="CZ92" s="113"/>
      <c r="DA92" s="113"/>
      <c r="DB92" s="113">
        <f t="shared" si="135"/>
        <v>0</v>
      </c>
      <c r="DC92" s="113">
        <f t="shared" si="135"/>
        <v>100000</v>
      </c>
      <c r="DD92" s="113"/>
      <c r="DE92" s="113"/>
      <c r="DF92" s="113"/>
      <c r="DG92" s="113"/>
      <c r="DH92" s="113">
        <f t="shared" si="136"/>
        <v>0</v>
      </c>
      <c r="DI92" s="113">
        <f t="shared" si="136"/>
        <v>0</v>
      </c>
      <c r="DJ92" s="113"/>
      <c r="DK92" s="113"/>
      <c r="DL92" s="113"/>
      <c r="DM92" s="113"/>
      <c r="DN92" s="113">
        <f t="shared" si="137"/>
        <v>0</v>
      </c>
      <c r="DO92" s="113">
        <f t="shared" si="137"/>
        <v>0</v>
      </c>
      <c r="DP92" s="113">
        <f>AO92+AU92+BA92+BH92+BO92+BV92+CC92+CJ92+CQ92+CX92+DD92+DJ92</f>
        <v>850000</v>
      </c>
      <c r="DQ92" s="113">
        <f t="shared" si="116"/>
        <v>845000</v>
      </c>
      <c r="DR92" s="113">
        <f t="shared" si="117"/>
        <v>50000</v>
      </c>
      <c r="DS92" s="113">
        <f t="shared" si="118"/>
        <v>0</v>
      </c>
      <c r="DT92" s="113">
        <f t="shared" si="138"/>
        <v>900000</v>
      </c>
      <c r="DU92" s="113">
        <f t="shared" si="138"/>
        <v>845000</v>
      </c>
    </row>
    <row r="93" spans="1:125">
      <c r="A93" s="15">
        <v>88</v>
      </c>
      <c r="B93" s="96" t="s">
        <v>683</v>
      </c>
      <c r="C93" s="7" t="s">
        <v>883</v>
      </c>
      <c r="D93" s="96" t="s">
        <v>884</v>
      </c>
      <c r="E93" s="185" t="s">
        <v>1164</v>
      </c>
      <c r="F93" s="161">
        <f t="shared" si="100"/>
        <v>0</v>
      </c>
      <c r="G93" s="161">
        <f t="shared" si="119"/>
        <v>0</v>
      </c>
      <c r="H93" s="161">
        <f t="shared" si="120"/>
        <v>0</v>
      </c>
      <c r="I93" s="161">
        <f t="shared" si="107"/>
        <v>0</v>
      </c>
      <c r="J93" s="165">
        <f t="shared" si="101"/>
        <v>0</v>
      </c>
      <c r="K93" s="115"/>
      <c r="L93" s="211">
        <v>0</v>
      </c>
      <c r="M93" s="211">
        <v>0</v>
      </c>
      <c r="N93" s="127">
        <f t="shared" si="102"/>
        <v>0</v>
      </c>
      <c r="O93" s="127">
        <f t="shared" si="103"/>
        <v>0</v>
      </c>
      <c r="P93" s="127">
        <f t="shared" si="104"/>
        <v>0</v>
      </c>
      <c r="Q93" s="131">
        <f t="shared" si="121"/>
        <v>0</v>
      </c>
      <c r="R93" s="125" t="str">
        <f t="shared" si="105"/>
        <v>ნულოვანი შესრულება</v>
      </c>
      <c r="S93" s="113">
        <v>0</v>
      </c>
      <c r="T93" s="113"/>
      <c r="U93" s="113">
        <f t="shared" si="106"/>
        <v>0</v>
      </c>
      <c r="V93" s="113">
        <f t="shared" si="97"/>
        <v>0</v>
      </c>
      <c r="W93" s="113">
        <v>0</v>
      </c>
      <c r="X93" s="113">
        <v>0</v>
      </c>
      <c r="Y93" s="113">
        <v>0</v>
      </c>
      <c r="Z93" s="113">
        <v>0</v>
      </c>
      <c r="AA93" s="113">
        <f t="shared" si="122"/>
        <v>0</v>
      </c>
      <c r="AB93" s="113">
        <f t="shared" si="122"/>
        <v>0</v>
      </c>
      <c r="AC93" s="113"/>
      <c r="AD93" s="113"/>
      <c r="AE93" s="113"/>
      <c r="AF93" s="113"/>
      <c r="AG93" s="113">
        <f t="shared" si="123"/>
        <v>0</v>
      </c>
      <c r="AH93" s="113">
        <f t="shared" si="123"/>
        <v>0</v>
      </c>
      <c r="AI93" s="114">
        <f t="shared" si="98"/>
        <v>0</v>
      </c>
      <c r="AJ93" s="114">
        <f t="shared" si="124"/>
        <v>0</v>
      </c>
      <c r="AK93" s="114">
        <f t="shared" si="124"/>
        <v>0</v>
      </c>
      <c r="AL93" s="114">
        <f t="shared" si="99"/>
        <v>0</v>
      </c>
      <c r="AM93" s="113">
        <f t="shared" si="125"/>
        <v>0</v>
      </c>
      <c r="AN93" s="113">
        <f t="shared" si="125"/>
        <v>0</v>
      </c>
      <c r="AO93" s="113"/>
      <c r="AP93" s="113"/>
      <c r="AQ93" s="113"/>
      <c r="AR93" s="113"/>
      <c r="AS93" s="113">
        <f t="shared" si="126"/>
        <v>0</v>
      </c>
      <c r="AT93" s="113">
        <f t="shared" si="126"/>
        <v>0</v>
      </c>
      <c r="AU93" s="113"/>
      <c r="AV93" s="113"/>
      <c r="AW93" s="113"/>
      <c r="AX93" s="113"/>
      <c r="AY93" s="113">
        <f t="shared" si="127"/>
        <v>0</v>
      </c>
      <c r="AZ93" s="113">
        <f t="shared" si="127"/>
        <v>0</v>
      </c>
      <c r="BA93" s="113"/>
      <c r="BB93" s="113"/>
      <c r="BC93" s="113"/>
      <c r="BD93" s="113"/>
      <c r="BE93" s="113">
        <f t="shared" si="128"/>
        <v>0</v>
      </c>
      <c r="BF93" s="113"/>
      <c r="BG93" s="113">
        <f t="shared" si="108"/>
        <v>0</v>
      </c>
      <c r="BH93" s="113"/>
      <c r="BI93" s="113"/>
      <c r="BJ93" s="113"/>
      <c r="BK93" s="113"/>
      <c r="BL93" s="113">
        <f t="shared" si="129"/>
        <v>0</v>
      </c>
      <c r="BM93" s="113"/>
      <c r="BN93" s="113">
        <f t="shared" si="109"/>
        <v>0</v>
      </c>
      <c r="BO93" s="113"/>
      <c r="BP93" s="113"/>
      <c r="BQ93" s="113"/>
      <c r="BR93" s="113"/>
      <c r="BS93" s="113">
        <f t="shared" si="130"/>
        <v>0</v>
      </c>
      <c r="BT93" s="113"/>
      <c r="BU93" s="113">
        <f t="shared" si="110"/>
        <v>0</v>
      </c>
      <c r="BV93" s="113"/>
      <c r="BW93" s="113"/>
      <c r="BX93" s="113"/>
      <c r="BY93" s="113"/>
      <c r="BZ93" s="113">
        <f t="shared" si="131"/>
        <v>0</v>
      </c>
      <c r="CA93" s="113"/>
      <c r="CB93" s="113">
        <f t="shared" si="111"/>
        <v>0</v>
      </c>
      <c r="CC93" s="113"/>
      <c r="CD93" s="113"/>
      <c r="CE93" s="113"/>
      <c r="CF93" s="113"/>
      <c r="CG93" s="113">
        <f t="shared" si="132"/>
        <v>0</v>
      </c>
      <c r="CH93" s="113"/>
      <c r="CI93" s="113">
        <f t="shared" si="112"/>
        <v>0</v>
      </c>
      <c r="CJ93" s="113"/>
      <c r="CK93" s="113"/>
      <c r="CL93" s="113"/>
      <c r="CM93" s="113"/>
      <c r="CN93" s="113">
        <f t="shared" si="133"/>
        <v>0</v>
      </c>
      <c r="CO93" s="113"/>
      <c r="CP93" s="113">
        <f t="shared" si="113"/>
        <v>0</v>
      </c>
      <c r="CQ93" s="113"/>
      <c r="CR93" s="113"/>
      <c r="CS93" s="113"/>
      <c r="CT93" s="113"/>
      <c r="CU93" s="113">
        <f t="shared" si="134"/>
        <v>0</v>
      </c>
      <c r="CV93" s="113"/>
      <c r="CW93" s="113">
        <f t="shared" si="114"/>
        <v>0</v>
      </c>
      <c r="CX93" s="113"/>
      <c r="CY93" s="113"/>
      <c r="CZ93" s="113"/>
      <c r="DA93" s="113"/>
      <c r="DB93" s="113">
        <f t="shared" si="135"/>
        <v>0</v>
      </c>
      <c r="DC93" s="113">
        <f t="shared" si="135"/>
        <v>0</v>
      </c>
      <c r="DD93" s="113"/>
      <c r="DE93" s="113"/>
      <c r="DF93" s="113"/>
      <c r="DG93" s="113"/>
      <c r="DH93" s="113">
        <f t="shared" si="136"/>
        <v>0</v>
      </c>
      <c r="DI93" s="113">
        <f t="shared" si="136"/>
        <v>0</v>
      </c>
      <c r="DJ93" s="113"/>
      <c r="DK93" s="113"/>
      <c r="DL93" s="113"/>
      <c r="DM93" s="113"/>
      <c r="DN93" s="113">
        <f t="shared" si="137"/>
        <v>0</v>
      </c>
      <c r="DO93" s="113">
        <f t="shared" si="137"/>
        <v>0</v>
      </c>
      <c r="DP93" s="113">
        <f t="shared" si="115"/>
        <v>0</v>
      </c>
      <c r="DQ93" s="113">
        <f t="shared" si="116"/>
        <v>0</v>
      </c>
      <c r="DR93" s="113">
        <f t="shared" si="117"/>
        <v>0</v>
      </c>
      <c r="DS93" s="113">
        <f t="shared" si="118"/>
        <v>0</v>
      </c>
      <c r="DT93" s="113">
        <f t="shared" si="138"/>
        <v>0</v>
      </c>
      <c r="DU93" s="113">
        <f t="shared" si="138"/>
        <v>0</v>
      </c>
    </row>
    <row r="94" spans="1:125" s="323" customFormat="1">
      <c r="A94" s="318">
        <v>89</v>
      </c>
      <c r="B94" s="319" t="s">
        <v>683</v>
      </c>
      <c r="C94" s="320" t="s">
        <v>883</v>
      </c>
      <c r="D94" s="319" t="s">
        <v>885</v>
      </c>
      <c r="E94" s="319" t="s">
        <v>1165</v>
      </c>
      <c r="F94" s="255">
        <f t="shared" si="100"/>
        <v>0</v>
      </c>
      <c r="G94" s="255">
        <f t="shared" si="119"/>
        <v>152100.70000000001</v>
      </c>
      <c r="H94" s="161">
        <f t="shared" si="120"/>
        <v>-152100.70000000001</v>
      </c>
      <c r="I94" s="161">
        <f t="shared" si="107"/>
        <v>0</v>
      </c>
      <c r="J94" s="256">
        <f t="shared" si="101"/>
        <v>0</v>
      </c>
      <c r="K94" s="321">
        <v>15924</v>
      </c>
      <c r="L94" s="211">
        <v>0</v>
      </c>
      <c r="M94" s="211">
        <v>0</v>
      </c>
      <c r="N94" s="127">
        <f t="shared" si="102"/>
        <v>0</v>
      </c>
      <c r="O94" s="127">
        <f t="shared" si="103"/>
        <v>0</v>
      </c>
      <c r="P94" s="255">
        <f t="shared" si="104"/>
        <v>0</v>
      </c>
      <c r="Q94" s="255">
        <f t="shared" si="121"/>
        <v>0</v>
      </c>
      <c r="R94" s="255" t="str">
        <f t="shared" si="105"/>
        <v>მიმდინარეობს</v>
      </c>
      <c r="S94" s="113">
        <v>0</v>
      </c>
      <c r="T94" s="113"/>
      <c r="U94" s="113">
        <f t="shared" si="106"/>
        <v>0</v>
      </c>
      <c r="V94" s="113">
        <f t="shared" si="97"/>
        <v>0</v>
      </c>
      <c r="W94" s="113">
        <v>0</v>
      </c>
      <c r="X94" s="113">
        <v>0</v>
      </c>
      <c r="Y94" s="113">
        <v>0</v>
      </c>
      <c r="Z94" s="113">
        <v>0</v>
      </c>
      <c r="AA94" s="113">
        <f t="shared" si="122"/>
        <v>0</v>
      </c>
      <c r="AB94" s="113">
        <f t="shared" si="122"/>
        <v>0</v>
      </c>
      <c r="AC94" s="113"/>
      <c r="AD94" s="113"/>
      <c r="AE94" s="113"/>
      <c r="AF94" s="113"/>
      <c r="AG94" s="113">
        <f t="shared" si="123"/>
        <v>0</v>
      </c>
      <c r="AH94" s="113">
        <f t="shared" si="123"/>
        <v>0</v>
      </c>
      <c r="AI94" s="114">
        <f t="shared" si="98"/>
        <v>0</v>
      </c>
      <c r="AJ94" s="114">
        <f t="shared" si="124"/>
        <v>0</v>
      </c>
      <c r="AK94" s="114">
        <f t="shared" si="124"/>
        <v>0</v>
      </c>
      <c r="AL94" s="114">
        <f t="shared" si="99"/>
        <v>0</v>
      </c>
      <c r="AM94" s="113">
        <f t="shared" si="125"/>
        <v>0</v>
      </c>
      <c r="AN94" s="113">
        <f t="shared" si="125"/>
        <v>0</v>
      </c>
      <c r="AO94" s="322"/>
      <c r="AP94" s="322"/>
      <c r="AQ94" s="322"/>
      <c r="AR94" s="322"/>
      <c r="AS94" s="322">
        <f t="shared" si="126"/>
        <v>0</v>
      </c>
      <c r="AT94" s="322">
        <f t="shared" si="126"/>
        <v>0</v>
      </c>
      <c r="AU94" s="322"/>
      <c r="AV94" s="322"/>
      <c r="AW94" s="322"/>
      <c r="AX94" s="322"/>
      <c r="AY94" s="322">
        <f t="shared" si="127"/>
        <v>0</v>
      </c>
      <c r="AZ94" s="322">
        <f t="shared" si="127"/>
        <v>0</v>
      </c>
      <c r="BA94" s="322"/>
      <c r="BB94" s="322"/>
      <c r="BC94" s="322"/>
      <c r="BD94" s="322"/>
      <c r="BE94" s="322">
        <f t="shared" si="128"/>
        <v>0</v>
      </c>
      <c r="BF94" s="322"/>
      <c r="BG94" s="322">
        <f t="shared" si="108"/>
        <v>0</v>
      </c>
      <c r="BH94" s="322"/>
      <c r="BI94" s="322"/>
      <c r="BJ94" s="322"/>
      <c r="BK94" s="322"/>
      <c r="BL94" s="322">
        <f t="shared" si="129"/>
        <v>0</v>
      </c>
      <c r="BM94" s="322"/>
      <c r="BN94" s="322">
        <f t="shared" si="109"/>
        <v>0</v>
      </c>
      <c r="BO94" s="322"/>
      <c r="BP94" s="322"/>
      <c r="BQ94" s="322"/>
      <c r="BR94" s="322"/>
      <c r="BS94" s="322">
        <f t="shared" si="130"/>
        <v>0</v>
      </c>
      <c r="BT94" s="322"/>
      <c r="BU94" s="322">
        <f t="shared" si="110"/>
        <v>0</v>
      </c>
      <c r="BV94" s="322"/>
      <c r="BW94" s="322"/>
      <c r="BX94" s="322"/>
      <c r="BY94" s="322"/>
      <c r="BZ94" s="322">
        <f t="shared" si="131"/>
        <v>0</v>
      </c>
      <c r="CA94" s="322"/>
      <c r="CB94" s="322">
        <f t="shared" si="111"/>
        <v>0</v>
      </c>
      <c r="CC94" s="322"/>
      <c r="CD94" s="322"/>
      <c r="CE94" s="322"/>
      <c r="CF94" s="322"/>
      <c r="CG94" s="322">
        <f t="shared" si="132"/>
        <v>0</v>
      </c>
      <c r="CH94" s="322"/>
      <c r="CI94" s="322">
        <f t="shared" si="112"/>
        <v>0</v>
      </c>
      <c r="CJ94" s="322"/>
      <c r="CK94" s="322"/>
      <c r="CL94" s="322"/>
      <c r="CM94" s="322"/>
      <c r="CN94" s="322">
        <f t="shared" si="133"/>
        <v>0</v>
      </c>
      <c r="CO94" s="322"/>
      <c r="CP94" s="322">
        <f t="shared" si="113"/>
        <v>0</v>
      </c>
      <c r="CQ94" s="322"/>
      <c r="CR94" s="322"/>
      <c r="CS94" s="322"/>
      <c r="CT94" s="322"/>
      <c r="CU94" s="322">
        <f t="shared" si="134"/>
        <v>0</v>
      </c>
      <c r="CV94" s="322"/>
      <c r="CW94" s="322">
        <f t="shared" si="114"/>
        <v>0</v>
      </c>
      <c r="CX94" s="322"/>
      <c r="CY94" s="322">
        <v>150000</v>
      </c>
      <c r="CZ94" s="322"/>
      <c r="DA94" s="322"/>
      <c r="DB94" s="322">
        <f t="shared" si="135"/>
        <v>0</v>
      </c>
      <c r="DC94" s="322">
        <f t="shared" si="135"/>
        <v>150000</v>
      </c>
      <c r="DD94" s="322"/>
      <c r="DE94" s="322">
        <v>2100.6999999999998</v>
      </c>
      <c r="DF94" s="322"/>
      <c r="DG94" s="322"/>
      <c r="DH94" s="322">
        <f t="shared" si="136"/>
        <v>0</v>
      </c>
      <c r="DI94" s="322">
        <f t="shared" si="136"/>
        <v>2100.6999999999998</v>
      </c>
      <c r="DJ94" s="322"/>
      <c r="DK94" s="322"/>
      <c r="DL94" s="322"/>
      <c r="DM94" s="322"/>
      <c r="DN94" s="322">
        <f t="shared" si="137"/>
        <v>0</v>
      </c>
      <c r="DO94" s="322">
        <f t="shared" si="137"/>
        <v>0</v>
      </c>
      <c r="DP94" s="322">
        <f t="shared" si="115"/>
        <v>0</v>
      </c>
      <c r="DQ94" s="322">
        <f t="shared" si="116"/>
        <v>152100.70000000001</v>
      </c>
      <c r="DR94" s="322">
        <f t="shared" si="117"/>
        <v>0</v>
      </c>
      <c r="DS94" s="322">
        <f t="shared" si="118"/>
        <v>0</v>
      </c>
      <c r="DT94" s="322">
        <f t="shared" si="138"/>
        <v>0</v>
      </c>
      <c r="DU94" s="322">
        <f t="shared" si="138"/>
        <v>152100.70000000001</v>
      </c>
    </row>
    <row r="95" spans="1:125">
      <c r="A95" s="15">
        <v>90</v>
      </c>
      <c r="B95" s="96" t="s">
        <v>683</v>
      </c>
      <c r="C95" s="7" t="s">
        <v>886</v>
      </c>
      <c r="D95" s="96" t="s">
        <v>887</v>
      </c>
      <c r="E95" s="185" t="s">
        <v>1164</v>
      </c>
      <c r="F95" s="161">
        <f t="shared" si="100"/>
        <v>5556.25</v>
      </c>
      <c r="G95" s="161">
        <f t="shared" si="119"/>
        <v>5556.25</v>
      </c>
      <c r="H95" s="161">
        <f t="shared" si="120"/>
        <v>0</v>
      </c>
      <c r="I95" s="161">
        <f t="shared" si="107"/>
        <v>0</v>
      </c>
      <c r="J95" s="165">
        <f t="shared" si="101"/>
        <v>5556.25</v>
      </c>
      <c r="K95" s="115"/>
      <c r="L95" s="211">
        <v>0</v>
      </c>
      <c r="M95" s="211">
        <v>0</v>
      </c>
      <c r="N95" s="127">
        <f t="shared" si="102"/>
        <v>0</v>
      </c>
      <c r="O95" s="127">
        <f t="shared" si="103"/>
        <v>0</v>
      </c>
      <c r="P95" s="127">
        <f t="shared" si="104"/>
        <v>0</v>
      </c>
      <c r="Q95" s="131">
        <f t="shared" si="121"/>
        <v>5556.25</v>
      </c>
      <c r="R95" s="125">
        <f t="shared" si="105"/>
        <v>5556.25</v>
      </c>
      <c r="S95" s="113">
        <v>0</v>
      </c>
      <c r="T95" s="113"/>
      <c r="U95" s="113">
        <f t="shared" si="106"/>
        <v>0</v>
      </c>
      <c r="V95" s="113">
        <f t="shared" si="97"/>
        <v>0</v>
      </c>
      <c r="W95" s="113">
        <v>0</v>
      </c>
      <c r="X95" s="113">
        <v>0</v>
      </c>
      <c r="Y95" s="113">
        <v>0</v>
      </c>
      <c r="Z95" s="113">
        <v>0</v>
      </c>
      <c r="AA95" s="113">
        <f t="shared" si="122"/>
        <v>0</v>
      </c>
      <c r="AB95" s="113">
        <f t="shared" si="122"/>
        <v>0</v>
      </c>
      <c r="AC95" s="113"/>
      <c r="AD95" s="113"/>
      <c r="AE95" s="113"/>
      <c r="AF95" s="113"/>
      <c r="AG95" s="113">
        <f t="shared" si="123"/>
        <v>0</v>
      </c>
      <c r="AH95" s="113">
        <f t="shared" si="123"/>
        <v>0</v>
      </c>
      <c r="AI95" s="114">
        <f t="shared" si="98"/>
        <v>0</v>
      </c>
      <c r="AJ95" s="114">
        <f t="shared" si="124"/>
        <v>0</v>
      </c>
      <c r="AK95" s="114">
        <f t="shared" si="124"/>
        <v>0</v>
      </c>
      <c r="AL95" s="114">
        <f t="shared" si="99"/>
        <v>0</v>
      </c>
      <c r="AM95" s="113">
        <f t="shared" si="125"/>
        <v>0</v>
      </c>
      <c r="AN95" s="113">
        <f t="shared" si="125"/>
        <v>0</v>
      </c>
      <c r="AO95" s="113"/>
      <c r="AP95" s="113"/>
      <c r="AQ95" s="113">
        <v>5556.25</v>
      </c>
      <c r="AR95" s="113">
        <v>5556.25</v>
      </c>
      <c r="AS95" s="113">
        <f t="shared" si="126"/>
        <v>5556.25</v>
      </c>
      <c r="AT95" s="113">
        <f t="shared" si="126"/>
        <v>5556.25</v>
      </c>
      <c r="AU95" s="113"/>
      <c r="AV95" s="113"/>
      <c r="AW95" s="113"/>
      <c r="AX95" s="113"/>
      <c r="AY95" s="113">
        <f t="shared" si="127"/>
        <v>0</v>
      </c>
      <c r="AZ95" s="113">
        <f t="shared" si="127"/>
        <v>0</v>
      </c>
      <c r="BA95" s="113"/>
      <c r="BB95" s="113"/>
      <c r="BC95" s="113"/>
      <c r="BD95" s="113"/>
      <c r="BE95" s="113">
        <f t="shared" si="128"/>
        <v>0</v>
      </c>
      <c r="BF95" s="113"/>
      <c r="BG95" s="113">
        <f t="shared" si="108"/>
        <v>0</v>
      </c>
      <c r="BH95" s="113"/>
      <c r="BI95" s="113"/>
      <c r="BJ95" s="113"/>
      <c r="BK95" s="113"/>
      <c r="BL95" s="113">
        <f t="shared" si="129"/>
        <v>0</v>
      </c>
      <c r="BM95" s="113"/>
      <c r="BN95" s="113">
        <f t="shared" si="109"/>
        <v>0</v>
      </c>
      <c r="BO95" s="113"/>
      <c r="BP95" s="113"/>
      <c r="BQ95" s="113"/>
      <c r="BR95" s="113"/>
      <c r="BS95" s="113">
        <f t="shared" si="130"/>
        <v>0</v>
      </c>
      <c r="BT95" s="113"/>
      <c r="BU95" s="113">
        <f t="shared" si="110"/>
        <v>0</v>
      </c>
      <c r="BV95" s="113"/>
      <c r="BW95" s="113"/>
      <c r="BX95" s="113"/>
      <c r="BY95" s="113"/>
      <c r="BZ95" s="113">
        <f t="shared" si="131"/>
        <v>0</v>
      </c>
      <c r="CA95" s="113"/>
      <c r="CB95" s="113">
        <f t="shared" si="111"/>
        <v>0</v>
      </c>
      <c r="CC95" s="113"/>
      <c r="CD95" s="113"/>
      <c r="CE95" s="113"/>
      <c r="CF95" s="113"/>
      <c r="CG95" s="113">
        <f>CC95+CE95</f>
        <v>0</v>
      </c>
      <c r="CH95" s="113"/>
      <c r="CI95" s="113">
        <f t="shared" si="112"/>
        <v>0</v>
      </c>
      <c r="CJ95" s="113"/>
      <c r="CK95" s="113"/>
      <c r="CL95" s="113"/>
      <c r="CM95" s="113"/>
      <c r="CN95" s="113">
        <f t="shared" si="133"/>
        <v>0</v>
      </c>
      <c r="CO95" s="113"/>
      <c r="CP95" s="113">
        <f t="shared" si="113"/>
        <v>0</v>
      </c>
      <c r="CQ95" s="113"/>
      <c r="CR95" s="113"/>
      <c r="CS95" s="113"/>
      <c r="CT95" s="113"/>
      <c r="CU95" s="113">
        <f t="shared" si="134"/>
        <v>0</v>
      </c>
      <c r="CV95" s="113"/>
      <c r="CW95" s="113">
        <f t="shared" si="114"/>
        <v>0</v>
      </c>
      <c r="CX95" s="113"/>
      <c r="CY95" s="113"/>
      <c r="CZ95" s="113"/>
      <c r="DA95" s="113"/>
      <c r="DB95" s="113">
        <f t="shared" si="135"/>
        <v>0</v>
      </c>
      <c r="DC95" s="113">
        <f t="shared" si="135"/>
        <v>0</v>
      </c>
      <c r="DD95" s="113"/>
      <c r="DE95" s="113"/>
      <c r="DF95" s="113"/>
      <c r="DG95" s="113"/>
      <c r="DH95" s="113">
        <f t="shared" si="136"/>
        <v>0</v>
      </c>
      <c r="DI95" s="113">
        <f t="shared" si="136"/>
        <v>0</v>
      </c>
      <c r="DJ95" s="113"/>
      <c r="DK95" s="113"/>
      <c r="DL95" s="113"/>
      <c r="DM95" s="113"/>
      <c r="DN95" s="113">
        <f t="shared" si="137"/>
        <v>0</v>
      </c>
      <c r="DO95" s="113">
        <f t="shared" si="137"/>
        <v>0</v>
      </c>
      <c r="DP95" s="113">
        <f t="shared" si="115"/>
        <v>0</v>
      </c>
      <c r="DQ95" s="113">
        <f t="shared" si="116"/>
        <v>0</v>
      </c>
      <c r="DR95" s="113">
        <f t="shared" si="117"/>
        <v>5556.25</v>
      </c>
      <c r="DS95" s="113">
        <f t="shared" si="118"/>
        <v>5556.25</v>
      </c>
      <c r="DT95" s="113">
        <f t="shared" si="138"/>
        <v>5556.25</v>
      </c>
      <c r="DU95" s="113">
        <f t="shared" si="138"/>
        <v>5556.25</v>
      </c>
    </row>
    <row r="96" spans="1:125" s="398" customFormat="1">
      <c r="A96" s="390">
        <v>91</v>
      </c>
      <c r="B96" s="391" t="s">
        <v>683</v>
      </c>
      <c r="C96" s="392" t="s">
        <v>886</v>
      </c>
      <c r="D96" s="391" t="s">
        <v>888</v>
      </c>
      <c r="E96" s="391" t="s">
        <v>1165</v>
      </c>
      <c r="F96" s="393">
        <f t="shared" si="100"/>
        <v>0</v>
      </c>
      <c r="G96" s="393">
        <f t="shared" si="119"/>
        <v>383602.85</v>
      </c>
      <c r="H96" s="393">
        <f t="shared" si="120"/>
        <v>-383602.85</v>
      </c>
      <c r="I96" s="393">
        <f t="shared" si="107"/>
        <v>169500</v>
      </c>
      <c r="J96" s="394">
        <f t="shared" si="101"/>
        <v>0</v>
      </c>
      <c r="K96" s="395">
        <v>68000</v>
      </c>
      <c r="L96" s="396">
        <v>0</v>
      </c>
      <c r="M96" s="396">
        <v>0</v>
      </c>
      <c r="N96" s="393">
        <f t="shared" si="102"/>
        <v>0</v>
      </c>
      <c r="O96" s="393">
        <f t="shared" si="103"/>
        <v>0</v>
      </c>
      <c r="P96" s="393">
        <f t="shared" si="104"/>
        <v>0</v>
      </c>
      <c r="Q96" s="393">
        <f t="shared" si="121"/>
        <v>0</v>
      </c>
      <c r="R96" s="393">
        <f t="shared" si="105"/>
        <v>383602.85</v>
      </c>
      <c r="S96" s="396">
        <v>0</v>
      </c>
      <c r="T96" s="396"/>
      <c r="U96" s="396">
        <f t="shared" si="106"/>
        <v>0</v>
      </c>
      <c r="V96" s="396">
        <f t="shared" si="97"/>
        <v>0</v>
      </c>
      <c r="W96" s="396">
        <v>0</v>
      </c>
      <c r="X96" s="396">
        <v>0</v>
      </c>
      <c r="Y96" s="396">
        <v>0</v>
      </c>
      <c r="Z96" s="396">
        <v>0</v>
      </c>
      <c r="AA96" s="396">
        <f t="shared" si="122"/>
        <v>0</v>
      </c>
      <c r="AB96" s="396">
        <f t="shared" si="122"/>
        <v>0</v>
      </c>
      <c r="AC96" s="396"/>
      <c r="AD96" s="396"/>
      <c r="AE96" s="396"/>
      <c r="AF96" s="396"/>
      <c r="AG96" s="396">
        <f t="shared" si="123"/>
        <v>0</v>
      </c>
      <c r="AH96" s="396">
        <f t="shared" si="123"/>
        <v>0</v>
      </c>
      <c r="AI96" s="397">
        <f t="shared" si="98"/>
        <v>0</v>
      </c>
      <c r="AJ96" s="397">
        <f t="shared" si="124"/>
        <v>0</v>
      </c>
      <c r="AK96" s="397">
        <f t="shared" si="124"/>
        <v>0</v>
      </c>
      <c r="AL96" s="397">
        <f t="shared" si="99"/>
        <v>0</v>
      </c>
      <c r="AM96" s="396">
        <f t="shared" si="125"/>
        <v>0</v>
      </c>
      <c r="AN96" s="396">
        <f t="shared" si="125"/>
        <v>0</v>
      </c>
      <c r="AO96" s="396"/>
      <c r="AP96" s="396"/>
      <c r="AQ96" s="396"/>
      <c r="AR96" s="396"/>
      <c r="AS96" s="396">
        <f t="shared" si="126"/>
        <v>0</v>
      </c>
      <c r="AT96" s="396">
        <f t="shared" si="126"/>
        <v>0</v>
      </c>
      <c r="AU96" s="396"/>
      <c r="AV96" s="396"/>
      <c r="AW96" s="396"/>
      <c r="AX96" s="396"/>
      <c r="AY96" s="396">
        <f t="shared" si="127"/>
        <v>0</v>
      </c>
      <c r="AZ96" s="396">
        <f t="shared" si="127"/>
        <v>0</v>
      </c>
      <c r="BA96" s="396"/>
      <c r="BB96" s="396">
        <v>169000</v>
      </c>
      <c r="BC96" s="396"/>
      <c r="BD96" s="396"/>
      <c r="BE96" s="396">
        <f t="shared" si="128"/>
        <v>0</v>
      </c>
      <c r="BF96" s="396">
        <v>169000</v>
      </c>
      <c r="BG96" s="396">
        <f t="shared" si="108"/>
        <v>169000</v>
      </c>
      <c r="BH96" s="396"/>
      <c r="BI96" s="396"/>
      <c r="BJ96" s="396"/>
      <c r="BK96" s="396"/>
      <c r="BL96" s="396">
        <f t="shared" si="129"/>
        <v>0</v>
      </c>
      <c r="BM96" s="396"/>
      <c r="BN96" s="396">
        <f t="shared" si="109"/>
        <v>0</v>
      </c>
      <c r="BO96" s="396"/>
      <c r="BP96" s="396"/>
      <c r="BQ96" s="396"/>
      <c r="BR96" s="396"/>
      <c r="BS96" s="396">
        <f t="shared" si="130"/>
        <v>0</v>
      </c>
      <c r="BT96" s="396">
        <v>500</v>
      </c>
      <c r="BU96" s="396">
        <f t="shared" si="110"/>
        <v>0</v>
      </c>
      <c r="BV96" s="396"/>
      <c r="BW96" s="396"/>
      <c r="BX96" s="396"/>
      <c r="BY96" s="396"/>
      <c r="BZ96" s="396">
        <f t="shared" si="131"/>
        <v>0</v>
      </c>
      <c r="CA96" s="396"/>
      <c r="CB96" s="396">
        <f t="shared" si="111"/>
        <v>0</v>
      </c>
      <c r="CC96" s="396"/>
      <c r="CD96" s="113">
        <v>190000</v>
      </c>
      <c r="CE96" s="396"/>
      <c r="CF96" s="396"/>
      <c r="CG96" s="396">
        <f t="shared" si="132"/>
        <v>0</v>
      </c>
      <c r="CH96" s="396"/>
      <c r="CI96" s="113">
        <f t="shared" si="112"/>
        <v>190000</v>
      </c>
      <c r="CJ96" s="396"/>
      <c r="CK96" s="396">
        <v>20000</v>
      </c>
      <c r="CL96" s="396"/>
      <c r="CM96" s="396"/>
      <c r="CN96" s="396">
        <f t="shared" si="133"/>
        <v>0</v>
      </c>
      <c r="CO96" s="396"/>
      <c r="CP96" s="396">
        <f t="shared" si="113"/>
        <v>20000</v>
      </c>
      <c r="CQ96" s="396"/>
      <c r="CR96" s="396"/>
      <c r="CS96" s="396"/>
      <c r="CT96" s="396"/>
      <c r="CU96" s="396">
        <f t="shared" si="134"/>
        <v>0</v>
      </c>
      <c r="CV96" s="396"/>
      <c r="CW96" s="396">
        <f t="shared" si="114"/>
        <v>0</v>
      </c>
      <c r="CX96" s="396"/>
      <c r="CY96" s="396"/>
      <c r="CZ96" s="396"/>
      <c r="DA96" s="396">
        <v>4602.8500000000004</v>
      </c>
      <c r="DB96" s="396">
        <f t="shared" si="135"/>
        <v>0</v>
      </c>
      <c r="DC96" s="396">
        <f t="shared" si="135"/>
        <v>4602.8500000000004</v>
      </c>
      <c r="DD96" s="396"/>
      <c r="DE96" s="396"/>
      <c r="DF96" s="396"/>
      <c r="DG96" s="396"/>
      <c r="DH96" s="396">
        <f t="shared" si="136"/>
        <v>0</v>
      </c>
      <c r="DI96" s="396">
        <f t="shared" si="136"/>
        <v>0</v>
      </c>
      <c r="DJ96" s="396"/>
      <c r="DK96" s="396"/>
      <c r="DL96" s="396"/>
      <c r="DM96" s="396"/>
      <c r="DN96" s="396">
        <f t="shared" si="137"/>
        <v>0</v>
      </c>
      <c r="DO96" s="396">
        <f t="shared" si="137"/>
        <v>0</v>
      </c>
      <c r="DP96" s="396">
        <f t="shared" si="115"/>
        <v>0</v>
      </c>
      <c r="DQ96" s="396">
        <f t="shared" si="116"/>
        <v>379000</v>
      </c>
      <c r="DR96" s="396">
        <f t="shared" si="117"/>
        <v>0</v>
      </c>
      <c r="DS96" s="396">
        <f t="shared" si="118"/>
        <v>4602.8500000000004</v>
      </c>
      <c r="DT96" s="396">
        <f t="shared" si="138"/>
        <v>0</v>
      </c>
      <c r="DU96" s="396">
        <f t="shared" si="138"/>
        <v>383602.85</v>
      </c>
    </row>
    <row r="97" spans="1:125">
      <c r="A97" s="15">
        <v>92</v>
      </c>
      <c r="B97" s="96" t="s">
        <v>683</v>
      </c>
      <c r="C97" s="7" t="s">
        <v>889</v>
      </c>
      <c r="D97" s="96" t="s">
        <v>890</v>
      </c>
      <c r="E97" s="185" t="s">
        <v>1164</v>
      </c>
      <c r="F97" s="161">
        <f t="shared" si="100"/>
        <v>0</v>
      </c>
      <c r="G97" s="161">
        <f t="shared" si="119"/>
        <v>0</v>
      </c>
      <c r="H97" s="161">
        <f t="shared" si="120"/>
        <v>0</v>
      </c>
      <c r="I97" s="161">
        <f t="shared" si="107"/>
        <v>0</v>
      </c>
      <c r="J97" s="165">
        <f t="shared" si="101"/>
        <v>1723.75</v>
      </c>
      <c r="K97" s="115"/>
      <c r="L97" s="211">
        <v>0</v>
      </c>
      <c r="M97" s="211">
        <v>0</v>
      </c>
      <c r="N97" s="127">
        <f t="shared" si="102"/>
        <v>1723.75</v>
      </c>
      <c r="O97" s="127">
        <f t="shared" si="103"/>
        <v>1723.75</v>
      </c>
      <c r="P97" s="127">
        <f t="shared" si="104"/>
        <v>1723.75</v>
      </c>
      <c r="Q97" s="131">
        <f t="shared" si="121"/>
        <v>0</v>
      </c>
      <c r="R97" s="125">
        <f t="shared" si="105"/>
        <v>1723.75</v>
      </c>
      <c r="S97" s="113">
        <v>0</v>
      </c>
      <c r="T97" s="113">
        <v>1723.75</v>
      </c>
      <c r="U97" s="113">
        <f t="shared" si="106"/>
        <v>0</v>
      </c>
      <c r="V97" s="113">
        <f t="shared" si="97"/>
        <v>1723.75</v>
      </c>
      <c r="W97" s="113">
        <v>0</v>
      </c>
      <c r="X97" s="113">
        <v>0</v>
      </c>
      <c r="Y97" s="113">
        <v>0</v>
      </c>
      <c r="Z97" s="113">
        <v>0</v>
      </c>
      <c r="AA97" s="113">
        <f t="shared" si="122"/>
        <v>0</v>
      </c>
      <c r="AB97" s="113">
        <f t="shared" si="122"/>
        <v>0</v>
      </c>
      <c r="AC97" s="113"/>
      <c r="AD97" s="113"/>
      <c r="AE97" s="113"/>
      <c r="AF97" s="113">
        <v>0</v>
      </c>
      <c r="AG97" s="113">
        <f t="shared" si="123"/>
        <v>0</v>
      </c>
      <c r="AH97" s="113">
        <f t="shared" si="123"/>
        <v>0</v>
      </c>
      <c r="AI97" s="114">
        <f t="shared" si="98"/>
        <v>0</v>
      </c>
      <c r="AJ97" s="114">
        <f t="shared" si="124"/>
        <v>0</v>
      </c>
      <c r="AK97" s="114">
        <f t="shared" si="124"/>
        <v>1723.75</v>
      </c>
      <c r="AL97" s="114">
        <f t="shared" si="99"/>
        <v>1723.75</v>
      </c>
      <c r="AM97" s="113">
        <f t="shared" si="125"/>
        <v>1723.75</v>
      </c>
      <c r="AN97" s="113">
        <f t="shared" si="125"/>
        <v>1723.75</v>
      </c>
      <c r="AO97" s="113"/>
      <c r="AP97" s="113"/>
      <c r="AQ97" s="113"/>
      <c r="AR97" s="113"/>
      <c r="AS97" s="113">
        <f t="shared" si="126"/>
        <v>0</v>
      </c>
      <c r="AT97" s="113">
        <f t="shared" si="126"/>
        <v>0</v>
      </c>
      <c r="AU97" s="113"/>
      <c r="AV97" s="113"/>
      <c r="AW97" s="113"/>
      <c r="AX97" s="113"/>
      <c r="AY97" s="113">
        <f t="shared" si="127"/>
        <v>0</v>
      </c>
      <c r="AZ97" s="113">
        <f t="shared" si="127"/>
        <v>0</v>
      </c>
      <c r="BA97" s="113"/>
      <c r="BB97" s="113"/>
      <c r="BC97" s="113"/>
      <c r="BD97" s="113"/>
      <c r="BE97" s="113">
        <f t="shared" si="128"/>
        <v>0</v>
      </c>
      <c r="BF97" s="113"/>
      <c r="BG97" s="113">
        <f t="shared" si="108"/>
        <v>0</v>
      </c>
      <c r="BH97" s="113"/>
      <c r="BI97" s="113"/>
      <c r="BJ97" s="113"/>
      <c r="BK97" s="113"/>
      <c r="BL97" s="113">
        <f t="shared" si="129"/>
        <v>0</v>
      </c>
      <c r="BM97" s="113"/>
      <c r="BN97" s="113">
        <f t="shared" si="109"/>
        <v>0</v>
      </c>
      <c r="BO97" s="113"/>
      <c r="BP97" s="113"/>
      <c r="BQ97" s="113"/>
      <c r="BR97" s="113"/>
      <c r="BS97" s="113">
        <f t="shared" si="130"/>
        <v>0</v>
      </c>
      <c r="BT97" s="113"/>
      <c r="BU97" s="113">
        <f t="shared" si="110"/>
        <v>0</v>
      </c>
      <c r="BV97" s="113"/>
      <c r="BW97" s="113"/>
      <c r="BX97" s="113"/>
      <c r="BY97" s="113"/>
      <c r="BZ97" s="113">
        <f t="shared" si="131"/>
        <v>0</v>
      </c>
      <c r="CA97" s="113"/>
      <c r="CB97" s="113">
        <f t="shared" si="111"/>
        <v>0</v>
      </c>
      <c r="CC97" s="113"/>
      <c r="CD97" s="113"/>
      <c r="CE97" s="113"/>
      <c r="CF97" s="113"/>
      <c r="CG97" s="113">
        <f t="shared" si="132"/>
        <v>0</v>
      </c>
      <c r="CH97" s="113"/>
      <c r="CI97" s="113">
        <f t="shared" si="112"/>
        <v>0</v>
      </c>
      <c r="CJ97" s="113"/>
      <c r="CK97" s="113"/>
      <c r="CL97" s="113"/>
      <c r="CM97" s="113"/>
      <c r="CN97" s="113">
        <f t="shared" si="133"/>
        <v>0</v>
      </c>
      <c r="CO97" s="113"/>
      <c r="CP97" s="113">
        <f t="shared" si="113"/>
        <v>0</v>
      </c>
      <c r="CQ97" s="113"/>
      <c r="CR97" s="113"/>
      <c r="CS97" s="113"/>
      <c r="CT97" s="113"/>
      <c r="CU97" s="113">
        <f t="shared" si="134"/>
        <v>0</v>
      </c>
      <c r="CV97" s="113"/>
      <c r="CW97" s="113">
        <f t="shared" si="114"/>
        <v>0</v>
      </c>
      <c r="CX97" s="113"/>
      <c r="CY97" s="113"/>
      <c r="CZ97" s="113"/>
      <c r="DA97" s="113"/>
      <c r="DB97" s="113">
        <f t="shared" si="135"/>
        <v>0</v>
      </c>
      <c r="DC97" s="113">
        <f t="shared" si="135"/>
        <v>0</v>
      </c>
      <c r="DD97" s="113"/>
      <c r="DE97" s="113"/>
      <c r="DF97" s="113"/>
      <c r="DG97" s="113"/>
      <c r="DH97" s="113">
        <f t="shared" si="136"/>
        <v>0</v>
      </c>
      <c r="DI97" s="113">
        <f t="shared" si="136"/>
        <v>0</v>
      </c>
      <c r="DJ97" s="113"/>
      <c r="DK97" s="113"/>
      <c r="DL97" s="113"/>
      <c r="DM97" s="113"/>
      <c r="DN97" s="113">
        <f t="shared" si="137"/>
        <v>0</v>
      </c>
      <c r="DO97" s="113">
        <f t="shared" si="137"/>
        <v>0</v>
      </c>
      <c r="DP97" s="113">
        <f t="shared" si="115"/>
        <v>0</v>
      </c>
      <c r="DQ97" s="113">
        <f t="shared" si="116"/>
        <v>0</v>
      </c>
      <c r="DR97" s="113">
        <f t="shared" si="117"/>
        <v>0</v>
      </c>
      <c r="DS97" s="113">
        <f t="shared" si="118"/>
        <v>0</v>
      </c>
      <c r="DT97" s="113">
        <f t="shared" si="138"/>
        <v>0</v>
      </c>
      <c r="DU97" s="113">
        <f t="shared" si="138"/>
        <v>0</v>
      </c>
    </row>
    <row r="98" spans="1:125">
      <c r="A98" s="15">
        <v>93</v>
      </c>
      <c r="B98" s="96" t="s">
        <v>683</v>
      </c>
      <c r="C98" s="112" t="s">
        <v>889</v>
      </c>
      <c r="D98" s="96" t="s">
        <v>891</v>
      </c>
      <c r="E98" s="185" t="s">
        <v>1165</v>
      </c>
      <c r="F98" s="161">
        <f t="shared" si="100"/>
        <v>0</v>
      </c>
      <c r="G98" s="161">
        <f t="shared" si="119"/>
        <v>0</v>
      </c>
      <c r="H98" s="161">
        <f t="shared" si="120"/>
        <v>0</v>
      </c>
      <c r="I98" s="161">
        <f t="shared" si="107"/>
        <v>0</v>
      </c>
      <c r="J98" s="165">
        <f t="shared" si="101"/>
        <v>64150.75</v>
      </c>
      <c r="K98" s="115">
        <v>120000</v>
      </c>
      <c r="L98" s="211">
        <v>0</v>
      </c>
      <c r="M98" s="211">
        <v>0</v>
      </c>
      <c r="N98" s="127">
        <f t="shared" si="102"/>
        <v>64150.75</v>
      </c>
      <c r="O98" s="127">
        <f t="shared" si="103"/>
        <v>64150.75</v>
      </c>
      <c r="P98" s="127">
        <f t="shared" si="104"/>
        <v>64150.75</v>
      </c>
      <c r="Q98" s="131">
        <f t="shared" si="121"/>
        <v>0</v>
      </c>
      <c r="R98" s="125">
        <f t="shared" si="105"/>
        <v>64150.75</v>
      </c>
      <c r="S98" s="113">
        <v>50000</v>
      </c>
      <c r="T98" s="113"/>
      <c r="U98" s="113">
        <f t="shared" si="106"/>
        <v>50000</v>
      </c>
      <c r="V98" s="113">
        <f t="shared" si="97"/>
        <v>0</v>
      </c>
      <c r="W98" s="113">
        <v>0</v>
      </c>
      <c r="X98" s="113">
        <v>0</v>
      </c>
      <c r="Y98" s="113">
        <v>15000</v>
      </c>
      <c r="Z98" s="113">
        <v>14150.75</v>
      </c>
      <c r="AA98" s="113">
        <f t="shared" si="122"/>
        <v>15000</v>
      </c>
      <c r="AB98" s="113">
        <f t="shared" si="122"/>
        <v>14150.75</v>
      </c>
      <c r="AC98" s="113"/>
      <c r="AD98" s="113"/>
      <c r="AE98" s="113"/>
      <c r="AF98" s="113"/>
      <c r="AG98" s="113">
        <f t="shared" si="123"/>
        <v>0</v>
      </c>
      <c r="AH98" s="113">
        <f t="shared" si="123"/>
        <v>0</v>
      </c>
      <c r="AI98" s="114">
        <f t="shared" si="98"/>
        <v>50000</v>
      </c>
      <c r="AJ98" s="114">
        <f t="shared" si="124"/>
        <v>50000</v>
      </c>
      <c r="AK98" s="114">
        <f t="shared" si="124"/>
        <v>15000</v>
      </c>
      <c r="AL98" s="114">
        <f t="shared" si="99"/>
        <v>14150.75</v>
      </c>
      <c r="AM98" s="113">
        <f t="shared" si="125"/>
        <v>65000</v>
      </c>
      <c r="AN98" s="113">
        <f t="shared" si="125"/>
        <v>64150.75</v>
      </c>
      <c r="AO98" s="113"/>
      <c r="AP98" s="113"/>
      <c r="AQ98" s="113"/>
      <c r="AR98" s="113"/>
      <c r="AS98" s="113">
        <f t="shared" si="126"/>
        <v>0</v>
      </c>
      <c r="AT98" s="113">
        <f t="shared" si="126"/>
        <v>0</v>
      </c>
      <c r="AU98" s="113"/>
      <c r="AV98" s="113"/>
      <c r="AW98" s="113"/>
      <c r="AX98" s="113"/>
      <c r="AY98" s="113">
        <f t="shared" si="127"/>
        <v>0</v>
      </c>
      <c r="AZ98" s="113">
        <f t="shared" si="127"/>
        <v>0</v>
      </c>
      <c r="BA98" s="113"/>
      <c r="BB98" s="113"/>
      <c r="BC98" s="113"/>
      <c r="BD98" s="113"/>
      <c r="BE98" s="113">
        <f t="shared" si="128"/>
        <v>0</v>
      </c>
      <c r="BF98" s="113"/>
      <c r="BG98" s="113">
        <f t="shared" si="108"/>
        <v>0</v>
      </c>
      <c r="BH98" s="113"/>
      <c r="BI98" s="113"/>
      <c r="BJ98" s="113"/>
      <c r="BK98" s="113"/>
      <c r="BL98" s="113">
        <f t="shared" si="129"/>
        <v>0</v>
      </c>
      <c r="BM98" s="113"/>
      <c r="BN98" s="113">
        <f t="shared" si="109"/>
        <v>0</v>
      </c>
      <c r="BO98" s="113"/>
      <c r="BP98" s="113"/>
      <c r="BQ98" s="113"/>
      <c r="BR98" s="113"/>
      <c r="BS98" s="113">
        <f t="shared" si="130"/>
        <v>0</v>
      </c>
      <c r="BT98" s="113"/>
      <c r="BU98" s="113">
        <f t="shared" si="110"/>
        <v>0</v>
      </c>
      <c r="BV98" s="113"/>
      <c r="BW98" s="113"/>
      <c r="BX98" s="113"/>
      <c r="BY98" s="113"/>
      <c r="BZ98" s="113">
        <f t="shared" si="131"/>
        <v>0</v>
      </c>
      <c r="CA98" s="113"/>
      <c r="CB98" s="113">
        <f t="shared" si="111"/>
        <v>0</v>
      </c>
      <c r="CC98" s="113"/>
      <c r="CD98" s="113"/>
      <c r="CE98" s="113"/>
      <c r="CF98" s="113"/>
      <c r="CG98" s="113">
        <f t="shared" si="132"/>
        <v>0</v>
      </c>
      <c r="CH98" s="113"/>
      <c r="CI98" s="113">
        <f t="shared" si="112"/>
        <v>0</v>
      </c>
      <c r="CJ98" s="113"/>
      <c r="CK98" s="113"/>
      <c r="CL98" s="113"/>
      <c r="CM98" s="113"/>
      <c r="CN98" s="113">
        <f t="shared" si="133"/>
        <v>0</v>
      </c>
      <c r="CO98" s="113"/>
      <c r="CP98" s="113">
        <f t="shared" si="113"/>
        <v>0</v>
      </c>
      <c r="CQ98" s="113"/>
      <c r="CR98" s="113"/>
      <c r="CS98" s="113"/>
      <c r="CT98" s="113"/>
      <c r="CU98" s="113">
        <f t="shared" si="134"/>
        <v>0</v>
      </c>
      <c r="CV98" s="113"/>
      <c r="CW98" s="113">
        <f t="shared" si="114"/>
        <v>0</v>
      </c>
      <c r="CX98" s="113"/>
      <c r="CY98" s="113"/>
      <c r="CZ98" s="113"/>
      <c r="DA98" s="113"/>
      <c r="DB98" s="113">
        <f t="shared" si="135"/>
        <v>0</v>
      </c>
      <c r="DC98" s="113">
        <f t="shared" si="135"/>
        <v>0</v>
      </c>
      <c r="DD98" s="113"/>
      <c r="DE98" s="113"/>
      <c r="DF98" s="113"/>
      <c r="DG98" s="113"/>
      <c r="DH98" s="113">
        <f t="shared" si="136"/>
        <v>0</v>
      </c>
      <c r="DI98" s="113">
        <f t="shared" si="136"/>
        <v>0</v>
      </c>
      <c r="DJ98" s="113"/>
      <c r="DK98" s="113"/>
      <c r="DL98" s="113"/>
      <c r="DM98" s="113"/>
      <c r="DN98" s="113">
        <f t="shared" si="137"/>
        <v>0</v>
      </c>
      <c r="DO98" s="113">
        <f t="shared" si="137"/>
        <v>0</v>
      </c>
      <c r="DP98" s="113">
        <f t="shared" si="115"/>
        <v>0</v>
      </c>
      <c r="DQ98" s="113">
        <f t="shared" si="116"/>
        <v>0</v>
      </c>
      <c r="DR98" s="113">
        <f t="shared" si="117"/>
        <v>0</v>
      </c>
      <c r="DS98" s="113">
        <f t="shared" si="118"/>
        <v>0</v>
      </c>
      <c r="DT98" s="113">
        <f t="shared" si="138"/>
        <v>0</v>
      </c>
      <c r="DU98" s="113">
        <f t="shared" si="138"/>
        <v>0</v>
      </c>
    </row>
    <row r="99" spans="1:125">
      <c r="A99" s="15">
        <v>94</v>
      </c>
      <c r="B99" s="96" t="s">
        <v>683</v>
      </c>
      <c r="C99" s="7" t="s">
        <v>892</v>
      </c>
      <c r="D99" s="96" t="s">
        <v>893</v>
      </c>
      <c r="E99" s="185" t="s">
        <v>1164</v>
      </c>
      <c r="F99" s="161">
        <f t="shared" si="100"/>
        <v>0</v>
      </c>
      <c r="G99" s="161">
        <f t="shared" si="119"/>
        <v>0</v>
      </c>
      <c r="H99" s="161">
        <f t="shared" si="120"/>
        <v>0</v>
      </c>
      <c r="I99" s="161">
        <f t="shared" si="107"/>
        <v>0</v>
      </c>
      <c r="J99" s="165">
        <f t="shared" si="101"/>
        <v>11152.75</v>
      </c>
      <c r="K99" s="115"/>
      <c r="L99" s="211">
        <v>0</v>
      </c>
      <c r="M99" s="211">
        <v>0</v>
      </c>
      <c r="N99" s="127">
        <f t="shared" si="102"/>
        <v>11152.75</v>
      </c>
      <c r="O99" s="127">
        <f t="shared" si="103"/>
        <v>11152.75</v>
      </c>
      <c r="P99" s="127">
        <f t="shared" si="104"/>
        <v>11152.75</v>
      </c>
      <c r="Q99" s="131">
        <f t="shared" si="121"/>
        <v>0</v>
      </c>
      <c r="R99" s="125">
        <f t="shared" si="105"/>
        <v>11152.75</v>
      </c>
      <c r="S99" s="113">
        <v>0</v>
      </c>
      <c r="T99" s="113"/>
      <c r="U99" s="113">
        <f t="shared" si="106"/>
        <v>0</v>
      </c>
      <c r="V99" s="113">
        <f t="shared" si="97"/>
        <v>0</v>
      </c>
      <c r="W99" s="113">
        <v>0</v>
      </c>
      <c r="X99" s="113">
        <v>0</v>
      </c>
      <c r="Y99" s="113">
        <v>0</v>
      </c>
      <c r="Z99" s="113">
        <v>0</v>
      </c>
      <c r="AA99" s="113">
        <f t="shared" si="122"/>
        <v>0</v>
      </c>
      <c r="AB99" s="113">
        <f t="shared" si="122"/>
        <v>0</v>
      </c>
      <c r="AC99" s="113"/>
      <c r="AD99" s="113"/>
      <c r="AE99" s="113"/>
      <c r="AF99" s="113">
        <v>11152.75</v>
      </c>
      <c r="AG99" s="113">
        <f t="shared" si="123"/>
        <v>0</v>
      </c>
      <c r="AH99" s="113">
        <f t="shared" si="123"/>
        <v>11152.75</v>
      </c>
      <c r="AI99" s="114">
        <f t="shared" si="98"/>
        <v>0</v>
      </c>
      <c r="AJ99" s="114">
        <f t="shared" si="124"/>
        <v>0</v>
      </c>
      <c r="AK99" s="114">
        <f t="shared" si="124"/>
        <v>0</v>
      </c>
      <c r="AL99" s="114">
        <f t="shared" si="99"/>
        <v>11152.75</v>
      </c>
      <c r="AM99" s="113">
        <f t="shared" si="125"/>
        <v>0</v>
      </c>
      <c r="AN99" s="113">
        <f t="shared" si="125"/>
        <v>11152.75</v>
      </c>
      <c r="AO99" s="113"/>
      <c r="AP99" s="113"/>
      <c r="AQ99" s="113"/>
      <c r="AR99" s="113"/>
      <c r="AS99" s="113">
        <f t="shared" si="126"/>
        <v>0</v>
      </c>
      <c r="AT99" s="113">
        <f t="shared" si="126"/>
        <v>0</v>
      </c>
      <c r="AU99" s="113"/>
      <c r="AV99" s="113"/>
      <c r="AW99" s="113"/>
      <c r="AX99" s="113"/>
      <c r="AY99" s="113">
        <f t="shared" si="127"/>
        <v>0</v>
      </c>
      <c r="AZ99" s="113">
        <f t="shared" si="127"/>
        <v>0</v>
      </c>
      <c r="BA99" s="113"/>
      <c r="BB99" s="113"/>
      <c r="BC99" s="113"/>
      <c r="BD99" s="113"/>
      <c r="BE99" s="113">
        <f t="shared" si="128"/>
        <v>0</v>
      </c>
      <c r="BF99" s="113"/>
      <c r="BG99" s="113">
        <f t="shared" si="108"/>
        <v>0</v>
      </c>
      <c r="BH99" s="113"/>
      <c r="BI99" s="113"/>
      <c r="BJ99" s="113"/>
      <c r="BK99" s="113"/>
      <c r="BL99" s="113">
        <f t="shared" si="129"/>
        <v>0</v>
      </c>
      <c r="BM99" s="113"/>
      <c r="BN99" s="113">
        <f t="shared" si="109"/>
        <v>0</v>
      </c>
      <c r="BO99" s="113"/>
      <c r="BP99" s="113"/>
      <c r="BQ99" s="113"/>
      <c r="BR99" s="113"/>
      <c r="BS99" s="113">
        <f t="shared" si="130"/>
        <v>0</v>
      </c>
      <c r="BT99" s="113"/>
      <c r="BU99" s="113">
        <f t="shared" si="110"/>
        <v>0</v>
      </c>
      <c r="BV99" s="113"/>
      <c r="BW99" s="113"/>
      <c r="BX99" s="113"/>
      <c r="BY99" s="113"/>
      <c r="BZ99" s="113">
        <f t="shared" si="131"/>
        <v>0</v>
      </c>
      <c r="CA99" s="113"/>
      <c r="CB99" s="113">
        <f t="shared" si="111"/>
        <v>0</v>
      </c>
      <c r="CC99" s="113"/>
      <c r="CD99" s="113"/>
      <c r="CE99" s="113"/>
      <c r="CF99" s="113"/>
      <c r="CG99" s="113">
        <f t="shared" si="132"/>
        <v>0</v>
      </c>
      <c r="CH99" s="113"/>
      <c r="CI99" s="113">
        <f t="shared" si="112"/>
        <v>0</v>
      </c>
      <c r="CJ99" s="113"/>
      <c r="CK99" s="113"/>
      <c r="CL99" s="113"/>
      <c r="CM99" s="113"/>
      <c r="CN99" s="113">
        <f t="shared" si="133"/>
        <v>0</v>
      </c>
      <c r="CO99" s="113"/>
      <c r="CP99" s="113">
        <f t="shared" si="113"/>
        <v>0</v>
      </c>
      <c r="CQ99" s="113"/>
      <c r="CR99" s="113"/>
      <c r="CS99" s="113"/>
      <c r="CT99" s="113"/>
      <c r="CU99" s="113">
        <f t="shared" si="134"/>
        <v>0</v>
      </c>
      <c r="CV99" s="113"/>
      <c r="CW99" s="113">
        <f t="shared" si="114"/>
        <v>0</v>
      </c>
      <c r="CX99" s="113"/>
      <c r="CY99" s="113"/>
      <c r="CZ99" s="113"/>
      <c r="DA99" s="113"/>
      <c r="DB99" s="113">
        <f t="shared" si="135"/>
        <v>0</v>
      </c>
      <c r="DC99" s="113">
        <f t="shared" si="135"/>
        <v>0</v>
      </c>
      <c r="DD99" s="113"/>
      <c r="DE99" s="113"/>
      <c r="DF99" s="113"/>
      <c r="DG99" s="113"/>
      <c r="DH99" s="113">
        <f t="shared" si="136"/>
        <v>0</v>
      </c>
      <c r="DI99" s="113">
        <f t="shared" si="136"/>
        <v>0</v>
      </c>
      <c r="DJ99" s="113"/>
      <c r="DK99" s="113"/>
      <c r="DL99" s="113"/>
      <c r="DM99" s="113"/>
      <c r="DN99" s="113">
        <f t="shared" si="137"/>
        <v>0</v>
      </c>
      <c r="DO99" s="113">
        <f t="shared" si="137"/>
        <v>0</v>
      </c>
      <c r="DP99" s="113">
        <f t="shared" si="115"/>
        <v>0</v>
      </c>
      <c r="DQ99" s="113">
        <f t="shared" si="116"/>
        <v>0</v>
      </c>
      <c r="DR99" s="113">
        <f t="shared" si="117"/>
        <v>0</v>
      </c>
      <c r="DS99" s="113">
        <f t="shared" si="118"/>
        <v>0</v>
      </c>
      <c r="DT99" s="113">
        <f t="shared" si="138"/>
        <v>0</v>
      </c>
      <c r="DU99" s="113">
        <f t="shared" si="138"/>
        <v>0</v>
      </c>
    </row>
    <row r="100" spans="1:125">
      <c r="A100" s="15">
        <v>95</v>
      </c>
      <c r="B100" s="96" t="s">
        <v>683</v>
      </c>
      <c r="C100" s="112" t="s">
        <v>892</v>
      </c>
      <c r="D100" s="96" t="s">
        <v>894</v>
      </c>
      <c r="E100" s="185" t="s">
        <v>1165</v>
      </c>
      <c r="F100" s="161">
        <f t="shared" si="100"/>
        <v>300000</v>
      </c>
      <c r="G100" s="161">
        <f t="shared" si="119"/>
        <v>430000</v>
      </c>
      <c r="H100" s="161">
        <f t="shared" si="120"/>
        <v>-130000</v>
      </c>
      <c r="I100" s="161">
        <f t="shared" si="107"/>
        <v>3000</v>
      </c>
      <c r="J100" s="165">
        <f t="shared" si="101"/>
        <v>300000</v>
      </c>
      <c r="K100" s="115">
        <v>345000</v>
      </c>
      <c r="L100" s="211">
        <v>0</v>
      </c>
      <c r="M100" s="211">
        <v>0</v>
      </c>
      <c r="N100" s="127">
        <f t="shared" si="102"/>
        <v>0</v>
      </c>
      <c r="O100" s="127">
        <f t="shared" si="103"/>
        <v>0</v>
      </c>
      <c r="P100" s="127">
        <f t="shared" si="104"/>
        <v>0</v>
      </c>
      <c r="Q100" s="131">
        <f t="shared" si="121"/>
        <v>300000</v>
      </c>
      <c r="R100" s="125" t="str">
        <f t="shared" si="105"/>
        <v>მიმდინარეობს</v>
      </c>
      <c r="S100" s="113">
        <v>0</v>
      </c>
      <c r="T100" s="113"/>
      <c r="U100" s="113">
        <f t="shared" si="106"/>
        <v>0</v>
      </c>
      <c r="V100" s="113">
        <f t="shared" si="97"/>
        <v>0</v>
      </c>
      <c r="W100" s="113">
        <v>0</v>
      </c>
      <c r="X100" s="113">
        <v>0</v>
      </c>
      <c r="Y100" s="113">
        <v>0</v>
      </c>
      <c r="Z100" s="113">
        <v>0</v>
      </c>
      <c r="AA100" s="113">
        <f t="shared" si="122"/>
        <v>0</v>
      </c>
      <c r="AB100" s="113">
        <f t="shared" si="122"/>
        <v>0</v>
      </c>
      <c r="AC100" s="113"/>
      <c r="AD100" s="113"/>
      <c r="AE100" s="113"/>
      <c r="AF100" s="113"/>
      <c r="AG100" s="113">
        <f t="shared" si="123"/>
        <v>0</v>
      </c>
      <c r="AH100" s="113">
        <f t="shared" si="123"/>
        <v>0</v>
      </c>
      <c r="AI100" s="114">
        <f t="shared" si="98"/>
        <v>0</v>
      </c>
      <c r="AJ100" s="114">
        <f t="shared" si="124"/>
        <v>0</v>
      </c>
      <c r="AK100" s="114">
        <f t="shared" si="124"/>
        <v>0</v>
      </c>
      <c r="AL100" s="114">
        <f t="shared" si="99"/>
        <v>0</v>
      </c>
      <c r="AM100" s="113">
        <f t="shared" si="125"/>
        <v>0</v>
      </c>
      <c r="AN100" s="113">
        <f t="shared" si="125"/>
        <v>0</v>
      </c>
      <c r="AO100" s="113">
        <v>200000</v>
      </c>
      <c r="AP100" s="113">
        <v>200000</v>
      </c>
      <c r="AQ100" s="113"/>
      <c r="AR100" s="113"/>
      <c r="AS100" s="113">
        <f t="shared" si="126"/>
        <v>200000</v>
      </c>
      <c r="AT100" s="113">
        <f t="shared" si="126"/>
        <v>200000</v>
      </c>
      <c r="AU100" s="113"/>
      <c r="AV100" s="113">
        <v>230000</v>
      </c>
      <c r="AW100" s="113">
        <v>100000</v>
      </c>
      <c r="AX100" s="113"/>
      <c r="AY100" s="113">
        <f t="shared" si="127"/>
        <v>100000</v>
      </c>
      <c r="AZ100" s="113">
        <f t="shared" si="127"/>
        <v>230000</v>
      </c>
      <c r="BA100" s="113"/>
      <c r="BB100" s="113"/>
      <c r="BC100" s="113"/>
      <c r="BD100" s="113"/>
      <c r="BE100" s="113">
        <f t="shared" si="128"/>
        <v>0</v>
      </c>
      <c r="BF100" s="113"/>
      <c r="BG100" s="113">
        <f t="shared" si="108"/>
        <v>0</v>
      </c>
      <c r="BH100" s="113"/>
      <c r="BI100" s="113"/>
      <c r="BJ100" s="113"/>
      <c r="BK100" s="113"/>
      <c r="BL100" s="113">
        <f t="shared" si="129"/>
        <v>0</v>
      </c>
      <c r="BM100" s="113"/>
      <c r="BN100" s="113">
        <f t="shared" si="109"/>
        <v>0</v>
      </c>
      <c r="BO100" s="113"/>
      <c r="BP100" s="113"/>
      <c r="BQ100" s="113"/>
      <c r="BR100" s="113"/>
      <c r="BS100" s="113">
        <f t="shared" si="130"/>
        <v>0</v>
      </c>
      <c r="BT100" s="113">
        <v>3000</v>
      </c>
      <c r="BU100" s="113">
        <f t="shared" si="110"/>
        <v>0</v>
      </c>
      <c r="BV100" s="113"/>
      <c r="BW100" s="113"/>
      <c r="BX100" s="113"/>
      <c r="BY100" s="113"/>
      <c r="BZ100" s="113">
        <f t="shared" si="131"/>
        <v>0</v>
      </c>
      <c r="CA100" s="113"/>
      <c r="CB100" s="113">
        <f t="shared" si="111"/>
        <v>0</v>
      </c>
      <c r="CC100" s="113"/>
      <c r="CD100" s="113"/>
      <c r="CE100" s="113"/>
      <c r="CF100" s="113"/>
      <c r="CG100" s="113">
        <f t="shared" si="132"/>
        <v>0</v>
      </c>
      <c r="CH100" s="113"/>
      <c r="CI100" s="113">
        <f t="shared" si="112"/>
        <v>0</v>
      </c>
      <c r="CJ100" s="113"/>
      <c r="CK100" s="113"/>
      <c r="CL100" s="113"/>
      <c r="CM100" s="113"/>
      <c r="CN100" s="113">
        <f t="shared" si="133"/>
        <v>0</v>
      </c>
      <c r="CO100" s="113"/>
      <c r="CP100" s="113">
        <f t="shared" si="113"/>
        <v>0</v>
      </c>
      <c r="CQ100" s="113"/>
      <c r="CR100" s="113"/>
      <c r="CS100" s="113"/>
      <c r="CT100" s="113"/>
      <c r="CU100" s="113">
        <f t="shared" si="134"/>
        <v>0</v>
      </c>
      <c r="CV100" s="113"/>
      <c r="CW100" s="113">
        <f t="shared" si="114"/>
        <v>0</v>
      </c>
      <c r="CX100" s="113"/>
      <c r="CY100" s="113"/>
      <c r="CZ100" s="113"/>
      <c r="DA100" s="113"/>
      <c r="DB100" s="113">
        <f t="shared" si="135"/>
        <v>0</v>
      </c>
      <c r="DC100" s="113">
        <f t="shared" si="135"/>
        <v>0</v>
      </c>
      <c r="DD100" s="113"/>
      <c r="DE100" s="113"/>
      <c r="DF100" s="113"/>
      <c r="DG100" s="113"/>
      <c r="DH100" s="113">
        <f t="shared" si="136"/>
        <v>0</v>
      </c>
      <c r="DI100" s="113">
        <f t="shared" si="136"/>
        <v>0</v>
      </c>
      <c r="DJ100" s="113"/>
      <c r="DK100" s="113"/>
      <c r="DL100" s="113"/>
      <c r="DM100" s="113"/>
      <c r="DN100" s="113">
        <f t="shared" si="137"/>
        <v>0</v>
      </c>
      <c r="DO100" s="113">
        <f t="shared" si="137"/>
        <v>0</v>
      </c>
      <c r="DP100" s="113">
        <f t="shared" si="115"/>
        <v>200000</v>
      </c>
      <c r="DQ100" s="113">
        <f t="shared" si="116"/>
        <v>430000</v>
      </c>
      <c r="DR100" s="113">
        <f t="shared" si="117"/>
        <v>100000</v>
      </c>
      <c r="DS100" s="113">
        <f t="shared" si="118"/>
        <v>0</v>
      </c>
      <c r="DT100" s="113">
        <f t="shared" si="138"/>
        <v>300000</v>
      </c>
      <c r="DU100" s="113">
        <f t="shared" si="138"/>
        <v>430000</v>
      </c>
    </row>
    <row r="101" spans="1:125">
      <c r="A101" s="15">
        <v>96</v>
      </c>
      <c r="B101" s="96" t="s">
        <v>683</v>
      </c>
      <c r="C101" s="7" t="s">
        <v>895</v>
      </c>
      <c r="D101" s="96" t="s">
        <v>896</v>
      </c>
      <c r="E101" s="185" t="s">
        <v>1164</v>
      </c>
      <c r="F101" s="161">
        <f t="shared" si="100"/>
        <v>0</v>
      </c>
      <c r="G101" s="161">
        <f t="shared" si="119"/>
        <v>0</v>
      </c>
      <c r="H101" s="161">
        <f t="shared" si="120"/>
        <v>0</v>
      </c>
      <c r="I101" s="161">
        <f t="shared" si="107"/>
        <v>0</v>
      </c>
      <c r="J101" s="165">
        <f t="shared" si="101"/>
        <v>6492.5</v>
      </c>
      <c r="K101" s="115"/>
      <c r="L101" s="211">
        <v>0</v>
      </c>
      <c r="M101" s="211">
        <v>0</v>
      </c>
      <c r="N101" s="127">
        <f t="shared" si="102"/>
        <v>6492.5</v>
      </c>
      <c r="O101" s="127">
        <f t="shared" si="103"/>
        <v>6492.5</v>
      </c>
      <c r="P101" s="127">
        <f t="shared" si="104"/>
        <v>6492.5</v>
      </c>
      <c r="Q101" s="131">
        <f t="shared" si="121"/>
        <v>0</v>
      </c>
      <c r="R101" s="125">
        <f t="shared" si="105"/>
        <v>6492.5</v>
      </c>
      <c r="S101" s="113">
        <v>0</v>
      </c>
      <c r="T101" s="113">
        <v>6492.5</v>
      </c>
      <c r="U101" s="113">
        <f t="shared" si="106"/>
        <v>0</v>
      </c>
      <c r="V101" s="113">
        <f t="shared" si="97"/>
        <v>6492.5</v>
      </c>
      <c r="W101" s="113">
        <v>0</v>
      </c>
      <c r="X101" s="113">
        <v>0</v>
      </c>
      <c r="Y101" s="113">
        <v>0</v>
      </c>
      <c r="Z101" s="113">
        <v>0</v>
      </c>
      <c r="AA101" s="113">
        <f t="shared" si="122"/>
        <v>0</v>
      </c>
      <c r="AB101" s="113">
        <f t="shared" si="122"/>
        <v>0</v>
      </c>
      <c r="AC101" s="113"/>
      <c r="AD101" s="113"/>
      <c r="AE101" s="113"/>
      <c r="AF101" s="113"/>
      <c r="AG101" s="113">
        <f t="shared" si="123"/>
        <v>0</v>
      </c>
      <c r="AH101" s="113">
        <f t="shared" si="123"/>
        <v>0</v>
      </c>
      <c r="AI101" s="114">
        <f t="shared" si="98"/>
        <v>0</v>
      </c>
      <c r="AJ101" s="114">
        <f t="shared" si="124"/>
        <v>0</v>
      </c>
      <c r="AK101" s="114">
        <f t="shared" si="124"/>
        <v>6492.5</v>
      </c>
      <c r="AL101" s="114">
        <f t="shared" si="99"/>
        <v>6492.5</v>
      </c>
      <c r="AM101" s="113">
        <f t="shared" si="125"/>
        <v>6492.5</v>
      </c>
      <c r="AN101" s="113">
        <f t="shared" si="125"/>
        <v>6492.5</v>
      </c>
      <c r="AO101" s="113"/>
      <c r="AP101" s="113"/>
      <c r="AQ101" s="113"/>
      <c r="AR101" s="113"/>
      <c r="AS101" s="113">
        <f t="shared" si="126"/>
        <v>0</v>
      </c>
      <c r="AT101" s="113">
        <f t="shared" si="126"/>
        <v>0</v>
      </c>
      <c r="AU101" s="113"/>
      <c r="AV101" s="113"/>
      <c r="AW101" s="113"/>
      <c r="AX101" s="113"/>
      <c r="AY101" s="113">
        <f t="shared" si="127"/>
        <v>0</v>
      </c>
      <c r="AZ101" s="113">
        <f t="shared" si="127"/>
        <v>0</v>
      </c>
      <c r="BA101" s="113"/>
      <c r="BB101" s="113"/>
      <c r="BC101" s="113"/>
      <c r="BD101" s="113"/>
      <c r="BE101" s="113">
        <f t="shared" si="128"/>
        <v>0</v>
      </c>
      <c r="BF101" s="113"/>
      <c r="BG101" s="113">
        <f t="shared" si="108"/>
        <v>0</v>
      </c>
      <c r="BH101" s="113"/>
      <c r="BI101" s="113"/>
      <c r="BJ101" s="113"/>
      <c r="BK101" s="113"/>
      <c r="BL101" s="113">
        <f t="shared" si="129"/>
        <v>0</v>
      </c>
      <c r="BM101" s="113"/>
      <c r="BN101" s="113">
        <f t="shared" si="109"/>
        <v>0</v>
      </c>
      <c r="BO101" s="113"/>
      <c r="BP101" s="113"/>
      <c r="BQ101" s="113"/>
      <c r="BR101" s="113"/>
      <c r="BS101" s="113">
        <f t="shared" si="130"/>
        <v>0</v>
      </c>
      <c r="BT101" s="113"/>
      <c r="BU101" s="113">
        <f t="shared" si="110"/>
        <v>0</v>
      </c>
      <c r="BV101" s="113"/>
      <c r="BW101" s="113"/>
      <c r="BX101" s="113"/>
      <c r="BY101" s="113"/>
      <c r="BZ101" s="113">
        <f t="shared" si="131"/>
        <v>0</v>
      </c>
      <c r="CA101" s="113"/>
      <c r="CB101" s="113">
        <f t="shared" si="111"/>
        <v>0</v>
      </c>
      <c r="CC101" s="113"/>
      <c r="CD101" s="113"/>
      <c r="CE101" s="113"/>
      <c r="CF101" s="113"/>
      <c r="CG101" s="113">
        <f t="shared" si="132"/>
        <v>0</v>
      </c>
      <c r="CH101" s="113"/>
      <c r="CI101" s="113">
        <f t="shared" si="112"/>
        <v>0</v>
      </c>
      <c r="CJ101" s="113"/>
      <c r="CK101" s="113"/>
      <c r="CL101" s="113"/>
      <c r="CM101" s="113"/>
      <c r="CN101" s="113">
        <f t="shared" si="133"/>
        <v>0</v>
      </c>
      <c r="CO101" s="113"/>
      <c r="CP101" s="113">
        <f t="shared" si="113"/>
        <v>0</v>
      </c>
      <c r="CQ101" s="113"/>
      <c r="CR101" s="113"/>
      <c r="CS101" s="113"/>
      <c r="CT101" s="113"/>
      <c r="CU101" s="113">
        <f t="shared" si="134"/>
        <v>0</v>
      </c>
      <c r="CV101" s="113"/>
      <c r="CW101" s="113">
        <f t="shared" si="114"/>
        <v>0</v>
      </c>
      <c r="CX101" s="113"/>
      <c r="CY101" s="113"/>
      <c r="CZ101" s="113"/>
      <c r="DA101" s="113"/>
      <c r="DB101" s="113">
        <f t="shared" si="135"/>
        <v>0</v>
      </c>
      <c r="DC101" s="113">
        <f t="shared" si="135"/>
        <v>0</v>
      </c>
      <c r="DD101" s="113"/>
      <c r="DE101" s="113"/>
      <c r="DF101" s="113"/>
      <c r="DG101" s="113"/>
      <c r="DH101" s="113">
        <f t="shared" si="136"/>
        <v>0</v>
      </c>
      <c r="DI101" s="113">
        <f t="shared" si="136"/>
        <v>0</v>
      </c>
      <c r="DJ101" s="113"/>
      <c r="DK101" s="113"/>
      <c r="DL101" s="113"/>
      <c r="DM101" s="113"/>
      <c r="DN101" s="113">
        <f t="shared" si="137"/>
        <v>0</v>
      </c>
      <c r="DO101" s="113">
        <f t="shared" si="137"/>
        <v>0</v>
      </c>
      <c r="DP101" s="113">
        <f t="shared" si="115"/>
        <v>0</v>
      </c>
      <c r="DQ101" s="113">
        <f t="shared" si="116"/>
        <v>0</v>
      </c>
      <c r="DR101" s="113">
        <f t="shared" si="117"/>
        <v>0</v>
      </c>
      <c r="DS101" s="113">
        <f t="shared" si="118"/>
        <v>0</v>
      </c>
      <c r="DT101" s="113">
        <f t="shared" si="138"/>
        <v>0</v>
      </c>
      <c r="DU101" s="113">
        <f t="shared" si="138"/>
        <v>0</v>
      </c>
    </row>
    <row r="102" spans="1:125">
      <c r="A102" s="15">
        <v>97</v>
      </c>
      <c r="B102" s="96" t="s">
        <v>683</v>
      </c>
      <c r="C102" s="112" t="s">
        <v>895</v>
      </c>
      <c r="D102" s="96" t="s">
        <v>897</v>
      </c>
      <c r="E102" s="185" t="s">
        <v>1165</v>
      </c>
      <c r="F102" s="161">
        <f t="shared" si="100"/>
        <v>50000</v>
      </c>
      <c r="G102" s="161">
        <f t="shared" si="119"/>
        <v>102000</v>
      </c>
      <c r="H102" s="161">
        <f t="shared" si="120"/>
        <v>-52000</v>
      </c>
      <c r="I102" s="161">
        <f t="shared" si="107"/>
        <v>106000</v>
      </c>
      <c r="J102" s="165">
        <f t="shared" si="101"/>
        <v>155000</v>
      </c>
      <c r="K102" s="115">
        <v>345000</v>
      </c>
      <c r="L102" s="211">
        <v>0</v>
      </c>
      <c r="M102" s="211">
        <v>0</v>
      </c>
      <c r="N102" s="127">
        <f t="shared" si="102"/>
        <v>105000</v>
      </c>
      <c r="O102" s="127">
        <f t="shared" si="103"/>
        <v>0</v>
      </c>
      <c r="P102" s="127">
        <f t="shared" si="104"/>
        <v>105000</v>
      </c>
      <c r="Q102" s="131">
        <f t="shared" si="121"/>
        <v>50000</v>
      </c>
      <c r="R102" s="125" t="str">
        <f t="shared" si="105"/>
        <v>მიმდინარეობს</v>
      </c>
      <c r="S102" s="113">
        <v>105000</v>
      </c>
      <c r="T102" s="113"/>
      <c r="U102" s="113">
        <f t="shared" si="106"/>
        <v>105000</v>
      </c>
      <c r="V102" s="113">
        <f t="shared" si="97"/>
        <v>0</v>
      </c>
      <c r="W102" s="113">
        <v>0</v>
      </c>
      <c r="X102" s="113">
        <v>0</v>
      </c>
      <c r="Y102" s="113">
        <v>0</v>
      </c>
      <c r="Z102" s="113">
        <v>0</v>
      </c>
      <c r="AA102" s="113">
        <f t="shared" si="122"/>
        <v>0</v>
      </c>
      <c r="AB102" s="113">
        <f t="shared" si="122"/>
        <v>0</v>
      </c>
      <c r="AC102" s="113"/>
      <c r="AD102" s="113"/>
      <c r="AE102" s="113"/>
      <c r="AF102" s="113"/>
      <c r="AG102" s="113">
        <f t="shared" si="123"/>
        <v>0</v>
      </c>
      <c r="AH102" s="113">
        <f t="shared" si="123"/>
        <v>0</v>
      </c>
      <c r="AI102" s="114">
        <f t="shared" si="98"/>
        <v>105000</v>
      </c>
      <c r="AJ102" s="114">
        <f t="shared" si="124"/>
        <v>105000</v>
      </c>
      <c r="AK102" s="114">
        <f t="shared" si="124"/>
        <v>0</v>
      </c>
      <c r="AL102" s="114">
        <f t="shared" si="99"/>
        <v>0</v>
      </c>
      <c r="AM102" s="113">
        <f t="shared" si="125"/>
        <v>105000</v>
      </c>
      <c r="AN102" s="113">
        <f t="shared" si="125"/>
        <v>105000</v>
      </c>
      <c r="AO102" s="113"/>
      <c r="AP102" s="113"/>
      <c r="AQ102" s="113"/>
      <c r="AR102" s="113"/>
      <c r="AS102" s="113">
        <f t="shared" si="126"/>
        <v>0</v>
      </c>
      <c r="AT102" s="113">
        <f t="shared" si="126"/>
        <v>0</v>
      </c>
      <c r="AU102" s="113"/>
      <c r="AV102" s="113"/>
      <c r="AW102" s="113">
        <v>50000</v>
      </c>
      <c r="AX102" s="113"/>
      <c r="AY102" s="113">
        <f t="shared" si="127"/>
        <v>50000</v>
      </c>
      <c r="AZ102" s="113">
        <f t="shared" si="127"/>
        <v>0</v>
      </c>
      <c r="BA102" s="113"/>
      <c r="BB102" s="113">
        <v>102000</v>
      </c>
      <c r="BC102" s="113"/>
      <c r="BD102" s="113"/>
      <c r="BE102" s="113">
        <f t="shared" si="128"/>
        <v>0</v>
      </c>
      <c r="BF102" s="113">
        <v>102000</v>
      </c>
      <c r="BG102" s="113">
        <f t="shared" si="108"/>
        <v>102000</v>
      </c>
      <c r="BH102" s="113"/>
      <c r="BI102" s="113"/>
      <c r="BJ102" s="113"/>
      <c r="BK102" s="113"/>
      <c r="BL102" s="113">
        <f t="shared" si="129"/>
        <v>0</v>
      </c>
      <c r="BM102" s="113"/>
      <c r="BN102" s="113">
        <f t="shared" si="109"/>
        <v>0</v>
      </c>
      <c r="BO102" s="113"/>
      <c r="BP102" s="113"/>
      <c r="BQ102" s="113"/>
      <c r="BR102" s="113"/>
      <c r="BS102" s="113">
        <f t="shared" si="130"/>
        <v>0</v>
      </c>
      <c r="BT102" s="113">
        <v>4000</v>
      </c>
      <c r="BU102" s="113">
        <f t="shared" si="110"/>
        <v>0</v>
      </c>
      <c r="BV102" s="113"/>
      <c r="BW102" s="113"/>
      <c r="BX102" s="113"/>
      <c r="BY102" s="113"/>
      <c r="BZ102" s="113">
        <f t="shared" si="131"/>
        <v>0</v>
      </c>
      <c r="CA102" s="113"/>
      <c r="CB102" s="113">
        <f t="shared" si="111"/>
        <v>0</v>
      </c>
      <c r="CC102" s="113"/>
      <c r="CD102" s="113"/>
      <c r="CE102" s="113"/>
      <c r="CF102" s="113"/>
      <c r="CG102" s="113">
        <f t="shared" si="132"/>
        <v>0</v>
      </c>
      <c r="CH102" s="113"/>
      <c r="CI102" s="113">
        <f t="shared" si="112"/>
        <v>0</v>
      </c>
      <c r="CJ102" s="113"/>
      <c r="CK102" s="113"/>
      <c r="CL102" s="113"/>
      <c r="CM102" s="113"/>
      <c r="CN102" s="113">
        <f t="shared" si="133"/>
        <v>0</v>
      </c>
      <c r="CO102" s="113"/>
      <c r="CP102" s="113">
        <f t="shared" si="113"/>
        <v>0</v>
      </c>
      <c r="CQ102" s="113"/>
      <c r="CR102" s="113"/>
      <c r="CS102" s="113"/>
      <c r="CT102" s="113"/>
      <c r="CU102" s="113">
        <f t="shared" si="134"/>
        <v>0</v>
      </c>
      <c r="CV102" s="113"/>
      <c r="CW102" s="113">
        <f t="shared" si="114"/>
        <v>0</v>
      </c>
      <c r="CX102" s="113"/>
      <c r="CY102" s="113"/>
      <c r="CZ102" s="113"/>
      <c r="DA102" s="113"/>
      <c r="DB102" s="113">
        <f t="shared" si="135"/>
        <v>0</v>
      </c>
      <c r="DC102" s="113">
        <f t="shared" si="135"/>
        <v>0</v>
      </c>
      <c r="DD102" s="113"/>
      <c r="DE102" s="113"/>
      <c r="DF102" s="113"/>
      <c r="DG102" s="113"/>
      <c r="DH102" s="113">
        <f t="shared" si="136"/>
        <v>0</v>
      </c>
      <c r="DI102" s="113">
        <f t="shared" si="136"/>
        <v>0</v>
      </c>
      <c r="DJ102" s="113"/>
      <c r="DK102" s="113"/>
      <c r="DL102" s="113"/>
      <c r="DM102" s="113"/>
      <c r="DN102" s="113">
        <f t="shared" si="137"/>
        <v>0</v>
      </c>
      <c r="DO102" s="113">
        <f t="shared" si="137"/>
        <v>0</v>
      </c>
      <c r="DP102" s="113">
        <f t="shared" si="115"/>
        <v>0</v>
      </c>
      <c r="DQ102" s="113">
        <f t="shared" si="116"/>
        <v>102000</v>
      </c>
      <c r="DR102" s="113">
        <f t="shared" si="117"/>
        <v>50000</v>
      </c>
      <c r="DS102" s="113">
        <f t="shared" si="118"/>
        <v>0</v>
      </c>
      <c r="DT102" s="113">
        <f t="shared" si="138"/>
        <v>50000</v>
      </c>
      <c r="DU102" s="113">
        <f t="shared" si="138"/>
        <v>102000</v>
      </c>
    </row>
    <row r="103" spans="1:125" s="323" customFormat="1">
      <c r="A103" s="318">
        <v>98</v>
      </c>
      <c r="B103" s="319" t="s">
        <v>898</v>
      </c>
      <c r="C103" s="320" t="s">
        <v>899</v>
      </c>
      <c r="D103" s="319" t="s">
        <v>900</v>
      </c>
      <c r="E103" s="319" t="s">
        <v>1165</v>
      </c>
      <c r="F103" s="255">
        <f t="shared" si="100"/>
        <v>0</v>
      </c>
      <c r="G103" s="255">
        <f t="shared" si="119"/>
        <v>0</v>
      </c>
      <c r="H103" s="161">
        <f t="shared" si="120"/>
        <v>0</v>
      </c>
      <c r="I103" s="161">
        <f t="shared" si="107"/>
        <v>0</v>
      </c>
      <c r="J103" s="256">
        <f t="shared" si="101"/>
        <v>0</v>
      </c>
      <c r="K103" s="321">
        <v>1840</v>
      </c>
      <c r="L103" s="211">
        <v>0</v>
      </c>
      <c r="M103" s="211">
        <v>0</v>
      </c>
      <c r="N103" s="127">
        <f t="shared" si="102"/>
        <v>0</v>
      </c>
      <c r="O103" s="127">
        <f t="shared" si="103"/>
        <v>0</v>
      </c>
      <c r="P103" s="255">
        <f t="shared" si="104"/>
        <v>0</v>
      </c>
      <c r="Q103" s="255">
        <f t="shared" si="121"/>
        <v>0</v>
      </c>
      <c r="R103" s="255" t="str">
        <f t="shared" si="105"/>
        <v>ნულოვანი შესრულება</v>
      </c>
      <c r="S103" s="113">
        <v>0</v>
      </c>
      <c r="T103" s="113"/>
      <c r="U103" s="113">
        <f t="shared" si="106"/>
        <v>0</v>
      </c>
      <c r="V103" s="113">
        <f t="shared" si="97"/>
        <v>0</v>
      </c>
      <c r="W103" s="113">
        <v>0</v>
      </c>
      <c r="X103" s="113">
        <v>0</v>
      </c>
      <c r="Y103" s="113">
        <v>0</v>
      </c>
      <c r="Z103" s="113">
        <v>0</v>
      </c>
      <c r="AA103" s="113">
        <f t="shared" si="122"/>
        <v>0</v>
      </c>
      <c r="AB103" s="113">
        <f t="shared" si="122"/>
        <v>0</v>
      </c>
      <c r="AC103" s="113"/>
      <c r="AD103" s="113"/>
      <c r="AE103" s="113"/>
      <c r="AF103" s="113"/>
      <c r="AG103" s="113">
        <f t="shared" si="123"/>
        <v>0</v>
      </c>
      <c r="AH103" s="113">
        <f t="shared" si="123"/>
        <v>0</v>
      </c>
      <c r="AI103" s="114">
        <f t="shared" si="98"/>
        <v>0</v>
      </c>
      <c r="AJ103" s="114">
        <f t="shared" si="124"/>
        <v>0</v>
      </c>
      <c r="AK103" s="114">
        <f t="shared" si="124"/>
        <v>0</v>
      </c>
      <c r="AL103" s="114">
        <f t="shared" si="99"/>
        <v>0</v>
      </c>
      <c r="AM103" s="113">
        <f t="shared" si="125"/>
        <v>0</v>
      </c>
      <c r="AN103" s="113">
        <f t="shared" si="125"/>
        <v>0</v>
      </c>
      <c r="AO103" s="322"/>
      <c r="AP103" s="322"/>
      <c r="AQ103" s="322"/>
      <c r="AR103" s="322"/>
      <c r="AS103" s="322">
        <f t="shared" si="126"/>
        <v>0</v>
      </c>
      <c r="AT103" s="322">
        <f t="shared" si="126"/>
        <v>0</v>
      </c>
      <c r="AU103" s="322"/>
      <c r="AV103" s="322"/>
      <c r="AW103" s="322"/>
      <c r="AX103" s="322"/>
      <c r="AY103" s="322">
        <f t="shared" si="127"/>
        <v>0</v>
      </c>
      <c r="AZ103" s="322">
        <f t="shared" si="127"/>
        <v>0</v>
      </c>
      <c r="BA103" s="322"/>
      <c r="BB103" s="322"/>
      <c r="BC103" s="322"/>
      <c r="BD103" s="322"/>
      <c r="BE103" s="322">
        <f t="shared" si="128"/>
        <v>0</v>
      </c>
      <c r="BF103" s="322"/>
      <c r="BG103" s="322">
        <f t="shared" si="108"/>
        <v>0</v>
      </c>
      <c r="BH103" s="322"/>
      <c r="BI103" s="322"/>
      <c r="BJ103" s="322"/>
      <c r="BK103" s="322"/>
      <c r="BL103" s="322">
        <f t="shared" si="129"/>
        <v>0</v>
      </c>
      <c r="BM103" s="322"/>
      <c r="BN103" s="322">
        <f t="shared" si="109"/>
        <v>0</v>
      </c>
      <c r="BO103" s="322"/>
      <c r="BP103" s="322"/>
      <c r="BQ103" s="322"/>
      <c r="BR103" s="322"/>
      <c r="BS103" s="322">
        <f t="shared" si="130"/>
        <v>0</v>
      </c>
      <c r="BT103" s="322"/>
      <c r="BU103" s="322">
        <f t="shared" si="110"/>
        <v>0</v>
      </c>
      <c r="BV103" s="322"/>
      <c r="BW103" s="322"/>
      <c r="BX103" s="322"/>
      <c r="BY103" s="322"/>
      <c r="BZ103" s="322">
        <f t="shared" si="131"/>
        <v>0</v>
      </c>
      <c r="CA103" s="322"/>
      <c r="CB103" s="322">
        <f t="shared" si="111"/>
        <v>0</v>
      </c>
      <c r="CC103" s="322"/>
      <c r="CD103" s="322"/>
      <c r="CE103" s="322"/>
      <c r="CF103" s="322"/>
      <c r="CG103" s="322">
        <f t="shared" si="132"/>
        <v>0</v>
      </c>
      <c r="CH103" s="322"/>
      <c r="CI103" s="322">
        <f t="shared" si="112"/>
        <v>0</v>
      </c>
      <c r="CJ103" s="322"/>
      <c r="CK103" s="322"/>
      <c r="CL103" s="322"/>
      <c r="CM103" s="322"/>
      <c r="CN103" s="322">
        <f t="shared" si="133"/>
        <v>0</v>
      </c>
      <c r="CO103" s="322"/>
      <c r="CP103" s="322">
        <f t="shared" si="113"/>
        <v>0</v>
      </c>
      <c r="CQ103" s="322"/>
      <c r="CR103" s="322"/>
      <c r="CS103" s="322"/>
      <c r="CT103" s="322"/>
      <c r="CU103" s="322">
        <f t="shared" si="134"/>
        <v>0</v>
      </c>
      <c r="CV103" s="322"/>
      <c r="CW103" s="322">
        <f t="shared" si="114"/>
        <v>0</v>
      </c>
      <c r="CX103" s="322"/>
      <c r="CY103" s="322"/>
      <c r="CZ103" s="322"/>
      <c r="DA103" s="322"/>
      <c r="DB103" s="322">
        <f t="shared" si="135"/>
        <v>0</v>
      </c>
      <c r="DC103" s="322">
        <f t="shared" si="135"/>
        <v>0</v>
      </c>
      <c r="DD103" s="322"/>
      <c r="DE103" s="322"/>
      <c r="DF103" s="322"/>
      <c r="DG103" s="322"/>
      <c r="DH103" s="322">
        <f t="shared" si="136"/>
        <v>0</v>
      </c>
      <c r="DI103" s="322">
        <f t="shared" si="136"/>
        <v>0</v>
      </c>
      <c r="DJ103" s="322"/>
      <c r="DK103" s="322"/>
      <c r="DL103" s="322"/>
      <c r="DM103" s="322"/>
      <c r="DN103" s="322">
        <f t="shared" si="137"/>
        <v>0</v>
      </c>
      <c r="DO103" s="322">
        <f t="shared" si="137"/>
        <v>0</v>
      </c>
      <c r="DP103" s="322">
        <f t="shared" si="115"/>
        <v>0</v>
      </c>
      <c r="DQ103" s="322">
        <f t="shared" si="116"/>
        <v>0</v>
      </c>
      <c r="DR103" s="322">
        <f t="shared" si="117"/>
        <v>0</v>
      </c>
      <c r="DS103" s="322">
        <f t="shared" si="118"/>
        <v>0</v>
      </c>
      <c r="DT103" s="322">
        <f t="shared" si="138"/>
        <v>0</v>
      </c>
      <c r="DU103" s="322">
        <f t="shared" si="138"/>
        <v>0</v>
      </c>
    </row>
    <row r="104" spans="1:125">
      <c r="A104" s="15">
        <v>99</v>
      </c>
      <c r="B104" s="96" t="s">
        <v>898</v>
      </c>
      <c r="C104" s="7" t="s">
        <v>901</v>
      </c>
      <c r="D104" s="96" t="s">
        <v>902</v>
      </c>
      <c r="E104" s="185" t="s">
        <v>1164</v>
      </c>
      <c r="F104" s="161">
        <f t="shared" si="100"/>
        <v>0</v>
      </c>
      <c r="G104" s="161">
        <f t="shared" si="119"/>
        <v>0</v>
      </c>
      <c r="H104" s="161">
        <f t="shared" si="120"/>
        <v>0</v>
      </c>
      <c r="I104" s="161">
        <f t="shared" si="107"/>
        <v>0</v>
      </c>
      <c r="J104" s="165">
        <f t="shared" si="101"/>
        <v>0</v>
      </c>
      <c r="K104" s="115"/>
      <c r="L104" s="211">
        <v>0</v>
      </c>
      <c r="M104" s="211">
        <v>0</v>
      </c>
      <c r="N104" s="127">
        <f t="shared" si="102"/>
        <v>0</v>
      </c>
      <c r="O104" s="127">
        <f t="shared" si="103"/>
        <v>0</v>
      </c>
      <c r="P104" s="127">
        <f t="shared" si="104"/>
        <v>0</v>
      </c>
      <c r="Q104" s="131">
        <f t="shared" si="121"/>
        <v>0</v>
      </c>
      <c r="R104" s="125" t="str">
        <f t="shared" si="105"/>
        <v>ნულოვანი შესრულება</v>
      </c>
      <c r="S104" s="113">
        <v>0</v>
      </c>
      <c r="T104" s="113"/>
      <c r="U104" s="113">
        <f t="shared" si="106"/>
        <v>0</v>
      </c>
      <c r="V104" s="113">
        <f t="shared" si="97"/>
        <v>0</v>
      </c>
      <c r="W104" s="113">
        <v>0</v>
      </c>
      <c r="X104" s="113">
        <v>0</v>
      </c>
      <c r="Y104" s="113">
        <v>0</v>
      </c>
      <c r="Z104" s="113">
        <v>0</v>
      </c>
      <c r="AA104" s="113">
        <f t="shared" si="122"/>
        <v>0</v>
      </c>
      <c r="AB104" s="113">
        <f t="shared" si="122"/>
        <v>0</v>
      </c>
      <c r="AC104" s="113"/>
      <c r="AD104" s="113"/>
      <c r="AE104" s="113"/>
      <c r="AF104" s="113"/>
      <c r="AG104" s="113">
        <f t="shared" si="123"/>
        <v>0</v>
      </c>
      <c r="AH104" s="113">
        <f t="shared" si="123"/>
        <v>0</v>
      </c>
      <c r="AI104" s="114">
        <f t="shared" si="98"/>
        <v>0</v>
      </c>
      <c r="AJ104" s="114">
        <f t="shared" si="124"/>
        <v>0</v>
      </c>
      <c r="AK104" s="114">
        <f t="shared" si="124"/>
        <v>0</v>
      </c>
      <c r="AL104" s="114">
        <f t="shared" si="99"/>
        <v>0</v>
      </c>
      <c r="AM104" s="113">
        <f t="shared" si="125"/>
        <v>0</v>
      </c>
      <c r="AN104" s="113">
        <f t="shared" si="125"/>
        <v>0</v>
      </c>
      <c r="AO104" s="113"/>
      <c r="AP104" s="113"/>
      <c r="AQ104" s="113"/>
      <c r="AR104" s="113"/>
      <c r="AS104" s="113">
        <f t="shared" si="126"/>
        <v>0</v>
      </c>
      <c r="AT104" s="113">
        <f t="shared" si="126"/>
        <v>0</v>
      </c>
      <c r="AU104" s="113"/>
      <c r="AV104" s="113"/>
      <c r="AW104" s="113"/>
      <c r="AX104" s="113"/>
      <c r="AY104" s="113">
        <f t="shared" si="127"/>
        <v>0</v>
      </c>
      <c r="AZ104" s="113">
        <f t="shared" si="127"/>
        <v>0</v>
      </c>
      <c r="BA104" s="113"/>
      <c r="BB104" s="113"/>
      <c r="BC104" s="113"/>
      <c r="BD104" s="113"/>
      <c r="BE104" s="113">
        <f t="shared" si="128"/>
        <v>0</v>
      </c>
      <c r="BF104" s="113"/>
      <c r="BG104" s="113">
        <f t="shared" si="108"/>
        <v>0</v>
      </c>
      <c r="BH104" s="113"/>
      <c r="BI104" s="113"/>
      <c r="BJ104" s="113"/>
      <c r="BK104" s="113"/>
      <c r="BL104" s="113">
        <f t="shared" si="129"/>
        <v>0</v>
      </c>
      <c r="BM104" s="113"/>
      <c r="BN104" s="113">
        <f t="shared" si="109"/>
        <v>0</v>
      </c>
      <c r="BO104" s="113"/>
      <c r="BP104" s="113"/>
      <c r="BQ104" s="113"/>
      <c r="BR104" s="113"/>
      <c r="BS104" s="113">
        <f t="shared" si="130"/>
        <v>0</v>
      </c>
      <c r="BT104" s="113"/>
      <c r="BU104" s="113">
        <f t="shared" si="110"/>
        <v>0</v>
      </c>
      <c r="BV104" s="113"/>
      <c r="BW104" s="113"/>
      <c r="BX104" s="113"/>
      <c r="BY104" s="113"/>
      <c r="BZ104" s="113">
        <f t="shared" si="131"/>
        <v>0</v>
      </c>
      <c r="CA104" s="113"/>
      <c r="CB104" s="113">
        <f t="shared" si="111"/>
        <v>0</v>
      </c>
      <c r="CC104" s="113"/>
      <c r="CD104" s="113"/>
      <c r="CE104" s="113"/>
      <c r="CF104" s="113"/>
      <c r="CG104" s="113">
        <f t="shared" si="132"/>
        <v>0</v>
      </c>
      <c r="CH104" s="113"/>
      <c r="CI104" s="113">
        <f t="shared" si="112"/>
        <v>0</v>
      </c>
      <c r="CJ104" s="113"/>
      <c r="CK104" s="113"/>
      <c r="CL104" s="113"/>
      <c r="CM104" s="113"/>
      <c r="CN104" s="113">
        <f t="shared" si="133"/>
        <v>0</v>
      </c>
      <c r="CO104" s="113"/>
      <c r="CP104" s="113">
        <f t="shared" si="113"/>
        <v>0</v>
      </c>
      <c r="CQ104" s="113"/>
      <c r="CR104" s="113"/>
      <c r="CS104" s="113"/>
      <c r="CT104" s="113"/>
      <c r="CU104" s="113">
        <f t="shared" si="134"/>
        <v>0</v>
      </c>
      <c r="CV104" s="113"/>
      <c r="CW104" s="113">
        <f t="shared" si="114"/>
        <v>0</v>
      </c>
      <c r="CX104" s="113"/>
      <c r="CY104" s="113"/>
      <c r="CZ104" s="113"/>
      <c r="DA104" s="113"/>
      <c r="DB104" s="113">
        <f t="shared" si="135"/>
        <v>0</v>
      </c>
      <c r="DC104" s="113">
        <f t="shared" si="135"/>
        <v>0</v>
      </c>
      <c r="DD104" s="113"/>
      <c r="DE104" s="113"/>
      <c r="DF104" s="113"/>
      <c r="DG104" s="113"/>
      <c r="DH104" s="113">
        <f t="shared" si="136"/>
        <v>0</v>
      </c>
      <c r="DI104" s="113">
        <f t="shared" si="136"/>
        <v>0</v>
      </c>
      <c r="DJ104" s="113"/>
      <c r="DK104" s="113"/>
      <c r="DL104" s="113"/>
      <c r="DM104" s="113"/>
      <c r="DN104" s="113">
        <f t="shared" si="137"/>
        <v>0</v>
      </c>
      <c r="DO104" s="113">
        <f t="shared" si="137"/>
        <v>0</v>
      </c>
      <c r="DP104" s="113">
        <f t="shared" si="115"/>
        <v>0</v>
      </c>
      <c r="DQ104" s="113">
        <f t="shared" si="116"/>
        <v>0</v>
      </c>
      <c r="DR104" s="113">
        <f t="shared" si="117"/>
        <v>0</v>
      </c>
      <c r="DS104" s="113">
        <f t="shared" si="118"/>
        <v>0</v>
      </c>
      <c r="DT104" s="113">
        <f t="shared" si="138"/>
        <v>0</v>
      </c>
      <c r="DU104" s="113">
        <f t="shared" si="138"/>
        <v>0</v>
      </c>
    </row>
    <row r="105" spans="1:125" s="323" customFormat="1">
      <c r="A105" s="318">
        <v>100</v>
      </c>
      <c r="B105" s="319" t="s">
        <v>898</v>
      </c>
      <c r="C105" s="320" t="s">
        <v>901</v>
      </c>
      <c r="D105" s="319" t="s">
        <v>903</v>
      </c>
      <c r="E105" s="319" t="s">
        <v>1165</v>
      </c>
      <c r="F105" s="255">
        <f t="shared" si="100"/>
        <v>0</v>
      </c>
      <c r="G105" s="255">
        <f t="shared" si="119"/>
        <v>0</v>
      </c>
      <c r="H105" s="161">
        <f t="shared" si="120"/>
        <v>0</v>
      </c>
      <c r="I105" s="161">
        <f t="shared" si="107"/>
        <v>0</v>
      </c>
      <c r="J105" s="256">
        <f t="shared" si="101"/>
        <v>0</v>
      </c>
      <c r="K105" s="321">
        <v>77000</v>
      </c>
      <c r="L105" s="211">
        <v>0</v>
      </c>
      <c r="M105" s="211">
        <v>0</v>
      </c>
      <c r="N105" s="127">
        <f t="shared" si="102"/>
        <v>0</v>
      </c>
      <c r="O105" s="127">
        <f t="shared" si="103"/>
        <v>0</v>
      </c>
      <c r="P105" s="255">
        <f t="shared" si="104"/>
        <v>0</v>
      </c>
      <c r="Q105" s="255">
        <f t="shared" si="121"/>
        <v>0</v>
      </c>
      <c r="R105" s="255" t="str">
        <f t="shared" si="105"/>
        <v>ნულოვანი შესრულება</v>
      </c>
      <c r="S105" s="113">
        <v>0</v>
      </c>
      <c r="T105" s="113"/>
      <c r="U105" s="113">
        <f t="shared" si="106"/>
        <v>0</v>
      </c>
      <c r="V105" s="113">
        <f t="shared" si="97"/>
        <v>0</v>
      </c>
      <c r="W105" s="113">
        <v>0</v>
      </c>
      <c r="X105" s="113">
        <v>0</v>
      </c>
      <c r="Y105" s="113">
        <v>0</v>
      </c>
      <c r="Z105" s="113">
        <v>0</v>
      </c>
      <c r="AA105" s="113">
        <f t="shared" si="122"/>
        <v>0</v>
      </c>
      <c r="AB105" s="113">
        <f t="shared" si="122"/>
        <v>0</v>
      </c>
      <c r="AC105" s="113"/>
      <c r="AD105" s="113"/>
      <c r="AE105" s="113"/>
      <c r="AF105" s="113"/>
      <c r="AG105" s="113">
        <f t="shared" si="123"/>
        <v>0</v>
      </c>
      <c r="AH105" s="113">
        <f t="shared" si="123"/>
        <v>0</v>
      </c>
      <c r="AI105" s="114">
        <f t="shared" si="98"/>
        <v>0</v>
      </c>
      <c r="AJ105" s="114">
        <f t="shared" si="124"/>
        <v>0</v>
      </c>
      <c r="AK105" s="114">
        <f t="shared" si="124"/>
        <v>0</v>
      </c>
      <c r="AL105" s="114">
        <f t="shared" si="99"/>
        <v>0</v>
      </c>
      <c r="AM105" s="113">
        <f t="shared" si="125"/>
        <v>0</v>
      </c>
      <c r="AN105" s="113">
        <f t="shared" si="125"/>
        <v>0</v>
      </c>
      <c r="AO105" s="322"/>
      <c r="AP105" s="322"/>
      <c r="AQ105" s="322"/>
      <c r="AR105" s="322"/>
      <c r="AS105" s="322">
        <f t="shared" si="126"/>
        <v>0</v>
      </c>
      <c r="AT105" s="322">
        <f t="shared" si="126"/>
        <v>0</v>
      </c>
      <c r="AU105" s="322"/>
      <c r="AV105" s="322"/>
      <c r="AW105" s="322"/>
      <c r="AX105" s="322"/>
      <c r="AY105" s="322">
        <f t="shared" si="127"/>
        <v>0</v>
      </c>
      <c r="AZ105" s="322">
        <f t="shared" si="127"/>
        <v>0</v>
      </c>
      <c r="BA105" s="322"/>
      <c r="BB105" s="322"/>
      <c r="BC105" s="322"/>
      <c r="BD105" s="322"/>
      <c r="BE105" s="322">
        <f t="shared" si="128"/>
        <v>0</v>
      </c>
      <c r="BF105" s="322"/>
      <c r="BG105" s="322">
        <f t="shared" ref="BG105:BG134" si="139">BB105+BD105</f>
        <v>0</v>
      </c>
      <c r="BH105" s="322"/>
      <c r="BI105" s="322"/>
      <c r="BJ105" s="322"/>
      <c r="BK105" s="322"/>
      <c r="BL105" s="322">
        <f t="shared" si="129"/>
        <v>0</v>
      </c>
      <c r="BM105" s="322"/>
      <c r="BN105" s="322">
        <f t="shared" ref="BN105:BN134" si="140">BI105+BK105</f>
        <v>0</v>
      </c>
      <c r="BO105" s="322"/>
      <c r="BP105" s="322"/>
      <c r="BQ105" s="322"/>
      <c r="BR105" s="322"/>
      <c r="BS105" s="322">
        <f t="shared" si="130"/>
        <v>0</v>
      </c>
      <c r="BT105" s="322"/>
      <c r="BU105" s="322">
        <f t="shared" ref="BU105:BU134" si="141">BP105+BR105</f>
        <v>0</v>
      </c>
      <c r="BV105" s="322"/>
      <c r="BW105" s="322"/>
      <c r="BX105" s="322"/>
      <c r="BY105" s="322"/>
      <c r="BZ105" s="322">
        <f t="shared" si="131"/>
        <v>0</v>
      </c>
      <c r="CA105" s="322"/>
      <c r="CB105" s="322">
        <f t="shared" ref="CB105:CB134" si="142">BW105+BY105</f>
        <v>0</v>
      </c>
      <c r="CC105" s="322"/>
      <c r="CD105" s="322"/>
      <c r="CE105" s="322"/>
      <c r="CF105" s="322"/>
      <c r="CG105" s="322">
        <f t="shared" si="132"/>
        <v>0</v>
      </c>
      <c r="CH105" s="322"/>
      <c r="CI105" s="322">
        <f t="shared" ref="CI105:CI134" si="143">CD105+CF105</f>
        <v>0</v>
      </c>
      <c r="CJ105" s="322"/>
      <c r="CK105" s="322"/>
      <c r="CL105" s="322"/>
      <c r="CM105" s="322"/>
      <c r="CN105" s="322">
        <f t="shared" si="133"/>
        <v>0</v>
      </c>
      <c r="CO105" s="322"/>
      <c r="CP105" s="322">
        <f t="shared" ref="CP105:CP134" si="144">CK105+CM105</f>
        <v>0</v>
      </c>
      <c r="CQ105" s="322"/>
      <c r="CR105" s="322"/>
      <c r="CS105" s="322"/>
      <c r="CT105" s="322"/>
      <c r="CU105" s="322">
        <f t="shared" si="134"/>
        <v>0</v>
      </c>
      <c r="CV105" s="322"/>
      <c r="CW105" s="322">
        <f t="shared" ref="CW105:CW134" si="145">CR105+CT105</f>
        <v>0</v>
      </c>
      <c r="CX105" s="322"/>
      <c r="CY105" s="322"/>
      <c r="CZ105" s="322"/>
      <c r="DA105" s="322"/>
      <c r="DB105" s="322">
        <f t="shared" si="135"/>
        <v>0</v>
      </c>
      <c r="DC105" s="322">
        <f t="shared" si="135"/>
        <v>0</v>
      </c>
      <c r="DD105" s="322"/>
      <c r="DE105" s="322"/>
      <c r="DF105" s="322"/>
      <c r="DG105" s="322"/>
      <c r="DH105" s="322">
        <f t="shared" si="136"/>
        <v>0</v>
      </c>
      <c r="DI105" s="322">
        <f t="shared" si="136"/>
        <v>0</v>
      </c>
      <c r="DJ105" s="322"/>
      <c r="DK105" s="322"/>
      <c r="DL105" s="322"/>
      <c r="DM105" s="322"/>
      <c r="DN105" s="322">
        <f t="shared" si="137"/>
        <v>0</v>
      </c>
      <c r="DO105" s="322">
        <f t="shared" si="137"/>
        <v>0</v>
      </c>
      <c r="DP105" s="322">
        <f t="shared" ref="DP105:DP134" si="146">AO105+AU105+BA105+BH105+BO105+BV105+CC105+CJ105+CQ105+CX105+DD105+DJ105</f>
        <v>0</v>
      </c>
      <c r="DQ105" s="322">
        <f t="shared" ref="DQ105:DQ134" si="147">AP105+AV105+BB105+BI105+BP105+BW105+CD105+CK105+CR105+CY105+DE105+DK105</f>
        <v>0</v>
      </c>
      <c r="DR105" s="322">
        <f t="shared" ref="DR105:DR134" si="148">AQ105+AW105+BC105+BJ105+BQ105+BX105+CE105+CL105+CS105+CZ105+DF105+DL105</f>
        <v>0</v>
      </c>
      <c r="DS105" s="322">
        <f t="shared" ref="DS105:DS134" si="149">AR105+AX105+BD105+BK105+BR105+BY105+CF105+CM105+CT105+DA105+DG105+DM105</f>
        <v>0</v>
      </c>
      <c r="DT105" s="322">
        <f t="shared" si="138"/>
        <v>0</v>
      </c>
      <c r="DU105" s="322">
        <f t="shared" si="138"/>
        <v>0</v>
      </c>
    </row>
    <row r="106" spans="1:125">
      <c r="A106" s="15">
        <v>101</v>
      </c>
      <c r="B106" s="96" t="s">
        <v>898</v>
      </c>
      <c r="C106" s="7" t="s">
        <v>904</v>
      </c>
      <c r="D106" s="96" t="s">
        <v>905</v>
      </c>
      <c r="E106" s="185" t="s">
        <v>1164</v>
      </c>
      <c r="F106" s="161">
        <f t="shared" si="100"/>
        <v>0</v>
      </c>
      <c r="G106" s="161">
        <f t="shared" si="119"/>
        <v>0</v>
      </c>
      <c r="H106" s="161">
        <f t="shared" si="120"/>
        <v>0</v>
      </c>
      <c r="I106" s="161">
        <f t="shared" si="107"/>
        <v>0</v>
      </c>
      <c r="J106" s="165">
        <f t="shared" si="101"/>
        <v>0</v>
      </c>
      <c r="K106" s="115"/>
      <c r="L106" s="211">
        <v>0</v>
      </c>
      <c r="M106" s="211">
        <v>0</v>
      </c>
      <c r="N106" s="127">
        <f t="shared" si="102"/>
        <v>0</v>
      </c>
      <c r="O106" s="127">
        <f t="shared" si="103"/>
        <v>0</v>
      </c>
      <c r="P106" s="127">
        <f t="shared" si="104"/>
        <v>0</v>
      </c>
      <c r="Q106" s="131">
        <f t="shared" si="121"/>
        <v>0</v>
      </c>
      <c r="R106" s="125" t="str">
        <f t="shared" si="105"/>
        <v>ნულოვანი შესრულება</v>
      </c>
      <c r="S106" s="113">
        <v>0</v>
      </c>
      <c r="T106" s="113"/>
      <c r="U106" s="113">
        <f t="shared" si="106"/>
        <v>0</v>
      </c>
      <c r="V106" s="113">
        <f t="shared" si="97"/>
        <v>0</v>
      </c>
      <c r="W106" s="113">
        <v>0</v>
      </c>
      <c r="X106" s="113">
        <v>0</v>
      </c>
      <c r="Y106" s="113">
        <v>0</v>
      </c>
      <c r="Z106" s="113">
        <v>0</v>
      </c>
      <c r="AA106" s="113">
        <f t="shared" si="122"/>
        <v>0</v>
      </c>
      <c r="AB106" s="113">
        <f t="shared" si="122"/>
        <v>0</v>
      </c>
      <c r="AC106" s="113"/>
      <c r="AD106" s="113"/>
      <c r="AE106" s="113"/>
      <c r="AF106" s="113"/>
      <c r="AG106" s="113">
        <f t="shared" si="123"/>
        <v>0</v>
      </c>
      <c r="AH106" s="113">
        <f t="shared" si="123"/>
        <v>0</v>
      </c>
      <c r="AI106" s="114">
        <f t="shared" si="98"/>
        <v>0</v>
      </c>
      <c r="AJ106" s="114">
        <f t="shared" si="124"/>
        <v>0</v>
      </c>
      <c r="AK106" s="114">
        <f t="shared" si="124"/>
        <v>0</v>
      </c>
      <c r="AL106" s="114">
        <f t="shared" si="99"/>
        <v>0</v>
      </c>
      <c r="AM106" s="113">
        <f t="shared" si="125"/>
        <v>0</v>
      </c>
      <c r="AN106" s="113">
        <f t="shared" si="125"/>
        <v>0</v>
      </c>
      <c r="AO106" s="113"/>
      <c r="AP106" s="113"/>
      <c r="AQ106" s="113"/>
      <c r="AR106" s="113"/>
      <c r="AS106" s="113">
        <f t="shared" si="126"/>
        <v>0</v>
      </c>
      <c r="AT106" s="113">
        <f t="shared" si="126"/>
        <v>0</v>
      </c>
      <c r="AU106" s="113"/>
      <c r="AV106" s="113"/>
      <c r="AW106" s="113"/>
      <c r="AX106" s="113"/>
      <c r="AY106" s="113">
        <f t="shared" si="127"/>
        <v>0</v>
      </c>
      <c r="AZ106" s="113">
        <f t="shared" si="127"/>
        <v>0</v>
      </c>
      <c r="BA106" s="113"/>
      <c r="BB106" s="113"/>
      <c r="BC106" s="113"/>
      <c r="BD106" s="113"/>
      <c r="BE106" s="113">
        <f t="shared" si="128"/>
        <v>0</v>
      </c>
      <c r="BF106" s="113"/>
      <c r="BG106" s="113">
        <f t="shared" si="139"/>
        <v>0</v>
      </c>
      <c r="BH106" s="113"/>
      <c r="BI106" s="113"/>
      <c r="BJ106" s="113"/>
      <c r="BK106" s="113"/>
      <c r="BL106" s="113">
        <f t="shared" si="129"/>
        <v>0</v>
      </c>
      <c r="BM106" s="113"/>
      <c r="BN106" s="113">
        <f t="shared" si="140"/>
        <v>0</v>
      </c>
      <c r="BO106" s="113"/>
      <c r="BP106" s="113"/>
      <c r="BQ106" s="113"/>
      <c r="BR106" s="113"/>
      <c r="BS106" s="113">
        <f t="shared" si="130"/>
        <v>0</v>
      </c>
      <c r="BT106" s="113"/>
      <c r="BU106" s="113">
        <f t="shared" si="141"/>
        <v>0</v>
      </c>
      <c r="BV106" s="113"/>
      <c r="BW106" s="113"/>
      <c r="BX106" s="113"/>
      <c r="BY106" s="113"/>
      <c r="BZ106" s="113">
        <f t="shared" si="131"/>
        <v>0</v>
      </c>
      <c r="CA106" s="113"/>
      <c r="CB106" s="113">
        <f t="shared" si="142"/>
        <v>0</v>
      </c>
      <c r="CC106" s="113"/>
      <c r="CD106" s="113"/>
      <c r="CE106" s="113"/>
      <c r="CF106" s="113"/>
      <c r="CG106" s="113">
        <f t="shared" si="132"/>
        <v>0</v>
      </c>
      <c r="CH106" s="113"/>
      <c r="CI106" s="113">
        <f t="shared" si="143"/>
        <v>0</v>
      </c>
      <c r="CJ106" s="113"/>
      <c r="CK106" s="113"/>
      <c r="CL106" s="113"/>
      <c r="CM106" s="113"/>
      <c r="CN106" s="113">
        <f t="shared" si="133"/>
        <v>0</v>
      </c>
      <c r="CO106" s="113"/>
      <c r="CP106" s="113">
        <f t="shared" si="144"/>
        <v>0</v>
      </c>
      <c r="CQ106" s="113"/>
      <c r="CR106" s="113"/>
      <c r="CS106" s="113"/>
      <c r="CT106" s="113"/>
      <c r="CU106" s="113">
        <f t="shared" si="134"/>
        <v>0</v>
      </c>
      <c r="CV106" s="113"/>
      <c r="CW106" s="113">
        <f t="shared" si="145"/>
        <v>0</v>
      </c>
      <c r="CX106" s="113"/>
      <c r="CY106" s="113"/>
      <c r="CZ106" s="113"/>
      <c r="DA106" s="113"/>
      <c r="DB106" s="113">
        <f t="shared" si="135"/>
        <v>0</v>
      </c>
      <c r="DC106" s="113">
        <f t="shared" si="135"/>
        <v>0</v>
      </c>
      <c r="DD106" s="113"/>
      <c r="DE106" s="113"/>
      <c r="DF106" s="113"/>
      <c r="DG106" s="113"/>
      <c r="DH106" s="113">
        <f t="shared" si="136"/>
        <v>0</v>
      </c>
      <c r="DI106" s="113">
        <f t="shared" si="136"/>
        <v>0</v>
      </c>
      <c r="DJ106" s="113"/>
      <c r="DK106" s="113"/>
      <c r="DL106" s="113"/>
      <c r="DM106" s="113"/>
      <c r="DN106" s="113">
        <f t="shared" si="137"/>
        <v>0</v>
      </c>
      <c r="DO106" s="113">
        <f t="shared" si="137"/>
        <v>0</v>
      </c>
      <c r="DP106" s="113">
        <f t="shared" si="146"/>
        <v>0</v>
      </c>
      <c r="DQ106" s="113">
        <f t="shared" si="147"/>
        <v>0</v>
      </c>
      <c r="DR106" s="113">
        <f t="shared" si="148"/>
        <v>0</v>
      </c>
      <c r="DS106" s="113">
        <f t="shared" si="149"/>
        <v>0</v>
      </c>
      <c r="DT106" s="113">
        <f t="shared" si="138"/>
        <v>0</v>
      </c>
      <c r="DU106" s="113">
        <f t="shared" si="138"/>
        <v>0</v>
      </c>
    </row>
    <row r="107" spans="1:125" s="323" customFormat="1">
      <c r="A107" s="318">
        <v>102</v>
      </c>
      <c r="B107" s="319" t="s">
        <v>898</v>
      </c>
      <c r="C107" s="320" t="s">
        <v>904</v>
      </c>
      <c r="D107" s="319" t="s">
        <v>906</v>
      </c>
      <c r="E107" s="319" t="s">
        <v>1165</v>
      </c>
      <c r="F107" s="255">
        <f t="shared" si="100"/>
        <v>0</v>
      </c>
      <c r="G107" s="255">
        <f t="shared" si="119"/>
        <v>0</v>
      </c>
      <c r="H107" s="161">
        <f t="shared" si="120"/>
        <v>0</v>
      </c>
      <c r="I107" s="161">
        <f t="shared" si="107"/>
        <v>0</v>
      </c>
      <c r="J107" s="256">
        <f t="shared" si="101"/>
        <v>0</v>
      </c>
      <c r="K107" s="321">
        <v>92400</v>
      </c>
      <c r="L107" s="211">
        <v>0</v>
      </c>
      <c r="M107" s="211">
        <v>0</v>
      </c>
      <c r="N107" s="127">
        <f t="shared" si="102"/>
        <v>0</v>
      </c>
      <c r="O107" s="127">
        <f t="shared" si="103"/>
        <v>0</v>
      </c>
      <c r="P107" s="255">
        <f t="shared" si="104"/>
        <v>0</v>
      </c>
      <c r="Q107" s="255">
        <f t="shared" si="121"/>
        <v>0</v>
      </c>
      <c r="R107" s="255" t="str">
        <f t="shared" si="105"/>
        <v>ნულოვანი შესრულება</v>
      </c>
      <c r="S107" s="113">
        <v>0</v>
      </c>
      <c r="T107" s="113"/>
      <c r="U107" s="113">
        <f t="shared" si="106"/>
        <v>0</v>
      </c>
      <c r="V107" s="113">
        <f t="shared" si="97"/>
        <v>0</v>
      </c>
      <c r="W107" s="113">
        <v>0</v>
      </c>
      <c r="X107" s="113">
        <v>0</v>
      </c>
      <c r="Y107" s="113">
        <v>0</v>
      </c>
      <c r="Z107" s="113">
        <v>0</v>
      </c>
      <c r="AA107" s="113">
        <f t="shared" si="122"/>
        <v>0</v>
      </c>
      <c r="AB107" s="113">
        <f t="shared" si="122"/>
        <v>0</v>
      </c>
      <c r="AC107" s="113"/>
      <c r="AD107" s="113"/>
      <c r="AE107" s="113"/>
      <c r="AF107" s="113"/>
      <c r="AG107" s="113">
        <f t="shared" si="123"/>
        <v>0</v>
      </c>
      <c r="AH107" s="113">
        <f t="shared" si="123"/>
        <v>0</v>
      </c>
      <c r="AI107" s="114">
        <f t="shared" si="98"/>
        <v>0</v>
      </c>
      <c r="AJ107" s="114">
        <f t="shared" si="124"/>
        <v>0</v>
      </c>
      <c r="AK107" s="114">
        <f t="shared" si="124"/>
        <v>0</v>
      </c>
      <c r="AL107" s="114">
        <f t="shared" si="99"/>
        <v>0</v>
      </c>
      <c r="AM107" s="113">
        <f t="shared" si="125"/>
        <v>0</v>
      </c>
      <c r="AN107" s="113">
        <f t="shared" si="125"/>
        <v>0</v>
      </c>
      <c r="AO107" s="322"/>
      <c r="AP107" s="322"/>
      <c r="AQ107" s="322"/>
      <c r="AR107" s="322"/>
      <c r="AS107" s="322">
        <f t="shared" si="126"/>
        <v>0</v>
      </c>
      <c r="AT107" s="322">
        <f t="shared" si="126"/>
        <v>0</v>
      </c>
      <c r="AU107" s="322"/>
      <c r="AV107" s="322"/>
      <c r="AW107" s="322"/>
      <c r="AX107" s="322"/>
      <c r="AY107" s="322">
        <f t="shared" si="127"/>
        <v>0</v>
      </c>
      <c r="AZ107" s="322">
        <f t="shared" si="127"/>
        <v>0</v>
      </c>
      <c r="BA107" s="322"/>
      <c r="BB107" s="322"/>
      <c r="BC107" s="322"/>
      <c r="BD107" s="322"/>
      <c r="BE107" s="322">
        <f t="shared" si="128"/>
        <v>0</v>
      </c>
      <c r="BF107" s="322"/>
      <c r="BG107" s="322">
        <f t="shared" si="139"/>
        <v>0</v>
      </c>
      <c r="BH107" s="322"/>
      <c r="BI107" s="322"/>
      <c r="BJ107" s="322"/>
      <c r="BK107" s="322"/>
      <c r="BL107" s="322">
        <f t="shared" si="129"/>
        <v>0</v>
      </c>
      <c r="BM107" s="322"/>
      <c r="BN107" s="322">
        <f t="shared" si="140"/>
        <v>0</v>
      </c>
      <c r="BO107" s="322"/>
      <c r="BP107" s="322"/>
      <c r="BQ107" s="322"/>
      <c r="BR107" s="322"/>
      <c r="BS107" s="322">
        <f t="shared" si="130"/>
        <v>0</v>
      </c>
      <c r="BT107" s="322"/>
      <c r="BU107" s="322">
        <f t="shared" si="141"/>
        <v>0</v>
      </c>
      <c r="BV107" s="322"/>
      <c r="BW107" s="322"/>
      <c r="BX107" s="322"/>
      <c r="BY107" s="322"/>
      <c r="BZ107" s="322">
        <f t="shared" si="131"/>
        <v>0</v>
      </c>
      <c r="CA107" s="322"/>
      <c r="CB107" s="322">
        <f t="shared" si="142"/>
        <v>0</v>
      </c>
      <c r="CC107" s="322"/>
      <c r="CD107" s="322"/>
      <c r="CE107" s="322"/>
      <c r="CF107" s="322"/>
      <c r="CG107" s="322">
        <f t="shared" si="132"/>
        <v>0</v>
      </c>
      <c r="CH107" s="322"/>
      <c r="CI107" s="322">
        <f t="shared" si="143"/>
        <v>0</v>
      </c>
      <c r="CJ107" s="322"/>
      <c r="CK107" s="322"/>
      <c r="CL107" s="322"/>
      <c r="CM107" s="322"/>
      <c r="CN107" s="322">
        <f t="shared" si="133"/>
        <v>0</v>
      </c>
      <c r="CO107" s="322"/>
      <c r="CP107" s="322">
        <f t="shared" si="144"/>
        <v>0</v>
      </c>
      <c r="CQ107" s="322"/>
      <c r="CR107" s="322"/>
      <c r="CS107" s="322"/>
      <c r="CT107" s="322"/>
      <c r="CU107" s="322">
        <f t="shared" si="134"/>
        <v>0</v>
      </c>
      <c r="CV107" s="322"/>
      <c r="CW107" s="322">
        <f t="shared" si="145"/>
        <v>0</v>
      </c>
      <c r="CX107" s="322"/>
      <c r="CY107" s="322"/>
      <c r="CZ107" s="322"/>
      <c r="DA107" s="322"/>
      <c r="DB107" s="322">
        <f t="shared" si="135"/>
        <v>0</v>
      </c>
      <c r="DC107" s="322">
        <f t="shared" si="135"/>
        <v>0</v>
      </c>
      <c r="DD107" s="322"/>
      <c r="DE107" s="322"/>
      <c r="DF107" s="322"/>
      <c r="DG107" s="322"/>
      <c r="DH107" s="322">
        <f t="shared" si="136"/>
        <v>0</v>
      </c>
      <c r="DI107" s="322">
        <f t="shared" si="136"/>
        <v>0</v>
      </c>
      <c r="DJ107" s="322"/>
      <c r="DK107" s="322"/>
      <c r="DL107" s="322"/>
      <c r="DM107" s="322"/>
      <c r="DN107" s="322">
        <f t="shared" si="137"/>
        <v>0</v>
      </c>
      <c r="DO107" s="322">
        <f t="shared" si="137"/>
        <v>0</v>
      </c>
      <c r="DP107" s="322">
        <f t="shared" si="146"/>
        <v>0</v>
      </c>
      <c r="DQ107" s="322">
        <f t="shared" si="147"/>
        <v>0</v>
      </c>
      <c r="DR107" s="322">
        <f t="shared" si="148"/>
        <v>0</v>
      </c>
      <c r="DS107" s="322">
        <f t="shared" si="149"/>
        <v>0</v>
      </c>
      <c r="DT107" s="322">
        <f t="shared" si="138"/>
        <v>0</v>
      </c>
      <c r="DU107" s="322">
        <f t="shared" si="138"/>
        <v>0</v>
      </c>
    </row>
    <row r="108" spans="1:125">
      <c r="A108" s="15">
        <v>103</v>
      </c>
      <c r="B108" s="96" t="s">
        <v>898</v>
      </c>
      <c r="C108" s="7" t="s">
        <v>907</v>
      </c>
      <c r="D108" s="96" t="s">
        <v>908</v>
      </c>
      <c r="E108" s="185" t="s">
        <v>1164</v>
      </c>
      <c r="F108" s="161">
        <f t="shared" si="100"/>
        <v>0</v>
      </c>
      <c r="G108" s="161">
        <f t="shared" si="119"/>
        <v>0</v>
      </c>
      <c r="H108" s="161">
        <f t="shared" si="120"/>
        <v>0</v>
      </c>
      <c r="I108" s="161">
        <f t="shared" si="107"/>
        <v>0</v>
      </c>
      <c r="J108" s="165">
        <f t="shared" si="101"/>
        <v>0</v>
      </c>
      <c r="K108" s="115"/>
      <c r="L108" s="211">
        <v>0</v>
      </c>
      <c r="M108" s="211">
        <v>0</v>
      </c>
      <c r="N108" s="127">
        <f t="shared" si="102"/>
        <v>0</v>
      </c>
      <c r="O108" s="127">
        <f t="shared" si="103"/>
        <v>0</v>
      </c>
      <c r="P108" s="127">
        <f t="shared" si="104"/>
        <v>0</v>
      </c>
      <c r="Q108" s="131">
        <f t="shared" si="121"/>
        <v>0</v>
      </c>
      <c r="R108" s="125" t="str">
        <f t="shared" si="105"/>
        <v>ნულოვანი შესრულება</v>
      </c>
      <c r="S108" s="113">
        <v>0</v>
      </c>
      <c r="T108" s="113"/>
      <c r="U108" s="113">
        <f t="shared" si="106"/>
        <v>0</v>
      </c>
      <c r="V108" s="113">
        <f t="shared" si="97"/>
        <v>0</v>
      </c>
      <c r="W108" s="113">
        <v>0</v>
      </c>
      <c r="X108" s="113">
        <v>0</v>
      </c>
      <c r="Y108" s="113">
        <v>0</v>
      </c>
      <c r="Z108" s="113">
        <v>0</v>
      </c>
      <c r="AA108" s="113">
        <f t="shared" si="122"/>
        <v>0</v>
      </c>
      <c r="AB108" s="113">
        <f t="shared" si="122"/>
        <v>0</v>
      </c>
      <c r="AC108" s="113"/>
      <c r="AD108" s="113"/>
      <c r="AE108" s="113"/>
      <c r="AF108" s="113"/>
      <c r="AG108" s="113">
        <f t="shared" si="123"/>
        <v>0</v>
      </c>
      <c r="AH108" s="113">
        <f t="shared" si="123"/>
        <v>0</v>
      </c>
      <c r="AI108" s="114">
        <f t="shared" si="98"/>
        <v>0</v>
      </c>
      <c r="AJ108" s="114">
        <f t="shared" si="124"/>
        <v>0</v>
      </c>
      <c r="AK108" s="114">
        <f t="shared" si="124"/>
        <v>0</v>
      </c>
      <c r="AL108" s="114">
        <f t="shared" si="99"/>
        <v>0</v>
      </c>
      <c r="AM108" s="113">
        <f t="shared" si="125"/>
        <v>0</v>
      </c>
      <c r="AN108" s="113">
        <f t="shared" si="125"/>
        <v>0</v>
      </c>
      <c r="AO108" s="113"/>
      <c r="AP108" s="113"/>
      <c r="AQ108" s="113"/>
      <c r="AR108" s="113"/>
      <c r="AS108" s="113">
        <f t="shared" si="126"/>
        <v>0</v>
      </c>
      <c r="AT108" s="113">
        <f t="shared" si="126"/>
        <v>0</v>
      </c>
      <c r="AU108" s="113"/>
      <c r="AV108" s="113"/>
      <c r="AW108" s="113"/>
      <c r="AX108" s="113"/>
      <c r="AY108" s="113">
        <f t="shared" si="127"/>
        <v>0</v>
      </c>
      <c r="AZ108" s="113">
        <f t="shared" si="127"/>
        <v>0</v>
      </c>
      <c r="BA108" s="113"/>
      <c r="BB108" s="113"/>
      <c r="BC108" s="113"/>
      <c r="BD108" s="113"/>
      <c r="BE108" s="113">
        <f t="shared" si="128"/>
        <v>0</v>
      </c>
      <c r="BF108" s="113"/>
      <c r="BG108" s="113">
        <f t="shared" si="139"/>
        <v>0</v>
      </c>
      <c r="BH108" s="113"/>
      <c r="BI108" s="113"/>
      <c r="BJ108" s="113"/>
      <c r="BK108" s="113"/>
      <c r="BL108" s="113">
        <f t="shared" si="129"/>
        <v>0</v>
      </c>
      <c r="BM108" s="113"/>
      <c r="BN108" s="113">
        <f t="shared" si="140"/>
        <v>0</v>
      </c>
      <c r="BO108" s="113"/>
      <c r="BP108" s="113"/>
      <c r="BQ108" s="113"/>
      <c r="BR108" s="113"/>
      <c r="BS108" s="113">
        <f t="shared" si="130"/>
        <v>0</v>
      </c>
      <c r="BT108" s="113"/>
      <c r="BU108" s="113">
        <f t="shared" si="141"/>
        <v>0</v>
      </c>
      <c r="BV108" s="113"/>
      <c r="BW108" s="113"/>
      <c r="BX108" s="113"/>
      <c r="BY108" s="113"/>
      <c r="BZ108" s="113">
        <f t="shared" si="131"/>
        <v>0</v>
      </c>
      <c r="CA108" s="113"/>
      <c r="CB108" s="113">
        <f t="shared" si="142"/>
        <v>0</v>
      </c>
      <c r="CC108" s="113"/>
      <c r="CD108" s="113"/>
      <c r="CE108" s="113"/>
      <c r="CF108" s="113"/>
      <c r="CG108" s="113">
        <f t="shared" si="132"/>
        <v>0</v>
      </c>
      <c r="CH108" s="113"/>
      <c r="CI108" s="113">
        <f t="shared" si="143"/>
        <v>0</v>
      </c>
      <c r="CJ108" s="113"/>
      <c r="CK108" s="113"/>
      <c r="CL108" s="113"/>
      <c r="CM108" s="113"/>
      <c r="CN108" s="113">
        <f t="shared" si="133"/>
        <v>0</v>
      </c>
      <c r="CO108" s="113"/>
      <c r="CP108" s="113">
        <f t="shared" si="144"/>
        <v>0</v>
      </c>
      <c r="CQ108" s="113"/>
      <c r="CR108" s="113"/>
      <c r="CS108" s="113"/>
      <c r="CT108" s="113"/>
      <c r="CU108" s="113">
        <f t="shared" si="134"/>
        <v>0</v>
      </c>
      <c r="CV108" s="113"/>
      <c r="CW108" s="113">
        <f t="shared" si="145"/>
        <v>0</v>
      </c>
      <c r="CX108" s="113"/>
      <c r="CY108" s="113"/>
      <c r="CZ108" s="113"/>
      <c r="DA108" s="113"/>
      <c r="DB108" s="113">
        <f t="shared" si="135"/>
        <v>0</v>
      </c>
      <c r="DC108" s="113">
        <f t="shared" si="135"/>
        <v>0</v>
      </c>
      <c r="DD108" s="113"/>
      <c r="DE108" s="113"/>
      <c r="DF108" s="113"/>
      <c r="DG108" s="113"/>
      <c r="DH108" s="113">
        <f t="shared" si="136"/>
        <v>0</v>
      </c>
      <c r="DI108" s="113">
        <f t="shared" si="136"/>
        <v>0</v>
      </c>
      <c r="DJ108" s="113"/>
      <c r="DK108" s="113"/>
      <c r="DL108" s="113"/>
      <c r="DM108" s="113"/>
      <c r="DN108" s="113">
        <f t="shared" si="137"/>
        <v>0</v>
      </c>
      <c r="DO108" s="113">
        <f t="shared" si="137"/>
        <v>0</v>
      </c>
      <c r="DP108" s="113">
        <f t="shared" si="146"/>
        <v>0</v>
      </c>
      <c r="DQ108" s="113">
        <f t="shared" si="147"/>
        <v>0</v>
      </c>
      <c r="DR108" s="113">
        <f t="shared" si="148"/>
        <v>0</v>
      </c>
      <c r="DS108" s="113">
        <f t="shared" si="149"/>
        <v>0</v>
      </c>
      <c r="DT108" s="113">
        <f t="shared" si="138"/>
        <v>0</v>
      </c>
      <c r="DU108" s="113">
        <f t="shared" si="138"/>
        <v>0</v>
      </c>
    </row>
    <row r="109" spans="1:125" s="323" customFormat="1">
      <c r="A109" s="318">
        <v>104</v>
      </c>
      <c r="B109" s="319" t="s">
        <v>898</v>
      </c>
      <c r="C109" s="320" t="s">
        <v>907</v>
      </c>
      <c r="D109" s="319" t="s">
        <v>909</v>
      </c>
      <c r="E109" s="319" t="s">
        <v>1165</v>
      </c>
      <c r="F109" s="255">
        <f t="shared" si="100"/>
        <v>0</v>
      </c>
      <c r="G109" s="255">
        <f t="shared" si="119"/>
        <v>0</v>
      </c>
      <c r="H109" s="161">
        <f t="shared" si="120"/>
        <v>0</v>
      </c>
      <c r="I109" s="161">
        <f t="shared" si="107"/>
        <v>0</v>
      </c>
      <c r="J109" s="256">
        <f t="shared" si="101"/>
        <v>0</v>
      </c>
      <c r="K109" s="321">
        <v>172028</v>
      </c>
      <c r="L109" s="211">
        <v>0</v>
      </c>
      <c r="M109" s="211">
        <v>0</v>
      </c>
      <c r="N109" s="127">
        <f t="shared" si="102"/>
        <v>0</v>
      </c>
      <c r="O109" s="127">
        <f t="shared" si="103"/>
        <v>0</v>
      </c>
      <c r="P109" s="255">
        <f t="shared" si="104"/>
        <v>0</v>
      </c>
      <c r="Q109" s="255">
        <f t="shared" si="121"/>
        <v>0</v>
      </c>
      <c r="R109" s="255" t="str">
        <f t="shared" si="105"/>
        <v>ნულოვანი შესრულება</v>
      </c>
      <c r="S109" s="113">
        <v>0</v>
      </c>
      <c r="T109" s="113"/>
      <c r="U109" s="113">
        <f t="shared" si="106"/>
        <v>0</v>
      </c>
      <c r="V109" s="113">
        <f t="shared" si="97"/>
        <v>0</v>
      </c>
      <c r="W109" s="113">
        <v>0</v>
      </c>
      <c r="X109" s="113">
        <v>0</v>
      </c>
      <c r="Y109" s="113">
        <v>0</v>
      </c>
      <c r="Z109" s="113">
        <v>0</v>
      </c>
      <c r="AA109" s="113">
        <f t="shared" si="122"/>
        <v>0</v>
      </c>
      <c r="AB109" s="113">
        <f t="shared" si="122"/>
        <v>0</v>
      </c>
      <c r="AC109" s="113"/>
      <c r="AD109" s="113"/>
      <c r="AE109" s="113"/>
      <c r="AF109" s="113"/>
      <c r="AG109" s="113">
        <f t="shared" si="123"/>
        <v>0</v>
      </c>
      <c r="AH109" s="113">
        <f t="shared" si="123"/>
        <v>0</v>
      </c>
      <c r="AI109" s="114">
        <f t="shared" si="98"/>
        <v>0</v>
      </c>
      <c r="AJ109" s="114">
        <f t="shared" si="124"/>
        <v>0</v>
      </c>
      <c r="AK109" s="114">
        <f t="shared" si="124"/>
        <v>0</v>
      </c>
      <c r="AL109" s="114">
        <f t="shared" si="99"/>
        <v>0</v>
      </c>
      <c r="AM109" s="113">
        <f t="shared" si="125"/>
        <v>0</v>
      </c>
      <c r="AN109" s="113">
        <f t="shared" si="125"/>
        <v>0</v>
      </c>
      <c r="AO109" s="322"/>
      <c r="AP109" s="322"/>
      <c r="AQ109" s="322"/>
      <c r="AR109" s="322"/>
      <c r="AS109" s="322">
        <f t="shared" si="126"/>
        <v>0</v>
      </c>
      <c r="AT109" s="322">
        <f t="shared" si="126"/>
        <v>0</v>
      </c>
      <c r="AU109" s="322"/>
      <c r="AV109" s="322"/>
      <c r="AW109" s="322"/>
      <c r="AX109" s="322"/>
      <c r="AY109" s="322">
        <f t="shared" si="127"/>
        <v>0</v>
      </c>
      <c r="AZ109" s="322">
        <f t="shared" si="127"/>
        <v>0</v>
      </c>
      <c r="BA109" s="322"/>
      <c r="BB109" s="322"/>
      <c r="BC109" s="322"/>
      <c r="BD109" s="322"/>
      <c r="BE109" s="322">
        <f t="shared" si="128"/>
        <v>0</v>
      </c>
      <c r="BF109" s="322"/>
      <c r="BG109" s="322">
        <f t="shared" si="139"/>
        <v>0</v>
      </c>
      <c r="BH109" s="322"/>
      <c r="BI109" s="322"/>
      <c r="BJ109" s="322"/>
      <c r="BK109" s="322"/>
      <c r="BL109" s="322">
        <f t="shared" si="129"/>
        <v>0</v>
      </c>
      <c r="BM109" s="322"/>
      <c r="BN109" s="322">
        <f t="shared" si="140"/>
        <v>0</v>
      </c>
      <c r="BO109" s="322"/>
      <c r="BP109" s="322"/>
      <c r="BQ109" s="322"/>
      <c r="BR109" s="322"/>
      <c r="BS109" s="322">
        <f t="shared" si="130"/>
        <v>0</v>
      </c>
      <c r="BT109" s="322"/>
      <c r="BU109" s="322">
        <f t="shared" si="141"/>
        <v>0</v>
      </c>
      <c r="BV109" s="322"/>
      <c r="BW109" s="322"/>
      <c r="BX109" s="322"/>
      <c r="BY109" s="322"/>
      <c r="BZ109" s="322">
        <f t="shared" si="131"/>
        <v>0</v>
      </c>
      <c r="CA109" s="322"/>
      <c r="CB109" s="322">
        <f t="shared" si="142"/>
        <v>0</v>
      </c>
      <c r="CC109" s="322"/>
      <c r="CD109" s="322"/>
      <c r="CE109" s="322"/>
      <c r="CF109" s="322"/>
      <c r="CG109" s="322">
        <f t="shared" si="132"/>
        <v>0</v>
      </c>
      <c r="CH109" s="322"/>
      <c r="CI109" s="322">
        <f t="shared" si="143"/>
        <v>0</v>
      </c>
      <c r="CJ109" s="322"/>
      <c r="CK109" s="322"/>
      <c r="CL109" s="322"/>
      <c r="CM109" s="322"/>
      <c r="CN109" s="322">
        <f t="shared" si="133"/>
        <v>0</v>
      </c>
      <c r="CO109" s="322"/>
      <c r="CP109" s="322">
        <f t="shared" si="144"/>
        <v>0</v>
      </c>
      <c r="CQ109" s="322"/>
      <c r="CR109" s="322"/>
      <c r="CS109" s="322"/>
      <c r="CT109" s="322"/>
      <c r="CU109" s="322">
        <f t="shared" si="134"/>
        <v>0</v>
      </c>
      <c r="CV109" s="322"/>
      <c r="CW109" s="322">
        <f t="shared" si="145"/>
        <v>0</v>
      </c>
      <c r="CX109" s="322"/>
      <c r="CY109" s="322"/>
      <c r="CZ109" s="322"/>
      <c r="DA109" s="322"/>
      <c r="DB109" s="322">
        <f t="shared" si="135"/>
        <v>0</v>
      </c>
      <c r="DC109" s="322">
        <f t="shared" si="135"/>
        <v>0</v>
      </c>
      <c r="DD109" s="322"/>
      <c r="DE109" s="322"/>
      <c r="DF109" s="322"/>
      <c r="DG109" s="322"/>
      <c r="DH109" s="322">
        <f t="shared" si="136"/>
        <v>0</v>
      </c>
      <c r="DI109" s="322">
        <f t="shared" si="136"/>
        <v>0</v>
      </c>
      <c r="DJ109" s="322"/>
      <c r="DK109" s="322"/>
      <c r="DL109" s="322"/>
      <c r="DM109" s="322"/>
      <c r="DN109" s="322">
        <f t="shared" si="137"/>
        <v>0</v>
      </c>
      <c r="DO109" s="322">
        <f t="shared" si="137"/>
        <v>0</v>
      </c>
      <c r="DP109" s="322">
        <f t="shared" si="146"/>
        <v>0</v>
      </c>
      <c r="DQ109" s="322">
        <f t="shared" si="147"/>
        <v>0</v>
      </c>
      <c r="DR109" s="322">
        <f t="shared" si="148"/>
        <v>0</v>
      </c>
      <c r="DS109" s="322">
        <f t="shared" si="149"/>
        <v>0</v>
      </c>
      <c r="DT109" s="322">
        <f t="shared" si="138"/>
        <v>0</v>
      </c>
      <c r="DU109" s="322">
        <f t="shared" si="138"/>
        <v>0</v>
      </c>
    </row>
    <row r="110" spans="1:125">
      <c r="A110" s="15">
        <v>105</v>
      </c>
      <c r="B110" s="96" t="s">
        <v>898</v>
      </c>
      <c r="C110" s="7" t="s">
        <v>910</v>
      </c>
      <c r="D110" s="96" t="s">
        <v>911</v>
      </c>
      <c r="E110" s="185" t="s">
        <v>1164</v>
      </c>
      <c r="F110" s="161">
        <f t="shared" si="100"/>
        <v>0</v>
      </c>
      <c r="G110" s="161">
        <f t="shared" si="119"/>
        <v>0</v>
      </c>
      <c r="H110" s="161">
        <f t="shared" si="120"/>
        <v>0</v>
      </c>
      <c r="I110" s="161">
        <f t="shared" si="107"/>
        <v>0</v>
      </c>
      <c r="J110" s="165">
        <f t="shared" si="101"/>
        <v>0</v>
      </c>
      <c r="K110" s="115"/>
      <c r="L110" s="211">
        <v>0</v>
      </c>
      <c r="M110" s="211">
        <v>0</v>
      </c>
      <c r="N110" s="127">
        <f t="shared" si="102"/>
        <v>0</v>
      </c>
      <c r="O110" s="127">
        <f t="shared" si="103"/>
        <v>0</v>
      </c>
      <c r="P110" s="127">
        <f t="shared" si="104"/>
        <v>0</v>
      </c>
      <c r="Q110" s="131">
        <f t="shared" si="121"/>
        <v>0</v>
      </c>
      <c r="R110" s="125" t="str">
        <f t="shared" si="105"/>
        <v>ნულოვანი შესრულება</v>
      </c>
      <c r="S110" s="113">
        <v>0</v>
      </c>
      <c r="T110" s="113"/>
      <c r="U110" s="113">
        <f t="shared" si="106"/>
        <v>0</v>
      </c>
      <c r="V110" s="113">
        <f t="shared" si="97"/>
        <v>0</v>
      </c>
      <c r="W110" s="113">
        <v>0</v>
      </c>
      <c r="X110" s="113">
        <v>0</v>
      </c>
      <c r="Y110" s="113">
        <v>0</v>
      </c>
      <c r="Z110" s="113">
        <v>0</v>
      </c>
      <c r="AA110" s="113">
        <f t="shared" si="122"/>
        <v>0</v>
      </c>
      <c r="AB110" s="113">
        <f t="shared" si="122"/>
        <v>0</v>
      </c>
      <c r="AC110" s="113"/>
      <c r="AD110" s="113"/>
      <c r="AE110" s="113"/>
      <c r="AF110" s="113"/>
      <c r="AG110" s="113">
        <f t="shared" si="123"/>
        <v>0</v>
      </c>
      <c r="AH110" s="113">
        <f t="shared" si="123"/>
        <v>0</v>
      </c>
      <c r="AI110" s="114">
        <f t="shared" si="98"/>
        <v>0</v>
      </c>
      <c r="AJ110" s="114">
        <f t="shared" si="124"/>
        <v>0</v>
      </c>
      <c r="AK110" s="114">
        <f t="shared" si="124"/>
        <v>0</v>
      </c>
      <c r="AL110" s="114">
        <f t="shared" si="99"/>
        <v>0</v>
      </c>
      <c r="AM110" s="113">
        <f t="shared" si="125"/>
        <v>0</v>
      </c>
      <c r="AN110" s="113">
        <f t="shared" si="125"/>
        <v>0</v>
      </c>
      <c r="AO110" s="113"/>
      <c r="AP110" s="113"/>
      <c r="AQ110" s="113"/>
      <c r="AR110" s="113"/>
      <c r="AS110" s="113">
        <f t="shared" si="126"/>
        <v>0</v>
      </c>
      <c r="AT110" s="113">
        <f t="shared" si="126"/>
        <v>0</v>
      </c>
      <c r="AU110" s="113"/>
      <c r="AV110" s="113"/>
      <c r="AW110" s="113"/>
      <c r="AX110" s="113"/>
      <c r="AY110" s="113">
        <f t="shared" si="127"/>
        <v>0</v>
      </c>
      <c r="AZ110" s="113">
        <f t="shared" si="127"/>
        <v>0</v>
      </c>
      <c r="BA110" s="113"/>
      <c r="BB110" s="113"/>
      <c r="BC110" s="113"/>
      <c r="BD110" s="113"/>
      <c r="BE110" s="113">
        <f t="shared" si="128"/>
        <v>0</v>
      </c>
      <c r="BF110" s="113"/>
      <c r="BG110" s="113">
        <f t="shared" si="139"/>
        <v>0</v>
      </c>
      <c r="BH110" s="113"/>
      <c r="BI110" s="113"/>
      <c r="BJ110" s="113"/>
      <c r="BK110" s="113"/>
      <c r="BL110" s="113">
        <f t="shared" si="129"/>
        <v>0</v>
      </c>
      <c r="BM110" s="113"/>
      <c r="BN110" s="113">
        <f t="shared" si="140"/>
        <v>0</v>
      </c>
      <c r="BO110" s="113"/>
      <c r="BP110" s="113"/>
      <c r="BQ110" s="113"/>
      <c r="BR110" s="113"/>
      <c r="BS110" s="113">
        <f t="shared" si="130"/>
        <v>0</v>
      </c>
      <c r="BT110" s="113"/>
      <c r="BU110" s="113">
        <f t="shared" si="141"/>
        <v>0</v>
      </c>
      <c r="BV110" s="113"/>
      <c r="BW110" s="113"/>
      <c r="BX110" s="113"/>
      <c r="BY110" s="113"/>
      <c r="BZ110" s="113">
        <f t="shared" si="131"/>
        <v>0</v>
      </c>
      <c r="CA110" s="113"/>
      <c r="CB110" s="113">
        <f t="shared" si="142"/>
        <v>0</v>
      </c>
      <c r="CC110" s="113"/>
      <c r="CD110" s="113"/>
      <c r="CE110" s="113"/>
      <c r="CF110" s="113"/>
      <c r="CG110" s="113">
        <f t="shared" si="132"/>
        <v>0</v>
      </c>
      <c r="CH110" s="113"/>
      <c r="CI110" s="113">
        <f t="shared" si="143"/>
        <v>0</v>
      </c>
      <c r="CJ110" s="113"/>
      <c r="CK110" s="113"/>
      <c r="CL110" s="113"/>
      <c r="CM110" s="113"/>
      <c r="CN110" s="113">
        <f t="shared" si="133"/>
        <v>0</v>
      </c>
      <c r="CO110" s="113"/>
      <c r="CP110" s="113">
        <f t="shared" si="144"/>
        <v>0</v>
      </c>
      <c r="CQ110" s="113"/>
      <c r="CR110" s="113"/>
      <c r="CS110" s="113"/>
      <c r="CT110" s="113"/>
      <c r="CU110" s="113">
        <f t="shared" si="134"/>
        <v>0</v>
      </c>
      <c r="CV110" s="113"/>
      <c r="CW110" s="113">
        <f t="shared" si="145"/>
        <v>0</v>
      </c>
      <c r="CX110" s="113"/>
      <c r="CY110" s="113"/>
      <c r="CZ110" s="113"/>
      <c r="DA110" s="113"/>
      <c r="DB110" s="113">
        <f t="shared" si="135"/>
        <v>0</v>
      </c>
      <c r="DC110" s="113">
        <f t="shared" si="135"/>
        <v>0</v>
      </c>
      <c r="DD110" s="113"/>
      <c r="DE110" s="113"/>
      <c r="DF110" s="113"/>
      <c r="DG110" s="113"/>
      <c r="DH110" s="113">
        <f t="shared" si="136"/>
        <v>0</v>
      </c>
      <c r="DI110" s="113">
        <f t="shared" si="136"/>
        <v>0</v>
      </c>
      <c r="DJ110" s="113"/>
      <c r="DK110" s="113"/>
      <c r="DL110" s="113"/>
      <c r="DM110" s="113"/>
      <c r="DN110" s="113">
        <f t="shared" si="137"/>
        <v>0</v>
      </c>
      <c r="DO110" s="113">
        <f t="shared" si="137"/>
        <v>0</v>
      </c>
      <c r="DP110" s="113">
        <f t="shared" si="146"/>
        <v>0</v>
      </c>
      <c r="DQ110" s="113">
        <f t="shared" si="147"/>
        <v>0</v>
      </c>
      <c r="DR110" s="113">
        <f t="shared" si="148"/>
        <v>0</v>
      </c>
      <c r="DS110" s="113">
        <f t="shared" si="149"/>
        <v>0</v>
      </c>
      <c r="DT110" s="113">
        <f t="shared" si="138"/>
        <v>0</v>
      </c>
      <c r="DU110" s="113">
        <f t="shared" si="138"/>
        <v>0</v>
      </c>
    </row>
    <row r="111" spans="1:125" s="323" customFormat="1">
      <c r="A111" s="318">
        <v>106</v>
      </c>
      <c r="B111" s="319" t="s">
        <v>898</v>
      </c>
      <c r="C111" s="320" t="s">
        <v>910</v>
      </c>
      <c r="D111" s="319" t="s">
        <v>912</v>
      </c>
      <c r="E111" s="319" t="s">
        <v>1165</v>
      </c>
      <c r="F111" s="255">
        <f t="shared" si="100"/>
        <v>0</v>
      </c>
      <c r="G111" s="161">
        <f t="shared" si="119"/>
        <v>0</v>
      </c>
      <c r="H111" s="161">
        <f t="shared" si="120"/>
        <v>0</v>
      </c>
      <c r="I111" s="161">
        <f t="shared" si="107"/>
        <v>0</v>
      </c>
      <c r="J111" s="256">
        <f t="shared" si="101"/>
        <v>0</v>
      </c>
      <c r="K111" s="321">
        <v>26400</v>
      </c>
      <c r="L111" s="211">
        <v>0</v>
      </c>
      <c r="M111" s="211">
        <v>0</v>
      </c>
      <c r="N111" s="127">
        <f t="shared" si="102"/>
        <v>0</v>
      </c>
      <c r="O111" s="127">
        <f t="shared" si="103"/>
        <v>0</v>
      </c>
      <c r="P111" s="255">
        <f t="shared" si="104"/>
        <v>0</v>
      </c>
      <c r="Q111" s="255">
        <f t="shared" si="121"/>
        <v>0</v>
      </c>
      <c r="R111" s="255" t="str">
        <f t="shared" si="105"/>
        <v>ნულოვანი შესრულება</v>
      </c>
      <c r="S111" s="113">
        <v>0</v>
      </c>
      <c r="T111" s="113"/>
      <c r="U111" s="113">
        <f t="shared" si="106"/>
        <v>0</v>
      </c>
      <c r="V111" s="113">
        <f t="shared" si="97"/>
        <v>0</v>
      </c>
      <c r="W111" s="113">
        <v>0</v>
      </c>
      <c r="X111" s="113">
        <v>0</v>
      </c>
      <c r="Y111" s="113">
        <v>0</v>
      </c>
      <c r="Z111" s="113">
        <v>0</v>
      </c>
      <c r="AA111" s="113">
        <f t="shared" si="122"/>
        <v>0</v>
      </c>
      <c r="AB111" s="113">
        <f t="shared" si="122"/>
        <v>0</v>
      </c>
      <c r="AC111" s="113"/>
      <c r="AD111" s="113"/>
      <c r="AE111" s="113"/>
      <c r="AF111" s="113"/>
      <c r="AG111" s="113">
        <f t="shared" si="123"/>
        <v>0</v>
      </c>
      <c r="AH111" s="113">
        <f t="shared" si="123"/>
        <v>0</v>
      </c>
      <c r="AI111" s="114">
        <f t="shared" si="98"/>
        <v>0</v>
      </c>
      <c r="AJ111" s="114">
        <f t="shared" si="124"/>
        <v>0</v>
      </c>
      <c r="AK111" s="114">
        <f t="shared" si="124"/>
        <v>0</v>
      </c>
      <c r="AL111" s="114">
        <f t="shared" si="99"/>
        <v>0</v>
      </c>
      <c r="AM111" s="113">
        <f t="shared" si="125"/>
        <v>0</v>
      </c>
      <c r="AN111" s="113">
        <f t="shared" si="125"/>
        <v>0</v>
      </c>
      <c r="AO111" s="322"/>
      <c r="AP111" s="322"/>
      <c r="AQ111" s="322"/>
      <c r="AR111" s="322"/>
      <c r="AS111" s="322">
        <f t="shared" si="126"/>
        <v>0</v>
      </c>
      <c r="AT111" s="322">
        <f t="shared" si="126"/>
        <v>0</v>
      </c>
      <c r="AU111" s="322"/>
      <c r="AV111" s="322"/>
      <c r="AW111" s="322"/>
      <c r="AX111" s="322"/>
      <c r="AY111" s="322">
        <f t="shared" si="127"/>
        <v>0</v>
      </c>
      <c r="AZ111" s="322">
        <f t="shared" si="127"/>
        <v>0</v>
      </c>
      <c r="BA111" s="322"/>
      <c r="BB111" s="322"/>
      <c r="BC111" s="322"/>
      <c r="BD111" s="322"/>
      <c r="BE111" s="322">
        <f t="shared" si="128"/>
        <v>0</v>
      </c>
      <c r="BF111" s="322"/>
      <c r="BG111" s="322">
        <f t="shared" si="139"/>
        <v>0</v>
      </c>
      <c r="BH111" s="322"/>
      <c r="BI111" s="322"/>
      <c r="BJ111" s="322"/>
      <c r="BK111" s="322"/>
      <c r="BL111" s="322">
        <f t="shared" si="129"/>
        <v>0</v>
      </c>
      <c r="BM111" s="322"/>
      <c r="BN111" s="322">
        <f t="shared" si="140"/>
        <v>0</v>
      </c>
      <c r="BO111" s="322"/>
      <c r="BP111" s="322"/>
      <c r="BQ111" s="322"/>
      <c r="BR111" s="322"/>
      <c r="BS111" s="322">
        <f t="shared" si="130"/>
        <v>0</v>
      </c>
      <c r="BT111" s="322"/>
      <c r="BU111" s="322">
        <f t="shared" si="141"/>
        <v>0</v>
      </c>
      <c r="BV111" s="322"/>
      <c r="BW111" s="322"/>
      <c r="BX111" s="322"/>
      <c r="BY111" s="322"/>
      <c r="BZ111" s="322">
        <f t="shared" si="131"/>
        <v>0</v>
      </c>
      <c r="CA111" s="322"/>
      <c r="CB111" s="322">
        <f t="shared" si="142"/>
        <v>0</v>
      </c>
      <c r="CC111" s="322"/>
      <c r="CD111" s="322"/>
      <c r="CE111" s="322"/>
      <c r="CF111" s="322"/>
      <c r="CG111" s="322">
        <f t="shared" si="132"/>
        <v>0</v>
      </c>
      <c r="CH111" s="322"/>
      <c r="CI111" s="322">
        <f t="shared" si="143"/>
        <v>0</v>
      </c>
      <c r="CJ111" s="322"/>
      <c r="CK111" s="322"/>
      <c r="CL111" s="322"/>
      <c r="CM111" s="322"/>
      <c r="CN111" s="322">
        <f t="shared" si="133"/>
        <v>0</v>
      </c>
      <c r="CO111" s="322"/>
      <c r="CP111" s="322">
        <f t="shared" si="144"/>
        <v>0</v>
      </c>
      <c r="CQ111" s="322"/>
      <c r="CR111" s="322"/>
      <c r="CS111" s="322"/>
      <c r="CT111" s="322"/>
      <c r="CU111" s="322">
        <f t="shared" si="134"/>
        <v>0</v>
      </c>
      <c r="CV111" s="322"/>
      <c r="CW111" s="322">
        <f t="shared" si="145"/>
        <v>0</v>
      </c>
      <c r="CX111" s="322"/>
      <c r="CY111" s="322"/>
      <c r="CZ111" s="322"/>
      <c r="DA111" s="322"/>
      <c r="DB111" s="322">
        <f t="shared" si="135"/>
        <v>0</v>
      </c>
      <c r="DC111" s="322">
        <f t="shared" si="135"/>
        <v>0</v>
      </c>
      <c r="DD111" s="322"/>
      <c r="DE111" s="322"/>
      <c r="DF111" s="322"/>
      <c r="DG111" s="322"/>
      <c r="DH111" s="322">
        <f t="shared" si="136"/>
        <v>0</v>
      </c>
      <c r="DI111" s="322">
        <f t="shared" si="136"/>
        <v>0</v>
      </c>
      <c r="DJ111" s="322"/>
      <c r="DK111" s="322"/>
      <c r="DL111" s="322"/>
      <c r="DM111" s="322"/>
      <c r="DN111" s="322">
        <f t="shared" si="137"/>
        <v>0</v>
      </c>
      <c r="DO111" s="322">
        <f t="shared" si="137"/>
        <v>0</v>
      </c>
      <c r="DP111" s="322">
        <f t="shared" si="146"/>
        <v>0</v>
      </c>
      <c r="DQ111" s="322">
        <f t="shared" si="147"/>
        <v>0</v>
      </c>
      <c r="DR111" s="322">
        <f t="shared" si="148"/>
        <v>0</v>
      </c>
      <c r="DS111" s="322">
        <f t="shared" si="149"/>
        <v>0</v>
      </c>
      <c r="DT111" s="322">
        <f t="shared" si="138"/>
        <v>0</v>
      </c>
      <c r="DU111" s="322">
        <f t="shared" si="138"/>
        <v>0</v>
      </c>
    </row>
    <row r="112" spans="1:125">
      <c r="A112" s="15">
        <v>107</v>
      </c>
      <c r="B112" s="96" t="s">
        <v>913</v>
      </c>
      <c r="C112" s="116" t="s">
        <v>914</v>
      </c>
      <c r="D112" s="96" t="s">
        <v>1195</v>
      </c>
      <c r="E112" s="185" t="s">
        <v>1165</v>
      </c>
      <c r="F112" s="161">
        <f t="shared" si="100"/>
        <v>0</v>
      </c>
      <c r="G112" s="161">
        <f t="shared" si="119"/>
        <v>0</v>
      </c>
      <c r="H112" s="161">
        <f t="shared" si="120"/>
        <v>0</v>
      </c>
      <c r="I112" s="161">
        <f t="shared" si="107"/>
        <v>0</v>
      </c>
      <c r="J112" s="165">
        <f t="shared" si="101"/>
        <v>0</v>
      </c>
      <c r="K112" s="115">
        <v>5085.16</v>
      </c>
      <c r="L112" s="211">
        <v>0</v>
      </c>
      <c r="M112" s="211">
        <v>0</v>
      </c>
      <c r="N112" s="127">
        <f t="shared" si="102"/>
        <v>0</v>
      </c>
      <c r="O112" s="127">
        <f t="shared" si="103"/>
        <v>0</v>
      </c>
      <c r="P112" s="127">
        <f t="shared" si="104"/>
        <v>0</v>
      </c>
      <c r="Q112" s="131">
        <f t="shared" si="121"/>
        <v>0</v>
      </c>
      <c r="R112" s="125" t="str">
        <f t="shared" si="105"/>
        <v>ნულოვანი შესრულება</v>
      </c>
      <c r="S112" s="113">
        <v>0</v>
      </c>
      <c r="T112" s="113"/>
      <c r="U112" s="113">
        <f t="shared" si="106"/>
        <v>0</v>
      </c>
      <c r="V112" s="113">
        <f t="shared" si="97"/>
        <v>0</v>
      </c>
      <c r="W112" s="113">
        <v>0</v>
      </c>
      <c r="X112" s="113">
        <v>0</v>
      </c>
      <c r="Y112" s="113">
        <v>0</v>
      </c>
      <c r="Z112" s="113">
        <v>0</v>
      </c>
      <c r="AA112" s="113">
        <f t="shared" si="122"/>
        <v>0</v>
      </c>
      <c r="AB112" s="113">
        <f t="shared" si="122"/>
        <v>0</v>
      </c>
      <c r="AC112" s="113"/>
      <c r="AD112" s="113"/>
      <c r="AE112" s="113"/>
      <c r="AF112" s="113"/>
      <c r="AG112" s="113">
        <f t="shared" si="123"/>
        <v>0</v>
      </c>
      <c r="AH112" s="113">
        <f t="shared" si="123"/>
        <v>0</v>
      </c>
      <c r="AI112" s="114">
        <f t="shared" si="98"/>
        <v>0</v>
      </c>
      <c r="AJ112" s="114">
        <f t="shared" si="124"/>
        <v>0</v>
      </c>
      <c r="AK112" s="114">
        <f t="shared" si="124"/>
        <v>0</v>
      </c>
      <c r="AL112" s="114">
        <f t="shared" si="99"/>
        <v>0</v>
      </c>
      <c r="AM112" s="113">
        <f t="shared" si="125"/>
        <v>0</v>
      </c>
      <c r="AN112" s="113">
        <f t="shared" si="125"/>
        <v>0</v>
      </c>
      <c r="AO112" s="113"/>
      <c r="AP112" s="113"/>
      <c r="AQ112" s="113"/>
      <c r="AR112" s="113"/>
      <c r="AS112" s="113">
        <f t="shared" si="126"/>
        <v>0</v>
      </c>
      <c r="AT112" s="113">
        <f t="shared" si="126"/>
        <v>0</v>
      </c>
      <c r="AU112" s="113"/>
      <c r="AV112" s="113"/>
      <c r="AW112" s="113"/>
      <c r="AX112" s="113"/>
      <c r="AY112" s="113">
        <f t="shared" si="127"/>
        <v>0</v>
      </c>
      <c r="AZ112" s="113">
        <f t="shared" si="127"/>
        <v>0</v>
      </c>
      <c r="BA112" s="113"/>
      <c r="BB112" s="113"/>
      <c r="BC112" s="113"/>
      <c r="BD112" s="113"/>
      <c r="BE112" s="113">
        <f t="shared" si="128"/>
        <v>0</v>
      </c>
      <c r="BF112" s="113"/>
      <c r="BG112" s="113">
        <f t="shared" si="139"/>
        <v>0</v>
      </c>
      <c r="BH112" s="113"/>
      <c r="BI112" s="113"/>
      <c r="BJ112" s="113"/>
      <c r="BK112" s="113"/>
      <c r="BL112" s="113">
        <f t="shared" si="129"/>
        <v>0</v>
      </c>
      <c r="BM112" s="113"/>
      <c r="BN112" s="113">
        <f t="shared" si="140"/>
        <v>0</v>
      </c>
      <c r="BO112" s="113"/>
      <c r="BP112" s="113"/>
      <c r="BQ112" s="113"/>
      <c r="BR112" s="113"/>
      <c r="BS112" s="113">
        <f t="shared" si="130"/>
        <v>0</v>
      </c>
      <c r="BT112" s="113"/>
      <c r="BU112" s="113">
        <f t="shared" si="141"/>
        <v>0</v>
      </c>
      <c r="BV112" s="113"/>
      <c r="BW112" s="113"/>
      <c r="BX112" s="113"/>
      <c r="BY112" s="113"/>
      <c r="BZ112" s="113">
        <f t="shared" si="131"/>
        <v>0</v>
      </c>
      <c r="CA112" s="113"/>
      <c r="CB112" s="113">
        <f t="shared" si="142"/>
        <v>0</v>
      </c>
      <c r="CC112" s="113"/>
      <c r="CD112" s="113"/>
      <c r="CE112" s="113"/>
      <c r="CF112" s="113"/>
      <c r="CG112" s="113">
        <f t="shared" si="132"/>
        <v>0</v>
      </c>
      <c r="CH112" s="113"/>
      <c r="CI112" s="113">
        <f t="shared" si="143"/>
        <v>0</v>
      </c>
      <c r="CJ112" s="113"/>
      <c r="CK112" s="113"/>
      <c r="CL112" s="113"/>
      <c r="CM112" s="113"/>
      <c r="CN112" s="113">
        <f t="shared" si="133"/>
        <v>0</v>
      </c>
      <c r="CO112" s="113"/>
      <c r="CP112" s="113">
        <f t="shared" si="144"/>
        <v>0</v>
      </c>
      <c r="CQ112" s="113"/>
      <c r="CR112" s="113"/>
      <c r="CS112" s="113"/>
      <c r="CT112" s="113"/>
      <c r="CU112" s="113">
        <f t="shared" si="134"/>
        <v>0</v>
      </c>
      <c r="CV112" s="113"/>
      <c r="CW112" s="113">
        <f t="shared" si="145"/>
        <v>0</v>
      </c>
      <c r="CX112" s="113"/>
      <c r="CY112" s="113"/>
      <c r="CZ112" s="113"/>
      <c r="DA112" s="113"/>
      <c r="DB112" s="113">
        <f t="shared" si="135"/>
        <v>0</v>
      </c>
      <c r="DC112" s="113">
        <f t="shared" si="135"/>
        <v>0</v>
      </c>
      <c r="DD112" s="113"/>
      <c r="DE112" s="113"/>
      <c r="DF112" s="113"/>
      <c r="DG112" s="113"/>
      <c r="DH112" s="113">
        <f t="shared" si="136"/>
        <v>0</v>
      </c>
      <c r="DI112" s="113">
        <f t="shared" si="136"/>
        <v>0</v>
      </c>
      <c r="DJ112" s="113"/>
      <c r="DK112" s="113"/>
      <c r="DL112" s="113"/>
      <c r="DM112" s="113"/>
      <c r="DN112" s="113">
        <f t="shared" si="137"/>
        <v>0</v>
      </c>
      <c r="DO112" s="113">
        <f t="shared" si="137"/>
        <v>0</v>
      </c>
      <c r="DP112" s="113">
        <f t="shared" si="146"/>
        <v>0</v>
      </c>
      <c r="DQ112" s="113">
        <f t="shared" si="147"/>
        <v>0</v>
      </c>
      <c r="DR112" s="113">
        <f t="shared" si="148"/>
        <v>0</v>
      </c>
      <c r="DS112" s="113">
        <f t="shared" si="149"/>
        <v>0</v>
      </c>
      <c r="DT112" s="113">
        <f t="shared" si="138"/>
        <v>0</v>
      </c>
      <c r="DU112" s="113">
        <f t="shared" si="138"/>
        <v>0</v>
      </c>
    </row>
    <row r="113" spans="1:125">
      <c r="A113" s="15">
        <v>108</v>
      </c>
      <c r="B113" s="96" t="s">
        <v>913</v>
      </c>
      <c r="C113" s="112" t="s">
        <v>915</v>
      </c>
      <c r="D113" s="96" t="s">
        <v>916</v>
      </c>
      <c r="E113" s="185" t="s">
        <v>1165</v>
      </c>
      <c r="F113" s="161">
        <f t="shared" si="100"/>
        <v>0</v>
      </c>
      <c r="G113" s="161">
        <f t="shared" si="119"/>
        <v>0</v>
      </c>
      <c r="H113" s="161">
        <f t="shared" si="120"/>
        <v>0</v>
      </c>
      <c r="I113" s="161">
        <f t="shared" si="107"/>
        <v>0</v>
      </c>
      <c r="J113" s="165">
        <f t="shared" si="101"/>
        <v>488579.52</v>
      </c>
      <c r="K113" s="115">
        <v>213306</v>
      </c>
      <c r="L113" s="211">
        <v>480000</v>
      </c>
      <c r="M113" s="211">
        <v>0</v>
      </c>
      <c r="N113" s="127">
        <f t="shared" si="102"/>
        <v>8579.52</v>
      </c>
      <c r="O113" s="127">
        <f t="shared" si="103"/>
        <v>488579.52</v>
      </c>
      <c r="P113" s="127">
        <f t="shared" si="104"/>
        <v>488579.52</v>
      </c>
      <c r="Q113" s="131">
        <f t="shared" si="121"/>
        <v>0</v>
      </c>
      <c r="R113" s="125">
        <f t="shared" si="105"/>
        <v>488579.52</v>
      </c>
      <c r="S113" s="113">
        <v>0</v>
      </c>
      <c r="T113" s="113">
        <v>8579.52</v>
      </c>
      <c r="U113" s="113">
        <f t="shared" si="106"/>
        <v>480000</v>
      </c>
      <c r="V113" s="113">
        <f t="shared" si="97"/>
        <v>8579.52</v>
      </c>
      <c r="W113" s="113">
        <v>0</v>
      </c>
      <c r="X113" s="113">
        <v>0</v>
      </c>
      <c r="Y113" s="113">
        <v>0</v>
      </c>
      <c r="Z113" s="113">
        <v>0</v>
      </c>
      <c r="AA113" s="113">
        <f t="shared" si="122"/>
        <v>0</v>
      </c>
      <c r="AB113" s="113">
        <f t="shared" si="122"/>
        <v>0</v>
      </c>
      <c r="AC113" s="113"/>
      <c r="AD113" s="113"/>
      <c r="AE113" s="113"/>
      <c r="AF113" s="113"/>
      <c r="AG113" s="113">
        <f t="shared" si="123"/>
        <v>0</v>
      </c>
      <c r="AH113" s="113">
        <f t="shared" si="123"/>
        <v>0</v>
      </c>
      <c r="AI113" s="114">
        <f t="shared" si="98"/>
        <v>0</v>
      </c>
      <c r="AJ113" s="114">
        <f t="shared" si="124"/>
        <v>0</v>
      </c>
      <c r="AK113" s="114">
        <f t="shared" si="124"/>
        <v>8579.52</v>
      </c>
      <c r="AL113" s="114">
        <f t="shared" si="99"/>
        <v>8579.52</v>
      </c>
      <c r="AM113" s="113">
        <f t="shared" si="125"/>
        <v>8579.52</v>
      </c>
      <c r="AN113" s="113">
        <f t="shared" si="125"/>
        <v>8579.52</v>
      </c>
      <c r="AO113" s="113"/>
      <c r="AP113" s="113"/>
      <c r="AQ113" s="113"/>
      <c r="AR113" s="113"/>
      <c r="AS113" s="113">
        <f t="shared" si="126"/>
        <v>0</v>
      </c>
      <c r="AT113" s="113">
        <f t="shared" si="126"/>
        <v>0</v>
      </c>
      <c r="AU113" s="113"/>
      <c r="AV113" s="113"/>
      <c r="AW113" s="113"/>
      <c r="AX113" s="113"/>
      <c r="AY113" s="113">
        <f t="shared" si="127"/>
        <v>0</v>
      </c>
      <c r="AZ113" s="113">
        <f t="shared" si="127"/>
        <v>0</v>
      </c>
      <c r="BA113" s="113"/>
      <c r="BB113" s="113"/>
      <c r="BC113" s="113"/>
      <c r="BD113" s="113"/>
      <c r="BE113" s="113">
        <f t="shared" si="128"/>
        <v>0</v>
      </c>
      <c r="BF113" s="113"/>
      <c r="BG113" s="113">
        <f t="shared" si="139"/>
        <v>0</v>
      </c>
      <c r="BH113" s="113"/>
      <c r="BI113" s="113"/>
      <c r="BJ113" s="113"/>
      <c r="BK113" s="113"/>
      <c r="BL113" s="113">
        <f t="shared" si="129"/>
        <v>0</v>
      </c>
      <c r="BM113" s="113"/>
      <c r="BN113" s="113">
        <f t="shared" si="140"/>
        <v>0</v>
      </c>
      <c r="BO113" s="113"/>
      <c r="BP113" s="113"/>
      <c r="BQ113" s="113"/>
      <c r="BR113" s="113"/>
      <c r="BS113" s="113">
        <f t="shared" si="130"/>
        <v>0</v>
      </c>
      <c r="BT113" s="113"/>
      <c r="BU113" s="113">
        <f t="shared" si="141"/>
        <v>0</v>
      </c>
      <c r="BV113" s="113"/>
      <c r="BW113" s="113"/>
      <c r="BX113" s="113"/>
      <c r="BY113" s="113"/>
      <c r="BZ113" s="113">
        <f t="shared" si="131"/>
        <v>0</v>
      </c>
      <c r="CA113" s="113"/>
      <c r="CB113" s="113">
        <f t="shared" si="142"/>
        <v>0</v>
      </c>
      <c r="CC113" s="113"/>
      <c r="CD113" s="113"/>
      <c r="CE113" s="113"/>
      <c r="CF113" s="113"/>
      <c r="CG113" s="113">
        <f t="shared" si="132"/>
        <v>0</v>
      </c>
      <c r="CH113" s="113"/>
      <c r="CI113" s="113">
        <f t="shared" si="143"/>
        <v>0</v>
      </c>
      <c r="CJ113" s="113"/>
      <c r="CK113" s="113"/>
      <c r="CL113" s="113"/>
      <c r="CM113" s="113"/>
      <c r="CN113" s="113">
        <f t="shared" si="133"/>
        <v>0</v>
      </c>
      <c r="CO113" s="113"/>
      <c r="CP113" s="113">
        <f t="shared" si="144"/>
        <v>0</v>
      </c>
      <c r="CQ113" s="113"/>
      <c r="CR113" s="113"/>
      <c r="CS113" s="113"/>
      <c r="CT113" s="113"/>
      <c r="CU113" s="113">
        <f t="shared" si="134"/>
        <v>0</v>
      </c>
      <c r="CV113" s="113"/>
      <c r="CW113" s="113">
        <f t="shared" si="145"/>
        <v>0</v>
      </c>
      <c r="CX113" s="113"/>
      <c r="CY113" s="113"/>
      <c r="CZ113" s="113"/>
      <c r="DA113" s="113"/>
      <c r="DB113" s="113">
        <f t="shared" si="135"/>
        <v>0</v>
      </c>
      <c r="DC113" s="113">
        <f t="shared" si="135"/>
        <v>0</v>
      </c>
      <c r="DD113" s="113"/>
      <c r="DE113" s="113"/>
      <c r="DF113" s="113"/>
      <c r="DG113" s="113"/>
      <c r="DH113" s="113">
        <f t="shared" si="136"/>
        <v>0</v>
      </c>
      <c r="DI113" s="113">
        <f t="shared" si="136"/>
        <v>0</v>
      </c>
      <c r="DJ113" s="113"/>
      <c r="DK113" s="113"/>
      <c r="DL113" s="113"/>
      <c r="DM113" s="113"/>
      <c r="DN113" s="113">
        <f t="shared" si="137"/>
        <v>0</v>
      </c>
      <c r="DO113" s="113">
        <f t="shared" si="137"/>
        <v>0</v>
      </c>
      <c r="DP113" s="113">
        <f t="shared" si="146"/>
        <v>0</v>
      </c>
      <c r="DQ113" s="113">
        <f t="shared" si="147"/>
        <v>0</v>
      </c>
      <c r="DR113" s="113">
        <f t="shared" si="148"/>
        <v>0</v>
      </c>
      <c r="DS113" s="113">
        <f t="shared" si="149"/>
        <v>0</v>
      </c>
      <c r="DT113" s="113">
        <f t="shared" si="138"/>
        <v>0</v>
      </c>
      <c r="DU113" s="113">
        <f t="shared" si="138"/>
        <v>0</v>
      </c>
    </row>
    <row r="114" spans="1:125">
      <c r="A114" s="15">
        <v>109</v>
      </c>
      <c r="B114" s="96" t="s">
        <v>913</v>
      </c>
      <c r="C114" s="112" t="s">
        <v>917</v>
      </c>
      <c r="D114" s="96" t="s">
        <v>918</v>
      </c>
      <c r="E114" s="185" t="s">
        <v>1165</v>
      </c>
      <c r="F114" s="161">
        <f t="shared" si="100"/>
        <v>0</v>
      </c>
      <c r="G114" s="161">
        <f t="shared" si="119"/>
        <v>0</v>
      </c>
      <c r="H114" s="161">
        <f t="shared" si="120"/>
        <v>0</v>
      </c>
      <c r="I114" s="161">
        <f t="shared" si="107"/>
        <v>0</v>
      </c>
      <c r="J114" s="165">
        <f t="shared" si="101"/>
        <v>15302.48</v>
      </c>
      <c r="K114" s="115">
        <v>6593.08</v>
      </c>
      <c r="L114" s="211">
        <v>0</v>
      </c>
      <c r="M114" s="211">
        <v>0</v>
      </c>
      <c r="N114" s="127">
        <f t="shared" si="102"/>
        <v>15302.48</v>
      </c>
      <c r="O114" s="127">
        <f t="shared" si="103"/>
        <v>15302.48</v>
      </c>
      <c r="P114" s="127">
        <f t="shared" si="104"/>
        <v>15302.48</v>
      </c>
      <c r="Q114" s="131">
        <f t="shared" si="121"/>
        <v>0</v>
      </c>
      <c r="R114" s="125">
        <f t="shared" si="105"/>
        <v>15302.48</v>
      </c>
      <c r="S114" s="113">
        <v>0</v>
      </c>
      <c r="T114" s="113">
        <v>15302.48</v>
      </c>
      <c r="U114" s="113">
        <f t="shared" si="106"/>
        <v>0</v>
      </c>
      <c r="V114" s="113">
        <f t="shared" si="97"/>
        <v>15302.48</v>
      </c>
      <c r="W114" s="113">
        <v>0</v>
      </c>
      <c r="X114" s="113">
        <v>0</v>
      </c>
      <c r="Y114" s="113">
        <v>0</v>
      </c>
      <c r="Z114" s="113">
        <v>0</v>
      </c>
      <c r="AA114" s="113">
        <f t="shared" si="122"/>
        <v>0</v>
      </c>
      <c r="AB114" s="113">
        <f t="shared" si="122"/>
        <v>0</v>
      </c>
      <c r="AC114" s="113"/>
      <c r="AD114" s="113"/>
      <c r="AE114" s="113"/>
      <c r="AF114" s="113"/>
      <c r="AG114" s="113">
        <f t="shared" si="123"/>
        <v>0</v>
      </c>
      <c r="AH114" s="113">
        <f t="shared" si="123"/>
        <v>0</v>
      </c>
      <c r="AI114" s="114">
        <f t="shared" si="98"/>
        <v>0</v>
      </c>
      <c r="AJ114" s="114">
        <f t="shared" si="124"/>
        <v>0</v>
      </c>
      <c r="AK114" s="114">
        <f t="shared" si="124"/>
        <v>15302.48</v>
      </c>
      <c r="AL114" s="114">
        <f t="shared" si="99"/>
        <v>15302.48</v>
      </c>
      <c r="AM114" s="113">
        <f t="shared" si="125"/>
        <v>15302.48</v>
      </c>
      <c r="AN114" s="113">
        <f t="shared" si="125"/>
        <v>15302.48</v>
      </c>
      <c r="AO114" s="113"/>
      <c r="AP114" s="113"/>
      <c r="AQ114" s="113"/>
      <c r="AR114" s="113"/>
      <c r="AS114" s="113">
        <f t="shared" si="126"/>
        <v>0</v>
      </c>
      <c r="AT114" s="113">
        <f t="shared" si="126"/>
        <v>0</v>
      </c>
      <c r="AU114" s="113"/>
      <c r="AV114" s="113"/>
      <c r="AW114" s="113"/>
      <c r="AX114" s="113"/>
      <c r="AY114" s="113">
        <f t="shared" si="127"/>
        <v>0</v>
      </c>
      <c r="AZ114" s="113">
        <f t="shared" si="127"/>
        <v>0</v>
      </c>
      <c r="BA114" s="113"/>
      <c r="BB114" s="113"/>
      <c r="BC114" s="113"/>
      <c r="BD114" s="113"/>
      <c r="BE114" s="113">
        <f t="shared" si="128"/>
        <v>0</v>
      </c>
      <c r="BF114" s="113"/>
      <c r="BG114" s="113">
        <f t="shared" si="139"/>
        <v>0</v>
      </c>
      <c r="BH114" s="113"/>
      <c r="BI114" s="113"/>
      <c r="BJ114" s="113"/>
      <c r="BK114" s="113"/>
      <c r="BL114" s="113">
        <f t="shared" si="129"/>
        <v>0</v>
      </c>
      <c r="BM114" s="113"/>
      <c r="BN114" s="113">
        <f t="shared" si="140"/>
        <v>0</v>
      </c>
      <c r="BO114" s="113"/>
      <c r="BP114" s="113"/>
      <c r="BQ114" s="113"/>
      <c r="BR114" s="113"/>
      <c r="BS114" s="113">
        <f t="shared" si="130"/>
        <v>0</v>
      </c>
      <c r="BT114" s="113"/>
      <c r="BU114" s="113">
        <f t="shared" si="141"/>
        <v>0</v>
      </c>
      <c r="BV114" s="113"/>
      <c r="BW114" s="113"/>
      <c r="BX114" s="113"/>
      <c r="BY114" s="113"/>
      <c r="BZ114" s="113">
        <f t="shared" si="131"/>
        <v>0</v>
      </c>
      <c r="CA114" s="113"/>
      <c r="CB114" s="113">
        <f t="shared" si="142"/>
        <v>0</v>
      </c>
      <c r="CC114" s="113"/>
      <c r="CD114" s="113"/>
      <c r="CE114" s="113"/>
      <c r="CF114" s="113"/>
      <c r="CG114" s="113">
        <f t="shared" si="132"/>
        <v>0</v>
      </c>
      <c r="CH114" s="113"/>
      <c r="CI114" s="113">
        <f t="shared" si="143"/>
        <v>0</v>
      </c>
      <c r="CJ114" s="113"/>
      <c r="CK114" s="113"/>
      <c r="CL114" s="113"/>
      <c r="CM114" s="113"/>
      <c r="CN114" s="113">
        <f t="shared" si="133"/>
        <v>0</v>
      </c>
      <c r="CO114" s="113"/>
      <c r="CP114" s="113">
        <f t="shared" si="144"/>
        <v>0</v>
      </c>
      <c r="CQ114" s="113"/>
      <c r="CR114" s="113"/>
      <c r="CS114" s="113"/>
      <c r="CT114" s="113"/>
      <c r="CU114" s="113">
        <f t="shared" si="134"/>
        <v>0</v>
      </c>
      <c r="CV114" s="113"/>
      <c r="CW114" s="113">
        <f t="shared" si="145"/>
        <v>0</v>
      </c>
      <c r="CX114" s="113"/>
      <c r="CY114" s="113"/>
      <c r="CZ114" s="113"/>
      <c r="DA114" s="113"/>
      <c r="DB114" s="113">
        <f t="shared" si="135"/>
        <v>0</v>
      </c>
      <c r="DC114" s="113">
        <f t="shared" si="135"/>
        <v>0</v>
      </c>
      <c r="DD114" s="113"/>
      <c r="DE114" s="113"/>
      <c r="DF114" s="113"/>
      <c r="DG114" s="113"/>
      <c r="DH114" s="113">
        <f t="shared" si="136"/>
        <v>0</v>
      </c>
      <c r="DI114" s="113">
        <f t="shared" si="136"/>
        <v>0</v>
      </c>
      <c r="DJ114" s="113"/>
      <c r="DK114" s="113"/>
      <c r="DL114" s="113"/>
      <c r="DM114" s="113"/>
      <c r="DN114" s="113">
        <f t="shared" si="137"/>
        <v>0</v>
      </c>
      <c r="DO114" s="113">
        <f t="shared" si="137"/>
        <v>0</v>
      </c>
      <c r="DP114" s="113">
        <f t="shared" si="146"/>
        <v>0</v>
      </c>
      <c r="DQ114" s="113">
        <f t="shared" si="147"/>
        <v>0</v>
      </c>
      <c r="DR114" s="113">
        <f t="shared" si="148"/>
        <v>0</v>
      </c>
      <c r="DS114" s="113">
        <f t="shared" si="149"/>
        <v>0</v>
      </c>
      <c r="DT114" s="113">
        <f t="shared" si="138"/>
        <v>0</v>
      </c>
      <c r="DU114" s="113">
        <f t="shared" si="138"/>
        <v>0</v>
      </c>
    </row>
    <row r="115" spans="1:125">
      <c r="A115" s="15">
        <v>110</v>
      </c>
      <c r="B115" s="96" t="s">
        <v>913</v>
      </c>
      <c r="C115" s="112" t="s">
        <v>919</v>
      </c>
      <c r="D115" s="96" t="s">
        <v>920</v>
      </c>
      <c r="E115" s="185" t="s">
        <v>1165</v>
      </c>
      <c r="F115" s="161">
        <f t="shared" si="100"/>
        <v>0</v>
      </c>
      <c r="G115" s="161">
        <f t="shared" si="119"/>
        <v>14654.3</v>
      </c>
      <c r="H115" s="161">
        <f t="shared" si="120"/>
        <v>-14654.3</v>
      </c>
      <c r="I115" s="161">
        <f t="shared" si="107"/>
        <v>14187</v>
      </c>
      <c r="J115" s="165">
        <f t="shared" si="101"/>
        <v>0</v>
      </c>
      <c r="K115" s="115">
        <v>10766</v>
      </c>
      <c r="L115" s="211">
        <v>0</v>
      </c>
      <c r="M115" s="211">
        <v>0</v>
      </c>
      <c r="N115" s="127">
        <f t="shared" si="102"/>
        <v>0</v>
      </c>
      <c r="O115" s="127">
        <f t="shared" si="103"/>
        <v>0</v>
      </c>
      <c r="P115" s="127">
        <f t="shared" si="104"/>
        <v>0</v>
      </c>
      <c r="Q115" s="131">
        <f t="shared" si="121"/>
        <v>0</v>
      </c>
      <c r="R115" s="125">
        <f t="shared" si="105"/>
        <v>14654.3</v>
      </c>
      <c r="S115" s="113">
        <v>0</v>
      </c>
      <c r="T115" s="113"/>
      <c r="U115" s="113">
        <f t="shared" si="106"/>
        <v>0</v>
      </c>
      <c r="V115" s="113">
        <f t="shared" si="97"/>
        <v>0</v>
      </c>
      <c r="W115" s="113">
        <v>0</v>
      </c>
      <c r="X115" s="113">
        <v>0</v>
      </c>
      <c r="Y115" s="113">
        <v>0</v>
      </c>
      <c r="Z115" s="113">
        <v>0</v>
      </c>
      <c r="AA115" s="113">
        <f t="shared" si="122"/>
        <v>0</v>
      </c>
      <c r="AB115" s="113">
        <f t="shared" si="122"/>
        <v>0</v>
      </c>
      <c r="AC115" s="113"/>
      <c r="AD115" s="113"/>
      <c r="AE115" s="113"/>
      <c r="AF115" s="113"/>
      <c r="AG115" s="113">
        <f t="shared" si="123"/>
        <v>0</v>
      </c>
      <c r="AH115" s="113">
        <f t="shared" si="123"/>
        <v>0</v>
      </c>
      <c r="AI115" s="114">
        <f t="shared" si="98"/>
        <v>0</v>
      </c>
      <c r="AJ115" s="114">
        <f t="shared" si="124"/>
        <v>0</v>
      </c>
      <c r="AK115" s="114">
        <f t="shared" si="124"/>
        <v>0</v>
      </c>
      <c r="AL115" s="114">
        <f t="shared" si="99"/>
        <v>0</v>
      </c>
      <c r="AM115" s="113">
        <f t="shared" si="125"/>
        <v>0</v>
      </c>
      <c r="AN115" s="113">
        <f t="shared" si="125"/>
        <v>0</v>
      </c>
      <c r="AO115" s="113"/>
      <c r="AP115" s="113"/>
      <c r="AQ115" s="113"/>
      <c r="AR115" s="113"/>
      <c r="AS115" s="113">
        <f t="shared" si="126"/>
        <v>0</v>
      </c>
      <c r="AT115" s="113">
        <f t="shared" si="126"/>
        <v>0</v>
      </c>
      <c r="AU115" s="113"/>
      <c r="AV115" s="113"/>
      <c r="AW115" s="113"/>
      <c r="AX115" s="113"/>
      <c r="AY115" s="113">
        <f t="shared" si="127"/>
        <v>0</v>
      </c>
      <c r="AZ115" s="113">
        <f t="shared" si="127"/>
        <v>0</v>
      </c>
      <c r="BA115" s="113"/>
      <c r="BB115" s="113">
        <v>14000</v>
      </c>
      <c r="BC115" s="113"/>
      <c r="BD115" s="113"/>
      <c r="BE115" s="113">
        <f t="shared" si="128"/>
        <v>0</v>
      </c>
      <c r="BF115" s="113">
        <v>14000</v>
      </c>
      <c r="BG115" s="113">
        <f t="shared" si="139"/>
        <v>14000</v>
      </c>
      <c r="BH115" s="113"/>
      <c r="BI115" s="113"/>
      <c r="BJ115" s="113"/>
      <c r="BK115" s="113">
        <v>654.29999999999995</v>
      </c>
      <c r="BL115" s="113">
        <f t="shared" si="129"/>
        <v>0</v>
      </c>
      <c r="BM115" s="113">
        <v>187</v>
      </c>
      <c r="BN115" s="113">
        <f t="shared" si="140"/>
        <v>654.29999999999995</v>
      </c>
      <c r="BO115" s="113"/>
      <c r="BP115" s="113"/>
      <c r="BQ115" s="113"/>
      <c r="BR115" s="113"/>
      <c r="BS115" s="113">
        <f t="shared" si="130"/>
        <v>0</v>
      </c>
      <c r="BT115" s="113"/>
      <c r="BU115" s="113">
        <f t="shared" si="141"/>
        <v>0</v>
      </c>
      <c r="BV115" s="113"/>
      <c r="BW115" s="113"/>
      <c r="BX115" s="113"/>
      <c r="BY115" s="113"/>
      <c r="BZ115" s="113">
        <f t="shared" si="131"/>
        <v>0</v>
      </c>
      <c r="CA115" s="113"/>
      <c r="CB115" s="113">
        <f t="shared" si="142"/>
        <v>0</v>
      </c>
      <c r="CC115" s="113"/>
      <c r="CD115" s="113"/>
      <c r="CE115" s="113"/>
      <c r="CF115" s="113"/>
      <c r="CG115" s="113">
        <f t="shared" si="132"/>
        <v>0</v>
      </c>
      <c r="CH115" s="113"/>
      <c r="CI115" s="113">
        <f t="shared" si="143"/>
        <v>0</v>
      </c>
      <c r="CJ115" s="113"/>
      <c r="CK115" s="113"/>
      <c r="CL115" s="113"/>
      <c r="CM115" s="113"/>
      <c r="CN115" s="113">
        <f t="shared" si="133"/>
        <v>0</v>
      </c>
      <c r="CO115" s="113"/>
      <c r="CP115" s="113">
        <f t="shared" si="144"/>
        <v>0</v>
      </c>
      <c r="CQ115" s="113"/>
      <c r="CR115" s="113"/>
      <c r="CS115" s="113"/>
      <c r="CT115" s="113"/>
      <c r="CU115" s="113">
        <f t="shared" si="134"/>
        <v>0</v>
      </c>
      <c r="CV115" s="113"/>
      <c r="CW115" s="113">
        <f t="shared" si="145"/>
        <v>0</v>
      </c>
      <c r="CX115" s="113"/>
      <c r="CY115" s="113"/>
      <c r="CZ115" s="113"/>
      <c r="DA115" s="113"/>
      <c r="DB115" s="113">
        <f t="shared" si="135"/>
        <v>0</v>
      </c>
      <c r="DC115" s="113">
        <f t="shared" si="135"/>
        <v>0</v>
      </c>
      <c r="DD115" s="113"/>
      <c r="DE115" s="113"/>
      <c r="DF115" s="113"/>
      <c r="DG115" s="113"/>
      <c r="DH115" s="113">
        <f t="shared" si="136"/>
        <v>0</v>
      </c>
      <c r="DI115" s="113">
        <f t="shared" si="136"/>
        <v>0</v>
      </c>
      <c r="DJ115" s="113"/>
      <c r="DK115" s="113"/>
      <c r="DL115" s="113"/>
      <c r="DM115" s="113"/>
      <c r="DN115" s="113">
        <f t="shared" si="137"/>
        <v>0</v>
      </c>
      <c r="DO115" s="113">
        <f t="shared" si="137"/>
        <v>0</v>
      </c>
      <c r="DP115" s="113">
        <f t="shared" si="146"/>
        <v>0</v>
      </c>
      <c r="DQ115" s="113">
        <f t="shared" si="147"/>
        <v>14000</v>
      </c>
      <c r="DR115" s="113">
        <f t="shared" si="148"/>
        <v>0</v>
      </c>
      <c r="DS115" s="113">
        <f t="shared" si="149"/>
        <v>654.29999999999995</v>
      </c>
      <c r="DT115" s="113">
        <f t="shared" si="138"/>
        <v>0</v>
      </c>
      <c r="DU115" s="113">
        <f t="shared" si="138"/>
        <v>14654.3</v>
      </c>
    </row>
    <row r="116" spans="1:125">
      <c r="A116" s="15">
        <v>111</v>
      </c>
      <c r="B116" s="96" t="s">
        <v>913</v>
      </c>
      <c r="C116" s="7" t="s">
        <v>921</v>
      </c>
      <c r="D116" s="96" t="s">
        <v>922</v>
      </c>
      <c r="E116" s="185" t="s">
        <v>1164</v>
      </c>
      <c r="F116" s="161">
        <f t="shared" si="100"/>
        <v>0</v>
      </c>
      <c r="G116" s="161">
        <f t="shared" si="119"/>
        <v>0</v>
      </c>
      <c r="H116" s="161">
        <f t="shared" si="120"/>
        <v>0</v>
      </c>
      <c r="I116" s="161">
        <f t="shared" si="107"/>
        <v>0</v>
      </c>
      <c r="J116" s="165">
        <f t="shared" si="101"/>
        <v>707</v>
      </c>
      <c r="K116" s="115"/>
      <c r="L116" s="211">
        <v>0</v>
      </c>
      <c r="M116" s="211">
        <v>0</v>
      </c>
      <c r="N116" s="127">
        <f t="shared" si="102"/>
        <v>707</v>
      </c>
      <c r="O116" s="127">
        <f t="shared" si="103"/>
        <v>707</v>
      </c>
      <c r="P116" s="127">
        <f t="shared" si="104"/>
        <v>707</v>
      </c>
      <c r="Q116" s="131">
        <f t="shared" si="121"/>
        <v>0</v>
      </c>
      <c r="R116" s="125">
        <f t="shared" si="105"/>
        <v>707</v>
      </c>
      <c r="S116" s="113">
        <v>0</v>
      </c>
      <c r="T116" s="113">
        <v>707</v>
      </c>
      <c r="U116" s="113">
        <f t="shared" si="106"/>
        <v>0</v>
      </c>
      <c r="V116" s="113">
        <f t="shared" si="97"/>
        <v>707</v>
      </c>
      <c r="W116" s="113">
        <v>0</v>
      </c>
      <c r="X116" s="113">
        <v>0</v>
      </c>
      <c r="Y116" s="113">
        <v>0</v>
      </c>
      <c r="Z116" s="113">
        <v>0</v>
      </c>
      <c r="AA116" s="113">
        <f t="shared" si="122"/>
        <v>0</v>
      </c>
      <c r="AB116" s="113">
        <f t="shared" si="122"/>
        <v>0</v>
      </c>
      <c r="AC116" s="113"/>
      <c r="AD116" s="113"/>
      <c r="AE116" s="113"/>
      <c r="AF116" s="113"/>
      <c r="AG116" s="113">
        <f t="shared" si="123"/>
        <v>0</v>
      </c>
      <c r="AH116" s="113">
        <f t="shared" si="123"/>
        <v>0</v>
      </c>
      <c r="AI116" s="114">
        <f t="shared" si="98"/>
        <v>0</v>
      </c>
      <c r="AJ116" s="114">
        <f t="shared" si="124"/>
        <v>0</v>
      </c>
      <c r="AK116" s="114">
        <f t="shared" si="124"/>
        <v>707</v>
      </c>
      <c r="AL116" s="114">
        <f t="shared" si="99"/>
        <v>707</v>
      </c>
      <c r="AM116" s="113">
        <f t="shared" si="125"/>
        <v>707</v>
      </c>
      <c r="AN116" s="113">
        <f t="shared" si="125"/>
        <v>707</v>
      </c>
      <c r="AO116" s="113"/>
      <c r="AP116" s="113"/>
      <c r="AQ116" s="113"/>
      <c r="AR116" s="113"/>
      <c r="AS116" s="113">
        <f t="shared" si="126"/>
        <v>0</v>
      </c>
      <c r="AT116" s="113">
        <f t="shared" si="126"/>
        <v>0</v>
      </c>
      <c r="AU116" s="113"/>
      <c r="AV116" s="113"/>
      <c r="AW116" s="113"/>
      <c r="AX116" s="113"/>
      <c r="AY116" s="113">
        <f t="shared" si="127"/>
        <v>0</v>
      </c>
      <c r="AZ116" s="113">
        <f t="shared" si="127"/>
        <v>0</v>
      </c>
      <c r="BA116" s="113"/>
      <c r="BB116" s="113"/>
      <c r="BC116" s="113"/>
      <c r="BD116" s="113"/>
      <c r="BE116" s="113">
        <f t="shared" si="128"/>
        <v>0</v>
      </c>
      <c r="BF116" s="113"/>
      <c r="BG116" s="113">
        <f t="shared" si="139"/>
        <v>0</v>
      </c>
      <c r="BH116" s="113"/>
      <c r="BI116" s="113"/>
      <c r="BJ116" s="113"/>
      <c r="BK116" s="113"/>
      <c r="BL116" s="113">
        <f t="shared" si="129"/>
        <v>0</v>
      </c>
      <c r="BM116" s="113"/>
      <c r="BN116" s="113">
        <f t="shared" si="140"/>
        <v>0</v>
      </c>
      <c r="BO116" s="113"/>
      <c r="BP116" s="113"/>
      <c r="BQ116" s="113"/>
      <c r="BR116" s="113"/>
      <c r="BS116" s="113">
        <f t="shared" si="130"/>
        <v>0</v>
      </c>
      <c r="BT116" s="113"/>
      <c r="BU116" s="113">
        <f t="shared" si="141"/>
        <v>0</v>
      </c>
      <c r="BV116" s="113"/>
      <c r="BW116" s="113"/>
      <c r="BX116" s="113"/>
      <c r="BY116" s="113"/>
      <c r="BZ116" s="113">
        <f t="shared" si="131"/>
        <v>0</v>
      </c>
      <c r="CA116" s="113"/>
      <c r="CB116" s="113">
        <f t="shared" si="142"/>
        <v>0</v>
      </c>
      <c r="CC116" s="113"/>
      <c r="CD116" s="113"/>
      <c r="CE116" s="113"/>
      <c r="CF116" s="113"/>
      <c r="CG116" s="113">
        <f t="shared" si="132"/>
        <v>0</v>
      </c>
      <c r="CH116" s="113"/>
      <c r="CI116" s="113">
        <f t="shared" si="143"/>
        <v>0</v>
      </c>
      <c r="CJ116" s="113"/>
      <c r="CK116" s="113"/>
      <c r="CL116" s="113"/>
      <c r="CM116" s="113"/>
      <c r="CN116" s="113">
        <f t="shared" si="133"/>
        <v>0</v>
      </c>
      <c r="CO116" s="113"/>
      <c r="CP116" s="113">
        <f t="shared" si="144"/>
        <v>0</v>
      </c>
      <c r="CQ116" s="113"/>
      <c r="CR116" s="113"/>
      <c r="CS116" s="113"/>
      <c r="CT116" s="113"/>
      <c r="CU116" s="113">
        <f t="shared" si="134"/>
        <v>0</v>
      </c>
      <c r="CV116" s="113"/>
      <c r="CW116" s="113">
        <f t="shared" si="145"/>
        <v>0</v>
      </c>
      <c r="CX116" s="113"/>
      <c r="CY116" s="113"/>
      <c r="CZ116" s="113"/>
      <c r="DA116" s="113"/>
      <c r="DB116" s="113">
        <f t="shared" si="135"/>
        <v>0</v>
      </c>
      <c r="DC116" s="113">
        <f t="shared" si="135"/>
        <v>0</v>
      </c>
      <c r="DD116" s="113"/>
      <c r="DE116" s="113"/>
      <c r="DF116" s="113"/>
      <c r="DG116" s="113"/>
      <c r="DH116" s="113">
        <f t="shared" si="136"/>
        <v>0</v>
      </c>
      <c r="DI116" s="113">
        <f t="shared" si="136"/>
        <v>0</v>
      </c>
      <c r="DJ116" s="113"/>
      <c r="DK116" s="113"/>
      <c r="DL116" s="113"/>
      <c r="DM116" s="113"/>
      <c r="DN116" s="113">
        <f t="shared" si="137"/>
        <v>0</v>
      </c>
      <c r="DO116" s="113">
        <f t="shared" si="137"/>
        <v>0</v>
      </c>
      <c r="DP116" s="113">
        <f t="shared" si="146"/>
        <v>0</v>
      </c>
      <c r="DQ116" s="113">
        <f t="shared" si="147"/>
        <v>0</v>
      </c>
      <c r="DR116" s="113">
        <f t="shared" si="148"/>
        <v>0</v>
      </c>
      <c r="DS116" s="113">
        <f t="shared" si="149"/>
        <v>0</v>
      </c>
      <c r="DT116" s="113">
        <f t="shared" si="138"/>
        <v>0</v>
      </c>
      <c r="DU116" s="113">
        <f t="shared" si="138"/>
        <v>0</v>
      </c>
    </row>
    <row r="117" spans="1:125">
      <c r="A117" s="15">
        <v>112</v>
      </c>
      <c r="B117" s="96" t="s">
        <v>913</v>
      </c>
      <c r="C117" s="112" t="s">
        <v>921</v>
      </c>
      <c r="D117" s="96" t="s">
        <v>923</v>
      </c>
      <c r="E117" s="185" t="s">
        <v>1165</v>
      </c>
      <c r="F117" s="161">
        <f t="shared" si="100"/>
        <v>0</v>
      </c>
      <c r="G117" s="161">
        <f t="shared" si="119"/>
        <v>0</v>
      </c>
      <c r="H117" s="161">
        <f t="shared" si="120"/>
        <v>0</v>
      </c>
      <c r="I117" s="161">
        <f t="shared" si="107"/>
        <v>0</v>
      </c>
      <c r="J117" s="165">
        <f t="shared" si="101"/>
        <v>20766.09</v>
      </c>
      <c r="K117" s="115">
        <v>11494</v>
      </c>
      <c r="L117" s="211">
        <v>0</v>
      </c>
      <c r="M117" s="211">
        <v>0</v>
      </c>
      <c r="N117" s="127">
        <f t="shared" si="102"/>
        <v>20766.09</v>
      </c>
      <c r="O117" s="127">
        <f t="shared" si="103"/>
        <v>20766.09</v>
      </c>
      <c r="P117" s="127">
        <f t="shared" si="104"/>
        <v>20766.09</v>
      </c>
      <c r="Q117" s="131">
        <f t="shared" si="121"/>
        <v>0</v>
      </c>
      <c r="R117" s="125">
        <f t="shared" si="105"/>
        <v>20766.09</v>
      </c>
      <c r="S117" s="113">
        <v>0</v>
      </c>
      <c r="T117" s="113">
        <v>20766.09</v>
      </c>
      <c r="U117" s="113">
        <f t="shared" si="106"/>
        <v>0</v>
      </c>
      <c r="V117" s="113">
        <f t="shared" si="97"/>
        <v>20766.09</v>
      </c>
      <c r="W117" s="113">
        <v>0</v>
      </c>
      <c r="X117" s="113">
        <v>0</v>
      </c>
      <c r="Y117" s="113">
        <v>0</v>
      </c>
      <c r="Z117" s="113">
        <v>0</v>
      </c>
      <c r="AA117" s="113">
        <f t="shared" si="122"/>
        <v>0</v>
      </c>
      <c r="AB117" s="113">
        <f t="shared" si="122"/>
        <v>0</v>
      </c>
      <c r="AC117" s="113"/>
      <c r="AD117" s="113"/>
      <c r="AE117" s="113"/>
      <c r="AF117" s="113"/>
      <c r="AG117" s="113">
        <f t="shared" si="123"/>
        <v>0</v>
      </c>
      <c r="AH117" s="113">
        <f t="shared" si="123"/>
        <v>0</v>
      </c>
      <c r="AI117" s="114">
        <f t="shared" si="98"/>
        <v>0</v>
      </c>
      <c r="AJ117" s="114">
        <f t="shared" si="124"/>
        <v>0</v>
      </c>
      <c r="AK117" s="114">
        <f t="shared" si="124"/>
        <v>20766.09</v>
      </c>
      <c r="AL117" s="114">
        <f t="shared" si="99"/>
        <v>20766.09</v>
      </c>
      <c r="AM117" s="113">
        <f t="shared" si="125"/>
        <v>20766.09</v>
      </c>
      <c r="AN117" s="113">
        <f t="shared" si="125"/>
        <v>20766.09</v>
      </c>
      <c r="AO117" s="113"/>
      <c r="AP117" s="113"/>
      <c r="AQ117" s="113"/>
      <c r="AR117" s="113"/>
      <c r="AS117" s="113">
        <f t="shared" si="126"/>
        <v>0</v>
      </c>
      <c r="AT117" s="113">
        <f t="shared" si="126"/>
        <v>0</v>
      </c>
      <c r="AU117" s="113"/>
      <c r="AV117" s="113"/>
      <c r="AW117" s="113"/>
      <c r="AX117" s="113"/>
      <c r="AY117" s="113">
        <f t="shared" si="127"/>
        <v>0</v>
      </c>
      <c r="AZ117" s="113">
        <f t="shared" si="127"/>
        <v>0</v>
      </c>
      <c r="BA117" s="113"/>
      <c r="BB117" s="113"/>
      <c r="BC117" s="113"/>
      <c r="BD117" s="113"/>
      <c r="BE117" s="113">
        <f t="shared" si="128"/>
        <v>0</v>
      </c>
      <c r="BF117" s="113"/>
      <c r="BG117" s="113">
        <f t="shared" si="139"/>
        <v>0</v>
      </c>
      <c r="BH117" s="113"/>
      <c r="BI117" s="113"/>
      <c r="BJ117" s="113"/>
      <c r="BK117" s="113"/>
      <c r="BL117" s="113">
        <f t="shared" si="129"/>
        <v>0</v>
      </c>
      <c r="BM117" s="113"/>
      <c r="BN117" s="113">
        <f t="shared" si="140"/>
        <v>0</v>
      </c>
      <c r="BO117" s="113"/>
      <c r="BP117" s="113"/>
      <c r="BQ117" s="113"/>
      <c r="BR117" s="113"/>
      <c r="BS117" s="113">
        <f t="shared" si="130"/>
        <v>0</v>
      </c>
      <c r="BT117" s="113"/>
      <c r="BU117" s="113">
        <f t="shared" si="141"/>
        <v>0</v>
      </c>
      <c r="BV117" s="113"/>
      <c r="BW117" s="113"/>
      <c r="BX117" s="113"/>
      <c r="BY117" s="113"/>
      <c r="BZ117" s="113">
        <f t="shared" si="131"/>
        <v>0</v>
      </c>
      <c r="CA117" s="113"/>
      <c r="CB117" s="113">
        <f t="shared" si="142"/>
        <v>0</v>
      </c>
      <c r="CC117" s="113"/>
      <c r="CD117" s="113"/>
      <c r="CE117" s="113"/>
      <c r="CF117" s="113"/>
      <c r="CG117" s="113">
        <f t="shared" si="132"/>
        <v>0</v>
      </c>
      <c r="CH117" s="113"/>
      <c r="CI117" s="113">
        <f t="shared" si="143"/>
        <v>0</v>
      </c>
      <c r="CJ117" s="113"/>
      <c r="CK117" s="113"/>
      <c r="CL117" s="113"/>
      <c r="CM117" s="113"/>
      <c r="CN117" s="113">
        <f t="shared" si="133"/>
        <v>0</v>
      </c>
      <c r="CO117" s="113"/>
      <c r="CP117" s="113">
        <f t="shared" si="144"/>
        <v>0</v>
      </c>
      <c r="CQ117" s="113"/>
      <c r="CR117" s="113"/>
      <c r="CS117" s="113"/>
      <c r="CT117" s="113"/>
      <c r="CU117" s="113">
        <f t="shared" si="134"/>
        <v>0</v>
      </c>
      <c r="CV117" s="113"/>
      <c r="CW117" s="113">
        <f t="shared" si="145"/>
        <v>0</v>
      </c>
      <c r="CX117" s="113"/>
      <c r="CY117" s="113"/>
      <c r="CZ117" s="113"/>
      <c r="DA117" s="113"/>
      <c r="DB117" s="113">
        <f t="shared" si="135"/>
        <v>0</v>
      </c>
      <c r="DC117" s="113">
        <f t="shared" si="135"/>
        <v>0</v>
      </c>
      <c r="DD117" s="113"/>
      <c r="DE117" s="113"/>
      <c r="DF117" s="113"/>
      <c r="DG117" s="113"/>
      <c r="DH117" s="113">
        <f t="shared" si="136"/>
        <v>0</v>
      </c>
      <c r="DI117" s="113">
        <f t="shared" si="136"/>
        <v>0</v>
      </c>
      <c r="DJ117" s="113"/>
      <c r="DK117" s="113"/>
      <c r="DL117" s="113"/>
      <c r="DM117" s="113"/>
      <c r="DN117" s="113">
        <f t="shared" si="137"/>
        <v>0</v>
      </c>
      <c r="DO117" s="113">
        <f t="shared" si="137"/>
        <v>0</v>
      </c>
      <c r="DP117" s="113">
        <f t="shared" si="146"/>
        <v>0</v>
      </c>
      <c r="DQ117" s="113">
        <f t="shared" si="147"/>
        <v>0</v>
      </c>
      <c r="DR117" s="113">
        <f t="shared" si="148"/>
        <v>0</v>
      </c>
      <c r="DS117" s="113">
        <f t="shared" si="149"/>
        <v>0</v>
      </c>
      <c r="DT117" s="113">
        <f t="shared" si="138"/>
        <v>0</v>
      </c>
      <c r="DU117" s="113">
        <f t="shared" si="138"/>
        <v>0</v>
      </c>
    </row>
    <row r="118" spans="1:125">
      <c r="A118" s="15">
        <v>113</v>
      </c>
      <c r="B118" s="96" t="s">
        <v>913</v>
      </c>
      <c r="C118" s="7" t="s">
        <v>924</v>
      </c>
      <c r="D118" s="96" t="s">
        <v>925</v>
      </c>
      <c r="E118" s="185" t="s">
        <v>1164</v>
      </c>
      <c r="F118" s="161">
        <f t="shared" si="100"/>
        <v>0</v>
      </c>
      <c r="G118" s="161">
        <f t="shared" si="119"/>
        <v>0</v>
      </c>
      <c r="H118" s="161">
        <f t="shared" si="120"/>
        <v>0</v>
      </c>
      <c r="I118" s="161">
        <f t="shared" si="107"/>
        <v>0</v>
      </c>
      <c r="J118" s="165">
        <f t="shared" si="101"/>
        <v>1953</v>
      </c>
      <c r="K118" s="115"/>
      <c r="L118" s="211">
        <v>1953</v>
      </c>
      <c r="M118" s="211">
        <v>0</v>
      </c>
      <c r="N118" s="127">
        <f t="shared" si="102"/>
        <v>0</v>
      </c>
      <c r="O118" s="127">
        <f t="shared" si="103"/>
        <v>0</v>
      </c>
      <c r="P118" s="127">
        <f t="shared" si="104"/>
        <v>1953</v>
      </c>
      <c r="Q118" s="131">
        <f t="shared" si="121"/>
        <v>0</v>
      </c>
      <c r="R118" s="125" t="str">
        <f t="shared" si="105"/>
        <v>მიმდინარეობს</v>
      </c>
      <c r="S118" s="113">
        <v>0</v>
      </c>
      <c r="T118" s="113"/>
      <c r="U118" s="113">
        <f t="shared" si="106"/>
        <v>1953</v>
      </c>
      <c r="V118" s="113">
        <f t="shared" si="97"/>
        <v>0</v>
      </c>
      <c r="W118" s="113">
        <v>0</v>
      </c>
      <c r="X118" s="113">
        <v>0</v>
      </c>
      <c r="Y118" s="113">
        <v>0</v>
      </c>
      <c r="Z118" s="113">
        <v>0</v>
      </c>
      <c r="AA118" s="113">
        <f t="shared" si="122"/>
        <v>0</v>
      </c>
      <c r="AB118" s="113">
        <f t="shared" si="122"/>
        <v>0</v>
      </c>
      <c r="AC118" s="113"/>
      <c r="AD118" s="113"/>
      <c r="AE118" s="113"/>
      <c r="AF118" s="113"/>
      <c r="AG118" s="113">
        <f t="shared" si="123"/>
        <v>0</v>
      </c>
      <c r="AH118" s="113">
        <f t="shared" si="123"/>
        <v>0</v>
      </c>
      <c r="AI118" s="114">
        <f t="shared" si="98"/>
        <v>0</v>
      </c>
      <c r="AJ118" s="114">
        <f t="shared" si="124"/>
        <v>0</v>
      </c>
      <c r="AK118" s="114">
        <f t="shared" si="124"/>
        <v>0</v>
      </c>
      <c r="AL118" s="114">
        <f t="shared" si="99"/>
        <v>0</v>
      </c>
      <c r="AM118" s="113">
        <f t="shared" si="125"/>
        <v>0</v>
      </c>
      <c r="AN118" s="113">
        <f t="shared" si="125"/>
        <v>0</v>
      </c>
      <c r="AO118" s="113"/>
      <c r="AP118" s="113"/>
      <c r="AQ118" s="113"/>
      <c r="AR118" s="113"/>
      <c r="AS118" s="113">
        <f t="shared" si="126"/>
        <v>0</v>
      </c>
      <c r="AT118" s="113">
        <f t="shared" si="126"/>
        <v>0</v>
      </c>
      <c r="AU118" s="113"/>
      <c r="AV118" s="113"/>
      <c r="AW118" s="113"/>
      <c r="AX118" s="113"/>
      <c r="AY118" s="113">
        <f t="shared" si="127"/>
        <v>0</v>
      </c>
      <c r="AZ118" s="113">
        <f t="shared" si="127"/>
        <v>0</v>
      </c>
      <c r="BA118" s="113"/>
      <c r="BB118" s="113"/>
      <c r="BC118" s="113"/>
      <c r="BD118" s="113"/>
      <c r="BE118" s="113">
        <f t="shared" si="128"/>
        <v>0</v>
      </c>
      <c r="BF118" s="113"/>
      <c r="BG118" s="113">
        <f t="shared" si="139"/>
        <v>0</v>
      </c>
      <c r="BH118" s="113"/>
      <c r="BI118" s="113"/>
      <c r="BJ118" s="113"/>
      <c r="BK118" s="113"/>
      <c r="BL118" s="113">
        <f t="shared" si="129"/>
        <v>0</v>
      </c>
      <c r="BM118" s="113"/>
      <c r="BN118" s="113">
        <f t="shared" si="140"/>
        <v>0</v>
      </c>
      <c r="BO118" s="113"/>
      <c r="BP118" s="113"/>
      <c r="BQ118" s="113"/>
      <c r="BR118" s="113"/>
      <c r="BS118" s="113">
        <f t="shared" si="130"/>
        <v>0</v>
      </c>
      <c r="BT118" s="113"/>
      <c r="BU118" s="113">
        <f t="shared" si="141"/>
        <v>0</v>
      </c>
      <c r="BV118" s="113"/>
      <c r="BW118" s="113"/>
      <c r="BX118" s="113"/>
      <c r="BY118" s="113"/>
      <c r="BZ118" s="113">
        <f t="shared" si="131"/>
        <v>0</v>
      </c>
      <c r="CA118" s="113"/>
      <c r="CB118" s="113">
        <f t="shared" si="142"/>
        <v>0</v>
      </c>
      <c r="CC118" s="113"/>
      <c r="CD118" s="113"/>
      <c r="CE118" s="113"/>
      <c r="CF118" s="113"/>
      <c r="CG118" s="113">
        <f t="shared" si="132"/>
        <v>0</v>
      </c>
      <c r="CH118" s="113"/>
      <c r="CI118" s="113">
        <f t="shared" si="143"/>
        <v>0</v>
      </c>
      <c r="CJ118" s="113"/>
      <c r="CK118" s="113"/>
      <c r="CL118" s="113"/>
      <c r="CM118" s="113"/>
      <c r="CN118" s="113">
        <f t="shared" si="133"/>
        <v>0</v>
      </c>
      <c r="CO118" s="113"/>
      <c r="CP118" s="113">
        <f t="shared" si="144"/>
        <v>0</v>
      </c>
      <c r="CQ118" s="113"/>
      <c r="CR118" s="113"/>
      <c r="CS118" s="113"/>
      <c r="CT118" s="113"/>
      <c r="CU118" s="113">
        <f t="shared" si="134"/>
        <v>0</v>
      </c>
      <c r="CV118" s="113"/>
      <c r="CW118" s="113">
        <f t="shared" si="145"/>
        <v>0</v>
      </c>
      <c r="CX118" s="113"/>
      <c r="CY118" s="113"/>
      <c r="CZ118" s="113"/>
      <c r="DA118" s="113"/>
      <c r="DB118" s="113">
        <f t="shared" si="135"/>
        <v>0</v>
      </c>
      <c r="DC118" s="113">
        <f t="shared" si="135"/>
        <v>0</v>
      </c>
      <c r="DD118" s="113"/>
      <c r="DE118" s="113"/>
      <c r="DF118" s="113"/>
      <c r="DG118" s="113"/>
      <c r="DH118" s="113">
        <f t="shared" si="136"/>
        <v>0</v>
      </c>
      <c r="DI118" s="113">
        <f t="shared" si="136"/>
        <v>0</v>
      </c>
      <c r="DJ118" s="113"/>
      <c r="DK118" s="113"/>
      <c r="DL118" s="113"/>
      <c r="DM118" s="113"/>
      <c r="DN118" s="113">
        <f t="shared" si="137"/>
        <v>0</v>
      </c>
      <c r="DO118" s="113">
        <f t="shared" si="137"/>
        <v>0</v>
      </c>
      <c r="DP118" s="113">
        <f t="shared" si="146"/>
        <v>0</v>
      </c>
      <c r="DQ118" s="113">
        <f t="shared" si="147"/>
        <v>0</v>
      </c>
      <c r="DR118" s="113">
        <f t="shared" si="148"/>
        <v>0</v>
      </c>
      <c r="DS118" s="113">
        <f t="shared" si="149"/>
        <v>0</v>
      </c>
      <c r="DT118" s="113">
        <f t="shared" si="138"/>
        <v>0</v>
      </c>
      <c r="DU118" s="113">
        <f t="shared" si="138"/>
        <v>0</v>
      </c>
    </row>
    <row r="119" spans="1:125">
      <c r="A119" s="15">
        <v>114</v>
      </c>
      <c r="B119" s="96" t="s">
        <v>913</v>
      </c>
      <c r="C119" s="112" t="s">
        <v>924</v>
      </c>
      <c r="D119" s="96" t="s">
        <v>926</v>
      </c>
      <c r="E119" s="185" t="s">
        <v>1165</v>
      </c>
      <c r="F119" s="161">
        <f t="shared" si="100"/>
        <v>0</v>
      </c>
      <c r="G119" s="161">
        <f t="shared" si="119"/>
        <v>50000</v>
      </c>
      <c r="H119" s="161">
        <f t="shared" si="120"/>
        <v>-50000</v>
      </c>
      <c r="I119" s="161">
        <f t="shared" si="107"/>
        <v>52257</v>
      </c>
      <c r="J119" s="165">
        <f t="shared" si="101"/>
        <v>7776</v>
      </c>
      <c r="K119" s="115">
        <v>104516</v>
      </c>
      <c r="L119" s="211">
        <v>7776</v>
      </c>
      <c r="M119" s="211">
        <v>0</v>
      </c>
      <c r="N119" s="127">
        <f t="shared" si="102"/>
        <v>0</v>
      </c>
      <c r="O119" s="127">
        <f t="shared" si="103"/>
        <v>0</v>
      </c>
      <c r="P119" s="127">
        <f t="shared" si="104"/>
        <v>7776</v>
      </c>
      <c r="Q119" s="131">
        <f t="shared" si="121"/>
        <v>0</v>
      </c>
      <c r="R119" s="125" t="str">
        <f t="shared" si="105"/>
        <v>მიმდინარეობს</v>
      </c>
      <c r="S119" s="113">
        <v>0</v>
      </c>
      <c r="T119" s="113"/>
      <c r="U119" s="113">
        <f t="shared" si="106"/>
        <v>7776</v>
      </c>
      <c r="V119" s="113">
        <f t="shared" si="97"/>
        <v>0</v>
      </c>
      <c r="W119" s="113">
        <v>0</v>
      </c>
      <c r="X119" s="113">
        <v>0</v>
      </c>
      <c r="Y119" s="113">
        <v>0</v>
      </c>
      <c r="Z119" s="113">
        <v>0</v>
      </c>
      <c r="AA119" s="113">
        <f t="shared" si="122"/>
        <v>0</v>
      </c>
      <c r="AB119" s="113">
        <f t="shared" si="122"/>
        <v>0</v>
      </c>
      <c r="AC119" s="113"/>
      <c r="AD119" s="113"/>
      <c r="AE119" s="113"/>
      <c r="AF119" s="113"/>
      <c r="AG119" s="113">
        <f t="shared" si="123"/>
        <v>0</v>
      </c>
      <c r="AH119" s="113">
        <f t="shared" si="123"/>
        <v>0</v>
      </c>
      <c r="AI119" s="114">
        <f t="shared" si="98"/>
        <v>0</v>
      </c>
      <c r="AJ119" s="114">
        <f t="shared" si="124"/>
        <v>0</v>
      </c>
      <c r="AK119" s="114">
        <f t="shared" si="124"/>
        <v>0</v>
      </c>
      <c r="AL119" s="114">
        <f t="shared" si="99"/>
        <v>0</v>
      </c>
      <c r="AM119" s="113">
        <f t="shared" si="125"/>
        <v>0</v>
      </c>
      <c r="AN119" s="113">
        <f t="shared" si="125"/>
        <v>0</v>
      </c>
      <c r="AO119" s="113"/>
      <c r="AP119" s="113"/>
      <c r="AQ119" s="113"/>
      <c r="AR119" s="113"/>
      <c r="AS119" s="113">
        <f t="shared" si="126"/>
        <v>0</v>
      </c>
      <c r="AT119" s="113">
        <f t="shared" si="126"/>
        <v>0</v>
      </c>
      <c r="AU119" s="113"/>
      <c r="AV119" s="113"/>
      <c r="AW119" s="113"/>
      <c r="AX119" s="113"/>
      <c r="AY119" s="113">
        <f t="shared" si="127"/>
        <v>0</v>
      </c>
      <c r="AZ119" s="113">
        <f t="shared" si="127"/>
        <v>0</v>
      </c>
      <c r="BA119" s="113"/>
      <c r="BB119" s="113"/>
      <c r="BC119" s="113"/>
      <c r="BD119" s="113"/>
      <c r="BE119" s="113">
        <f t="shared" si="128"/>
        <v>0</v>
      </c>
      <c r="BF119" s="113"/>
      <c r="BG119" s="113">
        <f t="shared" si="139"/>
        <v>0</v>
      </c>
      <c r="BH119" s="113"/>
      <c r="BI119" s="113">
        <v>50000</v>
      </c>
      <c r="BJ119" s="113"/>
      <c r="BK119" s="113"/>
      <c r="BL119" s="113">
        <f t="shared" si="129"/>
        <v>0</v>
      </c>
      <c r="BM119" s="113">
        <v>52000</v>
      </c>
      <c r="BN119" s="113">
        <f t="shared" si="140"/>
        <v>50000</v>
      </c>
      <c r="BO119" s="113"/>
      <c r="BP119" s="113"/>
      <c r="BQ119" s="113"/>
      <c r="BR119" s="113"/>
      <c r="BS119" s="113">
        <f t="shared" si="130"/>
        <v>0</v>
      </c>
      <c r="BT119" s="113">
        <v>257</v>
      </c>
      <c r="BU119" s="113">
        <f t="shared" si="141"/>
        <v>0</v>
      </c>
      <c r="BV119" s="113"/>
      <c r="BW119" s="113"/>
      <c r="BX119" s="113"/>
      <c r="BY119" s="113"/>
      <c r="BZ119" s="113">
        <f t="shared" si="131"/>
        <v>0</v>
      </c>
      <c r="CA119" s="113"/>
      <c r="CB119" s="113">
        <f t="shared" si="142"/>
        <v>0</v>
      </c>
      <c r="CC119" s="113"/>
      <c r="CD119" s="113"/>
      <c r="CE119" s="113"/>
      <c r="CF119" s="113"/>
      <c r="CG119" s="113">
        <f t="shared" si="132"/>
        <v>0</v>
      </c>
      <c r="CH119" s="113"/>
      <c r="CI119" s="113">
        <f t="shared" si="143"/>
        <v>0</v>
      </c>
      <c r="CJ119" s="113"/>
      <c r="CK119" s="113"/>
      <c r="CL119" s="113"/>
      <c r="CM119" s="113"/>
      <c r="CN119" s="113">
        <f t="shared" si="133"/>
        <v>0</v>
      </c>
      <c r="CO119" s="113"/>
      <c r="CP119" s="113">
        <f t="shared" si="144"/>
        <v>0</v>
      </c>
      <c r="CQ119" s="113"/>
      <c r="CR119" s="113"/>
      <c r="CS119" s="113"/>
      <c r="CT119" s="113"/>
      <c r="CU119" s="113">
        <f t="shared" si="134"/>
        <v>0</v>
      </c>
      <c r="CV119" s="113"/>
      <c r="CW119" s="113">
        <f t="shared" si="145"/>
        <v>0</v>
      </c>
      <c r="CX119" s="113"/>
      <c r="CY119" s="113"/>
      <c r="CZ119" s="113"/>
      <c r="DA119" s="113"/>
      <c r="DB119" s="113">
        <f t="shared" si="135"/>
        <v>0</v>
      </c>
      <c r="DC119" s="113">
        <f t="shared" si="135"/>
        <v>0</v>
      </c>
      <c r="DD119" s="113"/>
      <c r="DE119" s="113"/>
      <c r="DF119" s="113"/>
      <c r="DG119" s="113"/>
      <c r="DH119" s="113">
        <f t="shared" si="136"/>
        <v>0</v>
      </c>
      <c r="DI119" s="113">
        <f t="shared" si="136"/>
        <v>0</v>
      </c>
      <c r="DJ119" s="113"/>
      <c r="DK119" s="113"/>
      <c r="DL119" s="113"/>
      <c r="DM119" s="113"/>
      <c r="DN119" s="113">
        <f t="shared" si="137"/>
        <v>0</v>
      </c>
      <c r="DO119" s="113">
        <f t="shared" si="137"/>
        <v>0</v>
      </c>
      <c r="DP119" s="113">
        <f t="shared" si="146"/>
        <v>0</v>
      </c>
      <c r="DQ119" s="113">
        <f t="shared" si="147"/>
        <v>50000</v>
      </c>
      <c r="DR119" s="113">
        <f t="shared" si="148"/>
        <v>0</v>
      </c>
      <c r="DS119" s="113">
        <f t="shared" si="149"/>
        <v>0</v>
      </c>
      <c r="DT119" s="113">
        <f t="shared" si="138"/>
        <v>0</v>
      </c>
      <c r="DU119" s="113">
        <f t="shared" si="138"/>
        <v>50000</v>
      </c>
    </row>
    <row r="120" spans="1:125">
      <c r="A120" s="15">
        <v>115</v>
      </c>
      <c r="B120" s="96" t="s">
        <v>913</v>
      </c>
      <c r="C120" s="112" t="s">
        <v>927</v>
      </c>
      <c r="D120" s="96" t="s">
        <v>928</v>
      </c>
      <c r="E120" s="185" t="s">
        <v>1165</v>
      </c>
      <c r="F120" s="161">
        <f t="shared" si="100"/>
        <v>0</v>
      </c>
      <c r="G120" s="161">
        <f t="shared" si="119"/>
        <v>0</v>
      </c>
      <c r="H120" s="161">
        <f t="shared" si="120"/>
        <v>0</v>
      </c>
      <c r="I120" s="161">
        <f t="shared" si="107"/>
        <v>0</v>
      </c>
      <c r="J120" s="165">
        <f t="shared" si="101"/>
        <v>75583.39</v>
      </c>
      <c r="K120" s="115">
        <v>78804.5</v>
      </c>
      <c r="L120" s="211">
        <v>1782</v>
      </c>
      <c r="M120" s="211">
        <v>0</v>
      </c>
      <c r="N120" s="127">
        <f t="shared" si="102"/>
        <v>73801.39</v>
      </c>
      <c r="O120" s="127">
        <f t="shared" si="103"/>
        <v>75583.39</v>
      </c>
      <c r="P120" s="127">
        <f t="shared" si="104"/>
        <v>75583.39</v>
      </c>
      <c r="Q120" s="131">
        <f t="shared" si="121"/>
        <v>0</v>
      </c>
      <c r="R120" s="125">
        <f t="shared" si="105"/>
        <v>75583.39</v>
      </c>
      <c r="S120" s="113">
        <v>0</v>
      </c>
      <c r="T120" s="113">
        <v>73801.39</v>
      </c>
      <c r="U120" s="113">
        <f t="shared" si="106"/>
        <v>1782</v>
      </c>
      <c r="V120" s="113">
        <f t="shared" si="97"/>
        <v>73801.39</v>
      </c>
      <c r="W120" s="113">
        <v>0</v>
      </c>
      <c r="X120" s="113">
        <v>0</v>
      </c>
      <c r="Y120" s="113">
        <v>0</v>
      </c>
      <c r="Z120" s="113">
        <v>0</v>
      </c>
      <c r="AA120" s="113">
        <f t="shared" si="122"/>
        <v>0</v>
      </c>
      <c r="AB120" s="113">
        <f t="shared" si="122"/>
        <v>0</v>
      </c>
      <c r="AC120" s="113"/>
      <c r="AD120" s="113"/>
      <c r="AE120" s="113"/>
      <c r="AF120" s="113"/>
      <c r="AG120" s="113">
        <f t="shared" si="123"/>
        <v>0</v>
      </c>
      <c r="AH120" s="113">
        <f t="shared" si="123"/>
        <v>0</v>
      </c>
      <c r="AI120" s="114">
        <f t="shared" si="98"/>
        <v>0</v>
      </c>
      <c r="AJ120" s="114">
        <f t="shared" si="124"/>
        <v>0</v>
      </c>
      <c r="AK120" s="114">
        <f t="shared" si="124"/>
        <v>73801.39</v>
      </c>
      <c r="AL120" s="114">
        <f t="shared" si="99"/>
        <v>73801.39</v>
      </c>
      <c r="AM120" s="113">
        <f t="shared" si="125"/>
        <v>73801.39</v>
      </c>
      <c r="AN120" s="113">
        <f t="shared" si="125"/>
        <v>73801.39</v>
      </c>
      <c r="AO120" s="113"/>
      <c r="AP120" s="113"/>
      <c r="AQ120" s="113"/>
      <c r="AR120" s="113"/>
      <c r="AS120" s="113">
        <f t="shared" si="126"/>
        <v>0</v>
      </c>
      <c r="AT120" s="113">
        <f t="shared" si="126"/>
        <v>0</v>
      </c>
      <c r="AU120" s="113"/>
      <c r="AV120" s="113"/>
      <c r="AW120" s="113"/>
      <c r="AX120" s="113"/>
      <c r="AY120" s="113">
        <f t="shared" si="127"/>
        <v>0</v>
      </c>
      <c r="AZ120" s="113">
        <f t="shared" si="127"/>
        <v>0</v>
      </c>
      <c r="BA120" s="113"/>
      <c r="BB120" s="113"/>
      <c r="BC120" s="113"/>
      <c r="BD120" s="113"/>
      <c r="BE120" s="113">
        <f t="shared" si="128"/>
        <v>0</v>
      </c>
      <c r="BF120" s="113"/>
      <c r="BG120" s="113">
        <f t="shared" si="139"/>
        <v>0</v>
      </c>
      <c r="BH120" s="113"/>
      <c r="BI120" s="113"/>
      <c r="BJ120" s="113"/>
      <c r="BK120" s="113"/>
      <c r="BL120" s="113">
        <f t="shared" si="129"/>
        <v>0</v>
      </c>
      <c r="BM120" s="113"/>
      <c r="BN120" s="113">
        <f t="shared" si="140"/>
        <v>0</v>
      </c>
      <c r="BO120" s="113"/>
      <c r="BP120" s="113"/>
      <c r="BQ120" s="113"/>
      <c r="BR120" s="113"/>
      <c r="BS120" s="113">
        <f t="shared" si="130"/>
        <v>0</v>
      </c>
      <c r="BT120" s="113"/>
      <c r="BU120" s="113">
        <f t="shared" si="141"/>
        <v>0</v>
      </c>
      <c r="BV120" s="113"/>
      <c r="BW120" s="113"/>
      <c r="BX120" s="113"/>
      <c r="BY120" s="113"/>
      <c r="BZ120" s="113">
        <f t="shared" si="131"/>
        <v>0</v>
      </c>
      <c r="CA120" s="113"/>
      <c r="CB120" s="113">
        <f t="shared" si="142"/>
        <v>0</v>
      </c>
      <c r="CC120" s="113"/>
      <c r="CD120" s="113"/>
      <c r="CE120" s="113"/>
      <c r="CF120" s="113"/>
      <c r="CG120" s="113">
        <f t="shared" si="132"/>
        <v>0</v>
      </c>
      <c r="CH120" s="113"/>
      <c r="CI120" s="113">
        <f t="shared" si="143"/>
        <v>0</v>
      </c>
      <c r="CJ120" s="113"/>
      <c r="CK120" s="113"/>
      <c r="CL120" s="113"/>
      <c r="CM120" s="113"/>
      <c r="CN120" s="113">
        <f t="shared" si="133"/>
        <v>0</v>
      </c>
      <c r="CO120" s="113"/>
      <c r="CP120" s="113">
        <f t="shared" si="144"/>
        <v>0</v>
      </c>
      <c r="CQ120" s="113"/>
      <c r="CR120" s="113"/>
      <c r="CS120" s="113"/>
      <c r="CT120" s="113"/>
      <c r="CU120" s="113">
        <f t="shared" si="134"/>
        <v>0</v>
      </c>
      <c r="CV120" s="113"/>
      <c r="CW120" s="113">
        <f t="shared" si="145"/>
        <v>0</v>
      </c>
      <c r="CX120" s="113"/>
      <c r="CY120" s="113"/>
      <c r="CZ120" s="113"/>
      <c r="DA120" s="113"/>
      <c r="DB120" s="113">
        <f t="shared" si="135"/>
        <v>0</v>
      </c>
      <c r="DC120" s="113">
        <f t="shared" si="135"/>
        <v>0</v>
      </c>
      <c r="DD120" s="113"/>
      <c r="DE120" s="113"/>
      <c r="DF120" s="113"/>
      <c r="DG120" s="113"/>
      <c r="DH120" s="113">
        <f t="shared" si="136"/>
        <v>0</v>
      </c>
      <c r="DI120" s="113">
        <f t="shared" si="136"/>
        <v>0</v>
      </c>
      <c r="DJ120" s="113"/>
      <c r="DK120" s="113"/>
      <c r="DL120" s="113"/>
      <c r="DM120" s="113"/>
      <c r="DN120" s="113">
        <f t="shared" si="137"/>
        <v>0</v>
      </c>
      <c r="DO120" s="113">
        <f t="shared" si="137"/>
        <v>0</v>
      </c>
      <c r="DP120" s="113">
        <f t="shared" si="146"/>
        <v>0</v>
      </c>
      <c r="DQ120" s="113">
        <f t="shared" si="147"/>
        <v>0</v>
      </c>
      <c r="DR120" s="113">
        <f t="shared" si="148"/>
        <v>0</v>
      </c>
      <c r="DS120" s="113">
        <f t="shared" si="149"/>
        <v>0</v>
      </c>
      <c r="DT120" s="113">
        <f t="shared" si="138"/>
        <v>0</v>
      </c>
      <c r="DU120" s="113">
        <f t="shared" si="138"/>
        <v>0</v>
      </c>
    </row>
    <row r="121" spans="1:125">
      <c r="A121" s="15">
        <v>116</v>
      </c>
      <c r="B121" s="96" t="s">
        <v>913</v>
      </c>
      <c r="C121" s="7" t="s">
        <v>929</v>
      </c>
      <c r="D121" s="96" t="s">
        <v>930</v>
      </c>
      <c r="E121" s="185" t="s">
        <v>1164</v>
      </c>
      <c r="F121" s="161">
        <f t="shared" si="100"/>
        <v>0</v>
      </c>
      <c r="G121" s="161">
        <f t="shared" si="119"/>
        <v>0</v>
      </c>
      <c r="H121" s="161">
        <f t="shared" si="120"/>
        <v>0</v>
      </c>
      <c r="I121" s="161">
        <f t="shared" si="107"/>
        <v>0</v>
      </c>
      <c r="J121" s="165">
        <f t="shared" si="101"/>
        <v>0</v>
      </c>
      <c r="K121" s="115"/>
      <c r="L121" s="211">
        <v>0</v>
      </c>
      <c r="M121" s="211">
        <v>0</v>
      </c>
      <c r="N121" s="127">
        <f t="shared" si="102"/>
        <v>0</v>
      </c>
      <c r="O121" s="127">
        <f t="shared" si="103"/>
        <v>0</v>
      </c>
      <c r="P121" s="127">
        <f t="shared" si="104"/>
        <v>0</v>
      </c>
      <c r="Q121" s="131">
        <f t="shared" si="121"/>
        <v>0</v>
      </c>
      <c r="R121" s="125" t="str">
        <f t="shared" si="105"/>
        <v>ნულოვანი შესრულება</v>
      </c>
      <c r="S121" s="113">
        <v>0</v>
      </c>
      <c r="T121" s="113"/>
      <c r="U121" s="113">
        <f t="shared" si="106"/>
        <v>0</v>
      </c>
      <c r="V121" s="113">
        <f t="shared" si="97"/>
        <v>0</v>
      </c>
      <c r="W121" s="113">
        <v>0</v>
      </c>
      <c r="X121" s="113">
        <v>0</v>
      </c>
      <c r="Y121" s="113">
        <v>0</v>
      </c>
      <c r="Z121" s="113">
        <v>0</v>
      </c>
      <c r="AA121" s="113">
        <f t="shared" si="122"/>
        <v>0</v>
      </c>
      <c r="AB121" s="113">
        <f t="shared" si="122"/>
        <v>0</v>
      </c>
      <c r="AC121" s="113"/>
      <c r="AD121" s="113"/>
      <c r="AE121" s="113"/>
      <c r="AF121" s="113"/>
      <c r="AG121" s="113">
        <f t="shared" si="123"/>
        <v>0</v>
      </c>
      <c r="AH121" s="113">
        <f t="shared" si="123"/>
        <v>0</v>
      </c>
      <c r="AI121" s="114">
        <f t="shared" si="98"/>
        <v>0</v>
      </c>
      <c r="AJ121" s="114">
        <f t="shared" si="124"/>
        <v>0</v>
      </c>
      <c r="AK121" s="114">
        <f t="shared" si="124"/>
        <v>0</v>
      </c>
      <c r="AL121" s="114">
        <f t="shared" si="99"/>
        <v>0</v>
      </c>
      <c r="AM121" s="113">
        <f t="shared" si="125"/>
        <v>0</v>
      </c>
      <c r="AN121" s="113">
        <f t="shared" si="125"/>
        <v>0</v>
      </c>
      <c r="AO121" s="113"/>
      <c r="AP121" s="113"/>
      <c r="AQ121" s="113"/>
      <c r="AR121" s="113"/>
      <c r="AS121" s="113">
        <f t="shared" si="126"/>
        <v>0</v>
      </c>
      <c r="AT121" s="113">
        <f t="shared" si="126"/>
        <v>0</v>
      </c>
      <c r="AU121" s="113"/>
      <c r="AV121" s="113"/>
      <c r="AW121" s="113"/>
      <c r="AX121" s="113"/>
      <c r="AY121" s="113">
        <f t="shared" si="127"/>
        <v>0</v>
      </c>
      <c r="AZ121" s="113">
        <f t="shared" si="127"/>
        <v>0</v>
      </c>
      <c r="BA121" s="113"/>
      <c r="BB121" s="113"/>
      <c r="BC121" s="113"/>
      <c r="BD121" s="113"/>
      <c r="BE121" s="113">
        <f t="shared" si="128"/>
        <v>0</v>
      </c>
      <c r="BF121" s="113"/>
      <c r="BG121" s="113">
        <f t="shared" si="139"/>
        <v>0</v>
      </c>
      <c r="BH121" s="113"/>
      <c r="BI121" s="113"/>
      <c r="BJ121" s="113"/>
      <c r="BK121" s="113"/>
      <c r="BL121" s="113">
        <f t="shared" si="129"/>
        <v>0</v>
      </c>
      <c r="BM121" s="113"/>
      <c r="BN121" s="113">
        <f t="shared" si="140"/>
        <v>0</v>
      </c>
      <c r="BO121" s="113"/>
      <c r="BP121" s="113"/>
      <c r="BQ121" s="113"/>
      <c r="BR121" s="113"/>
      <c r="BS121" s="113">
        <f t="shared" si="130"/>
        <v>0</v>
      </c>
      <c r="BT121" s="113"/>
      <c r="BU121" s="113">
        <f t="shared" si="141"/>
        <v>0</v>
      </c>
      <c r="BV121" s="113"/>
      <c r="BW121" s="113"/>
      <c r="BX121" s="113"/>
      <c r="BY121" s="113"/>
      <c r="BZ121" s="113">
        <f t="shared" si="131"/>
        <v>0</v>
      </c>
      <c r="CA121" s="113"/>
      <c r="CB121" s="113">
        <f t="shared" si="142"/>
        <v>0</v>
      </c>
      <c r="CC121" s="113"/>
      <c r="CD121" s="113"/>
      <c r="CE121" s="113"/>
      <c r="CF121" s="113"/>
      <c r="CG121" s="113">
        <f t="shared" si="132"/>
        <v>0</v>
      </c>
      <c r="CH121" s="113"/>
      <c r="CI121" s="113">
        <f t="shared" si="143"/>
        <v>0</v>
      </c>
      <c r="CJ121" s="113"/>
      <c r="CK121" s="113"/>
      <c r="CL121" s="113"/>
      <c r="CM121" s="113"/>
      <c r="CN121" s="113">
        <f t="shared" si="133"/>
        <v>0</v>
      </c>
      <c r="CO121" s="113"/>
      <c r="CP121" s="113">
        <f t="shared" si="144"/>
        <v>0</v>
      </c>
      <c r="CQ121" s="113"/>
      <c r="CR121" s="113"/>
      <c r="CS121" s="113"/>
      <c r="CT121" s="113"/>
      <c r="CU121" s="113">
        <f t="shared" si="134"/>
        <v>0</v>
      </c>
      <c r="CV121" s="113"/>
      <c r="CW121" s="113">
        <f t="shared" si="145"/>
        <v>0</v>
      </c>
      <c r="CX121" s="113"/>
      <c r="CY121" s="113"/>
      <c r="CZ121" s="113"/>
      <c r="DA121" s="113"/>
      <c r="DB121" s="113">
        <f t="shared" si="135"/>
        <v>0</v>
      </c>
      <c r="DC121" s="113">
        <f t="shared" si="135"/>
        <v>0</v>
      </c>
      <c r="DD121" s="113"/>
      <c r="DE121" s="113"/>
      <c r="DF121" s="113"/>
      <c r="DG121" s="113"/>
      <c r="DH121" s="113">
        <f t="shared" si="136"/>
        <v>0</v>
      </c>
      <c r="DI121" s="113">
        <f t="shared" si="136"/>
        <v>0</v>
      </c>
      <c r="DJ121" s="113"/>
      <c r="DK121" s="113"/>
      <c r="DL121" s="113"/>
      <c r="DM121" s="113"/>
      <c r="DN121" s="113">
        <f t="shared" si="137"/>
        <v>0</v>
      </c>
      <c r="DO121" s="113">
        <f t="shared" si="137"/>
        <v>0</v>
      </c>
      <c r="DP121" s="113">
        <f t="shared" si="146"/>
        <v>0</v>
      </c>
      <c r="DQ121" s="113">
        <f t="shared" si="147"/>
        <v>0</v>
      </c>
      <c r="DR121" s="113">
        <f t="shared" si="148"/>
        <v>0</v>
      </c>
      <c r="DS121" s="113">
        <f t="shared" si="149"/>
        <v>0</v>
      </c>
      <c r="DT121" s="113">
        <f t="shared" si="138"/>
        <v>0</v>
      </c>
      <c r="DU121" s="113">
        <f t="shared" si="138"/>
        <v>0</v>
      </c>
    </row>
    <row r="122" spans="1:125" s="323" customFormat="1">
      <c r="A122" s="318">
        <v>117</v>
      </c>
      <c r="B122" s="319" t="s">
        <v>913</v>
      </c>
      <c r="C122" s="320" t="s">
        <v>929</v>
      </c>
      <c r="D122" s="319" t="s">
        <v>931</v>
      </c>
      <c r="E122" s="319" t="s">
        <v>1165</v>
      </c>
      <c r="F122" s="255">
        <f t="shared" si="100"/>
        <v>0</v>
      </c>
      <c r="G122" s="255">
        <f t="shared" si="119"/>
        <v>0</v>
      </c>
      <c r="H122" s="161">
        <f t="shared" si="120"/>
        <v>0</v>
      </c>
      <c r="I122" s="161">
        <f t="shared" si="107"/>
        <v>0</v>
      </c>
      <c r="J122" s="256">
        <f t="shared" si="101"/>
        <v>0</v>
      </c>
      <c r="K122" s="321">
        <v>45256</v>
      </c>
      <c r="L122" s="211">
        <v>0</v>
      </c>
      <c r="M122" s="211">
        <v>0</v>
      </c>
      <c r="N122" s="127">
        <f t="shared" si="102"/>
        <v>0</v>
      </c>
      <c r="O122" s="127">
        <f t="shared" si="103"/>
        <v>0</v>
      </c>
      <c r="P122" s="255">
        <f t="shared" si="104"/>
        <v>0</v>
      </c>
      <c r="Q122" s="255">
        <f t="shared" si="121"/>
        <v>0</v>
      </c>
      <c r="R122" s="255" t="str">
        <f t="shared" si="105"/>
        <v>ნულოვანი შესრულება</v>
      </c>
      <c r="S122" s="113">
        <v>0</v>
      </c>
      <c r="T122" s="113"/>
      <c r="U122" s="113">
        <f t="shared" si="106"/>
        <v>0</v>
      </c>
      <c r="V122" s="113">
        <f t="shared" si="97"/>
        <v>0</v>
      </c>
      <c r="W122" s="113">
        <v>0</v>
      </c>
      <c r="X122" s="113">
        <v>0</v>
      </c>
      <c r="Y122" s="113">
        <v>0</v>
      </c>
      <c r="Z122" s="113">
        <v>0</v>
      </c>
      <c r="AA122" s="113">
        <f t="shared" si="122"/>
        <v>0</v>
      </c>
      <c r="AB122" s="113">
        <f t="shared" si="122"/>
        <v>0</v>
      </c>
      <c r="AC122" s="113"/>
      <c r="AD122" s="113"/>
      <c r="AE122" s="113"/>
      <c r="AF122" s="113"/>
      <c r="AG122" s="113">
        <f t="shared" si="123"/>
        <v>0</v>
      </c>
      <c r="AH122" s="113">
        <f t="shared" si="123"/>
        <v>0</v>
      </c>
      <c r="AI122" s="114">
        <f t="shared" si="98"/>
        <v>0</v>
      </c>
      <c r="AJ122" s="114">
        <f t="shared" si="124"/>
        <v>0</v>
      </c>
      <c r="AK122" s="114">
        <f t="shared" si="124"/>
        <v>0</v>
      </c>
      <c r="AL122" s="114">
        <f t="shared" si="99"/>
        <v>0</v>
      </c>
      <c r="AM122" s="113">
        <f t="shared" si="125"/>
        <v>0</v>
      </c>
      <c r="AN122" s="113">
        <f t="shared" si="125"/>
        <v>0</v>
      </c>
      <c r="AO122" s="322"/>
      <c r="AP122" s="322"/>
      <c r="AQ122" s="322"/>
      <c r="AR122" s="322"/>
      <c r="AS122" s="322">
        <f t="shared" si="126"/>
        <v>0</v>
      </c>
      <c r="AT122" s="322">
        <f t="shared" si="126"/>
        <v>0</v>
      </c>
      <c r="AU122" s="322"/>
      <c r="AV122" s="322"/>
      <c r="AW122" s="322"/>
      <c r="AX122" s="322"/>
      <c r="AY122" s="322">
        <f t="shared" si="127"/>
        <v>0</v>
      </c>
      <c r="AZ122" s="322">
        <f t="shared" si="127"/>
        <v>0</v>
      </c>
      <c r="BA122" s="322"/>
      <c r="BB122" s="322"/>
      <c r="BC122" s="322"/>
      <c r="BD122" s="322"/>
      <c r="BE122" s="322">
        <f t="shared" si="128"/>
        <v>0</v>
      </c>
      <c r="BF122" s="322"/>
      <c r="BG122" s="322">
        <f t="shared" si="139"/>
        <v>0</v>
      </c>
      <c r="BH122" s="322"/>
      <c r="BI122" s="322"/>
      <c r="BJ122" s="322"/>
      <c r="BK122" s="322"/>
      <c r="BL122" s="322">
        <f t="shared" si="129"/>
        <v>0</v>
      </c>
      <c r="BM122" s="322"/>
      <c r="BN122" s="322">
        <f t="shared" si="140"/>
        <v>0</v>
      </c>
      <c r="BO122" s="322"/>
      <c r="BP122" s="322"/>
      <c r="BQ122" s="322"/>
      <c r="BR122" s="322"/>
      <c r="BS122" s="322">
        <f t="shared" si="130"/>
        <v>0</v>
      </c>
      <c r="BT122" s="322"/>
      <c r="BU122" s="322">
        <f t="shared" si="141"/>
        <v>0</v>
      </c>
      <c r="BV122" s="322"/>
      <c r="BW122" s="322"/>
      <c r="BX122" s="322"/>
      <c r="BY122" s="322"/>
      <c r="BZ122" s="322">
        <f t="shared" si="131"/>
        <v>0</v>
      </c>
      <c r="CA122" s="322"/>
      <c r="CB122" s="322">
        <f t="shared" si="142"/>
        <v>0</v>
      </c>
      <c r="CC122" s="322"/>
      <c r="CD122" s="322"/>
      <c r="CE122" s="322"/>
      <c r="CF122" s="322"/>
      <c r="CG122" s="322">
        <f t="shared" si="132"/>
        <v>0</v>
      </c>
      <c r="CH122" s="322"/>
      <c r="CI122" s="322">
        <f t="shared" si="143"/>
        <v>0</v>
      </c>
      <c r="CJ122" s="322"/>
      <c r="CK122" s="322"/>
      <c r="CL122" s="322"/>
      <c r="CM122" s="322"/>
      <c r="CN122" s="322">
        <f t="shared" si="133"/>
        <v>0</v>
      </c>
      <c r="CO122" s="322"/>
      <c r="CP122" s="322">
        <f t="shared" si="144"/>
        <v>0</v>
      </c>
      <c r="CQ122" s="322"/>
      <c r="CR122" s="322"/>
      <c r="CS122" s="322"/>
      <c r="CT122" s="322"/>
      <c r="CU122" s="322">
        <f t="shared" si="134"/>
        <v>0</v>
      </c>
      <c r="CV122" s="322"/>
      <c r="CW122" s="322">
        <f t="shared" si="145"/>
        <v>0</v>
      </c>
      <c r="CX122" s="322"/>
      <c r="CY122" s="322"/>
      <c r="CZ122" s="322"/>
      <c r="DA122" s="322"/>
      <c r="DB122" s="322">
        <f t="shared" si="135"/>
        <v>0</v>
      </c>
      <c r="DC122" s="322">
        <f t="shared" si="135"/>
        <v>0</v>
      </c>
      <c r="DD122" s="322"/>
      <c r="DE122" s="322"/>
      <c r="DF122" s="322"/>
      <c r="DG122" s="322"/>
      <c r="DH122" s="322">
        <f t="shared" si="136"/>
        <v>0</v>
      </c>
      <c r="DI122" s="322">
        <f t="shared" si="136"/>
        <v>0</v>
      </c>
      <c r="DJ122" s="322"/>
      <c r="DK122" s="322"/>
      <c r="DL122" s="322"/>
      <c r="DM122" s="322"/>
      <c r="DN122" s="322">
        <f t="shared" si="137"/>
        <v>0</v>
      </c>
      <c r="DO122" s="322">
        <f t="shared" si="137"/>
        <v>0</v>
      </c>
      <c r="DP122" s="322">
        <f t="shared" si="146"/>
        <v>0</v>
      </c>
      <c r="DQ122" s="322">
        <f t="shared" si="147"/>
        <v>0</v>
      </c>
      <c r="DR122" s="322">
        <f t="shared" si="148"/>
        <v>0</v>
      </c>
      <c r="DS122" s="322">
        <f t="shared" si="149"/>
        <v>0</v>
      </c>
      <c r="DT122" s="322">
        <f t="shared" si="138"/>
        <v>0</v>
      </c>
      <c r="DU122" s="322">
        <f t="shared" si="138"/>
        <v>0</v>
      </c>
    </row>
    <row r="123" spans="1:125">
      <c r="A123" s="15">
        <v>118</v>
      </c>
      <c r="B123" s="96" t="s">
        <v>913</v>
      </c>
      <c r="C123" s="112" t="s">
        <v>932</v>
      </c>
      <c r="D123" s="96" t="s">
        <v>933</v>
      </c>
      <c r="E123" s="185" t="s">
        <v>1165</v>
      </c>
      <c r="F123" s="161">
        <f t="shared" si="100"/>
        <v>0</v>
      </c>
      <c r="G123" s="161">
        <f t="shared" si="119"/>
        <v>0</v>
      </c>
      <c r="H123" s="161">
        <f t="shared" si="120"/>
        <v>0</v>
      </c>
      <c r="I123" s="161">
        <f t="shared" si="107"/>
        <v>0</v>
      </c>
      <c r="J123" s="165">
        <f t="shared" si="101"/>
        <v>158325.68</v>
      </c>
      <c r="K123" s="115">
        <v>144738</v>
      </c>
      <c r="L123" s="211">
        <v>130000</v>
      </c>
      <c r="M123" s="211">
        <v>0</v>
      </c>
      <c r="N123" s="127">
        <f t="shared" si="102"/>
        <v>28325.68</v>
      </c>
      <c r="O123" s="127">
        <f t="shared" si="103"/>
        <v>158325.68</v>
      </c>
      <c r="P123" s="127">
        <f t="shared" si="104"/>
        <v>158325.68</v>
      </c>
      <c r="Q123" s="131">
        <f t="shared" si="121"/>
        <v>0</v>
      </c>
      <c r="R123" s="125">
        <f t="shared" si="105"/>
        <v>158325.68</v>
      </c>
      <c r="S123" s="113">
        <v>0</v>
      </c>
      <c r="T123" s="113">
        <v>28325.68</v>
      </c>
      <c r="U123" s="113">
        <f t="shared" si="106"/>
        <v>130000</v>
      </c>
      <c r="V123" s="113">
        <f t="shared" si="97"/>
        <v>28325.68</v>
      </c>
      <c r="W123" s="113">
        <v>0</v>
      </c>
      <c r="X123" s="113">
        <v>0</v>
      </c>
      <c r="Y123" s="113">
        <v>0</v>
      </c>
      <c r="Z123" s="113">
        <v>0</v>
      </c>
      <c r="AA123" s="113">
        <f t="shared" si="122"/>
        <v>0</v>
      </c>
      <c r="AB123" s="113">
        <f t="shared" si="122"/>
        <v>0</v>
      </c>
      <c r="AC123" s="113"/>
      <c r="AD123" s="113"/>
      <c r="AE123" s="113"/>
      <c r="AF123" s="113"/>
      <c r="AG123" s="113">
        <f t="shared" si="123"/>
        <v>0</v>
      </c>
      <c r="AH123" s="113">
        <f t="shared" si="123"/>
        <v>0</v>
      </c>
      <c r="AI123" s="114">
        <f t="shared" si="98"/>
        <v>0</v>
      </c>
      <c r="AJ123" s="114">
        <f t="shared" si="124"/>
        <v>0</v>
      </c>
      <c r="AK123" s="114">
        <f t="shared" si="124"/>
        <v>28325.68</v>
      </c>
      <c r="AL123" s="114">
        <f t="shared" si="99"/>
        <v>28325.68</v>
      </c>
      <c r="AM123" s="113">
        <f t="shared" si="125"/>
        <v>28325.68</v>
      </c>
      <c r="AN123" s="113">
        <f t="shared" si="125"/>
        <v>28325.68</v>
      </c>
      <c r="AO123" s="113"/>
      <c r="AP123" s="113"/>
      <c r="AQ123" s="113"/>
      <c r="AR123" s="113"/>
      <c r="AS123" s="113">
        <f t="shared" si="126"/>
        <v>0</v>
      </c>
      <c r="AT123" s="113">
        <f t="shared" si="126"/>
        <v>0</v>
      </c>
      <c r="AU123" s="113"/>
      <c r="AV123" s="113"/>
      <c r="AW123" s="113"/>
      <c r="AX123" s="113"/>
      <c r="AY123" s="113">
        <f t="shared" si="127"/>
        <v>0</v>
      </c>
      <c r="AZ123" s="113">
        <f t="shared" si="127"/>
        <v>0</v>
      </c>
      <c r="BA123" s="113"/>
      <c r="BB123" s="113"/>
      <c r="BC123" s="113"/>
      <c r="BD123" s="113"/>
      <c r="BE123" s="113">
        <f t="shared" si="128"/>
        <v>0</v>
      </c>
      <c r="BF123" s="113"/>
      <c r="BG123" s="113">
        <f t="shared" si="139"/>
        <v>0</v>
      </c>
      <c r="BH123" s="113"/>
      <c r="BI123" s="113"/>
      <c r="BJ123" s="113"/>
      <c r="BK123" s="113"/>
      <c r="BL123" s="113">
        <f t="shared" si="129"/>
        <v>0</v>
      </c>
      <c r="BM123" s="113"/>
      <c r="BN123" s="113">
        <f t="shared" si="140"/>
        <v>0</v>
      </c>
      <c r="BO123" s="113"/>
      <c r="BP123" s="113"/>
      <c r="BQ123" s="113"/>
      <c r="BR123" s="113"/>
      <c r="BS123" s="113">
        <f t="shared" si="130"/>
        <v>0</v>
      </c>
      <c r="BT123" s="113"/>
      <c r="BU123" s="113">
        <f t="shared" si="141"/>
        <v>0</v>
      </c>
      <c r="BV123" s="113"/>
      <c r="BW123" s="113"/>
      <c r="BX123" s="113"/>
      <c r="BY123" s="113"/>
      <c r="BZ123" s="113">
        <f t="shared" si="131"/>
        <v>0</v>
      </c>
      <c r="CA123" s="113"/>
      <c r="CB123" s="113">
        <f t="shared" si="142"/>
        <v>0</v>
      </c>
      <c r="CC123" s="113"/>
      <c r="CD123" s="113"/>
      <c r="CE123" s="113"/>
      <c r="CF123" s="113"/>
      <c r="CG123" s="113">
        <f t="shared" si="132"/>
        <v>0</v>
      </c>
      <c r="CH123" s="113"/>
      <c r="CI123" s="113">
        <f t="shared" si="143"/>
        <v>0</v>
      </c>
      <c r="CJ123" s="113"/>
      <c r="CK123" s="113"/>
      <c r="CL123" s="113"/>
      <c r="CM123" s="113"/>
      <c r="CN123" s="113">
        <f t="shared" si="133"/>
        <v>0</v>
      </c>
      <c r="CO123" s="113"/>
      <c r="CP123" s="113">
        <f t="shared" si="144"/>
        <v>0</v>
      </c>
      <c r="CQ123" s="113"/>
      <c r="CR123" s="113"/>
      <c r="CS123" s="113"/>
      <c r="CT123" s="113"/>
      <c r="CU123" s="113">
        <f t="shared" si="134"/>
        <v>0</v>
      </c>
      <c r="CV123" s="113"/>
      <c r="CW123" s="113">
        <f t="shared" si="145"/>
        <v>0</v>
      </c>
      <c r="CX123" s="113"/>
      <c r="CY123" s="113"/>
      <c r="CZ123" s="113"/>
      <c r="DA123" s="113"/>
      <c r="DB123" s="113">
        <f t="shared" si="135"/>
        <v>0</v>
      </c>
      <c r="DC123" s="113">
        <f t="shared" si="135"/>
        <v>0</v>
      </c>
      <c r="DD123" s="113"/>
      <c r="DE123" s="113"/>
      <c r="DF123" s="113"/>
      <c r="DG123" s="113"/>
      <c r="DH123" s="113">
        <f t="shared" si="136"/>
        <v>0</v>
      </c>
      <c r="DI123" s="113">
        <f t="shared" si="136"/>
        <v>0</v>
      </c>
      <c r="DJ123" s="113"/>
      <c r="DK123" s="113"/>
      <c r="DL123" s="113"/>
      <c r="DM123" s="113"/>
      <c r="DN123" s="113">
        <f t="shared" si="137"/>
        <v>0</v>
      </c>
      <c r="DO123" s="113">
        <f t="shared" si="137"/>
        <v>0</v>
      </c>
      <c r="DP123" s="113">
        <f t="shared" si="146"/>
        <v>0</v>
      </c>
      <c r="DQ123" s="113">
        <f t="shared" si="147"/>
        <v>0</v>
      </c>
      <c r="DR123" s="113">
        <f t="shared" si="148"/>
        <v>0</v>
      </c>
      <c r="DS123" s="113">
        <f t="shared" si="149"/>
        <v>0</v>
      </c>
      <c r="DT123" s="113">
        <f t="shared" si="138"/>
        <v>0</v>
      </c>
      <c r="DU123" s="113">
        <f t="shared" si="138"/>
        <v>0</v>
      </c>
    </row>
    <row r="124" spans="1:125">
      <c r="A124" s="15">
        <v>119</v>
      </c>
      <c r="B124" s="96" t="s">
        <v>913</v>
      </c>
      <c r="C124" s="7" t="s">
        <v>70</v>
      </c>
      <c r="D124" s="96" t="s">
        <v>934</v>
      </c>
      <c r="E124" s="185" t="s">
        <v>1164</v>
      </c>
      <c r="F124" s="161">
        <f t="shared" si="100"/>
        <v>0</v>
      </c>
      <c r="G124" s="161">
        <f t="shared" si="119"/>
        <v>0</v>
      </c>
      <c r="H124" s="161">
        <f t="shared" si="120"/>
        <v>0</v>
      </c>
      <c r="I124" s="161">
        <f t="shared" si="107"/>
        <v>0</v>
      </c>
      <c r="J124" s="165">
        <f t="shared" si="101"/>
        <v>18873.75</v>
      </c>
      <c r="K124" s="115"/>
      <c r="L124" s="211">
        <v>0</v>
      </c>
      <c r="M124" s="211">
        <v>0</v>
      </c>
      <c r="N124" s="127">
        <f t="shared" si="102"/>
        <v>18873.75</v>
      </c>
      <c r="O124" s="127">
        <f t="shared" si="103"/>
        <v>18873.75</v>
      </c>
      <c r="P124" s="127">
        <f t="shared" si="104"/>
        <v>18873.75</v>
      </c>
      <c r="Q124" s="131">
        <f t="shared" si="121"/>
        <v>0</v>
      </c>
      <c r="R124" s="125">
        <f t="shared" si="105"/>
        <v>18873.75</v>
      </c>
      <c r="S124" s="113">
        <v>0</v>
      </c>
      <c r="T124" s="113">
        <v>18873.75</v>
      </c>
      <c r="U124" s="113">
        <f t="shared" si="106"/>
        <v>0</v>
      </c>
      <c r="V124" s="113">
        <f t="shared" si="97"/>
        <v>18873.75</v>
      </c>
      <c r="W124" s="113">
        <v>0</v>
      </c>
      <c r="X124" s="113">
        <v>0</v>
      </c>
      <c r="Y124" s="113">
        <v>0</v>
      </c>
      <c r="Z124" s="113">
        <v>0</v>
      </c>
      <c r="AA124" s="113">
        <f t="shared" si="122"/>
        <v>0</v>
      </c>
      <c r="AB124" s="113">
        <f t="shared" si="122"/>
        <v>0</v>
      </c>
      <c r="AC124" s="113"/>
      <c r="AD124" s="113"/>
      <c r="AE124" s="113"/>
      <c r="AF124" s="113"/>
      <c r="AG124" s="113">
        <f t="shared" si="123"/>
        <v>0</v>
      </c>
      <c r="AH124" s="113">
        <f t="shared" si="123"/>
        <v>0</v>
      </c>
      <c r="AI124" s="114">
        <f t="shared" si="98"/>
        <v>0</v>
      </c>
      <c r="AJ124" s="114">
        <f t="shared" si="124"/>
        <v>0</v>
      </c>
      <c r="AK124" s="114">
        <f t="shared" si="124"/>
        <v>18873.75</v>
      </c>
      <c r="AL124" s="114">
        <f t="shared" si="99"/>
        <v>18873.75</v>
      </c>
      <c r="AM124" s="113">
        <f t="shared" si="125"/>
        <v>18873.75</v>
      </c>
      <c r="AN124" s="113">
        <f t="shared" si="125"/>
        <v>18873.75</v>
      </c>
      <c r="AO124" s="113"/>
      <c r="AP124" s="113"/>
      <c r="AQ124" s="113"/>
      <c r="AR124" s="113"/>
      <c r="AS124" s="113">
        <f t="shared" si="126"/>
        <v>0</v>
      </c>
      <c r="AT124" s="113">
        <f t="shared" si="126"/>
        <v>0</v>
      </c>
      <c r="AU124" s="113"/>
      <c r="AV124" s="113"/>
      <c r="AW124" s="113"/>
      <c r="AX124" s="113"/>
      <c r="AY124" s="113">
        <f t="shared" si="127"/>
        <v>0</v>
      </c>
      <c r="AZ124" s="113">
        <f t="shared" si="127"/>
        <v>0</v>
      </c>
      <c r="BA124" s="113"/>
      <c r="BB124" s="113"/>
      <c r="BC124" s="113"/>
      <c r="BD124" s="113"/>
      <c r="BE124" s="113">
        <f t="shared" si="128"/>
        <v>0</v>
      </c>
      <c r="BF124" s="113"/>
      <c r="BG124" s="113">
        <f t="shared" si="139"/>
        <v>0</v>
      </c>
      <c r="BH124" s="113"/>
      <c r="BI124" s="113"/>
      <c r="BJ124" s="113"/>
      <c r="BK124" s="113"/>
      <c r="BL124" s="113">
        <f t="shared" si="129"/>
        <v>0</v>
      </c>
      <c r="BM124" s="113"/>
      <c r="BN124" s="113">
        <f t="shared" si="140"/>
        <v>0</v>
      </c>
      <c r="BO124" s="113"/>
      <c r="BP124" s="113"/>
      <c r="BQ124" s="113"/>
      <c r="BR124" s="113"/>
      <c r="BS124" s="113">
        <f t="shared" si="130"/>
        <v>0</v>
      </c>
      <c r="BT124" s="113"/>
      <c r="BU124" s="113">
        <f t="shared" si="141"/>
        <v>0</v>
      </c>
      <c r="BV124" s="113"/>
      <c r="BW124" s="113"/>
      <c r="BX124" s="113"/>
      <c r="BY124" s="113"/>
      <c r="BZ124" s="113">
        <f t="shared" si="131"/>
        <v>0</v>
      </c>
      <c r="CA124" s="113"/>
      <c r="CB124" s="113">
        <f t="shared" si="142"/>
        <v>0</v>
      </c>
      <c r="CC124" s="113"/>
      <c r="CD124" s="113"/>
      <c r="CE124" s="113"/>
      <c r="CF124" s="113"/>
      <c r="CG124" s="113">
        <f t="shared" si="132"/>
        <v>0</v>
      </c>
      <c r="CH124" s="113"/>
      <c r="CI124" s="113">
        <f t="shared" si="143"/>
        <v>0</v>
      </c>
      <c r="CJ124" s="113"/>
      <c r="CK124" s="113"/>
      <c r="CL124" s="113"/>
      <c r="CM124" s="113"/>
      <c r="CN124" s="113">
        <f t="shared" si="133"/>
        <v>0</v>
      </c>
      <c r="CO124" s="113"/>
      <c r="CP124" s="113">
        <f t="shared" si="144"/>
        <v>0</v>
      </c>
      <c r="CQ124" s="113"/>
      <c r="CR124" s="113"/>
      <c r="CS124" s="113"/>
      <c r="CT124" s="113"/>
      <c r="CU124" s="113">
        <f t="shared" si="134"/>
        <v>0</v>
      </c>
      <c r="CV124" s="113"/>
      <c r="CW124" s="113">
        <f t="shared" si="145"/>
        <v>0</v>
      </c>
      <c r="CX124" s="113"/>
      <c r="CY124" s="113"/>
      <c r="CZ124" s="113"/>
      <c r="DA124" s="113"/>
      <c r="DB124" s="113">
        <f t="shared" si="135"/>
        <v>0</v>
      </c>
      <c r="DC124" s="113">
        <f t="shared" si="135"/>
        <v>0</v>
      </c>
      <c r="DD124" s="113"/>
      <c r="DE124" s="113"/>
      <c r="DF124" s="113"/>
      <c r="DG124" s="113"/>
      <c r="DH124" s="113">
        <f t="shared" si="136"/>
        <v>0</v>
      </c>
      <c r="DI124" s="113">
        <f t="shared" si="136"/>
        <v>0</v>
      </c>
      <c r="DJ124" s="113"/>
      <c r="DK124" s="113"/>
      <c r="DL124" s="113"/>
      <c r="DM124" s="113"/>
      <c r="DN124" s="113">
        <f t="shared" si="137"/>
        <v>0</v>
      </c>
      <c r="DO124" s="113">
        <f t="shared" si="137"/>
        <v>0</v>
      </c>
      <c r="DP124" s="113">
        <f t="shared" si="146"/>
        <v>0</v>
      </c>
      <c r="DQ124" s="113">
        <f t="shared" si="147"/>
        <v>0</v>
      </c>
      <c r="DR124" s="113">
        <f t="shared" si="148"/>
        <v>0</v>
      </c>
      <c r="DS124" s="113">
        <f t="shared" si="149"/>
        <v>0</v>
      </c>
      <c r="DT124" s="113">
        <f t="shared" si="138"/>
        <v>0</v>
      </c>
      <c r="DU124" s="113">
        <f t="shared" si="138"/>
        <v>0</v>
      </c>
    </row>
    <row r="125" spans="1:125">
      <c r="A125" s="15">
        <v>121</v>
      </c>
      <c r="B125" s="96" t="s">
        <v>913</v>
      </c>
      <c r="C125" s="7" t="s">
        <v>935</v>
      </c>
      <c r="D125" s="96" t="s">
        <v>936</v>
      </c>
      <c r="E125" s="185" t="s">
        <v>1164</v>
      </c>
      <c r="F125" s="161">
        <f t="shared" si="100"/>
        <v>0</v>
      </c>
      <c r="G125" s="161">
        <f t="shared" si="119"/>
        <v>0</v>
      </c>
      <c r="H125" s="161">
        <f t="shared" si="120"/>
        <v>0</v>
      </c>
      <c r="I125" s="161">
        <f t="shared" si="107"/>
        <v>0</v>
      </c>
      <c r="J125" s="165">
        <f t="shared" si="101"/>
        <v>0</v>
      </c>
      <c r="K125" s="115"/>
      <c r="L125" s="211">
        <v>0</v>
      </c>
      <c r="M125" s="211">
        <v>0</v>
      </c>
      <c r="N125" s="127">
        <f t="shared" si="102"/>
        <v>0</v>
      </c>
      <c r="O125" s="127">
        <f t="shared" si="103"/>
        <v>0</v>
      </c>
      <c r="P125" s="127">
        <f t="shared" si="104"/>
        <v>0</v>
      </c>
      <c r="Q125" s="131">
        <f t="shared" si="121"/>
        <v>0</v>
      </c>
      <c r="R125" s="125" t="str">
        <f t="shared" si="105"/>
        <v>ნულოვანი შესრულება</v>
      </c>
      <c r="S125" s="113">
        <v>0</v>
      </c>
      <c r="T125" s="113"/>
      <c r="U125" s="113">
        <f t="shared" si="106"/>
        <v>0</v>
      </c>
      <c r="V125" s="113">
        <f t="shared" si="97"/>
        <v>0</v>
      </c>
      <c r="W125" s="113">
        <v>0</v>
      </c>
      <c r="X125" s="113">
        <v>0</v>
      </c>
      <c r="Y125" s="113">
        <v>0</v>
      </c>
      <c r="Z125" s="113">
        <v>0</v>
      </c>
      <c r="AA125" s="113">
        <f t="shared" si="122"/>
        <v>0</v>
      </c>
      <c r="AB125" s="113">
        <f t="shared" si="122"/>
        <v>0</v>
      </c>
      <c r="AC125" s="113"/>
      <c r="AD125" s="113"/>
      <c r="AE125" s="113"/>
      <c r="AF125" s="113"/>
      <c r="AG125" s="113">
        <f t="shared" si="123"/>
        <v>0</v>
      </c>
      <c r="AH125" s="113">
        <f t="shared" si="123"/>
        <v>0</v>
      </c>
      <c r="AI125" s="114">
        <f t="shared" si="98"/>
        <v>0</v>
      </c>
      <c r="AJ125" s="114">
        <f t="shared" si="124"/>
        <v>0</v>
      </c>
      <c r="AK125" s="114">
        <f t="shared" si="124"/>
        <v>0</v>
      </c>
      <c r="AL125" s="114">
        <f t="shared" si="99"/>
        <v>0</v>
      </c>
      <c r="AM125" s="113">
        <f t="shared" si="125"/>
        <v>0</v>
      </c>
      <c r="AN125" s="113">
        <f t="shared" si="125"/>
        <v>0</v>
      </c>
      <c r="AO125" s="113"/>
      <c r="AP125" s="113"/>
      <c r="AQ125" s="113"/>
      <c r="AR125" s="113"/>
      <c r="AS125" s="113">
        <f t="shared" si="126"/>
        <v>0</v>
      </c>
      <c r="AT125" s="113">
        <f t="shared" si="126"/>
        <v>0</v>
      </c>
      <c r="AU125" s="113"/>
      <c r="AV125" s="113"/>
      <c r="AW125" s="113"/>
      <c r="AX125" s="113"/>
      <c r="AY125" s="113">
        <f t="shared" si="127"/>
        <v>0</v>
      </c>
      <c r="AZ125" s="113">
        <f t="shared" si="127"/>
        <v>0</v>
      </c>
      <c r="BA125" s="113"/>
      <c r="BB125" s="113"/>
      <c r="BC125" s="113"/>
      <c r="BD125" s="113"/>
      <c r="BE125" s="113">
        <f t="shared" si="128"/>
        <v>0</v>
      </c>
      <c r="BF125" s="113"/>
      <c r="BG125" s="113">
        <f t="shared" si="139"/>
        <v>0</v>
      </c>
      <c r="BH125" s="113"/>
      <c r="BI125" s="113"/>
      <c r="BJ125" s="113"/>
      <c r="BK125" s="113"/>
      <c r="BL125" s="113">
        <f t="shared" si="129"/>
        <v>0</v>
      </c>
      <c r="BM125" s="113"/>
      <c r="BN125" s="113">
        <f t="shared" si="140"/>
        <v>0</v>
      </c>
      <c r="BO125" s="113"/>
      <c r="BP125" s="113"/>
      <c r="BQ125" s="113"/>
      <c r="BR125" s="113"/>
      <c r="BS125" s="113">
        <f t="shared" si="130"/>
        <v>0</v>
      </c>
      <c r="BT125" s="113"/>
      <c r="BU125" s="113">
        <f t="shared" si="141"/>
        <v>0</v>
      </c>
      <c r="BV125" s="113"/>
      <c r="BW125" s="113"/>
      <c r="BX125" s="113"/>
      <c r="BY125" s="113"/>
      <c r="BZ125" s="113">
        <f t="shared" si="131"/>
        <v>0</v>
      </c>
      <c r="CA125" s="113"/>
      <c r="CB125" s="113">
        <f t="shared" si="142"/>
        <v>0</v>
      </c>
      <c r="CC125" s="113"/>
      <c r="CD125" s="113"/>
      <c r="CE125" s="113"/>
      <c r="CF125" s="113"/>
      <c r="CG125" s="113">
        <f t="shared" si="132"/>
        <v>0</v>
      </c>
      <c r="CH125" s="113"/>
      <c r="CI125" s="113">
        <f t="shared" si="143"/>
        <v>0</v>
      </c>
      <c r="CJ125" s="113"/>
      <c r="CK125" s="113"/>
      <c r="CL125" s="113"/>
      <c r="CM125" s="113"/>
      <c r="CN125" s="113">
        <f t="shared" si="133"/>
        <v>0</v>
      </c>
      <c r="CO125" s="113"/>
      <c r="CP125" s="113">
        <f t="shared" si="144"/>
        <v>0</v>
      </c>
      <c r="CQ125" s="113"/>
      <c r="CR125" s="113"/>
      <c r="CS125" s="113"/>
      <c r="CT125" s="113"/>
      <c r="CU125" s="113">
        <f t="shared" si="134"/>
        <v>0</v>
      </c>
      <c r="CV125" s="113"/>
      <c r="CW125" s="113">
        <f t="shared" si="145"/>
        <v>0</v>
      </c>
      <c r="CX125" s="113"/>
      <c r="CY125" s="113"/>
      <c r="CZ125" s="113"/>
      <c r="DA125" s="113"/>
      <c r="DB125" s="113">
        <f t="shared" si="135"/>
        <v>0</v>
      </c>
      <c r="DC125" s="113">
        <f t="shared" si="135"/>
        <v>0</v>
      </c>
      <c r="DD125" s="113"/>
      <c r="DE125" s="113"/>
      <c r="DF125" s="113"/>
      <c r="DG125" s="113"/>
      <c r="DH125" s="113">
        <f t="shared" si="136"/>
        <v>0</v>
      </c>
      <c r="DI125" s="113">
        <f t="shared" si="136"/>
        <v>0</v>
      </c>
      <c r="DJ125" s="113"/>
      <c r="DK125" s="113"/>
      <c r="DL125" s="113"/>
      <c r="DM125" s="113"/>
      <c r="DN125" s="113">
        <f t="shared" si="137"/>
        <v>0</v>
      </c>
      <c r="DO125" s="113">
        <f t="shared" si="137"/>
        <v>0</v>
      </c>
      <c r="DP125" s="113">
        <f t="shared" si="146"/>
        <v>0</v>
      </c>
      <c r="DQ125" s="113">
        <f t="shared" si="147"/>
        <v>0</v>
      </c>
      <c r="DR125" s="113">
        <f t="shared" si="148"/>
        <v>0</v>
      </c>
      <c r="DS125" s="113">
        <f t="shared" si="149"/>
        <v>0</v>
      </c>
      <c r="DT125" s="113">
        <f t="shared" si="138"/>
        <v>0</v>
      </c>
      <c r="DU125" s="113">
        <f t="shared" si="138"/>
        <v>0</v>
      </c>
    </row>
    <row r="126" spans="1:125" s="323" customFormat="1">
      <c r="A126" s="318">
        <v>122</v>
      </c>
      <c r="B126" s="319" t="s">
        <v>913</v>
      </c>
      <c r="C126" s="320" t="s">
        <v>935</v>
      </c>
      <c r="D126" s="319" t="s">
        <v>937</v>
      </c>
      <c r="E126" s="319" t="s">
        <v>1165</v>
      </c>
      <c r="F126" s="255">
        <f t="shared" si="100"/>
        <v>0</v>
      </c>
      <c r="G126" s="255">
        <f t="shared" si="119"/>
        <v>0</v>
      </c>
      <c r="H126" s="161">
        <f t="shared" si="120"/>
        <v>0</v>
      </c>
      <c r="I126" s="161">
        <f t="shared" si="107"/>
        <v>0</v>
      </c>
      <c r="J126" s="256">
        <f t="shared" si="101"/>
        <v>0</v>
      </c>
      <c r="K126" s="321">
        <v>221616</v>
      </c>
      <c r="L126" s="211">
        <v>0</v>
      </c>
      <c r="M126" s="211">
        <v>0</v>
      </c>
      <c r="N126" s="127">
        <f t="shared" si="102"/>
        <v>0</v>
      </c>
      <c r="O126" s="127">
        <f t="shared" si="103"/>
        <v>0</v>
      </c>
      <c r="P126" s="255">
        <f t="shared" si="104"/>
        <v>0</v>
      </c>
      <c r="Q126" s="255">
        <f t="shared" si="121"/>
        <v>0</v>
      </c>
      <c r="R126" s="255" t="str">
        <f t="shared" si="105"/>
        <v>ნულოვანი შესრულება</v>
      </c>
      <c r="S126" s="113">
        <v>0</v>
      </c>
      <c r="T126" s="113"/>
      <c r="U126" s="113">
        <f t="shared" si="106"/>
        <v>0</v>
      </c>
      <c r="V126" s="113">
        <f t="shared" si="97"/>
        <v>0</v>
      </c>
      <c r="W126" s="113">
        <v>0</v>
      </c>
      <c r="X126" s="113">
        <v>0</v>
      </c>
      <c r="Y126" s="113">
        <v>0</v>
      </c>
      <c r="Z126" s="113">
        <v>0</v>
      </c>
      <c r="AA126" s="113">
        <f t="shared" si="122"/>
        <v>0</v>
      </c>
      <c r="AB126" s="113">
        <f t="shared" si="122"/>
        <v>0</v>
      </c>
      <c r="AC126" s="113"/>
      <c r="AD126" s="113"/>
      <c r="AE126" s="113"/>
      <c r="AF126" s="113"/>
      <c r="AG126" s="113">
        <f t="shared" si="123"/>
        <v>0</v>
      </c>
      <c r="AH126" s="113">
        <f t="shared" si="123"/>
        <v>0</v>
      </c>
      <c r="AI126" s="114">
        <f t="shared" si="98"/>
        <v>0</v>
      </c>
      <c r="AJ126" s="114">
        <f t="shared" si="124"/>
        <v>0</v>
      </c>
      <c r="AK126" s="114">
        <f t="shared" si="124"/>
        <v>0</v>
      </c>
      <c r="AL126" s="114">
        <f t="shared" si="99"/>
        <v>0</v>
      </c>
      <c r="AM126" s="113">
        <f t="shared" si="125"/>
        <v>0</v>
      </c>
      <c r="AN126" s="113">
        <f t="shared" si="125"/>
        <v>0</v>
      </c>
      <c r="AO126" s="322"/>
      <c r="AP126" s="322"/>
      <c r="AQ126" s="322"/>
      <c r="AR126" s="322"/>
      <c r="AS126" s="322">
        <f t="shared" si="126"/>
        <v>0</v>
      </c>
      <c r="AT126" s="322">
        <f t="shared" si="126"/>
        <v>0</v>
      </c>
      <c r="AU126" s="322"/>
      <c r="AV126" s="322"/>
      <c r="AW126" s="322"/>
      <c r="AX126" s="322"/>
      <c r="AY126" s="322">
        <f t="shared" si="127"/>
        <v>0</v>
      </c>
      <c r="AZ126" s="322">
        <f t="shared" si="127"/>
        <v>0</v>
      </c>
      <c r="BA126" s="322"/>
      <c r="BB126" s="322"/>
      <c r="BC126" s="322"/>
      <c r="BD126" s="322"/>
      <c r="BE126" s="322">
        <f t="shared" si="128"/>
        <v>0</v>
      </c>
      <c r="BF126" s="322"/>
      <c r="BG126" s="322">
        <f t="shared" si="139"/>
        <v>0</v>
      </c>
      <c r="BH126" s="322"/>
      <c r="BI126" s="322"/>
      <c r="BJ126" s="322"/>
      <c r="BK126" s="322"/>
      <c r="BL126" s="322">
        <f t="shared" si="129"/>
        <v>0</v>
      </c>
      <c r="BM126" s="322"/>
      <c r="BN126" s="322">
        <f t="shared" si="140"/>
        <v>0</v>
      </c>
      <c r="BO126" s="322"/>
      <c r="BP126" s="322"/>
      <c r="BQ126" s="322"/>
      <c r="BR126" s="322"/>
      <c r="BS126" s="322">
        <f t="shared" si="130"/>
        <v>0</v>
      </c>
      <c r="BT126" s="322"/>
      <c r="BU126" s="322">
        <f t="shared" si="141"/>
        <v>0</v>
      </c>
      <c r="BV126" s="322"/>
      <c r="BW126" s="322"/>
      <c r="BX126" s="322"/>
      <c r="BY126" s="322"/>
      <c r="BZ126" s="322">
        <f t="shared" si="131"/>
        <v>0</v>
      </c>
      <c r="CA126" s="322"/>
      <c r="CB126" s="322">
        <f t="shared" si="142"/>
        <v>0</v>
      </c>
      <c r="CC126" s="322"/>
      <c r="CD126" s="322"/>
      <c r="CE126" s="322"/>
      <c r="CF126" s="322"/>
      <c r="CG126" s="322">
        <f t="shared" si="132"/>
        <v>0</v>
      </c>
      <c r="CH126" s="322"/>
      <c r="CI126" s="322">
        <f t="shared" si="143"/>
        <v>0</v>
      </c>
      <c r="CJ126" s="322"/>
      <c r="CK126" s="322"/>
      <c r="CL126" s="322"/>
      <c r="CM126" s="322"/>
      <c r="CN126" s="322">
        <f t="shared" si="133"/>
        <v>0</v>
      </c>
      <c r="CO126" s="322"/>
      <c r="CP126" s="322">
        <f t="shared" si="144"/>
        <v>0</v>
      </c>
      <c r="CQ126" s="322"/>
      <c r="CR126" s="322"/>
      <c r="CS126" s="322"/>
      <c r="CT126" s="322"/>
      <c r="CU126" s="322">
        <f t="shared" si="134"/>
        <v>0</v>
      </c>
      <c r="CV126" s="322"/>
      <c r="CW126" s="322">
        <f t="shared" si="145"/>
        <v>0</v>
      </c>
      <c r="CX126" s="322"/>
      <c r="CY126" s="322"/>
      <c r="CZ126" s="322"/>
      <c r="DA126" s="322"/>
      <c r="DB126" s="322">
        <f t="shared" si="135"/>
        <v>0</v>
      </c>
      <c r="DC126" s="322">
        <f t="shared" si="135"/>
        <v>0</v>
      </c>
      <c r="DD126" s="322"/>
      <c r="DE126" s="322"/>
      <c r="DF126" s="322"/>
      <c r="DG126" s="322"/>
      <c r="DH126" s="322">
        <f t="shared" si="136"/>
        <v>0</v>
      </c>
      <c r="DI126" s="322">
        <f t="shared" si="136"/>
        <v>0</v>
      </c>
      <c r="DJ126" s="322"/>
      <c r="DK126" s="322"/>
      <c r="DL126" s="322"/>
      <c r="DM126" s="322"/>
      <c r="DN126" s="322">
        <f t="shared" si="137"/>
        <v>0</v>
      </c>
      <c r="DO126" s="322">
        <f t="shared" si="137"/>
        <v>0</v>
      </c>
      <c r="DP126" s="322">
        <f t="shared" si="146"/>
        <v>0</v>
      </c>
      <c r="DQ126" s="322">
        <f t="shared" si="147"/>
        <v>0</v>
      </c>
      <c r="DR126" s="322">
        <f t="shared" si="148"/>
        <v>0</v>
      </c>
      <c r="DS126" s="322">
        <f t="shared" si="149"/>
        <v>0</v>
      </c>
      <c r="DT126" s="322">
        <f t="shared" si="138"/>
        <v>0</v>
      </c>
      <c r="DU126" s="322">
        <f t="shared" si="138"/>
        <v>0</v>
      </c>
    </row>
    <row r="127" spans="1:125">
      <c r="A127" s="15">
        <v>123</v>
      </c>
      <c r="B127" s="96" t="s">
        <v>913</v>
      </c>
      <c r="C127" s="7" t="s">
        <v>938</v>
      </c>
      <c r="D127" s="96" t="s">
        <v>939</v>
      </c>
      <c r="E127" s="185" t="s">
        <v>1164</v>
      </c>
      <c r="F127" s="161">
        <f t="shared" si="100"/>
        <v>0</v>
      </c>
      <c r="G127" s="161">
        <f t="shared" si="119"/>
        <v>0</v>
      </c>
      <c r="H127" s="161">
        <f t="shared" si="120"/>
        <v>0</v>
      </c>
      <c r="I127" s="161">
        <f t="shared" si="107"/>
        <v>0</v>
      </c>
      <c r="J127" s="165">
        <f t="shared" si="101"/>
        <v>0</v>
      </c>
      <c r="K127" s="115"/>
      <c r="L127" s="211">
        <v>0</v>
      </c>
      <c r="M127" s="211">
        <v>0</v>
      </c>
      <c r="N127" s="127">
        <f t="shared" si="102"/>
        <v>0</v>
      </c>
      <c r="O127" s="127">
        <f t="shared" si="103"/>
        <v>0</v>
      </c>
      <c r="P127" s="127">
        <f t="shared" si="104"/>
        <v>0</v>
      </c>
      <c r="Q127" s="131">
        <f t="shared" si="121"/>
        <v>0</v>
      </c>
      <c r="R127" s="125" t="str">
        <f t="shared" si="105"/>
        <v>ნულოვანი შესრულება</v>
      </c>
      <c r="S127" s="113">
        <v>0</v>
      </c>
      <c r="T127" s="113"/>
      <c r="U127" s="113">
        <f t="shared" si="106"/>
        <v>0</v>
      </c>
      <c r="V127" s="113">
        <f t="shared" si="97"/>
        <v>0</v>
      </c>
      <c r="W127" s="113">
        <v>0</v>
      </c>
      <c r="X127" s="113">
        <v>0</v>
      </c>
      <c r="Y127" s="113">
        <v>0</v>
      </c>
      <c r="Z127" s="113">
        <v>0</v>
      </c>
      <c r="AA127" s="113">
        <f t="shared" si="122"/>
        <v>0</v>
      </c>
      <c r="AB127" s="113">
        <f t="shared" si="122"/>
        <v>0</v>
      </c>
      <c r="AC127" s="113"/>
      <c r="AD127" s="113"/>
      <c r="AE127" s="113"/>
      <c r="AF127" s="113"/>
      <c r="AG127" s="113">
        <f t="shared" si="123"/>
        <v>0</v>
      </c>
      <c r="AH127" s="113">
        <f t="shared" si="123"/>
        <v>0</v>
      </c>
      <c r="AI127" s="114">
        <f t="shared" si="98"/>
        <v>0</v>
      </c>
      <c r="AJ127" s="114">
        <f t="shared" si="124"/>
        <v>0</v>
      </c>
      <c r="AK127" s="114">
        <f t="shared" si="124"/>
        <v>0</v>
      </c>
      <c r="AL127" s="114">
        <f t="shared" si="99"/>
        <v>0</v>
      </c>
      <c r="AM127" s="113">
        <f t="shared" si="125"/>
        <v>0</v>
      </c>
      <c r="AN127" s="113">
        <f t="shared" si="125"/>
        <v>0</v>
      </c>
      <c r="AO127" s="113"/>
      <c r="AP127" s="113"/>
      <c r="AQ127" s="113"/>
      <c r="AR127" s="113"/>
      <c r="AS127" s="113">
        <f t="shared" si="126"/>
        <v>0</v>
      </c>
      <c r="AT127" s="113">
        <f t="shared" si="126"/>
        <v>0</v>
      </c>
      <c r="AU127" s="113"/>
      <c r="AV127" s="113"/>
      <c r="AW127" s="113"/>
      <c r="AX127" s="113"/>
      <c r="AY127" s="113">
        <f t="shared" si="127"/>
        <v>0</v>
      </c>
      <c r="AZ127" s="113">
        <f t="shared" si="127"/>
        <v>0</v>
      </c>
      <c r="BA127" s="113"/>
      <c r="BB127" s="113"/>
      <c r="BC127" s="113"/>
      <c r="BD127" s="113"/>
      <c r="BE127" s="113">
        <f t="shared" si="128"/>
        <v>0</v>
      </c>
      <c r="BF127" s="113"/>
      <c r="BG127" s="113">
        <f t="shared" si="139"/>
        <v>0</v>
      </c>
      <c r="BH127" s="113"/>
      <c r="BI127" s="113"/>
      <c r="BJ127" s="113"/>
      <c r="BK127" s="113"/>
      <c r="BL127" s="113">
        <f t="shared" si="129"/>
        <v>0</v>
      </c>
      <c r="BM127" s="113"/>
      <c r="BN127" s="113">
        <f t="shared" si="140"/>
        <v>0</v>
      </c>
      <c r="BO127" s="113"/>
      <c r="BP127" s="113"/>
      <c r="BQ127" s="113"/>
      <c r="BR127" s="113"/>
      <c r="BS127" s="113">
        <f t="shared" si="130"/>
        <v>0</v>
      </c>
      <c r="BT127" s="113"/>
      <c r="BU127" s="113">
        <f t="shared" si="141"/>
        <v>0</v>
      </c>
      <c r="BV127" s="113"/>
      <c r="BW127" s="113"/>
      <c r="BX127" s="113"/>
      <c r="BY127" s="113"/>
      <c r="BZ127" s="113">
        <f t="shared" si="131"/>
        <v>0</v>
      </c>
      <c r="CA127" s="113"/>
      <c r="CB127" s="113">
        <f t="shared" si="142"/>
        <v>0</v>
      </c>
      <c r="CC127" s="113"/>
      <c r="CD127" s="113"/>
      <c r="CE127" s="113"/>
      <c r="CF127" s="113"/>
      <c r="CG127" s="113">
        <f t="shared" si="132"/>
        <v>0</v>
      </c>
      <c r="CH127" s="113"/>
      <c r="CI127" s="113">
        <f t="shared" si="143"/>
        <v>0</v>
      </c>
      <c r="CJ127" s="113"/>
      <c r="CK127" s="113"/>
      <c r="CL127" s="113"/>
      <c r="CM127" s="113"/>
      <c r="CN127" s="113">
        <f t="shared" si="133"/>
        <v>0</v>
      </c>
      <c r="CO127" s="113"/>
      <c r="CP127" s="113">
        <f t="shared" si="144"/>
        <v>0</v>
      </c>
      <c r="CQ127" s="113"/>
      <c r="CR127" s="113"/>
      <c r="CS127" s="113"/>
      <c r="CT127" s="113"/>
      <c r="CU127" s="113">
        <f t="shared" si="134"/>
        <v>0</v>
      </c>
      <c r="CV127" s="113"/>
      <c r="CW127" s="113">
        <f t="shared" si="145"/>
        <v>0</v>
      </c>
      <c r="CX127" s="113"/>
      <c r="CY127" s="113"/>
      <c r="CZ127" s="113"/>
      <c r="DA127" s="113"/>
      <c r="DB127" s="113">
        <f t="shared" si="135"/>
        <v>0</v>
      </c>
      <c r="DC127" s="113">
        <f t="shared" si="135"/>
        <v>0</v>
      </c>
      <c r="DD127" s="113"/>
      <c r="DE127" s="113"/>
      <c r="DF127" s="113"/>
      <c r="DG127" s="113"/>
      <c r="DH127" s="113">
        <f t="shared" si="136"/>
        <v>0</v>
      </c>
      <c r="DI127" s="113">
        <f t="shared" si="136"/>
        <v>0</v>
      </c>
      <c r="DJ127" s="113"/>
      <c r="DK127" s="113"/>
      <c r="DL127" s="113"/>
      <c r="DM127" s="113"/>
      <c r="DN127" s="113">
        <f t="shared" si="137"/>
        <v>0</v>
      </c>
      <c r="DO127" s="113">
        <f t="shared" si="137"/>
        <v>0</v>
      </c>
      <c r="DP127" s="113">
        <f t="shared" si="146"/>
        <v>0</v>
      </c>
      <c r="DQ127" s="113">
        <f t="shared" si="147"/>
        <v>0</v>
      </c>
      <c r="DR127" s="113">
        <f t="shared" si="148"/>
        <v>0</v>
      </c>
      <c r="DS127" s="113">
        <f t="shared" si="149"/>
        <v>0</v>
      </c>
      <c r="DT127" s="113">
        <f t="shared" si="138"/>
        <v>0</v>
      </c>
      <c r="DU127" s="113">
        <f t="shared" si="138"/>
        <v>0</v>
      </c>
    </row>
    <row r="128" spans="1:125" s="323" customFormat="1">
      <c r="A128" s="318">
        <v>124</v>
      </c>
      <c r="B128" s="319" t="s">
        <v>913</v>
      </c>
      <c r="C128" s="320" t="s">
        <v>938</v>
      </c>
      <c r="D128" s="319" t="s">
        <v>940</v>
      </c>
      <c r="E128" s="319" t="s">
        <v>1165</v>
      </c>
      <c r="F128" s="255">
        <f t="shared" si="100"/>
        <v>0</v>
      </c>
      <c r="G128" s="255">
        <f t="shared" si="119"/>
        <v>0</v>
      </c>
      <c r="H128" s="161">
        <f t="shared" si="120"/>
        <v>0</v>
      </c>
      <c r="I128" s="161">
        <f t="shared" si="107"/>
        <v>0</v>
      </c>
      <c r="J128" s="256">
        <f t="shared" si="101"/>
        <v>0</v>
      </c>
      <c r="K128" s="321">
        <v>101250</v>
      </c>
      <c r="L128" s="211">
        <v>0</v>
      </c>
      <c r="M128" s="211">
        <v>0</v>
      </c>
      <c r="N128" s="127">
        <f t="shared" si="102"/>
        <v>0</v>
      </c>
      <c r="O128" s="127">
        <f t="shared" si="103"/>
        <v>0</v>
      </c>
      <c r="P128" s="255">
        <f t="shared" si="104"/>
        <v>0</v>
      </c>
      <c r="Q128" s="255">
        <f t="shared" si="121"/>
        <v>0</v>
      </c>
      <c r="R128" s="255" t="str">
        <f t="shared" si="105"/>
        <v>ნულოვანი შესრულება</v>
      </c>
      <c r="S128" s="113">
        <v>0</v>
      </c>
      <c r="T128" s="113"/>
      <c r="U128" s="113">
        <f t="shared" si="106"/>
        <v>0</v>
      </c>
      <c r="V128" s="113">
        <f t="shared" si="97"/>
        <v>0</v>
      </c>
      <c r="W128" s="113">
        <v>0</v>
      </c>
      <c r="X128" s="113">
        <v>0</v>
      </c>
      <c r="Y128" s="113">
        <v>0</v>
      </c>
      <c r="Z128" s="113">
        <v>0</v>
      </c>
      <c r="AA128" s="113">
        <f t="shared" si="122"/>
        <v>0</v>
      </c>
      <c r="AB128" s="113">
        <f t="shared" si="122"/>
        <v>0</v>
      </c>
      <c r="AC128" s="113"/>
      <c r="AD128" s="113"/>
      <c r="AE128" s="113"/>
      <c r="AF128" s="113"/>
      <c r="AG128" s="113">
        <f t="shared" si="123"/>
        <v>0</v>
      </c>
      <c r="AH128" s="113">
        <f t="shared" si="123"/>
        <v>0</v>
      </c>
      <c r="AI128" s="114">
        <f t="shared" si="98"/>
        <v>0</v>
      </c>
      <c r="AJ128" s="114">
        <f t="shared" si="124"/>
        <v>0</v>
      </c>
      <c r="AK128" s="114">
        <f t="shared" si="124"/>
        <v>0</v>
      </c>
      <c r="AL128" s="114">
        <f t="shared" si="99"/>
        <v>0</v>
      </c>
      <c r="AM128" s="113">
        <f t="shared" si="125"/>
        <v>0</v>
      </c>
      <c r="AN128" s="113">
        <f t="shared" si="125"/>
        <v>0</v>
      </c>
      <c r="AO128" s="322"/>
      <c r="AP128" s="322"/>
      <c r="AQ128" s="322"/>
      <c r="AR128" s="322"/>
      <c r="AS128" s="322">
        <f t="shared" si="126"/>
        <v>0</v>
      </c>
      <c r="AT128" s="322">
        <f t="shared" si="126"/>
        <v>0</v>
      </c>
      <c r="AU128" s="322"/>
      <c r="AV128" s="322"/>
      <c r="AW128" s="322"/>
      <c r="AX128" s="322"/>
      <c r="AY128" s="322">
        <f t="shared" si="127"/>
        <v>0</v>
      </c>
      <c r="AZ128" s="322">
        <f t="shared" si="127"/>
        <v>0</v>
      </c>
      <c r="BA128" s="322"/>
      <c r="BB128" s="322"/>
      <c r="BC128" s="322"/>
      <c r="BD128" s="322"/>
      <c r="BE128" s="322">
        <f t="shared" si="128"/>
        <v>0</v>
      </c>
      <c r="BF128" s="322"/>
      <c r="BG128" s="322">
        <f t="shared" si="139"/>
        <v>0</v>
      </c>
      <c r="BH128" s="322"/>
      <c r="BI128" s="322"/>
      <c r="BJ128" s="322"/>
      <c r="BK128" s="322"/>
      <c r="BL128" s="322">
        <f t="shared" si="129"/>
        <v>0</v>
      </c>
      <c r="BM128" s="322"/>
      <c r="BN128" s="322">
        <f t="shared" si="140"/>
        <v>0</v>
      </c>
      <c r="BO128" s="322"/>
      <c r="BP128" s="322"/>
      <c r="BQ128" s="322"/>
      <c r="BR128" s="322"/>
      <c r="BS128" s="322">
        <f t="shared" si="130"/>
        <v>0</v>
      </c>
      <c r="BT128" s="322"/>
      <c r="BU128" s="322">
        <f t="shared" si="141"/>
        <v>0</v>
      </c>
      <c r="BV128" s="322"/>
      <c r="BW128" s="322"/>
      <c r="BX128" s="322"/>
      <c r="BY128" s="322"/>
      <c r="BZ128" s="322">
        <f t="shared" si="131"/>
        <v>0</v>
      </c>
      <c r="CA128" s="322"/>
      <c r="CB128" s="322">
        <f t="shared" si="142"/>
        <v>0</v>
      </c>
      <c r="CC128" s="322"/>
      <c r="CD128" s="322"/>
      <c r="CE128" s="322"/>
      <c r="CF128" s="322"/>
      <c r="CG128" s="322">
        <f t="shared" si="132"/>
        <v>0</v>
      </c>
      <c r="CH128" s="322"/>
      <c r="CI128" s="322">
        <f t="shared" si="143"/>
        <v>0</v>
      </c>
      <c r="CJ128" s="322"/>
      <c r="CK128" s="322"/>
      <c r="CL128" s="322"/>
      <c r="CM128" s="322"/>
      <c r="CN128" s="322">
        <f t="shared" si="133"/>
        <v>0</v>
      </c>
      <c r="CO128" s="322"/>
      <c r="CP128" s="322">
        <f t="shared" si="144"/>
        <v>0</v>
      </c>
      <c r="CQ128" s="322"/>
      <c r="CR128" s="322"/>
      <c r="CS128" s="322"/>
      <c r="CT128" s="322"/>
      <c r="CU128" s="322">
        <f t="shared" si="134"/>
        <v>0</v>
      </c>
      <c r="CV128" s="322"/>
      <c r="CW128" s="322">
        <f t="shared" si="145"/>
        <v>0</v>
      </c>
      <c r="CX128" s="322"/>
      <c r="CY128" s="322"/>
      <c r="CZ128" s="322"/>
      <c r="DA128" s="322"/>
      <c r="DB128" s="322">
        <f t="shared" si="135"/>
        <v>0</v>
      </c>
      <c r="DC128" s="322">
        <f t="shared" si="135"/>
        <v>0</v>
      </c>
      <c r="DD128" s="322"/>
      <c r="DE128" s="322"/>
      <c r="DF128" s="322"/>
      <c r="DG128" s="322"/>
      <c r="DH128" s="322">
        <f t="shared" si="136"/>
        <v>0</v>
      </c>
      <c r="DI128" s="322">
        <f t="shared" si="136"/>
        <v>0</v>
      </c>
      <c r="DJ128" s="322"/>
      <c r="DK128" s="322"/>
      <c r="DL128" s="322"/>
      <c r="DM128" s="322"/>
      <c r="DN128" s="322">
        <f t="shared" si="137"/>
        <v>0</v>
      </c>
      <c r="DO128" s="322">
        <f t="shared" si="137"/>
        <v>0</v>
      </c>
      <c r="DP128" s="322">
        <f t="shared" si="146"/>
        <v>0</v>
      </c>
      <c r="DQ128" s="322">
        <f t="shared" si="147"/>
        <v>0</v>
      </c>
      <c r="DR128" s="322">
        <f t="shared" si="148"/>
        <v>0</v>
      </c>
      <c r="DS128" s="322">
        <f t="shared" si="149"/>
        <v>0</v>
      </c>
      <c r="DT128" s="322">
        <f t="shared" si="138"/>
        <v>0</v>
      </c>
      <c r="DU128" s="322">
        <f t="shared" si="138"/>
        <v>0</v>
      </c>
    </row>
    <row r="129" spans="1:125">
      <c r="A129" s="15">
        <v>125</v>
      </c>
      <c r="B129" s="96" t="s">
        <v>913</v>
      </c>
      <c r="C129" s="7" t="s">
        <v>941</v>
      </c>
      <c r="D129" s="96" t="s">
        <v>942</v>
      </c>
      <c r="E129" s="185" t="s">
        <v>1164</v>
      </c>
      <c r="F129" s="161">
        <f t="shared" si="100"/>
        <v>0</v>
      </c>
      <c r="G129" s="161">
        <f t="shared" si="119"/>
        <v>0</v>
      </c>
      <c r="H129" s="161">
        <f t="shared" si="120"/>
        <v>0</v>
      </c>
      <c r="I129" s="161">
        <f t="shared" si="107"/>
        <v>0</v>
      </c>
      <c r="J129" s="165">
        <f t="shared" si="101"/>
        <v>4371.5</v>
      </c>
      <c r="K129" s="115"/>
      <c r="L129" s="211">
        <v>0</v>
      </c>
      <c r="M129" s="211">
        <v>0</v>
      </c>
      <c r="N129" s="127">
        <f t="shared" si="102"/>
        <v>4371.5</v>
      </c>
      <c r="O129" s="127">
        <f t="shared" si="103"/>
        <v>4371.5</v>
      </c>
      <c r="P129" s="127">
        <f t="shared" si="104"/>
        <v>4371.5</v>
      </c>
      <c r="Q129" s="131">
        <f t="shared" si="121"/>
        <v>0</v>
      </c>
      <c r="R129" s="125">
        <f t="shared" si="105"/>
        <v>4371.5</v>
      </c>
      <c r="S129" s="113">
        <v>0</v>
      </c>
      <c r="T129" s="113"/>
      <c r="U129" s="113">
        <f t="shared" si="106"/>
        <v>0</v>
      </c>
      <c r="V129" s="113">
        <f t="shared" si="97"/>
        <v>0</v>
      </c>
      <c r="W129" s="113">
        <v>0</v>
      </c>
      <c r="X129" s="113">
        <v>0</v>
      </c>
      <c r="Y129" s="113">
        <v>0</v>
      </c>
      <c r="Z129" s="113">
        <v>0</v>
      </c>
      <c r="AA129" s="113">
        <f t="shared" si="122"/>
        <v>0</v>
      </c>
      <c r="AB129" s="113">
        <f t="shared" si="122"/>
        <v>0</v>
      </c>
      <c r="AC129" s="113"/>
      <c r="AD129" s="113"/>
      <c r="AE129" s="113"/>
      <c r="AF129" s="113">
        <v>4371.5</v>
      </c>
      <c r="AG129" s="113">
        <f t="shared" si="123"/>
        <v>0</v>
      </c>
      <c r="AH129" s="113">
        <f t="shared" si="123"/>
        <v>4371.5</v>
      </c>
      <c r="AI129" s="114">
        <f t="shared" si="98"/>
        <v>0</v>
      </c>
      <c r="AJ129" s="114">
        <f t="shared" si="124"/>
        <v>0</v>
      </c>
      <c r="AK129" s="114">
        <f t="shared" si="124"/>
        <v>0</v>
      </c>
      <c r="AL129" s="114">
        <f t="shared" si="99"/>
        <v>4371.5</v>
      </c>
      <c r="AM129" s="113">
        <f t="shared" si="125"/>
        <v>0</v>
      </c>
      <c r="AN129" s="113">
        <f t="shared" si="125"/>
        <v>4371.5</v>
      </c>
      <c r="AO129" s="113"/>
      <c r="AP129" s="113"/>
      <c r="AQ129" s="113"/>
      <c r="AR129" s="113"/>
      <c r="AS129" s="113">
        <f t="shared" si="126"/>
        <v>0</v>
      </c>
      <c r="AT129" s="113">
        <f t="shared" si="126"/>
        <v>0</v>
      </c>
      <c r="AU129" s="113"/>
      <c r="AV129" s="113"/>
      <c r="AW129" s="113"/>
      <c r="AX129" s="113"/>
      <c r="AY129" s="113">
        <f t="shared" si="127"/>
        <v>0</v>
      </c>
      <c r="AZ129" s="113">
        <f t="shared" si="127"/>
        <v>0</v>
      </c>
      <c r="BA129" s="113"/>
      <c r="BB129" s="113"/>
      <c r="BC129" s="113"/>
      <c r="BD129" s="113"/>
      <c r="BE129" s="113">
        <f t="shared" si="128"/>
        <v>0</v>
      </c>
      <c r="BF129" s="113"/>
      <c r="BG129" s="113">
        <f t="shared" si="139"/>
        <v>0</v>
      </c>
      <c r="BH129" s="113"/>
      <c r="BI129" s="113"/>
      <c r="BJ129" s="113"/>
      <c r="BK129" s="113"/>
      <c r="BL129" s="113">
        <f t="shared" si="129"/>
        <v>0</v>
      </c>
      <c r="BM129" s="113"/>
      <c r="BN129" s="113">
        <f t="shared" si="140"/>
        <v>0</v>
      </c>
      <c r="BO129" s="113"/>
      <c r="BP129" s="113"/>
      <c r="BQ129" s="113"/>
      <c r="BR129" s="113"/>
      <c r="BS129" s="113">
        <f t="shared" si="130"/>
        <v>0</v>
      </c>
      <c r="BT129" s="113"/>
      <c r="BU129" s="113">
        <f t="shared" si="141"/>
        <v>0</v>
      </c>
      <c r="BV129" s="113"/>
      <c r="BW129" s="113"/>
      <c r="BX129" s="113"/>
      <c r="BY129" s="113"/>
      <c r="BZ129" s="113">
        <f t="shared" si="131"/>
        <v>0</v>
      </c>
      <c r="CA129" s="113"/>
      <c r="CB129" s="113">
        <f t="shared" si="142"/>
        <v>0</v>
      </c>
      <c r="CC129" s="113"/>
      <c r="CD129" s="113"/>
      <c r="CE129" s="113"/>
      <c r="CF129" s="113"/>
      <c r="CG129" s="113">
        <f t="shared" si="132"/>
        <v>0</v>
      </c>
      <c r="CH129" s="113"/>
      <c r="CI129" s="113">
        <f t="shared" si="143"/>
        <v>0</v>
      </c>
      <c r="CJ129" s="113"/>
      <c r="CK129" s="113"/>
      <c r="CL129" s="113"/>
      <c r="CM129" s="113"/>
      <c r="CN129" s="113">
        <f t="shared" si="133"/>
        <v>0</v>
      </c>
      <c r="CO129" s="113"/>
      <c r="CP129" s="113">
        <f t="shared" si="144"/>
        <v>0</v>
      </c>
      <c r="CQ129" s="113"/>
      <c r="CR129" s="113"/>
      <c r="CS129" s="113"/>
      <c r="CT129" s="113"/>
      <c r="CU129" s="113">
        <f t="shared" si="134"/>
        <v>0</v>
      </c>
      <c r="CV129" s="113"/>
      <c r="CW129" s="113">
        <f t="shared" si="145"/>
        <v>0</v>
      </c>
      <c r="CX129" s="113"/>
      <c r="CY129" s="113"/>
      <c r="CZ129" s="113"/>
      <c r="DA129" s="113"/>
      <c r="DB129" s="113">
        <f t="shared" si="135"/>
        <v>0</v>
      </c>
      <c r="DC129" s="113">
        <f t="shared" si="135"/>
        <v>0</v>
      </c>
      <c r="DD129" s="113"/>
      <c r="DE129" s="113"/>
      <c r="DF129" s="113"/>
      <c r="DG129" s="113"/>
      <c r="DH129" s="113">
        <f t="shared" si="136"/>
        <v>0</v>
      </c>
      <c r="DI129" s="113">
        <f t="shared" si="136"/>
        <v>0</v>
      </c>
      <c r="DJ129" s="113"/>
      <c r="DK129" s="113"/>
      <c r="DL129" s="113"/>
      <c r="DM129" s="113"/>
      <c r="DN129" s="113">
        <f t="shared" si="137"/>
        <v>0</v>
      </c>
      <c r="DO129" s="113">
        <f t="shared" si="137"/>
        <v>0</v>
      </c>
      <c r="DP129" s="113">
        <f t="shared" si="146"/>
        <v>0</v>
      </c>
      <c r="DQ129" s="113">
        <f t="shared" si="147"/>
        <v>0</v>
      </c>
      <c r="DR129" s="113">
        <f t="shared" si="148"/>
        <v>0</v>
      </c>
      <c r="DS129" s="113">
        <f t="shared" si="149"/>
        <v>0</v>
      </c>
      <c r="DT129" s="113">
        <f t="shared" si="138"/>
        <v>0</v>
      </c>
      <c r="DU129" s="113">
        <f t="shared" si="138"/>
        <v>0</v>
      </c>
    </row>
    <row r="130" spans="1:125" s="323" customFormat="1">
      <c r="A130" s="318">
        <v>126</v>
      </c>
      <c r="B130" s="319" t="s">
        <v>913</v>
      </c>
      <c r="C130" s="320" t="s">
        <v>941</v>
      </c>
      <c r="D130" s="319" t="s">
        <v>943</v>
      </c>
      <c r="E130" s="319" t="s">
        <v>1165</v>
      </c>
      <c r="F130" s="255">
        <f t="shared" si="100"/>
        <v>0</v>
      </c>
      <c r="G130" s="255">
        <f t="shared" si="119"/>
        <v>0</v>
      </c>
      <c r="H130" s="161">
        <f t="shared" si="120"/>
        <v>0</v>
      </c>
      <c r="I130" s="161">
        <f t="shared" si="107"/>
        <v>0</v>
      </c>
      <c r="J130" s="256">
        <f t="shared" si="101"/>
        <v>0</v>
      </c>
      <c r="K130" s="321">
        <v>122580</v>
      </c>
      <c r="L130" s="211">
        <v>0</v>
      </c>
      <c r="M130" s="211">
        <v>0</v>
      </c>
      <c r="N130" s="127">
        <f t="shared" si="102"/>
        <v>0</v>
      </c>
      <c r="O130" s="127">
        <f t="shared" si="103"/>
        <v>0</v>
      </c>
      <c r="P130" s="255">
        <f t="shared" si="104"/>
        <v>0</v>
      </c>
      <c r="Q130" s="255">
        <f t="shared" si="121"/>
        <v>0</v>
      </c>
      <c r="R130" s="255" t="str">
        <f t="shared" si="105"/>
        <v>ნულოვანი შესრულება</v>
      </c>
      <c r="S130" s="113">
        <v>0</v>
      </c>
      <c r="T130" s="113"/>
      <c r="U130" s="113">
        <f t="shared" si="106"/>
        <v>0</v>
      </c>
      <c r="V130" s="113">
        <f t="shared" si="97"/>
        <v>0</v>
      </c>
      <c r="W130" s="113">
        <v>0</v>
      </c>
      <c r="X130" s="113">
        <v>0</v>
      </c>
      <c r="Y130" s="113">
        <v>0</v>
      </c>
      <c r="Z130" s="113">
        <v>0</v>
      </c>
      <c r="AA130" s="113">
        <f t="shared" si="122"/>
        <v>0</v>
      </c>
      <c r="AB130" s="113">
        <f t="shared" si="122"/>
        <v>0</v>
      </c>
      <c r="AC130" s="113"/>
      <c r="AD130" s="113"/>
      <c r="AE130" s="113"/>
      <c r="AF130" s="113"/>
      <c r="AG130" s="113">
        <f t="shared" si="123"/>
        <v>0</v>
      </c>
      <c r="AH130" s="113">
        <f t="shared" si="123"/>
        <v>0</v>
      </c>
      <c r="AI130" s="114">
        <f t="shared" si="98"/>
        <v>0</v>
      </c>
      <c r="AJ130" s="114">
        <f t="shared" si="124"/>
        <v>0</v>
      </c>
      <c r="AK130" s="114">
        <f t="shared" si="124"/>
        <v>0</v>
      </c>
      <c r="AL130" s="114">
        <f t="shared" si="99"/>
        <v>0</v>
      </c>
      <c r="AM130" s="113">
        <f t="shared" si="125"/>
        <v>0</v>
      </c>
      <c r="AN130" s="113">
        <f t="shared" si="125"/>
        <v>0</v>
      </c>
      <c r="AO130" s="322"/>
      <c r="AP130" s="322"/>
      <c r="AQ130" s="322"/>
      <c r="AR130" s="322"/>
      <c r="AS130" s="322">
        <f t="shared" si="126"/>
        <v>0</v>
      </c>
      <c r="AT130" s="322">
        <f t="shared" si="126"/>
        <v>0</v>
      </c>
      <c r="AU130" s="322"/>
      <c r="AV130" s="322"/>
      <c r="AW130" s="322"/>
      <c r="AX130" s="322"/>
      <c r="AY130" s="322">
        <f t="shared" si="127"/>
        <v>0</v>
      </c>
      <c r="AZ130" s="322">
        <f t="shared" si="127"/>
        <v>0</v>
      </c>
      <c r="BA130" s="322"/>
      <c r="BB130" s="322"/>
      <c r="BC130" s="322"/>
      <c r="BD130" s="322"/>
      <c r="BE130" s="322">
        <f t="shared" si="128"/>
        <v>0</v>
      </c>
      <c r="BF130" s="322"/>
      <c r="BG130" s="322">
        <f t="shared" si="139"/>
        <v>0</v>
      </c>
      <c r="BH130" s="322"/>
      <c r="BI130" s="322"/>
      <c r="BJ130" s="322"/>
      <c r="BK130" s="322"/>
      <c r="BL130" s="322">
        <f t="shared" si="129"/>
        <v>0</v>
      </c>
      <c r="BM130" s="322"/>
      <c r="BN130" s="322">
        <f t="shared" si="140"/>
        <v>0</v>
      </c>
      <c r="BO130" s="322"/>
      <c r="BP130" s="322"/>
      <c r="BQ130" s="322"/>
      <c r="BR130" s="322"/>
      <c r="BS130" s="322">
        <f t="shared" si="130"/>
        <v>0</v>
      </c>
      <c r="BT130" s="322"/>
      <c r="BU130" s="322">
        <f t="shared" si="141"/>
        <v>0</v>
      </c>
      <c r="BV130" s="322"/>
      <c r="BW130" s="322"/>
      <c r="BX130" s="322"/>
      <c r="BY130" s="322"/>
      <c r="BZ130" s="322">
        <f t="shared" si="131"/>
        <v>0</v>
      </c>
      <c r="CA130" s="322"/>
      <c r="CB130" s="322">
        <f t="shared" si="142"/>
        <v>0</v>
      </c>
      <c r="CC130" s="322"/>
      <c r="CD130" s="322"/>
      <c r="CE130" s="322"/>
      <c r="CF130" s="322"/>
      <c r="CG130" s="322">
        <f t="shared" si="132"/>
        <v>0</v>
      </c>
      <c r="CH130" s="322"/>
      <c r="CI130" s="322">
        <f t="shared" si="143"/>
        <v>0</v>
      </c>
      <c r="CJ130" s="322"/>
      <c r="CK130" s="322"/>
      <c r="CL130" s="322"/>
      <c r="CM130" s="322"/>
      <c r="CN130" s="322">
        <f t="shared" si="133"/>
        <v>0</v>
      </c>
      <c r="CO130" s="322"/>
      <c r="CP130" s="322">
        <f t="shared" si="144"/>
        <v>0</v>
      </c>
      <c r="CQ130" s="322"/>
      <c r="CR130" s="322"/>
      <c r="CS130" s="322"/>
      <c r="CT130" s="322"/>
      <c r="CU130" s="322">
        <f t="shared" si="134"/>
        <v>0</v>
      </c>
      <c r="CV130" s="322"/>
      <c r="CW130" s="322">
        <f t="shared" si="145"/>
        <v>0</v>
      </c>
      <c r="CX130" s="322"/>
      <c r="CY130" s="322"/>
      <c r="CZ130" s="322"/>
      <c r="DA130" s="322"/>
      <c r="DB130" s="322">
        <f t="shared" si="135"/>
        <v>0</v>
      </c>
      <c r="DC130" s="322">
        <f t="shared" si="135"/>
        <v>0</v>
      </c>
      <c r="DD130" s="322"/>
      <c r="DE130" s="322"/>
      <c r="DF130" s="322"/>
      <c r="DG130" s="322"/>
      <c r="DH130" s="322">
        <f t="shared" si="136"/>
        <v>0</v>
      </c>
      <c r="DI130" s="322">
        <f t="shared" si="136"/>
        <v>0</v>
      </c>
      <c r="DJ130" s="322"/>
      <c r="DK130" s="322"/>
      <c r="DL130" s="322"/>
      <c r="DM130" s="322"/>
      <c r="DN130" s="322">
        <f t="shared" si="137"/>
        <v>0</v>
      </c>
      <c r="DO130" s="322">
        <f t="shared" si="137"/>
        <v>0</v>
      </c>
      <c r="DP130" s="322">
        <f t="shared" si="146"/>
        <v>0</v>
      </c>
      <c r="DQ130" s="322">
        <f t="shared" si="147"/>
        <v>0</v>
      </c>
      <c r="DR130" s="322">
        <f t="shared" si="148"/>
        <v>0</v>
      </c>
      <c r="DS130" s="322">
        <f t="shared" si="149"/>
        <v>0</v>
      </c>
      <c r="DT130" s="322">
        <f t="shared" si="138"/>
        <v>0</v>
      </c>
      <c r="DU130" s="322">
        <f t="shared" si="138"/>
        <v>0</v>
      </c>
    </row>
    <row r="131" spans="1:125">
      <c r="A131" s="15">
        <v>127</v>
      </c>
      <c r="B131" s="96" t="s">
        <v>913</v>
      </c>
      <c r="C131" s="7" t="s">
        <v>944</v>
      </c>
      <c r="D131" s="96" t="s">
        <v>945</v>
      </c>
      <c r="E131" s="185" t="s">
        <v>1164</v>
      </c>
      <c r="F131" s="161">
        <f t="shared" si="100"/>
        <v>0</v>
      </c>
      <c r="G131" s="161">
        <f t="shared" si="119"/>
        <v>0</v>
      </c>
      <c r="H131" s="161">
        <f t="shared" si="120"/>
        <v>0</v>
      </c>
      <c r="I131" s="161">
        <f t="shared" si="107"/>
        <v>0</v>
      </c>
      <c r="J131" s="165">
        <f t="shared" si="101"/>
        <v>0</v>
      </c>
      <c r="K131" s="115"/>
      <c r="L131" s="211">
        <v>0</v>
      </c>
      <c r="M131" s="211">
        <v>0</v>
      </c>
      <c r="N131" s="127">
        <f t="shared" si="102"/>
        <v>0</v>
      </c>
      <c r="O131" s="127">
        <f t="shared" si="103"/>
        <v>0</v>
      </c>
      <c r="P131" s="127">
        <f t="shared" si="104"/>
        <v>0</v>
      </c>
      <c r="Q131" s="131">
        <f t="shared" si="121"/>
        <v>0</v>
      </c>
      <c r="R131" s="125" t="str">
        <f t="shared" si="105"/>
        <v>ნულოვანი შესრულება</v>
      </c>
      <c r="S131" s="113">
        <v>0</v>
      </c>
      <c r="T131" s="113"/>
      <c r="U131" s="113">
        <f t="shared" si="106"/>
        <v>0</v>
      </c>
      <c r="V131" s="113">
        <f t="shared" si="97"/>
        <v>0</v>
      </c>
      <c r="W131" s="113">
        <v>0</v>
      </c>
      <c r="X131" s="113">
        <v>0</v>
      </c>
      <c r="Y131" s="113">
        <v>0</v>
      </c>
      <c r="Z131" s="113">
        <v>0</v>
      </c>
      <c r="AA131" s="113">
        <f t="shared" si="122"/>
        <v>0</v>
      </c>
      <c r="AB131" s="113">
        <f t="shared" si="122"/>
        <v>0</v>
      </c>
      <c r="AC131" s="113"/>
      <c r="AD131" s="113"/>
      <c r="AE131" s="113"/>
      <c r="AF131" s="113"/>
      <c r="AG131" s="113">
        <f t="shared" si="123"/>
        <v>0</v>
      </c>
      <c r="AH131" s="113">
        <f t="shared" si="123"/>
        <v>0</v>
      </c>
      <c r="AI131" s="114">
        <f t="shared" si="98"/>
        <v>0</v>
      </c>
      <c r="AJ131" s="114">
        <f t="shared" si="124"/>
        <v>0</v>
      </c>
      <c r="AK131" s="114">
        <f t="shared" si="124"/>
        <v>0</v>
      </c>
      <c r="AL131" s="114">
        <f t="shared" si="99"/>
        <v>0</v>
      </c>
      <c r="AM131" s="113">
        <f t="shared" si="125"/>
        <v>0</v>
      </c>
      <c r="AN131" s="113">
        <f t="shared" si="125"/>
        <v>0</v>
      </c>
      <c r="AO131" s="113"/>
      <c r="AP131" s="113"/>
      <c r="AQ131" s="113"/>
      <c r="AR131" s="113"/>
      <c r="AS131" s="113">
        <f t="shared" si="126"/>
        <v>0</v>
      </c>
      <c r="AT131" s="113">
        <f t="shared" si="126"/>
        <v>0</v>
      </c>
      <c r="AU131" s="113"/>
      <c r="AV131" s="113"/>
      <c r="AW131" s="113"/>
      <c r="AX131" s="113"/>
      <c r="AY131" s="113">
        <f t="shared" si="127"/>
        <v>0</v>
      </c>
      <c r="AZ131" s="113">
        <f t="shared" si="127"/>
        <v>0</v>
      </c>
      <c r="BA131" s="113"/>
      <c r="BB131" s="113"/>
      <c r="BC131" s="113"/>
      <c r="BD131" s="113"/>
      <c r="BE131" s="113">
        <f t="shared" si="128"/>
        <v>0</v>
      </c>
      <c r="BF131" s="113"/>
      <c r="BG131" s="113">
        <f t="shared" si="139"/>
        <v>0</v>
      </c>
      <c r="BH131" s="113"/>
      <c r="BI131" s="113"/>
      <c r="BJ131" s="113"/>
      <c r="BK131" s="113"/>
      <c r="BL131" s="113">
        <f t="shared" si="129"/>
        <v>0</v>
      </c>
      <c r="BM131" s="113"/>
      <c r="BN131" s="113">
        <f t="shared" si="140"/>
        <v>0</v>
      </c>
      <c r="BO131" s="113"/>
      <c r="BP131" s="113"/>
      <c r="BQ131" s="113"/>
      <c r="BR131" s="113"/>
      <c r="BS131" s="113">
        <f t="shared" si="130"/>
        <v>0</v>
      </c>
      <c r="BT131" s="113"/>
      <c r="BU131" s="113">
        <f t="shared" si="141"/>
        <v>0</v>
      </c>
      <c r="BV131" s="113"/>
      <c r="BW131" s="113"/>
      <c r="BX131" s="113"/>
      <c r="BY131" s="113"/>
      <c r="BZ131" s="113">
        <f t="shared" si="131"/>
        <v>0</v>
      </c>
      <c r="CA131" s="113"/>
      <c r="CB131" s="113">
        <f t="shared" si="142"/>
        <v>0</v>
      </c>
      <c r="CC131" s="113"/>
      <c r="CD131" s="113"/>
      <c r="CE131" s="113"/>
      <c r="CF131" s="113"/>
      <c r="CG131" s="113">
        <f t="shared" si="132"/>
        <v>0</v>
      </c>
      <c r="CH131" s="113"/>
      <c r="CI131" s="113">
        <f t="shared" si="143"/>
        <v>0</v>
      </c>
      <c r="CJ131" s="113"/>
      <c r="CK131" s="113"/>
      <c r="CL131" s="113"/>
      <c r="CM131" s="113"/>
      <c r="CN131" s="113">
        <f t="shared" si="133"/>
        <v>0</v>
      </c>
      <c r="CO131" s="113"/>
      <c r="CP131" s="113">
        <f t="shared" si="144"/>
        <v>0</v>
      </c>
      <c r="CQ131" s="113"/>
      <c r="CR131" s="113"/>
      <c r="CS131" s="113"/>
      <c r="CT131" s="113"/>
      <c r="CU131" s="113">
        <f t="shared" si="134"/>
        <v>0</v>
      </c>
      <c r="CV131" s="113"/>
      <c r="CW131" s="113">
        <f t="shared" si="145"/>
        <v>0</v>
      </c>
      <c r="CX131" s="113"/>
      <c r="CY131" s="113"/>
      <c r="CZ131" s="113"/>
      <c r="DA131" s="113"/>
      <c r="DB131" s="113">
        <f t="shared" si="135"/>
        <v>0</v>
      </c>
      <c r="DC131" s="113">
        <f t="shared" si="135"/>
        <v>0</v>
      </c>
      <c r="DD131" s="113"/>
      <c r="DE131" s="113"/>
      <c r="DF131" s="113"/>
      <c r="DG131" s="113"/>
      <c r="DH131" s="113">
        <f t="shared" si="136"/>
        <v>0</v>
      </c>
      <c r="DI131" s="113">
        <f t="shared" si="136"/>
        <v>0</v>
      </c>
      <c r="DJ131" s="113"/>
      <c r="DK131" s="113"/>
      <c r="DL131" s="113"/>
      <c r="DM131" s="113"/>
      <c r="DN131" s="113">
        <f t="shared" si="137"/>
        <v>0</v>
      </c>
      <c r="DO131" s="113">
        <f t="shared" si="137"/>
        <v>0</v>
      </c>
      <c r="DP131" s="113">
        <f t="shared" si="146"/>
        <v>0</v>
      </c>
      <c r="DQ131" s="113">
        <f t="shared" si="147"/>
        <v>0</v>
      </c>
      <c r="DR131" s="113">
        <f t="shared" si="148"/>
        <v>0</v>
      </c>
      <c r="DS131" s="113">
        <f t="shared" si="149"/>
        <v>0</v>
      </c>
      <c r="DT131" s="113">
        <f t="shared" si="138"/>
        <v>0</v>
      </c>
      <c r="DU131" s="113">
        <f t="shared" si="138"/>
        <v>0</v>
      </c>
    </row>
    <row r="132" spans="1:125" s="323" customFormat="1">
      <c r="A132" s="318">
        <v>128</v>
      </c>
      <c r="B132" s="319" t="s">
        <v>913</v>
      </c>
      <c r="C132" s="320" t="s">
        <v>944</v>
      </c>
      <c r="D132" s="319" t="s">
        <v>946</v>
      </c>
      <c r="E132" s="319" t="s">
        <v>1165</v>
      </c>
      <c r="F132" s="255">
        <f t="shared" si="100"/>
        <v>0</v>
      </c>
      <c r="G132" s="255">
        <f t="shared" si="119"/>
        <v>0</v>
      </c>
      <c r="H132" s="161">
        <f t="shared" si="120"/>
        <v>0</v>
      </c>
      <c r="I132" s="161">
        <f t="shared" si="107"/>
        <v>0</v>
      </c>
      <c r="J132" s="256">
        <f t="shared" si="101"/>
        <v>0</v>
      </c>
      <c r="K132" s="321">
        <v>70470</v>
      </c>
      <c r="L132" s="211">
        <v>0</v>
      </c>
      <c r="M132" s="211">
        <v>0</v>
      </c>
      <c r="N132" s="127">
        <f t="shared" si="102"/>
        <v>0</v>
      </c>
      <c r="O132" s="127">
        <f t="shared" si="103"/>
        <v>0</v>
      </c>
      <c r="P132" s="255">
        <f t="shared" si="104"/>
        <v>0</v>
      </c>
      <c r="Q132" s="255">
        <f t="shared" si="121"/>
        <v>0</v>
      </c>
      <c r="R132" s="255" t="str">
        <f t="shared" si="105"/>
        <v>ნულოვანი შესრულება</v>
      </c>
      <c r="S132" s="113">
        <v>0</v>
      </c>
      <c r="T132" s="113"/>
      <c r="U132" s="113">
        <f t="shared" si="106"/>
        <v>0</v>
      </c>
      <c r="V132" s="113">
        <f t="shared" si="97"/>
        <v>0</v>
      </c>
      <c r="W132" s="113">
        <v>0</v>
      </c>
      <c r="X132" s="113">
        <v>0</v>
      </c>
      <c r="Y132" s="113">
        <v>0</v>
      </c>
      <c r="Z132" s="113">
        <v>0</v>
      </c>
      <c r="AA132" s="113">
        <f t="shared" si="122"/>
        <v>0</v>
      </c>
      <c r="AB132" s="113">
        <f t="shared" si="122"/>
        <v>0</v>
      </c>
      <c r="AC132" s="113"/>
      <c r="AD132" s="113"/>
      <c r="AE132" s="113"/>
      <c r="AF132" s="113"/>
      <c r="AG132" s="113">
        <f t="shared" si="123"/>
        <v>0</v>
      </c>
      <c r="AH132" s="113">
        <f t="shared" si="123"/>
        <v>0</v>
      </c>
      <c r="AI132" s="114">
        <f t="shared" si="98"/>
        <v>0</v>
      </c>
      <c r="AJ132" s="114">
        <f t="shared" si="124"/>
        <v>0</v>
      </c>
      <c r="AK132" s="114">
        <f t="shared" si="124"/>
        <v>0</v>
      </c>
      <c r="AL132" s="114">
        <f t="shared" si="99"/>
        <v>0</v>
      </c>
      <c r="AM132" s="113">
        <f t="shared" si="125"/>
        <v>0</v>
      </c>
      <c r="AN132" s="113">
        <f t="shared" si="125"/>
        <v>0</v>
      </c>
      <c r="AO132" s="322"/>
      <c r="AP132" s="322"/>
      <c r="AQ132" s="322"/>
      <c r="AR132" s="322"/>
      <c r="AS132" s="322">
        <f t="shared" si="126"/>
        <v>0</v>
      </c>
      <c r="AT132" s="322">
        <f t="shared" si="126"/>
        <v>0</v>
      </c>
      <c r="AU132" s="322"/>
      <c r="AV132" s="322"/>
      <c r="AW132" s="322"/>
      <c r="AX132" s="322"/>
      <c r="AY132" s="322">
        <f t="shared" si="127"/>
        <v>0</v>
      </c>
      <c r="AZ132" s="322">
        <f t="shared" si="127"/>
        <v>0</v>
      </c>
      <c r="BA132" s="322"/>
      <c r="BB132" s="322"/>
      <c r="BC132" s="322"/>
      <c r="BD132" s="322"/>
      <c r="BE132" s="322">
        <f t="shared" si="128"/>
        <v>0</v>
      </c>
      <c r="BF132" s="322"/>
      <c r="BG132" s="322">
        <f t="shared" si="139"/>
        <v>0</v>
      </c>
      <c r="BH132" s="322"/>
      <c r="BI132" s="322"/>
      <c r="BJ132" s="322"/>
      <c r="BK132" s="322"/>
      <c r="BL132" s="322">
        <f t="shared" si="129"/>
        <v>0</v>
      </c>
      <c r="BM132" s="322"/>
      <c r="BN132" s="322">
        <f t="shared" si="140"/>
        <v>0</v>
      </c>
      <c r="BO132" s="322"/>
      <c r="BP132" s="322"/>
      <c r="BQ132" s="322"/>
      <c r="BR132" s="322"/>
      <c r="BS132" s="322">
        <f t="shared" si="130"/>
        <v>0</v>
      </c>
      <c r="BT132" s="322"/>
      <c r="BU132" s="322">
        <f t="shared" si="141"/>
        <v>0</v>
      </c>
      <c r="BV132" s="322"/>
      <c r="BW132" s="322"/>
      <c r="BX132" s="322"/>
      <c r="BY132" s="322"/>
      <c r="BZ132" s="322">
        <f t="shared" si="131"/>
        <v>0</v>
      </c>
      <c r="CA132" s="322"/>
      <c r="CB132" s="322">
        <f t="shared" si="142"/>
        <v>0</v>
      </c>
      <c r="CC132" s="322"/>
      <c r="CD132" s="322"/>
      <c r="CE132" s="322"/>
      <c r="CF132" s="322"/>
      <c r="CG132" s="322">
        <f t="shared" si="132"/>
        <v>0</v>
      </c>
      <c r="CH132" s="322"/>
      <c r="CI132" s="322">
        <f t="shared" si="143"/>
        <v>0</v>
      </c>
      <c r="CJ132" s="322"/>
      <c r="CK132" s="322"/>
      <c r="CL132" s="322"/>
      <c r="CM132" s="322"/>
      <c r="CN132" s="322">
        <f t="shared" si="133"/>
        <v>0</v>
      </c>
      <c r="CO132" s="322"/>
      <c r="CP132" s="322">
        <f t="shared" si="144"/>
        <v>0</v>
      </c>
      <c r="CQ132" s="322"/>
      <c r="CR132" s="322"/>
      <c r="CS132" s="322"/>
      <c r="CT132" s="322"/>
      <c r="CU132" s="322">
        <f t="shared" si="134"/>
        <v>0</v>
      </c>
      <c r="CV132" s="322"/>
      <c r="CW132" s="322">
        <f t="shared" si="145"/>
        <v>0</v>
      </c>
      <c r="CX132" s="322"/>
      <c r="CY132" s="322"/>
      <c r="CZ132" s="322"/>
      <c r="DA132" s="322"/>
      <c r="DB132" s="322">
        <f t="shared" si="135"/>
        <v>0</v>
      </c>
      <c r="DC132" s="322">
        <f t="shared" si="135"/>
        <v>0</v>
      </c>
      <c r="DD132" s="322"/>
      <c r="DE132" s="322"/>
      <c r="DF132" s="322"/>
      <c r="DG132" s="322"/>
      <c r="DH132" s="322">
        <f t="shared" si="136"/>
        <v>0</v>
      </c>
      <c r="DI132" s="322">
        <f t="shared" si="136"/>
        <v>0</v>
      </c>
      <c r="DJ132" s="322"/>
      <c r="DK132" s="322"/>
      <c r="DL132" s="322"/>
      <c r="DM132" s="322"/>
      <c r="DN132" s="322">
        <f t="shared" si="137"/>
        <v>0</v>
      </c>
      <c r="DO132" s="322">
        <f t="shared" si="137"/>
        <v>0</v>
      </c>
      <c r="DP132" s="322">
        <f t="shared" si="146"/>
        <v>0</v>
      </c>
      <c r="DQ132" s="322">
        <f t="shared" si="147"/>
        <v>0</v>
      </c>
      <c r="DR132" s="322">
        <f t="shared" si="148"/>
        <v>0</v>
      </c>
      <c r="DS132" s="322">
        <f t="shared" si="149"/>
        <v>0</v>
      </c>
      <c r="DT132" s="322">
        <f t="shared" si="138"/>
        <v>0</v>
      </c>
      <c r="DU132" s="322">
        <f t="shared" si="138"/>
        <v>0</v>
      </c>
    </row>
    <row r="133" spans="1:125" s="323" customFormat="1">
      <c r="A133" s="318">
        <v>129</v>
      </c>
      <c r="B133" s="319" t="s">
        <v>913</v>
      </c>
      <c r="C133" s="311" t="s">
        <v>947</v>
      </c>
      <c r="D133" s="319" t="s">
        <v>948</v>
      </c>
      <c r="E133" s="319" t="s">
        <v>1164</v>
      </c>
      <c r="F133" s="255">
        <f t="shared" si="100"/>
        <v>0</v>
      </c>
      <c r="G133" s="255">
        <f t="shared" si="119"/>
        <v>2602.25</v>
      </c>
      <c r="H133" s="161">
        <f t="shared" si="120"/>
        <v>-2602.25</v>
      </c>
      <c r="I133" s="161">
        <f t="shared" si="107"/>
        <v>0</v>
      </c>
      <c r="J133" s="256">
        <f t="shared" si="101"/>
        <v>0</v>
      </c>
      <c r="K133" s="321"/>
      <c r="L133" s="211">
        <v>0</v>
      </c>
      <c r="M133" s="211">
        <v>0</v>
      </c>
      <c r="N133" s="127">
        <f t="shared" si="102"/>
        <v>0</v>
      </c>
      <c r="O133" s="127">
        <f t="shared" si="103"/>
        <v>0</v>
      </c>
      <c r="P133" s="255">
        <f t="shared" si="104"/>
        <v>0</v>
      </c>
      <c r="Q133" s="255">
        <f t="shared" si="121"/>
        <v>0</v>
      </c>
      <c r="R133" s="255">
        <f t="shared" si="105"/>
        <v>2602.25</v>
      </c>
      <c r="S133" s="113">
        <v>0</v>
      </c>
      <c r="T133" s="113"/>
      <c r="U133" s="113">
        <f t="shared" si="106"/>
        <v>0</v>
      </c>
      <c r="V133" s="113">
        <f t="shared" ref="V133:V134" si="150">T133</f>
        <v>0</v>
      </c>
      <c r="W133" s="113">
        <v>0</v>
      </c>
      <c r="X133" s="113">
        <v>0</v>
      </c>
      <c r="Y133" s="113">
        <v>0</v>
      </c>
      <c r="Z133" s="113">
        <v>0</v>
      </c>
      <c r="AA133" s="113">
        <f t="shared" si="122"/>
        <v>0</v>
      </c>
      <c r="AB133" s="113">
        <f t="shared" si="122"/>
        <v>0</v>
      </c>
      <c r="AC133" s="113"/>
      <c r="AD133" s="113"/>
      <c r="AE133" s="113"/>
      <c r="AF133" s="113"/>
      <c r="AG133" s="113">
        <f t="shared" si="123"/>
        <v>0</v>
      </c>
      <c r="AH133" s="113">
        <f t="shared" si="123"/>
        <v>0</v>
      </c>
      <c r="AI133" s="114">
        <f t="shared" ref="AI133:AI134" si="151">S133+W133+AC133</f>
        <v>0</v>
      </c>
      <c r="AJ133" s="114">
        <f t="shared" si="124"/>
        <v>0</v>
      </c>
      <c r="AK133" s="114">
        <f t="shared" si="124"/>
        <v>0</v>
      </c>
      <c r="AL133" s="114">
        <f t="shared" ref="AL133:AL134" si="152">T133+Z133+AF133</f>
        <v>0</v>
      </c>
      <c r="AM133" s="113">
        <f t="shared" si="125"/>
        <v>0</v>
      </c>
      <c r="AN133" s="113">
        <f t="shared" si="125"/>
        <v>0</v>
      </c>
      <c r="AO133" s="322"/>
      <c r="AP133" s="322"/>
      <c r="AQ133" s="322"/>
      <c r="AR133" s="322">
        <v>2602.25</v>
      </c>
      <c r="AS133" s="322">
        <f t="shared" si="126"/>
        <v>0</v>
      </c>
      <c r="AT133" s="322">
        <f t="shared" si="126"/>
        <v>2602.25</v>
      </c>
      <c r="AU133" s="322"/>
      <c r="AV133" s="322"/>
      <c r="AW133" s="322"/>
      <c r="AX133" s="322"/>
      <c r="AY133" s="322">
        <f t="shared" si="127"/>
        <v>0</v>
      </c>
      <c r="AZ133" s="322">
        <f t="shared" si="127"/>
        <v>0</v>
      </c>
      <c r="BA133" s="322"/>
      <c r="BB133" s="322"/>
      <c r="BC133" s="322"/>
      <c r="BD133" s="322"/>
      <c r="BE133" s="322">
        <f t="shared" si="128"/>
        <v>0</v>
      </c>
      <c r="BF133" s="322"/>
      <c r="BG133" s="322">
        <f t="shared" si="139"/>
        <v>0</v>
      </c>
      <c r="BH133" s="322"/>
      <c r="BI133" s="322"/>
      <c r="BJ133" s="322"/>
      <c r="BK133" s="322"/>
      <c r="BL133" s="322">
        <f t="shared" si="129"/>
        <v>0</v>
      </c>
      <c r="BM133" s="322"/>
      <c r="BN133" s="322">
        <f t="shared" si="140"/>
        <v>0</v>
      </c>
      <c r="BO133" s="322"/>
      <c r="BP133" s="322"/>
      <c r="BQ133" s="322"/>
      <c r="BR133" s="322"/>
      <c r="BS133" s="322">
        <f t="shared" si="130"/>
        <v>0</v>
      </c>
      <c r="BT133" s="322"/>
      <c r="BU133" s="322">
        <f t="shared" si="141"/>
        <v>0</v>
      </c>
      <c r="BV133" s="322"/>
      <c r="BW133" s="322"/>
      <c r="BX133" s="322"/>
      <c r="BY133" s="322"/>
      <c r="BZ133" s="322">
        <f t="shared" si="131"/>
        <v>0</v>
      </c>
      <c r="CA133" s="322"/>
      <c r="CB133" s="322">
        <f t="shared" si="142"/>
        <v>0</v>
      </c>
      <c r="CC133" s="322"/>
      <c r="CD133" s="322"/>
      <c r="CE133" s="322"/>
      <c r="CF133" s="322"/>
      <c r="CG133" s="322">
        <f t="shared" si="132"/>
        <v>0</v>
      </c>
      <c r="CH133" s="322"/>
      <c r="CI133" s="322">
        <f t="shared" si="143"/>
        <v>0</v>
      </c>
      <c r="CJ133" s="322"/>
      <c r="CK133" s="322"/>
      <c r="CL133" s="322"/>
      <c r="CM133" s="322"/>
      <c r="CN133" s="322">
        <f t="shared" si="133"/>
        <v>0</v>
      </c>
      <c r="CO133" s="322"/>
      <c r="CP133" s="322">
        <f t="shared" si="144"/>
        <v>0</v>
      </c>
      <c r="CQ133" s="322"/>
      <c r="CR133" s="322"/>
      <c r="CS133" s="322"/>
      <c r="CT133" s="322"/>
      <c r="CU133" s="322">
        <f t="shared" si="134"/>
        <v>0</v>
      </c>
      <c r="CV133" s="322"/>
      <c r="CW133" s="322">
        <f t="shared" si="145"/>
        <v>0</v>
      </c>
      <c r="CX133" s="322"/>
      <c r="CY133" s="322"/>
      <c r="CZ133" s="322"/>
      <c r="DA133" s="322"/>
      <c r="DB133" s="322">
        <f t="shared" si="135"/>
        <v>0</v>
      </c>
      <c r="DC133" s="322">
        <f t="shared" si="135"/>
        <v>0</v>
      </c>
      <c r="DD133" s="322"/>
      <c r="DE133" s="322"/>
      <c r="DF133" s="322"/>
      <c r="DG133" s="322"/>
      <c r="DH133" s="322">
        <f t="shared" si="136"/>
        <v>0</v>
      </c>
      <c r="DI133" s="322">
        <f t="shared" si="136"/>
        <v>0</v>
      </c>
      <c r="DJ133" s="322"/>
      <c r="DK133" s="322"/>
      <c r="DL133" s="322"/>
      <c r="DM133" s="322"/>
      <c r="DN133" s="322">
        <f t="shared" si="137"/>
        <v>0</v>
      </c>
      <c r="DO133" s="322">
        <f t="shared" si="137"/>
        <v>0</v>
      </c>
      <c r="DP133" s="322">
        <f t="shared" si="146"/>
        <v>0</v>
      </c>
      <c r="DQ133" s="322">
        <f t="shared" si="147"/>
        <v>0</v>
      </c>
      <c r="DR133" s="322">
        <f t="shared" si="148"/>
        <v>0</v>
      </c>
      <c r="DS133" s="322">
        <f t="shared" si="149"/>
        <v>2602.25</v>
      </c>
      <c r="DT133" s="322">
        <f t="shared" si="138"/>
        <v>0</v>
      </c>
      <c r="DU133" s="322">
        <f t="shared" si="138"/>
        <v>2602.25</v>
      </c>
    </row>
    <row r="134" spans="1:125" s="323" customFormat="1">
      <c r="A134" s="318">
        <v>130</v>
      </c>
      <c r="B134" s="319" t="s">
        <v>913</v>
      </c>
      <c r="C134" s="320" t="s">
        <v>947</v>
      </c>
      <c r="D134" s="319" t="s">
        <v>949</v>
      </c>
      <c r="E134" s="319" t="s">
        <v>1165</v>
      </c>
      <c r="F134" s="255">
        <f t="shared" ref="F134" si="153">SUM(DT134)</f>
        <v>0</v>
      </c>
      <c r="G134" s="255">
        <f t="shared" si="119"/>
        <v>0</v>
      </c>
      <c r="H134" s="161">
        <f t="shared" si="120"/>
        <v>0</v>
      </c>
      <c r="I134" s="161">
        <f t="shared" si="107"/>
        <v>0</v>
      </c>
      <c r="J134" s="256">
        <f t="shared" ref="J134" si="154">L134+AN134+DT134</f>
        <v>0</v>
      </c>
      <c r="K134" s="321">
        <v>36040</v>
      </c>
      <c r="L134" s="211">
        <v>0</v>
      </c>
      <c r="M134" s="211">
        <v>0</v>
      </c>
      <c r="N134" s="127">
        <f t="shared" ref="N134" si="155">AN134</f>
        <v>0</v>
      </c>
      <c r="O134" s="127">
        <f t="shared" ref="O134" si="156">IF(AL134&gt;0,L134+AN134-M134,0)</f>
        <v>0</v>
      </c>
      <c r="P134" s="255">
        <f t="shared" ref="P134" si="157">L134+N134</f>
        <v>0</v>
      </c>
      <c r="Q134" s="255">
        <f t="shared" si="121"/>
        <v>0</v>
      </c>
      <c r="R134" s="255" t="str">
        <f t="shared" ref="R134" si="158">IF(AND(AL134&gt;0,DS134&gt;0),"შეცდომაა! ერთზე მეტი ბოლო ჩაბარება!",IF(OR(AL134&gt;0,DS134&gt;0,),IF(AL134&gt;0,L134+AN134,L134+AN134+DU134),IF(AND(L134=0,N134=0,DU134=0),"ნულოვანი შესრულება","მიმდინარეობს")))</f>
        <v>ნულოვანი შესრულება</v>
      </c>
      <c r="S134" s="113">
        <v>0</v>
      </c>
      <c r="T134" s="113"/>
      <c r="U134" s="113">
        <f t="shared" ref="U134" si="159">L134+S134</f>
        <v>0</v>
      </c>
      <c r="V134" s="113">
        <f t="shared" si="150"/>
        <v>0</v>
      </c>
      <c r="W134" s="113">
        <v>0</v>
      </c>
      <c r="X134" s="113">
        <v>0</v>
      </c>
      <c r="Y134" s="113">
        <v>0</v>
      </c>
      <c r="Z134" s="113">
        <v>0</v>
      </c>
      <c r="AA134" s="113">
        <f t="shared" si="122"/>
        <v>0</v>
      </c>
      <c r="AB134" s="113">
        <f t="shared" si="122"/>
        <v>0</v>
      </c>
      <c r="AC134" s="113"/>
      <c r="AD134" s="113"/>
      <c r="AE134" s="113"/>
      <c r="AF134" s="113"/>
      <c r="AG134" s="113">
        <f t="shared" si="123"/>
        <v>0</v>
      </c>
      <c r="AH134" s="113">
        <f t="shared" si="123"/>
        <v>0</v>
      </c>
      <c r="AI134" s="114">
        <f t="shared" si="151"/>
        <v>0</v>
      </c>
      <c r="AJ134" s="114">
        <f t="shared" si="124"/>
        <v>0</v>
      </c>
      <c r="AK134" s="114">
        <f t="shared" si="124"/>
        <v>0</v>
      </c>
      <c r="AL134" s="114">
        <f t="shared" si="152"/>
        <v>0</v>
      </c>
      <c r="AM134" s="113">
        <f t="shared" si="125"/>
        <v>0</v>
      </c>
      <c r="AN134" s="113">
        <f t="shared" si="125"/>
        <v>0</v>
      </c>
      <c r="AO134" s="322"/>
      <c r="AP134" s="322"/>
      <c r="AQ134" s="322"/>
      <c r="AR134" s="322"/>
      <c r="AS134" s="322">
        <f t="shared" si="126"/>
        <v>0</v>
      </c>
      <c r="AT134" s="322">
        <f t="shared" si="126"/>
        <v>0</v>
      </c>
      <c r="AU134" s="322"/>
      <c r="AV134" s="322"/>
      <c r="AW134" s="322"/>
      <c r="AX134" s="322"/>
      <c r="AY134" s="322">
        <f t="shared" si="127"/>
        <v>0</v>
      </c>
      <c r="AZ134" s="322">
        <f t="shared" si="127"/>
        <v>0</v>
      </c>
      <c r="BA134" s="322"/>
      <c r="BB134" s="322"/>
      <c r="BC134" s="322"/>
      <c r="BD134" s="322"/>
      <c r="BE134" s="322">
        <f t="shared" si="128"/>
        <v>0</v>
      </c>
      <c r="BF134" s="322"/>
      <c r="BG134" s="322">
        <f t="shared" si="139"/>
        <v>0</v>
      </c>
      <c r="BH134" s="322"/>
      <c r="BI134" s="322"/>
      <c r="BJ134" s="322"/>
      <c r="BK134" s="322"/>
      <c r="BL134" s="322">
        <f t="shared" si="129"/>
        <v>0</v>
      </c>
      <c r="BM134" s="322"/>
      <c r="BN134" s="322">
        <f t="shared" si="140"/>
        <v>0</v>
      </c>
      <c r="BO134" s="322"/>
      <c r="BP134" s="322"/>
      <c r="BQ134" s="322"/>
      <c r="BR134" s="322"/>
      <c r="BS134" s="322">
        <f t="shared" si="130"/>
        <v>0</v>
      </c>
      <c r="BT134" s="322"/>
      <c r="BU134" s="322">
        <f t="shared" si="141"/>
        <v>0</v>
      </c>
      <c r="BV134" s="322"/>
      <c r="BW134" s="322"/>
      <c r="BX134" s="322"/>
      <c r="BY134" s="322"/>
      <c r="BZ134" s="322">
        <f t="shared" si="131"/>
        <v>0</v>
      </c>
      <c r="CA134" s="322"/>
      <c r="CB134" s="322">
        <f t="shared" si="142"/>
        <v>0</v>
      </c>
      <c r="CC134" s="322"/>
      <c r="CD134" s="322"/>
      <c r="CE134" s="322"/>
      <c r="CF134" s="322"/>
      <c r="CG134" s="322">
        <f t="shared" si="132"/>
        <v>0</v>
      </c>
      <c r="CH134" s="322"/>
      <c r="CI134" s="322">
        <f t="shared" si="143"/>
        <v>0</v>
      </c>
      <c r="CJ134" s="322"/>
      <c r="CK134" s="322"/>
      <c r="CL134" s="322"/>
      <c r="CM134" s="322"/>
      <c r="CN134" s="322">
        <f t="shared" si="133"/>
        <v>0</v>
      </c>
      <c r="CO134" s="322"/>
      <c r="CP134" s="322">
        <f t="shared" si="144"/>
        <v>0</v>
      </c>
      <c r="CQ134" s="322"/>
      <c r="CR134" s="322"/>
      <c r="CS134" s="322"/>
      <c r="CT134" s="322"/>
      <c r="CU134" s="322">
        <f t="shared" si="134"/>
        <v>0</v>
      </c>
      <c r="CV134" s="322"/>
      <c r="CW134" s="322">
        <f t="shared" si="145"/>
        <v>0</v>
      </c>
      <c r="CX134" s="322"/>
      <c r="CY134" s="322"/>
      <c r="CZ134" s="322"/>
      <c r="DA134" s="322"/>
      <c r="DB134" s="322">
        <f t="shared" si="135"/>
        <v>0</v>
      </c>
      <c r="DC134" s="322">
        <f t="shared" si="135"/>
        <v>0</v>
      </c>
      <c r="DD134" s="322"/>
      <c r="DE134" s="322"/>
      <c r="DF134" s="322"/>
      <c r="DG134" s="322"/>
      <c r="DH134" s="322">
        <f t="shared" si="136"/>
        <v>0</v>
      </c>
      <c r="DI134" s="322">
        <f t="shared" si="136"/>
        <v>0</v>
      </c>
      <c r="DJ134" s="322"/>
      <c r="DK134" s="322"/>
      <c r="DL134" s="322"/>
      <c r="DM134" s="322"/>
      <c r="DN134" s="322">
        <f t="shared" si="137"/>
        <v>0</v>
      </c>
      <c r="DO134" s="322">
        <f t="shared" si="137"/>
        <v>0</v>
      </c>
      <c r="DP134" s="322">
        <f t="shared" si="146"/>
        <v>0</v>
      </c>
      <c r="DQ134" s="322">
        <f t="shared" si="147"/>
        <v>0</v>
      </c>
      <c r="DR134" s="322">
        <f t="shared" si="148"/>
        <v>0</v>
      </c>
      <c r="DS134" s="322">
        <f t="shared" si="149"/>
        <v>0</v>
      </c>
      <c r="DT134" s="322">
        <f t="shared" si="138"/>
        <v>0</v>
      </c>
      <c r="DU134" s="322">
        <f t="shared" si="138"/>
        <v>0</v>
      </c>
    </row>
    <row r="137" spans="1:125">
      <c r="Q137" s="335"/>
    </row>
    <row r="147" spans="5:5">
      <c r="E147" s="212"/>
    </row>
  </sheetData>
  <autoFilter ref="A8:DU134" xr:uid="{00000000-0009-0000-0000-000003000000}"/>
  <mergeCells count="91">
    <mergeCell ref="CC4:CI4"/>
    <mergeCell ref="CJ4:CP4"/>
    <mergeCell ref="AO5:AP5"/>
    <mergeCell ref="K3:K6"/>
    <mergeCell ref="F3:F6"/>
    <mergeCell ref="AS5:AT5"/>
    <mergeCell ref="BX5:BY5"/>
    <mergeCell ref="BZ5:CB5"/>
    <mergeCell ref="AI5:AJ5"/>
    <mergeCell ref="AK5:AL5"/>
    <mergeCell ref="AM5:AN5"/>
    <mergeCell ref="CC5:CD5"/>
    <mergeCell ref="CE5:CF5"/>
    <mergeCell ref="CG5:CI5"/>
    <mergeCell ref="CJ5:CK5"/>
    <mergeCell ref="J3:J6"/>
    <mergeCell ref="E3:E6"/>
    <mergeCell ref="BH4:BN4"/>
    <mergeCell ref="BO4:BU4"/>
    <mergeCell ref="BV4:CB4"/>
    <mergeCell ref="W3:AN3"/>
    <mergeCell ref="W5:X5"/>
    <mergeCell ref="AO3:DU3"/>
    <mergeCell ref="W4:AB4"/>
    <mergeCell ref="AC4:AH4"/>
    <mergeCell ref="AI4:AN4"/>
    <mergeCell ref="AO4:AT4"/>
    <mergeCell ref="DJ4:DO4"/>
    <mergeCell ref="DP4:DU4"/>
    <mergeCell ref="AU4:AZ4"/>
    <mergeCell ref="BA4:BG4"/>
    <mergeCell ref="BC5:BD5"/>
    <mergeCell ref="DD4:DI4"/>
    <mergeCell ref="AU5:AV5"/>
    <mergeCell ref="CQ4:CW4"/>
    <mergeCell ref="CX4:DC4"/>
    <mergeCell ref="S5:S6"/>
    <mergeCell ref="T5:T6"/>
    <mergeCell ref="U5:U6"/>
    <mergeCell ref="V5:V6"/>
    <mergeCell ref="S3:T4"/>
    <mergeCell ref="U3:V4"/>
    <mergeCell ref="Y5:Z5"/>
    <mergeCell ref="AA5:AB5"/>
    <mergeCell ref="AC5:AD5"/>
    <mergeCell ref="AE5:AF5"/>
    <mergeCell ref="AG5:AH5"/>
    <mergeCell ref="AQ5:AR5"/>
    <mergeCell ref="DT5:DU5"/>
    <mergeCell ref="CZ5:DA5"/>
    <mergeCell ref="DB5:DC5"/>
    <mergeCell ref="DD5:DE5"/>
    <mergeCell ref="DF5:DG5"/>
    <mergeCell ref="DH5:DI5"/>
    <mergeCell ref="DJ5:DK5"/>
    <mergeCell ref="DR5:DS5"/>
    <mergeCell ref="DL5:DM5"/>
    <mergeCell ref="DN5:DO5"/>
    <mergeCell ref="CX5:CY5"/>
    <mergeCell ref="CL5:CM5"/>
    <mergeCell ref="CN5:CP5"/>
    <mergeCell ref="CQ5:CR5"/>
    <mergeCell ref="CS5:CT5"/>
    <mergeCell ref="CU5:CW5"/>
    <mergeCell ref="D3:D6"/>
    <mergeCell ref="C3:C6"/>
    <mergeCell ref="B3:B6"/>
    <mergeCell ref="A3:A6"/>
    <mergeCell ref="DP5:DQ5"/>
    <mergeCell ref="BJ5:BK5"/>
    <mergeCell ref="BL5:BN5"/>
    <mergeCell ref="BO5:BP5"/>
    <mergeCell ref="BQ5:BR5"/>
    <mergeCell ref="BS5:BU5"/>
    <mergeCell ref="BV5:BW5"/>
    <mergeCell ref="AW5:AX5"/>
    <mergeCell ref="BE5:BG5"/>
    <mergeCell ref="BH5:BI5"/>
    <mergeCell ref="AY5:AZ5"/>
    <mergeCell ref="BA5:BB5"/>
    <mergeCell ref="G3:G6"/>
    <mergeCell ref="L3:M4"/>
    <mergeCell ref="N3:O4"/>
    <mergeCell ref="P3:P6"/>
    <mergeCell ref="R3:R6"/>
    <mergeCell ref="M5:M6"/>
    <mergeCell ref="N5:N6"/>
    <mergeCell ref="O5:O6"/>
    <mergeCell ref="L5:L6"/>
    <mergeCell ref="I3:I6"/>
    <mergeCell ref="H3:H6"/>
  </mergeCells>
  <conditionalFormatting sqref="C26">
    <cfRule type="duplicateValues" dxfId="1" priority="1"/>
    <cfRule type="duplicateValues" dxfId="0" priority="2"/>
  </conditionalFormatting>
  <pageMargins left="0.7" right="0.7" top="0.75" bottom="0.75" header="0.3" footer="0.3"/>
  <pageSetup paperSize="9" orientation="portrait" horizontalDpi="4294967295" verticalDpi="4294967295"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DR316"/>
  <sheetViews>
    <sheetView zoomScaleNormal="100" workbookViewId="0">
      <pane xSplit="40" ySplit="8" topLeftCell="CJ84" activePane="bottomRight" state="frozen"/>
      <selection pane="topRight" activeCell="AO1" sqref="AO1"/>
      <selection pane="bottomLeft" activeCell="A9" sqref="A9"/>
      <selection pane="bottomRight" activeCell="DB96" sqref="DB96"/>
    </sheetView>
  </sheetViews>
  <sheetFormatPr defaultColWidth="9.140625" defaultRowHeight="15"/>
  <cols>
    <col min="1" max="1" width="8" style="95" bestFit="1" customWidth="1"/>
    <col min="2" max="2" width="7.85546875" style="95" customWidth="1"/>
    <col min="3" max="3" width="8.85546875" style="102" customWidth="1"/>
    <col min="4" max="4" width="31" style="95" customWidth="1"/>
    <col min="5" max="5" width="10.5703125" style="95" customWidth="1"/>
    <col min="6" max="6" width="14.85546875" style="95" bestFit="1" customWidth="1"/>
    <col min="7" max="9" width="14.85546875" style="95" customWidth="1"/>
    <col min="10" max="10" width="15" style="95" bestFit="1" customWidth="1"/>
    <col min="11" max="11" width="23.7109375" style="103" hidden="1" customWidth="1"/>
    <col min="12" max="12" width="13.85546875" style="95" hidden="1" customWidth="1"/>
    <col min="13" max="13" width="14.5703125" style="95" hidden="1" customWidth="1"/>
    <col min="14" max="15" width="14.140625" style="95" hidden="1" customWidth="1"/>
    <col min="16" max="17" width="15" style="95" hidden="1" customWidth="1"/>
    <col min="18" max="18" width="14.140625" style="95" hidden="1" customWidth="1"/>
    <col min="19" max="19" width="15" style="95" hidden="1" customWidth="1"/>
    <col min="20" max="20" width="12" style="95" hidden="1" customWidth="1"/>
    <col min="21" max="21" width="15" style="95" hidden="1" customWidth="1"/>
    <col min="22" max="22" width="12" style="95" hidden="1" customWidth="1"/>
    <col min="23" max="24" width="7.7109375" style="95" hidden="1" customWidth="1"/>
    <col min="25" max="28" width="12" style="95" hidden="1" customWidth="1"/>
    <col min="29" max="29" width="7.5703125" style="95" hidden="1" customWidth="1"/>
    <col min="30" max="30" width="10.85546875" style="95" hidden="1" customWidth="1"/>
    <col min="31" max="31" width="12" style="95" hidden="1" customWidth="1"/>
    <col min="32" max="32" width="10.85546875" style="95" hidden="1" customWidth="1"/>
    <col min="33" max="34" width="12" style="95" hidden="1" customWidth="1"/>
    <col min="35" max="36" width="13.85546875" style="95" hidden="1" customWidth="1"/>
    <col min="37" max="38" width="12" style="95" hidden="1" customWidth="1"/>
    <col min="39" max="40" width="13.85546875" style="95" hidden="1" customWidth="1"/>
    <col min="41" max="41" width="13.5703125" style="95" customWidth="1"/>
    <col min="42" max="43" width="13.85546875" style="95" bestFit="1" customWidth="1"/>
    <col min="44" max="44" width="12" style="95" bestFit="1" customWidth="1"/>
    <col min="45" max="48" width="13.85546875" style="95" bestFit="1" customWidth="1"/>
    <col min="49" max="49" width="12" style="95" bestFit="1" customWidth="1"/>
    <col min="50" max="50" width="7.5703125" style="95" bestFit="1" customWidth="1"/>
    <col min="51" max="52" width="13.85546875" style="95" bestFit="1" customWidth="1"/>
    <col min="53" max="53" width="7.5703125" style="95" bestFit="1" customWidth="1"/>
    <col min="54" max="55" width="12" style="95" bestFit="1" customWidth="1"/>
    <col min="56" max="56" width="10.85546875" style="95" bestFit="1" customWidth="1"/>
    <col min="57" max="57" width="12" style="95" bestFit="1" customWidth="1"/>
    <col min="58" max="58" width="13.140625" style="95" bestFit="1" customWidth="1"/>
    <col min="59" max="59" width="12" style="95" bestFit="1" customWidth="1"/>
    <col min="60" max="60" width="7.5703125" style="95" bestFit="1" customWidth="1"/>
    <col min="61" max="61" width="12" style="95" bestFit="1" customWidth="1"/>
    <col min="62" max="64" width="10.85546875" style="95" bestFit="1" customWidth="1"/>
    <col min="65" max="65" width="13.140625" style="95" bestFit="1" customWidth="1"/>
    <col min="66" max="66" width="10.85546875" style="95" bestFit="1" customWidth="1"/>
    <col min="67" max="67" width="7.5703125" style="95" bestFit="1" customWidth="1"/>
    <col min="68" max="69" width="12" style="95" bestFit="1" customWidth="1"/>
    <col min="70" max="70" width="9.7109375" style="95" bestFit="1" customWidth="1"/>
    <col min="71" max="71" width="12" style="95" bestFit="1" customWidth="1"/>
    <col min="72" max="72" width="13.140625" style="95" bestFit="1" customWidth="1"/>
    <col min="73" max="73" width="12" style="95" bestFit="1" customWidth="1"/>
    <col min="74" max="74" width="7.5703125" style="95" bestFit="1" customWidth="1"/>
    <col min="75" max="75" width="9.7109375" style="95" bestFit="1" customWidth="1"/>
    <col min="76" max="76" width="12" style="95" bestFit="1" customWidth="1"/>
    <col min="77" max="77" width="10.85546875" style="95" bestFit="1" customWidth="1"/>
    <col min="78" max="78" width="12" style="95" bestFit="1" customWidth="1"/>
    <col min="79" max="79" width="13.140625" style="95" bestFit="1" customWidth="1"/>
    <col min="80" max="80" width="10.85546875" style="95" bestFit="1" customWidth="1"/>
    <col min="81" max="81" width="7.5703125" style="95" bestFit="1" customWidth="1"/>
    <col min="82" max="82" width="12" style="95" bestFit="1" customWidth="1"/>
    <col min="83" max="83" width="7.5703125" style="95" bestFit="1" customWidth="1"/>
    <col min="84" max="84" width="10.85546875" style="95" bestFit="1" customWidth="1"/>
    <col min="85" max="85" width="7.5703125" style="95" bestFit="1" customWidth="1"/>
    <col min="86" max="86" width="12" style="95" bestFit="1" customWidth="1"/>
    <col min="87" max="87" width="7.5703125" style="95" bestFit="1" customWidth="1"/>
    <col min="88" max="88" width="9.7109375" style="95" bestFit="1" customWidth="1"/>
    <col min="89" max="89" width="7.5703125" style="95" bestFit="1" customWidth="1"/>
    <col min="90" max="90" width="10.85546875" style="95" bestFit="1" customWidth="1"/>
    <col min="91" max="91" width="7.5703125" style="95" bestFit="1" customWidth="1"/>
    <col min="92" max="92" width="10.85546875" style="95" bestFit="1" customWidth="1"/>
    <col min="93" max="95" width="7.5703125" style="95" bestFit="1" customWidth="1"/>
    <col min="96" max="96" width="10.85546875" style="95" bestFit="1" customWidth="1"/>
    <col min="97" max="97" width="7.5703125" style="95" bestFit="1" customWidth="1"/>
    <col min="98" max="98" width="10.85546875" style="95" bestFit="1" customWidth="1"/>
    <col min="99" max="99" width="7.5703125" style="95" bestFit="1" customWidth="1"/>
    <col min="100" max="100" width="10.85546875" style="95" bestFit="1" customWidth="1"/>
    <col min="101" max="101" width="7.5703125" style="95" bestFit="1" customWidth="1"/>
    <col min="102" max="102" width="9.7109375" style="95" bestFit="1" customWidth="1"/>
    <col min="103" max="103" width="7.5703125" style="95" bestFit="1" customWidth="1"/>
    <col min="104" max="104" width="10.85546875" style="95" bestFit="1" customWidth="1"/>
    <col min="105" max="105" width="7.5703125" style="95" bestFit="1" customWidth="1"/>
    <col min="106" max="106" width="12" style="95" bestFit="1" customWidth="1"/>
    <col min="107" max="109" width="7.5703125" style="95" bestFit="1" customWidth="1"/>
    <col min="110" max="110" width="12" style="95" bestFit="1" customWidth="1"/>
    <col min="111" max="116" width="7.5703125" style="95" bestFit="1" customWidth="1"/>
    <col min="117" max="119" width="13.85546875" style="95" bestFit="1" customWidth="1"/>
    <col min="120" max="120" width="12" style="95" bestFit="1" customWidth="1"/>
    <col min="121" max="122" width="13.85546875" style="95" bestFit="1" customWidth="1"/>
    <col min="123" max="16384" width="9.140625" style="95"/>
  </cols>
  <sheetData>
    <row r="1" spans="1:122" ht="15.75">
      <c r="B1" s="101" t="s">
        <v>1229</v>
      </c>
      <c r="F1" s="317">
        <v>8521095.0999999996</v>
      </c>
      <c r="G1" s="317"/>
      <c r="H1" s="317"/>
      <c r="I1" s="317"/>
      <c r="J1" s="317"/>
      <c r="L1" s="104"/>
      <c r="M1" s="104"/>
      <c r="N1" s="104"/>
      <c r="O1" s="104"/>
      <c r="P1" s="104"/>
      <c r="Q1" s="104"/>
      <c r="R1" s="104"/>
      <c r="S1" s="105"/>
      <c r="T1" s="105"/>
      <c r="U1" s="105"/>
      <c r="V1" s="105"/>
      <c r="W1" s="105"/>
      <c r="X1" s="106"/>
      <c r="Y1" s="106"/>
      <c r="Z1" s="106"/>
      <c r="AA1" s="106"/>
      <c r="AC1" s="106"/>
      <c r="AD1" s="106"/>
      <c r="AE1" s="106"/>
      <c r="AF1" s="106"/>
      <c r="AG1" s="105"/>
      <c r="AH1" s="105"/>
      <c r="AI1" s="105"/>
      <c r="AJ1" s="105"/>
      <c r="AK1" s="105"/>
      <c r="AL1" s="105"/>
      <c r="AM1" s="105"/>
      <c r="AN1" s="105"/>
      <c r="AO1" s="105"/>
      <c r="AP1" s="105"/>
      <c r="AQ1" s="105"/>
      <c r="AR1" s="105"/>
      <c r="AS1" s="105"/>
      <c r="AT1" s="105"/>
      <c r="AU1" s="105"/>
      <c r="AV1" s="105"/>
      <c r="AW1" s="105"/>
      <c r="AX1" s="105"/>
      <c r="AY1" s="105"/>
      <c r="AZ1" s="105"/>
      <c r="BA1" s="105"/>
      <c r="BB1" s="105"/>
      <c r="BC1" s="105"/>
      <c r="BD1" s="105"/>
      <c r="BE1" s="105"/>
      <c r="BF1" s="105"/>
      <c r="BG1" s="105"/>
      <c r="BH1" s="105"/>
      <c r="BI1" s="105"/>
      <c r="BJ1" s="105"/>
      <c r="BK1" s="105"/>
      <c r="BL1" s="105"/>
      <c r="BM1" s="105"/>
      <c r="BN1" s="105"/>
      <c r="BO1" s="105"/>
      <c r="BP1" s="105"/>
      <c r="BQ1" s="105"/>
      <c r="BR1" s="105"/>
      <c r="BS1" s="105"/>
      <c r="BT1" s="105"/>
      <c r="BU1" s="105"/>
      <c r="BV1" s="105"/>
      <c r="BW1" s="105"/>
      <c r="BX1" s="105"/>
      <c r="BY1" s="105"/>
      <c r="BZ1" s="105"/>
      <c r="CA1" s="105"/>
      <c r="CB1" s="105"/>
      <c r="CC1" s="105"/>
      <c r="CD1" s="105"/>
      <c r="CE1" s="105"/>
      <c r="CF1" s="105"/>
      <c r="CG1" s="105"/>
      <c r="CH1" s="105"/>
      <c r="CI1" s="105"/>
      <c r="CJ1" s="105"/>
      <c r="CK1" s="105"/>
      <c r="CL1" s="105"/>
      <c r="CM1" s="105"/>
      <c r="CN1" s="105"/>
      <c r="CO1" s="105"/>
      <c r="CP1" s="105"/>
      <c r="CQ1" s="105"/>
      <c r="CR1" s="105"/>
      <c r="CS1" s="105"/>
      <c r="CT1" s="105"/>
      <c r="CU1" s="105"/>
      <c r="CV1" s="105"/>
      <c r="CW1" s="105"/>
      <c r="CX1" s="105"/>
      <c r="CY1" s="105"/>
      <c r="CZ1" s="105"/>
      <c r="DA1" s="105"/>
      <c r="DB1" s="105"/>
      <c r="DC1" s="105"/>
      <c r="DD1" s="105"/>
      <c r="DE1" s="105"/>
      <c r="DF1" s="105"/>
      <c r="DG1" s="105"/>
      <c r="DH1" s="105"/>
      <c r="DI1" s="105"/>
      <c r="DJ1" s="105"/>
      <c r="DK1" s="105"/>
      <c r="DL1" s="105"/>
      <c r="DM1" s="105"/>
      <c r="DN1" s="105"/>
      <c r="DO1" s="105"/>
      <c r="DP1" s="105"/>
      <c r="DQ1" s="105"/>
      <c r="DR1" s="105"/>
    </row>
    <row r="2" spans="1:122" ht="15.75" thickBot="1">
      <c r="A2" s="102">
        <f t="shared" ref="A2:C2" si="0">SUBTOTAL(3,A9:A139)</f>
        <v>131</v>
      </c>
      <c r="B2" s="102">
        <f t="shared" si="0"/>
        <v>131</v>
      </c>
      <c r="C2" s="102">
        <f t="shared" si="0"/>
        <v>130</v>
      </c>
      <c r="D2" s="102">
        <f>SUBTOTAL(3,D9:D139)</f>
        <v>131</v>
      </c>
      <c r="E2" s="102">
        <f>SUBTOTAL(3,E9:E139)</f>
        <v>131</v>
      </c>
      <c r="F2" s="324">
        <f>F1-F7</f>
        <v>4937000</v>
      </c>
      <c r="G2" s="324"/>
      <c r="H2" s="324"/>
      <c r="I2" s="324"/>
      <c r="J2" s="324"/>
      <c r="K2" s="102"/>
      <c r="S2" s="105"/>
      <c r="T2" s="105"/>
      <c r="U2" s="105"/>
      <c r="V2" s="102"/>
      <c r="W2" s="105"/>
      <c r="X2" s="106"/>
      <c r="Y2" s="106"/>
      <c r="Z2" s="107"/>
      <c r="AA2" s="107"/>
      <c r="AC2" s="106"/>
      <c r="AD2" s="106"/>
      <c r="AE2" s="106"/>
      <c r="AF2" s="106"/>
      <c r="AG2" s="105"/>
      <c r="AH2" s="105"/>
      <c r="AI2" s="105"/>
      <c r="AJ2" s="105"/>
      <c r="AK2" s="105"/>
      <c r="AL2" s="105"/>
      <c r="AM2" s="105"/>
      <c r="AN2" s="105"/>
      <c r="AO2" s="105"/>
      <c r="AP2" s="105"/>
      <c r="AQ2" s="105"/>
      <c r="AR2" s="105"/>
      <c r="AS2" s="105"/>
      <c r="AT2" s="105">
        <f>AT7-AS7</f>
        <v>-12641.550000000047</v>
      </c>
      <c r="AU2" s="105"/>
      <c r="AV2" s="105"/>
      <c r="AW2" s="105"/>
      <c r="AX2" s="105"/>
      <c r="AY2" s="105"/>
      <c r="AZ2" s="105">
        <f>AZ7-AY7</f>
        <v>-2000</v>
      </c>
      <c r="BA2" s="105"/>
      <c r="BB2" s="105"/>
      <c r="BC2" s="105"/>
      <c r="BD2" s="105"/>
      <c r="BE2" s="105"/>
      <c r="BF2" s="105"/>
      <c r="BG2" s="105">
        <f>BG7-BE7</f>
        <v>34885.765000000014</v>
      </c>
      <c r="BH2" s="105"/>
      <c r="BI2" s="105"/>
      <c r="BJ2" s="105"/>
      <c r="BK2" s="105"/>
      <c r="BL2" s="105"/>
      <c r="BM2" s="105"/>
      <c r="BN2" s="105">
        <f>BN7-BL7</f>
        <v>-43818.369999999995</v>
      </c>
      <c r="BO2" s="105"/>
      <c r="BP2" s="105"/>
      <c r="BQ2" s="105"/>
      <c r="BR2" s="105"/>
      <c r="BS2" s="105"/>
      <c r="BT2" s="105"/>
      <c r="BU2" s="105"/>
      <c r="BV2" s="105"/>
      <c r="BW2" s="105"/>
      <c r="BX2" s="105"/>
      <c r="BY2" s="105"/>
      <c r="BZ2" s="105"/>
      <c r="CA2" s="105"/>
      <c r="CB2" s="105"/>
      <c r="CC2" s="105"/>
      <c r="CD2" s="105"/>
      <c r="CE2" s="105"/>
      <c r="CF2" s="105"/>
      <c r="CG2" s="105"/>
      <c r="CH2" s="105"/>
      <c r="CI2" s="105"/>
      <c r="CJ2" s="105"/>
      <c r="CK2" s="105"/>
      <c r="CL2" s="105"/>
      <c r="CM2" s="105"/>
      <c r="CN2" s="105"/>
      <c r="CO2" s="105"/>
      <c r="CP2" s="105"/>
      <c r="CQ2" s="105"/>
      <c r="CR2" s="105"/>
      <c r="CS2" s="105"/>
      <c r="CT2" s="105"/>
      <c r="CU2" s="105"/>
      <c r="CV2" s="105"/>
      <c r="CW2" s="105"/>
      <c r="CX2" s="105"/>
      <c r="CY2" s="105"/>
      <c r="CZ2" s="105"/>
      <c r="DA2" s="105"/>
      <c r="DB2" s="105"/>
      <c r="DC2" s="105"/>
      <c r="DD2" s="105"/>
      <c r="DE2" s="105"/>
      <c r="DF2" s="105"/>
      <c r="DG2" s="105"/>
      <c r="DH2" s="105"/>
      <c r="DI2" s="105"/>
      <c r="DJ2" s="105"/>
      <c r="DK2" s="105"/>
      <c r="DL2" s="105"/>
      <c r="DM2" s="105"/>
      <c r="DN2" s="105"/>
      <c r="DO2" s="105"/>
      <c r="DP2" s="105"/>
      <c r="DQ2" s="105"/>
      <c r="DR2" s="105"/>
    </row>
    <row r="3" spans="1:122" ht="19.5" customHeight="1" thickBot="1">
      <c r="A3" s="513" t="s">
        <v>1</v>
      </c>
      <c r="B3" s="475" t="s">
        <v>2</v>
      </c>
      <c r="C3" s="532" t="s">
        <v>3</v>
      </c>
      <c r="D3" s="475" t="s">
        <v>4</v>
      </c>
      <c r="E3" s="516" t="s">
        <v>1176</v>
      </c>
      <c r="F3" s="516" t="s">
        <v>1170</v>
      </c>
      <c r="G3" s="519" t="s">
        <v>1242</v>
      </c>
      <c r="H3" s="519" t="s">
        <v>1259</v>
      </c>
      <c r="I3" s="519" t="s">
        <v>1258</v>
      </c>
      <c r="J3" s="510" t="s">
        <v>1178</v>
      </c>
      <c r="K3" s="475" t="s">
        <v>5</v>
      </c>
      <c r="L3" s="488" t="s">
        <v>6</v>
      </c>
      <c r="M3" s="489"/>
      <c r="N3" s="492" t="s">
        <v>9</v>
      </c>
      <c r="O3" s="493"/>
      <c r="P3" s="469" t="s">
        <v>1197</v>
      </c>
      <c r="Q3" s="273"/>
      <c r="R3" s="485" t="s">
        <v>1196</v>
      </c>
      <c r="S3" s="478" t="s">
        <v>7</v>
      </c>
      <c r="T3" s="479"/>
      <c r="U3" s="478" t="s">
        <v>8</v>
      </c>
      <c r="V3" s="479"/>
      <c r="W3" s="526" t="s">
        <v>9</v>
      </c>
      <c r="X3" s="527"/>
      <c r="Y3" s="527"/>
      <c r="Z3" s="527"/>
      <c r="AA3" s="527"/>
      <c r="AB3" s="527"/>
      <c r="AC3" s="527"/>
      <c r="AD3" s="527"/>
      <c r="AE3" s="527"/>
      <c r="AF3" s="527"/>
      <c r="AG3" s="527"/>
      <c r="AH3" s="527"/>
      <c r="AI3" s="528"/>
      <c r="AJ3" s="528"/>
      <c r="AK3" s="528"/>
      <c r="AL3" s="528"/>
      <c r="AM3" s="528"/>
      <c r="AN3" s="529"/>
      <c r="AO3" s="530">
        <v>2025</v>
      </c>
      <c r="AP3" s="527"/>
      <c r="AQ3" s="527"/>
      <c r="AR3" s="527"/>
      <c r="AS3" s="527"/>
      <c r="AT3" s="527"/>
      <c r="AU3" s="527"/>
      <c r="AV3" s="527"/>
      <c r="AW3" s="527"/>
      <c r="AX3" s="527"/>
      <c r="AY3" s="527"/>
      <c r="AZ3" s="527"/>
      <c r="BA3" s="527"/>
      <c r="BB3" s="527"/>
      <c r="BC3" s="527"/>
      <c r="BD3" s="527"/>
      <c r="BE3" s="527"/>
      <c r="BF3" s="527"/>
      <c r="BG3" s="527"/>
      <c r="BH3" s="527"/>
      <c r="BI3" s="527"/>
      <c r="BJ3" s="527"/>
      <c r="BK3" s="527"/>
      <c r="BL3" s="527"/>
      <c r="BM3" s="527"/>
      <c r="BN3" s="527"/>
      <c r="BO3" s="527"/>
      <c r="BP3" s="527"/>
      <c r="BQ3" s="527"/>
      <c r="BR3" s="527"/>
      <c r="BS3" s="527"/>
      <c r="BT3" s="527"/>
      <c r="BU3" s="527"/>
      <c r="BV3" s="527"/>
      <c r="BW3" s="527"/>
      <c r="BX3" s="527"/>
      <c r="BY3" s="527"/>
      <c r="BZ3" s="527"/>
      <c r="CA3" s="527"/>
      <c r="CB3" s="527"/>
      <c r="CC3" s="527"/>
      <c r="CD3" s="527"/>
      <c r="CE3" s="527"/>
      <c r="CF3" s="527"/>
      <c r="CG3" s="527"/>
      <c r="CH3" s="527"/>
      <c r="CI3" s="527"/>
      <c r="CJ3" s="527"/>
      <c r="CK3" s="527"/>
      <c r="CL3" s="527"/>
      <c r="CM3" s="527"/>
      <c r="CN3" s="527"/>
      <c r="CO3" s="527"/>
      <c r="CP3" s="527"/>
      <c r="CQ3" s="527"/>
      <c r="CR3" s="527"/>
      <c r="CS3" s="527"/>
      <c r="CT3" s="527"/>
      <c r="CU3" s="527"/>
      <c r="CV3" s="527"/>
      <c r="CW3" s="527"/>
      <c r="CX3" s="527"/>
      <c r="CY3" s="527"/>
      <c r="CZ3" s="527"/>
      <c r="DA3" s="527"/>
      <c r="DB3" s="527"/>
      <c r="DC3" s="527"/>
      <c r="DD3" s="527"/>
      <c r="DE3" s="527"/>
      <c r="DF3" s="527"/>
      <c r="DG3" s="527"/>
      <c r="DH3" s="527"/>
      <c r="DI3" s="527"/>
      <c r="DJ3" s="527"/>
      <c r="DK3" s="527"/>
      <c r="DL3" s="527"/>
      <c r="DM3" s="527"/>
      <c r="DN3" s="527"/>
      <c r="DO3" s="527"/>
      <c r="DP3" s="527"/>
      <c r="DQ3" s="527"/>
      <c r="DR3" s="531"/>
    </row>
    <row r="4" spans="1:122" ht="80.25" customHeight="1" thickBot="1">
      <c r="A4" s="514"/>
      <c r="B4" s="476"/>
      <c r="C4" s="533"/>
      <c r="D4" s="476"/>
      <c r="E4" s="517"/>
      <c r="F4" s="517"/>
      <c r="G4" s="520"/>
      <c r="H4" s="520"/>
      <c r="I4" s="520"/>
      <c r="J4" s="511"/>
      <c r="K4" s="476"/>
      <c r="L4" s="490"/>
      <c r="M4" s="491"/>
      <c r="N4" s="494"/>
      <c r="O4" s="495"/>
      <c r="P4" s="496"/>
      <c r="Q4" s="271" t="s">
        <v>1234</v>
      </c>
      <c r="R4" s="486"/>
      <c r="S4" s="480"/>
      <c r="T4" s="481"/>
      <c r="U4" s="480"/>
      <c r="V4" s="481"/>
      <c r="W4" s="500" t="s">
        <v>10</v>
      </c>
      <c r="X4" s="501"/>
      <c r="Y4" s="501"/>
      <c r="Z4" s="501"/>
      <c r="AA4" s="501"/>
      <c r="AB4" s="502"/>
      <c r="AC4" s="500" t="s">
        <v>11</v>
      </c>
      <c r="AD4" s="501"/>
      <c r="AE4" s="501"/>
      <c r="AF4" s="501"/>
      <c r="AG4" s="501"/>
      <c r="AH4" s="502"/>
      <c r="AI4" s="503" t="s">
        <v>9</v>
      </c>
      <c r="AJ4" s="504"/>
      <c r="AK4" s="504"/>
      <c r="AL4" s="504"/>
      <c r="AM4" s="504"/>
      <c r="AN4" s="505"/>
      <c r="AO4" s="500" t="s">
        <v>12</v>
      </c>
      <c r="AP4" s="501"/>
      <c r="AQ4" s="501"/>
      <c r="AR4" s="501"/>
      <c r="AS4" s="501"/>
      <c r="AT4" s="502"/>
      <c r="AU4" s="500" t="s">
        <v>13</v>
      </c>
      <c r="AV4" s="501"/>
      <c r="AW4" s="501"/>
      <c r="AX4" s="501"/>
      <c r="AY4" s="501"/>
      <c r="AZ4" s="502"/>
      <c r="BA4" s="500" t="s">
        <v>14</v>
      </c>
      <c r="BB4" s="501"/>
      <c r="BC4" s="501"/>
      <c r="BD4" s="501"/>
      <c r="BE4" s="501"/>
      <c r="BF4" s="509"/>
      <c r="BG4" s="502"/>
      <c r="BH4" s="500" t="s">
        <v>15</v>
      </c>
      <c r="BI4" s="501"/>
      <c r="BJ4" s="501"/>
      <c r="BK4" s="501"/>
      <c r="BL4" s="501"/>
      <c r="BM4" s="509"/>
      <c r="BN4" s="502"/>
      <c r="BO4" s="500" t="s">
        <v>16</v>
      </c>
      <c r="BP4" s="501"/>
      <c r="BQ4" s="501"/>
      <c r="BR4" s="501"/>
      <c r="BS4" s="501"/>
      <c r="BT4" s="509"/>
      <c r="BU4" s="502"/>
      <c r="BV4" s="500" t="s">
        <v>17</v>
      </c>
      <c r="BW4" s="501"/>
      <c r="BX4" s="501"/>
      <c r="BY4" s="501"/>
      <c r="BZ4" s="501"/>
      <c r="CA4" s="509"/>
      <c r="CB4" s="502"/>
      <c r="CC4" s="500" t="s">
        <v>18</v>
      </c>
      <c r="CD4" s="501"/>
      <c r="CE4" s="501"/>
      <c r="CF4" s="501"/>
      <c r="CG4" s="501"/>
      <c r="CH4" s="509"/>
      <c r="CI4" s="500" t="s">
        <v>19</v>
      </c>
      <c r="CJ4" s="501"/>
      <c r="CK4" s="501"/>
      <c r="CL4" s="501"/>
      <c r="CM4" s="501"/>
      <c r="CN4" s="509"/>
      <c r="CO4" s="500" t="s">
        <v>20</v>
      </c>
      <c r="CP4" s="501"/>
      <c r="CQ4" s="501"/>
      <c r="CR4" s="501"/>
      <c r="CS4" s="501"/>
      <c r="CT4" s="509"/>
      <c r="CU4" s="500" t="s">
        <v>21</v>
      </c>
      <c r="CV4" s="501"/>
      <c r="CW4" s="501"/>
      <c r="CX4" s="501"/>
      <c r="CY4" s="501"/>
      <c r="CZ4" s="509"/>
      <c r="DA4" s="466" t="s">
        <v>22</v>
      </c>
      <c r="DB4" s="467"/>
      <c r="DC4" s="467"/>
      <c r="DD4" s="467"/>
      <c r="DE4" s="467"/>
      <c r="DF4" s="468"/>
      <c r="DG4" s="500" t="s">
        <v>23</v>
      </c>
      <c r="DH4" s="501"/>
      <c r="DI4" s="501"/>
      <c r="DJ4" s="501"/>
      <c r="DK4" s="501"/>
      <c r="DL4" s="502"/>
      <c r="DM4" s="506" t="s">
        <v>24</v>
      </c>
      <c r="DN4" s="507"/>
      <c r="DO4" s="507"/>
      <c r="DP4" s="507"/>
      <c r="DQ4" s="507"/>
      <c r="DR4" s="508"/>
    </row>
    <row r="5" spans="1:122">
      <c r="A5" s="514"/>
      <c r="B5" s="476"/>
      <c r="C5" s="533"/>
      <c r="D5" s="476"/>
      <c r="E5" s="517"/>
      <c r="F5" s="517"/>
      <c r="G5" s="520"/>
      <c r="H5" s="520"/>
      <c r="I5" s="520"/>
      <c r="J5" s="511"/>
      <c r="K5" s="476"/>
      <c r="L5" s="469" t="s">
        <v>1169</v>
      </c>
      <c r="M5" s="469" t="s">
        <v>1205</v>
      </c>
      <c r="N5" s="498" t="s">
        <v>1172</v>
      </c>
      <c r="O5" s="469" t="s">
        <v>1177</v>
      </c>
      <c r="P5" s="496"/>
      <c r="Q5" s="274"/>
      <c r="R5" s="486"/>
      <c r="S5" s="471" t="s">
        <v>1169</v>
      </c>
      <c r="T5" s="473" t="s">
        <v>1168</v>
      </c>
      <c r="U5" s="471" t="s">
        <v>1169</v>
      </c>
      <c r="V5" s="473" t="s">
        <v>1168</v>
      </c>
      <c r="W5" s="464" t="s">
        <v>1167</v>
      </c>
      <c r="X5" s="460"/>
      <c r="Y5" s="460" t="s">
        <v>1166</v>
      </c>
      <c r="Z5" s="461"/>
      <c r="AA5" s="462" t="s">
        <v>25</v>
      </c>
      <c r="AB5" s="463"/>
      <c r="AC5" s="464" t="s">
        <v>1167</v>
      </c>
      <c r="AD5" s="460"/>
      <c r="AE5" s="460" t="s">
        <v>1166</v>
      </c>
      <c r="AF5" s="461"/>
      <c r="AG5" s="462" t="s">
        <v>25</v>
      </c>
      <c r="AH5" s="463"/>
      <c r="AI5" s="464" t="s">
        <v>1167</v>
      </c>
      <c r="AJ5" s="460"/>
      <c r="AK5" s="460" t="s">
        <v>1166</v>
      </c>
      <c r="AL5" s="461"/>
      <c r="AM5" s="462" t="s">
        <v>25</v>
      </c>
      <c r="AN5" s="463"/>
      <c r="AO5" s="464" t="s">
        <v>1167</v>
      </c>
      <c r="AP5" s="460"/>
      <c r="AQ5" s="460" t="s">
        <v>1166</v>
      </c>
      <c r="AR5" s="461"/>
      <c r="AS5" s="462" t="s">
        <v>25</v>
      </c>
      <c r="AT5" s="463"/>
      <c r="AU5" s="464" t="s">
        <v>1167</v>
      </c>
      <c r="AV5" s="460"/>
      <c r="AW5" s="460" t="s">
        <v>1166</v>
      </c>
      <c r="AX5" s="461"/>
      <c r="AY5" s="462" t="s">
        <v>25</v>
      </c>
      <c r="AZ5" s="463"/>
      <c r="BA5" s="464" t="s">
        <v>1167</v>
      </c>
      <c r="BB5" s="460"/>
      <c r="BC5" s="460" t="s">
        <v>1166</v>
      </c>
      <c r="BD5" s="461"/>
      <c r="BE5" s="462" t="s">
        <v>25</v>
      </c>
      <c r="BF5" s="465"/>
      <c r="BG5" s="463"/>
      <c r="BH5" s="464" t="s">
        <v>1167</v>
      </c>
      <c r="BI5" s="460"/>
      <c r="BJ5" s="460" t="s">
        <v>1166</v>
      </c>
      <c r="BK5" s="461"/>
      <c r="BL5" s="462" t="s">
        <v>25</v>
      </c>
      <c r="BM5" s="465"/>
      <c r="BN5" s="463"/>
      <c r="BO5" s="464" t="s">
        <v>1167</v>
      </c>
      <c r="BP5" s="460"/>
      <c r="BQ5" s="460" t="s">
        <v>1166</v>
      </c>
      <c r="BR5" s="461"/>
      <c r="BS5" s="462" t="s">
        <v>25</v>
      </c>
      <c r="BT5" s="465"/>
      <c r="BU5" s="463"/>
      <c r="BV5" s="464" t="s">
        <v>1167</v>
      </c>
      <c r="BW5" s="460"/>
      <c r="BX5" s="460" t="s">
        <v>1166</v>
      </c>
      <c r="BY5" s="461"/>
      <c r="BZ5" s="462" t="s">
        <v>25</v>
      </c>
      <c r="CA5" s="465"/>
      <c r="CB5" s="463"/>
      <c r="CC5" s="464" t="s">
        <v>1167</v>
      </c>
      <c r="CD5" s="460"/>
      <c r="CE5" s="460" t="s">
        <v>1166</v>
      </c>
      <c r="CF5" s="461"/>
      <c r="CG5" s="462" t="s">
        <v>25</v>
      </c>
      <c r="CH5" s="463"/>
      <c r="CI5" s="464" t="s">
        <v>1167</v>
      </c>
      <c r="CJ5" s="460"/>
      <c r="CK5" s="460" t="s">
        <v>1166</v>
      </c>
      <c r="CL5" s="461"/>
      <c r="CM5" s="462" t="s">
        <v>25</v>
      </c>
      <c r="CN5" s="463"/>
      <c r="CO5" s="464" t="s">
        <v>1167</v>
      </c>
      <c r="CP5" s="460"/>
      <c r="CQ5" s="460" t="s">
        <v>1166</v>
      </c>
      <c r="CR5" s="461"/>
      <c r="CS5" s="462" t="s">
        <v>25</v>
      </c>
      <c r="CT5" s="463"/>
      <c r="CU5" s="464" t="s">
        <v>1167</v>
      </c>
      <c r="CV5" s="460"/>
      <c r="CW5" s="460" t="s">
        <v>1166</v>
      </c>
      <c r="CX5" s="461"/>
      <c r="CY5" s="462" t="s">
        <v>25</v>
      </c>
      <c r="CZ5" s="463"/>
      <c r="DA5" s="464" t="s">
        <v>1167</v>
      </c>
      <c r="DB5" s="460"/>
      <c r="DC5" s="460" t="s">
        <v>1166</v>
      </c>
      <c r="DD5" s="461"/>
      <c r="DE5" s="462" t="s">
        <v>25</v>
      </c>
      <c r="DF5" s="463"/>
      <c r="DG5" s="464" t="s">
        <v>1167</v>
      </c>
      <c r="DH5" s="460"/>
      <c r="DI5" s="460" t="s">
        <v>1166</v>
      </c>
      <c r="DJ5" s="461"/>
      <c r="DK5" s="462" t="s">
        <v>25</v>
      </c>
      <c r="DL5" s="463"/>
      <c r="DM5" s="464" t="s">
        <v>1167</v>
      </c>
      <c r="DN5" s="460"/>
      <c r="DO5" s="460" t="s">
        <v>1166</v>
      </c>
      <c r="DP5" s="461"/>
      <c r="DQ5" s="462" t="s">
        <v>25</v>
      </c>
      <c r="DR5" s="463"/>
    </row>
    <row r="6" spans="1:122" ht="15.75" thickBot="1">
      <c r="A6" s="515"/>
      <c r="B6" s="477"/>
      <c r="C6" s="534"/>
      <c r="D6" s="477"/>
      <c r="E6" s="518"/>
      <c r="F6" s="518"/>
      <c r="G6" s="521"/>
      <c r="H6" s="521"/>
      <c r="I6" s="521"/>
      <c r="J6" s="512"/>
      <c r="K6" s="477"/>
      <c r="L6" s="470"/>
      <c r="M6" s="470"/>
      <c r="N6" s="497"/>
      <c r="O6" s="497"/>
      <c r="P6" s="470"/>
      <c r="Q6" s="275"/>
      <c r="R6" s="487"/>
      <c r="S6" s="472"/>
      <c r="T6" s="474"/>
      <c r="U6" s="472"/>
      <c r="V6" s="474"/>
      <c r="W6" s="2" t="s">
        <v>26</v>
      </c>
      <c r="X6" s="3" t="s">
        <v>27</v>
      </c>
      <c r="Y6" s="3" t="s">
        <v>26</v>
      </c>
      <c r="Z6" s="4" t="s">
        <v>27</v>
      </c>
      <c r="AA6" s="5" t="s">
        <v>26</v>
      </c>
      <c r="AB6" s="6" t="s">
        <v>27</v>
      </c>
      <c r="AC6" s="2" t="s">
        <v>26</v>
      </c>
      <c r="AD6" s="3" t="s">
        <v>27</v>
      </c>
      <c r="AE6" s="3" t="s">
        <v>26</v>
      </c>
      <c r="AF6" s="4" t="s">
        <v>27</v>
      </c>
      <c r="AG6" s="5" t="s">
        <v>26</v>
      </c>
      <c r="AH6" s="6" t="s">
        <v>27</v>
      </c>
      <c r="AI6" s="2" t="s">
        <v>26</v>
      </c>
      <c r="AJ6" s="3" t="s">
        <v>27</v>
      </c>
      <c r="AK6" s="3" t="s">
        <v>26</v>
      </c>
      <c r="AL6" s="4" t="s">
        <v>27</v>
      </c>
      <c r="AM6" s="5" t="s">
        <v>26</v>
      </c>
      <c r="AN6" s="6" t="s">
        <v>27</v>
      </c>
      <c r="AO6" s="2" t="s">
        <v>26</v>
      </c>
      <c r="AP6" s="3" t="s">
        <v>27</v>
      </c>
      <c r="AQ6" s="3" t="s">
        <v>26</v>
      </c>
      <c r="AR6" s="4" t="s">
        <v>27</v>
      </c>
      <c r="AS6" s="5" t="s">
        <v>26</v>
      </c>
      <c r="AT6" s="6" t="s">
        <v>27</v>
      </c>
      <c r="AU6" s="2" t="s">
        <v>26</v>
      </c>
      <c r="AV6" s="3" t="s">
        <v>27</v>
      </c>
      <c r="AW6" s="3" t="s">
        <v>26</v>
      </c>
      <c r="AX6" s="4" t="s">
        <v>27</v>
      </c>
      <c r="AY6" s="5" t="s">
        <v>26</v>
      </c>
      <c r="AZ6" s="6" t="s">
        <v>27</v>
      </c>
      <c r="BA6" s="2" t="s">
        <v>26</v>
      </c>
      <c r="BB6" s="3" t="s">
        <v>27</v>
      </c>
      <c r="BC6" s="3" t="s">
        <v>26</v>
      </c>
      <c r="BD6" s="4" t="s">
        <v>27</v>
      </c>
      <c r="BE6" s="5" t="s">
        <v>26</v>
      </c>
      <c r="BF6" s="367" t="s">
        <v>1254</v>
      </c>
      <c r="BG6" s="6" t="s">
        <v>27</v>
      </c>
      <c r="BH6" s="2" t="s">
        <v>26</v>
      </c>
      <c r="BI6" s="3" t="s">
        <v>27</v>
      </c>
      <c r="BJ6" s="3" t="s">
        <v>26</v>
      </c>
      <c r="BK6" s="4" t="s">
        <v>27</v>
      </c>
      <c r="BL6" s="5" t="s">
        <v>26</v>
      </c>
      <c r="BM6" s="367" t="s">
        <v>1254</v>
      </c>
      <c r="BN6" s="6" t="s">
        <v>27</v>
      </c>
      <c r="BO6" s="2" t="s">
        <v>26</v>
      </c>
      <c r="BP6" s="3" t="s">
        <v>27</v>
      </c>
      <c r="BQ6" s="3" t="s">
        <v>26</v>
      </c>
      <c r="BR6" s="4" t="s">
        <v>27</v>
      </c>
      <c r="BS6" s="5" t="s">
        <v>26</v>
      </c>
      <c r="BT6" s="367" t="s">
        <v>1254</v>
      </c>
      <c r="BU6" s="6" t="s">
        <v>27</v>
      </c>
      <c r="BV6" s="2" t="s">
        <v>26</v>
      </c>
      <c r="BW6" s="3" t="s">
        <v>27</v>
      </c>
      <c r="BX6" s="3" t="s">
        <v>26</v>
      </c>
      <c r="BY6" s="4" t="s">
        <v>27</v>
      </c>
      <c r="BZ6" s="5" t="s">
        <v>26</v>
      </c>
      <c r="CA6" s="367" t="s">
        <v>1254</v>
      </c>
      <c r="CB6" s="6" t="s">
        <v>27</v>
      </c>
      <c r="CC6" s="2" t="s">
        <v>26</v>
      </c>
      <c r="CD6" s="3" t="s">
        <v>27</v>
      </c>
      <c r="CE6" s="3" t="s">
        <v>26</v>
      </c>
      <c r="CF6" s="4" t="s">
        <v>27</v>
      </c>
      <c r="CG6" s="5" t="s">
        <v>26</v>
      </c>
      <c r="CH6" s="6" t="s">
        <v>27</v>
      </c>
      <c r="CI6" s="2" t="s">
        <v>26</v>
      </c>
      <c r="CJ6" s="3" t="s">
        <v>27</v>
      </c>
      <c r="CK6" s="3" t="s">
        <v>26</v>
      </c>
      <c r="CL6" s="4" t="s">
        <v>27</v>
      </c>
      <c r="CM6" s="5" t="s">
        <v>26</v>
      </c>
      <c r="CN6" s="6" t="s">
        <v>27</v>
      </c>
      <c r="CO6" s="2" t="s">
        <v>26</v>
      </c>
      <c r="CP6" s="3" t="s">
        <v>27</v>
      </c>
      <c r="CQ6" s="3" t="s">
        <v>26</v>
      </c>
      <c r="CR6" s="4" t="s">
        <v>27</v>
      </c>
      <c r="CS6" s="5" t="s">
        <v>26</v>
      </c>
      <c r="CT6" s="6" t="s">
        <v>27</v>
      </c>
      <c r="CU6" s="2" t="s">
        <v>26</v>
      </c>
      <c r="CV6" s="3" t="s">
        <v>27</v>
      </c>
      <c r="CW6" s="3" t="s">
        <v>26</v>
      </c>
      <c r="CX6" s="4" t="s">
        <v>27</v>
      </c>
      <c r="CY6" s="5" t="s">
        <v>26</v>
      </c>
      <c r="CZ6" s="6" t="s">
        <v>27</v>
      </c>
      <c r="DA6" s="2" t="s">
        <v>26</v>
      </c>
      <c r="DB6" s="3" t="s">
        <v>27</v>
      </c>
      <c r="DC6" s="3" t="s">
        <v>26</v>
      </c>
      <c r="DD6" s="4" t="s">
        <v>27</v>
      </c>
      <c r="DE6" s="5" t="s">
        <v>26</v>
      </c>
      <c r="DF6" s="6" t="s">
        <v>27</v>
      </c>
      <c r="DG6" s="2" t="s">
        <v>26</v>
      </c>
      <c r="DH6" s="3" t="s">
        <v>27</v>
      </c>
      <c r="DI6" s="3" t="s">
        <v>26</v>
      </c>
      <c r="DJ6" s="4" t="s">
        <v>27</v>
      </c>
      <c r="DK6" s="5" t="s">
        <v>26</v>
      </c>
      <c r="DL6" s="6" t="s">
        <v>27</v>
      </c>
      <c r="DM6" s="2" t="s">
        <v>26</v>
      </c>
      <c r="DN6" s="3" t="s">
        <v>27</v>
      </c>
      <c r="DO6" s="3" t="s">
        <v>26</v>
      </c>
      <c r="DP6" s="4" t="s">
        <v>27</v>
      </c>
      <c r="DQ6" s="5" t="s">
        <v>26</v>
      </c>
      <c r="DR6" s="6" t="s">
        <v>27</v>
      </c>
    </row>
    <row r="7" spans="1:122" ht="15.75">
      <c r="A7" s="108">
        <f>SUBTOTAL(3,A9:A139)</f>
        <v>131</v>
      </c>
      <c r="B7" s="108">
        <f t="shared" ref="B7:E7" si="1">SUBTOTAL(3,B9:B139)</f>
        <v>131</v>
      </c>
      <c r="C7" s="108">
        <f t="shared" si="1"/>
        <v>130</v>
      </c>
      <c r="D7" s="108">
        <f t="shared" si="1"/>
        <v>131</v>
      </c>
      <c r="E7" s="108">
        <f t="shared" si="1"/>
        <v>131</v>
      </c>
      <c r="F7" s="108">
        <f>SUBTOTAL(9,F9:F139)</f>
        <v>3584095.1</v>
      </c>
      <c r="G7" s="108">
        <f>SUBTOTAL(9,G9:G139)</f>
        <v>4072687.8138331082</v>
      </c>
      <c r="H7" s="108">
        <f t="shared" ref="H7:I7" si="2">SUBTOTAL(9,H9:H139)</f>
        <v>-488592.71383310802</v>
      </c>
      <c r="I7" s="108">
        <f t="shared" si="2"/>
        <v>738559.42000000039</v>
      </c>
      <c r="J7" s="108">
        <f t="shared" ref="J7:AX7" si="3">SUBTOTAL(9,J9:J139)</f>
        <v>14658310.145</v>
      </c>
      <c r="K7" s="108">
        <f t="shared" si="3"/>
        <v>13211530.05776242</v>
      </c>
      <c r="L7" s="108">
        <f t="shared" si="3"/>
        <v>6719029.3399999999</v>
      </c>
      <c r="M7" s="108">
        <f t="shared" si="3"/>
        <v>4241921.74</v>
      </c>
      <c r="N7" s="108">
        <f t="shared" si="3"/>
        <v>4355185.7050000001</v>
      </c>
      <c r="O7" s="108">
        <f t="shared" si="3"/>
        <v>3056076.6550000003</v>
      </c>
      <c r="P7" s="108">
        <f t="shared" si="3"/>
        <v>11074215.045000002</v>
      </c>
      <c r="Q7" s="108">
        <f t="shared" si="3"/>
        <v>3584095.1</v>
      </c>
      <c r="R7" s="108">
        <f t="shared" si="3"/>
        <v>12097540.058833107</v>
      </c>
      <c r="S7" s="108">
        <f t="shared" si="3"/>
        <v>3493045.37</v>
      </c>
      <c r="T7" s="108">
        <f t="shared" si="3"/>
        <v>361322.07</v>
      </c>
      <c r="U7" s="108">
        <f t="shared" si="3"/>
        <v>10212074.710000001</v>
      </c>
      <c r="V7" s="108">
        <f t="shared" si="3"/>
        <v>361322.07</v>
      </c>
      <c r="W7" s="108">
        <f t="shared" si="3"/>
        <v>0</v>
      </c>
      <c r="X7" s="108">
        <f t="shared" si="3"/>
        <v>0</v>
      </c>
      <c r="Y7" s="108">
        <f t="shared" si="3"/>
        <v>348045.98854767089</v>
      </c>
      <c r="Z7" s="108">
        <f t="shared" si="3"/>
        <v>333421.47500000003</v>
      </c>
      <c r="AA7" s="108">
        <f t="shared" si="3"/>
        <v>348045.98854767089</v>
      </c>
      <c r="AB7" s="108">
        <f t="shared" si="3"/>
        <v>333421.47500000003</v>
      </c>
      <c r="AC7" s="108">
        <f t="shared" si="3"/>
        <v>0</v>
      </c>
      <c r="AD7" s="108">
        <f t="shared" si="3"/>
        <v>71063.680000000008</v>
      </c>
      <c r="AE7" s="108">
        <f t="shared" si="3"/>
        <v>177000</v>
      </c>
      <c r="AF7" s="108">
        <f t="shared" si="3"/>
        <v>96333.109999999986</v>
      </c>
      <c r="AG7" s="108">
        <f t="shared" si="3"/>
        <v>177000</v>
      </c>
      <c r="AH7" s="108">
        <f t="shared" si="3"/>
        <v>167396.78999999998</v>
      </c>
      <c r="AI7" s="108">
        <f t="shared" si="3"/>
        <v>3493045.37</v>
      </c>
      <c r="AJ7" s="108">
        <f t="shared" si="3"/>
        <v>3564109.05</v>
      </c>
      <c r="AK7" s="108">
        <f t="shared" si="3"/>
        <v>886368.05854767084</v>
      </c>
      <c r="AL7" s="108">
        <f t="shared" si="3"/>
        <v>791076.65500000003</v>
      </c>
      <c r="AM7" s="108">
        <f t="shared" si="3"/>
        <v>4379413.4285476711</v>
      </c>
      <c r="AN7" s="108">
        <f t="shared" si="3"/>
        <v>4355185.7050000001</v>
      </c>
      <c r="AO7" s="108">
        <f t="shared" si="3"/>
        <v>500000</v>
      </c>
      <c r="AP7" s="108">
        <f t="shared" si="3"/>
        <v>1000000</v>
      </c>
      <c r="AQ7" s="108">
        <f t="shared" si="3"/>
        <v>773095.1</v>
      </c>
      <c r="AR7" s="108">
        <f t="shared" si="3"/>
        <v>260453.55</v>
      </c>
      <c r="AS7" s="108">
        <f t="shared" si="3"/>
        <v>1273095.1000000001</v>
      </c>
      <c r="AT7" s="108">
        <f t="shared" si="3"/>
        <v>1260453.55</v>
      </c>
      <c r="AU7" s="108">
        <f t="shared" si="3"/>
        <v>1286000</v>
      </c>
      <c r="AV7" s="108">
        <f>SUBTOTAL(9,AV9:AV140)</f>
        <v>1584000</v>
      </c>
      <c r="AW7" s="108">
        <f t="shared" si="3"/>
        <v>300000</v>
      </c>
      <c r="AX7" s="108">
        <f t="shared" si="3"/>
        <v>0</v>
      </c>
      <c r="AY7" s="108">
        <f>SUBTOTAL(9,AY9:AY140)</f>
        <v>1586000</v>
      </c>
      <c r="AZ7" s="108">
        <f>SUBTOTAL(9,AZ9:AZ140)</f>
        <v>1584000</v>
      </c>
      <c r="BA7" s="108">
        <f t="shared" ref="BA7:DL7" si="4">SUBTOTAL(9,BA9:BA140)</f>
        <v>0</v>
      </c>
      <c r="BB7" s="108">
        <f t="shared" si="4"/>
        <v>257000</v>
      </c>
      <c r="BC7" s="108">
        <f t="shared" si="4"/>
        <v>295000</v>
      </c>
      <c r="BD7" s="108">
        <f t="shared" si="4"/>
        <v>72885.764999999985</v>
      </c>
      <c r="BE7" s="108">
        <f t="shared" si="4"/>
        <v>295000</v>
      </c>
      <c r="BF7" s="108">
        <f t="shared" si="4"/>
        <v>294770.42000000027</v>
      </c>
      <c r="BG7" s="108">
        <f t="shared" si="4"/>
        <v>329885.76500000001</v>
      </c>
      <c r="BH7" s="108">
        <f t="shared" si="4"/>
        <v>0</v>
      </c>
      <c r="BI7" s="108">
        <f t="shared" si="4"/>
        <v>0</v>
      </c>
      <c r="BJ7" s="108">
        <f t="shared" si="4"/>
        <v>90000</v>
      </c>
      <c r="BK7" s="108">
        <f t="shared" si="4"/>
        <v>46181.630000000005</v>
      </c>
      <c r="BL7" s="108">
        <f t="shared" si="4"/>
        <v>90000</v>
      </c>
      <c r="BM7" s="108">
        <f t="shared" si="4"/>
        <v>95560</v>
      </c>
      <c r="BN7" s="108">
        <f t="shared" si="4"/>
        <v>46181.630000000005</v>
      </c>
      <c r="BO7" s="108">
        <f t="shared" si="4"/>
        <v>0</v>
      </c>
      <c r="BP7" s="108">
        <f t="shared" si="4"/>
        <v>350000</v>
      </c>
      <c r="BQ7" s="108">
        <f t="shared" si="4"/>
        <v>230000</v>
      </c>
      <c r="BR7" s="108">
        <f t="shared" si="4"/>
        <v>1688.75</v>
      </c>
      <c r="BS7" s="108">
        <f t="shared" si="4"/>
        <v>230000</v>
      </c>
      <c r="BT7" s="108">
        <f t="shared" si="4"/>
        <v>234400</v>
      </c>
      <c r="BU7" s="108">
        <f t="shared" si="4"/>
        <v>351688.75</v>
      </c>
      <c r="BV7" s="108">
        <f t="shared" si="4"/>
        <v>0</v>
      </c>
      <c r="BW7" s="108">
        <f t="shared" si="4"/>
        <v>5000</v>
      </c>
      <c r="BX7" s="108">
        <f t="shared" si="4"/>
        <v>110000</v>
      </c>
      <c r="BY7" s="108">
        <f t="shared" si="4"/>
        <v>18406.07</v>
      </c>
      <c r="BZ7" s="108">
        <f t="shared" si="4"/>
        <v>110000</v>
      </c>
      <c r="CA7" s="108">
        <f t="shared" si="4"/>
        <v>113829</v>
      </c>
      <c r="CB7" s="108">
        <f t="shared" si="4"/>
        <v>23406.07</v>
      </c>
      <c r="CC7" s="108">
        <f t="shared" si="4"/>
        <v>0</v>
      </c>
      <c r="CD7" s="108">
        <f t="shared" si="4"/>
        <v>107957.5</v>
      </c>
      <c r="CE7" s="108">
        <f t="shared" si="4"/>
        <v>0</v>
      </c>
      <c r="CF7" s="108">
        <f t="shared" si="4"/>
        <v>19191.298833108143</v>
      </c>
      <c r="CG7" s="108">
        <f t="shared" si="4"/>
        <v>0</v>
      </c>
      <c r="CH7" s="108">
        <f t="shared" si="4"/>
        <v>127148.79883310814</v>
      </c>
      <c r="CI7" s="108">
        <f t="shared" si="4"/>
        <v>0</v>
      </c>
      <c r="CJ7" s="108">
        <f t="shared" si="4"/>
        <v>2345</v>
      </c>
      <c r="CK7" s="108">
        <f t="shared" si="4"/>
        <v>0</v>
      </c>
      <c r="CL7" s="108">
        <f t="shared" si="4"/>
        <v>61280.36</v>
      </c>
      <c r="CM7" s="108">
        <f t="shared" si="4"/>
        <v>0</v>
      </c>
      <c r="CN7" s="108">
        <f t="shared" si="4"/>
        <v>63625.36</v>
      </c>
      <c r="CO7" s="108">
        <f t="shared" si="4"/>
        <v>0</v>
      </c>
      <c r="CP7" s="108">
        <f t="shared" si="4"/>
        <v>0</v>
      </c>
      <c r="CQ7" s="108">
        <f t="shared" si="4"/>
        <v>0</v>
      </c>
      <c r="CR7" s="108">
        <f t="shared" si="4"/>
        <v>18366.72</v>
      </c>
      <c r="CS7" s="108">
        <f t="shared" si="4"/>
        <v>0</v>
      </c>
      <c r="CT7" s="108">
        <f t="shared" si="4"/>
        <v>18366.72</v>
      </c>
      <c r="CU7" s="108">
        <f t="shared" si="4"/>
        <v>0</v>
      </c>
      <c r="CV7" s="108">
        <f t="shared" si="4"/>
        <v>17000</v>
      </c>
      <c r="CW7" s="108">
        <f t="shared" si="4"/>
        <v>0</v>
      </c>
      <c r="CX7" s="108">
        <f t="shared" si="4"/>
        <v>1207.93</v>
      </c>
      <c r="CY7" s="108">
        <f t="shared" si="4"/>
        <v>0</v>
      </c>
      <c r="CZ7" s="108">
        <f t="shared" si="4"/>
        <v>18207.93</v>
      </c>
      <c r="DA7" s="108">
        <f t="shared" si="4"/>
        <v>0</v>
      </c>
      <c r="DB7" s="108">
        <f t="shared" si="4"/>
        <v>249723.24</v>
      </c>
      <c r="DC7" s="108">
        <f t="shared" si="4"/>
        <v>0</v>
      </c>
      <c r="DD7" s="108">
        <f t="shared" si="4"/>
        <v>0</v>
      </c>
      <c r="DE7" s="108">
        <f t="shared" si="4"/>
        <v>0</v>
      </c>
      <c r="DF7" s="108">
        <f t="shared" si="4"/>
        <v>249723.24</v>
      </c>
      <c r="DG7" s="108">
        <f t="shared" si="4"/>
        <v>0</v>
      </c>
      <c r="DH7" s="108">
        <f t="shared" si="4"/>
        <v>0</v>
      </c>
      <c r="DI7" s="108">
        <f t="shared" si="4"/>
        <v>0</v>
      </c>
      <c r="DJ7" s="108">
        <f t="shared" si="4"/>
        <v>0</v>
      </c>
      <c r="DK7" s="108">
        <f t="shared" si="4"/>
        <v>0</v>
      </c>
      <c r="DL7" s="108">
        <f t="shared" si="4"/>
        <v>0</v>
      </c>
      <c r="DM7" s="108">
        <f t="shared" ref="DM7:DR7" si="5">SUBTOTAL(9,DM9:DM140)</f>
        <v>1786000</v>
      </c>
      <c r="DN7" s="108">
        <f t="shared" si="5"/>
        <v>3573025.74</v>
      </c>
      <c r="DO7" s="108">
        <f t="shared" si="5"/>
        <v>1798095.1</v>
      </c>
      <c r="DP7" s="108">
        <f t="shared" si="5"/>
        <v>499662.07383310812</v>
      </c>
      <c r="DQ7" s="108">
        <f t="shared" si="5"/>
        <v>3584095.1</v>
      </c>
      <c r="DR7" s="108">
        <f t="shared" si="5"/>
        <v>4072687.8138331082</v>
      </c>
    </row>
    <row r="8" spans="1:122" ht="15.75" customHeight="1">
      <c r="A8" s="109"/>
      <c r="B8" s="109"/>
      <c r="C8" s="109"/>
      <c r="D8" s="109"/>
      <c r="E8" s="109"/>
      <c r="F8" s="109"/>
      <c r="G8" s="109"/>
      <c r="H8" s="109"/>
      <c r="I8" s="109"/>
      <c r="J8" s="109"/>
      <c r="K8" s="110"/>
      <c r="L8" s="109"/>
      <c r="M8" s="109"/>
      <c r="N8" s="109"/>
      <c r="O8" s="109"/>
      <c r="P8" s="109"/>
      <c r="Q8" s="116"/>
      <c r="R8" s="109"/>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c r="CY8" s="111"/>
      <c r="CZ8" s="111"/>
      <c r="DA8" s="111"/>
      <c r="DB8" s="111"/>
      <c r="DC8" s="111"/>
      <c r="DD8" s="111"/>
      <c r="DE8" s="111"/>
      <c r="DF8" s="111"/>
      <c r="DG8" s="111"/>
      <c r="DH8" s="111"/>
      <c r="DI8" s="111"/>
      <c r="DJ8" s="111"/>
      <c r="DK8" s="111"/>
      <c r="DL8" s="111"/>
      <c r="DM8" s="111"/>
      <c r="DN8" s="111"/>
      <c r="DO8" s="111"/>
      <c r="DP8" s="111"/>
      <c r="DQ8" s="111"/>
      <c r="DR8" s="111"/>
    </row>
    <row r="9" spans="1:122">
      <c r="A9" s="15">
        <v>1</v>
      </c>
      <c r="B9" s="96" t="s">
        <v>950</v>
      </c>
      <c r="C9" s="96" t="s">
        <v>951</v>
      </c>
      <c r="D9" s="96" t="s">
        <v>952</v>
      </c>
      <c r="E9" s="185" t="s">
        <v>1164</v>
      </c>
      <c r="F9" s="161">
        <f>SUM(DQ9)</f>
        <v>0</v>
      </c>
      <c r="G9" s="161">
        <f>AT9+AZ9+BG9+BN9+BU9+CB9+CH9+CN9+CT9+CZ9+DF9+DL9</f>
        <v>0</v>
      </c>
      <c r="H9" s="161">
        <f>F9-G9</f>
        <v>0</v>
      </c>
      <c r="I9" s="161">
        <f>BF9+BM9+BT9+CA9</f>
        <v>0</v>
      </c>
      <c r="J9" s="165">
        <f t="shared" ref="J9:J40" si="6">L9+AN9+DQ9</f>
        <v>281.75</v>
      </c>
      <c r="K9" s="115"/>
      <c r="L9" s="211">
        <v>0</v>
      </c>
      <c r="M9" s="211">
        <v>0</v>
      </c>
      <c r="N9" s="127">
        <f t="shared" ref="N9" si="7">AN9</f>
        <v>281.75</v>
      </c>
      <c r="O9" s="127">
        <f t="shared" ref="O9" si="8">IF(AL9&gt;0,L9+AN9-M9,0)</f>
        <v>281.75</v>
      </c>
      <c r="P9" s="127">
        <f t="shared" ref="P9" si="9">L9+N9</f>
        <v>281.75</v>
      </c>
      <c r="Q9" s="131">
        <f>J9-P9</f>
        <v>0</v>
      </c>
      <c r="R9" s="125">
        <f t="shared" ref="R9:R40" si="10">IF(AND(AL9&gt;0,DP9&gt;0),"შეცდომაა! ერთზე მეტი ბოლო ჩაბარება!",IF(OR(AL9&gt;0,DP9&gt;0,),IF(AL9&gt;0,L9+AN9,L9+AN9+DR9),IF(AND(L9=0,N9=0,DR9=0),"ნულოვანი შესრულება","მიმდინარეობს")))</f>
        <v>281.75</v>
      </c>
      <c r="S9" s="113">
        <v>0</v>
      </c>
      <c r="T9" s="113"/>
      <c r="U9" s="113">
        <f t="shared" ref="U9:U73" si="11">L9+S9</f>
        <v>0</v>
      </c>
      <c r="V9" s="113">
        <f t="shared" ref="V9:V73" si="12">T9</f>
        <v>0</v>
      </c>
      <c r="W9" s="113"/>
      <c r="X9" s="113">
        <v>0</v>
      </c>
      <c r="Y9" s="113">
        <v>0</v>
      </c>
      <c r="Z9" s="113">
        <v>0</v>
      </c>
      <c r="AA9" s="113">
        <f t="shared" ref="AA9:AB25" si="13">W9+Y9</f>
        <v>0</v>
      </c>
      <c r="AB9" s="113">
        <f t="shared" si="13"/>
        <v>0</v>
      </c>
      <c r="AC9" s="113"/>
      <c r="AD9" s="113"/>
      <c r="AE9" s="113">
        <v>300</v>
      </c>
      <c r="AF9" s="113">
        <v>281.75</v>
      </c>
      <c r="AG9" s="113">
        <f t="shared" ref="AG9:AH72" si="14">AC9+AE9</f>
        <v>300</v>
      </c>
      <c r="AH9" s="113">
        <f t="shared" si="14"/>
        <v>281.75</v>
      </c>
      <c r="AI9" s="114">
        <f t="shared" ref="AI9:AI73" si="15">S9+W9+AC9</f>
        <v>0</v>
      </c>
      <c r="AJ9" s="114">
        <f t="shared" ref="AJ9:AK72" si="16">S9+X9+AD9</f>
        <v>0</v>
      </c>
      <c r="AK9" s="114">
        <f t="shared" si="16"/>
        <v>300</v>
      </c>
      <c r="AL9" s="114">
        <f t="shared" ref="AL9:AL73" si="17">T9+Z9+AF9</f>
        <v>281.75</v>
      </c>
      <c r="AM9" s="113">
        <f t="shared" ref="AM9:AN72" si="18">AI9+AK9</f>
        <v>300</v>
      </c>
      <c r="AN9" s="113">
        <f t="shared" si="18"/>
        <v>281.75</v>
      </c>
      <c r="AO9" s="113"/>
      <c r="AP9" s="113"/>
      <c r="AQ9" s="113"/>
      <c r="AR9" s="113"/>
      <c r="AS9" s="113">
        <f t="shared" ref="AS9:AT72" si="19">AO9+AQ9</f>
        <v>0</v>
      </c>
      <c r="AT9" s="113">
        <f t="shared" si="19"/>
        <v>0</v>
      </c>
      <c r="AU9" s="113"/>
      <c r="AV9" s="113"/>
      <c r="AW9" s="113"/>
      <c r="AX9" s="113"/>
      <c r="AY9" s="113">
        <f t="shared" ref="AY9:AZ72" si="20">AU9+AW9</f>
        <v>0</v>
      </c>
      <c r="AZ9" s="113">
        <f t="shared" si="20"/>
        <v>0</v>
      </c>
      <c r="BA9" s="113"/>
      <c r="BB9" s="113"/>
      <c r="BC9" s="113"/>
      <c r="BD9" s="113"/>
      <c r="BE9" s="113">
        <f t="shared" ref="BE9:BE72" si="21">BA9+BC9</f>
        <v>0</v>
      </c>
      <c r="BF9" s="113"/>
      <c r="BG9" s="113">
        <f t="shared" ref="BG9:BG17" si="22">BB9+BD9</f>
        <v>0</v>
      </c>
      <c r="BH9" s="113"/>
      <c r="BI9" s="113"/>
      <c r="BJ9" s="113"/>
      <c r="BK9" s="113"/>
      <c r="BL9" s="113">
        <f t="shared" ref="BL9:BL72" si="23">BH9+BJ9</f>
        <v>0</v>
      </c>
      <c r="BM9" s="113">
        <v>0</v>
      </c>
      <c r="BN9" s="113">
        <f t="shared" ref="BN9:BN17" si="24">BI9+BK9</f>
        <v>0</v>
      </c>
      <c r="BO9" s="113"/>
      <c r="BP9" s="113"/>
      <c r="BQ9" s="113"/>
      <c r="BR9" s="113"/>
      <c r="BS9" s="113">
        <f t="shared" ref="BS9:BS72" si="25">BO9+BQ9</f>
        <v>0</v>
      </c>
      <c r="BT9" s="113"/>
      <c r="BU9" s="113">
        <f t="shared" ref="BU9:BU17" si="26">BP9+BR9</f>
        <v>0</v>
      </c>
      <c r="BV9" s="113"/>
      <c r="BW9" s="113"/>
      <c r="BX9" s="113"/>
      <c r="BY9" s="113"/>
      <c r="BZ9" s="113">
        <f t="shared" ref="BZ9:BZ72" si="27">BV9+BX9</f>
        <v>0</v>
      </c>
      <c r="CA9" s="113"/>
      <c r="CB9" s="113">
        <f t="shared" ref="CB9:CB40" si="28">BW9+BY9</f>
        <v>0</v>
      </c>
      <c r="CC9" s="113"/>
      <c r="CD9" s="113"/>
      <c r="CE9" s="113"/>
      <c r="CF9" s="113"/>
      <c r="CG9" s="113">
        <f t="shared" ref="CG9:CG72" si="29">CC9+CE9</f>
        <v>0</v>
      </c>
      <c r="CH9" s="113">
        <f t="shared" ref="CH9:CH40" si="30">CD9+CF9</f>
        <v>0</v>
      </c>
      <c r="CI9" s="113"/>
      <c r="CJ9" s="113"/>
      <c r="CK9" s="113"/>
      <c r="CL9" s="113"/>
      <c r="CM9" s="113">
        <f t="shared" ref="CM9:CN72" si="31">CI9+CK9</f>
        <v>0</v>
      </c>
      <c r="CN9" s="113">
        <f t="shared" si="31"/>
        <v>0</v>
      </c>
      <c r="CO9" s="113"/>
      <c r="CP9" s="113"/>
      <c r="CQ9" s="113"/>
      <c r="CR9" s="113"/>
      <c r="CS9" s="113">
        <f t="shared" ref="CS9:CT72" si="32">CO9+CQ9</f>
        <v>0</v>
      </c>
      <c r="CT9" s="113">
        <f t="shared" si="32"/>
        <v>0</v>
      </c>
      <c r="CU9" s="113"/>
      <c r="CV9" s="113"/>
      <c r="CW9" s="113"/>
      <c r="CX9" s="113"/>
      <c r="CY9" s="113">
        <f t="shared" ref="CY9:CZ72" si="33">CU9+CW9</f>
        <v>0</v>
      </c>
      <c r="CZ9" s="113">
        <f t="shared" si="33"/>
        <v>0</v>
      </c>
      <c r="DA9" s="113"/>
      <c r="DB9" s="113"/>
      <c r="DC9" s="113"/>
      <c r="DD9" s="113"/>
      <c r="DE9" s="113">
        <f t="shared" ref="DE9:DF72" si="34">DA9+DC9</f>
        <v>0</v>
      </c>
      <c r="DF9" s="113">
        <f t="shared" si="34"/>
        <v>0</v>
      </c>
      <c r="DG9" s="113"/>
      <c r="DH9" s="113"/>
      <c r="DI9" s="113"/>
      <c r="DJ9" s="113"/>
      <c r="DK9" s="113">
        <f t="shared" ref="DK9:DL72" si="35">DG9+DI9</f>
        <v>0</v>
      </c>
      <c r="DL9" s="113">
        <f t="shared" si="35"/>
        <v>0</v>
      </c>
      <c r="DM9" s="113">
        <f t="shared" ref="DM9:DM40" si="36">AO9+AU9+BA9+BH9+BO9+BV9+CC9+CI9+CO9+CU9+DA9+DG9</f>
        <v>0</v>
      </c>
      <c r="DN9" s="113">
        <f t="shared" ref="DN9:DN40" si="37">AP9+AV9+BB9+BI9+BP9+BW9+CD9+CJ9+CP9+CV9+DB9+DH9</f>
        <v>0</v>
      </c>
      <c r="DO9" s="113">
        <f t="shared" ref="DO9:DO40" si="38">AQ9+AW9+BC9+BJ9+BQ9+BX9+CE9+CK9+CQ9+CW9+DC9+DI9</f>
        <v>0</v>
      </c>
      <c r="DP9" s="113">
        <f t="shared" ref="DP9:DP40" si="39">AR9+AX9+BD9+BK9+BR9+BY9+CF9+CL9+CR9+CX9+DD9+DJ9</f>
        <v>0</v>
      </c>
      <c r="DQ9" s="113">
        <f t="shared" ref="DQ9:DR72" si="40">DM9+DO9</f>
        <v>0</v>
      </c>
      <c r="DR9" s="113">
        <f t="shared" si="40"/>
        <v>0</v>
      </c>
    </row>
    <row r="10" spans="1:122">
      <c r="A10" s="15">
        <v>2</v>
      </c>
      <c r="B10" s="96" t="s">
        <v>950</v>
      </c>
      <c r="C10" s="187" t="s">
        <v>951</v>
      </c>
      <c r="D10" s="96" t="s">
        <v>953</v>
      </c>
      <c r="E10" s="185" t="s">
        <v>1165</v>
      </c>
      <c r="F10" s="161">
        <f t="shared" ref="F10:F74" si="41">SUM(DQ10)</f>
        <v>0</v>
      </c>
      <c r="G10" s="161">
        <f t="shared" ref="G10:G73" si="42">AT10+AZ10+BG10+BN10+BU10+CB10+CH10+CN10+CT10+CZ10+DF10+DL10</f>
        <v>0</v>
      </c>
      <c r="H10" s="161">
        <f t="shared" ref="H10:H73" si="43">F10-G10</f>
        <v>0</v>
      </c>
      <c r="I10" s="161">
        <f t="shared" ref="I10:I73" si="44">BF10+BM10+BT10+CA10</f>
        <v>11366</v>
      </c>
      <c r="J10" s="165">
        <f t="shared" si="6"/>
        <v>0</v>
      </c>
      <c r="K10" s="115">
        <v>12076.5</v>
      </c>
      <c r="L10" s="211">
        <v>0</v>
      </c>
      <c r="M10" s="211">
        <v>0</v>
      </c>
      <c r="N10" s="127">
        <f t="shared" ref="N10:N74" si="45">AN10</f>
        <v>0</v>
      </c>
      <c r="O10" s="127">
        <f t="shared" ref="O10:O74" si="46">IF(AL10&gt;0,L10+AN10-M10,0)</f>
        <v>0</v>
      </c>
      <c r="P10" s="127">
        <f t="shared" ref="P10:P74" si="47">L10+N10</f>
        <v>0</v>
      </c>
      <c r="Q10" s="131">
        <f t="shared" ref="Q10:Q73" si="48">J10-P10</f>
        <v>0</v>
      </c>
      <c r="R10" s="125" t="str">
        <f t="shared" si="10"/>
        <v>ნულოვანი შესრულება</v>
      </c>
      <c r="S10" s="113">
        <v>0</v>
      </c>
      <c r="T10" s="113"/>
      <c r="U10" s="113">
        <f t="shared" si="11"/>
        <v>0</v>
      </c>
      <c r="V10" s="113">
        <f t="shared" si="12"/>
        <v>0</v>
      </c>
      <c r="W10" s="113"/>
      <c r="X10" s="113">
        <v>0</v>
      </c>
      <c r="Y10" s="113">
        <v>0</v>
      </c>
      <c r="Z10" s="113">
        <v>0</v>
      </c>
      <c r="AA10" s="113">
        <f t="shared" si="13"/>
        <v>0</v>
      </c>
      <c r="AB10" s="113">
        <f t="shared" si="13"/>
        <v>0</v>
      </c>
      <c r="AC10" s="113"/>
      <c r="AD10" s="113"/>
      <c r="AE10" s="113">
        <v>15000</v>
      </c>
      <c r="AF10" s="113"/>
      <c r="AG10" s="113">
        <f t="shared" si="14"/>
        <v>15000</v>
      </c>
      <c r="AH10" s="113">
        <f t="shared" si="14"/>
        <v>0</v>
      </c>
      <c r="AI10" s="114">
        <f t="shared" si="15"/>
        <v>0</v>
      </c>
      <c r="AJ10" s="114">
        <f t="shared" si="16"/>
        <v>0</v>
      </c>
      <c r="AK10" s="114">
        <f t="shared" si="16"/>
        <v>15000</v>
      </c>
      <c r="AL10" s="114">
        <f t="shared" si="17"/>
        <v>0</v>
      </c>
      <c r="AM10" s="113">
        <f t="shared" si="18"/>
        <v>15000</v>
      </c>
      <c r="AN10" s="113">
        <f t="shared" si="18"/>
        <v>0</v>
      </c>
      <c r="AO10" s="113"/>
      <c r="AP10" s="113"/>
      <c r="AQ10" s="113"/>
      <c r="AR10" s="113"/>
      <c r="AS10" s="113">
        <f t="shared" si="19"/>
        <v>0</v>
      </c>
      <c r="AT10" s="113">
        <f t="shared" si="19"/>
        <v>0</v>
      </c>
      <c r="AU10" s="113"/>
      <c r="AV10" s="113"/>
      <c r="AW10" s="113"/>
      <c r="AX10" s="113"/>
      <c r="AY10" s="113">
        <f t="shared" si="20"/>
        <v>0</v>
      </c>
      <c r="AZ10" s="113">
        <f t="shared" si="20"/>
        <v>0</v>
      </c>
      <c r="BA10" s="113"/>
      <c r="BB10" s="113"/>
      <c r="BC10" s="113"/>
      <c r="BD10" s="113"/>
      <c r="BE10" s="113">
        <f t="shared" si="21"/>
        <v>0</v>
      </c>
      <c r="BF10" s="113"/>
      <c r="BG10" s="113">
        <f t="shared" si="22"/>
        <v>0</v>
      </c>
      <c r="BH10" s="113"/>
      <c r="BI10" s="113"/>
      <c r="BJ10" s="113"/>
      <c r="BK10" s="113"/>
      <c r="BL10" s="113">
        <f t="shared" si="23"/>
        <v>0</v>
      </c>
      <c r="BM10" s="113"/>
      <c r="BN10" s="113">
        <f t="shared" si="24"/>
        <v>0</v>
      </c>
      <c r="BO10" s="113"/>
      <c r="BP10" s="113"/>
      <c r="BQ10" s="113"/>
      <c r="BR10" s="113"/>
      <c r="BS10" s="113">
        <f t="shared" si="25"/>
        <v>0</v>
      </c>
      <c r="BT10" s="113"/>
      <c r="BU10" s="113">
        <f t="shared" si="26"/>
        <v>0</v>
      </c>
      <c r="BV10" s="113"/>
      <c r="BW10" s="113"/>
      <c r="BX10" s="113"/>
      <c r="BY10" s="113"/>
      <c r="BZ10" s="113">
        <f t="shared" si="27"/>
        <v>0</v>
      </c>
      <c r="CA10" s="113">
        <v>11366</v>
      </c>
      <c r="CB10" s="113">
        <f t="shared" si="28"/>
        <v>0</v>
      </c>
      <c r="CC10" s="113"/>
      <c r="CD10" s="113"/>
      <c r="CE10" s="113"/>
      <c r="CF10" s="113"/>
      <c r="CG10" s="113">
        <f t="shared" si="29"/>
        <v>0</v>
      </c>
      <c r="CH10" s="113">
        <f t="shared" si="30"/>
        <v>0</v>
      </c>
      <c r="CI10" s="113"/>
      <c r="CJ10" s="113"/>
      <c r="CK10" s="113"/>
      <c r="CL10" s="113"/>
      <c r="CM10" s="113">
        <f t="shared" si="31"/>
        <v>0</v>
      </c>
      <c r="CN10" s="113">
        <f t="shared" si="31"/>
        <v>0</v>
      </c>
      <c r="CO10" s="113"/>
      <c r="CP10" s="113"/>
      <c r="CQ10" s="113"/>
      <c r="CR10" s="113"/>
      <c r="CS10" s="113">
        <f t="shared" si="32"/>
        <v>0</v>
      </c>
      <c r="CT10" s="113">
        <f t="shared" si="32"/>
        <v>0</v>
      </c>
      <c r="CU10" s="113"/>
      <c r="CV10" s="113"/>
      <c r="CW10" s="113"/>
      <c r="CX10" s="113"/>
      <c r="CY10" s="113">
        <f t="shared" si="33"/>
        <v>0</v>
      </c>
      <c r="CZ10" s="113">
        <f t="shared" si="33"/>
        <v>0</v>
      </c>
      <c r="DA10" s="113"/>
      <c r="DB10" s="113"/>
      <c r="DC10" s="113"/>
      <c r="DD10" s="113"/>
      <c r="DE10" s="113">
        <f t="shared" si="34"/>
        <v>0</v>
      </c>
      <c r="DF10" s="113">
        <f t="shared" si="34"/>
        <v>0</v>
      </c>
      <c r="DG10" s="113"/>
      <c r="DH10" s="113"/>
      <c r="DI10" s="113"/>
      <c r="DJ10" s="113"/>
      <c r="DK10" s="113">
        <f t="shared" si="35"/>
        <v>0</v>
      </c>
      <c r="DL10" s="113">
        <f t="shared" si="35"/>
        <v>0</v>
      </c>
      <c r="DM10" s="113">
        <f t="shared" si="36"/>
        <v>0</v>
      </c>
      <c r="DN10" s="113">
        <f t="shared" si="37"/>
        <v>0</v>
      </c>
      <c r="DO10" s="113">
        <f t="shared" si="38"/>
        <v>0</v>
      </c>
      <c r="DP10" s="113">
        <f t="shared" si="39"/>
        <v>0</v>
      </c>
      <c r="DQ10" s="113">
        <f t="shared" si="40"/>
        <v>0</v>
      </c>
      <c r="DR10" s="113">
        <f t="shared" si="40"/>
        <v>0</v>
      </c>
    </row>
    <row r="11" spans="1:122">
      <c r="A11" s="15">
        <v>3</v>
      </c>
      <c r="B11" s="96" t="s">
        <v>950</v>
      </c>
      <c r="C11" s="96" t="s">
        <v>954</v>
      </c>
      <c r="D11" s="96" t="s">
        <v>955</v>
      </c>
      <c r="E11" s="185" t="s">
        <v>1164</v>
      </c>
      <c r="F11" s="161">
        <f t="shared" si="41"/>
        <v>0</v>
      </c>
      <c r="G11" s="161">
        <f t="shared" si="42"/>
        <v>0</v>
      </c>
      <c r="H11" s="161">
        <f t="shared" si="43"/>
        <v>0</v>
      </c>
      <c r="I11" s="161">
        <f t="shared" si="44"/>
        <v>0</v>
      </c>
      <c r="J11" s="165">
        <f t="shared" si="6"/>
        <v>392</v>
      </c>
      <c r="K11" s="115"/>
      <c r="L11" s="211">
        <v>0</v>
      </c>
      <c r="M11" s="211">
        <v>0</v>
      </c>
      <c r="N11" s="127">
        <f t="shared" si="45"/>
        <v>392</v>
      </c>
      <c r="O11" s="127">
        <f t="shared" si="46"/>
        <v>392</v>
      </c>
      <c r="P11" s="127">
        <f t="shared" si="47"/>
        <v>392</v>
      </c>
      <c r="Q11" s="131">
        <f t="shared" si="48"/>
        <v>0</v>
      </c>
      <c r="R11" s="125">
        <f t="shared" si="10"/>
        <v>392</v>
      </c>
      <c r="S11" s="113">
        <v>0</v>
      </c>
      <c r="T11" s="113"/>
      <c r="U11" s="113">
        <f t="shared" si="11"/>
        <v>0</v>
      </c>
      <c r="V11" s="113">
        <f t="shared" si="12"/>
        <v>0</v>
      </c>
      <c r="W11" s="113">
        <v>0</v>
      </c>
      <c r="X11" s="113">
        <v>0</v>
      </c>
      <c r="Y11" s="113">
        <v>392</v>
      </c>
      <c r="Z11" s="113">
        <f>224*1.75</f>
        <v>392</v>
      </c>
      <c r="AA11" s="113">
        <f t="shared" si="13"/>
        <v>392</v>
      </c>
      <c r="AB11" s="113">
        <f t="shared" si="13"/>
        <v>392</v>
      </c>
      <c r="AC11" s="113"/>
      <c r="AD11" s="113"/>
      <c r="AE11" s="113"/>
      <c r="AF11" s="113"/>
      <c r="AG11" s="113">
        <f t="shared" si="14"/>
        <v>0</v>
      </c>
      <c r="AH11" s="113">
        <f t="shared" si="14"/>
        <v>0</v>
      </c>
      <c r="AI11" s="114">
        <f t="shared" si="15"/>
        <v>0</v>
      </c>
      <c r="AJ11" s="114">
        <f t="shared" si="16"/>
        <v>0</v>
      </c>
      <c r="AK11" s="114">
        <f t="shared" si="16"/>
        <v>392</v>
      </c>
      <c r="AL11" s="114">
        <f t="shared" si="17"/>
        <v>392</v>
      </c>
      <c r="AM11" s="113">
        <f t="shared" si="18"/>
        <v>392</v>
      </c>
      <c r="AN11" s="113">
        <f t="shared" si="18"/>
        <v>392</v>
      </c>
      <c r="AO11" s="113"/>
      <c r="AP11" s="113"/>
      <c r="AQ11" s="113"/>
      <c r="AR11" s="113"/>
      <c r="AS11" s="113">
        <f t="shared" si="19"/>
        <v>0</v>
      </c>
      <c r="AT11" s="113">
        <f t="shared" si="19"/>
        <v>0</v>
      </c>
      <c r="AU11" s="113"/>
      <c r="AV11" s="113"/>
      <c r="AW11" s="113"/>
      <c r="AX11" s="113"/>
      <c r="AY11" s="113">
        <f t="shared" si="20"/>
        <v>0</v>
      </c>
      <c r="AZ11" s="113">
        <f t="shared" si="20"/>
        <v>0</v>
      </c>
      <c r="BA11" s="113"/>
      <c r="BB11" s="113"/>
      <c r="BC11" s="113"/>
      <c r="BD11" s="113"/>
      <c r="BE11" s="113">
        <f t="shared" si="21"/>
        <v>0</v>
      </c>
      <c r="BF11" s="113"/>
      <c r="BG11" s="113">
        <f t="shared" si="22"/>
        <v>0</v>
      </c>
      <c r="BH11" s="113"/>
      <c r="BI11" s="113"/>
      <c r="BJ11" s="113"/>
      <c r="BK11" s="113"/>
      <c r="BL11" s="113">
        <f t="shared" si="23"/>
        <v>0</v>
      </c>
      <c r="BM11" s="113"/>
      <c r="BN11" s="113">
        <f t="shared" si="24"/>
        <v>0</v>
      </c>
      <c r="BO11" s="113"/>
      <c r="BP11" s="113"/>
      <c r="BQ11" s="113"/>
      <c r="BR11" s="113"/>
      <c r="BS11" s="113">
        <f t="shared" si="25"/>
        <v>0</v>
      </c>
      <c r="BT11" s="113"/>
      <c r="BU11" s="113">
        <f t="shared" si="26"/>
        <v>0</v>
      </c>
      <c r="BV11" s="113"/>
      <c r="BW11" s="113"/>
      <c r="BX11" s="113"/>
      <c r="BY11" s="113"/>
      <c r="BZ11" s="113">
        <f t="shared" si="27"/>
        <v>0</v>
      </c>
      <c r="CA11" s="113"/>
      <c r="CB11" s="113">
        <f t="shared" si="28"/>
        <v>0</v>
      </c>
      <c r="CC11" s="113"/>
      <c r="CD11" s="113"/>
      <c r="CE11" s="113"/>
      <c r="CF11" s="113"/>
      <c r="CG11" s="113">
        <f t="shared" si="29"/>
        <v>0</v>
      </c>
      <c r="CH11" s="113">
        <f t="shared" si="30"/>
        <v>0</v>
      </c>
      <c r="CI11" s="113"/>
      <c r="CJ11" s="113"/>
      <c r="CK11" s="113"/>
      <c r="CL11" s="113"/>
      <c r="CM11" s="113">
        <f t="shared" si="31"/>
        <v>0</v>
      </c>
      <c r="CN11" s="113">
        <f t="shared" si="31"/>
        <v>0</v>
      </c>
      <c r="CO11" s="113"/>
      <c r="CP11" s="113"/>
      <c r="CQ11" s="113"/>
      <c r="CR11" s="113"/>
      <c r="CS11" s="113">
        <f t="shared" si="32"/>
        <v>0</v>
      </c>
      <c r="CT11" s="113">
        <f t="shared" si="32"/>
        <v>0</v>
      </c>
      <c r="CU11" s="113"/>
      <c r="CV11" s="113"/>
      <c r="CW11" s="113"/>
      <c r="CX11" s="113"/>
      <c r="CY11" s="113">
        <f t="shared" si="33"/>
        <v>0</v>
      </c>
      <c r="CZ11" s="113">
        <f t="shared" si="33"/>
        <v>0</v>
      </c>
      <c r="DA11" s="113"/>
      <c r="DB11" s="113"/>
      <c r="DC11" s="113"/>
      <c r="DD11" s="113"/>
      <c r="DE11" s="113">
        <f t="shared" si="34"/>
        <v>0</v>
      </c>
      <c r="DF11" s="113">
        <f t="shared" si="34"/>
        <v>0</v>
      </c>
      <c r="DG11" s="113"/>
      <c r="DH11" s="113"/>
      <c r="DI11" s="113"/>
      <c r="DJ11" s="113"/>
      <c r="DK11" s="113">
        <f t="shared" si="35"/>
        <v>0</v>
      </c>
      <c r="DL11" s="113">
        <f t="shared" si="35"/>
        <v>0</v>
      </c>
      <c r="DM11" s="113">
        <f t="shared" si="36"/>
        <v>0</v>
      </c>
      <c r="DN11" s="113">
        <f t="shared" si="37"/>
        <v>0</v>
      </c>
      <c r="DO11" s="113">
        <f t="shared" si="38"/>
        <v>0</v>
      </c>
      <c r="DP11" s="113">
        <f t="shared" si="39"/>
        <v>0</v>
      </c>
      <c r="DQ11" s="113">
        <f t="shared" si="40"/>
        <v>0</v>
      </c>
      <c r="DR11" s="113">
        <f t="shared" si="40"/>
        <v>0</v>
      </c>
    </row>
    <row r="12" spans="1:122">
      <c r="A12" s="15">
        <v>4</v>
      </c>
      <c r="B12" s="96" t="s">
        <v>950</v>
      </c>
      <c r="C12" s="187" t="s">
        <v>954</v>
      </c>
      <c r="D12" s="96" t="s">
        <v>956</v>
      </c>
      <c r="E12" s="185" t="s">
        <v>1165</v>
      </c>
      <c r="F12" s="161">
        <f t="shared" si="41"/>
        <v>0</v>
      </c>
      <c r="G12" s="161">
        <f t="shared" si="42"/>
        <v>0</v>
      </c>
      <c r="H12" s="161">
        <f t="shared" si="43"/>
        <v>0</v>
      </c>
      <c r="I12" s="161">
        <f t="shared" si="44"/>
        <v>0</v>
      </c>
      <c r="J12" s="165">
        <f t="shared" si="6"/>
        <v>15892.05</v>
      </c>
      <c r="K12" s="115">
        <f>14571.64+30600</f>
        <v>45171.64</v>
      </c>
      <c r="L12" s="211">
        <v>0</v>
      </c>
      <c r="M12" s="211">
        <v>0</v>
      </c>
      <c r="N12" s="127">
        <f t="shared" si="45"/>
        <v>15892.05</v>
      </c>
      <c r="O12" s="127">
        <f t="shared" si="46"/>
        <v>15892.05</v>
      </c>
      <c r="P12" s="127">
        <f t="shared" si="47"/>
        <v>15892.05</v>
      </c>
      <c r="Q12" s="131">
        <f t="shared" si="48"/>
        <v>0</v>
      </c>
      <c r="R12" s="125">
        <f t="shared" si="10"/>
        <v>15892.05</v>
      </c>
      <c r="S12" s="113">
        <v>0</v>
      </c>
      <c r="T12" s="113"/>
      <c r="U12" s="113">
        <f t="shared" si="11"/>
        <v>0</v>
      </c>
      <c r="V12" s="113">
        <f t="shared" si="12"/>
        <v>0</v>
      </c>
      <c r="W12" s="113">
        <v>0</v>
      </c>
      <c r="X12" s="113">
        <v>0</v>
      </c>
      <c r="Y12" s="113">
        <v>15892.048547670815</v>
      </c>
      <c r="Z12" s="113">
        <v>15892.05</v>
      </c>
      <c r="AA12" s="113">
        <f t="shared" si="13"/>
        <v>15892.048547670815</v>
      </c>
      <c r="AB12" s="113">
        <f t="shared" si="13"/>
        <v>15892.05</v>
      </c>
      <c r="AC12" s="113"/>
      <c r="AD12" s="113"/>
      <c r="AE12" s="113"/>
      <c r="AF12" s="113"/>
      <c r="AG12" s="113">
        <f t="shared" si="14"/>
        <v>0</v>
      </c>
      <c r="AH12" s="113">
        <f t="shared" si="14"/>
        <v>0</v>
      </c>
      <c r="AI12" s="114">
        <f t="shared" si="15"/>
        <v>0</v>
      </c>
      <c r="AJ12" s="114">
        <f t="shared" si="16"/>
        <v>0</v>
      </c>
      <c r="AK12" s="114">
        <f t="shared" si="16"/>
        <v>15892.048547670815</v>
      </c>
      <c r="AL12" s="114">
        <f t="shared" si="17"/>
        <v>15892.05</v>
      </c>
      <c r="AM12" s="113">
        <f t="shared" si="18"/>
        <v>15892.048547670815</v>
      </c>
      <c r="AN12" s="113">
        <f t="shared" si="18"/>
        <v>15892.05</v>
      </c>
      <c r="AO12" s="113"/>
      <c r="AP12" s="113"/>
      <c r="AQ12" s="113"/>
      <c r="AR12" s="113"/>
      <c r="AS12" s="113">
        <f t="shared" si="19"/>
        <v>0</v>
      </c>
      <c r="AT12" s="113">
        <f t="shared" si="19"/>
        <v>0</v>
      </c>
      <c r="AU12" s="113"/>
      <c r="AV12" s="113"/>
      <c r="AW12" s="113"/>
      <c r="AX12" s="113"/>
      <c r="AY12" s="113">
        <f t="shared" si="20"/>
        <v>0</v>
      </c>
      <c r="AZ12" s="113">
        <f t="shared" si="20"/>
        <v>0</v>
      </c>
      <c r="BA12" s="113"/>
      <c r="BB12" s="113"/>
      <c r="BC12" s="113"/>
      <c r="BD12" s="113"/>
      <c r="BE12" s="113">
        <f t="shared" si="21"/>
        <v>0</v>
      </c>
      <c r="BF12" s="113"/>
      <c r="BG12" s="113">
        <f t="shared" si="22"/>
        <v>0</v>
      </c>
      <c r="BH12" s="113"/>
      <c r="BI12" s="113"/>
      <c r="BJ12" s="113"/>
      <c r="BK12" s="113"/>
      <c r="BL12" s="113">
        <f t="shared" si="23"/>
        <v>0</v>
      </c>
      <c r="BM12" s="113"/>
      <c r="BN12" s="113">
        <f t="shared" si="24"/>
        <v>0</v>
      </c>
      <c r="BO12" s="113"/>
      <c r="BP12" s="113"/>
      <c r="BQ12" s="113"/>
      <c r="BR12" s="113"/>
      <c r="BS12" s="113">
        <f t="shared" si="25"/>
        <v>0</v>
      </c>
      <c r="BT12" s="113"/>
      <c r="BU12" s="113">
        <f t="shared" si="26"/>
        <v>0</v>
      </c>
      <c r="BV12" s="113"/>
      <c r="BW12" s="113"/>
      <c r="BX12" s="113"/>
      <c r="BY12" s="113"/>
      <c r="BZ12" s="113">
        <f t="shared" si="27"/>
        <v>0</v>
      </c>
      <c r="CA12" s="113"/>
      <c r="CB12" s="113">
        <f t="shared" si="28"/>
        <v>0</v>
      </c>
      <c r="CC12" s="113"/>
      <c r="CD12" s="113"/>
      <c r="CE12" s="113"/>
      <c r="CF12" s="113"/>
      <c r="CG12" s="113">
        <f t="shared" si="29"/>
        <v>0</v>
      </c>
      <c r="CH12" s="113">
        <f t="shared" si="30"/>
        <v>0</v>
      </c>
      <c r="CI12" s="113"/>
      <c r="CJ12" s="113"/>
      <c r="CK12" s="113"/>
      <c r="CL12" s="113"/>
      <c r="CM12" s="113">
        <f t="shared" si="31"/>
        <v>0</v>
      </c>
      <c r="CN12" s="113">
        <f t="shared" si="31"/>
        <v>0</v>
      </c>
      <c r="CO12" s="113"/>
      <c r="CP12" s="113"/>
      <c r="CQ12" s="113"/>
      <c r="CR12" s="113"/>
      <c r="CS12" s="113">
        <f t="shared" si="32"/>
        <v>0</v>
      </c>
      <c r="CT12" s="113">
        <f t="shared" si="32"/>
        <v>0</v>
      </c>
      <c r="CU12" s="113"/>
      <c r="CV12" s="113"/>
      <c r="CW12" s="113"/>
      <c r="CX12" s="113"/>
      <c r="CY12" s="113">
        <f t="shared" si="33"/>
        <v>0</v>
      </c>
      <c r="CZ12" s="113">
        <f t="shared" si="33"/>
        <v>0</v>
      </c>
      <c r="DA12" s="113"/>
      <c r="DB12" s="113"/>
      <c r="DC12" s="113"/>
      <c r="DD12" s="113"/>
      <c r="DE12" s="113">
        <f t="shared" si="34"/>
        <v>0</v>
      </c>
      <c r="DF12" s="113">
        <f t="shared" si="34"/>
        <v>0</v>
      </c>
      <c r="DG12" s="113"/>
      <c r="DH12" s="113"/>
      <c r="DI12" s="113"/>
      <c r="DJ12" s="113"/>
      <c r="DK12" s="113">
        <f t="shared" si="35"/>
        <v>0</v>
      </c>
      <c r="DL12" s="113">
        <f t="shared" si="35"/>
        <v>0</v>
      </c>
      <c r="DM12" s="113">
        <f t="shared" si="36"/>
        <v>0</v>
      </c>
      <c r="DN12" s="113">
        <f t="shared" si="37"/>
        <v>0</v>
      </c>
      <c r="DO12" s="113">
        <f t="shared" si="38"/>
        <v>0</v>
      </c>
      <c r="DP12" s="113">
        <f t="shared" si="39"/>
        <v>0</v>
      </c>
      <c r="DQ12" s="113">
        <f t="shared" si="40"/>
        <v>0</v>
      </c>
      <c r="DR12" s="113">
        <f t="shared" si="40"/>
        <v>0</v>
      </c>
    </row>
    <row r="13" spans="1:122">
      <c r="A13" s="15">
        <v>5</v>
      </c>
      <c r="B13" s="7" t="s">
        <v>950</v>
      </c>
      <c r="C13" s="96" t="s">
        <v>957</v>
      </c>
      <c r="D13" s="96" t="s">
        <v>958</v>
      </c>
      <c r="E13" s="185" t="s">
        <v>1164</v>
      </c>
      <c r="F13" s="161">
        <f t="shared" si="41"/>
        <v>0</v>
      </c>
      <c r="G13" s="161">
        <f t="shared" si="42"/>
        <v>0</v>
      </c>
      <c r="H13" s="161">
        <f t="shared" si="43"/>
        <v>0</v>
      </c>
      <c r="I13" s="161">
        <f t="shared" si="44"/>
        <v>0</v>
      </c>
      <c r="J13" s="165">
        <f t="shared" si="6"/>
        <v>754.25</v>
      </c>
      <c r="K13" s="115"/>
      <c r="L13" s="211">
        <v>0</v>
      </c>
      <c r="M13" s="211">
        <v>0</v>
      </c>
      <c r="N13" s="127">
        <f t="shared" si="45"/>
        <v>754.25</v>
      </c>
      <c r="O13" s="127">
        <f t="shared" si="46"/>
        <v>754.25</v>
      </c>
      <c r="P13" s="127">
        <f t="shared" si="47"/>
        <v>754.25</v>
      </c>
      <c r="Q13" s="131">
        <f t="shared" si="48"/>
        <v>0</v>
      </c>
      <c r="R13" s="125">
        <f t="shared" si="10"/>
        <v>754.25</v>
      </c>
      <c r="S13" s="113">
        <v>0</v>
      </c>
      <c r="T13" s="113"/>
      <c r="U13" s="113">
        <f t="shared" si="11"/>
        <v>0</v>
      </c>
      <c r="V13" s="113">
        <f t="shared" si="12"/>
        <v>0</v>
      </c>
      <c r="W13" s="113"/>
      <c r="X13" s="113">
        <v>0</v>
      </c>
      <c r="Y13" s="113">
        <v>0</v>
      </c>
      <c r="Z13" s="113">
        <v>0</v>
      </c>
      <c r="AA13" s="113">
        <f t="shared" si="13"/>
        <v>0</v>
      </c>
      <c r="AB13" s="113">
        <f t="shared" si="13"/>
        <v>0</v>
      </c>
      <c r="AC13" s="113"/>
      <c r="AD13" s="113"/>
      <c r="AE13" s="113">
        <v>700</v>
      </c>
      <c r="AF13" s="113">
        <v>754.25</v>
      </c>
      <c r="AG13" s="113">
        <f t="shared" si="14"/>
        <v>700</v>
      </c>
      <c r="AH13" s="113">
        <f t="shared" si="14"/>
        <v>754.25</v>
      </c>
      <c r="AI13" s="114">
        <f t="shared" si="15"/>
        <v>0</v>
      </c>
      <c r="AJ13" s="114">
        <f t="shared" si="16"/>
        <v>0</v>
      </c>
      <c r="AK13" s="114">
        <f t="shared" si="16"/>
        <v>700</v>
      </c>
      <c r="AL13" s="114">
        <f t="shared" si="17"/>
        <v>754.25</v>
      </c>
      <c r="AM13" s="113">
        <f t="shared" si="18"/>
        <v>700</v>
      </c>
      <c r="AN13" s="113">
        <f t="shared" si="18"/>
        <v>754.25</v>
      </c>
      <c r="AO13" s="113"/>
      <c r="AP13" s="113"/>
      <c r="AQ13" s="113"/>
      <c r="AR13" s="113"/>
      <c r="AS13" s="113">
        <f t="shared" si="19"/>
        <v>0</v>
      </c>
      <c r="AT13" s="113">
        <f t="shared" si="19"/>
        <v>0</v>
      </c>
      <c r="AU13" s="113"/>
      <c r="AV13" s="113"/>
      <c r="AW13" s="113"/>
      <c r="AX13" s="113"/>
      <c r="AY13" s="113">
        <f t="shared" si="20"/>
        <v>0</v>
      </c>
      <c r="AZ13" s="113">
        <f t="shared" si="20"/>
        <v>0</v>
      </c>
      <c r="BA13" s="113"/>
      <c r="BB13" s="113"/>
      <c r="BC13" s="113"/>
      <c r="BD13" s="113"/>
      <c r="BE13" s="113">
        <f t="shared" si="21"/>
        <v>0</v>
      </c>
      <c r="BF13" s="113"/>
      <c r="BG13" s="113">
        <f t="shared" si="22"/>
        <v>0</v>
      </c>
      <c r="BH13" s="113"/>
      <c r="BI13" s="113"/>
      <c r="BJ13" s="113"/>
      <c r="BK13" s="113"/>
      <c r="BL13" s="113">
        <f t="shared" si="23"/>
        <v>0</v>
      </c>
      <c r="BM13" s="113"/>
      <c r="BN13" s="113">
        <f t="shared" si="24"/>
        <v>0</v>
      </c>
      <c r="BO13" s="113"/>
      <c r="BP13" s="113"/>
      <c r="BQ13" s="113"/>
      <c r="BR13" s="113"/>
      <c r="BS13" s="113">
        <f t="shared" si="25"/>
        <v>0</v>
      </c>
      <c r="BT13" s="113"/>
      <c r="BU13" s="113">
        <f t="shared" si="26"/>
        <v>0</v>
      </c>
      <c r="BV13" s="113"/>
      <c r="BW13" s="113"/>
      <c r="BX13" s="113"/>
      <c r="BY13" s="113"/>
      <c r="BZ13" s="113">
        <f t="shared" si="27"/>
        <v>0</v>
      </c>
      <c r="CA13" s="113"/>
      <c r="CB13" s="113">
        <f t="shared" si="28"/>
        <v>0</v>
      </c>
      <c r="CC13" s="113"/>
      <c r="CD13" s="113"/>
      <c r="CE13" s="113"/>
      <c r="CF13" s="113"/>
      <c r="CG13" s="113">
        <f t="shared" si="29"/>
        <v>0</v>
      </c>
      <c r="CH13" s="113">
        <f t="shared" si="30"/>
        <v>0</v>
      </c>
      <c r="CI13" s="113"/>
      <c r="CJ13" s="113"/>
      <c r="CK13" s="113"/>
      <c r="CL13" s="113"/>
      <c r="CM13" s="113">
        <f t="shared" si="31"/>
        <v>0</v>
      </c>
      <c r="CN13" s="113">
        <f t="shared" si="31"/>
        <v>0</v>
      </c>
      <c r="CO13" s="113"/>
      <c r="CP13" s="113"/>
      <c r="CQ13" s="113"/>
      <c r="CR13" s="113"/>
      <c r="CS13" s="113">
        <f t="shared" si="32"/>
        <v>0</v>
      </c>
      <c r="CT13" s="113">
        <f t="shared" si="32"/>
        <v>0</v>
      </c>
      <c r="CU13" s="113"/>
      <c r="CV13" s="113"/>
      <c r="CW13" s="113"/>
      <c r="CX13" s="113"/>
      <c r="CY13" s="113">
        <f t="shared" si="33"/>
        <v>0</v>
      </c>
      <c r="CZ13" s="113">
        <f t="shared" si="33"/>
        <v>0</v>
      </c>
      <c r="DA13" s="113"/>
      <c r="DB13" s="113"/>
      <c r="DC13" s="113"/>
      <c r="DD13" s="113"/>
      <c r="DE13" s="113">
        <f t="shared" si="34"/>
        <v>0</v>
      </c>
      <c r="DF13" s="113">
        <f t="shared" si="34"/>
        <v>0</v>
      </c>
      <c r="DG13" s="113"/>
      <c r="DH13" s="113"/>
      <c r="DI13" s="113"/>
      <c r="DJ13" s="113"/>
      <c r="DK13" s="113">
        <f t="shared" si="35"/>
        <v>0</v>
      </c>
      <c r="DL13" s="113">
        <f t="shared" si="35"/>
        <v>0</v>
      </c>
      <c r="DM13" s="113">
        <f t="shared" si="36"/>
        <v>0</v>
      </c>
      <c r="DN13" s="113">
        <f t="shared" si="37"/>
        <v>0</v>
      </c>
      <c r="DO13" s="113">
        <f t="shared" si="38"/>
        <v>0</v>
      </c>
      <c r="DP13" s="113">
        <f t="shared" si="39"/>
        <v>0</v>
      </c>
      <c r="DQ13" s="113">
        <f t="shared" si="40"/>
        <v>0</v>
      </c>
      <c r="DR13" s="113">
        <f t="shared" si="40"/>
        <v>0</v>
      </c>
    </row>
    <row r="14" spans="1:122">
      <c r="A14" s="15">
        <v>6</v>
      </c>
      <c r="B14" s="7" t="s">
        <v>950</v>
      </c>
      <c r="C14" s="187" t="s">
        <v>957</v>
      </c>
      <c r="D14" s="96" t="s">
        <v>959</v>
      </c>
      <c r="E14" s="185" t="s">
        <v>1165</v>
      </c>
      <c r="F14" s="161">
        <f t="shared" si="41"/>
        <v>0</v>
      </c>
      <c r="G14" s="161">
        <f t="shared" si="42"/>
        <v>14927.12</v>
      </c>
      <c r="H14" s="161">
        <f t="shared" si="43"/>
        <v>-14927.12</v>
      </c>
      <c r="I14" s="161">
        <f t="shared" si="44"/>
        <v>755.29000000000087</v>
      </c>
      <c r="J14" s="165">
        <f t="shared" si="6"/>
        <v>0</v>
      </c>
      <c r="K14" s="115">
        <v>74580</v>
      </c>
      <c r="L14" s="211">
        <v>0</v>
      </c>
      <c r="M14" s="211">
        <v>0</v>
      </c>
      <c r="N14" s="127">
        <f t="shared" si="45"/>
        <v>0</v>
      </c>
      <c r="O14" s="127">
        <f t="shared" si="46"/>
        <v>0</v>
      </c>
      <c r="P14" s="127">
        <f t="shared" si="47"/>
        <v>0</v>
      </c>
      <c r="Q14" s="131">
        <f t="shared" si="48"/>
        <v>0</v>
      </c>
      <c r="R14" s="125">
        <f t="shared" si="10"/>
        <v>14927.12</v>
      </c>
      <c r="S14" s="113">
        <v>0</v>
      </c>
      <c r="T14" s="113"/>
      <c r="U14" s="113">
        <f t="shared" si="11"/>
        <v>0</v>
      </c>
      <c r="V14" s="113">
        <f t="shared" si="12"/>
        <v>0</v>
      </c>
      <c r="W14" s="113">
        <v>0</v>
      </c>
      <c r="X14" s="113">
        <v>0</v>
      </c>
      <c r="Y14" s="113">
        <v>0</v>
      </c>
      <c r="Z14" s="113">
        <v>0</v>
      </c>
      <c r="AA14" s="113">
        <f t="shared" si="13"/>
        <v>0</v>
      </c>
      <c r="AB14" s="113">
        <f t="shared" si="13"/>
        <v>0</v>
      </c>
      <c r="AC14" s="113"/>
      <c r="AD14" s="113"/>
      <c r="AE14" s="113">
        <v>50000</v>
      </c>
      <c r="AF14" s="113"/>
      <c r="AG14" s="113">
        <f t="shared" si="14"/>
        <v>50000</v>
      </c>
      <c r="AH14" s="113">
        <f t="shared" si="14"/>
        <v>0</v>
      </c>
      <c r="AI14" s="114">
        <f t="shared" si="15"/>
        <v>0</v>
      </c>
      <c r="AJ14" s="114">
        <f t="shared" si="16"/>
        <v>0</v>
      </c>
      <c r="AK14" s="114">
        <f t="shared" si="16"/>
        <v>50000</v>
      </c>
      <c r="AL14" s="114">
        <f t="shared" si="17"/>
        <v>0</v>
      </c>
      <c r="AM14" s="113">
        <f t="shared" si="18"/>
        <v>50000</v>
      </c>
      <c r="AN14" s="113">
        <f t="shared" si="18"/>
        <v>0</v>
      </c>
      <c r="AO14" s="113"/>
      <c r="AP14" s="113"/>
      <c r="AQ14" s="113"/>
      <c r="AR14" s="113"/>
      <c r="AS14" s="113">
        <f t="shared" si="19"/>
        <v>0</v>
      </c>
      <c r="AT14" s="113">
        <f t="shared" si="19"/>
        <v>0</v>
      </c>
      <c r="AU14" s="113"/>
      <c r="AV14" s="113">
        <v>14000</v>
      </c>
      <c r="AW14" s="113"/>
      <c r="AX14" s="113"/>
      <c r="AY14" s="113">
        <f t="shared" si="20"/>
        <v>0</v>
      </c>
      <c r="AZ14" s="113">
        <f t="shared" si="20"/>
        <v>14000</v>
      </c>
      <c r="BA14" s="113"/>
      <c r="BB14" s="113"/>
      <c r="BC14" s="113"/>
      <c r="BD14" s="113">
        <v>927.12</v>
      </c>
      <c r="BE14" s="113">
        <f t="shared" si="21"/>
        <v>0</v>
      </c>
      <c r="BF14" s="113">
        <v>755.29000000000087</v>
      </c>
      <c r="BG14" s="113">
        <f t="shared" si="22"/>
        <v>927.12</v>
      </c>
      <c r="BH14" s="113"/>
      <c r="BI14" s="113"/>
      <c r="BJ14" s="113"/>
      <c r="BK14" s="113"/>
      <c r="BL14" s="113">
        <f t="shared" si="23"/>
        <v>0</v>
      </c>
      <c r="BM14" s="113"/>
      <c r="BN14" s="113">
        <f t="shared" si="24"/>
        <v>0</v>
      </c>
      <c r="BO14" s="113"/>
      <c r="BP14" s="113"/>
      <c r="BQ14" s="113"/>
      <c r="BR14" s="113"/>
      <c r="BS14" s="113">
        <f t="shared" si="25"/>
        <v>0</v>
      </c>
      <c r="BT14" s="113"/>
      <c r="BU14" s="113">
        <f t="shared" si="26"/>
        <v>0</v>
      </c>
      <c r="BV14" s="113"/>
      <c r="BW14" s="113"/>
      <c r="BX14" s="113"/>
      <c r="BY14" s="113"/>
      <c r="BZ14" s="113">
        <f t="shared" si="27"/>
        <v>0</v>
      </c>
      <c r="CA14" s="113"/>
      <c r="CB14" s="113">
        <f t="shared" si="28"/>
        <v>0</v>
      </c>
      <c r="CC14" s="113"/>
      <c r="CD14" s="113"/>
      <c r="CE14" s="113"/>
      <c r="CF14" s="113"/>
      <c r="CG14" s="113">
        <f t="shared" si="29"/>
        <v>0</v>
      </c>
      <c r="CH14" s="113">
        <f t="shared" si="30"/>
        <v>0</v>
      </c>
      <c r="CI14" s="113"/>
      <c r="CJ14" s="113"/>
      <c r="CK14" s="113"/>
      <c r="CL14" s="113"/>
      <c r="CM14" s="113">
        <f t="shared" si="31"/>
        <v>0</v>
      </c>
      <c r="CN14" s="113">
        <f t="shared" si="31"/>
        <v>0</v>
      </c>
      <c r="CO14" s="113"/>
      <c r="CP14" s="113"/>
      <c r="CQ14" s="113"/>
      <c r="CR14" s="113"/>
      <c r="CS14" s="113">
        <f t="shared" si="32"/>
        <v>0</v>
      </c>
      <c r="CT14" s="113">
        <f t="shared" si="32"/>
        <v>0</v>
      </c>
      <c r="CU14" s="113"/>
      <c r="CV14" s="113"/>
      <c r="CW14" s="113"/>
      <c r="CX14" s="113"/>
      <c r="CY14" s="113">
        <f t="shared" si="33"/>
        <v>0</v>
      </c>
      <c r="CZ14" s="113">
        <f t="shared" si="33"/>
        <v>0</v>
      </c>
      <c r="DA14" s="113"/>
      <c r="DB14" s="113"/>
      <c r="DC14" s="113"/>
      <c r="DD14" s="113"/>
      <c r="DE14" s="113">
        <f t="shared" si="34"/>
        <v>0</v>
      </c>
      <c r="DF14" s="113">
        <f t="shared" si="34"/>
        <v>0</v>
      </c>
      <c r="DG14" s="113"/>
      <c r="DH14" s="113"/>
      <c r="DI14" s="113"/>
      <c r="DJ14" s="113"/>
      <c r="DK14" s="113">
        <f t="shared" si="35"/>
        <v>0</v>
      </c>
      <c r="DL14" s="113">
        <f t="shared" si="35"/>
        <v>0</v>
      </c>
      <c r="DM14" s="113">
        <f t="shared" si="36"/>
        <v>0</v>
      </c>
      <c r="DN14" s="113">
        <f t="shared" si="37"/>
        <v>14000</v>
      </c>
      <c r="DO14" s="113">
        <f t="shared" si="38"/>
        <v>0</v>
      </c>
      <c r="DP14" s="113">
        <f t="shared" si="39"/>
        <v>927.12</v>
      </c>
      <c r="DQ14" s="113">
        <f t="shared" si="40"/>
        <v>0</v>
      </c>
      <c r="DR14" s="113">
        <f t="shared" si="40"/>
        <v>14927.12</v>
      </c>
    </row>
    <row r="15" spans="1:122">
      <c r="A15" s="15">
        <v>7</v>
      </c>
      <c r="B15" s="7" t="s">
        <v>950</v>
      </c>
      <c r="C15" s="96" t="s">
        <v>960</v>
      </c>
      <c r="D15" s="96" t="s">
        <v>961</v>
      </c>
      <c r="E15" s="185" t="s">
        <v>1164</v>
      </c>
      <c r="F15" s="161">
        <f t="shared" si="41"/>
        <v>1582</v>
      </c>
      <c r="G15" s="161">
        <f t="shared" si="42"/>
        <v>1582</v>
      </c>
      <c r="H15" s="161">
        <f t="shared" si="43"/>
        <v>0</v>
      </c>
      <c r="I15" s="161">
        <f t="shared" si="44"/>
        <v>0</v>
      </c>
      <c r="J15" s="165">
        <f t="shared" si="6"/>
        <v>1582</v>
      </c>
      <c r="K15" s="115"/>
      <c r="L15" s="211">
        <v>0</v>
      </c>
      <c r="M15" s="211">
        <v>0</v>
      </c>
      <c r="N15" s="127">
        <f t="shared" si="45"/>
        <v>0</v>
      </c>
      <c r="O15" s="127">
        <f t="shared" si="46"/>
        <v>0</v>
      </c>
      <c r="P15" s="127">
        <f t="shared" si="47"/>
        <v>0</v>
      </c>
      <c r="Q15" s="131">
        <f t="shared" si="48"/>
        <v>1582</v>
      </c>
      <c r="R15" s="125">
        <f t="shared" si="10"/>
        <v>1582</v>
      </c>
      <c r="S15" s="113">
        <v>0</v>
      </c>
      <c r="T15" s="113"/>
      <c r="U15" s="113">
        <f t="shared" si="11"/>
        <v>0</v>
      </c>
      <c r="V15" s="113">
        <f t="shared" si="12"/>
        <v>0</v>
      </c>
      <c r="W15" s="113"/>
      <c r="X15" s="113">
        <v>0</v>
      </c>
      <c r="Y15" s="113">
        <v>0</v>
      </c>
      <c r="Z15" s="113">
        <v>0</v>
      </c>
      <c r="AA15" s="113">
        <f t="shared" si="13"/>
        <v>0</v>
      </c>
      <c r="AB15" s="113">
        <f t="shared" si="13"/>
        <v>0</v>
      </c>
      <c r="AC15" s="113"/>
      <c r="AD15" s="113"/>
      <c r="AE15" s="113">
        <v>2000</v>
      </c>
      <c r="AF15" s="113"/>
      <c r="AG15" s="113">
        <f t="shared" si="14"/>
        <v>2000</v>
      </c>
      <c r="AH15" s="113">
        <f t="shared" si="14"/>
        <v>0</v>
      </c>
      <c r="AI15" s="114">
        <f t="shared" si="15"/>
        <v>0</v>
      </c>
      <c r="AJ15" s="114">
        <f t="shared" si="16"/>
        <v>0</v>
      </c>
      <c r="AK15" s="114">
        <f t="shared" si="16"/>
        <v>2000</v>
      </c>
      <c r="AL15" s="114">
        <f t="shared" si="17"/>
        <v>0</v>
      </c>
      <c r="AM15" s="113">
        <f t="shared" si="18"/>
        <v>2000</v>
      </c>
      <c r="AN15" s="113">
        <f t="shared" si="18"/>
        <v>0</v>
      </c>
      <c r="AO15" s="113"/>
      <c r="AP15" s="113"/>
      <c r="AQ15" s="113">
        <v>1582</v>
      </c>
      <c r="AR15" s="113">
        <v>1582</v>
      </c>
      <c r="AS15" s="113">
        <f t="shared" si="19"/>
        <v>1582</v>
      </c>
      <c r="AT15" s="113">
        <f t="shared" si="19"/>
        <v>1582</v>
      </c>
      <c r="AU15" s="113"/>
      <c r="AV15" s="113"/>
      <c r="AW15" s="113"/>
      <c r="AX15" s="113"/>
      <c r="AY15" s="113">
        <f t="shared" si="20"/>
        <v>0</v>
      </c>
      <c r="AZ15" s="113">
        <f t="shared" si="20"/>
        <v>0</v>
      </c>
      <c r="BA15" s="113"/>
      <c r="BB15" s="113"/>
      <c r="BC15" s="113"/>
      <c r="BD15" s="113"/>
      <c r="BE15" s="113">
        <f t="shared" si="21"/>
        <v>0</v>
      </c>
      <c r="BF15" s="113"/>
      <c r="BG15" s="113">
        <f t="shared" si="22"/>
        <v>0</v>
      </c>
      <c r="BH15" s="113"/>
      <c r="BI15" s="113"/>
      <c r="BJ15" s="113"/>
      <c r="BK15" s="113"/>
      <c r="BL15" s="113">
        <f t="shared" si="23"/>
        <v>0</v>
      </c>
      <c r="BM15" s="113"/>
      <c r="BN15" s="113">
        <f t="shared" si="24"/>
        <v>0</v>
      </c>
      <c r="BO15" s="113"/>
      <c r="BP15" s="113"/>
      <c r="BQ15" s="113"/>
      <c r="BR15" s="113"/>
      <c r="BS15" s="113">
        <f t="shared" si="25"/>
        <v>0</v>
      </c>
      <c r="BT15" s="113"/>
      <c r="BU15" s="113">
        <f t="shared" si="26"/>
        <v>0</v>
      </c>
      <c r="BV15" s="113"/>
      <c r="BW15" s="113"/>
      <c r="BX15" s="113"/>
      <c r="BY15" s="113"/>
      <c r="BZ15" s="113">
        <f t="shared" si="27"/>
        <v>0</v>
      </c>
      <c r="CA15" s="113"/>
      <c r="CB15" s="113">
        <f t="shared" si="28"/>
        <v>0</v>
      </c>
      <c r="CC15" s="113"/>
      <c r="CD15" s="113"/>
      <c r="CE15" s="113"/>
      <c r="CF15" s="113"/>
      <c r="CG15" s="113">
        <f t="shared" si="29"/>
        <v>0</v>
      </c>
      <c r="CH15" s="113">
        <f t="shared" si="30"/>
        <v>0</v>
      </c>
      <c r="CI15" s="113"/>
      <c r="CJ15" s="113"/>
      <c r="CK15" s="113"/>
      <c r="CL15" s="113"/>
      <c r="CM15" s="113">
        <f t="shared" si="31"/>
        <v>0</v>
      </c>
      <c r="CN15" s="113">
        <f t="shared" si="31"/>
        <v>0</v>
      </c>
      <c r="CO15" s="113"/>
      <c r="CP15" s="113"/>
      <c r="CQ15" s="113"/>
      <c r="CR15" s="113"/>
      <c r="CS15" s="113">
        <f t="shared" si="32"/>
        <v>0</v>
      </c>
      <c r="CT15" s="113">
        <f t="shared" si="32"/>
        <v>0</v>
      </c>
      <c r="CU15" s="113"/>
      <c r="CV15" s="113"/>
      <c r="CW15" s="113"/>
      <c r="CX15" s="113"/>
      <c r="CY15" s="113">
        <f t="shared" si="33"/>
        <v>0</v>
      </c>
      <c r="CZ15" s="113">
        <f t="shared" si="33"/>
        <v>0</v>
      </c>
      <c r="DA15" s="113"/>
      <c r="DB15" s="113"/>
      <c r="DC15" s="113"/>
      <c r="DD15" s="113"/>
      <c r="DE15" s="113">
        <f t="shared" si="34"/>
        <v>0</v>
      </c>
      <c r="DF15" s="113">
        <f t="shared" si="34"/>
        <v>0</v>
      </c>
      <c r="DG15" s="113"/>
      <c r="DH15" s="113"/>
      <c r="DI15" s="113"/>
      <c r="DJ15" s="113"/>
      <c r="DK15" s="113">
        <f t="shared" si="35"/>
        <v>0</v>
      </c>
      <c r="DL15" s="113">
        <f t="shared" si="35"/>
        <v>0</v>
      </c>
      <c r="DM15" s="113">
        <f t="shared" si="36"/>
        <v>0</v>
      </c>
      <c r="DN15" s="113">
        <f t="shared" si="37"/>
        <v>0</v>
      </c>
      <c r="DO15" s="113">
        <f t="shared" si="38"/>
        <v>1582</v>
      </c>
      <c r="DP15" s="113">
        <f t="shared" si="39"/>
        <v>1582</v>
      </c>
      <c r="DQ15" s="113">
        <f t="shared" si="40"/>
        <v>1582</v>
      </c>
      <c r="DR15" s="113">
        <f t="shared" si="40"/>
        <v>1582</v>
      </c>
    </row>
    <row r="16" spans="1:122">
      <c r="A16" s="15">
        <v>8</v>
      </c>
      <c r="B16" s="7" t="s">
        <v>950</v>
      </c>
      <c r="C16" s="187" t="s">
        <v>960</v>
      </c>
      <c r="D16" s="96" t="s">
        <v>962</v>
      </c>
      <c r="E16" s="185" t="s">
        <v>1165</v>
      </c>
      <c r="F16" s="161">
        <f t="shared" si="41"/>
        <v>0</v>
      </c>
      <c r="G16" s="161">
        <f t="shared" si="42"/>
        <v>45811.46</v>
      </c>
      <c r="H16" s="161">
        <f t="shared" si="43"/>
        <v>-45811.46</v>
      </c>
      <c r="I16" s="161">
        <f t="shared" si="44"/>
        <v>3295.9599999999991</v>
      </c>
      <c r="J16" s="165">
        <f t="shared" si="6"/>
        <v>0</v>
      </c>
      <c r="K16" s="115">
        <f>54600+1835</f>
        <v>56435</v>
      </c>
      <c r="L16" s="211">
        <v>0</v>
      </c>
      <c r="M16" s="211">
        <v>0</v>
      </c>
      <c r="N16" s="127">
        <f t="shared" si="45"/>
        <v>0</v>
      </c>
      <c r="O16" s="127">
        <f t="shared" si="46"/>
        <v>0</v>
      </c>
      <c r="P16" s="127">
        <f t="shared" si="47"/>
        <v>0</v>
      </c>
      <c r="Q16" s="131">
        <f t="shared" si="48"/>
        <v>0</v>
      </c>
      <c r="R16" s="125">
        <f t="shared" si="10"/>
        <v>45811.46</v>
      </c>
      <c r="S16" s="113">
        <v>0</v>
      </c>
      <c r="T16" s="113"/>
      <c r="U16" s="113">
        <f t="shared" si="11"/>
        <v>0</v>
      </c>
      <c r="V16" s="113">
        <f t="shared" si="12"/>
        <v>0</v>
      </c>
      <c r="W16" s="113">
        <v>0</v>
      </c>
      <c r="X16" s="113">
        <v>0</v>
      </c>
      <c r="Y16" s="113"/>
      <c r="Z16" s="113">
        <v>0</v>
      </c>
      <c r="AA16" s="113">
        <f t="shared" si="13"/>
        <v>0</v>
      </c>
      <c r="AB16" s="113">
        <f t="shared" si="13"/>
        <v>0</v>
      </c>
      <c r="AC16" s="113"/>
      <c r="AD16" s="113"/>
      <c r="AE16" s="113"/>
      <c r="AF16" s="113"/>
      <c r="AG16" s="113">
        <f t="shared" si="14"/>
        <v>0</v>
      </c>
      <c r="AH16" s="113">
        <f t="shared" si="14"/>
        <v>0</v>
      </c>
      <c r="AI16" s="114">
        <f t="shared" si="15"/>
        <v>0</v>
      </c>
      <c r="AJ16" s="114">
        <f t="shared" si="16"/>
        <v>0</v>
      </c>
      <c r="AK16" s="114">
        <f t="shared" si="16"/>
        <v>0</v>
      </c>
      <c r="AL16" s="114">
        <f t="shared" si="17"/>
        <v>0</v>
      </c>
      <c r="AM16" s="113">
        <f t="shared" si="18"/>
        <v>0</v>
      </c>
      <c r="AN16" s="113">
        <f t="shared" si="18"/>
        <v>0</v>
      </c>
      <c r="AO16" s="113"/>
      <c r="AP16" s="113"/>
      <c r="AQ16" s="113"/>
      <c r="AR16" s="113"/>
      <c r="AS16" s="113">
        <f t="shared" si="19"/>
        <v>0</v>
      </c>
      <c r="AT16" s="113">
        <f t="shared" si="19"/>
        <v>0</v>
      </c>
      <c r="AU16" s="113"/>
      <c r="AV16" s="113">
        <v>42000</v>
      </c>
      <c r="AW16" s="113"/>
      <c r="AX16" s="113"/>
      <c r="AY16" s="113">
        <f t="shared" si="20"/>
        <v>0</v>
      </c>
      <c r="AZ16" s="113">
        <f t="shared" si="20"/>
        <v>42000</v>
      </c>
      <c r="BA16" s="113"/>
      <c r="BB16" s="113"/>
      <c r="BC16" s="113"/>
      <c r="BD16" s="113">
        <v>3811.46</v>
      </c>
      <c r="BE16" s="113">
        <f t="shared" si="21"/>
        <v>0</v>
      </c>
      <c r="BF16" s="113">
        <v>3295.9599999999991</v>
      </c>
      <c r="BG16" s="113">
        <f t="shared" si="22"/>
        <v>3811.46</v>
      </c>
      <c r="BH16" s="113"/>
      <c r="BI16" s="113"/>
      <c r="BJ16" s="113"/>
      <c r="BK16" s="113"/>
      <c r="BL16" s="113">
        <f t="shared" si="23"/>
        <v>0</v>
      </c>
      <c r="BM16" s="113"/>
      <c r="BN16" s="113">
        <f t="shared" si="24"/>
        <v>0</v>
      </c>
      <c r="BO16" s="113"/>
      <c r="BP16" s="113"/>
      <c r="BQ16" s="113"/>
      <c r="BR16" s="113"/>
      <c r="BS16" s="113">
        <f t="shared" si="25"/>
        <v>0</v>
      </c>
      <c r="BT16" s="113"/>
      <c r="BU16" s="113">
        <f t="shared" si="26"/>
        <v>0</v>
      </c>
      <c r="BV16" s="113"/>
      <c r="BW16" s="113"/>
      <c r="BX16" s="113"/>
      <c r="BY16" s="113"/>
      <c r="BZ16" s="113">
        <f t="shared" si="27"/>
        <v>0</v>
      </c>
      <c r="CA16" s="113"/>
      <c r="CB16" s="113">
        <f t="shared" si="28"/>
        <v>0</v>
      </c>
      <c r="CC16" s="113"/>
      <c r="CD16" s="113"/>
      <c r="CE16" s="113"/>
      <c r="CF16" s="113"/>
      <c r="CG16" s="113">
        <f t="shared" si="29"/>
        <v>0</v>
      </c>
      <c r="CH16" s="113">
        <f t="shared" si="30"/>
        <v>0</v>
      </c>
      <c r="CI16" s="113"/>
      <c r="CJ16" s="113"/>
      <c r="CK16" s="113"/>
      <c r="CL16" s="113"/>
      <c r="CM16" s="113">
        <f t="shared" si="31"/>
        <v>0</v>
      </c>
      <c r="CN16" s="113">
        <f t="shared" si="31"/>
        <v>0</v>
      </c>
      <c r="CO16" s="113"/>
      <c r="CP16" s="113"/>
      <c r="CQ16" s="113"/>
      <c r="CR16" s="113"/>
      <c r="CS16" s="113">
        <f t="shared" si="32"/>
        <v>0</v>
      </c>
      <c r="CT16" s="113">
        <f t="shared" si="32"/>
        <v>0</v>
      </c>
      <c r="CU16" s="113"/>
      <c r="CV16" s="113"/>
      <c r="CW16" s="113"/>
      <c r="CX16" s="113"/>
      <c r="CY16" s="113">
        <f t="shared" si="33"/>
        <v>0</v>
      </c>
      <c r="CZ16" s="113">
        <f t="shared" si="33"/>
        <v>0</v>
      </c>
      <c r="DA16" s="113"/>
      <c r="DB16" s="113"/>
      <c r="DC16" s="113"/>
      <c r="DD16" s="113"/>
      <c r="DE16" s="113">
        <f t="shared" si="34"/>
        <v>0</v>
      </c>
      <c r="DF16" s="113">
        <f t="shared" si="34"/>
        <v>0</v>
      </c>
      <c r="DG16" s="113"/>
      <c r="DH16" s="113"/>
      <c r="DI16" s="113"/>
      <c r="DJ16" s="113"/>
      <c r="DK16" s="113">
        <f t="shared" si="35"/>
        <v>0</v>
      </c>
      <c r="DL16" s="113">
        <f t="shared" si="35"/>
        <v>0</v>
      </c>
      <c r="DM16" s="113">
        <f t="shared" si="36"/>
        <v>0</v>
      </c>
      <c r="DN16" s="113">
        <f t="shared" si="37"/>
        <v>42000</v>
      </c>
      <c r="DO16" s="113">
        <f t="shared" si="38"/>
        <v>0</v>
      </c>
      <c r="DP16" s="113">
        <f t="shared" si="39"/>
        <v>3811.46</v>
      </c>
      <c r="DQ16" s="113">
        <f t="shared" si="40"/>
        <v>0</v>
      </c>
      <c r="DR16" s="113">
        <f t="shared" si="40"/>
        <v>45811.46</v>
      </c>
    </row>
    <row r="17" spans="1:122">
      <c r="A17" s="215">
        <v>9</v>
      </c>
      <c r="B17" s="216" t="s">
        <v>963</v>
      </c>
      <c r="C17" s="217" t="s">
        <v>964</v>
      </c>
      <c r="D17" s="216" t="s">
        <v>965</v>
      </c>
      <c r="E17" s="185" t="s">
        <v>1165</v>
      </c>
      <c r="F17" s="161">
        <f t="shared" si="41"/>
        <v>120641.1</v>
      </c>
      <c r="G17" s="161">
        <f t="shared" si="42"/>
        <v>105234.79</v>
      </c>
      <c r="H17" s="161">
        <f t="shared" si="43"/>
        <v>15406.310000000012</v>
      </c>
      <c r="I17" s="161">
        <f t="shared" si="44"/>
        <v>4000</v>
      </c>
      <c r="J17" s="165">
        <f t="shared" si="6"/>
        <v>257974.77</v>
      </c>
      <c r="K17" s="115">
        <v>104448</v>
      </c>
      <c r="L17" s="211">
        <v>0</v>
      </c>
      <c r="M17" s="211">
        <v>0</v>
      </c>
      <c r="N17" s="127">
        <f t="shared" si="45"/>
        <v>137333.66999999998</v>
      </c>
      <c r="O17" s="127">
        <f t="shared" si="46"/>
        <v>137333.66999999998</v>
      </c>
      <c r="P17" s="127">
        <f t="shared" si="47"/>
        <v>137333.66999999998</v>
      </c>
      <c r="Q17" s="131">
        <f t="shared" si="48"/>
        <v>120641.1</v>
      </c>
      <c r="R17" s="125" t="str">
        <f t="shared" si="10"/>
        <v>შეცდომაა! ერთზე მეტი ბოლო ჩაბარება!</v>
      </c>
      <c r="S17" s="113">
        <v>0</v>
      </c>
      <c r="T17" s="113">
        <v>137333.66999999998</v>
      </c>
      <c r="U17" s="113">
        <f t="shared" si="11"/>
        <v>0</v>
      </c>
      <c r="V17" s="113">
        <f t="shared" si="12"/>
        <v>137333.66999999998</v>
      </c>
      <c r="W17" s="113">
        <v>0</v>
      </c>
      <c r="X17" s="113">
        <v>0</v>
      </c>
      <c r="Y17" s="113">
        <v>0</v>
      </c>
      <c r="Z17" s="113">
        <v>0</v>
      </c>
      <c r="AA17" s="113">
        <f t="shared" si="13"/>
        <v>0</v>
      </c>
      <c r="AB17" s="113">
        <f t="shared" si="13"/>
        <v>0</v>
      </c>
      <c r="AC17" s="113"/>
      <c r="AD17" s="113"/>
      <c r="AE17" s="113"/>
      <c r="AF17" s="113"/>
      <c r="AG17" s="113">
        <f t="shared" si="14"/>
        <v>0</v>
      </c>
      <c r="AH17" s="113">
        <f t="shared" si="14"/>
        <v>0</v>
      </c>
      <c r="AI17" s="114">
        <f t="shared" si="15"/>
        <v>0</v>
      </c>
      <c r="AJ17" s="114">
        <f t="shared" si="16"/>
        <v>0</v>
      </c>
      <c r="AK17" s="114">
        <f t="shared" si="16"/>
        <v>137333.66999999998</v>
      </c>
      <c r="AL17" s="114">
        <f t="shared" si="17"/>
        <v>137333.66999999998</v>
      </c>
      <c r="AM17" s="113">
        <f t="shared" si="18"/>
        <v>137333.66999999998</v>
      </c>
      <c r="AN17" s="113">
        <f t="shared" si="18"/>
        <v>137333.66999999998</v>
      </c>
      <c r="AO17" s="113"/>
      <c r="AP17" s="113">
        <v>100000</v>
      </c>
      <c r="AQ17" s="113">
        <v>120641.1</v>
      </c>
      <c r="AR17" s="113"/>
      <c r="AS17" s="113">
        <f t="shared" si="19"/>
        <v>120641.1</v>
      </c>
      <c r="AT17" s="113">
        <f t="shared" si="19"/>
        <v>100000</v>
      </c>
      <c r="AU17" s="113"/>
      <c r="AV17" s="113"/>
      <c r="AW17" s="113"/>
      <c r="AX17" s="113"/>
      <c r="AY17" s="113">
        <f t="shared" si="20"/>
        <v>0</v>
      </c>
      <c r="AZ17" s="113">
        <f t="shared" si="20"/>
        <v>0</v>
      </c>
      <c r="BA17" s="113"/>
      <c r="BB17" s="113"/>
      <c r="BC17" s="113"/>
      <c r="BD17" s="113">
        <v>5234.79</v>
      </c>
      <c r="BE17" s="113">
        <f t="shared" si="21"/>
        <v>0</v>
      </c>
      <c r="BF17" s="113">
        <v>4000</v>
      </c>
      <c r="BG17" s="113">
        <f t="shared" si="22"/>
        <v>5234.79</v>
      </c>
      <c r="BH17" s="113"/>
      <c r="BI17" s="113"/>
      <c r="BJ17" s="113"/>
      <c r="BK17" s="113"/>
      <c r="BL17" s="113">
        <f t="shared" si="23"/>
        <v>0</v>
      </c>
      <c r="BM17" s="113"/>
      <c r="BN17" s="113">
        <f t="shared" si="24"/>
        <v>0</v>
      </c>
      <c r="BO17" s="113"/>
      <c r="BP17" s="113"/>
      <c r="BQ17" s="113"/>
      <c r="BR17" s="113"/>
      <c r="BS17" s="113">
        <f t="shared" si="25"/>
        <v>0</v>
      </c>
      <c r="BT17" s="113"/>
      <c r="BU17" s="113">
        <f t="shared" si="26"/>
        <v>0</v>
      </c>
      <c r="BV17" s="113"/>
      <c r="BW17" s="113"/>
      <c r="BX17" s="113"/>
      <c r="BY17" s="113"/>
      <c r="BZ17" s="113">
        <f t="shared" si="27"/>
        <v>0</v>
      </c>
      <c r="CA17" s="113"/>
      <c r="CB17" s="113">
        <f t="shared" si="28"/>
        <v>0</v>
      </c>
      <c r="CC17" s="113"/>
      <c r="CD17" s="113"/>
      <c r="CE17" s="113"/>
      <c r="CF17" s="113"/>
      <c r="CG17" s="113">
        <f t="shared" si="29"/>
        <v>0</v>
      </c>
      <c r="CH17" s="113">
        <f t="shared" si="30"/>
        <v>0</v>
      </c>
      <c r="CI17" s="113"/>
      <c r="CJ17" s="113"/>
      <c r="CK17" s="113"/>
      <c r="CL17" s="113"/>
      <c r="CM17" s="113">
        <f t="shared" si="31"/>
        <v>0</v>
      </c>
      <c r="CN17" s="113">
        <f t="shared" si="31"/>
        <v>0</v>
      </c>
      <c r="CO17" s="113"/>
      <c r="CP17" s="113"/>
      <c r="CQ17" s="113"/>
      <c r="CR17" s="113"/>
      <c r="CS17" s="113">
        <f t="shared" si="32"/>
        <v>0</v>
      </c>
      <c r="CT17" s="113">
        <f t="shared" si="32"/>
        <v>0</v>
      </c>
      <c r="CU17" s="113"/>
      <c r="CV17" s="113"/>
      <c r="CW17" s="113"/>
      <c r="CX17" s="113"/>
      <c r="CY17" s="113">
        <f t="shared" si="33"/>
        <v>0</v>
      </c>
      <c r="CZ17" s="113">
        <f t="shared" si="33"/>
        <v>0</v>
      </c>
      <c r="DA17" s="113"/>
      <c r="DB17" s="113"/>
      <c r="DC17" s="113"/>
      <c r="DD17" s="113"/>
      <c r="DE17" s="113">
        <f t="shared" si="34"/>
        <v>0</v>
      </c>
      <c r="DF17" s="113">
        <f t="shared" si="34"/>
        <v>0</v>
      </c>
      <c r="DG17" s="113"/>
      <c r="DH17" s="113"/>
      <c r="DI17" s="113"/>
      <c r="DJ17" s="113"/>
      <c r="DK17" s="113">
        <f t="shared" si="35"/>
        <v>0</v>
      </c>
      <c r="DL17" s="113">
        <f t="shared" si="35"/>
        <v>0</v>
      </c>
      <c r="DM17" s="113">
        <f t="shared" si="36"/>
        <v>0</v>
      </c>
      <c r="DN17" s="113">
        <f t="shared" si="37"/>
        <v>100000</v>
      </c>
      <c r="DO17" s="113">
        <f t="shared" si="38"/>
        <v>120641.1</v>
      </c>
      <c r="DP17" s="113">
        <f t="shared" si="39"/>
        <v>5234.79</v>
      </c>
      <c r="DQ17" s="113">
        <f t="shared" si="40"/>
        <v>120641.1</v>
      </c>
      <c r="DR17" s="113">
        <f t="shared" si="40"/>
        <v>105234.79</v>
      </c>
    </row>
    <row r="18" spans="1:122">
      <c r="A18" s="215">
        <v>10</v>
      </c>
      <c r="B18" s="216" t="s">
        <v>963</v>
      </c>
      <c r="C18" s="217" t="s">
        <v>964</v>
      </c>
      <c r="D18" s="216" t="s">
        <v>965</v>
      </c>
      <c r="E18" s="185" t="s">
        <v>1164</v>
      </c>
      <c r="F18" s="161">
        <f t="shared" si="41"/>
        <v>0</v>
      </c>
      <c r="G18" s="161">
        <f t="shared" si="42"/>
        <v>0</v>
      </c>
      <c r="H18" s="161">
        <f t="shared" si="43"/>
        <v>0</v>
      </c>
      <c r="I18" s="161">
        <f t="shared" si="44"/>
        <v>0</v>
      </c>
      <c r="J18" s="165">
        <f t="shared" si="6"/>
        <v>4305</v>
      </c>
      <c r="K18" s="115"/>
      <c r="L18" s="211">
        <v>0</v>
      </c>
      <c r="M18" s="211">
        <v>0</v>
      </c>
      <c r="N18" s="127">
        <f t="shared" si="45"/>
        <v>4305</v>
      </c>
      <c r="O18" s="127">
        <f t="shared" si="46"/>
        <v>4305</v>
      </c>
      <c r="P18" s="127">
        <f t="shared" si="47"/>
        <v>4305</v>
      </c>
      <c r="Q18" s="131">
        <f t="shared" si="48"/>
        <v>0</v>
      </c>
      <c r="R18" s="125">
        <f t="shared" si="10"/>
        <v>4305</v>
      </c>
      <c r="S18" s="113">
        <v>0</v>
      </c>
      <c r="T18" s="113">
        <v>0</v>
      </c>
      <c r="U18" s="113">
        <f t="shared" si="11"/>
        <v>0</v>
      </c>
      <c r="V18" s="113">
        <f t="shared" si="12"/>
        <v>0</v>
      </c>
      <c r="W18" s="113">
        <v>0</v>
      </c>
      <c r="X18" s="113">
        <v>0</v>
      </c>
      <c r="Y18" s="113">
        <v>0</v>
      </c>
      <c r="Z18" s="113">
        <v>4305</v>
      </c>
      <c r="AA18" s="113">
        <f t="shared" ref="AA18" si="49">W18+Y18</f>
        <v>0</v>
      </c>
      <c r="AB18" s="113">
        <f t="shared" ref="AB18" si="50">X18+Z18</f>
        <v>4305</v>
      </c>
      <c r="AC18" s="113"/>
      <c r="AD18" s="113"/>
      <c r="AE18" s="113"/>
      <c r="AF18" s="113"/>
      <c r="AG18" s="113">
        <f t="shared" ref="AG18" si="51">AC18+AE18</f>
        <v>0</v>
      </c>
      <c r="AH18" s="113">
        <f t="shared" ref="AH18" si="52">AD18+AF18</f>
        <v>0</v>
      </c>
      <c r="AI18" s="114">
        <f t="shared" ref="AI18" si="53">S18+W18+AC18</f>
        <v>0</v>
      </c>
      <c r="AJ18" s="114">
        <f t="shared" ref="AJ18" si="54">S18+X18+AD18</f>
        <v>0</v>
      </c>
      <c r="AK18" s="114">
        <f t="shared" ref="AK18" si="55">T18+Y18+AE18</f>
        <v>0</v>
      </c>
      <c r="AL18" s="114">
        <f t="shared" ref="AL18" si="56">T18+Z18+AF18</f>
        <v>4305</v>
      </c>
      <c r="AM18" s="113">
        <f t="shared" ref="AM18" si="57">AI18+AK18</f>
        <v>0</v>
      </c>
      <c r="AN18" s="113">
        <f t="shared" ref="AN18" si="58">AJ18+AL18</f>
        <v>4305</v>
      </c>
      <c r="AO18" s="113"/>
      <c r="AP18" s="113"/>
      <c r="AQ18" s="113">
        <v>0</v>
      </c>
      <c r="AR18" s="113"/>
      <c r="AS18" s="113">
        <f t="shared" ref="AS18" si="59">AO18+AQ18</f>
        <v>0</v>
      </c>
      <c r="AT18" s="113">
        <f t="shared" ref="AT18" si="60">AP18+AR18</f>
        <v>0</v>
      </c>
      <c r="AU18" s="113"/>
      <c r="AV18" s="113"/>
      <c r="AW18" s="113"/>
      <c r="AX18" s="113"/>
      <c r="AY18" s="113">
        <f t="shared" ref="AY18" si="61">AU18+AW18</f>
        <v>0</v>
      </c>
      <c r="AZ18" s="113">
        <f t="shared" ref="AZ18" si="62">AV18+AX18</f>
        <v>0</v>
      </c>
      <c r="BA18" s="113"/>
      <c r="BB18" s="113"/>
      <c r="BC18" s="113"/>
      <c r="BD18" s="113"/>
      <c r="BE18" s="113">
        <f t="shared" ref="BE18" si="63">BA18+BC18</f>
        <v>0</v>
      </c>
      <c r="BF18" s="113"/>
      <c r="BG18" s="113">
        <f t="shared" ref="BG18" si="64">BB18+BD18</f>
        <v>0</v>
      </c>
      <c r="BH18" s="113"/>
      <c r="BI18" s="113"/>
      <c r="BJ18" s="113"/>
      <c r="BK18" s="113"/>
      <c r="BL18" s="113">
        <f t="shared" ref="BL18" si="65">BH18+BJ18</f>
        <v>0</v>
      </c>
      <c r="BM18" s="113"/>
      <c r="BN18" s="113">
        <f t="shared" ref="BN18" si="66">BI18+BK18</f>
        <v>0</v>
      </c>
      <c r="BO18" s="113"/>
      <c r="BP18" s="113"/>
      <c r="BQ18" s="113"/>
      <c r="BR18" s="113"/>
      <c r="BS18" s="113">
        <f t="shared" ref="BS18" si="67">BO18+BQ18</f>
        <v>0</v>
      </c>
      <c r="BT18" s="113"/>
      <c r="BU18" s="113">
        <f t="shared" ref="BU18" si="68">BP18+BR18</f>
        <v>0</v>
      </c>
      <c r="BV18" s="113"/>
      <c r="BW18" s="113"/>
      <c r="BX18" s="113"/>
      <c r="BY18" s="113"/>
      <c r="BZ18" s="113">
        <f t="shared" ref="BZ18" si="69">BV18+BX18</f>
        <v>0</v>
      </c>
      <c r="CA18" s="113"/>
      <c r="CB18" s="113">
        <f t="shared" si="28"/>
        <v>0</v>
      </c>
      <c r="CC18" s="113"/>
      <c r="CD18" s="113"/>
      <c r="CE18" s="113"/>
      <c r="CF18" s="113"/>
      <c r="CG18" s="113">
        <f t="shared" ref="CG18" si="70">CC18+CE18</f>
        <v>0</v>
      </c>
      <c r="CH18" s="113">
        <f t="shared" si="30"/>
        <v>0</v>
      </c>
      <c r="CI18" s="113"/>
      <c r="CJ18" s="113"/>
      <c r="CK18" s="113"/>
      <c r="CL18" s="113"/>
      <c r="CM18" s="113">
        <f t="shared" ref="CM18" si="71">CI18+CK18</f>
        <v>0</v>
      </c>
      <c r="CN18" s="113">
        <f t="shared" ref="CN18" si="72">CJ18+CL18</f>
        <v>0</v>
      </c>
      <c r="CO18" s="113"/>
      <c r="CP18" s="113"/>
      <c r="CQ18" s="113"/>
      <c r="CR18" s="113"/>
      <c r="CS18" s="113">
        <f t="shared" ref="CS18" si="73">CO18+CQ18</f>
        <v>0</v>
      </c>
      <c r="CT18" s="113">
        <f t="shared" ref="CT18" si="74">CP18+CR18</f>
        <v>0</v>
      </c>
      <c r="CU18" s="113"/>
      <c r="CV18" s="113"/>
      <c r="CW18" s="113"/>
      <c r="CX18" s="113"/>
      <c r="CY18" s="113">
        <f t="shared" ref="CY18" si="75">CU18+CW18</f>
        <v>0</v>
      </c>
      <c r="CZ18" s="113">
        <f t="shared" ref="CZ18" si="76">CV18+CX18</f>
        <v>0</v>
      </c>
      <c r="DA18" s="113"/>
      <c r="DB18" s="113"/>
      <c r="DC18" s="113"/>
      <c r="DD18" s="113"/>
      <c r="DE18" s="113">
        <f t="shared" ref="DE18" si="77">DA18+DC18</f>
        <v>0</v>
      </c>
      <c r="DF18" s="113">
        <f t="shared" ref="DF18" si="78">DB18+DD18</f>
        <v>0</v>
      </c>
      <c r="DG18" s="113"/>
      <c r="DH18" s="113"/>
      <c r="DI18" s="113"/>
      <c r="DJ18" s="113"/>
      <c r="DK18" s="113">
        <f t="shared" ref="DK18" si="79">DG18+DI18</f>
        <v>0</v>
      </c>
      <c r="DL18" s="113">
        <f t="shared" ref="DL18" si="80">DH18+DJ18</f>
        <v>0</v>
      </c>
      <c r="DM18" s="113">
        <f t="shared" si="36"/>
        <v>0</v>
      </c>
      <c r="DN18" s="113">
        <f t="shared" si="37"/>
        <v>0</v>
      </c>
      <c r="DO18" s="113">
        <f t="shared" si="38"/>
        <v>0</v>
      </c>
      <c r="DP18" s="113">
        <f t="shared" si="39"/>
        <v>0</v>
      </c>
      <c r="DQ18" s="113">
        <f t="shared" ref="DQ18" si="81">DM18+DO18</f>
        <v>0</v>
      </c>
      <c r="DR18" s="113">
        <f t="shared" ref="DR18" si="82">DN18+DP18</f>
        <v>0</v>
      </c>
    </row>
    <row r="19" spans="1:122">
      <c r="A19" s="15">
        <v>11</v>
      </c>
      <c r="B19" s="96" t="s">
        <v>963</v>
      </c>
      <c r="C19" s="96" t="s">
        <v>966</v>
      </c>
      <c r="D19" s="96" t="s">
        <v>967</v>
      </c>
      <c r="E19" s="185" t="s">
        <v>1164</v>
      </c>
      <c r="F19" s="161">
        <f t="shared" si="41"/>
        <v>0</v>
      </c>
      <c r="G19" s="161">
        <f t="shared" si="42"/>
        <v>0</v>
      </c>
      <c r="H19" s="161">
        <f t="shared" si="43"/>
        <v>0</v>
      </c>
      <c r="I19" s="161">
        <f t="shared" si="44"/>
        <v>0</v>
      </c>
      <c r="J19" s="165">
        <f t="shared" si="6"/>
        <v>229.25</v>
      </c>
      <c r="K19" s="115">
        <v>2</v>
      </c>
      <c r="L19" s="211">
        <v>0</v>
      </c>
      <c r="M19" s="211">
        <v>0</v>
      </c>
      <c r="N19" s="127">
        <f t="shared" si="45"/>
        <v>229.25</v>
      </c>
      <c r="O19" s="127">
        <f t="shared" si="46"/>
        <v>229.25</v>
      </c>
      <c r="P19" s="127">
        <f t="shared" si="47"/>
        <v>229.25</v>
      </c>
      <c r="Q19" s="131">
        <f t="shared" si="48"/>
        <v>0</v>
      </c>
      <c r="R19" s="125">
        <f t="shared" si="10"/>
        <v>229.25</v>
      </c>
      <c r="S19" s="113"/>
      <c r="T19" s="113">
        <v>229.25</v>
      </c>
      <c r="U19" s="113">
        <f t="shared" si="11"/>
        <v>0</v>
      </c>
      <c r="V19" s="113">
        <f t="shared" si="12"/>
        <v>229.25</v>
      </c>
      <c r="W19" s="113">
        <v>0</v>
      </c>
      <c r="X19" s="113">
        <v>0</v>
      </c>
      <c r="Y19" s="113">
        <v>0</v>
      </c>
      <c r="Z19" s="113">
        <v>0</v>
      </c>
      <c r="AA19" s="113">
        <f t="shared" si="13"/>
        <v>0</v>
      </c>
      <c r="AB19" s="113">
        <f t="shared" si="13"/>
        <v>0</v>
      </c>
      <c r="AC19" s="113"/>
      <c r="AD19" s="113"/>
      <c r="AE19" s="113"/>
      <c r="AF19" s="113"/>
      <c r="AG19" s="113">
        <f t="shared" si="14"/>
        <v>0</v>
      </c>
      <c r="AH19" s="113">
        <f t="shared" si="14"/>
        <v>0</v>
      </c>
      <c r="AI19" s="114">
        <f t="shared" si="15"/>
        <v>0</v>
      </c>
      <c r="AJ19" s="114">
        <f t="shared" si="16"/>
        <v>0</v>
      </c>
      <c r="AK19" s="114">
        <f t="shared" si="16"/>
        <v>229.25</v>
      </c>
      <c r="AL19" s="114">
        <f t="shared" si="17"/>
        <v>229.25</v>
      </c>
      <c r="AM19" s="113">
        <f t="shared" si="18"/>
        <v>229.25</v>
      </c>
      <c r="AN19" s="113">
        <f t="shared" si="18"/>
        <v>229.25</v>
      </c>
      <c r="AO19" s="113"/>
      <c r="AP19" s="113"/>
      <c r="AQ19" s="113"/>
      <c r="AR19" s="113"/>
      <c r="AS19" s="113">
        <f t="shared" si="19"/>
        <v>0</v>
      </c>
      <c r="AT19" s="113">
        <f t="shared" si="19"/>
        <v>0</v>
      </c>
      <c r="AU19" s="113"/>
      <c r="AV19" s="113"/>
      <c r="AW19" s="113"/>
      <c r="AX19" s="113"/>
      <c r="AY19" s="113">
        <f t="shared" si="20"/>
        <v>0</v>
      </c>
      <c r="AZ19" s="113">
        <f t="shared" si="20"/>
        <v>0</v>
      </c>
      <c r="BA19" s="113"/>
      <c r="BB19" s="113"/>
      <c r="BC19" s="113"/>
      <c r="BD19" s="113"/>
      <c r="BE19" s="113">
        <f t="shared" si="21"/>
        <v>0</v>
      </c>
      <c r="BF19" s="113"/>
      <c r="BG19" s="113">
        <f t="shared" ref="BG19:BG50" si="83">BB19+BD19</f>
        <v>0</v>
      </c>
      <c r="BH19" s="113"/>
      <c r="BI19" s="113"/>
      <c r="BJ19" s="113"/>
      <c r="BK19" s="113"/>
      <c r="BL19" s="113">
        <f t="shared" si="23"/>
        <v>0</v>
      </c>
      <c r="BM19" s="113"/>
      <c r="BN19" s="113">
        <f t="shared" ref="BN19:BN50" si="84">BI19+BK19</f>
        <v>0</v>
      </c>
      <c r="BO19" s="113"/>
      <c r="BP19" s="113"/>
      <c r="BQ19" s="113"/>
      <c r="BR19" s="113"/>
      <c r="BS19" s="113">
        <f t="shared" si="25"/>
        <v>0</v>
      </c>
      <c r="BT19" s="113"/>
      <c r="BU19" s="113">
        <f t="shared" ref="BU19:BU50" si="85">BP19+BR19</f>
        <v>0</v>
      </c>
      <c r="BV19" s="113"/>
      <c r="BW19" s="113"/>
      <c r="BX19" s="113"/>
      <c r="BY19" s="113"/>
      <c r="BZ19" s="113">
        <f t="shared" si="27"/>
        <v>0</v>
      </c>
      <c r="CA19" s="113"/>
      <c r="CB19" s="113">
        <f t="shared" si="28"/>
        <v>0</v>
      </c>
      <c r="CC19" s="113"/>
      <c r="CD19" s="113"/>
      <c r="CE19" s="113"/>
      <c r="CF19" s="113"/>
      <c r="CG19" s="113">
        <f t="shared" si="29"/>
        <v>0</v>
      </c>
      <c r="CH19" s="113">
        <f t="shared" si="30"/>
        <v>0</v>
      </c>
      <c r="CI19" s="113"/>
      <c r="CJ19" s="113"/>
      <c r="CK19" s="113"/>
      <c r="CL19" s="113"/>
      <c r="CM19" s="113">
        <f t="shared" si="31"/>
        <v>0</v>
      </c>
      <c r="CN19" s="113">
        <f t="shared" si="31"/>
        <v>0</v>
      </c>
      <c r="CO19" s="113"/>
      <c r="CP19" s="113"/>
      <c r="CQ19" s="113"/>
      <c r="CR19" s="113"/>
      <c r="CS19" s="113">
        <f t="shared" si="32"/>
        <v>0</v>
      </c>
      <c r="CT19" s="113">
        <f t="shared" si="32"/>
        <v>0</v>
      </c>
      <c r="CU19" s="113"/>
      <c r="CV19" s="113"/>
      <c r="CW19" s="113"/>
      <c r="CX19" s="113"/>
      <c r="CY19" s="113">
        <f t="shared" si="33"/>
        <v>0</v>
      </c>
      <c r="CZ19" s="113">
        <f t="shared" si="33"/>
        <v>0</v>
      </c>
      <c r="DA19" s="113"/>
      <c r="DB19" s="113"/>
      <c r="DC19" s="113"/>
      <c r="DD19" s="113"/>
      <c r="DE19" s="113">
        <f t="shared" si="34"/>
        <v>0</v>
      </c>
      <c r="DF19" s="113">
        <f t="shared" si="34"/>
        <v>0</v>
      </c>
      <c r="DG19" s="113"/>
      <c r="DH19" s="113"/>
      <c r="DI19" s="113"/>
      <c r="DJ19" s="113"/>
      <c r="DK19" s="113">
        <f t="shared" si="35"/>
        <v>0</v>
      </c>
      <c r="DL19" s="113">
        <f t="shared" si="35"/>
        <v>0</v>
      </c>
      <c r="DM19" s="113">
        <f t="shared" si="36"/>
        <v>0</v>
      </c>
      <c r="DN19" s="113">
        <f t="shared" si="37"/>
        <v>0</v>
      </c>
      <c r="DO19" s="113">
        <f t="shared" si="38"/>
        <v>0</v>
      </c>
      <c r="DP19" s="113">
        <f t="shared" si="39"/>
        <v>0</v>
      </c>
      <c r="DQ19" s="113">
        <f t="shared" si="40"/>
        <v>0</v>
      </c>
      <c r="DR19" s="113">
        <f t="shared" si="40"/>
        <v>0</v>
      </c>
    </row>
    <row r="20" spans="1:122">
      <c r="A20" s="15">
        <v>12</v>
      </c>
      <c r="B20" s="96" t="s">
        <v>963</v>
      </c>
      <c r="C20" s="187" t="s">
        <v>966</v>
      </c>
      <c r="D20" s="96" t="s">
        <v>968</v>
      </c>
      <c r="E20" s="185" t="s">
        <v>1165</v>
      </c>
      <c r="F20" s="161">
        <f t="shared" si="41"/>
        <v>0</v>
      </c>
      <c r="G20" s="161">
        <f t="shared" si="42"/>
        <v>0</v>
      </c>
      <c r="H20" s="161">
        <f t="shared" si="43"/>
        <v>0</v>
      </c>
      <c r="I20" s="161">
        <f t="shared" si="44"/>
        <v>0</v>
      </c>
      <c r="J20" s="165">
        <f t="shared" si="6"/>
        <v>7491.71</v>
      </c>
      <c r="K20" s="115">
        <v>1122</v>
      </c>
      <c r="L20" s="211">
        <v>0</v>
      </c>
      <c r="M20" s="211">
        <v>0</v>
      </c>
      <c r="N20" s="127">
        <f t="shared" si="45"/>
        <v>7491.71</v>
      </c>
      <c r="O20" s="127">
        <f t="shared" si="46"/>
        <v>7491.71</v>
      </c>
      <c r="P20" s="127">
        <f t="shared" si="47"/>
        <v>7491.71</v>
      </c>
      <c r="Q20" s="131">
        <f t="shared" si="48"/>
        <v>0</v>
      </c>
      <c r="R20" s="125">
        <f t="shared" si="10"/>
        <v>7491.71</v>
      </c>
      <c r="S20" s="113"/>
      <c r="T20" s="113">
        <v>7491.71</v>
      </c>
      <c r="U20" s="113">
        <f t="shared" si="11"/>
        <v>0</v>
      </c>
      <c r="V20" s="113">
        <f t="shared" si="12"/>
        <v>7491.71</v>
      </c>
      <c r="W20" s="113">
        <v>0</v>
      </c>
      <c r="X20" s="113">
        <v>0</v>
      </c>
      <c r="Y20" s="113">
        <v>0</v>
      </c>
      <c r="Z20" s="113">
        <v>0</v>
      </c>
      <c r="AA20" s="113">
        <f t="shared" si="13"/>
        <v>0</v>
      </c>
      <c r="AB20" s="113">
        <f t="shared" si="13"/>
        <v>0</v>
      </c>
      <c r="AC20" s="113"/>
      <c r="AD20" s="113"/>
      <c r="AE20" s="113"/>
      <c r="AF20" s="113"/>
      <c r="AG20" s="113">
        <f t="shared" si="14"/>
        <v>0</v>
      </c>
      <c r="AH20" s="113">
        <f t="shared" si="14"/>
        <v>0</v>
      </c>
      <c r="AI20" s="114">
        <f t="shared" si="15"/>
        <v>0</v>
      </c>
      <c r="AJ20" s="114">
        <f t="shared" si="16"/>
        <v>0</v>
      </c>
      <c r="AK20" s="114">
        <f t="shared" si="16"/>
        <v>7491.71</v>
      </c>
      <c r="AL20" s="114">
        <f t="shared" si="17"/>
        <v>7491.71</v>
      </c>
      <c r="AM20" s="113">
        <f t="shared" si="18"/>
        <v>7491.71</v>
      </c>
      <c r="AN20" s="113">
        <f t="shared" si="18"/>
        <v>7491.71</v>
      </c>
      <c r="AO20" s="113"/>
      <c r="AP20" s="113"/>
      <c r="AQ20" s="113"/>
      <c r="AR20" s="113"/>
      <c r="AS20" s="113">
        <f t="shared" si="19"/>
        <v>0</v>
      </c>
      <c r="AT20" s="113">
        <f t="shared" si="19"/>
        <v>0</v>
      </c>
      <c r="AU20" s="113"/>
      <c r="AV20" s="113"/>
      <c r="AW20" s="113"/>
      <c r="AX20" s="113"/>
      <c r="AY20" s="113">
        <f t="shared" si="20"/>
        <v>0</v>
      </c>
      <c r="AZ20" s="113">
        <f t="shared" si="20"/>
        <v>0</v>
      </c>
      <c r="BA20" s="113"/>
      <c r="BB20" s="113"/>
      <c r="BC20" s="113"/>
      <c r="BD20" s="113"/>
      <c r="BE20" s="113">
        <f t="shared" si="21"/>
        <v>0</v>
      </c>
      <c r="BF20" s="113"/>
      <c r="BG20" s="113">
        <f t="shared" si="83"/>
        <v>0</v>
      </c>
      <c r="BH20" s="113"/>
      <c r="BI20" s="113"/>
      <c r="BJ20" s="113"/>
      <c r="BK20" s="113"/>
      <c r="BL20" s="113">
        <f t="shared" si="23"/>
        <v>0</v>
      </c>
      <c r="BM20" s="113"/>
      <c r="BN20" s="113">
        <f t="shared" si="84"/>
        <v>0</v>
      </c>
      <c r="BO20" s="113"/>
      <c r="BP20" s="113"/>
      <c r="BQ20" s="113"/>
      <c r="BR20" s="113"/>
      <c r="BS20" s="113">
        <f t="shared" si="25"/>
        <v>0</v>
      </c>
      <c r="BT20" s="113"/>
      <c r="BU20" s="113">
        <f t="shared" si="85"/>
        <v>0</v>
      </c>
      <c r="BV20" s="113"/>
      <c r="BW20" s="113"/>
      <c r="BX20" s="113"/>
      <c r="BY20" s="113"/>
      <c r="BZ20" s="113">
        <f t="shared" si="27"/>
        <v>0</v>
      </c>
      <c r="CA20" s="113"/>
      <c r="CB20" s="113">
        <f t="shared" si="28"/>
        <v>0</v>
      </c>
      <c r="CC20" s="113"/>
      <c r="CD20" s="113"/>
      <c r="CE20" s="113"/>
      <c r="CF20" s="113"/>
      <c r="CG20" s="113">
        <f t="shared" si="29"/>
        <v>0</v>
      </c>
      <c r="CH20" s="113">
        <f t="shared" si="30"/>
        <v>0</v>
      </c>
      <c r="CI20" s="113"/>
      <c r="CJ20" s="113"/>
      <c r="CK20" s="113"/>
      <c r="CL20" s="113"/>
      <c r="CM20" s="113">
        <f t="shared" si="31"/>
        <v>0</v>
      </c>
      <c r="CN20" s="113">
        <f t="shared" si="31"/>
        <v>0</v>
      </c>
      <c r="CO20" s="113"/>
      <c r="CP20" s="113"/>
      <c r="CQ20" s="113"/>
      <c r="CR20" s="113"/>
      <c r="CS20" s="113">
        <f t="shared" si="32"/>
        <v>0</v>
      </c>
      <c r="CT20" s="113">
        <f t="shared" si="32"/>
        <v>0</v>
      </c>
      <c r="CU20" s="113"/>
      <c r="CV20" s="113"/>
      <c r="CW20" s="113"/>
      <c r="CX20" s="113"/>
      <c r="CY20" s="113">
        <f t="shared" si="33"/>
        <v>0</v>
      </c>
      <c r="CZ20" s="113">
        <f t="shared" si="33"/>
        <v>0</v>
      </c>
      <c r="DA20" s="113"/>
      <c r="DB20" s="113"/>
      <c r="DC20" s="113"/>
      <c r="DD20" s="113"/>
      <c r="DE20" s="113">
        <f t="shared" si="34"/>
        <v>0</v>
      </c>
      <c r="DF20" s="113">
        <f t="shared" si="34"/>
        <v>0</v>
      </c>
      <c r="DG20" s="113"/>
      <c r="DH20" s="113"/>
      <c r="DI20" s="113"/>
      <c r="DJ20" s="113"/>
      <c r="DK20" s="113">
        <f t="shared" si="35"/>
        <v>0</v>
      </c>
      <c r="DL20" s="113">
        <f t="shared" si="35"/>
        <v>0</v>
      </c>
      <c r="DM20" s="113">
        <f t="shared" si="36"/>
        <v>0</v>
      </c>
      <c r="DN20" s="113">
        <f t="shared" si="37"/>
        <v>0</v>
      </c>
      <c r="DO20" s="113">
        <f t="shared" si="38"/>
        <v>0</v>
      </c>
      <c r="DP20" s="113">
        <f t="shared" si="39"/>
        <v>0</v>
      </c>
      <c r="DQ20" s="113">
        <f t="shared" si="40"/>
        <v>0</v>
      </c>
      <c r="DR20" s="113">
        <f t="shared" si="40"/>
        <v>0</v>
      </c>
    </row>
    <row r="21" spans="1:122">
      <c r="A21" s="15">
        <v>13</v>
      </c>
      <c r="B21" s="96" t="s">
        <v>963</v>
      </c>
      <c r="C21" s="96" t="s">
        <v>969</v>
      </c>
      <c r="D21" s="96" t="s">
        <v>970</v>
      </c>
      <c r="E21" s="185" t="s">
        <v>1164</v>
      </c>
      <c r="F21" s="161">
        <f t="shared" si="41"/>
        <v>0</v>
      </c>
      <c r="G21" s="161">
        <f t="shared" si="42"/>
        <v>0</v>
      </c>
      <c r="H21" s="161">
        <f t="shared" si="43"/>
        <v>0</v>
      </c>
      <c r="I21" s="161">
        <f t="shared" si="44"/>
        <v>0</v>
      </c>
      <c r="J21" s="165">
        <f t="shared" si="6"/>
        <v>35</v>
      </c>
      <c r="K21" s="115">
        <v>2</v>
      </c>
      <c r="L21" s="211">
        <v>0</v>
      </c>
      <c r="M21" s="211">
        <v>0</v>
      </c>
      <c r="N21" s="127">
        <f t="shared" si="45"/>
        <v>35</v>
      </c>
      <c r="O21" s="127">
        <f t="shared" si="46"/>
        <v>35</v>
      </c>
      <c r="P21" s="127">
        <f t="shared" si="47"/>
        <v>35</v>
      </c>
      <c r="Q21" s="131">
        <f t="shared" si="48"/>
        <v>0</v>
      </c>
      <c r="R21" s="125">
        <f t="shared" si="10"/>
        <v>35</v>
      </c>
      <c r="S21" s="113">
        <v>0</v>
      </c>
      <c r="T21" s="113">
        <v>35</v>
      </c>
      <c r="U21" s="113">
        <f t="shared" si="11"/>
        <v>0</v>
      </c>
      <c r="V21" s="113">
        <f t="shared" si="12"/>
        <v>35</v>
      </c>
      <c r="W21" s="113">
        <v>0</v>
      </c>
      <c r="X21" s="113">
        <v>0</v>
      </c>
      <c r="Y21" s="113">
        <v>0</v>
      </c>
      <c r="Z21" s="113">
        <v>0</v>
      </c>
      <c r="AA21" s="113">
        <f t="shared" si="13"/>
        <v>0</v>
      </c>
      <c r="AB21" s="113">
        <f t="shared" si="13"/>
        <v>0</v>
      </c>
      <c r="AC21" s="113"/>
      <c r="AD21" s="113"/>
      <c r="AE21" s="113"/>
      <c r="AF21" s="113"/>
      <c r="AG21" s="113">
        <f t="shared" si="14"/>
        <v>0</v>
      </c>
      <c r="AH21" s="113">
        <f t="shared" si="14"/>
        <v>0</v>
      </c>
      <c r="AI21" s="114">
        <f t="shared" si="15"/>
        <v>0</v>
      </c>
      <c r="AJ21" s="114">
        <f t="shared" si="16"/>
        <v>0</v>
      </c>
      <c r="AK21" s="114">
        <f t="shared" si="16"/>
        <v>35</v>
      </c>
      <c r="AL21" s="114">
        <f t="shared" si="17"/>
        <v>35</v>
      </c>
      <c r="AM21" s="113">
        <f t="shared" si="18"/>
        <v>35</v>
      </c>
      <c r="AN21" s="113">
        <f t="shared" si="18"/>
        <v>35</v>
      </c>
      <c r="AO21" s="113"/>
      <c r="AP21" s="113"/>
      <c r="AQ21" s="113"/>
      <c r="AR21" s="113"/>
      <c r="AS21" s="113">
        <f t="shared" si="19"/>
        <v>0</v>
      </c>
      <c r="AT21" s="113">
        <f t="shared" si="19"/>
        <v>0</v>
      </c>
      <c r="AU21" s="113"/>
      <c r="AV21" s="113"/>
      <c r="AW21" s="113"/>
      <c r="AX21" s="113"/>
      <c r="AY21" s="113">
        <f t="shared" si="20"/>
        <v>0</v>
      </c>
      <c r="AZ21" s="113">
        <f t="shared" si="20"/>
        <v>0</v>
      </c>
      <c r="BA21" s="113"/>
      <c r="BB21" s="113"/>
      <c r="BC21" s="113"/>
      <c r="BD21" s="113"/>
      <c r="BE21" s="113">
        <f t="shared" si="21"/>
        <v>0</v>
      </c>
      <c r="BF21" s="113"/>
      <c r="BG21" s="113">
        <f t="shared" si="83"/>
        <v>0</v>
      </c>
      <c r="BH21" s="113"/>
      <c r="BI21" s="113"/>
      <c r="BJ21" s="113"/>
      <c r="BK21" s="113"/>
      <c r="BL21" s="113">
        <f t="shared" si="23"/>
        <v>0</v>
      </c>
      <c r="BM21" s="113"/>
      <c r="BN21" s="113">
        <f t="shared" si="84"/>
        <v>0</v>
      </c>
      <c r="BO21" s="113"/>
      <c r="BP21" s="113"/>
      <c r="BQ21" s="113"/>
      <c r="BR21" s="113"/>
      <c r="BS21" s="113">
        <f t="shared" si="25"/>
        <v>0</v>
      </c>
      <c r="BT21" s="113"/>
      <c r="BU21" s="113">
        <f t="shared" si="85"/>
        <v>0</v>
      </c>
      <c r="BV21" s="113"/>
      <c r="BW21" s="113"/>
      <c r="BX21" s="113"/>
      <c r="BY21" s="113"/>
      <c r="BZ21" s="113">
        <f t="shared" si="27"/>
        <v>0</v>
      </c>
      <c r="CA21" s="113"/>
      <c r="CB21" s="113">
        <f t="shared" si="28"/>
        <v>0</v>
      </c>
      <c r="CC21" s="113"/>
      <c r="CD21" s="113"/>
      <c r="CE21" s="113"/>
      <c r="CF21" s="113"/>
      <c r="CG21" s="113">
        <f t="shared" si="29"/>
        <v>0</v>
      </c>
      <c r="CH21" s="113">
        <f t="shared" si="30"/>
        <v>0</v>
      </c>
      <c r="CI21" s="113"/>
      <c r="CJ21" s="113"/>
      <c r="CK21" s="113"/>
      <c r="CL21" s="113"/>
      <c r="CM21" s="113">
        <f t="shared" si="31"/>
        <v>0</v>
      </c>
      <c r="CN21" s="113">
        <f t="shared" si="31"/>
        <v>0</v>
      </c>
      <c r="CO21" s="113"/>
      <c r="CP21" s="113"/>
      <c r="CQ21" s="113"/>
      <c r="CR21" s="113"/>
      <c r="CS21" s="113">
        <f t="shared" si="32"/>
        <v>0</v>
      </c>
      <c r="CT21" s="113">
        <f t="shared" si="32"/>
        <v>0</v>
      </c>
      <c r="CU21" s="113"/>
      <c r="CV21" s="113"/>
      <c r="CW21" s="113"/>
      <c r="CX21" s="113"/>
      <c r="CY21" s="113">
        <f t="shared" si="33"/>
        <v>0</v>
      </c>
      <c r="CZ21" s="113">
        <f t="shared" si="33"/>
        <v>0</v>
      </c>
      <c r="DA21" s="113"/>
      <c r="DB21" s="113"/>
      <c r="DC21" s="113"/>
      <c r="DD21" s="113"/>
      <c r="DE21" s="113">
        <f t="shared" si="34"/>
        <v>0</v>
      </c>
      <c r="DF21" s="113">
        <f t="shared" si="34"/>
        <v>0</v>
      </c>
      <c r="DG21" s="113"/>
      <c r="DH21" s="113"/>
      <c r="DI21" s="113"/>
      <c r="DJ21" s="113"/>
      <c r="DK21" s="113">
        <f t="shared" si="35"/>
        <v>0</v>
      </c>
      <c r="DL21" s="113">
        <f t="shared" si="35"/>
        <v>0</v>
      </c>
      <c r="DM21" s="113">
        <f t="shared" si="36"/>
        <v>0</v>
      </c>
      <c r="DN21" s="113">
        <f t="shared" si="37"/>
        <v>0</v>
      </c>
      <c r="DO21" s="113">
        <f t="shared" si="38"/>
        <v>0</v>
      </c>
      <c r="DP21" s="113">
        <f t="shared" si="39"/>
        <v>0</v>
      </c>
      <c r="DQ21" s="113">
        <f t="shared" si="40"/>
        <v>0</v>
      </c>
      <c r="DR21" s="113">
        <f t="shared" si="40"/>
        <v>0</v>
      </c>
    </row>
    <row r="22" spans="1:122">
      <c r="A22" s="15">
        <v>14</v>
      </c>
      <c r="B22" s="96" t="s">
        <v>963</v>
      </c>
      <c r="C22" s="187" t="s">
        <v>969</v>
      </c>
      <c r="D22" s="96" t="s">
        <v>971</v>
      </c>
      <c r="E22" s="185" t="s">
        <v>1165</v>
      </c>
      <c r="F22" s="161">
        <f t="shared" si="41"/>
        <v>0</v>
      </c>
      <c r="G22" s="161">
        <f t="shared" si="42"/>
        <v>0</v>
      </c>
      <c r="H22" s="161">
        <f t="shared" si="43"/>
        <v>0</v>
      </c>
      <c r="I22" s="161">
        <f t="shared" si="44"/>
        <v>0</v>
      </c>
      <c r="J22" s="165">
        <f t="shared" si="6"/>
        <v>1438.77</v>
      </c>
      <c r="K22" s="115">
        <v>1186.4000000000001</v>
      </c>
      <c r="L22" s="211">
        <v>0</v>
      </c>
      <c r="M22" s="211">
        <v>0</v>
      </c>
      <c r="N22" s="127">
        <f t="shared" si="45"/>
        <v>1438.77</v>
      </c>
      <c r="O22" s="127">
        <f t="shared" si="46"/>
        <v>1438.77</v>
      </c>
      <c r="P22" s="127">
        <f t="shared" si="47"/>
        <v>1438.77</v>
      </c>
      <c r="Q22" s="131">
        <f t="shared" si="48"/>
        <v>0</v>
      </c>
      <c r="R22" s="125">
        <f t="shared" si="10"/>
        <v>1438.77</v>
      </c>
      <c r="S22" s="113">
        <v>0</v>
      </c>
      <c r="T22" s="113">
        <v>1438.77</v>
      </c>
      <c r="U22" s="113">
        <f t="shared" si="11"/>
        <v>0</v>
      </c>
      <c r="V22" s="113">
        <f t="shared" si="12"/>
        <v>1438.77</v>
      </c>
      <c r="W22" s="113">
        <v>0</v>
      </c>
      <c r="X22" s="113">
        <v>0</v>
      </c>
      <c r="Y22" s="113">
        <v>0</v>
      </c>
      <c r="Z22" s="113">
        <v>0</v>
      </c>
      <c r="AA22" s="113">
        <f t="shared" si="13"/>
        <v>0</v>
      </c>
      <c r="AB22" s="113">
        <f t="shared" si="13"/>
        <v>0</v>
      </c>
      <c r="AC22" s="113"/>
      <c r="AD22" s="113"/>
      <c r="AE22" s="113"/>
      <c r="AF22" s="113"/>
      <c r="AG22" s="113">
        <f t="shared" si="14"/>
        <v>0</v>
      </c>
      <c r="AH22" s="113">
        <f t="shared" si="14"/>
        <v>0</v>
      </c>
      <c r="AI22" s="114">
        <f t="shared" si="15"/>
        <v>0</v>
      </c>
      <c r="AJ22" s="114">
        <f t="shared" si="16"/>
        <v>0</v>
      </c>
      <c r="AK22" s="114">
        <f t="shared" si="16"/>
        <v>1438.77</v>
      </c>
      <c r="AL22" s="114">
        <f t="shared" si="17"/>
        <v>1438.77</v>
      </c>
      <c r="AM22" s="113">
        <f t="shared" si="18"/>
        <v>1438.77</v>
      </c>
      <c r="AN22" s="113">
        <f t="shared" si="18"/>
        <v>1438.77</v>
      </c>
      <c r="AO22" s="113"/>
      <c r="AP22" s="113"/>
      <c r="AQ22" s="113"/>
      <c r="AR22" s="113"/>
      <c r="AS22" s="113">
        <f t="shared" si="19"/>
        <v>0</v>
      </c>
      <c r="AT22" s="113">
        <f t="shared" si="19"/>
        <v>0</v>
      </c>
      <c r="AU22" s="113"/>
      <c r="AV22" s="113"/>
      <c r="AW22" s="113"/>
      <c r="AX22" s="113"/>
      <c r="AY22" s="113">
        <f t="shared" si="20"/>
        <v>0</v>
      </c>
      <c r="AZ22" s="113">
        <f t="shared" si="20"/>
        <v>0</v>
      </c>
      <c r="BA22" s="113"/>
      <c r="BB22" s="113"/>
      <c r="BC22" s="113"/>
      <c r="BD22" s="113"/>
      <c r="BE22" s="113">
        <f t="shared" si="21"/>
        <v>0</v>
      </c>
      <c r="BF22" s="113"/>
      <c r="BG22" s="113">
        <f t="shared" si="83"/>
        <v>0</v>
      </c>
      <c r="BH22" s="113"/>
      <c r="BI22" s="113"/>
      <c r="BJ22" s="113"/>
      <c r="BK22" s="113"/>
      <c r="BL22" s="113">
        <f t="shared" si="23"/>
        <v>0</v>
      </c>
      <c r="BM22" s="113"/>
      <c r="BN22" s="113">
        <f t="shared" si="84"/>
        <v>0</v>
      </c>
      <c r="BO22" s="113"/>
      <c r="BP22" s="113"/>
      <c r="BQ22" s="113"/>
      <c r="BR22" s="113"/>
      <c r="BS22" s="113">
        <f t="shared" si="25"/>
        <v>0</v>
      </c>
      <c r="BT22" s="113"/>
      <c r="BU22" s="113">
        <f t="shared" si="85"/>
        <v>0</v>
      </c>
      <c r="BV22" s="113"/>
      <c r="BW22" s="113"/>
      <c r="BX22" s="113"/>
      <c r="BY22" s="113"/>
      <c r="BZ22" s="113">
        <f t="shared" si="27"/>
        <v>0</v>
      </c>
      <c r="CA22" s="113"/>
      <c r="CB22" s="113">
        <f t="shared" si="28"/>
        <v>0</v>
      </c>
      <c r="CC22" s="113"/>
      <c r="CD22" s="113"/>
      <c r="CE22" s="113"/>
      <c r="CF22" s="113"/>
      <c r="CG22" s="113">
        <f t="shared" si="29"/>
        <v>0</v>
      </c>
      <c r="CH22" s="113">
        <f t="shared" si="30"/>
        <v>0</v>
      </c>
      <c r="CI22" s="113"/>
      <c r="CJ22" s="113"/>
      <c r="CK22" s="113"/>
      <c r="CL22" s="113"/>
      <c r="CM22" s="113">
        <f t="shared" si="31"/>
        <v>0</v>
      </c>
      <c r="CN22" s="113">
        <f t="shared" si="31"/>
        <v>0</v>
      </c>
      <c r="CO22" s="113"/>
      <c r="CP22" s="113"/>
      <c r="CQ22" s="113"/>
      <c r="CR22" s="113"/>
      <c r="CS22" s="113">
        <f t="shared" si="32"/>
        <v>0</v>
      </c>
      <c r="CT22" s="113">
        <f t="shared" si="32"/>
        <v>0</v>
      </c>
      <c r="CU22" s="113"/>
      <c r="CV22" s="113"/>
      <c r="CW22" s="113"/>
      <c r="CX22" s="113"/>
      <c r="CY22" s="113">
        <f t="shared" si="33"/>
        <v>0</v>
      </c>
      <c r="CZ22" s="113">
        <f t="shared" si="33"/>
        <v>0</v>
      </c>
      <c r="DA22" s="113"/>
      <c r="DB22" s="113"/>
      <c r="DC22" s="113"/>
      <c r="DD22" s="113"/>
      <c r="DE22" s="113">
        <f t="shared" si="34"/>
        <v>0</v>
      </c>
      <c r="DF22" s="113">
        <f t="shared" si="34"/>
        <v>0</v>
      </c>
      <c r="DG22" s="113"/>
      <c r="DH22" s="113"/>
      <c r="DI22" s="113"/>
      <c r="DJ22" s="113"/>
      <c r="DK22" s="113">
        <f t="shared" si="35"/>
        <v>0</v>
      </c>
      <c r="DL22" s="113">
        <f t="shared" si="35"/>
        <v>0</v>
      </c>
      <c r="DM22" s="113">
        <f t="shared" si="36"/>
        <v>0</v>
      </c>
      <c r="DN22" s="113">
        <f t="shared" si="37"/>
        <v>0</v>
      </c>
      <c r="DO22" s="113">
        <f t="shared" si="38"/>
        <v>0</v>
      </c>
      <c r="DP22" s="113">
        <f t="shared" si="39"/>
        <v>0</v>
      </c>
      <c r="DQ22" s="113">
        <f t="shared" si="40"/>
        <v>0</v>
      </c>
      <c r="DR22" s="113">
        <f t="shared" si="40"/>
        <v>0</v>
      </c>
    </row>
    <row r="23" spans="1:122">
      <c r="A23" s="15">
        <v>15</v>
      </c>
      <c r="B23" s="96" t="s">
        <v>963</v>
      </c>
      <c r="C23" s="96" t="s">
        <v>972</v>
      </c>
      <c r="D23" s="96" t="s">
        <v>973</v>
      </c>
      <c r="E23" s="185" t="s">
        <v>1164</v>
      </c>
      <c r="F23" s="161">
        <f t="shared" si="41"/>
        <v>0</v>
      </c>
      <c r="G23" s="161">
        <f t="shared" si="42"/>
        <v>0</v>
      </c>
      <c r="H23" s="161">
        <f t="shared" si="43"/>
        <v>0</v>
      </c>
      <c r="I23" s="161">
        <f t="shared" si="44"/>
        <v>0</v>
      </c>
      <c r="J23" s="165">
        <f t="shared" si="6"/>
        <v>0</v>
      </c>
      <c r="K23" s="115">
        <v>2</v>
      </c>
      <c r="L23" s="211">
        <v>0</v>
      </c>
      <c r="M23" s="211">
        <v>0</v>
      </c>
      <c r="N23" s="127">
        <f t="shared" si="45"/>
        <v>0</v>
      </c>
      <c r="O23" s="127">
        <f t="shared" si="46"/>
        <v>0</v>
      </c>
      <c r="P23" s="127">
        <f t="shared" si="47"/>
        <v>0</v>
      </c>
      <c r="Q23" s="131">
        <f t="shared" si="48"/>
        <v>0</v>
      </c>
      <c r="R23" s="125" t="str">
        <f t="shared" si="10"/>
        <v>ნულოვანი შესრულება</v>
      </c>
      <c r="S23" s="113">
        <v>0</v>
      </c>
      <c r="T23" s="113"/>
      <c r="U23" s="113">
        <f t="shared" si="11"/>
        <v>0</v>
      </c>
      <c r="V23" s="113">
        <f t="shared" si="12"/>
        <v>0</v>
      </c>
      <c r="W23" s="113">
        <v>0</v>
      </c>
      <c r="X23" s="113">
        <v>0</v>
      </c>
      <c r="Y23" s="113">
        <v>0</v>
      </c>
      <c r="Z23" s="113">
        <v>0</v>
      </c>
      <c r="AA23" s="113">
        <f t="shared" si="13"/>
        <v>0</v>
      </c>
      <c r="AB23" s="113">
        <f t="shared" si="13"/>
        <v>0</v>
      </c>
      <c r="AC23" s="113"/>
      <c r="AD23" s="113"/>
      <c r="AE23" s="113"/>
      <c r="AF23" s="113"/>
      <c r="AG23" s="113">
        <f t="shared" si="14"/>
        <v>0</v>
      </c>
      <c r="AH23" s="113">
        <f t="shared" si="14"/>
        <v>0</v>
      </c>
      <c r="AI23" s="114">
        <f t="shared" si="15"/>
        <v>0</v>
      </c>
      <c r="AJ23" s="114">
        <f t="shared" si="16"/>
        <v>0</v>
      </c>
      <c r="AK23" s="114">
        <f t="shared" si="16"/>
        <v>0</v>
      </c>
      <c r="AL23" s="114">
        <f t="shared" si="17"/>
        <v>0</v>
      </c>
      <c r="AM23" s="113">
        <f t="shared" si="18"/>
        <v>0</v>
      </c>
      <c r="AN23" s="113">
        <f t="shared" si="18"/>
        <v>0</v>
      </c>
      <c r="AO23" s="113"/>
      <c r="AP23" s="113"/>
      <c r="AQ23" s="113"/>
      <c r="AR23" s="113"/>
      <c r="AS23" s="113">
        <f t="shared" si="19"/>
        <v>0</v>
      </c>
      <c r="AT23" s="113">
        <f t="shared" si="19"/>
        <v>0</v>
      </c>
      <c r="AU23" s="113"/>
      <c r="AV23" s="113"/>
      <c r="AW23" s="113"/>
      <c r="AX23" s="113"/>
      <c r="AY23" s="113">
        <f t="shared" si="20"/>
        <v>0</v>
      </c>
      <c r="AZ23" s="113">
        <f t="shared" si="20"/>
        <v>0</v>
      </c>
      <c r="BA23" s="113"/>
      <c r="BB23" s="113"/>
      <c r="BC23" s="113"/>
      <c r="BD23" s="113"/>
      <c r="BE23" s="113">
        <f t="shared" si="21"/>
        <v>0</v>
      </c>
      <c r="BF23" s="113"/>
      <c r="BG23" s="113">
        <f t="shared" si="83"/>
        <v>0</v>
      </c>
      <c r="BH23" s="113"/>
      <c r="BI23" s="113"/>
      <c r="BJ23" s="113"/>
      <c r="BK23" s="113"/>
      <c r="BL23" s="113">
        <f t="shared" si="23"/>
        <v>0</v>
      </c>
      <c r="BM23" s="113"/>
      <c r="BN23" s="113">
        <f t="shared" si="84"/>
        <v>0</v>
      </c>
      <c r="BO23" s="113"/>
      <c r="BP23" s="113"/>
      <c r="BQ23" s="113"/>
      <c r="BR23" s="113"/>
      <c r="BS23" s="113">
        <f t="shared" si="25"/>
        <v>0</v>
      </c>
      <c r="BT23" s="113"/>
      <c r="BU23" s="113">
        <f t="shared" si="85"/>
        <v>0</v>
      </c>
      <c r="BV23" s="113"/>
      <c r="BW23" s="113"/>
      <c r="BX23" s="113"/>
      <c r="BY23" s="113"/>
      <c r="BZ23" s="113">
        <f t="shared" si="27"/>
        <v>0</v>
      </c>
      <c r="CA23" s="113"/>
      <c r="CB23" s="113">
        <f t="shared" si="28"/>
        <v>0</v>
      </c>
      <c r="CC23" s="113"/>
      <c r="CD23" s="113"/>
      <c r="CE23" s="113"/>
      <c r="CF23" s="113"/>
      <c r="CG23" s="113">
        <f t="shared" si="29"/>
        <v>0</v>
      </c>
      <c r="CH23" s="113">
        <f t="shared" si="30"/>
        <v>0</v>
      </c>
      <c r="CI23" s="113"/>
      <c r="CJ23" s="113"/>
      <c r="CK23" s="113"/>
      <c r="CL23" s="113"/>
      <c r="CM23" s="113">
        <f t="shared" si="31"/>
        <v>0</v>
      </c>
      <c r="CN23" s="113">
        <f t="shared" si="31"/>
        <v>0</v>
      </c>
      <c r="CO23" s="113"/>
      <c r="CP23" s="113"/>
      <c r="CQ23" s="113"/>
      <c r="CR23" s="113"/>
      <c r="CS23" s="113">
        <f t="shared" si="32"/>
        <v>0</v>
      </c>
      <c r="CT23" s="113">
        <f t="shared" si="32"/>
        <v>0</v>
      </c>
      <c r="CU23" s="113"/>
      <c r="CV23" s="113"/>
      <c r="CW23" s="113"/>
      <c r="CX23" s="113"/>
      <c r="CY23" s="113">
        <f t="shared" si="33"/>
        <v>0</v>
      </c>
      <c r="CZ23" s="113">
        <f t="shared" si="33"/>
        <v>0</v>
      </c>
      <c r="DA23" s="113"/>
      <c r="DB23" s="113"/>
      <c r="DC23" s="113"/>
      <c r="DD23" s="113"/>
      <c r="DE23" s="113">
        <f t="shared" si="34"/>
        <v>0</v>
      </c>
      <c r="DF23" s="113">
        <f t="shared" si="34"/>
        <v>0</v>
      </c>
      <c r="DG23" s="113"/>
      <c r="DH23" s="113"/>
      <c r="DI23" s="113"/>
      <c r="DJ23" s="113"/>
      <c r="DK23" s="113">
        <f t="shared" si="35"/>
        <v>0</v>
      </c>
      <c r="DL23" s="113">
        <f t="shared" si="35"/>
        <v>0</v>
      </c>
      <c r="DM23" s="113">
        <f t="shared" si="36"/>
        <v>0</v>
      </c>
      <c r="DN23" s="113">
        <f t="shared" si="37"/>
        <v>0</v>
      </c>
      <c r="DO23" s="113">
        <f t="shared" si="38"/>
        <v>0</v>
      </c>
      <c r="DP23" s="113">
        <f t="shared" si="39"/>
        <v>0</v>
      </c>
      <c r="DQ23" s="113">
        <f t="shared" si="40"/>
        <v>0</v>
      </c>
      <c r="DR23" s="113">
        <f t="shared" si="40"/>
        <v>0</v>
      </c>
    </row>
    <row r="24" spans="1:122">
      <c r="A24" s="15">
        <v>16</v>
      </c>
      <c r="B24" s="96" t="s">
        <v>963</v>
      </c>
      <c r="C24" s="187" t="s">
        <v>972</v>
      </c>
      <c r="D24" s="96" t="s">
        <v>974</v>
      </c>
      <c r="E24" s="185" t="s">
        <v>1165</v>
      </c>
      <c r="F24" s="161">
        <f t="shared" si="41"/>
        <v>30000</v>
      </c>
      <c r="G24" s="161">
        <f t="shared" si="42"/>
        <v>0</v>
      </c>
      <c r="H24" s="161">
        <f t="shared" si="43"/>
        <v>30000</v>
      </c>
      <c r="I24" s="161">
        <f t="shared" si="44"/>
        <v>0</v>
      </c>
      <c r="J24" s="165">
        <f t="shared" si="6"/>
        <v>30000</v>
      </c>
      <c r="K24" s="115">
        <v>14493.2</v>
      </c>
      <c r="L24" s="211">
        <v>0</v>
      </c>
      <c r="M24" s="211">
        <v>0</v>
      </c>
      <c r="N24" s="127">
        <f t="shared" si="45"/>
        <v>0</v>
      </c>
      <c r="O24" s="127">
        <f t="shared" si="46"/>
        <v>0</v>
      </c>
      <c r="P24" s="127">
        <f t="shared" si="47"/>
        <v>0</v>
      </c>
      <c r="Q24" s="131">
        <f t="shared" si="48"/>
        <v>30000</v>
      </c>
      <c r="R24" s="125" t="str">
        <f t="shared" si="10"/>
        <v>ნულოვანი შესრულება</v>
      </c>
      <c r="S24" s="113">
        <v>0</v>
      </c>
      <c r="T24" s="113"/>
      <c r="U24" s="113">
        <f t="shared" si="11"/>
        <v>0</v>
      </c>
      <c r="V24" s="113">
        <f t="shared" si="12"/>
        <v>0</v>
      </c>
      <c r="W24" s="113">
        <v>0</v>
      </c>
      <c r="X24" s="113">
        <v>0</v>
      </c>
      <c r="Y24" s="113">
        <v>0</v>
      </c>
      <c r="Z24" s="113">
        <v>0</v>
      </c>
      <c r="AA24" s="113">
        <f t="shared" si="13"/>
        <v>0</v>
      </c>
      <c r="AB24" s="113">
        <f t="shared" si="13"/>
        <v>0</v>
      </c>
      <c r="AC24" s="113"/>
      <c r="AD24" s="113"/>
      <c r="AE24" s="113"/>
      <c r="AF24" s="113"/>
      <c r="AG24" s="113">
        <f t="shared" si="14"/>
        <v>0</v>
      </c>
      <c r="AH24" s="113">
        <f t="shared" si="14"/>
        <v>0</v>
      </c>
      <c r="AI24" s="114">
        <f t="shared" si="15"/>
        <v>0</v>
      </c>
      <c r="AJ24" s="114">
        <f t="shared" si="16"/>
        <v>0</v>
      </c>
      <c r="AK24" s="114">
        <f t="shared" si="16"/>
        <v>0</v>
      </c>
      <c r="AL24" s="114">
        <f t="shared" si="17"/>
        <v>0</v>
      </c>
      <c r="AM24" s="113">
        <f t="shared" si="18"/>
        <v>0</v>
      </c>
      <c r="AN24" s="113">
        <f t="shared" si="18"/>
        <v>0</v>
      </c>
      <c r="AO24" s="113"/>
      <c r="AP24" s="113"/>
      <c r="AQ24" s="113"/>
      <c r="AR24" s="113"/>
      <c r="AS24" s="113">
        <f t="shared" si="19"/>
        <v>0</v>
      </c>
      <c r="AT24" s="113">
        <f t="shared" si="19"/>
        <v>0</v>
      </c>
      <c r="AU24" s="113"/>
      <c r="AV24" s="113"/>
      <c r="AW24" s="113"/>
      <c r="AX24" s="113"/>
      <c r="AY24" s="113">
        <f t="shared" si="20"/>
        <v>0</v>
      </c>
      <c r="AZ24" s="113">
        <f t="shared" si="20"/>
        <v>0</v>
      </c>
      <c r="BA24" s="113"/>
      <c r="BB24" s="113"/>
      <c r="BC24" s="113"/>
      <c r="BD24" s="113"/>
      <c r="BE24" s="113">
        <f t="shared" si="21"/>
        <v>0</v>
      </c>
      <c r="BF24" s="113"/>
      <c r="BG24" s="113">
        <f t="shared" si="83"/>
        <v>0</v>
      </c>
      <c r="BH24" s="113"/>
      <c r="BI24" s="113"/>
      <c r="BJ24" s="113"/>
      <c r="BK24" s="113"/>
      <c r="BL24" s="113">
        <f t="shared" si="23"/>
        <v>0</v>
      </c>
      <c r="BM24" s="113"/>
      <c r="BN24" s="113">
        <f t="shared" si="84"/>
        <v>0</v>
      </c>
      <c r="BO24" s="113"/>
      <c r="BP24" s="113"/>
      <c r="BQ24" s="113"/>
      <c r="BR24" s="113"/>
      <c r="BS24" s="113">
        <f t="shared" si="25"/>
        <v>0</v>
      </c>
      <c r="BT24" s="113"/>
      <c r="BU24" s="113">
        <f t="shared" si="85"/>
        <v>0</v>
      </c>
      <c r="BV24" s="113"/>
      <c r="BW24" s="113"/>
      <c r="BX24" s="113">
        <v>30000</v>
      </c>
      <c r="BY24" s="113"/>
      <c r="BZ24" s="113">
        <f t="shared" si="27"/>
        <v>30000</v>
      </c>
      <c r="CA24" s="113"/>
      <c r="CB24" s="113">
        <f t="shared" si="28"/>
        <v>0</v>
      </c>
      <c r="CC24" s="113"/>
      <c r="CD24" s="113"/>
      <c r="CE24" s="113"/>
      <c r="CF24" s="113"/>
      <c r="CG24" s="113">
        <f t="shared" si="29"/>
        <v>0</v>
      </c>
      <c r="CH24" s="113">
        <f t="shared" si="30"/>
        <v>0</v>
      </c>
      <c r="CI24" s="113"/>
      <c r="CJ24" s="113"/>
      <c r="CK24" s="113"/>
      <c r="CL24" s="113"/>
      <c r="CM24" s="113">
        <f t="shared" si="31"/>
        <v>0</v>
      </c>
      <c r="CN24" s="113">
        <f t="shared" si="31"/>
        <v>0</v>
      </c>
      <c r="CO24" s="113"/>
      <c r="CP24" s="113"/>
      <c r="CQ24" s="113"/>
      <c r="CR24" s="113"/>
      <c r="CS24" s="113">
        <f t="shared" si="32"/>
        <v>0</v>
      </c>
      <c r="CT24" s="113">
        <f t="shared" si="32"/>
        <v>0</v>
      </c>
      <c r="CU24" s="113"/>
      <c r="CV24" s="113"/>
      <c r="CW24" s="113"/>
      <c r="CX24" s="113"/>
      <c r="CY24" s="113">
        <f t="shared" si="33"/>
        <v>0</v>
      </c>
      <c r="CZ24" s="113">
        <f t="shared" si="33"/>
        <v>0</v>
      </c>
      <c r="DA24" s="113"/>
      <c r="DB24" s="113"/>
      <c r="DC24" s="113"/>
      <c r="DD24" s="113"/>
      <c r="DE24" s="113">
        <f t="shared" si="34"/>
        <v>0</v>
      </c>
      <c r="DF24" s="113">
        <f t="shared" si="34"/>
        <v>0</v>
      </c>
      <c r="DG24" s="113"/>
      <c r="DH24" s="113"/>
      <c r="DI24" s="113"/>
      <c r="DJ24" s="113"/>
      <c r="DK24" s="113">
        <f t="shared" si="35"/>
        <v>0</v>
      </c>
      <c r="DL24" s="113">
        <f t="shared" si="35"/>
        <v>0</v>
      </c>
      <c r="DM24" s="113">
        <f t="shared" si="36"/>
        <v>0</v>
      </c>
      <c r="DN24" s="113">
        <f t="shared" si="37"/>
        <v>0</v>
      </c>
      <c r="DO24" s="113">
        <f t="shared" si="38"/>
        <v>30000</v>
      </c>
      <c r="DP24" s="113">
        <f t="shared" si="39"/>
        <v>0</v>
      </c>
      <c r="DQ24" s="113">
        <f t="shared" si="40"/>
        <v>30000</v>
      </c>
      <c r="DR24" s="113">
        <f t="shared" si="40"/>
        <v>0</v>
      </c>
    </row>
    <row r="25" spans="1:122">
      <c r="A25" s="15">
        <v>17</v>
      </c>
      <c r="B25" s="96" t="s">
        <v>963</v>
      </c>
      <c r="C25" s="187" t="s">
        <v>975</v>
      </c>
      <c r="D25" s="96" t="s">
        <v>976</v>
      </c>
      <c r="E25" s="185" t="s">
        <v>1165</v>
      </c>
      <c r="F25" s="161">
        <f t="shared" si="41"/>
        <v>0</v>
      </c>
      <c r="G25" s="161">
        <f t="shared" si="42"/>
        <v>0</v>
      </c>
      <c r="H25" s="161">
        <f t="shared" si="43"/>
        <v>0</v>
      </c>
      <c r="I25" s="161">
        <f t="shared" si="44"/>
        <v>0</v>
      </c>
      <c r="J25" s="165">
        <f t="shared" si="6"/>
        <v>3691.76</v>
      </c>
      <c r="K25" s="115">
        <v>5100</v>
      </c>
      <c r="L25" s="211">
        <v>0</v>
      </c>
      <c r="M25" s="211">
        <v>0</v>
      </c>
      <c r="N25" s="127">
        <f t="shared" si="45"/>
        <v>3691.76</v>
      </c>
      <c r="O25" s="127">
        <f t="shared" si="46"/>
        <v>3691.76</v>
      </c>
      <c r="P25" s="127">
        <f t="shared" si="47"/>
        <v>3691.76</v>
      </c>
      <c r="Q25" s="131">
        <f t="shared" si="48"/>
        <v>0</v>
      </c>
      <c r="R25" s="125">
        <f t="shared" si="10"/>
        <v>3691.76</v>
      </c>
      <c r="S25" s="113">
        <v>0</v>
      </c>
      <c r="T25" s="113">
        <v>3691.76</v>
      </c>
      <c r="U25" s="113">
        <f t="shared" si="11"/>
        <v>0</v>
      </c>
      <c r="V25" s="113">
        <f t="shared" si="12"/>
        <v>3691.76</v>
      </c>
      <c r="W25" s="113">
        <v>0</v>
      </c>
      <c r="X25" s="113">
        <v>0</v>
      </c>
      <c r="Y25" s="113">
        <v>0</v>
      </c>
      <c r="Z25" s="113">
        <v>0</v>
      </c>
      <c r="AA25" s="113">
        <f t="shared" si="13"/>
        <v>0</v>
      </c>
      <c r="AB25" s="113">
        <f t="shared" si="13"/>
        <v>0</v>
      </c>
      <c r="AC25" s="113"/>
      <c r="AD25" s="113"/>
      <c r="AE25" s="113"/>
      <c r="AF25" s="113"/>
      <c r="AG25" s="113">
        <f t="shared" si="14"/>
        <v>0</v>
      </c>
      <c r="AH25" s="113">
        <f t="shared" si="14"/>
        <v>0</v>
      </c>
      <c r="AI25" s="114">
        <f t="shared" si="15"/>
        <v>0</v>
      </c>
      <c r="AJ25" s="114">
        <f t="shared" si="16"/>
        <v>0</v>
      </c>
      <c r="AK25" s="114">
        <f t="shared" si="16"/>
        <v>3691.76</v>
      </c>
      <c r="AL25" s="114">
        <f t="shared" si="17"/>
        <v>3691.76</v>
      </c>
      <c r="AM25" s="113">
        <f t="shared" si="18"/>
        <v>3691.76</v>
      </c>
      <c r="AN25" s="113">
        <f t="shared" si="18"/>
        <v>3691.76</v>
      </c>
      <c r="AO25" s="113"/>
      <c r="AP25" s="113"/>
      <c r="AQ25" s="113"/>
      <c r="AR25" s="113"/>
      <c r="AS25" s="113">
        <f t="shared" si="19"/>
        <v>0</v>
      </c>
      <c r="AT25" s="113">
        <f t="shared" si="19"/>
        <v>0</v>
      </c>
      <c r="AU25" s="113"/>
      <c r="AV25" s="113"/>
      <c r="AW25" s="113"/>
      <c r="AX25" s="113"/>
      <c r="AY25" s="113">
        <f t="shared" si="20"/>
        <v>0</v>
      </c>
      <c r="AZ25" s="113">
        <f t="shared" si="20"/>
        <v>0</v>
      </c>
      <c r="BA25" s="113"/>
      <c r="BB25" s="113"/>
      <c r="BC25" s="113"/>
      <c r="BD25" s="113"/>
      <c r="BE25" s="113">
        <f t="shared" si="21"/>
        <v>0</v>
      </c>
      <c r="BF25" s="113"/>
      <c r="BG25" s="113">
        <f t="shared" si="83"/>
        <v>0</v>
      </c>
      <c r="BH25" s="113"/>
      <c r="BI25" s="113"/>
      <c r="BJ25" s="113"/>
      <c r="BK25" s="113"/>
      <c r="BL25" s="113">
        <f t="shared" si="23"/>
        <v>0</v>
      </c>
      <c r="BM25" s="113"/>
      <c r="BN25" s="113">
        <f t="shared" si="84"/>
        <v>0</v>
      </c>
      <c r="BO25" s="113"/>
      <c r="BP25" s="113"/>
      <c r="BQ25" s="113"/>
      <c r="BR25" s="113"/>
      <c r="BS25" s="113">
        <f t="shared" si="25"/>
        <v>0</v>
      </c>
      <c r="BT25" s="113"/>
      <c r="BU25" s="113">
        <f t="shared" si="85"/>
        <v>0</v>
      </c>
      <c r="BV25" s="113"/>
      <c r="BW25" s="113"/>
      <c r="BX25" s="113"/>
      <c r="BY25" s="113"/>
      <c r="BZ25" s="113">
        <f t="shared" si="27"/>
        <v>0</v>
      </c>
      <c r="CA25" s="113"/>
      <c r="CB25" s="113">
        <f t="shared" si="28"/>
        <v>0</v>
      </c>
      <c r="CC25" s="113"/>
      <c r="CD25" s="113"/>
      <c r="CE25" s="113"/>
      <c r="CF25" s="113"/>
      <c r="CG25" s="113">
        <f t="shared" si="29"/>
        <v>0</v>
      </c>
      <c r="CH25" s="113">
        <f t="shared" si="30"/>
        <v>0</v>
      </c>
      <c r="CI25" s="113"/>
      <c r="CJ25" s="113"/>
      <c r="CK25" s="113"/>
      <c r="CL25" s="113"/>
      <c r="CM25" s="113">
        <f t="shared" si="31"/>
        <v>0</v>
      </c>
      <c r="CN25" s="113">
        <f t="shared" si="31"/>
        <v>0</v>
      </c>
      <c r="CO25" s="113"/>
      <c r="CP25" s="113"/>
      <c r="CQ25" s="113"/>
      <c r="CR25" s="113"/>
      <c r="CS25" s="113">
        <f t="shared" si="32"/>
        <v>0</v>
      </c>
      <c r="CT25" s="113">
        <f t="shared" si="32"/>
        <v>0</v>
      </c>
      <c r="CU25" s="113"/>
      <c r="CV25" s="113"/>
      <c r="CW25" s="113"/>
      <c r="CX25" s="113"/>
      <c r="CY25" s="113">
        <f t="shared" si="33"/>
        <v>0</v>
      </c>
      <c r="CZ25" s="113">
        <f t="shared" si="33"/>
        <v>0</v>
      </c>
      <c r="DA25" s="113"/>
      <c r="DB25" s="113"/>
      <c r="DC25" s="113"/>
      <c r="DD25" s="113"/>
      <c r="DE25" s="113">
        <f t="shared" si="34"/>
        <v>0</v>
      </c>
      <c r="DF25" s="113">
        <f t="shared" si="34"/>
        <v>0</v>
      </c>
      <c r="DG25" s="113"/>
      <c r="DH25" s="113"/>
      <c r="DI25" s="113"/>
      <c r="DJ25" s="113"/>
      <c r="DK25" s="113">
        <f t="shared" si="35"/>
        <v>0</v>
      </c>
      <c r="DL25" s="113">
        <f t="shared" si="35"/>
        <v>0</v>
      </c>
      <c r="DM25" s="113">
        <f t="shared" si="36"/>
        <v>0</v>
      </c>
      <c r="DN25" s="113">
        <f t="shared" si="37"/>
        <v>0</v>
      </c>
      <c r="DO25" s="113">
        <f t="shared" si="38"/>
        <v>0</v>
      </c>
      <c r="DP25" s="113">
        <f t="shared" si="39"/>
        <v>0</v>
      </c>
      <c r="DQ25" s="113">
        <f t="shared" si="40"/>
        <v>0</v>
      </c>
      <c r="DR25" s="113">
        <f t="shared" si="40"/>
        <v>0</v>
      </c>
    </row>
    <row r="26" spans="1:122">
      <c r="A26" s="15">
        <v>18</v>
      </c>
      <c r="B26" s="96" t="s">
        <v>963</v>
      </c>
      <c r="C26" s="96" t="s">
        <v>977</v>
      </c>
      <c r="D26" s="96" t="s">
        <v>978</v>
      </c>
      <c r="E26" s="185" t="s">
        <v>1164</v>
      </c>
      <c r="F26" s="161">
        <f t="shared" si="41"/>
        <v>0</v>
      </c>
      <c r="G26" s="161">
        <f t="shared" si="42"/>
        <v>0</v>
      </c>
      <c r="H26" s="161">
        <f t="shared" si="43"/>
        <v>0</v>
      </c>
      <c r="I26" s="161">
        <f t="shared" si="44"/>
        <v>0</v>
      </c>
      <c r="J26" s="165">
        <f t="shared" si="6"/>
        <v>4511.5</v>
      </c>
      <c r="K26" s="115">
        <v>2</v>
      </c>
      <c r="L26" s="211">
        <v>0</v>
      </c>
      <c r="M26" s="211">
        <v>0</v>
      </c>
      <c r="N26" s="127">
        <f t="shared" si="45"/>
        <v>4511.5</v>
      </c>
      <c r="O26" s="127">
        <f t="shared" si="46"/>
        <v>4511.5</v>
      </c>
      <c r="P26" s="127">
        <f t="shared" si="47"/>
        <v>4511.5</v>
      </c>
      <c r="Q26" s="131">
        <f t="shared" si="48"/>
        <v>0</v>
      </c>
      <c r="R26" s="125">
        <f t="shared" si="10"/>
        <v>4511.5</v>
      </c>
      <c r="S26" s="113">
        <v>0</v>
      </c>
      <c r="T26" s="115">
        <v>4511.5</v>
      </c>
      <c r="U26" s="113">
        <f t="shared" si="11"/>
        <v>0</v>
      </c>
      <c r="V26" s="113">
        <f t="shared" si="12"/>
        <v>4511.5</v>
      </c>
      <c r="W26" s="113">
        <v>0</v>
      </c>
      <c r="X26" s="113">
        <v>0</v>
      </c>
      <c r="Y26" s="113">
        <v>0</v>
      </c>
      <c r="Z26" s="113">
        <v>0</v>
      </c>
      <c r="AA26" s="113">
        <f t="shared" ref="AA26:AB87" si="86">W26+Y26</f>
        <v>0</v>
      </c>
      <c r="AB26" s="113">
        <f t="shared" si="86"/>
        <v>0</v>
      </c>
      <c r="AC26" s="113"/>
      <c r="AD26" s="113"/>
      <c r="AE26" s="113"/>
      <c r="AF26" s="113"/>
      <c r="AG26" s="113">
        <f t="shared" si="14"/>
        <v>0</v>
      </c>
      <c r="AH26" s="113">
        <f t="shared" si="14"/>
        <v>0</v>
      </c>
      <c r="AI26" s="114">
        <f t="shared" si="15"/>
        <v>0</v>
      </c>
      <c r="AJ26" s="114">
        <f t="shared" si="16"/>
        <v>0</v>
      </c>
      <c r="AK26" s="114">
        <f t="shared" si="16"/>
        <v>4511.5</v>
      </c>
      <c r="AL26" s="114">
        <f t="shared" si="17"/>
        <v>4511.5</v>
      </c>
      <c r="AM26" s="113">
        <f t="shared" si="18"/>
        <v>4511.5</v>
      </c>
      <c r="AN26" s="113">
        <f t="shared" si="18"/>
        <v>4511.5</v>
      </c>
      <c r="AO26" s="113"/>
      <c r="AP26" s="113"/>
      <c r="AQ26" s="113"/>
      <c r="AR26" s="113"/>
      <c r="AS26" s="113">
        <f t="shared" si="19"/>
        <v>0</v>
      </c>
      <c r="AT26" s="113">
        <f t="shared" si="19"/>
        <v>0</v>
      </c>
      <c r="AU26" s="113"/>
      <c r="AV26" s="113"/>
      <c r="AW26" s="113"/>
      <c r="AX26" s="113"/>
      <c r="AY26" s="113">
        <f t="shared" si="20"/>
        <v>0</v>
      </c>
      <c r="AZ26" s="113">
        <f t="shared" si="20"/>
        <v>0</v>
      </c>
      <c r="BA26" s="113"/>
      <c r="BB26" s="113"/>
      <c r="BC26" s="113"/>
      <c r="BD26" s="113"/>
      <c r="BE26" s="113">
        <f t="shared" si="21"/>
        <v>0</v>
      </c>
      <c r="BF26" s="113"/>
      <c r="BG26" s="113">
        <f t="shared" si="83"/>
        <v>0</v>
      </c>
      <c r="BH26" s="113"/>
      <c r="BI26" s="113"/>
      <c r="BJ26" s="113"/>
      <c r="BK26" s="113"/>
      <c r="BL26" s="113">
        <f t="shared" si="23"/>
        <v>0</v>
      </c>
      <c r="BM26" s="113"/>
      <c r="BN26" s="113">
        <f t="shared" si="84"/>
        <v>0</v>
      </c>
      <c r="BO26" s="113"/>
      <c r="BP26" s="113"/>
      <c r="BQ26" s="113"/>
      <c r="BR26" s="113"/>
      <c r="BS26" s="113">
        <f t="shared" si="25"/>
        <v>0</v>
      </c>
      <c r="BT26" s="113"/>
      <c r="BU26" s="113">
        <f t="shared" si="85"/>
        <v>0</v>
      </c>
      <c r="BV26" s="113"/>
      <c r="BW26" s="113"/>
      <c r="BX26" s="113"/>
      <c r="BY26" s="113"/>
      <c r="BZ26" s="113">
        <f t="shared" si="27"/>
        <v>0</v>
      </c>
      <c r="CA26" s="113"/>
      <c r="CB26" s="113">
        <f t="shared" si="28"/>
        <v>0</v>
      </c>
      <c r="CC26" s="113"/>
      <c r="CD26" s="113"/>
      <c r="CE26" s="113"/>
      <c r="CF26" s="113"/>
      <c r="CG26" s="113">
        <f t="shared" si="29"/>
        <v>0</v>
      </c>
      <c r="CH26" s="113">
        <f t="shared" si="30"/>
        <v>0</v>
      </c>
      <c r="CI26" s="113"/>
      <c r="CJ26" s="113"/>
      <c r="CK26" s="113"/>
      <c r="CL26" s="113"/>
      <c r="CM26" s="113">
        <f t="shared" si="31"/>
        <v>0</v>
      </c>
      <c r="CN26" s="113">
        <f t="shared" si="31"/>
        <v>0</v>
      </c>
      <c r="CO26" s="113"/>
      <c r="CP26" s="113"/>
      <c r="CQ26" s="113"/>
      <c r="CR26" s="113"/>
      <c r="CS26" s="113">
        <f t="shared" si="32"/>
        <v>0</v>
      </c>
      <c r="CT26" s="113">
        <f t="shared" si="32"/>
        <v>0</v>
      </c>
      <c r="CU26" s="113"/>
      <c r="CV26" s="113"/>
      <c r="CW26" s="113"/>
      <c r="CX26" s="113"/>
      <c r="CY26" s="113">
        <f t="shared" si="33"/>
        <v>0</v>
      </c>
      <c r="CZ26" s="113">
        <f t="shared" si="33"/>
        <v>0</v>
      </c>
      <c r="DA26" s="113"/>
      <c r="DB26" s="113"/>
      <c r="DC26" s="113"/>
      <c r="DD26" s="113"/>
      <c r="DE26" s="113">
        <f t="shared" si="34"/>
        <v>0</v>
      </c>
      <c r="DF26" s="113">
        <f t="shared" si="34"/>
        <v>0</v>
      </c>
      <c r="DG26" s="113"/>
      <c r="DH26" s="113"/>
      <c r="DI26" s="113"/>
      <c r="DJ26" s="113"/>
      <c r="DK26" s="113">
        <f t="shared" si="35"/>
        <v>0</v>
      </c>
      <c r="DL26" s="113">
        <f t="shared" si="35"/>
        <v>0</v>
      </c>
      <c r="DM26" s="113">
        <f t="shared" si="36"/>
        <v>0</v>
      </c>
      <c r="DN26" s="113">
        <f t="shared" si="37"/>
        <v>0</v>
      </c>
      <c r="DO26" s="113">
        <f t="shared" si="38"/>
        <v>0</v>
      </c>
      <c r="DP26" s="113">
        <f t="shared" si="39"/>
        <v>0</v>
      </c>
      <c r="DQ26" s="113">
        <f t="shared" si="40"/>
        <v>0</v>
      </c>
      <c r="DR26" s="113">
        <f t="shared" si="40"/>
        <v>0</v>
      </c>
    </row>
    <row r="27" spans="1:122">
      <c r="A27" s="15">
        <v>19</v>
      </c>
      <c r="B27" s="96" t="s">
        <v>963</v>
      </c>
      <c r="C27" s="187" t="s">
        <v>977</v>
      </c>
      <c r="D27" s="96" t="s">
        <v>979</v>
      </c>
      <c r="E27" s="185" t="s">
        <v>1165</v>
      </c>
      <c r="F27" s="161">
        <f t="shared" si="41"/>
        <v>0</v>
      </c>
      <c r="G27" s="161">
        <f t="shared" si="42"/>
        <v>193675.11499999999</v>
      </c>
      <c r="H27" s="161">
        <f t="shared" si="43"/>
        <v>-193675.11499999999</v>
      </c>
      <c r="I27" s="161">
        <f t="shared" si="44"/>
        <v>11465.799999999988</v>
      </c>
      <c r="J27" s="165">
        <f t="shared" si="6"/>
        <v>100000</v>
      </c>
      <c r="K27" s="115">
        <v>71400</v>
      </c>
      <c r="L27" s="211">
        <v>0</v>
      </c>
      <c r="M27" s="211">
        <v>0</v>
      </c>
      <c r="N27" s="127">
        <f t="shared" si="45"/>
        <v>100000</v>
      </c>
      <c r="O27" s="127">
        <f t="shared" si="46"/>
        <v>0</v>
      </c>
      <c r="P27" s="127">
        <f t="shared" si="47"/>
        <v>100000</v>
      </c>
      <c r="Q27" s="131">
        <f t="shared" si="48"/>
        <v>0</v>
      </c>
      <c r="R27" s="125">
        <f t="shared" si="10"/>
        <v>293675.11499999999</v>
      </c>
      <c r="S27" s="113">
        <v>100000</v>
      </c>
      <c r="T27" s="113"/>
      <c r="U27" s="113">
        <f t="shared" si="11"/>
        <v>100000</v>
      </c>
      <c r="V27" s="113">
        <f t="shared" si="12"/>
        <v>0</v>
      </c>
      <c r="W27" s="113">
        <v>0</v>
      </c>
      <c r="X27" s="113">
        <v>0</v>
      </c>
      <c r="Y27" s="113">
        <v>0</v>
      </c>
      <c r="Z27" s="113">
        <v>0</v>
      </c>
      <c r="AA27" s="113">
        <f t="shared" si="86"/>
        <v>0</v>
      </c>
      <c r="AB27" s="113">
        <f t="shared" si="86"/>
        <v>0</v>
      </c>
      <c r="AC27" s="113"/>
      <c r="AD27" s="113"/>
      <c r="AE27" s="113"/>
      <c r="AF27" s="113"/>
      <c r="AG27" s="113">
        <f t="shared" si="14"/>
        <v>0</v>
      </c>
      <c r="AH27" s="113">
        <f t="shared" si="14"/>
        <v>0</v>
      </c>
      <c r="AI27" s="114">
        <f t="shared" si="15"/>
        <v>100000</v>
      </c>
      <c r="AJ27" s="114">
        <f t="shared" si="16"/>
        <v>100000</v>
      </c>
      <c r="AK27" s="114">
        <f t="shared" si="16"/>
        <v>0</v>
      </c>
      <c r="AL27" s="114">
        <f t="shared" si="17"/>
        <v>0</v>
      </c>
      <c r="AM27" s="113">
        <f t="shared" si="18"/>
        <v>100000</v>
      </c>
      <c r="AN27" s="113">
        <f t="shared" si="18"/>
        <v>100000</v>
      </c>
      <c r="AO27" s="113"/>
      <c r="AP27" s="113"/>
      <c r="AQ27" s="113"/>
      <c r="AR27" s="113"/>
      <c r="AS27" s="113">
        <f t="shared" si="19"/>
        <v>0</v>
      </c>
      <c r="AT27" s="113">
        <f t="shared" si="19"/>
        <v>0</v>
      </c>
      <c r="AU27" s="113"/>
      <c r="AV27" s="113">
        <v>180000</v>
      </c>
      <c r="AW27" s="113"/>
      <c r="AX27" s="113"/>
      <c r="AY27" s="113">
        <f t="shared" si="20"/>
        <v>0</v>
      </c>
      <c r="AZ27" s="113">
        <f t="shared" si="20"/>
        <v>180000</v>
      </c>
      <c r="BA27" s="113"/>
      <c r="BB27" s="113"/>
      <c r="BC27" s="113"/>
      <c r="BD27" s="113">
        <v>13675.115</v>
      </c>
      <c r="BE27" s="113">
        <f t="shared" si="21"/>
        <v>0</v>
      </c>
      <c r="BF27" s="113">
        <v>11465.799999999988</v>
      </c>
      <c r="BG27" s="113">
        <f t="shared" si="83"/>
        <v>13675.115</v>
      </c>
      <c r="BH27" s="113"/>
      <c r="BI27" s="113"/>
      <c r="BJ27" s="113"/>
      <c r="BK27" s="113"/>
      <c r="BL27" s="113">
        <f t="shared" si="23"/>
        <v>0</v>
      </c>
      <c r="BM27" s="113"/>
      <c r="BN27" s="113">
        <f t="shared" si="84"/>
        <v>0</v>
      </c>
      <c r="BO27" s="113"/>
      <c r="BP27" s="113"/>
      <c r="BQ27" s="113"/>
      <c r="BR27" s="113"/>
      <c r="BS27" s="113">
        <f t="shared" si="25"/>
        <v>0</v>
      </c>
      <c r="BT27" s="113"/>
      <c r="BU27" s="113">
        <f t="shared" si="85"/>
        <v>0</v>
      </c>
      <c r="BV27" s="113"/>
      <c r="BW27" s="113"/>
      <c r="BX27" s="113"/>
      <c r="BY27" s="113"/>
      <c r="BZ27" s="113">
        <f t="shared" si="27"/>
        <v>0</v>
      </c>
      <c r="CA27" s="113"/>
      <c r="CB27" s="113">
        <f t="shared" si="28"/>
        <v>0</v>
      </c>
      <c r="CC27" s="113"/>
      <c r="CD27" s="113"/>
      <c r="CE27" s="113"/>
      <c r="CF27" s="113"/>
      <c r="CG27" s="113">
        <f t="shared" si="29"/>
        <v>0</v>
      </c>
      <c r="CH27" s="113">
        <f t="shared" si="30"/>
        <v>0</v>
      </c>
      <c r="CI27" s="113"/>
      <c r="CJ27" s="113"/>
      <c r="CK27" s="113"/>
      <c r="CL27" s="113"/>
      <c r="CM27" s="113">
        <f t="shared" si="31"/>
        <v>0</v>
      </c>
      <c r="CN27" s="113">
        <f t="shared" si="31"/>
        <v>0</v>
      </c>
      <c r="CO27" s="113"/>
      <c r="CP27" s="113"/>
      <c r="CQ27" s="113"/>
      <c r="CR27" s="113"/>
      <c r="CS27" s="113">
        <f t="shared" si="32"/>
        <v>0</v>
      </c>
      <c r="CT27" s="113">
        <f t="shared" si="32"/>
        <v>0</v>
      </c>
      <c r="CU27" s="113"/>
      <c r="CV27" s="113"/>
      <c r="CW27" s="113"/>
      <c r="CX27" s="113"/>
      <c r="CY27" s="113">
        <f t="shared" si="33"/>
        <v>0</v>
      </c>
      <c r="CZ27" s="113">
        <f t="shared" si="33"/>
        <v>0</v>
      </c>
      <c r="DA27" s="113"/>
      <c r="DB27" s="113"/>
      <c r="DC27" s="113"/>
      <c r="DD27" s="113"/>
      <c r="DE27" s="113">
        <f t="shared" si="34"/>
        <v>0</v>
      </c>
      <c r="DF27" s="113">
        <f t="shared" si="34"/>
        <v>0</v>
      </c>
      <c r="DG27" s="113"/>
      <c r="DH27" s="113"/>
      <c r="DI27" s="113"/>
      <c r="DJ27" s="113"/>
      <c r="DK27" s="113">
        <f t="shared" si="35"/>
        <v>0</v>
      </c>
      <c r="DL27" s="113">
        <f t="shared" si="35"/>
        <v>0</v>
      </c>
      <c r="DM27" s="113">
        <f t="shared" si="36"/>
        <v>0</v>
      </c>
      <c r="DN27" s="113">
        <f t="shared" si="37"/>
        <v>180000</v>
      </c>
      <c r="DO27" s="113">
        <f t="shared" si="38"/>
        <v>0</v>
      </c>
      <c r="DP27" s="113">
        <f t="shared" si="39"/>
        <v>13675.115</v>
      </c>
      <c r="DQ27" s="113">
        <f t="shared" si="40"/>
        <v>0</v>
      </c>
      <c r="DR27" s="113">
        <f t="shared" si="40"/>
        <v>193675.11499999999</v>
      </c>
    </row>
    <row r="28" spans="1:122">
      <c r="A28" s="15">
        <v>20</v>
      </c>
      <c r="B28" s="96" t="s">
        <v>963</v>
      </c>
      <c r="C28" s="187" t="s">
        <v>980</v>
      </c>
      <c r="D28" s="96" t="s">
        <v>981</v>
      </c>
      <c r="E28" s="185" t="s">
        <v>1165</v>
      </c>
      <c r="F28" s="161">
        <f t="shared" si="41"/>
        <v>0</v>
      </c>
      <c r="G28" s="161">
        <f t="shared" si="42"/>
        <v>0</v>
      </c>
      <c r="H28" s="161">
        <f t="shared" si="43"/>
        <v>0</v>
      </c>
      <c r="I28" s="161">
        <f t="shared" si="44"/>
        <v>0</v>
      </c>
      <c r="J28" s="165">
        <f t="shared" si="6"/>
        <v>32977.01</v>
      </c>
      <c r="K28" s="115">
        <v>9728.48</v>
      </c>
      <c r="L28" s="211">
        <v>0</v>
      </c>
      <c r="M28" s="211">
        <v>0</v>
      </c>
      <c r="N28" s="127">
        <f t="shared" si="45"/>
        <v>32977.01</v>
      </c>
      <c r="O28" s="127">
        <f t="shared" si="46"/>
        <v>32977.01</v>
      </c>
      <c r="P28" s="127">
        <f t="shared" si="47"/>
        <v>32977.01</v>
      </c>
      <c r="Q28" s="131">
        <f t="shared" si="48"/>
        <v>0</v>
      </c>
      <c r="R28" s="125">
        <f t="shared" si="10"/>
        <v>32977.01</v>
      </c>
      <c r="S28" s="113">
        <v>30000</v>
      </c>
      <c r="T28" s="113">
        <v>2977.01</v>
      </c>
      <c r="U28" s="113">
        <f t="shared" si="11"/>
        <v>30000</v>
      </c>
      <c r="V28" s="113">
        <f t="shared" si="12"/>
        <v>2977.01</v>
      </c>
      <c r="W28" s="113">
        <v>0</v>
      </c>
      <c r="X28" s="113">
        <v>0</v>
      </c>
      <c r="Y28" s="113">
        <v>0</v>
      </c>
      <c r="Z28" s="113">
        <v>0</v>
      </c>
      <c r="AA28" s="113">
        <f t="shared" si="86"/>
        <v>0</v>
      </c>
      <c r="AB28" s="113">
        <f t="shared" si="86"/>
        <v>0</v>
      </c>
      <c r="AC28" s="113"/>
      <c r="AD28" s="113"/>
      <c r="AE28" s="113"/>
      <c r="AF28" s="113"/>
      <c r="AG28" s="113">
        <f t="shared" si="14"/>
        <v>0</v>
      </c>
      <c r="AH28" s="113">
        <f t="shared" si="14"/>
        <v>0</v>
      </c>
      <c r="AI28" s="114">
        <f t="shared" si="15"/>
        <v>30000</v>
      </c>
      <c r="AJ28" s="114">
        <f t="shared" si="16"/>
        <v>30000</v>
      </c>
      <c r="AK28" s="114">
        <f t="shared" si="16"/>
        <v>2977.01</v>
      </c>
      <c r="AL28" s="114">
        <f t="shared" si="17"/>
        <v>2977.01</v>
      </c>
      <c r="AM28" s="113">
        <f t="shared" si="18"/>
        <v>32977.01</v>
      </c>
      <c r="AN28" s="113">
        <f t="shared" si="18"/>
        <v>32977.01</v>
      </c>
      <c r="AO28" s="113"/>
      <c r="AP28" s="113"/>
      <c r="AQ28" s="113"/>
      <c r="AR28" s="113"/>
      <c r="AS28" s="113">
        <f t="shared" si="19"/>
        <v>0</v>
      </c>
      <c r="AT28" s="113">
        <f t="shared" si="19"/>
        <v>0</v>
      </c>
      <c r="AU28" s="113"/>
      <c r="AV28" s="113"/>
      <c r="AW28" s="113"/>
      <c r="AX28" s="113"/>
      <c r="AY28" s="113">
        <f t="shared" si="20"/>
        <v>0</v>
      </c>
      <c r="AZ28" s="113">
        <f t="shared" si="20"/>
        <v>0</v>
      </c>
      <c r="BA28" s="113"/>
      <c r="BB28" s="113"/>
      <c r="BC28" s="113"/>
      <c r="BD28" s="113"/>
      <c r="BE28" s="113">
        <f t="shared" si="21"/>
        <v>0</v>
      </c>
      <c r="BF28" s="113"/>
      <c r="BG28" s="113">
        <f t="shared" si="83"/>
        <v>0</v>
      </c>
      <c r="BH28" s="113"/>
      <c r="BI28" s="113"/>
      <c r="BJ28" s="113"/>
      <c r="BK28" s="113"/>
      <c r="BL28" s="113">
        <f t="shared" si="23"/>
        <v>0</v>
      </c>
      <c r="BM28" s="113"/>
      <c r="BN28" s="113">
        <f t="shared" si="84"/>
        <v>0</v>
      </c>
      <c r="BO28" s="113"/>
      <c r="BP28" s="113"/>
      <c r="BQ28" s="113"/>
      <c r="BR28" s="113"/>
      <c r="BS28" s="113">
        <f t="shared" si="25"/>
        <v>0</v>
      </c>
      <c r="BT28" s="113"/>
      <c r="BU28" s="113">
        <f t="shared" si="85"/>
        <v>0</v>
      </c>
      <c r="BV28" s="113"/>
      <c r="BW28" s="113"/>
      <c r="BX28" s="113"/>
      <c r="BY28" s="113"/>
      <c r="BZ28" s="113">
        <f t="shared" si="27"/>
        <v>0</v>
      </c>
      <c r="CA28" s="113"/>
      <c r="CB28" s="113">
        <f t="shared" si="28"/>
        <v>0</v>
      </c>
      <c r="CC28" s="113"/>
      <c r="CD28" s="113"/>
      <c r="CE28" s="113"/>
      <c r="CF28" s="113"/>
      <c r="CG28" s="113">
        <f t="shared" si="29"/>
        <v>0</v>
      </c>
      <c r="CH28" s="113">
        <f t="shared" si="30"/>
        <v>0</v>
      </c>
      <c r="CI28" s="113"/>
      <c r="CJ28" s="113"/>
      <c r="CK28" s="113"/>
      <c r="CL28" s="113"/>
      <c r="CM28" s="113">
        <f t="shared" si="31"/>
        <v>0</v>
      </c>
      <c r="CN28" s="113">
        <f t="shared" si="31"/>
        <v>0</v>
      </c>
      <c r="CO28" s="113"/>
      <c r="CP28" s="113"/>
      <c r="CQ28" s="113"/>
      <c r="CR28" s="113"/>
      <c r="CS28" s="113">
        <f t="shared" si="32"/>
        <v>0</v>
      </c>
      <c r="CT28" s="113">
        <f t="shared" si="32"/>
        <v>0</v>
      </c>
      <c r="CU28" s="113"/>
      <c r="CV28" s="113"/>
      <c r="CW28" s="113"/>
      <c r="CX28" s="113"/>
      <c r="CY28" s="113">
        <f t="shared" si="33"/>
        <v>0</v>
      </c>
      <c r="CZ28" s="113">
        <f t="shared" si="33"/>
        <v>0</v>
      </c>
      <c r="DA28" s="113"/>
      <c r="DB28" s="113"/>
      <c r="DC28" s="113"/>
      <c r="DD28" s="113"/>
      <c r="DE28" s="113">
        <f t="shared" si="34"/>
        <v>0</v>
      </c>
      <c r="DF28" s="113">
        <f t="shared" si="34"/>
        <v>0</v>
      </c>
      <c r="DG28" s="113"/>
      <c r="DH28" s="113"/>
      <c r="DI28" s="113"/>
      <c r="DJ28" s="113"/>
      <c r="DK28" s="113">
        <f t="shared" si="35"/>
        <v>0</v>
      </c>
      <c r="DL28" s="113">
        <f t="shared" si="35"/>
        <v>0</v>
      </c>
      <c r="DM28" s="113">
        <f t="shared" si="36"/>
        <v>0</v>
      </c>
      <c r="DN28" s="113">
        <f t="shared" si="37"/>
        <v>0</v>
      </c>
      <c r="DO28" s="113">
        <f t="shared" si="38"/>
        <v>0</v>
      </c>
      <c r="DP28" s="113">
        <f t="shared" si="39"/>
        <v>0</v>
      </c>
      <c r="DQ28" s="113">
        <f t="shared" si="40"/>
        <v>0</v>
      </c>
      <c r="DR28" s="113">
        <f t="shared" si="40"/>
        <v>0</v>
      </c>
    </row>
    <row r="29" spans="1:122">
      <c r="A29" s="15">
        <v>21</v>
      </c>
      <c r="B29" s="96" t="s">
        <v>963</v>
      </c>
      <c r="C29" s="96" t="s">
        <v>982</v>
      </c>
      <c r="D29" s="96" t="s">
        <v>983</v>
      </c>
      <c r="E29" s="185" t="s">
        <v>1164</v>
      </c>
      <c r="F29" s="161">
        <f t="shared" si="41"/>
        <v>0</v>
      </c>
      <c r="G29" s="161">
        <f t="shared" si="42"/>
        <v>0</v>
      </c>
      <c r="H29" s="161">
        <f t="shared" si="43"/>
        <v>0</v>
      </c>
      <c r="I29" s="161">
        <f t="shared" si="44"/>
        <v>0</v>
      </c>
      <c r="J29" s="165">
        <f t="shared" si="6"/>
        <v>0</v>
      </c>
      <c r="K29" s="115">
        <v>2</v>
      </c>
      <c r="L29" s="211">
        <v>0</v>
      </c>
      <c r="M29" s="211">
        <v>0</v>
      </c>
      <c r="N29" s="127">
        <f t="shared" si="45"/>
        <v>0</v>
      </c>
      <c r="O29" s="127">
        <f t="shared" si="46"/>
        <v>0</v>
      </c>
      <c r="P29" s="127">
        <f t="shared" si="47"/>
        <v>0</v>
      </c>
      <c r="Q29" s="131">
        <f t="shared" si="48"/>
        <v>0</v>
      </c>
      <c r="R29" s="125" t="str">
        <f t="shared" si="10"/>
        <v>ნულოვანი შესრულება</v>
      </c>
      <c r="S29" s="113">
        <v>0</v>
      </c>
      <c r="T29" s="113"/>
      <c r="U29" s="113">
        <f t="shared" si="11"/>
        <v>0</v>
      </c>
      <c r="V29" s="113">
        <f t="shared" si="12"/>
        <v>0</v>
      </c>
      <c r="W29" s="113">
        <v>0</v>
      </c>
      <c r="X29" s="113">
        <v>0</v>
      </c>
      <c r="Y29" s="113">
        <v>0</v>
      </c>
      <c r="Z29" s="113">
        <v>0</v>
      </c>
      <c r="AA29" s="113">
        <f t="shared" si="86"/>
        <v>0</v>
      </c>
      <c r="AB29" s="113">
        <f t="shared" si="86"/>
        <v>0</v>
      </c>
      <c r="AC29" s="113"/>
      <c r="AD29" s="113"/>
      <c r="AE29" s="113"/>
      <c r="AF29" s="113"/>
      <c r="AG29" s="113">
        <f t="shared" si="14"/>
        <v>0</v>
      </c>
      <c r="AH29" s="113">
        <f t="shared" si="14"/>
        <v>0</v>
      </c>
      <c r="AI29" s="114">
        <f t="shared" si="15"/>
        <v>0</v>
      </c>
      <c r="AJ29" s="114">
        <f t="shared" si="16"/>
        <v>0</v>
      </c>
      <c r="AK29" s="114">
        <f t="shared" si="16"/>
        <v>0</v>
      </c>
      <c r="AL29" s="114">
        <f t="shared" si="17"/>
        <v>0</v>
      </c>
      <c r="AM29" s="113">
        <f t="shared" si="18"/>
        <v>0</v>
      </c>
      <c r="AN29" s="113">
        <f t="shared" si="18"/>
        <v>0</v>
      </c>
      <c r="AO29" s="113"/>
      <c r="AP29" s="113"/>
      <c r="AQ29" s="113"/>
      <c r="AR29" s="113"/>
      <c r="AS29" s="113">
        <f t="shared" si="19"/>
        <v>0</v>
      </c>
      <c r="AT29" s="113">
        <f t="shared" si="19"/>
        <v>0</v>
      </c>
      <c r="AU29" s="113"/>
      <c r="AV29" s="113"/>
      <c r="AW29" s="113"/>
      <c r="AX29" s="113"/>
      <c r="AY29" s="113">
        <f t="shared" si="20"/>
        <v>0</v>
      </c>
      <c r="AZ29" s="113">
        <f t="shared" si="20"/>
        <v>0</v>
      </c>
      <c r="BA29" s="113"/>
      <c r="BB29" s="113"/>
      <c r="BC29" s="113"/>
      <c r="BD29" s="113"/>
      <c r="BE29" s="113">
        <f t="shared" si="21"/>
        <v>0</v>
      </c>
      <c r="BF29" s="113"/>
      <c r="BG29" s="113">
        <f t="shared" si="83"/>
        <v>0</v>
      </c>
      <c r="BH29" s="113"/>
      <c r="BI29" s="113"/>
      <c r="BJ29" s="113"/>
      <c r="BK29" s="113"/>
      <c r="BL29" s="113">
        <f t="shared" si="23"/>
        <v>0</v>
      </c>
      <c r="BM29" s="113"/>
      <c r="BN29" s="113">
        <f t="shared" si="84"/>
        <v>0</v>
      </c>
      <c r="BO29" s="113"/>
      <c r="BP29" s="113"/>
      <c r="BQ29" s="113"/>
      <c r="BR29" s="113"/>
      <c r="BS29" s="113">
        <f t="shared" si="25"/>
        <v>0</v>
      </c>
      <c r="BT29" s="113"/>
      <c r="BU29" s="113">
        <f t="shared" si="85"/>
        <v>0</v>
      </c>
      <c r="BV29" s="113"/>
      <c r="BW29" s="113"/>
      <c r="BX29" s="113"/>
      <c r="BY29" s="113"/>
      <c r="BZ29" s="113">
        <f t="shared" si="27"/>
        <v>0</v>
      </c>
      <c r="CA29" s="113"/>
      <c r="CB29" s="113">
        <f t="shared" si="28"/>
        <v>0</v>
      </c>
      <c r="CC29" s="113"/>
      <c r="CD29" s="113"/>
      <c r="CE29" s="113"/>
      <c r="CF29" s="113"/>
      <c r="CG29" s="113">
        <f t="shared" si="29"/>
        <v>0</v>
      </c>
      <c r="CH29" s="113">
        <f t="shared" si="30"/>
        <v>0</v>
      </c>
      <c r="CI29" s="113"/>
      <c r="CJ29" s="113"/>
      <c r="CK29" s="113"/>
      <c r="CL29" s="113"/>
      <c r="CM29" s="113">
        <f t="shared" si="31"/>
        <v>0</v>
      </c>
      <c r="CN29" s="113">
        <f t="shared" si="31"/>
        <v>0</v>
      </c>
      <c r="CO29" s="113"/>
      <c r="CP29" s="113"/>
      <c r="CQ29" s="113"/>
      <c r="CR29" s="113"/>
      <c r="CS29" s="113">
        <f t="shared" si="32"/>
        <v>0</v>
      </c>
      <c r="CT29" s="113">
        <f t="shared" si="32"/>
        <v>0</v>
      </c>
      <c r="CU29" s="113"/>
      <c r="CV29" s="113"/>
      <c r="CW29" s="113"/>
      <c r="CX29" s="113"/>
      <c r="CY29" s="113">
        <f t="shared" si="33"/>
        <v>0</v>
      </c>
      <c r="CZ29" s="113">
        <f t="shared" si="33"/>
        <v>0</v>
      </c>
      <c r="DA29" s="113"/>
      <c r="DB29" s="113"/>
      <c r="DC29" s="113"/>
      <c r="DD29" s="113"/>
      <c r="DE29" s="113">
        <f t="shared" si="34"/>
        <v>0</v>
      </c>
      <c r="DF29" s="113">
        <f t="shared" si="34"/>
        <v>0</v>
      </c>
      <c r="DG29" s="113"/>
      <c r="DH29" s="113"/>
      <c r="DI29" s="113"/>
      <c r="DJ29" s="113"/>
      <c r="DK29" s="113">
        <f t="shared" si="35"/>
        <v>0</v>
      </c>
      <c r="DL29" s="113">
        <f t="shared" si="35"/>
        <v>0</v>
      </c>
      <c r="DM29" s="113">
        <f t="shared" si="36"/>
        <v>0</v>
      </c>
      <c r="DN29" s="113">
        <f t="shared" si="37"/>
        <v>0</v>
      </c>
      <c r="DO29" s="113">
        <f t="shared" si="38"/>
        <v>0</v>
      </c>
      <c r="DP29" s="113">
        <f t="shared" si="39"/>
        <v>0</v>
      </c>
      <c r="DQ29" s="113">
        <f t="shared" si="40"/>
        <v>0</v>
      </c>
      <c r="DR29" s="113">
        <f t="shared" si="40"/>
        <v>0</v>
      </c>
    </row>
    <row r="30" spans="1:122">
      <c r="A30" s="15">
        <v>22</v>
      </c>
      <c r="B30" s="96" t="s">
        <v>963</v>
      </c>
      <c r="C30" s="187" t="s">
        <v>982</v>
      </c>
      <c r="D30" s="96" t="s">
        <v>984</v>
      </c>
      <c r="E30" s="96" t="s">
        <v>1165</v>
      </c>
      <c r="F30" s="131">
        <f t="shared" si="41"/>
        <v>0</v>
      </c>
      <c r="G30" s="161">
        <f t="shared" si="42"/>
        <v>0</v>
      </c>
      <c r="H30" s="161">
        <f t="shared" si="43"/>
        <v>0</v>
      </c>
      <c r="I30" s="161">
        <f t="shared" si="44"/>
        <v>0</v>
      </c>
      <c r="J30" s="283">
        <f t="shared" si="6"/>
        <v>0</v>
      </c>
      <c r="K30" s="115">
        <v>62160</v>
      </c>
      <c r="L30" s="211">
        <v>0</v>
      </c>
      <c r="M30" s="211">
        <v>0</v>
      </c>
      <c r="N30" s="127">
        <f t="shared" si="45"/>
        <v>0</v>
      </c>
      <c r="O30" s="127">
        <f t="shared" si="46"/>
        <v>0</v>
      </c>
      <c r="P30" s="131">
        <f t="shared" si="47"/>
        <v>0</v>
      </c>
      <c r="Q30" s="131">
        <f t="shared" si="48"/>
        <v>0</v>
      </c>
      <c r="R30" s="131" t="str">
        <f t="shared" si="10"/>
        <v>ნულოვანი შესრულება</v>
      </c>
      <c r="S30" s="113">
        <v>0</v>
      </c>
      <c r="T30" s="113"/>
      <c r="U30" s="113">
        <f t="shared" si="11"/>
        <v>0</v>
      </c>
      <c r="V30" s="113">
        <f t="shared" si="12"/>
        <v>0</v>
      </c>
      <c r="W30" s="113">
        <v>0</v>
      </c>
      <c r="X30" s="113">
        <v>0</v>
      </c>
      <c r="Y30" s="113">
        <v>0</v>
      </c>
      <c r="Z30" s="113">
        <v>0</v>
      </c>
      <c r="AA30" s="113">
        <f t="shared" si="86"/>
        <v>0</v>
      </c>
      <c r="AB30" s="113">
        <f t="shared" si="86"/>
        <v>0</v>
      </c>
      <c r="AC30" s="113"/>
      <c r="AD30" s="113"/>
      <c r="AE30" s="113"/>
      <c r="AF30" s="113"/>
      <c r="AG30" s="113">
        <f t="shared" si="14"/>
        <v>0</v>
      </c>
      <c r="AH30" s="113">
        <f t="shared" si="14"/>
        <v>0</v>
      </c>
      <c r="AI30" s="114">
        <f t="shared" si="15"/>
        <v>0</v>
      </c>
      <c r="AJ30" s="114">
        <f t="shared" si="16"/>
        <v>0</v>
      </c>
      <c r="AK30" s="114">
        <f t="shared" si="16"/>
        <v>0</v>
      </c>
      <c r="AL30" s="114">
        <f t="shared" si="17"/>
        <v>0</v>
      </c>
      <c r="AM30" s="113">
        <f t="shared" si="18"/>
        <v>0</v>
      </c>
      <c r="AN30" s="113">
        <f t="shared" si="18"/>
        <v>0</v>
      </c>
      <c r="AO30" s="113"/>
      <c r="AP30" s="113"/>
      <c r="AQ30" s="113"/>
      <c r="AR30" s="113"/>
      <c r="AS30" s="113">
        <f t="shared" si="19"/>
        <v>0</v>
      </c>
      <c r="AT30" s="113">
        <f t="shared" si="19"/>
        <v>0</v>
      </c>
      <c r="AU30" s="113"/>
      <c r="AV30" s="113"/>
      <c r="AW30" s="113"/>
      <c r="AX30" s="113"/>
      <c r="AY30" s="113">
        <f t="shared" si="20"/>
        <v>0</v>
      </c>
      <c r="AZ30" s="113">
        <f t="shared" si="20"/>
        <v>0</v>
      </c>
      <c r="BA30" s="113"/>
      <c r="BB30" s="113"/>
      <c r="BC30" s="113"/>
      <c r="BD30" s="113"/>
      <c r="BE30" s="113">
        <f t="shared" si="21"/>
        <v>0</v>
      </c>
      <c r="BF30" s="113"/>
      <c r="BG30" s="113">
        <f t="shared" si="83"/>
        <v>0</v>
      </c>
      <c r="BH30" s="113"/>
      <c r="BI30" s="113"/>
      <c r="BJ30" s="113"/>
      <c r="BK30" s="113"/>
      <c r="BL30" s="113">
        <f t="shared" si="23"/>
        <v>0</v>
      </c>
      <c r="BM30" s="113"/>
      <c r="BN30" s="113">
        <f t="shared" si="84"/>
        <v>0</v>
      </c>
      <c r="BO30" s="113"/>
      <c r="BP30" s="113"/>
      <c r="BQ30" s="113"/>
      <c r="BR30" s="113"/>
      <c r="BS30" s="113">
        <f t="shared" si="25"/>
        <v>0</v>
      </c>
      <c r="BT30" s="113"/>
      <c r="BU30" s="113">
        <f t="shared" si="85"/>
        <v>0</v>
      </c>
      <c r="BV30" s="113"/>
      <c r="BW30" s="113"/>
      <c r="BX30" s="113"/>
      <c r="BY30" s="113"/>
      <c r="BZ30" s="113">
        <f t="shared" si="27"/>
        <v>0</v>
      </c>
      <c r="CA30" s="113"/>
      <c r="CB30" s="113">
        <f t="shared" si="28"/>
        <v>0</v>
      </c>
      <c r="CC30" s="113"/>
      <c r="CD30" s="113"/>
      <c r="CE30" s="113"/>
      <c r="CF30" s="113"/>
      <c r="CG30" s="113">
        <f t="shared" si="29"/>
        <v>0</v>
      </c>
      <c r="CH30" s="113">
        <f t="shared" si="30"/>
        <v>0</v>
      </c>
      <c r="CI30" s="113"/>
      <c r="CJ30" s="113"/>
      <c r="CK30" s="113"/>
      <c r="CL30" s="113"/>
      <c r="CM30" s="113">
        <f t="shared" si="31"/>
        <v>0</v>
      </c>
      <c r="CN30" s="113">
        <f t="shared" si="31"/>
        <v>0</v>
      </c>
      <c r="CO30" s="113"/>
      <c r="CP30" s="113"/>
      <c r="CQ30" s="113"/>
      <c r="CR30" s="113"/>
      <c r="CS30" s="113">
        <f t="shared" si="32"/>
        <v>0</v>
      </c>
      <c r="CT30" s="113">
        <f t="shared" si="32"/>
        <v>0</v>
      </c>
      <c r="CU30" s="113"/>
      <c r="CV30" s="113"/>
      <c r="CW30" s="113"/>
      <c r="CX30" s="113"/>
      <c r="CY30" s="113">
        <f t="shared" si="33"/>
        <v>0</v>
      </c>
      <c r="CZ30" s="113">
        <f t="shared" si="33"/>
        <v>0</v>
      </c>
      <c r="DA30" s="113"/>
      <c r="DB30" s="113"/>
      <c r="DC30" s="113"/>
      <c r="DD30" s="113"/>
      <c r="DE30" s="113">
        <f t="shared" si="34"/>
        <v>0</v>
      </c>
      <c r="DF30" s="113">
        <f t="shared" si="34"/>
        <v>0</v>
      </c>
      <c r="DG30" s="113"/>
      <c r="DH30" s="113"/>
      <c r="DI30" s="113"/>
      <c r="DJ30" s="113"/>
      <c r="DK30" s="113">
        <f t="shared" si="35"/>
        <v>0</v>
      </c>
      <c r="DL30" s="113">
        <f t="shared" si="35"/>
        <v>0</v>
      </c>
      <c r="DM30" s="113">
        <f t="shared" si="36"/>
        <v>0</v>
      </c>
      <c r="DN30" s="113">
        <f t="shared" si="37"/>
        <v>0</v>
      </c>
      <c r="DO30" s="113">
        <f t="shared" si="38"/>
        <v>0</v>
      </c>
      <c r="DP30" s="113">
        <f t="shared" si="39"/>
        <v>0</v>
      </c>
      <c r="DQ30" s="113">
        <f t="shared" si="40"/>
        <v>0</v>
      </c>
      <c r="DR30" s="113">
        <f t="shared" si="40"/>
        <v>0</v>
      </c>
    </row>
    <row r="31" spans="1:122">
      <c r="A31" s="15">
        <v>23</v>
      </c>
      <c r="B31" s="96" t="s">
        <v>963</v>
      </c>
      <c r="C31" s="96" t="s">
        <v>985</v>
      </c>
      <c r="D31" s="96" t="s">
        <v>986</v>
      </c>
      <c r="E31" s="185" t="s">
        <v>1164</v>
      </c>
      <c r="F31" s="161">
        <f t="shared" si="41"/>
        <v>0</v>
      </c>
      <c r="G31" s="161">
        <f t="shared" si="42"/>
        <v>0</v>
      </c>
      <c r="H31" s="161">
        <f t="shared" si="43"/>
        <v>0</v>
      </c>
      <c r="I31" s="161">
        <f t="shared" si="44"/>
        <v>0</v>
      </c>
      <c r="J31" s="165">
        <f t="shared" si="6"/>
        <v>0</v>
      </c>
      <c r="K31" s="115">
        <v>2</v>
      </c>
      <c r="L31" s="211">
        <v>0</v>
      </c>
      <c r="M31" s="211">
        <v>0</v>
      </c>
      <c r="N31" s="127">
        <f t="shared" si="45"/>
        <v>0</v>
      </c>
      <c r="O31" s="127">
        <f t="shared" si="46"/>
        <v>0</v>
      </c>
      <c r="P31" s="127">
        <f t="shared" si="47"/>
        <v>0</v>
      </c>
      <c r="Q31" s="131">
        <f t="shared" si="48"/>
        <v>0</v>
      </c>
      <c r="R31" s="125" t="str">
        <f t="shared" si="10"/>
        <v>ნულოვანი შესრულება</v>
      </c>
      <c r="S31" s="113">
        <v>0</v>
      </c>
      <c r="T31" s="113"/>
      <c r="U31" s="113">
        <f t="shared" si="11"/>
        <v>0</v>
      </c>
      <c r="V31" s="113">
        <f t="shared" si="12"/>
        <v>0</v>
      </c>
      <c r="W31" s="113">
        <v>0</v>
      </c>
      <c r="X31" s="113">
        <v>0</v>
      </c>
      <c r="Y31" s="113">
        <v>0</v>
      </c>
      <c r="Z31" s="113">
        <v>0</v>
      </c>
      <c r="AA31" s="113">
        <f t="shared" si="86"/>
        <v>0</v>
      </c>
      <c r="AB31" s="113">
        <f t="shared" si="86"/>
        <v>0</v>
      </c>
      <c r="AC31" s="113"/>
      <c r="AD31" s="113"/>
      <c r="AE31" s="113"/>
      <c r="AF31" s="113"/>
      <c r="AG31" s="113">
        <f t="shared" si="14"/>
        <v>0</v>
      </c>
      <c r="AH31" s="113">
        <f t="shared" si="14"/>
        <v>0</v>
      </c>
      <c r="AI31" s="114">
        <f t="shared" si="15"/>
        <v>0</v>
      </c>
      <c r="AJ31" s="114">
        <f t="shared" si="16"/>
        <v>0</v>
      </c>
      <c r="AK31" s="114">
        <f t="shared" si="16"/>
        <v>0</v>
      </c>
      <c r="AL31" s="114">
        <f t="shared" si="17"/>
        <v>0</v>
      </c>
      <c r="AM31" s="113">
        <f t="shared" si="18"/>
        <v>0</v>
      </c>
      <c r="AN31" s="113">
        <f t="shared" si="18"/>
        <v>0</v>
      </c>
      <c r="AO31" s="113"/>
      <c r="AP31" s="113"/>
      <c r="AQ31" s="113"/>
      <c r="AR31" s="113"/>
      <c r="AS31" s="113">
        <f t="shared" si="19"/>
        <v>0</v>
      </c>
      <c r="AT31" s="113">
        <f t="shared" si="19"/>
        <v>0</v>
      </c>
      <c r="AU31" s="113"/>
      <c r="AV31" s="113"/>
      <c r="AW31" s="113"/>
      <c r="AX31" s="113"/>
      <c r="AY31" s="113">
        <f t="shared" si="20"/>
        <v>0</v>
      </c>
      <c r="AZ31" s="113">
        <f t="shared" si="20"/>
        <v>0</v>
      </c>
      <c r="BA31" s="113"/>
      <c r="BB31" s="113"/>
      <c r="BC31" s="113"/>
      <c r="BD31" s="113"/>
      <c r="BE31" s="113">
        <f t="shared" si="21"/>
        <v>0</v>
      </c>
      <c r="BF31" s="113"/>
      <c r="BG31" s="113">
        <f t="shared" si="83"/>
        <v>0</v>
      </c>
      <c r="BH31" s="113"/>
      <c r="BI31" s="113"/>
      <c r="BJ31" s="113"/>
      <c r="BK31" s="113"/>
      <c r="BL31" s="113">
        <f t="shared" si="23"/>
        <v>0</v>
      </c>
      <c r="BM31" s="113"/>
      <c r="BN31" s="113">
        <f t="shared" si="84"/>
        <v>0</v>
      </c>
      <c r="BO31" s="113"/>
      <c r="BP31" s="113"/>
      <c r="BQ31" s="113"/>
      <c r="BR31" s="113"/>
      <c r="BS31" s="113">
        <f t="shared" si="25"/>
        <v>0</v>
      </c>
      <c r="BT31" s="113"/>
      <c r="BU31" s="113">
        <f t="shared" si="85"/>
        <v>0</v>
      </c>
      <c r="BV31" s="113"/>
      <c r="BW31" s="113"/>
      <c r="BX31" s="113"/>
      <c r="BY31" s="113"/>
      <c r="BZ31" s="113">
        <f t="shared" si="27"/>
        <v>0</v>
      </c>
      <c r="CA31" s="113"/>
      <c r="CB31" s="113">
        <f t="shared" si="28"/>
        <v>0</v>
      </c>
      <c r="CC31" s="113"/>
      <c r="CD31" s="113"/>
      <c r="CE31" s="113"/>
      <c r="CF31" s="113"/>
      <c r="CG31" s="113">
        <f t="shared" si="29"/>
        <v>0</v>
      </c>
      <c r="CH31" s="113">
        <f t="shared" si="30"/>
        <v>0</v>
      </c>
      <c r="CI31" s="113"/>
      <c r="CJ31" s="113"/>
      <c r="CK31" s="113"/>
      <c r="CL31" s="113"/>
      <c r="CM31" s="113">
        <f t="shared" si="31"/>
        <v>0</v>
      </c>
      <c r="CN31" s="113">
        <f t="shared" si="31"/>
        <v>0</v>
      </c>
      <c r="CO31" s="113"/>
      <c r="CP31" s="113"/>
      <c r="CQ31" s="113"/>
      <c r="CR31" s="113"/>
      <c r="CS31" s="113">
        <f t="shared" si="32"/>
        <v>0</v>
      </c>
      <c r="CT31" s="113">
        <f t="shared" si="32"/>
        <v>0</v>
      </c>
      <c r="CU31" s="113"/>
      <c r="CV31" s="113"/>
      <c r="CW31" s="113"/>
      <c r="CX31" s="113"/>
      <c r="CY31" s="113">
        <f t="shared" si="33"/>
        <v>0</v>
      </c>
      <c r="CZ31" s="113">
        <f t="shared" si="33"/>
        <v>0</v>
      </c>
      <c r="DA31" s="113"/>
      <c r="DB31" s="113"/>
      <c r="DC31" s="113"/>
      <c r="DD31" s="113"/>
      <c r="DE31" s="113">
        <f t="shared" si="34"/>
        <v>0</v>
      </c>
      <c r="DF31" s="113">
        <f t="shared" si="34"/>
        <v>0</v>
      </c>
      <c r="DG31" s="113"/>
      <c r="DH31" s="113"/>
      <c r="DI31" s="113"/>
      <c r="DJ31" s="113"/>
      <c r="DK31" s="113">
        <f t="shared" si="35"/>
        <v>0</v>
      </c>
      <c r="DL31" s="113">
        <f t="shared" si="35"/>
        <v>0</v>
      </c>
      <c r="DM31" s="113">
        <f t="shared" si="36"/>
        <v>0</v>
      </c>
      <c r="DN31" s="113">
        <f t="shared" si="37"/>
        <v>0</v>
      </c>
      <c r="DO31" s="113">
        <f t="shared" si="38"/>
        <v>0</v>
      </c>
      <c r="DP31" s="113">
        <f t="shared" si="39"/>
        <v>0</v>
      </c>
      <c r="DQ31" s="113">
        <f t="shared" si="40"/>
        <v>0</v>
      </c>
      <c r="DR31" s="113">
        <f t="shared" si="40"/>
        <v>0</v>
      </c>
    </row>
    <row r="32" spans="1:122">
      <c r="A32" s="15">
        <v>24</v>
      </c>
      <c r="B32" s="96" t="s">
        <v>963</v>
      </c>
      <c r="C32" s="187" t="s">
        <v>985</v>
      </c>
      <c r="D32" s="96" t="s">
        <v>987</v>
      </c>
      <c r="E32" s="185" t="s">
        <v>1165</v>
      </c>
      <c r="F32" s="161">
        <f t="shared" si="41"/>
        <v>0</v>
      </c>
      <c r="G32" s="161">
        <f t="shared" si="42"/>
        <v>0</v>
      </c>
      <c r="H32" s="161">
        <f t="shared" si="43"/>
        <v>0</v>
      </c>
      <c r="I32" s="161">
        <f t="shared" si="44"/>
        <v>0</v>
      </c>
      <c r="J32" s="165">
        <f t="shared" si="6"/>
        <v>54815</v>
      </c>
      <c r="K32" s="115">
        <v>8362</v>
      </c>
      <c r="L32" s="211">
        <v>0</v>
      </c>
      <c r="M32" s="211">
        <v>0</v>
      </c>
      <c r="N32" s="127">
        <f t="shared" si="45"/>
        <v>54815</v>
      </c>
      <c r="O32" s="127">
        <f t="shared" si="46"/>
        <v>54815</v>
      </c>
      <c r="P32" s="127">
        <f t="shared" si="47"/>
        <v>54815</v>
      </c>
      <c r="Q32" s="131">
        <f t="shared" si="48"/>
        <v>0</v>
      </c>
      <c r="R32" s="125">
        <f t="shared" si="10"/>
        <v>54815</v>
      </c>
      <c r="S32" s="113">
        <v>50000</v>
      </c>
      <c r="T32" s="113">
        <v>4815</v>
      </c>
      <c r="U32" s="113">
        <f t="shared" si="11"/>
        <v>50000</v>
      </c>
      <c r="V32" s="113">
        <f t="shared" si="12"/>
        <v>4815</v>
      </c>
      <c r="W32" s="113">
        <v>0</v>
      </c>
      <c r="X32" s="113">
        <v>0</v>
      </c>
      <c r="Y32" s="113">
        <v>0</v>
      </c>
      <c r="Z32" s="113">
        <v>0</v>
      </c>
      <c r="AA32" s="113">
        <f t="shared" si="86"/>
        <v>0</v>
      </c>
      <c r="AB32" s="113">
        <f t="shared" si="86"/>
        <v>0</v>
      </c>
      <c r="AC32" s="113"/>
      <c r="AD32" s="113"/>
      <c r="AE32" s="113"/>
      <c r="AF32" s="113"/>
      <c r="AG32" s="113">
        <f t="shared" si="14"/>
        <v>0</v>
      </c>
      <c r="AH32" s="113">
        <f t="shared" si="14"/>
        <v>0</v>
      </c>
      <c r="AI32" s="114">
        <f t="shared" si="15"/>
        <v>50000</v>
      </c>
      <c r="AJ32" s="114">
        <f t="shared" si="16"/>
        <v>50000</v>
      </c>
      <c r="AK32" s="114">
        <f t="shared" si="16"/>
        <v>4815</v>
      </c>
      <c r="AL32" s="114">
        <f t="shared" si="17"/>
        <v>4815</v>
      </c>
      <c r="AM32" s="113">
        <f t="shared" si="18"/>
        <v>54815</v>
      </c>
      <c r="AN32" s="113">
        <f t="shared" si="18"/>
        <v>54815</v>
      </c>
      <c r="AO32" s="113"/>
      <c r="AP32" s="113"/>
      <c r="AQ32" s="113"/>
      <c r="AR32" s="113"/>
      <c r="AS32" s="113">
        <f t="shared" si="19"/>
        <v>0</v>
      </c>
      <c r="AT32" s="113">
        <f t="shared" si="19"/>
        <v>0</v>
      </c>
      <c r="AU32" s="113"/>
      <c r="AV32" s="113"/>
      <c r="AW32" s="113"/>
      <c r="AX32" s="113"/>
      <c r="AY32" s="113">
        <f t="shared" si="20"/>
        <v>0</v>
      </c>
      <c r="AZ32" s="113">
        <f t="shared" si="20"/>
        <v>0</v>
      </c>
      <c r="BA32" s="113"/>
      <c r="BB32" s="113"/>
      <c r="BC32" s="113"/>
      <c r="BD32" s="113"/>
      <c r="BE32" s="113">
        <f t="shared" si="21"/>
        <v>0</v>
      </c>
      <c r="BF32" s="113"/>
      <c r="BG32" s="113">
        <f t="shared" si="83"/>
        <v>0</v>
      </c>
      <c r="BH32" s="113"/>
      <c r="BI32" s="113"/>
      <c r="BJ32" s="113"/>
      <c r="BK32" s="113"/>
      <c r="BL32" s="113">
        <f t="shared" si="23"/>
        <v>0</v>
      </c>
      <c r="BM32" s="113"/>
      <c r="BN32" s="113">
        <f t="shared" si="84"/>
        <v>0</v>
      </c>
      <c r="BO32" s="113"/>
      <c r="BP32" s="113"/>
      <c r="BQ32" s="113"/>
      <c r="BR32" s="113"/>
      <c r="BS32" s="113">
        <f t="shared" si="25"/>
        <v>0</v>
      </c>
      <c r="BT32" s="113"/>
      <c r="BU32" s="113">
        <f t="shared" si="85"/>
        <v>0</v>
      </c>
      <c r="BV32" s="113"/>
      <c r="BW32" s="113"/>
      <c r="BX32" s="113"/>
      <c r="BY32" s="113"/>
      <c r="BZ32" s="113">
        <f t="shared" si="27"/>
        <v>0</v>
      </c>
      <c r="CA32" s="113"/>
      <c r="CB32" s="113">
        <f t="shared" si="28"/>
        <v>0</v>
      </c>
      <c r="CC32" s="113"/>
      <c r="CD32" s="113"/>
      <c r="CE32" s="113"/>
      <c r="CF32" s="113"/>
      <c r="CG32" s="113">
        <f t="shared" si="29"/>
        <v>0</v>
      </c>
      <c r="CH32" s="113">
        <f t="shared" si="30"/>
        <v>0</v>
      </c>
      <c r="CI32" s="113"/>
      <c r="CJ32" s="113"/>
      <c r="CK32" s="113"/>
      <c r="CL32" s="113"/>
      <c r="CM32" s="113">
        <f t="shared" si="31"/>
        <v>0</v>
      </c>
      <c r="CN32" s="113">
        <f t="shared" si="31"/>
        <v>0</v>
      </c>
      <c r="CO32" s="113"/>
      <c r="CP32" s="113"/>
      <c r="CQ32" s="113"/>
      <c r="CR32" s="113"/>
      <c r="CS32" s="113">
        <f t="shared" si="32"/>
        <v>0</v>
      </c>
      <c r="CT32" s="113">
        <f t="shared" si="32"/>
        <v>0</v>
      </c>
      <c r="CU32" s="113"/>
      <c r="CV32" s="113"/>
      <c r="CW32" s="113"/>
      <c r="CX32" s="113"/>
      <c r="CY32" s="113">
        <f t="shared" si="33"/>
        <v>0</v>
      </c>
      <c r="CZ32" s="113">
        <f t="shared" si="33"/>
        <v>0</v>
      </c>
      <c r="DA32" s="113"/>
      <c r="DB32" s="113"/>
      <c r="DC32" s="113"/>
      <c r="DD32" s="113"/>
      <c r="DE32" s="113">
        <f t="shared" si="34"/>
        <v>0</v>
      </c>
      <c r="DF32" s="113">
        <f t="shared" si="34"/>
        <v>0</v>
      </c>
      <c r="DG32" s="113"/>
      <c r="DH32" s="113"/>
      <c r="DI32" s="113"/>
      <c r="DJ32" s="113"/>
      <c r="DK32" s="113">
        <f t="shared" si="35"/>
        <v>0</v>
      </c>
      <c r="DL32" s="113">
        <f t="shared" si="35"/>
        <v>0</v>
      </c>
      <c r="DM32" s="113">
        <f t="shared" si="36"/>
        <v>0</v>
      </c>
      <c r="DN32" s="113">
        <f t="shared" si="37"/>
        <v>0</v>
      </c>
      <c r="DO32" s="113">
        <f t="shared" si="38"/>
        <v>0</v>
      </c>
      <c r="DP32" s="113">
        <f t="shared" si="39"/>
        <v>0</v>
      </c>
      <c r="DQ32" s="113">
        <f t="shared" si="40"/>
        <v>0</v>
      </c>
      <c r="DR32" s="113">
        <f t="shared" si="40"/>
        <v>0</v>
      </c>
    </row>
    <row r="33" spans="1:122">
      <c r="A33" s="15">
        <v>25</v>
      </c>
      <c r="B33" s="96" t="s">
        <v>963</v>
      </c>
      <c r="C33" s="187" t="s">
        <v>988</v>
      </c>
      <c r="D33" s="96" t="s">
        <v>989</v>
      </c>
      <c r="E33" s="96" t="s">
        <v>1165</v>
      </c>
      <c r="F33" s="131">
        <f t="shared" si="41"/>
        <v>0</v>
      </c>
      <c r="G33" s="161">
        <f t="shared" si="42"/>
        <v>0</v>
      </c>
      <c r="H33" s="161">
        <f t="shared" si="43"/>
        <v>0</v>
      </c>
      <c r="I33" s="161">
        <f t="shared" si="44"/>
        <v>0</v>
      </c>
      <c r="J33" s="283">
        <f t="shared" si="6"/>
        <v>0</v>
      </c>
      <c r="K33" s="115">
        <v>415212</v>
      </c>
      <c r="L33" s="211">
        <v>0</v>
      </c>
      <c r="M33" s="211">
        <v>0</v>
      </c>
      <c r="N33" s="127">
        <f t="shared" si="45"/>
        <v>0</v>
      </c>
      <c r="O33" s="127">
        <f t="shared" si="46"/>
        <v>0</v>
      </c>
      <c r="P33" s="131">
        <f t="shared" si="47"/>
        <v>0</v>
      </c>
      <c r="Q33" s="131">
        <f t="shared" si="48"/>
        <v>0</v>
      </c>
      <c r="R33" s="131" t="str">
        <f t="shared" si="10"/>
        <v>ნულოვანი შესრულება</v>
      </c>
      <c r="S33" s="113">
        <v>0</v>
      </c>
      <c r="T33" s="113"/>
      <c r="U33" s="113">
        <f t="shared" si="11"/>
        <v>0</v>
      </c>
      <c r="V33" s="113">
        <f t="shared" si="12"/>
        <v>0</v>
      </c>
      <c r="W33" s="113">
        <v>0</v>
      </c>
      <c r="X33" s="113">
        <v>0</v>
      </c>
      <c r="Y33" s="113">
        <v>0</v>
      </c>
      <c r="Z33" s="113">
        <v>0</v>
      </c>
      <c r="AA33" s="113">
        <f t="shared" si="86"/>
        <v>0</v>
      </c>
      <c r="AB33" s="113">
        <f t="shared" si="86"/>
        <v>0</v>
      </c>
      <c r="AC33" s="113"/>
      <c r="AD33" s="113"/>
      <c r="AE33" s="113"/>
      <c r="AF33" s="113"/>
      <c r="AG33" s="113">
        <f t="shared" si="14"/>
        <v>0</v>
      </c>
      <c r="AH33" s="113">
        <f t="shared" si="14"/>
        <v>0</v>
      </c>
      <c r="AI33" s="114">
        <f t="shared" si="15"/>
        <v>0</v>
      </c>
      <c r="AJ33" s="114">
        <f t="shared" si="16"/>
        <v>0</v>
      </c>
      <c r="AK33" s="114">
        <f t="shared" si="16"/>
        <v>0</v>
      </c>
      <c r="AL33" s="114">
        <f t="shared" si="17"/>
        <v>0</v>
      </c>
      <c r="AM33" s="113">
        <f t="shared" si="18"/>
        <v>0</v>
      </c>
      <c r="AN33" s="113">
        <f t="shared" si="18"/>
        <v>0</v>
      </c>
      <c r="AO33" s="113"/>
      <c r="AP33" s="113"/>
      <c r="AQ33" s="113"/>
      <c r="AR33" s="113"/>
      <c r="AS33" s="113">
        <f t="shared" si="19"/>
        <v>0</v>
      </c>
      <c r="AT33" s="113">
        <f t="shared" si="19"/>
        <v>0</v>
      </c>
      <c r="AU33" s="113"/>
      <c r="AV33" s="113"/>
      <c r="AW33" s="113"/>
      <c r="AX33" s="113"/>
      <c r="AY33" s="113">
        <f t="shared" si="20"/>
        <v>0</v>
      </c>
      <c r="AZ33" s="113">
        <f t="shared" si="20"/>
        <v>0</v>
      </c>
      <c r="BA33" s="113"/>
      <c r="BB33" s="113"/>
      <c r="BC33" s="113"/>
      <c r="BD33" s="113"/>
      <c r="BE33" s="113">
        <f t="shared" si="21"/>
        <v>0</v>
      </c>
      <c r="BF33" s="113"/>
      <c r="BG33" s="113">
        <f t="shared" si="83"/>
        <v>0</v>
      </c>
      <c r="BH33" s="113"/>
      <c r="BI33" s="113"/>
      <c r="BJ33" s="113"/>
      <c r="BK33" s="113"/>
      <c r="BL33" s="113">
        <f t="shared" si="23"/>
        <v>0</v>
      </c>
      <c r="BM33" s="113"/>
      <c r="BN33" s="113">
        <f t="shared" si="84"/>
        <v>0</v>
      </c>
      <c r="BO33" s="113"/>
      <c r="BP33" s="113"/>
      <c r="BQ33" s="113"/>
      <c r="BR33" s="113"/>
      <c r="BS33" s="113">
        <f t="shared" si="25"/>
        <v>0</v>
      </c>
      <c r="BT33" s="113"/>
      <c r="BU33" s="113">
        <f t="shared" si="85"/>
        <v>0</v>
      </c>
      <c r="BV33" s="113"/>
      <c r="BW33" s="113"/>
      <c r="BX33" s="113"/>
      <c r="BY33" s="113"/>
      <c r="BZ33" s="113">
        <f t="shared" si="27"/>
        <v>0</v>
      </c>
      <c r="CA33" s="113"/>
      <c r="CB33" s="113">
        <f t="shared" si="28"/>
        <v>0</v>
      </c>
      <c r="CC33" s="113"/>
      <c r="CD33" s="113"/>
      <c r="CE33" s="113"/>
      <c r="CF33" s="113"/>
      <c r="CG33" s="113">
        <f t="shared" si="29"/>
        <v>0</v>
      </c>
      <c r="CH33" s="113">
        <f t="shared" si="30"/>
        <v>0</v>
      </c>
      <c r="CI33" s="113"/>
      <c r="CJ33" s="113"/>
      <c r="CK33" s="113"/>
      <c r="CL33" s="113"/>
      <c r="CM33" s="113">
        <f t="shared" si="31"/>
        <v>0</v>
      </c>
      <c r="CN33" s="113">
        <f t="shared" si="31"/>
        <v>0</v>
      </c>
      <c r="CO33" s="113"/>
      <c r="CP33" s="113"/>
      <c r="CQ33" s="113"/>
      <c r="CR33" s="113"/>
      <c r="CS33" s="113">
        <f t="shared" si="32"/>
        <v>0</v>
      </c>
      <c r="CT33" s="113">
        <f t="shared" si="32"/>
        <v>0</v>
      </c>
      <c r="CU33" s="113"/>
      <c r="CV33" s="113"/>
      <c r="CW33" s="113"/>
      <c r="CX33" s="113"/>
      <c r="CY33" s="113">
        <f t="shared" si="33"/>
        <v>0</v>
      </c>
      <c r="CZ33" s="113">
        <f t="shared" si="33"/>
        <v>0</v>
      </c>
      <c r="DA33" s="113"/>
      <c r="DB33" s="113"/>
      <c r="DC33" s="113"/>
      <c r="DD33" s="113"/>
      <c r="DE33" s="113">
        <f t="shared" si="34"/>
        <v>0</v>
      </c>
      <c r="DF33" s="113">
        <f t="shared" si="34"/>
        <v>0</v>
      </c>
      <c r="DG33" s="113"/>
      <c r="DH33" s="113"/>
      <c r="DI33" s="113"/>
      <c r="DJ33" s="113"/>
      <c r="DK33" s="113">
        <f t="shared" si="35"/>
        <v>0</v>
      </c>
      <c r="DL33" s="113">
        <f t="shared" si="35"/>
        <v>0</v>
      </c>
      <c r="DM33" s="113">
        <f t="shared" si="36"/>
        <v>0</v>
      </c>
      <c r="DN33" s="113">
        <f t="shared" si="37"/>
        <v>0</v>
      </c>
      <c r="DO33" s="113">
        <f t="shared" si="38"/>
        <v>0</v>
      </c>
      <c r="DP33" s="113">
        <f t="shared" si="39"/>
        <v>0</v>
      </c>
      <c r="DQ33" s="113">
        <f t="shared" si="40"/>
        <v>0</v>
      </c>
      <c r="DR33" s="113">
        <f t="shared" si="40"/>
        <v>0</v>
      </c>
    </row>
    <row r="34" spans="1:122">
      <c r="A34" s="15">
        <v>26</v>
      </c>
      <c r="B34" s="96" t="s">
        <v>963</v>
      </c>
      <c r="C34" s="96" t="s">
        <v>990</v>
      </c>
      <c r="D34" s="96" t="s">
        <v>991</v>
      </c>
      <c r="E34" s="185" t="s">
        <v>1164</v>
      </c>
      <c r="F34" s="161">
        <f t="shared" si="41"/>
        <v>0</v>
      </c>
      <c r="G34" s="161">
        <f t="shared" si="42"/>
        <v>0</v>
      </c>
      <c r="H34" s="161">
        <f t="shared" si="43"/>
        <v>0</v>
      </c>
      <c r="I34" s="161">
        <f t="shared" si="44"/>
        <v>0</v>
      </c>
      <c r="J34" s="165">
        <f t="shared" si="6"/>
        <v>0</v>
      </c>
      <c r="K34" s="115">
        <v>2</v>
      </c>
      <c r="L34" s="211">
        <v>0</v>
      </c>
      <c r="M34" s="211">
        <v>0</v>
      </c>
      <c r="N34" s="127">
        <f t="shared" si="45"/>
        <v>0</v>
      </c>
      <c r="O34" s="127">
        <f t="shared" si="46"/>
        <v>0</v>
      </c>
      <c r="P34" s="127">
        <f t="shared" si="47"/>
        <v>0</v>
      </c>
      <c r="Q34" s="131">
        <f t="shared" si="48"/>
        <v>0</v>
      </c>
      <c r="R34" s="125" t="str">
        <f t="shared" si="10"/>
        <v>ნულოვანი შესრულება</v>
      </c>
      <c r="S34" s="113">
        <v>0</v>
      </c>
      <c r="T34" s="113"/>
      <c r="U34" s="113">
        <f t="shared" si="11"/>
        <v>0</v>
      </c>
      <c r="V34" s="113">
        <f t="shared" si="12"/>
        <v>0</v>
      </c>
      <c r="W34" s="113">
        <v>0</v>
      </c>
      <c r="X34" s="113">
        <v>0</v>
      </c>
      <c r="Y34" s="113">
        <v>0</v>
      </c>
      <c r="Z34" s="113">
        <v>0</v>
      </c>
      <c r="AA34" s="113">
        <f t="shared" si="86"/>
        <v>0</v>
      </c>
      <c r="AB34" s="113">
        <f t="shared" si="86"/>
        <v>0</v>
      </c>
      <c r="AC34" s="113"/>
      <c r="AD34" s="113"/>
      <c r="AE34" s="113"/>
      <c r="AF34" s="113"/>
      <c r="AG34" s="113">
        <f t="shared" si="14"/>
        <v>0</v>
      </c>
      <c r="AH34" s="113">
        <f t="shared" si="14"/>
        <v>0</v>
      </c>
      <c r="AI34" s="114">
        <f t="shared" si="15"/>
        <v>0</v>
      </c>
      <c r="AJ34" s="114">
        <f t="shared" si="16"/>
        <v>0</v>
      </c>
      <c r="AK34" s="114">
        <f t="shared" si="16"/>
        <v>0</v>
      </c>
      <c r="AL34" s="114">
        <f t="shared" si="17"/>
        <v>0</v>
      </c>
      <c r="AM34" s="113">
        <f t="shared" si="18"/>
        <v>0</v>
      </c>
      <c r="AN34" s="113">
        <f t="shared" si="18"/>
        <v>0</v>
      </c>
      <c r="AO34" s="113"/>
      <c r="AP34" s="113"/>
      <c r="AQ34" s="113"/>
      <c r="AR34" s="113"/>
      <c r="AS34" s="113">
        <f t="shared" si="19"/>
        <v>0</v>
      </c>
      <c r="AT34" s="113">
        <f t="shared" si="19"/>
        <v>0</v>
      </c>
      <c r="AU34" s="113"/>
      <c r="AV34" s="113"/>
      <c r="AW34" s="113"/>
      <c r="AX34" s="113"/>
      <c r="AY34" s="113">
        <f t="shared" si="20"/>
        <v>0</v>
      </c>
      <c r="AZ34" s="113">
        <f t="shared" si="20"/>
        <v>0</v>
      </c>
      <c r="BA34" s="113"/>
      <c r="BB34" s="113"/>
      <c r="BC34" s="113"/>
      <c r="BD34" s="113"/>
      <c r="BE34" s="113">
        <f t="shared" si="21"/>
        <v>0</v>
      </c>
      <c r="BF34" s="113"/>
      <c r="BG34" s="113">
        <f t="shared" si="83"/>
        <v>0</v>
      </c>
      <c r="BH34" s="113"/>
      <c r="BI34" s="113"/>
      <c r="BJ34" s="113"/>
      <c r="BK34" s="113"/>
      <c r="BL34" s="113">
        <f t="shared" si="23"/>
        <v>0</v>
      </c>
      <c r="BM34" s="113"/>
      <c r="BN34" s="113">
        <f t="shared" si="84"/>
        <v>0</v>
      </c>
      <c r="BO34" s="113"/>
      <c r="BP34" s="113"/>
      <c r="BQ34" s="113"/>
      <c r="BR34" s="113"/>
      <c r="BS34" s="113">
        <f t="shared" si="25"/>
        <v>0</v>
      </c>
      <c r="BT34" s="113"/>
      <c r="BU34" s="113">
        <f t="shared" si="85"/>
        <v>0</v>
      </c>
      <c r="BV34" s="113"/>
      <c r="BW34" s="113"/>
      <c r="BX34" s="113"/>
      <c r="BY34" s="113"/>
      <c r="BZ34" s="113">
        <f t="shared" si="27"/>
        <v>0</v>
      </c>
      <c r="CA34" s="113"/>
      <c r="CB34" s="113">
        <f t="shared" si="28"/>
        <v>0</v>
      </c>
      <c r="CC34" s="113"/>
      <c r="CD34" s="113"/>
      <c r="CE34" s="113"/>
      <c r="CF34" s="113"/>
      <c r="CG34" s="113">
        <f t="shared" si="29"/>
        <v>0</v>
      </c>
      <c r="CH34" s="113">
        <f t="shared" si="30"/>
        <v>0</v>
      </c>
      <c r="CI34" s="113"/>
      <c r="CJ34" s="113"/>
      <c r="CK34" s="113"/>
      <c r="CL34" s="113"/>
      <c r="CM34" s="113">
        <f t="shared" si="31"/>
        <v>0</v>
      </c>
      <c r="CN34" s="113">
        <f t="shared" si="31"/>
        <v>0</v>
      </c>
      <c r="CO34" s="113"/>
      <c r="CP34" s="113"/>
      <c r="CQ34" s="113"/>
      <c r="CR34" s="113"/>
      <c r="CS34" s="113">
        <f t="shared" si="32"/>
        <v>0</v>
      </c>
      <c r="CT34" s="113">
        <f t="shared" si="32"/>
        <v>0</v>
      </c>
      <c r="CU34" s="113"/>
      <c r="CV34" s="113"/>
      <c r="CW34" s="113"/>
      <c r="CX34" s="113"/>
      <c r="CY34" s="113">
        <f t="shared" si="33"/>
        <v>0</v>
      </c>
      <c r="CZ34" s="113">
        <f t="shared" si="33"/>
        <v>0</v>
      </c>
      <c r="DA34" s="113"/>
      <c r="DB34" s="113"/>
      <c r="DC34" s="113"/>
      <c r="DD34" s="113"/>
      <c r="DE34" s="113">
        <f t="shared" si="34"/>
        <v>0</v>
      </c>
      <c r="DF34" s="113">
        <f t="shared" si="34"/>
        <v>0</v>
      </c>
      <c r="DG34" s="113"/>
      <c r="DH34" s="113"/>
      <c r="DI34" s="113"/>
      <c r="DJ34" s="113"/>
      <c r="DK34" s="113">
        <f t="shared" si="35"/>
        <v>0</v>
      </c>
      <c r="DL34" s="113">
        <f t="shared" si="35"/>
        <v>0</v>
      </c>
      <c r="DM34" s="113">
        <f t="shared" si="36"/>
        <v>0</v>
      </c>
      <c r="DN34" s="113">
        <f t="shared" si="37"/>
        <v>0</v>
      </c>
      <c r="DO34" s="113">
        <f t="shared" si="38"/>
        <v>0</v>
      </c>
      <c r="DP34" s="113">
        <f t="shared" si="39"/>
        <v>0</v>
      </c>
      <c r="DQ34" s="113">
        <f t="shared" si="40"/>
        <v>0</v>
      </c>
      <c r="DR34" s="113">
        <f t="shared" si="40"/>
        <v>0</v>
      </c>
    </row>
    <row r="35" spans="1:122">
      <c r="A35" s="15">
        <v>27</v>
      </c>
      <c r="B35" s="96" t="s">
        <v>963</v>
      </c>
      <c r="C35" s="187" t="s">
        <v>990</v>
      </c>
      <c r="D35" s="96" t="s">
        <v>992</v>
      </c>
      <c r="E35" s="96" t="s">
        <v>1165</v>
      </c>
      <c r="F35" s="131">
        <f t="shared" si="41"/>
        <v>0</v>
      </c>
      <c r="G35" s="161">
        <f t="shared" si="42"/>
        <v>1320.44</v>
      </c>
      <c r="H35" s="161">
        <f t="shared" si="43"/>
        <v>-1320.44</v>
      </c>
      <c r="I35" s="161">
        <f t="shared" si="44"/>
        <v>0</v>
      </c>
      <c r="J35" s="283">
        <f t="shared" si="6"/>
        <v>0</v>
      </c>
      <c r="K35" s="115">
        <v>33150</v>
      </c>
      <c r="L35" s="211">
        <v>0</v>
      </c>
      <c r="M35" s="211">
        <v>0</v>
      </c>
      <c r="N35" s="127">
        <f t="shared" si="45"/>
        <v>0</v>
      </c>
      <c r="O35" s="127">
        <f t="shared" si="46"/>
        <v>0</v>
      </c>
      <c r="P35" s="131">
        <f t="shared" si="47"/>
        <v>0</v>
      </c>
      <c r="Q35" s="131">
        <f t="shared" si="48"/>
        <v>0</v>
      </c>
      <c r="R35" s="131" t="str">
        <f t="shared" si="10"/>
        <v>მიმდინარეობს</v>
      </c>
      <c r="S35" s="113">
        <v>0</v>
      </c>
      <c r="T35" s="113"/>
      <c r="U35" s="113">
        <f t="shared" si="11"/>
        <v>0</v>
      </c>
      <c r="V35" s="113">
        <f t="shared" si="12"/>
        <v>0</v>
      </c>
      <c r="W35" s="113">
        <v>0</v>
      </c>
      <c r="X35" s="113">
        <v>0</v>
      </c>
      <c r="Y35" s="113">
        <v>0</v>
      </c>
      <c r="Z35" s="113">
        <v>0</v>
      </c>
      <c r="AA35" s="113">
        <f t="shared" si="86"/>
        <v>0</v>
      </c>
      <c r="AB35" s="113">
        <f t="shared" si="86"/>
        <v>0</v>
      </c>
      <c r="AC35" s="113"/>
      <c r="AD35" s="113"/>
      <c r="AE35" s="113"/>
      <c r="AF35" s="113"/>
      <c r="AG35" s="113">
        <f t="shared" si="14"/>
        <v>0</v>
      </c>
      <c r="AH35" s="113">
        <f t="shared" si="14"/>
        <v>0</v>
      </c>
      <c r="AI35" s="114">
        <f t="shared" si="15"/>
        <v>0</v>
      </c>
      <c r="AJ35" s="114">
        <f t="shared" si="16"/>
        <v>0</v>
      </c>
      <c r="AK35" s="114">
        <f t="shared" si="16"/>
        <v>0</v>
      </c>
      <c r="AL35" s="114">
        <f t="shared" si="17"/>
        <v>0</v>
      </c>
      <c r="AM35" s="113">
        <f t="shared" si="18"/>
        <v>0</v>
      </c>
      <c r="AN35" s="113">
        <f t="shared" si="18"/>
        <v>0</v>
      </c>
      <c r="AO35" s="113"/>
      <c r="AP35" s="113"/>
      <c r="AQ35" s="113"/>
      <c r="AR35" s="113"/>
      <c r="AS35" s="113">
        <f t="shared" si="19"/>
        <v>0</v>
      </c>
      <c r="AT35" s="113">
        <f t="shared" si="19"/>
        <v>0</v>
      </c>
      <c r="AU35" s="113"/>
      <c r="AV35" s="113"/>
      <c r="AW35" s="113"/>
      <c r="AX35" s="113"/>
      <c r="AY35" s="113">
        <f t="shared" si="20"/>
        <v>0</v>
      </c>
      <c r="AZ35" s="113">
        <f t="shared" si="20"/>
        <v>0</v>
      </c>
      <c r="BA35" s="113"/>
      <c r="BB35" s="113"/>
      <c r="BC35" s="113"/>
      <c r="BD35" s="113"/>
      <c r="BE35" s="113">
        <f t="shared" si="21"/>
        <v>0</v>
      </c>
      <c r="BF35" s="113"/>
      <c r="BG35" s="113">
        <f t="shared" si="83"/>
        <v>0</v>
      </c>
      <c r="BH35" s="113"/>
      <c r="BI35" s="113"/>
      <c r="BJ35" s="113"/>
      <c r="BK35" s="113"/>
      <c r="BL35" s="113">
        <f t="shared" si="23"/>
        <v>0</v>
      </c>
      <c r="BM35" s="113"/>
      <c r="BN35" s="113">
        <f t="shared" si="84"/>
        <v>0</v>
      </c>
      <c r="BO35" s="113"/>
      <c r="BP35" s="113"/>
      <c r="BQ35" s="113"/>
      <c r="BR35" s="113"/>
      <c r="BS35" s="113">
        <f t="shared" si="25"/>
        <v>0</v>
      </c>
      <c r="BT35" s="113"/>
      <c r="BU35" s="113">
        <f t="shared" si="85"/>
        <v>0</v>
      </c>
      <c r="BV35" s="113"/>
      <c r="BW35" s="113"/>
      <c r="BX35" s="113"/>
      <c r="BY35" s="113"/>
      <c r="BZ35" s="113">
        <f t="shared" si="27"/>
        <v>0</v>
      </c>
      <c r="CA35" s="113"/>
      <c r="CB35" s="113">
        <f t="shared" si="28"/>
        <v>0</v>
      </c>
      <c r="CC35" s="113"/>
      <c r="CD35" s="113"/>
      <c r="CE35" s="113"/>
      <c r="CF35" s="113"/>
      <c r="CG35" s="113">
        <f t="shared" si="29"/>
        <v>0</v>
      </c>
      <c r="CH35" s="113">
        <f t="shared" si="30"/>
        <v>0</v>
      </c>
      <c r="CI35" s="113"/>
      <c r="CJ35" s="113"/>
      <c r="CK35" s="113"/>
      <c r="CL35" s="113"/>
      <c r="CM35" s="113">
        <f t="shared" si="31"/>
        <v>0</v>
      </c>
      <c r="CN35" s="113">
        <f t="shared" si="31"/>
        <v>0</v>
      </c>
      <c r="CO35" s="113"/>
      <c r="CP35" s="113"/>
      <c r="CQ35" s="113"/>
      <c r="CR35" s="113"/>
      <c r="CS35" s="113">
        <f t="shared" si="32"/>
        <v>0</v>
      </c>
      <c r="CT35" s="113">
        <f t="shared" si="32"/>
        <v>0</v>
      </c>
      <c r="CU35" s="113"/>
      <c r="CV35" s="113"/>
      <c r="CW35" s="113"/>
      <c r="CX35" s="113"/>
      <c r="CY35" s="113">
        <f t="shared" si="33"/>
        <v>0</v>
      </c>
      <c r="CZ35" s="113">
        <f t="shared" si="33"/>
        <v>0</v>
      </c>
      <c r="DA35" s="113"/>
      <c r="DB35" s="113">
        <v>1320.44</v>
      </c>
      <c r="DC35" s="113"/>
      <c r="DD35" s="113"/>
      <c r="DE35" s="113">
        <f t="shared" si="34"/>
        <v>0</v>
      </c>
      <c r="DF35" s="113">
        <f t="shared" si="34"/>
        <v>1320.44</v>
      </c>
      <c r="DG35" s="113"/>
      <c r="DH35" s="113"/>
      <c r="DI35" s="113"/>
      <c r="DJ35" s="113"/>
      <c r="DK35" s="113">
        <f t="shared" si="35"/>
        <v>0</v>
      </c>
      <c r="DL35" s="113">
        <f t="shared" si="35"/>
        <v>0</v>
      </c>
      <c r="DM35" s="113">
        <f t="shared" si="36"/>
        <v>0</v>
      </c>
      <c r="DN35" s="113">
        <f t="shared" si="37"/>
        <v>1320.44</v>
      </c>
      <c r="DO35" s="113">
        <f t="shared" si="38"/>
        <v>0</v>
      </c>
      <c r="DP35" s="113">
        <f t="shared" si="39"/>
        <v>0</v>
      </c>
      <c r="DQ35" s="113">
        <f t="shared" si="40"/>
        <v>0</v>
      </c>
      <c r="DR35" s="113">
        <f t="shared" si="40"/>
        <v>1320.44</v>
      </c>
    </row>
    <row r="36" spans="1:122">
      <c r="A36" s="15">
        <v>28</v>
      </c>
      <c r="B36" s="96" t="s">
        <v>963</v>
      </c>
      <c r="C36" s="187" t="s">
        <v>993</v>
      </c>
      <c r="D36" s="96" t="s">
        <v>994</v>
      </c>
      <c r="E36" s="185" t="s">
        <v>1165</v>
      </c>
      <c r="F36" s="161">
        <f t="shared" si="41"/>
        <v>0</v>
      </c>
      <c r="G36" s="161">
        <f t="shared" si="42"/>
        <v>80898.760000000009</v>
      </c>
      <c r="H36" s="161">
        <f t="shared" si="43"/>
        <v>-80898.760000000009</v>
      </c>
      <c r="I36" s="161">
        <f t="shared" si="44"/>
        <v>929.98999999999069</v>
      </c>
      <c r="J36" s="165">
        <f t="shared" si="6"/>
        <v>206976.01</v>
      </c>
      <c r="K36" s="115">
        <v>63143</v>
      </c>
      <c r="L36" s="211">
        <v>17010</v>
      </c>
      <c r="M36" s="211">
        <v>0</v>
      </c>
      <c r="N36" s="127">
        <f t="shared" si="45"/>
        <v>189966.01</v>
      </c>
      <c r="O36" s="127">
        <f t="shared" si="46"/>
        <v>0</v>
      </c>
      <c r="P36" s="127">
        <f t="shared" si="47"/>
        <v>206976.01</v>
      </c>
      <c r="Q36" s="131">
        <f t="shared" si="48"/>
        <v>0</v>
      </c>
      <c r="R36" s="125">
        <f t="shared" si="10"/>
        <v>287874.77</v>
      </c>
      <c r="S36" s="113">
        <v>188045.37</v>
      </c>
      <c r="T36" s="113"/>
      <c r="U36" s="113">
        <f t="shared" si="11"/>
        <v>205055.37</v>
      </c>
      <c r="V36" s="113">
        <f t="shared" si="12"/>
        <v>0</v>
      </c>
      <c r="W36" s="113">
        <v>0</v>
      </c>
      <c r="X36" s="113">
        <v>0</v>
      </c>
      <c r="Y36" s="113">
        <v>0</v>
      </c>
      <c r="Z36" s="113">
        <v>0</v>
      </c>
      <c r="AA36" s="113">
        <f t="shared" si="86"/>
        <v>0</v>
      </c>
      <c r="AB36" s="113">
        <f t="shared" si="86"/>
        <v>0</v>
      </c>
      <c r="AC36" s="113"/>
      <c r="AD36" s="113">
        <v>1920.64</v>
      </c>
      <c r="AE36" s="113"/>
      <c r="AF36" s="113"/>
      <c r="AG36" s="113">
        <f t="shared" si="14"/>
        <v>0</v>
      </c>
      <c r="AH36" s="113">
        <f t="shared" si="14"/>
        <v>1920.64</v>
      </c>
      <c r="AI36" s="114">
        <f t="shared" si="15"/>
        <v>188045.37</v>
      </c>
      <c r="AJ36" s="114">
        <f t="shared" si="16"/>
        <v>189966.01</v>
      </c>
      <c r="AK36" s="114">
        <f t="shared" si="16"/>
        <v>0</v>
      </c>
      <c r="AL36" s="114">
        <f t="shared" si="17"/>
        <v>0</v>
      </c>
      <c r="AM36" s="113">
        <f t="shared" si="18"/>
        <v>188045.37</v>
      </c>
      <c r="AN36" s="113">
        <f t="shared" si="18"/>
        <v>189966.01</v>
      </c>
      <c r="AO36" s="113"/>
      <c r="AP36" s="113"/>
      <c r="AQ36" s="113"/>
      <c r="AR36" s="113"/>
      <c r="AS36" s="113">
        <f t="shared" si="19"/>
        <v>0</v>
      </c>
      <c r="AT36" s="113">
        <f t="shared" si="19"/>
        <v>0</v>
      </c>
      <c r="AU36" s="113"/>
      <c r="AV36" s="113">
        <v>38000</v>
      </c>
      <c r="AW36" s="113"/>
      <c r="AX36" s="113"/>
      <c r="AY36" s="113">
        <f t="shared" si="20"/>
        <v>0</v>
      </c>
      <c r="AZ36" s="113">
        <f t="shared" si="20"/>
        <v>38000</v>
      </c>
      <c r="BA36" s="113"/>
      <c r="BB36" s="113"/>
      <c r="BC36" s="113"/>
      <c r="BD36" s="113">
        <v>42898.76</v>
      </c>
      <c r="BE36" s="113">
        <f t="shared" si="21"/>
        <v>0</v>
      </c>
      <c r="BF36" s="113">
        <v>929.98999999999069</v>
      </c>
      <c r="BG36" s="113">
        <f t="shared" si="83"/>
        <v>42898.76</v>
      </c>
      <c r="BH36" s="113"/>
      <c r="BI36" s="113"/>
      <c r="BJ36" s="113"/>
      <c r="BK36" s="113"/>
      <c r="BL36" s="113">
        <f t="shared" si="23"/>
        <v>0</v>
      </c>
      <c r="BM36" s="113"/>
      <c r="BN36" s="113">
        <f t="shared" si="84"/>
        <v>0</v>
      </c>
      <c r="BO36" s="113"/>
      <c r="BP36" s="113"/>
      <c r="BQ36" s="113"/>
      <c r="BR36" s="113"/>
      <c r="BS36" s="113">
        <f t="shared" si="25"/>
        <v>0</v>
      </c>
      <c r="BT36" s="113"/>
      <c r="BU36" s="113">
        <f t="shared" si="85"/>
        <v>0</v>
      </c>
      <c r="BV36" s="113"/>
      <c r="BW36" s="113"/>
      <c r="BX36" s="113"/>
      <c r="BY36" s="113"/>
      <c r="BZ36" s="113">
        <f t="shared" si="27"/>
        <v>0</v>
      </c>
      <c r="CA36" s="113"/>
      <c r="CB36" s="113">
        <f t="shared" si="28"/>
        <v>0</v>
      </c>
      <c r="CC36" s="113"/>
      <c r="CD36" s="113"/>
      <c r="CE36" s="113"/>
      <c r="CF36" s="113"/>
      <c r="CG36" s="113">
        <f t="shared" si="29"/>
        <v>0</v>
      </c>
      <c r="CH36" s="113">
        <f t="shared" si="30"/>
        <v>0</v>
      </c>
      <c r="CI36" s="113"/>
      <c r="CJ36" s="113"/>
      <c r="CK36" s="113"/>
      <c r="CL36" s="113"/>
      <c r="CM36" s="113">
        <f t="shared" si="31"/>
        <v>0</v>
      </c>
      <c r="CN36" s="113">
        <f t="shared" si="31"/>
        <v>0</v>
      </c>
      <c r="CO36" s="113"/>
      <c r="CP36" s="113"/>
      <c r="CQ36" s="113"/>
      <c r="CR36" s="113"/>
      <c r="CS36" s="113">
        <f t="shared" si="32"/>
        <v>0</v>
      </c>
      <c r="CT36" s="113">
        <f t="shared" si="32"/>
        <v>0</v>
      </c>
      <c r="CU36" s="113"/>
      <c r="CV36" s="113"/>
      <c r="CW36" s="113"/>
      <c r="CX36" s="113"/>
      <c r="CY36" s="113">
        <f t="shared" si="33"/>
        <v>0</v>
      </c>
      <c r="CZ36" s="113">
        <f t="shared" si="33"/>
        <v>0</v>
      </c>
      <c r="DA36" s="113"/>
      <c r="DB36" s="113"/>
      <c r="DC36" s="113"/>
      <c r="DD36" s="113"/>
      <c r="DE36" s="113">
        <f t="shared" si="34"/>
        <v>0</v>
      </c>
      <c r="DF36" s="113">
        <f t="shared" si="34"/>
        <v>0</v>
      </c>
      <c r="DG36" s="113"/>
      <c r="DH36" s="113"/>
      <c r="DI36" s="113"/>
      <c r="DJ36" s="113"/>
      <c r="DK36" s="113">
        <f t="shared" si="35"/>
        <v>0</v>
      </c>
      <c r="DL36" s="113">
        <f t="shared" si="35"/>
        <v>0</v>
      </c>
      <c r="DM36" s="113">
        <f t="shared" si="36"/>
        <v>0</v>
      </c>
      <c r="DN36" s="113">
        <f t="shared" si="37"/>
        <v>38000</v>
      </c>
      <c r="DO36" s="113">
        <f t="shared" si="38"/>
        <v>0</v>
      </c>
      <c r="DP36" s="113">
        <f t="shared" si="39"/>
        <v>42898.76</v>
      </c>
      <c r="DQ36" s="113">
        <f t="shared" si="40"/>
        <v>0</v>
      </c>
      <c r="DR36" s="113">
        <f t="shared" si="40"/>
        <v>80898.760000000009</v>
      </c>
    </row>
    <row r="37" spans="1:122">
      <c r="A37" s="15">
        <v>29</v>
      </c>
      <c r="B37" s="96" t="s">
        <v>963</v>
      </c>
      <c r="C37" s="187" t="s">
        <v>995</v>
      </c>
      <c r="D37" s="96" t="s">
        <v>996</v>
      </c>
      <c r="E37" s="185" t="s">
        <v>1165</v>
      </c>
      <c r="F37" s="161">
        <f t="shared" si="41"/>
        <v>0</v>
      </c>
      <c r="G37" s="161">
        <f t="shared" si="42"/>
        <v>0</v>
      </c>
      <c r="H37" s="161">
        <f t="shared" si="43"/>
        <v>0</v>
      </c>
      <c r="I37" s="161">
        <f t="shared" si="44"/>
        <v>0</v>
      </c>
      <c r="J37" s="165">
        <f t="shared" si="6"/>
        <v>262323.02</v>
      </c>
      <c r="K37" s="115">
        <v>7650</v>
      </c>
      <c r="L37" s="211">
        <v>0</v>
      </c>
      <c r="M37" s="211">
        <v>0</v>
      </c>
      <c r="N37" s="127">
        <f t="shared" si="45"/>
        <v>262323.02</v>
      </c>
      <c r="O37" s="127">
        <f t="shared" si="46"/>
        <v>262323.02</v>
      </c>
      <c r="P37" s="127">
        <f t="shared" si="47"/>
        <v>262323.02</v>
      </c>
      <c r="Q37" s="131">
        <f t="shared" si="48"/>
        <v>0</v>
      </c>
      <c r="R37" s="125">
        <f t="shared" si="10"/>
        <v>262323.02</v>
      </c>
      <c r="S37" s="113">
        <v>175000</v>
      </c>
      <c r="T37" s="113"/>
      <c r="U37" s="113">
        <f t="shared" si="11"/>
        <v>175000</v>
      </c>
      <c r="V37" s="113">
        <f t="shared" si="12"/>
        <v>0</v>
      </c>
      <c r="W37" s="113">
        <v>0</v>
      </c>
      <c r="X37" s="113">
        <v>0</v>
      </c>
      <c r="Y37" s="113">
        <f>213000-S37</f>
        <v>38000</v>
      </c>
      <c r="Z37" s="113">
        <v>87323.02</v>
      </c>
      <c r="AA37" s="113">
        <f t="shared" si="86"/>
        <v>38000</v>
      </c>
      <c r="AB37" s="113">
        <f t="shared" si="86"/>
        <v>87323.02</v>
      </c>
      <c r="AC37" s="113"/>
      <c r="AD37" s="113"/>
      <c r="AE37" s="113"/>
      <c r="AF37" s="113"/>
      <c r="AG37" s="113">
        <f t="shared" si="14"/>
        <v>0</v>
      </c>
      <c r="AH37" s="113">
        <f t="shared" si="14"/>
        <v>0</v>
      </c>
      <c r="AI37" s="114">
        <f t="shared" si="15"/>
        <v>175000</v>
      </c>
      <c r="AJ37" s="114">
        <f t="shared" si="16"/>
        <v>175000</v>
      </c>
      <c r="AK37" s="114">
        <f t="shared" si="16"/>
        <v>38000</v>
      </c>
      <c r="AL37" s="114">
        <f t="shared" si="17"/>
        <v>87323.02</v>
      </c>
      <c r="AM37" s="113">
        <f t="shared" si="18"/>
        <v>213000</v>
      </c>
      <c r="AN37" s="113">
        <f t="shared" si="18"/>
        <v>262323.02</v>
      </c>
      <c r="AO37" s="113"/>
      <c r="AP37" s="113"/>
      <c r="AQ37" s="113"/>
      <c r="AR37" s="113"/>
      <c r="AS37" s="113">
        <f t="shared" si="19"/>
        <v>0</v>
      </c>
      <c r="AT37" s="113">
        <f t="shared" si="19"/>
        <v>0</v>
      </c>
      <c r="AU37" s="113"/>
      <c r="AV37" s="113"/>
      <c r="AW37" s="113"/>
      <c r="AX37" s="113"/>
      <c r="AY37" s="113">
        <f t="shared" si="20"/>
        <v>0</v>
      </c>
      <c r="AZ37" s="113">
        <f t="shared" si="20"/>
        <v>0</v>
      </c>
      <c r="BA37" s="113"/>
      <c r="BB37" s="113"/>
      <c r="BC37" s="113"/>
      <c r="BD37" s="113"/>
      <c r="BE37" s="113">
        <f t="shared" si="21"/>
        <v>0</v>
      </c>
      <c r="BF37" s="113"/>
      <c r="BG37" s="113">
        <f t="shared" si="83"/>
        <v>0</v>
      </c>
      <c r="BH37" s="113"/>
      <c r="BI37" s="113"/>
      <c r="BJ37" s="113"/>
      <c r="BK37" s="113"/>
      <c r="BL37" s="113">
        <f t="shared" si="23"/>
        <v>0</v>
      </c>
      <c r="BM37" s="113"/>
      <c r="BN37" s="113">
        <f t="shared" si="84"/>
        <v>0</v>
      </c>
      <c r="BO37" s="113"/>
      <c r="BP37" s="113"/>
      <c r="BQ37" s="113"/>
      <c r="BR37" s="113"/>
      <c r="BS37" s="113">
        <f t="shared" si="25"/>
        <v>0</v>
      </c>
      <c r="BT37" s="113"/>
      <c r="BU37" s="113">
        <f t="shared" si="85"/>
        <v>0</v>
      </c>
      <c r="BV37" s="113"/>
      <c r="BW37" s="113"/>
      <c r="BX37" s="113"/>
      <c r="BY37" s="113"/>
      <c r="BZ37" s="113">
        <f t="shared" si="27"/>
        <v>0</v>
      </c>
      <c r="CA37" s="113"/>
      <c r="CB37" s="113">
        <f t="shared" si="28"/>
        <v>0</v>
      </c>
      <c r="CC37" s="113"/>
      <c r="CD37" s="113"/>
      <c r="CE37" s="113"/>
      <c r="CF37" s="113"/>
      <c r="CG37" s="113">
        <f t="shared" si="29"/>
        <v>0</v>
      </c>
      <c r="CH37" s="113">
        <f t="shared" si="30"/>
        <v>0</v>
      </c>
      <c r="CI37" s="113"/>
      <c r="CJ37" s="113"/>
      <c r="CK37" s="113"/>
      <c r="CL37" s="113"/>
      <c r="CM37" s="113">
        <f t="shared" si="31"/>
        <v>0</v>
      </c>
      <c r="CN37" s="113">
        <f t="shared" si="31"/>
        <v>0</v>
      </c>
      <c r="CO37" s="113"/>
      <c r="CP37" s="113"/>
      <c r="CQ37" s="113"/>
      <c r="CR37" s="113"/>
      <c r="CS37" s="113">
        <f t="shared" si="32"/>
        <v>0</v>
      </c>
      <c r="CT37" s="113">
        <f t="shared" si="32"/>
        <v>0</v>
      </c>
      <c r="CU37" s="113"/>
      <c r="CV37" s="113"/>
      <c r="CW37" s="113"/>
      <c r="CX37" s="113"/>
      <c r="CY37" s="113">
        <f t="shared" si="33"/>
        <v>0</v>
      </c>
      <c r="CZ37" s="113">
        <f t="shared" si="33"/>
        <v>0</v>
      </c>
      <c r="DA37" s="113"/>
      <c r="DB37" s="113"/>
      <c r="DC37" s="113"/>
      <c r="DD37" s="113"/>
      <c r="DE37" s="113">
        <f t="shared" si="34"/>
        <v>0</v>
      </c>
      <c r="DF37" s="113">
        <f t="shared" si="34"/>
        <v>0</v>
      </c>
      <c r="DG37" s="113"/>
      <c r="DH37" s="113"/>
      <c r="DI37" s="113"/>
      <c r="DJ37" s="113"/>
      <c r="DK37" s="113">
        <f t="shared" si="35"/>
        <v>0</v>
      </c>
      <c r="DL37" s="113">
        <f t="shared" si="35"/>
        <v>0</v>
      </c>
      <c r="DM37" s="113">
        <f t="shared" si="36"/>
        <v>0</v>
      </c>
      <c r="DN37" s="113">
        <f t="shared" si="37"/>
        <v>0</v>
      </c>
      <c r="DO37" s="113">
        <f t="shared" si="38"/>
        <v>0</v>
      </c>
      <c r="DP37" s="113">
        <f t="shared" si="39"/>
        <v>0</v>
      </c>
      <c r="DQ37" s="113">
        <f t="shared" si="40"/>
        <v>0</v>
      </c>
      <c r="DR37" s="113">
        <f t="shared" si="40"/>
        <v>0</v>
      </c>
    </row>
    <row r="38" spans="1:122">
      <c r="A38" s="15">
        <v>30</v>
      </c>
      <c r="B38" s="96" t="s">
        <v>963</v>
      </c>
      <c r="C38" s="96" t="s">
        <v>997</v>
      </c>
      <c r="D38" s="96" t="s">
        <v>998</v>
      </c>
      <c r="E38" s="185" t="s">
        <v>1164</v>
      </c>
      <c r="F38" s="161">
        <f t="shared" si="41"/>
        <v>0</v>
      </c>
      <c r="G38" s="161">
        <f t="shared" si="42"/>
        <v>0</v>
      </c>
      <c r="H38" s="161">
        <f t="shared" si="43"/>
        <v>0</v>
      </c>
      <c r="I38" s="161">
        <f t="shared" si="44"/>
        <v>0</v>
      </c>
      <c r="J38" s="165">
        <f t="shared" si="6"/>
        <v>2929.5</v>
      </c>
      <c r="K38" s="115">
        <v>2</v>
      </c>
      <c r="L38" s="211">
        <v>0</v>
      </c>
      <c r="M38" s="211">
        <v>0</v>
      </c>
      <c r="N38" s="127">
        <f t="shared" si="45"/>
        <v>2929.5</v>
      </c>
      <c r="O38" s="127">
        <f t="shared" si="46"/>
        <v>2929.5</v>
      </c>
      <c r="P38" s="127">
        <f t="shared" si="47"/>
        <v>2929.5</v>
      </c>
      <c r="Q38" s="131">
        <f t="shared" si="48"/>
        <v>0</v>
      </c>
      <c r="R38" s="125">
        <f t="shared" si="10"/>
        <v>2929.5</v>
      </c>
      <c r="S38" s="113">
        <v>0</v>
      </c>
      <c r="T38" s="113"/>
      <c r="U38" s="113">
        <f t="shared" si="11"/>
        <v>0</v>
      </c>
      <c r="V38" s="113">
        <f t="shared" si="12"/>
        <v>0</v>
      </c>
      <c r="W38" s="113">
        <v>0</v>
      </c>
      <c r="X38" s="113">
        <v>0</v>
      </c>
      <c r="Y38" s="113">
        <v>0</v>
      </c>
      <c r="Z38" s="113">
        <v>0</v>
      </c>
      <c r="AA38" s="113">
        <f t="shared" si="86"/>
        <v>0</v>
      </c>
      <c r="AB38" s="113">
        <f t="shared" si="86"/>
        <v>0</v>
      </c>
      <c r="AC38" s="113"/>
      <c r="AD38" s="113"/>
      <c r="AE38" s="113"/>
      <c r="AF38" s="113">
        <v>2929.5</v>
      </c>
      <c r="AG38" s="113">
        <f t="shared" si="14"/>
        <v>0</v>
      </c>
      <c r="AH38" s="113">
        <f t="shared" si="14"/>
        <v>2929.5</v>
      </c>
      <c r="AI38" s="114">
        <f t="shared" si="15"/>
        <v>0</v>
      </c>
      <c r="AJ38" s="114">
        <f t="shared" si="16"/>
        <v>0</v>
      </c>
      <c r="AK38" s="114">
        <f t="shared" si="16"/>
        <v>0</v>
      </c>
      <c r="AL38" s="114">
        <f t="shared" si="17"/>
        <v>2929.5</v>
      </c>
      <c r="AM38" s="113">
        <f t="shared" si="18"/>
        <v>0</v>
      </c>
      <c r="AN38" s="113">
        <f t="shared" si="18"/>
        <v>2929.5</v>
      </c>
      <c r="AO38" s="113"/>
      <c r="AP38" s="113"/>
      <c r="AQ38" s="113"/>
      <c r="AR38" s="113"/>
      <c r="AS38" s="113">
        <f t="shared" si="19"/>
        <v>0</v>
      </c>
      <c r="AT38" s="113">
        <f t="shared" si="19"/>
        <v>0</v>
      </c>
      <c r="AU38" s="113"/>
      <c r="AV38" s="113"/>
      <c r="AW38" s="113"/>
      <c r="AX38" s="113"/>
      <c r="AY38" s="113">
        <f t="shared" si="20"/>
        <v>0</v>
      </c>
      <c r="AZ38" s="113">
        <f t="shared" si="20"/>
        <v>0</v>
      </c>
      <c r="BA38" s="113"/>
      <c r="BB38" s="113"/>
      <c r="BC38" s="113"/>
      <c r="BD38" s="113"/>
      <c r="BE38" s="113">
        <f t="shared" si="21"/>
        <v>0</v>
      </c>
      <c r="BF38" s="113"/>
      <c r="BG38" s="113">
        <f t="shared" si="83"/>
        <v>0</v>
      </c>
      <c r="BH38" s="113"/>
      <c r="BI38" s="113"/>
      <c r="BJ38" s="113"/>
      <c r="BK38" s="113"/>
      <c r="BL38" s="113">
        <f t="shared" si="23"/>
        <v>0</v>
      </c>
      <c r="BM38" s="113"/>
      <c r="BN38" s="113">
        <f t="shared" si="84"/>
        <v>0</v>
      </c>
      <c r="BO38" s="113"/>
      <c r="BP38" s="113"/>
      <c r="BQ38" s="113"/>
      <c r="BR38" s="113"/>
      <c r="BS38" s="113">
        <f t="shared" si="25"/>
        <v>0</v>
      </c>
      <c r="BT38" s="113"/>
      <c r="BU38" s="113">
        <f t="shared" si="85"/>
        <v>0</v>
      </c>
      <c r="BV38" s="113"/>
      <c r="BW38" s="113"/>
      <c r="BX38" s="113"/>
      <c r="BY38" s="113"/>
      <c r="BZ38" s="113">
        <f t="shared" si="27"/>
        <v>0</v>
      </c>
      <c r="CA38" s="113"/>
      <c r="CB38" s="113">
        <f t="shared" si="28"/>
        <v>0</v>
      </c>
      <c r="CC38" s="113"/>
      <c r="CD38" s="113"/>
      <c r="CE38" s="113"/>
      <c r="CF38" s="113"/>
      <c r="CG38" s="113">
        <f t="shared" si="29"/>
        <v>0</v>
      </c>
      <c r="CH38" s="113">
        <f t="shared" si="30"/>
        <v>0</v>
      </c>
      <c r="CI38" s="113"/>
      <c r="CJ38" s="113"/>
      <c r="CK38" s="113"/>
      <c r="CL38" s="113"/>
      <c r="CM38" s="113">
        <f t="shared" si="31"/>
        <v>0</v>
      </c>
      <c r="CN38" s="113">
        <f t="shared" si="31"/>
        <v>0</v>
      </c>
      <c r="CO38" s="113"/>
      <c r="CP38" s="113"/>
      <c r="CQ38" s="113"/>
      <c r="CR38" s="113"/>
      <c r="CS38" s="113">
        <f t="shared" si="32"/>
        <v>0</v>
      </c>
      <c r="CT38" s="113">
        <f t="shared" si="32"/>
        <v>0</v>
      </c>
      <c r="CU38" s="113"/>
      <c r="CV38" s="113"/>
      <c r="CW38" s="113"/>
      <c r="CX38" s="113"/>
      <c r="CY38" s="113">
        <f t="shared" si="33"/>
        <v>0</v>
      </c>
      <c r="CZ38" s="113">
        <f t="shared" si="33"/>
        <v>0</v>
      </c>
      <c r="DA38" s="113"/>
      <c r="DB38" s="113"/>
      <c r="DC38" s="113"/>
      <c r="DD38" s="113"/>
      <c r="DE38" s="113">
        <f t="shared" si="34"/>
        <v>0</v>
      </c>
      <c r="DF38" s="113">
        <f t="shared" si="34"/>
        <v>0</v>
      </c>
      <c r="DG38" s="113"/>
      <c r="DH38" s="113"/>
      <c r="DI38" s="113"/>
      <c r="DJ38" s="113"/>
      <c r="DK38" s="113">
        <f t="shared" si="35"/>
        <v>0</v>
      </c>
      <c r="DL38" s="113">
        <f t="shared" si="35"/>
        <v>0</v>
      </c>
      <c r="DM38" s="113">
        <f t="shared" si="36"/>
        <v>0</v>
      </c>
      <c r="DN38" s="113">
        <f t="shared" si="37"/>
        <v>0</v>
      </c>
      <c r="DO38" s="113">
        <f t="shared" si="38"/>
        <v>0</v>
      </c>
      <c r="DP38" s="113">
        <f t="shared" si="39"/>
        <v>0</v>
      </c>
      <c r="DQ38" s="113">
        <f t="shared" si="40"/>
        <v>0</v>
      </c>
      <c r="DR38" s="113">
        <f t="shared" si="40"/>
        <v>0</v>
      </c>
    </row>
    <row r="39" spans="1:122">
      <c r="A39" s="15">
        <v>31</v>
      </c>
      <c r="B39" s="96" t="s">
        <v>963</v>
      </c>
      <c r="C39" s="187" t="s">
        <v>997</v>
      </c>
      <c r="D39" s="96" t="s">
        <v>999</v>
      </c>
      <c r="E39" s="185" t="s">
        <v>1165</v>
      </c>
      <c r="F39" s="161">
        <f t="shared" si="41"/>
        <v>90000</v>
      </c>
      <c r="G39" s="161">
        <f t="shared" si="42"/>
        <v>156000</v>
      </c>
      <c r="H39" s="161">
        <f t="shared" si="43"/>
        <v>-66000</v>
      </c>
      <c r="I39" s="161">
        <f t="shared" si="44"/>
        <v>2000</v>
      </c>
      <c r="J39" s="165">
        <f t="shared" si="6"/>
        <v>90000</v>
      </c>
      <c r="K39" s="115">
        <v>23728</v>
      </c>
      <c r="L39" s="211">
        <v>0</v>
      </c>
      <c r="M39" s="211">
        <v>0</v>
      </c>
      <c r="N39" s="127">
        <f t="shared" si="45"/>
        <v>0</v>
      </c>
      <c r="O39" s="127">
        <f t="shared" si="46"/>
        <v>0</v>
      </c>
      <c r="P39" s="127">
        <f t="shared" si="47"/>
        <v>0</v>
      </c>
      <c r="Q39" s="131">
        <f t="shared" si="48"/>
        <v>90000</v>
      </c>
      <c r="R39" s="125" t="str">
        <f t="shared" si="10"/>
        <v>მიმდინარეობს</v>
      </c>
      <c r="S39" s="113">
        <v>0</v>
      </c>
      <c r="T39" s="113"/>
      <c r="U39" s="113">
        <f t="shared" si="11"/>
        <v>0</v>
      </c>
      <c r="V39" s="113">
        <f t="shared" si="12"/>
        <v>0</v>
      </c>
      <c r="W39" s="113">
        <v>0</v>
      </c>
      <c r="X39" s="113">
        <v>0</v>
      </c>
      <c r="Y39" s="113">
        <v>0</v>
      </c>
      <c r="Z39" s="113">
        <v>0</v>
      </c>
      <c r="AA39" s="113">
        <f t="shared" si="86"/>
        <v>0</v>
      </c>
      <c r="AB39" s="113">
        <f t="shared" si="86"/>
        <v>0</v>
      </c>
      <c r="AC39" s="113"/>
      <c r="AD39" s="113"/>
      <c r="AE39" s="113"/>
      <c r="AF39" s="113"/>
      <c r="AG39" s="113">
        <f t="shared" si="14"/>
        <v>0</v>
      </c>
      <c r="AH39" s="113">
        <f t="shared" si="14"/>
        <v>0</v>
      </c>
      <c r="AI39" s="114">
        <f t="shared" si="15"/>
        <v>0</v>
      </c>
      <c r="AJ39" s="114">
        <f t="shared" si="16"/>
        <v>0</v>
      </c>
      <c r="AK39" s="114">
        <f t="shared" si="16"/>
        <v>0</v>
      </c>
      <c r="AL39" s="114">
        <f t="shared" si="17"/>
        <v>0</v>
      </c>
      <c r="AM39" s="113">
        <f t="shared" si="18"/>
        <v>0</v>
      </c>
      <c r="AN39" s="113">
        <f t="shared" si="18"/>
        <v>0</v>
      </c>
      <c r="AO39" s="113"/>
      <c r="AP39" s="113"/>
      <c r="AQ39" s="113"/>
      <c r="AR39" s="113"/>
      <c r="AS39" s="113">
        <f t="shared" si="19"/>
        <v>0</v>
      </c>
      <c r="AT39" s="113">
        <f t="shared" si="19"/>
        <v>0</v>
      </c>
      <c r="AU39" s="113"/>
      <c r="AV39" s="113">
        <v>156000</v>
      </c>
      <c r="AW39" s="113">
        <v>90000</v>
      </c>
      <c r="AX39" s="113"/>
      <c r="AY39" s="113">
        <f t="shared" si="20"/>
        <v>90000</v>
      </c>
      <c r="AZ39" s="113">
        <f t="shared" si="20"/>
        <v>156000</v>
      </c>
      <c r="BA39" s="113"/>
      <c r="BB39" s="113"/>
      <c r="BC39" s="113"/>
      <c r="BD39" s="113"/>
      <c r="BE39" s="113">
        <f t="shared" si="21"/>
        <v>0</v>
      </c>
      <c r="BF39" s="113"/>
      <c r="BG39" s="113">
        <f t="shared" si="83"/>
        <v>0</v>
      </c>
      <c r="BH39" s="113"/>
      <c r="BI39" s="113"/>
      <c r="BJ39" s="113"/>
      <c r="BK39" s="113"/>
      <c r="BL39" s="113">
        <f t="shared" si="23"/>
        <v>0</v>
      </c>
      <c r="BM39" s="113"/>
      <c r="BN39" s="113">
        <f t="shared" si="84"/>
        <v>0</v>
      </c>
      <c r="BO39" s="113"/>
      <c r="BP39" s="113"/>
      <c r="BQ39" s="113"/>
      <c r="BR39" s="113"/>
      <c r="BS39" s="113">
        <f t="shared" si="25"/>
        <v>0</v>
      </c>
      <c r="BT39" s="113">
        <v>2000</v>
      </c>
      <c r="BU39" s="113">
        <f t="shared" si="85"/>
        <v>0</v>
      </c>
      <c r="BV39" s="113"/>
      <c r="BW39" s="113"/>
      <c r="BX39" s="113"/>
      <c r="BY39" s="113"/>
      <c r="BZ39" s="113">
        <f t="shared" si="27"/>
        <v>0</v>
      </c>
      <c r="CA39" s="113"/>
      <c r="CB39" s="113">
        <f t="shared" si="28"/>
        <v>0</v>
      </c>
      <c r="CC39" s="113"/>
      <c r="CD39" s="113"/>
      <c r="CE39" s="113"/>
      <c r="CF39" s="113"/>
      <c r="CG39" s="113">
        <f t="shared" si="29"/>
        <v>0</v>
      </c>
      <c r="CH39" s="113">
        <f t="shared" si="30"/>
        <v>0</v>
      </c>
      <c r="CI39" s="113"/>
      <c r="CJ39" s="113"/>
      <c r="CK39" s="113"/>
      <c r="CL39" s="113"/>
      <c r="CM39" s="113">
        <f t="shared" si="31"/>
        <v>0</v>
      </c>
      <c r="CN39" s="113">
        <f t="shared" si="31"/>
        <v>0</v>
      </c>
      <c r="CO39" s="113"/>
      <c r="CP39" s="113"/>
      <c r="CQ39" s="113"/>
      <c r="CR39" s="113"/>
      <c r="CS39" s="113">
        <f t="shared" si="32"/>
        <v>0</v>
      </c>
      <c r="CT39" s="113">
        <f t="shared" si="32"/>
        <v>0</v>
      </c>
      <c r="CU39" s="113"/>
      <c r="CV39" s="113"/>
      <c r="CW39" s="113"/>
      <c r="CX39" s="113"/>
      <c r="CY39" s="113">
        <f t="shared" si="33"/>
        <v>0</v>
      </c>
      <c r="CZ39" s="113">
        <f t="shared" si="33"/>
        <v>0</v>
      </c>
      <c r="DA39" s="113"/>
      <c r="DB39" s="113"/>
      <c r="DC39" s="113"/>
      <c r="DD39" s="113"/>
      <c r="DE39" s="113">
        <f t="shared" si="34"/>
        <v>0</v>
      </c>
      <c r="DF39" s="113">
        <f t="shared" si="34"/>
        <v>0</v>
      </c>
      <c r="DG39" s="113"/>
      <c r="DH39" s="113"/>
      <c r="DI39" s="113"/>
      <c r="DJ39" s="113"/>
      <c r="DK39" s="113">
        <f t="shared" si="35"/>
        <v>0</v>
      </c>
      <c r="DL39" s="113">
        <f t="shared" si="35"/>
        <v>0</v>
      </c>
      <c r="DM39" s="113">
        <f t="shared" si="36"/>
        <v>0</v>
      </c>
      <c r="DN39" s="113">
        <f t="shared" si="37"/>
        <v>156000</v>
      </c>
      <c r="DO39" s="113">
        <f t="shared" si="38"/>
        <v>90000</v>
      </c>
      <c r="DP39" s="113">
        <f t="shared" si="39"/>
        <v>0</v>
      </c>
      <c r="DQ39" s="113">
        <f t="shared" si="40"/>
        <v>90000</v>
      </c>
      <c r="DR39" s="113">
        <f t="shared" si="40"/>
        <v>156000</v>
      </c>
    </row>
    <row r="40" spans="1:122">
      <c r="A40" s="15">
        <v>32</v>
      </c>
      <c r="B40" s="96" t="s">
        <v>963</v>
      </c>
      <c r="C40" s="187" t="s">
        <v>1245</v>
      </c>
      <c r="D40" s="96" t="s">
        <v>1000</v>
      </c>
      <c r="E40" s="186" t="s">
        <v>1165</v>
      </c>
      <c r="F40" s="161">
        <f t="shared" si="41"/>
        <v>150000</v>
      </c>
      <c r="G40" s="161">
        <f t="shared" si="42"/>
        <v>0</v>
      </c>
      <c r="H40" s="161">
        <f t="shared" si="43"/>
        <v>150000</v>
      </c>
      <c r="I40" s="161">
        <f t="shared" si="44"/>
        <v>0</v>
      </c>
      <c r="J40" s="165">
        <f t="shared" si="6"/>
        <v>150000</v>
      </c>
      <c r="K40" s="115">
        <v>40800</v>
      </c>
      <c r="L40" s="211">
        <v>0</v>
      </c>
      <c r="M40" s="211">
        <v>0</v>
      </c>
      <c r="N40" s="127">
        <f t="shared" si="45"/>
        <v>0</v>
      </c>
      <c r="O40" s="127">
        <f t="shared" si="46"/>
        <v>0</v>
      </c>
      <c r="P40" s="127">
        <f t="shared" si="47"/>
        <v>0</v>
      </c>
      <c r="Q40" s="131">
        <f t="shared" si="48"/>
        <v>150000</v>
      </c>
      <c r="R40" s="125" t="str">
        <f t="shared" si="10"/>
        <v>ნულოვანი შესრულება</v>
      </c>
      <c r="S40" s="113">
        <v>0</v>
      </c>
      <c r="T40" s="113"/>
      <c r="U40" s="113">
        <f t="shared" si="11"/>
        <v>0</v>
      </c>
      <c r="V40" s="113">
        <f t="shared" si="12"/>
        <v>0</v>
      </c>
      <c r="W40" s="113">
        <v>0</v>
      </c>
      <c r="X40" s="113">
        <v>0</v>
      </c>
      <c r="Y40" s="113">
        <v>0</v>
      </c>
      <c r="Z40" s="113">
        <v>0</v>
      </c>
      <c r="AA40" s="113">
        <f t="shared" si="86"/>
        <v>0</v>
      </c>
      <c r="AB40" s="113">
        <f t="shared" si="86"/>
        <v>0</v>
      </c>
      <c r="AC40" s="113"/>
      <c r="AD40" s="113"/>
      <c r="AE40" s="113"/>
      <c r="AF40" s="113"/>
      <c r="AG40" s="113">
        <f t="shared" si="14"/>
        <v>0</v>
      </c>
      <c r="AH40" s="113">
        <f t="shared" si="14"/>
        <v>0</v>
      </c>
      <c r="AI40" s="114">
        <f t="shared" si="15"/>
        <v>0</v>
      </c>
      <c r="AJ40" s="114">
        <f t="shared" si="16"/>
        <v>0</v>
      </c>
      <c r="AK40" s="114">
        <f t="shared" si="16"/>
        <v>0</v>
      </c>
      <c r="AL40" s="114">
        <f t="shared" si="17"/>
        <v>0</v>
      </c>
      <c r="AM40" s="113">
        <f t="shared" si="18"/>
        <v>0</v>
      </c>
      <c r="AN40" s="113">
        <f t="shared" si="18"/>
        <v>0</v>
      </c>
      <c r="AO40" s="113"/>
      <c r="AP40" s="113"/>
      <c r="AQ40" s="113">
        <v>150000</v>
      </c>
      <c r="AR40" s="113"/>
      <c r="AS40" s="113">
        <f t="shared" si="19"/>
        <v>150000</v>
      </c>
      <c r="AT40" s="113">
        <f t="shared" si="19"/>
        <v>0</v>
      </c>
      <c r="AU40" s="113"/>
      <c r="AV40" s="113"/>
      <c r="AW40" s="113"/>
      <c r="AX40" s="113"/>
      <c r="AY40" s="113">
        <f t="shared" si="20"/>
        <v>0</v>
      </c>
      <c r="AZ40" s="113">
        <f t="shared" si="20"/>
        <v>0</v>
      </c>
      <c r="BA40" s="113"/>
      <c r="BB40" s="113"/>
      <c r="BC40" s="113"/>
      <c r="BD40" s="113"/>
      <c r="BE40" s="113">
        <f t="shared" si="21"/>
        <v>0</v>
      </c>
      <c r="BF40" s="113"/>
      <c r="BG40" s="113">
        <f t="shared" si="83"/>
        <v>0</v>
      </c>
      <c r="BH40" s="113"/>
      <c r="BI40" s="113"/>
      <c r="BJ40" s="113"/>
      <c r="BK40" s="113"/>
      <c r="BL40" s="113">
        <f t="shared" si="23"/>
        <v>0</v>
      </c>
      <c r="BM40" s="113"/>
      <c r="BN40" s="113">
        <f t="shared" si="84"/>
        <v>0</v>
      </c>
      <c r="BO40" s="113"/>
      <c r="BP40" s="113"/>
      <c r="BQ40" s="113"/>
      <c r="BR40" s="113"/>
      <c r="BS40" s="113">
        <f t="shared" si="25"/>
        <v>0</v>
      </c>
      <c r="BT40" s="113"/>
      <c r="BU40" s="113">
        <f t="shared" si="85"/>
        <v>0</v>
      </c>
      <c r="BV40" s="113"/>
      <c r="BW40" s="113"/>
      <c r="BX40" s="113"/>
      <c r="BY40" s="113"/>
      <c r="BZ40" s="113">
        <f t="shared" si="27"/>
        <v>0</v>
      </c>
      <c r="CA40" s="113"/>
      <c r="CB40" s="113">
        <f t="shared" si="28"/>
        <v>0</v>
      </c>
      <c r="CC40" s="113"/>
      <c r="CD40" s="113"/>
      <c r="CE40" s="113"/>
      <c r="CF40" s="113"/>
      <c r="CG40" s="113">
        <f t="shared" si="29"/>
        <v>0</v>
      </c>
      <c r="CH40" s="113">
        <f t="shared" si="30"/>
        <v>0</v>
      </c>
      <c r="CI40" s="113"/>
      <c r="CJ40" s="113"/>
      <c r="CK40" s="113"/>
      <c r="CL40" s="113"/>
      <c r="CM40" s="113">
        <f t="shared" si="31"/>
        <v>0</v>
      </c>
      <c r="CN40" s="113">
        <f t="shared" si="31"/>
        <v>0</v>
      </c>
      <c r="CO40" s="113"/>
      <c r="CP40" s="113"/>
      <c r="CQ40" s="113"/>
      <c r="CR40" s="113"/>
      <c r="CS40" s="113">
        <f t="shared" si="32"/>
        <v>0</v>
      </c>
      <c r="CT40" s="113">
        <f t="shared" si="32"/>
        <v>0</v>
      </c>
      <c r="CU40" s="113"/>
      <c r="CV40" s="113"/>
      <c r="CW40" s="113"/>
      <c r="CX40" s="113"/>
      <c r="CY40" s="113">
        <f t="shared" si="33"/>
        <v>0</v>
      </c>
      <c r="CZ40" s="113">
        <f t="shared" si="33"/>
        <v>0</v>
      </c>
      <c r="DA40" s="113"/>
      <c r="DB40" s="113"/>
      <c r="DC40" s="113"/>
      <c r="DD40" s="113"/>
      <c r="DE40" s="113">
        <f t="shared" si="34"/>
        <v>0</v>
      </c>
      <c r="DF40" s="113">
        <f t="shared" si="34"/>
        <v>0</v>
      </c>
      <c r="DG40" s="113"/>
      <c r="DH40" s="113"/>
      <c r="DI40" s="113"/>
      <c r="DJ40" s="113"/>
      <c r="DK40" s="113">
        <f t="shared" si="35"/>
        <v>0</v>
      </c>
      <c r="DL40" s="113">
        <f t="shared" si="35"/>
        <v>0</v>
      </c>
      <c r="DM40" s="113">
        <f t="shared" si="36"/>
        <v>0</v>
      </c>
      <c r="DN40" s="113">
        <f t="shared" si="37"/>
        <v>0</v>
      </c>
      <c r="DO40" s="113">
        <f t="shared" si="38"/>
        <v>150000</v>
      </c>
      <c r="DP40" s="113">
        <f t="shared" si="39"/>
        <v>0</v>
      </c>
      <c r="DQ40" s="113">
        <f t="shared" si="40"/>
        <v>150000</v>
      </c>
      <c r="DR40" s="113">
        <f t="shared" si="40"/>
        <v>0</v>
      </c>
    </row>
    <row r="41" spans="1:122">
      <c r="A41" s="15">
        <v>33</v>
      </c>
      <c r="B41" s="96" t="s">
        <v>963</v>
      </c>
      <c r="C41" s="187" t="s">
        <v>1001</v>
      </c>
      <c r="D41" s="96" t="s">
        <v>1002</v>
      </c>
      <c r="E41" s="185" t="s">
        <v>1165</v>
      </c>
      <c r="F41" s="161">
        <f t="shared" si="41"/>
        <v>0</v>
      </c>
      <c r="G41" s="161">
        <f t="shared" si="42"/>
        <v>0</v>
      </c>
      <c r="H41" s="161">
        <f t="shared" si="43"/>
        <v>0</v>
      </c>
      <c r="I41" s="161">
        <f t="shared" si="44"/>
        <v>0</v>
      </c>
      <c r="J41" s="165">
        <f t="shared" ref="J41:J72" si="87">L41+AN41+DQ41</f>
        <v>239389.08</v>
      </c>
      <c r="K41" s="115">
        <v>20700</v>
      </c>
      <c r="L41" s="211">
        <v>0</v>
      </c>
      <c r="M41" s="211">
        <v>0</v>
      </c>
      <c r="N41" s="127">
        <f t="shared" si="45"/>
        <v>239389.08</v>
      </c>
      <c r="O41" s="127">
        <f t="shared" si="46"/>
        <v>239389.08</v>
      </c>
      <c r="P41" s="127">
        <f t="shared" si="47"/>
        <v>239389.08</v>
      </c>
      <c r="Q41" s="131">
        <f t="shared" si="48"/>
        <v>0</v>
      </c>
      <c r="R41" s="125">
        <f t="shared" ref="R41:R72" si="88">IF(AND(AL41&gt;0,DP41&gt;0),"შეცდომაა! ერთზე მეტი ბოლო ჩაბარება!",IF(OR(AL41&gt;0,DP41&gt;0,),IF(AL41&gt;0,L41+AN41,L41+AN41+DR41),IF(AND(L41=0,N41=0,DR41=0),"ნულოვანი შესრულება","მიმდინარეობს")))</f>
        <v>239389.08</v>
      </c>
      <c r="S41" s="113">
        <v>230000</v>
      </c>
      <c r="T41" s="113"/>
      <c r="U41" s="113">
        <f t="shared" si="11"/>
        <v>230000</v>
      </c>
      <c r="V41" s="113">
        <f t="shared" si="12"/>
        <v>0</v>
      </c>
      <c r="W41" s="113">
        <v>0</v>
      </c>
      <c r="X41" s="113">
        <v>0</v>
      </c>
      <c r="Y41" s="113">
        <f>282344.65-275000</f>
        <v>7344.6500000000233</v>
      </c>
      <c r="Z41" s="113">
        <v>9389.08</v>
      </c>
      <c r="AA41" s="113">
        <f t="shared" si="86"/>
        <v>7344.6500000000233</v>
      </c>
      <c r="AB41" s="113">
        <f t="shared" si="86"/>
        <v>9389.08</v>
      </c>
      <c r="AC41" s="113"/>
      <c r="AD41" s="113"/>
      <c r="AE41" s="113"/>
      <c r="AF41" s="113"/>
      <c r="AG41" s="113">
        <f t="shared" si="14"/>
        <v>0</v>
      </c>
      <c r="AH41" s="113">
        <f t="shared" si="14"/>
        <v>0</v>
      </c>
      <c r="AI41" s="114">
        <f t="shared" si="15"/>
        <v>230000</v>
      </c>
      <c r="AJ41" s="114">
        <f t="shared" si="16"/>
        <v>230000</v>
      </c>
      <c r="AK41" s="114">
        <f t="shared" si="16"/>
        <v>7344.6500000000233</v>
      </c>
      <c r="AL41" s="114">
        <f t="shared" si="17"/>
        <v>9389.08</v>
      </c>
      <c r="AM41" s="113">
        <f t="shared" si="18"/>
        <v>237344.65000000002</v>
      </c>
      <c r="AN41" s="113">
        <f t="shared" si="18"/>
        <v>239389.08</v>
      </c>
      <c r="AO41" s="113"/>
      <c r="AP41" s="113"/>
      <c r="AQ41" s="113"/>
      <c r="AR41" s="113"/>
      <c r="AS41" s="113">
        <f t="shared" si="19"/>
        <v>0</v>
      </c>
      <c r="AT41" s="113">
        <f t="shared" si="19"/>
        <v>0</v>
      </c>
      <c r="AU41" s="113"/>
      <c r="AV41" s="113"/>
      <c r="AW41" s="113"/>
      <c r="AX41" s="113"/>
      <c r="AY41" s="113">
        <f t="shared" si="20"/>
        <v>0</v>
      </c>
      <c r="AZ41" s="113">
        <f t="shared" si="20"/>
        <v>0</v>
      </c>
      <c r="BA41" s="113"/>
      <c r="BB41" s="113"/>
      <c r="BC41" s="113"/>
      <c r="BD41" s="113"/>
      <c r="BE41" s="113">
        <f t="shared" si="21"/>
        <v>0</v>
      </c>
      <c r="BF41" s="113"/>
      <c r="BG41" s="113">
        <f t="shared" si="83"/>
        <v>0</v>
      </c>
      <c r="BH41" s="113"/>
      <c r="BI41" s="113"/>
      <c r="BJ41" s="113"/>
      <c r="BK41" s="113"/>
      <c r="BL41" s="113">
        <f t="shared" si="23"/>
        <v>0</v>
      </c>
      <c r="BM41" s="113"/>
      <c r="BN41" s="113">
        <f t="shared" si="84"/>
        <v>0</v>
      </c>
      <c r="BO41" s="113"/>
      <c r="BP41" s="113"/>
      <c r="BQ41" s="113"/>
      <c r="BR41" s="113"/>
      <c r="BS41" s="113">
        <f t="shared" si="25"/>
        <v>0</v>
      </c>
      <c r="BT41" s="113"/>
      <c r="BU41" s="113">
        <f t="shared" si="85"/>
        <v>0</v>
      </c>
      <c r="BV41" s="113"/>
      <c r="BW41" s="113"/>
      <c r="BX41" s="113"/>
      <c r="BY41" s="113"/>
      <c r="BZ41" s="113">
        <f t="shared" si="27"/>
        <v>0</v>
      </c>
      <c r="CA41" s="113"/>
      <c r="CB41" s="113">
        <f t="shared" ref="CB41:CB72" si="89">BW41+BY41</f>
        <v>0</v>
      </c>
      <c r="CC41" s="113"/>
      <c r="CD41" s="113"/>
      <c r="CE41" s="113"/>
      <c r="CF41" s="113"/>
      <c r="CG41" s="113">
        <f t="shared" si="29"/>
        <v>0</v>
      </c>
      <c r="CH41" s="113">
        <f t="shared" ref="CH41:CH72" si="90">CD41+CF41</f>
        <v>0</v>
      </c>
      <c r="CI41" s="113"/>
      <c r="CJ41" s="113"/>
      <c r="CK41" s="113"/>
      <c r="CL41" s="113"/>
      <c r="CM41" s="113">
        <f t="shared" si="31"/>
        <v>0</v>
      </c>
      <c r="CN41" s="113">
        <f t="shared" si="31"/>
        <v>0</v>
      </c>
      <c r="CO41" s="113"/>
      <c r="CP41" s="113"/>
      <c r="CQ41" s="113"/>
      <c r="CR41" s="113"/>
      <c r="CS41" s="113">
        <f t="shared" si="32"/>
        <v>0</v>
      </c>
      <c r="CT41" s="113">
        <f t="shared" si="32"/>
        <v>0</v>
      </c>
      <c r="CU41" s="113"/>
      <c r="CV41" s="113"/>
      <c r="CW41" s="113"/>
      <c r="CX41" s="113"/>
      <c r="CY41" s="113">
        <f t="shared" si="33"/>
        <v>0</v>
      </c>
      <c r="CZ41" s="113">
        <f t="shared" si="33"/>
        <v>0</v>
      </c>
      <c r="DA41" s="113"/>
      <c r="DB41" s="113"/>
      <c r="DC41" s="113"/>
      <c r="DD41" s="113"/>
      <c r="DE41" s="113">
        <f t="shared" si="34"/>
        <v>0</v>
      </c>
      <c r="DF41" s="113">
        <f t="shared" si="34"/>
        <v>0</v>
      </c>
      <c r="DG41" s="113"/>
      <c r="DH41" s="113"/>
      <c r="DI41" s="113"/>
      <c r="DJ41" s="113"/>
      <c r="DK41" s="113">
        <f t="shared" si="35"/>
        <v>0</v>
      </c>
      <c r="DL41" s="113">
        <f t="shared" si="35"/>
        <v>0</v>
      </c>
      <c r="DM41" s="113">
        <f t="shared" ref="DM41:DM72" si="91">AO41+AU41+BA41+BH41+BO41+BV41+CC41+CI41+CO41+CU41+DA41+DG41</f>
        <v>0</v>
      </c>
      <c r="DN41" s="113">
        <f t="shared" ref="DN41:DN72" si="92">AP41+AV41+BB41+BI41+BP41+BW41+CD41+CJ41+CP41+CV41+DB41+DH41</f>
        <v>0</v>
      </c>
      <c r="DO41" s="113">
        <f t="shared" ref="DO41:DO72" si="93">AQ41+AW41+BC41+BJ41+BQ41+BX41+CE41+CK41+CQ41+CW41+DC41+DI41</f>
        <v>0</v>
      </c>
      <c r="DP41" s="113">
        <f t="shared" ref="DP41:DP72" si="94">AR41+AX41+BD41+BK41+BR41+BY41+CF41+CL41+CR41+CX41+DD41+DJ41</f>
        <v>0</v>
      </c>
      <c r="DQ41" s="113">
        <f t="shared" si="40"/>
        <v>0</v>
      </c>
      <c r="DR41" s="113">
        <f t="shared" si="40"/>
        <v>0</v>
      </c>
    </row>
    <row r="42" spans="1:122">
      <c r="A42" s="15">
        <v>34</v>
      </c>
      <c r="B42" s="96" t="s">
        <v>963</v>
      </c>
      <c r="C42" s="187" t="s">
        <v>1244</v>
      </c>
      <c r="D42" s="96" t="s">
        <v>1003</v>
      </c>
      <c r="E42" s="185" t="s">
        <v>1165</v>
      </c>
      <c r="F42" s="161">
        <f t="shared" si="41"/>
        <v>130000</v>
      </c>
      <c r="G42" s="161">
        <f t="shared" si="42"/>
        <v>0</v>
      </c>
      <c r="H42" s="161">
        <f t="shared" si="43"/>
        <v>130000</v>
      </c>
      <c r="I42" s="161">
        <f t="shared" si="44"/>
        <v>0</v>
      </c>
      <c r="J42" s="165">
        <f t="shared" si="87"/>
        <v>130000</v>
      </c>
      <c r="K42" s="115">
        <v>54800</v>
      </c>
      <c r="L42" s="211">
        <v>0</v>
      </c>
      <c r="M42" s="211">
        <v>0</v>
      </c>
      <c r="N42" s="127">
        <f t="shared" si="45"/>
        <v>0</v>
      </c>
      <c r="O42" s="127">
        <f t="shared" si="46"/>
        <v>0</v>
      </c>
      <c r="P42" s="127">
        <f t="shared" si="47"/>
        <v>0</v>
      </c>
      <c r="Q42" s="131">
        <f t="shared" si="48"/>
        <v>130000</v>
      </c>
      <c r="R42" s="125" t="str">
        <f t="shared" si="88"/>
        <v>ნულოვანი შესრულება</v>
      </c>
      <c r="S42" s="113">
        <v>0</v>
      </c>
      <c r="T42" s="113"/>
      <c r="U42" s="113">
        <f t="shared" si="11"/>
        <v>0</v>
      </c>
      <c r="V42" s="113">
        <f t="shared" si="12"/>
        <v>0</v>
      </c>
      <c r="W42" s="113">
        <v>0</v>
      </c>
      <c r="X42" s="113">
        <v>0</v>
      </c>
      <c r="Y42" s="113">
        <v>0</v>
      </c>
      <c r="Z42" s="113">
        <v>0</v>
      </c>
      <c r="AA42" s="113">
        <f t="shared" si="86"/>
        <v>0</v>
      </c>
      <c r="AB42" s="113">
        <f t="shared" si="86"/>
        <v>0</v>
      </c>
      <c r="AC42" s="113"/>
      <c r="AD42" s="113"/>
      <c r="AE42" s="113"/>
      <c r="AF42" s="113"/>
      <c r="AG42" s="113">
        <f t="shared" si="14"/>
        <v>0</v>
      </c>
      <c r="AH42" s="113">
        <f t="shared" si="14"/>
        <v>0</v>
      </c>
      <c r="AI42" s="114">
        <f t="shared" si="15"/>
        <v>0</v>
      </c>
      <c r="AJ42" s="114">
        <f t="shared" si="16"/>
        <v>0</v>
      </c>
      <c r="AK42" s="114">
        <f t="shared" si="16"/>
        <v>0</v>
      </c>
      <c r="AL42" s="114">
        <f t="shared" si="17"/>
        <v>0</v>
      </c>
      <c r="AM42" s="113">
        <f t="shared" si="18"/>
        <v>0</v>
      </c>
      <c r="AN42" s="113">
        <f t="shared" si="18"/>
        <v>0</v>
      </c>
      <c r="AO42" s="113"/>
      <c r="AP42" s="113"/>
      <c r="AQ42" s="113">
        <v>130000</v>
      </c>
      <c r="AR42" s="113"/>
      <c r="AS42" s="113">
        <f t="shared" si="19"/>
        <v>130000</v>
      </c>
      <c r="AT42" s="113">
        <f t="shared" si="19"/>
        <v>0</v>
      </c>
      <c r="AU42" s="113"/>
      <c r="AV42" s="113"/>
      <c r="AW42" s="113"/>
      <c r="AX42" s="113"/>
      <c r="AY42" s="113">
        <f t="shared" si="20"/>
        <v>0</v>
      </c>
      <c r="AZ42" s="113">
        <f t="shared" si="20"/>
        <v>0</v>
      </c>
      <c r="BA42" s="113"/>
      <c r="BB42" s="113"/>
      <c r="BC42" s="113"/>
      <c r="BD42" s="113"/>
      <c r="BE42" s="113">
        <f t="shared" si="21"/>
        <v>0</v>
      </c>
      <c r="BF42" s="113"/>
      <c r="BG42" s="113">
        <f t="shared" si="83"/>
        <v>0</v>
      </c>
      <c r="BH42" s="113"/>
      <c r="BI42" s="113"/>
      <c r="BJ42" s="113"/>
      <c r="BK42" s="113"/>
      <c r="BL42" s="113">
        <f t="shared" si="23"/>
        <v>0</v>
      </c>
      <c r="BM42" s="113"/>
      <c r="BN42" s="113">
        <f t="shared" si="84"/>
        <v>0</v>
      </c>
      <c r="BO42" s="113"/>
      <c r="BP42" s="113"/>
      <c r="BQ42" s="113"/>
      <c r="BR42" s="113"/>
      <c r="BS42" s="113">
        <f t="shared" si="25"/>
        <v>0</v>
      </c>
      <c r="BT42" s="113"/>
      <c r="BU42" s="113">
        <f t="shared" si="85"/>
        <v>0</v>
      </c>
      <c r="BV42" s="113"/>
      <c r="BW42" s="113"/>
      <c r="BX42" s="113"/>
      <c r="BY42" s="113"/>
      <c r="BZ42" s="113">
        <f t="shared" si="27"/>
        <v>0</v>
      </c>
      <c r="CA42" s="113"/>
      <c r="CB42" s="113">
        <f t="shared" si="89"/>
        <v>0</v>
      </c>
      <c r="CC42" s="113"/>
      <c r="CD42" s="113"/>
      <c r="CE42" s="113"/>
      <c r="CF42" s="113"/>
      <c r="CG42" s="113">
        <f t="shared" si="29"/>
        <v>0</v>
      </c>
      <c r="CH42" s="113">
        <f t="shared" si="90"/>
        <v>0</v>
      </c>
      <c r="CI42" s="113"/>
      <c r="CJ42" s="113"/>
      <c r="CK42" s="113"/>
      <c r="CL42" s="113"/>
      <c r="CM42" s="113">
        <f t="shared" si="31"/>
        <v>0</v>
      </c>
      <c r="CN42" s="113">
        <f t="shared" si="31"/>
        <v>0</v>
      </c>
      <c r="CO42" s="113"/>
      <c r="CP42" s="113"/>
      <c r="CQ42" s="113"/>
      <c r="CR42" s="113"/>
      <c r="CS42" s="113">
        <f t="shared" si="32"/>
        <v>0</v>
      </c>
      <c r="CT42" s="113">
        <f t="shared" si="32"/>
        <v>0</v>
      </c>
      <c r="CU42" s="113"/>
      <c r="CV42" s="113"/>
      <c r="CW42" s="113"/>
      <c r="CX42" s="113"/>
      <c r="CY42" s="113">
        <f t="shared" si="33"/>
        <v>0</v>
      </c>
      <c r="CZ42" s="113">
        <f t="shared" si="33"/>
        <v>0</v>
      </c>
      <c r="DA42" s="113"/>
      <c r="DB42" s="113"/>
      <c r="DC42" s="113"/>
      <c r="DD42" s="113"/>
      <c r="DE42" s="113">
        <f t="shared" si="34"/>
        <v>0</v>
      </c>
      <c r="DF42" s="113">
        <f t="shared" si="34"/>
        <v>0</v>
      </c>
      <c r="DG42" s="113"/>
      <c r="DH42" s="113"/>
      <c r="DI42" s="113"/>
      <c r="DJ42" s="113"/>
      <c r="DK42" s="113">
        <f t="shared" si="35"/>
        <v>0</v>
      </c>
      <c r="DL42" s="113">
        <f t="shared" si="35"/>
        <v>0</v>
      </c>
      <c r="DM42" s="113">
        <f t="shared" si="91"/>
        <v>0</v>
      </c>
      <c r="DN42" s="113">
        <f t="shared" si="92"/>
        <v>0</v>
      </c>
      <c r="DO42" s="113">
        <f t="shared" si="93"/>
        <v>130000</v>
      </c>
      <c r="DP42" s="113">
        <f t="shared" si="94"/>
        <v>0</v>
      </c>
      <c r="DQ42" s="113">
        <f t="shared" si="40"/>
        <v>130000</v>
      </c>
      <c r="DR42" s="113">
        <f t="shared" si="40"/>
        <v>0</v>
      </c>
    </row>
    <row r="43" spans="1:122">
      <c r="A43" s="15">
        <v>35</v>
      </c>
      <c r="B43" s="96" t="s">
        <v>963</v>
      </c>
      <c r="C43" s="96" t="s">
        <v>1004</v>
      </c>
      <c r="D43" s="96" t="s">
        <v>1005</v>
      </c>
      <c r="E43" s="185" t="s">
        <v>1164</v>
      </c>
      <c r="F43" s="161">
        <f t="shared" si="41"/>
        <v>1951.25</v>
      </c>
      <c r="G43" s="161">
        <f t="shared" si="42"/>
        <v>1951.25</v>
      </c>
      <c r="H43" s="161">
        <f t="shared" si="43"/>
        <v>0</v>
      </c>
      <c r="I43" s="161">
        <f t="shared" si="44"/>
        <v>0</v>
      </c>
      <c r="J43" s="165">
        <f t="shared" si="87"/>
        <v>1951.25</v>
      </c>
      <c r="K43" s="115">
        <v>2</v>
      </c>
      <c r="L43" s="211">
        <v>0</v>
      </c>
      <c r="M43" s="211">
        <v>0</v>
      </c>
      <c r="N43" s="127">
        <f t="shared" si="45"/>
        <v>0</v>
      </c>
      <c r="O43" s="127">
        <f t="shared" si="46"/>
        <v>0</v>
      </c>
      <c r="P43" s="127">
        <f t="shared" si="47"/>
        <v>0</v>
      </c>
      <c r="Q43" s="131">
        <f t="shared" si="48"/>
        <v>1951.25</v>
      </c>
      <c r="R43" s="125">
        <f t="shared" si="88"/>
        <v>1951.25</v>
      </c>
      <c r="S43" s="113">
        <v>0</v>
      </c>
      <c r="T43" s="113"/>
      <c r="U43" s="113">
        <f t="shared" si="11"/>
        <v>0</v>
      </c>
      <c r="V43" s="113">
        <f t="shared" si="12"/>
        <v>0</v>
      </c>
      <c r="W43" s="113">
        <v>0</v>
      </c>
      <c r="X43" s="113">
        <v>0</v>
      </c>
      <c r="Y43" s="113">
        <f>(1152+144)*1.75</f>
        <v>2268</v>
      </c>
      <c r="Z43" s="117"/>
      <c r="AA43" s="113">
        <f t="shared" si="86"/>
        <v>2268</v>
      </c>
      <c r="AB43" s="113">
        <f t="shared" si="86"/>
        <v>0</v>
      </c>
      <c r="AC43" s="113"/>
      <c r="AD43" s="113"/>
      <c r="AE43" s="113"/>
      <c r="AF43" s="113"/>
      <c r="AG43" s="113">
        <f t="shared" si="14"/>
        <v>0</v>
      </c>
      <c r="AH43" s="113">
        <f t="shared" si="14"/>
        <v>0</v>
      </c>
      <c r="AI43" s="114">
        <f t="shared" si="15"/>
        <v>0</v>
      </c>
      <c r="AJ43" s="114">
        <f t="shared" si="16"/>
        <v>0</v>
      </c>
      <c r="AK43" s="114">
        <f t="shared" si="16"/>
        <v>2268</v>
      </c>
      <c r="AL43" s="114">
        <f t="shared" si="17"/>
        <v>0</v>
      </c>
      <c r="AM43" s="113">
        <f t="shared" si="18"/>
        <v>2268</v>
      </c>
      <c r="AN43" s="113">
        <f t="shared" si="18"/>
        <v>0</v>
      </c>
      <c r="AO43" s="113"/>
      <c r="AP43" s="113"/>
      <c r="AQ43" s="113">
        <v>1951.25</v>
      </c>
      <c r="AR43" s="113">
        <v>1951.25</v>
      </c>
      <c r="AS43" s="113">
        <f t="shared" si="19"/>
        <v>1951.25</v>
      </c>
      <c r="AT43" s="113">
        <f t="shared" si="19"/>
        <v>1951.25</v>
      </c>
      <c r="AU43" s="113"/>
      <c r="AV43" s="113"/>
      <c r="AW43" s="113"/>
      <c r="AX43" s="113"/>
      <c r="AY43" s="113">
        <f t="shared" si="20"/>
        <v>0</v>
      </c>
      <c r="AZ43" s="113">
        <f t="shared" si="20"/>
        <v>0</v>
      </c>
      <c r="BA43" s="113"/>
      <c r="BB43" s="113"/>
      <c r="BC43" s="113"/>
      <c r="BD43" s="113"/>
      <c r="BE43" s="113">
        <f t="shared" si="21"/>
        <v>0</v>
      </c>
      <c r="BF43" s="113"/>
      <c r="BG43" s="113">
        <f t="shared" si="83"/>
        <v>0</v>
      </c>
      <c r="BH43" s="113"/>
      <c r="BI43" s="113"/>
      <c r="BJ43" s="113"/>
      <c r="BK43" s="113"/>
      <c r="BL43" s="113">
        <f t="shared" si="23"/>
        <v>0</v>
      </c>
      <c r="BM43" s="113"/>
      <c r="BN43" s="113">
        <f t="shared" si="84"/>
        <v>0</v>
      </c>
      <c r="BO43" s="113"/>
      <c r="BP43" s="113"/>
      <c r="BQ43" s="113"/>
      <c r="BR43" s="113"/>
      <c r="BS43" s="113">
        <f t="shared" si="25"/>
        <v>0</v>
      </c>
      <c r="BT43" s="113"/>
      <c r="BU43" s="113">
        <f t="shared" si="85"/>
        <v>0</v>
      </c>
      <c r="BV43" s="113"/>
      <c r="BW43" s="113"/>
      <c r="BX43" s="113"/>
      <c r="BY43" s="113"/>
      <c r="BZ43" s="113">
        <f t="shared" si="27"/>
        <v>0</v>
      </c>
      <c r="CA43" s="113"/>
      <c r="CB43" s="113">
        <f t="shared" si="89"/>
        <v>0</v>
      </c>
      <c r="CC43" s="113"/>
      <c r="CD43" s="113"/>
      <c r="CE43" s="113"/>
      <c r="CF43" s="113"/>
      <c r="CG43" s="113">
        <f t="shared" si="29"/>
        <v>0</v>
      </c>
      <c r="CH43" s="113">
        <f t="shared" si="90"/>
        <v>0</v>
      </c>
      <c r="CI43" s="113"/>
      <c r="CJ43" s="113"/>
      <c r="CK43" s="113"/>
      <c r="CL43" s="113"/>
      <c r="CM43" s="113">
        <f t="shared" si="31"/>
        <v>0</v>
      </c>
      <c r="CN43" s="113">
        <f t="shared" si="31"/>
        <v>0</v>
      </c>
      <c r="CO43" s="113"/>
      <c r="CP43" s="113"/>
      <c r="CQ43" s="113"/>
      <c r="CR43" s="113"/>
      <c r="CS43" s="113">
        <f t="shared" si="32"/>
        <v>0</v>
      </c>
      <c r="CT43" s="113">
        <f t="shared" si="32"/>
        <v>0</v>
      </c>
      <c r="CU43" s="113"/>
      <c r="CV43" s="113"/>
      <c r="CW43" s="113"/>
      <c r="CX43" s="113"/>
      <c r="CY43" s="113">
        <f t="shared" si="33"/>
        <v>0</v>
      </c>
      <c r="CZ43" s="113">
        <f t="shared" si="33"/>
        <v>0</v>
      </c>
      <c r="DA43" s="113"/>
      <c r="DB43" s="113"/>
      <c r="DC43" s="113"/>
      <c r="DD43" s="113"/>
      <c r="DE43" s="113">
        <f t="shared" si="34"/>
        <v>0</v>
      </c>
      <c r="DF43" s="113">
        <f t="shared" si="34"/>
        <v>0</v>
      </c>
      <c r="DG43" s="113"/>
      <c r="DH43" s="113"/>
      <c r="DI43" s="113"/>
      <c r="DJ43" s="113"/>
      <c r="DK43" s="113">
        <f t="shared" si="35"/>
        <v>0</v>
      </c>
      <c r="DL43" s="113">
        <f t="shared" si="35"/>
        <v>0</v>
      </c>
      <c r="DM43" s="113">
        <f t="shared" si="91"/>
        <v>0</v>
      </c>
      <c r="DN43" s="113">
        <f t="shared" si="92"/>
        <v>0</v>
      </c>
      <c r="DO43" s="113">
        <f t="shared" si="93"/>
        <v>1951.25</v>
      </c>
      <c r="DP43" s="113">
        <f t="shared" si="94"/>
        <v>1951.25</v>
      </c>
      <c r="DQ43" s="113">
        <f t="shared" si="40"/>
        <v>1951.25</v>
      </c>
      <c r="DR43" s="113">
        <f t="shared" si="40"/>
        <v>1951.25</v>
      </c>
    </row>
    <row r="44" spans="1:122">
      <c r="A44" s="15">
        <v>36</v>
      </c>
      <c r="B44" s="96" t="s">
        <v>963</v>
      </c>
      <c r="C44" s="187" t="s">
        <v>1004</v>
      </c>
      <c r="D44" s="96" t="s">
        <v>1006</v>
      </c>
      <c r="E44" s="185" t="s">
        <v>1165</v>
      </c>
      <c r="F44" s="161">
        <f t="shared" si="41"/>
        <v>70000</v>
      </c>
      <c r="G44" s="161">
        <f t="shared" si="42"/>
        <v>1740.58</v>
      </c>
      <c r="H44" s="161">
        <f t="shared" si="43"/>
        <v>68259.42</v>
      </c>
      <c r="I44" s="161">
        <f t="shared" si="44"/>
        <v>75900</v>
      </c>
      <c r="J44" s="165">
        <f t="shared" si="87"/>
        <v>70000</v>
      </c>
      <c r="K44" s="115">
        <v>24250</v>
      </c>
      <c r="L44" s="211">
        <v>0</v>
      </c>
      <c r="M44" s="211">
        <v>0</v>
      </c>
      <c r="N44" s="127">
        <f t="shared" si="45"/>
        <v>0</v>
      </c>
      <c r="O44" s="127">
        <f t="shared" si="46"/>
        <v>0</v>
      </c>
      <c r="P44" s="127">
        <f t="shared" si="47"/>
        <v>0</v>
      </c>
      <c r="Q44" s="131">
        <f t="shared" si="48"/>
        <v>70000</v>
      </c>
      <c r="R44" s="125" t="str">
        <f t="shared" si="88"/>
        <v>მიმდინარეობს</v>
      </c>
      <c r="S44" s="113">
        <v>0</v>
      </c>
      <c r="T44" s="113"/>
      <c r="U44" s="113">
        <f t="shared" si="11"/>
        <v>0</v>
      </c>
      <c r="V44" s="113">
        <f t="shared" si="12"/>
        <v>0</v>
      </c>
      <c r="W44" s="113">
        <v>0</v>
      </c>
      <c r="X44" s="113">
        <v>0</v>
      </c>
      <c r="Y44" s="113">
        <v>0</v>
      </c>
      <c r="Z44" s="113">
        <v>0</v>
      </c>
      <c r="AA44" s="113">
        <f t="shared" si="86"/>
        <v>0</v>
      </c>
      <c r="AB44" s="113">
        <f t="shared" si="86"/>
        <v>0</v>
      </c>
      <c r="AC44" s="113"/>
      <c r="AD44" s="113"/>
      <c r="AE44" s="113"/>
      <c r="AF44" s="113"/>
      <c r="AG44" s="113">
        <f t="shared" si="14"/>
        <v>0</v>
      </c>
      <c r="AH44" s="113">
        <f t="shared" si="14"/>
        <v>0</v>
      </c>
      <c r="AI44" s="114">
        <f t="shared" si="15"/>
        <v>0</v>
      </c>
      <c r="AJ44" s="114">
        <f t="shared" si="16"/>
        <v>0</v>
      </c>
      <c r="AK44" s="114">
        <f t="shared" si="16"/>
        <v>0</v>
      </c>
      <c r="AL44" s="114">
        <f t="shared" si="17"/>
        <v>0</v>
      </c>
      <c r="AM44" s="113">
        <f t="shared" si="18"/>
        <v>0</v>
      </c>
      <c r="AN44" s="113">
        <f t="shared" si="18"/>
        <v>0</v>
      </c>
      <c r="AO44" s="113"/>
      <c r="AP44" s="113"/>
      <c r="AQ44" s="113"/>
      <c r="AR44" s="113"/>
      <c r="AS44" s="113">
        <f t="shared" si="19"/>
        <v>0</v>
      </c>
      <c r="AT44" s="113">
        <f t="shared" si="19"/>
        <v>0</v>
      </c>
      <c r="AU44" s="113"/>
      <c r="AV44" s="113"/>
      <c r="AW44" s="113"/>
      <c r="AX44" s="113"/>
      <c r="AY44" s="113">
        <f t="shared" si="20"/>
        <v>0</v>
      </c>
      <c r="AZ44" s="113">
        <f t="shared" si="20"/>
        <v>0</v>
      </c>
      <c r="BA44" s="113"/>
      <c r="BB44" s="113"/>
      <c r="BC44" s="113">
        <v>70000</v>
      </c>
      <c r="BD44" s="113"/>
      <c r="BE44" s="113">
        <f t="shared" si="21"/>
        <v>70000</v>
      </c>
      <c r="BF44" s="113"/>
      <c r="BG44" s="113">
        <f t="shared" si="83"/>
        <v>0</v>
      </c>
      <c r="BH44" s="113"/>
      <c r="BI44" s="113"/>
      <c r="BJ44" s="113"/>
      <c r="BK44" s="113"/>
      <c r="BL44" s="113">
        <f t="shared" si="23"/>
        <v>0</v>
      </c>
      <c r="BM44" s="113"/>
      <c r="BN44" s="113">
        <f t="shared" si="84"/>
        <v>0</v>
      </c>
      <c r="BO44" s="113"/>
      <c r="BP44" s="113"/>
      <c r="BQ44" s="113"/>
      <c r="BR44" s="113"/>
      <c r="BS44" s="113">
        <f t="shared" si="25"/>
        <v>0</v>
      </c>
      <c r="BT44" s="113">
        <v>75000</v>
      </c>
      <c r="BU44" s="113">
        <f t="shared" si="85"/>
        <v>0</v>
      </c>
      <c r="BV44" s="113"/>
      <c r="BW44" s="113"/>
      <c r="BX44" s="113"/>
      <c r="BY44" s="113"/>
      <c r="BZ44" s="113">
        <f t="shared" si="27"/>
        <v>0</v>
      </c>
      <c r="CA44" s="113">
        <v>900</v>
      </c>
      <c r="CB44" s="113">
        <f t="shared" si="89"/>
        <v>0</v>
      </c>
      <c r="CC44" s="113"/>
      <c r="CD44" s="113"/>
      <c r="CE44" s="113"/>
      <c r="CF44" s="113"/>
      <c r="CG44" s="113">
        <f t="shared" si="29"/>
        <v>0</v>
      </c>
      <c r="CH44" s="113">
        <f t="shared" si="90"/>
        <v>0</v>
      </c>
      <c r="CI44" s="113"/>
      <c r="CJ44" s="113"/>
      <c r="CK44" s="113"/>
      <c r="CL44" s="113"/>
      <c r="CM44" s="113">
        <f t="shared" si="31"/>
        <v>0</v>
      </c>
      <c r="CN44" s="113">
        <f t="shared" si="31"/>
        <v>0</v>
      </c>
      <c r="CO44" s="113"/>
      <c r="CP44" s="113"/>
      <c r="CQ44" s="113"/>
      <c r="CR44" s="113"/>
      <c r="CS44" s="113">
        <f t="shared" si="32"/>
        <v>0</v>
      </c>
      <c r="CT44" s="113">
        <f t="shared" si="32"/>
        <v>0</v>
      </c>
      <c r="CU44" s="113"/>
      <c r="CV44" s="113"/>
      <c r="CW44" s="113"/>
      <c r="CX44" s="113"/>
      <c r="CY44" s="113">
        <f t="shared" si="33"/>
        <v>0</v>
      </c>
      <c r="CZ44" s="113">
        <f t="shared" si="33"/>
        <v>0</v>
      </c>
      <c r="DA44" s="113"/>
      <c r="DB44" s="113">
        <v>1740.58</v>
      </c>
      <c r="DC44" s="113"/>
      <c r="DD44" s="113"/>
      <c r="DE44" s="113">
        <f t="shared" si="34"/>
        <v>0</v>
      </c>
      <c r="DF44" s="113">
        <f t="shared" si="34"/>
        <v>1740.58</v>
      </c>
      <c r="DG44" s="113"/>
      <c r="DH44" s="113"/>
      <c r="DI44" s="113"/>
      <c r="DJ44" s="113"/>
      <c r="DK44" s="113">
        <f t="shared" si="35"/>
        <v>0</v>
      </c>
      <c r="DL44" s="113">
        <f t="shared" si="35"/>
        <v>0</v>
      </c>
      <c r="DM44" s="113">
        <f t="shared" si="91"/>
        <v>0</v>
      </c>
      <c r="DN44" s="113">
        <f t="shared" si="92"/>
        <v>1740.58</v>
      </c>
      <c r="DO44" s="113">
        <f t="shared" si="93"/>
        <v>70000</v>
      </c>
      <c r="DP44" s="113">
        <f t="shared" si="94"/>
        <v>0</v>
      </c>
      <c r="DQ44" s="113">
        <f t="shared" si="40"/>
        <v>70000</v>
      </c>
      <c r="DR44" s="113">
        <f t="shared" si="40"/>
        <v>1740.58</v>
      </c>
    </row>
    <row r="45" spans="1:122">
      <c r="A45" s="15">
        <v>37</v>
      </c>
      <c r="B45" s="96" t="s">
        <v>963</v>
      </c>
      <c r="C45" s="187" t="s">
        <v>1243</v>
      </c>
      <c r="D45" s="96" t="s">
        <v>1007</v>
      </c>
      <c r="E45" s="185" t="s">
        <v>1165</v>
      </c>
      <c r="F45" s="161">
        <f t="shared" si="41"/>
        <v>20000</v>
      </c>
      <c r="G45" s="161">
        <f t="shared" si="42"/>
        <v>275728.86</v>
      </c>
      <c r="H45" s="161">
        <f t="shared" si="43"/>
        <v>-255728.86</v>
      </c>
      <c r="I45" s="161">
        <f t="shared" si="44"/>
        <v>71832</v>
      </c>
      <c r="J45" s="165">
        <f t="shared" si="87"/>
        <v>320000</v>
      </c>
      <c r="K45" s="115">
        <v>151200</v>
      </c>
      <c r="L45" s="211">
        <v>0</v>
      </c>
      <c r="M45" s="211">
        <v>0</v>
      </c>
      <c r="N45" s="127">
        <f t="shared" si="45"/>
        <v>300000</v>
      </c>
      <c r="O45" s="127">
        <f t="shared" si="46"/>
        <v>0</v>
      </c>
      <c r="P45" s="127">
        <f t="shared" si="47"/>
        <v>300000</v>
      </c>
      <c r="Q45" s="131">
        <f t="shared" si="48"/>
        <v>20000</v>
      </c>
      <c r="R45" s="125">
        <f t="shared" si="88"/>
        <v>575728.86</v>
      </c>
      <c r="S45" s="113">
        <v>300000</v>
      </c>
      <c r="T45" s="113"/>
      <c r="U45" s="113">
        <f t="shared" si="11"/>
        <v>300000</v>
      </c>
      <c r="V45" s="113">
        <f t="shared" si="12"/>
        <v>0</v>
      </c>
      <c r="W45" s="113">
        <v>0</v>
      </c>
      <c r="X45" s="113">
        <v>0</v>
      </c>
      <c r="Y45" s="113">
        <v>0</v>
      </c>
      <c r="Z45" s="113">
        <v>0</v>
      </c>
      <c r="AA45" s="113">
        <f t="shared" si="86"/>
        <v>0</v>
      </c>
      <c r="AB45" s="113">
        <f t="shared" si="86"/>
        <v>0</v>
      </c>
      <c r="AC45" s="113"/>
      <c r="AD45" s="113"/>
      <c r="AE45" s="113"/>
      <c r="AF45" s="113"/>
      <c r="AG45" s="113">
        <f t="shared" si="14"/>
        <v>0</v>
      </c>
      <c r="AH45" s="113">
        <f t="shared" si="14"/>
        <v>0</v>
      </c>
      <c r="AI45" s="114">
        <f t="shared" si="15"/>
        <v>300000</v>
      </c>
      <c r="AJ45" s="114">
        <f t="shared" si="16"/>
        <v>300000</v>
      </c>
      <c r="AK45" s="114">
        <f t="shared" si="16"/>
        <v>0</v>
      </c>
      <c r="AL45" s="114">
        <f t="shared" si="17"/>
        <v>0</v>
      </c>
      <c r="AM45" s="113">
        <f t="shared" si="18"/>
        <v>300000</v>
      </c>
      <c r="AN45" s="113">
        <f t="shared" si="18"/>
        <v>300000</v>
      </c>
      <c r="AO45" s="113"/>
      <c r="AP45" s="113"/>
      <c r="AQ45" s="113">
        <v>20000</v>
      </c>
      <c r="AR45" s="113"/>
      <c r="AS45" s="113">
        <f t="shared" si="19"/>
        <v>20000</v>
      </c>
      <c r="AT45" s="113">
        <f t="shared" si="19"/>
        <v>0</v>
      </c>
      <c r="AU45" s="113"/>
      <c r="AV45" s="113">
        <v>191000</v>
      </c>
      <c r="AW45" s="113"/>
      <c r="AX45" s="113"/>
      <c r="AY45" s="113">
        <f t="shared" si="20"/>
        <v>0</v>
      </c>
      <c r="AZ45" s="113">
        <f t="shared" si="20"/>
        <v>191000</v>
      </c>
      <c r="BA45" s="113"/>
      <c r="BB45" s="113">
        <v>70000</v>
      </c>
      <c r="BC45" s="113"/>
      <c r="BD45" s="113"/>
      <c r="BE45" s="113">
        <f t="shared" si="21"/>
        <v>0</v>
      </c>
      <c r="BF45" s="113">
        <v>70000</v>
      </c>
      <c r="BG45" s="113">
        <f t="shared" si="83"/>
        <v>70000</v>
      </c>
      <c r="BH45" s="113"/>
      <c r="BI45" s="113"/>
      <c r="BJ45" s="113"/>
      <c r="BK45" s="113">
        <v>14728.86</v>
      </c>
      <c r="BL45" s="113">
        <f t="shared" si="23"/>
        <v>0</v>
      </c>
      <c r="BM45" s="113">
        <v>1832</v>
      </c>
      <c r="BN45" s="113">
        <f t="shared" si="84"/>
        <v>14728.86</v>
      </c>
      <c r="BO45" s="113"/>
      <c r="BP45" s="113"/>
      <c r="BQ45" s="113"/>
      <c r="BR45" s="113"/>
      <c r="BS45" s="113">
        <f t="shared" si="25"/>
        <v>0</v>
      </c>
      <c r="BT45" s="113"/>
      <c r="BU45" s="113">
        <f t="shared" si="85"/>
        <v>0</v>
      </c>
      <c r="BV45" s="113"/>
      <c r="BW45" s="113"/>
      <c r="BX45" s="113"/>
      <c r="BY45" s="113"/>
      <c r="BZ45" s="113">
        <f t="shared" si="27"/>
        <v>0</v>
      </c>
      <c r="CA45" s="113"/>
      <c r="CB45" s="113">
        <f t="shared" si="89"/>
        <v>0</v>
      </c>
      <c r="CC45" s="113"/>
      <c r="CD45" s="113"/>
      <c r="CE45" s="113"/>
      <c r="CF45" s="113"/>
      <c r="CG45" s="113">
        <f t="shared" si="29"/>
        <v>0</v>
      </c>
      <c r="CH45" s="113">
        <f t="shared" si="90"/>
        <v>0</v>
      </c>
      <c r="CI45" s="113"/>
      <c r="CJ45" s="113"/>
      <c r="CK45" s="113"/>
      <c r="CL45" s="113"/>
      <c r="CM45" s="113">
        <f t="shared" si="31"/>
        <v>0</v>
      </c>
      <c r="CN45" s="113">
        <f t="shared" si="31"/>
        <v>0</v>
      </c>
      <c r="CO45" s="113"/>
      <c r="CP45" s="113"/>
      <c r="CQ45" s="113"/>
      <c r="CR45" s="113"/>
      <c r="CS45" s="113">
        <f t="shared" si="32"/>
        <v>0</v>
      </c>
      <c r="CT45" s="113">
        <f t="shared" si="32"/>
        <v>0</v>
      </c>
      <c r="CU45" s="113"/>
      <c r="CV45" s="113"/>
      <c r="CW45" s="113"/>
      <c r="CX45" s="113"/>
      <c r="CY45" s="113">
        <f t="shared" si="33"/>
        <v>0</v>
      </c>
      <c r="CZ45" s="113">
        <f t="shared" si="33"/>
        <v>0</v>
      </c>
      <c r="DA45" s="113"/>
      <c r="DB45" s="113"/>
      <c r="DC45" s="113"/>
      <c r="DD45" s="113"/>
      <c r="DE45" s="113">
        <f t="shared" si="34"/>
        <v>0</v>
      </c>
      <c r="DF45" s="113">
        <f t="shared" si="34"/>
        <v>0</v>
      </c>
      <c r="DG45" s="113"/>
      <c r="DH45" s="113"/>
      <c r="DI45" s="113"/>
      <c r="DJ45" s="113"/>
      <c r="DK45" s="113">
        <f t="shared" si="35"/>
        <v>0</v>
      </c>
      <c r="DL45" s="113">
        <f t="shared" si="35"/>
        <v>0</v>
      </c>
      <c r="DM45" s="113">
        <f t="shared" si="91"/>
        <v>0</v>
      </c>
      <c r="DN45" s="113">
        <f t="shared" si="92"/>
        <v>261000</v>
      </c>
      <c r="DO45" s="113">
        <f t="shared" si="93"/>
        <v>20000</v>
      </c>
      <c r="DP45" s="113">
        <f t="shared" si="94"/>
        <v>14728.86</v>
      </c>
      <c r="DQ45" s="113">
        <f t="shared" si="40"/>
        <v>20000</v>
      </c>
      <c r="DR45" s="113">
        <f t="shared" si="40"/>
        <v>275728.86</v>
      </c>
    </row>
    <row r="46" spans="1:122">
      <c r="A46" s="15">
        <v>38</v>
      </c>
      <c r="B46" s="96" t="s">
        <v>963</v>
      </c>
      <c r="C46" s="96" t="s">
        <v>1008</v>
      </c>
      <c r="D46" s="96" t="s">
        <v>1009</v>
      </c>
      <c r="E46" s="185" t="s">
        <v>1164</v>
      </c>
      <c r="F46" s="161">
        <f t="shared" si="41"/>
        <v>0</v>
      </c>
      <c r="G46" s="161">
        <f t="shared" si="42"/>
        <v>1688.75</v>
      </c>
      <c r="H46" s="161">
        <f t="shared" si="43"/>
        <v>-1688.75</v>
      </c>
      <c r="I46" s="161">
        <f t="shared" si="44"/>
        <v>0</v>
      </c>
      <c r="J46" s="165">
        <f t="shared" si="87"/>
        <v>0</v>
      </c>
      <c r="K46" s="115">
        <v>2</v>
      </c>
      <c r="L46" s="211">
        <v>0</v>
      </c>
      <c r="M46" s="211">
        <v>0</v>
      </c>
      <c r="N46" s="127">
        <f t="shared" si="45"/>
        <v>0</v>
      </c>
      <c r="O46" s="127">
        <f t="shared" si="46"/>
        <v>0</v>
      </c>
      <c r="P46" s="127">
        <f t="shared" si="47"/>
        <v>0</v>
      </c>
      <c r="Q46" s="131">
        <f t="shared" si="48"/>
        <v>0</v>
      </c>
      <c r="R46" s="125">
        <f t="shared" si="88"/>
        <v>1688.75</v>
      </c>
      <c r="S46" s="113">
        <v>0</v>
      </c>
      <c r="T46" s="113"/>
      <c r="U46" s="113">
        <f t="shared" si="11"/>
        <v>0</v>
      </c>
      <c r="V46" s="113">
        <f t="shared" si="12"/>
        <v>0</v>
      </c>
      <c r="W46" s="113">
        <v>0</v>
      </c>
      <c r="X46" s="113">
        <v>0</v>
      </c>
      <c r="Y46" s="113">
        <v>0</v>
      </c>
      <c r="Z46" s="113">
        <v>0</v>
      </c>
      <c r="AA46" s="113">
        <f t="shared" si="86"/>
        <v>0</v>
      </c>
      <c r="AB46" s="113">
        <f t="shared" si="86"/>
        <v>0</v>
      </c>
      <c r="AC46" s="113"/>
      <c r="AD46" s="113"/>
      <c r="AE46" s="113"/>
      <c r="AF46" s="113"/>
      <c r="AG46" s="113">
        <f t="shared" si="14"/>
        <v>0</v>
      </c>
      <c r="AH46" s="113">
        <f t="shared" si="14"/>
        <v>0</v>
      </c>
      <c r="AI46" s="114">
        <f t="shared" si="15"/>
        <v>0</v>
      </c>
      <c r="AJ46" s="114">
        <f t="shared" si="16"/>
        <v>0</v>
      </c>
      <c r="AK46" s="114">
        <f t="shared" si="16"/>
        <v>0</v>
      </c>
      <c r="AL46" s="114">
        <f t="shared" si="17"/>
        <v>0</v>
      </c>
      <c r="AM46" s="113">
        <f t="shared" si="18"/>
        <v>0</v>
      </c>
      <c r="AN46" s="113">
        <f t="shared" si="18"/>
        <v>0</v>
      </c>
      <c r="AO46" s="113"/>
      <c r="AP46" s="113"/>
      <c r="AQ46" s="113"/>
      <c r="AR46" s="113"/>
      <c r="AS46" s="113">
        <f t="shared" si="19"/>
        <v>0</v>
      </c>
      <c r="AT46" s="113">
        <f t="shared" si="19"/>
        <v>0</v>
      </c>
      <c r="AU46" s="113"/>
      <c r="AV46" s="113"/>
      <c r="AW46" s="113"/>
      <c r="AX46" s="113"/>
      <c r="AY46" s="113">
        <f t="shared" si="20"/>
        <v>0</v>
      </c>
      <c r="AZ46" s="113">
        <f t="shared" si="20"/>
        <v>0</v>
      </c>
      <c r="BA46" s="113"/>
      <c r="BB46" s="113"/>
      <c r="BC46" s="113"/>
      <c r="BD46" s="113"/>
      <c r="BE46" s="113">
        <f t="shared" si="21"/>
        <v>0</v>
      </c>
      <c r="BF46" s="113"/>
      <c r="BG46" s="113">
        <f t="shared" si="83"/>
        <v>0</v>
      </c>
      <c r="BH46" s="113"/>
      <c r="BI46" s="113"/>
      <c r="BJ46" s="113"/>
      <c r="BK46" s="113"/>
      <c r="BL46" s="113">
        <f t="shared" si="23"/>
        <v>0</v>
      </c>
      <c r="BM46" s="113"/>
      <c r="BN46" s="113">
        <f t="shared" si="84"/>
        <v>0</v>
      </c>
      <c r="BO46" s="113"/>
      <c r="BP46" s="113"/>
      <c r="BQ46" s="113"/>
      <c r="BR46" s="113">
        <v>1688.75</v>
      </c>
      <c r="BS46" s="113">
        <f t="shared" si="25"/>
        <v>0</v>
      </c>
      <c r="BT46" s="113"/>
      <c r="BU46" s="113">
        <f t="shared" si="85"/>
        <v>1688.75</v>
      </c>
      <c r="BV46" s="113"/>
      <c r="BW46" s="113"/>
      <c r="BX46" s="113"/>
      <c r="BY46" s="113"/>
      <c r="BZ46" s="113">
        <f t="shared" si="27"/>
        <v>0</v>
      </c>
      <c r="CA46" s="113"/>
      <c r="CB46" s="113">
        <f t="shared" si="89"/>
        <v>0</v>
      </c>
      <c r="CC46" s="113"/>
      <c r="CD46" s="113"/>
      <c r="CE46" s="113"/>
      <c r="CF46" s="113"/>
      <c r="CG46" s="113">
        <f t="shared" si="29"/>
        <v>0</v>
      </c>
      <c r="CH46" s="113">
        <f t="shared" si="90"/>
        <v>0</v>
      </c>
      <c r="CI46" s="113"/>
      <c r="CJ46" s="113"/>
      <c r="CK46" s="113"/>
      <c r="CL46" s="113"/>
      <c r="CM46" s="113">
        <f t="shared" si="31"/>
        <v>0</v>
      </c>
      <c r="CN46" s="113">
        <f t="shared" si="31"/>
        <v>0</v>
      </c>
      <c r="CO46" s="113"/>
      <c r="CP46" s="113"/>
      <c r="CQ46" s="113"/>
      <c r="CR46" s="113"/>
      <c r="CS46" s="113">
        <f t="shared" si="32"/>
        <v>0</v>
      </c>
      <c r="CT46" s="113">
        <f t="shared" si="32"/>
        <v>0</v>
      </c>
      <c r="CU46" s="113"/>
      <c r="CV46" s="113"/>
      <c r="CW46" s="113"/>
      <c r="CX46" s="113"/>
      <c r="CY46" s="113">
        <f t="shared" si="33"/>
        <v>0</v>
      </c>
      <c r="CZ46" s="113">
        <f t="shared" si="33"/>
        <v>0</v>
      </c>
      <c r="DA46" s="113"/>
      <c r="DB46" s="113"/>
      <c r="DC46" s="113"/>
      <c r="DD46" s="113"/>
      <c r="DE46" s="113">
        <f t="shared" si="34"/>
        <v>0</v>
      </c>
      <c r="DF46" s="113">
        <f t="shared" si="34"/>
        <v>0</v>
      </c>
      <c r="DG46" s="113"/>
      <c r="DH46" s="113"/>
      <c r="DI46" s="113"/>
      <c r="DJ46" s="113"/>
      <c r="DK46" s="113">
        <f t="shared" si="35"/>
        <v>0</v>
      </c>
      <c r="DL46" s="113">
        <f t="shared" si="35"/>
        <v>0</v>
      </c>
      <c r="DM46" s="113">
        <f t="shared" si="91"/>
        <v>0</v>
      </c>
      <c r="DN46" s="113">
        <f t="shared" si="92"/>
        <v>0</v>
      </c>
      <c r="DO46" s="113">
        <f t="shared" si="93"/>
        <v>0</v>
      </c>
      <c r="DP46" s="113">
        <f t="shared" si="94"/>
        <v>1688.75</v>
      </c>
      <c r="DQ46" s="113">
        <f t="shared" si="40"/>
        <v>0</v>
      </c>
      <c r="DR46" s="113">
        <f t="shared" si="40"/>
        <v>1688.75</v>
      </c>
    </row>
    <row r="47" spans="1:122">
      <c r="A47" s="15">
        <v>39</v>
      </c>
      <c r="B47" s="96" t="s">
        <v>963</v>
      </c>
      <c r="C47" s="187" t="s">
        <v>1008</v>
      </c>
      <c r="D47" s="96" t="s">
        <v>1010</v>
      </c>
      <c r="E47" s="185" t="s">
        <v>1165</v>
      </c>
      <c r="F47" s="161">
        <f t="shared" si="41"/>
        <v>0</v>
      </c>
      <c r="G47" s="161">
        <f t="shared" si="42"/>
        <v>91523.93</v>
      </c>
      <c r="H47" s="161">
        <f t="shared" si="43"/>
        <v>-91523.93</v>
      </c>
      <c r="I47" s="161">
        <f t="shared" si="44"/>
        <v>57600</v>
      </c>
      <c r="J47" s="165">
        <f t="shared" si="87"/>
        <v>0</v>
      </c>
      <c r="K47" s="115">
        <v>21000</v>
      </c>
      <c r="L47" s="211">
        <v>0</v>
      </c>
      <c r="M47" s="211">
        <v>0</v>
      </c>
      <c r="N47" s="127">
        <f t="shared" si="45"/>
        <v>0</v>
      </c>
      <c r="O47" s="127">
        <f t="shared" si="46"/>
        <v>0</v>
      </c>
      <c r="P47" s="127">
        <f t="shared" si="47"/>
        <v>0</v>
      </c>
      <c r="Q47" s="131">
        <f t="shared" si="48"/>
        <v>0</v>
      </c>
      <c r="R47" s="125">
        <f t="shared" si="88"/>
        <v>91523.93</v>
      </c>
      <c r="S47" s="113">
        <v>0</v>
      </c>
      <c r="T47" s="113"/>
      <c r="U47" s="113">
        <f t="shared" si="11"/>
        <v>0</v>
      </c>
      <c r="V47" s="113">
        <f t="shared" si="12"/>
        <v>0</v>
      </c>
      <c r="W47" s="113">
        <v>0</v>
      </c>
      <c r="X47" s="113">
        <v>0</v>
      </c>
      <c r="Y47" s="113">
        <v>0</v>
      </c>
      <c r="Z47" s="113">
        <v>0</v>
      </c>
      <c r="AA47" s="113">
        <f t="shared" si="86"/>
        <v>0</v>
      </c>
      <c r="AB47" s="113">
        <f t="shared" si="86"/>
        <v>0</v>
      </c>
      <c r="AC47" s="113"/>
      <c r="AD47" s="113"/>
      <c r="AE47" s="113"/>
      <c r="AF47" s="113"/>
      <c r="AG47" s="113">
        <f t="shared" si="14"/>
        <v>0</v>
      </c>
      <c r="AH47" s="113">
        <f t="shared" si="14"/>
        <v>0</v>
      </c>
      <c r="AI47" s="114">
        <f t="shared" si="15"/>
        <v>0</v>
      </c>
      <c r="AJ47" s="114">
        <f t="shared" si="16"/>
        <v>0</v>
      </c>
      <c r="AK47" s="114">
        <f t="shared" si="16"/>
        <v>0</v>
      </c>
      <c r="AL47" s="114">
        <f t="shared" si="17"/>
        <v>0</v>
      </c>
      <c r="AM47" s="113">
        <f t="shared" si="18"/>
        <v>0</v>
      </c>
      <c r="AN47" s="113">
        <f t="shared" si="18"/>
        <v>0</v>
      </c>
      <c r="AO47" s="113"/>
      <c r="AP47" s="113"/>
      <c r="AQ47" s="113"/>
      <c r="AR47" s="113"/>
      <c r="AS47" s="113">
        <f t="shared" si="19"/>
        <v>0</v>
      </c>
      <c r="AT47" s="113">
        <f t="shared" si="19"/>
        <v>0</v>
      </c>
      <c r="AU47" s="113"/>
      <c r="AV47" s="113"/>
      <c r="AW47" s="113"/>
      <c r="AX47" s="113"/>
      <c r="AY47" s="113">
        <f t="shared" si="20"/>
        <v>0</v>
      </c>
      <c r="AZ47" s="113">
        <f t="shared" si="20"/>
        <v>0</v>
      </c>
      <c r="BA47" s="113"/>
      <c r="BB47" s="113">
        <v>30000</v>
      </c>
      <c r="BC47" s="113"/>
      <c r="BD47" s="113"/>
      <c r="BE47" s="113">
        <f t="shared" si="21"/>
        <v>0</v>
      </c>
      <c r="BF47" s="113">
        <v>30000</v>
      </c>
      <c r="BG47" s="113">
        <f t="shared" si="83"/>
        <v>30000</v>
      </c>
      <c r="BH47" s="113"/>
      <c r="BI47" s="113"/>
      <c r="BJ47" s="113"/>
      <c r="BK47" s="113"/>
      <c r="BL47" s="113">
        <f t="shared" si="23"/>
        <v>0</v>
      </c>
      <c r="BM47" s="113">
        <v>27000</v>
      </c>
      <c r="BN47" s="113">
        <f t="shared" si="84"/>
        <v>0</v>
      </c>
      <c r="BO47" s="113"/>
      <c r="BP47" s="113">
        <v>50000</v>
      </c>
      <c r="BQ47" s="113"/>
      <c r="BR47" s="113"/>
      <c r="BS47" s="113">
        <f t="shared" si="25"/>
        <v>0</v>
      </c>
      <c r="BT47" s="113">
        <v>600</v>
      </c>
      <c r="BU47" s="113">
        <f t="shared" si="85"/>
        <v>50000</v>
      </c>
      <c r="BV47" s="113"/>
      <c r="BW47" s="113"/>
      <c r="BX47" s="113"/>
      <c r="BY47" s="113">
        <v>11523.93</v>
      </c>
      <c r="BZ47" s="113">
        <f t="shared" si="27"/>
        <v>0</v>
      </c>
      <c r="CA47" s="113"/>
      <c r="CB47" s="113">
        <f t="shared" si="89"/>
        <v>11523.93</v>
      </c>
      <c r="CC47" s="113"/>
      <c r="CD47" s="113"/>
      <c r="CE47" s="113"/>
      <c r="CF47" s="113"/>
      <c r="CG47" s="113">
        <f t="shared" si="29"/>
        <v>0</v>
      </c>
      <c r="CH47" s="113">
        <f t="shared" si="90"/>
        <v>0</v>
      </c>
      <c r="CI47" s="113"/>
      <c r="CJ47" s="113"/>
      <c r="CK47" s="113"/>
      <c r="CL47" s="113"/>
      <c r="CM47" s="113">
        <f t="shared" si="31"/>
        <v>0</v>
      </c>
      <c r="CN47" s="113">
        <f t="shared" si="31"/>
        <v>0</v>
      </c>
      <c r="CO47" s="113"/>
      <c r="CP47" s="113"/>
      <c r="CQ47" s="113"/>
      <c r="CR47" s="113"/>
      <c r="CS47" s="113">
        <f t="shared" si="32"/>
        <v>0</v>
      </c>
      <c r="CT47" s="113">
        <f t="shared" si="32"/>
        <v>0</v>
      </c>
      <c r="CU47" s="113"/>
      <c r="CV47" s="113"/>
      <c r="CW47" s="113"/>
      <c r="CX47" s="113"/>
      <c r="CY47" s="113">
        <f t="shared" si="33"/>
        <v>0</v>
      </c>
      <c r="CZ47" s="113">
        <f t="shared" si="33"/>
        <v>0</v>
      </c>
      <c r="DA47" s="113"/>
      <c r="DB47" s="113"/>
      <c r="DC47" s="113"/>
      <c r="DD47" s="113"/>
      <c r="DE47" s="113">
        <f t="shared" si="34"/>
        <v>0</v>
      </c>
      <c r="DF47" s="113">
        <f t="shared" si="34"/>
        <v>0</v>
      </c>
      <c r="DG47" s="113"/>
      <c r="DH47" s="113"/>
      <c r="DI47" s="113"/>
      <c r="DJ47" s="113"/>
      <c r="DK47" s="113">
        <f t="shared" si="35"/>
        <v>0</v>
      </c>
      <c r="DL47" s="113">
        <f t="shared" si="35"/>
        <v>0</v>
      </c>
      <c r="DM47" s="113">
        <f t="shared" si="91"/>
        <v>0</v>
      </c>
      <c r="DN47" s="113">
        <f t="shared" si="92"/>
        <v>80000</v>
      </c>
      <c r="DO47" s="113">
        <f t="shared" si="93"/>
        <v>0</v>
      </c>
      <c r="DP47" s="113">
        <f t="shared" si="94"/>
        <v>11523.93</v>
      </c>
      <c r="DQ47" s="113">
        <f t="shared" si="40"/>
        <v>0</v>
      </c>
      <c r="DR47" s="113">
        <f t="shared" si="40"/>
        <v>91523.93</v>
      </c>
    </row>
    <row r="48" spans="1:122">
      <c r="A48" s="15">
        <v>40</v>
      </c>
      <c r="B48" s="96" t="s">
        <v>747</v>
      </c>
      <c r="C48" s="96" t="s">
        <v>1011</v>
      </c>
      <c r="D48" s="96" t="s">
        <v>1012</v>
      </c>
      <c r="E48" s="185" t="s">
        <v>1164</v>
      </c>
      <c r="F48" s="161">
        <f t="shared" si="41"/>
        <v>0</v>
      </c>
      <c r="G48" s="161">
        <f t="shared" si="42"/>
        <v>0</v>
      </c>
      <c r="H48" s="161">
        <f t="shared" si="43"/>
        <v>0</v>
      </c>
      <c r="I48" s="161">
        <f t="shared" si="44"/>
        <v>0</v>
      </c>
      <c r="J48" s="165">
        <f t="shared" si="87"/>
        <v>0</v>
      </c>
      <c r="K48" s="115"/>
      <c r="L48" s="211">
        <v>0</v>
      </c>
      <c r="M48" s="211">
        <v>0</v>
      </c>
      <c r="N48" s="127">
        <f t="shared" si="45"/>
        <v>0</v>
      </c>
      <c r="O48" s="127">
        <f t="shared" si="46"/>
        <v>0</v>
      </c>
      <c r="P48" s="127">
        <f t="shared" si="47"/>
        <v>0</v>
      </c>
      <c r="Q48" s="131">
        <f t="shared" si="48"/>
        <v>0</v>
      </c>
      <c r="R48" s="125" t="str">
        <f t="shared" si="88"/>
        <v>ნულოვანი შესრულება</v>
      </c>
      <c r="S48" s="113">
        <v>0</v>
      </c>
      <c r="T48" s="113"/>
      <c r="U48" s="113">
        <f t="shared" si="11"/>
        <v>0</v>
      </c>
      <c r="V48" s="113">
        <f t="shared" si="12"/>
        <v>0</v>
      </c>
      <c r="W48" s="113">
        <v>0</v>
      </c>
      <c r="X48" s="113">
        <v>0</v>
      </c>
      <c r="Y48" s="113">
        <v>0</v>
      </c>
      <c r="Z48" s="113">
        <v>0</v>
      </c>
      <c r="AA48" s="113">
        <f t="shared" si="86"/>
        <v>0</v>
      </c>
      <c r="AB48" s="113">
        <f t="shared" si="86"/>
        <v>0</v>
      </c>
      <c r="AC48" s="113"/>
      <c r="AD48" s="113"/>
      <c r="AE48" s="113"/>
      <c r="AF48" s="113"/>
      <c r="AG48" s="113">
        <f t="shared" si="14"/>
        <v>0</v>
      </c>
      <c r="AH48" s="113">
        <f t="shared" si="14"/>
        <v>0</v>
      </c>
      <c r="AI48" s="114">
        <f t="shared" si="15"/>
        <v>0</v>
      </c>
      <c r="AJ48" s="114">
        <f t="shared" si="16"/>
        <v>0</v>
      </c>
      <c r="AK48" s="114">
        <f t="shared" si="16"/>
        <v>0</v>
      </c>
      <c r="AL48" s="114">
        <f t="shared" si="17"/>
        <v>0</v>
      </c>
      <c r="AM48" s="113">
        <f t="shared" si="18"/>
        <v>0</v>
      </c>
      <c r="AN48" s="113">
        <f t="shared" si="18"/>
        <v>0</v>
      </c>
      <c r="AO48" s="113"/>
      <c r="AP48" s="113"/>
      <c r="AQ48" s="113"/>
      <c r="AR48" s="113"/>
      <c r="AS48" s="113">
        <f t="shared" si="19"/>
        <v>0</v>
      </c>
      <c r="AT48" s="113">
        <f t="shared" si="19"/>
        <v>0</v>
      </c>
      <c r="AU48" s="113"/>
      <c r="AV48" s="113"/>
      <c r="AW48" s="113"/>
      <c r="AX48" s="113"/>
      <c r="AY48" s="113">
        <f t="shared" si="20"/>
        <v>0</v>
      </c>
      <c r="AZ48" s="113">
        <f t="shared" si="20"/>
        <v>0</v>
      </c>
      <c r="BA48" s="113"/>
      <c r="BB48" s="113"/>
      <c r="BC48" s="113"/>
      <c r="BD48" s="113"/>
      <c r="BE48" s="113">
        <f t="shared" si="21"/>
        <v>0</v>
      </c>
      <c r="BF48" s="113"/>
      <c r="BG48" s="113">
        <f t="shared" si="83"/>
        <v>0</v>
      </c>
      <c r="BH48" s="113"/>
      <c r="BI48" s="113"/>
      <c r="BJ48" s="113"/>
      <c r="BK48" s="113"/>
      <c r="BL48" s="113">
        <f t="shared" si="23"/>
        <v>0</v>
      </c>
      <c r="BM48" s="113"/>
      <c r="BN48" s="113">
        <f t="shared" si="84"/>
        <v>0</v>
      </c>
      <c r="BO48" s="113"/>
      <c r="BP48" s="113"/>
      <c r="BQ48" s="113"/>
      <c r="BR48" s="113"/>
      <c r="BS48" s="113">
        <f t="shared" si="25"/>
        <v>0</v>
      </c>
      <c r="BT48" s="113"/>
      <c r="BU48" s="113">
        <f t="shared" si="85"/>
        <v>0</v>
      </c>
      <c r="BV48" s="113"/>
      <c r="BW48" s="113"/>
      <c r="BX48" s="113"/>
      <c r="BY48" s="113"/>
      <c r="BZ48" s="113">
        <f t="shared" si="27"/>
        <v>0</v>
      </c>
      <c r="CA48" s="113"/>
      <c r="CB48" s="113">
        <f t="shared" si="89"/>
        <v>0</v>
      </c>
      <c r="CC48" s="113"/>
      <c r="CD48" s="113"/>
      <c r="CE48" s="113"/>
      <c r="CF48" s="113"/>
      <c r="CG48" s="113">
        <f t="shared" si="29"/>
        <v>0</v>
      </c>
      <c r="CH48" s="113">
        <f t="shared" si="90"/>
        <v>0</v>
      </c>
      <c r="CI48" s="113"/>
      <c r="CJ48" s="113"/>
      <c r="CK48" s="113"/>
      <c r="CL48" s="113"/>
      <c r="CM48" s="113">
        <f t="shared" si="31"/>
        <v>0</v>
      </c>
      <c r="CN48" s="113">
        <f t="shared" si="31"/>
        <v>0</v>
      </c>
      <c r="CO48" s="113"/>
      <c r="CP48" s="113"/>
      <c r="CQ48" s="113"/>
      <c r="CR48" s="113"/>
      <c r="CS48" s="113">
        <f t="shared" si="32"/>
        <v>0</v>
      </c>
      <c r="CT48" s="113">
        <f t="shared" si="32"/>
        <v>0</v>
      </c>
      <c r="CU48" s="113"/>
      <c r="CV48" s="113"/>
      <c r="CW48" s="113"/>
      <c r="CX48" s="113"/>
      <c r="CY48" s="113">
        <f t="shared" si="33"/>
        <v>0</v>
      </c>
      <c r="CZ48" s="113">
        <f t="shared" si="33"/>
        <v>0</v>
      </c>
      <c r="DA48" s="113"/>
      <c r="DB48" s="113"/>
      <c r="DC48" s="113"/>
      <c r="DD48" s="113"/>
      <c r="DE48" s="113">
        <f t="shared" si="34"/>
        <v>0</v>
      </c>
      <c r="DF48" s="113">
        <f t="shared" si="34"/>
        <v>0</v>
      </c>
      <c r="DG48" s="113"/>
      <c r="DH48" s="113"/>
      <c r="DI48" s="113"/>
      <c r="DJ48" s="113"/>
      <c r="DK48" s="113">
        <f t="shared" si="35"/>
        <v>0</v>
      </c>
      <c r="DL48" s="113">
        <f t="shared" si="35"/>
        <v>0</v>
      </c>
      <c r="DM48" s="113">
        <f t="shared" si="91"/>
        <v>0</v>
      </c>
      <c r="DN48" s="113">
        <f t="shared" si="92"/>
        <v>0</v>
      </c>
      <c r="DO48" s="113">
        <f t="shared" si="93"/>
        <v>0</v>
      </c>
      <c r="DP48" s="113">
        <f t="shared" si="94"/>
        <v>0</v>
      </c>
      <c r="DQ48" s="113">
        <f t="shared" si="40"/>
        <v>0</v>
      </c>
      <c r="DR48" s="113">
        <f t="shared" si="40"/>
        <v>0</v>
      </c>
    </row>
    <row r="49" spans="1:122">
      <c r="A49" s="15">
        <v>41</v>
      </c>
      <c r="B49" s="96" t="s">
        <v>747</v>
      </c>
      <c r="C49" s="187" t="s">
        <v>1011</v>
      </c>
      <c r="D49" s="96" t="s">
        <v>1013</v>
      </c>
      <c r="E49" s="185" t="s">
        <v>1165</v>
      </c>
      <c r="F49" s="161">
        <f t="shared" si="41"/>
        <v>0</v>
      </c>
      <c r="G49" s="161">
        <f t="shared" si="42"/>
        <v>0</v>
      </c>
      <c r="H49" s="161">
        <f t="shared" si="43"/>
        <v>0</v>
      </c>
      <c r="I49" s="161">
        <f t="shared" si="44"/>
        <v>0</v>
      </c>
      <c r="J49" s="165">
        <f t="shared" si="87"/>
        <v>0</v>
      </c>
      <c r="K49" s="115">
        <v>12684</v>
      </c>
      <c r="L49" s="211">
        <v>0</v>
      </c>
      <c r="M49" s="211">
        <v>0</v>
      </c>
      <c r="N49" s="127">
        <f t="shared" si="45"/>
        <v>0</v>
      </c>
      <c r="O49" s="127">
        <f t="shared" si="46"/>
        <v>0</v>
      </c>
      <c r="P49" s="127">
        <f t="shared" si="47"/>
        <v>0</v>
      </c>
      <c r="Q49" s="131">
        <f t="shared" si="48"/>
        <v>0</v>
      </c>
      <c r="R49" s="125" t="str">
        <f t="shared" si="88"/>
        <v>ნულოვანი შესრულება</v>
      </c>
      <c r="S49" s="113">
        <v>0</v>
      </c>
      <c r="T49" s="113"/>
      <c r="U49" s="113">
        <f t="shared" si="11"/>
        <v>0</v>
      </c>
      <c r="V49" s="113">
        <f t="shared" si="12"/>
        <v>0</v>
      </c>
      <c r="W49" s="113">
        <v>0</v>
      </c>
      <c r="X49" s="113">
        <v>0</v>
      </c>
      <c r="Y49" s="113">
        <v>0</v>
      </c>
      <c r="Z49" s="113">
        <v>0</v>
      </c>
      <c r="AA49" s="113">
        <f t="shared" si="86"/>
        <v>0</v>
      </c>
      <c r="AB49" s="113">
        <f t="shared" si="86"/>
        <v>0</v>
      </c>
      <c r="AC49" s="113"/>
      <c r="AD49" s="113"/>
      <c r="AE49" s="113"/>
      <c r="AF49" s="113"/>
      <c r="AG49" s="113">
        <f t="shared" si="14"/>
        <v>0</v>
      </c>
      <c r="AH49" s="113">
        <f t="shared" si="14"/>
        <v>0</v>
      </c>
      <c r="AI49" s="114">
        <f t="shared" si="15"/>
        <v>0</v>
      </c>
      <c r="AJ49" s="114">
        <f t="shared" si="16"/>
        <v>0</v>
      </c>
      <c r="AK49" s="114">
        <f t="shared" si="16"/>
        <v>0</v>
      </c>
      <c r="AL49" s="114">
        <f t="shared" si="17"/>
        <v>0</v>
      </c>
      <c r="AM49" s="113">
        <f t="shared" si="18"/>
        <v>0</v>
      </c>
      <c r="AN49" s="113">
        <f t="shared" si="18"/>
        <v>0</v>
      </c>
      <c r="AO49" s="113"/>
      <c r="AP49" s="113"/>
      <c r="AQ49" s="113"/>
      <c r="AR49" s="113"/>
      <c r="AS49" s="113">
        <f t="shared" si="19"/>
        <v>0</v>
      </c>
      <c r="AT49" s="113">
        <f t="shared" si="19"/>
        <v>0</v>
      </c>
      <c r="AU49" s="113"/>
      <c r="AV49" s="113"/>
      <c r="AW49" s="113"/>
      <c r="AX49" s="113"/>
      <c r="AY49" s="113">
        <f t="shared" si="20"/>
        <v>0</v>
      </c>
      <c r="AZ49" s="113">
        <f t="shared" si="20"/>
        <v>0</v>
      </c>
      <c r="BA49" s="113"/>
      <c r="BB49" s="113"/>
      <c r="BC49" s="113"/>
      <c r="BD49" s="113"/>
      <c r="BE49" s="113">
        <f t="shared" si="21"/>
        <v>0</v>
      </c>
      <c r="BF49" s="113"/>
      <c r="BG49" s="113">
        <f t="shared" si="83"/>
        <v>0</v>
      </c>
      <c r="BH49" s="113"/>
      <c r="BI49" s="113"/>
      <c r="BJ49" s="113"/>
      <c r="BK49" s="113"/>
      <c r="BL49" s="113">
        <f t="shared" si="23"/>
        <v>0</v>
      </c>
      <c r="BM49" s="113"/>
      <c r="BN49" s="113">
        <f t="shared" si="84"/>
        <v>0</v>
      </c>
      <c r="BO49" s="113"/>
      <c r="BP49" s="113"/>
      <c r="BQ49" s="113"/>
      <c r="BR49" s="113"/>
      <c r="BS49" s="113">
        <f t="shared" si="25"/>
        <v>0</v>
      </c>
      <c r="BT49" s="113"/>
      <c r="BU49" s="113">
        <f t="shared" si="85"/>
        <v>0</v>
      </c>
      <c r="BV49" s="113"/>
      <c r="BW49" s="113"/>
      <c r="BX49" s="113"/>
      <c r="BY49" s="113"/>
      <c r="BZ49" s="113">
        <f t="shared" si="27"/>
        <v>0</v>
      </c>
      <c r="CA49" s="113"/>
      <c r="CB49" s="113">
        <f t="shared" si="89"/>
        <v>0</v>
      </c>
      <c r="CC49" s="113"/>
      <c r="CD49" s="113"/>
      <c r="CE49" s="113"/>
      <c r="CF49" s="113"/>
      <c r="CG49" s="113">
        <f t="shared" si="29"/>
        <v>0</v>
      </c>
      <c r="CH49" s="113">
        <f t="shared" si="90"/>
        <v>0</v>
      </c>
      <c r="CI49" s="113"/>
      <c r="CJ49" s="113"/>
      <c r="CK49" s="113"/>
      <c r="CL49" s="113"/>
      <c r="CM49" s="113">
        <f t="shared" si="31"/>
        <v>0</v>
      </c>
      <c r="CN49" s="113">
        <f t="shared" si="31"/>
        <v>0</v>
      </c>
      <c r="CO49" s="113"/>
      <c r="CP49" s="113"/>
      <c r="CQ49" s="113"/>
      <c r="CR49" s="113"/>
      <c r="CS49" s="113">
        <f t="shared" si="32"/>
        <v>0</v>
      </c>
      <c r="CT49" s="113">
        <f t="shared" si="32"/>
        <v>0</v>
      </c>
      <c r="CU49" s="113"/>
      <c r="CV49" s="113"/>
      <c r="CW49" s="113"/>
      <c r="CX49" s="113"/>
      <c r="CY49" s="113">
        <f t="shared" si="33"/>
        <v>0</v>
      </c>
      <c r="CZ49" s="113">
        <f t="shared" si="33"/>
        <v>0</v>
      </c>
      <c r="DA49" s="113"/>
      <c r="DB49" s="113"/>
      <c r="DC49" s="113"/>
      <c r="DD49" s="113"/>
      <c r="DE49" s="113">
        <f t="shared" si="34"/>
        <v>0</v>
      </c>
      <c r="DF49" s="113">
        <f t="shared" si="34"/>
        <v>0</v>
      </c>
      <c r="DG49" s="113"/>
      <c r="DH49" s="113"/>
      <c r="DI49" s="113"/>
      <c r="DJ49" s="113"/>
      <c r="DK49" s="113">
        <f t="shared" si="35"/>
        <v>0</v>
      </c>
      <c r="DL49" s="113">
        <f t="shared" si="35"/>
        <v>0</v>
      </c>
      <c r="DM49" s="113">
        <f t="shared" si="91"/>
        <v>0</v>
      </c>
      <c r="DN49" s="113">
        <f t="shared" si="92"/>
        <v>0</v>
      </c>
      <c r="DO49" s="113">
        <f t="shared" si="93"/>
        <v>0</v>
      </c>
      <c r="DP49" s="113">
        <f t="shared" si="94"/>
        <v>0</v>
      </c>
      <c r="DQ49" s="113">
        <f t="shared" si="40"/>
        <v>0</v>
      </c>
      <c r="DR49" s="113">
        <f t="shared" si="40"/>
        <v>0</v>
      </c>
    </row>
    <row r="50" spans="1:122">
      <c r="A50" s="15">
        <v>42</v>
      </c>
      <c r="B50" s="96" t="s">
        <v>747</v>
      </c>
      <c r="C50" s="96" t="s">
        <v>1014</v>
      </c>
      <c r="D50" s="96" t="s">
        <v>1015</v>
      </c>
      <c r="E50" s="185" t="s">
        <v>1164</v>
      </c>
      <c r="F50" s="161">
        <f t="shared" si="41"/>
        <v>0</v>
      </c>
      <c r="G50" s="161">
        <f t="shared" si="42"/>
        <v>0</v>
      </c>
      <c r="H50" s="161">
        <f t="shared" si="43"/>
        <v>0</v>
      </c>
      <c r="I50" s="161">
        <f t="shared" si="44"/>
        <v>0</v>
      </c>
      <c r="J50" s="165">
        <f t="shared" si="87"/>
        <v>938</v>
      </c>
      <c r="K50" s="115"/>
      <c r="L50" s="211">
        <v>0</v>
      </c>
      <c r="M50" s="211">
        <v>0</v>
      </c>
      <c r="N50" s="127">
        <f t="shared" si="45"/>
        <v>938</v>
      </c>
      <c r="O50" s="127">
        <f t="shared" si="46"/>
        <v>938</v>
      </c>
      <c r="P50" s="127">
        <f t="shared" si="47"/>
        <v>938</v>
      </c>
      <c r="Q50" s="131">
        <f t="shared" si="48"/>
        <v>0</v>
      </c>
      <c r="R50" s="125">
        <f t="shared" si="88"/>
        <v>938</v>
      </c>
      <c r="S50" s="113">
        <v>0</v>
      </c>
      <c r="T50" s="113"/>
      <c r="U50" s="113">
        <f t="shared" si="11"/>
        <v>0</v>
      </c>
      <c r="V50" s="113">
        <f t="shared" si="12"/>
        <v>0</v>
      </c>
      <c r="W50" s="113">
        <v>0</v>
      </c>
      <c r="X50" s="113">
        <v>0</v>
      </c>
      <c r="Y50" s="113">
        <v>0</v>
      </c>
      <c r="Z50" s="113">
        <v>0</v>
      </c>
      <c r="AA50" s="113">
        <f t="shared" si="86"/>
        <v>0</v>
      </c>
      <c r="AB50" s="113">
        <f t="shared" si="86"/>
        <v>0</v>
      </c>
      <c r="AC50" s="113"/>
      <c r="AD50" s="113"/>
      <c r="AE50" s="113"/>
      <c r="AF50" s="113">
        <v>938</v>
      </c>
      <c r="AG50" s="113">
        <f t="shared" si="14"/>
        <v>0</v>
      </c>
      <c r="AH50" s="113">
        <f t="shared" si="14"/>
        <v>938</v>
      </c>
      <c r="AI50" s="114">
        <f t="shared" si="15"/>
        <v>0</v>
      </c>
      <c r="AJ50" s="114">
        <f t="shared" si="16"/>
        <v>0</v>
      </c>
      <c r="AK50" s="114">
        <f t="shared" si="16"/>
        <v>0</v>
      </c>
      <c r="AL50" s="114">
        <f t="shared" si="17"/>
        <v>938</v>
      </c>
      <c r="AM50" s="113">
        <f t="shared" si="18"/>
        <v>0</v>
      </c>
      <c r="AN50" s="113">
        <f t="shared" si="18"/>
        <v>938</v>
      </c>
      <c r="AO50" s="113"/>
      <c r="AP50" s="113"/>
      <c r="AQ50" s="113"/>
      <c r="AR50" s="113"/>
      <c r="AS50" s="113">
        <f t="shared" si="19"/>
        <v>0</v>
      </c>
      <c r="AT50" s="113">
        <f t="shared" si="19"/>
        <v>0</v>
      </c>
      <c r="AU50" s="113"/>
      <c r="AV50" s="113"/>
      <c r="AW50" s="113"/>
      <c r="AX50" s="113"/>
      <c r="AY50" s="113">
        <f t="shared" si="20"/>
        <v>0</v>
      </c>
      <c r="AZ50" s="113">
        <f t="shared" si="20"/>
        <v>0</v>
      </c>
      <c r="BA50" s="113"/>
      <c r="BB50" s="113"/>
      <c r="BC50" s="113"/>
      <c r="BD50" s="113"/>
      <c r="BE50" s="113">
        <f t="shared" si="21"/>
        <v>0</v>
      </c>
      <c r="BF50" s="113"/>
      <c r="BG50" s="113">
        <f t="shared" si="83"/>
        <v>0</v>
      </c>
      <c r="BH50" s="113"/>
      <c r="BI50" s="113"/>
      <c r="BJ50" s="113"/>
      <c r="BK50" s="113"/>
      <c r="BL50" s="113">
        <f t="shared" si="23"/>
        <v>0</v>
      </c>
      <c r="BM50" s="113"/>
      <c r="BN50" s="113">
        <f t="shared" si="84"/>
        <v>0</v>
      </c>
      <c r="BO50" s="113"/>
      <c r="BP50" s="113"/>
      <c r="BQ50" s="113"/>
      <c r="BR50" s="113"/>
      <c r="BS50" s="113">
        <f t="shared" si="25"/>
        <v>0</v>
      </c>
      <c r="BT50" s="113"/>
      <c r="BU50" s="113">
        <f t="shared" si="85"/>
        <v>0</v>
      </c>
      <c r="BV50" s="113"/>
      <c r="BW50" s="113"/>
      <c r="BX50" s="113"/>
      <c r="BY50" s="113"/>
      <c r="BZ50" s="113">
        <f t="shared" si="27"/>
        <v>0</v>
      </c>
      <c r="CA50" s="113"/>
      <c r="CB50" s="113">
        <f t="shared" si="89"/>
        <v>0</v>
      </c>
      <c r="CC50" s="113"/>
      <c r="CD50" s="113"/>
      <c r="CE50" s="113"/>
      <c r="CF50" s="113"/>
      <c r="CG50" s="113">
        <f t="shared" si="29"/>
        <v>0</v>
      </c>
      <c r="CH50" s="113">
        <f t="shared" si="90"/>
        <v>0</v>
      </c>
      <c r="CI50" s="113"/>
      <c r="CJ50" s="113"/>
      <c r="CK50" s="113"/>
      <c r="CL50" s="113"/>
      <c r="CM50" s="113">
        <f t="shared" si="31"/>
        <v>0</v>
      </c>
      <c r="CN50" s="113">
        <f t="shared" si="31"/>
        <v>0</v>
      </c>
      <c r="CO50" s="113"/>
      <c r="CP50" s="113"/>
      <c r="CQ50" s="113"/>
      <c r="CR50" s="113"/>
      <c r="CS50" s="113">
        <f t="shared" si="32"/>
        <v>0</v>
      </c>
      <c r="CT50" s="113">
        <f t="shared" si="32"/>
        <v>0</v>
      </c>
      <c r="CU50" s="113"/>
      <c r="CV50" s="113"/>
      <c r="CW50" s="113"/>
      <c r="CX50" s="113"/>
      <c r="CY50" s="113">
        <f t="shared" si="33"/>
        <v>0</v>
      </c>
      <c r="CZ50" s="113">
        <f t="shared" si="33"/>
        <v>0</v>
      </c>
      <c r="DA50" s="113"/>
      <c r="DB50" s="113"/>
      <c r="DC50" s="113"/>
      <c r="DD50" s="113"/>
      <c r="DE50" s="113">
        <f t="shared" si="34"/>
        <v>0</v>
      </c>
      <c r="DF50" s="113">
        <f t="shared" si="34"/>
        <v>0</v>
      </c>
      <c r="DG50" s="113"/>
      <c r="DH50" s="113"/>
      <c r="DI50" s="113"/>
      <c r="DJ50" s="113"/>
      <c r="DK50" s="113">
        <f t="shared" si="35"/>
        <v>0</v>
      </c>
      <c r="DL50" s="113">
        <f t="shared" si="35"/>
        <v>0</v>
      </c>
      <c r="DM50" s="113">
        <f t="shared" si="91"/>
        <v>0</v>
      </c>
      <c r="DN50" s="113">
        <f t="shared" si="92"/>
        <v>0</v>
      </c>
      <c r="DO50" s="113">
        <f t="shared" si="93"/>
        <v>0</v>
      </c>
      <c r="DP50" s="113">
        <f t="shared" si="94"/>
        <v>0</v>
      </c>
      <c r="DQ50" s="113">
        <f t="shared" si="40"/>
        <v>0</v>
      </c>
      <c r="DR50" s="113">
        <f t="shared" si="40"/>
        <v>0</v>
      </c>
    </row>
    <row r="51" spans="1:122">
      <c r="A51" s="15">
        <v>43</v>
      </c>
      <c r="B51" s="96" t="s">
        <v>747</v>
      </c>
      <c r="C51" s="187" t="s">
        <v>1014</v>
      </c>
      <c r="D51" s="96" t="s">
        <v>1016</v>
      </c>
      <c r="E51" s="96" t="s">
        <v>1165</v>
      </c>
      <c r="F51" s="131">
        <f t="shared" si="41"/>
        <v>0</v>
      </c>
      <c r="G51" s="161">
        <f t="shared" si="42"/>
        <v>0</v>
      </c>
      <c r="H51" s="161">
        <f t="shared" si="43"/>
        <v>0</v>
      </c>
      <c r="I51" s="161">
        <f t="shared" si="44"/>
        <v>0</v>
      </c>
      <c r="J51" s="283">
        <f t="shared" si="87"/>
        <v>0</v>
      </c>
      <c r="K51" s="115">
        <v>6300</v>
      </c>
      <c r="L51" s="211">
        <v>0</v>
      </c>
      <c r="M51" s="211">
        <v>0</v>
      </c>
      <c r="N51" s="127">
        <f t="shared" si="45"/>
        <v>0</v>
      </c>
      <c r="O51" s="127">
        <f t="shared" si="46"/>
        <v>0</v>
      </c>
      <c r="P51" s="131">
        <f t="shared" si="47"/>
        <v>0</v>
      </c>
      <c r="Q51" s="131">
        <f t="shared" si="48"/>
        <v>0</v>
      </c>
      <c r="R51" s="131" t="str">
        <f t="shared" si="88"/>
        <v>ნულოვანი შესრულება</v>
      </c>
      <c r="S51" s="113">
        <v>0</v>
      </c>
      <c r="T51" s="113"/>
      <c r="U51" s="113">
        <f t="shared" si="11"/>
        <v>0</v>
      </c>
      <c r="V51" s="113">
        <f t="shared" si="12"/>
        <v>0</v>
      </c>
      <c r="W51" s="113">
        <v>0</v>
      </c>
      <c r="X51" s="113">
        <v>0</v>
      </c>
      <c r="Y51" s="113">
        <v>0</v>
      </c>
      <c r="Z51" s="113">
        <v>0</v>
      </c>
      <c r="AA51" s="113">
        <f t="shared" si="86"/>
        <v>0</v>
      </c>
      <c r="AB51" s="113">
        <f t="shared" si="86"/>
        <v>0</v>
      </c>
      <c r="AC51" s="113"/>
      <c r="AD51" s="113"/>
      <c r="AE51" s="113"/>
      <c r="AF51" s="113"/>
      <c r="AG51" s="113">
        <f t="shared" si="14"/>
        <v>0</v>
      </c>
      <c r="AH51" s="113">
        <f t="shared" si="14"/>
        <v>0</v>
      </c>
      <c r="AI51" s="114">
        <f t="shared" si="15"/>
        <v>0</v>
      </c>
      <c r="AJ51" s="114">
        <f t="shared" si="16"/>
        <v>0</v>
      </c>
      <c r="AK51" s="114">
        <f t="shared" si="16"/>
        <v>0</v>
      </c>
      <c r="AL51" s="114">
        <f t="shared" si="17"/>
        <v>0</v>
      </c>
      <c r="AM51" s="113">
        <f t="shared" si="18"/>
        <v>0</v>
      </c>
      <c r="AN51" s="113">
        <f t="shared" si="18"/>
        <v>0</v>
      </c>
      <c r="AO51" s="113"/>
      <c r="AP51" s="113"/>
      <c r="AQ51" s="113"/>
      <c r="AR51" s="113"/>
      <c r="AS51" s="113">
        <f t="shared" si="19"/>
        <v>0</v>
      </c>
      <c r="AT51" s="113">
        <f t="shared" si="19"/>
        <v>0</v>
      </c>
      <c r="AU51" s="113"/>
      <c r="AV51" s="113"/>
      <c r="AW51" s="113"/>
      <c r="AX51" s="113"/>
      <c r="AY51" s="113">
        <f t="shared" si="20"/>
        <v>0</v>
      </c>
      <c r="AZ51" s="113">
        <f t="shared" si="20"/>
        <v>0</v>
      </c>
      <c r="BA51" s="113"/>
      <c r="BB51" s="113"/>
      <c r="BC51" s="113"/>
      <c r="BD51" s="113"/>
      <c r="BE51" s="113">
        <f t="shared" si="21"/>
        <v>0</v>
      </c>
      <c r="BF51" s="113"/>
      <c r="BG51" s="113">
        <f t="shared" ref="BG51:BG82" si="95">BB51+BD51</f>
        <v>0</v>
      </c>
      <c r="BH51" s="113"/>
      <c r="BI51" s="113"/>
      <c r="BJ51" s="113"/>
      <c r="BK51" s="113"/>
      <c r="BL51" s="113">
        <f t="shared" si="23"/>
        <v>0</v>
      </c>
      <c r="BM51" s="113"/>
      <c r="BN51" s="113">
        <f t="shared" ref="BN51:BN82" si="96">BI51+BK51</f>
        <v>0</v>
      </c>
      <c r="BO51" s="113"/>
      <c r="BP51" s="113"/>
      <c r="BQ51" s="113"/>
      <c r="BR51" s="113"/>
      <c r="BS51" s="113">
        <f t="shared" si="25"/>
        <v>0</v>
      </c>
      <c r="BT51" s="113"/>
      <c r="BU51" s="113">
        <f t="shared" ref="BU51:BU82" si="97">BP51+BR51</f>
        <v>0</v>
      </c>
      <c r="BV51" s="113"/>
      <c r="BW51" s="113"/>
      <c r="BX51" s="113"/>
      <c r="BY51" s="113"/>
      <c r="BZ51" s="113">
        <f t="shared" si="27"/>
        <v>0</v>
      </c>
      <c r="CA51" s="113"/>
      <c r="CB51" s="113">
        <f t="shared" si="89"/>
        <v>0</v>
      </c>
      <c r="CC51" s="113"/>
      <c r="CD51" s="113"/>
      <c r="CE51" s="113"/>
      <c r="CF51" s="113"/>
      <c r="CG51" s="113">
        <f t="shared" si="29"/>
        <v>0</v>
      </c>
      <c r="CH51" s="113">
        <f t="shared" si="90"/>
        <v>0</v>
      </c>
      <c r="CI51" s="113"/>
      <c r="CJ51" s="113"/>
      <c r="CK51" s="113"/>
      <c r="CL51" s="113"/>
      <c r="CM51" s="113">
        <f t="shared" si="31"/>
        <v>0</v>
      </c>
      <c r="CN51" s="113">
        <f t="shared" si="31"/>
        <v>0</v>
      </c>
      <c r="CO51" s="113"/>
      <c r="CP51" s="113"/>
      <c r="CQ51" s="113"/>
      <c r="CR51" s="113"/>
      <c r="CS51" s="113">
        <f t="shared" si="32"/>
        <v>0</v>
      </c>
      <c r="CT51" s="113">
        <f t="shared" si="32"/>
        <v>0</v>
      </c>
      <c r="CU51" s="113"/>
      <c r="CV51" s="113"/>
      <c r="CW51" s="113"/>
      <c r="CX51" s="113"/>
      <c r="CY51" s="113">
        <f t="shared" si="33"/>
        <v>0</v>
      </c>
      <c r="CZ51" s="113">
        <f t="shared" si="33"/>
        <v>0</v>
      </c>
      <c r="DA51" s="113"/>
      <c r="DB51" s="113"/>
      <c r="DC51" s="113"/>
      <c r="DD51" s="113"/>
      <c r="DE51" s="113">
        <f t="shared" si="34"/>
        <v>0</v>
      </c>
      <c r="DF51" s="113">
        <f t="shared" si="34"/>
        <v>0</v>
      </c>
      <c r="DG51" s="113"/>
      <c r="DH51" s="113"/>
      <c r="DI51" s="113"/>
      <c r="DJ51" s="113"/>
      <c r="DK51" s="113">
        <f t="shared" si="35"/>
        <v>0</v>
      </c>
      <c r="DL51" s="113">
        <f t="shared" si="35"/>
        <v>0</v>
      </c>
      <c r="DM51" s="113">
        <f t="shared" si="91"/>
        <v>0</v>
      </c>
      <c r="DN51" s="113">
        <f t="shared" si="92"/>
        <v>0</v>
      </c>
      <c r="DO51" s="113">
        <f t="shared" si="93"/>
        <v>0</v>
      </c>
      <c r="DP51" s="113">
        <f t="shared" si="94"/>
        <v>0</v>
      </c>
      <c r="DQ51" s="113">
        <f t="shared" si="40"/>
        <v>0</v>
      </c>
      <c r="DR51" s="113">
        <f t="shared" si="40"/>
        <v>0</v>
      </c>
    </row>
    <row r="52" spans="1:122">
      <c r="A52" s="15">
        <v>44</v>
      </c>
      <c r="B52" s="96" t="s">
        <v>747</v>
      </c>
      <c r="C52" s="187" t="s">
        <v>1017</v>
      </c>
      <c r="D52" s="96" t="s">
        <v>1018</v>
      </c>
      <c r="E52" s="96" t="s">
        <v>1165</v>
      </c>
      <c r="F52" s="131">
        <f t="shared" si="41"/>
        <v>0</v>
      </c>
      <c r="G52" s="161">
        <f t="shared" si="42"/>
        <v>0</v>
      </c>
      <c r="H52" s="161">
        <f t="shared" si="43"/>
        <v>0</v>
      </c>
      <c r="I52" s="161">
        <f t="shared" si="44"/>
        <v>0</v>
      </c>
      <c r="J52" s="283">
        <f t="shared" si="87"/>
        <v>0</v>
      </c>
      <c r="K52" s="115">
        <v>31371.559999999998</v>
      </c>
      <c r="L52" s="211">
        <v>0</v>
      </c>
      <c r="M52" s="211">
        <v>0</v>
      </c>
      <c r="N52" s="127">
        <f t="shared" si="45"/>
        <v>0</v>
      </c>
      <c r="O52" s="127">
        <f t="shared" si="46"/>
        <v>0</v>
      </c>
      <c r="P52" s="131">
        <f t="shared" si="47"/>
        <v>0</v>
      </c>
      <c r="Q52" s="131">
        <f t="shared" si="48"/>
        <v>0</v>
      </c>
      <c r="R52" s="131" t="str">
        <f t="shared" si="88"/>
        <v>ნულოვანი შესრულება</v>
      </c>
      <c r="S52" s="113">
        <v>0</v>
      </c>
      <c r="T52" s="113"/>
      <c r="U52" s="113">
        <f t="shared" si="11"/>
        <v>0</v>
      </c>
      <c r="V52" s="113">
        <f t="shared" si="12"/>
        <v>0</v>
      </c>
      <c r="W52" s="113">
        <v>0</v>
      </c>
      <c r="X52" s="113">
        <v>0</v>
      </c>
      <c r="Y52" s="113">
        <v>0</v>
      </c>
      <c r="Z52" s="113">
        <v>0</v>
      </c>
      <c r="AA52" s="113">
        <f t="shared" si="86"/>
        <v>0</v>
      </c>
      <c r="AB52" s="113">
        <f t="shared" si="86"/>
        <v>0</v>
      </c>
      <c r="AC52" s="113"/>
      <c r="AD52" s="113"/>
      <c r="AE52" s="113"/>
      <c r="AF52" s="113"/>
      <c r="AG52" s="113">
        <f t="shared" si="14"/>
        <v>0</v>
      </c>
      <c r="AH52" s="113">
        <f t="shared" si="14"/>
        <v>0</v>
      </c>
      <c r="AI52" s="114">
        <f t="shared" si="15"/>
        <v>0</v>
      </c>
      <c r="AJ52" s="114">
        <f t="shared" si="16"/>
        <v>0</v>
      </c>
      <c r="AK52" s="114">
        <f t="shared" si="16"/>
        <v>0</v>
      </c>
      <c r="AL52" s="114">
        <f t="shared" si="17"/>
        <v>0</v>
      </c>
      <c r="AM52" s="113">
        <f t="shared" si="18"/>
        <v>0</v>
      </c>
      <c r="AN52" s="113">
        <f t="shared" si="18"/>
        <v>0</v>
      </c>
      <c r="AO52" s="113"/>
      <c r="AP52" s="113"/>
      <c r="AQ52" s="113"/>
      <c r="AR52" s="113"/>
      <c r="AS52" s="113">
        <f t="shared" si="19"/>
        <v>0</v>
      </c>
      <c r="AT52" s="113">
        <f t="shared" si="19"/>
        <v>0</v>
      </c>
      <c r="AU52" s="113"/>
      <c r="AV52" s="113"/>
      <c r="AW52" s="113"/>
      <c r="AX52" s="113"/>
      <c r="AY52" s="113">
        <f t="shared" si="20"/>
        <v>0</v>
      </c>
      <c r="AZ52" s="113">
        <f t="shared" si="20"/>
        <v>0</v>
      </c>
      <c r="BA52" s="113"/>
      <c r="BB52" s="113"/>
      <c r="BC52" s="113"/>
      <c r="BD52" s="113"/>
      <c r="BE52" s="113">
        <f t="shared" si="21"/>
        <v>0</v>
      </c>
      <c r="BF52" s="113"/>
      <c r="BG52" s="113">
        <f t="shared" si="95"/>
        <v>0</v>
      </c>
      <c r="BH52" s="113"/>
      <c r="BI52" s="113"/>
      <c r="BJ52" s="113"/>
      <c r="BK52" s="113"/>
      <c r="BL52" s="113">
        <f t="shared" si="23"/>
        <v>0</v>
      </c>
      <c r="BM52" s="113"/>
      <c r="BN52" s="113">
        <f t="shared" si="96"/>
        <v>0</v>
      </c>
      <c r="BO52" s="113"/>
      <c r="BP52" s="113"/>
      <c r="BQ52" s="113"/>
      <c r="BR52" s="113"/>
      <c r="BS52" s="113">
        <f t="shared" si="25"/>
        <v>0</v>
      </c>
      <c r="BT52" s="113"/>
      <c r="BU52" s="113">
        <f t="shared" si="97"/>
        <v>0</v>
      </c>
      <c r="BV52" s="113"/>
      <c r="BW52" s="113"/>
      <c r="BX52" s="113"/>
      <c r="BY52" s="113"/>
      <c r="BZ52" s="113">
        <f t="shared" si="27"/>
        <v>0</v>
      </c>
      <c r="CA52" s="113"/>
      <c r="CB52" s="113">
        <f t="shared" si="89"/>
        <v>0</v>
      </c>
      <c r="CC52" s="113"/>
      <c r="CD52" s="113"/>
      <c r="CE52" s="113"/>
      <c r="CF52" s="113"/>
      <c r="CG52" s="113">
        <f t="shared" si="29"/>
        <v>0</v>
      </c>
      <c r="CH52" s="113">
        <f t="shared" si="90"/>
        <v>0</v>
      </c>
      <c r="CI52" s="113"/>
      <c r="CJ52" s="113"/>
      <c r="CK52" s="113"/>
      <c r="CL52" s="113"/>
      <c r="CM52" s="113">
        <f t="shared" si="31"/>
        <v>0</v>
      </c>
      <c r="CN52" s="113">
        <f t="shared" si="31"/>
        <v>0</v>
      </c>
      <c r="CO52" s="113"/>
      <c r="CP52" s="113"/>
      <c r="CQ52" s="113"/>
      <c r="CR52" s="113"/>
      <c r="CS52" s="113">
        <f t="shared" si="32"/>
        <v>0</v>
      </c>
      <c r="CT52" s="113">
        <f t="shared" si="32"/>
        <v>0</v>
      </c>
      <c r="CU52" s="113"/>
      <c r="CV52" s="113"/>
      <c r="CW52" s="113"/>
      <c r="CX52" s="113"/>
      <c r="CY52" s="113">
        <f t="shared" si="33"/>
        <v>0</v>
      </c>
      <c r="CZ52" s="113">
        <f t="shared" si="33"/>
        <v>0</v>
      </c>
      <c r="DA52" s="113"/>
      <c r="DB52" s="113"/>
      <c r="DC52" s="113"/>
      <c r="DD52" s="113"/>
      <c r="DE52" s="113">
        <f t="shared" si="34"/>
        <v>0</v>
      </c>
      <c r="DF52" s="113">
        <f t="shared" si="34"/>
        <v>0</v>
      </c>
      <c r="DG52" s="113"/>
      <c r="DH52" s="113"/>
      <c r="DI52" s="113"/>
      <c r="DJ52" s="113"/>
      <c r="DK52" s="113">
        <f t="shared" si="35"/>
        <v>0</v>
      </c>
      <c r="DL52" s="113">
        <f t="shared" si="35"/>
        <v>0</v>
      </c>
      <c r="DM52" s="113">
        <f t="shared" si="91"/>
        <v>0</v>
      </c>
      <c r="DN52" s="113">
        <f t="shared" si="92"/>
        <v>0</v>
      </c>
      <c r="DO52" s="113">
        <f t="shared" si="93"/>
        <v>0</v>
      </c>
      <c r="DP52" s="113">
        <f t="shared" si="94"/>
        <v>0</v>
      </c>
      <c r="DQ52" s="113">
        <f t="shared" si="40"/>
        <v>0</v>
      </c>
      <c r="DR52" s="113">
        <f t="shared" si="40"/>
        <v>0</v>
      </c>
    </row>
    <row r="53" spans="1:122">
      <c r="A53" s="15">
        <v>45</v>
      </c>
      <c r="B53" s="96" t="s">
        <v>747</v>
      </c>
      <c r="C53" s="96" t="s">
        <v>1017</v>
      </c>
      <c r="D53" s="96" t="s">
        <v>1019</v>
      </c>
      <c r="E53" s="185" t="s">
        <v>1164</v>
      </c>
      <c r="F53" s="161">
        <f t="shared" si="41"/>
        <v>0</v>
      </c>
      <c r="G53" s="161">
        <f t="shared" si="42"/>
        <v>0</v>
      </c>
      <c r="H53" s="161">
        <f t="shared" si="43"/>
        <v>0</v>
      </c>
      <c r="I53" s="161">
        <f t="shared" si="44"/>
        <v>0</v>
      </c>
      <c r="J53" s="165">
        <f t="shared" si="87"/>
        <v>0</v>
      </c>
      <c r="K53" s="115"/>
      <c r="L53" s="211">
        <v>0</v>
      </c>
      <c r="M53" s="211">
        <v>0</v>
      </c>
      <c r="N53" s="127">
        <f t="shared" si="45"/>
        <v>0</v>
      </c>
      <c r="O53" s="127">
        <f t="shared" si="46"/>
        <v>0</v>
      </c>
      <c r="P53" s="127">
        <f t="shared" si="47"/>
        <v>0</v>
      </c>
      <c r="Q53" s="131">
        <f t="shared" si="48"/>
        <v>0</v>
      </c>
      <c r="R53" s="125" t="str">
        <f t="shared" si="88"/>
        <v>ნულოვანი შესრულება</v>
      </c>
      <c r="S53" s="113">
        <v>0</v>
      </c>
      <c r="T53" s="113"/>
      <c r="U53" s="113">
        <f t="shared" si="11"/>
        <v>0</v>
      </c>
      <c r="V53" s="113">
        <f t="shared" si="12"/>
        <v>0</v>
      </c>
      <c r="W53" s="113">
        <v>0</v>
      </c>
      <c r="X53" s="113">
        <v>0</v>
      </c>
      <c r="Y53" s="113">
        <v>0</v>
      </c>
      <c r="Z53" s="113">
        <v>0</v>
      </c>
      <c r="AA53" s="113">
        <f t="shared" si="86"/>
        <v>0</v>
      </c>
      <c r="AB53" s="113">
        <f t="shared" si="86"/>
        <v>0</v>
      </c>
      <c r="AC53" s="113"/>
      <c r="AD53" s="113"/>
      <c r="AE53" s="113"/>
      <c r="AF53" s="113"/>
      <c r="AG53" s="113">
        <f t="shared" si="14"/>
        <v>0</v>
      </c>
      <c r="AH53" s="113">
        <f t="shared" si="14"/>
        <v>0</v>
      </c>
      <c r="AI53" s="114">
        <f t="shared" si="15"/>
        <v>0</v>
      </c>
      <c r="AJ53" s="114">
        <f t="shared" si="16"/>
        <v>0</v>
      </c>
      <c r="AK53" s="114">
        <f t="shared" si="16"/>
        <v>0</v>
      </c>
      <c r="AL53" s="114">
        <f t="shared" si="17"/>
        <v>0</v>
      </c>
      <c r="AM53" s="113">
        <f t="shared" si="18"/>
        <v>0</v>
      </c>
      <c r="AN53" s="113">
        <f t="shared" si="18"/>
        <v>0</v>
      </c>
      <c r="AO53" s="113"/>
      <c r="AP53" s="113"/>
      <c r="AQ53" s="113"/>
      <c r="AR53" s="113"/>
      <c r="AS53" s="113">
        <f t="shared" si="19"/>
        <v>0</v>
      </c>
      <c r="AT53" s="113">
        <f t="shared" si="19"/>
        <v>0</v>
      </c>
      <c r="AU53" s="113"/>
      <c r="AV53" s="113"/>
      <c r="AW53" s="113"/>
      <c r="AX53" s="113"/>
      <c r="AY53" s="113">
        <f t="shared" si="20"/>
        <v>0</v>
      </c>
      <c r="AZ53" s="113">
        <f t="shared" si="20"/>
        <v>0</v>
      </c>
      <c r="BA53" s="113"/>
      <c r="BB53" s="113"/>
      <c r="BC53" s="113"/>
      <c r="BD53" s="113"/>
      <c r="BE53" s="113">
        <f t="shared" si="21"/>
        <v>0</v>
      </c>
      <c r="BF53" s="113"/>
      <c r="BG53" s="113">
        <f t="shared" si="95"/>
        <v>0</v>
      </c>
      <c r="BH53" s="113"/>
      <c r="BI53" s="113"/>
      <c r="BJ53" s="113"/>
      <c r="BK53" s="113"/>
      <c r="BL53" s="113">
        <f t="shared" si="23"/>
        <v>0</v>
      </c>
      <c r="BM53" s="113"/>
      <c r="BN53" s="113">
        <f t="shared" si="96"/>
        <v>0</v>
      </c>
      <c r="BO53" s="113"/>
      <c r="BP53" s="113"/>
      <c r="BQ53" s="113"/>
      <c r="BR53" s="113"/>
      <c r="BS53" s="113">
        <f t="shared" si="25"/>
        <v>0</v>
      </c>
      <c r="BT53" s="113"/>
      <c r="BU53" s="113">
        <f t="shared" si="97"/>
        <v>0</v>
      </c>
      <c r="BV53" s="113"/>
      <c r="BW53" s="113"/>
      <c r="BX53" s="113"/>
      <c r="BY53" s="113"/>
      <c r="BZ53" s="113">
        <f t="shared" si="27"/>
        <v>0</v>
      </c>
      <c r="CA53" s="113"/>
      <c r="CB53" s="113">
        <f t="shared" si="89"/>
        <v>0</v>
      </c>
      <c r="CC53" s="113"/>
      <c r="CD53" s="113"/>
      <c r="CE53" s="113"/>
      <c r="CF53" s="113"/>
      <c r="CG53" s="113">
        <f t="shared" si="29"/>
        <v>0</v>
      </c>
      <c r="CH53" s="113">
        <f t="shared" si="90"/>
        <v>0</v>
      </c>
      <c r="CI53" s="113"/>
      <c r="CJ53" s="113"/>
      <c r="CK53" s="113"/>
      <c r="CL53" s="113"/>
      <c r="CM53" s="113">
        <f t="shared" si="31"/>
        <v>0</v>
      </c>
      <c r="CN53" s="113">
        <f t="shared" si="31"/>
        <v>0</v>
      </c>
      <c r="CO53" s="113"/>
      <c r="CP53" s="113"/>
      <c r="CQ53" s="113"/>
      <c r="CR53" s="113"/>
      <c r="CS53" s="113">
        <f t="shared" si="32"/>
        <v>0</v>
      </c>
      <c r="CT53" s="113">
        <f t="shared" si="32"/>
        <v>0</v>
      </c>
      <c r="CU53" s="113"/>
      <c r="CV53" s="113"/>
      <c r="CW53" s="113"/>
      <c r="CX53" s="113"/>
      <c r="CY53" s="113">
        <f t="shared" si="33"/>
        <v>0</v>
      </c>
      <c r="CZ53" s="113">
        <f t="shared" si="33"/>
        <v>0</v>
      </c>
      <c r="DA53" s="113"/>
      <c r="DB53" s="113"/>
      <c r="DC53" s="113"/>
      <c r="DD53" s="113"/>
      <c r="DE53" s="113">
        <f t="shared" si="34"/>
        <v>0</v>
      </c>
      <c r="DF53" s="113">
        <f t="shared" si="34"/>
        <v>0</v>
      </c>
      <c r="DG53" s="113"/>
      <c r="DH53" s="113"/>
      <c r="DI53" s="113"/>
      <c r="DJ53" s="113"/>
      <c r="DK53" s="113">
        <f t="shared" si="35"/>
        <v>0</v>
      </c>
      <c r="DL53" s="113">
        <f t="shared" si="35"/>
        <v>0</v>
      </c>
      <c r="DM53" s="113">
        <f t="shared" si="91"/>
        <v>0</v>
      </c>
      <c r="DN53" s="113">
        <f t="shared" si="92"/>
        <v>0</v>
      </c>
      <c r="DO53" s="113">
        <f t="shared" si="93"/>
        <v>0</v>
      </c>
      <c r="DP53" s="113">
        <f t="shared" si="94"/>
        <v>0</v>
      </c>
      <c r="DQ53" s="113">
        <f t="shared" si="40"/>
        <v>0</v>
      </c>
      <c r="DR53" s="113">
        <f t="shared" si="40"/>
        <v>0</v>
      </c>
    </row>
    <row r="54" spans="1:122">
      <c r="A54" s="15">
        <v>46</v>
      </c>
      <c r="B54" s="96" t="s">
        <v>747</v>
      </c>
      <c r="C54" s="187" t="s">
        <v>1020</v>
      </c>
      <c r="D54" s="96" t="s">
        <v>1021</v>
      </c>
      <c r="E54" s="185" t="s">
        <v>1165</v>
      </c>
      <c r="F54" s="161">
        <f t="shared" si="41"/>
        <v>0</v>
      </c>
      <c r="G54" s="161">
        <f t="shared" si="42"/>
        <v>0</v>
      </c>
      <c r="H54" s="161">
        <f t="shared" si="43"/>
        <v>0</v>
      </c>
      <c r="I54" s="161">
        <f t="shared" si="44"/>
        <v>0</v>
      </c>
      <c r="J54" s="165">
        <f t="shared" si="87"/>
        <v>52174.95</v>
      </c>
      <c r="K54" s="115">
        <v>13855.58</v>
      </c>
      <c r="L54" s="211">
        <v>0</v>
      </c>
      <c r="M54" s="211">
        <v>0</v>
      </c>
      <c r="N54" s="127">
        <f t="shared" si="45"/>
        <v>52174.95</v>
      </c>
      <c r="O54" s="127">
        <f t="shared" si="46"/>
        <v>52174.95</v>
      </c>
      <c r="P54" s="127">
        <f t="shared" si="47"/>
        <v>52174.95</v>
      </c>
      <c r="Q54" s="131">
        <f t="shared" si="48"/>
        <v>0</v>
      </c>
      <c r="R54" s="125">
        <f t="shared" si="88"/>
        <v>52174.95</v>
      </c>
      <c r="S54" s="113">
        <v>40000</v>
      </c>
      <c r="T54" s="113">
        <v>12174.95</v>
      </c>
      <c r="U54" s="113">
        <f t="shared" si="11"/>
        <v>40000</v>
      </c>
      <c r="V54" s="113">
        <f t="shared" si="12"/>
        <v>12174.95</v>
      </c>
      <c r="W54" s="113">
        <v>0</v>
      </c>
      <c r="X54" s="113">
        <v>0</v>
      </c>
      <c r="Y54" s="113">
        <v>0</v>
      </c>
      <c r="Z54" s="113">
        <v>0</v>
      </c>
      <c r="AA54" s="113">
        <f t="shared" si="86"/>
        <v>0</v>
      </c>
      <c r="AB54" s="113">
        <f t="shared" si="86"/>
        <v>0</v>
      </c>
      <c r="AC54" s="113"/>
      <c r="AD54" s="113"/>
      <c r="AE54" s="113"/>
      <c r="AF54" s="113"/>
      <c r="AG54" s="113">
        <f t="shared" si="14"/>
        <v>0</v>
      </c>
      <c r="AH54" s="113">
        <f t="shared" si="14"/>
        <v>0</v>
      </c>
      <c r="AI54" s="114">
        <f t="shared" si="15"/>
        <v>40000</v>
      </c>
      <c r="AJ54" s="114">
        <f t="shared" si="16"/>
        <v>40000</v>
      </c>
      <c r="AK54" s="114">
        <f t="shared" si="16"/>
        <v>12174.95</v>
      </c>
      <c r="AL54" s="114">
        <f t="shared" si="17"/>
        <v>12174.95</v>
      </c>
      <c r="AM54" s="113">
        <f t="shared" si="18"/>
        <v>52174.95</v>
      </c>
      <c r="AN54" s="113">
        <f t="shared" si="18"/>
        <v>52174.95</v>
      </c>
      <c r="AO54" s="113"/>
      <c r="AP54" s="113"/>
      <c r="AQ54" s="113"/>
      <c r="AR54" s="113"/>
      <c r="AS54" s="113">
        <f t="shared" si="19"/>
        <v>0</v>
      </c>
      <c r="AT54" s="113">
        <f t="shared" si="19"/>
        <v>0</v>
      </c>
      <c r="AU54" s="113"/>
      <c r="AV54" s="113"/>
      <c r="AW54" s="113"/>
      <c r="AX54" s="113"/>
      <c r="AY54" s="113">
        <f t="shared" si="20"/>
        <v>0</v>
      </c>
      <c r="AZ54" s="113">
        <f t="shared" si="20"/>
        <v>0</v>
      </c>
      <c r="BA54" s="113"/>
      <c r="BB54" s="113"/>
      <c r="BC54" s="113"/>
      <c r="BD54" s="113"/>
      <c r="BE54" s="113">
        <f t="shared" si="21"/>
        <v>0</v>
      </c>
      <c r="BF54" s="113"/>
      <c r="BG54" s="113">
        <f t="shared" si="95"/>
        <v>0</v>
      </c>
      <c r="BH54" s="113"/>
      <c r="BI54" s="113"/>
      <c r="BJ54" s="113"/>
      <c r="BK54" s="113"/>
      <c r="BL54" s="113">
        <f t="shared" si="23"/>
        <v>0</v>
      </c>
      <c r="BM54" s="113"/>
      <c r="BN54" s="113">
        <f t="shared" si="96"/>
        <v>0</v>
      </c>
      <c r="BO54" s="113"/>
      <c r="BP54" s="113"/>
      <c r="BQ54" s="113"/>
      <c r="BR54" s="113"/>
      <c r="BS54" s="113">
        <f t="shared" si="25"/>
        <v>0</v>
      </c>
      <c r="BT54" s="113"/>
      <c r="BU54" s="113">
        <f t="shared" si="97"/>
        <v>0</v>
      </c>
      <c r="BV54" s="113"/>
      <c r="BW54" s="113"/>
      <c r="BX54" s="113"/>
      <c r="BY54" s="113"/>
      <c r="BZ54" s="113">
        <f t="shared" si="27"/>
        <v>0</v>
      </c>
      <c r="CA54" s="113"/>
      <c r="CB54" s="113">
        <f t="shared" si="89"/>
        <v>0</v>
      </c>
      <c r="CC54" s="113"/>
      <c r="CD54" s="113"/>
      <c r="CE54" s="113"/>
      <c r="CF54" s="113"/>
      <c r="CG54" s="113">
        <f t="shared" si="29"/>
        <v>0</v>
      </c>
      <c r="CH54" s="113">
        <f t="shared" si="90"/>
        <v>0</v>
      </c>
      <c r="CI54" s="113"/>
      <c r="CJ54" s="113"/>
      <c r="CK54" s="113"/>
      <c r="CL54" s="113"/>
      <c r="CM54" s="113">
        <f t="shared" si="31"/>
        <v>0</v>
      </c>
      <c r="CN54" s="113">
        <f t="shared" si="31"/>
        <v>0</v>
      </c>
      <c r="CO54" s="113"/>
      <c r="CP54" s="113"/>
      <c r="CQ54" s="113"/>
      <c r="CR54" s="113"/>
      <c r="CS54" s="113">
        <f t="shared" si="32"/>
        <v>0</v>
      </c>
      <c r="CT54" s="113">
        <f t="shared" si="32"/>
        <v>0</v>
      </c>
      <c r="CU54" s="113"/>
      <c r="CV54" s="113"/>
      <c r="CW54" s="113"/>
      <c r="CX54" s="113"/>
      <c r="CY54" s="113">
        <f t="shared" si="33"/>
        <v>0</v>
      </c>
      <c r="CZ54" s="113">
        <f t="shared" si="33"/>
        <v>0</v>
      </c>
      <c r="DA54" s="113"/>
      <c r="DB54" s="113"/>
      <c r="DC54" s="113"/>
      <c r="DD54" s="113"/>
      <c r="DE54" s="113">
        <f t="shared" si="34"/>
        <v>0</v>
      </c>
      <c r="DF54" s="113">
        <f t="shared" si="34"/>
        <v>0</v>
      </c>
      <c r="DG54" s="113"/>
      <c r="DH54" s="113"/>
      <c r="DI54" s="113"/>
      <c r="DJ54" s="113"/>
      <c r="DK54" s="113">
        <f t="shared" si="35"/>
        <v>0</v>
      </c>
      <c r="DL54" s="113">
        <f t="shared" si="35"/>
        <v>0</v>
      </c>
      <c r="DM54" s="113">
        <f t="shared" si="91"/>
        <v>0</v>
      </c>
      <c r="DN54" s="113">
        <f t="shared" si="92"/>
        <v>0</v>
      </c>
      <c r="DO54" s="113">
        <f t="shared" si="93"/>
        <v>0</v>
      </c>
      <c r="DP54" s="113">
        <f t="shared" si="94"/>
        <v>0</v>
      </c>
      <c r="DQ54" s="113">
        <f t="shared" si="40"/>
        <v>0</v>
      </c>
      <c r="DR54" s="113">
        <f t="shared" si="40"/>
        <v>0</v>
      </c>
    </row>
    <row r="55" spans="1:122">
      <c r="A55" s="15">
        <v>47</v>
      </c>
      <c r="B55" s="96" t="s">
        <v>747</v>
      </c>
      <c r="C55" s="96" t="s">
        <v>76</v>
      </c>
      <c r="D55" s="96" t="s">
        <v>1022</v>
      </c>
      <c r="E55" s="185" t="s">
        <v>1164</v>
      </c>
      <c r="F55" s="161">
        <f t="shared" si="41"/>
        <v>0</v>
      </c>
      <c r="G55" s="161">
        <f t="shared" si="42"/>
        <v>0</v>
      </c>
      <c r="H55" s="161">
        <f t="shared" si="43"/>
        <v>0</v>
      </c>
      <c r="I55" s="161">
        <f t="shared" si="44"/>
        <v>0</v>
      </c>
      <c r="J55" s="165">
        <f t="shared" si="87"/>
        <v>2185.75</v>
      </c>
      <c r="K55" s="115"/>
      <c r="L55" s="211">
        <v>0</v>
      </c>
      <c r="M55" s="211">
        <v>0</v>
      </c>
      <c r="N55" s="127">
        <f t="shared" si="45"/>
        <v>2185.75</v>
      </c>
      <c r="O55" s="127">
        <f t="shared" si="46"/>
        <v>2185.75</v>
      </c>
      <c r="P55" s="127">
        <f t="shared" si="47"/>
        <v>2185.75</v>
      </c>
      <c r="Q55" s="131">
        <f t="shared" si="48"/>
        <v>0</v>
      </c>
      <c r="R55" s="125">
        <f t="shared" si="88"/>
        <v>2185.75</v>
      </c>
      <c r="S55" s="113">
        <v>0</v>
      </c>
      <c r="T55" s="113">
        <v>2185.75</v>
      </c>
      <c r="U55" s="113">
        <f t="shared" si="11"/>
        <v>0</v>
      </c>
      <c r="V55" s="113">
        <f t="shared" si="12"/>
        <v>2185.75</v>
      </c>
      <c r="W55" s="113">
        <v>0</v>
      </c>
      <c r="X55" s="113">
        <v>0</v>
      </c>
      <c r="Y55" s="113">
        <v>0</v>
      </c>
      <c r="Z55" s="113">
        <v>0</v>
      </c>
      <c r="AA55" s="113">
        <f t="shared" si="86"/>
        <v>0</v>
      </c>
      <c r="AB55" s="113">
        <f t="shared" si="86"/>
        <v>0</v>
      </c>
      <c r="AC55" s="113"/>
      <c r="AD55" s="113"/>
      <c r="AE55" s="113"/>
      <c r="AF55" s="113"/>
      <c r="AG55" s="113">
        <f t="shared" si="14"/>
        <v>0</v>
      </c>
      <c r="AH55" s="113">
        <f t="shared" si="14"/>
        <v>0</v>
      </c>
      <c r="AI55" s="114">
        <f t="shared" si="15"/>
        <v>0</v>
      </c>
      <c r="AJ55" s="114">
        <f t="shared" si="16"/>
        <v>0</v>
      </c>
      <c r="AK55" s="114">
        <f t="shared" si="16"/>
        <v>2185.75</v>
      </c>
      <c r="AL55" s="114">
        <f t="shared" si="17"/>
        <v>2185.75</v>
      </c>
      <c r="AM55" s="113">
        <f t="shared" si="18"/>
        <v>2185.75</v>
      </c>
      <c r="AN55" s="113">
        <f t="shared" si="18"/>
        <v>2185.75</v>
      </c>
      <c r="AO55" s="113"/>
      <c r="AP55" s="113"/>
      <c r="AQ55" s="113"/>
      <c r="AR55" s="113"/>
      <c r="AS55" s="113">
        <f t="shared" si="19"/>
        <v>0</v>
      </c>
      <c r="AT55" s="113">
        <f t="shared" si="19"/>
        <v>0</v>
      </c>
      <c r="AU55" s="113"/>
      <c r="AV55" s="113"/>
      <c r="AW55" s="113"/>
      <c r="AX55" s="113"/>
      <c r="AY55" s="113">
        <f t="shared" si="20"/>
        <v>0</v>
      </c>
      <c r="AZ55" s="113">
        <f t="shared" si="20"/>
        <v>0</v>
      </c>
      <c r="BA55" s="113"/>
      <c r="BB55" s="113"/>
      <c r="BC55" s="113"/>
      <c r="BD55" s="113"/>
      <c r="BE55" s="113">
        <f t="shared" si="21"/>
        <v>0</v>
      </c>
      <c r="BF55" s="113"/>
      <c r="BG55" s="113">
        <f t="shared" si="95"/>
        <v>0</v>
      </c>
      <c r="BH55" s="113"/>
      <c r="BI55" s="113"/>
      <c r="BJ55" s="113"/>
      <c r="BK55" s="113"/>
      <c r="BL55" s="113">
        <f t="shared" si="23"/>
        <v>0</v>
      </c>
      <c r="BM55" s="113"/>
      <c r="BN55" s="113">
        <f t="shared" si="96"/>
        <v>0</v>
      </c>
      <c r="BO55" s="113"/>
      <c r="BP55" s="113"/>
      <c r="BQ55" s="113"/>
      <c r="BR55" s="113"/>
      <c r="BS55" s="113">
        <f t="shared" si="25"/>
        <v>0</v>
      </c>
      <c r="BT55" s="113"/>
      <c r="BU55" s="113">
        <f t="shared" si="97"/>
        <v>0</v>
      </c>
      <c r="BV55" s="113"/>
      <c r="BW55" s="113"/>
      <c r="BX55" s="113"/>
      <c r="BY55" s="113"/>
      <c r="BZ55" s="113">
        <f t="shared" si="27"/>
        <v>0</v>
      </c>
      <c r="CA55" s="113"/>
      <c r="CB55" s="113">
        <f t="shared" si="89"/>
        <v>0</v>
      </c>
      <c r="CC55" s="113"/>
      <c r="CD55" s="113"/>
      <c r="CE55" s="113"/>
      <c r="CF55" s="113"/>
      <c r="CG55" s="113">
        <f t="shared" si="29"/>
        <v>0</v>
      </c>
      <c r="CH55" s="113">
        <f t="shared" si="90"/>
        <v>0</v>
      </c>
      <c r="CI55" s="113"/>
      <c r="CJ55" s="113"/>
      <c r="CK55" s="113"/>
      <c r="CL55" s="113"/>
      <c r="CM55" s="113">
        <f t="shared" si="31"/>
        <v>0</v>
      </c>
      <c r="CN55" s="113">
        <f t="shared" si="31"/>
        <v>0</v>
      </c>
      <c r="CO55" s="113"/>
      <c r="CP55" s="113"/>
      <c r="CQ55" s="113"/>
      <c r="CR55" s="113"/>
      <c r="CS55" s="113">
        <f t="shared" si="32"/>
        <v>0</v>
      </c>
      <c r="CT55" s="113">
        <f t="shared" si="32"/>
        <v>0</v>
      </c>
      <c r="CU55" s="113"/>
      <c r="CV55" s="113"/>
      <c r="CW55" s="113"/>
      <c r="CX55" s="113"/>
      <c r="CY55" s="113">
        <f t="shared" si="33"/>
        <v>0</v>
      </c>
      <c r="CZ55" s="113">
        <f t="shared" si="33"/>
        <v>0</v>
      </c>
      <c r="DA55" s="113"/>
      <c r="DB55" s="113"/>
      <c r="DC55" s="113"/>
      <c r="DD55" s="113"/>
      <c r="DE55" s="113">
        <f t="shared" si="34"/>
        <v>0</v>
      </c>
      <c r="DF55" s="113">
        <f t="shared" si="34"/>
        <v>0</v>
      </c>
      <c r="DG55" s="113"/>
      <c r="DH55" s="113"/>
      <c r="DI55" s="113"/>
      <c r="DJ55" s="113"/>
      <c r="DK55" s="113">
        <f t="shared" si="35"/>
        <v>0</v>
      </c>
      <c r="DL55" s="113">
        <f t="shared" si="35"/>
        <v>0</v>
      </c>
      <c r="DM55" s="113">
        <f t="shared" si="91"/>
        <v>0</v>
      </c>
      <c r="DN55" s="113">
        <f t="shared" si="92"/>
        <v>0</v>
      </c>
      <c r="DO55" s="113">
        <f t="shared" si="93"/>
        <v>0</v>
      </c>
      <c r="DP55" s="113">
        <f t="shared" si="94"/>
        <v>0</v>
      </c>
      <c r="DQ55" s="113">
        <f t="shared" si="40"/>
        <v>0</v>
      </c>
      <c r="DR55" s="113">
        <f t="shared" si="40"/>
        <v>0</v>
      </c>
    </row>
    <row r="56" spans="1:122">
      <c r="A56" s="15">
        <v>48</v>
      </c>
      <c r="B56" s="96" t="s">
        <v>747</v>
      </c>
      <c r="C56" s="96" t="s">
        <v>1023</v>
      </c>
      <c r="D56" s="96" t="s">
        <v>1024</v>
      </c>
      <c r="E56" s="185" t="s">
        <v>1164</v>
      </c>
      <c r="F56" s="161">
        <f t="shared" si="41"/>
        <v>0</v>
      </c>
      <c r="G56" s="161">
        <f t="shared" si="42"/>
        <v>0</v>
      </c>
      <c r="H56" s="161">
        <f t="shared" si="43"/>
        <v>0</v>
      </c>
      <c r="I56" s="161">
        <f t="shared" si="44"/>
        <v>0</v>
      </c>
      <c r="J56" s="165">
        <f t="shared" si="87"/>
        <v>0</v>
      </c>
      <c r="K56" s="115"/>
      <c r="L56" s="211">
        <v>0</v>
      </c>
      <c r="M56" s="211">
        <v>0</v>
      </c>
      <c r="N56" s="127">
        <f t="shared" si="45"/>
        <v>0</v>
      </c>
      <c r="O56" s="127">
        <f t="shared" si="46"/>
        <v>0</v>
      </c>
      <c r="P56" s="127">
        <f t="shared" si="47"/>
        <v>0</v>
      </c>
      <c r="Q56" s="131">
        <f t="shared" si="48"/>
        <v>0</v>
      </c>
      <c r="R56" s="125" t="str">
        <f t="shared" si="88"/>
        <v>ნულოვანი შესრულება</v>
      </c>
      <c r="S56" s="113">
        <v>0</v>
      </c>
      <c r="T56" s="113"/>
      <c r="U56" s="113">
        <f t="shared" si="11"/>
        <v>0</v>
      </c>
      <c r="V56" s="113">
        <f t="shared" si="12"/>
        <v>0</v>
      </c>
      <c r="W56" s="113">
        <v>0</v>
      </c>
      <c r="X56" s="113">
        <v>0</v>
      </c>
      <c r="Y56" s="113">
        <v>0</v>
      </c>
      <c r="Z56" s="113">
        <v>0</v>
      </c>
      <c r="AA56" s="113">
        <f t="shared" si="86"/>
        <v>0</v>
      </c>
      <c r="AB56" s="113">
        <f t="shared" si="86"/>
        <v>0</v>
      </c>
      <c r="AC56" s="113"/>
      <c r="AD56" s="113"/>
      <c r="AE56" s="113"/>
      <c r="AF56" s="113"/>
      <c r="AG56" s="113">
        <f t="shared" si="14"/>
        <v>0</v>
      </c>
      <c r="AH56" s="113">
        <f t="shared" si="14"/>
        <v>0</v>
      </c>
      <c r="AI56" s="114">
        <f t="shared" si="15"/>
        <v>0</v>
      </c>
      <c r="AJ56" s="114">
        <f t="shared" si="16"/>
        <v>0</v>
      </c>
      <c r="AK56" s="114">
        <f t="shared" si="16"/>
        <v>0</v>
      </c>
      <c r="AL56" s="114">
        <f t="shared" si="17"/>
        <v>0</v>
      </c>
      <c r="AM56" s="113">
        <f t="shared" si="18"/>
        <v>0</v>
      </c>
      <c r="AN56" s="113">
        <f t="shared" si="18"/>
        <v>0</v>
      </c>
      <c r="AO56" s="113"/>
      <c r="AP56" s="113"/>
      <c r="AQ56" s="113"/>
      <c r="AR56" s="113"/>
      <c r="AS56" s="113">
        <f t="shared" si="19"/>
        <v>0</v>
      </c>
      <c r="AT56" s="113">
        <f t="shared" si="19"/>
        <v>0</v>
      </c>
      <c r="AU56" s="113"/>
      <c r="AV56" s="113"/>
      <c r="AW56" s="113"/>
      <c r="AX56" s="113"/>
      <c r="AY56" s="113">
        <f t="shared" si="20"/>
        <v>0</v>
      </c>
      <c r="AZ56" s="113">
        <f t="shared" si="20"/>
        <v>0</v>
      </c>
      <c r="BA56" s="113"/>
      <c r="BB56" s="113"/>
      <c r="BC56" s="113"/>
      <c r="BD56" s="113"/>
      <c r="BE56" s="113">
        <f t="shared" si="21"/>
        <v>0</v>
      </c>
      <c r="BF56" s="113"/>
      <c r="BG56" s="113">
        <f t="shared" si="95"/>
        <v>0</v>
      </c>
      <c r="BH56" s="113"/>
      <c r="BI56" s="113"/>
      <c r="BJ56" s="113"/>
      <c r="BK56" s="113"/>
      <c r="BL56" s="113">
        <f t="shared" si="23"/>
        <v>0</v>
      </c>
      <c r="BM56" s="113"/>
      <c r="BN56" s="113">
        <f t="shared" si="96"/>
        <v>0</v>
      </c>
      <c r="BO56" s="113"/>
      <c r="BP56" s="113"/>
      <c r="BQ56" s="113"/>
      <c r="BR56" s="113"/>
      <c r="BS56" s="113">
        <f t="shared" si="25"/>
        <v>0</v>
      </c>
      <c r="BT56" s="113"/>
      <c r="BU56" s="113">
        <f t="shared" si="97"/>
        <v>0</v>
      </c>
      <c r="BV56" s="113"/>
      <c r="BW56" s="113"/>
      <c r="BX56" s="113"/>
      <c r="BY56" s="113"/>
      <c r="BZ56" s="113">
        <f t="shared" si="27"/>
        <v>0</v>
      </c>
      <c r="CA56" s="113"/>
      <c r="CB56" s="113">
        <f t="shared" si="89"/>
        <v>0</v>
      </c>
      <c r="CC56" s="113"/>
      <c r="CD56" s="113"/>
      <c r="CE56" s="113"/>
      <c r="CF56" s="113"/>
      <c r="CG56" s="113">
        <f t="shared" si="29"/>
        <v>0</v>
      </c>
      <c r="CH56" s="113">
        <f t="shared" si="90"/>
        <v>0</v>
      </c>
      <c r="CI56" s="113"/>
      <c r="CJ56" s="113"/>
      <c r="CK56" s="113"/>
      <c r="CL56" s="113"/>
      <c r="CM56" s="113">
        <f t="shared" si="31"/>
        <v>0</v>
      </c>
      <c r="CN56" s="113">
        <f t="shared" si="31"/>
        <v>0</v>
      </c>
      <c r="CO56" s="113"/>
      <c r="CP56" s="113"/>
      <c r="CQ56" s="113"/>
      <c r="CR56" s="113"/>
      <c r="CS56" s="113">
        <f t="shared" si="32"/>
        <v>0</v>
      </c>
      <c r="CT56" s="113">
        <f t="shared" si="32"/>
        <v>0</v>
      </c>
      <c r="CU56" s="113"/>
      <c r="CV56" s="113"/>
      <c r="CW56" s="113"/>
      <c r="CX56" s="113"/>
      <c r="CY56" s="113">
        <f t="shared" si="33"/>
        <v>0</v>
      </c>
      <c r="CZ56" s="113">
        <f t="shared" si="33"/>
        <v>0</v>
      </c>
      <c r="DA56" s="113"/>
      <c r="DB56" s="113"/>
      <c r="DC56" s="113"/>
      <c r="DD56" s="113"/>
      <c r="DE56" s="113">
        <f t="shared" si="34"/>
        <v>0</v>
      </c>
      <c r="DF56" s="113">
        <f t="shared" si="34"/>
        <v>0</v>
      </c>
      <c r="DG56" s="113"/>
      <c r="DH56" s="113"/>
      <c r="DI56" s="113"/>
      <c r="DJ56" s="113"/>
      <c r="DK56" s="113">
        <f t="shared" si="35"/>
        <v>0</v>
      </c>
      <c r="DL56" s="113">
        <f t="shared" si="35"/>
        <v>0</v>
      </c>
      <c r="DM56" s="113">
        <f t="shared" si="91"/>
        <v>0</v>
      </c>
      <c r="DN56" s="113">
        <f t="shared" si="92"/>
        <v>0</v>
      </c>
      <c r="DO56" s="113">
        <f t="shared" si="93"/>
        <v>0</v>
      </c>
      <c r="DP56" s="113">
        <f t="shared" si="94"/>
        <v>0</v>
      </c>
      <c r="DQ56" s="113">
        <f t="shared" si="40"/>
        <v>0</v>
      </c>
      <c r="DR56" s="113">
        <f t="shared" si="40"/>
        <v>0</v>
      </c>
    </row>
    <row r="57" spans="1:122">
      <c r="A57" s="15">
        <v>49</v>
      </c>
      <c r="B57" s="96" t="s">
        <v>747</v>
      </c>
      <c r="C57" s="187" t="s">
        <v>1023</v>
      </c>
      <c r="D57" s="96" t="s">
        <v>1025</v>
      </c>
      <c r="E57" s="185" t="s">
        <v>1165</v>
      </c>
      <c r="F57" s="161">
        <f t="shared" si="41"/>
        <v>0</v>
      </c>
      <c r="G57" s="161">
        <f t="shared" si="42"/>
        <v>0</v>
      </c>
      <c r="H57" s="161">
        <f t="shared" si="43"/>
        <v>0</v>
      </c>
      <c r="I57" s="161">
        <f t="shared" si="44"/>
        <v>0</v>
      </c>
      <c r="J57" s="165">
        <f t="shared" si="87"/>
        <v>0</v>
      </c>
      <c r="K57" s="115">
        <v>4958.2</v>
      </c>
      <c r="L57" s="211">
        <v>0</v>
      </c>
      <c r="M57" s="211">
        <v>0</v>
      </c>
      <c r="N57" s="127">
        <f t="shared" si="45"/>
        <v>0</v>
      </c>
      <c r="O57" s="127">
        <f t="shared" si="46"/>
        <v>0</v>
      </c>
      <c r="P57" s="127">
        <f t="shared" si="47"/>
        <v>0</v>
      </c>
      <c r="Q57" s="131">
        <f t="shared" si="48"/>
        <v>0</v>
      </c>
      <c r="R57" s="125" t="str">
        <f t="shared" si="88"/>
        <v>ნულოვანი შესრულება</v>
      </c>
      <c r="S57" s="113">
        <v>0</v>
      </c>
      <c r="T57" s="113"/>
      <c r="U57" s="113">
        <f t="shared" si="11"/>
        <v>0</v>
      </c>
      <c r="V57" s="113">
        <f t="shared" si="12"/>
        <v>0</v>
      </c>
      <c r="W57" s="113">
        <v>0</v>
      </c>
      <c r="X57" s="113">
        <v>0</v>
      </c>
      <c r="Y57" s="113">
        <v>0</v>
      </c>
      <c r="Z57" s="113">
        <v>0</v>
      </c>
      <c r="AA57" s="113">
        <f t="shared" si="86"/>
        <v>0</v>
      </c>
      <c r="AB57" s="113">
        <f t="shared" si="86"/>
        <v>0</v>
      </c>
      <c r="AC57" s="113"/>
      <c r="AD57" s="113"/>
      <c r="AE57" s="113"/>
      <c r="AF57" s="113"/>
      <c r="AG57" s="113">
        <f t="shared" si="14"/>
        <v>0</v>
      </c>
      <c r="AH57" s="113">
        <f t="shared" si="14"/>
        <v>0</v>
      </c>
      <c r="AI57" s="114">
        <f t="shared" si="15"/>
        <v>0</v>
      </c>
      <c r="AJ57" s="114">
        <f t="shared" si="16"/>
        <v>0</v>
      </c>
      <c r="AK57" s="114">
        <f t="shared" si="16"/>
        <v>0</v>
      </c>
      <c r="AL57" s="114">
        <f t="shared" si="17"/>
        <v>0</v>
      </c>
      <c r="AM57" s="113">
        <f t="shared" si="18"/>
        <v>0</v>
      </c>
      <c r="AN57" s="113">
        <f t="shared" si="18"/>
        <v>0</v>
      </c>
      <c r="AO57" s="113"/>
      <c r="AP57" s="113"/>
      <c r="AQ57" s="113"/>
      <c r="AR57" s="113"/>
      <c r="AS57" s="113">
        <f t="shared" si="19"/>
        <v>0</v>
      </c>
      <c r="AT57" s="113">
        <f t="shared" si="19"/>
        <v>0</v>
      </c>
      <c r="AU57" s="113"/>
      <c r="AV57" s="113"/>
      <c r="AW57" s="113"/>
      <c r="AX57" s="113"/>
      <c r="AY57" s="113">
        <f t="shared" si="20"/>
        <v>0</v>
      </c>
      <c r="AZ57" s="113">
        <f t="shared" si="20"/>
        <v>0</v>
      </c>
      <c r="BA57" s="113"/>
      <c r="BB57" s="113"/>
      <c r="BC57" s="113"/>
      <c r="BD57" s="113"/>
      <c r="BE57" s="113">
        <f t="shared" si="21"/>
        <v>0</v>
      </c>
      <c r="BF57" s="113"/>
      <c r="BG57" s="113">
        <f t="shared" si="95"/>
        <v>0</v>
      </c>
      <c r="BH57" s="113"/>
      <c r="BI57" s="113"/>
      <c r="BJ57" s="113"/>
      <c r="BK57" s="113"/>
      <c r="BL57" s="113">
        <f t="shared" si="23"/>
        <v>0</v>
      </c>
      <c r="BM57" s="113"/>
      <c r="BN57" s="113">
        <f t="shared" si="96"/>
        <v>0</v>
      </c>
      <c r="BO57" s="113"/>
      <c r="BP57" s="113"/>
      <c r="BQ57" s="113"/>
      <c r="BR57" s="113"/>
      <c r="BS57" s="113">
        <f t="shared" si="25"/>
        <v>0</v>
      </c>
      <c r="BT57" s="113"/>
      <c r="BU57" s="113">
        <f t="shared" si="97"/>
        <v>0</v>
      </c>
      <c r="BV57" s="113"/>
      <c r="BW57" s="113"/>
      <c r="BX57" s="113"/>
      <c r="BY57" s="113"/>
      <c r="BZ57" s="113">
        <f t="shared" si="27"/>
        <v>0</v>
      </c>
      <c r="CA57" s="113"/>
      <c r="CB57" s="113">
        <f t="shared" si="89"/>
        <v>0</v>
      </c>
      <c r="CC57" s="113"/>
      <c r="CD57" s="113"/>
      <c r="CE57" s="113"/>
      <c r="CF57" s="113"/>
      <c r="CG57" s="113">
        <f t="shared" si="29"/>
        <v>0</v>
      </c>
      <c r="CH57" s="113">
        <f t="shared" si="90"/>
        <v>0</v>
      </c>
      <c r="CI57" s="113"/>
      <c r="CJ57" s="113"/>
      <c r="CK57" s="113"/>
      <c r="CL57" s="113"/>
      <c r="CM57" s="113">
        <f t="shared" si="31"/>
        <v>0</v>
      </c>
      <c r="CN57" s="113">
        <f t="shared" si="31"/>
        <v>0</v>
      </c>
      <c r="CO57" s="113"/>
      <c r="CP57" s="113"/>
      <c r="CQ57" s="113"/>
      <c r="CR57" s="113"/>
      <c r="CS57" s="113">
        <f t="shared" si="32"/>
        <v>0</v>
      </c>
      <c r="CT57" s="113">
        <f t="shared" si="32"/>
        <v>0</v>
      </c>
      <c r="CU57" s="113"/>
      <c r="CV57" s="113"/>
      <c r="CW57" s="113"/>
      <c r="CX57" s="113"/>
      <c r="CY57" s="113">
        <f t="shared" si="33"/>
        <v>0</v>
      </c>
      <c r="CZ57" s="113">
        <f t="shared" si="33"/>
        <v>0</v>
      </c>
      <c r="DA57" s="113"/>
      <c r="DB57" s="113"/>
      <c r="DC57" s="113"/>
      <c r="DD57" s="113"/>
      <c r="DE57" s="113">
        <f t="shared" si="34"/>
        <v>0</v>
      </c>
      <c r="DF57" s="113">
        <f t="shared" si="34"/>
        <v>0</v>
      </c>
      <c r="DG57" s="113"/>
      <c r="DH57" s="113"/>
      <c r="DI57" s="113"/>
      <c r="DJ57" s="113"/>
      <c r="DK57" s="113">
        <f t="shared" si="35"/>
        <v>0</v>
      </c>
      <c r="DL57" s="113">
        <f t="shared" si="35"/>
        <v>0</v>
      </c>
      <c r="DM57" s="113">
        <f t="shared" si="91"/>
        <v>0</v>
      </c>
      <c r="DN57" s="113">
        <f t="shared" si="92"/>
        <v>0</v>
      </c>
      <c r="DO57" s="113">
        <f t="shared" si="93"/>
        <v>0</v>
      </c>
      <c r="DP57" s="113">
        <f t="shared" si="94"/>
        <v>0</v>
      </c>
      <c r="DQ57" s="113">
        <f t="shared" si="40"/>
        <v>0</v>
      </c>
      <c r="DR57" s="113">
        <f t="shared" si="40"/>
        <v>0</v>
      </c>
    </row>
    <row r="58" spans="1:122">
      <c r="A58" s="15">
        <v>50</v>
      </c>
      <c r="B58" s="96" t="s">
        <v>747</v>
      </c>
      <c r="C58" s="96" t="s">
        <v>1026</v>
      </c>
      <c r="D58" s="96" t="s">
        <v>1027</v>
      </c>
      <c r="E58" s="185" t="s">
        <v>1164</v>
      </c>
      <c r="F58" s="161">
        <f t="shared" si="41"/>
        <v>0</v>
      </c>
      <c r="G58" s="161">
        <f t="shared" si="42"/>
        <v>0</v>
      </c>
      <c r="H58" s="161">
        <f t="shared" si="43"/>
        <v>0</v>
      </c>
      <c r="I58" s="161">
        <f t="shared" si="44"/>
        <v>0</v>
      </c>
      <c r="J58" s="165">
        <f t="shared" si="87"/>
        <v>0</v>
      </c>
      <c r="K58" s="115"/>
      <c r="L58" s="211">
        <v>0</v>
      </c>
      <c r="M58" s="211">
        <v>0</v>
      </c>
      <c r="N58" s="127">
        <f t="shared" si="45"/>
        <v>0</v>
      </c>
      <c r="O58" s="127">
        <f t="shared" si="46"/>
        <v>0</v>
      </c>
      <c r="P58" s="127">
        <f t="shared" si="47"/>
        <v>0</v>
      </c>
      <c r="Q58" s="131">
        <f t="shared" si="48"/>
        <v>0</v>
      </c>
      <c r="R58" s="125" t="str">
        <f t="shared" si="88"/>
        <v>ნულოვანი შესრულება</v>
      </c>
      <c r="S58" s="113">
        <v>0</v>
      </c>
      <c r="T58" s="113"/>
      <c r="U58" s="113">
        <f t="shared" si="11"/>
        <v>0</v>
      </c>
      <c r="V58" s="113">
        <f t="shared" si="12"/>
        <v>0</v>
      </c>
      <c r="W58" s="113">
        <v>0</v>
      </c>
      <c r="X58" s="113">
        <v>0</v>
      </c>
      <c r="Y58" s="113">
        <v>0</v>
      </c>
      <c r="Z58" s="113">
        <v>0</v>
      </c>
      <c r="AA58" s="113">
        <f t="shared" si="86"/>
        <v>0</v>
      </c>
      <c r="AB58" s="113">
        <f t="shared" si="86"/>
        <v>0</v>
      </c>
      <c r="AC58" s="113"/>
      <c r="AD58" s="113"/>
      <c r="AE58" s="113"/>
      <c r="AF58" s="113"/>
      <c r="AG58" s="113">
        <f t="shared" si="14"/>
        <v>0</v>
      </c>
      <c r="AH58" s="113">
        <f t="shared" si="14"/>
        <v>0</v>
      </c>
      <c r="AI58" s="114">
        <f t="shared" si="15"/>
        <v>0</v>
      </c>
      <c r="AJ58" s="114">
        <f t="shared" si="16"/>
        <v>0</v>
      </c>
      <c r="AK58" s="114">
        <f t="shared" si="16"/>
        <v>0</v>
      </c>
      <c r="AL58" s="114">
        <f t="shared" si="17"/>
        <v>0</v>
      </c>
      <c r="AM58" s="113">
        <f t="shared" si="18"/>
        <v>0</v>
      </c>
      <c r="AN58" s="113">
        <f t="shared" si="18"/>
        <v>0</v>
      </c>
      <c r="AO58" s="113"/>
      <c r="AP58" s="113"/>
      <c r="AQ58" s="113"/>
      <c r="AR58" s="113"/>
      <c r="AS58" s="113">
        <f t="shared" si="19"/>
        <v>0</v>
      </c>
      <c r="AT58" s="113">
        <f t="shared" si="19"/>
        <v>0</v>
      </c>
      <c r="AU58" s="113"/>
      <c r="AV58" s="113"/>
      <c r="AW58" s="113"/>
      <c r="AX58" s="113"/>
      <c r="AY58" s="113">
        <f t="shared" si="20"/>
        <v>0</v>
      </c>
      <c r="AZ58" s="113">
        <f t="shared" si="20"/>
        <v>0</v>
      </c>
      <c r="BA58" s="113"/>
      <c r="BB58" s="113"/>
      <c r="BC58" s="113"/>
      <c r="BD58" s="113"/>
      <c r="BE58" s="113">
        <f t="shared" si="21"/>
        <v>0</v>
      </c>
      <c r="BF58" s="113"/>
      <c r="BG58" s="113">
        <f t="shared" si="95"/>
        <v>0</v>
      </c>
      <c r="BH58" s="113"/>
      <c r="BI58" s="113"/>
      <c r="BJ58" s="113"/>
      <c r="BK58" s="113"/>
      <c r="BL58" s="113">
        <f t="shared" si="23"/>
        <v>0</v>
      </c>
      <c r="BM58" s="113"/>
      <c r="BN58" s="113">
        <f t="shared" si="96"/>
        <v>0</v>
      </c>
      <c r="BO58" s="113"/>
      <c r="BP58" s="113"/>
      <c r="BQ58" s="113"/>
      <c r="BR58" s="113"/>
      <c r="BS58" s="113">
        <f t="shared" si="25"/>
        <v>0</v>
      </c>
      <c r="BT58" s="113"/>
      <c r="BU58" s="113">
        <f t="shared" si="97"/>
        <v>0</v>
      </c>
      <c r="BV58" s="113"/>
      <c r="BW58" s="113"/>
      <c r="BX58" s="113"/>
      <c r="BY58" s="113"/>
      <c r="BZ58" s="113">
        <f t="shared" si="27"/>
        <v>0</v>
      </c>
      <c r="CA58" s="113"/>
      <c r="CB58" s="113">
        <f t="shared" si="89"/>
        <v>0</v>
      </c>
      <c r="CC58" s="113"/>
      <c r="CD58" s="113"/>
      <c r="CE58" s="113"/>
      <c r="CF58" s="113"/>
      <c r="CG58" s="113">
        <f t="shared" si="29"/>
        <v>0</v>
      </c>
      <c r="CH58" s="113">
        <f t="shared" si="90"/>
        <v>0</v>
      </c>
      <c r="CI58" s="113"/>
      <c r="CJ58" s="113"/>
      <c r="CK58" s="113"/>
      <c r="CL58" s="113"/>
      <c r="CM58" s="113">
        <f t="shared" si="31"/>
        <v>0</v>
      </c>
      <c r="CN58" s="113">
        <f t="shared" si="31"/>
        <v>0</v>
      </c>
      <c r="CO58" s="113"/>
      <c r="CP58" s="113"/>
      <c r="CQ58" s="113"/>
      <c r="CR58" s="113"/>
      <c r="CS58" s="113">
        <f t="shared" si="32"/>
        <v>0</v>
      </c>
      <c r="CT58" s="113">
        <f t="shared" si="32"/>
        <v>0</v>
      </c>
      <c r="CU58" s="113"/>
      <c r="CV58" s="113"/>
      <c r="CW58" s="113"/>
      <c r="CX58" s="113"/>
      <c r="CY58" s="113">
        <f t="shared" si="33"/>
        <v>0</v>
      </c>
      <c r="CZ58" s="113">
        <f t="shared" si="33"/>
        <v>0</v>
      </c>
      <c r="DA58" s="113"/>
      <c r="DB58" s="113"/>
      <c r="DC58" s="113"/>
      <c r="DD58" s="113"/>
      <c r="DE58" s="113">
        <f t="shared" si="34"/>
        <v>0</v>
      </c>
      <c r="DF58" s="113">
        <f t="shared" si="34"/>
        <v>0</v>
      </c>
      <c r="DG58" s="113"/>
      <c r="DH58" s="113"/>
      <c r="DI58" s="113"/>
      <c r="DJ58" s="113"/>
      <c r="DK58" s="113">
        <f t="shared" si="35"/>
        <v>0</v>
      </c>
      <c r="DL58" s="113">
        <f t="shared" si="35"/>
        <v>0</v>
      </c>
      <c r="DM58" s="113">
        <f t="shared" si="91"/>
        <v>0</v>
      </c>
      <c r="DN58" s="113">
        <f t="shared" si="92"/>
        <v>0</v>
      </c>
      <c r="DO58" s="113">
        <f t="shared" si="93"/>
        <v>0</v>
      </c>
      <c r="DP58" s="113">
        <f t="shared" si="94"/>
        <v>0</v>
      </c>
      <c r="DQ58" s="113">
        <f t="shared" si="40"/>
        <v>0</v>
      </c>
      <c r="DR58" s="113">
        <f t="shared" si="40"/>
        <v>0</v>
      </c>
    </row>
    <row r="59" spans="1:122">
      <c r="A59" s="15">
        <v>51</v>
      </c>
      <c r="B59" s="96" t="s">
        <v>747</v>
      </c>
      <c r="C59" s="187" t="s">
        <v>1026</v>
      </c>
      <c r="D59" s="96" t="s">
        <v>1028</v>
      </c>
      <c r="E59" s="185" t="s">
        <v>1165</v>
      </c>
      <c r="F59" s="161">
        <f t="shared" si="41"/>
        <v>0</v>
      </c>
      <c r="G59" s="161">
        <f t="shared" si="42"/>
        <v>0</v>
      </c>
      <c r="H59" s="161">
        <f t="shared" si="43"/>
        <v>0</v>
      </c>
      <c r="I59" s="161">
        <f t="shared" si="44"/>
        <v>0</v>
      </c>
      <c r="J59" s="165">
        <f t="shared" si="87"/>
        <v>0</v>
      </c>
      <c r="K59" s="115">
        <v>10080</v>
      </c>
      <c r="L59" s="211">
        <v>0</v>
      </c>
      <c r="M59" s="211">
        <v>0</v>
      </c>
      <c r="N59" s="127">
        <f t="shared" si="45"/>
        <v>0</v>
      </c>
      <c r="O59" s="127">
        <f t="shared" si="46"/>
        <v>0</v>
      </c>
      <c r="P59" s="127">
        <f t="shared" si="47"/>
        <v>0</v>
      </c>
      <c r="Q59" s="131">
        <f t="shared" si="48"/>
        <v>0</v>
      </c>
      <c r="R59" s="125" t="str">
        <f t="shared" si="88"/>
        <v>ნულოვანი შესრულება</v>
      </c>
      <c r="S59" s="113">
        <v>0</v>
      </c>
      <c r="T59" s="113"/>
      <c r="U59" s="113">
        <f t="shared" si="11"/>
        <v>0</v>
      </c>
      <c r="V59" s="113">
        <f t="shared" si="12"/>
        <v>0</v>
      </c>
      <c r="W59" s="113">
        <v>0</v>
      </c>
      <c r="X59" s="113">
        <v>0</v>
      </c>
      <c r="Y59" s="113">
        <v>0</v>
      </c>
      <c r="Z59" s="113">
        <v>0</v>
      </c>
      <c r="AA59" s="113">
        <f t="shared" si="86"/>
        <v>0</v>
      </c>
      <c r="AB59" s="113">
        <f t="shared" si="86"/>
        <v>0</v>
      </c>
      <c r="AC59" s="113"/>
      <c r="AD59" s="113"/>
      <c r="AE59" s="113"/>
      <c r="AF59" s="113"/>
      <c r="AG59" s="113">
        <f t="shared" si="14"/>
        <v>0</v>
      </c>
      <c r="AH59" s="113">
        <f t="shared" si="14"/>
        <v>0</v>
      </c>
      <c r="AI59" s="114">
        <f t="shared" si="15"/>
        <v>0</v>
      </c>
      <c r="AJ59" s="114">
        <f t="shared" si="16"/>
        <v>0</v>
      </c>
      <c r="AK59" s="114">
        <f t="shared" si="16"/>
        <v>0</v>
      </c>
      <c r="AL59" s="114">
        <f t="shared" si="17"/>
        <v>0</v>
      </c>
      <c r="AM59" s="113">
        <f t="shared" si="18"/>
        <v>0</v>
      </c>
      <c r="AN59" s="113">
        <f t="shared" si="18"/>
        <v>0</v>
      </c>
      <c r="AO59" s="113"/>
      <c r="AP59" s="113"/>
      <c r="AQ59" s="113"/>
      <c r="AR59" s="113"/>
      <c r="AS59" s="113">
        <f t="shared" si="19"/>
        <v>0</v>
      </c>
      <c r="AT59" s="113">
        <f t="shared" si="19"/>
        <v>0</v>
      </c>
      <c r="AU59" s="113"/>
      <c r="AV59" s="113"/>
      <c r="AW59" s="113"/>
      <c r="AX59" s="113"/>
      <c r="AY59" s="113">
        <f t="shared" si="20"/>
        <v>0</v>
      </c>
      <c r="AZ59" s="113">
        <f t="shared" si="20"/>
        <v>0</v>
      </c>
      <c r="BA59" s="113"/>
      <c r="BB59" s="113"/>
      <c r="BC59" s="113"/>
      <c r="BD59" s="113"/>
      <c r="BE59" s="113">
        <f t="shared" si="21"/>
        <v>0</v>
      </c>
      <c r="BF59" s="113"/>
      <c r="BG59" s="113">
        <f t="shared" si="95"/>
        <v>0</v>
      </c>
      <c r="BH59" s="113"/>
      <c r="BI59" s="113"/>
      <c r="BJ59" s="113"/>
      <c r="BK59" s="113"/>
      <c r="BL59" s="113">
        <f t="shared" si="23"/>
        <v>0</v>
      </c>
      <c r="BM59" s="113"/>
      <c r="BN59" s="113">
        <f t="shared" si="96"/>
        <v>0</v>
      </c>
      <c r="BO59" s="113"/>
      <c r="BP59" s="113"/>
      <c r="BQ59" s="113"/>
      <c r="BR59" s="113"/>
      <c r="BS59" s="113">
        <f t="shared" si="25"/>
        <v>0</v>
      </c>
      <c r="BT59" s="113"/>
      <c r="BU59" s="113">
        <f t="shared" si="97"/>
        <v>0</v>
      </c>
      <c r="BV59" s="113"/>
      <c r="BW59" s="113"/>
      <c r="BX59" s="113"/>
      <c r="BY59" s="113"/>
      <c r="BZ59" s="113">
        <f t="shared" si="27"/>
        <v>0</v>
      </c>
      <c r="CA59" s="113"/>
      <c r="CB59" s="113">
        <f t="shared" si="89"/>
        <v>0</v>
      </c>
      <c r="CC59" s="113"/>
      <c r="CD59" s="113"/>
      <c r="CE59" s="113"/>
      <c r="CF59" s="113"/>
      <c r="CG59" s="113">
        <f t="shared" si="29"/>
        <v>0</v>
      </c>
      <c r="CH59" s="113">
        <f t="shared" si="90"/>
        <v>0</v>
      </c>
      <c r="CI59" s="113"/>
      <c r="CJ59" s="113"/>
      <c r="CK59" s="113"/>
      <c r="CL59" s="113"/>
      <c r="CM59" s="113">
        <f t="shared" si="31"/>
        <v>0</v>
      </c>
      <c r="CN59" s="113">
        <f t="shared" si="31"/>
        <v>0</v>
      </c>
      <c r="CO59" s="113"/>
      <c r="CP59" s="113"/>
      <c r="CQ59" s="113"/>
      <c r="CR59" s="113"/>
      <c r="CS59" s="113">
        <f t="shared" si="32"/>
        <v>0</v>
      </c>
      <c r="CT59" s="113">
        <f t="shared" si="32"/>
        <v>0</v>
      </c>
      <c r="CU59" s="113"/>
      <c r="CV59" s="113"/>
      <c r="CW59" s="113"/>
      <c r="CX59" s="113"/>
      <c r="CY59" s="113">
        <f t="shared" si="33"/>
        <v>0</v>
      </c>
      <c r="CZ59" s="113">
        <f t="shared" si="33"/>
        <v>0</v>
      </c>
      <c r="DA59" s="113"/>
      <c r="DB59" s="113"/>
      <c r="DC59" s="113"/>
      <c r="DD59" s="113"/>
      <c r="DE59" s="113">
        <f t="shared" si="34"/>
        <v>0</v>
      </c>
      <c r="DF59" s="113">
        <f t="shared" si="34"/>
        <v>0</v>
      </c>
      <c r="DG59" s="113"/>
      <c r="DH59" s="113"/>
      <c r="DI59" s="113"/>
      <c r="DJ59" s="113"/>
      <c r="DK59" s="113">
        <f t="shared" si="35"/>
        <v>0</v>
      </c>
      <c r="DL59" s="113">
        <f t="shared" si="35"/>
        <v>0</v>
      </c>
      <c r="DM59" s="113">
        <f t="shared" si="91"/>
        <v>0</v>
      </c>
      <c r="DN59" s="113">
        <f t="shared" si="92"/>
        <v>0</v>
      </c>
      <c r="DO59" s="113">
        <f t="shared" si="93"/>
        <v>0</v>
      </c>
      <c r="DP59" s="113">
        <f t="shared" si="94"/>
        <v>0</v>
      </c>
      <c r="DQ59" s="113">
        <f t="shared" si="40"/>
        <v>0</v>
      </c>
      <c r="DR59" s="113">
        <f t="shared" si="40"/>
        <v>0</v>
      </c>
    </row>
    <row r="60" spans="1:122">
      <c r="A60" s="15">
        <v>52</v>
      </c>
      <c r="B60" s="96" t="s">
        <v>747</v>
      </c>
      <c r="C60" s="187" t="s">
        <v>1029</v>
      </c>
      <c r="D60" s="96" t="s">
        <v>1030</v>
      </c>
      <c r="E60" s="185" t="s">
        <v>1165</v>
      </c>
      <c r="F60" s="161">
        <f t="shared" si="41"/>
        <v>0</v>
      </c>
      <c r="G60" s="161">
        <f t="shared" si="42"/>
        <v>0</v>
      </c>
      <c r="H60" s="161">
        <f t="shared" si="43"/>
        <v>0</v>
      </c>
      <c r="I60" s="161">
        <f t="shared" si="44"/>
        <v>0</v>
      </c>
      <c r="J60" s="165">
        <f t="shared" si="87"/>
        <v>0</v>
      </c>
      <c r="K60" s="115">
        <v>136515.29999999999</v>
      </c>
      <c r="L60" s="211">
        <v>0</v>
      </c>
      <c r="M60" s="211">
        <v>0</v>
      </c>
      <c r="N60" s="127">
        <f t="shared" si="45"/>
        <v>0</v>
      </c>
      <c r="O60" s="127">
        <f t="shared" si="46"/>
        <v>0</v>
      </c>
      <c r="P60" s="127">
        <f t="shared" si="47"/>
        <v>0</v>
      </c>
      <c r="Q60" s="131">
        <f t="shared" si="48"/>
        <v>0</v>
      </c>
      <c r="R60" s="125" t="str">
        <f t="shared" si="88"/>
        <v>ნულოვანი შესრულება</v>
      </c>
      <c r="S60" s="113">
        <v>0</v>
      </c>
      <c r="T60" s="113"/>
      <c r="U60" s="113">
        <f t="shared" si="11"/>
        <v>0</v>
      </c>
      <c r="V60" s="113">
        <f t="shared" si="12"/>
        <v>0</v>
      </c>
      <c r="W60" s="113">
        <v>0</v>
      </c>
      <c r="X60" s="113">
        <v>0</v>
      </c>
      <c r="Y60" s="113">
        <v>0</v>
      </c>
      <c r="Z60" s="113">
        <v>0</v>
      </c>
      <c r="AA60" s="113">
        <f t="shared" si="86"/>
        <v>0</v>
      </c>
      <c r="AB60" s="113">
        <f t="shared" si="86"/>
        <v>0</v>
      </c>
      <c r="AC60" s="113"/>
      <c r="AD60" s="113"/>
      <c r="AE60" s="113"/>
      <c r="AF60" s="113"/>
      <c r="AG60" s="113">
        <f t="shared" si="14"/>
        <v>0</v>
      </c>
      <c r="AH60" s="113">
        <f t="shared" si="14"/>
        <v>0</v>
      </c>
      <c r="AI60" s="114">
        <f t="shared" si="15"/>
        <v>0</v>
      </c>
      <c r="AJ60" s="114">
        <f t="shared" si="16"/>
        <v>0</v>
      </c>
      <c r="AK60" s="114">
        <f t="shared" si="16"/>
        <v>0</v>
      </c>
      <c r="AL60" s="114">
        <f t="shared" si="17"/>
        <v>0</v>
      </c>
      <c r="AM60" s="113">
        <f t="shared" si="18"/>
        <v>0</v>
      </c>
      <c r="AN60" s="113">
        <f t="shared" si="18"/>
        <v>0</v>
      </c>
      <c r="AO60" s="113"/>
      <c r="AP60" s="113"/>
      <c r="AQ60" s="113"/>
      <c r="AR60" s="113"/>
      <c r="AS60" s="113">
        <f t="shared" si="19"/>
        <v>0</v>
      </c>
      <c r="AT60" s="113">
        <f t="shared" si="19"/>
        <v>0</v>
      </c>
      <c r="AU60" s="113"/>
      <c r="AV60" s="113"/>
      <c r="AW60" s="113"/>
      <c r="AX60" s="113"/>
      <c r="AY60" s="113">
        <f t="shared" si="20"/>
        <v>0</v>
      </c>
      <c r="AZ60" s="113">
        <f t="shared" si="20"/>
        <v>0</v>
      </c>
      <c r="BA60" s="113"/>
      <c r="BB60" s="113"/>
      <c r="BC60" s="113"/>
      <c r="BD60" s="113"/>
      <c r="BE60" s="113">
        <f t="shared" si="21"/>
        <v>0</v>
      </c>
      <c r="BF60" s="113"/>
      <c r="BG60" s="113">
        <f t="shared" si="95"/>
        <v>0</v>
      </c>
      <c r="BH60" s="113"/>
      <c r="BI60" s="113"/>
      <c r="BJ60" s="113"/>
      <c r="BK60" s="113"/>
      <c r="BL60" s="113">
        <f t="shared" si="23"/>
        <v>0</v>
      </c>
      <c r="BM60" s="113"/>
      <c r="BN60" s="113">
        <f t="shared" si="96"/>
        <v>0</v>
      </c>
      <c r="BO60" s="113"/>
      <c r="BP60" s="113"/>
      <c r="BQ60" s="113"/>
      <c r="BR60" s="113"/>
      <c r="BS60" s="113">
        <f t="shared" si="25"/>
        <v>0</v>
      </c>
      <c r="BT60" s="113"/>
      <c r="BU60" s="113">
        <f t="shared" si="97"/>
        <v>0</v>
      </c>
      <c r="BV60" s="113"/>
      <c r="BW60" s="113"/>
      <c r="BX60" s="113"/>
      <c r="BY60" s="113"/>
      <c r="BZ60" s="113">
        <f t="shared" si="27"/>
        <v>0</v>
      </c>
      <c r="CA60" s="113"/>
      <c r="CB60" s="113">
        <f t="shared" si="89"/>
        <v>0</v>
      </c>
      <c r="CC60" s="113"/>
      <c r="CD60" s="113"/>
      <c r="CE60" s="113"/>
      <c r="CF60" s="113"/>
      <c r="CG60" s="113">
        <f t="shared" si="29"/>
        <v>0</v>
      </c>
      <c r="CH60" s="113">
        <f t="shared" si="90"/>
        <v>0</v>
      </c>
      <c r="CI60" s="113"/>
      <c r="CJ60" s="113"/>
      <c r="CK60" s="113"/>
      <c r="CL60" s="113"/>
      <c r="CM60" s="113">
        <f t="shared" si="31"/>
        <v>0</v>
      </c>
      <c r="CN60" s="113">
        <f t="shared" si="31"/>
        <v>0</v>
      </c>
      <c r="CO60" s="113"/>
      <c r="CP60" s="113"/>
      <c r="CQ60" s="113"/>
      <c r="CR60" s="113"/>
      <c r="CS60" s="113">
        <f t="shared" si="32"/>
        <v>0</v>
      </c>
      <c r="CT60" s="113">
        <f t="shared" si="32"/>
        <v>0</v>
      </c>
      <c r="CU60" s="113"/>
      <c r="CV60" s="113"/>
      <c r="CW60" s="113"/>
      <c r="CX60" s="113"/>
      <c r="CY60" s="113">
        <f t="shared" si="33"/>
        <v>0</v>
      </c>
      <c r="CZ60" s="113">
        <f t="shared" si="33"/>
        <v>0</v>
      </c>
      <c r="DA60" s="113"/>
      <c r="DB60" s="113"/>
      <c r="DC60" s="113"/>
      <c r="DD60" s="113"/>
      <c r="DE60" s="113">
        <f t="shared" si="34"/>
        <v>0</v>
      </c>
      <c r="DF60" s="113">
        <f t="shared" si="34"/>
        <v>0</v>
      </c>
      <c r="DG60" s="113"/>
      <c r="DH60" s="113"/>
      <c r="DI60" s="113"/>
      <c r="DJ60" s="113"/>
      <c r="DK60" s="113">
        <f t="shared" si="35"/>
        <v>0</v>
      </c>
      <c r="DL60" s="113">
        <f t="shared" si="35"/>
        <v>0</v>
      </c>
      <c r="DM60" s="113">
        <f t="shared" si="91"/>
        <v>0</v>
      </c>
      <c r="DN60" s="113">
        <f t="shared" si="92"/>
        <v>0</v>
      </c>
      <c r="DO60" s="113">
        <f t="shared" si="93"/>
        <v>0</v>
      </c>
      <c r="DP60" s="113">
        <f t="shared" si="94"/>
        <v>0</v>
      </c>
      <c r="DQ60" s="113">
        <f t="shared" si="40"/>
        <v>0</v>
      </c>
      <c r="DR60" s="113">
        <f t="shared" si="40"/>
        <v>0</v>
      </c>
    </row>
    <row r="61" spans="1:122">
      <c r="A61" s="15">
        <v>53</v>
      </c>
      <c r="B61" s="96" t="s">
        <v>747</v>
      </c>
      <c r="C61" s="187" t="s">
        <v>1031</v>
      </c>
      <c r="D61" s="96" t="s">
        <v>1032</v>
      </c>
      <c r="E61" s="185" t="s">
        <v>1165</v>
      </c>
      <c r="F61" s="161">
        <f t="shared" si="41"/>
        <v>0</v>
      </c>
      <c r="G61" s="161">
        <f t="shared" si="42"/>
        <v>82774.33</v>
      </c>
      <c r="H61" s="161">
        <f t="shared" si="43"/>
        <v>-82774.33</v>
      </c>
      <c r="I61" s="161">
        <f t="shared" si="44"/>
        <v>70000</v>
      </c>
      <c r="J61" s="165">
        <f t="shared" si="87"/>
        <v>0</v>
      </c>
      <c r="K61" s="115">
        <v>29304.42</v>
      </c>
      <c r="L61" s="211">
        <v>0</v>
      </c>
      <c r="M61" s="211">
        <v>0</v>
      </c>
      <c r="N61" s="127">
        <f t="shared" si="45"/>
        <v>0</v>
      </c>
      <c r="O61" s="127">
        <f t="shared" si="46"/>
        <v>0</v>
      </c>
      <c r="P61" s="127">
        <f t="shared" si="47"/>
        <v>0</v>
      </c>
      <c r="Q61" s="131">
        <f t="shared" si="48"/>
        <v>0</v>
      </c>
      <c r="R61" s="125">
        <f t="shared" si="88"/>
        <v>82774.33</v>
      </c>
      <c r="S61" s="113">
        <v>0</v>
      </c>
      <c r="T61" s="113"/>
      <c r="U61" s="113">
        <f t="shared" si="11"/>
        <v>0</v>
      </c>
      <c r="V61" s="113">
        <f t="shared" si="12"/>
        <v>0</v>
      </c>
      <c r="W61" s="113">
        <v>0</v>
      </c>
      <c r="X61" s="113">
        <v>0</v>
      </c>
      <c r="Y61" s="113">
        <v>0</v>
      </c>
      <c r="Z61" s="113">
        <v>0</v>
      </c>
      <c r="AA61" s="113">
        <f t="shared" si="86"/>
        <v>0</v>
      </c>
      <c r="AB61" s="113">
        <f t="shared" si="86"/>
        <v>0</v>
      </c>
      <c r="AC61" s="113"/>
      <c r="AD61" s="113"/>
      <c r="AE61" s="113"/>
      <c r="AF61" s="113"/>
      <c r="AG61" s="113">
        <f t="shared" si="14"/>
        <v>0</v>
      </c>
      <c r="AH61" s="113">
        <f t="shared" si="14"/>
        <v>0</v>
      </c>
      <c r="AI61" s="114">
        <f t="shared" si="15"/>
        <v>0</v>
      </c>
      <c r="AJ61" s="114">
        <f t="shared" si="16"/>
        <v>0</v>
      </c>
      <c r="AK61" s="114">
        <f t="shared" si="16"/>
        <v>0</v>
      </c>
      <c r="AL61" s="114">
        <f t="shared" si="17"/>
        <v>0</v>
      </c>
      <c r="AM61" s="113">
        <f t="shared" si="18"/>
        <v>0</v>
      </c>
      <c r="AN61" s="113">
        <f t="shared" si="18"/>
        <v>0</v>
      </c>
      <c r="AO61" s="113"/>
      <c r="AP61" s="113"/>
      <c r="AQ61" s="113"/>
      <c r="AR61" s="113"/>
      <c r="AS61" s="113">
        <f t="shared" si="19"/>
        <v>0</v>
      </c>
      <c r="AT61" s="113">
        <f t="shared" si="19"/>
        <v>0</v>
      </c>
      <c r="AU61" s="113"/>
      <c r="AV61" s="113"/>
      <c r="AW61" s="113"/>
      <c r="AX61" s="113"/>
      <c r="AY61" s="113">
        <f t="shared" si="20"/>
        <v>0</v>
      </c>
      <c r="AZ61" s="113">
        <f t="shared" si="20"/>
        <v>0</v>
      </c>
      <c r="BA61" s="113"/>
      <c r="BB61" s="113">
        <v>67000</v>
      </c>
      <c r="BC61" s="113"/>
      <c r="BD61" s="113"/>
      <c r="BE61" s="113">
        <f t="shared" si="21"/>
        <v>0</v>
      </c>
      <c r="BF61" s="113">
        <v>67000</v>
      </c>
      <c r="BG61" s="113">
        <f t="shared" si="95"/>
        <v>67000</v>
      </c>
      <c r="BH61" s="113"/>
      <c r="BI61" s="113"/>
      <c r="BJ61" s="113"/>
      <c r="BK61" s="113">
        <v>15774.33</v>
      </c>
      <c r="BL61" s="113">
        <f t="shared" si="23"/>
        <v>0</v>
      </c>
      <c r="BM61" s="113">
        <v>3000</v>
      </c>
      <c r="BN61" s="113">
        <f t="shared" si="96"/>
        <v>15774.33</v>
      </c>
      <c r="BO61" s="113"/>
      <c r="BP61" s="113"/>
      <c r="BQ61" s="113"/>
      <c r="BR61" s="113"/>
      <c r="BS61" s="113">
        <f t="shared" si="25"/>
        <v>0</v>
      </c>
      <c r="BT61" s="113"/>
      <c r="BU61" s="113">
        <f t="shared" si="97"/>
        <v>0</v>
      </c>
      <c r="BV61" s="113"/>
      <c r="BW61" s="113"/>
      <c r="BX61" s="113"/>
      <c r="BY61" s="113"/>
      <c r="BZ61" s="113">
        <f t="shared" si="27"/>
        <v>0</v>
      </c>
      <c r="CA61" s="113"/>
      <c r="CB61" s="113">
        <f t="shared" si="89"/>
        <v>0</v>
      </c>
      <c r="CC61" s="113"/>
      <c r="CD61" s="113"/>
      <c r="CE61" s="113"/>
      <c r="CF61" s="113"/>
      <c r="CG61" s="113">
        <f t="shared" si="29"/>
        <v>0</v>
      </c>
      <c r="CH61" s="113">
        <f t="shared" si="90"/>
        <v>0</v>
      </c>
      <c r="CI61" s="113"/>
      <c r="CJ61" s="113"/>
      <c r="CK61" s="113"/>
      <c r="CL61" s="113"/>
      <c r="CM61" s="113">
        <f t="shared" si="31"/>
        <v>0</v>
      </c>
      <c r="CN61" s="113">
        <f t="shared" si="31"/>
        <v>0</v>
      </c>
      <c r="CO61" s="113"/>
      <c r="CP61" s="113"/>
      <c r="CQ61" s="113"/>
      <c r="CR61" s="113"/>
      <c r="CS61" s="113">
        <f t="shared" si="32"/>
        <v>0</v>
      </c>
      <c r="CT61" s="113">
        <f t="shared" si="32"/>
        <v>0</v>
      </c>
      <c r="CU61" s="113"/>
      <c r="CV61" s="113"/>
      <c r="CW61" s="113"/>
      <c r="CX61" s="113"/>
      <c r="CY61" s="113">
        <f t="shared" si="33"/>
        <v>0</v>
      </c>
      <c r="CZ61" s="113">
        <f t="shared" si="33"/>
        <v>0</v>
      </c>
      <c r="DA61" s="113"/>
      <c r="DB61" s="113"/>
      <c r="DC61" s="113"/>
      <c r="DD61" s="113"/>
      <c r="DE61" s="113">
        <f t="shared" si="34"/>
        <v>0</v>
      </c>
      <c r="DF61" s="113">
        <f t="shared" si="34"/>
        <v>0</v>
      </c>
      <c r="DG61" s="113"/>
      <c r="DH61" s="113"/>
      <c r="DI61" s="113"/>
      <c r="DJ61" s="113"/>
      <c r="DK61" s="113">
        <f t="shared" si="35"/>
        <v>0</v>
      </c>
      <c r="DL61" s="113">
        <f t="shared" si="35"/>
        <v>0</v>
      </c>
      <c r="DM61" s="113">
        <f t="shared" si="91"/>
        <v>0</v>
      </c>
      <c r="DN61" s="113">
        <f t="shared" si="92"/>
        <v>67000</v>
      </c>
      <c r="DO61" s="113">
        <f t="shared" si="93"/>
        <v>0</v>
      </c>
      <c r="DP61" s="113">
        <f t="shared" si="94"/>
        <v>15774.33</v>
      </c>
      <c r="DQ61" s="113">
        <f t="shared" si="40"/>
        <v>0</v>
      </c>
      <c r="DR61" s="113">
        <f t="shared" si="40"/>
        <v>82774.33</v>
      </c>
    </row>
    <row r="62" spans="1:122">
      <c r="A62" s="15">
        <v>54</v>
      </c>
      <c r="B62" s="96" t="s">
        <v>747</v>
      </c>
      <c r="C62" s="96" t="s">
        <v>1033</v>
      </c>
      <c r="D62" s="96" t="s">
        <v>1034</v>
      </c>
      <c r="E62" s="185" t="s">
        <v>1164</v>
      </c>
      <c r="F62" s="161">
        <f t="shared" si="41"/>
        <v>0</v>
      </c>
      <c r="G62" s="161">
        <f t="shared" si="42"/>
        <v>0</v>
      </c>
      <c r="H62" s="161">
        <f t="shared" si="43"/>
        <v>0</v>
      </c>
      <c r="I62" s="161">
        <f t="shared" si="44"/>
        <v>0</v>
      </c>
      <c r="J62" s="165">
        <f t="shared" si="87"/>
        <v>0</v>
      </c>
      <c r="K62" s="115"/>
      <c r="L62" s="211">
        <v>0</v>
      </c>
      <c r="M62" s="211">
        <v>0</v>
      </c>
      <c r="N62" s="127">
        <f t="shared" si="45"/>
        <v>0</v>
      </c>
      <c r="O62" s="127">
        <f t="shared" si="46"/>
        <v>0</v>
      </c>
      <c r="P62" s="127">
        <f t="shared" si="47"/>
        <v>0</v>
      </c>
      <c r="Q62" s="131">
        <f t="shared" si="48"/>
        <v>0</v>
      </c>
      <c r="R62" s="125" t="str">
        <f t="shared" si="88"/>
        <v>ნულოვანი შესრულება</v>
      </c>
      <c r="S62" s="113">
        <v>0</v>
      </c>
      <c r="T62" s="113"/>
      <c r="U62" s="113">
        <f t="shared" si="11"/>
        <v>0</v>
      </c>
      <c r="V62" s="113">
        <f t="shared" si="12"/>
        <v>0</v>
      </c>
      <c r="W62" s="113">
        <v>0</v>
      </c>
      <c r="X62" s="113">
        <v>0</v>
      </c>
      <c r="Y62" s="113">
        <v>0</v>
      </c>
      <c r="Z62" s="113">
        <v>0</v>
      </c>
      <c r="AA62" s="113">
        <f t="shared" si="86"/>
        <v>0</v>
      </c>
      <c r="AB62" s="113">
        <f t="shared" si="86"/>
        <v>0</v>
      </c>
      <c r="AC62" s="113"/>
      <c r="AD62" s="113"/>
      <c r="AE62" s="113"/>
      <c r="AF62" s="113"/>
      <c r="AG62" s="113">
        <f t="shared" si="14"/>
        <v>0</v>
      </c>
      <c r="AH62" s="113">
        <f t="shared" si="14"/>
        <v>0</v>
      </c>
      <c r="AI62" s="114">
        <f t="shared" si="15"/>
        <v>0</v>
      </c>
      <c r="AJ62" s="114">
        <f t="shared" si="16"/>
        <v>0</v>
      </c>
      <c r="AK62" s="114">
        <f t="shared" si="16"/>
        <v>0</v>
      </c>
      <c r="AL62" s="114">
        <f t="shared" si="17"/>
        <v>0</v>
      </c>
      <c r="AM62" s="113">
        <f t="shared" si="18"/>
        <v>0</v>
      </c>
      <c r="AN62" s="113">
        <f t="shared" si="18"/>
        <v>0</v>
      </c>
      <c r="AO62" s="113"/>
      <c r="AP62" s="113"/>
      <c r="AQ62" s="113"/>
      <c r="AR62" s="113"/>
      <c r="AS62" s="113">
        <f t="shared" si="19"/>
        <v>0</v>
      </c>
      <c r="AT62" s="113">
        <f t="shared" si="19"/>
        <v>0</v>
      </c>
      <c r="AU62" s="113"/>
      <c r="AV62" s="113"/>
      <c r="AW62" s="113"/>
      <c r="AX62" s="113"/>
      <c r="AY62" s="113">
        <f t="shared" si="20"/>
        <v>0</v>
      </c>
      <c r="AZ62" s="113">
        <f t="shared" si="20"/>
        <v>0</v>
      </c>
      <c r="BA62" s="113"/>
      <c r="BB62" s="113"/>
      <c r="BC62" s="113"/>
      <c r="BD62" s="113"/>
      <c r="BE62" s="113">
        <f t="shared" si="21"/>
        <v>0</v>
      </c>
      <c r="BF62" s="113"/>
      <c r="BG62" s="113">
        <f t="shared" si="95"/>
        <v>0</v>
      </c>
      <c r="BH62" s="113"/>
      <c r="BI62" s="113"/>
      <c r="BJ62" s="113"/>
      <c r="BK62" s="113"/>
      <c r="BL62" s="113">
        <f t="shared" si="23"/>
        <v>0</v>
      </c>
      <c r="BM62" s="113"/>
      <c r="BN62" s="113">
        <f t="shared" si="96"/>
        <v>0</v>
      </c>
      <c r="BO62" s="113"/>
      <c r="BP62" s="113"/>
      <c r="BQ62" s="113"/>
      <c r="BR62" s="113"/>
      <c r="BS62" s="113">
        <f t="shared" si="25"/>
        <v>0</v>
      </c>
      <c r="BT62" s="113"/>
      <c r="BU62" s="113">
        <f t="shared" si="97"/>
        <v>0</v>
      </c>
      <c r="BV62" s="113"/>
      <c r="BW62" s="113"/>
      <c r="BX62" s="113"/>
      <c r="BY62" s="113"/>
      <c r="BZ62" s="113">
        <f t="shared" si="27"/>
        <v>0</v>
      </c>
      <c r="CA62" s="113"/>
      <c r="CB62" s="113">
        <f t="shared" si="89"/>
        <v>0</v>
      </c>
      <c r="CC62" s="113"/>
      <c r="CD62" s="113"/>
      <c r="CE62" s="113"/>
      <c r="CF62" s="113"/>
      <c r="CG62" s="113">
        <f t="shared" si="29"/>
        <v>0</v>
      </c>
      <c r="CH62" s="113">
        <f t="shared" si="90"/>
        <v>0</v>
      </c>
      <c r="CI62" s="113"/>
      <c r="CJ62" s="113"/>
      <c r="CK62" s="113"/>
      <c r="CL62" s="113"/>
      <c r="CM62" s="113">
        <f t="shared" si="31"/>
        <v>0</v>
      </c>
      <c r="CN62" s="113">
        <f t="shared" si="31"/>
        <v>0</v>
      </c>
      <c r="CO62" s="113"/>
      <c r="CP62" s="113"/>
      <c r="CQ62" s="113"/>
      <c r="CR62" s="113"/>
      <c r="CS62" s="113">
        <f t="shared" si="32"/>
        <v>0</v>
      </c>
      <c r="CT62" s="113">
        <f t="shared" si="32"/>
        <v>0</v>
      </c>
      <c r="CU62" s="113"/>
      <c r="CV62" s="113"/>
      <c r="CW62" s="113"/>
      <c r="CX62" s="113"/>
      <c r="CY62" s="113">
        <f t="shared" si="33"/>
        <v>0</v>
      </c>
      <c r="CZ62" s="113">
        <f t="shared" si="33"/>
        <v>0</v>
      </c>
      <c r="DA62" s="113"/>
      <c r="DB62" s="113"/>
      <c r="DC62" s="113"/>
      <c r="DD62" s="113"/>
      <c r="DE62" s="113">
        <f t="shared" si="34"/>
        <v>0</v>
      </c>
      <c r="DF62" s="113">
        <f t="shared" si="34"/>
        <v>0</v>
      </c>
      <c r="DG62" s="113"/>
      <c r="DH62" s="113"/>
      <c r="DI62" s="113"/>
      <c r="DJ62" s="113"/>
      <c r="DK62" s="113">
        <f t="shared" si="35"/>
        <v>0</v>
      </c>
      <c r="DL62" s="113">
        <f t="shared" si="35"/>
        <v>0</v>
      </c>
      <c r="DM62" s="113">
        <f t="shared" si="91"/>
        <v>0</v>
      </c>
      <c r="DN62" s="113">
        <f t="shared" si="92"/>
        <v>0</v>
      </c>
      <c r="DO62" s="113">
        <f t="shared" si="93"/>
        <v>0</v>
      </c>
      <c r="DP62" s="113">
        <f t="shared" si="94"/>
        <v>0</v>
      </c>
      <c r="DQ62" s="113">
        <f t="shared" si="40"/>
        <v>0</v>
      </c>
      <c r="DR62" s="113">
        <f t="shared" si="40"/>
        <v>0</v>
      </c>
    </row>
    <row r="63" spans="1:122">
      <c r="A63" s="15">
        <v>55</v>
      </c>
      <c r="B63" s="96" t="s">
        <v>747</v>
      </c>
      <c r="C63" s="187" t="s">
        <v>1033</v>
      </c>
      <c r="D63" s="96" t="s">
        <v>1035</v>
      </c>
      <c r="E63" s="185" t="s">
        <v>1165</v>
      </c>
      <c r="F63" s="161">
        <f t="shared" si="41"/>
        <v>0</v>
      </c>
      <c r="G63" s="161">
        <f t="shared" si="42"/>
        <v>0</v>
      </c>
      <c r="H63" s="161">
        <f t="shared" si="43"/>
        <v>0</v>
      </c>
      <c r="I63" s="161">
        <f t="shared" si="44"/>
        <v>0</v>
      </c>
      <c r="J63" s="165">
        <f t="shared" si="87"/>
        <v>0</v>
      </c>
      <c r="K63" s="115">
        <v>26220</v>
      </c>
      <c r="L63" s="211">
        <v>0</v>
      </c>
      <c r="M63" s="211">
        <v>0</v>
      </c>
      <c r="N63" s="127">
        <f t="shared" si="45"/>
        <v>0</v>
      </c>
      <c r="O63" s="127">
        <f t="shared" si="46"/>
        <v>0</v>
      </c>
      <c r="P63" s="127">
        <f t="shared" si="47"/>
        <v>0</v>
      </c>
      <c r="Q63" s="131">
        <f t="shared" si="48"/>
        <v>0</v>
      </c>
      <c r="R63" s="125" t="str">
        <f t="shared" si="88"/>
        <v>ნულოვანი შესრულება</v>
      </c>
      <c r="S63" s="113">
        <v>0</v>
      </c>
      <c r="T63" s="113"/>
      <c r="U63" s="113">
        <f t="shared" si="11"/>
        <v>0</v>
      </c>
      <c r="V63" s="113">
        <f t="shared" si="12"/>
        <v>0</v>
      </c>
      <c r="W63" s="113">
        <v>0</v>
      </c>
      <c r="X63" s="113">
        <v>0</v>
      </c>
      <c r="Y63" s="113">
        <v>0</v>
      </c>
      <c r="Z63" s="113">
        <v>0</v>
      </c>
      <c r="AA63" s="113">
        <f t="shared" si="86"/>
        <v>0</v>
      </c>
      <c r="AB63" s="113">
        <f t="shared" si="86"/>
        <v>0</v>
      </c>
      <c r="AC63" s="113"/>
      <c r="AD63" s="113"/>
      <c r="AE63" s="113"/>
      <c r="AF63" s="113"/>
      <c r="AG63" s="113">
        <f t="shared" si="14"/>
        <v>0</v>
      </c>
      <c r="AH63" s="113">
        <f t="shared" si="14"/>
        <v>0</v>
      </c>
      <c r="AI63" s="114">
        <f t="shared" si="15"/>
        <v>0</v>
      </c>
      <c r="AJ63" s="114">
        <f t="shared" si="16"/>
        <v>0</v>
      </c>
      <c r="AK63" s="114">
        <f t="shared" si="16"/>
        <v>0</v>
      </c>
      <c r="AL63" s="114">
        <f t="shared" si="17"/>
        <v>0</v>
      </c>
      <c r="AM63" s="113">
        <f t="shared" si="18"/>
        <v>0</v>
      </c>
      <c r="AN63" s="113">
        <f t="shared" si="18"/>
        <v>0</v>
      </c>
      <c r="AO63" s="113"/>
      <c r="AP63" s="113"/>
      <c r="AQ63" s="113"/>
      <c r="AR63" s="113"/>
      <c r="AS63" s="113">
        <f t="shared" si="19"/>
        <v>0</v>
      </c>
      <c r="AT63" s="113">
        <f t="shared" si="19"/>
        <v>0</v>
      </c>
      <c r="AU63" s="113"/>
      <c r="AV63" s="113"/>
      <c r="AW63" s="113"/>
      <c r="AX63" s="113"/>
      <c r="AY63" s="113">
        <f t="shared" si="20"/>
        <v>0</v>
      </c>
      <c r="AZ63" s="113">
        <f t="shared" si="20"/>
        <v>0</v>
      </c>
      <c r="BA63" s="113"/>
      <c r="BB63" s="113"/>
      <c r="BC63" s="113"/>
      <c r="BD63" s="113"/>
      <c r="BE63" s="113">
        <f t="shared" si="21"/>
        <v>0</v>
      </c>
      <c r="BF63" s="113"/>
      <c r="BG63" s="113">
        <f t="shared" si="95"/>
        <v>0</v>
      </c>
      <c r="BH63" s="113"/>
      <c r="BI63" s="113"/>
      <c r="BJ63" s="113"/>
      <c r="BK63" s="113"/>
      <c r="BL63" s="113">
        <f t="shared" si="23"/>
        <v>0</v>
      </c>
      <c r="BM63" s="113"/>
      <c r="BN63" s="113">
        <f t="shared" si="96"/>
        <v>0</v>
      </c>
      <c r="BO63" s="113"/>
      <c r="BP63" s="113"/>
      <c r="BQ63" s="113"/>
      <c r="BR63" s="113"/>
      <c r="BS63" s="113">
        <f t="shared" si="25"/>
        <v>0</v>
      </c>
      <c r="BT63" s="113"/>
      <c r="BU63" s="113">
        <f t="shared" si="97"/>
        <v>0</v>
      </c>
      <c r="BV63" s="113"/>
      <c r="BW63" s="113"/>
      <c r="BX63" s="113"/>
      <c r="BY63" s="113"/>
      <c r="BZ63" s="113">
        <f t="shared" si="27"/>
        <v>0</v>
      </c>
      <c r="CA63" s="113"/>
      <c r="CB63" s="113">
        <f t="shared" si="89"/>
        <v>0</v>
      </c>
      <c r="CC63" s="113"/>
      <c r="CD63" s="113"/>
      <c r="CE63" s="113"/>
      <c r="CF63" s="113"/>
      <c r="CG63" s="113">
        <f t="shared" si="29"/>
        <v>0</v>
      </c>
      <c r="CH63" s="113">
        <f t="shared" si="90"/>
        <v>0</v>
      </c>
      <c r="CI63" s="113"/>
      <c r="CJ63" s="113"/>
      <c r="CK63" s="113"/>
      <c r="CL63" s="113"/>
      <c r="CM63" s="113">
        <f t="shared" si="31"/>
        <v>0</v>
      </c>
      <c r="CN63" s="113">
        <f t="shared" si="31"/>
        <v>0</v>
      </c>
      <c r="CO63" s="113"/>
      <c r="CP63" s="113"/>
      <c r="CQ63" s="113"/>
      <c r="CR63" s="113"/>
      <c r="CS63" s="113">
        <f t="shared" si="32"/>
        <v>0</v>
      </c>
      <c r="CT63" s="113">
        <f t="shared" si="32"/>
        <v>0</v>
      </c>
      <c r="CU63" s="113"/>
      <c r="CV63" s="113"/>
      <c r="CW63" s="113"/>
      <c r="CX63" s="113"/>
      <c r="CY63" s="113">
        <f t="shared" si="33"/>
        <v>0</v>
      </c>
      <c r="CZ63" s="113">
        <f t="shared" si="33"/>
        <v>0</v>
      </c>
      <c r="DA63" s="113"/>
      <c r="DB63" s="113"/>
      <c r="DC63" s="113"/>
      <c r="DD63" s="113"/>
      <c r="DE63" s="113">
        <f t="shared" si="34"/>
        <v>0</v>
      </c>
      <c r="DF63" s="113">
        <f t="shared" si="34"/>
        <v>0</v>
      </c>
      <c r="DG63" s="113"/>
      <c r="DH63" s="113"/>
      <c r="DI63" s="113"/>
      <c r="DJ63" s="113"/>
      <c r="DK63" s="113">
        <f t="shared" si="35"/>
        <v>0</v>
      </c>
      <c r="DL63" s="113">
        <f t="shared" si="35"/>
        <v>0</v>
      </c>
      <c r="DM63" s="113">
        <f t="shared" si="91"/>
        <v>0</v>
      </c>
      <c r="DN63" s="113">
        <f t="shared" si="92"/>
        <v>0</v>
      </c>
      <c r="DO63" s="113">
        <f t="shared" si="93"/>
        <v>0</v>
      </c>
      <c r="DP63" s="113">
        <f t="shared" si="94"/>
        <v>0</v>
      </c>
      <c r="DQ63" s="113">
        <f t="shared" si="40"/>
        <v>0</v>
      </c>
      <c r="DR63" s="113">
        <f t="shared" si="40"/>
        <v>0</v>
      </c>
    </row>
    <row r="64" spans="1:122">
      <c r="A64" s="15">
        <v>56</v>
      </c>
      <c r="B64" s="96" t="s">
        <v>747</v>
      </c>
      <c r="C64" s="96" t="s">
        <v>1036</v>
      </c>
      <c r="D64" s="96" t="s">
        <v>1037</v>
      </c>
      <c r="E64" s="185" t="s">
        <v>1164</v>
      </c>
      <c r="F64" s="161">
        <f t="shared" si="41"/>
        <v>0</v>
      </c>
      <c r="G64" s="161">
        <f t="shared" si="42"/>
        <v>0</v>
      </c>
      <c r="H64" s="161">
        <f t="shared" si="43"/>
        <v>0</v>
      </c>
      <c r="I64" s="161">
        <f t="shared" si="44"/>
        <v>0</v>
      </c>
      <c r="J64" s="165">
        <f t="shared" si="87"/>
        <v>0</v>
      </c>
      <c r="K64" s="115"/>
      <c r="L64" s="211">
        <v>0</v>
      </c>
      <c r="M64" s="211">
        <v>0</v>
      </c>
      <c r="N64" s="127">
        <f t="shared" si="45"/>
        <v>0</v>
      </c>
      <c r="O64" s="127">
        <f t="shared" si="46"/>
        <v>0</v>
      </c>
      <c r="P64" s="127">
        <f t="shared" si="47"/>
        <v>0</v>
      </c>
      <c r="Q64" s="131">
        <f t="shared" si="48"/>
        <v>0</v>
      </c>
      <c r="R64" s="125" t="str">
        <f t="shared" si="88"/>
        <v>ნულოვანი შესრულება</v>
      </c>
      <c r="S64" s="113">
        <v>0</v>
      </c>
      <c r="T64" s="113"/>
      <c r="U64" s="113">
        <f t="shared" si="11"/>
        <v>0</v>
      </c>
      <c r="V64" s="113">
        <f t="shared" si="12"/>
        <v>0</v>
      </c>
      <c r="W64" s="113">
        <v>0</v>
      </c>
      <c r="X64" s="113">
        <v>0</v>
      </c>
      <c r="Y64" s="113">
        <v>0</v>
      </c>
      <c r="Z64" s="113">
        <v>0</v>
      </c>
      <c r="AA64" s="113">
        <f t="shared" si="86"/>
        <v>0</v>
      </c>
      <c r="AB64" s="113">
        <f t="shared" si="86"/>
        <v>0</v>
      </c>
      <c r="AC64" s="113"/>
      <c r="AD64" s="113"/>
      <c r="AE64" s="113"/>
      <c r="AF64" s="113"/>
      <c r="AG64" s="113">
        <f t="shared" si="14"/>
        <v>0</v>
      </c>
      <c r="AH64" s="113">
        <f t="shared" si="14"/>
        <v>0</v>
      </c>
      <c r="AI64" s="114">
        <f t="shared" si="15"/>
        <v>0</v>
      </c>
      <c r="AJ64" s="114">
        <f t="shared" si="16"/>
        <v>0</v>
      </c>
      <c r="AK64" s="114">
        <f t="shared" si="16"/>
        <v>0</v>
      </c>
      <c r="AL64" s="114">
        <f t="shared" si="17"/>
        <v>0</v>
      </c>
      <c r="AM64" s="113">
        <f t="shared" si="18"/>
        <v>0</v>
      </c>
      <c r="AN64" s="113">
        <f t="shared" si="18"/>
        <v>0</v>
      </c>
      <c r="AO64" s="113"/>
      <c r="AP64" s="113"/>
      <c r="AQ64" s="113"/>
      <c r="AR64" s="113"/>
      <c r="AS64" s="113">
        <f t="shared" si="19"/>
        <v>0</v>
      </c>
      <c r="AT64" s="113">
        <f t="shared" si="19"/>
        <v>0</v>
      </c>
      <c r="AU64" s="113"/>
      <c r="AV64" s="113"/>
      <c r="AW64" s="113"/>
      <c r="AX64" s="113"/>
      <c r="AY64" s="113">
        <f t="shared" si="20"/>
        <v>0</v>
      </c>
      <c r="AZ64" s="113">
        <f t="shared" si="20"/>
        <v>0</v>
      </c>
      <c r="BA64" s="113"/>
      <c r="BB64" s="113"/>
      <c r="BC64" s="113"/>
      <c r="BD64" s="113"/>
      <c r="BE64" s="113">
        <f t="shared" si="21"/>
        <v>0</v>
      </c>
      <c r="BF64" s="113"/>
      <c r="BG64" s="113">
        <f t="shared" si="95"/>
        <v>0</v>
      </c>
      <c r="BH64" s="113"/>
      <c r="BI64" s="113"/>
      <c r="BJ64" s="113"/>
      <c r="BK64" s="113"/>
      <c r="BL64" s="113">
        <f t="shared" si="23"/>
        <v>0</v>
      </c>
      <c r="BM64" s="113"/>
      <c r="BN64" s="113">
        <f t="shared" si="96"/>
        <v>0</v>
      </c>
      <c r="BO64" s="113"/>
      <c r="BP64" s="113"/>
      <c r="BQ64" s="113"/>
      <c r="BR64" s="113"/>
      <c r="BS64" s="113">
        <f t="shared" si="25"/>
        <v>0</v>
      </c>
      <c r="BT64" s="113"/>
      <c r="BU64" s="113">
        <f t="shared" si="97"/>
        <v>0</v>
      </c>
      <c r="BV64" s="113"/>
      <c r="BW64" s="113"/>
      <c r="BX64" s="113"/>
      <c r="BY64" s="113"/>
      <c r="BZ64" s="113">
        <f t="shared" si="27"/>
        <v>0</v>
      </c>
      <c r="CA64" s="113"/>
      <c r="CB64" s="113">
        <f t="shared" si="89"/>
        <v>0</v>
      </c>
      <c r="CC64" s="113"/>
      <c r="CD64" s="113"/>
      <c r="CE64" s="113"/>
      <c r="CF64" s="113"/>
      <c r="CG64" s="113">
        <f t="shared" si="29"/>
        <v>0</v>
      </c>
      <c r="CH64" s="113">
        <f t="shared" si="90"/>
        <v>0</v>
      </c>
      <c r="CI64" s="113"/>
      <c r="CJ64" s="113"/>
      <c r="CK64" s="113"/>
      <c r="CL64" s="113"/>
      <c r="CM64" s="113">
        <f t="shared" si="31"/>
        <v>0</v>
      </c>
      <c r="CN64" s="113">
        <f t="shared" si="31"/>
        <v>0</v>
      </c>
      <c r="CO64" s="113"/>
      <c r="CP64" s="113"/>
      <c r="CQ64" s="113"/>
      <c r="CR64" s="113"/>
      <c r="CS64" s="113">
        <f t="shared" si="32"/>
        <v>0</v>
      </c>
      <c r="CT64" s="113">
        <f t="shared" si="32"/>
        <v>0</v>
      </c>
      <c r="CU64" s="113"/>
      <c r="CV64" s="113"/>
      <c r="CW64" s="113"/>
      <c r="CX64" s="113"/>
      <c r="CY64" s="113">
        <f t="shared" si="33"/>
        <v>0</v>
      </c>
      <c r="CZ64" s="113">
        <f t="shared" si="33"/>
        <v>0</v>
      </c>
      <c r="DA64" s="113"/>
      <c r="DB64" s="113"/>
      <c r="DC64" s="113"/>
      <c r="DD64" s="113"/>
      <c r="DE64" s="113">
        <f t="shared" si="34"/>
        <v>0</v>
      </c>
      <c r="DF64" s="113">
        <f t="shared" si="34"/>
        <v>0</v>
      </c>
      <c r="DG64" s="113"/>
      <c r="DH64" s="113"/>
      <c r="DI64" s="113"/>
      <c r="DJ64" s="113"/>
      <c r="DK64" s="113">
        <f t="shared" si="35"/>
        <v>0</v>
      </c>
      <c r="DL64" s="113">
        <f t="shared" si="35"/>
        <v>0</v>
      </c>
      <c r="DM64" s="113">
        <f t="shared" si="91"/>
        <v>0</v>
      </c>
      <c r="DN64" s="113">
        <f t="shared" si="92"/>
        <v>0</v>
      </c>
      <c r="DO64" s="113">
        <f t="shared" si="93"/>
        <v>0</v>
      </c>
      <c r="DP64" s="113">
        <f t="shared" si="94"/>
        <v>0</v>
      </c>
      <c r="DQ64" s="113">
        <f t="shared" si="40"/>
        <v>0</v>
      </c>
      <c r="DR64" s="113">
        <f t="shared" si="40"/>
        <v>0</v>
      </c>
    </row>
    <row r="65" spans="1:122">
      <c r="A65" s="15">
        <v>57</v>
      </c>
      <c r="B65" s="96" t="s">
        <v>747</v>
      </c>
      <c r="C65" s="187" t="s">
        <v>1036</v>
      </c>
      <c r="D65" s="96" t="s">
        <v>1038</v>
      </c>
      <c r="E65" s="185" t="s">
        <v>1165</v>
      </c>
      <c r="F65" s="161">
        <f t="shared" si="41"/>
        <v>0</v>
      </c>
      <c r="G65" s="161">
        <f t="shared" si="42"/>
        <v>0</v>
      </c>
      <c r="H65" s="161">
        <f t="shared" si="43"/>
        <v>0</v>
      </c>
      <c r="I65" s="161">
        <f t="shared" si="44"/>
        <v>0</v>
      </c>
      <c r="J65" s="165">
        <f t="shared" si="87"/>
        <v>0</v>
      </c>
      <c r="K65" s="115">
        <v>46275.1</v>
      </c>
      <c r="L65" s="211">
        <v>0</v>
      </c>
      <c r="M65" s="211">
        <v>0</v>
      </c>
      <c r="N65" s="127">
        <f t="shared" si="45"/>
        <v>0</v>
      </c>
      <c r="O65" s="127">
        <f t="shared" si="46"/>
        <v>0</v>
      </c>
      <c r="P65" s="127">
        <f t="shared" si="47"/>
        <v>0</v>
      </c>
      <c r="Q65" s="131">
        <f t="shared" si="48"/>
        <v>0</v>
      </c>
      <c r="R65" s="125" t="str">
        <f t="shared" si="88"/>
        <v>ნულოვანი შესრულება</v>
      </c>
      <c r="S65" s="113">
        <v>0</v>
      </c>
      <c r="T65" s="113"/>
      <c r="U65" s="113">
        <f t="shared" si="11"/>
        <v>0</v>
      </c>
      <c r="V65" s="113">
        <f t="shared" si="12"/>
        <v>0</v>
      </c>
      <c r="W65" s="113">
        <v>0</v>
      </c>
      <c r="X65" s="113">
        <v>0</v>
      </c>
      <c r="Y65" s="113">
        <v>0</v>
      </c>
      <c r="Z65" s="113">
        <v>0</v>
      </c>
      <c r="AA65" s="113">
        <f t="shared" si="86"/>
        <v>0</v>
      </c>
      <c r="AB65" s="113">
        <f t="shared" si="86"/>
        <v>0</v>
      </c>
      <c r="AC65" s="113"/>
      <c r="AD65" s="113"/>
      <c r="AE65" s="113"/>
      <c r="AF65" s="113"/>
      <c r="AG65" s="113">
        <f t="shared" si="14"/>
        <v>0</v>
      </c>
      <c r="AH65" s="113">
        <f t="shared" si="14"/>
        <v>0</v>
      </c>
      <c r="AI65" s="114">
        <f t="shared" si="15"/>
        <v>0</v>
      </c>
      <c r="AJ65" s="114">
        <f t="shared" si="16"/>
        <v>0</v>
      </c>
      <c r="AK65" s="114">
        <f t="shared" si="16"/>
        <v>0</v>
      </c>
      <c r="AL65" s="114">
        <f t="shared" si="17"/>
        <v>0</v>
      </c>
      <c r="AM65" s="113">
        <f t="shared" si="18"/>
        <v>0</v>
      </c>
      <c r="AN65" s="113">
        <f t="shared" si="18"/>
        <v>0</v>
      </c>
      <c r="AO65" s="113"/>
      <c r="AP65" s="113"/>
      <c r="AQ65" s="113"/>
      <c r="AR65" s="113"/>
      <c r="AS65" s="113">
        <f t="shared" si="19"/>
        <v>0</v>
      </c>
      <c r="AT65" s="113">
        <f t="shared" si="19"/>
        <v>0</v>
      </c>
      <c r="AU65" s="113"/>
      <c r="AV65" s="113"/>
      <c r="AW65" s="113"/>
      <c r="AX65" s="113"/>
      <c r="AY65" s="113">
        <f t="shared" si="20"/>
        <v>0</v>
      </c>
      <c r="AZ65" s="113">
        <f t="shared" si="20"/>
        <v>0</v>
      </c>
      <c r="BA65" s="113"/>
      <c r="BB65" s="113"/>
      <c r="BC65" s="113"/>
      <c r="BD65" s="113"/>
      <c r="BE65" s="113">
        <f t="shared" si="21"/>
        <v>0</v>
      </c>
      <c r="BF65" s="113"/>
      <c r="BG65" s="113">
        <f t="shared" si="95"/>
        <v>0</v>
      </c>
      <c r="BH65" s="113"/>
      <c r="BI65" s="113"/>
      <c r="BJ65" s="113"/>
      <c r="BK65" s="113"/>
      <c r="BL65" s="113">
        <f t="shared" si="23"/>
        <v>0</v>
      </c>
      <c r="BM65" s="113"/>
      <c r="BN65" s="113">
        <f t="shared" si="96"/>
        <v>0</v>
      </c>
      <c r="BO65" s="113"/>
      <c r="BP65" s="113"/>
      <c r="BQ65" s="113"/>
      <c r="BR65" s="113"/>
      <c r="BS65" s="113">
        <f t="shared" si="25"/>
        <v>0</v>
      </c>
      <c r="BT65" s="113"/>
      <c r="BU65" s="113">
        <f t="shared" si="97"/>
        <v>0</v>
      </c>
      <c r="BV65" s="113"/>
      <c r="BW65" s="113"/>
      <c r="BX65" s="113"/>
      <c r="BY65" s="113"/>
      <c r="BZ65" s="113">
        <f t="shared" si="27"/>
        <v>0</v>
      </c>
      <c r="CA65" s="113"/>
      <c r="CB65" s="113">
        <f t="shared" si="89"/>
        <v>0</v>
      </c>
      <c r="CC65" s="113"/>
      <c r="CD65" s="113"/>
      <c r="CE65" s="113"/>
      <c r="CF65" s="113"/>
      <c r="CG65" s="113">
        <f t="shared" si="29"/>
        <v>0</v>
      </c>
      <c r="CH65" s="113">
        <f t="shared" si="90"/>
        <v>0</v>
      </c>
      <c r="CI65" s="113"/>
      <c r="CJ65" s="113"/>
      <c r="CK65" s="113"/>
      <c r="CL65" s="113"/>
      <c r="CM65" s="113">
        <f t="shared" si="31"/>
        <v>0</v>
      </c>
      <c r="CN65" s="113">
        <f t="shared" si="31"/>
        <v>0</v>
      </c>
      <c r="CO65" s="113"/>
      <c r="CP65" s="113"/>
      <c r="CQ65" s="113"/>
      <c r="CR65" s="113"/>
      <c r="CS65" s="113">
        <f t="shared" si="32"/>
        <v>0</v>
      </c>
      <c r="CT65" s="113">
        <f t="shared" si="32"/>
        <v>0</v>
      </c>
      <c r="CU65" s="113"/>
      <c r="CV65" s="113"/>
      <c r="CW65" s="113"/>
      <c r="CX65" s="113"/>
      <c r="CY65" s="113">
        <f t="shared" si="33"/>
        <v>0</v>
      </c>
      <c r="CZ65" s="113">
        <f t="shared" si="33"/>
        <v>0</v>
      </c>
      <c r="DA65" s="113"/>
      <c r="DB65" s="113"/>
      <c r="DC65" s="113"/>
      <c r="DD65" s="113"/>
      <c r="DE65" s="113">
        <f t="shared" si="34"/>
        <v>0</v>
      </c>
      <c r="DF65" s="113">
        <f t="shared" si="34"/>
        <v>0</v>
      </c>
      <c r="DG65" s="113"/>
      <c r="DH65" s="113"/>
      <c r="DI65" s="113"/>
      <c r="DJ65" s="113"/>
      <c r="DK65" s="113">
        <f t="shared" si="35"/>
        <v>0</v>
      </c>
      <c r="DL65" s="113">
        <f t="shared" si="35"/>
        <v>0</v>
      </c>
      <c r="DM65" s="113">
        <f t="shared" si="91"/>
        <v>0</v>
      </c>
      <c r="DN65" s="113">
        <f t="shared" si="92"/>
        <v>0</v>
      </c>
      <c r="DO65" s="113">
        <f t="shared" si="93"/>
        <v>0</v>
      </c>
      <c r="DP65" s="113">
        <f t="shared" si="94"/>
        <v>0</v>
      </c>
      <c r="DQ65" s="113">
        <f t="shared" si="40"/>
        <v>0</v>
      </c>
      <c r="DR65" s="113">
        <f t="shared" si="40"/>
        <v>0</v>
      </c>
    </row>
    <row r="66" spans="1:122">
      <c r="A66" s="15">
        <v>58</v>
      </c>
      <c r="B66" s="96" t="s">
        <v>747</v>
      </c>
      <c r="C66" s="187" t="s">
        <v>1039</v>
      </c>
      <c r="D66" s="96" t="s">
        <v>1040</v>
      </c>
      <c r="E66" s="185" t="s">
        <v>1165</v>
      </c>
      <c r="F66" s="161">
        <f t="shared" si="41"/>
        <v>0</v>
      </c>
      <c r="G66" s="161">
        <f t="shared" si="42"/>
        <v>0</v>
      </c>
      <c r="H66" s="161">
        <f t="shared" si="43"/>
        <v>0</v>
      </c>
      <c r="I66" s="161">
        <f t="shared" si="44"/>
        <v>0</v>
      </c>
      <c r="J66" s="165">
        <f t="shared" si="87"/>
        <v>555410.79</v>
      </c>
      <c r="K66" s="115">
        <v>79729.186100000006</v>
      </c>
      <c r="L66" s="211">
        <v>300000</v>
      </c>
      <c r="M66" s="211">
        <v>0</v>
      </c>
      <c r="N66" s="127">
        <f t="shared" si="45"/>
        <v>255410.78999999998</v>
      </c>
      <c r="O66" s="127">
        <f t="shared" si="46"/>
        <v>555410.79</v>
      </c>
      <c r="P66" s="127">
        <f t="shared" si="47"/>
        <v>555410.79</v>
      </c>
      <c r="Q66" s="131">
        <f t="shared" si="48"/>
        <v>0</v>
      </c>
      <c r="R66" s="125">
        <f t="shared" si="88"/>
        <v>555410.79</v>
      </c>
      <c r="S66" s="113">
        <v>150000</v>
      </c>
      <c r="T66" s="113"/>
      <c r="U66" s="113">
        <f t="shared" si="11"/>
        <v>450000</v>
      </c>
      <c r="V66" s="113">
        <f t="shared" si="12"/>
        <v>0</v>
      </c>
      <c r="W66" s="113">
        <v>0</v>
      </c>
      <c r="X66" s="113">
        <v>0</v>
      </c>
      <c r="Y66" s="113">
        <f>555410.79-450000</f>
        <v>105410.79000000004</v>
      </c>
      <c r="Z66" s="113">
        <v>105410.79</v>
      </c>
      <c r="AA66" s="113">
        <f t="shared" si="86"/>
        <v>105410.79000000004</v>
      </c>
      <c r="AB66" s="113">
        <f t="shared" si="86"/>
        <v>105410.79</v>
      </c>
      <c r="AC66" s="113"/>
      <c r="AD66" s="113"/>
      <c r="AE66" s="113"/>
      <c r="AF66" s="113"/>
      <c r="AG66" s="113">
        <f t="shared" si="14"/>
        <v>0</v>
      </c>
      <c r="AH66" s="113">
        <f t="shared" si="14"/>
        <v>0</v>
      </c>
      <c r="AI66" s="114">
        <f t="shared" si="15"/>
        <v>150000</v>
      </c>
      <c r="AJ66" s="114">
        <f t="shared" si="16"/>
        <v>150000</v>
      </c>
      <c r="AK66" s="114">
        <f t="shared" si="16"/>
        <v>105410.79000000004</v>
      </c>
      <c r="AL66" s="114">
        <f t="shared" si="17"/>
        <v>105410.79</v>
      </c>
      <c r="AM66" s="113">
        <f t="shared" si="18"/>
        <v>255410.79000000004</v>
      </c>
      <c r="AN66" s="113">
        <f t="shared" si="18"/>
        <v>255410.78999999998</v>
      </c>
      <c r="AO66" s="113"/>
      <c r="AP66" s="113"/>
      <c r="AQ66" s="113"/>
      <c r="AR66" s="113"/>
      <c r="AS66" s="113">
        <f t="shared" si="19"/>
        <v>0</v>
      </c>
      <c r="AT66" s="113">
        <f t="shared" si="19"/>
        <v>0</v>
      </c>
      <c r="AU66" s="113"/>
      <c r="AV66" s="113"/>
      <c r="AW66" s="113"/>
      <c r="AX66" s="113"/>
      <c r="AY66" s="113">
        <f t="shared" si="20"/>
        <v>0</v>
      </c>
      <c r="AZ66" s="113">
        <f t="shared" si="20"/>
        <v>0</v>
      </c>
      <c r="BA66" s="113"/>
      <c r="BB66" s="113"/>
      <c r="BC66" s="113"/>
      <c r="BD66" s="113"/>
      <c r="BE66" s="113">
        <f t="shared" si="21"/>
        <v>0</v>
      </c>
      <c r="BF66" s="113"/>
      <c r="BG66" s="113">
        <f t="shared" si="95"/>
        <v>0</v>
      </c>
      <c r="BH66" s="113"/>
      <c r="BI66" s="113"/>
      <c r="BJ66" s="113"/>
      <c r="BK66" s="113"/>
      <c r="BL66" s="113">
        <f t="shared" si="23"/>
        <v>0</v>
      </c>
      <c r="BM66" s="113"/>
      <c r="BN66" s="113">
        <f t="shared" si="96"/>
        <v>0</v>
      </c>
      <c r="BO66" s="113"/>
      <c r="BP66" s="113"/>
      <c r="BQ66" s="113"/>
      <c r="BR66" s="113"/>
      <c r="BS66" s="113">
        <f t="shared" si="25"/>
        <v>0</v>
      </c>
      <c r="BT66" s="113"/>
      <c r="BU66" s="113">
        <f t="shared" si="97"/>
        <v>0</v>
      </c>
      <c r="BV66" s="113"/>
      <c r="BW66" s="113"/>
      <c r="BX66" s="113"/>
      <c r="BY66" s="113"/>
      <c r="BZ66" s="113">
        <f t="shared" si="27"/>
        <v>0</v>
      </c>
      <c r="CA66" s="113"/>
      <c r="CB66" s="113">
        <f t="shared" si="89"/>
        <v>0</v>
      </c>
      <c r="CC66" s="113"/>
      <c r="CD66" s="113"/>
      <c r="CE66" s="113"/>
      <c r="CF66" s="113"/>
      <c r="CG66" s="113">
        <f t="shared" si="29"/>
        <v>0</v>
      </c>
      <c r="CH66" s="113">
        <f t="shared" si="90"/>
        <v>0</v>
      </c>
      <c r="CI66" s="113"/>
      <c r="CJ66" s="113"/>
      <c r="CK66" s="113"/>
      <c r="CL66" s="113"/>
      <c r="CM66" s="113">
        <f t="shared" si="31"/>
        <v>0</v>
      </c>
      <c r="CN66" s="113">
        <f t="shared" si="31"/>
        <v>0</v>
      </c>
      <c r="CO66" s="113"/>
      <c r="CP66" s="113"/>
      <c r="CQ66" s="113"/>
      <c r="CR66" s="113"/>
      <c r="CS66" s="113">
        <f t="shared" si="32"/>
        <v>0</v>
      </c>
      <c r="CT66" s="113">
        <f t="shared" si="32"/>
        <v>0</v>
      </c>
      <c r="CU66" s="113"/>
      <c r="CV66" s="113"/>
      <c r="CW66" s="113"/>
      <c r="CX66" s="113"/>
      <c r="CY66" s="113">
        <f t="shared" si="33"/>
        <v>0</v>
      </c>
      <c r="CZ66" s="113">
        <f t="shared" si="33"/>
        <v>0</v>
      </c>
      <c r="DA66" s="113"/>
      <c r="DB66" s="113"/>
      <c r="DC66" s="113"/>
      <c r="DD66" s="113"/>
      <c r="DE66" s="113">
        <f t="shared" si="34"/>
        <v>0</v>
      </c>
      <c r="DF66" s="113">
        <f t="shared" si="34"/>
        <v>0</v>
      </c>
      <c r="DG66" s="113"/>
      <c r="DH66" s="113"/>
      <c r="DI66" s="113"/>
      <c r="DJ66" s="113"/>
      <c r="DK66" s="113">
        <f t="shared" si="35"/>
        <v>0</v>
      </c>
      <c r="DL66" s="113">
        <f t="shared" si="35"/>
        <v>0</v>
      </c>
      <c r="DM66" s="113">
        <f t="shared" si="91"/>
        <v>0</v>
      </c>
      <c r="DN66" s="113">
        <f t="shared" si="92"/>
        <v>0</v>
      </c>
      <c r="DO66" s="113">
        <f t="shared" si="93"/>
        <v>0</v>
      </c>
      <c r="DP66" s="113">
        <f t="shared" si="94"/>
        <v>0</v>
      </c>
      <c r="DQ66" s="113">
        <f t="shared" si="40"/>
        <v>0</v>
      </c>
      <c r="DR66" s="113">
        <f t="shared" si="40"/>
        <v>0</v>
      </c>
    </row>
    <row r="67" spans="1:122">
      <c r="A67" s="15">
        <v>59</v>
      </c>
      <c r="B67" s="96" t="s">
        <v>747</v>
      </c>
      <c r="C67" s="96" t="s">
        <v>1041</v>
      </c>
      <c r="D67" s="96" t="s">
        <v>1042</v>
      </c>
      <c r="E67" s="185" t="s">
        <v>1164</v>
      </c>
      <c r="F67" s="161">
        <f t="shared" si="41"/>
        <v>0</v>
      </c>
      <c r="G67" s="161">
        <f t="shared" si="42"/>
        <v>0</v>
      </c>
      <c r="H67" s="161">
        <f t="shared" si="43"/>
        <v>0</v>
      </c>
      <c r="I67" s="161">
        <f t="shared" si="44"/>
        <v>0</v>
      </c>
      <c r="J67" s="165">
        <f t="shared" si="87"/>
        <v>17886.75</v>
      </c>
      <c r="K67" s="115"/>
      <c r="L67" s="211">
        <v>0</v>
      </c>
      <c r="M67" s="211">
        <v>0</v>
      </c>
      <c r="N67" s="127">
        <f t="shared" si="45"/>
        <v>17886.75</v>
      </c>
      <c r="O67" s="127">
        <f t="shared" si="46"/>
        <v>17886.75</v>
      </c>
      <c r="P67" s="127">
        <f t="shared" si="47"/>
        <v>17886.75</v>
      </c>
      <c r="Q67" s="131">
        <f t="shared" si="48"/>
        <v>0</v>
      </c>
      <c r="R67" s="125">
        <f t="shared" si="88"/>
        <v>17886.75</v>
      </c>
      <c r="S67" s="113">
        <v>0</v>
      </c>
      <c r="T67" s="113"/>
      <c r="U67" s="113">
        <f t="shared" si="11"/>
        <v>0</v>
      </c>
      <c r="V67" s="113">
        <f t="shared" si="12"/>
        <v>0</v>
      </c>
      <c r="W67" s="113">
        <v>0</v>
      </c>
      <c r="X67" s="113">
        <v>0</v>
      </c>
      <c r="Y67" s="113">
        <v>0</v>
      </c>
      <c r="Z67" s="113">
        <v>0</v>
      </c>
      <c r="AA67" s="113">
        <f t="shared" si="86"/>
        <v>0</v>
      </c>
      <c r="AB67" s="113">
        <f t="shared" si="86"/>
        <v>0</v>
      </c>
      <c r="AC67" s="113"/>
      <c r="AD67" s="113"/>
      <c r="AE67" s="113"/>
      <c r="AF67" s="113">
        <v>17886.75</v>
      </c>
      <c r="AG67" s="113">
        <f t="shared" si="14"/>
        <v>0</v>
      </c>
      <c r="AH67" s="113">
        <f t="shared" si="14"/>
        <v>17886.75</v>
      </c>
      <c r="AI67" s="114">
        <f t="shared" si="15"/>
        <v>0</v>
      </c>
      <c r="AJ67" s="114">
        <f t="shared" si="16"/>
        <v>0</v>
      </c>
      <c r="AK67" s="114">
        <f t="shared" si="16"/>
        <v>0</v>
      </c>
      <c r="AL67" s="114">
        <f t="shared" si="17"/>
        <v>17886.75</v>
      </c>
      <c r="AM67" s="113">
        <f t="shared" si="18"/>
        <v>0</v>
      </c>
      <c r="AN67" s="113">
        <f t="shared" si="18"/>
        <v>17886.75</v>
      </c>
      <c r="AO67" s="113"/>
      <c r="AP67" s="113"/>
      <c r="AQ67" s="113"/>
      <c r="AR67" s="113"/>
      <c r="AS67" s="113">
        <f t="shared" si="19"/>
        <v>0</v>
      </c>
      <c r="AT67" s="113">
        <f t="shared" si="19"/>
        <v>0</v>
      </c>
      <c r="AU67" s="113"/>
      <c r="AV67" s="113"/>
      <c r="AW67" s="113"/>
      <c r="AX67" s="113"/>
      <c r="AY67" s="113">
        <f t="shared" si="20"/>
        <v>0</v>
      </c>
      <c r="AZ67" s="113">
        <f t="shared" si="20"/>
        <v>0</v>
      </c>
      <c r="BA67" s="113"/>
      <c r="BB67" s="113"/>
      <c r="BC67" s="113"/>
      <c r="BD67" s="113"/>
      <c r="BE67" s="113">
        <f t="shared" si="21"/>
        <v>0</v>
      </c>
      <c r="BF67" s="113"/>
      <c r="BG67" s="113">
        <f t="shared" si="95"/>
        <v>0</v>
      </c>
      <c r="BH67" s="113"/>
      <c r="BI67" s="113"/>
      <c r="BJ67" s="113"/>
      <c r="BK67" s="113"/>
      <c r="BL67" s="113">
        <f t="shared" si="23"/>
        <v>0</v>
      </c>
      <c r="BM67" s="113"/>
      <c r="BN67" s="113">
        <f t="shared" si="96"/>
        <v>0</v>
      </c>
      <c r="BO67" s="113"/>
      <c r="BP67" s="113"/>
      <c r="BQ67" s="113"/>
      <c r="BR67" s="113"/>
      <c r="BS67" s="113">
        <f t="shared" si="25"/>
        <v>0</v>
      </c>
      <c r="BT67" s="113"/>
      <c r="BU67" s="113">
        <f t="shared" si="97"/>
        <v>0</v>
      </c>
      <c r="BV67" s="113"/>
      <c r="BW67" s="113"/>
      <c r="BX67" s="113"/>
      <c r="BY67" s="113"/>
      <c r="BZ67" s="113">
        <f t="shared" si="27"/>
        <v>0</v>
      </c>
      <c r="CA67" s="113"/>
      <c r="CB67" s="113">
        <f t="shared" si="89"/>
        <v>0</v>
      </c>
      <c r="CC67" s="113"/>
      <c r="CD67" s="113"/>
      <c r="CE67" s="113"/>
      <c r="CF67" s="113"/>
      <c r="CG67" s="113">
        <f t="shared" si="29"/>
        <v>0</v>
      </c>
      <c r="CH67" s="113">
        <f t="shared" si="90"/>
        <v>0</v>
      </c>
      <c r="CI67" s="113"/>
      <c r="CJ67" s="113"/>
      <c r="CK67" s="113"/>
      <c r="CL67" s="113"/>
      <c r="CM67" s="113">
        <f t="shared" si="31"/>
        <v>0</v>
      </c>
      <c r="CN67" s="113">
        <f t="shared" si="31"/>
        <v>0</v>
      </c>
      <c r="CO67" s="113"/>
      <c r="CP67" s="113"/>
      <c r="CQ67" s="113"/>
      <c r="CR67" s="113"/>
      <c r="CS67" s="113">
        <f t="shared" si="32"/>
        <v>0</v>
      </c>
      <c r="CT67" s="113">
        <f t="shared" si="32"/>
        <v>0</v>
      </c>
      <c r="CU67" s="113"/>
      <c r="CV67" s="113"/>
      <c r="CW67" s="113"/>
      <c r="CX67" s="113"/>
      <c r="CY67" s="113">
        <f t="shared" si="33"/>
        <v>0</v>
      </c>
      <c r="CZ67" s="113">
        <f t="shared" si="33"/>
        <v>0</v>
      </c>
      <c r="DA67" s="113"/>
      <c r="DB67" s="113"/>
      <c r="DC67" s="113"/>
      <c r="DD67" s="113"/>
      <c r="DE67" s="113">
        <f t="shared" si="34"/>
        <v>0</v>
      </c>
      <c r="DF67" s="113">
        <f t="shared" si="34"/>
        <v>0</v>
      </c>
      <c r="DG67" s="113"/>
      <c r="DH67" s="113"/>
      <c r="DI67" s="113"/>
      <c r="DJ67" s="113"/>
      <c r="DK67" s="113">
        <f t="shared" si="35"/>
        <v>0</v>
      </c>
      <c r="DL67" s="113">
        <f t="shared" si="35"/>
        <v>0</v>
      </c>
      <c r="DM67" s="113">
        <f t="shared" si="91"/>
        <v>0</v>
      </c>
      <c r="DN67" s="113">
        <f t="shared" si="92"/>
        <v>0</v>
      </c>
      <c r="DO67" s="113">
        <f t="shared" si="93"/>
        <v>0</v>
      </c>
      <c r="DP67" s="113">
        <f t="shared" si="94"/>
        <v>0</v>
      </c>
      <c r="DQ67" s="113">
        <f t="shared" si="40"/>
        <v>0</v>
      </c>
      <c r="DR67" s="113">
        <f t="shared" si="40"/>
        <v>0</v>
      </c>
    </row>
    <row r="68" spans="1:122">
      <c r="A68" s="15">
        <v>60</v>
      </c>
      <c r="B68" s="96" t="s">
        <v>747</v>
      </c>
      <c r="C68" s="187" t="s">
        <v>1041</v>
      </c>
      <c r="D68" s="96" t="s">
        <v>1043</v>
      </c>
      <c r="E68" s="185" t="s">
        <v>1165</v>
      </c>
      <c r="F68" s="161">
        <f t="shared" si="41"/>
        <v>480000</v>
      </c>
      <c r="G68" s="161">
        <f t="shared" si="42"/>
        <v>400000</v>
      </c>
      <c r="H68" s="161">
        <f t="shared" si="43"/>
        <v>80000</v>
      </c>
      <c r="I68" s="161">
        <f t="shared" si="44"/>
        <v>155000</v>
      </c>
      <c r="J68" s="165">
        <f t="shared" si="87"/>
        <v>480000</v>
      </c>
      <c r="K68" s="115">
        <v>59806.431498725535</v>
      </c>
      <c r="L68" s="211">
        <v>0</v>
      </c>
      <c r="M68" s="211">
        <v>0</v>
      </c>
      <c r="N68" s="127">
        <f t="shared" si="45"/>
        <v>0</v>
      </c>
      <c r="O68" s="127">
        <f t="shared" si="46"/>
        <v>0</v>
      </c>
      <c r="P68" s="127">
        <f t="shared" si="47"/>
        <v>0</v>
      </c>
      <c r="Q68" s="131">
        <f t="shared" si="48"/>
        <v>480000</v>
      </c>
      <c r="R68" s="125" t="str">
        <f t="shared" si="88"/>
        <v>მიმდინარეობს</v>
      </c>
      <c r="S68" s="113">
        <v>0</v>
      </c>
      <c r="T68" s="113"/>
      <c r="U68" s="113">
        <f t="shared" si="11"/>
        <v>0</v>
      </c>
      <c r="V68" s="113">
        <f t="shared" si="12"/>
        <v>0</v>
      </c>
      <c r="W68" s="113">
        <v>0</v>
      </c>
      <c r="X68" s="113">
        <v>0</v>
      </c>
      <c r="Y68" s="113">
        <v>0</v>
      </c>
      <c r="Z68" s="113">
        <v>0</v>
      </c>
      <c r="AA68" s="113">
        <f t="shared" si="86"/>
        <v>0</v>
      </c>
      <c r="AB68" s="113">
        <f t="shared" si="86"/>
        <v>0</v>
      </c>
      <c r="AC68" s="113"/>
      <c r="AD68" s="113"/>
      <c r="AE68" s="113"/>
      <c r="AF68" s="113"/>
      <c r="AG68" s="113">
        <f t="shared" si="14"/>
        <v>0</v>
      </c>
      <c r="AH68" s="113">
        <f t="shared" si="14"/>
        <v>0</v>
      </c>
      <c r="AI68" s="114">
        <f t="shared" si="15"/>
        <v>0</v>
      </c>
      <c r="AJ68" s="114">
        <f t="shared" si="16"/>
        <v>0</v>
      </c>
      <c r="AK68" s="114">
        <f t="shared" si="16"/>
        <v>0</v>
      </c>
      <c r="AL68" s="114">
        <f t="shared" si="17"/>
        <v>0</v>
      </c>
      <c r="AM68" s="113">
        <f t="shared" si="18"/>
        <v>0</v>
      </c>
      <c r="AN68" s="113">
        <f t="shared" si="18"/>
        <v>0</v>
      </c>
      <c r="AO68" s="113">
        <v>300000</v>
      </c>
      <c r="AP68" s="113">
        <v>400000</v>
      </c>
      <c r="AQ68" s="113"/>
      <c r="AR68" s="113"/>
      <c r="AS68" s="113">
        <f t="shared" si="19"/>
        <v>300000</v>
      </c>
      <c r="AT68" s="113">
        <f t="shared" si="19"/>
        <v>400000</v>
      </c>
      <c r="AU68" s="113"/>
      <c r="AV68" s="113"/>
      <c r="AW68" s="113"/>
      <c r="AX68" s="113"/>
      <c r="AY68" s="113">
        <f t="shared" si="20"/>
        <v>0</v>
      </c>
      <c r="AZ68" s="113">
        <f t="shared" si="20"/>
        <v>0</v>
      </c>
      <c r="BA68" s="113"/>
      <c r="BB68" s="113"/>
      <c r="BC68" s="113"/>
      <c r="BD68" s="113"/>
      <c r="BE68" s="113">
        <f t="shared" si="21"/>
        <v>0</v>
      </c>
      <c r="BF68" s="113"/>
      <c r="BG68" s="113">
        <f t="shared" si="95"/>
        <v>0</v>
      </c>
      <c r="BH68" s="113"/>
      <c r="BI68" s="113"/>
      <c r="BJ68" s="113"/>
      <c r="BK68" s="113"/>
      <c r="BL68" s="113">
        <f t="shared" si="23"/>
        <v>0</v>
      </c>
      <c r="BM68" s="113"/>
      <c r="BN68" s="113">
        <f t="shared" si="96"/>
        <v>0</v>
      </c>
      <c r="BO68" s="113"/>
      <c r="BP68" s="113"/>
      <c r="BQ68" s="113">
        <v>180000</v>
      </c>
      <c r="BR68" s="113"/>
      <c r="BS68" s="113">
        <f t="shared" si="25"/>
        <v>180000</v>
      </c>
      <c r="BT68" s="113">
        <v>154000</v>
      </c>
      <c r="BU68" s="113">
        <f t="shared" si="97"/>
        <v>0</v>
      </c>
      <c r="BV68" s="113"/>
      <c r="BW68" s="113"/>
      <c r="BX68" s="113"/>
      <c r="BY68" s="113"/>
      <c r="BZ68" s="113">
        <f t="shared" si="27"/>
        <v>0</v>
      </c>
      <c r="CA68" s="113">
        <v>1000</v>
      </c>
      <c r="CB68" s="113">
        <f t="shared" si="89"/>
        <v>0</v>
      </c>
      <c r="CC68" s="113"/>
      <c r="CD68" s="113"/>
      <c r="CE68" s="113"/>
      <c r="CF68" s="113"/>
      <c r="CG68" s="113">
        <f t="shared" si="29"/>
        <v>0</v>
      </c>
      <c r="CH68" s="113">
        <f t="shared" si="90"/>
        <v>0</v>
      </c>
      <c r="CI68" s="113"/>
      <c r="CJ68" s="113"/>
      <c r="CK68" s="113"/>
      <c r="CL68" s="113"/>
      <c r="CM68" s="113">
        <f t="shared" si="31"/>
        <v>0</v>
      </c>
      <c r="CN68" s="113">
        <f t="shared" si="31"/>
        <v>0</v>
      </c>
      <c r="CO68" s="113"/>
      <c r="CP68" s="113"/>
      <c r="CQ68" s="113"/>
      <c r="CR68" s="113"/>
      <c r="CS68" s="113">
        <f t="shared" si="32"/>
        <v>0</v>
      </c>
      <c r="CT68" s="113">
        <f t="shared" si="32"/>
        <v>0</v>
      </c>
      <c r="CU68" s="113"/>
      <c r="CV68" s="113"/>
      <c r="CW68" s="113"/>
      <c r="CX68" s="113"/>
      <c r="CY68" s="113">
        <f t="shared" si="33"/>
        <v>0</v>
      </c>
      <c r="CZ68" s="113">
        <f t="shared" si="33"/>
        <v>0</v>
      </c>
      <c r="DA68" s="113"/>
      <c r="DB68" s="113"/>
      <c r="DC68" s="113"/>
      <c r="DD68" s="113"/>
      <c r="DE68" s="113">
        <f t="shared" si="34"/>
        <v>0</v>
      </c>
      <c r="DF68" s="113">
        <f t="shared" si="34"/>
        <v>0</v>
      </c>
      <c r="DG68" s="113"/>
      <c r="DH68" s="113"/>
      <c r="DI68" s="113"/>
      <c r="DJ68" s="113"/>
      <c r="DK68" s="113">
        <f t="shared" si="35"/>
        <v>0</v>
      </c>
      <c r="DL68" s="113">
        <f t="shared" si="35"/>
        <v>0</v>
      </c>
      <c r="DM68" s="113">
        <f t="shared" si="91"/>
        <v>300000</v>
      </c>
      <c r="DN68" s="113">
        <f t="shared" si="92"/>
        <v>400000</v>
      </c>
      <c r="DO68" s="113">
        <f t="shared" si="93"/>
        <v>180000</v>
      </c>
      <c r="DP68" s="113">
        <f t="shared" si="94"/>
        <v>0</v>
      </c>
      <c r="DQ68" s="113">
        <f t="shared" si="40"/>
        <v>480000</v>
      </c>
      <c r="DR68" s="113">
        <f t="shared" si="40"/>
        <v>400000</v>
      </c>
    </row>
    <row r="69" spans="1:122">
      <c r="A69" s="15">
        <v>61</v>
      </c>
      <c r="B69" s="96" t="s">
        <v>747</v>
      </c>
      <c r="C69" s="96" t="s">
        <v>1044</v>
      </c>
      <c r="D69" s="96" t="s">
        <v>1045</v>
      </c>
      <c r="E69" s="185" t="s">
        <v>1164</v>
      </c>
      <c r="F69" s="161">
        <f t="shared" si="41"/>
        <v>0</v>
      </c>
      <c r="G69" s="161">
        <f t="shared" si="42"/>
        <v>0</v>
      </c>
      <c r="H69" s="161">
        <f t="shared" si="43"/>
        <v>0</v>
      </c>
      <c r="I69" s="161">
        <f t="shared" si="44"/>
        <v>0</v>
      </c>
      <c r="J69" s="165">
        <f t="shared" si="87"/>
        <v>63295.75</v>
      </c>
      <c r="K69" s="115"/>
      <c r="L69" s="211">
        <v>0</v>
      </c>
      <c r="M69" s="211">
        <v>0</v>
      </c>
      <c r="N69" s="127">
        <f t="shared" si="45"/>
        <v>63295.75</v>
      </c>
      <c r="O69" s="127">
        <f t="shared" si="46"/>
        <v>63295.75</v>
      </c>
      <c r="P69" s="127">
        <f t="shared" si="47"/>
        <v>63295.75</v>
      </c>
      <c r="Q69" s="131">
        <f t="shared" si="48"/>
        <v>0</v>
      </c>
      <c r="R69" s="125">
        <f t="shared" si="88"/>
        <v>63295.75</v>
      </c>
      <c r="S69" s="113">
        <v>0</v>
      </c>
      <c r="T69" s="113"/>
      <c r="U69" s="113">
        <f t="shared" si="11"/>
        <v>0</v>
      </c>
      <c r="V69" s="113">
        <f t="shared" si="12"/>
        <v>0</v>
      </c>
      <c r="W69" s="113">
        <v>0</v>
      </c>
      <c r="X69" s="113">
        <v>0</v>
      </c>
      <c r="Y69" s="113">
        <f>36169*1.75</f>
        <v>63295.75</v>
      </c>
      <c r="Z69" s="113">
        <v>0</v>
      </c>
      <c r="AA69" s="113">
        <f t="shared" si="86"/>
        <v>63295.75</v>
      </c>
      <c r="AB69" s="113">
        <f t="shared" si="86"/>
        <v>0</v>
      </c>
      <c r="AC69" s="113"/>
      <c r="AD69" s="113"/>
      <c r="AE69" s="113"/>
      <c r="AF69" s="113">
        <v>63295.75</v>
      </c>
      <c r="AG69" s="113">
        <f t="shared" si="14"/>
        <v>0</v>
      </c>
      <c r="AH69" s="113">
        <f t="shared" si="14"/>
        <v>63295.75</v>
      </c>
      <c r="AI69" s="114">
        <f t="shared" si="15"/>
        <v>0</v>
      </c>
      <c r="AJ69" s="114">
        <f t="shared" si="16"/>
        <v>0</v>
      </c>
      <c r="AK69" s="114">
        <f t="shared" si="16"/>
        <v>63295.75</v>
      </c>
      <c r="AL69" s="114">
        <f t="shared" si="17"/>
        <v>63295.75</v>
      </c>
      <c r="AM69" s="113">
        <f t="shared" si="18"/>
        <v>63295.75</v>
      </c>
      <c r="AN69" s="113">
        <f t="shared" si="18"/>
        <v>63295.75</v>
      </c>
      <c r="AO69" s="113"/>
      <c r="AP69" s="113"/>
      <c r="AQ69" s="113"/>
      <c r="AR69" s="113"/>
      <c r="AS69" s="113">
        <f t="shared" si="19"/>
        <v>0</v>
      </c>
      <c r="AT69" s="113">
        <f t="shared" si="19"/>
        <v>0</v>
      </c>
      <c r="AU69" s="113"/>
      <c r="AV69" s="113"/>
      <c r="AW69" s="113"/>
      <c r="AX69" s="113"/>
      <c r="AY69" s="113">
        <f t="shared" si="20"/>
        <v>0</v>
      </c>
      <c r="AZ69" s="113">
        <f t="shared" si="20"/>
        <v>0</v>
      </c>
      <c r="BA69" s="113"/>
      <c r="BB69" s="113"/>
      <c r="BC69" s="113"/>
      <c r="BD69" s="113"/>
      <c r="BE69" s="113">
        <f t="shared" si="21"/>
        <v>0</v>
      </c>
      <c r="BF69" s="113"/>
      <c r="BG69" s="113">
        <f t="shared" si="95"/>
        <v>0</v>
      </c>
      <c r="BH69" s="113"/>
      <c r="BI69" s="113"/>
      <c r="BJ69" s="113"/>
      <c r="BK69" s="113"/>
      <c r="BL69" s="113">
        <f t="shared" si="23"/>
        <v>0</v>
      </c>
      <c r="BM69" s="113"/>
      <c r="BN69" s="113">
        <f t="shared" si="96"/>
        <v>0</v>
      </c>
      <c r="BO69" s="113"/>
      <c r="BP69" s="113"/>
      <c r="BQ69" s="113"/>
      <c r="BR69" s="113"/>
      <c r="BS69" s="113">
        <f t="shared" si="25"/>
        <v>0</v>
      </c>
      <c r="BT69" s="113"/>
      <c r="BU69" s="113">
        <f t="shared" si="97"/>
        <v>0</v>
      </c>
      <c r="BV69" s="113"/>
      <c r="BW69" s="113"/>
      <c r="BX69" s="113"/>
      <c r="BY69" s="113"/>
      <c r="BZ69" s="113">
        <f t="shared" si="27"/>
        <v>0</v>
      </c>
      <c r="CA69" s="113"/>
      <c r="CB69" s="113">
        <f t="shared" si="89"/>
        <v>0</v>
      </c>
      <c r="CC69" s="113"/>
      <c r="CD69" s="113"/>
      <c r="CE69" s="113"/>
      <c r="CF69" s="113"/>
      <c r="CG69" s="113">
        <f t="shared" si="29"/>
        <v>0</v>
      </c>
      <c r="CH69" s="113">
        <f t="shared" si="90"/>
        <v>0</v>
      </c>
      <c r="CI69" s="113"/>
      <c r="CJ69" s="113"/>
      <c r="CK69" s="113"/>
      <c r="CL69" s="113"/>
      <c r="CM69" s="113">
        <f t="shared" si="31"/>
        <v>0</v>
      </c>
      <c r="CN69" s="113">
        <f t="shared" si="31"/>
        <v>0</v>
      </c>
      <c r="CO69" s="113"/>
      <c r="CP69" s="113"/>
      <c r="CQ69" s="113"/>
      <c r="CR69" s="113"/>
      <c r="CS69" s="113">
        <f t="shared" si="32"/>
        <v>0</v>
      </c>
      <c r="CT69" s="113">
        <f t="shared" si="32"/>
        <v>0</v>
      </c>
      <c r="CU69" s="113"/>
      <c r="CV69" s="113"/>
      <c r="CW69" s="113"/>
      <c r="CX69" s="113"/>
      <c r="CY69" s="113">
        <f t="shared" si="33"/>
        <v>0</v>
      </c>
      <c r="CZ69" s="113">
        <f t="shared" si="33"/>
        <v>0</v>
      </c>
      <c r="DA69" s="113"/>
      <c r="DB69" s="113"/>
      <c r="DC69" s="113"/>
      <c r="DD69" s="113"/>
      <c r="DE69" s="113">
        <f t="shared" si="34"/>
        <v>0</v>
      </c>
      <c r="DF69" s="113">
        <f t="shared" si="34"/>
        <v>0</v>
      </c>
      <c r="DG69" s="113"/>
      <c r="DH69" s="113"/>
      <c r="DI69" s="113"/>
      <c r="DJ69" s="113"/>
      <c r="DK69" s="113">
        <f t="shared" si="35"/>
        <v>0</v>
      </c>
      <c r="DL69" s="113">
        <f t="shared" si="35"/>
        <v>0</v>
      </c>
      <c r="DM69" s="113">
        <f t="shared" si="91"/>
        <v>0</v>
      </c>
      <c r="DN69" s="113">
        <f t="shared" si="92"/>
        <v>0</v>
      </c>
      <c r="DO69" s="113">
        <f t="shared" si="93"/>
        <v>0</v>
      </c>
      <c r="DP69" s="113">
        <f t="shared" si="94"/>
        <v>0</v>
      </c>
      <c r="DQ69" s="113">
        <f t="shared" si="40"/>
        <v>0</v>
      </c>
      <c r="DR69" s="113">
        <f t="shared" si="40"/>
        <v>0</v>
      </c>
    </row>
    <row r="70" spans="1:122" s="333" customFormat="1">
      <c r="A70" s="328">
        <v>62</v>
      </c>
      <c r="B70" s="329" t="s">
        <v>747</v>
      </c>
      <c r="C70" s="336" t="s">
        <v>1044</v>
      </c>
      <c r="D70" s="329" t="s">
        <v>1046</v>
      </c>
      <c r="E70" s="329" t="s">
        <v>1165</v>
      </c>
      <c r="F70" s="337">
        <f t="shared" si="41"/>
        <v>230000</v>
      </c>
      <c r="G70" s="161">
        <f t="shared" si="42"/>
        <v>300000</v>
      </c>
      <c r="H70" s="161">
        <f t="shared" si="43"/>
        <v>-70000</v>
      </c>
      <c r="I70" s="161">
        <f t="shared" si="44"/>
        <v>0</v>
      </c>
      <c r="J70" s="338">
        <f t="shared" si="87"/>
        <v>230000</v>
      </c>
      <c r="K70" s="339">
        <v>139548.34016369292</v>
      </c>
      <c r="L70" s="211">
        <v>0</v>
      </c>
      <c r="M70" s="211">
        <v>0</v>
      </c>
      <c r="N70" s="127">
        <f t="shared" si="45"/>
        <v>0</v>
      </c>
      <c r="O70" s="127">
        <f t="shared" si="46"/>
        <v>0</v>
      </c>
      <c r="P70" s="261">
        <f t="shared" si="47"/>
        <v>0</v>
      </c>
      <c r="Q70" s="261">
        <f t="shared" si="48"/>
        <v>230000</v>
      </c>
      <c r="R70" s="261" t="str">
        <f t="shared" si="88"/>
        <v>მიმდინარეობს</v>
      </c>
      <c r="S70" s="113">
        <v>0</v>
      </c>
      <c r="T70" s="113"/>
      <c r="U70" s="113">
        <f t="shared" si="11"/>
        <v>0</v>
      </c>
      <c r="V70" s="113">
        <f t="shared" si="12"/>
        <v>0</v>
      </c>
      <c r="W70" s="113">
        <v>0</v>
      </c>
      <c r="X70" s="113">
        <v>0</v>
      </c>
      <c r="Y70" s="113">
        <v>0</v>
      </c>
      <c r="Z70" s="113">
        <v>0</v>
      </c>
      <c r="AA70" s="113">
        <f t="shared" si="86"/>
        <v>0</v>
      </c>
      <c r="AB70" s="113">
        <f t="shared" si="86"/>
        <v>0</v>
      </c>
      <c r="AC70" s="113"/>
      <c r="AD70" s="113"/>
      <c r="AE70" s="113"/>
      <c r="AF70" s="113"/>
      <c r="AG70" s="113">
        <f t="shared" si="14"/>
        <v>0</v>
      </c>
      <c r="AH70" s="113">
        <f t="shared" si="14"/>
        <v>0</v>
      </c>
      <c r="AI70" s="114">
        <f t="shared" si="15"/>
        <v>0</v>
      </c>
      <c r="AJ70" s="114">
        <f t="shared" si="16"/>
        <v>0</v>
      </c>
      <c r="AK70" s="114">
        <f t="shared" si="16"/>
        <v>0</v>
      </c>
      <c r="AL70" s="114">
        <f t="shared" si="17"/>
        <v>0</v>
      </c>
      <c r="AM70" s="113">
        <f t="shared" si="18"/>
        <v>0</v>
      </c>
      <c r="AN70" s="113">
        <f t="shared" si="18"/>
        <v>0</v>
      </c>
      <c r="AO70" s="332"/>
      <c r="AP70" s="332">
        <v>300000</v>
      </c>
      <c r="AQ70" s="332"/>
      <c r="AR70" s="332"/>
      <c r="AS70" s="332">
        <f t="shared" si="19"/>
        <v>0</v>
      </c>
      <c r="AT70" s="332">
        <f t="shared" si="19"/>
        <v>300000</v>
      </c>
      <c r="AU70" s="332">
        <v>150000</v>
      </c>
      <c r="AV70" s="332"/>
      <c r="AW70" s="332"/>
      <c r="AX70" s="332"/>
      <c r="AY70" s="332">
        <f t="shared" si="20"/>
        <v>150000</v>
      </c>
      <c r="AZ70" s="332">
        <f t="shared" si="20"/>
        <v>0</v>
      </c>
      <c r="BA70" s="332"/>
      <c r="BB70" s="332"/>
      <c r="BC70" s="332"/>
      <c r="BD70" s="332"/>
      <c r="BE70" s="332">
        <f t="shared" si="21"/>
        <v>0</v>
      </c>
      <c r="BF70" s="332"/>
      <c r="BG70" s="332">
        <f t="shared" si="95"/>
        <v>0</v>
      </c>
      <c r="BH70" s="332"/>
      <c r="BI70" s="332"/>
      <c r="BJ70" s="332"/>
      <c r="BK70" s="332"/>
      <c r="BL70" s="332">
        <f t="shared" si="23"/>
        <v>0</v>
      </c>
      <c r="BM70" s="332"/>
      <c r="BN70" s="332">
        <f t="shared" si="96"/>
        <v>0</v>
      </c>
      <c r="BO70" s="332"/>
      <c r="BP70" s="332"/>
      <c r="BQ70" s="332"/>
      <c r="BR70" s="332"/>
      <c r="BS70" s="332">
        <f t="shared" si="25"/>
        <v>0</v>
      </c>
      <c r="BT70" s="332"/>
      <c r="BU70" s="332">
        <f t="shared" si="97"/>
        <v>0</v>
      </c>
      <c r="BV70" s="332"/>
      <c r="BW70" s="332"/>
      <c r="BX70" s="332">
        <v>80000</v>
      </c>
      <c r="BY70" s="332"/>
      <c r="BZ70" s="332">
        <f t="shared" si="27"/>
        <v>80000</v>
      </c>
      <c r="CA70" s="332"/>
      <c r="CB70" s="332">
        <f t="shared" si="89"/>
        <v>0</v>
      </c>
      <c r="CC70" s="332"/>
      <c r="CD70" s="332"/>
      <c r="CE70" s="332"/>
      <c r="CF70" s="332"/>
      <c r="CG70" s="332">
        <f t="shared" si="29"/>
        <v>0</v>
      </c>
      <c r="CH70" s="332">
        <f t="shared" si="90"/>
        <v>0</v>
      </c>
      <c r="CI70" s="332"/>
      <c r="CJ70" s="332"/>
      <c r="CK70" s="332"/>
      <c r="CL70" s="332"/>
      <c r="CM70" s="332">
        <f t="shared" si="31"/>
        <v>0</v>
      </c>
      <c r="CN70" s="332">
        <f t="shared" si="31"/>
        <v>0</v>
      </c>
      <c r="CO70" s="332"/>
      <c r="CP70" s="332"/>
      <c r="CQ70" s="332"/>
      <c r="CR70" s="332"/>
      <c r="CS70" s="332">
        <f t="shared" si="32"/>
        <v>0</v>
      </c>
      <c r="CT70" s="332">
        <f t="shared" si="32"/>
        <v>0</v>
      </c>
      <c r="CU70" s="332"/>
      <c r="CV70" s="332"/>
      <c r="CW70" s="332"/>
      <c r="CX70" s="332"/>
      <c r="CY70" s="332">
        <f t="shared" si="33"/>
        <v>0</v>
      </c>
      <c r="CZ70" s="332">
        <f t="shared" si="33"/>
        <v>0</v>
      </c>
      <c r="DA70" s="332"/>
      <c r="DB70" s="332"/>
      <c r="DC70" s="332"/>
      <c r="DD70" s="332"/>
      <c r="DE70" s="332">
        <f t="shared" si="34"/>
        <v>0</v>
      </c>
      <c r="DF70" s="332">
        <f t="shared" si="34"/>
        <v>0</v>
      </c>
      <c r="DG70" s="332"/>
      <c r="DH70" s="332"/>
      <c r="DI70" s="332"/>
      <c r="DJ70" s="332"/>
      <c r="DK70" s="332">
        <f t="shared" si="35"/>
        <v>0</v>
      </c>
      <c r="DL70" s="332">
        <f t="shared" si="35"/>
        <v>0</v>
      </c>
      <c r="DM70" s="332">
        <f t="shared" si="91"/>
        <v>150000</v>
      </c>
      <c r="DN70" s="332">
        <f t="shared" si="92"/>
        <v>300000</v>
      </c>
      <c r="DO70" s="332">
        <f t="shared" si="93"/>
        <v>80000</v>
      </c>
      <c r="DP70" s="332">
        <f t="shared" si="94"/>
        <v>0</v>
      </c>
      <c r="DQ70" s="332">
        <f t="shared" si="40"/>
        <v>230000</v>
      </c>
      <c r="DR70" s="332">
        <f t="shared" si="40"/>
        <v>300000</v>
      </c>
    </row>
    <row r="71" spans="1:122">
      <c r="A71" s="15">
        <v>63</v>
      </c>
      <c r="B71" s="96" t="s">
        <v>747</v>
      </c>
      <c r="C71" s="96" t="s">
        <v>1047</v>
      </c>
      <c r="D71" s="96" t="s">
        <v>1048</v>
      </c>
      <c r="E71" s="185" t="s">
        <v>1164</v>
      </c>
      <c r="F71" s="161">
        <f t="shared" si="41"/>
        <v>0</v>
      </c>
      <c r="G71" s="161">
        <f t="shared" si="42"/>
        <v>0</v>
      </c>
      <c r="H71" s="161">
        <f t="shared" si="43"/>
        <v>0</v>
      </c>
      <c r="I71" s="161">
        <f t="shared" si="44"/>
        <v>0</v>
      </c>
      <c r="J71" s="165">
        <f t="shared" si="87"/>
        <v>0</v>
      </c>
      <c r="K71" s="115"/>
      <c r="L71" s="211">
        <v>0</v>
      </c>
      <c r="M71" s="211">
        <v>0</v>
      </c>
      <c r="N71" s="127">
        <f t="shared" si="45"/>
        <v>0</v>
      </c>
      <c r="O71" s="127">
        <f t="shared" si="46"/>
        <v>0</v>
      </c>
      <c r="P71" s="127">
        <f t="shared" si="47"/>
        <v>0</v>
      </c>
      <c r="Q71" s="131">
        <f t="shared" si="48"/>
        <v>0</v>
      </c>
      <c r="R71" s="125" t="str">
        <f t="shared" si="88"/>
        <v>ნულოვანი შესრულება</v>
      </c>
      <c r="S71" s="113">
        <v>0</v>
      </c>
      <c r="T71" s="113"/>
      <c r="U71" s="113">
        <f t="shared" si="11"/>
        <v>0</v>
      </c>
      <c r="V71" s="113">
        <f t="shared" si="12"/>
        <v>0</v>
      </c>
      <c r="W71" s="113">
        <v>0</v>
      </c>
      <c r="X71" s="113">
        <v>0</v>
      </c>
      <c r="Y71" s="113">
        <v>0</v>
      </c>
      <c r="Z71" s="113">
        <v>0</v>
      </c>
      <c r="AA71" s="113">
        <f t="shared" si="86"/>
        <v>0</v>
      </c>
      <c r="AB71" s="113">
        <f t="shared" si="86"/>
        <v>0</v>
      </c>
      <c r="AC71" s="113"/>
      <c r="AD71" s="113"/>
      <c r="AE71" s="113"/>
      <c r="AF71" s="113"/>
      <c r="AG71" s="113">
        <f t="shared" si="14"/>
        <v>0</v>
      </c>
      <c r="AH71" s="113">
        <f t="shared" si="14"/>
        <v>0</v>
      </c>
      <c r="AI71" s="114">
        <f t="shared" si="15"/>
        <v>0</v>
      </c>
      <c r="AJ71" s="114">
        <f t="shared" si="16"/>
        <v>0</v>
      </c>
      <c r="AK71" s="114">
        <f t="shared" si="16"/>
        <v>0</v>
      </c>
      <c r="AL71" s="114">
        <f t="shared" si="17"/>
        <v>0</v>
      </c>
      <c r="AM71" s="113">
        <f t="shared" si="18"/>
        <v>0</v>
      </c>
      <c r="AN71" s="113">
        <f t="shared" si="18"/>
        <v>0</v>
      </c>
      <c r="AO71" s="113"/>
      <c r="AP71" s="113"/>
      <c r="AQ71" s="113"/>
      <c r="AR71" s="113"/>
      <c r="AS71" s="113">
        <f t="shared" si="19"/>
        <v>0</v>
      </c>
      <c r="AT71" s="113">
        <f t="shared" si="19"/>
        <v>0</v>
      </c>
      <c r="AU71" s="113"/>
      <c r="AV71" s="113"/>
      <c r="AW71" s="113"/>
      <c r="AX71" s="113"/>
      <c r="AY71" s="113">
        <f t="shared" si="20"/>
        <v>0</v>
      </c>
      <c r="AZ71" s="113">
        <f t="shared" si="20"/>
        <v>0</v>
      </c>
      <c r="BA71" s="113"/>
      <c r="BB71" s="113"/>
      <c r="BC71" s="113"/>
      <c r="BD71" s="113"/>
      <c r="BE71" s="113">
        <f t="shared" si="21"/>
        <v>0</v>
      </c>
      <c r="BF71" s="113"/>
      <c r="BG71" s="113">
        <f t="shared" si="95"/>
        <v>0</v>
      </c>
      <c r="BH71" s="113"/>
      <c r="BI71" s="113"/>
      <c r="BJ71" s="113"/>
      <c r="BK71" s="113"/>
      <c r="BL71" s="113">
        <f t="shared" si="23"/>
        <v>0</v>
      </c>
      <c r="BM71" s="113"/>
      <c r="BN71" s="113">
        <f t="shared" si="96"/>
        <v>0</v>
      </c>
      <c r="BO71" s="113"/>
      <c r="BP71" s="113"/>
      <c r="BQ71" s="113"/>
      <c r="BR71" s="113"/>
      <c r="BS71" s="113">
        <f t="shared" si="25"/>
        <v>0</v>
      </c>
      <c r="BT71" s="113"/>
      <c r="BU71" s="113">
        <f t="shared" si="97"/>
        <v>0</v>
      </c>
      <c r="BV71" s="113"/>
      <c r="BW71" s="113"/>
      <c r="BX71" s="113"/>
      <c r="BY71" s="113"/>
      <c r="BZ71" s="113">
        <f t="shared" si="27"/>
        <v>0</v>
      </c>
      <c r="CA71" s="113"/>
      <c r="CB71" s="113">
        <f t="shared" si="89"/>
        <v>0</v>
      </c>
      <c r="CC71" s="113"/>
      <c r="CD71" s="113"/>
      <c r="CE71" s="113"/>
      <c r="CF71" s="113"/>
      <c r="CG71" s="113">
        <f t="shared" si="29"/>
        <v>0</v>
      </c>
      <c r="CH71" s="113">
        <f t="shared" si="90"/>
        <v>0</v>
      </c>
      <c r="CI71" s="113"/>
      <c r="CJ71" s="113"/>
      <c r="CK71" s="113"/>
      <c r="CL71" s="113"/>
      <c r="CM71" s="113">
        <f t="shared" si="31"/>
        <v>0</v>
      </c>
      <c r="CN71" s="113">
        <f t="shared" si="31"/>
        <v>0</v>
      </c>
      <c r="CO71" s="113"/>
      <c r="CP71" s="113"/>
      <c r="CQ71" s="113"/>
      <c r="CR71" s="113"/>
      <c r="CS71" s="113">
        <f t="shared" si="32"/>
        <v>0</v>
      </c>
      <c r="CT71" s="113">
        <f t="shared" si="32"/>
        <v>0</v>
      </c>
      <c r="CU71" s="113"/>
      <c r="CV71" s="113"/>
      <c r="CW71" s="113"/>
      <c r="CX71" s="113"/>
      <c r="CY71" s="113">
        <f t="shared" si="33"/>
        <v>0</v>
      </c>
      <c r="CZ71" s="113">
        <f t="shared" si="33"/>
        <v>0</v>
      </c>
      <c r="DA71" s="113"/>
      <c r="DB71" s="113"/>
      <c r="DC71" s="113"/>
      <c r="DD71" s="113"/>
      <c r="DE71" s="113">
        <f t="shared" si="34"/>
        <v>0</v>
      </c>
      <c r="DF71" s="113">
        <f t="shared" si="34"/>
        <v>0</v>
      </c>
      <c r="DG71" s="113"/>
      <c r="DH71" s="113"/>
      <c r="DI71" s="113"/>
      <c r="DJ71" s="113"/>
      <c r="DK71" s="113">
        <f t="shared" si="35"/>
        <v>0</v>
      </c>
      <c r="DL71" s="113">
        <f t="shared" si="35"/>
        <v>0</v>
      </c>
      <c r="DM71" s="113">
        <f t="shared" si="91"/>
        <v>0</v>
      </c>
      <c r="DN71" s="113">
        <f t="shared" si="92"/>
        <v>0</v>
      </c>
      <c r="DO71" s="113">
        <f t="shared" si="93"/>
        <v>0</v>
      </c>
      <c r="DP71" s="113">
        <f t="shared" si="94"/>
        <v>0</v>
      </c>
      <c r="DQ71" s="113">
        <f t="shared" si="40"/>
        <v>0</v>
      </c>
      <c r="DR71" s="113">
        <f t="shared" si="40"/>
        <v>0</v>
      </c>
    </row>
    <row r="72" spans="1:122">
      <c r="A72" s="15">
        <v>64</v>
      </c>
      <c r="B72" s="96" t="s">
        <v>747</v>
      </c>
      <c r="C72" s="187" t="s">
        <v>1047</v>
      </c>
      <c r="D72" s="96" t="s">
        <v>1049</v>
      </c>
      <c r="E72" s="96" t="s">
        <v>1165</v>
      </c>
      <c r="F72" s="131">
        <f t="shared" si="41"/>
        <v>0</v>
      </c>
      <c r="G72" s="161">
        <f t="shared" si="42"/>
        <v>0</v>
      </c>
      <c r="H72" s="161">
        <f t="shared" si="43"/>
        <v>0</v>
      </c>
      <c r="I72" s="161">
        <f t="shared" si="44"/>
        <v>0</v>
      </c>
      <c r="J72" s="283">
        <f t="shared" si="87"/>
        <v>0</v>
      </c>
      <c r="K72" s="115">
        <v>203140</v>
      </c>
      <c r="L72" s="211">
        <v>0</v>
      </c>
      <c r="M72" s="211">
        <v>0</v>
      </c>
      <c r="N72" s="127">
        <f t="shared" si="45"/>
        <v>0</v>
      </c>
      <c r="O72" s="127">
        <f t="shared" si="46"/>
        <v>0</v>
      </c>
      <c r="P72" s="131">
        <f t="shared" si="47"/>
        <v>0</v>
      </c>
      <c r="Q72" s="131">
        <f t="shared" si="48"/>
        <v>0</v>
      </c>
      <c r="R72" s="131" t="str">
        <f t="shared" si="88"/>
        <v>ნულოვანი შესრულება</v>
      </c>
      <c r="S72" s="113">
        <v>0</v>
      </c>
      <c r="T72" s="113"/>
      <c r="U72" s="113">
        <f t="shared" si="11"/>
        <v>0</v>
      </c>
      <c r="V72" s="113">
        <f t="shared" si="12"/>
        <v>0</v>
      </c>
      <c r="W72" s="113">
        <v>0</v>
      </c>
      <c r="X72" s="113">
        <v>0</v>
      </c>
      <c r="Y72" s="113">
        <v>0</v>
      </c>
      <c r="Z72" s="113">
        <v>0</v>
      </c>
      <c r="AA72" s="113">
        <f t="shared" si="86"/>
        <v>0</v>
      </c>
      <c r="AB72" s="113">
        <f t="shared" si="86"/>
        <v>0</v>
      </c>
      <c r="AC72" s="113"/>
      <c r="AD72" s="113"/>
      <c r="AE72" s="113"/>
      <c r="AF72" s="113"/>
      <c r="AG72" s="113">
        <f t="shared" si="14"/>
        <v>0</v>
      </c>
      <c r="AH72" s="113">
        <f t="shared" si="14"/>
        <v>0</v>
      </c>
      <c r="AI72" s="114">
        <f t="shared" si="15"/>
        <v>0</v>
      </c>
      <c r="AJ72" s="114">
        <f t="shared" si="16"/>
        <v>0</v>
      </c>
      <c r="AK72" s="114">
        <f t="shared" si="16"/>
        <v>0</v>
      </c>
      <c r="AL72" s="114">
        <f t="shared" si="17"/>
        <v>0</v>
      </c>
      <c r="AM72" s="113">
        <f t="shared" si="18"/>
        <v>0</v>
      </c>
      <c r="AN72" s="113">
        <f t="shared" si="18"/>
        <v>0</v>
      </c>
      <c r="AO72" s="113"/>
      <c r="AP72" s="113"/>
      <c r="AQ72" s="113"/>
      <c r="AR72" s="113"/>
      <c r="AS72" s="113">
        <f t="shared" si="19"/>
        <v>0</v>
      </c>
      <c r="AT72" s="113">
        <f t="shared" si="19"/>
        <v>0</v>
      </c>
      <c r="AU72" s="113"/>
      <c r="AV72" s="113"/>
      <c r="AW72" s="113"/>
      <c r="AX72" s="113"/>
      <c r="AY72" s="113">
        <f t="shared" si="20"/>
        <v>0</v>
      </c>
      <c r="AZ72" s="113">
        <f t="shared" si="20"/>
        <v>0</v>
      </c>
      <c r="BA72" s="113"/>
      <c r="BB72" s="113"/>
      <c r="BC72" s="113"/>
      <c r="BD72" s="113"/>
      <c r="BE72" s="113">
        <f t="shared" si="21"/>
        <v>0</v>
      </c>
      <c r="BF72" s="113"/>
      <c r="BG72" s="113">
        <f t="shared" si="95"/>
        <v>0</v>
      </c>
      <c r="BH72" s="113"/>
      <c r="BI72" s="113"/>
      <c r="BJ72" s="113"/>
      <c r="BK72" s="113"/>
      <c r="BL72" s="113">
        <f t="shared" si="23"/>
        <v>0</v>
      </c>
      <c r="BM72" s="113"/>
      <c r="BN72" s="113">
        <f t="shared" si="96"/>
        <v>0</v>
      </c>
      <c r="BO72" s="113"/>
      <c r="BP72" s="113"/>
      <c r="BQ72" s="113"/>
      <c r="BR72" s="113"/>
      <c r="BS72" s="113">
        <f t="shared" si="25"/>
        <v>0</v>
      </c>
      <c r="BT72" s="113"/>
      <c r="BU72" s="113">
        <f t="shared" si="97"/>
        <v>0</v>
      </c>
      <c r="BV72" s="113"/>
      <c r="BW72" s="113"/>
      <c r="BX72" s="113"/>
      <c r="BY72" s="113"/>
      <c r="BZ72" s="113">
        <f t="shared" si="27"/>
        <v>0</v>
      </c>
      <c r="CA72" s="113"/>
      <c r="CB72" s="113">
        <f t="shared" si="89"/>
        <v>0</v>
      </c>
      <c r="CC72" s="113"/>
      <c r="CD72" s="113"/>
      <c r="CE72" s="113"/>
      <c r="CF72" s="113"/>
      <c r="CG72" s="113">
        <f t="shared" si="29"/>
        <v>0</v>
      </c>
      <c r="CH72" s="113">
        <f t="shared" si="90"/>
        <v>0</v>
      </c>
      <c r="CI72" s="113"/>
      <c r="CJ72" s="113"/>
      <c r="CK72" s="113"/>
      <c r="CL72" s="113"/>
      <c r="CM72" s="113">
        <f t="shared" si="31"/>
        <v>0</v>
      </c>
      <c r="CN72" s="113">
        <f t="shared" si="31"/>
        <v>0</v>
      </c>
      <c r="CO72" s="113"/>
      <c r="CP72" s="113"/>
      <c r="CQ72" s="113"/>
      <c r="CR72" s="113"/>
      <c r="CS72" s="113">
        <f t="shared" si="32"/>
        <v>0</v>
      </c>
      <c r="CT72" s="113">
        <f t="shared" si="32"/>
        <v>0</v>
      </c>
      <c r="CU72" s="113"/>
      <c r="CV72" s="113"/>
      <c r="CW72" s="113"/>
      <c r="CX72" s="113"/>
      <c r="CY72" s="113">
        <f t="shared" si="33"/>
        <v>0</v>
      </c>
      <c r="CZ72" s="113">
        <f t="shared" si="33"/>
        <v>0</v>
      </c>
      <c r="DA72" s="113"/>
      <c r="DB72" s="113"/>
      <c r="DC72" s="113"/>
      <c r="DD72" s="113"/>
      <c r="DE72" s="113">
        <f t="shared" si="34"/>
        <v>0</v>
      </c>
      <c r="DF72" s="113">
        <f t="shared" si="34"/>
        <v>0</v>
      </c>
      <c r="DG72" s="113"/>
      <c r="DH72" s="113"/>
      <c r="DI72" s="113"/>
      <c r="DJ72" s="113"/>
      <c r="DK72" s="113">
        <f t="shared" si="35"/>
        <v>0</v>
      </c>
      <c r="DL72" s="113">
        <f t="shared" si="35"/>
        <v>0</v>
      </c>
      <c r="DM72" s="113">
        <f t="shared" si="91"/>
        <v>0</v>
      </c>
      <c r="DN72" s="113">
        <f t="shared" si="92"/>
        <v>0</v>
      </c>
      <c r="DO72" s="113">
        <f t="shared" si="93"/>
        <v>0</v>
      </c>
      <c r="DP72" s="113">
        <f t="shared" si="94"/>
        <v>0</v>
      </c>
      <c r="DQ72" s="113">
        <f t="shared" si="40"/>
        <v>0</v>
      </c>
      <c r="DR72" s="113">
        <f t="shared" si="40"/>
        <v>0</v>
      </c>
    </row>
    <row r="73" spans="1:122">
      <c r="A73" s="15">
        <v>65</v>
      </c>
      <c r="B73" s="96" t="s">
        <v>747</v>
      </c>
      <c r="C73" s="96" t="s">
        <v>1050</v>
      </c>
      <c r="D73" s="96" t="s">
        <v>1051</v>
      </c>
      <c r="E73" s="185" t="s">
        <v>1164</v>
      </c>
      <c r="F73" s="161">
        <f t="shared" si="41"/>
        <v>10316.25</v>
      </c>
      <c r="G73" s="161">
        <f t="shared" si="42"/>
        <v>10316.25</v>
      </c>
      <c r="H73" s="161">
        <f t="shared" si="43"/>
        <v>0</v>
      </c>
      <c r="I73" s="161">
        <f t="shared" si="44"/>
        <v>0</v>
      </c>
      <c r="J73" s="165">
        <f t="shared" ref="J73:J104" si="98">L73+AN73+DQ73</f>
        <v>10316.25</v>
      </c>
      <c r="K73" s="115"/>
      <c r="L73" s="211">
        <v>0</v>
      </c>
      <c r="M73" s="211">
        <v>0</v>
      </c>
      <c r="N73" s="127">
        <f t="shared" si="45"/>
        <v>0</v>
      </c>
      <c r="O73" s="127">
        <f t="shared" si="46"/>
        <v>0</v>
      </c>
      <c r="P73" s="127">
        <f t="shared" si="47"/>
        <v>0</v>
      </c>
      <c r="Q73" s="131">
        <f t="shared" si="48"/>
        <v>10316.25</v>
      </c>
      <c r="R73" s="125">
        <f t="shared" ref="R73:R104" si="99">IF(AND(AL73&gt;0,DP73&gt;0),"შეცდომაა! ერთზე მეტი ბოლო ჩაბარება!",IF(OR(AL73&gt;0,DP73&gt;0,),IF(AL73&gt;0,L73+AN73,L73+AN73+DR73),IF(AND(L73=0,N73=0,DR73=0),"ნულოვანი შესრულება","მიმდინარეობს")))</f>
        <v>10316.25</v>
      </c>
      <c r="S73" s="113">
        <v>0</v>
      </c>
      <c r="T73" s="113"/>
      <c r="U73" s="113">
        <f t="shared" si="11"/>
        <v>0</v>
      </c>
      <c r="V73" s="113">
        <f t="shared" si="12"/>
        <v>0</v>
      </c>
      <c r="W73" s="113">
        <v>0</v>
      </c>
      <c r="X73" s="113">
        <v>0</v>
      </c>
      <c r="Y73" s="113">
        <v>0</v>
      </c>
      <c r="Z73" s="113">
        <v>0</v>
      </c>
      <c r="AA73" s="113">
        <f t="shared" si="86"/>
        <v>0</v>
      </c>
      <c r="AB73" s="113">
        <f t="shared" si="86"/>
        <v>0</v>
      </c>
      <c r="AC73" s="113"/>
      <c r="AD73" s="113"/>
      <c r="AE73" s="113"/>
      <c r="AF73" s="113"/>
      <c r="AG73" s="113">
        <f t="shared" ref="AG73:AH98" si="100">AC73+AE73</f>
        <v>0</v>
      </c>
      <c r="AH73" s="113">
        <f t="shared" si="100"/>
        <v>0</v>
      </c>
      <c r="AI73" s="114">
        <f t="shared" si="15"/>
        <v>0</v>
      </c>
      <c r="AJ73" s="114">
        <f t="shared" ref="AJ73:AK98" si="101">S73+X73+AD73</f>
        <v>0</v>
      </c>
      <c r="AK73" s="114">
        <f t="shared" si="101"/>
        <v>0</v>
      </c>
      <c r="AL73" s="114">
        <f t="shared" si="17"/>
        <v>0</v>
      </c>
      <c r="AM73" s="113">
        <f t="shared" ref="AM73:AN98" si="102">AI73+AK73</f>
        <v>0</v>
      </c>
      <c r="AN73" s="113">
        <f t="shared" si="102"/>
        <v>0</v>
      </c>
      <c r="AO73" s="113"/>
      <c r="AP73" s="113"/>
      <c r="AQ73" s="113">
        <v>10316.25</v>
      </c>
      <c r="AR73" s="113">
        <v>10316.25</v>
      </c>
      <c r="AS73" s="113">
        <f t="shared" ref="AS73:AT98" si="103">AO73+AQ73</f>
        <v>10316.25</v>
      </c>
      <c r="AT73" s="113">
        <f t="shared" si="103"/>
        <v>10316.25</v>
      </c>
      <c r="AU73" s="113"/>
      <c r="AV73" s="113"/>
      <c r="AW73" s="113"/>
      <c r="AX73" s="113"/>
      <c r="AY73" s="113">
        <f t="shared" ref="AY73:AZ98" si="104">AU73+AW73</f>
        <v>0</v>
      </c>
      <c r="AZ73" s="113">
        <f t="shared" si="104"/>
        <v>0</v>
      </c>
      <c r="BA73" s="113"/>
      <c r="BB73" s="113"/>
      <c r="BC73" s="113"/>
      <c r="BD73" s="113"/>
      <c r="BE73" s="113">
        <f t="shared" ref="BE73:BE98" si="105">BA73+BC73</f>
        <v>0</v>
      </c>
      <c r="BF73" s="113"/>
      <c r="BG73" s="113">
        <f t="shared" si="95"/>
        <v>0</v>
      </c>
      <c r="BH73" s="113"/>
      <c r="BI73" s="113"/>
      <c r="BJ73" s="113"/>
      <c r="BK73" s="113"/>
      <c r="BL73" s="113">
        <f t="shared" ref="BL73:BL98" si="106">BH73+BJ73</f>
        <v>0</v>
      </c>
      <c r="BM73" s="113"/>
      <c r="BN73" s="113">
        <f t="shared" si="96"/>
        <v>0</v>
      </c>
      <c r="BO73" s="113"/>
      <c r="BP73" s="113"/>
      <c r="BQ73" s="113"/>
      <c r="BR73" s="113"/>
      <c r="BS73" s="113">
        <f t="shared" ref="BS73:BS98" si="107">BO73+BQ73</f>
        <v>0</v>
      </c>
      <c r="BT73" s="113"/>
      <c r="BU73" s="113">
        <f t="shared" si="97"/>
        <v>0</v>
      </c>
      <c r="BV73" s="113"/>
      <c r="BW73" s="113"/>
      <c r="BX73" s="113"/>
      <c r="BY73" s="113"/>
      <c r="BZ73" s="113">
        <f t="shared" ref="BZ73:BZ98" si="108">BV73+BX73</f>
        <v>0</v>
      </c>
      <c r="CA73" s="113"/>
      <c r="CB73" s="113">
        <f t="shared" ref="CB73:CB104" si="109">BW73+BY73</f>
        <v>0</v>
      </c>
      <c r="CC73" s="113"/>
      <c r="CD73" s="113"/>
      <c r="CE73" s="113"/>
      <c r="CF73" s="113"/>
      <c r="CG73" s="113">
        <f t="shared" ref="CG73:CG98" si="110">CC73+CE73</f>
        <v>0</v>
      </c>
      <c r="CH73" s="113">
        <f t="shared" ref="CH73:CH104" si="111">CD73+CF73</f>
        <v>0</v>
      </c>
      <c r="CI73" s="113"/>
      <c r="CJ73" s="113"/>
      <c r="CK73" s="113"/>
      <c r="CL73" s="113"/>
      <c r="CM73" s="113">
        <f t="shared" ref="CM73:CN98" si="112">CI73+CK73</f>
        <v>0</v>
      </c>
      <c r="CN73" s="113">
        <f t="shared" si="112"/>
        <v>0</v>
      </c>
      <c r="CO73" s="113"/>
      <c r="CP73" s="113"/>
      <c r="CQ73" s="113"/>
      <c r="CR73" s="113"/>
      <c r="CS73" s="113">
        <f t="shared" ref="CS73:CT98" si="113">CO73+CQ73</f>
        <v>0</v>
      </c>
      <c r="CT73" s="113">
        <f t="shared" si="113"/>
        <v>0</v>
      </c>
      <c r="CU73" s="113"/>
      <c r="CV73" s="113"/>
      <c r="CW73" s="113"/>
      <c r="CX73" s="113"/>
      <c r="CY73" s="113">
        <f t="shared" ref="CY73:CZ98" si="114">CU73+CW73</f>
        <v>0</v>
      </c>
      <c r="CZ73" s="113">
        <f t="shared" si="114"/>
        <v>0</v>
      </c>
      <c r="DA73" s="113"/>
      <c r="DB73" s="113"/>
      <c r="DC73" s="113"/>
      <c r="DD73" s="113"/>
      <c r="DE73" s="113">
        <f t="shared" ref="DE73:DF98" si="115">DA73+DC73</f>
        <v>0</v>
      </c>
      <c r="DF73" s="113">
        <f t="shared" si="115"/>
        <v>0</v>
      </c>
      <c r="DG73" s="113"/>
      <c r="DH73" s="113"/>
      <c r="DI73" s="113"/>
      <c r="DJ73" s="113"/>
      <c r="DK73" s="113">
        <f t="shared" ref="DK73:DL98" si="116">DG73+DI73</f>
        <v>0</v>
      </c>
      <c r="DL73" s="113">
        <f t="shared" si="116"/>
        <v>0</v>
      </c>
      <c r="DM73" s="113">
        <f t="shared" ref="DM73:DM104" si="117">AO73+AU73+BA73+BH73+BO73+BV73+CC73+CI73+CO73+CU73+DA73+DG73</f>
        <v>0</v>
      </c>
      <c r="DN73" s="113">
        <f t="shared" ref="DN73:DN104" si="118">AP73+AV73+BB73+BI73+BP73+BW73+CD73+CJ73+CP73+CV73+DB73+DH73</f>
        <v>0</v>
      </c>
      <c r="DO73" s="113">
        <f t="shared" ref="DO73:DO104" si="119">AQ73+AW73+BC73+BJ73+BQ73+BX73+CE73+CK73+CQ73+CW73+DC73+DI73</f>
        <v>10316.25</v>
      </c>
      <c r="DP73" s="113">
        <f t="shared" ref="DP73:DP104" si="120">AR73+AX73+BD73+BK73+BR73+BY73+CF73+CL73+CR73+CX73+DD73+DJ73</f>
        <v>10316.25</v>
      </c>
      <c r="DQ73" s="113">
        <f t="shared" ref="DQ73:DR98" si="121">DM73+DO73</f>
        <v>10316.25</v>
      </c>
      <c r="DR73" s="113">
        <f t="shared" si="121"/>
        <v>10316.25</v>
      </c>
    </row>
    <row r="74" spans="1:122">
      <c r="A74" s="15">
        <v>66</v>
      </c>
      <c r="B74" s="96" t="s">
        <v>747</v>
      </c>
      <c r="C74" s="187" t="s">
        <v>1050</v>
      </c>
      <c r="D74" s="96" t="s">
        <v>1052</v>
      </c>
      <c r="E74" s="185" t="s">
        <v>1165</v>
      </c>
      <c r="F74" s="161">
        <f t="shared" si="41"/>
        <v>275000</v>
      </c>
      <c r="G74" s="161">
        <f t="shared" ref="G74:G137" si="122">AT74+AZ74+BG74+BN74+BU74+CB74+CH74+CN74+CT74+CZ74+DF74+DL74</f>
        <v>100000</v>
      </c>
      <c r="H74" s="161">
        <f t="shared" ref="H74:H137" si="123">F74-G74</f>
        <v>175000</v>
      </c>
      <c r="I74" s="161">
        <f t="shared" ref="I74:I137" si="124">BF74+BM74+BT74+CA74</f>
        <v>0</v>
      </c>
      <c r="J74" s="165">
        <f t="shared" si="98"/>
        <v>275000</v>
      </c>
      <c r="K74" s="115">
        <v>68913.5</v>
      </c>
      <c r="L74" s="211">
        <v>0</v>
      </c>
      <c r="M74" s="211">
        <v>0</v>
      </c>
      <c r="N74" s="127">
        <f t="shared" si="45"/>
        <v>0</v>
      </c>
      <c r="O74" s="127">
        <f t="shared" si="46"/>
        <v>0</v>
      </c>
      <c r="P74" s="127">
        <f t="shared" si="47"/>
        <v>0</v>
      </c>
      <c r="Q74" s="131">
        <f t="shared" ref="Q74:Q137" si="125">J74-P74</f>
        <v>275000</v>
      </c>
      <c r="R74" s="125" t="str">
        <f t="shared" si="99"/>
        <v>მიმდინარეობს</v>
      </c>
      <c r="S74" s="113">
        <v>0</v>
      </c>
      <c r="T74" s="113"/>
      <c r="U74" s="113">
        <f t="shared" ref="U74:U135" si="126">L74+S74</f>
        <v>0</v>
      </c>
      <c r="V74" s="113">
        <f t="shared" ref="V74:V135" si="127">T74</f>
        <v>0</v>
      </c>
      <c r="W74" s="113">
        <v>0</v>
      </c>
      <c r="X74" s="113">
        <v>0</v>
      </c>
      <c r="Y74" s="113">
        <v>0</v>
      </c>
      <c r="Z74" s="113">
        <v>0</v>
      </c>
      <c r="AA74" s="113">
        <f t="shared" si="86"/>
        <v>0</v>
      </c>
      <c r="AB74" s="113">
        <f t="shared" si="86"/>
        <v>0</v>
      </c>
      <c r="AC74" s="113"/>
      <c r="AD74" s="113"/>
      <c r="AE74" s="113"/>
      <c r="AF74" s="113"/>
      <c r="AG74" s="113">
        <f t="shared" si="100"/>
        <v>0</v>
      </c>
      <c r="AH74" s="113">
        <f t="shared" si="100"/>
        <v>0</v>
      </c>
      <c r="AI74" s="114">
        <f t="shared" ref="AI74:AI135" si="128">S74+W74+AC74</f>
        <v>0</v>
      </c>
      <c r="AJ74" s="114">
        <f t="shared" si="101"/>
        <v>0</v>
      </c>
      <c r="AK74" s="114">
        <f t="shared" si="101"/>
        <v>0</v>
      </c>
      <c r="AL74" s="114">
        <f t="shared" ref="AL74:AL135" si="129">T74+Z74+AF74</f>
        <v>0</v>
      </c>
      <c r="AM74" s="113">
        <f t="shared" si="102"/>
        <v>0</v>
      </c>
      <c r="AN74" s="113">
        <f t="shared" si="102"/>
        <v>0</v>
      </c>
      <c r="AO74" s="113">
        <v>100000</v>
      </c>
      <c r="AP74" s="113">
        <v>100000</v>
      </c>
      <c r="AQ74" s="113"/>
      <c r="AR74" s="113"/>
      <c r="AS74" s="113">
        <f t="shared" si="103"/>
        <v>100000</v>
      </c>
      <c r="AT74" s="113">
        <f t="shared" si="103"/>
        <v>100000</v>
      </c>
      <c r="AU74" s="113">
        <v>100000</v>
      </c>
      <c r="AV74" s="113"/>
      <c r="AW74" s="113"/>
      <c r="AX74" s="113"/>
      <c r="AY74" s="113">
        <f t="shared" si="104"/>
        <v>100000</v>
      </c>
      <c r="AZ74" s="113">
        <f t="shared" si="104"/>
        <v>0</v>
      </c>
      <c r="BA74" s="113"/>
      <c r="BB74" s="113"/>
      <c r="BC74" s="113">
        <v>75000</v>
      </c>
      <c r="BD74" s="113"/>
      <c r="BE74" s="113">
        <f t="shared" si="105"/>
        <v>75000</v>
      </c>
      <c r="BF74" s="113"/>
      <c r="BG74" s="113">
        <f t="shared" si="95"/>
        <v>0</v>
      </c>
      <c r="BH74" s="113"/>
      <c r="BI74" s="113"/>
      <c r="BJ74" s="113"/>
      <c r="BK74" s="113"/>
      <c r="BL74" s="113">
        <f t="shared" si="106"/>
        <v>0</v>
      </c>
      <c r="BM74" s="113"/>
      <c r="BN74" s="113">
        <f t="shared" si="96"/>
        <v>0</v>
      </c>
      <c r="BO74" s="113"/>
      <c r="BP74" s="113"/>
      <c r="BQ74" s="113"/>
      <c r="BR74" s="113"/>
      <c r="BS74" s="113">
        <f t="shared" si="107"/>
        <v>0</v>
      </c>
      <c r="BT74" s="113"/>
      <c r="BU74" s="113">
        <f t="shared" si="97"/>
        <v>0</v>
      </c>
      <c r="BV74" s="113"/>
      <c r="BW74" s="113"/>
      <c r="BX74" s="113"/>
      <c r="BY74" s="113"/>
      <c r="BZ74" s="113">
        <f t="shared" si="108"/>
        <v>0</v>
      </c>
      <c r="CA74" s="113"/>
      <c r="CB74" s="113">
        <f t="shared" si="109"/>
        <v>0</v>
      </c>
      <c r="CC74" s="113"/>
      <c r="CD74" s="113"/>
      <c r="CE74" s="113"/>
      <c r="CF74" s="113"/>
      <c r="CG74" s="113">
        <f t="shared" si="110"/>
        <v>0</v>
      </c>
      <c r="CH74" s="113">
        <f t="shared" si="111"/>
        <v>0</v>
      </c>
      <c r="CI74" s="113"/>
      <c r="CJ74" s="113"/>
      <c r="CK74" s="113"/>
      <c r="CL74" s="113"/>
      <c r="CM74" s="113">
        <f t="shared" si="112"/>
        <v>0</v>
      </c>
      <c r="CN74" s="113">
        <f t="shared" si="112"/>
        <v>0</v>
      </c>
      <c r="CO74" s="113"/>
      <c r="CP74" s="113"/>
      <c r="CQ74" s="113"/>
      <c r="CR74" s="113"/>
      <c r="CS74" s="113">
        <f t="shared" si="113"/>
        <v>0</v>
      </c>
      <c r="CT74" s="113">
        <f t="shared" si="113"/>
        <v>0</v>
      </c>
      <c r="CU74" s="113"/>
      <c r="CV74" s="113"/>
      <c r="CW74" s="113"/>
      <c r="CX74" s="113"/>
      <c r="CY74" s="113">
        <f t="shared" si="114"/>
        <v>0</v>
      </c>
      <c r="CZ74" s="113">
        <f t="shared" si="114"/>
        <v>0</v>
      </c>
      <c r="DA74" s="113"/>
      <c r="DB74" s="113"/>
      <c r="DC74" s="113"/>
      <c r="DD74" s="113"/>
      <c r="DE74" s="113">
        <f t="shared" si="115"/>
        <v>0</v>
      </c>
      <c r="DF74" s="113">
        <f t="shared" si="115"/>
        <v>0</v>
      </c>
      <c r="DG74" s="113"/>
      <c r="DH74" s="113"/>
      <c r="DI74" s="113"/>
      <c r="DJ74" s="113"/>
      <c r="DK74" s="113">
        <f t="shared" si="116"/>
        <v>0</v>
      </c>
      <c r="DL74" s="113">
        <f t="shared" si="116"/>
        <v>0</v>
      </c>
      <c r="DM74" s="113">
        <f t="shared" si="117"/>
        <v>200000</v>
      </c>
      <c r="DN74" s="113">
        <f t="shared" si="118"/>
        <v>100000</v>
      </c>
      <c r="DO74" s="113">
        <f t="shared" si="119"/>
        <v>75000</v>
      </c>
      <c r="DP74" s="113">
        <f t="shared" si="120"/>
        <v>0</v>
      </c>
      <c r="DQ74" s="113">
        <f t="shared" si="121"/>
        <v>275000</v>
      </c>
      <c r="DR74" s="113">
        <f t="shared" si="121"/>
        <v>100000</v>
      </c>
    </row>
    <row r="75" spans="1:122">
      <c r="A75" s="15">
        <v>67</v>
      </c>
      <c r="B75" s="96" t="s">
        <v>747</v>
      </c>
      <c r="C75" s="96" t="s">
        <v>1053</v>
      </c>
      <c r="D75" s="96" t="s">
        <v>1054</v>
      </c>
      <c r="E75" s="185" t="s">
        <v>1164</v>
      </c>
      <c r="F75" s="161">
        <f t="shared" ref="F75:F135" si="130">SUM(DQ75)</f>
        <v>0</v>
      </c>
      <c r="G75" s="161">
        <f t="shared" si="122"/>
        <v>0</v>
      </c>
      <c r="H75" s="161">
        <f t="shared" si="123"/>
        <v>0</v>
      </c>
      <c r="I75" s="161">
        <f t="shared" si="124"/>
        <v>0</v>
      </c>
      <c r="J75" s="165">
        <f t="shared" si="98"/>
        <v>2003.75</v>
      </c>
      <c r="K75" s="115"/>
      <c r="L75" s="211">
        <v>0</v>
      </c>
      <c r="M75" s="211">
        <v>0</v>
      </c>
      <c r="N75" s="127">
        <f t="shared" ref="N75:N135" si="131">AN75</f>
        <v>2003.75</v>
      </c>
      <c r="O75" s="127">
        <f t="shared" ref="O75:O135" si="132">IF(AL75&gt;0,L75+AN75-M75,0)</f>
        <v>2003.75</v>
      </c>
      <c r="P75" s="127">
        <f t="shared" ref="P75:P135" si="133">L75+N75</f>
        <v>2003.75</v>
      </c>
      <c r="Q75" s="131">
        <f t="shared" si="125"/>
        <v>0</v>
      </c>
      <c r="R75" s="125">
        <f t="shared" si="99"/>
        <v>2003.75</v>
      </c>
      <c r="S75" s="113">
        <v>0</v>
      </c>
      <c r="T75" s="113">
        <v>2003.75</v>
      </c>
      <c r="U75" s="113">
        <f t="shared" si="126"/>
        <v>0</v>
      </c>
      <c r="V75" s="113">
        <f t="shared" si="127"/>
        <v>2003.75</v>
      </c>
      <c r="W75" s="113">
        <v>0</v>
      </c>
      <c r="X75" s="113">
        <v>0</v>
      </c>
      <c r="Y75" s="113">
        <v>0</v>
      </c>
      <c r="Z75" s="113">
        <v>0</v>
      </c>
      <c r="AA75" s="113">
        <f t="shared" si="86"/>
        <v>0</v>
      </c>
      <c r="AB75" s="113">
        <f t="shared" si="86"/>
        <v>0</v>
      </c>
      <c r="AC75" s="113"/>
      <c r="AD75" s="113"/>
      <c r="AE75" s="113"/>
      <c r="AF75" s="113"/>
      <c r="AG75" s="113">
        <f t="shared" si="100"/>
        <v>0</v>
      </c>
      <c r="AH75" s="113">
        <f t="shared" si="100"/>
        <v>0</v>
      </c>
      <c r="AI75" s="114">
        <f t="shared" si="128"/>
        <v>0</v>
      </c>
      <c r="AJ75" s="114">
        <f t="shared" si="101"/>
        <v>0</v>
      </c>
      <c r="AK75" s="114">
        <f t="shared" si="101"/>
        <v>2003.75</v>
      </c>
      <c r="AL75" s="114">
        <f t="shared" si="129"/>
        <v>2003.75</v>
      </c>
      <c r="AM75" s="113">
        <f t="shared" si="102"/>
        <v>2003.75</v>
      </c>
      <c r="AN75" s="113">
        <f t="shared" si="102"/>
        <v>2003.75</v>
      </c>
      <c r="AO75" s="113"/>
      <c r="AP75" s="113"/>
      <c r="AQ75" s="113"/>
      <c r="AR75" s="113"/>
      <c r="AS75" s="113">
        <f t="shared" si="103"/>
        <v>0</v>
      </c>
      <c r="AT75" s="113">
        <f t="shared" si="103"/>
        <v>0</v>
      </c>
      <c r="AU75" s="113"/>
      <c r="AV75" s="113"/>
      <c r="AW75" s="113"/>
      <c r="AX75" s="113"/>
      <c r="AY75" s="113">
        <f t="shared" si="104"/>
        <v>0</v>
      </c>
      <c r="AZ75" s="113">
        <f t="shared" si="104"/>
        <v>0</v>
      </c>
      <c r="BA75" s="113"/>
      <c r="BB75" s="113"/>
      <c r="BC75" s="113"/>
      <c r="BD75" s="113"/>
      <c r="BE75" s="113">
        <f t="shared" si="105"/>
        <v>0</v>
      </c>
      <c r="BF75" s="113"/>
      <c r="BG75" s="113">
        <f t="shared" si="95"/>
        <v>0</v>
      </c>
      <c r="BH75" s="113"/>
      <c r="BI75" s="113"/>
      <c r="BJ75" s="113"/>
      <c r="BK75" s="113"/>
      <c r="BL75" s="113">
        <f t="shared" si="106"/>
        <v>0</v>
      </c>
      <c r="BM75" s="113"/>
      <c r="BN75" s="113">
        <f t="shared" si="96"/>
        <v>0</v>
      </c>
      <c r="BO75" s="113"/>
      <c r="BP75" s="113"/>
      <c r="BQ75" s="113"/>
      <c r="BR75" s="113"/>
      <c r="BS75" s="113">
        <f t="shared" si="107"/>
        <v>0</v>
      </c>
      <c r="BT75" s="113"/>
      <c r="BU75" s="113">
        <f t="shared" si="97"/>
        <v>0</v>
      </c>
      <c r="BV75" s="113"/>
      <c r="BW75" s="113"/>
      <c r="BX75" s="113"/>
      <c r="BY75" s="113"/>
      <c r="BZ75" s="113">
        <f t="shared" si="108"/>
        <v>0</v>
      </c>
      <c r="CA75" s="113"/>
      <c r="CB75" s="113">
        <f t="shared" si="109"/>
        <v>0</v>
      </c>
      <c r="CC75" s="113"/>
      <c r="CD75" s="113"/>
      <c r="CE75" s="113"/>
      <c r="CF75" s="113"/>
      <c r="CG75" s="113">
        <f t="shared" si="110"/>
        <v>0</v>
      </c>
      <c r="CH75" s="113">
        <f t="shared" si="111"/>
        <v>0</v>
      </c>
      <c r="CI75" s="113"/>
      <c r="CJ75" s="113"/>
      <c r="CK75" s="113"/>
      <c r="CL75" s="113"/>
      <c r="CM75" s="113">
        <f t="shared" si="112"/>
        <v>0</v>
      </c>
      <c r="CN75" s="113">
        <f t="shared" si="112"/>
        <v>0</v>
      </c>
      <c r="CO75" s="113"/>
      <c r="CP75" s="113"/>
      <c r="CQ75" s="113"/>
      <c r="CR75" s="113"/>
      <c r="CS75" s="113">
        <f t="shared" si="113"/>
        <v>0</v>
      </c>
      <c r="CT75" s="113">
        <f t="shared" si="113"/>
        <v>0</v>
      </c>
      <c r="CU75" s="113"/>
      <c r="CV75" s="113"/>
      <c r="CW75" s="113"/>
      <c r="CX75" s="113"/>
      <c r="CY75" s="113">
        <f t="shared" si="114"/>
        <v>0</v>
      </c>
      <c r="CZ75" s="113">
        <f t="shared" si="114"/>
        <v>0</v>
      </c>
      <c r="DA75" s="113"/>
      <c r="DB75" s="113"/>
      <c r="DC75" s="113"/>
      <c r="DD75" s="113"/>
      <c r="DE75" s="113">
        <f t="shared" si="115"/>
        <v>0</v>
      </c>
      <c r="DF75" s="113">
        <f t="shared" si="115"/>
        <v>0</v>
      </c>
      <c r="DG75" s="113"/>
      <c r="DH75" s="113"/>
      <c r="DI75" s="113"/>
      <c r="DJ75" s="113"/>
      <c r="DK75" s="113">
        <f t="shared" si="116"/>
        <v>0</v>
      </c>
      <c r="DL75" s="113">
        <f t="shared" si="116"/>
        <v>0</v>
      </c>
      <c r="DM75" s="113">
        <f t="shared" si="117"/>
        <v>0</v>
      </c>
      <c r="DN75" s="113">
        <f t="shared" si="118"/>
        <v>0</v>
      </c>
      <c r="DO75" s="113">
        <f t="shared" si="119"/>
        <v>0</v>
      </c>
      <c r="DP75" s="113">
        <f t="shared" si="120"/>
        <v>0</v>
      </c>
      <c r="DQ75" s="113">
        <f t="shared" si="121"/>
        <v>0</v>
      </c>
      <c r="DR75" s="113">
        <f t="shared" si="121"/>
        <v>0</v>
      </c>
    </row>
    <row r="76" spans="1:122">
      <c r="A76" s="15">
        <v>68</v>
      </c>
      <c r="B76" s="96" t="s">
        <v>747</v>
      </c>
      <c r="C76" s="187" t="s">
        <v>1053</v>
      </c>
      <c r="D76" s="96" t="s">
        <v>1055</v>
      </c>
      <c r="E76" s="96" t="s">
        <v>1165</v>
      </c>
      <c r="F76" s="325">
        <f t="shared" si="130"/>
        <v>102000</v>
      </c>
      <c r="G76" s="161">
        <f t="shared" si="122"/>
        <v>103396.76</v>
      </c>
      <c r="H76" s="161">
        <f t="shared" si="123"/>
        <v>-1396.7599999999948</v>
      </c>
      <c r="I76" s="161">
        <f t="shared" si="124"/>
        <v>2396.7600000000093</v>
      </c>
      <c r="J76" s="326">
        <f t="shared" si="98"/>
        <v>104700.9</v>
      </c>
      <c r="K76" s="327">
        <v>31370.239999999998</v>
      </c>
      <c r="L76" s="211">
        <v>0</v>
      </c>
      <c r="M76" s="211">
        <v>0</v>
      </c>
      <c r="N76" s="127">
        <f t="shared" si="131"/>
        <v>2700.9</v>
      </c>
      <c r="O76" s="127">
        <f t="shared" si="132"/>
        <v>0</v>
      </c>
      <c r="P76" s="131">
        <f t="shared" si="133"/>
        <v>2700.9</v>
      </c>
      <c r="Q76" s="131">
        <f t="shared" si="125"/>
        <v>102000</v>
      </c>
      <c r="R76" s="131">
        <f t="shared" si="99"/>
        <v>106097.65999999999</v>
      </c>
      <c r="S76" s="113">
        <v>0</v>
      </c>
      <c r="T76" s="113"/>
      <c r="U76" s="113">
        <f t="shared" si="126"/>
        <v>0</v>
      </c>
      <c r="V76" s="113">
        <f t="shared" si="127"/>
        <v>0</v>
      </c>
      <c r="W76" s="113">
        <v>0</v>
      </c>
      <c r="X76" s="113">
        <v>0</v>
      </c>
      <c r="Y76" s="113">
        <v>0</v>
      </c>
      <c r="Z76" s="113">
        <v>0</v>
      </c>
      <c r="AA76" s="113">
        <f t="shared" si="86"/>
        <v>0</v>
      </c>
      <c r="AB76" s="113">
        <f t="shared" si="86"/>
        <v>0</v>
      </c>
      <c r="AC76" s="113"/>
      <c r="AD76" s="113">
        <v>2700.9</v>
      </c>
      <c r="AE76" s="113"/>
      <c r="AF76" s="113"/>
      <c r="AG76" s="113">
        <f t="shared" si="100"/>
        <v>0</v>
      </c>
      <c r="AH76" s="113">
        <f t="shared" si="100"/>
        <v>2700.9</v>
      </c>
      <c r="AI76" s="114">
        <f t="shared" si="128"/>
        <v>0</v>
      </c>
      <c r="AJ76" s="114">
        <f t="shared" si="101"/>
        <v>2700.9</v>
      </c>
      <c r="AK76" s="114">
        <f t="shared" si="101"/>
        <v>0</v>
      </c>
      <c r="AL76" s="114">
        <f t="shared" si="129"/>
        <v>0</v>
      </c>
      <c r="AM76" s="113">
        <f t="shared" si="102"/>
        <v>0</v>
      </c>
      <c r="AN76" s="113">
        <f t="shared" si="102"/>
        <v>2700.9</v>
      </c>
      <c r="AO76" s="113"/>
      <c r="AP76" s="113"/>
      <c r="AQ76" s="113">
        <v>102000</v>
      </c>
      <c r="AR76" s="113">
        <v>101000</v>
      </c>
      <c r="AS76" s="113">
        <f t="shared" si="103"/>
        <v>102000</v>
      </c>
      <c r="AT76" s="113">
        <f t="shared" si="103"/>
        <v>101000</v>
      </c>
      <c r="AU76" s="113"/>
      <c r="AV76" s="113"/>
      <c r="AW76" s="113"/>
      <c r="AX76" s="113"/>
      <c r="AY76" s="113">
        <f t="shared" si="104"/>
        <v>0</v>
      </c>
      <c r="AZ76" s="113">
        <f t="shared" si="104"/>
        <v>0</v>
      </c>
      <c r="BA76" s="113"/>
      <c r="BB76" s="113"/>
      <c r="BC76" s="113"/>
      <c r="BD76" s="113">
        <v>2396.7600000000002</v>
      </c>
      <c r="BE76" s="113">
        <f t="shared" si="105"/>
        <v>0</v>
      </c>
      <c r="BF76" s="113">
        <v>2396.7600000000093</v>
      </c>
      <c r="BG76" s="113">
        <f t="shared" si="95"/>
        <v>2396.7600000000002</v>
      </c>
      <c r="BH76" s="113"/>
      <c r="BI76" s="113"/>
      <c r="BJ76" s="113"/>
      <c r="BK76" s="113"/>
      <c r="BL76" s="113">
        <f t="shared" si="106"/>
        <v>0</v>
      </c>
      <c r="BM76" s="113"/>
      <c r="BN76" s="113">
        <f t="shared" si="96"/>
        <v>0</v>
      </c>
      <c r="BO76" s="113"/>
      <c r="BP76" s="113"/>
      <c r="BQ76" s="113"/>
      <c r="BR76" s="113"/>
      <c r="BS76" s="113">
        <f t="shared" si="107"/>
        <v>0</v>
      </c>
      <c r="BT76" s="113"/>
      <c r="BU76" s="113">
        <f t="shared" si="97"/>
        <v>0</v>
      </c>
      <c r="BV76" s="113"/>
      <c r="BW76" s="113"/>
      <c r="BX76" s="113"/>
      <c r="BY76" s="113"/>
      <c r="BZ76" s="113">
        <f t="shared" si="108"/>
        <v>0</v>
      </c>
      <c r="CA76" s="113"/>
      <c r="CB76" s="113">
        <f t="shared" si="109"/>
        <v>0</v>
      </c>
      <c r="CC76" s="113"/>
      <c r="CD76" s="113"/>
      <c r="CE76" s="113"/>
      <c r="CF76" s="113"/>
      <c r="CG76" s="113">
        <f t="shared" si="110"/>
        <v>0</v>
      </c>
      <c r="CH76" s="113">
        <f t="shared" si="111"/>
        <v>0</v>
      </c>
      <c r="CI76" s="113"/>
      <c r="CJ76" s="113"/>
      <c r="CK76" s="113"/>
      <c r="CL76" s="113"/>
      <c r="CM76" s="113">
        <f t="shared" si="112"/>
        <v>0</v>
      </c>
      <c r="CN76" s="113">
        <f t="shared" si="112"/>
        <v>0</v>
      </c>
      <c r="CO76" s="113"/>
      <c r="CP76" s="113"/>
      <c r="CQ76" s="113"/>
      <c r="CR76" s="113"/>
      <c r="CS76" s="113">
        <f t="shared" si="113"/>
        <v>0</v>
      </c>
      <c r="CT76" s="113">
        <f t="shared" si="113"/>
        <v>0</v>
      </c>
      <c r="CU76" s="113"/>
      <c r="CV76" s="113"/>
      <c r="CW76" s="113"/>
      <c r="CX76" s="113"/>
      <c r="CY76" s="113">
        <f t="shared" si="114"/>
        <v>0</v>
      </c>
      <c r="CZ76" s="113">
        <f t="shared" si="114"/>
        <v>0</v>
      </c>
      <c r="DA76" s="113"/>
      <c r="DB76" s="113"/>
      <c r="DC76" s="113"/>
      <c r="DD76" s="113"/>
      <c r="DE76" s="113">
        <f t="shared" si="115"/>
        <v>0</v>
      </c>
      <c r="DF76" s="113">
        <f t="shared" si="115"/>
        <v>0</v>
      </c>
      <c r="DG76" s="113"/>
      <c r="DH76" s="113"/>
      <c r="DI76" s="113"/>
      <c r="DJ76" s="113"/>
      <c r="DK76" s="113">
        <f t="shared" si="116"/>
        <v>0</v>
      </c>
      <c r="DL76" s="113">
        <f t="shared" si="116"/>
        <v>0</v>
      </c>
      <c r="DM76" s="113">
        <f t="shared" si="117"/>
        <v>0</v>
      </c>
      <c r="DN76" s="113">
        <f t="shared" si="118"/>
        <v>0</v>
      </c>
      <c r="DO76" s="113">
        <f t="shared" si="119"/>
        <v>102000</v>
      </c>
      <c r="DP76" s="113">
        <f t="shared" si="120"/>
        <v>103396.76</v>
      </c>
      <c r="DQ76" s="113">
        <f t="shared" si="121"/>
        <v>102000</v>
      </c>
      <c r="DR76" s="113">
        <f t="shared" si="121"/>
        <v>103396.76</v>
      </c>
    </row>
    <row r="77" spans="1:122">
      <c r="A77" s="15">
        <v>69</v>
      </c>
      <c r="B77" s="96" t="s">
        <v>747</v>
      </c>
      <c r="C77" s="96" t="s">
        <v>1056</v>
      </c>
      <c r="D77" s="96" t="s">
        <v>1057</v>
      </c>
      <c r="E77" s="185" t="s">
        <v>1164</v>
      </c>
      <c r="F77" s="161">
        <f t="shared" si="130"/>
        <v>0</v>
      </c>
      <c r="G77" s="161">
        <f t="shared" si="122"/>
        <v>0</v>
      </c>
      <c r="H77" s="161">
        <f t="shared" si="123"/>
        <v>0</v>
      </c>
      <c r="I77" s="161">
        <f t="shared" si="124"/>
        <v>0</v>
      </c>
      <c r="J77" s="165">
        <f t="shared" si="98"/>
        <v>0</v>
      </c>
      <c r="K77" s="115"/>
      <c r="L77" s="211">
        <v>0</v>
      </c>
      <c r="M77" s="211">
        <v>0</v>
      </c>
      <c r="N77" s="127">
        <f t="shared" si="131"/>
        <v>0</v>
      </c>
      <c r="O77" s="127">
        <f t="shared" si="132"/>
        <v>0</v>
      </c>
      <c r="P77" s="127">
        <f t="shared" si="133"/>
        <v>0</v>
      </c>
      <c r="Q77" s="131">
        <f t="shared" si="125"/>
        <v>0</v>
      </c>
      <c r="R77" s="125" t="str">
        <f t="shared" si="99"/>
        <v>ნულოვანი შესრულება</v>
      </c>
      <c r="S77" s="113">
        <v>0</v>
      </c>
      <c r="T77" s="113"/>
      <c r="U77" s="113">
        <f t="shared" si="126"/>
        <v>0</v>
      </c>
      <c r="V77" s="113">
        <f t="shared" si="127"/>
        <v>0</v>
      </c>
      <c r="W77" s="113">
        <v>0</v>
      </c>
      <c r="X77" s="113">
        <v>0</v>
      </c>
      <c r="Y77" s="113">
        <v>0</v>
      </c>
      <c r="Z77" s="113">
        <v>0</v>
      </c>
      <c r="AA77" s="113">
        <f t="shared" si="86"/>
        <v>0</v>
      </c>
      <c r="AB77" s="113">
        <f t="shared" si="86"/>
        <v>0</v>
      </c>
      <c r="AC77" s="113"/>
      <c r="AD77" s="113"/>
      <c r="AE77" s="113"/>
      <c r="AF77" s="113"/>
      <c r="AG77" s="113">
        <f t="shared" si="100"/>
        <v>0</v>
      </c>
      <c r="AH77" s="113">
        <f t="shared" si="100"/>
        <v>0</v>
      </c>
      <c r="AI77" s="114">
        <f t="shared" si="128"/>
        <v>0</v>
      </c>
      <c r="AJ77" s="114">
        <f t="shared" si="101"/>
        <v>0</v>
      </c>
      <c r="AK77" s="114">
        <f t="shared" si="101"/>
        <v>0</v>
      </c>
      <c r="AL77" s="114">
        <f t="shared" si="129"/>
        <v>0</v>
      </c>
      <c r="AM77" s="113">
        <f t="shared" si="102"/>
        <v>0</v>
      </c>
      <c r="AN77" s="113">
        <f t="shared" si="102"/>
        <v>0</v>
      </c>
      <c r="AO77" s="113"/>
      <c r="AP77" s="113"/>
      <c r="AQ77" s="113"/>
      <c r="AR77" s="113"/>
      <c r="AS77" s="113">
        <f t="shared" si="103"/>
        <v>0</v>
      </c>
      <c r="AT77" s="113">
        <f t="shared" si="103"/>
        <v>0</v>
      </c>
      <c r="AU77" s="113"/>
      <c r="AV77" s="113"/>
      <c r="AW77" s="113"/>
      <c r="AX77" s="113"/>
      <c r="AY77" s="113">
        <f t="shared" si="104"/>
        <v>0</v>
      </c>
      <c r="AZ77" s="113">
        <f t="shared" si="104"/>
        <v>0</v>
      </c>
      <c r="BA77" s="113"/>
      <c r="BB77" s="113"/>
      <c r="BC77" s="113"/>
      <c r="BD77" s="113"/>
      <c r="BE77" s="113">
        <f t="shared" si="105"/>
        <v>0</v>
      </c>
      <c r="BF77" s="113"/>
      <c r="BG77" s="113">
        <f t="shared" si="95"/>
        <v>0</v>
      </c>
      <c r="BH77" s="113"/>
      <c r="BI77" s="113"/>
      <c r="BJ77" s="113"/>
      <c r="BK77" s="113"/>
      <c r="BL77" s="113">
        <f t="shared" si="106"/>
        <v>0</v>
      </c>
      <c r="BM77" s="113"/>
      <c r="BN77" s="113">
        <f t="shared" si="96"/>
        <v>0</v>
      </c>
      <c r="BO77" s="113"/>
      <c r="BP77" s="113"/>
      <c r="BQ77" s="113"/>
      <c r="BR77" s="113"/>
      <c r="BS77" s="113">
        <f t="shared" si="107"/>
        <v>0</v>
      </c>
      <c r="BT77" s="113"/>
      <c r="BU77" s="113">
        <f t="shared" si="97"/>
        <v>0</v>
      </c>
      <c r="BV77" s="113"/>
      <c r="BW77" s="113"/>
      <c r="BX77" s="113"/>
      <c r="BY77" s="113"/>
      <c r="BZ77" s="113">
        <f t="shared" si="108"/>
        <v>0</v>
      </c>
      <c r="CA77" s="113"/>
      <c r="CB77" s="113">
        <f t="shared" si="109"/>
        <v>0</v>
      </c>
      <c r="CC77" s="113"/>
      <c r="CD77" s="113"/>
      <c r="CE77" s="113"/>
      <c r="CF77" s="113"/>
      <c r="CG77" s="113">
        <f t="shared" si="110"/>
        <v>0</v>
      </c>
      <c r="CH77" s="113">
        <f t="shared" si="111"/>
        <v>0</v>
      </c>
      <c r="CI77" s="113"/>
      <c r="CJ77" s="113"/>
      <c r="CK77" s="113"/>
      <c r="CL77" s="113"/>
      <c r="CM77" s="113">
        <f t="shared" si="112"/>
        <v>0</v>
      </c>
      <c r="CN77" s="113">
        <f t="shared" si="112"/>
        <v>0</v>
      </c>
      <c r="CO77" s="113"/>
      <c r="CP77" s="113"/>
      <c r="CQ77" s="113"/>
      <c r="CR77" s="113"/>
      <c r="CS77" s="113">
        <f t="shared" si="113"/>
        <v>0</v>
      </c>
      <c r="CT77" s="113">
        <f t="shared" si="113"/>
        <v>0</v>
      </c>
      <c r="CU77" s="113"/>
      <c r="CV77" s="113"/>
      <c r="CW77" s="113"/>
      <c r="CX77" s="113"/>
      <c r="CY77" s="113">
        <f t="shared" si="114"/>
        <v>0</v>
      </c>
      <c r="CZ77" s="113">
        <f t="shared" si="114"/>
        <v>0</v>
      </c>
      <c r="DA77" s="113"/>
      <c r="DB77" s="113"/>
      <c r="DC77" s="113"/>
      <c r="DD77" s="113"/>
      <c r="DE77" s="113">
        <f t="shared" si="115"/>
        <v>0</v>
      </c>
      <c r="DF77" s="113">
        <f t="shared" si="115"/>
        <v>0</v>
      </c>
      <c r="DG77" s="113"/>
      <c r="DH77" s="113"/>
      <c r="DI77" s="113"/>
      <c r="DJ77" s="113"/>
      <c r="DK77" s="113">
        <f t="shared" si="116"/>
        <v>0</v>
      </c>
      <c r="DL77" s="113">
        <f t="shared" si="116"/>
        <v>0</v>
      </c>
      <c r="DM77" s="113">
        <f t="shared" si="117"/>
        <v>0</v>
      </c>
      <c r="DN77" s="113">
        <f t="shared" si="118"/>
        <v>0</v>
      </c>
      <c r="DO77" s="113">
        <f t="shared" si="119"/>
        <v>0</v>
      </c>
      <c r="DP77" s="113">
        <f t="shared" si="120"/>
        <v>0</v>
      </c>
      <c r="DQ77" s="113">
        <f t="shared" si="121"/>
        <v>0</v>
      </c>
      <c r="DR77" s="113">
        <f t="shared" si="121"/>
        <v>0</v>
      </c>
    </row>
    <row r="78" spans="1:122">
      <c r="A78" s="15">
        <v>70</v>
      </c>
      <c r="B78" s="96" t="s">
        <v>747</v>
      </c>
      <c r="C78" s="187" t="s">
        <v>1056</v>
      </c>
      <c r="D78" s="96" t="s">
        <v>1058</v>
      </c>
      <c r="E78" s="185" t="s">
        <v>1165</v>
      </c>
      <c r="F78" s="161">
        <f t="shared" si="130"/>
        <v>0</v>
      </c>
      <c r="G78" s="161">
        <f t="shared" si="122"/>
        <v>0</v>
      </c>
      <c r="H78" s="161">
        <f t="shared" si="123"/>
        <v>0</v>
      </c>
      <c r="I78" s="161">
        <f t="shared" si="124"/>
        <v>0</v>
      </c>
      <c r="J78" s="165">
        <f t="shared" si="98"/>
        <v>0</v>
      </c>
      <c r="K78" s="115">
        <v>5970</v>
      </c>
      <c r="L78" s="211">
        <v>0</v>
      </c>
      <c r="M78" s="211">
        <v>0</v>
      </c>
      <c r="N78" s="127">
        <f t="shared" si="131"/>
        <v>0</v>
      </c>
      <c r="O78" s="127">
        <f t="shared" si="132"/>
        <v>0</v>
      </c>
      <c r="P78" s="127">
        <f t="shared" si="133"/>
        <v>0</v>
      </c>
      <c r="Q78" s="131">
        <f t="shared" si="125"/>
        <v>0</v>
      </c>
      <c r="R78" s="125" t="str">
        <f t="shared" si="99"/>
        <v>ნულოვანი შესრულება</v>
      </c>
      <c r="S78" s="113">
        <v>0</v>
      </c>
      <c r="T78" s="113"/>
      <c r="U78" s="113">
        <f t="shared" si="126"/>
        <v>0</v>
      </c>
      <c r="V78" s="113">
        <f t="shared" si="127"/>
        <v>0</v>
      </c>
      <c r="W78" s="113">
        <v>0</v>
      </c>
      <c r="X78" s="113">
        <v>0</v>
      </c>
      <c r="Y78" s="113">
        <v>0</v>
      </c>
      <c r="Z78" s="113">
        <v>0</v>
      </c>
      <c r="AA78" s="113">
        <f t="shared" si="86"/>
        <v>0</v>
      </c>
      <c r="AB78" s="113">
        <f t="shared" si="86"/>
        <v>0</v>
      </c>
      <c r="AC78" s="113"/>
      <c r="AD78" s="113"/>
      <c r="AE78" s="113"/>
      <c r="AF78" s="113"/>
      <c r="AG78" s="113">
        <f t="shared" si="100"/>
        <v>0</v>
      </c>
      <c r="AH78" s="113">
        <f t="shared" si="100"/>
        <v>0</v>
      </c>
      <c r="AI78" s="114">
        <f t="shared" si="128"/>
        <v>0</v>
      </c>
      <c r="AJ78" s="114">
        <f t="shared" si="101"/>
        <v>0</v>
      </c>
      <c r="AK78" s="114">
        <f t="shared" si="101"/>
        <v>0</v>
      </c>
      <c r="AL78" s="114">
        <f t="shared" si="129"/>
        <v>0</v>
      </c>
      <c r="AM78" s="113">
        <f t="shared" si="102"/>
        <v>0</v>
      </c>
      <c r="AN78" s="113">
        <f t="shared" si="102"/>
        <v>0</v>
      </c>
      <c r="AO78" s="113"/>
      <c r="AP78" s="113"/>
      <c r="AQ78" s="113"/>
      <c r="AR78" s="113"/>
      <c r="AS78" s="113">
        <f t="shared" si="103"/>
        <v>0</v>
      </c>
      <c r="AT78" s="113">
        <f t="shared" si="103"/>
        <v>0</v>
      </c>
      <c r="AU78" s="113"/>
      <c r="AV78" s="113"/>
      <c r="AW78" s="113"/>
      <c r="AX78" s="113"/>
      <c r="AY78" s="113">
        <f t="shared" si="104"/>
        <v>0</v>
      </c>
      <c r="AZ78" s="113">
        <f t="shared" si="104"/>
        <v>0</v>
      </c>
      <c r="BA78" s="113"/>
      <c r="BB78" s="113"/>
      <c r="BC78" s="113"/>
      <c r="BD78" s="113"/>
      <c r="BE78" s="113">
        <f t="shared" si="105"/>
        <v>0</v>
      </c>
      <c r="BF78" s="113"/>
      <c r="BG78" s="113">
        <f t="shared" si="95"/>
        <v>0</v>
      </c>
      <c r="BH78" s="113"/>
      <c r="BI78" s="113"/>
      <c r="BJ78" s="113"/>
      <c r="BK78" s="113"/>
      <c r="BL78" s="113">
        <f t="shared" si="106"/>
        <v>0</v>
      </c>
      <c r="BM78" s="113"/>
      <c r="BN78" s="113">
        <f t="shared" si="96"/>
        <v>0</v>
      </c>
      <c r="BO78" s="113"/>
      <c r="BP78" s="113"/>
      <c r="BQ78" s="113"/>
      <c r="BR78" s="113"/>
      <c r="BS78" s="113">
        <f t="shared" si="107"/>
        <v>0</v>
      </c>
      <c r="BT78" s="113"/>
      <c r="BU78" s="113">
        <f t="shared" si="97"/>
        <v>0</v>
      </c>
      <c r="BV78" s="113"/>
      <c r="BW78" s="113"/>
      <c r="BX78" s="113"/>
      <c r="BY78" s="113"/>
      <c r="BZ78" s="113">
        <f t="shared" si="108"/>
        <v>0</v>
      </c>
      <c r="CA78" s="113"/>
      <c r="CB78" s="113">
        <f t="shared" si="109"/>
        <v>0</v>
      </c>
      <c r="CC78" s="113"/>
      <c r="CD78" s="113"/>
      <c r="CE78" s="113"/>
      <c r="CF78" s="113"/>
      <c r="CG78" s="113">
        <f t="shared" si="110"/>
        <v>0</v>
      </c>
      <c r="CH78" s="113">
        <f t="shared" si="111"/>
        <v>0</v>
      </c>
      <c r="CI78" s="113"/>
      <c r="CJ78" s="113"/>
      <c r="CK78" s="113"/>
      <c r="CL78" s="113"/>
      <c r="CM78" s="113">
        <f t="shared" si="112"/>
        <v>0</v>
      </c>
      <c r="CN78" s="113">
        <f t="shared" si="112"/>
        <v>0</v>
      </c>
      <c r="CO78" s="113"/>
      <c r="CP78" s="113"/>
      <c r="CQ78" s="113"/>
      <c r="CR78" s="113"/>
      <c r="CS78" s="113">
        <f t="shared" si="113"/>
        <v>0</v>
      </c>
      <c r="CT78" s="113">
        <f t="shared" si="113"/>
        <v>0</v>
      </c>
      <c r="CU78" s="113"/>
      <c r="CV78" s="113"/>
      <c r="CW78" s="113"/>
      <c r="CX78" s="113"/>
      <c r="CY78" s="113">
        <f t="shared" si="114"/>
        <v>0</v>
      </c>
      <c r="CZ78" s="113">
        <f t="shared" si="114"/>
        <v>0</v>
      </c>
      <c r="DA78" s="113"/>
      <c r="DB78" s="113"/>
      <c r="DC78" s="113"/>
      <c r="DD78" s="113"/>
      <c r="DE78" s="113">
        <f t="shared" si="115"/>
        <v>0</v>
      </c>
      <c r="DF78" s="113">
        <f t="shared" si="115"/>
        <v>0</v>
      </c>
      <c r="DG78" s="113"/>
      <c r="DH78" s="113"/>
      <c r="DI78" s="113"/>
      <c r="DJ78" s="113"/>
      <c r="DK78" s="113">
        <f t="shared" si="116"/>
        <v>0</v>
      </c>
      <c r="DL78" s="113">
        <f t="shared" si="116"/>
        <v>0</v>
      </c>
      <c r="DM78" s="113">
        <f t="shared" si="117"/>
        <v>0</v>
      </c>
      <c r="DN78" s="113">
        <f t="shared" si="118"/>
        <v>0</v>
      </c>
      <c r="DO78" s="113">
        <f t="shared" si="119"/>
        <v>0</v>
      </c>
      <c r="DP78" s="113">
        <f t="shared" si="120"/>
        <v>0</v>
      </c>
      <c r="DQ78" s="113">
        <f t="shared" si="121"/>
        <v>0</v>
      </c>
      <c r="DR78" s="113">
        <f t="shared" si="121"/>
        <v>0</v>
      </c>
    </row>
    <row r="79" spans="1:122">
      <c r="A79" s="15">
        <v>71</v>
      </c>
      <c r="B79" s="96" t="s">
        <v>747</v>
      </c>
      <c r="C79" s="187" t="s">
        <v>1059</v>
      </c>
      <c r="D79" s="96" t="s">
        <v>1060</v>
      </c>
      <c r="E79" s="185" t="s">
        <v>1165</v>
      </c>
      <c r="F79" s="161">
        <f t="shared" si="130"/>
        <v>140000</v>
      </c>
      <c r="G79" s="161">
        <f t="shared" si="122"/>
        <v>140000</v>
      </c>
      <c r="H79" s="161">
        <f t="shared" si="123"/>
        <v>0</v>
      </c>
      <c r="I79" s="161">
        <f t="shared" si="124"/>
        <v>42296</v>
      </c>
      <c r="J79" s="165">
        <f t="shared" si="98"/>
        <v>140000</v>
      </c>
      <c r="K79" s="115">
        <v>46170</v>
      </c>
      <c r="L79" s="211">
        <v>0</v>
      </c>
      <c r="M79" s="211">
        <v>0</v>
      </c>
      <c r="N79" s="127">
        <f t="shared" si="131"/>
        <v>0</v>
      </c>
      <c r="O79" s="127">
        <f t="shared" si="132"/>
        <v>0</v>
      </c>
      <c r="P79" s="127">
        <f t="shared" si="133"/>
        <v>0</v>
      </c>
      <c r="Q79" s="131">
        <f t="shared" si="125"/>
        <v>140000</v>
      </c>
      <c r="R79" s="125" t="str">
        <f t="shared" si="99"/>
        <v>მიმდინარეობს</v>
      </c>
      <c r="S79" s="113">
        <v>0</v>
      </c>
      <c r="T79" s="113"/>
      <c r="U79" s="113">
        <f t="shared" si="126"/>
        <v>0</v>
      </c>
      <c r="V79" s="113">
        <f t="shared" si="127"/>
        <v>0</v>
      </c>
      <c r="W79" s="113">
        <v>0</v>
      </c>
      <c r="X79" s="113">
        <v>0</v>
      </c>
      <c r="Y79" s="113">
        <v>0</v>
      </c>
      <c r="Z79" s="113">
        <v>0</v>
      </c>
      <c r="AA79" s="113">
        <f t="shared" si="86"/>
        <v>0</v>
      </c>
      <c r="AB79" s="113">
        <f t="shared" si="86"/>
        <v>0</v>
      </c>
      <c r="AC79" s="113"/>
      <c r="AD79" s="113"/>
      <c r="AE79" s="113"/>
      <c r="AF79" s="113"/>
      <c r="AG79" s="113">
        <f t="shared" si="100"/>
        <v>0</v>
      </c>
      <c r="AH79" s="113">
        <f t="shared" si="100"/>
        <v>0</v>
      </c>
      <c r="AI79" s="114">
        <f t="shared" si="128"/>
        <v>0</v>
      </c>
      <c r="AJ79" s="114">
        <f t="shared" si="101"/>
        <v>0</v>
      </c>
      <c r="AK79" s="114">
        <f t="shared" si="101"/>
        <v>0</v>
      </c>
      <c r="AL79" s="114">
        <f t="shared" si="129"/>
        <v>0</v>
      </c>
      <c r="AM79" s="113">
        <f t="shared" si="102"/>
        <v>0</v>
      </c>
      <c r="AN79" s="113">
        <f t="shared" si="102"/>
        <v>0</v>
      </c>
      <c r="AO79" s="113"/>
      <c r="AP79" s="113"/>
      <c r="AQ79" s="113"/>
      <c r="AR79" s="113"/>
      <c r="AS79" s="113">
        <f t="shared" si="103"/>
        <v>0</v>
      </c>
      <c r="AT79" s="113">
        <f t="shared" si="103"/>
        <v>0</v>
      </c>
      <c r="AU79" s="113"/>
      <c r="AV79" s="113">
        <v>100000</v>
      </c>
      <c r="AW79" s="113">
        <v>140000</v>
      </c>
      <c r="AX79" s="113"/>
      <c r="AY79" s="113">
        <f t="shared" si="104"/>
        <v>140000</v>
      </c>
      <c r="AZ79" s="113">
        <f t="shared" si="104"/>
        <v>100000</v>
      </c>
      <c r="BA79" s="113"/>
      <c r="BB79" s="113">
        <v>40000</v>
      </c>
      <c r="BC79" s="113"/>
      <c r="BD79" s="113"/>
      <c r="BE79" s="113">
        <f t="shared" si="105"/>
        <v>0</v>
      </c>
      <c r="BF79" s="113">
        <v>40000</v>
      </c>
      <c r="BG79" s="113">
        <f t="shared" si="95"/>
        <v>40000</v>
      </c>
      <c r="BH79" s="113"/>
      <c r="BI79" s="113"/>
      <c r="BJ79" s="113"/>
      <c r="BK79" s="113"/>
      <c r="BL79" s="113">
        <f t="shared" si="106"/>
        <v>0</v>
      </c>
      <c r="BM79" s="113">
        <v>2296</v>
      </c>
      <c r="BN79" s="113">
        <f t="shared" si="96"/>
        <v>0</v>
      </c>
      <c r="BO79" s="113"/>
      <c r="BP79" s="113"/>
      <c r="BQ79" s="113"/>
      <c r="BR79" s="113"/>
      <c r="BS79" s="113">
        <f t="shared" si="107"/>
        <v>0</v>
      </c>
      <c r="BT79" s="113"/>
      <c r="BU79" s="113">
        <f t="shared" si="97"/>
        <v>0</v>
      </c>
      <c r="BV79" s="113"/>
      <c r="BW79" s="113"/>
      <c r="BX79" s="113"/>
      <c r="BY79" s="113"/>
      <c r="BZ79" s="113">
        <f t="shared" si="108"/>
        <v>0</v>
      </c>
      <c r="CA79" s="113"/>
      <c r="CB79" s="113">
        <f t="shared" si="109"/>
        <v>0</v>
      </c>
      <c r="CC79" s="113"/>
      <c r="CD79" s="113"/>
      <c r="CE79" s="113"/>
      <c r="CF79" s="113"/>
      <c r="CG79" s="113">
        <f t="shared" si="110"/>
        <v>0</v>
      </c>
      <c r="CH79" s="113">
        <f t="shared" si="111"/>
        <v>0</v>
      </c>
      <c r="CI79" s="113"/>
      <c r="CJ79" s="113"/>
      <c r="CK79" s="113"/>
      <c r="CL79" s="113"/>
      <c r="CM79" s="113">
        <f t="shared" si="112"/>
        <v>0</v>
      </c>
      <c r="CN79" s="113">
        <f t="shared" si="112"/>
        <v>0</v>
      </c>
      <c r="CO79" s="113"/>
      <c r="CP79" s="113"/>
      <c r="CQ79" s="113"/>
      <c r="CR79" s="113"/>
      <c r="CS79" s="113">
        <f t="shared" si="113"/>
        <v>0</v>
      </c>
      <c r="CT79" s="113">
        <f t="shared" si="113"/>
        <v>0</v>
      </c>
      <c r="CU79" s="113"/>
      <c r="CV79" s="113"/>
      <c r="CW79" s="113"/>
      <c r="CX79" s="113"/>
      <c r="CY79" s="113">
        <f t="shared" si="114"/>
        <v>0</v>
      </c>
      <c r="CZ79" s="113">
        <f t="shared" si="114"/>
        <v>0</v>
      </c>
      <c r="DA79" s="113"/>
      <c r="DB79" s="113"/>
      <c r="DC79" s="113"/>
      <c r="DD79" s="113"/>
      <c r="DE79" s="113">
        <f t="shared" si="115"/>
        <v>0</v>
      </c>
      <c r="DF79" s="113">
        <f t="shared" si="115"/>
        <v>0</v>
      </c>
      <c r="DG79" s="113"/>
      <c r="DH79" s="113"/>
      <c r="DI79" s="113"/>
      <c r="DJ79" s="113"/>
      <c r="DK79" s="113">
        <f t="shared" si="116"/>
        <v>0</v>
      </c>
      <c r="DL79" s="113">
        <f t="shared" si="116"/>
        <v>0</v>
      </c>
      <c r="DM79" s="113">
        <f t="shared" si="117"/>
        <v>0</v>
      </c>
      <c r="DN79" s="113">
        <f t="shared" si="118"/>
        <v>140000</v>
      </c>
      <c r="DO79" s="113">
        <f t="shared" si="119"/>
        <v>140000</v>
      </c>
      <c r="DP79" s="113">
        <f t="shared" si="120"/>
        <v>0</v>
      </c>
      <c r="DQ79" s="113">
        <f t="shared" si="121"/>
        <v>140000</v>
      </c>
      <c r="DR79" s="113">
        <f t="shared" si="121"/>
        <v>140000</v>
      </c>
    </row>
    <row r="80" spans="1:122">
      <c r="A80" s="15">
        <v>72</v>
      </c>
      <c r="B80" s="96" t="s">
        <v>747</v>
      </c>
      <c r="C80" s="187" t="s">
        <v>1061</v>
      </c>
      <c r="D80" s="96" t="s">
        <v>1062</v>
      </c>
      <c r="E80" s="185" t="s">
        <v>1165</v>
      </c>
      <c r="F80" s="161">
        <f t="shared" si="130"/>
        <v>0</v>
      </c>
      <c r="G80" s="161">
        <f t="shared" si="122"/>
        <v>0</v>
      </c>
      <c r="H80" s="161">
        <f t="shared" si="123"/>
        <v>0</v>
      </c>
      <c r="I80" s="161">
        <f t="shared" si="124"/>
        <v>0</v>
      </c>
      <c r="J80" s="165">
        <f t="shared" si="98"/>
        <v>165481.66</v>
      </c>
      <c r="K80" s="115">
        <v>68100.28</v>
      </c>
      <c r="L80" s="211">
        <v>0</v>
      </c>
      <c r="M80" s="211">
        <v>0</v>
      </c>
      <c r="N80" s="127">
        <f t="shared" si="131"/>
        <v>165481.66</v>
      </c>
      <c r="O80" s="127">
        <f t="shared" si="132"/>
        <v>165481.66</v>
      </c>
      <c r="P80" s="127">
        <f t="shared" si="133"/>
        <v>165481.66</v>
      </c>
      <c r="Q80" s="131">
        <f t="shared" si="125"/>
        <v>0</v>
      </c>
      <c r="R80" s="125">
        <f t="shared" si="99"/>
        <v>165481.66</v>
      </c>
      <c r="S80" s="113">
        <v>160000</v>
      </c>
      <c r="T80" s="113">
        <v>5481.66</v>
      </c>
      <c r="U80" s="113">
        <f t="shared" si="126"/>
        <v>160000</v>
      </c>
      <c r="V80" s="113">
        <f t="shared" si="127"/>
        <v>5481.66</v>
      </c>
      <c r="W80" s="113">
        <v>0</v>
      </c>
      <c r="X80" s="113">
        <v>0</v>
      </c>
      <c r="Y80" s="113">
        <v>0</v>
      </c>
      <c r="Z80" s="113">
        <v>0</v>
      </c>
      <c r="AA80" s="113">
        <f t="shared" si="86"/>
        <v>0</v>
      </c>
      <c r="AB80" s="113">
        <f t="shared" si="86"/>
        <v>0</v>
      </c>
      <c r="AC80" s="113"/>
      <c r="AD80" s="113"/>
      <c r="AE80" s="113"/>
      <c r="AF80" s="113"/>
      <c r="AG80" s="113">
        <f t="shared" si="100"/>
        <v>0</v>
      </c>
      <c r="AH80" s="113">
        <f t="shared" si="100"/>
        <v>0</v>
      </c>
      <c r="AI80" s="114">
        <f t="shared" si="128"/>
        <v>160000</v>
      </c>
      <c r="AJ80" s="114">
        <f t="shared" si="101"/>
        <v>160000</v>
      </c>
      <c r="AK80" s="114">
        <f t="shared" si="101"/>
        <v>5481.66</v>
      </c>
      <c r="AL80" s="114">
        <f t="shared" si="129"/>
        <v>5481.66</v>
      </c>
      <c r="AM80" s="113">
        <f t="shared" si="102"/>
        <v>165481.66</v>
      </c>
      <c r="AN80" s="113">
        <f t="shared" si="102"/>
        <v>165481.66</v>
      </c>
      <c r="AO80" s="113"/>
      <c r="AP80" s="113"/>
      <c r="AQ80" s="113"/>
      <c r="AR80" s="113"/>
      <c r="AS80" s="113">
        <f t="shared" si="103"/>
        <v>0</v>
      </c>
      <c r="AT80" s="113">
        <f t="shared" si="103"/>
        <v>0</v>
      </c>
      <c r="AU80" s="113"/>
      <c r="AV80" s="113"/>
      <c r="AW80" s="113"/>
      <c r="AX80" s="113"/>
      <c r="AY80" s="113">
        <f t="shared" si="104"/>
        <v>0</v>
      </c>
      <c r="AZ80" s="113">
        <f t="shared" si="104"/>
        <v>0</v>
      </c>
      <c r="BA80" s="113"/>
      <c r="BB80" s="113"/>
      <c r="BC80" s="113"/>
      <c r="BD80" s="113"/>
      <c r="BE80" s="113">
        <f t="shared" si="105"/>
        <v>0</v>
      </c>
      <c r="BF80" s="113"/>
      <c r="BG80" s="113">
        <f t="shared" si="95"/>
        <v>0</v>
      </c>
      <c r="BH80" s="113"/>
      <c r="BI80" s="113"/>
      <c r="BJ80" s="113"/>
      <c r="BK80" s="113"/>
      <c r="BL80" s="113">
        <f t="shared" si="106"/>
        <v>0</v>
      </c>
      <c r="BM80" s="113"/>
      <c r="BN80" s="113">
        <f t="shared" si="96"/>
        <v>0</v>
      </c>
      <c r="BO80" s="113"/>
      <c r="BP80" s="113"/>
      <c r="BQ80" s="113"/>
      <c r="BR80" s="113"/>
      <c r="BS80" s="113">
        <f t="shared" si="107"/>
        <v>0</v>
      </c>
      <c r="BT80" s="113"/>
      <c r="BU80" s="113">
        <f t="shared" si="97"/>
        <v>0</v>
      </c>
      <c r="BV80" s="113"/>
      <c r="BW80" s="113"/>
      <c r="BX80" s="113"/>
      <c r="BY80" s="113"/>
      <c r="BZ80" s="113">
        <f t="shared" si="108"/>
        <v>0</v>
      </c>
      <c r="CA80" s="113"/>
      <c r="CB80" s="113">
        <f t="shared" si="109"/>
        <v>0</v>
      </c>
      <c r="CC80" s="113"/>
      <c r="CD80" s="113"/>
      <c r="CE80" s="113"/>
      <c r="CF80" s="113"/>
      <c r="CG80" s="113">
        <f t="shared" si="110"/>
        <v>0</v>
      </c>
      <c r="CH80" s="113">
        <f t="shared" si="111"/>
        <v>0</v>
      </c>
      <c r="CI80" s="113"/>
      <c r="CJ80" s="113"/>
      <c r="CK80" s="113"/>
      <c r="CL80" s="113"/>
      <c r="CM80" s="113">
        <f t="shared" si="112"/>
        <v>0</v>
      </c>
      <c r="CN80" s="113">
        <f t="shared" si="112"/>
        <v>0</v>
      </c>
      <c r="CO80" s="113"/>
      <c r="CP80" s="113"/>
      <c r="CQ80" s="113"/>
      <c r="CR80" s="113"/>
      <c r="CS80" s="113">
        <f t="shared" si="113"/>
        <v>0</v>
      </c>
      <c r="CT80" s="113">
        <f t="shared" si="113"/>
        <v>0</v>
      </c>
      <c r="CU80" s="113"/>
      <c r="CV80" s="113"/>
      <c r="CW80" s="113"/>
      <c r="CX80" s="113"/>
      <c r="CY80" s="113">
        <f t="shared" si="114"/>
        <v>0</v>
      </c>
      <c r="CZ80" s="113">
        <f t="shared" si="114"/>
        <v>0</v>
      </c>
      <c r="DA80" s="113"/>
      <c r="DB80" s="113"/>
      <c r="DC80" s="113"/>
      <c r="DD80" s="113"/>
      <c r="DE80" s="113">
        <f t="shared" si="115"/>
        <v>0</v>
      </c>
      <c r="DF80" s="113">
        <f t="shared" si="115"/>
        <v>0</v>
      </c>
      <c r="DG80" s="113"/>
      <c r="DH80" s="113"/>
      <c r="DI80" s="113"/>
      <c r="DJ80" s="113"/>
      <c r="DK80" s="113">
        <f t="shared" si="116"/>
        <v>0</v>
      </c>
      <c r="DL80" s="113">
        <f t="shared" si="116"/>
        <v>0</v>
      </c>
      <c r="DM80" s="113">
        <f t="shared" si="117"/>
        <v>0</v>
      </c>
      <c r="DN80" s="113">
        <f t="shared" si="118"/>
        <v>0</v>
      </c>
      <c r="DO80" s="113">
        <f t="shared" si="119"/>
        <v>0</v>
      </c>
      <c r="DP80" s="113">
        <f t="shared" si="120"/>
        <v>0</v>
      </c>
      <c r="DQ80" s="113">
        <f t="shared" si="121"/>
        <v>0</v>
      </c>
      <c r="DR80" s="113">
        <f t="shared" si="121"/>
        <v>0</v>
      </c>
    </row>
    <row r="81" spans="1:122">
      <c r="A81" s="15">
        <v>73</v>
      </c>
      <c r="B81" s="96" t="s">
        <v>747</v>
      </c>
      <c r="C81" s="96" t="s">
        <v>1063</v>
      </c>
      <c r="D81" s="96" t="s">
        <v>1064</v>
      </c>
      <c r="E81" s="185" t="s">
        <v>1164</v>
      </c>
      <c r="F81" s="161">
        <f t="shared" si="130"/>
        <v>0</v>
      </c>
      <c r="G81" s="161">
        <f t="shared" si="122"/>
        <v>0</v>
      </c>
      <c r="H81" s="161">
        <f t="shared" si="123"/>
        <v>0</v>
      </c>
      <c r="I81" s="161">
        <f t="shared" si="124"/>
        <v>0</v>
      </c>
      <c r="J81" s="165">
        <f t="shared" si="98"/>
        <v>605.5</v>
      </c>
      <c r="K81" s="115"/>
      <c r="L81" s="211">
        <v>0</v>
      </c>
      <c r="M81" s="211">
        <v>0</v>
      </c>
      <c r="N81" s="127">
        <f t="shared" si="131"/>
        <v>605.5</v>
      </c>
      <c r="O81" s="127">
        <f t="shared" si="132"/>
        <v>605.5</v>
      </c>
      <c r="P81" s="127">
        <f t="shared" si="133"/>
        <v>605.5</v>
      </c>
      <c r="Q81" s="131">
        <f t="shared" si="125"/>
        <v>0</v>
      </c>
      <c r="R81" s="125">
        <f t="shared" si="99"/>
        <v>605.5</v>
      </c>
      <c r="S81" s="113">
        <v>0</v>
      </c>
      <c r="T81" s="113">
        <v>605.5</v>
      </c>
      <c r="U81" s="113">
        <f t="shared" si="126"/>
        <v>0</v>
      </c>
      <c r="V81" s="113">
        <f t="shared" si="127"/>
        <v>605.5</v>
      </c>
      <c r="W81" s="113">
        <v>0</v>
      </c>
      <c r="X81" s="113">
        <v>0</v>
      </c>
      <c r="Y81" s="113">
        <v>0</v>
      </c>
      <c r="Z81" s="113">
        <v>0</v>
      </c>
      <c r="AA81" s="113">
        <f t="shared" si="86"/>
        <v>0</v>
      </c>
      <c r="AB81" s="113">
        <f t="shared" si="86"/>
        <v>0</v>
      </c>
      <c r="AC81" s="113"/>
      <c r="AD81" s="113"/>
      <c r="AE81" s="113"/>
      <c r="AF81" s="113"/>
      <c r="AG81" s="113">
        <f t="shared" si="100"/>
        <v>0</v>
      </c>
      <c r="AH81" s="113">
        <f t="shared" si="100"/>
        <v>0</v>
      </c>
      <c r="AI81" s="114">
        <f t="shared" si="128"/>
        <v>0</v>
      </c>
      <c r="AJ81" s="114">
        <f t="shared" si="101"/>
        <v>0</v>
      </c>
      <c r="AK81" s="114">
        <f t="shared" si="101"/>
        <v>605.5</v>
      </c>
      <c r="AL81" s="114">
        <f t="shared" si="129"/>
        <v>605.5</v>
      </c>
      <c r="AM81" s="113">
        <f t="shared" si="102"/>
        <v>605.5</v>
      </c>
      <c r="AN81" s="113">
        <f t="shared" si="102"/>
        <v>605.5</v>
      </c>
      <c r="AO81" s="113"/>
      <c r="AP81" s="113"/>
      <c r="AQ81" s="113"/>
      <c r="AR81" s="113"/>
      <c r="AS81" s="113">
        <f t="shared" si="103"/>
        <v>0</v>
      </c>
      <c r="AT81" s="113">
        <f t="shared" si="103"/>
        <v>0</v>
      </c>
      <c r="AU81" s="113"/>
      <c r="AV81" s="113"/>
      <c r="AW81" s="113"/>
      <c r="AX81" s="113"/>
      <c r="AY81" s="113">
        <f t="shared" si="104"/>
        <v>0</v>
      </c>
      <c r="AZ81" s="113">
        <f t="shared" si="104"/>
        <v>0</v>
      </c>
      <c r="BA81" s="113"/>
      <c r="BB81" s="113"/>
      <c r="BC81" s="113"/>
      <c r="BD81" s="113"/>
      <c r="BE81" s="113">
        <f t="shared" si="105"/>
        <v>0</v>
      </c>
      <c r="BF81" s="113"/>
      <c r="BG81" s="113">
        <f t="shared" si="95"/>
        <v>0</v>
      </c>
      <c r="BH81" s="113"/>
      <c r="BI81" s="113"/>
      <c r="BJ81" s="113"/>
      <c r="BK81" s="113"/>
      <c r="BL81" s="113">
        <f t="shared" si="106"/>
        <v>0</v>
      </c>
      <c r="BM81" s="113"/>
      <c r="BN81" s="113">
        <f t="shared" si="96"/>
        <v>0</v>
      </c>
      <c r="BO81" s="113"/>
      <c r="BP81" s="113"/>
      <c r="BQ81" s="113"/>
      <c r="BR81" s="113"/>
      <c r="BS81" s="113">
        <f t="shared" si="107"/>
        <v>0</v>
      </c>
      <c r="BT81" s="113"/>
      <c r="BU81" s="113">
        <f t="shared" si="97"/>
        <v>0</v>
      </c>
      <c r="BV81" s="113"/>
      <c r="BW81" s="113"/>
      <c r="BX81" s="113"/>
      <c r="BY81" s="113"/>
      <c r="BZ81" s="113">
        <f t="shared" si="108"/>
        <v>0</v>
      </c>
      <c r="CA81" s="113"/>
      <c r="CB81" s="113">
        <f t="shared" si="109"/>
        <v>0</v>
      </c>
      <c r="CC81" s="113"/>
      <c r="CD81" s="113"/>
      <c r="CE81" s="113"/>
      <c r="CF81" s="113"/>
      <c r="CG81" s="113">
        <f t="shared" si="110"/>
        <v>0</v>
      </c>
      <c r="CH81" s="113">
        <f t="shared" si="111"/>
        <v>0</v>
      </c>
      <c r="CI81" s="113"/>
      <c r="CJ81" s="113"/>
      <c r="CK81" s="113"/>
      <c r="CL81" s="113"/>
      <c r="CM81" s="113">
        <f t="shared" si="112"/>
        <v>0</v>
      </c>
      <c r="CN81" s="113">
        <f t="shared" si="112"/>
        <v>0</v>
      </c>
      <c r="CO81" s="113"/>
      <c r="CP81" s="113"/>
      <c r="CQ81" s="113"/>
      <c r="CR81" s="113"/>
      <c r="CS81" s="113">
        <f t="shared" si="113"/>
        <v>0</v>
      </c>
      <c r="CT81" s="113">
        <f t="shared" si="113"/>
        <v>0</v>
      </c>
      <c r="CU81" s="113"/>
      <c r="CV81" s="113"/>
      <c r="CW81" s="113"/>
      <c r="CX81" s="113"/>
      <c r="CY81" s="113">
        <f t="shared" si="114"/>
        <v>0</v>
      </c>
      <c r="CZ81" s="113">
        <f t="shared" si="114"/>
        <v>0</v>
      </c>
      <c r="DA81" s="113"/>
      <c r="DB81" s="113"/>
      <c r="DC81" s="113"/>
      <c r="DD81" s="113"/>
      <c r="DE81" s="113">
        <f t="shared" si="115"/>
        <v>0</v>
      </c>
      <c r="DF81" s="113">
        <f t="shared" si="115"/>
        <v>0</v>
      </c>
      <c r="DG81" s="113"/>
      <c r="DH81" s="113"/>
      <c r="DI81" s="113"/>
      <c r="DJ81" s="113"/>
      <c r="DK81" s="113">
        <f t="shared" si="116"/>
        <v>0</v>
      </c>
      <c r="DL81" s="113">
        <f t="shared" si="116"/>
        <v>0</v>
      </c>
      <c r="DM81" s="113">
        <f t="shared" si="117"/>
        <v>0</v>
      </c>
      <c r="DN81" s="113">
        <f t="shared" si="118"/>
        <v>0</v>
      </c>
      <c r="DO81" s="113">
        <f t="shared" si="119"/>
        <v>0</v>
      </c>
      <c r="DP81" s="113">
        <f t="shared" si="120"/>
        <v>0</v>
      </c>
      <c r="DQ81" s="113">
        <f t="shared" si="121"/>
        <v>0</v>
      </c>
      <c r="DR81" s="113">
        <f t="shared" si="121"/>
        <v>0</v>
      </c>
    </row>
    <row r="82" spans="1:122">
      <c r="A82" s="15">
        <v>74</v>
      </c>
      <c r="B82" s="96" t="s">
        <v>747</v>
      </c>
      <c r="C82" s="187" t="s">
        <v>1063</v>
      </c>
      <c r="D82" s="96" t="s">
        <v>1065</v>
      </c>
      <c r="E82" s="185" t="s">
        <v>1165</v>
      </c>
      <c r="F82" s="161">
        <f t="shared" si="130"/>
        <v>60000</v>
      </c>
      <c r="G82" s="161">
        <f t="shared" si="122"/>
        <v>0</v>
      </c>
      <c r="H82" s="161">
        <f t="shared" si="123"/>
        <v>60000</v>
      </c>
      <c r="I82" s="161">
        <f t="shared" si="124"/>
        <v>0</v>
      </c>
      <c r="J82" s="165">
        <f t="shared" si="98"/>
        <v>60000</v>
      </c>
      <c r="K82" s="115">
        <v>26158.400000000001</v>
      </c>
      <c r="L82" s="211">
        <v>0</v>
      </c>
      <c r="M82" s="211">
        <v>0</v>
      </c>
      <c r="N82" s="127">
        <f t="shared" si="131"/>
        <v>0</v>
      </c>
      <c r="O82" s="127">
        <f t="shared" si="132"/>
        <v>0</v>
      </c>
      <c r="P82" s="127">
        <f t="shared" si="133"/>
        <v>0</v>
      </c>
      <c r="Q82" s="131">
        <f t="shared" si="125"/>
        <v>60000</v>
      </c>
      <c r="R82" s="125" t="str">
        <f t="shared" si="99"/>
        <v>ნულოვანი შესრულება</v>
      </c>
      <c r="S82" s="113">
        <v>0</v>
      </c>
      <c r="T82" s="113"/>
      <c r="U82" s="113">
        <f t="shared" si="126"/>
        <v>0</v>
      </c>
      <c r="V82" s="113">
        <f t="shared" si="127"/>
        <v>0</v>
      </c>
      <c r="W82" s="113">
        <v>0</v>
      </c>
      <c r="X82" s="113">
        <v>0</v>
      </c>
      <c r="Y82" s="113">
        <v>0</v>
      </c>
      <c r="Z82" s="113">
        <v>0</v>
      </c>
      <c r="AA82" s="113">
        <f t="shared" si="86"/>
        <v>0</v>
      </c>
      <c r="AB82" s="113">
        <f t="shared" si="86"/>
        <v>0</v>
      </c>
      <c r="AC82" s="113"/>
      <c r="AD82" s="113"/>
      <c r="AE82" s="113"/>
      <c r="AF82" s="113"/>
      <c r="AG82" s="113">
        <f t="shared" si="100"/>
        <v>0</v>
      </c>
      <c r="AH82" s="113">
        <f t="shared" si="100"/>
        <v>0</v>
      </c>
      <c r="AI82" s="114">
        <f t="shared" si="128"/>
        <v>0</v>
      </c>
      <c r="AJ82" s="114">
        <f t="shared" si="101"/>
        <v>0</v>
      </c>
      <c r="AK82" s="114">
        <f t="shared" si="101"/>
        <v>0</v>
      </c>
      <c r="AL82" s="114">
        <f t="shared" si="129"/>
        <v>0</v>
      </c>
      <c r="AM82" s="113">
        <f t="shared" si="102"/>
        <v>0</v>
      </c>
      <c r="AN82" s="113">
        <f t="shared" si="102"/>
        <v>0</v>
      </c>
      <c r="AO82" s="113"/>
      <c r="AP82" s="113"/>
      <c r="AQ82" s="113"/>
      <c r="AR82" s="113"/>
      <c r="AS82" s="113">
        <f t="shared" si="103"/>
        <v>0</v>
      </c>
      <c r="AT82" s="113">
        <f t="shared" si="103"/>
        <v>0</v>
      </c>
      <c r="AU82" s="113"/>
      <c r="AV82" s="113"/>
      <c r="AX82" s="113"/>
      <c r="AY82" s="113">
        <f t="shared" si="104"/>
        <v>0</v>
      </c>
      <c r="AZ82" s="113">
        <f t="shared" si="104"/>
        <v>0</v>
      </c>
      <c r="BA82" s="113"/>
      <c r="BB82" s="113"/>
      <c r="BC82" s="113"/>
      <c r="BD82" s="113"/>
      <c r="BE82" s="113">
        <f t="shared" si="105"/>
        <v>0</v>
      </c>
      <c r="BF82" s="113"/>
      <c r="BG82" s="113">
        <f t="shared" si="95"/>
        <v>0</v>
      </c>
      <c r="BH82" s="113"/>
      <c r="BI82" s="113"/>
      <c r="BJ82" s="113">
        <v>60000</v>
      </c>
      <c r="BK82" s="113"/>
      <c r="BL82" s="113">
        <f t="shared" si="106"/>
        <v>60000</v>
      </c>
      <c r="BM82" s="113">
        <v>0</v>
      </c>
      <c r="BN82" s="113">
        <f t="shared" si="96"/>
        <v>0</v>
      </c>
      <c r="BO82" s="113"/>
      <c r="BP82" s="113"/>
      <c r="BQ82" s="113"/>
      <c r="BR82" s="113"/>
      <c r="BS82" s="113">
        <f t="shared" si="107"/>
        <v>0</v>
      </c>
      <c r="BT82" s="113"/>
      <c r="BU82" s="113">
        <f t="shared" si="97"/>
        <v>0</v>
      </c>
      <c r="BV82" s="113"/>
      <c r="BW82" s="113"/>
      <c r="BX82" s="113"/>
      <c r="BY82" s="113"/>
      <c r="BZ82" s="113">
        <f t="shared" si="108"/>
        <v>0</v>
      </c>
      <c r="CA82" s="113"/>
      <c r="CB82" s="113">
        <f t="shared" si="109"/>
        <v>0</v>
      </c>
      <c r="CC82" s="113"/>
      <c r="CD82" s="113"/>
      <c r="CE82" s="113"/>
      <c r="CF82" s="113"/>
      <c r="CG82" s="113">
        <f t="shared" si="110"/>
        <v>0</v>
      </c>
      <c r="CH82" s="113">
        <f t="shared" si="111"/>
        <v>0</v>
      </c>
      <c r="CI82" s="113"/>
      <c r="CJ82" s="113"/>
      <c r="CK82" s="113"/>
      <c r="CL82" s="113"/>
      <c r="CM82" s="113">
        <f t="shared" si="112"/>
        <v>0</v>
      </c>
      <c r="CN82" s="113">
        <f t="shared" si="112"/>
        <v>0</v>
      </c>
      <c r="CO82" s="113"/>
      <c r="CP82" s="113"/>
      <c r="CQ82" s="113"/>
      <c r="CR82" s="113"/>
      <c r="CS82" s="113">
        <f t="shared" si="113"/>
        <v>0</v>
      </c>
      <c r="CT82" s="113">
        <f t="shared" si="113"/>
        <v>0</v>
      </c>
      <c r="CU82" s="113"/>
      <c r="CV82" s="113"/>
      <c r="CW82" s="113"/>
      <c r="CX82" s="113"/>
      <c r="CY82" s="113">
        <f t="shared" si="114"/>
        <v>0</v>
      </c>
      <c r="CZ82" s="113">
        <f t="shared" si="114"/>
        <v>0</v>
      </c>
      <c r="DA82" s="113"/>
      <c r="DB82" s="113"/>
      <c r="DC82" s="113"/>
      <c r="DD82" s="113"/>
      <c r="DE82" s="113">
        <f t="shared" si="115"/>
        <v>0</v>
      </c>
      <c r="DF82" s="113">
        <f t="shared" si="115"/>
        <v>0</v>
      </c>
      <c r="DG82" s="113"/>
      <c r="DH82" s="113"/>
      <c r="DI82" s="113"/>
      <c r="DJ82" s="113"/>
      <c r="DK82" s="113">
        <f t="shared" si="116"/>
        <v>0</v>
      </c>
      <c r="DL82" s="113">
        <f t="shared" si="116"/>
        <v>0</v>
      </c>
      <c r="DM82" s="113">
        <f t="shared" si="117"/>
        <v>0</v>
      </c>
      <c r="DN82" s="113">
        <f t="shared" si="118"/>
        <v>0</v>
      </c>
      <c r="DO82" s="113">
        <f t="shared" si="119"/>
        <v>60000</v>
      </c>
      <c r="DP82" s="113">
        <f t="shared" si="120"/>
        <v>0</v>
      </c>
      <c r="DQ82" s="113">
        <f t="shared" si="121"/>
        <v>60000</v>
      </c>
      <c r="DR82" s="113">
        <f t="shared" si="121"/>
        <v>0</v>
      </c>
    </row>
    <row r="83" spans="1:122">
      <c r="A83" s="15">
        <v>75</v>
      </c>
      <c r="B83" s="96" t="s">
        <v>747</v>
      </c>
      <c r="C83" s="96" t="s">
        <v>1066</v>
      </c>
      <c r="D83" s="96" t="s">
        <v>1067</v>
      </c>
      <c r="E83" s="185" t="s">
        <v>1164</v>
      </c>
      <c r="F83" s="161">
        <f t="shared" si="130"/>
        <v>0</v>
      </c>
      <c r="G83" s="161">
        <f t="shared" si="122"/>
        <v>0</v>
      </c>
      <c r="H83" s="161">
        <f t="shared" si="123"/>
        <v>0</v>
      </c>
      <c r="I83" s="161">
        <f t="shared" si="124"/>
        <v>0</v>
      </c>
      <c r="J83" s="165">
        <f t="shared" si="98"/>
        <v>887.25</v>
      </c>
      <c r="K83" s="115"/>
      <c r="L83" s="211">
        <v>0</v>
      </c>
      <c r="M83" s="211">
        <v>0</v>
      </c>
      <c r="N83" s="127">
        <f t="shared" si="131"/>
        <v>887.25</v>
      </c>
      <c r="O83" s="127">
        <f t="shared" si="132"/>
        <v>887.25</v>
      </c>
      <c r="P83" s="127">
        <f t="shared" si="133"/>
        <v>887.25</v>
      </c>
      <c r="Q83" s="131">
        <f t="shared" si="125"/>
        <v>0</v>
      </c>
      <c r="R83" s="125">
        <f t="shared" si="99"/>
        <v>887.25</v>
      </c>
      <c r="S83" s="113">
        <v>0</v>
      </c>
      <c r="T83" s="113"/>
      <c r="U83" s="113">
        <f t="shared" si="126"/>
        <v>0</v>
      </c>
      <c r="V83" s="113">
        <f t="shared" si="127"/>
        <v>0</v>
      </c>
      <c r="W83" s="113">
        <v>0</v>
      </c>
      <c r="X83" s="113">
        <v>0</v>
      </c>
      <c r="Y83" s="113">
        <v>0</v>
      </c>
      <c r="Z83" s="113">
        <v>0</v>
      </c>
      <c r="AA83" s="113">
        <f t="shared" si="86"/>
        <v>0</v>
      </c>
      <c r="AB83" s="113">
        <f t="shared" si="86"/>
        <v>0</v>
      </c>
      <c r="AC83" s="113"/>
      <c r="AD83" s="113"/>
      <c r="AE83" s="113"/>
      <c r="AF83" s="113">
        <v>887.25</v>
      </c>
      <c r="AG83" s="113">
        <f t="shared" si="100"/>
        <v>0</v>
      </c>
      <c r="AH83" s="113">
        <f t="shared" si="100"/>
        <v>887.25</v>
      </c>
      <c r="AI83" s="114">
        <f t="shared" si="128"/>
        <v>0</v>
      </c>
      <c r="AJ83" s="114">
        <f t="shared" si="101"/>
        <v>0</v>
      </c>
      <c r="AK83" s="114">
        <f t="shared" si="101"/>
        <v>0</v>
      </c>
      <c r="AL83" s="114">
        <f t="shared" si="129"/>
        <v>887.25</v>
      </c>
      <c r="AM83" s="113">
        <f t="shared" si="102"/>
        <v>0</v>
      </c>
      <c r="AN83" s="113">
        <f t="shared" si="102"/>
        <v>887.25</v>
      </c>
      <c r="AO83" s="113"/>
      <c r="AP83" s="113"/>
      <c r="AQ83" s="113"/>
      <c r="AR83" s="113"/>
      <c r="AS83" s="113">
        <f t="shared" si="103"/>
        <v>0</v>
      </c>
      <c r="AT83" s="113">
        <f t="shared" si="103"/>
        <v>0</v>
      </c>
      <c r="AU83" s="113"/>
      <c r="AV83" s="113"/>
      <c r="AW83" s="113"/>
      <c r="AX83" s="113"/>
      <c r="AY83" s="113">
        <f t="shared" si="104"/>
        <v>0</v>
      </c>
      <c r="AZ83" s="113">
        <f t="shared" si="104"/>
        <v>0</v>
      </c>
      <c r="BA83" s="113"/>
      <c r="BB83" s="113"/>
      <c r="BC83" s="113"/>
      <c r="BD83" s="113"/>
      <c r="BE83" s="113">
        <f t="shared" si="105"/>
        <v>0</v>
      </c>
      <c r="BF83" s="113"/>
      <c r="BG83" s="113">
        <f t="shared" ref="BG83:BG114" si="134">BB83+BD83</f>
        <v>0</v>
      </c>
      <c r="BH83" s="113"/>
      <c r="BI83" s="113"/>
      <c r="BJ83" s="113"/>
      <c r="BK83" s="113"/>
      <c r="BL83" s="113">
        <f t="shared" si="106"/>
        <v>0</v>
      </c>
      <c r="BM83" s="113"/>
      <c r="BN83" s="113">
        <f t="shared" ref="BN83:BN114" si="135">BI83+BK83</f>
        <v>0</v>
      </c>
      <c r="BO83" s="113"/>
      <c r="BP83" s="113"/>
      <c r="BQ83" s="113"/>
      <c r="BR83" s="113"/>
      <c r="BS83" s="113">
        <f t="shared" si="107"/>
        <v>0</v>
      </c>
      <c r="BT83" s="113"/>
      <c r="BU83" s="113">
        <f t="shared" ref="BU83:BU114" si="136">BP83+BR83</f>
        <v>0</v>
      </c>
      <c r="BV83" s="113"/>
      <c r="BW83" s="113"/>
      <c r="BX83" s="113"/>
      <c r="BY83" s="113"/>
      <c r="BZ83" s="113">
        <f t="shared" si="108"/>
        <v>0</v>
      </c>
      <c r="CA83" s="113"/>
      <c r="CB83" s="113">
        <f t="shared" si="109"/>
        <v>0</v>
      </c>
      <c r="CC83" s="113"/>
      <c r="CD83" s="113"/>
      <c r="CE83" s="113"/>
      <c r="CF83" s="113"/>
      <c r="CG83" s="113">
        <f t="shared" si="110"/>
        <v>0</v>
      </c>
      <c r="CH83" s="113">
        <f t="shared" si="111"/>
        <v>0</v>
      </c>
      <c r="CI83" s="113"/>
      <c r="CJ83" s="113"/>
      <c r="CK83" s="113"/>
      <c r="CL83" s="113"/>
      <c r="CM83" s="113">
        <f t="shared" si="112"/>
        <v>0</v>
      </c>
      <c r="CN83" s="113">
        <f t="shared" si="112"/>
        <v>0</v>
      </c>
      <c r="CO83" s="113"/>
      <c r="CP83" s="113"/>
      <c r="CQ83" s="113"/>
      <c r="CR83" s="113"/>
      <c r="CS83" s="113">
        <f t="shared" si="113"/>
        <v>0</v>
      </c>
      <c r="CT83" s="113">
        <f t="shared" si="113"/>
        <v>0</v>
      </c>
      <c r="CU83" s="113"/>
      <c r="CV83" s="113"/>
      <c r="CW83" s="113"/>
      <c r="CX83" s="113"/>
      <c r="CY83" s="113">
        <f t="shared" si="114"/>
        <v>0</v>
      </c>
      <c r="CZ83" s="113">
        <f t="shared" si="114"/>
        <v>0</v>
      </c>
      <c r="DA83" s="113"/>
      <c r="DB83" s="113"/>
      <c r="DC83" s="113"/>
      <c r="DD83" s="113"/>
      <c r="DE83" s="113">
        <f t="shared" si="115"/>
        <v>0</v>
      </c>
      <c r="DF83" s="113">
        <f t="shared" si="115"/>
        <v>0</v>
      </c>
      <c r="DG83" s="113"/>
      <c r="DH83" s="113"/>
      <c r="DI83" s="113"/>
      <c r="DJ83" s="113"/>
      <c r="DK83" s="113">
        <f t="shared" si="116"/>
        <v>0</v>
      </c>
      <c r="DL83" s="113">
        <f t="shared" si="116"/>
        <v>0</v>
      </c>
      <c r="DM83" s="113">
        <f t="shared" si="117"/>
        <v>0</v>
      </c>
      <c r="DN83" s="113">
        <f t="shared" si="118"/>
        <v>0</v>
      </c>
      <c r="DO83" s="113">
        <f t="shared" si="119"/>
        <v>0</v>
      </c>
      <c r="DP83" s="113">
        <f t="shared" si="120"/>
        <v>0</v>
      </c>
      <c r="DQ83" s="113">
        <f t="shared" si="121"/>
        <v>0</v>
      </c>
      <c r="DR83" s="113">
        <f t="shared" si="121"/>
        <v>0</v>
      </c>
    </row>
    <row r="84" spans="1:122">
      <c r="A84" s="15">
        <v>76</v>
      </c>
      <c r="B84" s="96" t="s">
        <v>747</v>
      </c>
      <c r="C84" s="187" t="s">
        <v>1066</v>
      </c>
      <c r="D84" s="96" t="s">
        <v>1068</v>
      </c>
      <c r="E84" s="185" t="s">
        <v>1165</v>
      </c>
      <c r="F84" s="161">
        <f t="shared" si="130"/>
        <v>30000</v>
      </c>
      <c r="G84" s="161">
        <f t="shared" si="122"/>
        <v>0</v>
      </c>
      <c r="H84" s="161">
        <f t="shared" si="123"/>
        <v>30000</v>
      </c>
      <c r="I84" s="161">
        <f t="shared" si="124"/>
        <v>0</v>
      </c>
      <c r="J84" s="165">
        <f t="shared" si="98"/>
        <v>30000</v>
      </c>
      <c r="K84" s="115">
        <v>12412</v>
      </c>
      <c r="L84" s="211">
        <v>0</v>
      </c>
      <c r="M84" s="211"/>
      <c r="N84" s="127">
        <f t="shared" si="131"/>
        <v>0</v>
      </c>
      <c r="O84" s="127">
        <f t="shared" si="132"/>
        <v>0</v>
      </c>
      <c r="P84" s="127">
        <f t="shared" si="133"/>
        <v>0</v>
      </c>
      <c r="Q84" s="131">
        <f t="shared" si="125"/>
        <v>30000</v>
      </c>
      <c r="R84" s="125" t="str">
        <f t="shared" si="99"/>
        <v>ნულოვანი შესრულება</v>
      </c>
      <c r="S84" s="113">
        <v>0</v>
      </c>
      <c r="T84" s="113"/>
      <c r="U84" s="113">
        <f t="shared" si="126"/>
        <v>0</v>
      </c>
      <c r="V84" s="113">
        <f t="shared" si="127"/>
        <v>0</v>
      </c>
      <c r="W84" s="113">
        <v>0</v>
      </c>
      <c r="X84" s="113">
        <v>0</v>
      </c>
      <c r="Y84" s="113">
        <v>0</v>
      </c>
      <c r="Z84" s="113">
        <v>0</v>
      </c>
      <c r="AA84" s="113">
        <f t="shared" si="86"/>
        <v>0</v>
      </c>
      <c r="AB84" s="113">
        <f t="shared" si="86"/>
        <v>0</v>
      </c>
      <c r="AC84" s="113"/>
      <c r="AD84" s="113"/>
      <c r="AE84" s="113"/>
      <c r="AF84" s="113"/>
      <c r="AG84" s="113">
        <f t="shared" si="100"/>
        <v>0</v>
      </c>
      <c r="AH84" s="113">
        <f t="shared" si="100"/>
        <v>0</v>
      </c>
      <c r="AI84" s="114">
        <f t="shared" si="128"/>
        <v>0</v>
      </c>
      <c r="AJ84" s="114">
        <f t="shared" si="101"/>
        <v>0</v>
      </c>
      <c r="AK84" s="114">
        <f t="shared" si="101"/>
        <v>0</v>
      </c>
      <c r="AL84" s="114">
        <f t="shared" si="129"/>
        <v>0</v>
      </c>
      <c r="AM84" s="113">
        <f t="shared" si="102"/>
        <v>0</v>
      </c>
      <c r="AN84" s="113">
        <f t="shared" si="102"/>
        <v>0</v>
      </c>
      <c r="AO84" s="113"/>
      <c r="AP84" s="113"/>
      <c r="AQ84" s="113"/>
      <c r="AR84" s="113"/>
      <c r="AS84" s="113">
        <f t="shared" si="103"/>
        <v>0</v>
      </c>
      <c r="AT84" s="113">
        <f t="shared" si="103"/>
        <v>0</v>
      </c>
      <c r="AU84" s="113"/>
      <c r="AV84" s="113"/>
      <c r="AW84" s="113"/>
      <c r="AX84" s="113"/>
      <c r="AY84" s="113">
        <f t="shared" si="104"/>
        <v>0</v>
      </c>
      <c r="AZ84" s="113">
        <f t="shared" si="104"/>
        <v>0</v>
      </c>
      <c r="BA84" s="113"/>
      <c r="BB84" s="113"/>
      <c r="BC84" s="113"/>
      <c r="BD84" s="113"/>
      <c r="BE84" s="113">
        <f t="shared" si="105"/>
        <v>0</v>
      </c>
      <c r="BF84" s="113"/>
      <c r="BG84" s="113">
        <f t="shared" si="134"/>
        <v>0</v>
      </c>
      <c r="BH84" s="113"/>
      <c r="BI84" s="113"/>
      <c r="BJ84" s="113">
        <v>30000</v>
      </c>
      <c r="BK84" s="113"/>
      <c r="BL84" s="113">
        <f t="shared" si="106"/>
        <v>30000</v>
      </c>
      <c r="BM84" s="113">
        <v>0</v>
      </c>
      <c r="BN84" s="113">
        <f t="shared" si="135"/>
        <v>0</v>
      </c>
      <c r="BO84" s="113"/>
      <c r="BP84" s="113"/>
      <c r="BQ84" s="113"/>
      <c r="BR84" s="113"/>
      <c r="BS84" s="113">
        <f t="shared" si="107"/>
        <v>0</v>
      </c>
      <c r="BT84" s="113"/>
      <c r="BU84" s="113">
        <f t="shared" si="136"/>
        <v>0</v>
      </c>
      <c r="BV84" s="113"/>
      <c r="BW84" s="113"/>
      <c r="BX84" s="113"/>
      <c r="BY84" s="113"/>
      <c r="BZ84" s="113">
        <f t="shared" si="108"/>
        <v>0</v>
      </c>
      <c r="CA84" s="113"/>
      <c r="CB84" s="113">
        <f t="shared" si="109"/>
        <v>0</v>
      </c>
      <c r="CC84" s="113"/>
      <c r="CD84" s="113"/>
      <c r="CE84" s="113"/>
      <c r="CF84" s="113"/>
      <c r="CG84" s="113">
        <f t="shared" si="110"/>
        <v>0</v>
      </c>
      <c r="CH84" s="113">
        <f t="shared" si="111"/>
        <v>0</v>
      </c>
      <c r="CI84" s="113"/>
      <c r="CJ84" s="113"/>
      <c r="CK84" s="113"/>
      <c r="CL84" s="113"/>
      <c r="CM84" s="113">
        <f t="shared" si="112"/>
        <v>0</v>
      </c>
      <c r="CN84" s="113">
        <f t="shared" si="112"/>
        <v>0</v>
      </c>
      <c r="CO84" s="113"/>
      <c r="CP84" s="113"/>
      <c r="CQ84" s="113"/>
      <c r="CR84" s="113"/>
      <c r="CS84" s="113">
        <f t="shared" si="113"/>
        <v>0</v>
      </c>
      <c r="CT84" s="113">
        <f t="shared" si="113"/>
        <v>0</v>
      </c>
      <c r="CU84" s="113"/>
      <c r="CV84" s="113"/>
      <c r="CW84" s="113"/>
      <c r="CX84" s="113"/>
      <c r="CY84" s="113">
        <f t="shared" si="114"/>
        <v>0</v>
      </c>
      <c r="CZ84" s="113">
        <f t="shared" si="114"/>
        <v>0</v>
      </c>
      <c r="DA84" s="113"/>
      <c r="DB84" s="113"/>
      <c r="DC84" s="113"/>
      <c r="DD84" s="113"/>
      <c r="DE84" s="113">
        <f t="shared" si="115"/>
        <v>0</v>
      </c>
      <c r="DF84" s="113">
        <f t="shared" si="115"/>
        <v>0</v>
      </c>
      <c r="DG84" s="113"/>
      <c r="DH84" s="113"/>
      <c r="DI84" s="113"/>
      <c r="DJ84" s="113"/>
      <c r="DK84" s="113">
        <f t="shared" si="116"/>
        <v>0</v>
      </c>
      <c r="DL84" s="113">
        <f t="shared" si="116"/>
        <v>0</v>
      </c>
      <c r="DM84" s="113">
        <f t="shared" si="117"/>
        <v>0</v>
      </c>
      <c r="DN84" s="113">
        <f t="shared" si="118"/>
        <v>0</v>
      </c>
      <c r="DO84" s="113">
        <f t="shared" si="119"/>
        <v>30000</v>
      </c>
      <c r="DP84" s="113">
        <f t="shared" si="120"/>
        <v>0</v>
      </c>
      <c r="DQ84" s="113">
        <f t="shared" si="121"/>
        <v>30000</v>
      </c>
      <c r="DR84" s="113">
        <f t="shared" si="121"/>
        <v>0</v>
      </c>
    </row>
    <row r="85" spans="1:122">
      <c r="A85" s="15">
        <v>77</v>
      </c>
      <c r="B85" s="96" t="s">
        <v>747</v>
      </c>
      <c r="C85" s="187" t="s">
        <v>1069</v>
      </c>
      <c r="D85" s="96" t="s">
        <v>1070</v>
      </c>
      <c r="E85" s="185" t="s">
        <v>1165</v>
      </c>
      <c r="F85" s="161">
        <f t="shared" si="130"/>
        <v>0</v>
      </c>
      <c r="G85" s="161">
        <f t="shared" si="122"/>
        <v>0</v>
      </c>
      <c r="H85" s="161">
        <f t="shared" si="123"/>
        <v>0</v>
      </c>
      <c r="I85" s="161">
        <f t="shared" si="124"/>
        <v>0</v>
      </c>
      <c r="J85" s="165">
        <f t="shared" si="98"/>
        <v>121613.03</v>
      </c>
      <c r="K85" s="115">
        <v>22620.92</v>
      </c>
      <c r="L85" s="211">
        <v>0</v>
      </c>
      <c r="M85" s="211">
        <v>0</v>
      </c>
      <c r="N85" s="127">
        <f t="shared" si="131"/>
        <v>121613.03</v>
      </c>
      <c r="O85" s="127">
        <f t="shared" si="132"/>
        <v>121613.03</v>
      </c>
      <c r="P85" s="127">
        <f t="shared" si="133"/>
        <v>121613.03</v>
      </c>
      <c r="Q85" s="131">
        <f t="shared" si="125"/>
        <v>0</v>
      </c>
      <c r="R85" s="125">
        <f t="shared" si="99"/>
        <v>121613.03</v>
      </c>
      <c r="S85" s="113">
        <v>100000</v>
      </c>
      <c r="T85" s="113">
        <v>21613.03</v>
      </c>
      <c r="U85" s="113">
        <f t="shared" si="126"/>
        <v>100000</v>
      </c>
      <c r="V85" s="113">
        <f t="shared" si="127"/>
        <v>21613.03</v>
      </c>
      <c r="W85" s="113">
        <v>0</v>
      </c>
      <c r="X85" s="113">
        <v>0</v>
      </c>
      <c r="Y85" s="113">
        <v>0</v>
      </c>
      <c r="Z85" s="113">
        <v>0</v>
      </c>
      <c r="AA85" s="113">
        <f t="shared" si="86"/>
        <v>0</v>
      </c>
      <c r="AB85" s="113">
        <f t="shared" si="86"/>
        <v>0</v>
      </c>
      <c r="AC85" s="113"/>
      <c r="AD85" s="113"/>
      <c r="AE85" s="113"/>
      <c r="AF85" s="113"/>
      <c r="AG85" s="113">
        <f t="shared" si="100"/>
        <v>0</v>
      </c>
      <c r="AH85" s="113">
        <f t="shared" si="100"/>
        <v>0</v>
      </c>
      <c r="AI85" s="114">
        <f t="shared" si="128"/>
        <v>100000</v>
      </c>
      <c r="AJ85" s="114">
        <f t="shared" si="101"/>
        <v>100000</v>
      </c>
      <c r="AK85" s="114">
        <f t="shared" si="101"/>
        <v>21613.03</v>
      </c>
      <c r="AL85" s="114">
        <f t="shared" si="129"/>
        <v>21613.03</v>
      </c>
      <c r="AM85" s="113">
        <f t="shared" si="102"/>
        <v>121613.03</v>
      </c>
      <c r="AN85" s="113">
        <f t="shared" si="102"/>
        <v>121613.03</v>
      </c>
      <c r="AO85" s="113"/>
      <c r="AP85" s="113"/>
      <c r="AQ85" s="113"/>
      <c r="AR85" s="113"/>
      <c r="AS85" s="113">
        <f t="shared" si="103"/>
        <v>0</v>
      </c>
      <c r="AT85" s="113">
        <f t="shared" si="103"/>
        <v>0</v>
      </c>
      <c r="AU85" s="113"/>
      <c r="AV85" s="113"/>
      <c r="AW85" s="113"/>
      <c r="AX85" s="113"/>
      <c r="AY85" s="113">
        <f t="shared" si="104"/>
        <v>0</v>
      </c>
      <c r="AZ85" s="113">
        <f t="shared" si="104"/>
        <v>0</v>
      </c>
      <c r="BA85" s="113"/>
      <c r="BB85" s="113"/>
      <c r="BC85" s="113"/>
      <c r="BD85" s="113"/>
      <c r="BE85" s="113">
        <f t="shared" si="105"/>
        <v>0</v>
      </c>
      <c r="BF85" s="113"/>
      <c r="BG85" s="113">
        <f t="shared" si="134"/>
        <v>0</v>
      </c>
      <c r="BH85" s="113"/>
      <c r="BI85" s="113"/>
      <c r="BJ85" s="113"/>
      <c r="BK85" s="113"/>
      <c r="BL85" s="113">
        <f t="shared" si="106"/>
        <v>0</v>
      </c>
      <c r="BM85" s="113"/>
      <c r="BN85" s="113">
        <f t="shared" si="135"/>
        <v>0</v>
      </c>
      <c r="BO85" s="113"/>
      <c r="BP85" s="113"/>
      <c r="BQ85" s="113"/>
      <c r="BR85" s="113"/>
      <c r="BS85" s="113">
        <f t="shared" si="107"/>
        <v>0</v>
      </c>
      <c r="BT85" s="113"/>
      <c r="BU85" s="113">
        <f t="shared" si="136"/>
        <v>0</v>
      </c>
      <c r="BV85" s="113"/>
      <c r="BW85" s="113"/>
      <c r="BX85" s="113"/>
      <c r="BY85" s="113"/>
      <c r="BZ85" s="113">
        <f t="shared" si="108"/>
        <v>0</v>
      </c>
      <c r="CA85" s="113"/>
      <c r="CB85" s="113">
        <f t="shared" si="109"/>
        <v>0</v>
      </c>
      <c r="CC85" s="113"/>
      <c r="CD85" s="113"/>
      <c r="CE85" s="113"/>
      <c r="CF85" s="113"/>
      <c r="CG85" s="113">
        <f t="shared" si="110"/>
        <v>0</v>
      </c>
      <c r="CH85" s="113">
        <f t="shared" si="111"/>
        <v>0</v>
      </c>
      <c r="CI85" s="113"/>
      <c r="CJ85" s="113"/>
      <c r="CK85" s="113"/>
      <c r="CL85" s="113"/>
      <c r="CM85" s="113">
        <f t="shared" si="112"/>
        <v>0</v>
      </c>
      <c r="CN85" s="113">
        <f t="shared" si="112"/>
        <v>0</v>
      </c>
      <c r="CO85" s="113"/>
      <c r="CP85" s="113"/>
      <c r="CQ85" s="113"/>
      <c r="CR85" s="113"/>
      <c r="CS85" s="113">
        <f t="shared" si="113"/>
        <v>0</v>
      </c>
      <c r="CT85" s="113">
        <f t="shared" si="113"/>
        <v>0</v>
      </c>
      <c r="CU85" s="113"/>
      <c r="CV85" s="113"/>
      <c r="CW85" s="113"/>
      <c r="CX85" s="113"/>
      <c r="CY85" s="113">
        <f t="shared" si="114"/>
        <v>0</v>
      </c>
      <c r="CZ85" s="113">
        <f t="shared" si="114"/>
        <v>0</v>
      </c>
      <c r="DA85" s="113"/>
      <c r="DB85" s="113"/>
      <c r="DC85" s="113"/>
      <c r="DD85" s="113"/>
      <c r="DE85" s="113">
        <f t="shared" si="115"/>
        <v>0</v>
      </c>
      <c r="DF85" s="113">
        <f t="shared" si="115"/>
        <v>0</v>
      </c>
      <c r="DG85" s="113"/>
      <c r="DH85" s="113"/>
      <c r="DI85" s="113"/>
      <c r="DJ85" s="113"/>
      <c r="DK85" s="113">
        <f t="shared" si="116"/>
        <v>0</v>
      </c>
      <c r="DL85" s="113">
        <f t="shared" si="116"/>
        <v>0</v>
      </c>
      <c r="DM85" s="113">
        <f t="shared" si="117"/>
        <v>0</v>
      </c>
      <c r="DN85" s="113">
        <f t="shared" si="118"/>
        <v>0</v>
      </c>
      <c r="DO85" s="113">
        <f t="shared" si="119"/>
        <v>0</v>
      </c>
      <c r="DP85" s="113">
        <f t="shared" si="120"/>
        <v>0</v>
      </c>
      <c r="DQ85" s="113">
        <f t="shared" si="121"/>
        <v>0</v>
      </c>
      <c r="DR85" s="113">
        <f t="shared" si="121"/>
        <v>0</v>
      </c>
    </row>
    <row r="86" spans="1:122">
      <c r="A86" s="15">
        <v>78</v>
      </c>
      <c r="B86" s="96" t="s">
        <v>747</v>
      </c>
      <c r="C86" s="187" t="s">
        <v>1071</v>
      </c>
      <c r="D86" s="96" t="s">
        <v>1072</v>
      </c>
      <c r="E86" s="185" t="s">
        <v>1165</v>
      </c>
      <c r="F86" s="161">
        <f t="shared" si="130"/>
        <v>30000</v>
      </c>
      <c r="G86" s="161">
        <f t="shared" si="122"/>
        <v>41038.94</v>
      </c>
      <c r="H86" s="161">
        <f t="shared" si="123"/>
        <v>-11038.940000000002</v>
      </c>
      <c r="I86" s="161">
        <f t="shared" si="124"/>
        <v>1038.9400000000023</v>
      </c>
      <c r="J86" s="165">
        <f t="shared" si="98"/>
        <v>150720.24</v>
      </c>
      <c r="K86" s="115">
        <v>46067.72</v>
      </c>
      <c r="L86" s="211">
        <v>0</v>
      </c>
      <c r="M86" s="211">
        <v>0</v>
      </c>
      <c r="N86" s="127">
        <f t="shared" si="131"/>
        <v>120720.24</v>
      </c>
      <c r="O86" s="127">
        <f t="shared" si="132"/>
        <v>0</v>
      </c>
      <c r="P86" s="127">
        <f t="shared" si="133"/>
        <v>120720.24</v>
      </c>
      <c r="Q86" s="131">
        <f t="shared" si="125"/>
        <v>29999.999999999985</v>
      </c>
      <c r="R86" s="125">
        <f t="shared" si="99"/>
        <v>161759.18</v>
      </c>
      <c r="S86" s="113">
        <v>120000</v>
      </c>
      <c r="T86" s="113"/>
      <c r="U86" s="113">
        <f t="shared" si="126"/>
        <v>120000</v>
      </c>
      <c r="V86" s="113">
        <f t="shared" si="127"/>
        <v>0</v>
      </c>
      <c r="W86" s="113">
        <v>0</v>
      </c>
      <c r="X86" s="113">
        <v>0</v>
      </c>
      <c r="Y86" s="113">
        <v>0</v>
      </c>
      <c r="Z86" s="113">
        <v>0</v>
      </c>
      <c r="AA86" s="113">
        <f t="shared" si="86"/>
        <v>0</v>
      </c>
      <c r="AB86" s="113">
        <f t="shared" si="86"/>
        <v>0</v>
      </c>
      <c r="AC86" s="113"/>
      <c r="AD86" s="113">
        <v>720.24</v>
      </c>
      <c r="AE86" s="113"/>
      <c r="AF86" s="113"/>
      <c r="AG86" s="113">
        <f t="shared" si="100"/>
        <v>0</v>
      </c>
      <c r="AH86" s="113">
        <f t="shared" si="100"/>
        <v>720.24</v>
      </c>
      <c r="AI86" s="114">
        <f t="shared" si="128"/>
        <v>120000</v>
      </c>
      <c r="AJ86" s="114">
        <f t="shared" si="101"/>
        <v>120720.24</v>
      </c>
      <c r="AK86" s="114">
        <f t="shared" si="101"/>
        <v>0</v>
      </c>
      <c r="AL86" s="114">
        <f t="shared" si="129"/>
        <v>0</v>
      </c>
      <c r="AM86" s="113">
        <f t="shared" si="102"/>
        <v>120000</v>
      </c>
      <c r="AN86" s="113">
        <f t="shared" si="102"/>
        <v>120720.24</v>
      </c>
      <c r="AO86" s="113"/>
      <c r="AP86" s="113"/>
      <c r="AQ86" s="113">
        <v>30000</v>
      </c>
      <c r="AR86" s="113">
        <v>40000</v>
      </c>
      <c r="AS86" s="113">
        <f t="shared" si="103"/>
        <v>30000</v>
      </c>
      <c r="AT86" s="113">
        <f t="shared" si="103"/>
        <v>40000</v>
      </c>
      <c r="AU86" s="113"/>
      <c r="AV86" s="113"/>
      <c r="AW86" s="113"/>
      <c r="AX86" s="113"/>
      <c r="AY86" s="113">
        <f t="shared" si="104"/>
        <v>0</v>
      </c>
      <c r="AZ86" s="113">
        <f t="shared" si="104"/>
        <v>0</v>
      </c>
      <c r="BA86" s="113"/>
      <c r="BB86" s="113"/>
      <c r="BC86" s="113"/>
      <c r="BD86" s="113">
        <v>1038.94</v>
      </c>
      <c r="BE86" s="113">
        <f t="shared" si="105"/>
        <v>0</v>
      </c>
      <c r="BF86" s="113">
        <v>1038.9400000000023</v>
      </c>
      <c r="BG86" s="113">
        <f t="shared" si="134"/>
        <v>1038.94</v>
      </c>
      <c r="BH86" s="113"/>
      <c r="BI86" s="113"/>
      <c r="BJ86" s="113"/>
      <c r="BK86" s="113"/>
      <c r="BL86" s="113">
        <f t="shared" si="106"/>
        <v>0</v>
      </c>
      <c r="BM86" s="113"/>
      <c r="BN86" s="113">
        <f t="shared" si="135"/>
        <v>0</v>
      </c>
      <c r="BO86" s="113"/>
      <c r="BP86" s="113"/>
      <c r="BQ86" s="113"/>
      <c r="BR86" s="113"/>
      <c r="BS86" s="113">
        <f t="shared" si="107"/>
        <v>0</v>
      </c>
      <c r="BT86" s="113"/>
      <c r="BU86" s="113">
        <f t="shared" si="136"/>
        <v>0</v>
      </c>
      <c r="BV86" s="113"/>
      <c r="BW86" s="113"/>
      <c r="BX86" s="113"/>
      <c r="BY86" s="113"/>
      <c r="BZ86" s="113">
        <f t="shared" si="108"/>
        <v>0</v>
      </c>
      <c r="CA86" s="113"/>
      <c r="CB86" s="113">
        <f t="shared" si="109"/>
        <v>0</v>
      </c>
      <c r="CC86" s="113"/>
      <c r="CD86" s="113"/>
      <c r="CE86" s="113"/>
      <c r="CF86" s="113"/>
      <c r="CG86" s="113">
        <f t="shared" si="110"/>
        <v>0</v>
      </c>
      <c r="CH86" s="113">
        <f t="shared" si="111"/>
        <v>0</v>
      </c>
      <c r="CI86" s="113"/>
      <c r="CJ86" s="113"/>
      <c r="CK86" s="113"/>
      <c r="CL86" s="113"/>
      <c r="CM86" s="113">
        <f t="shared" si="112"/>
        <v>0</v>
      </c>
      <c r="CN86" s="113">
        <f t="shared" si="112"/>
        <v>0</v>
      </c>
      <c r="CO86" s="113"/>
      <c r="CP86" s="113"/>
      <c r="CQ86" s="113"/>
      <c r="CR86" s="113"/>
      <c r="CS86" s="113">
        <f t="shared" si="113"/>
        <v>0</v>
      </c>
      <c r="CT86" s="113">
        <f t="shared" si="113"/>
        <v>0</v>
      </c>
      <c r="CU86" s="113"/>
      <c r="CV86" s="113"/>
      <c r="CW86" s="113"/>
      <c r="CX86" s="113"/>
      <c r="CY86" s="113">
        <f t="shared" si="114"/>
        <v>0</v>
      </c>
      <c r="CZ86" s="113">
        <f t="shared" si="114"/>
        <v>0</v>
      </c>
      <c r="DA86" s="113"/>
      <c r="DB86" s="113"/>
      <c r="DC86" s="113"/>
      <c r="DD86" s="113"/>
      <c r="DE86" s="113">
        <f t="shared" si="115"/>
        <v>0</v>
      </c>
      <c r="DF86" s="113">
        <f t="shared" si="115"/>
        <v>0</v>
      </c>
      <c r="DG86" s="113"/>
      <c r="DH86" s="113"/>
      <c r="DI86" s="113"/>
      <c r="DJ86" s="113"/>
      <c r="DK86" s="113">
        <f t="shared" si="116"/>
        <v>0</v>
      </c>
      <c r="DL86" s="113">
        <f t="shared" si="116"/>
        <v>0</v>
      </c>
      <c r="DM86" s="113">
        <f t="shared" si="117"/>
        <v>0</v>
      </c>
      <c r="DN86" s="113">
        <f t="shared" si="118"/>
        <v>0</v>
      </c>
      <c r="DO86" s="113">
        <f t="shared" si="119"/>
        <v>30000</v>
      </c>
      <c r="DP86" s="113">
        <f t="shared" si="120"/>
        <v>41038.94</v>
      </c>
      <c r="DQ86" s="113">
        <f t="shared" si="121"/>
        <v>30000</v>
      </c>
      <c r="DR86" s="113">
        <f t="shared" si="121"/>
        <v>41038.94</v>
      </c>
    </row>
    <row r="87" spans="1:122">
      <c r="A87" s="15">
        <v>79</v>
      </c>
      <c r="B87" s="96" t="s">
        <v>747</v>
      </c>
      <c r="C87" s="96" t="s">
        <v>77</v>
      </c>
      <c r="D87" s="96" t="s">
        <v>1073</v>
      </c>
      <c r="E87" s="185" t="s">
        <v>1164</v>
      </c>
      <c r="F87" s="161">
        <f t="shared" si="130"/>
        <v>0</v>
      </c>
      <c r="G87" s="161">
        <f t="shared" si="122"/>
        <v>0</v>
      </c>
      <c r="H87" s="161">
        <f t="shared" si="123"/>
        <v>0</v>
      </c>
      <c r="I87" s="161">
        <f t="shared" si="124"/>
        <v>0</v>
      </c>
      <c r="J87" s="165">
        <f t="shared" si="98"/>
        <v>17092.25</v>
      </c>
      <c r="K87" s="115"/>
      <c r="L87" s="211">
        <v>0</v>
      </c>
      <c r="M87" s="211">
        <v>0</v>
      </c>
      <c r="N87" s="127">
        <f t="shared" si="131"/>
        <v>17092.25</v>
      </c>
      <c r="O87" s="127">
        <f t="shared" si="132"/>
        <v>17092.25</v>
      </c>
      <c r="P87" s="127">
        <f t="shared" si="133"/>
        <v>17092.25</v>
      </c>
      <c r="Q87" s="131">
        <f t="shared" si="125"/>
        <v>0</v>
      </c>
      <c r="R87" s="125">
        <f t="shared" si="99"/>
        <v>17092.25</v>
      </c>
      <c r="S87" s="113">
        <v>0</v>
      </c>
      <c r="T87" s="113">
        <v>17092.25</v>
      </c>
      <c r="U87" s="113">
        <f t="shared" si="126"/>
        <v>0</v>
      </c>
      <c r="V87" s="113">
        <f t="shared" si="127"/>
        <v>17092.25</v>
      </c>
      <c r="W87" s="113">
        <v>0</v>
      </c>
      <c r="X87" s="113">
        <v>0</v>
      </c>
      <c r="Y87" s="113">
        <v>0</v>
      </c>
      <c r="Z87" s="113">
        <v>0</v>
      </c>
      <c r="AA87" s="113">
        <f t="shared" si="86"/>
        <v>0</v>
      </c>
      <c r="AB87" s="113">
        <f t="shared" si="86"/>
        <v>0</v>
      </c>
      <c r="AC87" s="113"/>
      <c r="AD87" s="113"/>
      <c r="AE87" s="113"/>
      <c r="AF87" s="113"/>
      <c r="AG87" s="113">
        <f t="shared" si="100"/>
        <v>0</v>
      </c>
      <c r="AH87" s="113">
        <f t="shared" si="100"/>
        <v>0</v>
      </c>
      <c r="AI87" s="114">
        <f t="shared" si="128"/>
        <v>0</v>
      </c>
      <c r="AJ87" s="114">
        <f t="shared" si="101"/>
        <v>0</v>
      </c>
      <c r="AK87" s="114">
        <f t="shared" si="101"/>
        <v>17092.25</v>
      </c>
      <c r="AL87" s="114">
        <f t="shared" si="129"/>
        <v>17092.25</v>
      </c>
      <c r="AM87" s="113">
        <f t="shared" si="102"/>
        <v>17092.25</v>
      </c>
      <c r="AN87" s="113">
        <f t="shared" si="102"/>
        <v>17092.25</v>
      </c>
      <c r="AO87" s="113"/>
      <c r="AP87" s="113"/>
      <c r="AQ87" s="113"/>
      <c r="AR87" s="113"/>
      <c r="AS87" s="113">
        <f t="shared" si="103"/>
        <v>0</v>
      </c>
      <c r="AT87" s="113">
        <f t="shared" si="103"/>
        <v>0</v>
      </c>
      <c r="AU87" s="113"/>
      <c r="AV87" s="113"/>
      <c r="AW87" s="113"/>
      <c r="AX87" s="113"/>
      <c r="AY87" s="113">
        <f t="shared" si="104"/>
        <v>0</v>
      </c>
      <c r="AZ87" s="113">
        <f t="shared" si="104"/>
        <v>0</v>
      </c>
      <c r="BA87" s="113"/>
      <c r="BB87" s="113"/>
      <c r="BC87" s="113"/>
      <c r="BD87" s="113"/>
      <c r="BE87" s="113">
        <f t="shared" si="105"/>
        <v>0</v>
      </c>
      <c r="BF87" s="113"/>
      <c r="BG87" s="113">
        <f t="shared" si="134"/>
        <v>0</v>
      </c>
      <c r="BH87" s="113"/>
      <c r="BI87" s="113"/>
      <c r="BJ87" s="113"/>
      <c r="BK87" s="113"/>
      <c r="BL87" s="113">
        <f t="shared" si="106"/>
        <v>0</v>
      </c>
      <c r="BM87" s="113"/>
      <c r="BN87" s="113">
        <f t="shared" si="135"/>
        <v>0</v>
      </c>
      <c r="BO87" s="113"/>
      <c r="BP87" s="113"/>
      <c r="BQ87" s="113"/>
      <c r="BR87" s="113"/>
      <c r="BS87" s="113">
        <f t="shared" si="107"/>
        <v>0</v>
      </c>
      <c r="BT87" s="113"/>
      <c r="BU87" s="113">
        <f t="shared" si="136"/>
        <v>0</v>
      </c>
      <c r="BV87" s="113"/>
      <c r="BW87" s="113"/>
      <c r="BX87" s="113"/>
      <c r="BY87" s="113"/>
      <c r="BZ87" s="113">
        <f t="shared" si="108"/>
        <v>0</v>
      </c>
      <c r="CA87" s="113"/>
      <c r="CB87" s="113">
        <f t="shared" si="109"/>
        <v>0</v>
      </c>
      <c r="CC87" s="113"/>
      <c r="CD87" s="113"/>
      <c r="CE87" s="113"/>
      <c r="CF87" s="113"/>
      <c r="CG87" s="113">
        <f t="shared" si="110"/>
        <v>0</v>
      </c>
      <c r="CH87" s="113">
        <f t="shared" si="111"/>
        <v>0</v>
      </c>
      <c r="CI87" s="113"/>
      <c r="CJ87" s="113"/>
      <c r="CK87" s="113"/>
      <c r="CL87" s="113"/>
      <c r="CM87" s="113">
        <f t="shared" si="112"/>
        <v>0</v>
      </c>
      <c r="CN87" s="113">
        <f t="shared" si="112"/>
        <v>0</v>
      </c>
      <c r="CO87" s="113"/>
      <c r="CP87" s="113"/>
      <c r="CQ87" s="113"/>
      <c r="CR87" s="113"/>
      <c r="CS87" s="113">
        <f t="shared" si="113"/>
        <v>0</v>
      </c>
      <c r="CT87" s="113">
        <f t="shared" si="113"/>
        <v>0</v>
      </c>
      <c r="CU87" s="113"/>
      <c r="CV87" s="113"/>
      <c r="CW87" s="113"/>
      <c r="CX87" s="113"/>
      <c r="CY87" s="113">
        <f t="shared" si="114"/>
        <v>0</v>
      </c>
      <c r="CZ87" s="113">
        <f t="shared" si="114"/>
        <v>0</v>
      </c>
      <c r="DA87" s="113"/>
      <c r="DB87" s="113"/>
      <c r="DC87" s="113"/>
      <c r="DD87" s="113"/>
      <c r="DE87" s="113">
        <f t="shared" si="115"/>
        <v>0</v>
      </c>
      <c r="DF87" s="113">
        <f t="shared" si="115"/>
        <v>0</v>
      </c>
      <c r="DG87" s="113"/>
      <c r="DH87" s="113"/>
      <c r="DI87" s="113"/>
      <c r="DJ87" s="113"/>
      <c r="DK87" s="113">
        <f t="shared" si="116"/>
        <v>0</v>
      </c>
      <c r="DL87" s="113">
        <f t="shared" si="116"/>
        <v>0</v>
      </c>
      <c r="DM87" s="113">
        <f t="shared" si="117"/>
        <v>0</v>
      </c>
      <c r="DN87" s="113">
        <f t="shared" si="118"/>
        <v>0</v>
      </c>
      <c r="DO87" s="113">
        <f t="shared" si="119"/>
        <v>0</v>
      </c>
      <c r="DP87" s="113">
        <f t="shared" si="120"/>
        <v>0</v>
      </c>
      <c r="DQ87" s="113">
        <f t="shared" si="121"/>
        <v>0</v>
      </c>
      <c r="DR87" s="113">
        <f t="shared" si="121"/>
        <v>0</v>
      </c>
    </row>
    <row r="88" spans="1:122">
      <c r="A88" s="15">
        <v>80</v>
      </c>
      <c r="B88" s="96" t="s">
        <v>747</v>
      </c>
      <c r="C88" s="96" t="s">
        <v>1074</v>
      </c>
      <c r="D88" s="96" t="s">
        <v>1075</v>
      </c>
      <c r="E88" s="185" t="s">
        <v>1164</v>
      </c>
      <c r="F88" s="161">
        <f t="shared" si="130"/>
        <v>0</v>
      </c>
      <c r="G88" s="161">
        <f t="shared" si="122"/>
        <v>0</v>
      </c>
      <c r="H88" s="161">
        <f t="shared" si="123"/>
        <v>0</v>
      </c>
      <c r="I88" s="161">
        <f t="shared" si="124"/>
        <v>0</v>
      </c>
      <c r="J88" s="165">
        <f t="shared" si="98"/>
        <v>6303.5</v>
      </c>
      <c r="K88" s="115"/>
      <c r="L88" s="211">
        <v>0</v>
      </c>
      <c r="M88" s="211">
        <v>0</v>
      </c>
      <c r="N88" s="127">
        <f t="shared" si="131"/>
        <v>6303.5</v>
      </c>
      <c r="O88" s="127">
        <f t="shared" si="132"/>
        <v>6303.5</v>
      </c>
      <c r="P88" s="127">
        <f t="shared" si="133"/>
        <v>6303.5</v>
      </c>
      <c r="Q88" s="131">
        <f t="shared" si="125"/>
        <v>0</v>
      </c>
      <c r="R88" s="125">
        <f t="shared" si="99"/>
        <v>6303.5</v>
      </c>
      <c r="S88" s="113">
        <v>0</v>
      </c>
      <c r="T88" s="113"/>
      <c r="U88" s="113">
        <f t="shared" si="126"/>
        <v>0</v>
      </c>
      <c r="V88" s="113">
        <f t="shared" si="127"/>
        <v>0</v>
      </c>
      <c r="W88" s="113">
        <v>0</v>
      </c>
      <c r="X88" s="113">
        <v>0</v>
      </c>
      <c r="Y88" s="113">
        <v>0</v>
      </c>
      <c r="Z88" s="113">
        <v>0</v>
      </c>
      <c r="AA88" s="113">
        <f t="shared" ref="AA88:AB104" si="137">W88+Y88</f>
        <v>0</v>
      </c>
      <c r="AB88" s="113">
        <f t="shared" si="137"/>
        <v>0</v>
      </c>
      <c r="AC88" s="113"/>
      <c r="AD88" s="113"/>
      <c r="AE88" s="113"/>
      <c r="AF88" s="113">
        <v>6303.5</v>
      </c>
      <c r="AG88" s="113">
        <f t="shared" si="100"/>
        <v>0</v>
      </c>
      <c r="AH88" s="113">
        <f t="shared" si="100"/>
        <v>6303.5</v>
      </c>
      <c r="AI88" s="114">
        <f t="shared" si="128"/>
        <v>0</v>
      </c>
      <c r="AJ88" s="114">
        <f t="shared" si="101"/>
        <v>0</v>
      </c>
      <c r="AK88" s="114">
        <f t="shared" si="101"/>
        <v>0</v>
      </c>
      <c r="AL88" s="114">
        <f t="shared" si="129"/>
        <v>6303.5</v>
      </c>
      <c r="AM88" s="113">
        <f t="shared" si="102"/>
        <v>0</v>
      </c>
      <c r="AN88" s="113">
        <f t="shared" si="102"/>
        <v>6303.5</v>
      </c>
      <c r="AO88" s="113"/>
      <c r="AP88" s="113"/>
      <c r="AQ88" s="113"/>
      <c r="AR88" s="113"/>
      <c r="AS88" s="113">
        <f t="shared" si="103"/>
        <v>0</v>
      </c>
      <c r="AT88" s="113">
        <f t="shared" si="103"/>
        <v>0</v>
      </c>
      <c r="AU88" s="113"/>
      <c r="AV88" s="113"/>
      <c r="AW88" s="113"/>
      <c r="AX88" s="113"/>
      <c r="AY88" s="113">
        <f t="shared" si="104"/>
        <v>0</v>
      </c>
      <c r="AZ88" s="113">
        <f t="shared" si="104"/>
        <v>0</v>
      </c>
      <c r="BA88" s="113"/>
      <c r="BB88" s="113"/>
      <c r="BC88" s="113"/>
      <c r="BD88" s="113"/>
      <c r="BE88" s="113">
        <f t="shared" si="105"/>
        <v>0</v>
      </c>
      <c r="BF88" s="113"/>
      <c r="BG88" s="113">
        <f t="shared" si="134"/>
        <v>0</v>
      </c>
      <c r="BH88" s="113"/>
      <c r="BI88" s="113"/>
      <c r="BJ88" s="113"/>
      <c r="BK88" s="113"/>
      <c r="BL88" s="113">
        <f t="shared" si="106"/>
        <v>0</v>
      </c>
      <c r="BM88" s="113"/>
      <c r="BN88" s="113">
        <f t="shared" si="135"/>
        <v>0</v>
      </c>
      <c r="BO88" s="113"/>
      <c r="BP88" s="113"/>
      <c r="BQ88" s="113"/>
      <c r="BR88" s="113"/>
      <c r="BS88" s="113">
        <f t="shared" si="107"/>
        <v>0</v>
      </c>
      <c r="BT88" s="113"/>
      <c r="BU88" s="113">
        <f t="shared" si="136"/>
        <v>0</v>
      </c>
      <c r="BV88" s="113"/>
      <c r="BW88" s="113"/>
      <c r="BX88" s="113"/>
      <c r="BY88" s="113"/>
      <c r="BZ88" s="113">
        <f t="shared" si="108"/>
        <v>0</v>
      </c>
      <c r="CA88" s="113"/>
      <c r="CB88" s="113">
        <f t="shared" si="109"/>
        <v>0</v>
      </c>
      <c r="CC88" s="113"/>
      <c r="CD88" s="113"/>
      <c r="CE88" s="113"/>
      <c r="CF88" s="113"/>
      <c r="CG88" s="113">
        <f t="shared" si="110"/>
        <v>0</v>
      </c>
      <c r="CH88" s="113">
        <f t="shared" si="111"/>
        <v>0</v>
      </c>
      <c r="CI88" s="113"/>
      <c r="CJ88" s="113"/>
      <c r="CK88" s="113"/>
      <c r="CL88" s="113"/>
      <c r="CM88" s="113">
        <f t="shared" si="112"/>
        <v>0</v>
      </c>
      <c r="CN88" s="113">
        <f t="shared" si="112"/>
        <v>0</v>
      </c>
      <c r="CO88" s="113"/>
      <c r="CP88" s="113"/>
      <c r="CQ88" s="113"/>
      <c r="CR88" s="113"/>
      <c r="CS88" s="113">
        <f t="shared" si="113"/>
        <v>0</v>
      </c>
      <c r="CT88" s="113">
        <f t="shared" si="113"/>
        <v>0</v>
      </c>
      <c r="CU88" s="113"/>
      <c r="CV88" s="113"/>
      <c r="CW88" s="113"/>
      <c r="CX88" s="113"/>
      <c r="CY88" s="113">
        <f t="shared" si="114"/>
        <v>0</v>
      </c>
      <c r="CZ88" s="113">
        <f t="shared" si="114"/>
        <v>0</v>
      </c>
      <c r="DA88" s="113"/>
      <c r="DB88" s="113"/>
      <c r="DC88" s="113"/>
      <c r="DD88" s="113"/>
      <c r="DE88" s="113">
        <f t="shared" si="115"/>
        <v>0</v>
      </c>
      <c r="DF88" s="113">
        <f t="shared" si="115"/>
        <v>0</v>
      </c>
      <c r="DG88" s="113"/>
      <c r="DH88" s="113"/>
      <c r="DI88" s="113"/>
      <c r="DJ88" s="113"/>
      <c r="DK88" s="113">
        <f t="shared" si="116"/>
        <v>0</v>
      </c>
      <c r="DL88" s="113">
        <f t="shared" si="116"/>
        <v>0</v>
      </c>
      <c r="DM88" s="113">
        <f t="shared" si="117"/>
        <v>0</v>
      </c>
      <c r="DN88" s="113">
        <f t="shared" si="118"/>
        <v>0</v>
      </c>
      <c r="DO88" s="113">
        <f t="shared" si="119"/>
        <v>0</v>
      </c>
      <c r="DP88" s="113">
        <f t="shared" si="120"/>
        <v>0</v>
      </c>
      <c r="DQ88" s="113">
        <f t="shared" si="121"/>
        <v>0</v>
      </c>
      <c r="DR88" s="113">
        <f t="shared" si="121"/>
        <v>0</v>
      </c>
    </row>
    <row r="89" spans="1:122">
      <c r="A89" s="15">
        <v>81</v>
      </c>
      <c r="B89" s="96" t="s">
        <v>747</v>
      </c>
      <c r="C89" s="187" t="s">
        <v>1074</v>
      </c>
      <c r="D89" s="96" t="s">
        <v>1076</v>
      </c>
      <c r="E89" s="185" t="s">
        <v>1165</v>
      </c>
      <c r="F89" s="161">
        <f t="shared" si="130"/>
        <v>270000</v>
      </c>
      <c r="G89" s="161">
        <f t="shared" si="122"/>
        <v>100000</v>
      </c>
      <c r="H89" s="161">
        <f t="shared" si="123"/>
        <v>170000</v>
      </c>
      <c r="I89" s="161">
        <f t="shared" si="124"/>
        <v>0</v>
      </c>
      <c r="J89" s="165">
        <f t="shared" si="98"/>
        <v>270000</v>
      </c>
      <c r="K89" s="115">
        <v>21132.84</v>
      </c>
      <c r="L89" s="211">
        <v>0</v>
      </c>
      <c r="M89" s="211">
        <v>0</v>
      </c>
      <c r="N89" s="127">
        <f t="shared" si="131"/>
        <v>0</v>
      </c>
      <c r="O89" s="127">
        <f t="shared" si="132"/>
        <v>0</v>
      </c>
      <c r="P89" s="127">
        <f t="shared" si="133"/>
        <v>0</v>
      </c>
      <c r="Q89" s="131">
        <f t="shared" si="125"/>
        <v>270000</v>
      </c>
      <c r="R89" s="125" t="str">
        <f t="shared" si="99"/>
        <v>მიმდინარეობს</v>
      </c>
      <c r="S89" s="113">
        <v>0</v>
      </c>
      <c r="T89" s="113"/>
      <c r="U89" s="113">
        <f t="shared" si="126"/>
        <v>0</v>
      </c>
      <c r="V89" s="113">
        <f t="shared" si="127"/>
        <v>0</v>
      </c>
      <c r="W89" s="113">
        <v>0</v>
      </c>
      <c r="X89" s="113">
        <v>0</v>
      </c>
      <c r="Y89" s="113">
        <v>0</v>
      </c>
      <c r="Z89" s="113">
        <v>0</v>
      </c>
      <c r="AA89" s="113">
        <f t="shared" si="137"/>
        <v>0</v>
      </c>
      <c r="AB89" s="113">
        <f t="shared" si="137"/>
        <v>0</v>
      </c>
      <c r="AC89" s="113"/>
      <c r="AD89" s="113"/>
      <c r="AE89" s="113"/>
      <c r="AF89" s="113"/>
      <c r="AG89" s="113">
        <f t="shared" si="100"/>
        <v>0</v>
      </c>
      <c r="AH89" s="113">
        <f t="shared" si="100"/>
        <v>0</v>
      </c>
      <c r="AI89" s="114">
        <f t="shared" si="128"/>
        <v>0</v>
      </c>
      <c r="AJ89" s="114">
        <f t="shared" si="101"/>
        <v>0</v>
      </c>
      <c r="AK89" s="114">
        <f t="shared" si="101"/>
        <v>0</v>
      </c>
      <c r="AL89" s="114">
        <f t="shared" si="129"/>
        <v>0</v>
      </c>
      <c r="AM89" s="113">
        <f t="shared" si="102"/>
        <v>0</v>
      </c>
      <c r="AN89" s="113">
        <f t="shared" si="102"/>
        <v>0</v>
      </c>
      <c r="AO89" s="113">
        <v>100000</v>
      </c>
      <c r="AP89" s="113">
        <v>100000</v>
      </c>
      <c r="AQ89" s="113"/>
      <c r="AR89" s="113"/>
      <c r="AS89" s="113">
        <f t="shared" si="103"/>
        <v>100000</v>
      </c>
      <c r="AT89" s="113">
        <f t="shared" si="103"/>
        <v>100000</v>
      </c>
      <c r="AU89" s="113">
        <v>100000</v>
      </c>
      <c r="AV89" s="113"/>
      <c r="AW89" s="113"/>
      <c r="AX89" s="113"/>
      <c r="AY89" s="113">
        <f t="shared" si="104"/>
        <v>100000</v>
      </c>
      <c r="AZ89" s="113">
        <f t="shared" si="104"/>
        <v>0</v>
      </c>
      <c r="BA89" s="113"/>
      <c r="BB89" s="113"/>
      <c r="BC89" s="113">
        <v>70000</v>
      </c>
      <c r="BD89" s="113"/>
      <c r="BE89" s="113">
        <f t="shared" si="105"/>
        <v>70000</v>
      </c>
      <c r="BF89" s="113"/>
      <c r="BG89" s="113">
        <f t="shared" si="134"/>
        <v>0</v>
      </c>
      <c r="BH89" s="113"/>
      <c r="BI89" s="113"/>
      <c r="BJ89" s="113"/>
      <c r="BK89" s="113"/>
      <c r="BL89" s="113">
        <f t="shared" si="106"/>
        <v>0</v>
      </c>
      <c r="BM89" s="113">
        <v>0</v>
      </c>
      <c r="BN89" s="113">
        <f t="shared" si="135"/>
        <v>0</v>
      </c>
      <c r="BO89" s="113"/>
      <c r="BP89" s="113"/>
      <c r="BQ89" s="113"/>
      <c r="BR89" s="113"/>
      <c r="BS89" s="113">
        <f t="shared" si="107"/>
        <v>0</v>
      </c>
      <c r="BT89" s="113"/>
      <c r="BU89" s="113">
        <f t="shared" si="136"/>
        <v>0</v>
      </c>
      <c r="BV89" s="113"/>
      <c r="BW89" s="113"/>
      <c r="BX89" s="113"/>
      <c r="BY89" s="113"/>
      <c r="BZ89" s="113">
        <f t="shared" si="108"/>
        <v>0</v>
      </c>
      <c r="CA89" s="113"/>
      <c r="CB89" s="113">
        <f t="shared" si="109"/>
        <v>0</v>
      </c>
      <c r="CC89" s="113"/>
      <c r="CD89" s="113"/>
      <c r="CE89" s="113"/>
      <c r="CF89" s="113"/>
      <c r="CG89" s="113">
        <f t="shared" si="110"/>
        <v>0</v>
      </c>
      <c r="CH89" s="113">
        <f t="shared" si="111"/>
        <v>0</v>
      </c>
      <c r="CI89" s="113"/>
      <c r="CJ89" s="113"/>
      <c r="CK89" s="113"/>
      <c r="CL89" s="113"/>
      <c r="CM89" s="113">
        <f t="shared" si="112"/>
        <v>0</v>
      </c>
      <c r="CN89" s="113">
        <f t="shared" si="112"/>
        <v>0</v>
      </c>
      <c r="CO89" s="113"/>
      <c r="CP89" s="113"/>
      <c r="CQ89" s="113"/>
      <c r="CR89" s="113"/>
      <c r="CS89" s="113">
        <f t="shared" si="113"/>
        <v>0</v>
      </c>
      <c r="CT89" s="113">
        <f t="shared" si="113"/>
        <v>0</v>
      </c>
      <c r="CU89" s="113"/>
      <c r="CV89" s="113"/>
      <c r="CW89" s="113"/>
      <c r="CX89" s="113"/>
      <c r="CY89" s="113">
        <f t="shared" si="114"/>
        <v>0</v>
      </c>
      <c r="CZ89" s="113">
        <f t="shared" si="114"/>
        <v>0</v>
      </c>
      <c r="DA89" s="113"/>
      <c r="DB89" s="113"/>
      <c r="DC89" s="113"/>
      <c r="DD89" s="113"/>
      <c r="DE89" s="113">
        <f t="shared" si="115"/>
        <v>0</v>
      </c>
      <c r="DF89" s="113">
        <f t="shared" si="115"/>
        <v>0</v>
      </c>
      <c r="DG89" s="113"/>
      <c r="DH89" s="113"/>
      <c r="DI89" s="113"/>
      <c r="DJ89" s="113"/>
      <c r="DK89" s="113">
        <f t="shared" si="116"/>
        <v>0</v>
      </c>
      <c r="DL89" s="113">
        <f t="shared" si="116"/>
        <v>0</v>
      </c>
      <c r="DM89" s="113">
        <f t="shared" si="117"/>
        <v>200000</v>
      </c>
      <c r="DN89" s="113">
        <f t="shared" si="118"/>
        <v>100000</v>
      </c>
      <c r="DO89" s="113">
        <f t="shared" si="119"/>
        <v>70000</v>
      </c>
      <c r="DP89" s="113">
        <f t="shared" si="120"/>
        <v>0</v>
      </c>
      <c r="DQ89" s="113">
        <f t="shared" si="121"/>
        <v>270000</v>
      </c>
      <c r="DR89" s="113">
        <f t="shared" si="121"/>
        <v>100000</v>
      </c>
    </row>
    <row r="90" spans="1:122">
      <c r="A90" s="15">
        <v>82</v>
      </c>
      <c r="B90" s="96" t="s">
        <v>747</v>
      </c>
      <c r="C90" s="187" t="s">
        <v>1077</v>
      </c>
      <c r="D90" s="96" t="s">
        <v>1078</v>
      </c>
      <c r="E90" s="185" t="s">
        <v>1165</v>
      </c>
      <c r="F90" s="161">
        <f t="shared" si="130"/>
        <v>0</v>
      </c>
      <c r="G90" s="161">
        <f t="shared" si="122"/>
        <v>0</v>
      </c>
      <c r="H90" s="161">
        <f t="shared" si="123"/>
        <v>0</v>
      </c>
      <c r="I90" s="161">
        <f t="shared" si="124"/>
        <v>0</v>
      </c>
      <c r="J90" s="165">
        <f t="shared" si="98"/>
        <v>0</v>
      </c>
      <c r="K90" s="115">
        <v>80769.239999999991</v>
      </c>
      <c r="L90" s="211">
        <v>0</v>
      </c>
      <c r="M90" s="211">
        <v>0</v>
      </c>
      <c r="N90" s="127">
        <f t="shared" si="131"/>
        <v>0</v>
      </c>
      <c r="O90" s="127">
        <f t="shared" si="132"/>
        <v>0</v>
      </c>
      <c r="P90" s="127">
        <f t="shared" si="133"/>
        <v>0</v>
      </c>
      <c r="Q90" s="131">
        <f t="shared" si="125"/>
        <v>0</v>
      </c>
      <c r="R90" s="125" t="str">
        <f t="shared" si="99"/>
        <v>ნულოვანი შესრულება</v>
      </c>
      <c r="S90" s="113">
        <v>0</v>
      </c>
      <c r="T90" s="113"/>
      <c r="U90" s="113">
        <f t="shared" si="126"/>
        <v>0</v>
      </c>
      <c r="V90" s="113">
        <f t="shared" si="127"/>
        <v>0</v>
      </c>
      <c r="W90" s="113">
        <v>0</v>
      </c>
      <c r="X90" s="113">
        <v>0</v>
      </c>
      <c r="Y90" s="113">
        <v>0</v>
      </c>
      <c r="Z90" s="113">
        <v>0</v>
      </c>
      <c r="AA90" s="113">
        <f t="shared" si="137"/>
        <v>0</v>
      </c>
      <c r="AB90" s="113">
        <f t="shared" si="137"/>
        <v>0</v>
      </c>
      <c r="AC90" s="113"/>
      <c r="AD90" s="113"/>
      <c r="AE90" s="113"/>
      <c r="AF90" s="113"/>
      <c r="AG90" s="113">
        <f t="shared" si="100"/>
        <v>0</v>
      </c>
      <c r="AH90" s="113">
        <f t="shared" si="100"/>
        <v>0</v>
      </c>
      <c r="AI90" s="114">
        <f t="shared" si="128"/>
        <v>0</v>
      </c>
      <c r="AJ90" s="114">
        <f t="shared" si="101"/>
        <v>0</v>
      </c>
      <c r="AK90" s="114">
        <f t="shared" si="101"/>
        <v>0</v>
      </c>
      <c r="AL90" s="114">
        <f t="shared" si="129"/>
        <v>0</v>
      </c>
      <c r="AM90" s="113">
        <f t="shared" si="102"/>
        <v>0</v>
      </c>
      <c r="AN90" s="113">
        <f t="shared" si="102"/>
        <v>0</v>
      </c>
      <c r="AO90" s="113"/>
      <c r="AP90" s="113"/>
      <c r="AQ90" s="113"/>
      <c r="AR90" s="113"/>
      <c r="AS90" s="113">
        <f t="shared" si="103"/>
        <v>0</v>
      </c>
      <c r="AT90" s="113">
        <f t="shared" si="103"/>
        <v>0</v>
      </c>
      <c r="AU90" s="113"/>
      <c r="AV90" s="113"/>
      <c r="AW90" s="113"/>
      <c r="AX90" s="113"/>
      <c r="AY90" s="113">
        <f t="shared" si="104"/>
        <v>0</v>
      </c>
      <c r="AZ90" s="113">
        <f t="shared" si="104"/>
        <v>0</v>
      </c>
      <c r="BA90" s="113"/>
      <c r="BB90" s="113"/>
      <c r="BC90" s="113"/>
      <c r="BD90" s="113"/>
      <c r="BE90" s="113">
        <f t="shared" si="105"/>
        <v>0</v>
      </c>
      <c r="BF90" s="113"/>
      <c r="BG90" s="113">
        <f t="shared" si="134"/>
        <v>0</v>
      </c>
      <c r="BH90" s="113"/>
      <c r="BI90" s="113"/>
      <c r="BJ90" s="113"/>
      <c r="BK90" s="113"/>
      <c r="BL90" s="113">
        <f t="shared" si="106"/>
        <v>0</v>
      </c>
      <c r="BM90" s="113"/>
      <c r="BN90" s="113">
        <f t="shared" si="135"/>
        <v>0</v>
      </c>
      <c r="BO90" s="113"/>
      <c r="BP90" s="113"/>
      <c r="BQ90" s="113"/>
      <c r="BR90" s="113"/>
      <c r="BS90" s="113">
        <f t="shared" si="107"/>
        <v>0</v>
      </c>
      <c r="BT90" s="113"/>
      <c r="BU90" s="113">
        <f t="shared" si="136"/>
        <v>0</v>
      </c>
      <c r="BV90" s="113"/>
      <c r="BW90" s="113"/>
      <c r="BX90" s="113"/>
      <c r="BY90" s="113"/>
      <c r="BZ90" s="113">
        <f t="shared" si="108"/>
        <v>0</v>
      </c>
      <c r="CA90" s="113"/>
      <c r="CB90" s="113">
        <f t="shared" si="109"/>
        <v>0</v>
      </c>
      <c r="CC90" s="113"/>
      <c r="CD90" s="113"/>
      <c r="CE90" s="113"/>
      <c r="CF90" s="113"/>
      <c r="CG90" s="113">
        <f t="shared" si="110"/>
        <v>0</v>
      </c>
      <c r="CH90" s="113">
        <f t="shared" si="111"/>
        <v>0</v>
      </c>
      <c r="CI90" s="113"/>
      <c r="CJ90" s="113"/>
      <c r="CK90" s="113"/>
      <c r="CL90" s="113"/>
      <c r="CM90" s="113">
        <f t="shared" si="112"/>
        <v>0</v>
      </c>
      <c r="CN90" s="113">
        <f t="shared" si="112"/>
        <v>0</v>
      </c>
      <c r="CO90" s="113"/>
      <c r="CP90" s="113"/>
      <c r="CQ90" s="113"/>
      <c r="CR90" s="113"/>
      <c r="CS90" s="113">
        <f t="shared" si="113"/>
        <v>0</v>
      </c>
      <c r="CT90" s="113">
        <f t="shared" si="113"/>
        <v>0</v>
      </c>
      <c r="CU90" s="113"/>
      <c r="CV90" s="113"/>
      <c r="CW90" s="113"/>
      <c r="CX90" s="113"/>
      <c r="CY90" s="113">
        <f t="shared" si="114"/>
        <v>0</v>
      </c>
      <c r="CZ90" s="113">
        <f t="shared" si="114"/>
        <v>0</v>
      </c>
      <c r="DA90" s="113"/>
      <c r="DB90" s="113"/>
      <c r="DC90" s="113"/>
      <c r="DD90" s="113"/>
      <c r="DE90" s="113">
        <f t="shared" si="115"/>
        <v>0</v>
      </c>
      <c r="DF90" s="113">
        <f t="shared" si="115"/>
        <v>0</v>
      </c>
      <c r="DG90" s="113"/>
      <c r="DH90" s="113"/>
      <c r="DI90" s="113"/>
      <c r="DJ90" s="113"/>
      <c r="DK90" s="113">
        <f t="shared" si="116"/>
        <v>0</v>
      </c>
      <c r="DL90" s="113">
        <f t="shared" si="116"/>
        <v>0</v>
      </c>
      <c r="DM90" s="113">
        <f t="shared" si="117"/>
        <v>0</v>
      </c>
      <c r="DN90" s="113">
        <f t="shared" si="118"/>
        <v>0</v>
      </c>
      <c r="DO90" s="113">
        <f t="shared" si="119"/>
        <v>0</v>
      </c>
      <c r="DP90" s="113">
        <f t="shared" si="120"/>
        <v>0</v>
      </c>
      <c r="DQ90" s="113">
        <f t="shared" si="121"/>
        <v>0</v>
      </c>
      <c r="DR90" s="113">
        <f t="shared" si="121"/>
        <v>0</v>
      </c>
    </row>
    <row r="91" spans="1:122">
      <c r="A91" s="15">
        <v>83</v>
      </c>
      <c r="B91" s="96" t="s">
        <v>747</v>
      </c>
      <c r="C91" s="187" t="s">
        <v>1079</v>
      </c>
      <c r="D91" s="96" t="s">
        <v>1080</v>
      </c>
      <c r="E91" s="185" t="s">
        <v>1165</v>
      </c>
      <c r="F91" s="161">
        <f t="shared" si="130"/>
        <v>0</v>
      </c>
      <c r="G91" s="161">
        <f t="shared" si="122"/>
        <v>0</v>
      </c>
      <c r="H91" s="161">
        <f t="shared" si="123"/>
        <v>0</v>
      </c>
      <c r="I91" s="161">
        <f t="shared" si="124"/>
        <v>0</v>
      </c>
      <c r="J91" s="165">
        <f t="shared" si="98"/>
        <v>804</v>
      </c>
      <c r="K91" s="115">
        <v>85897</v>
      </c>
      <c r="L91" s="211">
        <v>804</v>
      </c>
      <c r="M91" s="211">
        <v>0</v>
      </c>
      <c r="N91" s="127">
        <f t="shared" si="131"/>
        <v>0</v>
      </c>
      <c r="O91" s="127">
        <f t="shared" si="132"/>
        <v>0</v>
      </c>
      <c r="P91" s="127">
        <f t="shared" si="133"/>
        <v>804</v>
      </c>
      <c r="Q91" s="131">
        <f t="shared" si="125"/>
        <v>0</v>
      </c>
      <c r="R91" s="125" t="str">
        <f t="shared" si="99"/>
        <v>მიმდინარეობს</v>
      </c>
      <c r="S91" s="113">
        <v>0</v>
      </c>
      <c r="T91" s="113"/>
      <c r="U91" s="113">
        <f t="shared" si="126"/>
        <v>804</v>
      </c>
      <c r="V91" s="113">
        <f t="shared" si="127"/>
        <v>0</v>
      </c>
      <c r="W91" s="113">
        <v>0</v>
      </c>
      <c r="X91" s="113">
        <v>0</v>
      </c>
      <c r="Y91" s="113">
        <v>0</v>
      </c>
      <c r="Z91" s="113">
        <v>0</v>
      </c>
      <c r="AA91" s="113">
        <f t="shared" si="137"/>
        <v>0</v>
      </c>
      <c r="AB91" s="113">
        <f t="shared" si="137"/>
        <v>0</v>
      </c>
      <c r="AC91" s="113"/>
      <c r="AD91" s="113"/>
      <c r="AE91" s="113"/>
      <c r="AF91" s="113"/>
      <c r="AG91" s="113">
        <f t="shared" si="100"/>
        <v>0</v>
      </c>
      <c r="AH91" s="113">
        <f t="shared" si="100"/>
        <v>0</v>
      </c>
      <c r="AI91" s="114">
        <f t="shared" si="128"/>
        <v>0</v>
      </c>
      <c r="AJ91" s="114">
        <f t="shared" si="101"/>
        <v>0</v>
      </c>
      <c r="AK91" s="114">
        <f t="shared" si="101"/>
        <v>0</v>
      </c>
      <c r="AL91" s="114">
        <f t="shared" si="129"/>
        <v>0</v>
      </c>
      <c r="AM91" s="113">
        <f t="shared" si="102"/>
        <v>0</v>
      </c>
      <c r="AN91" s="113">
        <f t="shared" si="102"/>
        <v>0</v>
      </c>
      <c r="AO91" s="113"/>
      <c r="AP91" s="113"/>
      <c r="AQ91" s="113"/>
      <c r="AR91" s="113"/>
      <c r="AS91" s="113">
        <f t="shared" si="103"/>
        <v>0</v>
      </c>
      <c r="AT91" s="113">
        <f t="shared" si="103"/>
        <v>0</v>
      </c>
      <c r="AU91" s="113"/>
      <c r="AV91" s="113"/>
      <c r="AW91" s="113"/>
      <c r="AX91" s="113"/>
      <c r="AY91" s="113">
        <f t="shared" si="104"/>
        <v>0</v>
      </c>
      <c r="AZ91" s="113">
        <f t="shared" si="104"/>
        <v>0</v>
      </c>
      <c r="BA91" s="113"/>
      <c r="BB91" s="113"/>
      <c r="BC91" s="113"/>
      <c r="BD91" s="113"/>
      <c r="BE91" s="113">
        <f t="shared" si="105"/>
        <v>0</v>
      </c>
      <c r="BF91" s="113"/>
      <c r="BG91" s="113">
        <f t="shared" si="134"/>
        <v>0</v>
      </c>
      <c r="BH91" s="113"/>
      <c r="BI91" s="113"/>
      <c r="BJ91" s="113"/>
      <c r="BK91" s="113"/>
      <c r="BL91" s="113">
        <f t="shared" si="106"/>
        <v>0</v>
      </c>
      <c r="BM91" s="113"/>
      <c r="BN91" s="113">
        <f t="shared" si="135"/>
        <v>0</v>
      </c>
      <c r="BO91" s="113"/>
      <c r="BP91" s="113"/>
      <c r="BQ91" s="113"/>
      <c r="BR91" s="113"/>
      <c r="BS91" s="113">
        <f t="shared" si="107"/>
        <v>0</v>
      </c>
      <c r="BT91" s="113"/>
      <c r="BU91" s="113">
        <f t="shared" si="136"/>
        <v>0</v>
      </c>
      <c r="BV91" s="113"/>
      <c r="BW91" s="113"/>
      <c r="BX91" s="113"/>
      <c r="BY91" s="113"/>
      <c r="BZ91" s="113">
        <f t="shared" si="108"/>
        <v>0</v>
      </c>
      <c r="CA91" s="113"/>
      <c r="CB91" s="113">
        <f t="shared" si="109"/>
        <v>0</v>
      </c>
      <c r="CC91" s="113"/>
      <c r="CD91" s="113"/>
      <c r="CE91" s="113"/>
      <c r="CF91" s="113"/>
      <c r="CG91" s="113">
        <f t="shared" si="110"/>
        <v>0</v>
      </c>
      <c r="CH91" s="113">
        <f t="shared" si="111"/>
        <v>0</v>
      </c>
      <c r="CI91" s="113"/>
      <c r="CJ91" s="113"/>
      <c r="CK91" s="113"/>
      <c r="CL91" s="113"/>
      <c r="CM91" s="113">
        <f t="shared" si="112"/>
        <v>0</v>
      </c>
      <c r="CN91" s="113">
        <f t="shared" si="112"/>
        <v>0</v>
      </c>
      <c r="CO91" s="113"/>
      <c r="CP91" s="113"/>
      <c r="CQ91" s="113"/>
      <c r="CR91" s="113"/>
      <c r="CS91" s="113">
        <f t="shared" si="113"/>
        <v>0</v>
      </c>
      <c r="CT91" s="113">
        <f t="shared" si="113"/>
        <v>0</v>
      </c>
      <c r="CU91" s="113"/>
      <c r="CV91" s="113"/>
      <c r="CW91" s="113"/>
      <c r="CX91" s="113"/>
      <c r="CY91" s="113">
        <f t="shared" si="114"/>
        <v>0</v>
      </c>
      <c r="CZ91" s="113">
        <f t="shared" si="114"/>
        <v>0</v>
      </c>
      <c r="DA91" s="113"/>
      <c r="DB91" s="113"/>
      <c r="DC91" s="113"/>
      <c r="DD91" s="113"/>
      <c r="DE91" s="113">
        <f t="shared" si="115"/>
        <v>0</v>
      </c>
      <c r="DF91" s="113">
        <f t="shared" si="115"/>
        <v>0</v>
      </c>
      <c r="DG91" s="113"/>
      <c r="DH91" s="113"/>
      <c r="DI91" s="113"/>
      <c r="DJ91" s="113"/>
      <c r="DK91" s="113">
        <f t="shared" si="116"/>
        <v>0</v>
      </c>
      <c r="DL91" s="113">
        <f t="shared" si="116"/>
        <v>0</v>
      </c>
      <c r="DM91" s="113">
        <f t="shared" si="117"/>
        <v>0</v>
      </c>
      <c r="DN91" s="113">
        <f t="shared" si="118"/>
        <v>0</v>
      </c>
      <c r="DO91" s="113">
        <f t="shared" si="119"/>
        <v>0</v>
      </c>
      <c r="DP91" s="113">
        <f t="shared" si="120"/>
        <v>0</v>
      </c>
      <c r="DQ91" s="113">
        <f t="shared" si="121"/>
        <v>0</v>
      </c>
      <c r="DR91" s="113">
        <f t="shared" si="121"/>
        <v>0</v>
      </c>
    </row>
    <row r="92" spans="1:122">
      <c r="A92" s="15">
        <v>84</v>
      </c>
      <c r="B92" s="96" t="s">
        <v>747</v>
      </c>
      <c r="C92" s="96" t="s">
        <v>78</v>
      </c>
      <c r="D92" s="96" t="s">
        <v>1081</v>
      </c>
      <c r="E92" s="185" t="s">
        <v>1164</v>
      </c>
      <c r="F92" s="161">
        <f t="shared" si="130"/>
        <v>0</v>
      </c>
      <c r="G92" s="161">
        <f t="shared" si="122"/>
        <v>0</v>
      </c>
      <c r="H92" s="161">
        <f t="shared" si="123"/>
        <v>0</v>
      </c>
      <c r="I92" s="161">
        <f t="shared" si="124"/>
        <v>0</v>
      </c>
      <c r="J92" s="165">
        <f t="shared" si="98"/>
        <v>12862.85</v>
      </c>
      <c r="K92" s="115"/>
      <c r="L92" s="211">
        <v>0</v>
      </c>
      <c r="M92" s="211">
        <v>0</v>
      </c>
      <c r="N92" s="127">
        <f t="shared" si="131"/>
        <v>12862.85</v>
      </c>
      <c r="O92" s="127">
        <f t="shared" si="132"/>
        <v>12862.85</v>
      </c>
      <c r="P92" s="127">
        <f t="shared" si="133"/>
        <v>12862.85</v>
      </c>
      <c r="Q92" s="131">
        <f t="shared" si="125"/>
        <v>0</v>
      </c>
      <c r="R92" s="125">
        <f t="shared" si="99"/>
        <v>12862.85</v>
      </c>
      <c r="S92" s="113">
        <v>0</v>
      </c>
      <c r="T92" s="113">
        <v>12862.85</v>
      </c>
      <c r="U92" s="113">
        <f t="shared" si="126"/>
        <v>0</v>
      </c>
      <c r="V92" s="113">
        <f t="shared" si="127"/>
        <v>12862.85</v>
      </c>
      <c r="W92" s="113">
        <v>0</v>
      </c>
      <c r="X92" s="113">
        <v>0</v>
      </c>
      <c r="Y92" s="113">
        <v>0</v>
      </c>
      <c r="Z92" s="113">
        <v>0</v>
      </c>
      <c r="AA92" s="113">
        <f t="shared" si="137"/>
        <v>0</v>
      </c>
      <c r="AB92" s="113">
        <f t="shared" si="137"/>
        <v>0</v>
      </c>
      <c r="AC92" s="113"/>
      <c r="AD92" s="113"/>
      <c r="AE92" s="113"/>
      <c r="AF92" s="113"/>
      <c r="AG92" s="113">
        <f t="shared" si="100"/>
        <v>0</v>
      </c>
      <c r="AH92" s="113">
        <f t="shared" si="100"/>
        <v>0</v>
      </c>
      <c r="AI92" s="114">
        <f t="shared" si="128"/>
        <v>0</v>
      </c>
      <c r="AJ92" s="114">
        <f t="shared" si="101"/>
        <v>0</v>
      </c>
      <c r="AK92" s="114">
        <f t="shared" si="101"/>
        <v>12862.85</v>
      </c>
      <c r="AL92" s="114">
        <f t="shared" si="129"/>
        <v>12862.85</v>
      </c>
      <c r="AM92" s="113">
        <f t="shared" si="102"/>
        <v>12862.85</v>
      </c>
      <c r="AN92" s="113">
        <f t="shared" si="102"/>
        <v>12862.85</v>
      </c>
      <c r="AO92" s="113"/>
      <c r="AP92" s="113"/>
      <c r="AQ92" s="113"/>
      <c r="AR92" s="113"/>
      <c r="AS92" s="113">
        <f t="shared" si="103"/>
        <v>0</v>
      </c>
      <c r="AT92" s="113">
        <f t="shared" si="103"/>
        <v>0</v>
      </c>
      <c r="AU92" s="113"/>
      <c r="AV92" s="113"/>
      <c r="AW92" s="113"/>
      <c r="AX92" s="113"/>
      <c r="AY92" s="113">
        <f t="shared" si="104"/>
        <v>0</v>
      </c>
      <c r="AZ92" s="113">
        <f t="shared" si="104"/>
        <v>0</v>
      </c>
      <c r="BA92" s="113"/>
      <c r="BB92" s="113"/>
      <c r="BC92" s="113"/>
      <c r="BD92" s="113"/>
      <c r="BE92" s="113">
        <f t="shared" si="105"/>
        <v>0</v>
      </c>
      <c r="BF92" s="113"/>
      <c r="BG92" s="113">
        <f t="shared" si="134"/>
        <v>0</v>
      </c>
      <c r="BH92" s="113"/>
      <c r="BI92" s="113"/>
      <c r="BJ92" s="113"/>
      <c r="BK92" s="113"/>
      <c r="BL92" s="113">
        <f t="shared" si="106"/>
        <v>0</v>
      </c>
      <c r="BM92" s="113"/>
      <c r="BN92" s="113">
        <f t="shared" si="135"/>
        <v>0</v>
      </c>
      <c r="BO92" s="113"/>
      <c r="BP92" s="113"/>
      <c r="BQ92" s="113"/>
      <c r="BR92" s="113"/>
      <c r="BS92" s="113">
        <f t="shared" si="107"/>
        <v>0</v>
      </c>
      <c r="BT92" s="113"/>
      <c r="BU92" s="113">
        <f t="shared" si="136"/>
        <v>0</v>
      </c>
      <c r="BV92" s="113"/>
      <c r="BW92" s="113"/>
      <c r="BX92" s="113"/>
      <c r="BY92" s="113"/>
      <c r="BZ92" s="113">
        <f t="shared" si="108"/>
        <v>0</v>
      </c>
      <c r="CA92" s="113"/>
      <c r="CB92" s="113">
        <f t="shared" si="109"/>
        <v>0</v>
      </c>
      <c r="CC92" s="113"/>
      <c r="CD92" s="113"/>
      <c r="CE92" s="113"/>
      <c r="CF92" s="113"/>
      <c r="CG92" s="113">
        <f t="shared" si="110"/>
        <v>0</v>
      </c>
      <c r="CH92" s="113">
        <f t="shared" si="111"/>
        <v>0</v>
      </c>
      <c r="CI92" s="113"/>
      <c r="CJ92" s="113"/>
      <c r="CK92" s="113"/>
      <c r="CL92" s="113"/>
      <c r="CM92" s="113">
        <f t="shared" si="112"/>
        <v>0</v>
      </c>
      <c r="CN92" s="113">
        <f t="shared" si="112"/>
        <v>0</v>
      </c>
      <c r="CO92" s="113"/>
      <c r="CP92" s="113"/>
      <c r="CQ92" s="113"/>
      <c r="CR92" s="113"/>
      <c r="CS92" s="113">
        <f t="shared" si="113"/>
        <v>0</v>
      </c>
      <c r="CT92" s="113">
        <f t="shared" si="113"/>
        <v>0</v>
      </c>
      <c r="CU92" s="113"/>
      <c r="CV92" s="113"/>
      <c r="CW92" s="113"/>
      <c r="CX92" s="113"/>
      <c r="CY92" s="113">
        <f t="shared" si="114"/>
        <v>0</v>
      </c>
      <c r="CZ92" s="113">
        <f t="shared" si="114"/>
        <v>0</v>
      </c>
      <c r="DA92" s="113"/>
      <c r="DB92" s="113"/>
      <c r="DC92" s="113"/>
      <c r="DD92" s="113"/>
      <c r="DE92" s="113">
        <f t="shared" si="115"/>
        <v>0</v>
      </c>
      <c r="DF92" s="113">
        <f t="shared" si="115"/>
        <v>0</v>
      </c>
      <c r="DG92" s="113"/>
      <c r="DH92" s="113"/>
      <c r="DI92" s="113"/>
      <c r="DJ92" s="113"/>
      <c r="DK92" s="113">
        <f t="shared" si="116"/>
        <v>0</v>
      </c>
      <c r="DL92" s="113">
        <f t="shared" si="116"/>
        <v>0</v>
      </c>
      <c r="DM92" s="113">
        <f t="shared" si="117"/>
        <v>0</v>
      </c>
      <c r="DN92" s="113">
        <f t="shared" si="118"/>
        <v>0</v>
      </c>
      <c r="DO92" s="113">
        <f t="shared" si="119"/>
        <v>0</v>
      </c>
      <c r="DP92" s="113">
        <f t="shared" si="120"/>
        <v>0</v>
      </c>
      <c r="DQ92" s="113">
        <f t="shared" si="121"/>
        <v>0</v>
      </c>
      <c r="DR92" s="113">
        <f t="shared" si="121"/>
        <v>0</v>
      </c>
    </row>
    <row r="93" spans="1:122">
      <c r="A93" s="15">
        <v>85</v>
      </c>
      <c r="B93" s="96" t="s">
        <v>747</v>
      </c>
      <c r="C93" s="96" t="s">
        <v>1082</v>
      </c>
      <c r="D93" s="96" t="s">
        <v>1083</v>
      </c>
      <c r="E93" s="185" t="s">
        <v>1164</v>
      </c>
      <c r="F93" s="161">
        <f t="shared" si="130"/>
        <v>0</v>
      </c>
      <c r="G93" s="161">
        <f t="shared" si="122"/>
        <v>0</v>
      </c>
      <c r="H93" s="161">
        <f t="shared" si="123"/>
        <v>0</v>
      </c>
      <c r="I93" s="161">
        <f t="shared" si="124"/>
        <v>0</v>
      </c>
      <c r="J93" s="165">
        <f t="shared" si="98"/>
        <v>32999.75</v>
      </c>
      <c r="K93" s="115"/>
      <c r="L93" s="211">
        <v>0</v>
      </c>
      <c r="M93" s="211">
        <v>0</v>
      </c>
      <c r="N93" s="127">
        <f t="shared" si="131"/>
        <v>32999.75</v>
      </c>
      <c r="O93" s="127">
        <f t="shared" si="132"/>
        <v>32999.75</v>
      </c>
      <c r="P93" s="127">
        <f t="shared" si="133"/>
        <v>32999.75</v>
      </c>
      <c r="Q93" s="131">
        <f t="shared" si="125"/>
        <v>0</v>
      </c>
      <c r="R93" s="125">
        <f t="shared" si="99"/>
        <v>32999.75</v>
      </c>
      <c r="S93" s="113">
        <v>0</v>
      </c>
      <c r="T93" s="113">
        <v>32999.75</v>
      </c>
      <c r="U93" s="113">
        <f t="shared" si="126"/>
        <v>0</v>
      </c>
      <c r="V93" s="113">
        <f t="shared" si="127"/>
        <v>32999.75</v>
      </c>
      <c r="W93" s="113">
        <v>0</v>
      </c>
      <c r="X93" s="113">
        <v>0</v>
      </c>
      <c r="Y93" s="113">
        <v>0</v>
      </c>
      <c r="Z93" s="113">
        <v>0</v>
      </c>
      <c r="AA93" s="113">
        <f t="shared" si="137"/>
        <v>0</v>
      </c>
      <c r="AB93" s="113">
        <f t="shared" si="137"/>
        <v>0</v>
      </c>
      <c r="AC93" s="113"/>
      <c r="AD93" s="113"/>
      <c r="AE93" s="113"/>
      <c r="AF93" s="113"/>
      <c r="AG93" s="113">
        <f t="shared" si="100"/>
        <v>0</v>
      </c>
      <c r="AH93" s="113">
        <f t="shared" si="100"/>
        <v>0</v>
      </c>
      <c r="AI93" s="114">
        <f t="shared" si="128"/>
        <v>0</v>
      </c>
      <c r="AJ93" s="114">
        <f t="shared" si="101"/>
        <v>0</v>
      </c>
      <c r="AK93" s="114">
        <f t="shared" si="101"/>
        <v>32999.75</v>
      </c>
      <c r="AL93" s="114">
        <f t="shared" si="129"/>
        <v>32999.75</v>
      </c>
      <c r="AM93" s="113">
        <f t="shared" si="102"/>
        <v>32999.75</v>
      </c>
      <c r="AN93" s="113">
        <f t="shared" si="102"/>
        <v>32999.75</v>
      </c>
      <c r="AO93" s="113"/>
      <c r="AP93" s="113"/>
      <c r="AQ93" s="113"/>
      <c r="AR93" s="113"/>
      <c r="AS93" s="113">
        <f t="shared" si="103"/>
        <v>0</v>
      </c>
      <c r="AT93" s="113">
        <f t="shared" si="103"/>
        <v>0</v>
      </c>
      <c r="AU93" s="113"/>
      <c r="AV93" s="113"/>
      <c r="AW93" s="113"/>
      <c r="AX93" s="113"/>
      <c r="AY93" s="113">
        <f t="shared" si="104"/>
        <v>0</v>
      </c>
      <c r="AZ93" s="113">
        <f t="shared" si="104"/>
        <v>0</v>
      </c>
      <c r="BA93" s="113"/>
      <c r="BB93" s="113"/>
      <c r="BC93" s="113"/>
      <c r="BD93" s="113"/>
      <c r="BE93" s="113">
        <f t="shared" si="105"/>
        <v>0</v>
      </c>
      <c r="BF93" s="113"/>
      <c r="BG93" s="113">
        <f t="shared" si="134"/>
        <v>0</v>
      </c>
      <c r="BH93" s="113"/>
      <c r="BI93" s="113"/>
      <c r="BJ93" s="113"/>
      <c r="BK93" s="113"/>
      <c r="BL93" s="113">
        <f t="shared" si="106"/>
        <v>0</v>
      </c>
      <c r="BM93" s="113"/>
      <c r="BN93" s="113">
        <f t="shared" si="135"/>
        <v>0</v>
      </c>
      <c r="BO93" s="113"/>
      <c r="BP93" s="113"/>
      <c r="BQ93" s="113"/>
      <c r="BR93" s="113"/>
      <c r="BS93" s="113">
        <f t="shared" si="107"/>
        <v>0</v>
      </c>
      <c r="BT93" s="113"/>
      <c r="BU93" s="113">
        <f t="shared" si="136"/>
        <v>0</v>
      </c>
      <c r="BV93" s="113"/>
      <c r="BW93" s="113"/>
      <c r="BX93" s="113"/>
      <c r="BY93" s="113"/>
      <c r="BZ93" s="113">
        <f t="shared" si="108"/>
        <v>0</v>
      </c>
      <c r="CA93" s="113"/>
      <c r="CB93" s="113">
        <f t="shared" si="109"/>
        <v>0</v>
      </c>
      <c r="CC93" s="113"/>
      <c r="CD93" s="113"/>
      <c r="CE93" s="113"/>
      <c r="CF93" s="113"/>
      <c r="CG93" s="113">
        <f t="shared" si="110"/>
        <v>0</v>
      </c>
      <c r="CH93" s="113">
        <f t="shared" si="111"/>
        <v>0</v>
      </c>
      <c r="CI93" s="113"/>
      <c r="CJ93" s="113"/>
      <c r="CK93" s="113"/>
      <c r="CL93" s="113"/>
      <c r="CM93" s="113">
        <f t="shared" si="112"/>
        <v>0</v>
      </c>
      <c r="CN93" s="113">
        <f t="shared" si="112"/>
        <v>0</v>
      </c>
      <c r="CO93" s="113"/>
      <c r="CP93" s="113"/>
      <c r="CQ93" s="113"/>
      <c r="CR93" s="113"/>
      <c r="CS93" s="113">
        <f t="shared" si="113"/>
        <v>0</v>
      </c>
      <c r="CT93" s="113">
        <f t="shared" si="113"/>
        <v>0</v>
      </c>
      <c r="CU93" s="113"/>
      <c r="CV93" s="113"/>
      <c r="CW93" s="113"/>
      <c r="CX93" s="113"/>
      <c r="CY93" s="113">
        <f t="shared" si="114"/>
        <v>0</v>
      </c>
      <c r="CZ93" s="113">
        <f t="shared" si="114"/>
        <v>0</v>
      </c>
      <c r="DA93" s="113"/>
      <c r="DB93" s="113"/>
      <c r="DC93" s="113"/>
      <c r="DD93" s="113"/>
      <c r="DE93" s="113">
        <f t="shared" si="115"/>
        <v>0</v>
      </c>
      <c r="DF93" s="113">
        <f t="shared" si="115"/>
        <v>0</v>
      </c>
      <c r="DG93" s="113"/>
      <c r="DH93" s="113"/>
      <c r="DI93" s="113"/>
      <c r="DJ93" s="113"/>
      <c r="DK93" s="113">
        <f t="shared" si="116"/>
        <v>0</v>
      </c>
      <c r="DL93" s="113">
        <f t="shared" si="116"/>
        <v>0</v>
      </c>
      <c r="DM93" s="113">
        <f t="shared" si="117"/>
        <v>0</v>
      </c>
      <c r="DN93" s="113">
        <f t="shared" si="118"/>
        <v>0</v>
      </c>
      <c r="DO93" s="113">
        <f t="shared" si="119"/>
        <v>0</v>
      </c>
      <c r="DP93" s="113">
        <f t="shared" si="120"/>
        <v>0</v>
      </c>
      <c r="DQ93" s="113">
        <f t="shared" si="121"/>
        <v>0</v>
      </c>
      <c r="DR93" s="113">
        <f t="shared" si="121"/>
        <v>0</v>
      </c>
    </row>
    <row r="94" spans="1:122">
      <c r="A94" s="15">
        <v>86</v>
      </c>
      <c r="B94" s="96" t="s">
        <v>747</v>
      </c>
      <c r="C94" s="187" t="s">
        <v>1082</v>
      </c>
      <c r="D94" s="96" t="s">
        <v>1084</v>
      </c>
      <c r="E94" s="185" t="s">
        <v>1165</v>
      </c>
      <c r="F94" s="161">
        <f t="shared" si="130"/>
        <v>200000</v>
      </c>
      <c r="G94" s="161">
        <f t="shared" si="122"/>
        <v>184981.66</v>
      </c>
      <c r="H94" s="161">
        <f t="shared" si="123"/>
        <v>15018.339999999997</v>
      </c>
      <c r="I94" s="161">
        <f t="shared" si="124"/>
        <v>0</v>
      </c>
      <c r="J94" s="165">
        <f t="shared" si="98"/>
        <v>950000</v>
      </c>
      <c r="K94" s="115">
        <v>253373.8</v>
      </c>
      <c r="L94" s="211">
        <v>0</v>
      </c>
      <c r="M94" s="211">
        <v>0</v>
      </c>
      <c r="N94" s="127">
        <f t="shared" si="131"/>
        <v>750000</v>
      </c>
      <c r="O94" s="127">
        <f t="shared" si="132"/>
        <v>0</v>
      </c>
      <c r="P94" s="127">
        <f t="shared" si="133"/>
        <v>750000</v>
      </c>
      <c r="Q94" s="131">
        <f t="shared" si="125"/>
        <v>200000</v>
      </c>
      <c r="R94" s="125" t="str">
        <f t="shared" si="99"/>
        <v>მიმდინარეობს</v>
      </c>
      <c r="S94" s="113">
        <v>750000</v>
      </c>
      <c r="T94" s="113"/>
      <c r="U94" s="113">
        <f t="shared" si="126"/>
        <v>750000</v>
      </c>
      <c r="V94" s="113">
        <f t="shared" si="127"/>
        <v>0</v>
      </c>
      <c r="W94" s="113">
        <v>0</v>
      </c>
      <c r="X94" s="113">
        <v>0</v>
      </c>
      <c r="Y94" s="113">
        <v>0</v>
      </c>
      <c r="Z94" s="113">
        <v>0</v>
      </c>
      <c r="AA94" s="113">
        <f t="shared" si="137"/>
        <v>0</v>
      </c>
      <c r="AB94" s="113">
        <f t="shared" si="137"/>
        <v>0</v>
      </c>
      <c r="AC94" s="113"/>
      <c r="AD94" s="113"/>
      <c r="AE94" s="113"/>
      <c r="AF94" s="113"/>
      <c r="AG94" s="113">
        <f t="shared" si="100"/>
        <v>0</v>
      </c>
      <c r="AH94" s="113">
        <f t="shared" si="100"/>
        <v>0</v>
      </c>
      <c r="AI94" s="114">
        <f t="shared" si="128"/>
        <v>750000</v>
      </c>
      <c r="AJ94" s="114">
        <f t="shared" si="101"/>
        <v>750000</v>
      </c>
      <c r="AK94" s="114">
        <f t="shared" si="101"/>
        <v>0</v>
      </c>
      <c r="AL94" s="114">
        <f t="shared" si="129"/>
        <v>0</v>
      </c>
      <c r="AM94" s="113">
        <f t="shared" si="102"/>
        <v>750000</v>
      </c>
      <c r="AN94" s="113">
        <f t="shared" si="102"/>
        <v>750000</v>
      </c>
      <c r="AO94" s="113"/>
      <c r="AP94" s="113"/>
      <c r="AQ94" s="113"/>
      <c r="AR94" s="113"/>
      <c r="AS94" s="113">
        <f t="shared" si="103"/>
        <v>0</v>
      </c>
      <c r="AT94" s="113">
        <f t="shared" si="103"/>
        <v>0</v>
      </c>
      <c r="AU94" s="113">
        <v>120000</v>
      </c>
      <c r="AV94" s="113">
        <v>180000</v>
      </c>
      <c r="AW94" s="113"/>
      <c r="AX94" s="113"/>
      <c r="AY94" s="113">
        <f t="shared" si="104"/>
        <v>120000</v>
      </c>
      <c r="AZ94" s="113">
        <f t="shared" si="104"/>
        <v>180000</v>
      </c>
      <c r="BA94" s="113"/>
      <c r="BB94" s="113"/>
      <c r="BC94" s="113">
        <v>80000</v>
      </c>
      <c r="BD94" s="113"/>
      <c r="BE94" s="113">
        <f t="shared" si="105"/>
        <v>80000</v>
      </c>
      <c r="BF94" s="113"/>
      <c r="BG94" s="113">
        <f t="shared" si="134"/>
        <v>0</v>
      </c>
      <c r="BH94" s="113"/>
      <c r="BI94" s="113"/>
      <c r="BJ94" s="113"/>
      <c r="BK94" s="113"/>
      <c r="BL94" s="113">
        <f t="shared" si="106"/>
        <v>0</v>
      </c>
      <c r="BM94" s="113"/>
      <c r="BN94" s="113">
        <f t="shared" si="135"/>
        <v>0</v>
      </c>
      <c r="BO94" s="113"/>
      <c r="BP94" s="113"/>
      <c r="BQ94" s="113"/>
      <c r="BR94" s="113"/>
      <c r="BS94" s="113">
        <f t="shared" si="107"/>
        <v>0</v>
      </c>
      <c r="BT94" s="113"/>
      <c r="BU94" s="113">
        <f t="shared" si="136"/>
        <v>0</v>
      </c>
      <c r="BV94" s="113"/>
      <c r="BW94" s="113"/>
      <c r="BX94" s="113"/>
      <c r="BY94" s="113"/>
      <c r="BZ94" s="113">
        <f t="shared" si="108"/>
        <v>0</v>
      </c>
      <c r="CA94" s="113"/>
      <c r="CB94" s="113">
        <f t="shared" si="109"/>
        <v>0</v>
      </c>
      <c r="CC94" s="113"/>
      <c r="CD94" s="113"/>
      <c r="CE94" s="113"/>
      <c r="CF94" s="113"/>
      <c r="CG94" s="113">
        <f t="shared" si="110"/>
        <v>0</v>
      </c>
      <c r="CH94" s="113">
        <f t="shared" si="111"/>
        <v>0</v>
      </c>
      <c r="CI94" s="113"/>
      <c r="CJ94" s="113"/>
      <c r="CK94" s="113"/>
      <c r="CL94" s="113"/>
      <c r="CM94" s="113">
        <f t="shared" si="112"/>
        <v>0</v>
      </c>
      <c r="CN94" s="113">
        <f t="shared" si="112"/>
        <v>0</v>
      </c>
      <c r="CO94" s="113"/>
      <c r="CP94" s="113"/>
      <c r="CQ94" s="113"/>
      <c r="CR94" s="113"/>
      <c r="CS94" s="113">
        <f t="shared" si="113"/>
        <v>0</v>
      </c>
      <c r="CT94" s="113">
        <f t="shared" si="113"/>
        <v>0</v>
      </c>
      <c r="CU94" s="113"/>
      <c r="CV94" s="113"/>
      <c r="CW94" s="113"/>
      <c r="CX94" s="113"/>
      <c r="CY94" s="113">
        <f t="shared" si="114"/>
        <v>0</v>
      </c>
      <c r="CZ94" s="113">
        <f t="shared" si="114"/>
        <v>0</v>
      </c>
      <c r="DA94" s="113"/>
      <c r="DB94" s="113">
        <v>4981.66</v>
      </c>
      <c r="DC94" s="113"/>
      <c r="DD94" s="113"/>
      <c r="DE94" s="113">
        <f t="shared" si="115"/>
        <v>0</v>
      </c>
      <c r="DF94" s="113">
        <f t="shared" si="115"/>
        <v>4981.66</v>
      </c>
      <c r="DG94" s="113"/>
      <c r="DH94" s="113"/>
      <c r="DI94" s="113"/>
      <c r="DJ94" s="113"/>
      <c r="DK94" s="113">
        <f t="shared" si="116"/>
        <v>0</v>
      </c>
      <c r="DL94" s="113">
        <f t="shared" si="116"/>
        <v>0</v>
      </c>
      <c r="DM94" s="113">
        <f t="shared" si="117"/>
        <v>120000</v>
      </c>
      <c r="DN94" s="113">
        <f t="shared" si="118"/>
        <v>184981.66</v>
      </c>
      <c r="DO94" s="113">
        <f t="shared" si="119"/>
        <v>80000</v>
      </c>
      <c r="DP94" s="113">
        <f t="shared" si="120"/>
        <v>0</v>
      </c>
      <c r="DQ94" s="113">
        <f t="shared" si="121"/>
        <v>200000</v>
      </c>
      <c r="DR94" s="113">
        <f t="shared" si="121"/>
        <v>184981.66</v>
      </c>
    </row>
    <row r="95" spans="1:122">
      <c r="A95" s="15">
        <v>87</v>
      </c>
      <c r="B95" s="96" t="s">
        <v>747</v>
      </c>
      <c r="C95" s="96" t="s">
        <v>1085</v>
      </c>
      <c r="D95" s="96" t="s">
        <v>1086</v>
      </c>
      <c r="E95" s="185" t="s">
        <v>1164</v>
      </c>
      <c r="F95" s="161">
        <f t="shared" si="130"/>
        <v>0</v>
      </c>
      <c r="G95" s="161">
        <f t="shared" si="122"/>
        <v>240000</v>
      </c>
      <c r="H95" s="161">
        <f t="shared" si="123"/>
        <v>-240000</v>
      </c>
      <c r="I95" s="161">
        <f t="shared" si="124"/>
        <v>0</v>
      </c>
      <c r="J95" s="165">
        <f t="shared" si="98"/>
        <v>7224</v>
      </c>
      <c r="K95" s="115"/>
      <c r="L95" s="211">
        <v>0</v>
      </c>
      <c r="M95" s="211">
        <v>0</v>
      </c>
      <c r="N95" s="127">
        <f t="shared" si="131"/>
        <v>7224</v>
      </c>
      <c r="O95" s="127">
        <f t="shared" si="132"/>
        <v>7224</v>
      </c>
      <c r="P95" s="127">
        <f t="shared" si="133"/>
        <v>7224</v>
      </c>
      <c r="Q95" s="131">
        <f t="shared" si="125"/>
        <v>0</v>
      </c>
      <c r="R95" s="125">
        <f t="shared" si="99"/>
        <v>7224</v>
      </c>
      <c r="S95" s="113">
        <v>0</v>
      </c>
      <c r="T95" s="113">
        <v>7224</v>
      </c>
      <c r="U95" s="113">
        <f t="shared" si="126"/>
        <v>0</v>
      </c>
      <c r="V95" s="113">
        <f t="shared" si="127"/>
        <v>7224</v>
      </c>
      <c r="W95" s="113">
        <v>0</v>
      </c>
      <c r="X95" s="113">
        <v>0</v>
      </c>
      <c r="Y95" s="113">
        <v>0</v>
      </c>
      <c r="Z95" s="113">
        <v>0</v>
      </c>
      <c r="AA95" s="113">
        <f t="shared" si="137"/>
        <v>0</v>
      </c>
      <c r="AB95" s="113">
        <f t="shared" si="137"/>
        <v>0</v>
      </c>
      <c r="AC95" s="113"/>
      <c r="AD95" s="113"/>
      <c r="AE95" s="113"/>
      <c r="AF95" s="113"/>
      <c r="AG95" s="113">
        <f t="shared" si="100"/>
        <v>0</v>
      </c>
      <c r="AH95" s="113">
        <f t="shared" si="100"/>
        <v>0</v>
      </c>
      <c r="AI95" s="114">
        <f t="shared" si="128"/>
        <v>0</v>
      </c>
      <c r="AJ95" s="114">
        <f t="shared" si="101"/>
        <v>0</v>
      </c>
      <c r="AK95" s="114">
        <f t="shared" si="101"/>
        <v>7224</v>
      </c>
      <c r="AL95" s="114">
        <f t="shared" si="129"/>
        <v>7224</v>
      </c>
      <c r="AM95" s="113">
        <f t="shared" si="102"/>
        <v>7224</v>
      </c>
      <c r="AN95" s="113">
        <f t="shared" si="102"/>
        <v>7224</v>
      </c>
      <c r="AO95" s="113"/>
      <c r="AP95" s="113"/>
      <c r="AQ95" s="113"/>
      <c r="AR95" s="113"/>
      <c r="AS95" s="113">
        <f t="shared" si="103"/>
        <v>0</v>
      </c>
      <c r="AT95" s="113">
        <f t="shared" si="103"/>
        <v>0</v>
      </c>
      <c r="AU95" s="113"/>
      <c r="AV95" s="113"/>
      <c r="AW95" s="113"/>
      <c r="AX95" s="113"/>
      <c r="AY95" s="113">
        <f t="shared" si="104"/>
        <v>0</v>
      </c>
      <c r="AZ95" s="113">
        <f t="shared" si="104"/>
        <v>0</v>
      </c>
      <c r="BA95" s="113"/>
      <c r="BB95" s="113"/>
      <c r="BC95" s="113"/>
      <c r="BD95" s="113"/>
      <c r="BE95" s="113">
        <f t="shared" si="105"/>
        <v>0</v>
      </c>
      <c r="BF95" s="113"/>
      <c r="BG95" s="113">
        <f t="shared" si="134"/>
        <v>0</v>
      </c>
      <c r="BH95" s="113"/>
      <c r="BI95" s="113"/>
      <c r="BJ95" s="113"/>
      <c r="BK95" s="113"/>
      <c r="BL95" s="113">
        <f t="shared" si="106"/>
        <v>0</v>
      </c>
      <c r="BM95" s="113"/>
      <c r="BN95" s="113">
        <f t="shared" si="135"/>
        <v>0</v>
      </c>
      <c r="BO95" s="113"/>
      <c r="BP95" s="113"/>
      <c r="BQ95" s="113"/>
      <c r="BR95" s="113"/>
      <c r="BS95" s="113">
        <f t="shared" si="107"/>
        <v>0</v>
      </c>
      <c r="BT95" s="113"/>
      <c r="BU95" s="113">
        <f t="shared" si="136"/>
        <v>0</v>
      </c>
      <c r="BV95" s="113"/>
      <c r="BW95" s="113"/>
      <c r="BX95" s="113"/>
      <c r="BY95" s="113"/>
      <c r="BZ95" s="113">
        <f t="shared" si="108"/>
        <v>0</v>
      </c>
      <c r="CA95" s="113"/>
      <c r="CB95" s="113">
        <f t="shared" si="109"/>
        <v>0</v>
      </c>
      <c r="CC95" s="113"/>
      <c r="CD95" s="113"/>
      <c r="CE95" s="113"/>
      <c r="CF95" s="113"/>
      <c r="CG95" s="113">
        <f t="shared" si="110"/>
        <v>0</v>
      </c>
      <c r="CH95" s="113">
        <f t="shared" si="111"/>
        <v>0</v>
      </c>
      <c r="CI95" s="113"/>
      <c r="CJ95" s="113"/>
      <c r="CK95" s="113"/>
      <c r="CL95" s="113"/>
      <c r="CM95" s="113">
        <f t="shared" si="112"/>
        <v>0</v>
      </c>
      <c r="CN95" s="113">
        <f t="shared" si="112"/>
        <v>0</v>
      </c>
      <c r="CO95" s="113"/>
      <c r="CP95" s="113"/>
      <c r="CQ95" s="113"/>
      <c r="CR95" s="113"/>
      <c r="CS95" s="113">
        <f t="shared" si="113"/>
        <v>0</v>
      </c>
      <c r="CT95" s="113">
        <f t="shared" si="113"/>
        <v>0</v>
      </c>
      <c r="CU95" s="113"/>
      <c r="CV95" s="113"/>
      <c r="CW95" s="113"/>
      <c r="CX95" s="113"/>
      <c r="CY95" s="113">
        <f t="shared" si="114"/>
        <v>0</v>
      </c>
      <c r="CZ95" s="113">
        <f t="shared" si="114"/>
        <v>0</v>
      </c>
      <c r="DA95" s="113"/>
      <c r="DB95" s="113">
        <v>240000</v>
      </c>
      <c r="DC95" s="113"/>
      <c r="DD95" s="113"/>
      <c r="DE95" s="113">
        <f t="shared" si="115"/>
        <v>0</v>
      </c>
      <c r="DF95" s="113">
        <f t="shared" si="115"/>
        <v>240000</v>
      </c>
      <c r="DG95" s="113"/>
      <c r="DH95" s="113"/>
      <c r="DI95" s="113"/>
      <c r="DJ95" s="113"/>
      <c r="DK95" s="113">
        <f t="shared" si="116"/>
        <v>0</v>
      </c>
      <c r="DL95" s="113">
        <f t="shared" si="116"/>
        <v>0</v>
      </c>
      <c r="DM95" s="113">
        <f t="shared" si="117"/>
        <v>0</v>
      </c>
      <c r="DN95" s="113">
        <f t="shared" si="118"/>
        <v>240000</v>
      </c>
      <c r="DO95" s="113">
        <f t="shared" si="119"/>
        <v>0</v>
      </c>
      <c r="DP95" s="113">
        <f t="shared" si="120"/>
        <v>0</v>
      </c>
      <c r="DQ95" s="113">
        <f t="shared" si="121"/>
        <v>0</v>
      </c>
      <c r="DR95" s="113">
        <f t="shared" si="121"/>
        <v>240000</v>
      </c>
    </row>
    <row r="96" spans="1:122">
      <c r="A96" s="15">
        <v>88</v>
      </c>
      <c r="B96" s="96" t="s">
        <v>747</v>
      </c>
      <c r="C96" s="187" t="s">
        <v>1085</v>
      </c>
      <c r="D96" s="96" t="s">
        <v>1087</v>
      </c>
      <c r="E96" s="185" t="s">
        <v>1165</v>
      </c>
      <c r="F96" s="161">
        <f t="shared" si="130"/>
        <v>0</v>
      </c>
      <c r="G96" s="161">
        <f t="shared" si="122"/>
        <v>1680.56</v>
      </c>
      <c r="H96" s="161">
        <f t="shared" si="123"/>
        <v>-1680.56</v>
      </c>
      <c r="I96" s="161">
        <f t="shared" si="124"/>
        <v>42698</v>
      </c>
      <c r="J96" s="165">
        <f t="shared" si="98"/>
        <v>256302.1</v>
      </c>
      <c r="K96" s="115">
        <v>253373.8</v>
      </c>
      <c r="L96" s="211">
        <v>0</v>
      </c>
      <c r="M96" s="211">
        <v>0</v>
      </c>
      <c r="N96" s="127">
        <f t="shared" si="131"/>
        <v>256302.1</v>
      </c>
      <c r="O96" s="127">
        <f t="shared" si="132"/>
        <v>0</v>
      </c>
      <c r="P96" s="127">
        <f t="shared" si="133"/>
        <v>256302.1</v>
      </c>
      <c r="Q96" s="131">
        <f t="shared" si="125"/>
        <v>0</v>
      </c>
      <c r="R96" s="125" t="str">
        <f t="shared" si="99"/>
        <v>მიმდინარეობს</v>
      </c>
      <c r="S96" s="113">
        <v>250000</v>
      </c>
      <c r="T96" s="113"/>
      <c r="U96" s="113">
        <f t="shared" si="126"/>
        <v>250000</v>
      </c>
      <c r="V96" s="113">
        <f t="shared" si="127"/>
        <v>0</v>
      </c>
      <c r="W96" s="113">
        <v>0</v>
      </c>
      <c r="X96" s="113">
        <v>0</v>
      </c>
      <c r="Y96" s="113">
        <v>0</v>
      </c>
      <c r="Z96" s="113">
        <v>0</v>
      </c>
      <c r="AA96" s="113">
        <f t="shared" si="137"/>
        <v>0</v>
      </c>
      <c r="AB96" s="113">
        <f t="shared" si="137"/>
        <v>0</v>
      </c>
      <c r="AC96" s="113"/>
      <c r="AD96" s="113">
        <v>6302.1</v>
      </c>
      <c r="AE96" s="113"/>
      <c r="AF96" s="113"/>
      <c r="AG96" s="113">
        <f t="shared" si="100"/>
        <v>0</v>
      </c>
      <c r="AH96" s="113">
        <f t="shared" si="100"/>
        <v>6302.1</v>
      </c>
      <c r="AI96" s="114">
        <f t="shared" si="128"/>
        <v>250000</v>
      </c>
      <c r="AJ96" s="114">
        <f t="shared" si="101"/>
        <v>256302.1</v>
      </c>
      <c r="AK96" s="114">
        <f t="shared" si="101"/>
        <v>0</v>
      </c>
      <c r="AL96" s="114">
        <f t="shared" si="129"/>
        <v>0</v>
      </c>
      <c r="AM96" s="113">
        <f t="shared" si="102"/>
        <v>250000</v>
      </c>
      <c r="AN96" s="113">
        <f t="shared" si="102"/>
        <v>256302.1</v>
      </c>
      <c r="AO96" s="113"/>
      <c r="AP96" s="113"/>
      <c r="AQ96" s="113"/>
      <c r="AR96" s="113"/>
      <c r="AS96" s="113">
        <f t="shared" si="103"/>
        <v>0</v>
      </c>
      <c r="AT96" s="113">
        <f t="shared" si="103"/>
        <v>0</v>
      </c>
      <c r="AU96" s="113"/>
      <c r="AV96" s="113"/>
      <c r="AW96" s="113"/>
      <c r="AX96" s="113"/>
      <c r="AY96" s="113">
        <f t="shared" si="104"/>
        <v>0</v>
      </c>
      <c r="AZ96" s="113">
        <f t="shared" si="104"/>
        <v>0</v>
      </c>
      <c r="BA96" s="113"/>
      <c r="BB96" s="113"/>
      <c r="BC96" s="113"/>
      <c r="BD96" s="113"/>
      <c r="BE96" s="113">
        <f t="shared" si="105"/>
        <v>0</v>
      </c>
      <c r="BF96" s="113"/>
      <c r="BG96" s="113">
        <f t="shared" si="134"/>
        <v>0</v>
      </c>
      <c r="BH96" s="113"/>
      <c r="BI96" s="113"/>
      <c r="BJ96" s="113"/>
      <c r="BK96" s="113"/>
      <c r="BL96" s="113">
        <f t="shared" si="106"/>
        <v>0</v>
      </c>
      <c r="BM96" s="113"/>
      <c r="BN96" s="113">
        <f t="shared" si="135"/>
        <v>0</v>
      </c>
      <c r="BO96" s="113"/>
      <c r="BP96" s="113"/>
      <c r="BQ96" s="113"/>
      <c r="BR96" s="113"/>
      <c r="BS96" s="113">
        <f t="shared" si="107"/>
        <v>0</v>
      </c>
      <c r="BT96" s="113"/>
      <c r="BU96" s="113">
        <f t="shared" si="136"/>
        <v>0</v>
      </c>
      <c r="BV96" s="113"/>
      <c r="BW96" s="113"/>
      <c r="BX96" s="113"/>
      <c r="BY96" s="113"/>
      <c r="BZ96" s="113">
        <f t="shared" si="108"/>
        <v>0</v>
      </c>
      <c r="CA96" s="113">
        <v>42698</v>
      </c>
      <c r="CB96" s="113">
        <f t="shared" si="109"/>
        <v>0</v>
      </c>
      <c r="CC96" s="113"/>
      <c r="CD96" s="113"/>
      <c r="CE96" s="113"/>
      <c r="CF96" s="113"/>
      <c r="CG96" s="113">
        <f t="shared" si="110"/>
        <v>0</v>
      </c>
      <c r="CH96" s="113">
        <f t="shared" si="111"/>
        <v>0</v>
      </c>
      <c r="CI96" s="113"/>
      <c r="CJ96" s="113"/>
      <c r="CK96" s="113"/>
      <c r="CL96" s="113"/>
      <c r="CM96" s="113">
        <f t="shared" si="112"/>
        <v>0</v>
      </c>
      <c r="CN96" s="113">
        <f t="shared" si="112"/>
        <v>0</v>
      </c>
      <c r="CO96" s="113"/>
      <c r="CP96" s="113"/>
      <c r="CQ96" s="113"/>
      <c r="CR96" s="113"/>
      <c r="CS96" s="113">
        <f t="shared" si="113"/>
        <v>0</v>
      </c>
      <c r="CT96" s="113">
        <f t="shared" si="113"/>
        <v>0</v>
      </c>
      <c r="CU96" s="113"/>
      <c r="CV96" s="113"/>
      <c r="CW96" s="113"/>
      <c r="CX96" s="113"/>
      <c r="CY96" s="113">
        <f t="shared" si="114"/>
        <v>0</v>
      </c>
      <c r="CZ96" s="113">
        <f t="shared" si="114"/>
        <v>0</v>
      </c>
      <c r="DA96" s="113"/>
      <c r="DB96" s="113">
        <v>1680.56</v>
      </c>
      <c r="DC96" s="113"/>
      <c r="DD96" s="113"/>
      <c r="DE96" s="113">
        <f t="shared" si="115"/>
        <v>0</v>
      </c>
      <c r="DF96" s="113">
        <f t="shared" si="115"/>
        <v>1680.56</v>
      </c>
      <c r="DG96" s="113"/>
      <c r="DH96" s="113"/>
      <c r="DI96" s="113"/>
      <c r="DJ96" s="113"/>
      <c r="DK96" s="113">
        <f t="shared" si="116"/>
        <v>0</v>
      </c>
      <c r="DL96" s="113">
        <f t="shared" si="116"/>
        <v>0</v>
      </c>
      <c r="DM96" s="113">
        <f t="shared" si="117"/>
        <v>0</v>
      </c>
      <c r="DN96" s="113">
        <f t="shared" si="118"/>
        <v>1680.56</v>
      </c>
      <c r="DO96" s="113">
        <f t="shared" si="119"/>
        <v>0</v>
      </c>
      <c r="DP96" s="113">
        <f t="shared" si="120"/>
        <v>0</v>
      </c>
      <c r="DQ96" s="113">
        <f t="shared" si="121"/>
        <v>0</v>
      </c>
      <c r="DR96" s="113">
        <f t="shared" si="121"/>
        <v>1680.56</v>
      </c>
    </row>
    <row r="97" spans="1:122">
      <c r="A97" s="15">
        <v>89</v>
      </c>
      <c r="B97" s="96" t="s">
        <v>747</v>
      </c>
      <c r="C97" s="96" t="s">
        <v>1088</v>
      </c>
      <c r="D97" s="96" t="s">
        <v>1089</v>
      </c>
      <c r="E97" s="185" t="s">
        <v>1164</v>
      </c>
      <c r="F97" s="161">
        <f t="shared" si="130"/>
        <v>0</v>
      </c>
      <c r="G97" s="161">
        <f t="shared" si="122"/>
        <v>0</v>
      </c>
      <c r="H97" s="161">
        <f t="shared" si="123"/>
        <v>0</v>
      </c>
      <c r="I97" s="161">
        <f t="shared" si="124"/>
        <v>0</v>
      </c>
      <c r="J97" s="165">
        <f t="shared" si="98"/>
        <v>0</v>
      </c>
      <c r="K97" s="115"/>
      <c r="L97" s="211">
        <v>0</v>
      </c>
      <c r="M97" s="211">
        <v>0</v>
      </c>
      <c r="N97" s="127">
        <f t="shared" si="131"/>
        <v>0</v>
      </c>
      <c r="O97" s="127">
        <f t="shared" si="132"/>
        <v>0</v>
      </c>
      <c r="P97" s="127">
        <f t="shared" si="133"/>
        <v>0</v>
      </c>
      <c r="Q97" s="131">
        <f t="shared" si="125"/>
        <v>0</v>
      </c>
      <c r="R97" s="125" t="str">
        <f t="shared" si="99"/>
        <v>ნულოვანი შესრულება</v>
      </c>
      <c r="S97" s="113">
        <v>0</v>
      </c>
      <c r="T97" s="113"/>
      <c r="U97" s="113">
        <f t="shared" si="126"/>
        <v>0</v>
      </c>
      <c r="V97" s="113">
        <f t="shared" si="127"/>
        <v>0</v>
      </c>
      <c r="W97" s="113">
        <v>0</v>
      </c>
      <c r="X97" s="113">
        <v>0</v>
      </c>
      <c r="Y97" s="113">
        <f>4253*1.75</f>
        <v>7442.75</v>
      </c>
      <c r="Z97" s="113">
        <v>0</v>
      </c>
      <c r="AA97" s="113">
        <f t="shared" si="137"/>
        <v>7442.75</v>
      </c>
      <c r="AB97" s="113">
        <f t="shared" si="137"/>
        <v>0</v>
      </c>
      <c r="AC97" s="113"/>
      <c r="AD97" s="113"/>
      <c r="AE97" s="113"/>
      <c r="AF97" s="113"/>
      <c r="AG97" s="113">
        <f t="shared" si="100"/>
        <v>0</v>
      </c>
      <c r="AH97" s="113">
        <f t="shared" si="100"/>
        <v>0</v>
      </c>
      <c r="AI97" s="114">
        <f t="shared" si="128"/>
        <v>0</v>
      </c>
      <c r="AJ97" s="114">
        <f t="shared" si="101"/>
        <v>0</v>
      </c>
      <c r="AK97" s="114">
        <f t="shared" si="101"/>
        <v>7442.75</v>
      </c>
      <c r="AL97" s="114">
        <f t="shared" si="129"/>
        <v>0</v>
      </c>
      <c r="AM97" s="113">
        <f t="shared" si="102"/>
        <v>7442.75</v>
      </c>
      <c r="AN97" s="113">
        <f t="shared" si="102"/>
        <v>0</v>
      </c>
      <c r="AO97" s="113"/>
      <c r="AP97" s="113"/>
      <c r="AQ97" s="113"/>
      <c r="AR97" s="113"/>
      <c r="AS97" s="113">
        <f t="shared" si="103"/>
        <v>0</v>
      </c>
      <c r="AT97" s="113">
        <f t="shared" si="103"/>
        <v>0</v>
      </c>
      <c r="AU97" s="113"/>
      <c r="AV97" s="113"/>
      <c r="AW97" s="113"/>
      <c r="AX97" s="113"/>
      <c r="AY97" s="113">
        <f t="shared" si="104"/>
        <v>0</v>
      </c>
      <c r="AZ97" s="113">
        <f t="shared" si="104"/>
        <v>0</v>
      </c>
      <c r="BA97" s="113"/>
      <c r="BB97" s="113"/>
      <c r="BC97" s="113"/>
      <c r="BD97" s="113"/>
      <c r="BE97" s="113">
        <f t="shared" si="105"/>
        <v>0</v>
      </c>
      <c r="BF97" s="113"/>
      <c r="BG97" s="113">
        <f t="shared" si="134"/>
        <v>0</v>
      </c>
      <c r="BH97" s="113"/>
      <c r="BI97" s="113"/>
      <c r="BJ97" s="113"/>
      <c r="BK97" s="113"/>
      <c r="BL97" s="113">
        <f t="shared" si="106"/>
        <v>0</v>
      </c>
      <c r="BM97" s="113"/>
      <c r="BN97" s="113">
        <f t="shared" si="135"/>
        <v>0</v>
      </c>
      <c r="BO97" s="113"/>
      <c r="BP97" s="113"/>
      <c r="BQ97" s="113"/>
      <c r="BR97" s="113"/>
      <c r="BS97" s="113">
        <f t="shared" si="107"/>
        <v>0</v>
      </c>
      <c r="BT97" s="113"/>
      <c r="BU97" s="113">
        <f t="shared" si="136"/>
        <v>0</v>
      </c>
      <c r="BV97" s="113"/>
      <c r="BW97" s="113"/>
      <c r="BX97" s="113"/>
      <c r="BY97" s="113"/>
      <c r="BZ97" s="113">
        <f t="shared" si="108"/>
        <v>0</v>
      </c>
      <c r="CA97" s="113"/>
      <c r="CB97" s="113">
        <f t="shared" si="109"/>
        <v>0</v>
      </c>
      <c r="CC97" s="113"/>
      <c r="CD97" s="113"/>
      <c r="CE97" s="113"/>
      <c r="CF97" s="113"/>
      <c r="CG97" s="113">
        <f t="shared" si="110"/>
        <v>0</v>
      </c>
      <c r="CH97" s="113">
        <f t="shared" si="111"/>
        <v>0</v>
      </c>
      <c r="CI97" s="113"/>
      <c r="CJ97" s="113"/>
      <c r="CK97" s="113"/>
      <c r="CL97" s="113"/>
      <c r="CM97" s="113">
        <f t="shared" si="112"/>
        <v>0</v>
      </c>
      <c r="CN97" s="113">
        <f t="shared" si="112"/>
        <v>0</v>
      </c>
      <c r="CO97" s="113"/>
      <c r="CP97" s="113"/>
      <c r="CQ97" s="113"/>
      <c r="CR97" s="113"/>
      <c r="CS97" s="113">
        <f t="shared" si="113"/>
        <v>0</v>
      </c>
      <c r="CT97" s="113">
        <f t="shared" si="113"/>
        <v>0</v>
      </c>
      <c r="CU97" s="113"/>
      <c r="CV97" s="113"/>
      <c r="CW97" s="113"/>
      <c r="CX97" s="113"/>
      <c r="CY97" s="113">
        <f t="shared" si="114"/>
        <v>0</v>
      </c>
      <c r="CZ97" s="113">
        <f t="shared" si="114"/>
        <v>0</v>
      </c>
      <c r="DA97" s="113"/>
      <c r="DB97" s="113"/>
      <c r="DC97" s="113"/>
      <c r="DD97" s="113"/>
      <c r="DE97" s="113">
        <f t="shared" si="115"/>
        <v>0</v>
      </c>
      <c r="DF97" s="113">
        <f t="shared" si="115"/>
        <v>0</v>
      </c>
      <c r="DG97" s="113"/>
      <c r="DH97" s="113"/>
      <c r="DI97" s="113"/>
      <c r="DJ97" s="113"/>
      <c r="DK97" s="113">
        <f t="shared" si="116"/>
        <v>0</v>
      </c>
      <c r="DL97" s="113">
        <f t="shared" si="116"/>
        <v>0</v>
      </c>
      <c r="DM97" s="113">
        <f t="shared" si="117"/>
        <v>0</v>
      </c>
      <c r="DN97" s="113">
        <f t="shared" si="118"/>
        <v>0</v>
      </c>
      <c r="DO97" s="113">
        <f t="shared" si="119"/>
        <v>0</v>
      </c>
      <c r="DP97" s="113">
        <f t="shared" si="120"/>
        <v>0</v>
      </c>
      <c r="DQ97" s="113">
        <f t="shared" si="121"/>
        <v>0</v>
      </c>
      <c r="DR97" s="113">
        <f t="shared" si="121"/>
        <v>0</v>
      </c>
    </row>
    <row r="98" spans="1:122" s="333" customFormat="1">
      <c r="A98" s="328">
        <v>90</v>
      </c>
      <c r="B98" s="329" t="s">
        <v>747</v>
      </c>
      <c r="C98" s="336" t="s">
        <v>1088</v>
      </c>
      <c r="D98" s="329" t="s">
        <v>1090</v>
      </c>
      <c r="E98" s="329" t="s">
        <v>1165</v>
      </c>
      <c r="F98" s="337">
        <f t="shared" si="130"/>
        <v>750000</v>
      </c>
      <c r="G98" s="161">
        <f t="shared" si="122"/>
        <v>0</v>
      </c>
      <c r="H98" s="161">
        <f t="shared" si="123"/>
        <v>750000</v>
      </c>
      <c r="I98" s="161">
        <f t="shared" si="124"/>
        <v>0</v>
      </c>
      <c r="J98" s="338">
        <f t="shared" si="98"/>
        <v>750000</v>
      </c>
      <c r="K98" s="339">
        <v>150599.20000000001</v>
      </c>
      <c r="L98" s="211">
        <v>0</v>
      </c>
      <c r="M98" s="211">
        <v>0</v>
      </c>
      <c r="N98" s="127">
        <f t="shared" si="131"/>
        <v>0</v>
      </c>
      <c r="O98" s="127">
        <f t="shared" si="132"/>
        <v>0</v>
      </c>
      <c r="P98" s="261">
        <f t="shared" si="133"/>
        <v>0</v>
      </c>
      <c r="Q98" s="261">
        <f t="shared" si="125"/>
        <v>750000</v>
      </c>
      <c r="R98" s="261" t="str">
        <f t="shared" si="99"/>
        <v>ნულოვანი შესრულება</v>
      </c>
      <c r="S98" s="113">
        <v>0</v>
      </c>
      <c r="T98" s="113"/>
      <c r="U98" s="113">
        <f t="shared" si="126"/>
        <v>0</v>
      </c>
      <c r="V98" s="113">
        <f t="shared" si="127"/>
        <v>0</v>
      </c>
      <c r="W98" s="113">
        <v>0</v>
      </c>
      <c r="X98" s="113">
        <v>0</v>
      </c>
      <c r="Y98" s="113">
        <v>0</v>
      </c>
      <c r="Z98" s="113">
        <v>0</v>
      </c>
      <c r="AA98" s="113">
        <f t="shared" si="137"/>
        <v>0</v>
      </c>
      <c r="AB98" s="113">
        <f t="shared" si="137"/>
        <v>0</v>
      </c>
      <c r="AC98" s="113"/>
      <c r="AD98" s="113"/>
      <c r="AE98" s="113"/>
      <c r="AF98" s="113"/>
      <c r="AG98" s="113">
        <f t="shared" si="100"/>
        <v>0</v>
      </c>
      <c r="AH98" s="113">
        <f t="shared" si="100"/>
        <v>0</v>
      </c>
      <c r="AI98" s="114">
        <f t="shared" si="128"/>
        <v>0</v>
      </c>
      <c r="AJ98" s="114">
        <f t="shared" si="101"/>
        <v>0</v>
      </c>
      <c r="AK98" s="114">
        <f t="shared" si="101"/>
        <v>0</v>
      </c>
      <c r="AL98" s="114">
        <f t="shared" si="129"/>
        <v>0</v>
      </c>
      <c r="AM98" s="113">
        <f t="shared" si="102"/>
        <v>0</v>
      </c>
      <c r="AN98" s="113">
        <f t="shared" si="102"/>
        <v>0</v>
      </c>
      <c r="AO98" s="332"/>
      <c r="AP98" s="332"/>
      <c r="AQ98" s="332"/>
      <c r="AR98" s="332"/>
      <c r="AS98" s="332">
        <f t="shared" si="103"/>
        <v>0</v>
      </c>
      <c r="AT98" s="332">
        <f t="shared" si="103"/>
        <v>0</v>
      </c>
      <c r="AU98" s="332">
        <v>700000</v>
      </c>
      <c r="AV98" s="332"/>
      <c r="AW98" s="332"/>
      <c r="AX98" s="332"/>
      <c r="AY98" s="332">
        <f t="shared" si="104"/>
        <v>700000</v>
      </c>
      <c r="AZ98" s="332">
        <f t="shared" si="104"/>
        <v>0</v>
      </c>
      <c r="BA98" s="332"/>
      <c r="BB98" s="332"/>
      <c r="BC98" s="332"/>
      <c r="BD98" s="332"/>
      <c r="BE98" s="332">
        <f t="shared" si="105"/>
        <v>0</v>
      </c>
      <c r="BF98" s="332"/>
      <c r="BG98" s="332">
        <f t="shared" si="134"/>
        <v>0</v>
      </c>
      <c r="BH98" s="332"/>
      <c r="BI98" s="332"/>
      <c r="BJ98" s="332"/>
      <c r="BK98" s="332"/>
      <c r="BL98" s="332">
        <f t="shared" si="106"/>
        <v>0</v>
      </c>
      <c r="BM98" s="332"/>
      <c r="BN98" s="332">
        <f t="shared" si="135"/>
        <v>0</v>
      </c>
      <c r="BO98" s="332"/>
      <c r="BP98" s="332"/>
      <c r="BQ98" s="332">
        <v>50000</v>
      </c>
      <c r="BR98" s="332"/>
      <c r="BS98" s="332">
        <f t="shared" si="107"/>
        <v>50000</v>
      </c>
      <c r="BT98" s="332"/>
      <c r="BU98" s="332">
        <f t="shared" si="136"/>
        <v>0</v>
      </c>
      <c r="BV98" s="332"/>
      <c r="BW98" s="332"/>
      <c r="BX98" s="332"/>
      <c r="BY98" s="332"/>
      <c r="BZ98" s="332">
        <f t="shared" si="108"/>
        <v>0</v>
      </c>
      <c r="CA98" s="332"/>
      <c r="CB98" s="332">
        <f t="shared" si="109"/>
        <v>0</v>
      </c>
      <c r="CC98" s="332"/>
      <c r="CD98" s="332"/>
      <c r="CE98" s="332"/>
      <c r="CF98" s="332"/>
      <c r="CG98" s="332">
        <f t="shared" si="110"/>
        <v>0</v>
      </c>
      <c r="CH98" s="332">
        <f t="shared" si="111"/>
        <v>0</v>
      </c>
      <c r="CI98" s="332"/>
      <c r="CJ98" s="332"/>
      <c r="CK98" s="332"/>
      <c r="CL98" s="332"/>
      <c r="CM98" s="332">
        <f t="shared" si="112"/>
        <v>0</v>
      </c>
      <c r="CN98" s="332">
        <f t="shared" si="112"/>
        <v>0</v>
      </c>
      <c r="CO98" s="332"/>
      <c r="CP98" s="332"/>
      <c r="CQ98" s="332"/>
      <c r="CR98" s="332"/>
      <c r="CS98" s="332">
        <f t="shared" si="113"/>
        <v>0</v>
      </c>
      <c r="CT98" s="332">
        <f t="shared" si="113"/>
        <v>0</v>
      </c>
      <c r="CU98" s="332"/>
      <c r="CV98" s="332"/>
      <c r="CW98" s="332"/>
      <c r="CX98" s="332"/>
      <c r="CY98" s="332">
        <f t="shared" si="114"/>
        <v>0</v>
      </c>
      <c r="CZ98" s="332">
        <f t="shared" si="114"/>
        <v>0</v>
      </c>
      <c r="DA98" s="332"/>
      <c r="DB98" s="332"/>
      <c r="DC98" s="332"/>
      <c r="DD98" s="332"/>
      <c r="DE98" s="332">
        <f t="shared" si="115"/>
        <v>0</v>
      </c>
      <c r="DF98" s="332">
        <f t="shared" si="115"/>
        <v>0</v>
      </c>
      <c r="DG98" s="332"/>
      <c r="DH98" s="332"/>
      <c r="DI98" s="332"/>
      <c r="DJ98" s="332"/>
      <c r="DK98" s="332">
        <f t="shared" si="116"/>
        <v>0</v>
      </c>
      <c r="DL98" s="332">
        <f t="shared" si="116"/>
        <v>0</v>
      </c>
      <c r="DM98" s="332">
        <f t="shared" si="117"/>
        <v>700000</v>
      </c>
      <c r="DN98" s="332">
        <f t="shared" si="118"/>
        <v>0</v>
      </c>
      <c r="DO98" s="332">
        <f t="shared" si="119"/>
        <v>50000</v>
      </c>
      <c r="DP98" s="332">
        <f t="shared" si="120"/>
        <v>0</v>
      </c>
      <c r="DQ98" s="332">
        <f t="shared" si="121"/>
        <v>750000</v>
      </c>
      <c r="DR98" s="332">
        <f t="shared" si="121"/>
        <v>0</v>
      </c>
    </row>
    <row r="99" spans="1:122" s="102" customFormat="1">
      <c r="A99" s="15">
        <v>91</v>
      </c>
      <c r="B99" s="187" t="s">
        <v>1091</v>
      </c>
      <c r="C99" s="187" t="s">
        <v>1092</v>
      </c>
      <c r="D99" s="187" t="s">
        <v>1093</v>
      </c>
      <c r="E99" s="188" t="s">
        <v>1165</v>
      </c>
      <c r="F99" s="161">
        <f t="shared" si="130"/>
        <v>0</v>
      </c>
      <c r="G99" s="161">
        <f t="shared" si="122"/>
        <v>0</v>
      </c>
      <c r="H99" s="161">
        <f t="shared" si="123"/>
        <v>0</v>
      </c>
      <c r="I99" s="161">
        <f t="shared" si="124"/>
        <v>0</v>
      </c>
      <c r="J99" s="165">
        <f t="shared" si="98"/>
        <v>0</v>
      </c>
      <c r="K99" s="118">
        <v>254237.09999999998</v>
      </c>
      <c r="L99" s="218">
        <v>0</v>
      </c>
      <c r="M99" s="218">
        <v>0</v>
      </c>
      <c r="N99" s="127">
        <f t="shared" si="131"/>
        <v>0</v>
      </c>
      <c r="O99" s="127">
        <f t="shared" si="132"/>
        <v>0</v>
      </c>
      <c r="P99" s="127">
        <f t="shared" si="133"/>
        <v>0</v>
      </c>
      <c r="Q99" s="131">
        <f t="shared" si="125"/>
        <v>0</v>
      </c>
      <c r="R99" s="125" t="str">
        <f t="shared" si="99"/>
        <v>ნულოვანი შესრულება</v>
      </c>
      <c r="S99" s="119">
        <v>0</v>
      </c>
      <c r="T99" s="119"/>
      <c r="U99" s="113">
        <f t="shared" si="126"/>
        <v>0</v>
      </c>
      <c r="V99" s="113">
        <f t="shared" si="127"/>
        <v>0</v>
      </c>
      <c r="W99" s="119">
        <v>0</v>
      </c>
      <c r="X99" s="119">
        <v>0</v>
      </c>
      <c r="Y99" s="119">
        <v>0</v>
      </c>
      <c r="Z99" s="119">
        <v>0</v>
      </c>
      <c r="AA99" s="113">
        <f t="shared" si="137"/>
        <v>0</v>
      </c>
      <c r="AB99" s="113">
        <f t="shared" si="137"/>
        <v>0</v>
      </c>
      <c r="AC99" s="119"/>
      <c r="AD99" s="119"/>
      <c r="AE99" s="119"/>
      <c r="AF99" s="119"/>
      <c r="AG99" s="113">
        <f t="shared" ref="AG99:AH137" si="138">AC99+AE99</f>
        <v>0</v>
      </c>
      <c r="AH99" s="113">
        <f t="shared" si="138"/>
        <v>0</v>
      </c>
      <c r="AI99" s="120">
        <f t="shared" si="128"/>
        <v>0</v>
      </c>
      <c r="AJ99" s="120">
        <f t="shared" ref="AJ99:AK137" si="139">S99+X99+AD99</f>
        <v>0</v>
      </c>
      <c r="AK99" s="120">
        <f t="shared" si="139"/>
        <v>0</v>
      </c>
      <c r="AL99" s="120">
        <f t="shared" si="129"/>
        <v>0</v>
      </c>
      <c r="AM99" s="113">
        <f t="shared" ref="AM99:AN137" si="140">AI99+AK99</f>
        <v>0</v>
      </c>
      <c r="AN99" s="113">
        <f t="shared" si="140"/>
        <v>0</v>
      </c>
      <c r="AO99" s="119"/>
      <c r="AP99" s="119"/>
      <c r="AQ99" s="119"/>
      <c r="AR99" s="119"/>
      <c r="AS99" s="113">
        <f t="shared" ref="AS99:AT137" si="141">AO99+AQ99</f>
        <v>0</v>
      </c>
      <c r="AT99" s="113">
        <f t="shared" si="141"/>
        <v>0</v>
      </c>
      <c r="AU99" s="119"/>
      <c r="AV99" s="119"/>
      <c r="AW99" s="119"/>
      <c r="AX99" s="119"/>
      <c r="AY99" s="113">
        <f t="shared" ref="AY99:AZ137" si="142">AU99+AW99</f>
        <v>0</v>
      </c>
      <c r="AZ99" s="113">
        <f t="shared" si="142"/>
        <v>0</v>
      </c>
      <c r="BA99" s="119"/>
      <c r="BB99" s="119"/>
      <c r="BC99" s="119"/>
      <c r="BD99" s="119"/>
      <c r="BE99" s="113">
        <f t="shared" ref="BE99:BE137" si="143">BA99+BC99</f>
        <v>0</v>
      </c>
      <c r="BF99" s="113"/>
      <c r="BG99" s="113">
        <f t="shared" si="134"/>
        <v>0</v>
      </c>
      <c r="BH99" s="119"/>
      <c r="BI99" s="119"/>
      <c r="BJ99" s="119"/>
      <c r="BK99" s="119"/>
      <c r="BL99" s="113">
        <f t="shared" ref="BL99:BL137" si="144">BH99+BJ99</f>
        <v>0</v>
      </c>
      <c r="BM99" s="113"/>
      <c r="BN99" s="113">
        <f t="shared" si="135"/>
        <v>0</v>
      </c>
      <c r="BO99" s="119"/>
      <c r="BP99" s="119"/>
      <c r="BQ99" s="119"/>
      <c r="BR99" s="119"/>
      <c r="BS99" s="113">
        <f t="shared" ref="BS99:BS137" si="145">BO99+BQ99</f>
        <v>0</v>
      </c>
      <c r="BT99" s="113"/>
      <c r="BU99" s="113">
        <f t="shared" si="136"/>
        <v>0</v>
      </c>
      <c r="BV99" s="119"/>
      <c r="BW99" s="119"/>
      <c r="BX99" s="119"/>
      <c r="BY99" s="119"/>
      <c r="BZ99" s="113">
        <f t="shared" ref="BZ99:BZ137" si="146">BV99+BX99</f>
        <v>0</v>
      </c>
      <c r="CA99" s="113"/>
      <c r="CB99" s="113">
        <f t="shared" si="109"/>
        <v>0</v>
      </c>
      <c r="CC99" s="119"/>
      <c r="CD99" s="119"/>
      <c r="CE99" s="119"/>
      <c r="CF99" s="119"/>
      <c r="CG99" s="113">
        <f t="shared" ref="CG99:CG137" si="147">CC99+CE99</f>
        <v>0</v>
      </c>
      <c r="CH99" s="113">
        <f t="shared" si="111"/>
        <v>0</v>
      </c>
      <c r="CI99" s="119"/>
      <c r="CJ99" s="119"/>
      <c r="CK99" s="119"/>
      <c r="CL99" s="119"/>
      <c r="CM99" s="113">
        <f t="shared" ref="CM99:CN137" si="148">CI99+CK99</f>
        <v>0</v>
      </c>
      <c r="CN99" s="113">
        <f t="shared" si="148"/>
        <v>0</v>
      </c>
      <c r="CO99" s="119"/>
      <c r="CP99" s="119"/>
      <c r="CQ99" s="119"/>
      <c r="CR99" s="119"/>
      <c r="CS99" s="113">
        <f t="shared" ref="CS99:CT137" si="149">CO99+CQ99</f>
        <v>0</v>
      </c>
      <c r="CT99" s="113">
        <f t="shared" si="149"/>
        <v>0</v>
      </c>
      <c r="CU99" s="119"/>
      <c r="CV99" s="119"/>
      <c r="CW99" s="119"/>
      <c r="CX99" s="119"/>
      <c r="CY99" s="113">
        <f t="shared" ref="CY99:CZ137" si="150">CU99+CW99</f>
        <v>0</v>
      </c>
      <c r="CZ99" s="113">
        <f t="shared" si="150"/>
        <v>0</v>
      </c>
      <c r="DA99" s="119"/>
      <c r="DB99" s="119"/>
      <c r="DC99" s="119"/>
      <c r="DD99" s="119"/>
      <c r="DE99" s="113">
        <f t="shared" ref="DE99:DF137" si="151">DA99+DC99</f>
        <v>0</v>
      </c>
      <c r="DF99" s="113">
        <f t="shared" si="151"/>
        <v>0</v>
      </c>
      <c r="DG99" s="119"/>
      <c r="DH99" s="119"/>
      <c r="DI99" s="119"/>
      <c r="DJ99" s="119"/>
      <c r="DK99" s="113">
        <f t="shared" ref="DK99:DL137" si="152">DG99+DI99</f>
        <v>0</v>
      </c>
      <c r="DL99" s="113">
        <f t="shared" si="152"/>
        <v>0</v>
      </c>
      <c r="DM99" s="113">
        <f t="shared" si="117"/>
        <v>0</v>
      </c>
      <c r="DN99" s="113">
        <f t="shared" si="118"/>
        <v>0</v>
      </c>
      <c r="DO99" s="113">
        <f t="shared" si="119"/>
        <v>0</v>
      </c>
      <c r="DP99" s="113">
        <f t="shared" si="120"/>
        <v>0</v>
      </c>
      <c r="DQ99" s="113">
        <f t="shared" ref="DQ99:DR137" si="153">DM99+DO99</f>
        <v>0</v>
      </c>
      <c r="DR99" s="113">
        <f t="shared" si="153"/>
        <v>0</v>
      </c>
    </row>
    <row r="100" spans="1:122">
      <c r="A100" s="15">
        <v>92</v>
      </c>
      <c r="B100" s="96" t="s">
        <v>1091</v>
      </c>
      <c r="C100" s="187" t="s">
        <v>1094</v>
      </c>
      <c r="D100" s="96" t="s">
        <v>1095</v>
      </c>
      <c r="E100" s="185" t="s">
        <v>1165</v>
      </c>
      <c r="F100" s="161">
        <f t="shared" si="130"/>
        <v>0</v>
      </c>
      <c r="G100" s="161">
        <f t="shared" si="122"/>
        <v>0</v>
      </c>
      <c r="H100" s="161">
        <f t="shared" si="123"/>
        <v>0</v>
      </c>
      <c r="I100" s="161">
        <f t="shared" si="124"/>
        <v>0</v>
      </c>
      <c r="J100" s="165">
        <f t="shared" si="98"/>
        <v>936894.92999999993</v>
      </c>
      <c r="K100" s="115">
        <v>806600</v>
      </c>
      <c r="L100" s="211">
        <v>780000</v>
      </c>
      <c r="M100" s="211">
        <v>0</v>
      </c>
      <c r="N100" s="127">
        <f t="shared" si="131"/>
        <v>156894.93</v>
      </c>
      <c r="O100" s="127">
        <f t="shared" si="132"/>
        <v>936894.92999999993</v>
      </c>
      <c r="P100" s="127">
        <f t="shared" si="133"/>
        <v>936894.92999999993</v>
      </c>
      <c r="Q100" s="131">
        <f t="shared" si="125"/>
        <v>0</v>
      </c>
      <c r="R100" s="125">
        <f t="shared" si="99"/>
        <v>936894.92999999993</v>
      </c>
      <c r="S100" s="113">
        <v>100000</v>
      </c>
      <c r="T100" s="113">
        <v>56894.93</v>
      </c>
      <c r="U100" s="113">
        <f t="shared" si="126"/>
        <v>880000</v>
      </c>
      <c r="V100" s="113">
        <f t="shared" si="127"/>
        <v>56894.93</v>
      </c>
      <c r="W100" s="113">
        <v>0</v>
      </c>
      <c r="X100" s="113">
        <v>0</v>
      </c>
      <c r="Y100" s="113">
        <v>0</v>
      </c>
      <c r="Z100" s="113">
        <v>0</v>
      </c>
      <c r="AA100" s="113">
        <f t="shared" si="137"/>
        <v>0</v>
      </c>
      <c r="AB100" s="113">
        <f t="shared" si="137"/>
        <v>0</v>
      </c>
      <c r="AC100" s="113"/>
      <c r="AD100" s="113"/>
      <c r="AE100" s="113"/>
      <c r="AF100" s="113"/>
      <c r="AG100" s="113">
        <f t="shared" si="138"/>
        <v>0</v>
      </c>
      <c r="AH100" s="113">
        <f t="shared" si="138"/>
        <v>0</v>
      </c>
      <c r="AI100" s="114">
        <f t="shared" si="128"/>
        <v>100000</v>
      </c>
      <c r="AJ100" s="114">
        <f t="shared" si="139"/>
        <v>100000</v>
      </c>
      <c r="AK100" s="114">
        <f t="shared" si="139"/>
        <v>56894.93</v>
      </c>
      <c r="AL100" s="114">
        <f t="shared" si="129"/>
        <v>56894.93</v>
      </c>
      <c r="AM100" s="113">
        <f t="shared" si="140"/>
        <v>156894.93</v>
      </c>
      <c r="AN100" s="113">
        <f t="shared" si="140"/>
        <v>156894.93</v>
      </c>
      <c r="AO100" s="113"/>
      <c r="AP100" s="113"/>
      <c r="AQ100" s="113"/>
      <c r="AR100" s="113"/>
      <c r="AS100" s="113">
        <f t="shared" si="141"/>
        <v>0</v>
      </c>
      <c r="AT100" s="113">
        <f t="shared" si="141"/>
        <v>0</v>
      </c>
      <c r="AU100" s="113"/>
      <c r="AV100" s="113"/>
      <c r="AW100" s="113"/>
      <c r="AX100" s="113"/>
      <c r="AY100" s="113">
        <f t="shared" si="142"/>
        <v>0</v>
      </c>
      <c r="AZ100" s="113">
        <f t="shared" si="142"/>
        <v>0</v>
      </c>
      <c r="BA100" s="113"/>
      <c r="BB100" s="113"/>
      <c r="BC100" s="113"/>
      <c r="BD100" s="113"/>
      <c r="BE100" s="113">
        <f t="shared" si="143"/>
        <v>0</v>
      </c>
      <c r="BF100" s="113"/>
      <c r="BG100" s="113">
        <f t="shared" si="134"/>
        <v>0</v>
      </c>
      <c r="BH100" s="113"/>
      <c r="BI100" s="113"/>
      <c r="BJ100" s="113"/>
      <c r="BK100" s="113"/>
      <c r="BL100" s="113">
        <f t="shared" si="144"/>
        <v>0</v>
      </c>
      <c r="BM100" s="113"/>
      <c r="BN100" s="113">
        <f t="shared" si="135"/>
        <v>0</v>
      </c>
      <c r="BO100" s="113"/>
      <c r="BP100" s="113"/>
      <c r="BQ100" s="113"/>
      <c r="BR100" s="113"/>
      <c r="BS100" s="113">
        <f t="shared" si="145"/>
        <v>0</v>
      </c>
      <c r="BT100" s="113"/>
      <c r="BU100" s="113">
        <f t="shared" si="136"/>
        <v>0</v>
      </c>
      <c r="BV100" s="113"/>
      <c r="BW100" s="113"/>
      <c r="BX100" s="113"/>
      <c r="BY100" s="113"/>
      <c r="BZ100" s="113">
        <f t="shared" si="146"/>
        <v>0</v>
      </c>
      <c r="CA100" s="113"/>
      <c r="CB100" s="113">
        <f t="shared" si="109"/>
        <v>0</v>
      </c>
      <c r="CC100" s="113"/>
      <c r="CD100" s="113"/>
      <c r="CE100" s="113"/>
      <c r="CF100" s="113"/>
      <c r="CG100" s="113">
        <f t="shared" si="147"/>
        <v>0</v>
      </c>
      <c r="CH100" s="113">
        <f t="shared" si="111"/>
        <v>0</v>
      </c>
      <c r="CI100" s="113"/>
      <c r="CJ100" s="113"/>
      <c r="CK100" s="113"/>
      <c r="CL100" s="113"/>
      <c r="CM100" s="113">
        <f t="shared" si="148"/>
        <v>0</v>
      </c>
      <c r="CN100" s="113">
        <f t="shared" si="148"/>
        <v>0</v>
      </c>
      <c r="CO100" s="113"/>
      <c r="CP100" s="113"/>
      <c r="CQ100" s="113"/>
      <c r="CR100" s="113"/>
      <c r="CS100" s="113">
        <f t="shared" si="149"/>
        <v>0</v>
      </c>
      <c r="CT100" s="113">
        <f t="shared" si="149"/>
        <v>0</v>
      </c>
      <c r="CU100" s="113"/>
      <c r="CV100" s="113"/>
      <c r="CW100" s="113"/>
      <c r="CX100" s="113"/>
      <c r="CY100" s="113">
        <f t="shared" si="150"/>
        <v>0</v>
      </c>
      <c r="CZ100" s="113">
        <f t="shared" si="150"/>
        <v>0</v>
      </c>
      <c r="DA100" s="113"/>
      <c r="DB100" s="113"/>
      <c r="DC100" s="113"/>
      <c r="DD100" s="113"/>
      <c r="DE100" s="113">
        <f t="shared" si="151"/>
        <v>0</v>
      </c>
      <c r="DF100" s="113">
        <f t="shared" si="151"/>
        <v>0</v>
      </c>
      <c r="DG100" s="113"/>
      <c r="DH100" s="113"/>
      <c r="DI100" s="113"/>
      <c r="DJ100" s="113"/>
      <c r="DK100" s="113">
        <f t="shared" si="152"/>
        <v>0</v>
      </c>
      <c r="DL100" s="113">
        <f t="shared" si="152"/>
        <v>0</v>
      </c>
      <c r="DM100" s="113">
        <f t="shared" si="117"/>
        <v>0</v>
      </c>
      <c r="DN100" s="113">
        <f t="shared" si="118"/>
        <v>0</v>
      </c>
      <c r="DO100" s="113">
        <f t="shared" si="119"/>
        <v>0</v>
      </c>
      <c r="DP100" s="113">
        <f t="shared" si="120"/>
        <v>0</v>
      </c>
      <c r="DQ100" s="113">
        <f t="shared" si="153"/>
        <v>0</v>
      </c>
      <c r="DR100" s="113">
        <f t="shared" si="153"/>
        <v>0</v>
      </c>
    </row>
    <row r="101" spans="1:122">
      <c r="A101" s="15">
        <v>93</v>
      </c>
      <c r="B101" s="96" t="s">
        <v>1091</v>
      </c>
      <c r="C101" s="96" t="s">
        <v>1096</v>
      </c>
      <c r="D101" s="96" t="s">
        <v>1097</v>
      </c>
      <c r="E101" s="185" t="s">
        <v>1164</v>
      </c>
      <c r="F101" s="161">
        <f t="shared" si="130"/>
        <v>1604.5</v>
      </c>
      <c r="G101" s="161">
        <f t="shared" si="122"/>
        <v>1604.05</v>
      </c>
      <c r="H101" s="161">
        <f t="shared" si="123"/>
        <v>0.45000000000004547</v>
      </c>
      <c r="I101" s="161">
        <f t="shared" si="124"/>
        <v>0</v>
      </c>
      <c r="J101" s="165">
        <f t="shared" si="98"/>
        <v>1604.5</v>
      </c>
      <c r="K101" s="115"/>
      <c r="L101" s="211">
        <v>0</v>
      </c>
      <c r="M101" s="211">
        <v>0</v>
      </c>
      <c r="N101" s="127">
        <f t="shared" si="131"/>
        <v>0</v>
      </c>
      <c r="O101" s="127">
        <f t="shared" si="132"/>
        <v>0</v>
      </c>
      <c r="P101" s="127">
        <f t="shared" si="133"/>
        <v>0</v>
      </c>
      <c r="Q101" s="131">
        <f t="shared" si="125"/>
        <v>1604.5</v>
      </c>
      <c r="R101" s="125">
        <f t="shared" si="99"/>
        <v>1604.05</v>
      </c>
      <c r="S101" s="113">
        <v>0</v>
      </c>
      <c r="T101" s="113"/>
      <c r="U101" s="113">
        <f t="shared" si="126"/>
        <v>0</v>
      </c>
      <c r="V101" s="113">
        <f t="shared" si="127"/>
        <v>0</v>
      </c>
      <c r="W101" s="113">
        <v>0</v>
      </c>
      <c r="X101" s="113">
        <v>0</v>
      </c>
      <c r="Y101" s="113">
        <v>0</v>
      </c>
      <c r="Z101" s="113">
        <v>0</v>
      </c>
      <c r="AA101" s="113">
        <f t="shared" si="137"/>
        <v>0</v>
      </c>
      <c r="AB101" s="113">
        <f t="shared" si="137"/>
        <v>0</v>
      </c>
      <c r="AC101" s="113"/>
      <c r="AD101" s="113"/>
      <c r="AE101" s="113"/>
      <c r="AF101" s="113"/>
      <c r="AG101" s="113">
        <f t="shared" si="138"/>
        <v>0</v>
      </c>
      <c r="AH101" s="113">
        <f t="shared" si="138"/>
        <v>0</v>
      </c>
      <c r="AI101" s="114">
        <f t="shared" si="128"/>
        <v>0</v>
      </c>
      <c r="AJ101" s="114">
        <f t="shared" si="139"/>
        <v>0</v>
      </c>
      <c r="AK101" s="114">
        <f t="shared" si="139"/>
        <v>0</v>
      </c>
      <c r="AL101" s="114">
        <f t="shared" si="129"/>
        <v>0</v>
      </c>
      <c r="AM101" s="113">
        <f t="shared" si="140"/>
        <v>0</v>
      </c>
      <c r="AN101" s="113">
        <f t="shared" si="140"/>
        <v>0</v>
      </c>
      <c r="AO101" s="113"/>
      <c r="AP101" s="113"/>
      <c r="AQ101" s="113">
        <v>1604.5</v>
      </c>
      <c r="AR101" s="113">
        <v>1604.05</v>
      </c>
      <c r="AS101" s="113">
        <f t="shared" si="141"/>
        <v>1604.5</v>
      </c>
      <c r="AT101" s="113">
        <f t="shared" si="141"/>
        <v>1604.05</v>
      </c>
      <c r="AU101" s="113"/>
      <c r="AV101" s="113"/>
      <c r="AW101" s="113"/>
      <c r="AX101" s="113"/>
      <c r="AY101" s="113">
        <f t="shared" si="142"/>
        <v>0</v>
      </c>
      <c r="AZ101" s="113">
        <f t="shared" si="142"/>
        <v>0</v>
      </c>
      <c r="BA101" s="113"/>
      <c r="BB101" s="113"/>
      <c r="BC101" s="113"/>
      <c r="BD101" s="113"/>
      <c r="BE101" s="113">
        <f t="shared" si="143"/>
        <v>0</v>
      </c>
      <c r="BF101" s="113"/>
      <c r="BG101" s="113">
        <f t="shared" si="134"/>
        <v>0</v>
      </c>
      <c r="BH101" s="113"/>
      <c r="BI101" s="113"/>
      <c r="BJ101" s="113"/>
      <c r="BK101" s="113"/>
      <c r="BL101" s="113">
        <f t="shared" si="144"/>
        <v>0</v>
      </c>
      <c r="BM101" s="113"/>
      <c r="BN101" s="113">
        <f t="shared" si="135"/>
        <v>0</v>
      </c>
      <c r="BO101" s="113"/>
      <c r="BP101" s="113"/>
      <c r="BQ101" s="113"/>
      <c r="BR101" s="113"/>
      <c r="BS101" s="113">
        <f t="shared" si="145"/>
        <v>0</v>
      </c>
      <c r="BT101" s="113"/>
      <c r="BU101" s="113">
        <f t="shared" si="136"/>
        <v>0</v>
      </c>
      <c r="BV101" s="113"/>
      <c r="BW101" s="113"/>
      <c r="BX101" s="113"/>
      <c r="BY101" s="113"/>
      <c r="BZ101" s="113">
        <f t="shared" si="146"/>
        <v>0</v>
      </c>
      <c r="CA101" s="113"/>
      <c r="CB101" s="113">
        <f t="shared" si="109"/>
        <v>0</v>
      </c>
      <c r="CC101" s="113"/>
      <c r="CD101" s="113"/>
      <c r="CE101" s="113"/>
      <c r="CF101" s="113"/>
      <c r="CG101" s="113">
        <f t="shared" si="147"/>
        <v>0</v>
      </c>
      <c r="CH101" s="113">
        <f t="shared" si="111"/>
        <v>0</v>
      </c>
      <c r="CI101" s="113"/>
      <c r="CJ101" s="113"/>
      <c r="CK101" s="113"/>
      <c r="CL101" s="113"/>
      <c r="CM101" s="113">
        <f t="shared" si="148"/>
        <v>0</v>
      </c>
      <c r="CN101" s="113">
        <f t="shared" si="148"/>
        <v>0</v>
      </c>
      <c r="CO101" s="113"/>
      <c r="CP101" s="113"/>
      <c r="CQ101" s="113"/>
      <c r="CR101" s="113"/>
      <c r="CS101" s="113">
        <f t="shared" si="149"/>
        <v>0</v>
      </c>
      <c r="CT101" s="113">
        <f t="shared" si="149"/>
        <v>0</v>
      </c>
      <c r="CU101" s="113"/>
      <c r="CV101" s="113"/>
      <c r="CW101" s="113"/>
      <c r="CX101" s="113"/>
      <c r="CY101" s="113">
        <f t="shared" si="150"/>
        <v>0</v>
      </c>
      <c r="CZ101" s="113">
        <f t="shared" si="150"/>
        <v>0</v>
      </c>
      <c r="DA101" s="113"/>
      <c r="DB101" s="113"/>
      <c r="DC101" s="113"/>
      <c r="DD101" s="113"/>
      <c r="DE101" s="113">
        <f t="shared" si="151"/>
        <v>0</v>
      </c>
      <c r="DF101" s="113">
        <f t="shared" si="151"/>
        <v>0</v>
      </c>
      <c r="DG101" s="113"/>
      <c r="DH101" s="113"/>
      <c r="DI101" s="113"/>
      <c r="DJ101" s="113"/>
      <c r="DK101" s="113">
        <f t="shared" si="152"/>
        <v>0</v>
      </c>
      <c r="DL101" s="113">
        <f t="shared" si="152"/>
        <v>0</v>
      </c>
      <c r="DM101" s="113">
        <f t="shared" si="117"/>
        <v>0</v>
      </c>
      <c r="DN101" s="113">
        <f t="shared" si="118"/>
        <v>0</v>
      </c>
      <c r="DO101" s="113">
        <f t="shared" si="119"/>
        <v>1604.5</v>
      </c>
      <c r="DP101" s="113">
        <f t="shared" si="120"/>
        <v>1604.05</v>
      </c>
      <c r="DQ101" s="113">
        <f t="shared" si="153"/>
        <v>1604.5</v>
      </c>
      <c r="DR101" s="113">
        <f t="shared" si="153"/>
        <v>1604.05</v>
      </c>
    </row>
    <row r="102" spans="1:122">
      <c r="A102" s="15">
        <v>94</v>
      </c>
      <c r="B102" s="96" t="s">
        <v>1091</v>
      </c>
      <c r="C102" s="187" t="s">
        <v>1096</v>
      </c>
      <c r="D102" s="96" t="s">
        <v>1098</v>
      </c>
      <c r="E102" s="185" t="s">
        <v>1165</v>
      </c>
      <c r="F102" s="161">
        <f t="shared" si="130"/>
        <v>0</v>
      </c>
      <c r="G102" s="161">
        <f t="shared" si="122"/>
        <v>56882.14</v>
      </c>
      <c r="H102" s="161">
        <f t="shared" si="123"/>
        <v>-56882.14</v>
      </c>
      <c r="I102" s="161">
        <f t="shared" si="124"/>
        <v>67997</v>
      </c>
      <c r="J102" s="165">
        <f t="shared" si="98"/>
        <v>0</v>
      </c>
      <c r="K102" s="115">
        <v>44490</v>
      </c>
      <c r="L102" s="211">
        <v>0</v>
      </c>
      <c r="M102" s="211">
        <v>0</v>
      </c>
      <c r="N102" s="127">
        <f t="shared" si="131"/>
        <v>0</v>
      </c>
      <c r="O102" s="127">
        <f t="shared" si="132"/>
        <v>0</v>
      </c>
      <c r="P102" s="127">
        <f t="shared" si="133"/>
        <v>0</v>
      </c>
      <c r="Q102" s="131">
        <f t="shared" si="125"/>
        <v>0</v>
      </c>
      <c r="R102" s="125">
        <f t="shared" si="99"/>
        <v>56882.14</v>
      </c>
      <c r="S102" s="113">
        <v>0</v>
      </c>
      <c r="T102" s="113"/>
      <c r="U102" s="113">
        <f t="shared" si="126"/>
        <v>0</v>
      </c>
      <c r="V102" s="113">
        <f t="shared" si="127"/>
        <v>0</v>
      </c>
      <c r="W102" s="113">
        <v>0</v>
      </c>
      <c r="X102" s="113">
        <v>0</v>
      </c>
      <c r="Y102" s="113">
        <v>0</v>
      </c>
      <c r="Z102" s="113">
        <v>0</v>
      </c>
      <c r="AA102" s="113">
        <f t="shared" si="137"/>
        <v>0</v>
      </c>
      <c r="AB102" s="113">
        <f t="shared" si="137"/>
        <v>0</v>
      </c>
      <c r="AC102" s="113"/>
      <c r="AD102" s="113"/>
      <c r="AE102" s="113"/>
      <c r="AF102" s="113"/>
      <c r="AG102" s="113">
        <f t="shared" si="138"/>
        <v>0</v>
      </c>
      <c r="AH102" s="113">
        <f t="shared" si="138"/>
        <v>0</v>
      </c>
      <c r="AI102" s="114">
        <f t="shared" si="128"/>
        <v>0</v>
      </c>
      <c r="AJ102" s="114">
        <f t="shared" si="139"/>
        <v>0</v>
      </c>
      <c r="AK102" s="114">
        <f t="shared" si="139"/>
        <v>0</v>
      </c>
      <c r="AL102" s="114">
        <f t="shared" si="129"/>
        <v>0</v>
      </c>
      <c r="AM102" s="113">
        <f t="shared" si="140"/>
        <v>0</v>
      </c>
      <c r="AN102" s="113">
        <f t="shared" si="140"/>
        <v>0</v>
      </c>
      <c r="AO102" s="113"/>
      <c r="AP102" s="113"/>
      <c r="AQ102" s="113"/>
      <c r="AR102" s="113"/>
      <c r="AS102" s="113">
        <f t="shared" si="141"/>
        <v>0</v>
      </c>
      <c r="AT102" s="113">
        <f t="shared" si="141"/>
        <v>0</v>
      </c>
      <c r="AU102" s="113"/>
      <c r="AV102" s="113"/>
      <c r="AW102" s="113"/>
      <c r="AX102" s="113"/>
      <c r="AY102" s="113">
        <f t="shared" si="142"/>
        <v>0</v>
      </c>
      <c r="AZ102" s="113">
        <f t="shared" si="142"/>
        <v>0</v>
      </c>
      <c r="BA102" s="113"/>
      <c r="BB102" s="113">
        <v>50000</v>
      </c>
      <c r="BC102" s="113"/>
      <c r="BD102" s="113"/>
      <c r="BE102" s="113">
        <f t="shared" si="143"/>
        <v>0</v>
      </c>
      <c r="BF102" s="113">
        <v>50000</v>
      </c>
      <c r="BG102" s="113">
        <f t="shared" si="134"/>
        <v>50000</v>
      </c>
      <c r="BH102" s="113"/>
      <c r="BI102" s="113"/>
      <c r="BJ102" s="113"/>
      <c r="BK102" s="113"/>
      <c r="BL102" s="113">
        <f t="shared" si="144"/>
        <v>0</v>
      </c>
      <c r="BM102" s="113">
        <v>17997</v>
      </c>
      <c r="BN102" s="113">
        <f t="shared" si="135"/>
        <v>0</v>
      </c>
      <c r="BO102" s="113"/>
      <c r="BP102" s="113"/>
      <c r="BQ102" s="113"/>
      <c r="BR102" s="113"/>
      <c r="BS102" s="113">
        <f t="shared" si="145"/>
        <v>0</v>
      </c>
      <c r="BT102" s="113"/>
      <c r="BU102" s="113">
        <f t="shared" si="136"/>
        <v>0</v>
      </c>
      <c r="BV102" s="113"/>
      <c r="BW102" s="113"/>
      <c r="BX102" s="113"/>
      <c r="BY102" s="113">
        <v>6882.14</v>
      </c>
      <c r="BZ102" s="113">
        <f t="shared" si="146"/>
        <v>0</v>
      </c>
      <c r="CA102" s="113"/>
      <c r="CB102" s="113">
        <f t="shared" si="109"/>
        <v>6882.14</v>
      </c>
      <c r="CC102" s="113"/>
      <c r="CD102" s="113"/>
      <c r="CE102" s="113"/>
      <c r="CF102" s="113"/>
      <c r="CG102" s="113">
        <f t="shared" si="147"/>
        <v>0</v>
      </c>
      <c r="CH102" s="113">
        <f t="shared" si="111"/>
        <v>0</v>
      </c>
      <c r="CI102" s="113"/>
      <c r="CJ102" s="113"/>
      <c r="CK102" s="113"/>
      <c r="CL102" s="113"/>
      <c r="CM102" s="113">
        <f t="shared" si="148"/>
        <v>0</v>
      </c>
      <c r="CN102" s="113">
        <f t="shared" si="148"/>
        <v>0</v>
      </c>
      <c r="CO102" s="113"/>
      <c r="CP102" s="113"/>
      <c r="CQ102" s="113"/>
      <c r="CR102" s="113"/>
      <c r="CS102" s="113">
        <f t="shared" si="149"/>
        <v>0</v>
      </c>
      <c r="CT102" s="113">
        <f t="shared" si="149"/>
        <v>0</v>
      </c>
      <c r="CU102" s="113"/>
      <c r="CV102" s="113"/>
      <c r="CW102" s="113"/>
      <c r="CX102" s="113"/>
      <c r="CY102" s="113">
        <f t="shared" si="150"/>
        <v>0</v>
      </c>
      <c r="CZ102" s="113">
        <f t="shared" si="150"/>
        <v>0</v>
      </c>
      <c r="DA102" s="113"/>
      <c r="DB102" s="113"/>
      <c r="DC102" s="113"/>
      <c r="DD102" s="113"/>
      <c r="DE102" s="113">
        <f t="shared" si="151"/>
        <v>0</v>
      </c>
      <c r="DF102" s="113">
        <f t="shared" si="151"/>
        <v>0</v>
      </c>
      <c r="DG102" s="113"/>
      <c r="DH102" s="113"/>
      <c r="DI102" s="113"/>
      <c r="DJ102" s="113"/>
      <c r="DK102" s="113">
        <f t="shared" si="152"/>
        <v>0</v>
      </c>
      <c r="DL102" s="113">
        <f t="shared" si="152"/>
        <v>0</v>
      </c>
      <c r="DM102" s="113">
        <f t="shared" si="117"/>
        <v>0</v>
      </c>
      <c r="DN102" s="113">
        <f t="shared" si="118"/>
        <v>50000</v>
      </c>
      <c r="DO102" s="113">
        <f t="shared" si="119"/>
        <v>0</v>
      </c>
      <c r="DP102" s="113">
        <f t="shared" si="120"/>
        <v>6882.14</v>
      </c>
      <c r="DQ102" s="113">
        <f t="shared" si="153"/>
        <v>0</v>
      </c>
      <c r="DR102" s="113">
        <f t="shared" si="153"/>
        <v>56882.14</v>
      </c>
    </row>
    <row r="103" spans="1:122">
      <c r="A103" s="15">
        <v>95</v>
      </c>
      <c r="B103" s="96" t="s">
        <v>1091</v>
      </c>
      <c r="C103" s="187" t="s">
        <v>1099</v>
      </c>
      <c r="D103" s="96" t="s">
        <v>1100</v>
      </c>
      <c r="E103" s="185" t="s">
        <v>1165</v>
      </c>
      <c r="F103" s="161">
        <f t="shared" si="130"/>
        <v>0</v>
      </c>
      <c r="G103" s="161">
        <f t="shared" si="122"/>
        <v>0</v>
      </c>
      <c r="H103" s="161">
        <f t="shared" si="123"/>
        <v>0</v>
      </c>
      <c r="I103" s="161">
        <f t="shared" si="124"/>
        <v>0</v>
      </c>
      <c r="J103" s="165">
        <f t="shared" si="98"/>
        <v>63711.67</v>
      </c>
      <c r="K103" s="115">
        <v>29680</v>
      </c>
      <c r="L103" s="211">
        <v>0</v>
      </c>
      <c r="M103" s="211">
        <v>0</v>
      </c>
      <c r="N103" s="127">
        <f t="shared" si="131"/>
        <v>63711.67</v>
      </c>
      <c r="O103" s="127">
        <f t="shared" si="132"/>
        <v>63711.67</v>
      </c>
      <c r="P103" s="127">
        <f t="shared" si="133"/>
        <v>63711.67</v>
      </c>
      <c r="Q103" s="131">
        <f t="shared" si="125"/>
        <v>0</v>
      </c>
      <c r="R103" s="125">
        <f t="shared" si="99"/>
        <v>63711.67</v>
      </c>
      <c r="S103" s="113">
        <v>0</v>
      </c>
      <c r="T103" s="113"/>
      <c r="U103" s="113">
        <f t="shared" si="126"/>
        <v>0</v>
      </c>
      <c r="V103" s="113">
        <f t="shared" si="127"/>
        <v>0</v>
      </c>
      <c r="W103" s="113">
        <v>0</v>
      </c>
      <c r="X103" s="113">
        <v>0</v>
      </c>
      <c r="Y103" s="113">
        <v>64000</v>
      </c>
      <c r="Z103" s="113">
        <v>63711.67</v>
      </c>
      <c r="AA103" s="113">
        <f t="shared" si="137"/>
        <v>64000</v>
      </c>
      <c r="AB103" s="113">
        <f t="shared" si="137"/>
        <v>63711.67</v>
      </c>
      <c r="AC103" s="113"/>
      <c r="AD103" s="113"/>
      <c r="AE103" s="113"/>
      <c r="AF103" s="113"/>
      <c r="AG103" s="113">
        <f t="shared" si="138"/>
        <v>0</v>
      </c>
      <c r="AH103" s="113">
        <f t="shared" si="138"/>
        <v>0</v>
      </c>
      <c r="AI103" s="114">
        <f t="shared" si="128"/>
        <v>0</v>
      </c>
      <c r="AJ103" s="114">
        <f t="shared" si="139"/>
        <v>0</v>
      </c>
      <c r="AK103" s="114">
        <f t="shared" si="139"/>
        <v>64000</v>
      </c>
      <c r="AL103" s="114">
        <f t="shared" si="129"/>
        <v>63711.67</v>
      </c>
      <c r="AM103" s="113">
        <f t="shared" si="140"/>
        <v>64000</v>
      </c>
      <c r="AN103" s="113">
        <f t="shared" si="140"/>
        <v>63711.67</v>
      </c>
      <c r="AO103" s="113"/>
      <c r="AP103" s="113"/>
      <c r="AQ103" s="113"/>
      <c r="AR103" s="113"/>
      <c r="AS103" s="113">
        <f t="shared" si="141"/>
        <v>0</v>
      </c>
      <c r="AT103" s="113">
        <f t="shared" si="141"/>
        <v>0</v>
      </c>
      <c r="AU103" s="113"/>
      <c r="AV103" s="113"/>
      <c r="AW103" s="113"/>
      <c r="AX103" s="113"/>
      <c r="AY103" s="113">
        <f t="shared" si="142"/>
        <v>0</v>
      </c>
      <c r="AZ103" s="113">
        <f t="shared" si="142"/>
        <v>0</v>
      </c>
      <c r="BA103" s="113"/>
      <c r="BB103" s="113"/>
      <c r="BC103" s="113"/>
      <c r="BD103" s="113"/>
      <c r="BE103" s="113">
        <f t="shared" si="143"/>
        <v>0</v>
      </c>
      <c r="BF103" s="113"/>
      <c r="BG103" s="113">
        <f t="shared" si="134"/>
        <v>0</v>
      </c>
      <c r="BH103" s="113"/>
      <c r="BI103" s="113"/>
      <c r="BJ103" s="113"/>
      <c r="BK103" s="113"/>
      <c r="BL103" s="113">
        <f t="shared" si="144"/>
        <v>0</v>
      </c>
      <c r="BM103" s="113"/>
      <c r="BN103" s="113">
        <f t="shared" si="135"/>
        <v>0</v>
      </c>
      <c r="BO103" s="113"/>
      <c r="BP103" s="113"/>
      <c r="BQ103" s="113"/>
      <c r="BR103" s="113"/>
      <c r="BS103" s="113">
        <f t="shared" si="145"/>
        <v>0</v>
      </c>
      <c r="BT103" s="113"/>
      <c r="BU103" s="113">
        <f t="shared" si="136"/>
        <v>0</v>
      </c>
      <c r="BV103" s="113"/>
      <c r="BW103" s="113"/>
      <c r="BX103" s="113"/>
      <c r="BY103" s="113"/>
      <c r="BZ103" s="113">
        <f t="shared" si="146"/>
        <v>0</v>
      </c>
      <c r="CA103" s="113"/>
      <c r="CB103" s="113">
        <f t="shared" si="109"/>
        <v>0</v>
      </c>
      <c r="CC103" s="113"/>
      <c r="CD103" s="113"/>
      <c r="CE103" s="113"/>
      <c r="CF103" s="113"/>
      <c r="CG103" s="113">
        <f t="shared" si="147"/>
        <v>0</v>
      </c>
      <c r="CH103" s="113">
        <f t="shared" si="111"/>
        <v>0</v>
      </c>
      <c r="CI103" s="113"/>
      <c r="CJ103" s="113"/>
      <c r="CK103" s="113"/>
      <c r="CL103" s="113"/>
      <c r="CM103" s="113">
        <f t="shared" si="148"/>
        <v>0</v>
      </c>
      <c r="CN103" s="113">
        <f t="shared" si="148"/>
        <v>0</v>
      </c>
      <c r="CO103" s="113"/>
      <c r="CP103" s="113"/>
      <c r="CQ103" s="113"/>
      <c r="CR103" s="113"/>
      <c r="CS103" s="113">
        <f t="shared" si="149"/>
        <v>0</v>
      </c>
      <c r="CT103" s="113">
        <f t="shared" si="149"/>
        <v>0</v>
      </c>
      <c r="CU103" s="113"/>
      <c r="CV103" s="113"/>
      <c r="CW103" s="113"/>
      <c r="CX103" s="113"/>
      <c r="CY103" s="113">
        <f t="shared" si="150"/>
        <v>0</v>
      </c>
      <c r="CZ103" s="113">
        <f t="shared" si="150"/>
        <v>0</v>
      </c>
      <c r="DA103" s="113"/>
      <c r="DB103" s="113"/>
      <c r="DC103" s="113"/>
      <c r="DD103" s="113"/>
      <c r="DE103" s="113">
        <f t="shared" si="151"/>
        <v>0</v>
      </c>
      <c r="DF103" s="113">
        <f t="shared" si="151"/>
        <v>0</v>
      </c>
      <c r="DG103" s="113"/>
      <c r="DH103" s="113"/>
      <c r="DI103" s="113"/>
      <c r="DJ103" s="113"/>
      <c r="DK103" s="113">
        <f t="shared" si="152"/>
        <v>0</v>
      </c>
      <c r="DL103" s="113">
        <f t="shared" si="152"/>
        <v>0</v>
      </c>
      <c r="DM103" s="113">
        <f t="shared" si="117"/>
        <v>0</v>
      </c>
      <c r="DN103" s="113">
        <f t="shared" si="118"/>
        <v>0</v>
      </c>
      <c r="DO103" s="113">
        <f t="shared" si="119"/>
        <v>0</v>
      </c>
      <c r="DP103" s="113">
        <f t="shared" si="120"/>
        <v>0</v>
      </c>
      <c r="DQ103" s="113">
        <f t="shared" si="153"/>
        <v>0</v>
      </c>
      <c r="DR103" s="113">
        <f t="shared" si="153"/>
        <v>0</v>
      </c>
    </row>
    <row r="104" spans="1:122">
      <c r="A104" s="15">
        <v>96</v>
      </c>
      <c r="B104" s="96" t="s">
        <v>1091</v>
      </c>
      <c r="C104" s="187" t="s">
        <v>1101</v>
      </c>
      <c r="D104" s="96" t="s">
        <v>1102</v>
      </c>
      <c r="E104" s="185" t="s">
        <v>1165</v>
      </c>
      <c r="F104" s="161">
        <f t="shared" si="130"/>
        <v>0</v>
      </c>
      <c r="G104" s="161">
        <f t="shared" si="122"/>
        <v>0</v>
      </c>
      <c r="H104" s="161">
        <f t="shared" si="123"/>
        <v>0</v>
      </c>
      <c r="I104" s="161">
        <f t="shared" si="124"/>
        <v>0</v>
      </c>
      <c r="J104" s="165">
        <f t="shared" si="98"/>
        <v>21620</v>
      </c>
      <c r="K104" s="115">
        <v>177938</v>
      </c>
      <c r="L104" s="211">
        <v>21620</v>
      </c>
      <c r="M104" s="211">
        <v>0</v>
      </c>
      <c r="N104" s="127">
        <f t="shared" si="131"/>
        <v>0</v>
      </c>
      <c r="O104" s="127">
        <f t="shared" si="132"/>
        <v>0</v>
      </c>
      <c r="P104" s="127">
        <f t="shared" si="133"/>
        <v>21620</v>
      </c>
      <c r="Q104" s="131">
        <f t="shared" si="125"/>
        <v>0</v>
      </c>
      <c r="R104" s="125" t="str">
        <f t="shared" si="99"/>
        <v>მიმდინარეობს</v>
      </c>
      <c r="S104" s="113">
        <v>0</v>
      </c>
      <c r="T104" s="113"/>
      <c r="U104" s="113">
        <f t="shared" si="126"/>
        <v>21620</v>
      </c>
      <c r="V104" s="113">
        <f t="shared" si="127"/>
        <v>0</v>
      </c>
      <c r="W104" s="113">
        <v>0</v>
      </c>
      <c r="X104" s="113">
        <v>0</v>
      </c>
      <c r="Y104" s="113">
        <v>0</v>
      </c>
      <c r="Z104" s="113">
        <v>0</v>
      </c>
      <c r="AA104" s="113">
        <f t="shared" si="137"/>
        <v>0</v>
      </c>
      <c r="AB104" s="113">
        <f t="shared" si="137"/>
        <v>0</v>
      </c>
      <c r="AC104" s="113"/>
      <c r="AD104" s="113"/>
      <c r="AE104" s="113"/>
      <c r="AF104" s="113"/>
      <c r="AG104" s="113">
        <f t="shared" si="138"/>
        <v>0</v>
      </c>
      <c r="AH104" s="113">
        <f t="shared" si="138"/>
        <v>0</v>
      </c>
      <c r="AI104" s="114">
        <f t="shared" si="128"/>
        <v>0</v>
      </c>
      <c r="AJ104" s="114">
        <f t="shared" si="139"/>
        <v>0</v>
      </c>
      <c r="AK104" s="114">
        <f t="shared" si="139"/>
        <v>0</v>
      </c>
      <c r="AL104" s="114">
        <f t="shared" si="129"/>
        <v>0</v>
      </c>
      <c r="AM104" s="113">
        <f t="shared" si="140"/>
        <v>0</v>
      </c>
      <c r="AN104" s="113">
        <f t="shared" si="140"/>
        <v>0</v>
      </c>
      <c r="AO104" s="113"/>
      <c r="AP104" s="113"/>
      <c r="AQ104" s="113"/>
      <c r="AR104" s="113"/>
      <c r="AS104" s="113">
        <f t="shared" si="141"/>
        <v>0</v>
      </c>
      <c r="AT104" s="113">
        <f t="shared" si="141"/>
        <v>0</v>
      </c>
      <c r="AU104" s="113"/>
      <c r="AV104" s="113"/>
      <c r="AW104" s="113"/>
      <c r="AX104" s="113"/>
      <c r="AY104" s="113">
        <f t="shared" si="142"/>
        <v>0</v>
      </c>
      <c r="AZ104" s="113">
        <f t="shared" si="142"/>
        <v>0</v>
      </c>
      <c r="BA104" s="113"/>
      <c r="BB104" s="113"/>
      <c r="BC104" s="113"/>
      <c r="BD104" s="113"/>
      <c r="BE104" s="113">
        <f t="shared" si="143"/>
        <v>0</v>
      </c>
      <c r="BF104" s="113"/>
      <c r="BG104" s="113">
        <f t="shared" si="134"/>
        <v>0</v>
      </c>
      <c r="BH104" s="113"/>
      <c r="BI104" s="113"/>
      <c r="BJ104" s="113"/>
      <c r="BK104" s="113"/>
      <c r="BL104" s="113">
        <f t="shared" si="144"/>
        <v>0</v>
      </c>
      <c r="BM104" s="113"/>
      <c r="BN104" s="113">
        <f t="shared" si="135"/>
        <v>0</v>
      </c>
      <c r="BO104" s="113"/>
      <c r="BP104" s="113"/>
      <c r="BQ104" s="113"/>
      <c r="BR104" s="113"/>
      <c r="BS104" s="113">
        <f t="shared" si="145"/>
        <v>0</v>
      </c>
      <c r="BT104" s="113"/>
      <c r="BU104" s="113">
        <f t="shared" si="136"/>
        <v>0</v>
      </c>
      <c r="BV104" s="113"/>
      <c r="BW104" s="113"/>
      <c r="BX104" s="113"/>
      <c r="BY104" s="113"/>
      <c r="BZ104" s="113">
        <f t="shared" si="146"/>
        <v>0</v>
      </c>
      <c r="CA104" s="113"/>
      <c r="CB104" s="113">
        <f t="shared" si="109"/>
        <v>0</v>
      </c>
      <c r="CC104" s="113"/>
      <c r="CD104" s="113"/>
      <c r="CE104" s="113"/>
      <c r="CF104" s="113"/>
      <c r="CG104" s="113">
        <f t="shared" si="147"/>
        <v>0</v>
      </c>
      <c r="CH104" s="113">
        <f t="shared" si="111"/>
        <v>0</v>
      </c>
      <c r="CI104" s="113"/>
      <c r="CJ104" s="113"/>
      <c r="CK104" s="113"/>
      <c r="CL104" s="113"/>
      <c r="CM104" s="113">
        <f t="shared" si="148"/>
        <v>0</v>
      </c>
      <c r="CN104" s="113">
        <f t="shared" si="148"/>
        <v>0</v>
      </c>
      <c r="CO104" s="113"/>
      <c r="CP104" s="113"/>
      <c r="CQ104" s="113"/>
      <c r="CR104" s="113"/>
      <c r="CS104" s="113">
        <f t="shared" si="149"/>
        <v>0</v>
      </c>
      <c r="CT104" s="113">
        <f t="shared" si="149"/>
        <v>0</v>
      </c>
      <c r="CU104" s="113"/>
      <c r="CV104" s="113"/>
      <c r="CW104" s="113"/>
      <c r="CX104" s="113"/>
      <c r="CY104" s="113">
        <f t="shared" si="150"/>
        <v>0</v>
      </c>
      <c r="CZ104" s="113">
        <f t="shared" si="150"/>
        <v>0</v>
      </c>
      <c r="DA104" s="113"/>
      <c r="DB104" s="113"/>
      <c r="DC104" s="113"/>
      <c r="DD104" s="113"/>
      <c r="DE104" s="113">
        <f t="shared" si="151"/>
        <v>0</v>
      </c>
      <c r="DF104" s="113">
        <f t="shared" si="151"/>
        <v>0</v>
      </c>
      <c r="DG104" s="113"/>
      <c r="DH104" s="113"/>
      <c r="DI104" s="113"/>
      <c r="DJ104" s="113"/>
      <c r="DK104" s="113">
        <f t="shared" si="152"/>
        <v>0</v>
      </c>
      <c r="DL104" s="113">
        <f t="shared" si="152"/>
        <v>0</v>
      </c>
      <c r="DM104" s="113">
        <f t="shared" si="117"/>
        <v>0</v>
      </c>
      <c r="DN104" s="113">
        <f t="shared" si="118"/>
        <v>0</v>
      </c>
      <c r="DO104" s="113">
        <f t="shared" si="119"/>
        <v>0</v>
      </c>
      <c r="DP104" s="113">
        <f t="shared" si="120"/>
        <v>0</v>
      </c>
      <c r="DQ104" s="113">
        <f t="shared" si="153"/>
        <v>0</v>
      </c>
      <c r="DR104" s="113">
        <f t="shared" si="153"/>
        <v>0</v>
      </c>
    </row>
    <row r="105" spans="1:122">
      <c r="A105" s="15">
        <v>98</v>
      </c>
      <c r="B105" s="96" t="s">
        <v>1091</v>
      </c>
      <c r="C105" s="187" t="s">
        <v>1103</v>
      </c>
      <c r="D105" s="96" t="s">
        <v>1104</v>
      </c>
      <c r="E105" s="185" t="s">
        <v>1165</v>
      </c>
      <c r="F105" s="161">
        <f t="shared" si="130"/>
        <v>0</v>
      </c>
      <c r="G105" s="161">
        <f t="shared" si="122"/>
        <v>0</v>
      </c>
      <c r="H105" s="161">
        <f t="shared" si="123"/>
        <v>0</v>
      </c>
      <c r="I105" s="161">
        <f t="shared" si="124"/>
        <v>0</v>
      </c>
      <c r="J105" s="165">
        <f t="shared" ref="J105:J140" si="154">L105+AN105+DQ105</f>
        <v>1922</v>
      </c>
      <c r="K105" s="115">
        <v>3559.2</v>
      </c>
      <c r="L105" s="211">
        <v>0</v>
      </c>
      <c r="M105" s="211">
        <v>0</v>
      </c>
      <c r="N105" s="127">
        <f t="shared" si="131"/>
        <v>1922</v>
      </c>
      <c r="O105" s="127">
        <f t="shared" si="132"/>
        <v>1922</v>
      </c>
      <c r="P105" s="127">
        <f t="shared" si="133"/>
        <v>1922</v>
      </c>
      <c r="Q105" s="131">
        <f t="shared" si="125"/>
        <v>0</v>
      </c>
      <c r="R105" s="125">
        <f t="shared" ref="R105:R140" si="155">IF(AND(AL105&gt;0,DP105&gt;0),"შეცდომაა! ერთზე მეტი ბოლო ჩაბარება!",IF(OR(AL105&gt;0,DP105&gt;0,),IF(AL105&gt;0,L105+AN105,L105+AN105+DR105),IF(AND(L105=0,N105=0,DR105=0),"ნულოვანი შესრულება","მიმდინარეობს")))</f>
        <v>1922</v>
      </c>
      <c r="S105" s="113"/>
      <c r="T105" s="113">
        <v>1922</v>
      </c>
      <c r="U105" s="113">
        <f t="shared" si="126"/>
        <v>0</v>
      </c>
      <c r="V105" s="113">
        <f t="shared" si="127"/>
        <v>1922</v>
      </c>
      <c r="W105" s="113">
        <v>0</v>
      </c>
      <c r="X105" s="113">
        <v>0</v>
      </c>
      <c r="Y105" s="113">
        <v>0</v>
      </c>
      <c r="Z105" s="113">
        <v>0</v>
      </c>
      <c r="AA105" s="113">
        <f t="shared" ref="AA105:AB138" si="156">W105+Y105</f>
        <v>0</v>
      </c>
      <c r="AB105" s="113">
        <f t="shared" si="156"/>
        <v>0</v>
      </c>
      <c r="AC105" s="113"/>
      <c r="AD105" s="113"/>
      <c r="AE105" s="113"/>
      <c r="AF105" s="113"/>
      <c r="AG105" s="113">
        <f t="shared" si="138"/>
        <v>0</v>
      </c>
      <c r="AH105" s="113">
        <f t="shared" si="138"/>
        <v>0</v>
      </c>
      <c r="AI105" s="114">
        <f t="shared" si="128"/>
        <v>0</v>
      </c>
      <c r="AJ105" s="114">
        <f t="shared" si="139"/>
        <v>0</v>
      </c>
      <c r="AK105" s="114">
        <f t="shared" si="139"/>
        <v>1922</v>
      </c>
      <c r="AL105" s="114">
        <f t="shared" si="129"/>
        <v>1922</v>
      </c>
      <c r="AM105" s="113">
        <f t="shared" si="140"/>
        <v>1922</v>
      </c>
      <c r="AN105" s="113">
        <f t="shared" si="140"/>
        <v>1922</v>
      </c>
      <c r="AO105" s="113"/>
      <c r="AP105" s="113"/>
      <c r="AQ105" s="113"/>
      <c r="AR105" s="113"/>
      <c r="AS105" s="113">
        <f t="shared" si="141"/>
        <v>0</v>
      </c>
      <c r="AT105" s="113">
        <f t="shared" si="141"/>
        <v>0</v>
      </c>
      <c r="AU105" s="113"/>
      <c r="AV105" s="113"/>
      <c r="AW105" s="113"/>
      <c r="AX105" s="113"/>
      <c r="AY105" s="113">
        <f t="shared" si="142"/>
        <v>0</v>
      </c>
      <c r="AZ105" s="113">
        <f t="shared" si="142"/>
        <v>0</v>
      </c>
      <c r="BA105" s="113"/>
      <c r="BB105" s="113"/>
      <c r="BC105" s="113"/>
      <c r="BD105" s="113"/>
      <c r="BE105" s="113">
        <f t="shared" si="143"/>
        <v>0</v>
      </c>
      <c r="BF105" s="113"/>
      <c r="BG105" s="113">
        <f t="shared" si="134"/>
        <v>0</v>
      </c>
      <c r="BH105" s="113"/>
      <c r="BI105" s="113"/>
      <c r="BJ105" s="113"/>
      <c r="BK105" s="113"/>
      <c r="BL105" s="113">
        <f t="shared" si="144"/>
        <v>0</v>
      </c>
      <c r="BM105" s="113"/>
      <c r="BN105" s="113">
        <f t="shared" si="135"/>
        <v>0</v>
      </c>
      <c r="BO105" s="113"/>
      <c r="BP105" s="113"/>
      <c r="BQ105" s="113"/>
      <c r="BR105" s="113"/>
      <c r="BS105" s="113">
        <f t="shared" si="145"/>
        <v>0</v>
      </c>
      <c r="BT105" s="113"/>
      <c r="BU105" s="113">
        <f t="shared" si="136"/>
        <v>0</v>
      </c>
      <c r="BV105" s="113"/>
      <c r="BW105" s="113"/>
      <c r="BX105" s="113"/>
      <c r="BY105" s="113"/>
      <c r="BZ105" s="113">
        <f t="shared" si="146"/>
        <v>0</v>
      </c>
      <c r="CA105" s="113"/>
      <c r="CB105" s="113">
        <f t="shared" ref="CB105:CB140" si="157">BW105+BY105</f>
        <v>0</v>
      </c>
      <c r="CC105" s="113"/>
      <c r="CD105" s="113"/>
      <c r="CE105" s="113"/>
      <c r="CF105" s="113"/>
      <c r="CG105" s="113">
        <f t="shared" si="147"/>
        <v>0</v>
      </c>
      <c r="CH105" s="113">
        <f t="shared" ref="CH105:CH140" si="158">CD105+CF105</f>
        <v>0</v>
      </c>
      <c r="CI105" s="113"/>
      <c r="CJ105" s="113"/>
      <c r="CK105" s="113"/>
      <c r="CL105" s="113"/>
      <c r="CM105" s="113">
        <f t="shared" si="148"/>
        <v>0</v>
      </c>
      <c r="CN105" s="113">
        <f t="shared" si="148"/>
        <v>0</v>
      </c>
      <c r="CO105" s="113"/>
      <c r="CP105" s="113"/>
      <c r="CQ105" s="113"/>
      <c r="CR105" s="113"/>
      <c r="CS105" s="113">
        <f t="shared" si="149"/>
        <v>0</v>
      </c>
      <c r="CT105" s="113">
        <f t="shared" si="149"/>
        <v>0</v>
      </c>
      <c r="CU105" s="113"/>
      <c r="CV105" s="113"/>
      <c r="CW105" s="113"/>
      <c r="CX105" s="113"/>
      <c r="CY105" s="113">
        <f t="shared" si="150"/>
        <v>0</v>
      </c>
      <c r="CZ105" s="113">
        <f t="shared" si="150"/>
        <v>0</v>
      </c>
      <c r="DA105" s="113"/>
      <c r="DB105" s="113"/>
      <c r="DC105" s="113"/>
      <c r="DD105" s="113"/>
      <c r="DE105" s="113">
        <f t="shared" si="151"/>
        <v>0</v>
      </c>
      <c r="DF105" s="113">
        <f t="shared" si="151"/>
        <v>0</v>
      </c>
      <c r="DG105" s="113"/>
      <c r="DH105" s="113"/>
      <c r="DI105" s="113"/>
      <c r="DJ105" s="113"/>
      <c r="DK105" s="113">
        <f t="shared" si="152"/>
        <v>0</v>
      </c>
      <c r="DL105" s="113">
        <f t="shared" si="152"/>
        <v>0</v>
      </c>
      <c r="DM105" s="113">
        <f t="shared" ref="DM105:DM140" si="159">AO105+AU105+BA105+BH105+BO105+BV105+CC105+CI105+CO105+CU105+DA105+DG105</f>
        <v>0</v>
      </c>
      <c r="DN105" s="113">
        <f t="shared" ref="DN105:DN140" si="160">AP105+AV105+BB105+BI105+BP105+BW105+CD105+CJ105+CP105+CV105+DB105+DH105</f>
        <v>0</v>
      </c>
      <c r="DO105" s="113">
        <f t="shared" ref="DO105:DO140" si="161">AQ105+AW105+BC105+BJ105+BQ105+BX105+CE105+CK105+CQ105+CW105+DC105+DI105</f>
        <v>0</v>
      </c>
      <c r="DP105" s="113">
        <f t="shared" ref="DP105:DP140" si="162">AR105+AX105+BD105+BK105+BR105+BY105+CF105+CL105+CR105+CX105+DD105+DJ105</f>
        <v>0</v>
      </c>
      <c r="DQ105" s="113">
        <f t="shared" si="153"/>
        <v>0</v>
      </c>
      <c r="DR105" s="113">
        <f t="shared" si="153"/>
        <v>0</v>
      </c>
    </row>
    <row r="106" spans="1:122">
      <c r="A106" s="15">
        <v>99</v>
      </c>
      <c r="B106" s="96" t="s">
        <v>1091</v>
      </c>
      <c r="C106" s="187" t="s">
        <v>1105</v>
      </c>
      <c r="D106" s="96" t="s">
        <v>1106</v>
      </c>
      <c r="E106" s="185" t="s">
        <v>1165</v>
      </c>
      <c r="F106" s="161">
        <f t="shared" si="130"/>
        <v>0</v>
      </c>
      <c r="G106" s="161">
        <f t="shared" si="122"/>
        <v>0</v>
      </c>
      <c r="H106" s="161">
        <f t="shared" si="123"/>
        <v>0</v>
      </c>
      <c r="I106" s="161">
        <f t="shared" si="124"/>
        <v>0</v>
      </c>
      <c r="J106" s="165">
        <f t="shared" si="154"/>
        <v>13470.48</v>
      </c>
      <c r="K106" s="115">
        <v>16110.4</v>
      </c>
      <c r="L106" s="211">
        <v>0</v>
      </c>
      <c r="M106" s="211">
        <v>0</v>
      </c>
      <c r="N106" s="127">
        <f t="shared" si="131"/>
        <v>13470.48</v>
      </c>
      <c r="O106" s="127">
        <f t="shared" si="132"/>
        <v>13470.48</v>
      </c>
      <c r="P106" s="127">
        <f t="shared" si="133"/>
        <v>13470.48</v>
      </c>
      <c r="Q106" s="131">
        <f t="shared" si="125"/>
        <v>0</v>
      </c>
      <c r="R106" s="125">
        <f t="shared" si="155"/>
        <v>13470.48</v>
      </c>
      <c r="S106" s="113">
        <v>0</v>
      </c>
      <c r="T106" s="113">
        <v>13470.48</v>
      </c>
      <c r="U106" s="113">
        <f t="shared" si="126"/>
        <v>0</v>
      </c>
      <c r="V106" s="113">
        <f t="shared" si="127"/>
        <v>13470.48</v>
      </c>
      <c r="W106" s="113">
        <v>0</v>
      </c>
      <c r="X106" s="113">
        <v>0</v>
      </c>
      <c r="Y106" s="113">
        <v>0</v>
      </c>
      <c r="Z106" s="113">
        <v>0</v>
      </c>
      <c r="AA106" s="113">
        <f t="shared" si="156"/>
        <v>0</v>
      </c>
      <c r="AB106" s="113">
        <f t="shared" si="156"/>
        <v>0</v>
      </c>
      <c r="AC106" s="113"/>
      <c r="AD106" s="113"/>
      <c r="AE106" s="113"/>
      <c r="AF106" s="113"/>
      <c r="AG106" s="113">
        <f t="shared" si="138"/>
        <v>0</v>
      </c>
      <c r="AH106" s="113">
        <f t="shared" si="138"/>
        <v>0</v>
      </c>
      <c r="AI106" s="114">
        <f t="shared" si="128"/>
        <v>0</v>
      </c>
      <c r="AJ106" s="114">
        <f t="shared" si="139"/>
        <v>0</v>
      </c>
      <c r="AK106" s="114">
        <f t="shared" si="139"/>
        <v>13470.48</v>
      </c>
      <c r="AL106" s="114">
        <f t="shared" si="129"/>
        <v>13470.48</v>
      </c>
      <c r="AM106" s="113">
        <f t="shared" si="140"/>
        <v>13470.48</v>
      </c>
      <c r="AN106" s="113">
        <f t="shared" si="140"/>
        <v>13470.48</v>
      </c>
      <c r="AO106" s="113"/>
      <c r="AP106" s="113"/>
      <c r="AQ106" s="113"/>
      <c r="AR106" s="113"/>
      <c r="AS106" s="113">
        <f t="shared" si="141"/>
        <v>0</v>
      </c>
      <c r="AT106" s="113">
        <f t="shared" si="141"/>
        <v>0</v>
      </c>
      <c r="AU106" s="113"/>
      <c r="AV106" s="113"/>
      <c r="AW106" s="113"/>
      <c r="AX106" s="113"/>
      <c r="AY106" s="113">
        <f t="shared" si="142"/>
        <v>0</v>
      </c>
      <c r="AZ106" s="113">
        <f t="shared" si="142"/>
        <v>0</v>
      </c>
      <c r="BA106" s="113"/>
      <c r="BB106" s="113"/>
      <c r="BC106" s="113"/>
      <c r="BD106" s="113"/>
      <c r="BE106" s="113">
        <f t="shared" si="143"/>
        <v>0</v>
      </c>
      <c r="BF106" s="113"/>
      <c r="BG106" s="113">
        <f t="shared" si="134"/>
        <v>0</v>
      </c>
      <c r="BH106" s="113"/>
      <c r="BI106" s="113"/>
      <c r="BJ106" s="113"/>
      <c r="BK106" s="113"/>
      <c r="BL106" s="113">
        <f t="shared" si="144"/>
        <v>0</v>
      </c>
      <c r="BM106" s="113"/>
      <c r="BN106" s="113">
        <f t="shared" si="135"/>
        <v>0</v>
      </c>
      <c r="BO106" s="113"/>
      <c r="BP106" s="113"/>
      <c r="BQ106" s="113"/>
      <c r="BR106" s="113"/>
      <c r="BS106" s="113">
        <f t="shared" si="145"/>
        <v>0</v>
      </c>
      <c r="BT106" s="113"/>
      <c r="BU106" s="113">
        <f t="shared" si="136"/>
        <v>0</v>
      </c>
      <c r="BV106" s="113"/>
      <c r="BW106" s="113"/>
      <c r="BX106" s="113"/>
      <c r="BY106" s="113"/>
      <c r="BZ106" s="113">
        <f t="shared" si="146"/>
        <v>0</v>
      </c>
      <c r="CA106" s="113"/>
      <c r="CB106" s="113">
        <f t="shared" si="157"/>
        <v>0</v>
      </c>
      <c r="CC106" s="113"/>
      <c r="CD106" s="113"/>
      <c r="CE106" s="113"/>
      <c r="CF106" s="113"/>
      <c r="CG106" s="113">
        <f t="shared" si="147"/>
        <v>0</v>
      </c>
      <c r="CH106" s="113">
        <f t="shared" si="158"/>
        <v>0</v>
      </c>
      <c r="CI106" s="113"/>
      <c r="CJ106" s="113"/>
      <c r="CK106" s="113"/>
      <c r="CL106" s="113"/>
      <c r="CM106" s="113">
        <f t="shared" si="148"/>
        <v>0</v>
      </c>
      <c r="CN106" s="113">
        <f t="shared" si="148"/>
        <v>0</v>
      </c>
      <c r="CO106" s="113"/>
      <c r="CP106" s="113"/>
      <c r="CQ106" s="113"/>
      <c r="CR106" s="113"/>
      <c r="CS106" s="113">
        <f t="shared" si="149"/>
        <v>0</v>
      </c>
      <c r="CT106" s="113">
        <f t="shared" si="149"/>
        <v>0</v>
      </c>
      <c r="CU106" s="113"/>
      <c r="CV106" s="113"/>
      <c r="CW106" s="113"/>
      <c r="CX106" s="113"/>
      <c r="CY106" s="113">
        <f t="shared" si="150"/>
        <v>0</v>
      </c>
      <c r="CZ106" s="113">
        <f t="shared" si="150"/>
        <v>0</v>
      </c>
      <c r="DA106" s="113"/>
      <c r="DB106" s="113"/>
      <c r="DC106" s="113"/>
      <c r="DD106" s="113"/>
      <c r="DE106" s="113">
        <f t="shared" si="151"/>
        <v>0</v>
      </c>
      <c r="DF106" s="113">
        <f t="shared" si="151"/>
        <v>0</v>
      </c>
      <c r="DG106" s="113"/>
      <c r="DH106" s="113"/>
      <c r="DI106" s="113"/>
      <c r="DJ106" s="113"/>
      <c r="DK106" s="113">
        <f t="shared" si="152"/>
        <v>0</v>
      </c>
      <c r="DL106" s="113">
        <f t="shared" si="152"/>
        <v>0</v>
      </c>
      <c r="DM106" s="113">
        <f t="shared" si="159"/>
        <v>0</v>
      </c>
      <c r="DN106" s="113">
        <f t="shared" si="160"/>
        <v>0</v>
      </c>
      <c r="DO106" s="113">
        <f t="shared" si="161"/>
        <v>0</v>
      </c>
      <c r="DP106" s="113">
        <f t="shared" si="162"/>
        <v>0</v>
      </c>
      <c r="DQ106" s="113">
        <f t="shared" si="153"/>
        <v>0</v>
      </c>
      <c r="DR106" s="113">
        <f t="shared" si="153"/>
        <v>0</v>
      </c>
    </row>
    <row r="107" spans="1:122">
      <c r="A107" s="15">
        <v>100</v>
      </c>
      <c r="B107" s="96" t="s">
        <v>1091</v>
      </c>
      <c r="C107" s="187" t="s">
        <v>1107</v>
      </c>
      <c r="D107" s="96" t="s">
        <v>1108</v>
      </c>
      <c r="E107" s="185" t="s">
        <v>1165</v>
      </c>
      <c r="F107" s="161">
        <f t="shared" si="130"/>
        <v>0</v>
      </c>
      <c r="G107" s="161">
        <f t="shared" si="122"/>
        <v>0</v>
      </c>
      <c r="H107" s="161">
        <f t="shared" si="123"/>
        <v>0</v>
      </c>
      <c r="I107" s="161">
        <f t="shared" si="124"/>
        <v>0</v>
      </c>
      <c r="J107" s="165">
        <f t="shared" si="154"/>
        <v>124095.28</v>
      </c>
      <c r="K107" s="115">
        <v>121070</v>
      </c>
      <c r="L107" s="211">
        <v>0</v>
      </c>
      <c r="M107" s="211">
        <v>0</v>
      </c>
      <c r="N107" s="127">
        <f t="shared" si="131"/>
        <v>124095.28</v>
      </c>
      <c r="O107" s="127">
        <f t="shared" si="132"/>
        <v>124095.28</v>
      </c>
      <c r="P107" s="127">
        <f t="shared" si="133"/>
        <v>124095.28</v>
      </c>
      <c r="Q107" s="131">
        <f t="shared" si="125"/>
        <v>0</v>
      </c>
      <c r="R107" s="125">
        <f t="shared" si="155"/>
        <v>124095.28</v>
      </c>
      <c r="S107" s="113">
        <v>100000</v>
      </c>
      <c r="T107" s="113"/>
      <c r="U107" s="113">
        <f t="shared" si="126"/>
        <v>100000</v>
      </c>
      <c r="V107" s="113">
        <f t="shared" si="127"/>
        <v>0</v>
      </c>
      <c r="W107" s="113">
        <v>0</v>
      </c>
      <c r="X107" s="113">
        <v>0</v>
      </c>
      <c r="Y107" s="113">
        <v>24000</v>
      </c>
      <c r="Z107" s="113">
        <v>24095.279999999999</v>
      </c>
      <c r="AA107" s="113">
        <f t="shared" si="156"/>
        <v>24000</v>
      </c>
      <c r="AB107" s="113">
        <f t="shared" si="156"/>
        <v>24095.279999999999</v>
      </c>
      <c r="AC107" s="113"/>
      <c r="AD107" s="113"/>
      <c r="AE107" s="113"/>
      <c r="AF107" s="113"/>
      <c r="AG107" s="113">
        <f t="shared" si="138"/>
        <v>0</v>
      </c>
      <c r="AH107" s="113">
        <f t="shared" si="138"/>
        <v>0</v>
      </c>
      <c r="AI107" s="114">
        <f t="shared" si="128"/>
        <v>100000</v>
      </c>
      <c r="AJ107" s="114">
        <f t="shared" si="139"/>
        <v>100000</v>
      </c>
      <c r="AK107" s="114">
        <f t="shared" si="139"/>
        <v>24000</v>
      </c>
      <c r="AL107" s="114">
        <f t="shared" si="129"/>
        <v>24095.279999999999</v>
      </c>
      <c r="AM107" s="113">
        <f t="shared" si="140"/>
        <v>124000</v>
      </c>
      <c r="AN107" s="113">
        <f t="shared" si="140"/>
        <v>124095.28</v>
      </c>
      <c r="AO107" s="113"/>
      <c r="AP107" s="113"/>
      <c r="AQ107" s="113"/>
      <c r="AR107" s="113"/>
      <c r="AS107" s="113">
        <f t="shared" si="141"/>
        <v>0</v>
      </c>
      <c r="AT107" s="113">
        <f t="shared" si="141"/>
        <v>0</v>
      </c>
      <c r="AU107" s="113"/>
      <c r="AV107" s="113"/>
      <c r="AW107" s="113"/>
      <c r="AX107" s="113"/>
      <c r="AY107" s="113">
        <f t="shared" si="142"/>
        <v>0</v>
      </c>
      <c r="AZ107" s="113">
        <f t="shared" si="142"/>
        <v>0</v>
      </c>
      <c r="BA107" s="113"/>
      <c r="BB107" s="113"/>
      <c r="BC107" s="113"/>
      <c r="BD107" s="113"/>
      <c r="BE107" s="113">
        <f t="shared" si="143"/>
        <v>0</v>
      </c>
      <c r="BF107" s="113"/>
      <c r="BG107" s="113">
        <f t="shared" si="134"/>
        <v>0</v>
      </c>
      <c r="BH107" s="113"/>
      <c r="BI107" s="113"/>
      <c r="BJ107" s="113"/>
      <c r="BK107" s="113"/>
      <c r="BL107" s="113">
        <f t="shared" si="144"/>
        <v>0</v>
      </c>
      <c r="BM107" s="113"/>
      <c r="BN107" s="113">
        <f t="shared" si="135"/>
        <v>0</v>
      </c>
      <c r="BO107" s="113"/>
      <c r="BP107" s="113"/>
      <c r="BQ107" s="113"/>
      <c r="BR107" s="113"/>
      <c r="BS107" s="113">
        <f t="shared" si="145"/>
        <v>0</v>
      </c>
      <c r="BT107" s="113"/>
      <c r="BU107" s="113">
        <f t="shared" si="136"/>
        <v>0</v>
      </c>
      <c r="BV107" s="113"/>
      <c r="BW107" s="113"/>
      <c r="BX107" s="113"/>
      <c r="BY107" s="113"/>
      <c r="BZ107" s="113">
        <f t="shared" si="146"/>
        <v>0</v>
      </c>
      <c r="CA107" s="113"/>
      <c r="CB107" s="113">
        <f t="shared" si="157"/>
        <v>0</v>
      </c>
      <c r="CC107" s="113"/>
      <c r="CD107" s="113"/>
      <c r="CE107" s="113"/>
      <c r="CF107" s="113"/>
      <c r="CG107" s="113">
        <f t="shared" si="147"/>
        <v>0</v>
      </c>
      <c r="CH107" s="113">
        <f t="shared" si="158"/>
        <v>0</v>
      </c>
      <c r="CI107" s="113"/>
      <c r="CJ107" s="113"/>
      <c r="CK107" s="113"/>
      <c r="CL107" s="113"/>
      <c r="CM107" s="113">
        <f t="shared" si="148"/>
        <v>0</v>
      </c>
      <c r="CN107" s="113">
        <f t="shared" si="148"/>
        <v>0</v>
      </c>
      <c r="CO107" s="113"/>
      <c r="CP107" s="113"/>
      <c r="CQ107" s="113"/>
      <c r="CR107" s="113"/>
      <c r="CS107" s="113">
        <f t="shared" si="149"/>
        <v>0</v>
      </c>
      <c r="CT107" s="113">
        <f t="shared" si="149"/>
        <v>0</v>
      </c>
      <c r="CU107" s="113"/>
      <c r="CV107" s="113"/>
      <c r="CW107" s="113"/>
      <c r="CX107" s="113"/>
      <c r="CY107" s="113">
        <f t="shared" si="150"/>
        <v>0</v>
      </c>
      <c r="CZ107" s="113">
        <f t="shared" si="150"/>
        <v>0</v>
      </c>
      <c r="DA107" s="113"/>
      <c r="DB107" s="113"/>
      <c r="DC107" s="113"/>
      <c r="DD107" s="113"/>
      <c r="DE107" s="113">
        <f t="shared" si="151"/>
        <v>0</v>
      </c>
      <c r="DF107" s="113">
        <f t="shared" si="151"/>
        <v>0</v>
      </c>
      <c r="DG107" s="113"/>
      <c r="DH107" s="113"/>
      <c r="DI107" s="113"/>
      <c r="DJ107" s="113"/>
      <c r="DK107" s="113">
        <f t="shared" si="152"/>
        <v>0</v>
      </c>
      <c r="DL107" s="113">
        <f t="shared" si="152"/>
        <v>0</v>
      </c>
      <c r="DM107" s="113">
        <f t="shared" si="159"/>
        <v>0</v>
      </c>
      <c r="DN107" s="113">
        <f t="shared" si="160"/>
        <v>0</v>
      </c>
      <c r="DO107" s="113">
        <f t="shared" si="161"/>
        <v>0</v>
      </c>
      <c r="DP107" s="113">
        <f t="shared" si="162"/>
        <v>0</v>
      </c>
      <c r="DQ107" s="113">
        <f t="shared" si="153"/>
        <v>0</v>
      </c>
      <c r="DR107" s="113">
        <f t="shared" si="153"/>
        <v>0</v>
      </c>
    </row>
    <row r="108" spans="1:122">
      <c r="A108" s="15">
        <v>101</v>
      </c>
      <c r="B108" s="96" t="s">
        <v>1091</v>
      </c>
      <c r="C108" s="96" t="s">
        <v>1109</v>
      </c>
      <c r="D108" s="96" t="s">
        <v>1110</v>
      </c>
      <c r="E108" s="185" t="s">
        <v>1164</v>
      </c>
      <c r="F108" s="161">
        <f t="shared" si="130"/>
        <v>0</v>
      </c>
      <c r="G108" s="161">
        <f t="shared" si="122"/>
        <v>0</v>
      </c>
      <c r="H108" s="161">
        <f t="shared" si="123"/>
        <v>0</v>
      </c>
      <c r="I108" s="161">
        <f t="shared" si="124"/>
        <v>0</v>
      </c>
      <c r="J108" s="165">
        <f t="shared" si="154"/>
        <v>213.5</v>
      </c>
      <c r="K108" s="115"/>
      <c r="L108" s="211">
        <v>0</v>
      </c>
      <c r="M108" s="211">
        <v>0</v>
      </c>
      <c r="N108" s="127">
        <f t="shared" si="131"/>
        <v>213.5</v>
      </c>
      <c r="O108" s="127">
        <f t="shared" si="132"/>
        <v>213.5</v>
      </c>
      <c r="P108" s="127">
        <f t="shared" si="133"/>
        <v>213.5</v>
      </c>
      <c r="Q108" s="131">
        <f t="shared" si="125"/>
        <v>0</v>
      </c>
      <c r="R108" s="125">
        <f t="shared" si="155"/>
        <v>213.5</v>
      </c>
      <c r="S108" s="113">
        <v>0</v>
      </c>
      <c r="T108" s="113"/>
      <c r="U108" s="113">
        <f t="shared" si="126"/>
        <v>0</v>
      </c>
      <c r="V108" s="113">
        <f t="shared" si="127"/>
        <v>0</v>
      </c>
      <c r="W108" s="113">
        <v>0</v>
      </c>
      <c r="X108" s="113">
        <v>0</v>
      </c>
      <c r="Y108" s="113">
        <v>0</v>
      </c>
      <c r="Z108" s="113">
        <v>0</v>
      </c>
      <c r="AA108" s="113">
        <f t="shared" si="156"/>
        <v>0</v>
      </c>
      <c r="AB108" s="113">
        <f t="shared" si="156"/>
        <v>0</v>
      </c>
      <c r="AC108" s="113"/>
      <c r="AD108" s="113"/>
      <c r="AE108" s="113"/>
      <c r="AF108" s="113">
        <v>213.5</v>
      </c>
      <c r="AG108" s="113">
        <f t="shared" si="138"/>
        <v>0</v>
      </c>
      <c r="AH108" s="113">
        <f t="shared" si="138"/>
        <v>213.5</v>
      </c>
      <c r="AI108" s="114">
        <f t="shared" si="128"/>
        <v>0</v>
      </c>
      <c r="AJ108" s="114">
        <f t="shared" si="139"/>
        <v>0</v>
      </c>
      <c r="AK108" s="114">
        <f t="shared" si="139"/>
        <v>0</v>
      </c>
      <c r="AL108" s="114">
        <f t="shared" si="129"/>
        <v>213.5</v>
      </c>
      <c r="AM108" s="113">
        <f t="shared" si="140"/>
        <v>0</v>
      </c>
      <c r="AN108" s="113">
        <f t="shared" si="140"/>
        <v>213.5</v>
      </c>
      <c r="AO108" s="113"/>
      <c r="AP108" s="113"/>
      <c r="AQ108" s="113"/>
      <c r="AR108" s="113"/>
      <c r="AS108" s="113">
        <f t="shared" si="141"/>
        <v>0</v>
      </c>
      <c r="AT108" s="113">
        <f t="shared" si="141"/>
        <v>0</v>
      </c>
      <c r="AU108" s="113"/>
      <c r="AV108" s="113"/>
      <c r="AW108" s="113"/>
      <c r="AX108" s="113"/>
      <c r="AY108" s="113">
        <f t="shared" si="142"/>
        <v>0</v>
      </c>
      <c r="AZ108" s="113">
        <f t="shared" si="142"/>
        <v>0</v>
      </c>
      <c r="BA108" s="113"/>
      <c r="BB108" s="113"/>
      <c r="BC108" s="113"/>
      <c r="BD108" s="113"/>
      <c r="BE108" s="113">
        <f t="shared" si="143"/>
        <v>0</v>
      </c>
      <c r="BF108" s="113"/>
      <c r="BG108" s="113">
        <f t="shared" si="134"/>
        <v>0</v>
      </c>
      <c r="BH108" s="113"/>
      <c r="BI108" s="113"/>
      <c r="BJ108" s="113"/>
      <c r="BK108" s="113"/>
      <c r="BL108" s="113">
        <f t="shared" si="144"/>
        <v>0</v>
      </c>
      <c r="BM108" s="113"/>
      <c r="BN108" s="113">
        <f t="shared" si="135"/>
        <v>0</v>
      </c>
      <c r="BO108" s="113"/>
      <c r="BP108" s="113"/>
      <c r="BQ108" s="113"/>
      <c r="BR108" s="113"/>
      <c r="BS108" s="113">
        <f t="shared" si="145"/>
        <v>0</v>
      </c>
      <c r="BT108" s="113"/>
      <c r="BU108" s="113">
        <f t="shared" si="136"/>
        <v>0</v>
      </c>
      <c r="BV108" s="113"/>
      <c r="BW108" s="113"/>
      <c r="BX108" s="113"/>
      <c r="BY108" s="113"/>
      <c r="BZ108" s="113">
        <f t="shared" si="146"/>
        <v>0</v>
      </c>
      <c r="CA108" s="113"/>
      <c r="CB108" s="113">
        <f t="shared" si="157"/>
        <v>0</v>
      </c>
      <c r="CC108" s="113"/>
      <c r="CD108" s="113"/>
      <c r="CE108" s="113"/>
      <c r="CF108" s="113"/>
      <c r="CG108" s="113">
        <f t="shared" si="147"/>
        <v>0</v>
      </c>
      <c r="CH108" s="113">
        <f t="shared" si="158"/>
        <v>0</v>
      </c>
      <c r="CI108" s="113"/>
      <c r="CJ108" s="113"/>
      <c r="CK108" s="113"/>
      <c r="CL108" s="113"/>
      <c r="CM108" s="113">
        <f t="shared" si="148"/>
        <v>0</v>
      </c>
      <c r="CN108" s="113">
        <f t="shared" si="148"/>
        <v>0</v>
      </c>
      <c r="CO108" s="113"/>
      <c r="CP108" s="113"/>
      <c r="CQ108" s="113"/>
      <c r="CR108" s="113"/>
      <c r="CS108" s="113">
        <f t="shared" si="149"/>
        <v>0</v>
      </c>
      <c r="CT108" s="113">
        <f t="shared" si="149"/>
        <v>0</v>
      </c>
      <c r="CU108" s="113"/>
      <c r="CV108" s="113"/>
      <c r="CW108" s="113"/>
      <c r="CX108" s="113"/>
      <c r="CY108" s="113">
        <f t="shared" si="150"/>
        <v>0</v>
      </c>
      <c r="CZ108" s="113">
        <f t="shared" si="150"/>
        <v>0</v>
      </c>
      <c r="DA108" s="113"/>
      <c r="DB108" s="113"/>
      <c r="DC108" s="113"/>
      <c r="DD108" s="113"/>
      <c r="DE108" s="113">
        <f t="shared" si="151"/>
        <v>0</v>
      </c>
      <c r="DF108" s="113">
        <f t="shared" si="151"/>
        <v>0</v>
      </c>
      <c r="DG108" s="113"/>
      <c r="DH108" s="113"/>
      <c r="DI108" s="113"/>
      <c r="DJ108" s="113"/>
      <c r="DK108" s="113">
        <f t="shared" si="152"/>
        <v>0</v>
      </c>
      <c r="DL108" s="113">
        <f t="shared" si="152"/>
        <v>0</v>
      </c>
      <c r="DM108" s="113">
        <f t="shared" si="159"/>
        <v>0</v>
      </c>
      <c r="DN108" s="113">
        <f t="shared" si="160"/>
        <v>0</v>
      </c>
      <c r="DO108" s="113">
        <f t="shared" si="161"/>
        <v>0</v>
      </c>
      <c r="DP108" s="113">
        <f t="shared" si="162"/>
        <v>0</v>
      </c>
      <c r="DQ108" s="113">
        <f t="shared" si="153"/>
        <v>0</v>
      </c>
      <c r="DR108" s="113">
        <f t="shared" si="153"/>
        <v>0</v>
      </c>
    </row>
    <row r="109" spans="1:122">
      <c r="A109" s="15">
        <v>102</v>
      </c>
      <c r="B109" s="96" t="s">
        <v>1091</v>
      </c>
      <c r="C109" s="187" t="s">
        <v>1109</v>
      </c>
      <c r="D109" s="96" t="s">
        <v>1111</v>
      </c>
      <c r="E109" s="185" t="s">
        <v>1165</v>
      </c>
      <c r="F109" s="161">
        <f t="shared" si="130"/>
        <v>0</v>
      </c>
      <c r="G109" s="161">
        <f t="shared" si="122"/>
        <v>0</v>
      </c>
      <c r="H109" s="161">
        <f t="shared" si="123"/>
        <v>0</v>
      </c>
      <c r="I109" s="161">
        <f t="shared" si="124"/>
        <v>8600</v>
      </c>
      <c r="J109" s="165">
        <f t="shared" si="154"/>
        <v>0</v>
      </c>
      <c r="K109" s="115">
        <v>3814</v>
      </c>
      <c r="L109" s="211">
        <v>0</v>
      </c>
      <c r="M109" s="211">
        <v>0</v>
      </c>
      <c r="N109" s="127">
        <f t="shared" si="131"/>
        <v>0</v>
      </c>
      <c r="O109" s="127">
        <f t="shared" si="132"/>
        <v>0</v>
      </c>
      <c r="P109" s="127">
        <f t="shared" si="133"/>
        <v>0</v>
      </c>
      <c r="Q109" s="131">
        <f t="shared" si="125"/>
        <v>0</v>
      </c>
      <c r="R109" s="125" t="str">
        <f t="shared" si="155"/>
        <v>ნულოვანი შესრულება</v>
      </c>
      <c r="S109" s="113">
        <v>0</v>
      </c>
      <c r="T109" s="113"/>
      <c r="U109" s="113">
        <f t="shared" si="126"/>
        <v>0</v>
      </c>
      <c r="V109" s="113">
        <f t="shared" si="127"/>
        <v>0</v>
      </c>
      <c r="W109" s="113">
        <v>0</v>
      </c>
      <c r="X109" s="113">
        <v>0</v>
      </c>
      <c r="Y109" s="113">
        <v>0</v>
      </c>
      <c r="Z109" s="113">
        <v>0</v>
      </c>
      <c r="AA109" s="113">
        <f t="shared" si="156"/>
        <v>0</v>
      </c>
      <c r="AB109" s="113">
        <f t="shared" si="156"/>
        <v>0</v>
      </c>
      <c r="AC109" s="113"/>
      <c r="AD109" s="113"/>
      <c r="AE109" s="113"/>
      <c r="AF109" s="113"/>
      <c r="AG109" s="113">
        <f t="shared" si="138"/>
        <v>0</v>
      </c>
      <c r="AH109" s="113">
        <f t="shared" si="138"/>
        <v>0</v>
      </c>
      <c r="AI109" s="114">
        <f t="shared" si="128"/>
        <v>0</v>
      </c>
      <c r="AJ109" s="114">
        <f t="shared" si="139"/>
        <v>0</v>
      </c>
      <c r="AK109" s="114">
        <f t="shared" si="139"/>
        <v>0</v>
      </c>
      <c r="AL109" s="114">
        <f t="shared" si="129"/>
        <v>0</v>
      </c>
      <c r="AM109" s="113">
        <f t="shared" si="140"/>
        <v>0</v>
      </c>
      <c r="AN109" s="113">
        <f t="shared" si="140"/>
        <v>0</v>
      </c>
      <c r="AO109" s="113"/>
      <c r="AP109" s="113"/>
      <c r="AQ109" s="113"/>
      <c r="AR109" s="113"/>
      <c r="AS109" s="113">
        <f t="shared" si="141"/>
        <v>0</v>
      </c>
      <c r="AT109" s="113">
        <f t="shared" si="141"/>
        <v>0</v>
      </c>
      <c r="AU109" s="113"/>
      <c r="AV109" s="113"/>
      <c r="AW109" s="113"/>
      <c r="AX109" s="113"/>
      <c r="AY109" s="113">
        <f t="shared" si="142"/>
        <v>0</v>
      </c>
      <c r="AZ109" s="113">
        <f t="shared" si="142"/>
        <v>0</v>
      </c>
      <c r="BA109" s="113"/>
      <c r="BB109" s="113"/>
      <c r="BC109" s="113"/>
      <c r="BD109" s="113"/>
      <c r="BE109" s="113">
        <f t="shared" si="143"/>
        <v>0</v>
      </c>
      <c r="BF109" s="113"/>
      <c r="BG109" s="113">
        <f t="shared" si="134"/>
        <v>0</v>
      </c>
      <c r="BH109" s="113"/>
      <c r="BI109" s="113"/>
      <c r="BJ109" s="113"/>
      <c r="BK109" s="113"/>
      <c r="BL109" s="113">
        <f t="shared" si="144"/>
        <v>0</v>
      </c>
      <c r="BM109" s="113">
        <v>8000</v>
      </c>
      <c r="BN109" s="113">
        <f t="shared" si="135"/>
        <v>0</v>
      </c>
      <c r="BO109" s="113"/>
      <c r="BP109" s="113"/>
      <c r="BQ109" s="113"/>
      <c r="BR109" s="113"/>
      <c r="BS109" s="113">
        <f t="shared" si="145"/>
        <v>0</v>
      </c>
      <c r="BT109" s="113">
        <v>600</v>
      </c>
      <c r="BU109" s="113">
        <f t="shared" si="136"/>
        <v>0</v>
      </c>
      <c r="BV109" s="113"/>
      <c r="BW109" s="113"/>
      <c r="BX109" s="113"/>
      <c r="BY109" s="113"/>
      <c r="BZ109" s="113">
        <f t="shared" si="146"/>
        <v>0</v>
      </c>
      <c r="CA109" s="113"/>
      <c r="CB109" s="113">
        <f t="shared" si="157"/>
        <v>0</v>
      </c>
      <c r="CC109" s="113"/>
      <c r="CD109" s="113"/>
      <c r="CE109" s="113"/>
      <c r="CF109" s="113"/>
      <c r="CG109" s="113">
        <f t="shared" si="147"/>
        <v>0</v>
      </c>
      <c r="CH109" s="113">
        <f t="shared" si="158"/>
        <v>0</v>
      </c>
      <c r="CI109" s="113"/>
      <c r="CJ109" s="113"/>
      <c r="CK109" s="113"/>
      <c r="CL109" s="113"/>
      <c r="CM109" s="113">
        <f t="shared" si="148"/>
        <v>0</v>
      </c>
      <c r="CN109" s="113">
        <f t="shared" si="148"/>
        <v>0</v>
      </c>
      <c r="CO109" s="113"/>
      <c r="CP109" s="113"/>
      <c r="CQ109" s="113"/>
      <c r="CR109" s="113"/>
      <c r="CS109" s="113">
        <f t="shared" si="149"/>
        <v>0</v>
      </c>
      <c r="CT109" s="113">
        <f t="shared" si="149"/>
        <v>0</v>
      </c>
      <c r="CU109" s="113"/>
      <c r="CV109" s="113"/>
      <c r="CW109" s="113"/>
      <c r="CX109" s="113"/>
      <c r="CY109" s="113">
        <f t="shared" si="150"/>
        <v>0</v>
      </c>
      <c r="CZ109" s="113">
        <f t="shared" si="150"/>
        <v>0</v>
      </c>
      <c r="DA109" s="113"/>
      <c r="DB109" s="113"/>
      <c r="DC109" s="113"/>
      <c r="DD109" s="113"/>
      <c r="DE109" s="113">
        <f t="shared" si="151"/>
        <v>0</v>
      </c>
      <c r="DF109" s="113">
        <f t="shared" si="151"/>
        <v>0</v>
      </c>
      <c r="DG109" s="113"/>
      <c r="DH109" s="113"/>
      <c r="DI109" s="113"/>
      <c r="DJ109" s="113"/>
      <c r="DK109" s="113">
        <f t="shared" si="152"/>
        <v>0</v>
      </c>
      <c r="DL109" s="113">
        <f t="shared" si="152"/>
        <v>0</v>
      </c>
      <c r="DM109" s="113">
        <f t="shared" si="159"/>
        <v>0</v>
      </c>
      <c r="DN109" s="113">
        <f t="shared" si="160"/>
        <v>0</v>
      </c>
      <c r="DO109" s="113">
        <f t="shared" si="161"/>
        <v>0</v>
      </c>
      <c r="DP109" s="113">
        <f t="shared" si="162"/>
        <v>0</v>
      </c>
      <c r="DQ109" s="113">
        <f t="shared" si="153"/>
        <v>0</v>
      </c>
      <c r="DR109" s="113">
        <f t="shared" si="153"/>
        <v>0</v>
      </c>
    </row>
    <row r="110" spans="1:122">
      <c r="A110" s="15">
        <v>103</v>
      </c>
      <c r="B110" s="96" t="s">
        <v>1091</v>
      </c>
      <c r="C110" s="96" t="s">
        <v>1112</v>
      </c>
      <c r="D110" s="96" t="s">
        <v>1113</v>
      </c>
      <c r="E110" s="185" t="s">
        <v>1164</v>
      </c>
      <c r="F110" s="161">
        <f t="shared" si="130"/>
        <v>0</v>
      </c>
      <c r="G110" s="161">
        <f t="shared" si="122"/>
        <v>0</v>
      </c>
      <c r="H110" s="161">
        <f t="shared" si="123"/>
        <v>0</v>
      </c>
      <c r="I110" s="161">
        <f t="shared" si="124"/>
        <v>0</v>
      </c>
      <c r="J110" s="165">
        <f t="shared" si="154"/>
        <v>745.5</v>
      </c>
      <c r="K110" s="115"/>
      <c r="L110" s="211">
        <v>0</v>
      </c>
      <c r="M110" s="211">
        <v>0</v>
      </c>
      <c r="N110" s="127">
        <f t="shared" si="131"/>
        <v>745.5</v>
      </c>
      <c r="O110" s="127">
        <f t="shared" si="132"/>
        <v>745.5</v>
      </c>
      <c r="P110" s="127">
        <f t="shared" si="133"/>
        <v>745.5</v>
      </c>
      <c r="Q110" s="131">
        <f t="shared" si="125"/>
        <v>0</v>
      </c>
      <c r="R110" s="125">
        <f t="shared" si="155"/>
        <v>745.5</v>
      </c>
      <c r="S110" s="113">
        <v>0</v>
      </c>
      <c r="T110" s="113"/>
      <c r="U110" s="113">
        <f t="shared" si="126"/>
        <v>0</v>
      </c>
      <c r="V110" s="113">
        <f t="shared" si="127"/>
        <v>0</v>
      </c>
      <c r="W110" s="113">
        <v>0</v>
      </c>
      <c r="X110" s="113">
        <v>0</v>
      </c>
      <c r="Y110" s="113">
        <v>0</v>
      </c>
      <c r="Z110" s="113">
        <v>0</v>
      </c>
      <c r="AA110" s="113">
        <f t="shared" si="156"/>
        <v>0</v>
      </c>
      <c r="AB110" s="113">
        <f t="shared" si="156"/>
        <v>0</v>
      </c>
      <c r="AC110" s="113"/>
      <c r="AD110" s="113"/>
      <c r="AE110" s="113"/>
      <c r="AF110" s="113">
        <v>745.5</v>
      </c>
      <c r="AG110" s="113">
        <f t="shared" si="138"/>
        <v>0</v>
      </c>
      <c r="AH110" s="113">
        <f t="shared" si="138"/>
        <v>745.5</v>
      </c>
      <c r="AI110" s="114">
        <f t="shared" si="128"/>
        <v>0</v>
      </c>
      <c r="AJ110" s="114">
        <f t="shared" si="139"/>
        <v>0</v>
      </c>
      <c r="AK110" s="114">
        <f t="shared" si="139"/>
        <v>0</v>
      </c>
      <c r="AL110" s="114">
        <f t="shared" si="129"/>
        <v>745.5</v>
      </c>
      <c r="AM110" s="113">
        <f t="shared" si="140"/>
        <v>0</v>
      </c>
      <c r="AN110" s="113">
        <f t="shared" si="140"/>
        <v>745.5</v>
      </c>
      <c r="AO110" s="113"/>
      <c r="AP110" s="113"/>
      <c r="AQ110" s="113"/>
      <c r="AR110" s="113"/>
      <c r="AS110" s="113">
        <f t="shared" si="141"/>
        <v>0</v>
      </c>
      <c r="AT110" s="113">
        <f t="shared" si="141"/>
        <v>0</v>
      </c>
      <c r="AU110" s="113"/>
      <c r="AV110" s="113"/>
      <c r="AW110" s="113"/>
      <c r="AX110" s="113"/>
      <c r="AY110" s="113">
        <f t="shared" si="142"/>
        <v>0</v>
      </c>
      <c r="AZ110" s="113">
        <f t="shared" si="142"/>
        <v>0</v>
      </c>
      <c r="BA110" s="113"/>
      <c r="BB110" s="113"/>
      <c r="BC110" s="113"/>
      <c r="BD110" s="113"/>
      <c r="BE110" s="113">
        <f t="shared" si="143"/>
        <v>0</v>
      </c>
      <c r="BF110" s="113"/>
      <c r="BG110" s="113">
        <f t="shared" si="134"/>
        <v>0</v>
      </c>
      <c r="BH110" s="113"/>
      <c r="BI110" s="113"/>
      <c r="BJ110" s="113"/>
      <c r="BK110" s="113"/>
      <c r="BL110" s="113">
        <f t="shared" si="144"/>
        <v>0</v>
      </c>
      <c r="BM110" s="113">
        <v>0</v>
      </c>
      <c r="BN110" s="113">
        <f t="shared" si="135"/>
        <v>0</v>
      </c>
      <c r="BO110" s="113"/>
      <c r="BP110" s="113"/>
      <c r="BQ110" s="113"/>
      <c r="BR110" s="113"/>
      <c r="BS110" s="113">
        <f t="shared" si="145"/>
        <v>0</v>
      </c>
      <c r="BT110" s="113"/>
      <c r="BU110" s="113">
        <f t="shared" si="136"/>
        <v>0</v>
      </c>
      <c r="BV110" s="113"/>
      <c r="BW110" s="113"/>
      <c r="BX110" s="113"/>
      <c r="BY110" s="113"/>
      <c r="BZ110" s="113">
        <f t="shared" si="146"/>
        <v>0</v>
      </c>
      <c r="CA110" s="113"/>
      <c r="CB110" s="113">
        <f t="shared" si="157"/>
        <v>0</v>
      </c>
      <c r="CC110" s="113"/>
      <c r="CD110" s="113"/>
      <c r="CE110" s="113"/>
      <c r="CF110" s="113"/>
      <c r="CG110" s="113">
        <f t="shared" si="147"/>
        <v>0</v>
      </c>
      <c r="CH110" s="113">
        <f t="shared" si="158"/>
        <v>0</v>
      </c>
      <c r="CI110" s="113"/>
      <c r="CJ110" s="113"/>
      <c r="CK110" s="113"/>
      <c r="CL110" s="113"/>
      <c r="CM110" s="113">
        <f t="shared" si="148"/>
        <v>0</v>
      </c>
      <c r="CN110" s="113">
        <f t="shared" si="148"/>
        <v>0</v>
      </c>
      <c r="CO110" s="113"/>
      <c r="CP110" s="113"/>
      <c r="CQ110" s="113"/>
      <c r="CR110" s="113"/>
      <c r="CS110" s="113">
        <f t="shared" si="149"/>
        <v>0</v>
      </c>
      <c r="CT110" s="113">
        <f t="shared" si="149"/>
        <v>0</v>
      </c>
      <c r="CU110" s="113"/>
      <c r="CV110" s="113"/>
      <c r="CW110" s="113"/>
      <c r="CX110" s="113"/>
      <c r="CY110" s="113">
        <f t="shared" si="150"/>
        <v>0</v>
      </c>
      <c r="CZ110" s="113">
        <f t="shared" si="150"/>
        <v>0</v>
      </c>
      <c r="DA110" s="113"/>
      <c r="DB110" s="113"/>
      <c r="DC110" s="113"/>
      <c r="DD110" s="113"/>
      <c r="DE110" s="113">
        <f t="shared" si="151"/>
        <v>0</v>
      </c>
      <c r="DF110" s="113">
        <f t="shared" si="151"/>
        <v>0</v>
      </c>
      <c r="DG110" s="113"/>
      <c r="DH110" s="113"/>
      <c r="DI110" s="113"/>
      <c r="DJ110" s="113"/>
      <c r="DK110" s="113">
        <f t="shared" si="152"/>
        <v>0</v>
      </c>
      <c r="DL110" s="113">
        <f t="shared" si="152"/>
        <v>0</v>
      </c>
      <c r="DM110" s="113">
        <f t="shared" si="159"/>
        <v>0</v>
      </c>
      <c r="DN110" s="113">
        <f t="shared" si="160"/>
        <v>0</v>
      </c>
      <c r="DO110" s="113">
        <f t="shared" si="161"/>
        <v>0</v>
      </c>
      <c r="DP110" s="113">
        <f t="shared" si="162"/>
        <v>0</v>
      </c>
      <c r="DQ110" s="113">
        <f t="shared" si="153"/>
        <v>0</v>
      </c>
      <c r="DR110" s="113">
        <f t="shared" si="153"/>
        <v>0</v>
      </c>
    </row>
    <row r="111" spans="1:122">
      <c r="A111" s="15">
        <v>104</v>
      </c>
      <c r="B111" s="96" t="s">
        <v>1091</v>
      </c>
      <c r="C111" s="187" t="s">
        <v>1112</v>
      </c>
      <c r="D111" s="96" t="s">
        <v>1114</v>
      </c>
      <c r="E111" s="185" t="s">
        <v>1165</v>
      </c>
      <c r="F111" s="161">
        <f t="shared" si="130"/>
        <v>0</v>
      </c>
      <c r="G111" s="161">
        <f t="shared" si="122"/>
        <v>0</v>
      </c>
      <c r="H111" s="161">
        <f t="shared" si="123"/>
        <v>0</v>
      </c>
      <c r="I111" s="161">
        <f t="shared" si="124"/>
        <v>0</v>
      </c>
      <c r="J111" s="165">
        <f t="shared" si="154"/>
        <v>0</v>
      </c>
      <c r="K111" s="115">
        <v>19092</v>
      </c>
      <c r="L111" s="211">
        <v>0</v>
      </c>
      <c r="M111" s="211">
        <v>0</v>
      </c>
      <c r="N111" s="127">
        <f t="shared" si="131"/>
        <v>0</v>
      </c>
      <c r="O111" s="127">
        <f t="shared" si="132"/>
        <v>0</v>
      </c>
      <c r="P111" s="127">
        <f t="shared" si="133"/>
        <v>0</v>
      </c>
      <c r="Q111" s="131">
        <f t="shared" si="125"/>
        <v>0</v>
      </c>
      <c r="R111" s="125" t="str">
        <f t="shared" si="155"/>
        <v>ნულოვანი შესრულება</v>
      </c>
      <c r="S111" s="113">
        <v>0</v>
      </c>
      <c r="T111" s="113"/>
      <c r="U111" s="113">
        <f t="shared" si="126"/>
        <v>0</v>
      </c>
      <c r="V111" s="113">
        <f t="shared" si="127"/>
        <v>0</v>
      </c>
      <c r="W111" s="113">
        <v>0</v>
      </c>
      <c r="X111" s="113">
        <v>0</v>
      </c>
      <c r="Y111" s="113">
        <v>0</v>
      </c>
      <c r="Z111" s="113">
        <v>0</v>
      </c>
      <c r="AA111" s="113">
        <f t="shared" si="156"/>
        <v>0</v>
      </c>
      <c r="AB111" s="113">
        <f t="shared" si="156"/>
        <v>0</v>
      </c>
      <c r="AC111" s="113"/>
      <c r="AD111" s="113"/>
      <c r="AE111" s="113"/>
      <c r="AF111" s="113"/>
      <c r="AG111" s="113">
        <f t="shared" si="138"/>
        <v>0</v>
      </c>
      <c r="AH111" s="113">
        <f t="shared" si="138"/>
        <v>0</v>
      </c>
      <c r="AI111" s="114">
        <f t="shared" si="128"/>
        <v>0</v>
      </c>
      <c r="AJ111" s="114">
        <f t="shared" si="139"/>
        <v>0</v>
      </c>
      <c r="AK111" s="114">
        <f t="shared" si="139"/>
        <v>0</v>
      </c>
      <c r="AL111" s="114">
        <f t="shared" si="129"/>
        <v>0</v>
      </c>
      <c r="AM111" s="113">
        <f t="shared" si="140"/>
        <v>0</v>
      </c>
      <c r="AN111" s="113">
        <f t="shared" si="140"/>
        <v>0</v>
      </c>
      <c r="AO111" s="113"/>
      <c r="AP111" s="113"/>
      <c r="AQ111" s="113"/>
      <c r="AR111" s="113"/>
      <c r="AS111" s="113">
        <f t="shared" si="141"/>
        <v>0</v>
      </c>
      <c r="AT111" s="113">
        <f t="shared" si="141"/>
        <v>0</v>
      </c>
      <c r="AU111" s="113"/>
      <c r="AV111" s="113"/>
      <c r="AW111" s="113"/>
      <c r="AX111" s="113"/>
      <c r="AY111" s="113">
        <f t="shared" si="142"/>
        <v>0</v>
      </c>
      <c r="AZ111" s="113">
        <f t="shared" si="142"/>
        <v>0</v>
      </c>
      <c r="BA111" s="113"/>
      <c r="BB111" s="113"/>
      <c r="BC111" s="113"/>
      <c r="BD111" s="113"/>
      <c r="BE111" s="113">
        <f t="shared" si="143"/>
        <v>0</v>
      </c>
      <c r="BF111" s="113"/>
      <c r="BG111" s="113">
        <f t="shared" si="134"/>
        <v>0</v>
      </c>
      <c r="BH111" s="113"/>
      <c r="BI111" s="113"/>
      <c r="BJ111" s="113"/>
      <c r="BK111" s="113"/>
      <c r="BL111" s="113">
        <f t="shared" si="144"/>
        <v>0</v>
      </c>
      <c r="BM111" s="113">
        <v>0</v>
      </c>
      <c r="BN111" s="113">
        <f t="shared" si="135"/>
        <v>0</v>
      </c>
      <c r="BO111" s="113"/>
      <c r="BP111" s="113"/>
      <c r="BQ111" s="113"/>
      <c r="BR111" s="113"/>
      <c r="BS111" s="113">
        <f t="shared" si="145"/>
        <v>0</v>
      </c>
      <c r="BT111" s="113"/>
      <c r="BU111" s="113">
        <f t="shared" si="136"/>
        <v>0</v>
      </c>
      <c r="BV111" s="113"/>
      <c r="BW111" s="113"/>
      <c r="BX111" s="113"/>
      <c r="BY111" s="113"/>
      <c r="BZ111" s="113">
        <f t="shared" si="146"/>
        <v>0</v>
      </c>
      <c r="CA111" s="113"/>
      <c r="CB111" s="113">
        <f t="shared" si="157"/>
        <v>0</v>
      </c>
      <c r="CC111" s="113"/>
      <c r="CD111" s="113"/>
      <c r="CE111" s="113"/>
      <c r="CF111" s="113"/>
      <c r="CG111" s="113">
        <f t="shared" si="147"/>
        <v>0</v>
      </c>
      <c r="CH111" s="113">
        <f t="shared" si="158"/>
        <v>0</v>
      </c>
      <c r="CI111" s="113"/>
      <c r="CJ111" s="113"/>
      <c r="CK111" s="113"/>
      <c r="CL111" s="113"/>
      <c r="CM111" s="113">
        <f t="shared" si="148"/>
        <v>0</v>
      </c>
      <c r="CN111" s="113">
        <f t="shared" si="148"/>
        <v>0</v>
      </c>
      <c r="CO111" s="113"/>
      <c r="CP111" s="113"/>
      <c r="CQ111" s="113"/>
      <c r="CR111" s="113"/>
      <c r="CS111" s="113">
        <f t="shared" si="149"/>
        <v>0</v>
      </c>
      <c r="CT111" s="113">
        <f t="shared" si="149"/>
        <v>0</v>
      </c>
      <c r="CU111" s="113"/>
      <c r="CV111" s="113"/>
      <c r="CW111" s="113"/>
      <c r="CX111" s="113"/>
      <c r="CY111" s="113">
        <f t="shared" si="150"/>
        <v>0</v>
      </c>
      <c r="CZ111" s="113">
        <f t="shared" si="150"/>
        <v>0</v>
      </c>
      <c r="DA111" s="113"/>
      <c r="DB111" s="113"/>
      <c r="DC111" s="113"/>
      <c r="DD111" s="113"/>
      <c r="DE111" s="113">
        <f t="shared" si="151"/>
        <v>0</v>
      </c>
      <c r="DF111" s="113">
        <f t="shared" si="151"/>
        <v>0</v>
      </c>
      <c r="DG111" s="113"/>
      <c r="DH111" s="113"/>
      <c r="DI111" s="113"/>
      <c r="DJ111" s="113"/>
      <c r="DK111" s="113">
        <f t="shared" si="152"/>
        <v>0</v>
      </c>
      <c r="DL111" s="113">
        <f t="shared" si="152"/>
        <v>0</v>
      </c>
      <c r="DM111" s="113">
        <f t="shared" si="159"/>
        <v>0</v>
      </c>
      <c r="DN111" s="113">
        <f t="shared" si="160"/>
        <v>0</v>
      </c>
      <c r="DO111" s="113">
        <f t="shared" si="161"/>
        <v>0</v>
      </c>
      <c r="DP111" s="113">
        <f t="shared" si="162"/>
        <v>0</v>
      </c>
      <c r="DQ111" s="113">
        <f t="shared" si="153"/>
        <v>0</v>
      </c>
      <c r="DR111" s="113">
        <f t="shared" si="153"/>
        <v>0</v>
      </c>
    </row>
    <row r="112" spans="1:122">
      <c r="A112" s="15">
        <v>105</v>
      </c>
      <c r="B112" s="96" t="s">
        <v>1091</v>
      </c>
      <c r="C112" s="96" t="s">
        <v>1115</v>
      </c>
      <c r="D112" s="96" t="s">
        <v>1116</v>
      </c>
      <c r="E112" s="185" t="s">
        <v>1164</v>
      </c>
      <c r="F112" s="161">
        <f t="shared" si="130"/>
        <v>0</v>
      </c>
      <c r="G112" s="161">
        <f t="shared" si="122"/>
        <v>0</v>
      </c>
      <c r="H112" s="161">
        <f t="shared" si="123"/>
        <v>0</v>
      </c>
      <c r="I112" s="161">
        <f t="shared" si="124"/>
        <v>0</v>
      </c>
      <c r="J112" s="165">
        <f t="shared" si="154"/>
        <v>294.87</v>
      </c>
      <c r="K112" s="115"/>
      <c r="L112" s="211">
        <v>0</v>
      </c>
      <c r="M112" s="211">
        <v>0</v>
      </c>
      <c r="N112" s="127">
        <f t="shared" si="131"/>
        <v>294.87</v>
      </c>
      <c r="O112" s="127">
        <f t="shared" si="132"/>
        <v>294.87</v>
      </c>
      <c r="P112" s="127">
        <f t="shared" si="133"/>
        <v>294.87</v>
      </c>
      <c r="Q112" s="131">
        <f t="shared" si="125"/>
        <v>0</v>
      </c>
      <c r="R112" s="125">
        <f t="shared" si="155"/>
        <v>294.87</v>
      </c>
      <c r="S112" s="113">
        <v>0</v>
      </c>
      <c r="T112" s="113"/>
      <c r="U112" s="113">
        <f t="shared" si="126"/>
        <v>0</v>
      </c>
      <c r="V112" s="113">
        <f t="shared" si="127"/>
        <v>0</v>
      </c>
      <c r="W112" s="113">
        <v>0</v>
      </c>
      <c r="X112" s="113">
        <v>0</v>
      </c>
      <c r="Y112" s="113">
        <v>0</v>
      </c>
      <c r="Z112" s="113">
        <v>0</v>
      </c>
      <c r="AA112" s="113">
        <f t="shared" si="156"/>
        <v>0</v>
      </c>
      <c r="AB112" s="113">
        <f t="shared" si="156"/>
        <v>0</v>
      </c>
      <c r="AC112" s="113"/>
      <c r="AD112" s="113"/>
      <c r="AE112" s="113"/>
      <c r="AF112" s="113">
        <v>294.87</v>
      </c>
      <c r="AG112" s="113">
        <f t="shared" si="138"/>
        <v>0</v>
      </c>
      <c r="AH112" s="113">
        <f t="shared" si="138"/>
        <v>294.87</v>
      </c>
      <c r="AI112" s="114">
        <f t="shared" si="128"/>
        <v>0</v>
      </c>
      <c r="AJ112" s="114">
        <f t="shared" si="139"/>
        <v>0</v>
      </c>
      <c r="AK112" s="114">
        <f t="shared" si="139"/>
        <v>0</v>
      </c>
      <c r="AL112" s="114">
        <f t="shared" si="129"/>
        <v>294.87</v>
      </c>
      <c r="AM112" s="113">
        <f t="shared" si="140"/>
        <v>0</v>
      </c>
      <c r="AN112" s="113">
        <f t="shared" si="140"/>
        <v>294.87</v>
      </c>
      <c r="AO112" s="113"/>
      <c r="AP112" s="113"/>
      <c r="AQ112" s="113"/>
      <c r="AR112" s="113"/>
      <c r="AS112" s="113">
        <f t="shared" si="141"/>
        <v>0</v>
      </c>
      <c r="AT112" s="113">
        <f t="shared" si="141"/>
        <v>0</v>
      </c>
      <c r="AU112" s="113"/>
      <c r="AV112" s="113"/>
      <c r="AW112" s="113"/>
      <c r="AX112" s="113"/>
      <c r="AY112" s="113">
        <f t="shared" si="142"/>
        <v>0</v>
      </c>
      <c r="AZ112" s="113">
        <f t="shared" si="142"/>
        <v>0</v>
      </c>
      <c r="BA112" s="113"/>
      <c r="BB112" s="113"/>
      <c r="BC112" s="113"/>
      <c r="BD112" s="113"/>
      <c r="BE112" s="113">
        <f t="shared" si="143"/>
        <v>0</v>
      </c>
      <c r="BF112" s="113"/>
      <c r="BG112" s="113">
        <f t="shared" si="134"/>
        <v>0</v>
      </c>
      <c r="BH112" s="113"/>
      <c r="BI112" s="113"/>
      <c r="BJ112" s="113"/>
      <c r="BK112" s="113"/>
      <c r="BL112" s="113">
        <f t="shared" si="144"/>
        <v>0</v>
      </c>
      <c r="BM112" s="113">
        <v>0</v>
      </c>
      <c r="BN112" s="113">
        <f t="shared" si="135"/>
        <v>0</v>
      </c>
      <c r="BO112" s="113"/>
      <c r="BP112" s="113"/>
      <c r="BQ112" s="113"/>
      <c r="BR112" s="113"/>
      <c r="BS112" s="113">
        <f t="shared" si="145"/>
        <v>0</v>
      </c>
      <c r="BT112" s="113"/>
      <c r="BU112" s="113">
        <f t="shared" si="136"/>
        <v>0</v>
      </c>
      <c r="BV112" s="113"/>
      <c r="BW112" s="113"/>
      <c r="BX112" s="113"/>
      <c r="BY112" s="113"/>
      <c r="BZ112" s="113">
        <f t="shared" si="146"/>
        <v>0</v>
      </c>
      <c r="CA112" s="113"/>
      <c r="CB112" s="113">
        <f t="shared" si="157"/>
        <v>0</v>
      </c>
      <c r="CC112" s="113"/>
      <c r="CD112" s="113"/>
      <c r="CE112" s="113"/>
      <c r="CF112" s="113"/>
      <c r="CG112" s="113">
        <f t="shared" si="147"/>
        <v>0</v>
      </c>
      <c r="CH112" s="113">
        <f t="shared" si="158"/>
        <v>0</v>
      </c>
      <c r="CI112" s="113"/>
      <c r="CJ112" s="113"/>
      <c r="CK112" s="113"/>
      <c r="CL112" s="113"/>
      <c r="CM112" s="113">
        <f t="shared" si="148"/>
        <v>0</v>
      </c>
      <c r="CN112" s="113">
        <f t="shared" si="148"/>
        <v>0</v>
      </c>
      <c r="CO112" s="113"/>
      <c r="CP112" s="113"/>
      <c r="CQ112" s="113"/>
      <c r="CR112" s="113"/>
      <c r="CS112" s="113">
        <f t="shared" si="149"/>
        <v>0</v>
      </c>
      <c r="CT112" s="113">
        <f t="shared" si="149"/>
        <v>0</v>
      </c>
      <c r="CU112" s="113"/>
      <c r="CV112" s="113"/>
      <c r="CW112" s="113"/>
      <c r="CX112" s="113"/>
      <c r="CY112" s="113">
        <f t="shared" si="150"/>
        <v>0</v>
      </c>
      <c r="CZ112" s="113">
        <f t="shared" si="150"/>
        <v>0</v>
      </c>
      <c r="DA112" s="113"/>
      <c r="DB112" s="113"/>
      <c r="DC112" s="113"/>
      <c r="DD112" s="113"/>
      <c r="DE112" s="113">
        <f t="shared" si="151"/>
        <v>0</v>
      </c>
      <c r="DF112" s="113">
        <f t="shared" si="151"/>
        <v>0</v>
      </c>
      <c r="DG112" s="113"/>
      <c r="DH112" s="113"/>
      <c r="DI112" s="113"/>
      <c r="DJ112" s="113"/>
      <c r="DK112" s="113">
        <f t="shared" si="152"/>
        <v>0</v>
      </c>
      <c r="DL112" s="113">
        <f t="shared" si="152"/>
        <v>0</v>
      </c>
      <c r="DM112" s="113">
        <f t="shared" si="159"/>
        <v>0</v>
      </c>
      <c r="DN112" s="113">
        <f t="shared" si="160"/>
        <v>0</v>
      </c>
      <c r="DO112" s="113">
        <f t="shared" si="161"/>
        <v>0</v>
      </c>
      <c r="DP112" s="113">
        <f t="shared" si="162"/>
        <v>0</v>
      </c>
      <c r="DQ112" s="113">
        <f t="shared" si="153"/>
        <v>0</v>
      </c>
      <c r="DR112" s="113">
        <f t="shared" si="153"/>
        <v>0</v>
      </c>
    </row>
    <row r="113" spans="1:122">
      <c r="A113" s="15">
        <v>106</v>
      </c>
      <c r="B113" s="96" t="s">
        <v>1091</v>
      </c>
      <c r="C113" s="187" t="s">
        <v>1115</v>
      </c>
      <c r="D113" s="96" t="s">
        <v>1117</v>
      </c>
      <c r="E113" s="96" t="s">
        <v>1165</v>
      </c>
      <c r="F113" s="131">
        <f t="shared" si="130"/>
        <v>7000</v>
      </c>
      <c r="G113" s="161">
        <f t="shared" si="122"/>
        <v>0</v>
      </c>
      <c r="H113" s="161">
        <f t="shared" si="123"/>
        <v>7000</v>
      </c>
      <c r="I113" s="161">
        <f t="shared" si="124"/>
        <v>11700</v>
      </c>
      <c r="J113" s="283">
        <f t="shared" si="154"/>
        <v>7000</v>
      </c>
      <c r="K113" s="115">
        <v>6865.2</v>
      </c>
      <c r="L113" s="211">
        <v>0</v>
      </c>
      <c r="M113" s="211">
        <v>0</v>
      </c>
      <c r="N113" s="127">
        <f t="shared" si="131"/>
        <v>0</v>
      </c>
      <c r="O113" s="127">
        <f t="shared" si="132"/>
        <v>0</v>
      </c>
      <c r="P113" s="131">
        <f t="shared" si="133"/>
        <v>0</v>
      </c>
      <c r="Q113" s="131">
        <f t="shared" si="125"/>
        <v>7000</v>
      </c>
      <c r="R113" s="131" t="str">
        <f t="shared" si="155"/>
        <v>ნულოვანი შესრულება</v>
      </c>
      <c r="S113" s="113">
        <v>0</v>
      </c>
      <c r="T113" s="113"/>
      <c r="U113" s="113">
        <f t="shared" si="126"/>
        <v>0</v>
      </c>
      <c r="V113" s="113">
        <f t="shared" si="127"/>
        <v>0</v>
      </c>
      <c r="W113" s="113">
        <v>0</v>
      </c>
      <c r="X113" s="113">
        <v>0</v>
      </c>
      <c r="Y113" s="113">
        <v>0</v>
      </c>
      <c r="Z113" s="113">
        <v>0</v>
      </c>
      <c r="AA113" s="113">
        <f t="shared" si="156"/>
        <v>0</v>
      </c>
      <c r="AB113" s="113">
        <f t="shared" si="156"/>
        <v>0</v>
      </c>
      <c r="AC113" s="113"/>
      <c r="AD113" s="113"/>
      <c r="AE113" s="113"/>
      <c r="AF113" s="113"/>
      <c r="AG113" s="113">
        <f t="shared" si="138"/>
        <v>0</v>
      </c>
      <c r="AH113" s="113">
        <f t="shared" si="138"/>
        <v>0</v>
      </c>
      <c r="AI113" s="114">
        <f t="shared" si="128"/>
        <v>0</v>
      </c>
      <c r="AJ113" s="114">
        <f t="shared" si="139"/>
        <v>0</v>
      </c>
      <c r="AK113" s="114">
        <f t="shared" si="139"/>
        <v>0</v>
      </c>
      <c r="AL113" s="114">
        <f t="shared" si="129"/>
        <v>0</v>
      </c>
      <c r="AM113" s="113">
        <f t="shared" si="140"/>
        <v>0</v>
      </c>
      <c r="AN113" s="113">
        <f t="shared" si="140"/>
        <v>0</v>
      </c>
      <c r="AO113" s="113"/>
      <c r="AP113" s="113"/>
      <c r="AQ113" s="113"/>
      <c r="AR113" s="113"/>
      <c r="AS113" s="113">
        <f t="shared" si="141"/>
        <v>0</v>
      </c>
      <c r="AT113" s="113">
        <f t="shared" si="141"/>
        <v>0</v>
      </c>
      <c r="AU113" s="113">
        <v>7000</v>
      </c>
      <c r="AV113" s="113"/>
      <c r="AW113" s="113"/>
      <c r="AX113" s="113"/>
      <c r="AY113" s="113">
        <f t="shared" si="142"/>
        <v>7000</v>
      </c>
      <c r="AZ113" s="113">
        <f t="shared" si="142"/>
        <v>0</v>
      </c>
      <c r="BA113" s="113"/>
      <c r="BB113" s="113"/>
      <c r="BC113" s="113"/>
      <c r="BD113" s="113"/>
      <c r="BE113" s="113">
        <f t="shared" si="143"/>
        <v>0</v>
      </c>
      <c r="BF113" s="113"/>
      <c r="BG113" s="113">
        <f t="shared" si="134"/>
        <v>0</v>
      </c>
      <c r="BH113" s="113"/>
      <c r="BI113" s="113"/>
      <c r="BJ113" s="113"/>
      <c r="BK113" s="113"/>
      <c r="BL113" s="113">
        <f t="shared" si="144"/>
        <v>0</v>
      </c>
      <c r="BM113" s="113">
        <v>11000</v>
      </c>
      <c r="BN113" s="113">
        <f t="shared" si="135"/>
        <v>0</v>
      </c>
      <c r="BO113" s="113"/>
      <c r="BP113" s="113"/>
      <c r="BQ113" s="113"/>
      <c r="BR113" s="113"/>
      <c r="BS113" s="113">
        <f t="shared" si="145"/>
        <v>0</v>
      </c>
      <c r="BT113" s="113">
        <v>700</v>
      </c>
      <c r="BU113" s="113">
        <f t="shared" si="136"/>
        <v>0</v>
      </c>
      <c r="BV113" s="113"/>
      <c r="BW113" s="113"/>
      <c r="BX113" s="113"/>
      <c r="BY113" s="113"/>
      <c r="BZ113" s="113">
        <f t="shared" si="146"/>
        <v>0</v>
      </c>
      <c r="CA113" s="113"/>
      <c r="CB113" s="113">
        <f t="shared" si="157"/>
        <v>0</v>
      </c>
      <c r="CC113" s="113"/>
      <c r="CD113" s="113"/>
      <c r="CE113" s="113"/>
      <c r="CF113" s="113"/>
      <c r="CG113" s="113">
        <f t="shared" si="147"/>
        <v>0</v>
      </c>
      <c r="CH113" s="113">
        <f t="shared" si="158"/>
        <v>0</v>
      </c>
      <c r="CI113" s="113"/>
      <c r="CJ113" s="113"/>
      <c r="CK113" s="113"/>
      <c r="CL113" s="113"/>
      <c r="CM113" s="113">
        <f t="shared" si="148"/>
        <v>0</v>
      </c>
      <c r="CN113" s="113">
        <f t="shared" si="148"/>
        <v>0</v>
      </c>
      <c r="CO113" s="113"/>
      <c r="CP113" s="113"/>
      <c r="CQ113" s="113"/>
      <c r="CR113" s="113"/>
      <c r="CS113" s="113">
        <f t="shared" si="149"/>
        <v>0</v>
      </c>
      <c r="CT113" s="113">
        <f t="shared" si="149"/>
        <v>0</v>
      </c>
      <c r="CU113" s="113"/>
      <c r="CV113" s="113"/>
      <c r="CW113" s="113"/>
      <c r="CX113" s="113"/>
      <c r="CY113" s="113">
        <f t="shared" si="150"/>
        <v>0</v>
      </c>
      <c r="CZ113" s="113">
        <f t="shared" si="150"/>
        <v>0</v>
      </c>
      <c r="DA113" s="113"/>
      <c r="DB113" s="113"/>
      <c r="DC113" s="113"/>
      <c r="DD113" s="113"/>
      <c r="DE113" s="113">
        <f t="shared" si="151"/>
        <v>0</v>
      </c>
      <c r="DF113" s="113">
        <f t="shared" si="151"/>
        <v>0</v>
      </c>
      <c r="DG113" s="113"/>
      <c r="DH113" s="113"/>
      <c r="DI113" s="113"/>
      <c r="DJ113" s="113"/>
      <c r="DK113" s="113">
        <f t="shared" si="152"/>
        <v>0</v>
      </c>
      <c r="DL113" s="113">
        <f t="shared" si="152"/>
        <v>0</v>
      </c>
      <c r="DM113" s="113">
        <f t="shared" si="159"/>
        <v>7000</v>
      </c>
      <c r="DN113" s="113">
        <f t="shared" si="160"/>
        <v>0</v>
      </c>
      <c r="DO113" s="113">
        <f t="shared" si="161"/>
        <v>0</v>
      </c>
      <c r="DP113" s="113">
        <f t="shared" si="162"/>
        <v>0</v>
      </c>
      <c r="DQ113" s="113">
        <f t="shared" si="153"/>
        <v>7000</v>
      </c>
      <c r="DR113" s="113">
        <f t="shared" si="153"/>
        <v>0</v>
      </c>
    </row>
    <row r="114" spans="1:122">
      <c r="A114" s="15">
        <v>107</v>
      </c>
      <c r="B114" s="96" t="s">
        <v>1091</v>
      </c>
      <c r="C114" s="96" t="s">
        <v>1118</v>
      </c>
      <c r="D114" s="96" t="s">
        <v>1119</v>
      </c>
      <c r="E114" s="185" t="s">
        <v>1164</v>
      </c>
      <c r="F114" s="161">
        <f t="shared" si="130"/>
        <v>0</v>
      </c>
      <c r="G114" s="161">
        <f t="shared" si="122"/>
        <v>0</v>
      </c>
      <c r="H114" s="161">
        <f t="shared" si="123"/>
        <v>0</v>
      </c>
      <c r="I114" s="161">
        <f t="shared" si="124"/>
        <v>0</v>
      </c>
      <c r="J114" s="165">
        <f t="shared" si="154"/>
        <v>75.25</v>
      </c>
      <c r="K114" s="115"/>
      <c r="L114" s="211">
        <v>0</v>
      </c>
      <c r="M114" s="211">
        <v>0</v>
      </c>
      <c r="N114" s="127">
        <f t="shared" si="131"/>
        <v>75.25</v>
      </c>
      <c r="O114" s="127">
        <f t="shared" si="132"/>
        <v>75.25</v>
      </c>
      <c r="P114" s="127">
        <f t="shared" si="133"/>
        <v>75.25</v>
      </c>
      <c r="Q114" s="131">
        <f t="shared" si="125"/>
        <v>0</v>
      </c>
      <c r="R114" s="125">
        <f t="shared" si="155"/>
        <v>75.25</v>
      </c>
      <c r="S114" s="113">
        <v>0</v>
      </c>
      <c r="T114" s="113"/>
      <c r="U114" s="113">
        <f t="shared" si="126"/>
        <v>0</v>
      </c>
      <c r="V114" s="113">
        <f t="shared" si="127"/>
        <v>0</v>
      </c>
      <c r="W114" s="113">
        <v>0</v>
      </c>
      <c r="X114" s="113">
        <v>0</v>
      </c>
      <c r="Y114" s="113">
        <v>0</v>
      </c>
      <c r="Z114" s="113">
        <v>0</v>
      </c>
      <c r="AA114" s="113">
        <f t="shared" si="156"/>
        <v>0</v>
      </c>
      <c r="AB114" s="113">
        <f t="shared" si="156"/>
        <v>0</v>
      </c>
      <c r="AC114" s="113"/>
      <c r="AD114" s="113"/>
      <c r="AE114" s="113"/>
      <c r="AF114" s="113">
        <v>75.25</v>
      </c>
      <c r="AG114" s="113">
        <f t="shared" si="138"/>
        <v>0</v>
      </c>
      <c r="AH114" s="113">
        <f t="shared" si="138"/>
        <v>75.25</v>
      </c>
      <c r="AI114" s="114">
        <f t="shared" si="128"/>
        <v>0</v>
      </c>
      <c r="AJ114" s="114">
        <f t="shared" si="139"/>
        <v>0</v>
      </c>
      <c r="AK114" s="114">
        <f t="shared" si="139"/>
        <v>0</v>
      </c>
      <c r="AL114" s="114">
        <f t="shared" si="129"/>
        <v>75.25</v>
      </c>
      <c r="AM114" s="113">
        <f t="shared" si="140"/>
        <v>0</v>
      </c>
      <c r="AN114" s="113">
        <f t="shared" si="140"/>
        <v>75.25</v>
      </c>
      <c r="AO114" s="113"/>
      <c r="AP114" s="113"/>
      <c r="AQ114" s="113"/>
      <c r="AR114" s="113"/>
      <c r="AS114" s="113">
        <f t="shared" si="141"/>
        <v>0</v>
      </c>
      <c r="AT114" s="113">
        <f t="shared" si="141"/>
        <v>0</v>
      </c>
      <c r="AU114" s="113"/>
      <c r="AV114" s="113"/>
      <c r="AW114" s="113"/>
      <c r="AX114" s="113"/>
      <c r="AY114" s="113">
        <f t="shared" si="142"/>
        <v>0</v>
      </c>
      <c r="AZ114" s="113">
        <f t="shared" si="142"/>
        <v>0</v>
      </c>
      <c r="BA114" s="113"/>
      <c r="BB114" s="113"/>
      <c r="BC114" s="113"/>
      <c r="BD114" s="113"/>
      <c r="BE114" s="113">
        <f t="shared" si="143"/>
        <v>0</v>
      </c>
      <c r="BF114" s="113"/>
      <c r="BG114" s="113">
        <f t="shared" si="134"/>
        <v>0</v>
      </c>
      <c r="BH114" s="113"/>
      <c r="BI114" s="113"/>
      <c r="BJ114" s="113"/>
      <c r="BK114" s="113"/>
      <c r="BL114" s="113">
        <f t="shared" si="144"/>
        <v>0</v>
      </c>
      <c r="BM114" s="113">
        <v>0</v>
      </c>
      <c r="BN114" s="113">
        <f t="shared" si="135"/>
        <v>0</v>
      </c>
      <c r="BO114" s="113"/>
      <c r="BP114" s="113"/>
      <c r="BQ114" s="113"/>
      <c r="BR114" s="113"/>
      <c r="BS114" s="113">
        <f t="shared" si="145"/>
        <v>0</v>
      </c>
      <c r="BT114" s="113"/>
      <c r="BU114" s="113">
        <f t="shared" si="136"/>
        <v>0</v>
      </c>
      <c r="BV114" s="113"/>
      <c r="BW114" s="113"/>
      <c r="BX114" s="113"/>
      <c r="BY114" s="113"/>
      <c r="BZ114" s="113">
        <f t="shared" si="146"/>
        <v>0</v>
      </c>
      <c r="CA114" s="113"/>
      <c r="CB114" s="113">
        <f t="shared" si="157"/>
        <v>0</v>
      </c>
      <c r="CC114" s="113"/>
      <c r="CD114" s="113"/>
      <c r="CE114" s="113"/>
      <c r="CF114" s="113"/>
      <c r="CG114" s="113">
        <f t="shared" si="147"/>
        <v>0</v>
      </c>
      <c r="CH114" s="113">
        <f t="shared" si="158"/>
        <v>0</v>
      </c>
      <c r="CI114" s="113"/>
      <c r="CJ114" s="113"/>
      <c r="CK114" s="113"/>
      <c r="CL114" s="113"/>
      <c r="CM114" s="113">
        <f t="shared" si="148"/>
        <v>0</v>
      </c>
      <c r="CN114" s="113">
        <f t="shared" si="148"/>
        <v>0</v>
      </c>
      <c r="CO114" s="113"/>
      <c r="CP114" s="113"/>
      <c r="CQ114" s="113"/>
      <c r="CR114" s="113"/>
      <c r="CS114" s="113">
        <f t="shared" si="149"/>
        <v>0</v>
      </c>
      <c r="CT114" s="113">
        <f t="shared" si="149"/>
        <v>0</v>
      </c>
      <c r="CU114" s="113"/>
      <c r="CV114" s="113"/>
      <c r="CW114" s="113"/>
      <c r="CX114" s="113"/>
      <c r="CY114" s="113">
        <f t="shared" si="150"/>
        <v>0</v>
      </c>
      <c r="CZ114" s="113">
        <f t="shared" si="150"/>
        <v>0</v>
      </c>
      <c r="DA114" s="113"/>
      <c r="DB114" s="113"/>
      <c r="DC114" s="113"/>
      <c r="DD114" s="113"/>
      <c r="DE114" s="113">
        <f t="shared" si="151"/>
        <v>0</v>
      </c>
      <c r="DF114" s="113">
        <f t="shared" si="151"/>
        <v>0</v>
      </c>
      <c r="DG114" s="113"/>
      <c r="DH114" s="113"/>
      <c r="DI114" s="113"/>
      <c r="DJ114" s="113"/>
      <c r="DK114" s="113">
        <f t="shared" si="152"/>
        <v>0</v>
      </c>
      <c r="DL114" s="113">
        <f t="shared" si="152"/>
        <v>0</v>
      </c>
      <c r="DM114" s="113">
        <f t="shared" si="159"/>
        <v>0</v>
      </c>
      <c r="DN114" s="113">
        <f t="shared" si="160"/>
        <v>0</v>
      </c>
      <c r="DO114" s="113">
        <f t="shared" si="161"/>
        <v>0</v>
      </c>
      <c r="DP114" s="113">
        <f t="shared" si="162"/>
        <v>0</v>
      </c>
      <c r="DQ114" s="113">
        <f t="shared" si="153"/>
        <v>0</v>
      </c>
      <c r="DR114" s="113">
        <f t="shared" si="153"/>
        <v>0</v>
      </c>
    </row>
    <row r="115" spans="1:122">
      <c r="A115" s="15">
        <v>108</v>
      </c>
      <c r="B115" s="96" t="s">
        <v>1091</v>
      </c>
      <c r="C115" s="187" t="s">
        <v>1118</v>
      </c>
      <c r="D115" s="96" t="s">
        <v>1120</v>
      </c>
      <c r="E115" s="96" t="s">
        <v>1165</v>
      </c>
      <c r="F115" s="131">
        <f t="shared" si="130"/>
        <v>3000</v>
      </c>
      <c r="G115" s="161">
        <f t="shared" si="122"/>
        <v>4538.0511166548285</v>
      </c>
      <c r="H115" s="161">
        <f t="shared" si="123"/>
        <v>-1538.0511166548285</v>
      </c>
      <c r="I115" s="161">
        <f t="shared" si="124"/>
        <v>0</v>
      </c>
      <c r="J115" s="283">
        <f t="shared" si="154"/>
        <v>3000</v>
      </c>
      <c r="K115" s="115">
        <v>2288.4</v>
      </c>
      <c r="L115" s="211">
        <v>0</v>
      </c>
      <c r="M115" s="211">
        <v>0</v>
      </c>
      <c r="N115" s="127">
        <f t="shared" si="131"/>
        <v>0</v>
      </c>
      <c r="O115" s="127">
        <f t="shared" si="132"/>
        <v>0</v>
      </c>
      <c r="P115" s="131">
        <f t="shared" si="133"/>
        <v>0</v>
      </c>
      <c r="Q115" s="131">
        <f t="shared" si="125"/>
        <v>3000</v>
      </c>
      <c r="R115" s="131">
        <f t="shared" si="155"/>
        <v>4538.0511166548285</v>
      </c>
      <c r="S115" s="113">
        <v>0</v>
      </c>
      <c r="T115" s="113"/>
      <c r="U115" s="113">
        <f t="shared" si="126"/>
        <v>0</v>
      </c>
      <c r="V115" s="113">
        <f t="shared" si="127"/>
        <v>0</v>
      </c>
      <c r="W115" s="113">
        <v>0</v>
      </c>
      <c r="X115" s="113">
        <v>0</v>
      </c>
      <c r="Y115" s="113">
        <v>0</v>
      </c>
      <c r="Z115" s="113">
        <v>0</v>
      </c>
      <c r="AA115" s="113">
        <f t="shared" si="156"/>
        <v>0</v>
      </c>
      <c r="AB115" s="113">
        <f t="shared" si="156"/>
        <v>0</v>
      </c>
      <c r="AC115" s="113"/>
      <c r="AD115" s="113"/>
      <c r="AE115" s="113"/>
      <c r="AF115" s="113"/>
      <c r="AG115" s="113">
        <f t="shared" si="138"/>
        <v>0</v>
      </c>
      <c r="AH115" s="113">
        <f t="shared" si="138"/>
        <v>0</v>
      </c>
      <c r="AI115" s="114">
        <f t="shared" si="128"/>
        <v>0</v>
      </c>
      <c r="AJ115" s="114">
        <f t="shared" si="139"/>
        <v>0</v>
      </c>
      <c r="AK115" s="114">
        <f t="shared" si="139"/>
        <v>0</v>
      </c>
      <c r="AL115" s="114">
        <f t="shared" si="129"/>
        <v>0</v>
      </c>
      <c r="AM115" s="113">
        <f t="shared" si="140"/>
        <v>0</v>
      </c>
      <c r="AN115" s="113">
        <f t="shared" si="140"/>
        <v>0</v>
      </c>
      <c r="AO115" s="113"/>
      <c r="AP115" s="113"/>
      <c r="AQ115" s="113"/>
      <c r="AR115" s="113"/>
      <c r="AS115" s="113">
        <f t="shared" si="141"/>
        <v>0</v>
      </c>
      <c r="AT115" s="113">
        <f t="shared" si="141"/>
        <v>0</v>
      </c>
      <c r="AU115" s="113">
        <v>3000</v>
      </c>
      <c r="AV115" s="113"/>
      <c r="AW115" s="113"/>
      <c r="AX115" s="113"/>
      <c r="AY115" s="113">
        <f t="shared" si="142"/>
        <v>3000</v>
      </c>
      <c r="AZ115" s="113">
        <f t="shared" si="142"/>
        <v>0</v>
      </c>
      <c r="BA115" s="113"/>
      <c r="BB115" s="113"/>
      <c r="BC115" s="113"/>
      <c r="BD115" s="113"/>
      <c r="BE115" s="113">
        <f t="shared" si="143"/>
        <v>0</v>
      </c>
      <c r="BF115" s="113"/>
      <c r="BG115" s="113">
        <f t="shared" ref="BG115:BG138" si="163">BB115+BD115</f>
        <v>0</v>
      </c>
      <c r="BH115" s="113"/>
      <c r="BI115" s="113"/>
      <c r="BJ115" s="113"/>
      <c r="BK115" s="113"/>
      <c r="BL115" s="113">
        <f t="shared" si="144"/>
        <v>0</v>
      </c>
      <c r="BM115" s="113">
        <v>0</v>
      </c>
      <c r="BN115" s="113">
        <f t="shared" ref="BN115:BN138" si="164">BI115+BK115</f>
        <v>0</v>
      </c>
      <c r="BO115" s="113"/>
      <c r="BP115" s="113"/>
      <c r="BQ115" s="113"/>
      <c r="BR115" s="113"/>
      <c r="BS115" s="113">
        <f t="shared" si="145"/>
        <v>0</v>
      </c>
      <c r="BT115" s="113"/>
      <c r="BU115" s="113">
        <f t="shared" ref="BU115:BU138" si="165">BP115+BR115</f>
        <v>0</v>
      </c>
      <c r="BV115" s="113"/>
      <c r="BW115" s="113"/>
      <c r="BX115" s="113"/>
      <c r="BY115" s="113"/>
      <c r="BZ115" s="113">
        <f t="shared" si="146"/>
        <v>0</v>
      </c>
      <c r="CA115" s="113"/>
      <c r="CB115" s="113">
        <f t="shared" si="157"/>
        <v>0</v>
      </c>
      <c r="CC115" s="113"/>
      <c r="CD115" s="113"/>
      <c r="CE115" s="113"/>
      <c r="CF115" s="113">
        <v>4538.0511166548285</v>
      </c>
      <c r="CG115" s="113">
        <f t="shared" si="147"/>
        <v>0</v>
      </c>
      <c r="CH115" s="113">
        <f t="shared" si="158"/>
        <v>4538.0511166548285</v>
      </c>
      <c r="CI115" s="113"/>
      <c r="CJ115" s="113"/>
      <c r="CK115" s="113"/>
      <c r="CL115" s="113"/>
      <c r="CM115" s="113">
        <f t="shared" si="148"/>
        <v>0</v>
      </c>
      <c r="CN115" s="113">
        <f t="shared" si="148"/>
        <v>0</v>
      </c>
      <c r="CO115" s="113"/>
      <c r="CP115" s="113"/>
      <c r="CQ115" s="113"/>
      <c r="CR115" s="113"/>
      <c r="CS115" s="113">
        <f t="shared" si="149"/>
        <v>0</v>
      </c>
      <c r="CT115" s="113">
        <f t="shared" si="149"/>
        <v>0</v>
      </c>
      <c r="CU115" s="113"/>
      <c r="CV115" s="113"/>
      <c r="CW115" s="113"/>
      <c r="CX115" s="113"/>
      <c r="CY115" s="113">
        <f t="shared" si="150"/>
        <v>0</v>
      </c>
      <c r="CZ115" s="113">
        <f t="shared" si="150"/>
        <v>0</v>
      </c>
      <c r="DA115" s="113"/>
      <c r="DB115" s="113"/>
      <c r="DC115" s="113"/>
      <c r="DD115" s="113"/>
      <c r="DE115" s="113">
        <f t="shared" si="151"/>
        <v>0</v>
      </c>
      <c r="DF115" s="113">
        <f t="shared" si="151"/>
        <v>0</v>
      </c>
      <c r="DG115" s="113"/>
      <c r="DH115" s="113"/>
      <c r="DI115" s="113"/>
      <c r="DJ115" s="113"/>
      <c r="DK115" s="113">
        <f t="shared" si="152"/>
        <v>0</v>
      </c>
      <c r="DL115" s="113">
        <f t="shared" si="152"/>
        <v>0</v>
      </c>
      <c r="DM115" s="113">
        <f t="shared" si="159"/>
        <v>3000</v>
      </c>
      <c r="DN115" s="113">
        <f t="shared" si="160"/>
        <v>0</v>
      </c>
      <c r="DO115" s="113">
        <f t="shared" si="161"/>
        <v>0</v>
      </c>
      <c r="DP115" s="113">
        <f t="shared" si="162"/>
        <v>4538.0511166548285</v>
      </c>
      <c r="DQ115" s="113">
        <f t="shared" si="153"/>
        <v>3000</v>
      </c>
      <c r="DR115" s="113">
        <f t="shared" si="153"/>
        <v>4538.0511166548285</v>
      </c>
    </row>
    <row r="116" spans="1:122">
      <c r="A116" s="15">
        <v>109</v>
      </c>
      <c r="B116" s="96" t="s">
        <v>1091</v>
      </c>
      <c r="C116" s="96" t="s">
        <v>1121</v>
      </c>
      <c r="D116" s="96" t="s">
        <v>1122</v>
      </c>
      <c r="E116" s="185" t="s">
        <v>1164</v>
      </c>
      <c r="F116" s="161">
        <f t="shared" si="130"/>
        <v>0</v>
      </c>
      <c r="G116" s="161">
        <f t="shared" si="122"/>
        <v>0</v>
      </c>
      <c r="H116" s="161">
        <f t="shared" si="123"/>
        <v>0</v>
      </c>
      <c r="I116" s="161">
        <f t="shared" si="124"/>
        <v>0</v>
      </c>
      <c r="J116" s="165">
        <f t="shared" si="154"/>
        <v>2156.875</v>
      </c>
      <c r="K116" s="115"/>
      <c r="L116" s="211">
        <v>0</v>
      </c>
      <c r="M116" s="211">
        <v>0</v>
      </c>
      <c r="N116" s="127">
        <f t="shared" si="131"/>
        <v>2156.875</v>
      </c>
      <c r="O116" s="127">
        <f t="shared" si="132"/>
        <v>2156.875</v>
      </c>
      <c r="P116" s="127">
        <f t="shared" si="133"/>
        <v>2156.875</v>
      </c>
      <c r="Q116" s="131">
        <f t="shared" si="125"/>
        <v>0</v>
      </c>
      <c r="R116" s="125">
        <f t="shared" si="155"/>
        <v>2156.875</v>
      </c>
      <c r="S116" s="113">
        <v>0</v>
      </c>
      <c r="T116" s="113"/>
      <c r="U116" s="113">
        <f t="shared" si="126"/>
        <v>0</v>
      </c>
      <c r="V116" s="113">
        <f t="shared" si="127"/>
        <v>0</v>
      </c>
      <c r="W116" s="113">
        <v>0</v>
      </c>
      <c r="X116" s="113">
        <v>0</v>
      </c>
      <c r="Y116" s="113">
        <v>0</v>
      </c>
      <c r="Z116" s="113">
        <v>2156.875</v>
      </c>
      <c r="AA116" s="113">
        <f t="shared" si="156"/>
        <v>0</v>
      </c>
      <c r="AB116" s="113">
        <f t="shared" si="156"/>
        <v>2156.875</v>
      </c>
      <c r="AC116" s="113"/>
      <c r="AD116" s="113"/>
      <c r="AE116" s="113"/>
      <c r="AF116" s="113"/>
      <c r="AG116" s="113">
        <f t="shared" si="138"/>
        <v>0</v>
      </c>
      <c r="AH116" s="113">
        <f t="shared" si="138"/>
        <v>0</v>
      </c>
      <c r="AI116" s="114">
        <f t="shared" si="128"/>
        <v>0</v>
      </c>
      <c r="AJ116" s="114">
        <f t="shared" si="139"/>
        <v>0</v>
      </c>
      <c r="AK116" s="114">
        <f t="shared" si="139"/>
        <v>0</v>
      </c>
      <c r="AL116" s="114">
        <f t="shared" si="129"/>
        <v>2156.875</v>
      </c>
      <c r="AM116" s="113">
        <f t="shared" si="140"/>
        <v>0</v>
      </c>
      <c r="AN116" s="113">
        <f t="shared" si="140"/>
        <v>2156.875</v>
      </c>
      <c r="AO116" s="113"/>
      <c r="AP116" s="113"/>
      <c r="AQ116" s="113"/>
      <c r="AR116" s="113"/>
      <c r="AS116" s="113">
        <f t="shared" si="141"/>
        <v>0</v>
      </c>
      <c r="AT116" s="113">
        <f t="shared" si="141"/>
        <v>0</v>
      </c>
      <c r="AU116" s="113"/>
      <c r="AV116" s="113"/>
      <c r="AW116" s="113"/>
      <c r="AX116" s="113"/>
      <c r="AY116" s="113">
        <f t="shared" si="142"/>
        <v>0</v>
      </c>
      <c r="AZ116" s="113">
        <f t="shared" si="142"/>
        <v>0</v>
      </c>
      <c r="BA116" s="113"/>
      <c r="BB116" s="113"/>
      <c r="BC116" s="113"/>
      <c r="BD116" s="113"/>
      <c r="BE116" s="113">
        <f t="shared" si="143"/>
        <v>0</v>
      </c>
      <c r="BF116" s="113"/>
      <c r="BG116" s="113">
        <f t="shared" si="163"/>
        <v>0</v>
      </c>
      <c r="BH116" s="113"/>
      <c r="BI116" s="113"/>
      <c r="BJ116" s="113"/>
      <c r="BK116" s="113"/>
      <c r="BL116" s="113">
        <f t="shared" si="144"/>
        <v>0</v>
      </c>
      <c r="BM116" s="113">
        <v>0</v>
      </c>
      <c r="BN116" s="113">
        <f t="shared" si="164"/>
        <v>0</v>
      </c>
      <c r="BO116" s="113"/>
      <c r="BP116" s="113"/>
      <c r="BQ116" s="113"/>
      <c r="BR116" s="113"/>
      <c r="BS116" s="113">
        <f t="shared" si="145"/>
        <v>0</v>
      </c>
      <c r="BT116" s="113"/>
      <c r="BU116" s="113">
        <f t="shared" si="165"/>
        <v>0</v>
      </c>
      <c r="BV116" s="113"/>
      <c r="BW116" s="113"/>
      <c r="BX116" s="113"/>
      <c r="BY116" s="113"/>
      <c r="BZ116" s="113">
        <f t="shared" si="146"/>
        <v>0</v>
      </c>
      <c r="CA116" s="113"/>
      <c r="CB116" s="113">
        <f t="shared" si="157"/>
        <v>0</v>
      </c>
      <c r="CC116" s="113"/>
      <c r="CD116" s="113"/>
      <c r="CE116" s="113"/>
      <c r="CF116" s="113"/>
      <c r="CG116" s="113">
        <f t="shared" si="147"/>
        <v>0</v>
      </c>
      <c r="CH116" s="113">
        <f t="shared" si="158"/>
        <v>0</v>
      </c>
      <c r="CI116" s="113"/>
      <c r="CJ116" s="113"/>
      <c r="CK116" s="113"/>
      <c r="CL116" s="113"/>
      <c r="CM116" s="113">
        <f t="shared" si="148"/>
        <v>0</v>
      </c>
      <c r="CN116" s="113">
        <f t="shared" si="148"/>
        <v>0</v>
      </c>
      <c r="CO116" s="113"/>
      <c r="CP116" s="113"/>
      <c r="CQ116" s="113"/>
      <c r="CR116" s="113"/>
      <c r="CS116" s="113">
        <f t="shared" si="149"/>
        <v>0</v>
      </c>
      <c r="CT116" s="113">
        <f t="shared" si="149"/>
        <v>0</v>
      </c>
      <c r="CU116" s="113"/>
      <c r="CV116" s="113"/>
      <c r="CW116" s="113"/>
      <c r="CX116" s="113"/>
      <c r="CY116" s="113">
        <f t="shared" si="150"/>
        <v>0</v>
      </c>
      <c r="CZ116" s="113">
        <f t="shared" si="150"/>
        <v>0</v>
      </c>
      <c r="DA116" s="113"/>
      <c r="DB116" s="113"/>
      <c r="DC116" s="113"/>
      <c r="DD116" s="113"/>
      <c r="DE116" s="113">
        <f t="shared" si="151"/>
        <v>0</v>
      </c>
      <c r="DF116" s="113">
        <f t="shared" si="151"/>
        <v>0</v>
      </c>
      <c r="DG116" s="113"/>
      <c r="DH116" s="113"/>
      <c r="DI116" s="113"/>
      <c r="DJ116" s="113"/>
      <c r="DK116" s="113">
        <f t="shared" si="152"/>
        <v>0</v>
      </c>
      <c r="DL116" s="113">
        <f t="shared" si="152"/>
        <v>0</v>
      </c>
      <c r="DM116" s="113">
        <f t="shared" si="159"/>
        <v>0</v>
      </c>
      <c r="DN116" s="113">
        <f t="shared" si="160"/>
        <v>0</v>
      </c>
      <c r="DO116" s="113">
        <f t="shared" si="161"/>
        <v>0</v>
      </c>
      <c r="DP116" s="113">
        <f t="shared" si="162"/>
        <v>0</v>
      </c>
      <c r="DQ116" s="113">
        <f t="shared" si="153"/>
        <v>0</v>
      </c>
      <c r="DR116" s="113">
        <f t="shared" si="153"/>
        <v>0</v>
      </c>
    </row>
    <row r="117" spans="1:122">
      <c r="A117" s="15">
        <v>110</v>
      </c>
      <c r="B117" s="96" t="s">
        <v>1091</v>
      </c>
      <c r="C117" s="187" t="s">
        <v>1121</v>
      </c>
      <c r="D117" s="96" t="s">
        <v>1123</v>
      </c>
      <c r="E117" s="185" t="s">
        <v>1165</v>
      </c>
      <c r="F117" s="161">
        <f t="shared" si="130"/>
        <v>70000</v>
      </c>
      <c r="G117" s="161">
        <f t="shared" si="122"/>
        <v>69459.039999999994</v>
      </c>
      <c r="H117" s="161">
        <f t="shared" si="123"/>
        <v>540.9600000000064</v>
      </c>
      <c r="I117" s="161">
        <f t="shared" si="124"/>
        <v>1459.0399999999936</v>
      </c>
      <c r="J117" s="165">
        <f t="shared" si="154"/>
        <v>70000</v>
      </c>
      <c r="K117" s="115">
        <v>71500</v>
      </c>
      <c r="L117" s="211">
        <v>0</v>
      </c>
      <c r="M117" s="211">
        <v>0</v>
      </c>
      <c r="N117" s="127">
        <f t="shared" si="131"/>
        <v>0</v>
      </c>
      <c r="O117" s="127">
        <f t="shared" si="132"/>
        <v>0</v>
      </c>
      <c r="P117" s="127">
        <f t="shared" si="133"/>
        <v>0</v>
      </c>
      <c r="Q117" s="131">
        <f t="shared" si="125"/>
        <v>70000</v>
      </c>
      <c r="R117" s="125">
        <f t="shared" si="155"/>
        <v>69459.039999999994</v>
      </c>
      <c r="S117" s="113">
        <v>0</v>
      </c>
      <c r="T117" s="113"/>
      <c r="U117" s="113">
        <f t="shared" si="126"/>
        <v>0</v>
      </c>
      <c r="V117" s="113">
        <f t="shared" si="127"/>
        <v>0</v>
      </c>
      <c r="W117" s="113">
        <v>0</v>
      </c>
      <c r="X117" s="113">
        <v>0</v>
      </c>
      <c r="Y117" s="113">
        <v>0</v>
      </c>
      <c r="Z117" s="113">
        <v>0</v>
      </c>
      <c r="AA117" s="113">
        <f t="shared" si="156"/>
        <v>0</v>
      </c>
      <c r="AB117" s="113">
        <f t="shared" si="156"/>
        <v>0</v>
      </c>
      <c r="AC117" s="113"/>
      <c r="AD117" s="113"/>
      <c r="AE117" s="113">
        <v>71000</v>
      </c>
      <c r="AF117" s="113"/>
      <c r="AG117" s="113">
        <f t="shared" si="138"/>
        <v>71000</v>
      </c>
      <c r="AH117" s="113">
        <f t="shared" si="138"/>
        <v>0</v>
      </c>
      <c r="AI117" s="114">
        <f t="shared" si="128"/>
        <v>0</v>
      </c>
      <c r="AJ117" s="114">
        <f t="shared" si="139"/>
        <v>0</v>
      </c>
      <c r="AK117" s="114">
        <f t="shared" si="139"/>
        <v>71000</v>
      </c>
      <c r="AL117" s="114">
        <f t="shared" si="129"/>
        <v>0</v>
      </c>
      <c r="AM117" s="113">
        <f t="shared" si="140"/>
        <v>71000</v>
      </c>
      <c r="AN117" s="113">
        <f t="shared" si="140"/>
        <v>0</v>
      </c>
      <c r="AO117" s="113"/>
      <c r="AP117" s="113"/>
      <c r="AQ117" s="113">
        <v>70000</v>
      </c>
      <c r="AR117" s="113">
        <v>68000</v>
      </c>
      <c r="AS117" s="113">
        <f t="shared" si="141"/>
        <v>70000</v>
      </c>
      <c r="AT117" s="113">
        <f t="shared" si="141"/>
        <v>68000</v>
      </c>
      <c r="AU117" s="113"/>
      <c r="AV117" s="113"/>
      <c r="AW117" s="113"/>
      <c r="AX117" s="113"/>
      <c r="AY117" s="113">
        <f t="shared" si="142"/>
        <v>0</v>
      </c>
      <c r="AZ117" s="113">
        <f t="shared" si="142"/>
        <v>0</v>
      </c>
      <c r="BA117" s="113"/>
      <c r="BB117" s="113"/>
      <c r="BC117" s="113"/>
      <c r="BD117" s="113">
        <v>1459.04</v>
      </c>
      <c r="BE117" s="113">
        <f t="shared" si="143"/>
        <v>0</v>
      </c>
      <c r="BF117" s="113">
        <v>1459.0399999999936</v>
      </c>
      <c r="BG117" s="113">
        <f t="shared" si="163"/>
        <v>1459.04</v>
      </c>
      <c r="BH117" s="113"/>
      <c r="BI117" s="113"/>
      <c r="BJ117" s="113"/>
      <c r="BK117" s="113"/>
      <c r="BL117" s="113">
        <f t="shared" si="144"/>
        <v>0</v>
      </c>
      <c r="BM117" s="113">
        <v>0</v>
      </c>
      <c r="BN117" s="113">
        <f t="shared" si="164"/>
        <v>0</v>
      </c>
      <c r="BO117" s="113"/>
      <c r="BP117" s="113"/>
      <c r="BQ117" s="113"/>
      <c r="BR117" s="113"/>
      <c r="BS117" s="113">
        <f t="shared" si="145"/>
        <v>0</v>
      </c>
      <c r="BT117" s="113"/>
      <c r="BU117" s="113">
        <f t="shared" si="165"/>
        <v>0</v>
      </c>
      <c r="BV117" s="113"/>
      <c r="BW117" s="113"/>
      <c r="BX117" s="113"/>
      <c r="BY117" s="113"/>
      <c r="BZ117" s="113">
        <f t="shared" si="146"/>
        <v>0</v>
      </c>
      <c r="CA117" s="113"/>
      <c r="CB117" s="113">
        <f t="shared" si="157"/>
        <v>0</v>
      </c>
      <c r="CC117" s="113"/>
      <c r="CD117" s="113"/>
      <c r="CE117" s="113"/>
      <c r="CF117" s="113"/>
      <c r="CG117" s="113">
        <f t="shared" si="147"/>
        <v>0</v>
      </c>
      <c r="CH117" s="113">
        <f t="shared" si="158"/>
        <v>0</v>
      </c>
      <c r="CI117" s="113"/>
      <c r="CJ117" s="113"/>
      <c r="CK117" s="113"/>
      <c r="CL117" s="113"/>
      <c r="CM117" s="113">
        <f t="shared" si="148"/>
        <v>0</v>
      </c>
      <c r="CN117" s="113">
        <f t="shared" si="148"/>
        <v>0</v>
      </c>
      <c r="CO117" s="113"/>
      <c r="CP117" s="113"/>
      <c r="CQ117" s="113"/>
      <c r="CR117" s="113"/>
      <c r="CS117" s="113">
        <f t="shared" si="149"/>
        <v>0</v>
      </c>
      <c r="CT117" s="113">
        <f t="shared" si="149"/>
        <v>0</v>
      </c>
      <c r="CU117" s="113"/>
      <c r="CV117" s="113"/>
      <c r="CW117" s="113"/>
      <c r="CX117" s="113"/>
      <c r="CY117" s="113">
        <f t="shared" si="150"/>
        <v>0</v>
      </c>
      <c r="CZ117" s="113">
        <f t="shared" si="150"/>
        <v>0</v>
      </c>
      <c r="DA117" s="113"/>
      <c r="DB117" s="113"/>
      <c r="DC117" s="113"/>
      <c r="DD117" s="113"/>
      <c r="DE117" s="113">
        <f t="shared" si="151"/>
        <v>0</v>
      </c>
      <c r="DF117" s="113">
        <f t="shared" si="151"/>
        <v>0</v>
      </c>
      <c r="DG117" s="113"/>
      <c r="DH117" s="113"/>
      <c r="DI117" s="113"/>
      <c r="DJ117" s="113"/>
      <c r="DK117" s="113">
        <f t="shared" si="152"/>
        <v>0</v>
      </c>
      <c r="DL117" s="113">
        <f t="shared" si="152"/>
        <v>0</v>
      </c>
      <c r="DM117" s="113">
        <f t="shared" si="159"/>
        <v>0</v>
      </c>
      <c r="DN117" s="113">
        <f t="shared" si="160"/>
        <v>0</v>
      </c>
      <c r="DO117" s="113">
        <f t="shared" si="161"/>
        <v>70000</v>
      </c>
      <c r="DP117" s="113">
        <f t="shared" si="162"/>
        <v>69459.039999999994</v>
      </c>
      <c r="DQ117" s="113">
        <f t="shared" si="153"/>
        <v>70000</v>
      </c>
      <c r="DR117" s="113">
        <f t="shared" si="153"/>
        <v>69459.039999999994</v>
      </c>
    </row>
    <row r="118" spans="1:122">
      <c r="A118" s="15">
        <v>111</v>
      </c>
      <c r="B118" s="96" t="s">
        <v>1091</v>
      </c>
      <c r="C118" s="96" t="s">
        <v>1124</v>
      </c>
      <c r="D118" s="96" t="s">
        <v>1125</v>
      </c>
      <c r="E118" s="185" t="s">
        <v>1164</v>
      </c>
      <c r="F118" s="161">
        <f t="shared" si="130"/>
        <v>0</v>
      </c>
      <c r="G118" s="161">
        <f t="shared" si="122"/>
        <v>0</v>
      </c>
      <c r="H118" s="161">
        <f t="shared" si="123"/>
        <v>0</v>
      </c>
      <c r="I118" s="161">
        <f t="shared" si="124"/>
        <v>0</v>
      </c>
      <c r="J118" s="165">
        <f t="shared" si="154"/>
        <v>561.75</v>
      </c>
      <c r="K118" s="115"/>
      <c r="L118" s="211">
        <v>0</v>
      </c>
      <c r="M118" s="211">
        <v>0</v>
      </c>
      <c r="N118" s="127">
        <f t="shared" si="131"/>
        <v>561.75</v>
      </c>
      <c r="O118" s="127">
        <f t="shared" si="132"/>
        <v>561.75</v>
      </c>
      <c r="P118" s="127">
        <f t="shared" si="133"/>
        <v>561.75</v>
      </c>
      <c r="Q118" s="131">
        <f t="shared" si="125"/>
        <v>0</v>
      </c>
      <c r="R118" s="125">
        <f t="shared" si="155"/>
        <v>561.75</v>
      </c>
      <c r="S118" s="113">
        <v>0</v>
      </c>
      <c r="T118" s="113"/>
      <c r="U118" s="113">
        <f t="shared" si="126"/>
        <v>0</v>
      </c>
      <c r="V118" s="113">
        <f t="shared" si="127"/>
        <v>0</v>
      </c>
      <c r="W118" s="113">
        <v>0</v>
      </c>
      <c r="X118" s="113">
        <v>0</v>
      </c>
      <c r="Y118" s="113">
        <v>0</v>
      </c>
      <c r="Z118" s="113">
        <v>0</v>
      </c>
      <c r="AA118" s="113">
        <f t="shared" si="156"/>
        <v>0</v>
      </c>
      <c r="AB118" s="113">
        <f t="shared" si="156"/>
        <v>0</v>
      </c>
      <c r="AC118" s="113"/>
      <c r="AD118" s="113"/>
      <c r="AE118" s="113"/>
      <c r="AF118" s="113">
        <v>561.75</v>
      </c>
      <c r="AG118" s="113">
        <f t="shared" si="138"/>
        <v>0</v>
      </c>
      <c r="AH118" s="113">
        <f t="shared" si="138"/>
        <v>561.75</v>
      </c>
      <c r="AI118" s="114">
        <f t="shared" si="128"/>
        <v>0</v>
      </c>
      <c r="AJ118" s="114">
        <f t="shared" si="139"/>
        <v>0</v>
      </c>
      <c r="AK118" s="114">
        <f t="shared" si="139"/>
        <v>0</v>
      </c>
      <c r="AL118" s="114">
        <f t="shared" si="129"/>
        <v>561.75</v>
      </c>
      <c r="AM118" s="113">
        <f t="shared" si="140"/>
        <v>0</v>
      </c>
      <c r="AN118" s="113">
        <f t="shared" si="140"/>
        <v>561.75</v>
      </c>
      <c r="AO118" s="113"/>
      <c r="AP118" s="113"/>
      <c r="AQ118" s="113"/>
      <c r="AR118" s="113"/>
      <c r="AS118" s="113">
        <f t="shared" si="141"/>
        <v>0</v>
      </c>
      <c r="AT118" s="113">
        <f t="shared" si="141"/>
        <v>0</v>
      </c>
      <c r="AU118" s="113"/>
      <c r="AV118" s="113"/>
      <c r="AW118" s="113"/>
      <c r="AX118" s="113"/>
      <c r="AY118" s="113">
        <f t="shared" si="142"/>
        <v>0</v>
      </c>
      <c r="AZ118" s="113">
        <f t="shared" si="142"/>
        <v>0</v>
      </c>
      <c r="BA118" s="113"/>
      <c r="BB118" s="113"/>
      <c r="BC118" s="113"/>
      <c r="BD118" s="113"/>
      <c r="BE118" s="113">
        <f t="shared" si="143"/>
        <v>0</v>
      </c>
      <c r="BF118" s="113"/>
      <c r="BG118" s="113">
        <f t="shared" si="163"/>
        <v>0</v>
      </c>
      <c r="BH118" s="113"/>
      <c r="BI118" s="113"/>
      <c r="BJ118" s="113"/>
      <c r="BK118" s="113"/>
      <c r="BL118" s="113">
        <f t="shared" si="144"/>
        <v>0</v>
      </c>
      <c r="BM118" s="113">
        <v>0</v>
      </c>
      <c r="BN118" s="113">
        <f t="shared" si="164"/>
        <v>0</v>
      </c>
      <c r="BO118" s="113"/>
      <c r="BP118" s="113"/>
      <c r="BQ118" s="113"/>
      <c r="BR118" s="113"/>
      <c r="BS118" s="113">
        <f t="shared" si="145"/>
        <v>0</v>
      </c>
      <c r="BT118" s="113"/>
      <c r="BU118" s="113">
        <f t="shared" si="165"/>
        <v>0</v>
      </c>
      <c r="BV118" s="113"/>
      <c r="BW118" s="113"/>
      <c r="BX118" s="113"/>
      <c r="BY118" s="113"/>
      <c r="BZ118" s="113">
        <f t="shared" si="146"/>
        <v>0</v>
      </c>
      <c r="CA118" s="113"/>
      <c r="CB118" s="113">
        <f t="shared" si="157"/>
        <v>0</v>
      </c>
      <c r="CC118" s="113"/>
      <c r="CD118" s="113"/>
      <c r="CE118" s="113"/>
      <c r="CF118" s="113"/>
      <c r="CG118" s="113">
        <f t="shared" si="147"/>
        <v>0</v>
      </c>
      <c r="CH118" s="113">
        <f t="shared" si="158"/>
        <v>0</v>
      </c>
      <c r="CI118" s="113"/>
      <c r="CJ118" s="113"/>
      <c r="CK118" s="113"/>
      <c r="CL118" s="113"/>
      <c r="CM118" s="113">
        <f t="shared" si="148"/>
        <v>0</v>
      </c>
      <c r="CN118" s="113">
        <f t="shared" si="148"/>
        <v>0</v>
      </c>
      <c r="CO118" s="113"/>
      <c r="CP118" s="113"/>
      <c r="CQ118" s="113"/>
      <c r="CR118" s="113"/>
      <c r="CS118" s="113">
        <f t="shared" si="149"/>
        <v>0</v>
      </c>
      <c r="CT118" s="113">
        <f t="shared" si="149"/>
        <v>0</v>
      </c>
      <c r="CU118" s="113"/>
      <c r="CV118" s="113"/>
      <c r="CW118" s="113"/>
      <c r="CX118" s="113"/>
      <c r="CY118" s="113">
        <f t="shared" si="150"/>
        <v>0</v>
      </c>
      <c r="CZ118" s="113">
        <f t="shared" si="150"/>
        <v>0</v>
      </c>
      <c r="DA118" s="113"/>
      <c r="DB118" s="113"/>
      <c r="DC118" s="113"/>
      <c r="DD118" s="113"/>
      <c r="DE118" s="113">
        <f t="shared" si="151"/>
        <v>0</v>
      </c>
      <c r="DF118" s="113">
        <f t="shared" si="151"/>
        <v>0</v>
      </c>
      <c r="DG118" s="113"/>
      <c r="DH118" s="113"/>
      <c r="DI118" s="113"/>
      <c r="DJ118" s="113"/>
      <c r="DK118" s="113">
        <f t="shared" si="152"/>
        <v>0</v>
      </c>
      <c r="DL118" s="113">
        <f t="shared" si="152"/>
        <v>0</v>
      </c>
      <c r="DM118" s="113">
        <f t="shared" si="159"/>
        <v>0</v>
      </c>
      <c r="DN118" s="113">
        <f t="shared" si="160"/>
        <v>0</v>
      </c>
      <c r="DO118" s="113">
        <f t="shared" si="161"/>
        <v>0</v>
      </c>
      <c r="DP118" s="113">
        <f t="shared" si="162"/>
        <v>0</v>
      </c>
      <c r="DQ118" s="113">
        <f t="shared" si="153"/>
        <v>0</v>
      </c>
      <c r="DR118" s="113">
        <f t="shared" si="153"/>
        <v>0</v>
      </c>
    </row>
    <row r="119" spans="1:122">
      <c r="A119" s="15">
        <v>112</v>
      </c>
      <c r="B119" s="96" t="s">
        <v>1091</v>
      </c>
      <c r="C119" s="187" t="s">
        <v>1124</v>
      </c>
      <c r="D119" s="96" t="s">
        <v>1126</v>
      </c>
      <c r="E119" s="185" t="s">
        <v>1165</v>
      </c>
      <c r="F119" s="161">
        <f t="shared" si="130"/>
        <v>0</v>
      </c>
      <c r="G119" s="161">
        <f t="shared" si="122"/>
        <v>0</v>
      </c>
      <c r="H119" s="161">
        <f t="shared" si="123"/>
        <v>0</v>
      </c>
      <c r="I119" s="161">
        <f t="shared" si="124"/>
        <v>34814</v>
      </c>
      <c r="J119" s="165">
        <f t="shared" si="154"/>
        <v>0</v>
      </c>
      <c r="K119" s="115">
        <v>15540</v>
      </c>
      <c r="L119" s="211">
        <v>0</v>
      </c>
      <c r="M119" s="211">
        <v>0</v>
      </c>
      <c r="N119" s="127">
        <f t="shared" si="131"/>
        <v>0</v>
      </c>
      <c r="O119" s="127">
        <f t="shared" si="132"/>
        <v>0</v>
      </c>
      <c r="P119" s="127">
        <f t="shared" si="133"/>
        <v>0</v>
      </c>
      <c r="Q119" s="131">
        <f t="shared" si="125"/>
        <v>0</v>
      </c>
      <c r="R119" s="125" t="str">
        <f t="shared" si="155"/>
        <v>ნულოვანი შესრულება</v>
      </c>
      <c r="S119" s="113">
        <v>0</v>
      </c>
      <c r="T119" s="113"/>
      <c r="U119" s="113">
        <f t="shared" si="126"/>
        <v>0</v>
      </c>
      <c r="V119" s="113">
        <f t="shared" si="127"/>
        <v>0</v>
      </c>
      <c r="W119" s="113">
        <v>0</v>
      </c>
      <c r="X119" s="113">
        <v>0</v>
      </c>
      <c r="Y119" s="113">
        <v>0</v>
      </c>
      <c r="Z119" s="113">
        <v>0</v>
      </c>
      <c r="AA119" s="113">
        <f t="shared" si="156"/>
        <v>0</v>
      </c>
      <c r="AB119" s="113">
        <f t="shared" si="156"/>
        <v>0</v>
      </c>
      <c r="AC119" s="113"/>
      <c r="AD119" s="113"/>
      <c r="AE119" s="113"/>
      <c r="AF119" s="113"/>
      <c r="AG119" s="113">
        <f t="shared" si="138"/>
        <v>0</v>
      </c>
      <c r="AH119" s="113">
        <f t="shared" si="138"/>
        <v>0</v>
      </c>
      <c r="AI119" s="114">
        <f t="shared" si="128"/>
        <v>0</v>
      </c>
      <c r="AJ119" s="114">
        <f t="shared" si="139"/>
        <v>0</v>
      </c>
      <c r="AK119" s="114">
        <f t="shared" si="139"/>
        <v>0</v>
      </c>
      <c r="AL119" s="114">
        <f t="shared" si="129"/>
        <v>0</v>
      </c>
      <c r="AM119" s="113">
        <f t="shared" si="140"/>
        <v>0</v>
      </c>
      <c r="AN119" s="113">
        <f t="shared" si="140"/>
        <v>0</v>
      </c>
      <c r="AO119" s="113"/>
      <c r="AP119" s="113"/>
      <c r="AQ119" s="113"/>
      <c r="AR119" s="113"/>
      <c r="AS119" s="113">
        <f t="shared" si="141"/>
        <v>0</v>
      </c>
      <c r="AT119" s="113">
        <f t="shared" si="141"/>
        <v>0</v>
      </c>
      <c r="AU119" s="113"/>
      <c r="AV119" s="113"/>
      <c r="AW119" s="113"/>
      <c r="AX119" s="113"/>
      <c r="AY119" s="113">
        <f t="shared" si="142"/>
        <v>0</v>
      </c>
      <c r="AZ119" s="113">
        <f t="shared" si="142"/>
        <v>0</v>
      </c>
      <c r="BA119" s="113"/>
      <c r="BB119" s="113"/>
      <c r="BC119" s="113"/>
      <c r="BD119" s="113"/>
      <c r="BE119" s="113">
        <f t="shared" si="143"/>
        <v>0</v>
      </c>
      <c r="BF119" s="113"/>
      <c r="BG119" s="113">
        <f t="shared" si="163"/>
        <v>0</v>
      </c>
      <c r="BH119" s="113"/>
      <c r="BI119" s="113"/>
      <c r="BJ119" s="113"/>
      <c r="BK119" s="113"/>
      <c r="BL119" s="113">
        <f t="shared" si="144"/>
        <v>0</v>
      </c>
      <c r="BM119" s="113">
        <v>0</v>
      </c>
      <c r="BN119" s="113">
        <f t="shared" si="164"/>
        <v>0</v>
      </c>
      <c r="BO119" s="113"/>
      <c r="BP119" s="113"/>
      <c r="BQ119" s="113"/>
      <c r="BR119" s="113"/>
      <c r="BS119" s="113">
        <f t="shared" si="145"/>
        <v>0</v>
      </c>
      <c r="BT119" s="113"/>
      <c r="BU119" s="113">
        <f t="shared" si="165"/>
        <v>0</v>
      </c>
      <c r="BV119" s="113"/>
      <c r="BW119" s="113"/>
      <c r="BX119" s="113"/>
      <c r="BY119" s="113"/>
      <c r="BZ119" s="113">
        <f t="shared" si="146"/>
        <v>0</v>
      </c>
      <c r="CA119" s="113">
        <v>34814</v>
      </c>
      <c r="CB119" s="113">
        <f t="shared" si="157"/>
        <v>0</v>
      </c>
      <c r="CC119" s="113"/>
      <c r="CD119" s="113"/>
      <c r="CE119" s="113"/>
      <c r="CF119" s="113"/>
      <c r="CG119" s="113">
        <f t="shared" si="147"/>
        <v>0</v>
      </c>
      <c r="CH119" s="113">
        <f t="shared" si="158"/>
        <v>0</v>
      </c>
      <c r="CI119" s="113"/>
      <c r="CJ119" s="113"/>
      <c r="CK119" s="113"/>
      <c r="CL119" s="113"/>
      <c r="CM119" s="113">
        <f t="shared" si="148"/>
        <v>0</v>
      </c>
      <c r="CN119" s="113">
        <f t="shared" si="148"/>
        <v>0</v>
      </c>
      <c r="CO119" s="113"/>
      <c r="CP119" s="113"/>
      <c r="CQ119" s="113"/>
      <c r="CR119" s="113"/>
      <c r="CS119" s="113">
        <f t="shared" si="149"/>
        <v>0</v>
      </c>
      <c r="CT119" s="113">
        <f t="shared" si="149"/>
        <v>0</v>
      </c>
      <c r="CU119" s="113"/>
      <c r="CV119" s="113"/>
      <c r="CW119" s="113"/>
      <c r="CX119" s="113"/>
      <c r="CY119" s="113">
        <f t="shared" si="150"/>
        <v>0</v>
      </c>
      <c r="CZ119" s="113">
        <f t="shared" si="150"/>
        <v>0</v>
      </c>
      <c r="DA119" s="113"/>
      <c r="DB119" s="113"/>
      <c r="DC119" s="113"/>
      <c r="DD119" s="113"/>
      <c r="DE119" s="113">
        <f t="shared" si="151"/>
        <v>0</v>
      </c>
      <c r="DF119" s="113">
        <f t="shared" si="151"/>
        <v>0</v>
      </c>
      <c r="DG119" s="113"/>
      <c r="DH119" s="113"/>
      <c r="DI119" s="113"/>
      <c r="DJ119" s="113"/>
      <c r="DK119" s="113">
        <f t="shared" si="152"/>
        <v>0</v>
      </c>
      <c r="DL119" s="113">
        <f t="shared" si="152"/>
        <v>0</v>
      </c>
      <c r="DM119" s="113">
        <f t="shared" si="159"/>
        <v>0</v>
      </c>
      <c r="DN119" s="113">
        <f t="shared" si="160"/>
        <v>0</v>
      </c>
      <c r="DO119" s="113">
        <f t="shared" si="161"/>
        <v>0</v>
      </c>
      <c r="DP119" s="113">
        <f t="shared" si="162"/>
        <v>0</v>
      </c>
      <c r="DQ119" s="113">
        <f t="shared" si="153"/>
        <v>0</v>
      </c>
      <c r="DR119" s="113">
        <f t="shared" si="153"/>
        <v>0</v>
      </c>
    </row>
    <row r="120" spans="1:122">
      <c r="A120" s="15">
        <v>113</v>
      </c>
      <c r="B120" s="96" t="s">
        <v>1091</v>
      </c>
      <c r="C120" s="96" t="s">
        <v>1127</v>
      </c>
      <c r="D120" s="96" t="s">
        <v>1128</v>
      </c>
      <c r="E120" s="185" t="s">
        <v>1164</v>
      </c>
      <c r="F120" s="161">
        <f t="shared" si="130"/>
        <v>0</v>
      </c>
      <c r="G120" s="161">
        <f t="shared" si="122"/>
        <v>0</v>
      </c>
      <c r="H120" s="161">
        <f t="shared" si="123"/>
        <v>0</v>
      </c>
      <c r="I120" s="161">
        <f t="shared" si="124"/>
        <v>0</v>
      </c>
      <c r="J120" s="165">
        <f t="shared" si="154"/>
        <v>663.94999999999993</v>
      </c>
      <c r="K120" s="115"/>
      <c r="L120" s="211">
        <v>0</v>
      </c>
      <c r="M120" s="211">
        <v>0</v>
      </c>
      <c r="N120" s="127">
        <f t="shared" si="131"/>
        <v>663.94999999999993</v>
      </c>
      <c r="O120" s="127">
        <f t="shared" si="132"/>
        <v>663.94999999999993</v>
      </c>
      <c r="P120" s="127">
        <f t="shared" si="133"/>
        <v>663.94999999999993</v>
      </c>
      <c r="Q120" s="131">
        <f t="shared" si="125"/>
        <v>0</v>
      </c>
      <c r="R120" s="125">
        <f t="shared" si="155"/>
        <v>663.94999999999993</v>
      </c>
      <c r="S120" s="113">
        <v>0</v>
      </c>
      <c r="T120" s="113"/>
      <c r="U120" s="113">
        <f t="shared" si="126"/>
        <v>0</v>
      </c>
      <c r="V120" s="113">
        <f t="shared" si="127"/>
        <v>0</v>
      </c>
      <c r="W120" s="113">
        <v>0</v>
      </c>
      <c r="X120" s="113">
        <v>0</v>
      </c>
      <c r="Y120" s="113">
        <v>0</v>
      </c>
      <c r="Z120" s="113">
        <v>663.94999999999993</v>
      </c>
      <c r="AA120" s="113">
        <f t="shared" si="156"/>
        <v>0</v>
      </c>
      <c r="AB120" s="113">
        <f t="shared" si="156"/>
        <v>663.94999999999993</v>
      </c>
      <c r="AC120" s="113"/>
      <c r="AD120" s="113"/>
      <c r="AE120" s="113"/>
      <c r="AF120" s="113"/>
      <c r="AG120" s="113">
        <f t="shared" si="138"/>
        <v>0</v>
      </c>
      <c r="AH120" s="113">
        <f t="shared" si="138"/>
        <v>0</v>
      </c>
      <c r="AI120" s="114">
        <f t="shared" si="128"/>
        <v>0</v>
      </c>
      <c r="AJ120" s="114">
        <f t="shared" si="139"/>
        <v>0</v>
      </c>
      <c r="AK120" s="114">
        <f t="shared" si="139"/>
        <v>0</v>
      </c>
      <c r="AL120" s="114">
        <f t="shared" si="129"/>
        <v>663.94999999999993</v>
      </c>
      <c r="AM120" s="113">
        <f t="shared" si="140"/>
        <v>0</v>
      </c>
      <c r="AN120" s="113">
        <f t="shared" si="140"/>
        <v>663.94999999999993</v>
      </c>
      <c r="AO120" s="113"/>
      <c r="AP120" s="113"/>
      <c r="AQ120" s="113"/>
      <c r="AR120" s="113"/>
      <c r="AS120" s="113">
        <f t="shared" si="141"/>
        <v>0</v>
      </c>
      <c r="AT120" s="113">
        <f t="shared" si="141"/>
        <v>0</v>
      </c>
      <c r="AU120" s="113"/>
      <c r="AV120" s="113"/>
      <c r="AW120" s="113"/>
      <c r="AX120" s="113"/>
      <c r="AY120" s="113">
        <f t="shared" si="142"/>
        <v>0</v>
      </c>
      <c r="AZ120" s="113">
        <f t="shared" si="142"/>
        <v>0</v>
      </c>
      <c r="BA120" s="113"/>
      <c r="BB120" s="113"/>
      <c r="BC120" s="113"/>
      <c r="BD120" s="113"/>
      <c r="BE120" s="113">
        <f t="shared" si="143"/>
        <v>0</v>
      </c>
      <c r="BF120" s="113"/>
      <c r="BG120" s="113">
        <f t="shared" si="163"/>
        <v>0</v>
      </c>
      <c r="BH120" s="113"/>
      <c r="BI120" s="113"/>
      <c r="BJ120" s="113"/>
      <c r="BK120" s="113"/>
      <c r="BL120" s="113">
        <f t="shared" si="144"/>
        <v>0</v>
      </c>
      <c r="BM120" s="113">
        <v>0</v>
      </c>
      <c r="BN120" s="113">
        <f t="shared" si="164"/>
        <v>0</v>
      </c>
      <c r="BO120" s="113"/>
      <c r="BP120" s="113"/>
      <c r="BQ120" s="113"/>
      <c r="BR120" s="113"/>
      <c r="BS120" s="113">
        <f t="shared" si="145"/>
        <v>0</v>
      </c>
      <c r="BT120" s="113"/>
      <c r="BU120" s="113">
        <f t="shared" si="165"/>
        <v>0</v>
      </c>
      <c r="BV120" s="113"/>
      <c r="BW120" s="113"/>
      <c r="BX120" s="113"/>
      <c r="BY120" s="113"/>
      <c r="BZ120" s="113">
        <f t="shared" si="146"/>
        <v>0</v>
      </c>
      <c r="CA120" s="113"/>
      <c r="CB120" s="113">
        <f t="shared" si="157"/>
        <v>0</v>
      </c>
      <c r="CC120" s="113"/>
      <c r="CD120" s="113"/>
      <c r="CE120" s="113"/>
      <c r="CF120" s="113"/>
      <c r="CG120" s="113">
        <f t="shared" si="147"/>
        <v>0</v>
      </c>
      <c r="CH120" s="113">
        <f t="shared" si="158"/>
        <v>0</v>
      </c>
      <c r="CI120" s="113"/>
      <c r="CJ120" s="113"/>
      <c r="CK120" s="113"/>
      <c r="CL120" s="113"/>
      <c r="CM120" s="113">
        <f t="shared" si="148"/>
        <v>0</v>
      </c>
      <c r="CN120" s="113">
        <f t="shared" si="148"/>
        <v>0</v>
      </c>
      <c r="CO120" s="113"/>
      <c r="CP120" s="113"/>
      <c r="CQ120" s="113"/>
      <c r="CR120" s="113"/>
      <c r="CS120" s="113">
        <f t="shared" si="149"/>
        <v>0</v>
      </c>
      <c r="CT120" s="113">
        <f t="shared" si="149"/>
        <v>0</v>
      </c>
      <c r="CU120" s="113"/>
      <c r="CV120" s="113"/>
      <c r="CW120" s="113"/>
      <c r="CX120" s="113"/>
      <c r="CY120" s="113">
        <f t="shared" si="150"/>
        <v>0</v>
      </c>
      <c r="CZ120" s="113">
        <f t="shared" si="150"/>
        <v>0</v>
      </c>
      <c r="DA120" s="113"/>
      <c r="DB120" s="113"/>
      <c r="DC120" s="113"/>
      <c r="DD120" s="113"/>
      <c r="DE120" s="113">
        <f t="shared" si="151"/>
        <v>0</v>
      </c>
      <c r="DF120" s="113">
        <f t="shared" si="151"/>
        <v>0</v>
      </c>
      <c r="DG120" s="113"/>
      <c r="DH120" s="113"/>
      <c r="DI120" s="113"/>
      <c r="DJ120" s="113"/>
      <c r="DK120" s="113">
        <f t="shared" si="152"/>
        <v>0</v>
      </c>
      <c r="DL120" s="113">
        <f t="shared" si="152"/>
        <v>0</v>
      </c>
      <c r="DM120" s="113">
        <f t="shared" si="159"/>
        <v>0</v>
      </c>
      <c r="DN120" s="113">
        <f t="shared" si="160"/>
        <v>0</v>
      </c>
      <c r="DO120" s="113">
        <f t="shared" si="161"/>
        <v>0</v>
      </c>
      <c r="DP120" s="113">
        <f t="shared" si="162"/>
        <v>0</v>
      </c>
      <c r="DQ120" s="113">
        <f t="shared" si="153"/>
        <v>0</v>
      </c>
      <c r="DR120" s="113">
        <f t="shared" si="153"/>
        <v>0</v>
      </c>
    </row>
    <row r="121" spans="1:122">
      <c r="A121" s="15">
        <v>114</v>
      </c>
      <c r="B121" s="96" t="s">
        <v>1091</v>
      </c>
      <c r="C121" s="187" t="s">
        <v>1127</v>
      </c>
      <c r="D121" s="96" t="s">
        <v>1129</v>
      </c>
      <c r="E121" s="185" t="s">
        <v>1165</v>
      </c>
      <c r="F121" s="161">
        <f t="shared" si="130"/>
        <v>35000</v>
      </c>
      <c r="G121" s="161">
        <f t="shared" si="122"/>
        <v>37443.78</v>
      </c>
      <c r="H121" s="161">
        <f t="shared" si="123"/>
        <v>-2443.7799999999988</v>
      </c>
      <c r="I121" s="161">
        <f t="shared" si="124"/>
        <v>1443.7799999999988</v>
      </c>
      <c r="J121" s="165">
        <f t="shared" si="154"/>
        <v>35000</v>
      </c>
      <c r="K121" s="115">
        <v>22000</v>
      </c>
      <c r="L121" s="211">
        <v>0</v>
      </c>
      <c r="M121" s="211">
        <v>0</v>
      </c>
      <c r="N121" s="127">
        <f t="shared" si="131"/>
        <v>0</v>
      </c>
      <c r="O121" s="127">
        <f t="shared" si="132"/>
        <v>0</v>
      </c>
      <c r="P121" s="127">
        <f t="shared" si="133"/>
        <v>0</v>
      </c>
      <c r="Q121" s="131">
        <f t="shared" si="125"/>
        <v>35000</v>
      </c>
      <c r="R121" s="125">
        <f t="shared" si="155"/>
        <v>37443.78</v>
      </c>
      <c r="S121" s="113">
        <v>0</v>
      </c>
      <c r="T121" s="113"/>
      <c r="U121" s="113">
        <f t="shared" si="126"/>
        <v>0</v>
      </c>
      <c r="V121" s="113">
        <f t="shared" si="127"/>
        <v>0</v>
      </c>
      <c r="W121" s="113">
        <v>0</v>
      </c>
      <c r="X121" s="113">
        <v>0</v>
      </c>
      <c r="Y121" s="113">
        <v>0</v>
      </c>
      <c r="Z121" s="113">
        <v>0</v>
      </c>
      <c r="AA121" s="113">
        <f t="shared" si="156"/>
        <v>0</v>
      </c>
      <c r="AB121" s="113">
        <f t="shared" si="156"/>
        <v>0</v>
      </c>
      <c r="AC121" s="113"/>
      <c r="AD121" s="113"/>
      <c r="AE121" s="113">
        <v>38000</v>
      </c>
      <c r="AF121" s="113"/>
      <c r="AG121" s="113">
        <f t="shared" si="138"/>
        <v>38000</v>
      </c>
      <c r="AH121" s="113">
        <f t="shared" si="138"/>
        <v>0</v>
      </c>
      <c r="AI121" s="114">
        <f t="shared" si="128"/>
        <v>0</v>
      </c>
      <c r="AJ121" s="114">
        <f t="shared" si="139"/>
        <v>0</v>
      </c>
      <c r="AK121" s="114">
        <f t="shared" si="139"/>
        <v>38000</v>
      </c>
      <c r="AL121" s="114">
        <f t="shared" si="129"/>
        <v>0</v>
      </c>
      <c r="AM121" s="113">
        <f t="shared" si="140"/>
        <v>38000</v>
      </c>
      <c r="AN121" s="113">
        <f t="shared" si="140"/>
        <v>0</v>
      </c>
      <c r="AO121" s="113"/>
      <c r="AP121" s="113"/>
      <c r="AQ121" s="113">
        <v>35000</v>
      </c>
      <c r="AR121" s="113">
        <v>36000</v>
      </c>
      <c r="AS121" s="113">
        <f t="shared" si="141"/>
        <v>35000</v>
      </c>
      <c r="AT121" s="113">
        <f t="shared" si="141"/>
        <v>36000</v>
      </c>
      <c r="AU121" s="113"/>
      <c r="AV121" s="113"/>
      <c r="AW121" s="113"/>
      <c r="AX121" s="113"/>
      <c r="AY121" s="113">
        <f t="shared" si="142"/>
        <v>0</v>
      </c>
      <c r="AZ121" s="113">
        <f t="shared" si="142"/>
        <v>0</v>
      </c>
      <c r="BA121" s="113"/>
      <c r="BB121" s="113"/>
      <c r="BC121" s="113"/>
      <c r="BD121" s="113">
        <v>1443.78</v>
      </c>
      <c r="BE121" s="113">
        <f t="shared" si="143"/>
        <v>0</v>
      </c>
      <c r="BF121" s="113">
        <v>1443.7799999999988</v>
      </c>
      <c r="BG121" s="113">
        <f t="shared" si="163"/>
        <v>1443.78</v>
      </c>
      <c r="BH121" s="113"/>
      <c r="BI121" s="113"/>
      <c r="BJ121" s="113"/>
      <c r="BK121" s="113"/>
      <c r="BL121" s="113">
        <f t="shared" si="144"/>
        <v>0</v>
      </c>
      <c r="BM121" s="113">
        <v>0</v>
      </c>
      <c r="BN121" s="113">
        <f t="shared" si="164"/>
        <v>0</v>
      </c>
      <c r="BO121" s="113"/>
      <c r="BP121" s="113"/>
      <c r="BQ121" s="113"/>
      <c r="BR121" s="113"/>
      <c r="BS121" s="113">
        <f t="shared" si="145"/>
        <v>0</v>
      </c>
      <c r="BT121" s="113"/>
      <c r="BU121" s="113">
        <f t="shared" si="165"/>
        <v>0</v>
      </c>
      <c r="BV121" s="113"/>
      <c r="BW121" s="113"/>
      <c r="BX121" s="113"/>
      <c r="BY121" s="113"/>
      <c r="BZ121" s="113">
        <f t="shared" si="146"/>
        <v>0</v>
      </c>
      <c r="CA121" s="113"/>
      <c r="CB121" s="113">
        <f t="shared" si="157"/>
        <v>0</v>
      </c>
      <c r="CC121" s="113"/>
      <c r="CD121" s="113"/>
      <c r="CE121" s="113"/>
      <c r="CF121" s="113"/>
      <c r="CG121" s="113">
        <f t="shared" si="147"/>
        <v>0</v>
      </c>
      <c r="CH121" s="113">
        <f t="shared" si="158"/>
        <v>0</v>
      </c>
      <c r="CI121" s="113"/>
      <c r="CJ121" s="113"/>
      <c r="CK121" s="113"/>
      <c r="CL121" s="113"/>
      <c r="CM121" s="113">
        <f t="shared" si="148"/>
        <v>0</v>
      </c>
      <c r="CN121" s="113">
        <f t="shared" si="148"/>
        <v>0</v>
      </c>
      <c r="CO121" s="113"/>
      <c r="CP121" s="113"/>
      <c r="CQ121" s="113"/>
      <c r="CR121" s="113"/>
      <c r="CS121" s="113">
        <f t="shared" si="149"/>
        <v>0</v>
      </c>
      <c r="CT121" s="113">
        <f t="shared" si="149"/>
        <v>0</v>
      </c>
      <c r="CU121" s="113"/>
      <c r="CV121" s="113"/>
      <c r="CW121" s="113"/>
      <c r="CX121" s="113"/>
      <c r="CY121" s="113">
        <f t="shared" si="150"/>
        <v>0</v>
      </c>
      <c r="CZ121" s="113">
        <f t="shared" si="150"/>
        <v>0</v>
      </c>
      <c r="DA121" s="113"/>
      <c r="DB121" s="113"/>
      <c r="DC121" s="113"/>
      <c r="DD121" s="113"/>
      <c r="DE121" s="113">
        <f t="shared" si="151"/>
        <v>0</v>
      </c>
      <c r="DF121" s="113">
        <f t="shared" si="151"/>
        <v>0</v>
      </c>
      <c r="DG121" s="113"/>
      <c r="DH121" s="113"/>
      <c r="DI121" s="113"/>
      <c r="DJ121" s="113"/>
      <c r="DK121" s="113">
        <f t="shared" si="152"/>
        <v>0</v>
      </c>
      <c r="DL121" s="113">
        <f t="shared" si="152"/>
        <v>0</v>
      </c>
      <c r="DM121" s="113">
        <f t="shared" si="159"/>
        <v>0</v>
      </c>
      <c r="DN121" s="113">
        <f t="shared" si="160"/>
        <v>0</v>
      </c>
      <c r="DO121" s="113">
        <f t="shared" si="161"/>
        <v>35000</v>
      </c>
      <c r="DP121" s="113">
        <f t="shared" si="162"/>
        <v>37443.78</v>
      </c>
      <c r="DQ121" s="113">
        <f t="shared" si="153"/>
        <v>35000</v>
      </c>
      <c r="DR121" s="113">
        <f t="shared" si="153"/>
        <v>37443.78</v>
      </c>
    </row>
    <row r="122" spans="1:122">
      <c r="A122" s="15">
        <v>115</v>
      </c>
      <c r="B122" s="96" t="s">
        <v>1091</v>
      </c>
      <c r="C122" s="96" t="s">
        <v>1130</v>
      </c>
      <c r="D122" s="96" t="s">
        <v>1131</v>
      </c>
      <c r="E122" s="185" t="s">
        <v>1164</v>
      </c>
      <c r="F122" s="161">
        <f t="shared" si="130"/>
        <v>0</v>
      </c>
      <c r="G122" s="161">
        <f t="shared" si="122"/>
        <v>0</v>
      </c>
      <c r="H122" s="161">
        <f t="shared" si="123"/>
        <v>0</v>
      </c>
      <c r="I122" s="161">
        <f t="shared" si="124"/>
        <v>0</v>
      </c>
      <c r="J122" s="165">
        <f t="shared" si="154"/>
        <v>0</v>
      </c>
      <c r="K122" s="115"/>
      <c r="L122" s="211">
        <v>0</v>
      </c>
      <c r="M122" s="211">
        <v>0</v>
      </c>
      <c r="N122" s="127">
        <f t="shared" si="131"/>
        <v>0</v>
      </c>
      <c r="O122" s="127">
        <f t="shared" si="132"/>
        <v>0</v>
      </c>
      <c r="P122" s="127">
        <f t="shared" si="133"/>
        <v>0</v>
      </c>
      <c r="Q122" s="131">
        <f t="shared" si="125"/>
        <v>0</v>
      </c>
      <c r="R122" s="125" t="str">
        <f t="shared" si="155"/>
        <v>ნულოვანი შესრულება</v>
      </c>
      <c r="S122" s="113">
        <v>0</v>
      </c>
      <c r="T122" s="113"/>
      <c r="U122" s="113">
        <f t="shared" si="126"/>
        <v>0</v>
      </c>
      <c r="V122" s="113">
        <f t="shared" si="127"/>
        <v>0</v>
      </c>
      <c r="W122" s="113">
        <v>0</v>
      </c>
      <c r="X122" s="113">
        <v>0</v>
      </c>
      <c r="Y122" s="113">
        <v>0</v>
      </c>
      <c r="Z122" s="113">
        <v>0</v>
      </c>
      <c r="AA122" s="113">
        <f t="shared" si="156"/>
        <v>0</v>
      </c>
      <c r="AB122" s="113">
        <f t="shared" si="156"/>
        <v>0</v>
      </c>
      <c r="AC122" s="113"/>
      <c r="AD122" s="113"/>
      <c r="AE122" s="113"/>
      <c r="AF122" s="113"/>
      <c r="AG122" s="113">
        <f t="shared" si="138"/>
        <v>0</v>
      </c>
      <c r="AH122" s="113">
        <f t="shared" si="138"/>
        <v>0</v>
      </c>
      <c r="AI122" s="114">
        <f t="shared" si="128"/>
        <v>0</v>
      </c>
      <c r="AJ122" s="114">
        <f t="shared" si="139"/>
        <v>0</v>
      </c>
      <c r="AK122" s="114">
        <f t="shared" si="139"/>
        <v>0</v>
      </c>
      <c r="AL122" s="114">
        <f t="shared" si="129"/>
        <v>0</v>
      </c>
      <c r="AM122" s="113">
        <f t="shared" si="140"/>
        <v>0</v>
      </c>
      <c r="AN122" s="113">
        <f t="shared" si="140"/>
        <v>0</v>
      </c>
      <c r="AO122" s="113"/>
      <c r="AP122" s="113"/>
      <c r="AQ122" s="113"/>
      <c r="AR122" s="113"/>
      <c r="AS122" s="113">
        <f t="shared" si="141"/>
        <v>0</v>
      </c>
      <c r="AT122" s="113">
        <f t="shared" si="141"/>
        <v>0</v>
      </c>
      <c r="AU122" s="113"/>
      <c r="AV122" s="113"/>
      <c r="AW122" s="113"/>
      <c r="AX122" s="113"/>
      <c r="AY122" s="113">
        <f t="shared" si="142"/>
        <v>0</v>
      </c>
      <c r="AZ122" s="113">
        <f t="shared" si="142"/>
        <v>0</v>
      </c>
      <c r="BA122" s="113"/>
      <c r="BB122" s="113"/>
      <c r="BC122" s="113"/>
      <c r="BD122" s="113"/>
      <c r="BE122" s="113">
        <f t="shared" si="143"/>
        <v>0</v>
      </c>
      <c r="BF122" s="113"/>
      <c r="BG122" s="113">
        <f t="shared" si="163"/>
        <v>0</v>
      </c>
      <c r="BH122" s="113"/>
      <c r="BI122" s="113"/>
      <c r="BJ122" s="113"/>
      <c r="BK122" s="113"/>
      <c r="BL122" s="113">
        <f t="shared" si="144"/>
        <v>0</v>
      </c>
      <c r="BM122" s="113">
        <v>0</v>
      </c>
      <c r="BN122" s="113">
        <f t="shared" si="164"/>
        <v>0</v>
      </c>
      <c r="BO122" s="113"/>
      <c r="BP122" s="113"/>
      <c r="BQ122" s="113"/>
      <c r="BR122" s="113"/>
      <c r="BS122" s="113">
        <f t="shared" si="145"/>
        <v>0</v>
      </c>
      <c r="BT122" s="113"/>
      <c r="BU122" s="113">
        <f t="shared" si="165"/>
        <v>0</v>
      </c>
      <c r="BV122" s="113"/>
      <c r="BW122" s="113"/>
      <c r="BX122" s="113"/>
      <c r="BY122" s="113"/>
      <c r="BZ122" s="113">
        <f t="shared" si="146"/>
        <v>0</v>
      </c>
      <c r="CA122" s="113"/>
      <c r="CB122" s="113">
        <f t="shared" si="157"/>
        <v>0</v>
      </c>
      <c r="CC122" s="113"/>
      <c r="CD122" s="113"/>
      <c r="CE122" s="113"/>
      <c r="CF122" s="113"/>
      <c r="CG122" s="113">
        <f t="shared" si="147"/>
        <v>0</v>
      </c>
      <c r="CH122" s="113">
        <f t="shared" si="158"/>
        <v>0</v>
      </c>
      <c r="CI122" s="113"/>
      <c r="CJ122" s="113"/>
      <c r="CK122" s="113"/>
      <c r="CL122" s="113"/>
      <c r="CM122" s="113">
        <f t="shared" si="148"/>
        <v>0</v>
      </c>
      <c r="CN122" s="113">
        <f t="shared" si="148"/>
        <v>0</v>
      </c>
      <c r="CO122" s="113"/>
      <c r="CP122" s="113"/>
      <c r="CQ122" s="113"/>
      <c r="CR122" s="113"/>
      <c r="CS122" s="113">
        <f t="shared" si="149"/>
        <v>0</v>
      </c>
      <c r="CT122" s="113">
        <f t="shared" si="149"/>
        <v>0</v>
      </c>
      <c r="CU122" s="113"/>
      <c r="CV122" s="113"/>
      <c r="CW122" s="113"/>
      <c r="CX122" s="113"/>
      <c r="CY122" s="113">
        <f t="shared" si="150"/>
        <v>0</v>
      </c>
      <c r="CZ122" s="113">
        <f t="shared" si="150"/>
        <v>0</v>
      </c>
      <c r="DA122" s="113"/>
      <c r="DB122" s="113"/>
      <c r="DC122" s="113"/>
      <c r="DD122" s="113"/>
      <c r="DE122" s="113">
        <f t="shared" si="151"/>
        <v>0</v>
      </c>
      <c r="DF122" s="113">
        <f t="shared" si="151"/>
        <v>0</v>
      </c>
      <c r="DG122" s="113"/>
      <c r="DH122" s="113"/>
      <c r="DI122" s="113"/>
      <c r="DJ122" s="113"/>
      <c r="DK122" s="113">
        <f t="shared" si="152"/>
        <v>0</v>
      </c>
      <c r="DL122" s="113">
        <f t="shared" si="152"/>
        <v>0</v>
      </c>
      <c r="DM122" s="113">
        <f t="shared" si="159"/>
        <v>0</v>
      </c>
      <c r="DN122" s="113">
        <f t="shared" si="160"/>
        <v>0</v>
      </c>
      <c r="DO122" s="113">
        <f t="shared" si="161"/>
        <v>0</v>
      </c>
      <c r="DP122" s="113">
        <f t="shared" si="162"/>
        <v>0</v>
      </c>
      <c r="DQ122" s="113">
        <f t="shared" si="153"/>
        <v>0</v>
      </c>
      <c r="DR122" s="113">
        <f t="shared" si="153"/>
        <v>0</v>
      </c>
    </row>
    <row r="123" spans="1:122">
      <c r="A123" s="15">
        <v>116</v>
      </c>
      <c r="B123" s="96" t="s">
        <v>1091</v>
      </c>
      <c r="C123" s="187" t="s">
        <v>1130</v>
      </c>
      <c r="D123" s="96" t="s">
        <v>1132</v>
      </c>
      <c r="E123" s="185" t="s">
        <v>1165</v>
      </c>
      <c r="F123" s="161">
        <f t="shared" si="130"/>
        <v>70000</v>
      </c>
      <c r="G123" s="161">
        <f t="shared" si="122"/>
        <v>41000</v>
      </c>
      <c r="H123" s="161">
        <f t="shared" si="123"/>
        <v>29000</v>
      </c>
      <c r="I123" s="161">
        <f t="shared" si="124"/>
        <v>429</v>
      </c>
      <c r="J123" s="165">
        <f t="shared" si="154"/>
        <v>70000</v>
      </c>
      <c r="K123" s="115">
        <v>30512</v>
      </c>
      <c r="L123" s="211">
        <v>0</v>
      </c>
      <c r="M123" s="211">
        <v>0</v>
      </c>
      <c r="N123" s="127">
        <f t="shared" si="131"/>
        <v>0</v>
      </c>
      <c r="O123" s="127">
        <f t="shared" si="132"/>
        <v>0</v>
      </c>
      <c r="P123" s="127">
        <f t="shared" si="133"/>
        <v>0</v>
      </c>
      <c r="Q123" s="131">
        <f t="shared" si="125"/>
        <v>70000</v>
      </c>
      <c r="R123" s="125" t="str">
        <f t="shared" si="155"/>
        <v>მიმდინარეობს</v>
      </c>
      <c r="S123" s="113">
        <v>0</v>
      </c>
      <c r="T123" s="113"/>
      <c r="U123" s="113">
        <f t="shared" si="126"/>
        <v>0</v>
      </c>
      <c r="V123" s="113">
        <f t="shared" si="127"/>
        <v>0</v>
      </c>
      <c r="W123" s="113">
        <v>0</v>
      </c>
      <c r="X123" s="113">
        <v>0</v>
      </c>
      <c r="Y123" s="113">
        <v>0</v>
      </c>
      <c r="Z123" s="113">
        <v>0</v>
      </c>
      <c r="AA123" s="113">
        <f t="shared" si="156"/>
        <v>0</v>
      </c>
      <c r="AB123" s="113">
        <f t="shared" si="156"/>
        <v>0</v>
      </c>
      <c r="AC123" s="113"/>
      <c r="AD123" s="113"/>
      <c r="AE123" s="113"/>
      <c r="AF123" s="113"/>
      <c r="AG123" s="113">
        <f t="shared" si="138"/>
        <v>0</v>
      </c>
      <c r="AH123" s="113">
        <f t="shared" si="138"/>
        <v>0</v>
      </c>
      <c r="AI123" s="114">
        <f t="shared" si="128"/>
        <v>0</v>
      </c>
      <c r="AJ123" s="114">
        <f t="shared" si="139"/>
        <v>0</v>
      </c>
      <c r="AK123" s="114">
        <f t="shared" si="139"/>
        <v>0</v>
      </c>
      <c r="AL123" s="114">
        <f t="shared" si="129"/>
        <v>0</v>
      </c>
      <c r="AM123" s="113">
        <f t="shared" si="140"/>
        <v>0</v>
      </c>
      <c r="AN123" s="113">
        <f t="shared" si="140"/>
        <v>0</v>
      </c>
      <c r="AO123" s="113"/>
      <c r="AP123" s="113"/>
      <c r="AQ123" s="113"/>
      <c r="AR123" s="113"/>
      <c r="AS123" s="113">
        <f t="shared" si="141"/>
        <v>0</v>
      </c>
      <c r="AT123" s="113">
        <f t="shared" si="141"/>
        <v>0</v>
      </c>
      <c r="AU123" s="113"/>
      <c r="AV123" s="113">
        <v>41000</v>
      </c>
      <c r="AW123" s="113">
        <v>70000</v>
      </c>
      <c r="AX123" s="113"/>
      <c r="AY123" s="113">
        <f t="shared" si="142"/>
        <v>70000</v>
      </c>
      <c r="AZ123" s="113">
        <f t="shared" si="142"/>
        <v>41000</v>
      </c>
      <c r="BA123" s="113"/>
      <c r="BB123" s="113"/>
      <c r="BC123" s="113"/>
      <c r="BD123" s="113"/>
      <c r="BE123" s="113">
        <f t="shared" si="143"/>
        <v>0</v>
      </c>
      <c r="BF123" s="113"/>
      <c r="BG123" s="113">
        <f t="shared" si="163"/>
        <v>0</v>
      </c>
      <c r="BH123" s="113"/>
      <c r="BI123" s="113"/>
      <c r="BJ123" s="113"/>
      <c r="BK123" s="113"/>
      <c r="BL123" s="113">
        <f t="shared" si="144"/>
        <v>0</v>
      </c>
      <c r="BM123" s="113">
        <v>429</v>
      </c>
      <c r="BN123" s="113">
        <f t="shared" si="164"/>
        <v>0</v>
      </c>
      <c r="BO123" s="113"/>
      <c r="BP123" s="113"/>
      <c r="BQ123" s="113"/>
      <c r="BR123" s="113"/>
      <c r="BS123" s="113">
        <f t="shared" si="145"/>
        <v>0</v>
      </c>
      <c r="BT123" s="113"/>
      <c r="BU123" s="113">
        <f t="shared" si="165"/>
        <v>0</v>
      </c>
      <c r="BV123" s="113"/>
      <c r="BW123" s="113"/>
      <c r="BX123" s="113"/>
      <c r="BY123" s="113"/>
      <c r="BZ123" s="113">
        <f t="shared" si="146"/>
        <v>0</v>
      </c>
      <c r="CA123" s="113"/>
      <c r="CB123" s="113">
        <f t="shared" si="157"/>
        <v>0</v>
      </c>
      <c r="CC123" s="113"/>
      <c r="CD123" s="113"/>
      <c r="CE123" s="113"/>
      <c r="CF123" s="113"/>
      <c r="CG123" s="113">
        <f t="shared" si="147"/>
        <v>0</v>
      </c>
      <c r="CH123" s="113">
        <f t="shared" si="158"/>
        <v>0</v>
      </c>
      <c r="CI123" s="113"/>
      <c r="CJ123" s="113"/>
      <c r="CK123" s="113"/>
      <c r="CL123" s="113"/>
      <c r="CM123" s="113">
        <f t="shared" si="148"/>
        <v>0</v>
      </c>
      <c r="CN123" s="113">
        <f t="shared" si="148"/>
        <v>0</v>
      </c>
      <c r="CO123" s="113"/>
      <c r="CP123" s="113"/>
      <c r="CQ123" s="113"/>
      <c r="CR123" s="113"/>
      <c r="CS123" s="113">
        <f t="shared" si="149"/>
        <v>0</v>
      </c>
      <c r="CT123" s="113">
        <f t="shared" si="149"/>
        <v>0</v>
      </c>
      <c r="CU123" s="113"/>
      <c r="CV123" s="113"/>
      <c r="CW123" s="113"/>
      <c r="CX123" s="113"/>
      <c r="CY123" s="113">
        <f t="shared" si="150"/>
        <v>0</v>
      </c>
      <c r="CZ123" s="113">
        <f t="shared" si="150"/>
        <v>0</v>
      </c>
      <c r="DA123" s="113"/>
      <c r="DB123" s="113"/>
      <c r="DC123" s="113"/>
      <c r="DD123" s="113"/>
      <c r="DE123" s="113">
        <f t="shared" si="151"/>
        <v>0</v>
      </c>
      <c r="DF123" s="113">
        <f t="shared" si="151"/>
        <v>0</v>
      </c>
      <c r="DG123" s="113"/>
      <c r="DH123" s="113"/>
      <c r="DI123" s="113"/>
      <c r="DJ123" s="113"/>
      <c r="DK123" s="113">
        <f t="shared" si="152"/>
        <v>0</v>
      </c>
      <c r="DL123" s="113">
        <f t="shared" si="152"/>
        <v>0</v>
      </c>
      <c r="DM123" s="113">
        <f t="shared" si="159"/>
        <v>0</v>
      </c>
      <c r="DN123" s="113">
        <f t="shared" si="160"/>
        <v>41000</v>
      </c>
      <c r="DO123" s="113">
        <f t="shared" si="161"/>
        <v>70000</v>
      </c>
      <c r="DP123" s="113">
        <f t="shared" si="162"/>
        <v>0</v>
      </c>
      <c r="DQ123" s="113">
        <f t="shared" si="153"/>
        <v>70000</v>
      </c>
      <c r="DR123" s="113">
        <f t="shared" si="153"/>
        <v>41000</v>
      </c>
    </row>
    <row r="124" spans="1:122">
      <c r="A124" s="15">
        <v>117</v>
      </c>
      <c r="B124" s="96" t="s">
        <v>1091</v>
      </c>
      <c r="C124" s="96" t="s">
        <v>1133</v>
      </c>
      <c r="D124" s="96" t="s">
        <v>1134</v>
      </c>
      <c r="E124" s="185" t="s">
        <v>1164</v>
      </c>
      <c r="F124" s="161">
        <f t="shared" si="130"/>
        <v>0</v>
      </c>
      <c r="G124" s="161">
        <f t="shared" si="122"/>
        <v>0</v>
      </c>
      <c r="H124" s="161">
        <f t="shared" si="123"/>
        <v>0</v>
      </c>
      <c r="I124" s="161">
        <f t="shared" si="124"/>
        <v>0</v>
      </c>
      <c r="J124" s="165">
        <f t="shared" si="154"/>
        <v>406.87</v>
      </c>
      <c r="K124" s="115"/>
      <c r="L124" s="211">
        <v>0</v>
      </c>
      <c r="M124" s="211">
        <v>0</v>
      </c>
      <c r="N124" s="127">
        <f t="shared" si="131"/>
        <v>406.87</v>
      </c>
      <c r="O124" s="127">
        <f t="shared" si="132"/>
        <v>406.87</v>
      </c>
      <c r="P124" s="127">
        <f t="shared" si="133"/>
        <v>406.87</v>
      </c>
      <c r="Q124" s="131">
        <f t="shared" si="125"/>
        <v>0</v>
      </c>
      <c r="R124" s="125">
        <f t="shared" si="155"/>
        <v>406.87</v>
      </c>
      <c r="S124" s="113">
        <v>0</v>
      </c>
      <c r="T124" s="113"/>
      <c r="U124" s="113">
        <f t="shared" si="126"/>
        <v>0</v>
      </c>
      <c r="V124" s="113">
        <f t="shared" si="127"/>
        <v>0</v>
      </c>
      <c r="W124" s="113">
        <v>0</v>
      </c>
      <c r="X124" s="113">
        <v>0</v>
      </c>
      <c r="Y124" s="113">
        <v>0</v>
      </c>
      <c r="Z124" s="113">
        <v>0</v>
      </c>
      <c r="AA124" s="113">
        <f t="shared" si="156"/>
        <v>0</v>
      </c>
      <c r="AB124" s="113">
        <f t="shared" si="156"/>
        <v>0</v>
      </c>
      <c r="AC124" s="113"/>
      <c r="AD124" s="113"/>
      <c r="AE124" s="113"/>
      <c r="AF124" s="113">
        <v>406.87</v>
      </c>
      <c r="AG124" s="113">
        <f t="shared" si="138"/>
        <v>0</v>
      </c>
      <c r="AH124" s="113">
        <f t="shared" si="138"/>
        <v>406.87</v>
      </c>
      <c r="AI124" s="114">
        <f t="shared" si="128"/>
        <v>0</v>
      </c>
      <c r="AJ124" s="114">
        <f t="shared" si="139"/>
        <v>0</v>
      </c>
      <c r="AK124" s="114">
        <f t="shared" si="139"/>
        <v>0</v>
      </c>
      <c r="AL124" s="114">
        <f t="shared" si="129"/>
        <v>406.87</v>
      </c>
      <c r="AM124" s="113">
        <f t="shared" si="140"/>
        <v>0</v>
      </c>
      <c r="AN124" s="113">
        <f t="shared" si="140"/>
        <v>406.87</v>
      </c>
      <c r="AO124" s="113"/>
      <c r="AP124" s="113"/>
      <c r="AQ124" s="113"/>
      <c r="AR124" s="113"/>
      <c r="AS124" s="113">
        <f t="shared" si="141"/>
        <v>0</v>
      </c>
      <c r="AT124" s="113">
        <f t="shared" si="141"/>
        <v>0</v>
      </c>
      <c r="AU124" s="113"/>
      <c r="AV124" s="113"/>
      <c r="AW124" s="113"/>
      <c r="AX124" s="113"/>
      <c r="AY124" s="113">
        <f t="shared" si="142"/>
        <v>0</v>
      </c>
      <c r="AZ124" s="113">
        <f t="shared" si="142"/>
        <v>0</v>
      </c>
      <c r="BA124" s="113"/>
      <c r="BB124" s="113"/>
      <c r="BC124" s="113"/>
      <c r="BD124" s="113"/>
      <c r="BE124" s="113">
        <f t="shared" si="143"/>
        <v>0</v>
      </c>
      <c r="BF124" s="113"/>
      <c r="BG124" s="113">
        <f t="shared" si="163"/>
        <v>0</v>
      </c>
      <c r="BH124" s="113"/>
      <c r="BI124" s="113"/>
      <c r="BJ124" s="113"/>
      <c r="BK124" s="113"/>
      <c r="BL124" s="113">
        <f t="shared" si="144"/>
        <v>0</v>
      </c>
      <c r="BM124" s="113">
        <v>0</v>
      </c>
      <c r="BN124" s="113">
        <f t="shared" si="164"/>
        <v>0</v>
      </c>
      <c r="BO124" s="113"/>
      <c r="BP124" s="113"/>
      <c r="BQ124" s="113"/>
      <c r="BR124" s="113"/>
      <c r="BS124" s="113">
        <f t="shared" si="145"/>
        <v>0</v>
      </c>
      <c r="BT124" s="113"/>
      <c r="BU124" s="113">
        <f t="shared" si="165"/>
        <v>0</v>
      </c>
      <c r="BV124" s="113"/>
      <c r="BW124" s="113"/>
      <c r="BX124" s="113"/>
      <c r="BY124" s="113"/>
      <c r="BZ124" s="113">
        <f t="shared" si="146"/>
        <v>0</v>
      </c>
      <c r="CA124" s="113"/>
      <c r="CB124" s="113">
        <f t="shared" si="157"/>
        <v>0</v>
      </c>
      <c r="CC124" s="113"/>
      <c r="CD124" s="113"/>
      <c r="CE124" s="113"/>
      <c r="CF124" s="113"/>
      <c r="CG124" s="113">
        <f t="shared" si="147"/>
        <v>0</v>
      </c>
      <c r="CH124" s="113">
        <f t="shared" si="158"/>
        <v>0</v>
      </c>
      <c r="CI124" s="113"/>
      <c r="CJ124" s="113"/>
      <c r="CK124" s="113"/>
      <c r="CL124" s="113"/>
      <c r="CM124" s="113">
        <f t="shared" si="148"/>
        <v>0</v>
      </c>
      <c r="CN124" s="113">
        <f t="shared" si="148"/>
        <v>0</v>
      </c>
      <c r="CO124" s="113"/>
      <c r="CP124" s="113"/>
      <c r="CQ124" s="113"/>
      <c r="CR124" s="113"/>
      <c r="CS124" s="113">
        <f t="shared" si="149"/>
        <v>0</v>
      </c>
      <c r="CT124" s="113">
        <f t="shared" si="149"/>
        <v>0</v>
      </c>
      <c r="CU124" s="113"/>
      <c r="CV124" s="113"/>
      <c r="CW124" s="113"/>
      <c r="CX124" s="113"/>
      <c r="CY124" s="113">
        <f t="shared" si="150"/>
        <v>0</v>
      </c>
      <c r="CZ124" s="113">
        <f t="shared" si="150"/>
        <v>0</v>
      </c>
      <c r="DA124" s="113"/>
      <c r="DB124" s="113"/>
      <c r="DC124" s="113"/>
      <c r="DD124" s="113"/>
      <c r="DE124" s="113">
        <f t="shared" si="151"/>
        <v>0</v>
      </c>
      <c r="DF124" s="113">
        <f t="shared" si="151"/>
        <v>0</v>
      </c>
      <c r="DG124" s="113"/>
      <c r="DH124" s="113"/>
      <c r="DI124" s="113"/>
      <c r="DJ124" s="113"/>
      <c r="DK124" s="113">
        <f t="shared" si="152"/>
        <v>0</v>
      </c>
      <c r="DL124" s="113">
        <f t="shared" si="152"/>
        <v>0</v>
      </c>
      <c r="DM124" s="113">
        <f t="shared" si="159"/>
        <v>0</v>
      </c>
      <c r="DN124" s="113">
        <f t="shared" si="160"/>
        <v>0</v>
      </c>
      <c r="DO124" s="113">
        <f t="shared" si="161"/>
        <v>0</v>
      </c>
      <c r="DP124" s="113">
        <f t="shared" si="162"/>
        <v>0</v>
      </c>
      <c r="DQ124" s="113">
        <f t="shared" si="153"/>
        <v>0</v>
      </c>
      <c r="DR124" s="113">
        <f t="shared" si="153"/>
        <v>0</v>
      </c>
    </row>
    <row r="125" spans="1:122">
      <c r="A125" s="15">
        <v>118</v>
      </c>
      <c r="B125" s="96" t="s">
        <v>1091</v>
      </c>
      <c r="C125" s="187" t="s">
        <v>1133</v>
      </c>
      <c r="D125" s="96" t="s">
        <v>1135</v>
      </c>
      <c r="E125" s="185" t="s">
        <v>1165</v>
      </c>
      <c r="F125" s="161">
        <f t="shared" si="130"/>
        <v>0</v>
      </c>
      <c r="G125" s="161">
        <f t="shared" si="122"/>
        <v>15678.44</v>
      </c>
      <c r="H125" s="161">
        <f t="shared" si="123"/>
        <v>-15678.44</v>
      </c>
      <c r="I125" s="161">
        <f t="shared" si="124"/>
        <v>16000</v>
      </c>
      <c r="J125" s="165">
        <f t="shared" si="154"/>
        <v>0</v>
      </c>
      <c r="K125" s="115">
        <v>13251.2</v>
      </c>
      <c r="L125" s="211">
        <v>0</v>
      </c>
      <c r="M125" s="211">
        <v>0</v>
      </c>
      <c r="N125" s="127">
        <f t="shared" si="131"/>
        <v>0</v>
      </c>
      <c r="O125" s="127">
        <f t="shared" si="132"/>
        <v>0</v>
      </c>
      <c r="P125" s="127">
        <f t="shared" si="133"/>
        <v>0</v>
      </c>
      <c r="Q125" s="131">
        <f t="shared" si="125"/>
        <v>0</v>
      </c>
      <c r="R125" s="125">
        <f t="shared" si="155"/>
        <v>15678.44</v>
      </c>
      <c r="S125" s="113">
        <v>0</v>
      </c>
      <c r="T125" s="113"/>
      <c r="U125" s="113">
        <f t="shared" si="126"/>
        <v>0</v>
      </c>
      <c r="V125" s="113">
        <f t="shared" si="127"/>
        <v>0</v>
      </c>
      <c r="W125" s="113">
        <v>0</v>
      </c>
      <c r="X125" s="113">
        <v>0</v>
      </c>
      <c r="Y125" s="113">
        <v>0</v>
      </c>
      <c r="Z125" s="113">
        <v>0</v>
      </c>
      <c r="AA125" s="113">
        <f t="shared" si="156"/>
        <v>0</v>
      </c>
      <c r="AB125" s="113">
        <f t="shared" si="156"/>
        <v>0</v>
      </c>
      <c r="AC125" s="113"/>
      <c r="AD125" s="113"/>
      <c r="AE125" s="113"/>
      <c r="AF125" s="113"/>
      <c r="AG125" s="113">
        <f t="shared" si="138"/>
        <v>0</v>
      </c>
      <c r="AH125" s="113">
        <f t="shared" si="138"/>
        <v>0</v>
      </c>
      <c r="AI125" s="114">
        <f t="shared" si="128"/>
        <v>0</v>
      </c>
      <c r="AJ125" s="114">
        <f t="shared" si="139"/>
        <v>0</v>
      </c>
      <c r="AK125" s="114">
        <f t="shared" si="139"/>
        <v>0</v>
      </c>
      <c r="AL125" s="114">
        <f t="shared" si="129"/>
        <v>0</v>
      </c>
      <c r="AM125" s="113">
        <f t="shared" si="140"/>
        <v>0</v>
      </c>
      <c r="AN125" s="113">
        <f t="shared" si="140"/>
        <v>0</v>
      </c>
      <c r="AO125" s="113"/>
      <c r="AP125" s="113"/>
      <c r="AQ125" s="114"/>
      <c r="AR125" s="113"/>
      <c r="AS125" s="113">
        <f t="shared" si="141"/>
        <v>0</v>
      </c>
      <c r="AT125" s="113">
        <f t="shared" si="141"/>
        <v>0</v>
      </c>
      <c r="AU125" s="113"/>
      <c r="AV125" s="113"/>
      <c r="AW125" s="113"/>
      <c r="AX125" s="113"/>
      <c r="AY125" s="113">
        <f t="shared" si="142"/>
        <v>0</v>
      </c>
      <c r="AZ125" s="113">
        <f t="shared" si="142"/>
        <v>0</v>
      </c>
      <c r="BA125" s="113"/>
      <c r="BB125" s="113"/>
      <c r="BC125" s="113"/>
      <c r="BD125" s="113"/>
      <c r="BE125" s="113">
        <f t="shared" si="143"/>
        <v>0</v>
      </c>
      <c r="BF125" s="113"/>
      <c r="BG125" s="113">
        <f t="shared" si="163"/>
        <v>0</v>
      </c>
      <c r="BH125" s="113"/>
      <c r="BI125" s="113"/>
      <c r="BJ125" s="113"/>
      <c r="BK125" s="113">
        <v>15678.44</v>
      </c>
      <c r="BL125" s="113">
        <f t="shared" si="144"/>
        <v>0</v>
      </c>
      <c r="BM125" s="113">
        <v>15000</v>
      </c>
      <c r="BN125" s="113">
        <f t="shared" si="164"/>
        <v>15678.44</v>
      </c>
      <c r="BO125" s="113"/>
      <c r="BP125" s="113"/>
      <c r="BQ125" s="113"/>
      <c r="BR125" s="113"/>
      <c r="BS125" s="113">
        <f t="shared" si="145"/>
        <v>0</v>
      </c>
      <c r="BT125" s="113">
        <v>1000</v>
      </c>
      <c r="BU125" s="113">
        <f t="shared" si="165"/>
        <v>0</v>
      </c>
      <c r="BV125" s="113"/>
      <c r="BW125" s="113"/>
      <c r="BX125" s="113"/>
      <c r="BY125" s="113"/>
      <c r="BZ125" s="113">
        <f t="shared" si="146"/>
        <v>0</v>
      </c>
      <c r="CA125" s="113"/>
      <c r="CB125" s="113">
        <f t="shared" si="157"/>
        <v>0</v>
      </c>
      <c r="CC125" s="113"/>
      <c r="CD125" s="113"/>
      <c r="CE125" s="113"/>
      <c r="CF125" s="113"/>
      <c r="CG125" s="113">
        <f t="shared" si="147"/>
        <v>0</v>
      </c>
      <c r="CH125" s="113">
        <f t="shared" si="158"/>
        <v>0</v>
      </c>
      <c r="CI125" s="113"/>
      <c r="CJ125" s="113"/>
      <c r="CK125" s="113"/>
      <c r="CL125" s="113"/>
      <c r="CM125" s="113">
        <f t="shared" si="148"/>
        <v>0</v>
      </c>
      <c r="CN125" s="113">
        <f t="shared" si="148"/>
        <v>0</v>
      </c>
      <c r="CO125" s="113"/>
      <c r="CP125" s="113"/>
      <c r="CQ125" s="113"/>
      <c r="CR125" s="113"/>
      <c r="CS125" s="113">
        <f t="shared" si="149"/>
        <v>0</v>
      </c>
      <c r="CT125" s="113">
        <f t="shared" si="149"/>
        <v>0</v>
      </c>
      <c r="CU125" s="113"/>
      <c r="CV125" s="113"/>
      <c r="CW125" s="113"/>
      <c r="CX125" s="113"/>
      <c r="CY125" s="113">
        <f t="shared" si="150"/>
        <v>0</v>
      </c>
      <c r="CZ125" s="113">
        <f t="shared" si="150"/>
        <v>0</v>
      </c>
      <c r="DA125" s="113"/>
      <c r="DB125" s="113"/>
      <c r="DC125" s="113"/>
      <c r="DD125" s="113"/>
      <c r="DE125" s="113">
        <f t="shared" si="151"/>
        <v>0</v>
      </c>
      <c r="DF125" s="113">
        <f t="shared" si="151"/>
        <v>0</v>
      </c>
      <c r="DG125" s="113"/>
      <c r="DH125" s="113"/>
      <c r="DI125" s="113"/>
      <c r="DJ125" s="113"/>
      <c r="DK125" s="113">
        <f t="shared" si="152"/>
        <v>0</v>
      </c>
      <c r="DL125" s="113">
        <f t="shared" si="152"/>
        <v>0</v>
      </c>
      <c r="DM125" s="113">
        <f t="shared" si="159"/>
        <v>0</v>
      </c>
      <c r="DN125" s="113">
        <f t="shared" si="160"/>
        <v>0</v>
      </c>
      <c r="DO125" s="113">
        <f t="shared" si="161"/>
        <v>0</v>
      </c>
      <c r="DP125" s="113">
        <f t="shared" si="162"/>
        <v>15678.44</v>
      </c>
      <c r="DQ125" s="113">
        <f t="shared" si="153"/>
        <v>0</v>
      </c>
      <c r="DR125" s="113">
        <f t="shared" si="153"/>
        <v>15678.44</v>
      </c>
    </row>
    <row r="126" spans="1:122">
      <c r="A126" s="15">
        <v>119</v>
      </c>
      <c r="B126" s="96" t="s">
        <v>1091</v>
      </c>
      <c r="C126" s="96" t="s">
        <v>1136</v>
      </c>
      <c r="D126" s="96" t="s">
        <v>1137</v>
      </c>
      <c r="E126" s="185" t="s">
        <v>1164</v>
      </c>
      <c r="F126" s="161">
        <f t="shared" si="130"/>
        <v>0</v>
      </c>
      <c r="G126" s="161">
        <f t="shared" si="122"/>
        <v>0</v>
      </c>
      <c r="H126" s="161">
        <f t="shared" si="123"/>
        <v>0</v>
      </c>
      <c r="I126" s="161">
        <f t="shared" si="124"/>
        <v>0</v>
      </c>
      <c r="J126" s="165">
        <f t="shared" si="154"/>
        <v>207.37</v>
      </c>
      <c r="K126" s="115"/>
      <c r="L126" s="211">
        <v>0</v>
      </c>
      <c r="M126" s="211">
        <v>0</v>
      </c>
      <c r="N126" s="127">
        <f t="shared" si="131"/>
        <v>207.37</v>
      </c>
      <c r="O126" s="127">
        <f t="shared" si="132"/>
        <v>207.37</v>
      </c>
      <c r="P126" s="127">
        <f t="shared" si="133"/>
        <v>207.37</v>
      </c>
      <c r="Q126" s="131">
        <f t="shared" si="125"/>
        <v>0</v>
      </c>
      <c r="R126" s="125">
        <f t="shared" si="155"/>
        <v>207.37</v>
      </c>
      <c r="S126" s="113">
        <v>0</v>
      </c>
      <c r="T126" s="113"/>
      <c r="U126" s="113">
        <f t="shared" si="126"/>
        <v>0</v>
      </c>
      <c r="V126" s="113">
        <f t="shared" si="127"/>
        <v>0</v>
      </c>
      <c r="W126" s="113">
        <v>0</v>
      </c>
      <c r="X126" s="113">
        <v>0</v>
      </c>
      <c r="Y126" s="113">
        <v>0</v>
      </c>
      <c r="Z126" s="113">
        <v>0</v>
      </c>
      <c r="AA126" s="113">
        <f t="shared" si="156"/>
        <v>0</v>
      </c>
      <c r="AB126" s="113">
        <f t="shared" si="156"/>
        <v>0</v>
      </c>
      <c r="AC126" s="113"/>
      <c r="AD126" s="113"/>
      <c r="AE126" s="113"/>
      <c r="AF126" s="113">
        <v>207.37</v>
      </c>
      <c r="AG126" s="113">
        <f t="shared" si="138"/>
        <v>0</v>
      </c>
      <c r="AH126" s="113">
        <f t="shared" si="138"/>
        <v>207.37</v>
      </c>
      <c r="AI126" s="114">
        <f t="shared" si="128"/>
        <v>0</v>
      </c>
      <c r="AJ126" s="114">
        <f t="shared" si="139"/>
        <v>0</v>
      </c>
      <c r="AK126" s="114">
        <f t="shared" si="139"/>
        <v>0</v>
      </c>
      <c r="AL126" s="114">
        <f t="shared" si="129"/>
        <v>207.37</v>
      </c>
      <c r="AM126" s="113">
        <f t="shared" si="140"/>
        <v>0</v>
      </c>
      <c r="AN126" s="113">
        <f t="shared" si="140"/>
        <v>207.37</v>
      </c>
      <c r="AO126" s="113"/>
      <c r="AP126" s="113"/>
      <c r="AQ126" s="113"/>
      <c r="AR126" s="113"/>
      <c r="AS126" s="113">
        <f t="shared" si="141"/>
        <v>0</v>
      </c>
      <c r="AT126" s="113">
        <f t="shared" si="141"/>
        <v>0</v>
      </c>
      <c r="AU126" s="113"/>
      <c r="AV126" s="113"/>
      <c r="AW126" s="113"/>
      <c r="AX126" s="113"/>
      <c r="AY126" s="113">
        <f t="shared" si="142"/>
        <v>0</v>
      </c>
      <c r="AZ126" s="113">
        <f t="shared" si="142"/>
        <v>0</v>
      </c>
      <c r="BA126" s="113"/>
      <c r="BB126" s="113"/>
      <c r="BC126" s="113"/>
      <c r="BD126" s="113"/>
      <c r="BE126" s="113">
        <f t="shared" si="143"/>
        <v>0</v>
      </c>
      <c r="BF126" s="113"/>
      <c r="BG126" s="113">
        <f t="shared" si="163"/>
        <v>0</v>
      </c>
      <c r="BH126" s="113"/>
      <c r="BI126" s="113"/>
      <c r="BJ126" s="113"/>
      <c r="BK126" s="113"/>
      <c r="BL126" s="113">
        <f t="shared" si="144"/>
        <v>0</v>
      </c>
      <c r="BM126" s="113">
        <v>0</v>
      </c>
      <c r="BN126" s="113">
        <f t="shared" si="164"/>
        <v>0</v>
      </c>
      <c r="BO126" s="113"/>
      <c r="BP126" s="113"/>
      <c r="BQ126" s="113"/>
      <c r="BR126" s="113"/>
      <c r="BS126" s="113">
        <f t="shared" si="145"/>
        <v>0</v>
      </c>
      <c r="BT126" s="113"/>
      <c r="BU126" s="113">
        <f t="shared" si="165"/>
        <v>0</v>
      </c>
      <c r="BV126" s="113"/>
      <c r="BW126" s="113"/>
      <c r="BX126" s="113"/>
      <c r="BY126" s="113"/>
      <c r="BZ126" s="113">
        <f t="shared" si="146"/>
        <v>0</v>
      </c>
      <c r="CA126" s="113"/>
      <c r="CB126" s="113">
        <f t="shared" si="157"/>
        <v>0</v>
      </c>
      <c r="CC126" s="113"/>
      <c r="CD126" s="113"/>
      <c r="CE126" s="113"/>
      <c r="CF126" s="113"/>
      <c r="CG126" s="113">
        <f t="shared" si="147"/>
        <v>0</v>
      </c>
      <c r="CH126" s="113">
        <f t="shared" si="158"/>
        <v>0</v>
      </c>
      <c r="CI126" s="113"/>
      <c r="CJ126" s="113"/>
      <c r="CK126" s="113"/>
      <c r="CL126" s="113"/>
      <c r="CM126" s="113">
        <f t="shared" si="148"/>
        <v>0</v>
      </c>
      <c r="CN126" s="113">
        <f t="shared" si="148"/>
        <v>0</v>
      </c>
      <c r="CO126" s="113"/>
      <c r="CP126" s="113"/>
      <c r="CQ126" s="113"/>
      <c r="CR126" s="113"/>
      <c r="CS126" s="113">
        <f t="shared" si="149"/>
        <v>0</v>
      </c>
      <c r="CT126" s="113">
        <f t="shared" si="149"/>
        <v>0</v>
      </c>
      <c r="CU126" s="113"/>
      <c r="CV126" s="113"/>
      <c r="CW126" s="113"/>
      <c r="CX126" s="113"/>
      <c r="CY126" s="113">
        <f t="shared" si="150"/>
        <v>0</v>
      </c>
      <c r="CZ126" s="113">
        <f t="shared" si="150"/>
        <v>0</v>
      </c>
      <c r="DA126" s="113"/>
      <c r="DB126" s="113"/>
      <c r="DC126" s="113"/>
      <c r="DD126" s="113"/>
      <c r="DE126" s="113">
        <f t="shared" si="151"/>
        <v>0</v>
      </c>
      <c r="DF126" s="113">
        <f t="shared" si="151"/>
        <v>0</v>
      </c>
      <c r="DG126" s="113"/>
      <c r="DH126" s="113"/>
      <c r="DI126" s="113"/>
      <c r="DJ126" s="113"/>
      <c r="DK126" s="113">
        <f t="shared" si="152"/>
        <v>0</v>
      </c>
      <c r="DL126" s="113">
        <f t="shared" si="152"/>
        <v>0</v>
      </c>
      <c r="DM126" s="113">
        <f t="shared" si="159"/>
        <v>0</v>
      </c>
      <c r="DN126" s="113">
        <f t="shared" si="160"/>
        <v>0</v>
      </c>
      <c r="DO126" s="113">
        <f t="shared" si="161"/>
        <v>0</v>
      </c>
      <c r="DP126" s="113">
        <f t="shared" si="162"/>
        <v>0</v>
      </c>
      <c r="DQ126" s="113">
        <f t="shared" si="153"/>
        <v>0</v>
      </c>
      <c r="DR126" s="113">
        <f t="shared" si="153"/>
        <v>0</v>
      </c>
    </row>
    <row r="127" spans="1:122">
      <c r="A127" s="15">
        <v>120</v>
      </c>
      <c r="B127" s="96" t="s">
        <v>1091</v>
      </c>
      <c r="C127" s="187" t="s">
        <v>1136</v>
      </c>
      <c r="D127" s="96" t="s">
        <v>1138</v>
      </c>
      <c r="E127" s="185" t="s">
        <v>1165</v>
      </c>
      <c r="F127" s="161">
        <f t="shared" si="130"/>
        <v>0</v>
      </c>
      <c r="G127" s="161">
        <f t="shared" si="122"/>
        <v>5806.49</v>
      </c>
      <c r="H127" s="161">
        <f t="shared" si="123"/>
        <v>-5806.49</v>
      </c>
      <c r="I127" s="161">
        <f t="shared" si="124"/>
        <v>8500</v>
      </c>
      <c r="J127" s="165">
        <f t="shared" si="154"/>
        <v>0</v>
      </c>
      <c r="K127" s="115">
        <v>5040</v>
      </c>
      <c r="L127" s="211">
        <v>0</v>
      </c>
      <c r="M127" s="211">
        <v>0</v>
      </c>
      <c r="N127" s="127">
        <f t="shared" si="131"/>
        <v>0</v>
      </c>
      <c r="O127" s="127">
        <f t="shared" si="132"/>
        <v>0</v>
      </c>
      <c r="P127" s="127">
        <f t="shared" si="133"/>
        <v>0</v>
      </c>
      <c r="Q127" s="131">
        <f t="shared" si="125"/>
        <v>0</v>
      </c>
      <c r="R127" s="125">
        <f t="shared" si="155"/>
        <v>5806.49</v>
      </c>
      <c r="S127" s="113">
        <v>0</v>
      </c>
      <c r="T127" s="113"/>
      <c r="U127" s="113">
        <f t="shared" si="126"/>
        <v>0</v>
      </c>
      <c r="V127" s="113">
        <f t="shared" si="127"/>
        <v>0</v>
      </c>
      <c r="W127" s="113">
        <v>0</v>
      </c>
      <c r="X127" s="113">
        <v>0</v>
      </c>
      <c r="Y127" s="113">
        <v>0</v>
      </c>
      <c r="Z127" s="113">
        <v>0</v>
      </c>
      <c r="AA127" s="113">
        <f t="shared" si="156"/>
        <v>0</v>
      </c>
      <c r="AB127" s="113">
        <f t="shared" si="156"/>
        <v>0</v>
      </c>
      <c r="AC127" s="113"/>
      <c r="AD127" s="113"/>
      <c r="AE127" s="113"/>
      <c r="AF127" s="113"/>
      <c r="AG127" s="113">
        <f t="shared" si="138"/>
        <v>0</v>
      </c>
      <c r="AH127" s="113">
        <f t="shared" si="138"/>
        <v>0</v>
      </c>
      <c r="AI127" s="114">
        <f t="shared" si="128"/>
        <v>0</v>
      </c>
      <c r="AJ127" s="114">
        <f t="shared" si="139"/>
        <v>0</v>
      </c>
      <c r="AK127" s="114">
        <f t="shared" si="139"/>
        <v>0</v>
      </c>
      <c r="AL127" s="114">
        <f t="shared" si="129"/>
        <v>0</v>
      </c>
      <c r="AM127" s="113">
        <f t="shared" si="140"/>
        <v>0</v>
      </c>
      <c r="AN127" s="113">
        <f t="shared" si="140"/>
        <v>0</v>
      </c>
      <c r="AO127" s="113"/>
      <c r="AP127" s="113"/>
      <c r="AQ127" s="113"/>
      <c r="AR127" s="113"/>
      <c r="AS127" s="113">
        <f t="shared" si="141"/>
        <v>0</v>
      </c>
      <c r="AT127" s="113">
        <f t="shared" si="141"/>
        <v>0</v>
      </c>
      <c r="AU127" s="113"/>
      <c r="AV127" s="113"/>
      <c r="AW127" s="113"/>
      <c r="AX127" s="113"/>
      <c r="AY127" s="113">
        <f t="shared" si="142"/>
        <v>0</v>
      </c>
      <c r="AZ127" s="113">
        <f t="shared" si="142"/>
        <v>0</v>
      </c>
      <c r="BA127" s="113"/>
      <c r="BB127" s="113"/>
      <c r="BC127" s="113"/>
      <c r="BD127" s="113"/>
      <c r="BE127" s="113">
        <f t="shared" si="143"/>
        <v>0</v>
      </c>
      <c r="BF127" s="113"/>
      <c r="BG127" s="113">
        <f t="shared" si="163"/>
        <v>0</v>
      </c>
      <c r="BH127" s="113"/>
      <c r="BI127" s="113"/>
      <c r="BJ127" s="113"/>
      <c r="BK127" s="113"/>
      <c r="BL127" s="113">
        <f t="shared" si="144"/>
        <v>0</v>
      </c>
      <c r="BM127" s="113">
        <v>8000</v>
      </c>
      <c r="BN127" s="113">
        <f t="shared" si="164"/>
        <v>0</v>
      </c>
      <c r="BO127" s="113"/>
      <c r="BP127" s="113"/>
      <c r="BQ127" s="113"/>
      <c r="BR127" s="113"/>
      <c r="BS127" s="113">
        <f t="shared" si="145"/>
        <v>0</v>
      </c>
      <c r="BT127" s="113">
        <v>500</v>
      </c>
      <c r="BU127" s="113">
        <f t="shared" si="165"/>
        <v>0</v>
      </c>
      <c r="BV127" s="113"/>
      <c r="BW127" s="113">
        <v>5000</v>
      </c>
      <c r="BX127" s="113"/>
      <c r="BY127" s="113"/>
      <c r="BZ127" s="113">
        <f t="shared" si="146"/>
        <v>0</v>
      </c>
      <c r="CA127" s="113"/>
      <c r="CB127" s="113">
        <f t="shared" si="157"/>
        <v>5000</v>
      </c>
      <c r="CC127" s="113"/>
      <c r="CD127" s="113"/>
      <c r="CE127" s="113"/>
      <c r="CF127" s="113"/>
      <c r="CG127" s="113">
        <f t="shared" si="147"/>
        <v>0</v>
      </c>
      <c r="CH127" s="113">
        <f t="shared" si="158"/>
        <v>0</v>
      </c>
      <c r="CI127" s="113"/>
      <c r="CJ127" s="113"/>
      <c r="CK127" s="113"/>
      <c r="CL127" s="113">
        <v>806.49</v>
      </c>
      <c r="CM127" s="113">
        <f t="shared" si="148"/>
        <v>0</v>
      </c>
      <c r="CN127" s="113">
        <f t="shared" si="148"/>
        <v>806.49</v>
      </c>
      <c r="CO127" s="113"/>
      <c r="CP127" s="113"/>
      <c r="CQ127" s="113"/>
      <c r="CR127" s="113"/>
      <c r="CS127" s="113">
        <f t="shared" si="149"/>
        <v>0</v>
      </c>
      <c r="CT127" s="113">
        <f t="shared" si="149"/>
        <v>0</v>
      </c>
      <c r="CU127" s="113"/>
      <c r="CV127" s="113"/>
      <c r="CW127" s="113"/>
      <c r="CX127" s="113"/>
      <c r="CY127" s="113">
        <f t="shared" si="150"/>
        <v>0</v>
      </c>
      <c r="CZ127" s="113">
        <f t="shared" si="150"/>
        <v>0</v>
      </c>
      <c r="DA127" s="113"/>
      <c r="DB127" s="113"/>
      <c r="DC127" s="113"/>
      <c r="DD127" s="113"/>
      <c r="DE127" s="113">
        <f t="shared" si="151"/>
        <v>0</v>
      </c>
      <c r="DF127" s="113">
        <f t="shared" si="151"/>
        <v>0</v>
      </c>
      <c r="DG127" s="113"/>
      <c r="DH127" s="113"/>
      <c r="DI127" s="113"/>
      <c r="DJ127" s="113"/>
      <c r="DK127" s="113">
        <f t="shared" si="152"/>
        <v>0</v>
      </c>
      <c r="DL127" s="113">
        <f t="shared" si="152"/>
        <v>0</v>
      </c>
      <c r="DM127" s="113">
        <f t="shared" si="159"/>
        <v>0</v>
      </c>
      <c r="DN127" s="113">
        <f t="shared" si="160"/>
        <v>5000</v>
      </c>
      <c r="DO127" s="113">
        <f t="shared" si="161"/>
        <v>0</v>
      </c>
      <c r="DP127" s="113">
        <f t="shared" si="162"/>
        <v>806.49</v>
      </c>
      <c r="DQ127" s="113">
        <f t="shared" si="153"/>
        <v>0</v>
      </c>
      <c r="DR127" s="113">
        <f t="shared" si="153"/>
        <v>5806.49</v>
      </c>
    </row>
    <row r="128" spans="1:122">
      <c r="A128" s="15">
        <v>121</v>
      </c>
      <c r="B128" s="96" t="s">
        <v>1091</v>
      </c>
      <c r="C128" s="187" t="s">
        <v>1139</v>
      </c>
      <c r="D128" s="96" t="s">
        <v>1140</v>
      </c>
      <c r="E128" s="185" t="s">
        <v>1165</v>
      </c>
      <c r="F128" s="161">
        <f t="shared" si="130"/>
        <v>0</v>
      </c>
      <c r="G128" s="161">
        <f t="shared" si="122"/>
        <v>0</v>
      </c>
      <c r="H128" s="161">
        <f t="shared" si="123"/>
        <v>0</v>
      </c>
      <c r="I128" s="161">
        <f t="shared" si="124"/>
        <v>0</v>
      </c>
      <c r="J128" s="165">
        <f t="shared" si="154"/>
        <v>0</v>
      </c>
      <c r="K128" s="115">
        <v>30002.400000000001</v>
      </c>
      <c r="L128" s="211">
        <v>0</v>
      </c>
      <c r="M128" s="211">
        <v>0</v>
      </c>
      <c r="N128" s="127">
        <f t="shared" si="131"/>
        <v>0</v>
      </c>
      <c r="O128" s="127">
        <f t="shared" si="132"/>
        <v>0</v>
      </c>
      <c r="P128" s="127">
        <f t="shared" si="133"/>
        <v>0</v>
      </c>
      <c r="Q128" s="131">
        <f t="shared" si="125"/>
        <v>0</v>
      </c>
      <c r="R128" s="125" t="str">
        <f t="shared" si="155"/>
        <v>ნულოვანი შესრულება</v>
      </c>
      <c r="S128" s="113">
        <v>0</v>
      </c>
      <c r="T128" s="113"/>
      <c r="U128" s="113">
        <f t="shared" si="126"/>
        <v>0</v>
      </c>
      <c r="V128" s="113">
        <f t="shared" si="127"/>
        <v>0</v>
      </c>
      <c r="W128" s="113">
        <v>0</v>
      </c>
      <c r="X128" s="113">
        <v>0</v>
      </c>
      <c r="Y128" s="113">
        <v>0</v>
      </c>
      <c r="Z128" s="113">
        <v>0</v>
      </c>
      <c r="AA128" s="113">
        <f t="shared" si="156"/>
        <v>0</v>
      </c>
      <c r="AB128" s="113">
        <f t="shared" si="156"/>
        <v>0</v>
      </c>
      <c r="AC128" s="113"/>
      <c r="AD128" s="113"/>
      <c r="AE128" s="113"/>
      <c r="AF128" s="113"/>
      <c r="AG128" s="113">
        <f t="shared" si="138"/>
        <v>0</v>
      </c>
      <c r="AH128" s="113">
        <f t="shared" si="138"/>
        <v>0</v>
      </c>
      <c r="AI128" s="114">
        <f t="shared" si="128"/>
        <v>0</v>
      </c>
      <c r="AJ128" s="114">
        <f t="shared" si="139"/>
        <v>0</v>
      </c>
      <c r="AK128" s="114">
        <f t="shared" si="139"/>
        <v>0</v>
      </c>
      <c r="AL128" s="114">
        <f t="shared" si="129"/>
        <v>0</v>
      </c>
      <c r="AM128" s="113">
        <f t="shared" si="140"/>
        <v>0</v>
      </c>
      <c r="AN128" s="113">
        <f t="shared" si="140"/>
        <v>0</v>
      </c>
      <c r="AO128" s="113"/>
      <c r="AP128" s="113"/>
      <c r="AQ128" s="113"/>
      <c r="AR128" s="113"/>
      <c r="AS128" s="113">
        <f t="shared" si="141"/>
        <v>0</v>
      </c>
      <c r="AT128" s="113">
        <f t="shared" si="141"/>
        <v>0</v>
      </c>
      <c r="AU128" s="113"/>
      <c r="AV128" s="113"/>
      <c r="AW128" s="113"/>
      <c r="AX128" s="113"/>
      <c r="AY128" s="113">
        <f t="shared" si="142"/>
        <v>0</v>
      </c>
      <c r="AZ128" s="113">
        <f t="shared" si="142"/>
        <v>0</v>
      </c>
      <c r="BA128" s="113"/>
      <c r="BB128" s="113"/>
      <c r="BC128" s="113"/>
      <c r="BD128" s="113"/>
      <c r="BE128" s="113">
        <f t="shared" si="143"/>
        <v>0</v>
      </c>
      <c r="BF128" s="113"/>
      <c r="BG128" s="113">
        <f t="shared" si="163"/>
        <v>0</v>
      </c>
      <c r="BH128" s="113"/>
      <c r="BI128" s="113"/>
      <c r="BJ128" s="113"/>
      <c r="BK128" s="113"/>
      <c r="BL128" s="113">
        <f t="shared" si="144"/>
        <v>0</v>
      </c>
      <c r="BM128" s="113">
        <v>0</v>
      </c>
      <c r="BN128" s="113">
        <f t="shared" si="164"/>
        <v>0</v>
      </c>
      <c r="BO128" s="113"/>
      <c r="BP128" s="113"/>
      <c r="BQ128" s="113"/>
      <c r="BR128" s="113"/>
      <c r="BS128" s="113">
        <f t="shared" si="145"/>
        <v>0</v>
      </c>
      <c r="BT128" s="113"/>
      <c r="BU128" s="113">
        <f t="shared" si="165"/>
        <v>0</v>
      </c>
      <c r="BV128" s="113"/>
      <c r="BW128" s="113"/>
      <c r="BX128" s="113"/>
      <c r="BY128" s="113"/>
      <c r="BZ128" s="113">
        <f t="shared" si="146"/>
        <v>0</v>
      </c>
      <c r="CA128" s="113"/>
      <c r="CB128" s="113">
        <f t="shared" si="157"/>
        <v>0</v>
      </c>
      <c r="CC128" s="113"/>
      <c r="CD128" s="113"/>
      <c r="CE128" s="113"/>
      <c r="CF128" s="113"/>
      <c r="CG128" s="113">
        <f t="shared" si="147"/>
        <v>0</v>
      </c>
      <c r="CH128" s="113">
        <f t="shared" si="158"/>
        <v>0</v>
      </c>
      <c r="CI128" s="113"/>
      <c r="CJ128" s="113"/>
      <c r="CK128" s="113"/>
      <c r="CL128" s="113"/>
      <c r="CM128" s="113">
        <f t="shared" si="148"/>
        <v>0</v>
      </c>
      <c r="CN128" s="113">
        <f t="shared" si="148"/>
        <v>0</v>
      </c>
      <c r="CO128" s="113"/>
      <c r="CP128" s="113"/>
      <c r="CQ128" s="113"/>
      <c r="CR128" s="113"/>
      <c r="CS128" s="113">
        <f t="shared" si="149"/>
        <v>0</v>
      </c>
      <c r="CT128" s="113">
        <f t="shared" si="149"/>
        <v>0</v>
      </c>
      <c r="CU128" s="113"/>
      <c r="CV128" s="113"/>
      <c r="CW128" s="113"/>
      <c r="CX128" s="113"/>
      <c r="CY128" s="113">
        <f t="shared" si="150"/>
        <v>0</v>
      </c>
      <c r="CZ128" s="113">
        <f t="shared" si="150"/>
        <v>0</v>
      </c>
      <c r="DA128" s="113"/>
      <c r="DB128" s="113"/>
      <c r="DC128" s="113"/>
      <c r="DD128" s="113"/>
      <c r="DE128" s="113">
        <f t="shared" si="151"/>
        <v>0</v>
      </c>
      <c r="DF128" s="113">
        <f t="shared" si="151"/>
        <v>0</v>
      </c>
      <c r="DG128" s="113"/>
      <c r="DH128" s="113"/>
      <c r="DI128" s="113"/>
      <c r="DJ128" s="113"/>
      <c r="DK128" s="113">
        <f t="shared" si="152"/>
        <v>0</v>
      </c>
      <c r="DL128" s="113">
        <f t="shared" si="152"/>
        <v>0</v>
      </c>
      <c r="DM128" s="113">
        <f t="shared" si="159"/>
        <v>0</v>
      </c>
      <c r="DN128" s="113">
        <f t="shared" si="160"/>
        <v>0</v>
      </c>
      <c r="DO128" s="113">
        <f t="shared" si="161"/>
        <v>0</v>
      </c>
      <c r="DP128" s="113">
        <f t="shared" si="162"/>
        <v>0</v>
      </c>
      <c r="DQ128" s="113">
        <f t="shared" si="153"/>
        <v>0</v>
      </c>
      <c r="DR128" s="113">
        <f t="shared" si="153"/>
        <v>0</v>
      </c>
    </row>
    <row r="129" spans="1:122">
      <c r="A129" s="15">
        <v>122</v>
      </c>
      <c r="B129" s="96" t="s">
        <v>1091</v>
      </c>
      <c r="C129" s="96" t="s">
        <v>1141</v>
      </c>
      <c r="D129" s="96" t="s">
        <v>1142</v>
      </c>
      <c r="E129" s="185" t="s">
        <v>1164</v>
      </c>
      <c r="F129" s="161">
        <f t="shared" si="130"/>
        <v>0</v>
      </c>
      <c r="G129" s="161">
        <f t="shared" si="122"/>
        <v>0</v>
      </c>
      <c r="H129" s="161">
        <f t="shared" si="123"/>
        <v>0</v>
      </c>
      <c r="I129" s="161">
        <f t="shared" si="124"/>
        <v>0</v>
      </c>
      <c r="J129" s="165">
        <f t="shared" si="154"/>
        <v>1925</v>
      </c>
      <c r="K129" s="115"/>
      <c r="L129" s="211">
        <v>0</v>
      </c>
      <c r="M129" s="211">
        <v>0</v>
      </c>
      <c r="N129" s="127">
        <f t="shared" si="131"/>
        <v>1925</v>
      </c>
      <c r="O129" s="127">
        <f t="shared" si="132"/>
        <v>1925</v>
      </c>
      <c r="P129" s="127">
        <f t="shared" si="133"/>
        <v>1925</v>
      </c>
      <c r="Q129" s="131">
        <f t="shared" si="125"/>
        <v>0</v>
      </c>
      <c r="R129" s="125">
        <f t="shared" si="155"/>
        <v>1925</v>
      </c>
      <c r="S129" s="113">
        <v>0</v>
      </c>
      <c r="T129" s="113">
        <v>1925</v>
      </c>
      <c r="U129" s="113">
        <f t="shared" si="126"/>
        <v>0</v>
      </c>
      <c r="V129" s="113">
        <f t="shared" si="127"/>
        <v>1925</v>
      </c>
      <c r="W129" s="113">
        <v>0</v>
      </c>
      <c r="X129" s="113">
        <v>0</v>
      </c>
      <c r="Y129" s="113">
        <v>0</v>
      </c>
      <c r="Z129" s="113">
        <v>0</v>
      </c>
      <c r="AA129" s="113">
        <f t="shared" si="156"/>
        <v>0</v>
      </c>
      <c r="AB129" s="113">
        <f t="shared" si="156"/>
        <v>0</v>
      </c>
      <c r="AC129" s="113"/>
      <c r="AD129" s="113"/>
      <c r="AE129" s="113"/>
      <c r="AF129" s="113"/>
      <c r="AG129" s="113">
        <f t="shared" si="138"/>
        <v>0</v>
      </c>
      <c r="AH129" s="113">
        <f t="shared" si="138"/>
        <v>0</v>
      </c>
      <c r="AI129" s="114">
        <f t="shared" si="128"/>
        <v>0</v>
      </c>
      <c r="AJ129" s="114">
        <f t="shared" si="139"/>
        <v>0</v>
      </c>
      <c r="AK129" s="114">
        <f t="shared" si="139"/>
        <v>1925</v>
      </c>
      <c r="AL129" s="114">
        <f t="shared" si="129"/>
        <v>1925</v>
      </c>
      <c r="AM129" s="113">
        <f t="shared" si="140"/>
        <v>1925</v>
      </c>
      <c r="AN129" s="113">
        <f t="shared" si="140"/>
        <v>1925</v>
      </c>
      <c r="AO129" s="113"/>
      <c r="AP129" s="113"/>
      <c r="AQ129" s="113"/>
      <c r="AR129" s="113"/>
      <c r="AS129" s="113">
        <f t="shared" si="141"/>
        <v>0</v>
      </c>
      <c r="AT129" s="113">
        <f t="shared" si="141"/>
        <v>0</v>
      </c>
      <c r="AU129" s="113"/>
      <c r="AV129" s="113"/>
      <c r="AW129" s="113"/>
      <c r="AX129" s="113"/>
      <c r="AY129" s="113">
        <f t="shared" si="142"/>
        <v>0</v>
      </c>
      <c r="AZ129" s="113">
        <f t="shared" si="142"/>
        <v>0</v>
      </c>
      <c r="BA129" s="113"/>
      <c r="BB129" s="113"/>
      <c r="BC129" s="113"/>
      <c r="BD129" s="113"/>
      <c r="BE129" s="113">
        <f t="shared" si="143"/>
        <v>0</v>
      </c>
      <c r="BF129" s="113"/>
      <c r="BG129" s="113">
        <f t="shared" si="163"/>
        <v>0</v>
      </c>
      <c r="BH129" s="113"/>
      <c r="BI129" s="113"/>
      <c r="BJ129" s="113"/>
      <c r="BK129" s="113"/>
      <c r="BL129" s="113">
        <f t="shared" si="144"/>
        <v>0</v>
      </c>
      <c r="BM129" s="113">
        <v>0</v>
      </c>
      <c r="BN129" s="113">
        <f t="shared" si="164"/>
        <v>0</v>
      </c>
      <c r="BO129" s="113"/>
      <c r="BP129" s="113"/>
      <c r="BQ129" s="113"/>
      <c r="BR129" s="113"/>
      <c r="BS129" s="113">
        <f t="shared" si="145"/>
        <v>0</v>
      </c>
      <c r="BT129" s="113"/>
      <c r="BU129" s="113">
        <f t="shared" si="165"/>
        <v>0</v>
      </c>
      <c r="BV129" s="113"/>
      <c r="BW129" s="113"/>
      <c r="BX129" s="113"/>
      <c r="BY129" s="113"/>
      <c r="BZ129" s="113">
        <f t="shared" si="146"/>
        <v>0</v>
      </c>
      <c r="CA129" s="113"/>
      <c r="CB129" s="113">
        <f t="shared" si="157"/>
        <v>0</v>
      </c>
      <c r="CC129" s="113"/>
      <c r="CD129" s="113"/>
      <c r="CE129" s="113"/>
      <c r="CF129" s="113"/>
      <c r="CG129" s="113">
        <f t="shared" si="147"/>
        <v>0</v>
      </c>
      <c r="CH129" s="113">
        <f t="shared" si="158"/>
        <v>0</v>
      </c>
      <c r="CI129" s="113"/>
      <c r="CJ129" s="113"/>
      <c r="CK129" s="113"/>
      <c r="CL129" s="113"/>
      <c r="CM129" s="113">
        <f t="shared" si="148"/>
        <v>0</v>
      </c>
      <c r="CN129" s="113">
        <f t="shared" si="148"/>
        <v>0</v>
      </c>
      <c r="CO129" s="113"/>
      <c r="CP129" s="113"/>
      <c r="CQ129" s="113"/>
      <c r="CR129" s="113"/>
      <c r="CS129" s="113">
        <f t="shared" si="149"/>
        <v>0</v>
      </c>
      <c r="CT129" s="113">
        <f t="shared" si="149"/>
        <v>0</v>
      </c>
      <c r="CU129" s="113"/>
      <c r="CV129" s="113"/>
      <c r="CW129" s="113"/>
      <c r="CX129" s="113"/>
      <c r="CY129" s="113">
        <f t="shared" si="150"/>
        <v>0</v>
      </c>
      <c r="CZ129" s="113">
        <f t="shared" si="150"/>
        <v>0</v>
      </c>
      <c r="DA129" s="113"/>
      <c r="DB129" s="113"/>
      <c r="DC129" s="113"/>
      <c r="DD129" s="113"/>
      <c r="DE129" s="113">
        <f t="shared" si="151"/>
        <v>0</v>
      </c>
      <c r="DF129" s="113">
        <f t="shared" si="151"/>
        <v>0</v>
      </c>
      <c r="DG129" s="113"/>
      <c r="DH129" s="113"/>
      <c r="DI129" s="113"/>
      <c r="DJ129" s="113"/>
      <c r="DK129" s="113">
        <f t="shared" si="152"/>
        <v>0</v>
      </c>
      <c r="DL129" s="113">
        <f t="shared" si="152"/>
        <v>0</v>
      </c>
      <c r="DM129" s="113">
        <f t="shared" si="159"/>
        <v>0</v>
      </c>
      <c r="DN129" s="113">
        <f t="shared" si="160"/>
        <v>0</v>
      </c>
      <c r="DO129" s="113">
        <f t="shared" si="161"/>
        <v>0</v>
      </c>
      <c r="DP129" s="113">
        <f t="shared" si="162"/>
        <v>0</v>
      </c>
      <c r="DQ129" s="113">
        <f t="shared" si="153"/>
        <v>0</v>
      </c>
      <c r="DR129" s="113">
        <f t="shared" si="153"/>
        <v>0</v>
      </c>
    </row>
    <row r="130" spans="1:122">
      <c r="A130" s="15">
        <v>123</v>
      </c>
      <c r="B130" s="96" t="s">
        <v>1091</v>
      </c>
      <c r="C130" s="187" t="s">
        <v>1141</v>
      </c>
      <c r="D130" s="96" t="s">
        <v>1143</v>
      </c>
      <c r="E130" s="185" t="s">
        <v>1165</v>
      </c>
      <c r="F130" s="161">
        <f t="shared" si="130"/>
        <v>0</v>
      </c>
      <c r="G130" s="161">
        <f t="shared" si="122"/>
        <v>0</v>
      </c>
      <c r="H130" s="161">
        <f t="shared" si="123"/>
        <v>0</v>
      </c>
      <c r="I130" s="161">
        <f t="shared" si="124"/>
        <v>0</v>
      </c>
      <c r="J130" s="165">
        <f t="shared" si="154"/>
        <v>70081.759999999995</v>
      </c>
      <c r="K130" s="115">
        <v>56100</v>
      </c>
      <c r="L130" s="211">
        <v>0</v>
      </c>
      <c r="M130" s="211">
        <v>0</v>
      </c>
      <c r="N130" s="127">
        <f t="shared" si="131"/>
        <v>70081.759999999995</v>
      </c>
      <c r="O130" s="127">
        <f t="shared" si="132"/>
        <v>70081.759999999995</v>
      </c>
      <c r="P130" s="127">
        <f t="shared" si="133"/>
        <v>70081.759999999995</v>
      </c>
      <c r="Q130" s="131">
        <f t="shared" si="125"/>
        <v>0</v>
      </c>
      <c r="R130" s="125">
        <f t="shared" si="155"/>
        <v>70081.759999999995</v>
      </c>
      <c r="S130" s="113">
        <v>50000</v>
      </c>
      <c r="T130" s="113">
        <v>0</v>
      </c>
      <c r="U130" s="113">
        <f t="shared" si="126"/>
        <v>50000</v>
      </c>
      <c r="V130" s="113">
        <f t="shared" si="127"/>
        <v>0</v>
      </c>
      <c r="W130" s="113">
        <v>0</v>
      </c>
      <c r="X130" s="113">
        <v>0</v>
      </c>
      <c r="Y130" s="113">
        <v>20000</v>
      </c>
      <c r="Z130" s="113">
        <v>20081.759999999998</v>
      </c>
      <c r="AA130" s="113">
        <f t="shared" si="156"/>
        <v>20000</v>
      </c>
      <c r="AB130" s="113">
        <f t="shared" si="156"/>
        <v>20081.759999999998</v>
      </c>
      <c r="AC130" s="113"/>
      <c r="AD130" s="113"/>
      <c r="AE130" s="113"/>
      <c r="AF130" s="113"/>
      <c r="AG130" s="113">
        <f t="shared" si="138"/>
        <v>0</v>
      </c>
      <c r="AH130" s="113">
        <f t="shared" si="138"/>
        <v>0</v>
      </c>
      <c r="AI130" s="114">
        <f t="shared" si="128"/>
        <v>50000</v>
      </c>
      <c r="AJ130" s="114">
        <f t="shared" si="139"/>
        <v>50000</v>
      </c>
      <c r="AK130" s="114">
        <f t="shared" si="139"/>
        <v>20000</v>
      </c>
      <c r="AL130" s="114">
        <f t="shared" si="129"/>
        <v>20081.759999999998</v>
      </c>
      <c r="AM130" s="113">
        <f t="shared" si="140"/>
        <v>70000</v>
      </c>
      <c r="AN130" s="113">
        <f t="shared" si="140"/>
        <v>70081.759999999995</v>
      </c>
      <c r="AO130" s="113"/>
      <c r="AP130" s="113"/>
      <c r="AQ130" s="113"/>
      <c r="AR130" s="113"/>
      <c r="AS130" s="113">
        <f t="shared" si="141"/>
        <v>0</v>
      </c>
      <c r="AT130" s="113">
        <f t="shared" si="141"/>
        <v>0</v>
      </c>
      <c r="AU130" s="113"/>
      <c r="AV130" s="113"/>
      <c r="AW130" s="113"/>
      <c r="AX130" s="113"/>
      <c r="AY130" s="113">
        <f t="shared" si="142"/>
        <v>0</v>
      </c>
      <c r="AZ130" s="113">
        <f t="shared" si="142"/>
        <v>0</v>
      </c>
      <c r="BA130" s="113"/>
      <c r="BB130" s="113"/>
      <c r="BC130" s="113"/>
      <c r="BD130" s="113"/>
      <c r="BE130" s="113">
        <f t="shared" si="143"/>
        <v>0</v>
      </c>
      <c r="BF130" s="113"/>
      <c r="BG130" s="113">
        <f t="shared" si="163"/>
        <v>0</v>
      </c>
      <c r="BH130" s="113"/>
      <c r="BI130" s="113"/>
      <c r="BJ130" s="113"/>
      <c r="BK130" s="113"/>
      <c r="BL130" s="113">
        <f t="shared" si="144"/>
        <v>0</v>
      </c>
      <c r="BM130" s="113">
        <v>0</v>
      </c>
      <c r="BN130" s="113">
        <f t="shared" si="164"/>
        <v>0</v>
      </c>
      <c r="BO130" s="113"/>
      <c r="BP130" s="113"/>
      <c r="BQ130" s="113"/>
      <c r="BR130" s="113"/>
      <c r="BS130" s="113">
        <f t="shared" si="145"/>
        <v>0</v>
      </c>
      <c r="BT130" s="113"/>
      <c r="BU130" s="113">
        <f t="shared" si="165"/>
        <v>0</v>
      </c>
      <c r="BV130" s="113"/>
      <c r="BW130" s="113"/>
      <c r="BX130" s="113"/>
      <c r="BY130" s="113"/>
      <c r="BZ130" s="113">
        <f t="shared" si="146"/>
        <v>0</v>
      </c>
      <c r="CA130" s="113"/>
      <c r="CB130" s="113">
        <f t="shared" si="157"/>
        <v>0</v>
      </c>
      <c r="CC130" s="113"/>
      <c r="CD130" s="113"/>
      <c r="CE130" s="113"/>
      <c r="CF130" s="113"/>
      <c r="CG130" s="113">
        <f t="shared" si="147"/>
        <v>0</v>
      </c>
      <c r="CH130" s="113">
        <f t="shared" si="158"/>
        <v>0</v>
      </c>
      <c r="CI130" s="113"/>
      <c r="CJ130" s="113"/>
      <c r="CK130" s="113"/>
      <c r="CL130" s="113"/>
      <c r="CM130" s="113">
        <f t="shared" si="148"/>
        <v>0</v>
      </c>
      <c r="CN130" s="113">
        <f t="shared" si="148"/>
        <v>0</v>
      </c>
      <c r="CO130" s="113"/>
      <c r="CP130" s="113"/>
      <c r="CQ130" s="113"/>
      <c r="CR130" s="113"/>
      <c r="CS130" s="113">
        <f t="shared" si="149"/>
        <v>0</v>
      </c>
      <c r="CT130" s="113">
        <f t="shared" si="149"/>
        <v>0</v>
      </c>
      <c r="CU130" s="113"/>
      <c r="CV130" s="113"/>
      <c r="CW130" s="113"/>
      <c r="CX130" s="113"/>
      <c r="CY130" s="113">
        <f t="shared" si="150"/>
        <v>0</v>
      </c>
      <c r="CZ130" s="113">
        <f t="shared" si="150"/>
        <v>0</v>
      </c>
      <c r="DA130" s="113"/>
      <c r="DB130" s="113"/>
      <c r="DC130" s="113"/>
      <c r="DD130" s="113"/>
      <c r="DE130" s="113">
        <f t="shared" si="151"/>
        <v>0</v>
      </c>
      <c r="DF130" s="113">
        <f t="shared" si="151"/>
        <v>0</v>
      </c>
      <c r="DG130" s="113"/>
      <c r="DH130" s="113"/>
      <c r="DI130" s="113"/>
      <c r="DJ130" s="113"/>
      <c r="DK130" s="113">
        <f t="shared" si="152"/>
        <v>0</v>
      </c>
      <c r="DL130" s="113">
        <f t="shared" si="152"/>
        <v>0</v>
      </c>
      <c r="DM130" s="113">
        <f t="shared" si="159"/>
        <v>0</v>
      </c>
      <c r="DN130" s="113">
        <f t="shared" si="160"/>
        <v>0</v>
      </c>
      <c r="DO130" s="113">
        <f t="shared" si="161"/>
        <v>0</v>
      </c>
      <c r="DP130" s="113">
        <f t="shared" si="162"/>
        <v>0</v>
      </c>
      <c r="DQ130" s="113">
        <f t="shared" si="153"/>
        <v>0</v>
      </c>
      <c r="DR130" s="113">
        <f t="shared" si="153"/>
        <v>0</v>
      </c>
    </row>
    <row r="131" spans="1:122">
      <c r="A131" s="15">
        <v>124</v>
      </c>
      <c r="B131" s="96" t="s">
        <v>1091</v>
      </c>
      <c r="C131" s="96" t="s">
        <v>1144</v>
      </c>
      <c r="D131" s="96" t="s">
        <v>1145</v>
      </c>
      <c r="E131" s="185" t="s">
        <v>1164</v>
      </c>
      <c r="F131" s="161">
        <f t="shared" si="130"/>
        <v>0</v>
      </c>
      <c r="G131" s="161">
        <f t="shared" si="122"/>
        <v>2345</v>
      </c>
      <c r="H131" s="161">
        <f t="shared" si="123"/>
        <v>-2345</v>
      </c>
      <c r="I131" s="161">
        <f t="shared" si="124"/>
        <v>0</v>
      </c>
      <c r="J131" s="165">
        <f t="shared" si="154"/>
        <v>0</v>
      </c>
      <c r="K131" s="115"/>
      <c r="L131" s="211">
        <v>0</v>
      </c>
      <c r="M131" s="211">
        <v>0</v>
      </c>
      <c r="N131" s="127">
        <f t="shared" si="131"/>
        <v>0</v>
      </c>
      <c r="O131" s="127">
        <f t="shared" si="132"/>
        <v>0</v>
      </c>
      <c r="P131" s="127">
        <f t="shared" si="133"/>
        <v>0</v>
      </c>
      <c r="Q131" s="131">
        <f t="shared" si="125"/>
        <v>0</v>
      </c>
      <c r="R131" s="125" t="str">
        <f t="shared" si="155"/>
        <v>მიმდინარეობს</v>
      </c>
      <c r="S131" s="113">
        <v>0</v>
      </c>
      <c r="T131" s="113"/>
      <c r="U131" s="113">
        <f t="shared" si="126"/>
        <v>0</v>
      </c>
      <c r="V131" s="113">
        <f t="shared" si="127"/>
        <v>0</v>
      </c>
      <c r="W131" s="113">
        <v>0</v>
      </c>
      <c r="X131" s="113">
        <v>0</v>
      </c>
      <c r="Y131" s="113">
        <v>0</v>
      </c>
      <c r="Z131" s="113">
        <v>0</v>
      </c>
      <c r="AA131" s="113">
        <f t="shared" si="156"/>
        <v>0</v>
      </c>
      <c r="AB131" s="113">
        <f t="shared" si="156"/>
        <v>0</v>
      </c>
      <c r="AC131" s="113"/>
      <c r="AD131" s="113"/>
      <c r="AE131" s="113"/>
      <c r="AF131" s="113"/>
      <c r="AG131" s="113">
        <f t="shared" si="138"/>
        <v>0</v>
      </c>
      <c r="AH131" s="113">
        <f t="shared" si="138"/>
        <v>0</v>
      </c>
      <c r="AI131" s="114">
        <f t="shared" si="128"/>
        <v>0</v>
      </c>
      <c r="AJ131" s="114">
        <f t="shared" si="139"/>
        <v>0</v>
      </c>
      <c r="AK131" s="114">
        <f t="shared" si="139"/>
        <v>0</v>
      </c>
      <c r="AL131" s="114">
        <f t="shared" si="129"/>
        <v>0</v>
      </c>
      <c r="AM131" s="113">
        <f t="shared" si="140"/>
        <v>0</v>
      </c>
      <c r="AN131" s="113">
        <f t="shared" si="140"/>
        <v>0</v>
      </c>
      <c r="AO131" s="113"/>
      <c r="AP131" s="113"/>
      <c r="AQ131" s="113"/>
      <c r="AR131" s="113"/>
      <c r="AS131" s="113">
        <f t="shared" si="141"/>
        <v>0</v>
      </c>
      <c r="AT131" s="113">
        <f t="shared" si="141"/>
        <v>0</v>
      </c>
      <c r="AU131" s="113"/>
      <c r="AV131" s="113"/>
      <c r="AW131" s="113"/>
      <c r="AX131" s="113"/>
      <c r="AY131" s="113">
        <f t="shared" si="142"/>
        <v>0</v>
      </c>
      <c r="AZ131" s="113">
        <f t="shared" si="142"/>
        <v>0</v>
      </c>
      <c r="BA131" s="113"/>
      <c r="BB131" s="113"/>
      <c r="BC131" s="113"/>
      <c r="BD131" s="113"/>
      <c r="BE131" s="113">
        <f t="shared" si="143"/>
        <v>0</v>
      </c>
      <c r="BF131" s="113"/>
      <c r="BG131" s="113">
        <f t="shared" si="163"/>
        <v>0</v>
      </c>
      <c r="BH131" s="113"/>
      <c r="BI131" s="113"/>
      <c r="BJ131" s="113"/>
      <c r="BK131" s="113"/>
      <c r="BL131" s="113">
        <f t="shared" si="144"/>
        <v>0</v>
      </c>
      <c r="BM131" s="113">
        <v>0</v>
      </c>
      <c r="BN131" s="113">
        <f t="shared" si="164"/>
        <v>0</v>
      </c>
      <c r="BO131" s="113"/>
      <c r="BP131" s="113"/>
      <c r="BQ131" s="113"/>
      <c r="BR131" s="113"/>
      <c r="BS131" s="113">
        <f t="shared" si="145"/>
        <v>0</v>
      </c>
      <c r="BT131" s="113"/>
      <c r="BU131" s="113">
        <f t="shared" si="165"/>
        <v>0</v>
      </c>
      <c r="BV131" s="113"/>
      <c r="BW131" s="113"/>
      <c r="BX131" s="113"/>
      <c r="BY131" s="113"/>
      <c r="BZ131" s="113">
        <f t="shared" si="146"/>
        <v>0</v>
      </c>
      <c r="CA131" s="113"/>
      <c r="CB131" s="113">
        <f t="shared" si="157"/>
        <v>0</v>
      </c>
      <c r="CC131" s="113"/>
      <c r="CD131" s="113"/>
      <c r="CE131" s="113"/>
      <c r="CF131" s="113"/>
      <c r="CG131" s="113">
        <f t="shared" si="147"/>
        <v>0</v>
      </c>
      <c r="CH131" s="113">
        <f t="shared" si="158"/>
        <v>0</v>
      </c>
      <c r="CI131" s="113"/>
      <c r="CJ131" s="113">
        <v>2345</v>
      </c>
      <c r="CK131" s="113"/>
      <c r="CL131" s="113"/>
      <c r="CM131" s="113">
        <f t="shared" si="148"/>
        <v>0</v>
      </c>
      <c r="CN131" s="113">
        <f t="shared" si="148"/>
        <v>2345</v>
      </c>
      <c r="CO131" s="113"/>
      <c r="CP131" s="113"/>
      <c r="CQ131" s="113"/>
      <c r="CR131" s="113"/>
      <c r="CS131" s="113">
        <f t="shared" si="149"/>
        <v>0</v>
      </c>
      <c r="CT131" s="113">
        <f t="shared" si="149"/>
        <v>0</v>
      </c>
      <c r="CU131" s="113"/>
      <c r="CV131" s="113"/>
      <c r="CW131" s="113"/>
      <c r="CX131" s="113"/>
      <c r="CY131" s="113">
        <f t="shared" si="150"/>
        <v>0</v>
      </c>
      <c r="CZ131" s="113">
        <f t="shared" si="150"/>
        <v>0</v>
      </c>
      <c r="DA131" s="113"/>
      <c r="DB131" s="113"/>
      <c r="DC131" s="113"/>
      <c r="DD131" s="113"/>
      <c r="DE131" s="113">
        <f t="shared" si="151"/>
        <v>0</v>
      </c>
      <c r="DF131" s="113">
        <f t="shared" si="151"/>
        <v>0</v>
      </c>
      <c r="DG131" s="113"/>
      <c r="DH131" s="113"/>
      <c r="DI131" s="113"/>
      <c r="DJ131" s="113"/>
      <c r="DK131" s="113">
        <f t="shared" si="152"/>
        <v>0</v>
      </c>
      <c r="DL131" s="113">
        <f t="shared" si="152"/>
        <v>0</v>
      </c>
      <c r="DM131" s="113">
        <f t="shared" si="159"/>
        <v>0</v>
      </c>
      <c r="DN131" s="113">
        <f t="shared" si="160"/>
        <v>2345</v>
      </c>
      <c r="DO131" s="113">
        <f t="shared" si="161"/>
        <v>0</v>
      </c>
      <c r="DP131" s="113">
        <f t="shared" si="162"/>
        <v>0</v>
      </c>
      <c r="DQ131" s="113">
        <f t="shared" si="153"/>
        <v>0</v>
      </c>
      <c r="DR131" s="113">
        <f t="shared" si="153"/>
        <v>2345</v>
      </c>
    </row>
    <row r="132" spans="1:122">
      <c r="A132" s="15">
        <v>125</v>
      </c>
      <c r="B132" s="96" t="s">
        <v>1091</v>
      </c>
      <c r="C132" s="187" t="s">
        <v>1144</v>
      </c>
      <c r="D132" s="96" t="s">
        <v>1146</v>
      </c>
      <c r="E132" s="96" t="s">
        <v>1165</v>
      </c>
      <c r="F132" s="131">
        <f t="shared" si="130"/>
        <v>84000</v>
      </c>
      <c r="G132" s="161">
        <f t="shared" si="122"/>
        <v>88000</v>
      </c>
      <c r="H132" s="161">
        <f t="shared" si="123"/>
        <v>-4000</v>
      </c>
      <c r="I132" s="161">
        <f t="shared" si="124"/>
        <v>893</v>
      </c>
      <c r="J132" s="283">
        <f t="shared" si="154"/>
        <v>84000</v>
      </c>
      <c r="K132" s="115">
        <v>84000</v>
      </c>
      <c r="L132" s="211">
        <v>0</v>
      </c>
      <c r="M132" s="211">
        <v>0</v>
      </c>
      <c r="N132" s="127">
        <f t="shared" si="131"/>
        <v>0</v>
      </c>
      <c r="O132" s="127">
        <f t="shared" si="132"/>
        <v>0</v>
      </c>
      <c r="P132" s="131">
        <f t="shared" si="133"/>
        <v>0</v>
      </c>
      <c r="Q132" s="131">
        <f t="shared" si="125"/>
        <v>84000</v>
      </c>
      <c r="R132" s="131" t="str">
        <f t="shared" si="155"/>
        <v>მიმდინარეობს</v>
      </c>
      <c r="S132" s="113">
        <v>0</v>
      </c>
      <c r="T132" s="113"/>
      <c r="U132" s="113">
        <f t="shared" si="126"/>
        <v>0</v>
      </c>
      <c r="V132" s="113">
        <f t="shared" si="127"/>
        <v>0</v>
      </c>
      <c r="W132" s="113">
        <v>0</v>
      </c>
      <c r="X132" s="113">
        <v>0</v>
      </c>
      <c r="Y132" s="113">
        <v>0</v>
      </c>
      <c r="Z132" s="113">
        <v>0</v>
      </c>
      <c r="AA132" s="113">
        <f t="shared" si="156"/>
        <v>0</v>
      </c>
      <c r="AB132" s="113">
        <f t="shared" si="156"/>
        <v>0</v>
      </c>
      <c r="AC132" s="113"/>
      <c r="AD132" s="113"/>
      <c r="AE132" s="113"/>
      <c r="AF132" s="113"/>
      <c r="AG132" s="113">
        <f t="shared" si="138"/>
        <v>0</v>
      </c>
      <c r="AH132" s="113">
        <f t="shared" si="138"/>
        <v>0</v>
      </c>
      <c r="AI132" s="114">
        <f t="shared" si="128"/>
        <v>0</v>
      </c>
      <c r="AJ132" s="114">
        <f t="shared" si="139"/>
        <v>0</v>
      </c>
      <c r="AK132" s="114">
        <f t="shared" si="139"/>
        <v>0</v>
      </c>
      <c r="AL132" s="114">
        <f t="shared" si="129"/>
        <v>0</v>
      </c>
      <c r="AM132" s="113">
        <f t="shared" si="140"/>
        <v>0</v>
      </c>
      <c r="AN132" s="113">
        <f t="shared" si="140"/>
        <v>0</v>
      </c>
      <c r="AO132" s="113"/>
      <c r="AP132" s="113"/>
      <c r="AQ132" s="113"/>
      <c r="AR132" s="113"/>
      <c r="AS132" s="113">
        <f t="shared" si="141"/>
        <v>0</v>
      </c>
      <c r="AT132" s="113">
        <f t="shared" si="141"/>
        <v>0</v>
      </c>
      <c r="AU132" s="113">
        <v>84000</v>
      </c>
      <c r="AV132" s="113">
        <v>71000</v>
      </c>
      <c r="AW132" s="113"/>
      <c r="AX132" s="113"/>
      <c r="AY132" s="113">
        <f t="shared" si="142"/>
        <v>84000</v>
      </c>
      <c r="AZ132" s="113">
        <f t="shared" si="142"/>
        <v>71000</v>
      </c>
      <c r="BA132" s="113"/>
      <c r="BB132" s="113"/>
      <c r="BC132" s="113"/>
      <c r="BD132" s="113"/>
      <c r="BE132" s="113">
        <f t="shared" si="143"/>
        <v>0</v>
      </c>
      <c r="BF132" s="113"/>
      <c r="BG132" s="113">
        <f t="shared" si="163"/>
        <v>0</v>
      </c>
      <c r="BH132" s="113"/>
      <c r="BI132" s="113"/>
      <c r="BJ132" s="113"/>
      <c r="BK132" s="113"/>
      <c r="BL132" s="113">
        <f t="shared" si="144"/>
        <v>0</v>
      </c>
      <c r="BM132" s="113">
        <v>893</v>
      </c>
      <c r="BN132" s="113">
        <f t="shared" si="164"/>
        <v>0</v>
      </c>
      <c r="BO132" s="113"/>
      <c r="BP132" s="113"/>
      <c r="BQ132" s="113"/>
      <c r="BR132" s="113"/>
      <c r="BS132" s="113">
        <f t="shared" si="145"/>
        <v>0</v>
      </c>
      <c r="BT132" s="113"/>
      <c r="BU132" s="113">
        <f t="shared" si="165"/>
        <v>0</v>
      </c>
      <c r="BV132" s="113"/>
      <c r="BW132" s="113"/>
      <c r="BX132" s="113"/>
      <c r="BY132" s="113"/>
      <c r="BZ132" s="113">
        <f t="shared" si="146"/>
        <v>0</v>
      </c>
      <c r="CA132" s="113"/>
      <c r="CB132" s="113">
        <f t="shared" si="157"/>
        <v>0</v>
      </c>
      <c r="CC132" s="113"/>
      <c r="CD132" s="113"/>
      <c r="CE132" s="113"/>
      <c r="CF132" s="113"/>
      <c r="CG132" s="113">
        <f t="shared" si="147"/>
        <v>0</v>
      </c>
      <c r="CH132" s="113">
        <f t="shared" si="158"/>
        <v>0</v>
      </c>
      <c r="CI132" s="113"/>
      <c r="CJ132" s="113"/>
      <c r="CK132" s="113"/>
      <c r="CL132" s="113"/>
      <c r="CM132" s="113">
        <f t="shared" si="148"/>
        <v>0</v>
      </c>
      <c r="CN132" s="113">
        <f t="shared" si="148"/>
        <v>0</v>
      </c>
      <c r="CO132" s="113"/>
      <c r="CP132" s="113"/>
      <c r="CQ132" s="113"/>
      <c r="CR132" s="113"/>
      <c r="CS132" s="113">
        <f t="shared" si="149"/>
        <v>0</v>
      </c>
      <c r="CT132" s="113">
        <f t="shared" si="149"/>
        <v>0</v>
      </c>
      <c r="CU132" s="113"/>
      <c r="CV132" s="113">
        <v>17000</v>
      </c>
      <c r="CW132" s="113"/>
      <c r="CX132" s="113"/>
      <c r="CY132" s="113">
        <f t="shared" si="150"/>
        <v>0</v>
      </c>
      <c r="CZ132" s="113">
        <f t="shared" si="150"/>
        <v>17000</v>
      </c>
      <c r="DA132" s="113"/>
      <c r="DB132" s="113"/>
      <c r="DC132" s="113"/>
      <c r="DD132" s="113"/>
      <c r="DE132" s="113">
        <f t="shared" si="151"/>
        <v>0</v>
      </c>
      <c r="DF132" s="113">
        <f t="shared" si="151"/>
        <v>0</v>
      </c>
      <c r="DG132" s="113"/>
      <c r="DH132" s="113"/>
      <c r="DI132" s="113"/>
      <c r="DJ132" s="113"/>
      <c r="DK132" s="113">
        <f t="shared" si="152"/>
        <v>0</v>
      </c>
      <c r="DL132" s="113">
        <f t="shared" si="152"/>
        <v>0</v>
      </c>
      <c r="DM132" s="113">
        <f t="shared" si="159"/>
        <v>84000</v>
      </c>
      <c r="DN132" s="113">
        <f t="shared" si="160"/>
        <v>88000</v>
      </c>
      <c r="DO132" s="113">
        <f t="shared" si="161"/>
        <v>0</v>
      </c>
      <c r="DP132" s="113">
        <f t="shared" si="162"/>
        <v>0</v>
      </c>
      <c r="DQ132" s="113">
        <f t="shared" si="153"/>
        <v>84000</v>
      </c>
      <c r="DR132" s="113">
        <f t="shared" si="153"/>
        <v>88000</v>
      </c>
    </row>
    <row r="133" spans="1:122">
      <c r="A133" s="15">
        <v>126</v>
      </c>
      <c r="B133" s="96" t="s">
        <v>1091</v>
      </c>
      <c r="C133" s="96" t="s">
        <v>80</v>
      </c>
      <c r="D133" s="96" t="s">
        <v>1147</v>
      </c>
      <c r="E133" s="185" t="s">
        <v>1164</v>
      </c>
      <c r="F133" s="161">
        <f t="shared" si="130"/>
        <v>0</v>
      </c>
      <c r="G133" s="161">
        <f t="shared" si="122"/>
        <v>0</v>
      </c>
      <c r="H133" s="161">
        <f t="shared" si="123"/>
        <v>0</v>
      </c>
      <c r="I133" s="161">
        <f t="shared" si="124"/>
        <v>0</v>
      </c>
      <c r="J133" s="165">
        <f t="shared" si="154"/>
        <v>10342.5</v>
      </c>
      <c r="K133" s="115"/>
      <c r="L133" s="211">
        <v>0</v>
      </c>
      <c r="M133" s="211">
        <v>0</v>
      </c>
      <c r="N133" s="127">
        <f t="shared" si="131"/>
        <v>10342.5</v>
      </c>
      <c r="O133" s="127">
        <f t="shared" si="132"/>
        <v>10342.5</v>
      </c>
      <c r="P133" s="127">
        <f t="shared" si="133"/>
        <v>10342.5</v>
      </c>
      <c r="Q133" s="131">
        <f t="shared" si="125"/>
        <v>0</v>
      </c>
      <c r="R133" s="125">
        <f t="shared" si="155"/>
        <v>10342.5</v>
      </c>
      <c r="S133" s="113">
        <v>0</v>
      </c>
      <c r="T133" s="113">
        <v>10342.5</v>
      </c>
      <c r="U133" s="113">
        <f t="shared" si="126"/>
        <v>0</v>
      </c>
      <c r="V133" s="113">
        <f t="shared" si="127"/>
        <v>10342.5</v>
      </c>
      <c r="W133" s="113">
        <v>0</v>
      </c>
      <c r="X133" s="113">
        <v>0</v>
      </c>
      <c r="Y133" s="113">
        <v>0</v>
      </c>
      <c r="Z133" s="113">
        <v>0</v>
      </c>
      <c r="AA133" s="113">
        <f t="shared" si="156"/>
        <v>0</v>
      </c>
      <c r="AB133" s="113">
        <f t="shared" si="156"/>
        <v>0</v>
      </c>
      <c r="AC133" s="113"/>
      <c r="AD133" s="113"/>
      <c r="AE133" s="113"/>
      <c r="AF133" s="113"/>
      <c r="AG133" s="113">
        <f t="shared" si="138"/>
        <v>0</v>
      </c>
      <c r="AH133" s="113">
        <f t="shared" si="138"/>
        <v>0</v>
      </c>
      <c r="AI133" s="114">
        <f t="shared" si="128"/>
        <v>0</v>
      </c>
      <c r="AJ133" s="114">
        <f t="shared" si="139"/>
        <v>0</v>
      </c>
      <c r="AK133" s="114">
        <f t="shared" si="139"/>
        <v>10342.5</v>
      </c>
      <c r="AL133" s="114">
        <f t="shared" si="129"/>
        <v>10342.5</v>
      </c>
      <c r="AM133" s="113">
        <f t="shared" si="140"/>
        <v>10342.5</v>
      </c>
      <c r="AN133" s="113">
        <f t="shared" si="140"/>
        <v>10342.5</v>
      </c>
      <c r="AO133" s="113"/>
      <c r="AP133" s="113"/>
      <c r="AQ133" s="113"/>
      <c r="AR133" s="113"/>
      <c r="AS133" s="113">
        <f t="shared" si="141"/>
        <v>0</v>
      </c>
      <c r="AT133" s="113">
        <f t="shared" si="141"/>
        <v>0</v>
      </c>
      <c r="AU133" s="113"/>
      <c r="AV133" s="113"/>
      <c r="AW133" s="113"/>
      <c r="AX133" s="113"/>
      <c r="AY133" s="113">
        <f t="shared" si="142"/>
        <v>0</v>
      </c>
      <c r="AZ133" s="113">
        <f t="shared" si="142"/>
        <v>0</v>
      </c>
      <c r="BA133" s="113"/>
      <c r="BB133" s="113"/>
      <c r="BC133" s="113"/>
      <c r="BD133" s="113"/>
      <c r="BE133" s="113">
        <f t="shared" si="143"/>
        <v>0</v>
      </c>
      <c r="BF133" s="113"/>
      <c r="BG133" s="113">
        <f t="shared" si="163"/>
        <v>0</v>
      </c>
      <c r="BH133" s="113"/>
      <c r="BI133" s="113"/>
      <c r="BJ133" s="113"/>
      <c r="BK133" s="113"/>
      <c r="BL133" s="113">
        <f t="shared" si="144"/>
        <v>0</v>
      </c>
      <c r="BM133" s="113">
        <v>0</v>
      </c>
      <c r="BN133" s="113">
        <f t="shared" si="164"/>
        <v>0</v>
      </c>
      <c r="BO133" s="113"/>
      <c r="BP133" s="113"/>
      <c r="BQ133" s="113"/>
      <c r="BR133" s="113"/>
      <c r="BS133" s="113">
        <f t="shared" si="145"/>
        <v>0</v>
      </c>
      <c r="BT133" s="113"/>
      <c r="BU133" s="113">
        <f t="shared" si="165"/>
        <v>0</v>
      </c>
      <c r="BV133" s="113"/>
      <c r="BW133" s="113"/>
      <c r="BX133" s="113"/>
      <c r="BY133" s="113"/>
      <c r="BZ133" s="113">
        <f t="shared" si="146"/>
        <v>0</v>
      </c>
      <c r="CA133" s="113"/>
      <c r="CB133" s="113">
        <f t="shared" si="157"/>
        <v>0</v>
      </c>
      <c r="CC133" s="113"/>
      <c r="CD133" s="113"/>
      <c r="CE133" s="113"/>
      <c r="CF133" s="113"/>
      <c r="CG133" s="113">
        <f t="shared" si="147"/>
        <v>0</v>
      </c>
      <c r="CH133" s="113">
        <f t="shared" si="158"/>
        <v>0</v>
      </c>
      <c r="CI133" s="113"/>
      <c r="CJ133" s="113"/>
      <c r="CK133" s="113"/>
      <c r="CL133" s="113"/>
      <c r="CM133" s="113">
        <f t="shared" si="148"/>
        <v>0</v>
      </c>
      <c r="CN133" s="113">
        <f t="shared" si="148"/>
        <v>0</v>
      </c>
      <c r="CO133" s="113"/>
      <c r="CP133" s="113"/>
      <c r="CQ133" s="113"/>
      <c r="CR133" s="113"/>
      <c r="CS133" s="113">
        <f t="shared" si="149"/>
        <v>0</v>
      </c>
      <c r="CT133" s="113">
        <f t="shared" si="149"/>
        <v>0</v>
      </c>
      <c r="CU133" s="113"/>
      <c r="CV133" s="113"/>
      <c r="CW133" s="113"/>
      <c r="CX133" s="113"/>
      <c r="CY133" s="113">
        <f t="shared" si="150"/>
        <v>0</v>
      </c>
      <c r="CZ133" s="113">
        <f t="shared" si="150"/>
        <v>0</v>
      </c>
      <c r="DA133" s="113"/>
      <c r="DB133" s="113"/>
      <c r="DC133" s="113"/>
      <c r="DD133" s="113"/>
      <c r="DE133" s="113">
        <f t="shared" si="151"/>
        <v>0</v>
      </c>
      <c r="DF133" s="113">
        <f t="shared" si="151"/>
        <v>0</v>
      </c>
      <c r="DG133" s="113"/>
      <c r="DH133" s="113"/>
      <c r="DI133" s="113"/>
      <c r="DJ133" s="113"/>
      <c r="DK133" s="113">
        <f t="shared" si="152"/>
        <v>0</v>
      </c>
      <c r="DL133" s="113">
        <f t="shared" si="152"/>
        <v>0</v>
      </c>
      <c r="DM133" s="113">
        <f t="shared" si="159"/>
        <v>0</v>
      </c>
      <c r="DN133" s="113">
        <f t="shared" si="160"/>
        <v>0</v>
      </c>
      <c r="DO133" s="113">
        <f t="shared" si="161"/>
        <v>0</v>
      </c>
      <c r="DP133" s="113">
        <f t="shared" si="162"/>
        <v>0</v>
      </c>
      <c r="DQ133" s="113">
        <f t="shared" si="153"/>
        <v>0</v>
      </c>
      <c r="DR133" s="113">
        <f t="shared" si="153"/>
        <v>0</v>
      </c>
    </row>
    <row r="134" spans="1:122">
      <c r="A134" s="15">
        <v>127</v>
      </c>
      <c r="B134" s="96" t="s">
        <v>1091</v>
      </c>
      <c r="C134" s="96" t="s">
        <v>1148</v>
      </c>
      <c r="D134" s="96" t="s">
        <v>1149</v>
      </c>
      <c r="E134" s="185" t="s">
        <v>1164</v>
      </c>
      <c r="F134" s="161">
        <f t="shared" si="130"/>
        <v>0</v>
      </c>
      <c r="G134" s="161">
        <f t="shared" si="122"/>
        <v>0</v>
      </c>
      <c r="H134" s="161">
        <f t="shared" si="123"/>
        <v>0</v>
      </c>
      <c r="I134" s="161">
        <f t="shared" si="124"/>
        <v>0</v>
      </c>
      <c r="J134" s="165">
        <f t="shared" si="154"/>
        <v>551.25</v>
      </c>
      <c r="K134" s="115"/>
      <c r="L134" s="211">
        <v>0</v>
      </c>
      <c r="M134" s="211">
        <v>0</v>
      </c>
      <c r="N134" s="127">
        <f t="shared" si="131"/>
        <v>551.25</v>
      </c>
      <c r="O134" s="127">
        <f t="shared" si="132"/>
        <v>551.25</v>
      </c>
      <c r="P134" s="127">
        <f t="shared" si="133"/>
        <v>551.25</v>
      </c>
      <c r="Q134" s="131">
        <f t="shared" si="125"/>
        <v>0</v>
      </c>
      <c r="R134" s="125">
        <f t="shared" si="155"/>
        <v>551.25</v>
      </c>
      <c r="S134" s="113">
        <v>0</v>
      </c>
      <c r="T134" s="113"/>
      <c r="U134" s="113">
        <f t="shared" si="126"/>
        <v>0</v>
      </c>
      <c r="V134" s="113">
        <f t="shared" si="127"/>
        <v>0</v>
      </c>
      <c r="W134" s="113">
        <v>0</v>
      </c>
      <c r="X134" s="113">
        <v>0</v>
      </c>
      <c r="Y134" s="113">
        <v>0</v>
      </c>
      <c r="Z134" s="113">
        <v>0</v>
      </c>
      <c r="AA134" s="113">
        <f t="shared" si="156"/>
        <v>0</v>
      </c>
      <c r="AB134" s="113">
        <f t="shared" si="156"/>
        <v>0</v>
      </c>
      <c r="AC134" s="113"/>
      <c r="AD134" s="113"/>
      <c r="AE134" s="113"/>
      <c r="AF134" s="113">
        <v>551.25</v>
      </c>
      <c r="AG134" s="113">
        <f t="shared" si="138"/>
        <v>0</v>
      </c>
      <c r="AH134" s="113">
        <f t="shared" si="138"/>
        <v>551.25</v>
      </c>
      <c r="AI134" s="114">
        <f t="shared" si="128"/>
        <v>0</v>
      </c>
      <c r="AJ134" s="114">
        <f t="shared" si="139"/>
        <v>0</v>
      </c>
      <c r="AK134" s="114">
        <f t="shared" si="139"/>
        <v>0</v>
      </c>
      <c r="AL134" s="114">
        <f t="shared" si="129"/>
        <v>551.25</v>
      </c>
      <c r="AM134" s="113">
        <f t="shared" si="140"/>
        <v>0</v>
      </c>
      <c r="AN134" s="113">
        <f t="shared" si="140"/>
        <v>551.25</v>
      </c>
      <c r="AO134" s="113"/>
      <c r="AP134" s="113"/>
      <c r="AQ134" s="113"/>
      <c r="AR134" s="113"/>
      <c r="AS134" s="113">
        <f t="shared" si="141"/>
        <v>0</v>
      </c>
      <c r="AT134" s="113">
        <f t="shared" si="141"/>
        <v>0</v>
      </c>
      <c r="AU134" s="113"/>
      <c r="AV134" s="113"/>
      <c r="AW134" s="113"/>
      <c r="AX134" s="113"/>
      <c r="AY134" s="113">
        <f t="shared" si="142"/>
        <v>0</v>
      </c>
      <c r="AZ134" s="113">
        <f t="shared" si="142"/>
        <v>0</v>
      </c>
      <c r="BA134" s="113"/>
      <c r="BB134" s="113"/>
      <c r="BC134" s="113"/>
      <c r="BD134" s="113"/>
      <c r="BE134" s="113">
        <f t="shared" si="143"/>
        <v>0</v>
      </c>
      <c r="BF134" s="113"/>
      <c r="BG134" s="113">
        <f t="shared" si="163"/>
        <v>0</v>
      </c>
      <c r="BH134" s="113"/>
      <c r="BI134" s="113"/>
      <c r="BJ134" s="113"/>
      <c r="BK134" s="113"/>
      <c r="BL134" s="113">
        <f t="shared" si="144"/>
        <v>0</v>
      </c>
      <c r="BM134" s="113">
        <v>0</v>
      </c>
      <c r="BN134" s="113">
        <f t="shared" si="164"/>
        <v>0</v>
      </c>
      <c r="BO134" s="113"/>
      <c r="BP134" s="113"/>
      <c r="BQ134" s="113"/>
      <c r="BR134" s="113"/>
      <c r="BS134" s="113">
        <f t="shared" si="145"/>
        <v>0</v>
      </c>
      <c r="BT134" s="113"/>
      <c r="BU134" s="113">
        <f t="shared" si="165"/>
        <v>0</v>
      </c>
      <c r="BV134" s="113"/>
      <c r="BW134" s="113"/>
      <c r="BX134" s="113"/>
      <c r="BY134" s="113"/>
      <c r="BZ134" s="113">
        <f t="shared" si="146"/>
        <v>0</v>
      </c>
      <c r="CA134" s="113"/>
      <c r="CB134" s="113">
        <f t="shared" si="157"/>
        <v>0</v>
      </c>
      <c r="CC134" s="113"/>
      <c r="CD134" s="113"/>
      <c r="CE134" s="113"/>
      <c r="CF134" s="113"/>
      <c r="CG134" s="113">
        <f t="shared" si="147"/>
        <v>0</v>
      </c>
      <c r="CH134" s="113">
        <f t="shared" si="158"/>
        <v>0</v>
      </c>
      <c r="CI134" s="113"/>
      <c r="CJ134" s="113"/>
      <c r="CK134" s="113"/>
      <c r="CL134" s="113"/>
      <c r="CM134" s="113">
        <f t="shared" si="148"/>
        <v>0</v>
      </c>
      <c r="CN134" s="113">
        <f t="shared" si="148"/>
        <v>0</v>
      </c>
      <c r="CO134" s="113"/>
      <c r="CP134" s="113"/>
      <c r="CQ134" s="113"/>
      <c r="CR134" s="113"/>
      <c r="CS134" s="113">
        <f t="shared" si="149"/>
        <v>0</v>
      </c>
      <c r="CT134" s="113">
        <f t="shared" si="149"/>
        <v>0</v>
      </c>
      <c r="CU134" s="113"/>
      <c r="CV134" s="113"/>
      <c r="CW134" s="113"/>
      <c r="CX134" s="113"/>
      <c r="CY134" s="113">
        <f t="shared" si="150"/>
        <v>0</v>
      </c>
      <c r="CZ134" s="113">
        <f t="shared" si="150"/>
        <v>0</v>
      </c>
      <c r="DA134" s="113"/>
      <c r="DB134" s="113"/>
      <c r="DC134" s="113"/>
      <c r="DD134" s="113"/>
      <c r="DE134" s="113">
        <f t="shared" si="151"/>
        <v>0</v>
      </c>
      <c r="DF134" s="113">
        <f t="shared" si="151"/>
        <v>0</v>
      </c>
      <c r="DG134" s="113"/>
      <c r="DH134" s="113"/>
      <c r="DI134" s="113"/>
      <c r="DJ134" s="113"/>
      <c r="DK134" s="113">
        <f t="shared" si="152"/>
        <v>0</v>
      </c>
      <c r="DL134" s="113">
        <f t="shared" si="152"/>
        <v>0</v>
      </c>
      <c r="DM134" s="113">
        <f t="shared" si="159"/>
        <v>0</v>
      </c>
      <c r="DN134" s="113">
        <f t="shared" si="160"/>
        <v>0</v>
      </c>
      <c r="DO134" s="113">
        <f t="shared" si="161"/>
        <v>0</v>
      </c>
      <c r="DP134" s="113">
        <f t="shared" si="162"/>
        <v>0</v>
      </c>
      <c r="DQ134" s="113">
        <f t="shared" si="153"/>
        <v>0</v>
      </c>
      <c r="DR134" s="113">
        <f t="shared" si="153"/>
        <v>0</v>
      </c>
    </row>
    <row r="135" spans="1:122">
      <c r="A135" s="15">
        <v>128</v>
      </c>
      <c r="B135" s="96" t="s">
        <v>1091</v>
      </c>
      <c r="C135" s="187" t="s">
        <v>1148</v>
      </c>
      <c r="D135" s="96" t="s">
        <v>1150</v>
      </c>
      <c r="E135" s="185" t="s">
        <v>1165</v>
      </c>
      <c r="F135" s="161">
        <f t="shared" si="130"/>
        <v>0</v>
      </c>
      <c r="G135" s="161">
        <f t="shared" si="122"/>
        <v>14653.247716453316</v>
      </c>
      <c r="H135" s="161">
        <f t="shared" si="123"/>
        <v>-14653.247716453316</v>
      </c>
      <c r="I135" s="161">
        <f t="shared" si="124"/>
        <v>23051</v>
      </c>
      <c r="J135" s="165">
        <f t="shared" si="154"/>
        <v>0</v>
      </c>
      <c r="K135" s="115">
        <v>15350</v>
      </c>
      <c r="L135" s="211">
        <v>0</v>
      </c>
      <c r="M135" s="211">
        <v>0</v>
      </c>
      <c r="N135" s="127">
        <f t="shared" si="131"/>
        <v>0</v>
      </c>
      <c r="O135" s="127">
        <f t="shared" si="132"/>
        <v>0</v>
      </c>
      <c r="P135" s="127">
        <f t="shared" si="133"/>
        <v>0</v>
      </c>
      <c r="Q135" s="131">
        <f t="shared" si="125"/>
        <v>0</v>
      </c>
      <c r="R135" s="125">
        <f t="shared" si="155"/>
        <v>14653.247716453316</v>
      </c>
      <c r="S135" s="113">
        <v>0</v>
      </c>
      <c r="T135" s="113"/>
      <c r="U135" s="113">
        <f t="shared" si="126"/>
        <v>0</v>
      </c>
      <c r="V135" s="113">
        <f t="shared" si="127"/>
        <v>0</v>
      </c>
      <c r="W135" s="113">
        <v>0</v>
      </c>
      <c r="X135" s="113">
        <v>0</v>
      </c>
      <c r="Y135" s="113">
        <v>0</v>
      </c>
      <c r="Z135" s="113">
        <v>0</v>
      </c>
      <c r="AA135" s="113">
        <f t="shared" si="156"/>
        <v>0</v>
      </c>
      <c r="AB135" s="113">
        <f t="shared" si="156"/>
        <v>0</v>
      </c>
      <c r="AC135" s="113"/>
      <c r="AD135" s="113"/>
      <c r="AE135" s="113"/>
      <c r="AF135" s="113"/>
      <c r="AG135" s="113">
        <f t="shared" si="138"/>
        <v>0</v>
      </c>
      <c r="AH135" s="113">
        <f t="shared" si="138"/>
        <v>0</v>
      </c>
      <c r="AI135" s="114">
        <f t="shared" si="128"/>
        <v>0</v>
      </c>
      <c r="AJ135" s="114">
        <f t="shared" si="139"/>
        <v>0</v>
      </c>
      <c r="AK135" s="114">
        <f t="shared" si="139"/>
        <v>0</v>
      </c>
      <c r="AL135" s="114">
        <f t="shared" si="129"/>
        <v>0</v>
      </c>
      <c r="AM135" s="113">
        <f t="shared" si="140"/>
        <v>0</v>
      </c>
      <c r="AN135" s="113">
        <f t="shared" si="140"/>
        <v>0</v>
      </c>
      <c r="AO135" s="113"/>
      <c r="AP135" s="113"/>
      <c r="AQ135" s="113"/>
      <c r="AR135" s="113"/>
      <c r="AS135" s="113">
        <f t="shared" si="141"/>
        <v>0</v>
      </c>
      <c r="AT135" s="113">
        <f t="shared" si="141"/>
        <v>0</v>
      </c>
      <c r="AU135" s="113"/>
      <c r="AV135" s="113"/>
      <c r="AW135" s="113"/>
      <c r="AX135" s="113"/>
      <c r="AY135" s="113">
        <f t="shared" si="142"/>
        <v>0</v>
      </c>
      <c r="AZ135" s="113">
        <f t="shared" si="142"/>
        <v>0</v>
      </c>
      <c r="BA135" s="113"/>
      <c r="BB135" s="113"/>
      <c r="BC135" s="113"/>
      <c r="BD135" s="113"/>
      <c r="BE135" s="113">
        <f t="shared" si="143"/>
        <v>0</v>
      </c>
      <c r="BF135" s="113"/>
      <c r="BG135" s="113">
        <f t="shared" si="163"/>
        <v>0</v>
      </c>
      <c r="BH135" s="113"/>
      <c r="BI135" s="113"/>
      <c r="BJ135" s="113"/>
      <c r="BK135" s="113"/>
      <c r="BL135" s="113">
        <f t="shared" si="144"/>
        <v>0</v>
      </c>
      <c r="BM135" s="113">
        <v>0</v>
      </c>
      <c r="BN135" s="113">
        <f t="shared" si="164"/>
        <v>0</v>
      </c>
      <c r="BO135" s="113"/>
      <c r="BP135" s="113"/>
      <c r="BQ135" s="113"/>
      <c r="BR135" s="113"/>
      <c r="BS135" s="113">
        <f t="shared" si="145"/>
        <v>0</v>
      </c>
      <c r="BT135" s="113"/>
      <c r="BU135" s="113">
        <f t="shared" si="165"/>
        <v>0</v>
      </c>
      <c r="BV135" s="113"/>
      <c r="BW135" s="113"/>
      <c r="BX135" s="113"/>
      <c r="BY135" s="113"/>
      <c r="BZ135" s="113">
        <f t="shared" si="146"/>
        <v>0</v>
      </c>
      <c r="CA135" s="113">
        <v>23051</v>
      </c>
      <c r="CB135" s="113">
        <f t="shared" si="157"/>
        <v>0</v>
      </c>
      <c r="CC135" s="113"/>
      <c r="CD135" s="113"/>
      <c r="CE135" s="113"/>
      <c r="CF135" s="113">
        <v>14653.247716453316</v>
      </c>
      <c r="CG135" s="113">
        <f t="shared" si="147"/>
        <v>0</v>
      </c>
      <c r="CH135" s="113">
        <f t="shared" si="158"/>
        <v>14653.247716453316</v>
      </c>
      <c r="CI135" s="113"/>
      <c r="CJ135" s="113"/>
      <c r="CK135" s="113"/>
      <c r="CL135" s="113"/>
      <c r="CM135" s="113">
        <f t="shared" si="148"/>
        <v>0</v>
      </c>
      <c r="CN135" s="113">
        <f t="shared" si="148"/>
        <v>0</v>
      </c>
      <c r="CO135" s="113"/>
      <c r="CP135" s="113"/>
      <c r="CQ135" s="113"/>
      <c r="CR135" s="113"/>
      <c r="CS135" s="113">
        <f t="shared" si="149"/>
        <v>0</v>
      </c>
      <c r="CT135" s="113">
        <f t="shared" si="149"/>
        <v>0</v>
      </c>
      <c r="CU135" s="113"/>
      <c r="CV135" s="113"/>
      <c r="CW135" s="113"/>
      <c r="CX135" s="113"/>
      <c r="CY135" s="113">
        <f t="shared" si="150"/>
        <v>0</v>
      </c>
      <c r="CZ135" s="113">
        <f t="shared" si="150"/>
        <v>0</v>
      </c>
      <c r="DA135" s="113"/>
      <c r="DB135" s="113"/>
      <c r="DC135" s="113"/>
      <c r="DD135" s="113"/>
      <c r="DE135" s="113">
        <f t="shared" si="151"/>
        <v>0</v>
      </c>
      <c r="DF135" s="113">
        <f t="shared" si="151"/>
        <v>0</v>
      </c>
      <c r="DG135" s="113"/>
      <c r="DH135" s="113"/>
      <c r="DI135" s="113"/>
      <c r="DJ135" s="113"/>
      <c r="DK135" s="113">
        <f t="shared" si="152"/>
        <v>0</v>
      </c>
      <c r="DL135" s="113">
        <f t="shared" si="152"/>
        <v>0</v>
      </c>
      <c r="DM135" s="113">
        <f t="shared" si="159"/>
        <v>0</v>
      </c>
      <c r="DN135" s="113">
        <f t="shared" si="160"/>
        <v>0</v>
      </c>
      <c r="DO135" s="113">
        <f t="shared" si="161"/>
        <v>0</v>
      </c>
      <c r="DP135" s="113">
        <f t="shared" si="162"/>
        <v>14653.247716453316</v>
      </c>
      <c r="DQ135" s="113">
        <f t="shared" si="153"/>
        <v>0</v>
      </c>
      <c r="DR135" s="113">
        <f t="shared" si="153"/>
        <v>14653.247716453316</v>
      </c>
    </row>
    <row r="136" spans="1:122">
      <c r="A136" s="15">
        <v>129</v>
      </c>
      <c r="B136" s="96" t="s">
        <v>1091</v>
      </c>
      <c r="C136" s="96" t="s">
        <v>1151</v>
      </c>
      <c r="D136" s="96" t="s">
        <v>1152</v>
      </c>
      <c r="E136" s="185" t="s">
        <v>1164</v>
      </c>
      <c r="F136" s="161">
        <f t="shared" ref="F136:F138" si="166">SUM(DQ136)</f>
        <v>0</v>
      </c>
      <c r="G136" s="161">
        <f t="shared" si="122"/>
        <v>0</v>
      </c>
      <c r="H136" s="161">
        <f t="shared" si="123"/>
        <v>0</v>
      </c>
      <c r="I136" s="161">
        <f t="shared" si="124"/>
        <v>0</v>
      </c>
      <c r="J136" s="165">
        <f t="shared" si="154"/>
        <v>0</v>
      </c>
      <c r="K136" s="115"/>
      <c r="L136" s="211">
        <v>0</v>
      </c>
      <c r="M136" s="211">
        <v>0</v>
      </c>
      <c r="N136" s="127">
        <f t="shared" ref="N136:N138" si="167">AN136</f>
        <v>0</v>
      </c>
      <c r="O136" s="127">
        <f t="shared" ref="O136:O138" si="168">IF(AL136&gt;0,L136+AN136-M136,0)</f>
        <v>0</v>
      </c>
      <c r="P136" s="127">
        <f t="shared" ref="P136:P138" si="169">L136+N136</f>
        <v>0</v>
      </c>
      <c r="Q136" s="131">
        <f t="shared" si="125"/>
        <v>0</v>
      </c>
      <c r="R136" s="125" t="str">
        <f t="shared" si="155"/>
        <v>ნულოვანი შესრულება</v>
      </c>
      <c r="S136" s="113">
        <v>0</v>
      </c>
      <c r="T136" s="113"/>
      <c r="U136" s="113">
        <f t="shared" ref="U136:U138" si="170">L136+S136</f>
        <v>0</v>
      </c>
      <c r="V136" s="113">
        <f t="shared" ref="V136:V138" si="171">T136</f>
        <v>0</v>
      </c>
      <c r="W136" s="113">
        <v>0</v>
      </c>
      <c r="X136" s="113">
        <v>0</v>
      </c>
      <c r="Y136" s="113">
        <v>0</v>
      </c>
      <c r="Z136" s="113">
        <v>0</v>
      </c>
      <c r="AA136" s="113">
        <f t="shared" si="156"/>
        <v>0</v>
      </c>
      <c r="AB136" s="113">
        <f t="shared" si="156"/>
        <v>0</v>
      </c>
      <c r="AC136" s="113"/>
      <c r="AD136" s="113"/>
      <c r="AE136" s="113"/>
      <c r="AF136" s="113"/>
      <c r="AG136" s="113">
        <f t="shared" si="138"/>
        <v>0</v>
      </c>
      <c r="AH136" s="113">
        <f t="shared" si="138"/>
        <v>0</v>
      </c>
      <c r="AI136" s="114">
        <f t="shared" ref="AI136:AI138" si="172">S136+W136+AC136</f>
        <v>0</v>
      </c>
      <c r="AJ136" s="114">
        <f t="shared" si="139"/>
        <v>0</v>
      </c>
      <c r="AK136" s="114">
        <f t="shared" si="139"/>
        <v>0</v>
      </c>
      <c r="AL136" s="114">
        <f t="shared" ref="AL136:AL138" si="173">T136+Z136+AF136</f>
        <v>0</v>
      </c>
      <c r="AM136" s="113">
        <f t="shared" si="140"/>
        <v>0</v>
      </c>
      <c r="AN136" s="113">
        <f t="shared" si="140"/>
        <v>0</v>
      </c>
      <c r="AO136" s="113"/>
      <c r="AP136" s="113"/>
      <c r="AQ136" s="113"/>
      <c r="AR136" s="113"/>
      <c r="AS136" s="113">
        <f t="shared" si="141"/>
        <v>0</v>
      </c>
      <c r="AT136" s="113">
        <f t="shared" si="141"/>
        <v>0</v>
      </c>
      <c r="AU136" s="113"/>
      <c r="AV136" s="113"/>
      <c r="AW136" s="113"/>
      <c r="AX136" s="113"/>
      <c r="AY136" s="113">
        <f t="shared" si="142"/>
        <v>0</v>
      </c>
      <c r="AZ136" s="113">
        <f t="shared" si="142"/>
        <v>0</v>
      </c>
      <c r="BA136" s="113"/>
      <c r="BB136" s="113"/>
      <c r="BC136" s="113"/>
      <c r="BD136" s="113"/>
      <c r="BE136" s="113">
        <f t="shared" si="143"/>
        <v>0</v>
      </c>
      <c r="BF136" s="113"/>
      <c r="BG136" s="113">
        <f t="shared" si="163"/>
        <v>0</v>
      </c>
      <c r="BH136" s="113"/>
      <c r="BI136" s="113"/>
      <c r="BJ136" s="113"/>
      <c r="BK136" s="113"/>
      <c r="BL136" s="113">
        <f t="shared" si="144"/>
        <v>0</v>
      </c>
      <c r="BM136" s="113">
        <v>0</v>
      </c>
      <c r="BN136" s="113">
        <f t="shared" si="164"/>
        <v>0</v>
      </c>
      <c r="BO136" s="113"/>
      <c r="BP136" s="113"/>
      <c r="BQ136" s="113"/>
      <c r="BR136" s="113"/>
      <c r="BS136" s="113">
        <f t="shared" si="145"/>
        <v>0</v>
      </c>
      <c r="BT136" s="113"/>
      <c r="BU136" s="113">
        <f t="shared" si="165"/>
        <v>0</v>
      </c>
      <c r="BV136" s="113"/>
      <c r="BW136" s="113"/>
      <c r="BX136" s="113"/>
      <c r="BY136" s="113"/>
      <c r="BZ136" s="113">
        <f t="shared" si="146"/>
        <v>0</v>
      </c>
      <c r="CA136" s="113"/>
      <c r="CB136" s="113">
        <f t="shared" si="157"/>
        <v>0</v>
      </c>
      <c r="CC136" s="113"/>
      <c r="CD136" s="113"/>
      <c r="CE136" s="113"/>
      <c r="CF136" s="113"/>
      <c r="CG136" s="113">
        <f t="shared" si="147"/>
        <v>0</v>
      </c>
      <c r="CH136" s="113">
        <f t="shared" si="158"/>
        <v>0</v>
      </c>
      <c r="CI136" s="113"/>
      <c r="CJ136" s="113"/>
      <c r="CK136" s="113"/>
      <c r="CL136" s="113"/>
      <c r="CM136" s="113">
        <f t="shared" si="148"/>
        <v>0</v>
      </c>
      <c r="CN136" s="113">
        <f t="shared" si="148"/>
        <v>0</v>
      </c>
      <c r="CO136" s="113"/>
      <c r="CP136" s="113"/>
      <c r="CQ136" s="113"/>
      <c r="CR136" s="113"/>
      <c r="CS136" s="113">
        <f t="shared" si="149"/>
        <v>0</v>
      </c>
      <c r="CT136" s="113">
        <f t="shared" si="149"/>
        <v>0</v>
      </c>
      <c r="CU136" s="113"/>
      <c r="CV136" s="113"/>
      <c r="CW136" s="113"/>
      <c r="CX136" s="113"/>
      <c r="CY136" s="113">
        <f t="shared" si="150"/>
        <v>0</v>
      </c>
      <c r="CZ136" s="113">
        <f t="shared" si="150"/>
        <v>0</v>
      </c>
      <c r="DA136" s="113"/>
      <c r="DB136" s="113"/>
      <c r="DC136" s="113"/>
      <c r="DD136" s="113"/>
      <c r="DE136" s="113">
        <f t="shared" si="151"/>
        <v>0</v>
      </c>
      <c r="DF136" s="113">
        <f t="shared" si="151"/>
        <v>0</v>
      </c>
      <c r="DG136" s="113"/>
      <c r="DH136" s="113"/>
      <c r="DI136" s="113"/>
      <c r="DJ136" s="113"/>
      <c r="DK136" s="113">
        <f t="shared" si="152"/>
        <v>0</v>
      </c>
      <c r="DL136" s="113">
        <f t="shared" si="152"/>
        <v>0</v>
      </c>
      <c r="DM136" s="113">
        <f t="shared" si="159"/>
        <v>0</v>
      </c>
      <c r="DN136" s="113">
        <f t="shared" si="160"/>
        <v>0</v>
      </c>
      <c r="DO136" s="113">
        <f t="shared" si="161"/>
        <v>0</v>
      </c>
      <c r="DP136" s="113">
        <f t="shared" si="162"/>
        <v>0</v>
      </c>
      <c r="DQ136" s="113">
        <f t="shared" si="153"/>
        <v>0</v>
      </c>
      <c r="DR136" s="113">
        <f t="shared" si="153"/>
        <v>0</v>
      </c>
    </row>
    <row r="137" spans="1:122">
      <c r="A137" s="15">
        <v>130</v>
      </c>
      <c r="B137" s="96" t="s">
        <v>1091</v>
      </c>
      <c r="C137" s="187" t="s">
        <v>1151</v>
      </c>
      <c r="D137" s="96" t="s">
        <v>1153</v>
      </c>
      <c r="E137" s="96" t="s">
        <v>1165</v>
      </c>
      <c r="F137" s="131">
        <f t="shared" si="166"/>
        <v>22000</v>
      </c>
      <c r="G137" s="161">
        <f t="shared" si="122"/>
        <v>21000</v>
      </c>
      <c r="H137" s="161">
        <f t="shared" si="123"/>
        <v>1000</v>
      </c>
      <c r="I137" s="161">
        <f t="shared" si="124"/>
        <v>113</v>
      </c>
      <c r="J137" s="283">
        <f t="shared" si="154"/>
        <v>22000</v>
      </c>
      <c r="K137" s="115">
        <v>5950</v>
      </c>
      <c r="L137" s="211">
        <v>0</v>
      </c>
      <c r="M137" s="211">
        <v>0</v>
      </c>
      <c r="N137" s="127">
        <f t="shared" si="167"/>
        <v>0</v>
      </c>
      <c r="O137" s="127">
        <f t="shared" si="168"/>
        <v>0</v>
      </c>
      <c r="P137" s="131">
        <f t="shared" si="169"/>
        <v>0</v>
      </c>
      <c r="Q137" s="131">
        <f t="shared" si="125"/>
        <v>22000</v>
      </c>
      <c r="R137" s="131" t="str">
        <f t="shared" si="155"/>
        <v>მიმდინარეობს</v>
      </c>
      <c r="S137" s="113">
        <v>0</v>
      </c>
      <c r="T137" s="113"/>
      <c r="U137" s="113">
        <f t="shared" si="170"/>
        <v>0</v>
      </c>
      <c r="V137" s="113">
        <f t="shared" si="171"/>
        <v>0</v>
      </c>
      <c r="W137" s="113">
        <v>0</v>
      </c>
      <c r="X137" s="113">
        <v>0</v>
      </c>
      <c r="Y137" s="113">
        <v>0</v>
      </c>
      <c r="Z137" s="113">
        <v>0</v>
      </c>
      <c r="AA137" s="113">
        <f t="shared" si="156"/>
        <v>0</v>
      </c>
      <c r="AB137" s="113">
        <f t="shared" si="156"/>
        <v>0</v>
      </c>
      <c r="AC137" s="113"/>
      <c r="AD137" s="113"/>
      <c r="AE137" s="113"/>
      <c r="AF137" s="113"/>
      <c r="AG137" s="113">
        <f t="shared" si="138"/>
        <v>0</v>
      </c>
      <c r="AH137" s="113">
        <f t="shared" si="138"/>
        <v>0</v>
      </c>
      <c r="AI137" s="114">
        <f t="shared" si="172"/>
        <v>0</v>
      </c>
      <c r="AJ137" s="114">
        <f t="shared" si="139"/>
        <v>0</v>
      </c>
      <c r="AK137" s="114">
        <f t="shared" si="139"/>
        <v>0</v>
      </c>
      <c r="AL137" s="114">
        <f t="shared" si="173"/>
        <v>0</v>
      </c>
      <c r="AM137" s="113">
        <f t="shared" si="140"/>
        <v>0</v>
      </c>
      <c r="AN137" s="113">
        <f t="shared" si="140"/>
        <v>0</v>
      </c>
      <c r="AO137" s="113"/>
      <c r="AP137" s="113"/>
      <c r="AQ137" s="113"/>
      <c r="AR137" s="113"/>
      <c r="AS137" s="113">
        <f t="shared" si="141"/>
        <v>0</v>
      </c>
      <c r="AT137" s="113">
        <f t="shared" si="141"/>
        <v>0</v>
      </c>
      <c r="AU137" s="113">
        <v>22000</v>
      </c>
      <c r="AV137" s="113">
        <v>21000</v>
      </c>
      <c r="AW137" s="113"/>
      <c r="AX137" s="113"/>
      <c r="AY137" s="113">
        <f t="shared" si="142"/>
        <v>22000</v>
      </c>
      <c r="AZ137" s="113">
        <f t="shared" si="142"/>
        <v>21000</v>
      </c>
      <c r="BA137" s="113"/>
      <c r="BB137" s="113"/>
      <c r="BC137" s="113"/>
      <c r="BD137" s="113"/>
      <c r="BE137" s="113">
        <f t="shared" si="143"/>
        <v>0</v>
      </c>
      <c r="BF137" s="113"/>
      <c r="BG137" s="113">
        <f t="shared" si="163"/>
        <v>0</v>
      </c>
      <c r="BH137" s="113"/>
      <c r="BI137" s="113"/>
      <c r="BJ137" s="113"/>
      <c r="BK137" s="113"/>
      <c r="BL137" s="113">
        <f t="shared" si="144"/>
        <v>0</v>
      </c>
      <c r="BM137" s="113">
        <v>113</v>
      </c>
      <c r="BN137" s="113">
        <f t="shared" si="164"/>
        <v>0</v>
      </c>
      <c r="BO137" s="113"/>
      <c r="BP137" s="113"/>
      <c r="BQ137" s="113"/>
      <c r="BR137" s="113"/>
      <c r="BS137" s="113">
        <f t="shared" si="145"/>
        <v>0</v>
      </c>
      <c r="BT137" s="113"/>
      <c r="BU137" s="113">
        <f t="shared" si="165"/>
        <v>0</v>
      </c>
      <c r="BV137" s="113"/>
      <c r="BW137" s="113"/>
      <c r="BX137" s="113"/>
      <c r="BY137" s="113"/>
      <c r="BZ137" s="113">
        <f t="shared" si="146"/>
        <v>0</v>
      </c>
      <c r="CA137" s="113"/>
      <c r="CB137" s="113">
        <f t="shared" si="157"/>
        <v>0</v>
      </c>
      <c r="CC137" s="113"/>
      <c r="CD137" s="113"/>
      <c r="CE137" s="113"/>
      <c r="CF137" s="113"/>
      <c r="CG137" s="113">
        <f t="shared" si="147"/>
        <v>0</v>
      </c>
      <c r="CH137" s="113">
        <f t="shared" si="158"/>
        <v>0</v>
      </c>
      <c r="CI137" s="113"/>
      <c r="CJ137" s="113"/>
      <c r="CK137" s="113"/>
      <c r="CL137" s="113"/>
      <c r="CM137" s="113">
        <f t="shared" si="148"/>
        <v>0</v>
      </c>
      <c r="CN137" s="113">
        <f t="shared" si="148"/>
        <v>0</v>
      </c>
      <c r="CO137" s="113"/>
      <c r="CP137" s="113"/>
      <c r="CQ137" s="113"/>
      <c r="CR137" s="113"/>
      <c r="CS137" s="113">
        <f t="shared" si="149"/>
        <v>0</v>
      </c>
      <c r="CT137" s="113">
        <f t="shared" si="149"/>
        <v>0</v>
      </c>
      <c r="CU137" s="113"/>
      <c r="CV137" s="113"/>
      <c r="CW137" s="113"/>
      <c r="CX137" s="113"/>
      <c r="CY137" s="113">
        <f t="shared" si="150"/>
        <v>0</v>
      </c>
      <c r="CZ137" s="113">
        <f t="shared" si="150"/>
        <v>0</v>
      </c>
      <c r="DA137" s="113"/>
      <c r="DB137" s="113"/>
      <c r="DC137" s="113"/>
      <c r="DD137" s="113"/>
      <c r="DE137" s="113">
        <f t="shared" si="151"/>
        <v>0</v>
      </c>
      <c r="DF137" s="113">
        <f t="shared" si="151"/>
        <v>0</v>
      </c>
      <c r="DG137" s="113"/>
      <c r="DH137" s="113"/>
      <c r="DI137" s="113"/>
      <c r="DJ137" s="113"/>
      <c r="DK137" s="113">
        <f t="shared" si="152"/>
        <v>0</v>
      </c>
      <c r="DL137" s="113">
        <f t="shared" si="152"/>
        <v>0</v>
      </c>
      <c r="DM137" s="113">
        <f t="shared" si="159"/>
        <v>22000</v>
      </c>
      <c r="DN137" s="113">
        <f t="shared" si="160"/>
        <v>21000</v>
      </c>
      <c r="DO137" s="113">
        <f t="shared" si="161"/>
        <v>0</v>
      </c>
      <c r="DP137" s="113">
        <f t="shared" si="162"/>
        <v>0</v>
      </c>
      <c r="DQ137" s="113">
        <f t="shared" si="153"/>
        <v>22000</v>
      </c>
      <c r="DR137" s="113">
        <f t="shared" si="153"/>
        <v>21000</v>
      </c>
    </row>
    <row r="138" spans="1:122">
      <c r="A138" s="15">
        <v>131</v>
      </c>
      <c r="B138" s="96" t="s">
        <v>683</v>
      </c>
      <c r="C138" s="187" t="s">
        <v>1154</v>
      </c>
      <c r="D138" s="96" t="s">
        <v>1155</v>
      </c>
      <c r="E138" s="185" t="s">
        <v>1165</v>
      </c>
      <c r="F138" s="161">
        <f t="shared" si="166"/>
        <v>0</v>
      </c>
      <c r="G138" s="161">
        <f t="shared" ref="G138:G140" si="174">AT138+AZ138+BG138+BN138+BU138+CB138+CH138+CN138+CT138+CZ138+DF138+DL138</f>
        <v>936798.09</v>
      </c>
      <c r="H138" s="161">
        <f t="shared" ref="H138:H140" si="175">F138-G138</f>
        <v>-936798.09</v>
      </c>
      <c r="I138" s="161">
        <f t="shared" ref="I138:I140" si="176">BF138+BM138+BT138+CA138</f>
        <v>10984.860000000335</v>
      </c>
      <c r="J138" s="165">
        <f t="shared" si="154"/>
        <v>6259015.1399999997</v>
      </c>
      <c r="K138" s="115">
        <v>4040953.44</v>
      </c>
      <c r="L138" s="211">
        <f>5564755.34+16133.6+18706.4</f>
        <v>5599595.3399999999</v>
      </c>
      <c r="M138" s="211">
        <f>2938855.24+661030.75+642035.75</f>
        <v>4241921.74</v>
      </c>
      <c r="N138" s="127">
        <f t="shared" si="167"/>
        <v>659419.80000000005</v>
      </c>
      <c r="O138" s="127">
        <f t="shared" si="168"/>
        <v>0</v>
      </c>
      <c r="P138" s="127">
        <f t="shared" si="169"/>
        <v>6259015.1399999997</v>
      </c>
      <c r="Q138" s="131">
        <f t="shared" ref="Q138:Q140" si="177">J138-P138</f>
        <v>0</v>
      </c>
      <c r="R138" s="125">
        <f t="shared" si="155"/>
        <v>7195813.2299999995</v>
      </c>
      <c r="S138" s="113">
        <v>600000</v>
      </c>
      <c r="T138" s="113"/>
      <c r="U138" s="113">
        <f t="shared" si="170"/>
        <v>6199595.3399999999</v>
      </c>
      <c r="V138" s="113">
        <f t="shared" si="171"/>
        <v>0</v>
      </c>
      <c r="W138" s="113">
        <v>0</v>
      </c>
      <c r="X138" s="113">
        <v>0</v>
      </c>
      <c r="Y138" s="113">
        <v>0</v>
      </c>
      <c r="Z138" s="113">
        <v>0</v>
      </c>
      <c r="AA138" s="113">
        <f t="shared" si="156"/>
        <v>0</v>
      </c>
      <c r="AB138" s="113">
        <f t="shared" si="156"/>
        <v>0</v>
      </c>
      <c r="AC138" s="113"/>
      <c r="AD138" s="113">
        <f>60.02+1020.34+58339.44</f>
        <v>59419.8</v>
      </c>
      <c r="AE138" s="113"/>
      <c r="AF138" s="113"/>
      <c r="AG138" s="113">
        <f t="shared" ref="AG138:AH138" si="178">AC138+AE138</f>
        <v>0</v>
      </c>
      <c r="AH138" s="113">
        <f t="shared" si="178"/>
        <v>59419.8</v>
      </c>
      <c r="AI138" s="114">
        <f t="shared" si="172"/>
        <v>600000</v>
      </c>
      <c r="AJ138" s="114">
        <f t="shared" ref="AJ138:AK138" si="179">S138+X138+AD138</f>
        <v>659419.80000000005</v>
      </c>
      <c r="AK138" s="114">
        <f t="shared" si="179"/>
        <v>0</v>
      </c>
      <c r="AL138" s="114">
        <f t="shared" si="173"/>
        <v>0</v>
      </c>
      <c r="AM138" s="113">
        <f t="shared" ref="AM138:AN138" si="180">AI138+AK138</f>
        <v>600000</v>
      </c>
      <c r="AN138" s="113">
        <f t="shared" si="180"/>
        <v>659419.80000000005</v>
      </c>
      <c r="AO138" s="113"/>
      <c r="AP138" s="113"/>
      <c r="AQ138" s="113"/>
      <c r="AR138" s="113"/>
      <c r="AS138" s="113">
        <f t="shared" ref="AS138:AT138" si="181">AO138+AQ138</f>
        <v>0</v>
      </c>
      <c r="AT138" s="113">
        <f t="shared" si="181"/>
        <v>0</v>
      </c>
      <c r="AU138" s="113"/>
      <c r="AV138" s="113">
        <v>450000</v>
      </c>
      <c r="AW138" s="113"/>
      <c r="AX138" s="113"/>
      <c r="AY138" s="113">
        <f t="shared" ref="AY138:AZ138" si="182">AU138+AW138</f>
        <v>0</v>
      </c>
      <c r="AZ138" s="113">
        <f t="shared" si="182"/>
        <v>450000</v>
      </c>
      <c r="BA138" s="113"/>
      <c r="BB138" s="113"/>
      <c r="BC138" s="113"/>
      <c r="BD138" s="113"/>
      <c r="BE138" s="113">
        <f t="shared" ref="BE138" si="183">BA138+BC138</f>
        <v>0</v>
      </c>
      <c r="BF138" s="113">
        <v>10984.860000000335</v>
      </c>
      <c r="BG138" s="113">
        <f t="shared" si="163"/>
        <v>0</v>
      </c>
      <c r="BH138" s="113"/>
      <c r="BI138" s="113"/>
      <c r="BJ138" s="113"/>
      <c r="BK138" s="113"/>
      <c r="BL138" s="113">
        <f t="shared" ref="BL138" si="184">BH138+BJ138</f>
        <v>0</v>
      </c>
      <c r="BM138" s="113">
        <v>0</v>
      </c>
      <c r="BN138" s="113">
        <f t="shared" si="164"/>
        <v>0</v>
      </c>
      <c r="BO138" s="113"/>
      <c r="BP138" s="113">
        <v>300000</v>
      </c>
      <c r="BQ138" s="113"/>
      <c r="BR138" s="113"/>
      <c r="BS138" s="113">
        <f t="shared" ref="BS138" si="185">BO138+BQ138</f>
        <v>0</v>
      </c>
      <c r="BT138" s="113"/>
      <c r="BU138" s="113">
        <f t="shared" si="165"/>
        <v>300000</v>
      </c>
      <c r="BV138" s="113"/>
      <c r="BW138" s="113"/>
      <c r="BX138" s="113"/>
      <c r="BY138" s="113"/>
      <c r="BZ138" s="113">
        <f t="shared" ref="BZ138" si="186">BV138+BX138</f>
        <v>0</v>
      </c>
      <c r="CA138" s="113"/>
      <c r="CB138" s="113">
        <f t="shared" si="157"/>
        <v>0</v>
      </c>
      <c r="CC138" s="113"/>
      <c r="CD138" s="113">
        <v>107957.5</v>
      </c>
      <c r="CE138" s="113"/>
      <c r="CF138" s="113"/>
      <c r="CG138" s="113">
        <f t="shared" ref="CG138" si="187">CC138+CE138</f>
        <v>0</v>
      </c>
      <c r="CH138" s="113">
        <f t="shared" si="158"/>
        <v>107957.5</v>
      </c>
      <c r="CI138" s="113"/>
      <c r="CJ138" s="113"/>
      <c r="CK138" s="113"/>
      <c r="CL138" s="113">
        <f>52459.72+8014.15</f>
        <v>60473.87</v>
      </c>
      <c r="CM138" s="113">
        <f t="shared" ref="CM138:CN138" si="188">CI138+CK138</f>
        <v>0</v>
      </c>
      <c r="CN138" s="113">
        <f t="shared" si="188"/>
        <v>60473.87</v>
      </c>
      <c r="CO138" s="113"/>
      <c r="CP138" s="113"/>
      <c r="CQ138" s="113"/>
      <c r="CR138" s="113">
        <v>18366.72</v>
      </c>
      <c r="CS138" s="113">
        <f t="shared" ref="CS138:CT138" si="189">CO138+CQ138</f>
        <v>0</v>
      </c>
      <c r="CT138" s="113">
        <f t="shared" si="189"/>
        <v>18366.72</v>
      </c>
      <c r="CU138" s="113"/>
      <c r="CV138" s="113"/>
      <c r="CW138" s="113"/>
      <c r="CX138" s="113"/>
      <c r="CY138" s="113">
        <f t="shared" ref="CY138:CZ138" si="190">CU138+CW138</f>
        <v>0</v>
      </c>
      <c r="CZ138" s="113">
        <f t="shared" si="190"/>
        <v>0</v>
      </c>
      <c r="DA138" s="113"/>
      <c r="DB138" s="113"/>
      <c r="DC138" s="113"/>
      <c r="DD138" s="113"/>
      <c r="DE138" s="113">
        <f t="shared" ref="DE138:DF138" si="191">DA138+DC138</f>
        <v>0</v>
      </c>
      <c r="DF138" s="113">
        <f t="shared" si="191"/>
        <v>0</v>
      </c>
      <c r="DG138" s="113"/>
      <c r="DH138" s="113"/>
      <c r="DI138" s="113"/>
      <c r="DJ138" s="113"/>
      <c r="DK138" s="113">
        <f t="shared" ref="DK138:DL138" si="192">DG138+DI138</f>
        <v>0</v>
      </c>
      <c r="DL138" s="113">
        <f t="shared" si="192"/>
        <v>0</v>
      </c>
      <c r="DM138" s="113">
        <f t="shared" si="159"/>
        <v>0</v>
      </c>
      <c r="DN138" s="113">
        <f t="shared" si="160"/>
        <v>857957.5</v>
      </c>
      <c r="DO138" s="113">
        <f t="shared" si="161"/>
        <v>0</v>
      </c>
      <c r="DP138" s="113">
        <f t="shared" si="162"/>
        <v>78840.59</v>
      </c>
      <c r="DQ138" s="113">
        <f t="shared" ref="DQ138:DR138" si="193">DM138+DO138</f>
        <v>0</v>
      </c>
      <c r="DR138" s="113">
        <f t="shared" si="193"/>
        <v>936798.09</v>
      </c>
    </row>
    <row r="139" spans="1:122">
      <c r="A139" s="15">
        <v>132</v>
      </c>
      <c r="B139" s="96" t="s">
        <v>963</v>
      </c>
      <c r="C139" s="187"/>
      <c r="D139" s="96" t="s">
        <v>1233</v>
      </c>
      <c r="E139" s="185" t="s">
        <v>1257</v>
      </c>
      <c r="F139" s="161">
        <f t="shared" ref="F139:F140" si="194">SUM(DQ139)</f>
        <v>100000</v>
      </c>
      <c r="G139" s="161">
        <f t="shared" si="174"/>
        <v>101207.93</v>
      </c>
      <c r="H139" s="161">
        <f t="shared" si="175"/>
        <v>-1207.929999999993</v>
      </c>
      <c r="I139" s="161">
        <f t="shared" si="176"/>
        <v>0</v>
      </c>
      <c r="J139" s="165">
        <f t="shared" si="154"/>
        <v>100000</v>
      </c>
      <c r="K139" s="115">
        <v>4040953.44</v>
      </c>
      <c r="L139" s="211">
        <v>0</v>
      </c>
      <c r="M139" s="211">
        <v>0</v>
      </c>
      <c r="N139" s="127">
        <f t="shared" ref="N139:N140" si="195">AN139</f>
        <v>0</v>
      </c>
      <c r="O139" s="127">
        <f t="shared" ref="O139:O140" si="196">IF(AL139&gt;0,L139+AN139-M139,0)</f>
        <v>0</v>
      </c>
      <c r="P139" s="127">
        <f t="shared" ref="P139:P140" si="197">L139+N139</f>
        <v>0</v>
      </c>
      <c r="Q139" s="131">
        <f t="shared" si="177"/>
        <v>100000</v>
      </c>
      <c r="R139" s="125">
        <f t="shared" si="155"/>
        <v>101207.93</v>
      </c>
      <c r="S139" s="113">
        <v>0</v>
      </c>
      <c r="T139" s="113"/>
      <c r="U139" s="113">
        <f t="shared" ref="U139:U140" si="198">L139+S139</f>
        <v>0</v>
      </c>
      <c r="V139" s="113">
        <f t="shared" ref="V139" si="199">T139</f>
        <v>0</v>
      </c>
      <c r="W139" s="113">
        <v>0</v>
      </c>
      <c r="X139" s="113">
        <v>0</v>
      </c>
      <c r="Y139" s="113">
        <v>0</v>
      </c>
      <c r="Z139" s="113">
        <v>0</v>
      </c>
      <c r="AA139" s="113">
        <f t="shared" ref="AA139" si="200">W139+Y139</f>
        <v>0</v>
      </c>
      <c r="AB139" s="113">
        <f t="shared" ref="AB139" si="201">X139+Z139</f>
        <v>0</v>
      </c>
      <c r="AC139" s="113"/>
      <c r="AD139" s="113">
        <v>0</v>
      </c>
      <c r="AE139" s="113"/>
      <c r="AF139" s="113"/>
      <c r="AG139" s="113">
        <f t="shared" ref="AG139" si="202">AC139+AE139</f>
        <v>0</v>
      </c>
      <c r="AH139" s="113">
        <f t="shared" ref="AH139" si="203">AD139+AF139</f>
        <v>0</v>
      </c>
      <c r="AI139" s="114">
        <f t="shared" ref="AI139" si="204">S139+W139+AC139</f>
        <v>0</v>
      </c>
      <c r="AJ139" s="114">
        <f t="shared" ref="AJ139" si="205">S139+X139+AD139</f>
        <v>0</v>
      </c>
      <c r="AK139" s="114">
        <f t="shared" ref="AK139" si="206">T139+Y139+AE139</f>
        <v>0</v>
      </c>
      <c r="AL139" s="114">
        <f t="shared" ref="AL139" si="207">T139+Z139+AF139</f>
        <v>0</v>
      </c>
      <c r="AM139" s="113">
        <f t="shared" ref="AM139" si="208">AI139+AK139</f>
        <v>0</v>
      </c>
      <c r="AN139" s="113">
        <f t="shared" ref="AN139" si="209">AJ139+AL139</f>
        <v>0</v>
      </c>
      <c r="AO139" s="113"/>
      <c r="AP139" s="113"/>
      <c r="AQ139" s="113">
        <v>100000</v>
      </c>
      <c r="AR139" s="113"/>
      <c r="AS139" s="113">
        <f t="shared" ref="AS139" si="210">AO139+AQ139</f>
        <v>100000</v>
      </c>
      <c r="AT139" s="113">
        <f t="shared" ref="AT139" si="211">AP139+AR139</f>
        <v>0</v>
      </c>
      <c r="AU139" s="113"/>
      <c r="AV139" s="113">
        <v>100000</v>
      </c>
      <c r="AW139" s="113"/>
      <c r="AX139" s="113"/>
      <c r="AY139" s="113">
        <f t="shared" ref="AY139:AY140" si="212">AU139+AW139</f>
        <v>0</v>
      </c>
      <c r="AZ139" s="113">
        <f t="shared" ref="AZ139:AZ140" si="213">AV139+AX139</f>
        <v>100000</v>
      </c>
      <c r="BA139" s="113"/>
      <c r="BB139" s="113"/>
      <c r="BC139" s="113"/>
      <c r="BD139" s="113"/>
      <c r="BE139" s="113">
        <f t="shared" ref="BE139" si="214">BA139+BC139</f>
        <v>0</v>
      </c>
      <c r="BF139" s="113"/>
      <c r="BG139" s="113">
        <f t="shared" ref="BG139" si="215">BB139+BD139</f>
        <v>0</v>
      </c>
      <c r="BH139" s="113"/>
      <c r="BI139" s="113"/>
      <c r="BJ139" s="113"/>
      <c r="BK139" s="113"/>
      <c r="BL139" s="113">
        <f t="shared" ref="BL139" si="216">BH139+BJ139</f>
        <v>0</v>
      </c>
      <c r="BM139" s="113">
        <v>0</v>
      </c>
      <c r="BN139" s="113">
        <f t="shared" ref="BN139" si="217">BI139+BK139</f>
        <v>0</v>
      </c>
      <c r="BO139" s="113"/>
      <c r="BP139" s="113"/>
      <c r="BQ139" s="113"/>
      <c r="BR139" s="113"/>
      <c r="BS139" s="113">
        <f t="shared" ref="BS139" si="218">BO139+BQ139</f>
        <v>0</v>
      </c>
      <c r="BT139" s="113"/>
      <c r="BU139" s="113">
        <f t="shared" ref="BU139:BU140" si="219">BP139+BR139</f>
        <v>0</v>
      </c>
      <c r="BV139" s="113"/>
      <c r="BW139" s="113"/>
      <c r="BX139" s="113"/>
      <c r="BY139" s="113"/>
      <c r="BZ139" s="113">
        <f t="shared" ref="BZ139" si="220">BV139+BX139</f>
        <v>0</v>
      </c>
      <c r="CA139" s="113"/>
      <c r="CB139" s="113">
        <f t="shared" si="157"/>
        <v>0</v>
      </c>
      <c r="CC139" s="113"/>
      <c r="CD139" s="113"/>
      <c r="CE139" s="113"/>
      <c r="CF139" s="113"/>
      <c r="CG139" s="113">
        <f t="shared" ref="CG139" si="221">CC139+CE139</f>
        <v>0</v>
      </c>
      <c r="CH139" s="113">
        <f t="shared" si="158"/>
        <v>0</v>
      </c>
      <c r="CI139" s="113"/>
      <c r="CJ139" s="113"/>
      <c r="CK139" s="113"/>
      <c r="CL139" s="113"/>
      <c r="CM139" s="113">
        <f t="shared" ref="CM139" si="222">CI139+CK139</f>
        <v>0</v>
      </c>
      <c r="CN139" s="113">
        <f t="shared" ref="CN139" si="223">CJ139+CL139</f>
        <v>0</v>
      </c>
      <c r="CO139" s="113"/>
      <c r="CP139" s="113"/>
      <c r="CQ139" s="113"/>
      <c r="CR139" s="113"/>
      <c r="CS139" s="113">
        <f t="shared" ref="CS139" si="224">CO139+CQ139</f>
        <v>0</v>
      </c>
      <c r="CT139" s="113">
        <f t="shared" ref="CT139" si="225">CP139+CR139</f>
        <v>0</v>
      </c>
      <c r="CU139" s="113"/>
      <c r="CV139" s="113"/>
      <c r="CW139" s="113"/>
      <c r="CX139" s="113">
        <v>1207.93</v>
      </c>
      <c r="CY139" s="113">
        <f t="shared" ref="CY139" si="226">CU139+CW139</f>
        <v>0</v>
      </c>
      <c r="CZ139" s="113">
        <f t="shared" ref="CZ139" si="227">CV139+CX139</f>
        <v>1207.93</v>
      </c>
      <c r="DA139" s="113"/>
      <c r="DB139" s="113"/>
      <c r="DC139" s="113"/>
      <c r="DD139" s="113"/>
      <c r="DE139" s="113">
        <f t="shared" ref="DE139" si="228">DA139+DC139</f>
        <v>0</v>
      </c>
      <c r="DF139" s="113">
        <f t="shared" ref="DF139" si="229">DB139+DD139</f>
        <v>0</v>
      </c>
      <c r="DG139" s="113"/>
      <c r="DH139" s="113"/>
      <c r="DI139" s="113"/>
      <c r="DJ139" s="113"/>
      <c r="DK139" s="113">
        <f t="shared" ref="DK139" si="230">DG139+DI139</f>
        <v>0</v>
      </c>
      <c r="DL139" s="113">
        <f t="shared" ref="DL139" si="231">DH139+DJ139</f>
        <v>0</v>
      </c>
      <c r="DM139" s="113">
        <f t="shared" si="159"/>
        <v>0</v>
      </c>
      <c r="DN139" s="113">
        <f t="shared" si="160"/>
        <v>100000</v>
      </c>
      <c r="DO139" s="113">
        <f t="shared" si="161"/>
        <v>100000</v>
      </c>
      <c r="DP139" s="113">
        <f t="shared" si="162"/>
        <v>1207.93</v>
      </c>
      <c r="DQ139" s="113">
        <f t="shared" ref="DQ139" si="232">DM139+DO139</f>
        <v>100000</v>
      </c>
      <c r="DR139" s="113">
        <f t="shared" ref="DR139" si="233">DN139+DP139</f>
        <v>101207.93</v>
      </c>
    </row>
    <row r="140" spans="1:122">
      <c r="A140" s="15">
        <v>133</v>
      </c>
      <c r="B140" s="96" t="s">
        <v>1091</v>
      </c>
      <c r="C140" s="187"/>
      <c r="D140" s="96" t="s">
        <v>1256</v>
      </c>
      <c r="E140" s="185" t="s">
        <v>1257</v>
      </c>
      <c r="F140" s="161">
        <f t="shared" si="194"/>
        <v>0</v>
      </c>
      <c r="G140" s="161">
        <f t="shared" si="174"/>
        <v>0</v>
      </c>
      <c r="H140" s="161">
        <f t="shared" si="175"/>
        <v>0</v>
      </c>
      <c r="I140" s="161">
        <f t="shared" si="176"/>
        <v>0</v>
      </c>
      <c r="J140" s="165">
        <f t="shared" si="154"/>
        <v>0</v>
      </c>
      <c r="K140" s="115"/>
      <c r="L140" s="211">
        <v>0</v>
      </c>
      <c r="M140" s="211">
        <v>0</v>
      </c>
      <c r="N140" s="127">
        <f t="shared" si="195"/>
        <v>0</v>
      </c>
      <c r="O140" s="127">
        <f t="shared" si="196"/>
        <v>0</v>
      </c>
      <c r="P140" s="127">
        <f t="shared" si="197"/>
        <v>0</v>
      </c>
      <c r="Q140" s="131">
        <f t="shared" si="177"/>
        <v>0</v>
      </c>
      <c r="R140" s="125" t="str">
        <f t="shared" si="155"/>
        <v>ნულოვანი შესრულება</v>
      </c>
      <c r="S140" s="113">
        <v>0</v>
      </c>
      <c r="T140" s="113"/>
      <c r="U140" s="113">
        <f t="shared" si="198"/>
        <v>0</v>
      </c>
      <c r="V140" s="113">
        <f t="shared" ref="V140" si="234">T140</f>
        <v>0</v>
      </c>
      <c r="W140" s="113">
        <v>0</v>
      </c>
      <c r="X140" s="113">
        <v>0</v>
      </c>
      <c r="Y140" s="113">
        <v>0</v>
      </c>
      <c r="Z140" s="113">
        <v>0</v>
      </c>
      <c r="AA140" s="113">
        <f t="shared" ref="AA140" si="235">W140+Y140</f>
        <v>0</v>
      </c>
      <c r="AB140" s="113">
        <f t="shared" ref="AB140" si="236">X140+Z140</f>
        <v>0</v>
      </c>
      <c r="AC140" s="113"/>
      <c r="AD140" s="113">
        <v>0</v>
      </c>
      <c r="AE140" s="113"/>
      <c r="AF140" s="113"/>
      <c r="AG140" s="113">
        <f t="shared" ref="AG140" si="237">AC140+AE140</f>
        <v>0</v>
      </c>
      <c r="AH140" s="113">
        <f t="shared" ref="AH140" si="238">AD140+AF140</f>
        <v>0</v>
      </c>
      <c r="AI140" s="114">
        <f t="shared" ref="AI140" si="239">S140+W140+AC140</f>
        <v>0</v>
      </c>
      <c r="AJ140" s="114">
        <f t="shared" ref="AJ140" si="240">S140+X140+AD140</f>
        <v>0</v>
      </c>
      <c r="AK140" s="114">
        <f t="shared" ref="AK140" si="241">T140+Y140+AE140</f>
        <v>0</v>
      </c>
      <c r="AL140" s="114">
        <f t="shared" ref="AL140" si="242">T140+Z140+AF140</f>
        <v>0</v>
      </c>
      <c r="AM140" s="113">
        <f t="shared" ref="AM140" si="243">AI140+AK140</f>
        <v>0</v>
      </c>
      <c r="AN140" s="113">
        <f t="shared" ref="AN140" si="244">AJ140+AL140</f>
        <v>0</v>
      </c>
      <c r="AO140" s="113"/>
      <c r="AP140" s="113"/>
      <c r="AQ140" s="113">
        <v>0</v>
      </c>
      <c r="AR140" s="113"/>
      <c r="AS140" s="113">
        <f t="shared" ref="AS140" si="245">AO140+AQ140</f>
        <v>0</v>
      </c>
      <c r="AT140" s="113">
        <f t="shared" ref="AT140" si="246">AP140+AR140</f>
        <v>0</v>
      </c>
      <c r="AU140" s="113"/>
      <c r="AV140" s="113">
        <v>0</v>
      </c>
      <c r="AW140" s="113"/>
      <c r="AX140" s="113"/>
      <c r="AY140" s="113">
        <f t="shared" si="212"/>
        <v>0</v>
      </c>
      <c r="AZ140" s="113">
        <f t="shared" si="213"/>
        <v>0</v>
      </c>
      <c r="BA140" s="113"/>
      <c r="BB140" s="113"/>
      <c r="BC140" s="113"/>
      <c r="BD140" s="113"/>
      <c r="BE140" s="113">
        <f t="shared" ref="BE140" si="247">BA140+BC140</f>
        <v>0</v>
      </c>
      <c r="BF140" s="113"/>
      <c r="BG140" s="113">
        <f t="shared" ref="BG140" si="248">BB140+BD140</f>
        <v>0</v>
      </c>
      <c r="BH140" s="113"/>
      <c r="BI140" s="113"/>
      <c r="BJ140" s="113"/>
      <c r="BK140" s="113"/>
      <c r="BL140" s="113">
        <f t="shared" ref="BL140" si="249">BH140+BJ140</f>
        <v>0</v>
      </c>
      <c r="BM140" s="113"/>
      <c r="BN140" s="113">
        <f t="shared" ref="BN140" si="250">BI140+BK140</f>
        <v>0</v>
      </c>
      <c r="BO140" s="113"/>
      <c r="BP140" s="113"/>
      <c r="BQ140" s="113"/>
      <c r="BR140" s="113"/>
      <c r="BS140" s="113">
        <f t="shared" ref="BS140" si="251">BO140+BQ140</f>
        <v>0</v>
      </c>
      <c r="BT140" s="113">
        <v>0</v>
      </c>
      <c r="BU140" s="113">
        <f t="shared" si="219"/>
        <v>0</v>
      </c>
      <c r="BV140" s="113"/>
      <c r="BW140" s="113"/>
      <c r="BX140" s="113"/>
      <c r="BY140" s="113"/>
      <c r="BZ140" s="113">
        <f t="shared" ref="BZ140" si="252">BV140+BX140</f>
        <v>0</v>
      </c>
      <c r="CA140" s="113"/>
      <c r="CB140" s="113">
        <f t="shared" si="157"/>
        <v>0</v>
      </c>
      <c r="CC140" s="113"/>
      <c r="CD140" s="113"/>
      <c r="CE140" s="113"/>
      <c r="CF140" s="113"/>
      <c r="CG140" s="113">
        <f t="shared" ref="CG140" si="253">CC140+CE140</f>
        <v>0</v>
      </c>
      <c r="CH140" s="113">
        <f t="shared" si="158"/>
        <v>0</v>
      </c>
      <c r="CI140" s="113"/>
      <c r="CJ140" s="113"/>
      <c r="CK140" s="113"/>
      <c r="CL140" s="113"/>
      <c r="CM140" s="113">
        <f t="shared" ref="CM140" si="254">CI140+CK140</f>
        <v>0</v>
      </c>
      <c r="CN140" s="113">
        <f t="shared" ref="CN140" si="255">CJ140+CL140</f>
        <v>0</v>
      </c>
      <c r="CO140" s="113"/>
      <c r="CP140" s="113"/>
      <c r="CQ140" s="113"/>
      <c r="CR140" s="113"/>
      <c r="CS140" s="113">
        <f t="shared" ref="CS140" si="256">CO140+CQ140</f>
        <v>0</v>
      </c>
      <c r="CT140" s="113">
        <f t="shared" ref="CT140" si="257">CP140+CR140</f>
        <v>0</v>
      </c>
      <c r="CU140" s="113"/>
      <c r="CV140" s="113"/>
      <c r="CW140" s="113"/>
      <c r="CX140" s="113"/>
      <c r="CY140" s="113">
        <f t="shared" ref="CY140" si="258">CU140+CW140</f>
        <v>0</v>
      </c>
      <c r="CZ140" s="113">
        <f t="shared" ref="CZ140" si="259">CV140+CX140</f>
        <v>0</v>
      </c>
      <c r="DA140" s="113"/>
      <c r="DB140" s="113"/>
      <c r="DC140" s="113"/>
      <c r="DD140" s="113"/>
      <c r="DE140" s="113">
        <f t="shared" ref="DE140" si="260">DA140+DC140</f>
        <v>0</v>
      </c>
      <c r="DF140" s="113">
        <f t="shared" ref="DF140" si="261">DB140+DD140</f>
        <v>0</v>
      </c>
      <c r="DG140" s="113"/>
      <c r="DH140" s="113"/>
      <c r="DI140" s="113"/>
      <c r="DJ140" s="113"/>
      <c r="DK140" s="113">
        <f t="shared" ref="DK140" si="262">DG140+DI140</f>
        <v>0</v>
      </c>
      <c r="DL140" s="113">
        <f t="shared" ref="DL140" si="263">DH140+DJ140</f>
        <v>0</v>
      </c>
      <c r="DM140" s="113">
        <f t="shared" si="159"/>
        <v>0</v>
      </c>
      <c r="DN140" s="113">
        <f t="shared" si="160"/>
        <v>0</v>
      </c>
      <c r="DO140" s="113">
        <f t="shared" si="161"/>
        <v>0</v>
      </c>
      <c r="DP140" s="113">
        <f t="shared" si="162"/>
        <v>0</v>
      </c>
      <c r="DQ140" s="113">
        <f t="shared" ref="DQ140" si="264">DM140+DO140</f>
        <v>0</v>
      </c>
      <c r="DR140" s="113">
        <f t="shared" ref="DR140" si="265">DN140+DP140</f>
        <v>0</v>
      </c>
    </row>
    <row r="145" spans="3:17">
      <c r="C145" s="213"/>
      <c r="D145" s="212"/>
      <c r="E145" s="212"/>
      <c r="F145" s="212"/>
      <c r="G145" s="212"/>
      <c r="H145" s="212"/>
      <c r="I145" s="212"/>
      <c r="J145" s="212"/>
      <c r="K145" s="214"/>
      <c r="L145" s="212"/>
      <c r="M145" s="212"/>
      <c r="N145" s="212"/>
      <c r="O145" s="212"/>
      <c r="P145" s="212"/>
      <c r="Q145" s="214"/>
    </row>
    <row r="146" spans="3:17">
      <c r="C146" s="213"/>
      <c r="D146" s="212"/>
      <c r="E146" s="212"/>
      <c r="F146" s="212"/>
      <c r="G146" s="212"/>
      <c r="H146" s="212"/>
      <c r="I146" s="212"/>
      <c r="J146" s="212"/>
      <c r="K146" s="214"/>
      <c r="L146" s="212"/>
      <c r="M146" s="212"/>
      <c r="N146" s="212"/>
      <c r="O146" s="212"/>
      <c r="P146" s="212"/>
      <c r="Q146" s="214"/>
    </row>
    <row r="147" spans="3:17">
      <c r="C147" s="213"/>
      <c r="D147" s="212"/>
      <c r="E147" s="212"/>
      <c r="F147" s="212"/>
      <c r="G147" s="212"/>
      <c r="H147" s="212"/>
      <c r="I147" s="212"/>
      <c r="J147" s="212"/>
      <c r="K147" s="214"/>
      <c r="L147" s="212"/>
      <c r="M147" s="212"/>
      <c r="N147" s="212"/>
      <c r="O147" s="212"/>
      <c r="P147" s="212"/>
      <c r="Q147" s="214"/>
    </row>
    <row r="148" spans="3:17">
      <c r="C148" s="213"/>
      <c r="D148" s="212"/>
      <c r="E148" s="212"/>
      <c r="F148" s="212"/>
      <c r="G148" s="212"/>
      <c r="H148" s="212"/>
      <c r="I148" s="212"/>
      <c r="J148" s="212"/>
      <c r="K148" s="214"/>
      <c r="L148" s="212"/>
      <c r="M148" s="212"/>
      <c r="N148" s="212"/>
      <c r="O148" s="212"/>
      <c r="P148" s="212"/>
      <c r="Q148" s="214"/>
    </row>
    <row r="149" spans="3:17">
      <c r="C149" s="213"/>
      <c r="D149" s="212"/>
      <c r="E149" s="212"/>
      <c r="F149" s="212"/>
      <c r="G149" s="212"/>
      <c r="H149" s="212"/>
      <c r="I149" s="212"/>
      <c r="J149" s="212"/>
      <c r="K149" s="214"/>
      <c r="L149" s="212"/>
      <c r="M149" s="212"/>
      <c r="N149" s="212"/>
      <c r="O149" s="212"/>
      <c r="P149" s="212"/>
      <c r="Q149" s="214"/>
    </row>
    <row r="150" spans="3:17">
      <c r="C150" s="213"/>
      <c r="D150" s="212"/>
      <c r="E150" s="212"/>
      <c r="F150" s="212"/>
      <c r="G150" s="212"/>
      <c r="H150" s="212"/>
      <c r="I150" s="212"/>
      <c r="J150" s="212"/>
      <c r="K150" s="214"/>
      <c r="L150" s="212"/>
      <c r="M150" s="212"/>
      <c r="N150" s="212"/>
      <c r="O150" s="212"/>
      <c r="P150" s="212"/>
      <c r="Q150" s="214"/>
    </row>
    <row r="151" spans="3:17">
      <c r="C151" s="213"/>
      <c r="D151" s="212"/>
      <c r="E151" s="212"/>
      <c r="F151" s="212"/>
      <c r="G151" s="212"/>
      <c r="H151" s="212"/>
      <c r="I151" s="212"/>
      <c r="J151" s="212"/>
      <c r="K151" s="214"/>
      <c r="L151" s="212"/>
      <c r="M151" s="212"/>
      <c r="N151" s="212"/>
      <c r="O151" s="212"/>
      <c r="P151" s="212"/>
      <c r="Q151" s="214"/>
    </row>
    <row r="152" spans="3:17">
      <c r="C152" s="213"/>
      <c r="D152" s="212"/>
      <c r="E152" s="212"/>
      <c r="F152" s="212"/>
      <c r="G152" s="212"/>
      <c r="H152" s="212"/>
      <c r="I152" s="212"/>
      <c r="J152" s="212"/>
      <c r="K152" s="214"/>
      <c r="L152" s="212"/>
      <c r="M152" s="212"/>
      <c r="N152" s="212"/>
      <c r="O152" s="212"/>
      <c r="P152" s="212"/>
      <c r="Q152" s="214"/>
    </row>
    <row r="153" spans="3:17">
      <c r="C153" s="213"/>
      <c r="D153" s="212"/>
      <c r="E153" s="212"/>
      <c r="F153" s="212"/>
      <c r="G153" s="212"/>
      <c r="H153" s="212"/>
      <c r="I153" s="212"/>
      <c r="J153" s="212"/>
      <c r="K153" s="214"/>
      <c r="L153" s="212"/>
      <c r="M153" s="212"/>
      <c r="N153" s="212"/>
      <c r="O153" s="212"/>
      <c r="P153" s="212"/>
      <c r="Q153" s="214"/>
    </row>
    <row r="154" spans="3:17">
      <c r="C154" s="213"/>
      <c r="D154" s="212"/>
      <c r="E154" s="212"/>
      <c r="F154" s="212"/>
      <c r="G154" s="212"/>
      <c r="H154" s="212"/>
      <c r="I154" s="212"/>
      <c r="J154" s="212"/>
      <c r="K154" s="214"/>
      <c r="L154" s="212"/>
      <c r="M154" s="212"/>
      <c r="N154" s="212"/>
      <c r="O154" s="212"/>
      <c r="P154" s="212"/>
      <c r="Q154" s="214"/>
    </row>
    <row r="155" spans="3:17">
      <c r="C155" s="213"/>
      <c r="D155" s="212"/>
      <c r="E155" s="212"/>
      <c r="F155" s="212"/>
      <c r="G155" s="212"/>
      <c r="H155" s="212"/>
      <c r="I155" s="212"/>
      <c r="J155" s="212"/>
      <c r="K155" s="214"/>
      <c r="L155" s="212"/>
      <c r="M155" s="212"/>
      <c r="N155" s="212"/>
      <c r="O155" s="212"/>
      <c r="P155" s="212"/>
      <c r="Q155" s="214"/>
    </row>
    <row r="156" spans="3:17">
      <c r="C156" s="213"/>
      <c r="D156" s="212"/>
      <c r="E156" s="212"/>
      <c r="F156" s="212"/>
      <c r="G156" s="212"/>
      <c r="H156" s="212"/>
      <c r="I156" s="212"/>
      <c r="J156" s="212"/>
      <c r="K156" s="214"/>
      <c r="L156" s="212"/>
      <c r="M156" s="212"/>
      <c r="N156" s="212"/>
      <c r="O156" s="212"/>
      <c r="P156" s="212"/>
      <c r="Q156" s="214"/>
    </row>
    <row r="157" spans="3:17">
      <c r="C157" s="213"/>
      <c r="D157" s="212"/>
      <c r="E157" s="212"/>
      <c r="F157" s="212"/>
      <c r="G157" s="212"/>
      <c r="H157" s="212"/>
      <c r="I157" s="212"/>
      <c r="J157" s="212"/>
      <c r="K157" s="214"/>
      <c r="L157" s="212"/>
      <c r="M157" s="212"/>
      <c r="N157" s="212"/>
      <c r="O157" s="212"/>
      <c r="P157" s="212"/>
      <c r="Q157" s="214"/>
    </row>
    <row r="158" spans="3:17">
      <c r="C158" s="213"/>
      <c r="D158" s="212"/>
      <c r="E158" s="212"/>
      <c r="F158" s="212"/>
      <c r="G158" s="212"/>
      <c r="H158" s="212"/>
      <c r="I158" s="212"/>
      <c r="J158" s="212"/>
      <c r="K158" s="214"/>
      <c r="L158" s="212"/>
      <c r="M158" s="212"/>
      <c r="N158" s="212"/>
      <c r="O158" s="212"/>
      <c r="P158" s="212"/>
      <c r="Q158" s="214"/>
    </row>
    <row r="159" spans="3:17">
      <c r="C159" s="213"/>
      <c r="D159" s="212"/>
      <c r="E159" s="212"/>
      <c r="F159" s="212"/>
      <c r="G159" s="212"/>
      <c r="H159" s="212"/>
      <c r="I159" s="212"/>
      <c r="J159" s="212"/>
      <c r="K159" s="214"/>
      <c r="L159" s="212"/>
      <c r="M159" s="212"/>
      <c r="N159" s="212"/>
      <c r="O159" s="212"/>
      <c r="P159" s="212"/>
      <c r="Q159" s="214"/>
    </row>
    <row r="160" spans="3:17">
      <c r="C160" s="213"/>
      <c r="D160" s="212"/>
      <c r="E160" s="212"/>
      <c r="F160" s="212"/>
      <c r="G160" s="212"/>
      <c r="H160" s="212"/>
      <c r="I160" s="212"/>
      <c r="J160" s="212"/>
      <c r="K160" s="214"/>
      <c r="L160" s="212"/>
      <c r="M160" s="212"/>
      <c r="N160" s="212"/>
      <c r="O160" s="212"/>
      <c r="P160" s="212"/>
      <c r="Q160" s="214"/>
    </row>
    <row r="161" spans="3:17">
      <c r="C161" s="213"/>
      <c r="D161" s="212"/>
      <c r="E161" s="212"/>
      <c r="F161" s="212"/>
      <c r="G161" s="212"/>
      <c r="H161" s="212"/>
      <c r="I161" s="212"/>
      <c r="J161" s="212"/>
      <c r="K161" s="214"/>
      <c r="L161" s="212"/>
      <c r="M161" s="212"/>
      <c r="N161" s="212"/>
      <c r="O161" s="212"/>
      <c r="P161" s="212"/>
      <c r="Q161" s="214"/>
    </row>
    <row r="162" spans="3:17">
      <c r="C162" s="213"/>
      <c r="D162" s="212"/>
      <c r="E162" s="212"/>
      <c r="F162" s="212"/>
      <c r="G162" s="212"/>
      <c r="H162" s="212"/>
      <c r="I162" s="212"/>
      <c r="J162" s="212"/>
      <c r="K162" s="214"/>
      <c r="L162" s="212"/>
      <c r="M162" s="212"/>
      <c r="N162" s="212"/>
      <c r="O162" s="212"/>
      <c r="P162" s="212"/>
      <c r="Q162" s="214"/>
    </row>
    <row r="163" spans="3:17">
      <c r="C163" s="213"/>
      <c r="D163" s="212"/>
      <c r="E163" s="212"/>
      <c r="F163" s="212"/>
      <c r="G163" s="212"/>
      <c r="H163" s="212"/>
      <c r="I163" s="212"/>
      <c r="J163" s="212"/>
      <c r="K163" s="214"/>
      <c r="L163" s="212"/>
      <c r="M163" s="212"/>
      <c r="N163" s="212"/>
      <c r="O163" s="212"/>
      <c r="P163" s="212"/>
      <c r="Q163" s="214"/>
    </row>
    <row r="164" spans="3:17">
      <c r="C164" s="213"/>
      <c r="D164" s="212"/>
      <c r="E164" s="212"/>
      <c r="F164" s="212"/>
      <c r="G164" s="212"/>
      <c r="H164" s="212"/>
      <c r="I164" s="212"/>
      <c r="J164" s="212"/>
      <c r="K164" s="214"/>
      <c r="L164" s="212"/>
      <c r="M164" s="212"/>
      <c r="N164" s="212"/>
      <c r="O164" s="212"/>
      <c r="P164" s="212"/>
      <c r="Q164" s="214"/>
    </row>
    <row r="165" spans="3:17">
      <c r="C165" s="213"/>
      <c r="D165" s="212"/>
      <c r="E165" s="212"/>
      <c r="F165" s="212"/>
      <c r="G165" s="212"/>
      <c r="H165" s="212"/>
      <c r="I165" s="212"/>
      <c r="J165" s="212"/>
      <c r="K165" s="214"/>
      <c r="L165" s="212"/>
      <c r="M165" s="212"/>
      <c r="N165" s="212"/>
      <c r="O165" s="212"/>
      <c r="P165" s="212"/>
      <c r="Q165" s="214"/>
    </row>
    <row r="166" spans="3:17">
      <c r="C166" s="213"/>
      <c r="D166" s="212"/>
      <c r="E166" s="212"/>
      <c r="F166" s="212"/>
      <c r="G166" s="212"/>
      <c r="H166" s="212"/>
      <c r="I166" s="212"/>
      <c r="J166" s="212"/>
      <c r="K166" s="214"/>
      <c r="L166" s="212"/>
      <c r="M166" s="212"/>
      <c r="N166" s="212"/>
      <c r="O166" s="212"/>
      <c r="P166" s="212"/>
      <c r="Q166" s="214"/>
    </row>
    <row r="167" spans="3:17">
      <c r="C167" s="213"/>
      <c r="D167" s="212"/>
      <c r="E167" s="212"/>
      <c r="F167" s="212"/>
      <c r="G167" s="212"/>
      <c r="H167" s="212"/>
      <c r="I167" s="212"/>
      <c r="J167" s="212"/>
      <c r="K167" s="214"/>
      <c r="L167" s="212"/>
      <c r="M167" s="212"/>
      <c r="N167" s="212"/>
      <c r="O167" s="212"/>
      <c r="P167" s="212"/>
      <c r="Q167" s="214"/>
    </row>
    <row r="316" spans="61:61">
      <c r="BI316" s="95" t="s">
        <v>1236</v>
      </c>
    </row>
  </sheetData>
  <autoFilter ref="A8:DR140" xr:uid="{00000000-0009-0000-0000-000004000000}"/>
  <mergeCells count="91">
    <mergeCell ref="H3:H6"/>
    <mergeCell ref="I3:I6"/>
    <mergeCell ref="G3:G6"/>
    <mergeCell ref="A3:A6"/>
    <mergeCell ref="B3:B6"/>
    <mergeCell ref="C3:C6"/>
    <mergeCell ref="D3:D6"/>
    <mergeCell ref="E3:E6"/>
    <mergeCell ref="CC4:CH4"/>
    <mergeCell ref="CI4:CN4"/>
    <mergeCell ref="CO4:CT4"/>
    <mergeCell ref="CU4:CZ4"/>
    <mergeCell ref="F3:F6"/>
    <mergeCell ref="S3:T4"/>
    <mergeCell ref="U3:V4"/>
    <mergeCell ref="W3:AN3"/>
    <mergeCell ref="W5:X5"/>
    <mergeCell ref="AO3:DR3"/>
    <mergeCell ref="W4:AB4"/>
    <mergeCell ref="AC4:AH4"/>
    <mergeCell ref="AI4:AN4"/>
    <mergeCell ref="AO4:AT4"/>
    <mergeCell ref="DG4:DL4"/>
    <mergeCell ref="DM4:DR4"/>
    <mergeCell ref="AU4:AZ4"/>
    <mergeCell ref="BA4:BG4"/>
    <mergeCell ref="BH4:BN4"/>
    <mergeCell ref="BO4:BU4"/>
    <mergeCell ref="BV4:CB4"/>
    <mergeCell ref="DA4:DF4"/>
    <mergeCell ref="L5:L6"/>
    <mergeCell ref="S5:S6"/>
    <mergeCell ref="T5:T6"/>
    <mergeCell ref="U5:U6"/>
    <mergeCell ref="V5:V6"/>
    <mergeCell ref="AU5:AV5"/>
    <mergeCell ref="Y5:Z5"/>
    <mergeCell ref="AA5:AB5"/>
    <mergeCell ref="AC5:AD5"/>
    <mergeCell ref="AE5:AF5"/>
    <mergeCell ref="AG5:AH5"/>
    <mergeCell ref="AI5:AJ5"/>
    <mergeCell ref="AK5:AL5"/>
    <mergeCell ref="AM5:AN5"/>
    <mergeCell ref="AO5:AP5"/>
    <mergeCell ref="AQ5:AR5"/>
    <mergeCell ref="AS5:AT5"/>
    <mergeCell ref="BV5:BW5"/>
    <mergeCell ref="AW5:AX5"/>
    <mergeCell ref="AY5:AZ5"/>
    <mergeCell ref="BA5:BB5"/>
    <mergeCell ref="BC5:BD5"/>
    <mergeCell ref="BE5:BG5"/>
    <mergeCell ref="BH5:BI5"/>
    <mergeCell ref="BJ5:BK5"/>
    <mergeCell ref="BL5:BN5"/>
    <mergeCell ref="BO5:BP5"/>
    <mergeCell ref="BQ5:BR5"/>
    <mergeCell ref="BS5:BU5"/>
    <mergeCell ref="DG5:DH5"/>
    <mergeCell ref="CK5:CL5"/>
    <mergeCell ref="CM5:CN5"/>
    <mergeCell ref="CO5:CP5"/>
    <mergeCell ref="CQ5:CR5"/>
    <mergeCell ref="CS5:CT5"/>
    <mergeCell ref="CU5:CV5"/>
    <mergeCell ref="CW5:CX5"/>
    <mergeCell ref="CY5:CZ5"/>
    <mergeCell ref="DA5:DB5"/>
    <mergeCell ref="DC5:DD5"/>
    <mergeCell ref="BZ5:CB5"/>
    <mergeCell ref="CC5:CD5"/>
    <mergeCell ref="CE5:CF5"/>
    <mergeCell ref="CG5:CH5"/>
    <mergeCell ref="DE5:DF5"/>
    <mergeCell ref="DQ5:DR5"/>
    <mergeCell ref="J3:J6"/>
    <mergeCell ref="L3:M4"/>
    <mergeCell ref="N3:O4"/>
    <mergeCell ref="P3:P6"/>
    <mergeCell ref="R3:R6"/>
    <mergeCell ref="M5:M6"/>
    <mergeCell ref="N5:N6"/>
    <mergeCell ref="O5:O6"/>
    <mergeCell ref="K3:K6"/>
    <mergeCell ref="CI5:CJ5"/>
    <mergeCell ref="DI5:DJ5"/>
    <mergeCell ref="DK5:DL5"/>
    <mergeCell ref="DM5:DN5"/>
    <mergeCell ref="DO5:DP5"/>
    <mergeCell ref="BX5:BY5"/>
  </mergeCells>
  <pageMargins left="0.7" right="0.7" top="0.75" bottom="0.75" header="0.3" footer="0.3"/>
  <pageSetup paperSize="9" orientation="portrait" horizontalDpi="4294967295" verticalDpi="4294967295"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DO84"/>
  <sheetViews>
    <sheetView zoomScaleNormal="100" workbookViewId="0">
      <pane xSplit="38" ySplit="8" topLeftCell="AX33" activePane="bottomRight" state="frozen"/>
      <selection pane="topRight" activeCell="AM1" sqref="AM1"/>
      <selection pane="bottomLeft" activeCell="A9" sqref="A9"/>
      <selection pane="bottomRight" activeCell="BC89" sqref="BC89"/>
    </sheetView>
  </sheetViews>
  <sheetFormatPr defaultColWidth="10.42578125" defaultRowHeight="15"/>
  <cols>
    <col min="1" max="1" width="6.85546875" style="14" bestFit="1" customWidth="1"/>
    <col min="2" max="2" width="8.85546875" style="14" customWidth="1"/>
    <col min="3" max="3" width="7.5703125" style="14" customWidth="1"/>
    <col min="4" max="4" width="21.28515625" style="14" customWidth="1"/>
    <col min="5" max="5" width="10.140625" style="14" customWidth="1"/>
    <col min="6" max="8" width="13.85546875" style="14" bestFit="1" customWidth="1"/>
    <col min="9" max="9" width="22" style="35" hidden="1" customWidth="1"/>
    <col min="10" max="10" width="13.85546875" style="14" hidden="1" customWidth="1"/>
    <col min="11" max="11" width="12.5703125" style="14" hidden="1" customWidth="1"/>
    <col min="12" max="12" width="14.42578125" style="14" hidden="1" customWidth="1"/>
    <col min="13" max="15" width="13.85546875" style="14" hidden="1" customWidth="1"/>
    <col min="16" max="16" width="14" style="14" bestFit="1" customWidth="1"/>
    <col min="17" max="20" width="19" style="14" hidden="1" customWidth="1"/>
    <col min="21" max="22" width="7.5703125" style="14" hidden="1" customWidth="1"/>
    <col min="23" max="26" width="12" style="14" hidden="1" customWidth="1"/>
    <col min="27" max="28" width="7.5703125" style="14" hidden="1" customWidth="1"/>
    <col min="29" max="29" width="12" style="14" hidden="1" customWidth="1"/>
    <col min="30" max="30" width="7.5703125" style="14" hidden="1" customWidth="1"/>
    <col min="31" max="31" width="12" style="14" hidden="1" customWidth="1"/>
    <col min="32" max="32" width="7.5703125" style="14" hidden="1" customWidth="1"/>
    <col min="33" max="38" width="13.7109375" style="14" hidden="1" customWidth="1"/>
    <col min="39" max="39" width="10" style="14" customWidth="1"/>
    <col min="40" max="40" width="12" style="14" bestFit="1" customWidth="1"/>
    <col min="41" max="41" width="10.85546875" style="14" bestFit="1" customWidth="1"/>
    <col min="42" max="42" width="7.5703125" style="14" bestFit="1" customWidth="1"/>
    <col min="43" max="46" width="12" style="14" bestFit="1" customWidth="1"/>
    <col min="47" max="47" width="13.85546875" style="14" bestFit="1" customWidth="1"/>
    <col min="48" max="48" width="12" style="14" bestFit="1" customWidth="1"/>
    <col min="49" max="49" width="10.85546875" style="14" bestFit="1" customWidth="1"/>
    <col min="50" max="50" width="12" style="14" bestFit="1" customWidth="1"/>
    <col min="51" max="51" width="13.85546875" style="14" bestFit="1" customWidth="1"/>
    <col min="52" max="52" width="12" style="14" bestFit="1" customWidth="1"/>
    <col min="53" max="53" width="7.5703125" style="14" bestFit="1" customWidth="1"/>
    <col min="54" max="54" width="10.85546875" style="14" bestFit="1" customWidth="1"/>
    <col min="55" max="56" width="12" style="14" bestFit="1" customWidth="1"/>
    <col min="57" max="57" width="13.140625" style="14" bestFit="1" customWidth="1"/>
    <col min="58" max="58" width="12" style="14" bestFit="1" customWidth="1"/>
    <col min="59" max="60" width="7.5703125" style="14" bestFit="1" customWidth="1"/>
    <col min="61" max="61" width="12" style="14" bestFit="1" customWidth="1"/>
    <col min="62" max="62" width="7.5703125" style="14" bestFit="1" customWidth="1"/>
    <col min="63" max="63" width="12" style="14" bestFit="1" customWidth="1"/>
    <col min="64" max="64" width="13.140625" style="14" bestFit="1" customWidth="1"/>
    <col min="65" max="78" width="7.5703125" style="14" bestFit="1" customWidth="1"/>
    <col min="79" max="79" width="12" style="14" bestFit="1" customWidth="1"/>
    <col min="80" max="80" width="7.5703125" style="14" bestFit="1" customWidth="1"/>
    <col min="81" max="81" width="12" style="14" bestFit="1" customWidth="1"/>
    <col min="82" max="82" width="7.5703125" style="14" bestFit="1" customWidth="1"/>
    <col min="83" max="83" width="12" style="14" bestFit="1" customWidth="1"/>
    <col min="84" max="113" width="7.5703125" style="14" bestFit="1" customWidth="1"/>
    <col min="114" max="119" width="13.5703125" style="14" customWidth="1"/>
    <col min="120" max="16384" width="10.42578125" style="14"/>
  </cols>
  <sheetData>
    <row r="1" spans="1:119" ht="15.75">
      <c r="B1" s="72" t="s">
        <v>449</v>
      </c>
      <c r="F1" s="73">
        <v>2868750</v>
      </c>
      <c r="G1" s="73"/>
      <c r="W1" s="73"/>
      <c r="X1" s="73"/>
    </row>
    <row r="2" spans="1:119" ht="15.75" thickBot="1">
      <c r="D2" s="14">
        <f>SUBTOTAL(3,D9:D84)</f>
        <v>76</v>
      </c>
      <c r="F2" s="279">
        <f>F1-F7</f>
        <v>1174750</v>
      </c>
      <c r="G2" s="279"/>
      <c r="AM2" s="14">
        <f>SUBTOTAL(9,AM9:AM84)</f>
        <v>5</v>
      </c>
    </row>
    <row r="3" spans="1:119" ht="19.5" thickBot="1">
      <c r="A3" s="513" t="s">
        <v>1</v>
      </c>
      <c r="B3" s="475" t="s">
        <v>1198</v>
      </c>
      <c r="C3" s="475" t="s">
        <v>3</v>
      </c>
      <c r="D3" s="475" t="s">
        <v>4</v>
      </c>
      <c r="E3" s="516" t="s">
        <v>1176</v>
      </c>
      <c r="F3" s="516" t="s">
        <v>1170</v>
      </c>
      <c r="G3" s="519" t="s">
        <v>1242</v>
      </c>
      <c r="H3" s="510" t="s">
        <v>1178</v>
      </c>
      <c r="I3" s="475" t="s">
        <v>5</v>
      </c>
      <c r="J3" s="488" t="s">
        <v>6</v>
      </c>
      <c r="K3" s="489"/>
      <c r="L3" s="492" t="s">
        <v>9</v>
      </c>
      <c r="M3" s="493"/>
      <c r="N3" s="469" t="s">
        <v>1197</v>
      </c>
      <c r="O3" s="469" t="s">
        <v>1234</v>
      </c>
      <c r="P3" s="485" t="s">
        <v>1196</v>
      </c>
      <c r="Q3" s="478" t="s">
        <v>7</v>
      </c>
      <c r="R3" s="479"/>
      <c r="S3" s="478" t="s">
        <v>8</v>
      </c>
      <c r="T3" s="479"/>
      <c r="U3" s="482" t="s">
        <v>9</v>
      </c>
      <c r="V3" s="483"/>
      <c r="W3" s="483"/>
      <c r="X3" s="483"/>
      <c r="Y3" s="483"/>
      <c r="Z3" s="483"/>
      <c r="AA3" s="483"/>
      <c r="AB3" s="483"/>
      <c r="AC3" s="483"/>
      <c r="AD3" s="483"/>
      <c r="AE3" s="483"/>
      <c r="AF3" s="483"/>
      <c r="AG3" s="483"/>
      <c r="AH3" s="483"/>
      <c r="AI3" s="483"/>
      <c r="AJ3" s="483"/>
      <c r="AK3" s="483"/>
      <c r="AL3" s="484"/>
      <c r="AM3" s="363"/>
      <c r="AN3" s="499">
        <v>2025</v>
      </c>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3"/>
      <c r="DK3" s="483"/>
      <c r="DL3" s="483"/>
      <c r="DM3" s="483"/>
      <c r="DN3" s="483"/>
      <c r="DO3" s="484"/>
    </row>
    <row r="4" spans="1:119" ht="24" thickBot="1">
      <c r="A4" s="514"/>
      <c r="B4" s="476"/>
      <c r="C4" s="476"/>
      <c r="D4" s="476"/>
      <c r="E4" s="517"/>
      <c r="F4" s="517"/>
      <c r="G4" s="520"/>
      <c r="H4" s="511"/>
      <c r="I4" s="476"/>
      <c r="J4" s="490"/>
      <c r="K4" s="491"/>
      <c r="L4" s="494"/>
      <c r="M4" s="495"/>
      <c r="N4" s="496"/>
      <c r="O4" s="496"/>
      <c r="P4" s="486"/>
      <c r="Q4" s="480"/>
      <c r="R4" s="481"/>
      <c r="S4" s="480"/>
      <c r="T4" s="481"/>
      <c r="U4" s="500" t="s">
        <v>10</v>
      </c>
      <c r="V4" s="501"/>
      <c r="W4" s="501"/>
      <c r="X4" s="501"/>
      <c r="Y4" s="501"/>
      <c r="Z4" s="502"/>
      <c r="AA4" s="500" t="s">
        <v>11</v>
      </c>
      <c r="AB4" s="501"/>
      <c r="AC4" s="501"/>
      <c r="AD4" s="501"/>
      <c r="AE4" s="501"/>
      <c r="AF4" s="502"/>
      <c r="AG4" s="503" t="s">
        <v>9</v>
      </c>
      <c r="AH4" s="504"/>
      <c r="AI4" s="504"/>
      <c r="AJ4" s="504"/>
      <c r="AK4" s="504"/>
      <c r="AL4" s="505"/>
      <c r="AM4" s="364"/>
      <c r="AN4" s="500" t="s">
        <v>12</v>
      </c>
      <c r="AO4" s="501"/>
      <c r="AP4" s="501"/>
      <c r="AQ4" s="501"/>
      <c r="AR4" s="501"/>
      <c r="AS4" s="502"/>
      <c r="AT4" s="500" t="s">
        <v>13</v>
      </c>
      <c r="AU4" s="501"/>
      <c r="AV4" s="501"/>
      <c r="AW4" s="501"/>
      <c r="AX4" s="501"/>
      <c r="AY4" s="502"/>
      <c r="AZ4" s="500" t="s">
        <v>14</v>
      </c>
      <c r="BA4" s="501"/>
      <c r="BB4" s="501"/>
      <c r="BC4" s="501"/>
      <c r="BD4" s="501"/>
      <c r="BE4" s="509"/>
      <c r="BF4" s="502"/>
      <c r="BG4" s="500" t="s">
        <v>15</v>
      </c>
      <c r="BH4" s="501"/>
      <c r="BI4" s="501"/>
      <c r="BJ4" s="501"/>
      <c r="BK4" s="501"/>
      <c r="BL4" s="509"/>
      <c r="BM4" s="502"/>
      <c r="BN4" s="500" t="s">
        <v>16</v>
      </c>
      <c r="BO4" s="501"/>
      <c r="BP4" s="501"/>
      <c r="BQ4" s="501"/>
      <c r="BR4" s="501"/>
      <c r="BS4" s="502"/>
      <c r="BT4" s="500" t="s">
        <v>17</v>
      </c>
      <c r="BU4" s="501"/>
      <c r="BV4" s="501"/>
      <c r="BW4" s="501"/>
      <c r="BX4" s="501"/>
      <c r="BY4" s="502"/>
      <c r="BZ4" s="500" t="s">
        <v>18</v>
      </c>
      <c r="CA4" s="501"/>
      <c r="CB4" s="501"/>
      <c r="CC4" s="501"/>
      <c r="CD4" s="501"/>
      <c r="CE4" s="502"/>
      <c r="CF4" s="500" t="s">
        <v>19</v>
      </c>
      <c r="CG4" s="501"/>
      <c r="CH4" s="501"/>
      <c r="CI4" s="501"/>
      <c r="CJ4" s="501"/>
      <c r="CK4" s="502"/>
      <c r="CL4" s="500" t="s">
        <v>20</v>
      </c>
      <c r="CM4" s="501"/>
      <c r="CN4" s="501"/>
      <c r="CO4" s="501"/>
      <c r="CP4" s="501"/>
      <c r="CQ4" s="502"/>
      <c r="CR4" s="535" t="s">
        <v>21</v>
      </c>
      <c r="CS4" s="536"/>
      <c r="CT4" s="536"/>
      <c r="CU4" s="536"/>
      <c r="CV4" s="536"/>
      <c r="CW4" s="537"/>
      <c r="CX4" s="500" t="s">
        <v>22</v>
      </c>
      <c r="CY4" s="501"/>
      <c r="CZ4" s="501"/>
      <c r="DA4" s="501"/>
      <c r="DB4" s="501"/>
      <c r="DC4" s="502"/>
      <c r="DD4" s="500" t="s">
        <v>23</v>
      </c>
      <c r="DE4" s="501"/>
      <c r="DF4" s="501"/>
      <c r="DG4" s="501"/>
      <c r="DH4" s="501"/>
      <c r="DI4" s="502"/>
      <c r="DJ4" s="506" t="s">
        <v>24</v>
      </c>
      <c r="DK4" s="507"/>
      <c r="DL4" s="507"/>
      <c r="DM4" s="507"/>
      <c r="DN4" s="507"/>
      <c r="DO4" s="508"/>
    </row>
    <row r="5" spans="1:119">
      <c r="A5" s="514"/>
      <c r="B5" s="476"/>
      <c r="C5" s="476"/>
      <c r="D5" s="476"/>
      <c r="E5" s="517"/>
      <c r="F5" s="517"/>
      <c r="G5" s="520"/>
      <c r="H5" s="511"/>
      <c r="I5" s="476"/>
      <c r="J5" s="469" t="s">
        <v>1169</v>
      </c>
      <c r="K5" s="469" t="s">
        <v>1206</v>
      </c>
      <c r="L5" s="498" t="s">
        <v>1172</v>
      </c>
      <c r="M5" s="469" t="s">
        <v>1177</v>
      </c>
      <c r="N5" s="496"/>
      <c r="O5" s="496"/>
      <c r="P5" s="486"/>
      <c r="Q5" s="471" t="s">
        <v>1169</v>
      </c>
      <c r="R5" s="473" t="s">
        <v>1168</v>
      </c>
      <c r="S5" s="471" t="s">
        <v>1169</v>
      </c>
      <c r="T5" s="473" t="s">
        <v>1168</v>
      </c>
      <c r="U5" s="464" t="s">
        <v>1167</v>
      </c>
      <c r="V5" s="460"/>
      <c r="W5" s="460" t="s">
        <v>1166</v>
      </c>
      <c r="X5" s="461"/>
      <c r="Y5" s="462" t="s">
        <v>25</v>
      </c>
      <c r="Z5" s="463"/>
      <c r="AA5" s="464" t="s">
        <v>1167</v>
      </c>
      <c r="AB5" s="460"/>
      <c r="AC5" s="460" t="s">
        <v>1166</v>
      </c>
      <c r="AD5" s="461"/>
      <c r="AE5" s="462" t="s">
        <v>25</v>
      </c>
      <c r="AF5" s="463"/>
      <c r="AG5" s="464" t="s">
        <v>1167</v>
      </c>
      <c r="AH5" s="460"/>
      <c r="AI5" s="460" t="s">
        <v>1166</v>
      </c>
      <c r="AJ5" s="461"/>
      <c r="AK5" s="462" t="s">
        <v>25</v>
      </c>
      <c r="AL5" s="463"/>
      <c r="AM5" s="365"/>
      <c r="AN5" s="464" t="s">
        <v>1167</v>
      </c>
      <c r="AO5" s="460"/>
      <c r="AP5" s="460" t="s">
        <v>1166</v>
      </c>
      <c r="AQ5" s="461"/>
      <c r="AR5" s="462" t="s">
        <v>25</v>
      </c>
      <c r="AS5" s="463"/>
      <c r="AT5" s="464" t="s">
        <v>1167</v>
      </c>
      <c r="AU5" s="460"/>
      <c r="AV5" s="460" t="s">
        <v>1166</v>
      </c>
      <c r="AW5" s="461"/>
      <c r="AX5" s="462" t="s">
        <v>25</v>
      </c>
      <c r="AY5" s="463"/>
      <c r="AZ5" s="464" t="s">
        <v>1167</v>
      </c>
      <c r="BA5" s="460"/>
      <c r="BB5" s="460" t="s">
        <v>1166</v>
      </c>
      <c r="BC5" s="461"/>
      <c r="BD5" s="462" t="s">
        <v>25</v>
      </c>
      <c r="BE5" s="465"/>
      <c r="BF5" s="463"/>
      <c r="BG5" s="464" t="s">
        <v>1167</v>
      </c>
      <c r="BH5" s="460"/>
      <c r="BI5" s="460" t="s">
        <v>1166</v>
      </c>
      <c r="BJ5" s="461"/>
      <c r="BK5" s="462" t="s">
        <v>25</v>
      </c>
      <c r="BL5" s="465"/>
      <c r="BM5" s="463"/>
      <c r="BN5" s="464" t="s">
        <v>1167</v>
      </c>
      <c r="BO5" s="460"/>
      <c r="BP5" s="460" t="s">
        <v>1166</v>
      </c>
      <c r="BQ5" s="461"/>
      <c r="BR5" s="462" t="s">
        <v>25</v>
      </c>
      <c r="BS5" s="463"/>
      <c r="BT5" s="464" t="s">
        <v>1167</v>
      </c>
      <c r="BU5" s="460"/>
      <c r="BV5" s="460" t="s">
        <v>1166</v>
      </c>
      <c r="BW5" s="461"/>
      <c r="BX5" s="462" t="s">
        <v>25</v>
      </c>
      <c r="BY5" s="463"/>
      <c r="BZ5" s="464" t="s">
        <v>1167</v>
      </c>
      <c r="CA5" s="460"/>
      <c r="CB5" s="460" t="s">
        <v>1166</v>
      </c>
      <c r="CC5" s="461"/>
      <c r="CD5" s="462" t="s">
        <v>25</v>
      </c>
      <c r="CE5" s="463"/>
      <c r="CF5" s="464" t="s">
        <v>1167</v>
      </c>
      <c r="CG5" s="460"/>
      <c r="CH5" s="460" t="s">
        <v>1166</v>
      </c>
      <c r="CI5" s="461"/>
      <c r="CJ5" s="462" t="s">
        <v>25</v>
      </c>
      <c r="CK5" s="463"/>
      <c r="CL5" s="464" t="s">
        <v>1167</v>
      </c>
      <c r="CM5" s="460"/>
      <c r="CN5" s="460" t="s">
        <v>1166</v>
      </c>
      <c r="CO5" s="461"/>
      <c r="CP5" s="462" t="s">
        <v>25</v>
      </c>
      <c r="CQ5" s="463"/>
      <c r="CR5" s="464" t="s">
        <v>1167</v>
      </c>
      <c r="CS5" s="460"/>
      <c r="CT5" s="460" t="s">
        <v>1166</v>
      </c>
      <c r="CU5" s="461"/>
      <c r="CV5" s="462" t="s">
        <v>25</v>
      </c>
      <c r="CW5" s="463"/>
      <c r="CX5" s="464" t="s">
        <v>1167</v>
      </c>
      <c r="CY5" s="460"/>
      <c r="CZ5" s="460" t="s">
        <v>1166</v>
      </c>
      <c r="DA5" s="461"/>
      <c r="DB5" s="462" t="s">
        <v>25</v>
      </c>
      <c r="DC5" s="463"/>
      <c r="DD5" s="464" t="s">
        <v>1167</v>
      </c>
      <c r="DE5" s="460"/>
      <c r="DF5" s="460" t="s">
        <v>1166</v>
      </c>
      <c r="DG5" s="461"/>
      <c r="DH5" s="462" t="s">
        <v>25</v>
      </c>
      <c r="DI5" s="463"/>
      <c r="DJ5" s="464" t="s">
        <v>1167</v>
      </c>
      <c r="DK5" s="460"/>
      <c r="DL5" s="460" t="s">
        <v>1166</v>
      </c>
      <c r="DM5" s="461"/>
      <c r="DN5" s="462" t="s">
        <v>25</v>
      </c>
      <c r="DO5" s="463"/>
    </row>
    <row r="6" spans="1:119" ht="15.75" thickBot="1">
      <c r="A6" s="515"/>
      <c r="B6" s="477"/>
      <c r="C6" s="477"/>
      <c r="D6" s="477"/>
      <c r="E6" s="518"/>
      <c r="F6" s="518"/>
      <c r="G6" s="521"/>
      <c r="H6" s="512"/>
      <c r="I6" s="477"/>
      <c r="J6" s="470"/>
      <c r="K6" s="497"/>
      <c r="L6" s="497"/>
      <c r="M6" s="497"/>
      <c r="N6" s="470"/>
      <c r="O6" s="470"/>
      <c r="P6" s="487"/>
      <c r="Q6" s="472"/>
      <c r="R6" s="474"/>
      <c r="S6" s="472"/>
      <c r="T6" s="474"/>
      <c r="U6" s="2" t="s">
        <v>26</v>
      </c>
      <c r="V6" s="3" t="s">
        <v>27</v>
      </c>
      <c r="W6" s="3" t="s">
        <v>26</v>
      </c>
      <c r="X6" s="4" t="s">
        <v>27</v>
      </c>
      <c r="Y6" s="5" t="s">
        <v>26</v>
      </c>
      <c r="Z6" s="6" t="s">
        <v>27</v>
      </c>
      <c r="AA6" s="2" t="s">
        <v>26</v>
      </c>
      <c r="AB6" s="3" t="s">
        <v>27</v>
      </c>
      <c r="AC6" s="3" t="s">
        <v>26</v>
      </c>
      <c r="AD6" s="4" t="s">
        <v>27</v>
      </c>
      <c r="AE6" s="5" t="s">
        <v>26</v>
      </c>
      <c r="AF6" s="6" t="s">
        <v>27</v>
      </c>
      <c r="AG6" s="2" t="s">
        <v>26</v>
      </c>
      <c r="AH6" s="3" t="s">
        <v>27</v>
      </c>
      <c r="AI6" s="3" t="s">
        <v>26</v>
      </c>
      <c r="AJ6" s="4" t="s">
        <v>27</v>
      </c>
      <c r="AK6" s="5" t="s">
        <v>26</v>
      </c>
      <c r="AL6" s="6" t="s">
        <v>27</v>
      </c>
      <c r="AM6" s="366"/>
      <c r="AN6" s="2" t="s">
        <v>26</v>
      </c>
      <c r="AO6" s="3" t="s">
        <v>27</v>
      </c>
      <c r="AP6" s="3" t="s">
        <v>26</v>
      </c>
      <c r="AQ6" s="4" t="s">
        <v>27</v>
      </c>
      <c r="AR6" s="5" t="s">
        <v>26</v>
      </c>
      <c r="AS6" s="6" t="s">
        <v>27</v>
      </c>
      <c r="AT6" s="2" t="s">
        <v>26</v>
      </c>
      <c r="AU6" s="3" t="s">
        <v>27</v>
      </c>
      <c r="AV6" s="3" t="s">
        <v>26</v>
      </c>
      <c r="AW6" s="4" t="s">
        <v>27</v>
      </c>
      <c r="AX6" s="5" t="s">
        <v>26</v>
      </c>
      <c r="AY6" s="6" t="s">
        <v>27</v>
      </c>
      <c r="AZ6" s="2" t="s">
        <v>26</v>
      </c>
      <c r="BA6" s="3" t="s">
        <v>27</v>
      </c>
      <c r="BB6" s="3" t="s">
        <v>26</v>
      </c>
      <c r="BC6" s="4" t="s">
        <v>27</v>
      </c>
      <c r="BD6" s="5" t="s">
        <v>26</v>
      </c>
      <c r="BE6" s="367" t="s">
        <v>1254</v>
      </c>
      <c r="BF6" s="6" t="s">
        <v>27</v>
      </c>
      <c r="BG6" s="2" t="s">
        <v>26</v>
      </c>
      <c r="BH6" s="3" t="s">
        <v>27</v>
      </c>
      <c r="BI6" s="3" t="s">
        <v>26</v>
      </c>
      <c r="BJ6" s="4" t="s">
        <v>27</v>
      </c>
      <c r="BK6" s="5" t="s">
        <v>26</v>
      </c>
      <c r="BL6" s="367" t="s">
        <v>1254</v>
      </c>
      <c r="BM6" s="6" t="s">
        <v>27</v>
      </c>
      <c r="BN6" s="2" t="s">
        <v>26</v>
      </c>
      <c r="BO6" s="3" t="s">
        <v>27</v>
      </c>
      <c r="BP6" s="3" t="s">
        <v>26</v>
      </c>
      <c r="BQ6" s="4" t="s">
        <v>27</v>
      </c>
      <c r="BR6" s="5" t="s">
        <v>26</v>
      </c>
      <c r="BS6" s="6" t="s">
        <v>27</v>
      </c>
      <c r="BT6" s="2" t="s">
        <v>26</v>
      </c>
      <c r="BU6" s="3" t="s">
        <v>27</v>
      </c>
      <c r="BV6" s="3" t="s">
        <v>26</v>
      </c>
      <c r="BW6" s="4" t="s">
        <v>27</v>
      </c>
      <c r="BX6" s="5" t="s">
        <v>26</v>
      </c>
      <c r="BY6" s="6" t="s">
        <v>27</v>
      </c>
      <c r="BZ6" s="2" t="s">
        <v>26</v>
      </c>
      <c r="CA6" s="3" t="s">
        <v>27</v>
      </c>
      <c r="CB6" s="3" t="s">
        <v>26</v>
      </c>
      <c r="CC6" s="4" t="s">
        <v>27</v>
      </c>
      <c r="CD6" s="5" t="s">
        <v>26</v>
      </c>
      <c r="CE6" s="6" t="s">
        <v>27</v>
      </c>
      <c r="CF6" s="2" t="s">
        <v>26</v>
      </c>
      <c r="CG6" s="3" t="s">
        <v>27</v>
      </c>
      <c r="CH6" s="3" t="s">
        <v>26</v>
      </c>
      <c r="CI6" s="4" t="s">
        <v>27</v>
      </c>
      <c r="CJ6" s="5" t="s">
        <v>26</v>
      </c>
      <c r="CK6" s="6" t="s">
        <v>27</v>
      </c>
      <c r="CL6" s="2" t="s">
        <v>26</v>
      </c>
      <c r="CM6" s="3" t="s">
        <v>27</v>
      </c>
      <c r="CN6" s="3" t="s">
        <v>26</v>
      </c>
      <c r="CO6" s="4" t="s">
        <v>27</v>
      </c>
      <c r="CP6" s="5" t="s">
        <v>26</v>
      </c>
      <c r="CQ6" s="6" t="s">
        <v>27</v>
      </c>
      <c r="CR6" s="2" t="s">
        <v>26</v>
      </c>
      <c r="CS6" s="3" t="s">
        <v>27</v>
      </c>
      <c r="CT6" s="3" t="s">
        <v>26</v>
      </c>
      <c r="CU6" s="4" t="s">
        <v>27</v>
      </c>
      <c r="CV6" s="5" t="s">
        <v>26</v>
      </c>
      <c r="CW6" s="6" t="s">
        <v>27</v>
      </c>
      <c r="CX6" s="2" t="s">
        <v>26</v>
      </c>
      <c r="CY6" s="3" t="s">
        <v>27</v>
      </c>
      <c r="CZ6" s="3" t="s">
        <v>26</v>
      </c>
      <c r="DA6" s="4" t="s">
        <v>27</v>
      </c>
      <c r="DB6" s="5" t="s">
        <v>26</v>
      </c>
      <c r="DC6" s="6" t="s">
        <v>27</v>
      </c>
      <c r="DD6" s="2" t="s">
        <v>26</v>
      </c>
      <c r="DE6" s="3" t="s">
        <v>27</v>
      </c>
      <c r="DF6" s="3" t="s">
        <v>26</v>
      </c>
      <c r="DG6" s="4" t="s">
        <v>27</v>
      </c>
      <c r="DH6" s="5" t="s">
        <v>26</v>
      </c>
      <c r="DI6" s="6" t="s">
        <v>27</v>
      </c>
      <c r="DJ6" s="2" t="s">
        <v>26</v>
      </c>
      <c r="DK6" s="3" t="s">
        <v>27</v>
      </c>
      <c r="DL6" s="3" t="s">
        <v>26</v>
      </c>
      <c r="DM6" s="4" t="s">
        <v>27</v>
      </c>
      <c r="DN6" s="5" t="s">
        <v>26</v>
      </c>
      <c r="DO6" s="6" t="s">
        <v>27</v>
      </c>
    </row>
    <row r="7" spans="1:119" ht="15.75">
      <c r="A7" s="40">
        <f t="shared" ref="A7:D7" si="0">SUBTOTAL(3,A9:A84)</f>
        <v>76</v>
      </c>
      <c r="B7" s="40">
        <f t="shared" si="0"/>
        <v>76</v>
      </c>
      <c r="C7" s="40">
        <f t="shared" si="0"/>
        <v>72</v>
      </c>
      <c r="D7" s="40">
        <f t="shared" si="0"/>
        <v>76</v>
      </c>
      <c r="E7" s="40">
        <f>SUBTOTAL(3,E9:E84)</f>
        <v>76</v>
      </c>
      <c r="F7" s="40">
        <f t="shared" ref="F7:BR7" si="1">SUBTOTAL(9,F9:F84)</f>
        <v>1694000</v>
      </c>
      <c r="G7" s="40">
        <f t="shared" si="1"/>
        <v>1838896.22</v>
      </c>
      <c r="H7" s="40">
        <f t="shared" si="1"/>
        <v>9274987.0223074984</v>
      </c>
      <c r="I7" s="40">
        <f t="shared" si="1"/>
        <v>8026992.0669999998</v>
      </c>
      <c r="J7" s="40">
        <f t="shared" si="1"/>
        <v>2190000</v>
      </c>
      <c r="K7" s="40">
        <f t="shared" si="1"/>
        <v>0</v>
      </c>
      <c r="L7" s="40">
        <f t="shared" si="1"/>
        <v>5390987.0223074984</v>
      </c>
      <c r="M7" s="40">
        <f t="shared" si="1"/>
        <v>6280987.0223074984</v>
      </c>
      <c r="N7" s="40">
        <f t="shared" si="1"/>
        <v>7580987.0223074984</v>
      </c>
      <c r="O7" s="40">
        <f t="shared" si="1"/>
        <v>1694000</v>
      </c>
      <c r="P7" s="40">
        <f t="shared" si="1"/>
        <v>9419883.2423074953</v>
      </c>
      <c r="Q7" s="40">
        <f t="shared" si="1"/>
        <v>2700000</v>
      </c>
      <c r="R7" s="40">
        <f t="shared" si="1"/>
        <v>2369010.1523074978</v>
      </c>
      <c r="S7" s="40">
        <f t="shared" si="1"/>
        <v>4890000</v>
      </c>
      <c r="T7" s="40">
        <f t="shared" si="1"/>
        <v>2369010.1523074978</v>
      </c>
      <c r="U7" s="40">
        <f t="shared" si="1"/>
        <v>0</v>
      </c>
      <c r="V7" s="40">
        <f t="shared" si="1"/>
        <v>0</v>
      </c>
      <c r="W7" s="40">
        <f t="shared" si="1"/>
        <v>305200</v>
      </c>
      <c r="X7" s="40">
        <f t="shared" si="1"/>
        <v>321976.87</v>
      </c>
      <c r="Y7" s="40">
        <f t="shared" si="1"/>
        <v>305200</v>
      </c>
      <c r="Z7" s="40">
        <f t="shared" si="1"/>
        <v>321976.87</v>
      </c>
      <c r="AA7" s="40">
        <f t="shared" si="1"/>
        <v>0</v>
      </c>
      <c r="AB7" s="40">
        <f t="shared" si="1"/>
        <v>0</v>
      </c>
      <c r="AC7" s="40">
        <f t="shared" si="1"/>
        <v>100000</v>
      </c>
      <c r="AD7" s="40">
        <f t="shared" si="1"/>
        <v>0</v>
      </c>
      <c r="AE7" s="40">
        <f t="shared" si="1"/>
        <v>100000</v>
      </c>
      <c r="AF7" s="40">
        <f t="shared" si="1"/>
        <v>0</v>
      </c>
      <c r="AG7" s="40">
        <f t="shared" si="1"/>
        <v>2700000</v>
      </c>
      <c r="AH7" s="40">
        <f t="shared" si="1"/>
        <v>2700000</v>
      </c>
      <c r="AI7" s="40">
        <f t="shared" si="1"/>
        <v>2774210.1523074978</v>
      </c>
      <c r="AJ7" s="40">
        <f t="shared" si="1"/>
        <v>2690987.0223074979</v>
      </c>
      <c r="AK7" s="40">
        <f t="shared" si="1"/>
        <v>5474210.1523074983</v>
      </c>
      <c r="AL7" s="40">
        <f t="shared" si="1"/>
        <v>5390987.0223074984</v>
      </c>
      <c r="AM7" s="40"/>
      <c r="AN7" s="40">
        <f t="shared" si="1"/>
        <v>250000</v>
      </c>
      <c r="AO7" s="40">
        <f t="shared" si="1"/>
        <v>60000</v>
      </c>
      <c r="AP7" s="40">
        <f t="shared" si="1"/>
        <v>0</v>
      </c>
      <c r="AQ7" s="40">
        <f t="shared" si="1"/>
        <v>190000</v>
      </c>
      <c r="AR7" s="40">
        <f t="shared" si="1"/>
        <v>250000</v>
      </c>
      <c r="AS7" s="40">
        <f t="shared" si="1"/>
        <v>250000</v>
      </c>
      <c r="AT7" s="40">
        <f t="shared" si="1"/>
        <v>250000</v>
      </c>
      <c r="AU7" s="40">
        <f t="shared" si="1"/>
        <v>1150000</v>
      </c>
      <c r="AV7" s="40">
        <f t="shared" si="1"/>
        <v>366000</v>
      </c>
      <c r="AW7" s="40">
        <f t="shared" si="1"/>
        <v>77302.77</v>
      </c>
      <c r="AX7" s="40">
        <f t="shared" si="1"/>
        <v>616000</v>
      </c>
      <c r="AY7" s="40">
        <f t="shared" si="1"/>
        <v>1227302.77</v>
      </c>
      <c r="AZ7" s="40">
        <f t="shared" si="1"/>
        <v>250000</v>
      </c>
      <c r="BA7" s="40">
        <f t="shared" si="1"/>
        <v>0</v>
      </c>
      <c r="BB7" s="40">
        <f t="shared" si="1"/>
        <v>25000</v>
      </c>
      <c r="BC7" s="40">
        <f t="shared" si="1"/>
        <v>160172.26999999999</v>
      </c>
      <c r="BD7" s="40">
        <f t="shared" si="1"/>
        <v>275000</v>
      </c>
      <c r="BE7" s="40">
        <f t="shared" si="1"/>
        <v>160000</v>
      </c>
      <c r="BF7" s="40">
        <f t="shared" si="1"/>
        <v>160172.26999999999</v>
      </c>
      <c r="BG7" s="40">
        <f t="shared" si="1"/>
        <v>0</v>
      </c>
      <c r="BH7" s="40">
        <f t="shared" si="1"/>
        <v>0</v>
      </c>
      <c r="BI7" s="40">
        <f t="shared" si="1"/>
        <v>553000</v>
      </c>
      <c r="BJ7" s="40">
        <f t="shared" si="1"/>
        <v>0</v>
      </c>
      <c r="BK7" s="40">
        <f t="shared" si="1"/>
        <v>553000</v>
      </c>
      <c r="BL7" s="40">
        <f t="shared" si="1"/>
        <v>56697</v>
      </c>
      <c r="BM7" s="40">
        <f t="shared" si="1"/>
        <v>0</v>
      </c>
      <c r="BN7" s="40">
        <f t="shared" si="1"/>
        <v>0</v>
      </c>
      <c r="BO7" s="40">
        <f t="shared" si="1"/>
        <v>0</v>
      </c>
      <c r="BP7" s="40">
        <f t="shared" si="1"/>
        <v>0</v>
      </c>
      <c r="BQ7" s="40">
        <f t="shared" si="1"/>
        <v>0</v>
      </c>
      <c r="BR7" s="40">
        <f t="shared" si="1"/>
        <v>0</v>
      </c>
      <c r="BS7" s="40">
        <f t="shared" ref="BS7:DO7" si="2">SUBTOTAL(9,BS9:BS84)</f>
        <v>0</v>
      </c>
      <c r="BT7" s="40">
        <f t="shared" si="2"/>
        <v>0</v>
      </c>
      <c r="BU7" s="40">
        <f t="shared" si="2"/>
        <v>0</v>
      </c>
      <c r="BV7" s="40">
        <f t="shared" si="2"/>
        <v>0</v>
      </c>
      <c r="BW7" s="40">
        <f t="shared" si="2"/>
        <v>0</v>
      </c>
      <c r="BX7" s="40">
        <f t="shared" si="2"/>
        <v>0</v>
      </c>
      <c r="BY7" s="40">
        <f t="shared" si="2"/>
        <v>0</v>
      </c>
      <c r="BZ7" s="40">
        <f t="shared" si="2"/>
        <v>0</v>
      </c>
      <c r="CA7" s="40">
        <f t="shared" si="2"/>
        <v>100000</v>
      </c>
      <c r="CB7" s="40">
        <f t="shared" si="2"/>
        <v>0</v>
      </c>
      <c r="CC7" s="40">
        <f t="shared" si="2"/>
        <v>101421.18</v>
      </c>
      <c r="CD7" s="40">
        <f t="shared" si="2"/>
        <v>0</v>
      </c>
      <c r="CE7" s="40">
        <f t="shared" si="2"/>
        <v>201421.18</v>
      </c>
      <c r="CF7" s="40">
        <f t="shared" si="2"/>
        <v>0</v>
      </c>
      <c r="CG7" s="40">
        <f t="shared" si="2"/>
        <v>0</v>
      </c>
      <c r="CH7" s="40">
        <f t="shared" si="2"/>
        <v>0</v>
      </c>
      <c r="CI7" s="40">
        <f t="shared" si="2"/>
        <v>0</v>
      </c>
      <c r="CJ7" s="40">
        <f t="shared" si="2"/>
        <v>0</v>
      </c>
      <c r="CK7" s="40">
        <f t="shared" si="2"/>
        <v>0</v>
      </c>
      <c r="CL7" s="40">
        <f t="shared" si="2"/>
        <v>0</v>
      </c>
      <c r="CM7" s="40">
        <f t="shared" si="2"/>
        <v>0</v>
      </c>
      <c r="CN7" s="40">
        <f t="shared" si="2"/>
        <v>0</v>
      </c>
      <c r="CO7" s="40">
        <f t="shared" si="2"/>
        <v>0</v>
      </c>
      <c r="CP7" s="40">
        <f t="shared" si="2"/>
        <v>0</v>
      </c>
      <c r="CQ7" s="40">
        <f t="shared" si="2"/>
        <v>0</v>
      </c>
      <c r="CR7" s="40">
        <f t="shared" si="2"/>
        <v>0</v>
      </c>
      <c r="CS7" s="40">
        <f t="shared" si="2"/>
        <v>0</v>
      </c>
      <c r="CT7" s="40">
        <f t="shared" si="2"/>
        <v>0</v>
      </c>
      <c r="CU7" s="40">
        <f t="shared" si="2"/>
        <v>0</v>
      </c>
      <c r="CV7" s="40">
        <f t="shared" si="2"/>
        <v>0</v>
      </c>
      <c r="CW7" s="40">
        <f t="shared" si="2"/>
        <v>0</v>
      </c>
      <c r="CX7" s="40">
        <f t="shared" si="2"/>
        <v>0</v>
      </c>
      <c r="CY7" s="40">
        <f t="shared" si="2"/>
        <v>0</v>
      </c>
      <c r="CZ7" s="40">
        <f t="shared" si="2"/>
        <v>0</v>
      </c>
      <c r="DA7" s="40">
        <f t="shared" si="2"/>
        <v>0</v>
      </c>
      <c r="DB7" s="40">
        <f t="shared" si="2"/>
        <v>0</v>
      </c>
      <c r="DC7" s="40">
        <f t="shared" si="2"/>
        <v>0</v>
      </c>
      <c r="DD7" s="40">
        <f t="shared" si="2"/>
        <v>0</v>
      </c>
      <c r="DE7" s="40">
        <f t="shared" si="2"/>
        <v>0</v>
      </c>
      <c r="DF7" s="40">
        <f t="shared" si="2"/>
        <v>0</v>
      </c>
      <c r="DG7" s="40">
        <f t="shared" si="2"/>
        <v>0</v>
      </c>
      <c r="DH7" s="40">
        <f t="shared" si="2"/>
        <v>0</v>
      </c>
      <c r="DI7" s="40">
        <f t="shared" si="2"/>
        <v>0</v>
      </c>
      <c r="DJ7" s="40">
        <f t="shared" si="2"/>
        <v>750000</v>
      </c>
      <c r="DK7" s="40">
        <f t="shared" si="2"/>
        <v>1310000</v>
      </c>
      <c r="DL7" s="40">
        <f t="shared" si="2"/>
        <v>944000</v>
      </c>
      <c r="DM7" s="40">
        <f t="shared" si="2"/>
        <v>528896.22</v>
      </c>
      <c r="DN7" s="40">
        <f t="shared" si="2"/>
        <v>1694000</v>
      </c>
      <c r="DO7" s="40">
        <f t="shared" si="2"/>
        <v>1838896.22</v>
      </c>
    </row>
    <row r="8" spans="1:119">
      <c r="A8" s="50"/>
      <c r="B8" s="50"/>
      <c r="C8" s="50"/>
      <c r="D8" s="50"/>
      <c r="E8" s="50"/>
      <c r="F8" s="50"/>
      <c r="G8" s="50"/>
      <c r="H8" s="50"/>
      <c r="I8" s="41"/>
      <c r="J8" s="50"/>
      <c r="K8" s="50"/>
      <c r="L8" s="50"/>
      <c r="M8" s="50"/>
      <c r="N8" s="50"/>
      <c r="O8" s="193"/>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row>
    <row r="9" spans="1:119">
      <c r="A9" s="25">
        <v>1</v>
      </c>
      <c r="B9" s="26" t="s">
        <v>109</v>
      </c>
      <c r="C9" s="26" t="s">
        <v>450</v>
      </c>
      <c r="D9" s="26" t="s">
        <v>451</v>
      </c>
      <c r="E9" s="205" t="s">
        <v>1164</v>
      </c>
      <c r="F9" s="161">
        <f>SUM(DN9)</f>
        <v>0</v>
      </c>
      <c r="G9" s="161">
        <f>AS9+AY9+BF9+BM9+BS9+BY9+CE9+CK9+CQ9+CW9+DC9+DI9</f>
        <v>0</v>
      </c>
      <c r="H9" s="165">
        <f>J9+AL9+DN9</f>
        <v>1750.5</v>
      </c>
      <c r="I9" s="12">
        <v>0</v>
      </c>
      <c r="J9" s="219">
        <v>0</v>
      </c>
      <c r="K9" s="219">
        <v>0</v>
      </c>
      <c r="L9" s="127">
        <f t="shared" ref="L9" si="3">AL9</f>
        <v>1750.5</v>
      </c>
      <c r="M9" s="127">
        <f t="shared" ref="M9" si="4">IF(AJ9&gt;0,J9+AL9-K9,0)</f>
        <v>1750.5</v>
      </c>
      <c r="N9" s="127">
        <f t="shared" ref="N9" si="5">J9+L9</f>
        <v>1750.5</v>
      </c>
      <c r="O9" s="131">
        <f>H9-N9</f>
        <v>0</v>
      </c>
      <c r="P9" s="125">
        <f>IF(AND(AJ9&gt;0,DM9&gt;0),"შეცდომაა! ერთზე მეტი ბოლო ჩაბარება!",IF(OR(AJ9&gt;0,DM9&gt;0,),IF(AJ9&gt;0,J9+AL9,J9+AL9+DO9),IF(AND(J9=0,L9=0,DO9=0),"ნულოვანი შესრულება","მიმდინარეობს")))</f>
        <v>1750.5</v>
      </c>
      <c r="Q9" s="74"/>
      <c r="R9" s="74">
        <v>1750.5</v>
      </c>
      <c r="S9" s="74">
        <f t="shared" ref="S9:S26" si="6">J9+Q9</f>
        <v>0</v>
      </c>
      <c r="T9" s="74">
        <f t="shared" ref="T9:T26" si="7">R9</f>
        <v>1750.5</v>
      </c>
      <c r="U9" s="74"/>
      <c r="V9" s="74"/>
      <c r="W9" s="74"/>
      <c r="X9" s="74"/>
      <c r="Y9" s="74">
        <f>U9+W9</f>
        <v>0</v>
      </c>
      <c r="Z9" s="74">
        <f>V9+X9</f>
        <v>0</v>
      </c>
      <c r="AA9" s="74"/>
      <c r="AB9" s="74"/>
      <c r="AC9" s="74"/>
      <c r="AD9" s="74"/>
      <c r="AE9" s="74">
        <f>AA9+AC9</f>
        <v>0</v>
      </c>
      <c r="AF9" s="74">
        <f>AB9+AD9</f>
        <v>0</v>
      </c>
      <c r="AG9" s="74">
        <f>Q9+U9+AA9</f>
        <v>0</v>
      </c>
      <c r="AH9" s="74">
        <f>Q9+V9+AB9</f>
        <v>0</v>
      </c>
      <c r="AI9" s="74">
        <f>R9+W9+AC9</f>
        <v>1750.5</v>
      </c>
      <c r="AJ9" s="74">
        <f>R9+X9+AD9</f>
        <v>1750.5</v>
      </c>
      <c r="AK9" s="74">
        <f>AG9+AI9</f>
        <v>1750.5</v>
      </c>
      <c r="AL9" s="74">
        <f>AH9+AJ9</f>
        <v>1750.5</v>
      </c>
      <c r="AM9" s="74"/>
      <c r="AN9" s="74"/>
      <c r="AO9" s="74"/>
      <c r="AP9" s="74"/>
      <c r="AQ9" s="74"/>
      <c r="AR9" s="74">
        <f>AN9+AP9</f>
        <v>0</v>
      </c>
      <c r="AS9" s="74">
        <f>AO9+AQ9</f>
        <v>0</v>
      </c>
      <c r="AT9" s="74"/>
      <c r="AU9" s="74"/>
      <c r="AV9" s="74"/>
      <c r="AW9" s="74"/>
      <c r="AX9" s="74">
        <f>AT9+AV9</f>
        <v>0</v>
      </c>
      <c r="AY9" s="74">
        <f>AU9+AW9</f>
        <v>0</v>
      </c>
      <c r="AZ9" s="74"/>
      <c r="BA9" s="74"/>
      <c r="BB9" s="74"/>
      <c r="BC9" s="74"/>
      <c r="BD9" s="74">
        <f>AZ9+BB9</f>
        <v>0</v>
      </c>
      <c r="BE9" s="74"/>
      <c r="BF9" s="74">
        <f t="shared" ref="BF9:BF40" si="8">BA9+BC9</f>
        <v>0</v>
      </c>
      <c r="BG9" s="74"/>
      <c r="BH9" s="74"/>
      <c r="BI9" s="74"/>
      <c r="BJ9" s="74"/>
      <c r="BK9" s="74">
        <f>BG9+BI9</f>
        <v>0</v>
      </c>
      <c r="BL9" s="74"/>
      <c r="BM9" s="74">
        <f t="shared" ref="BM9:BM40" si="9">BH9+BJ9</f>
        <v>0</v>
      </c>
      <c r="BN9" s="74"/>
      <c r="BO9" s="74"/>
      <c r="BP9" s="74"/>
      <c r="BQ9" s="74"/>
      <c r="BR9" s="74">
        <f>BN9+BP9</f>
        <v>0</v>
      </c>
      <c r="BS9" s="74">
        <f>BO9+BQ9</f>
        <v>0</v>
      </c>
      <c r="BT9" s="74"/>
      <c r="BU9" s="74"/>
      <c r="BV9" s="74"/>
      <c r="BW9" s="74"/>
      <c r="BX9" s="74">
        <f>BT9+BV9</f>
        <v>0</v>
      </c>
      <c r="BY9" s="74">
        <f>BU9+BW9</f>
        <v>0</v>
      </c>
      <c r="BZ9" s="74"/>
      <c r="CA9" s="74"/>
      <c r="CB9" s="74"/>
      <c r="CC9" s="74"/>
      <c r="CD9" s="74">
        <f>BZ9+CB9</f>
        <v>0</v>
      </c>
      <c r="CE9" s="74">
        <f>CA9+CC9</f>
        <v>0</v>
      </c>
      <c r="CF9" s="74"/>
      <c r="CG9" s="74"/>
      <c r="CH9" s="74"/>
      <c r="CI9" s="74"/>
      <c r="CJ9" s="74">
        <f>CF9+CH9</f>
        <v>0</v>
      </c>
      <c r="CK9" s="74">
        <f>CG9+CI9</f>
        <v>0</v>
      </c>
      <c r="CL9" s="74"/>
      <c r="CM9" s="74"/>
      <c r="CN9" s="74"/>
      <c r="CO9" s="74"/>
      <c r="CP9" s="74">
        <f>CL9+CN9</f>
        <v>0</v>
      </c>
      <c r="CQ9" s="74">
        <f>CM9+CO9</f>
        <v>0</v>
      </c>
      <c r="CR9" s="74"/>
      <c r="CS9" s="74"/>
      <c r="CT9" s="74"/>
      <c r="CU9" s="74"/>
      <c r="CV9" s="74">
        <f>CR9+CT9</f>
        <v>0</v>
      </c>
      <c r="CW9" s="74">
        <f>CS9+CU9</f>
        <v>0</v>
      </c>
      <c r="CX9" s="74"/>
      <c r="CY9" s="74"/>
      <c r="CZ9" s="74"/>
      <c r="DA9" s="74"/>
      <c r="DB9" s="74">
        <f>CX9+CZ9</f>
        <v>0</v>
      </c>
      <c r="DC9" s="74">
        <f>CY9+DA9</f>
        <v>0</v>
      </c>
      <c r="DD9" s="74"/>
      <c r="DE9" s="74"/>
      <c r="DF9" s="74"/>
      <c r="DG9" s="74"/>
      <c r="DH9" s="74">
        <f>DD9+DF9</f>
        <v>0</v>
      </c>
      <c r="DI9" s="74">
        <f>DE9+DG9</f>
        <v>0</v>
      </c>
      <c r="DJ9" s="74">
        <f t="shared" ref="DJ9:DJ40" si="10">AN9+AT9+AZ9+BG9+BN9+BT9+BZ9+CF9+CL9+CR9+CX9+DD9</f>
        <v>0</v>
      </c>
      <c r="DK9" s="74">
        <f t="shared" ref="DK9:DK40" si="11">AO9+AU9+BA9+BH9+BO9+BU9+CA9+CG9+CM9+CS9+CY9+DE9</f>
        <v>0</v>
      </c>
      <c r="DL9" s="74">
        <f t="shared" ref="DL9:DL40" si="12">AP9+AV9+BB9+BI9+BP9+BV9+CB9+CH9+CN9+CT9+CZ9+DF9</f>
        <v>0</v>
      </c>
      <c r="DM9" s="74">
        <f t="shared" ref="DM9:DM40" si="13">AQ9+AW9+BC9+BJ9+BQ9+BW9+CC9+CI9+CO9+CU9+DA9+DG9</f>
        <v>0</v>
      </c>
      <c r="DN9" s="74">
        <f>DJ9+DL9</f>
        <v>0</v>
      </c>
      <c r="DO9" s="74">
        <f>DK9+DM9</f>
        <v>0</v>
      </c>
    </row>
    <row r="10" spans="1:119">
      <c r="A10" s="25">
        <v>2</v>
      </c>
      <c r="B10" s="26" t="s">
        <v>109</v>
      </c>
      <c r="C10" s="26" t="s">
        <v>450</v>
      </c>
      <c r="D10" s="26" t="s">
        <v>452</v>
      </c>
      <c r="E10" s="205" t="s">
        <v>1165</v>
      </c>
      <c r="F10" s="161">
        <f t="shared" ref="F10:F73" si="14">SUM(DN10)</f>
        <v>0</v>
      </c>
      <c r="G10" s="161">
        <f t="shared" ref="G10:G73" si="15">AS10+AY10+BF10+BM10+BS10+BY10+CE10+CK10+CQ10+CW10+DC10+DI10</f>
        <v>0</v>
      </c>
      <c r="H10" s="165">
        <f t="shared" ref="H10:H73" si="16">J10+AL10+DN10</f>
        <v>104211.68848781398</v>
      </c>
      <c r="I10" s="79"/>
      <c r="J10" s="219">
        <v>0</v>
      </c>
      <c r="K10" s="219">
        <v>0</v>
      </c>
      <c r="L10" s="127">
        <f t="shared" ref="L10:L73" si="17">AL10</f>
        <v>104211.68848781398</v>
      </c>
      <c r="M10" s="127">
        <f t="shared" ref="M10:M73" si="18">IF(AJ10&gt;0,J10+AL10-K10,0)</f>
        <v>104211.68848781398</v>
      </c>
      <c r="N10" s="127">
        <f t="shared" ref="N10:N73" si="19">J10+L10</f>
        <v>104211.68848781398</v>
      </c>
      <c r="O10" s="131">
        <f t="shared" ref="O10:O73" si="20">H10-N10</f>
        <v>0</v>
      </c>
      <c r="P10" s="125">
        <f t="shared" ref="P10:P73" si="21">IF(AND(AJ10&gt;0,DM10&gt;0),"შეცდომაა! ერთზე მეტი ბოლო ჩაბარება!",IF(OR(AJ10&gt;0,DM10&gt;0,),IF(AJ10&gt;0,J10+AL10,J10+AL10+DO10),IF(AND(J10=0,L10=0,DO10=0),"ნულოვანი შესრულება","მიმდინარეობს")))</f>
        <v>104211.68848781398</v>
      </c>
      <c r="Q10" s="74"/>
      <c r="R10" s="74">
        <v>104211.68848781398</v>
      </c>
      <c r="S10" s="74">
        <f t="shared" si="6"/>
        <v>0</v>
      </c>
      <c r="T10" s="74">
        <f t="shared" si="7"/>
        <v>104211.68848781398</v>
      </c>
      <c r="U10" s="74"/>
      <c r="V10" s="74"/>
      <c r="W10" s="74"/>
      <c r="X10" s="74"/>
      <c r="Y10" s="74">
        <f t="shared" ref="Y10:Z73" si="22">U10+W10</f>
        <v>0</v>
      </c>
      <c r="Z10" s="74">
        <f t="shared" si="22"/>
        <v>0</v>
      </c>
      <c r="AA10" s="74"/>
      <c r="AB10" s="74"/>
      <c r="AC10" s="74"/>
      <c r="AD10" s="74"/>
      <c r="AE10" s="74">
        <f t="shared" ref="AE10:AF73" si="23">AA10+AC10</f>
        <v>0</v>
      </c>
      <c r="AF10" s="74">
        <f t="shared" si="23"/>
        <v>0</v>
      </c>
      <c r="AG10" s="74">
        <f t="shared" ref="AG10:AG73" si="24">Q10+U10+AA10</f>
        <v>0</v>
      </c>
      <c r="AH10" s="74">
        <f t="shared" ref="AH10:AI73" si="25">Q10+V10+AB10</f>
        <v>0</v>
      </c>
      <c r="AI10" s="74">
        <f t="shared" si="25"/>
        <v>104211.68848781398</v>
      </c>
      <c r="AJ10" s="74">
        <f t="shared" ref="AJ10:AJ73" si="26">R10+X10+AD10</f>
        <v>104211.68848781398</v>
      </c>
      <c r="AK10" s="74">
        <f t="shared" ref="AK10:AL73" si="27">AG10+AI10</f>
        <v>104211.68848781398</v>
      </c>
      <c r="AL10" s="74">
        <f t="shared" si="27"/>
        <v>104211.68848781398</v>
      </c>
      <c r="AM10" s="74"/>
      <c r="AN10" s="74"/>
      <c r="AO10" s="74"/>
      <c r="AP10" s="74"/>
      <c r="AQ10" s="74"/>
      <c r="AR10" s="74">
        <f t="shared" ref="AR10:AS73" si="28">AN10+AP10</f>
        <v>0</v>
      </c>
      <c r="AS10" s="74">
        <f t="shared" si="28"/>
        <v>0</v>
      </c>
      <c r="AT10" s="74"/>
      <c r="AU10" s="74"/>
      <c r="AV10" s="74"/>
      <c r="AW10" s="74"/>
      <c r="AX10" s="74">
        <f t="shared" ref="AX10:AY73" si="29">AT10+AV10</f>
        <v>0</v>
      </c>
      <c r="AY10" s="74">
        <f t="shared" si="29"/>
        <v>0</v>
      </c>
      <c r="AZ10" s="74"/>
      <c r="BA10" s="74"/>
      <c r="BB10" s="74"/>
      <c r="BC10" s="74"/>
      <c r="BD10" s="74">
        <f t="shared" ref="BD10:BD73" si="30">AZ10+BB10</f>
        <v>0</v>
      </c>
      <c r="BE10" s="74"/>
      <c r="BF10" s="74">
        <f t="shared" si="8"/>
        <v>0</v>
      </c>
      <c r="BG10" s="74"/>
      <c r="BH10" s="74"/>
      <c r="BI10" s="74"/>
      <c r="BJ10" s="74"/>
      <c r="BK10" s="74">
        <f t="shared" ref="BK10:BK73" si="31">BG10+BI10</f>
        <v>0</v>
      </c>
      <c r="BL10" s="74"/>
      <c r="BM10" s="74">
        <f t="shared" si="9"/>
        <v>0</v>
      </c>
      <c r="BN10" s="74"/>
      <c r="BO10" s="74"/>
      <c r="BP10" s="74"/>
      <c r="BQ10" s="74"/>
      <c r="BR10" s="74">
        <f t="shared" ref="BR10:BS73" si="32">BN10+BP10</f>
        <v>0</v>
      </c>
      <c r="BS10" s="74">
        <f t="shared" si="32"/>
        <v>0</v>
      </c>
      <c r="BT10" s="74"/>
      <c r="BU10" s="74"/>
      <c r="BV10" s="74"/>
      <c r="BW10" s="74"/>
      <c r="BX10" s="74">
        <f t="shared" ref="BX10:BY73" si="33">BT10+BV10</f>
        <v>0</v>
      </c>
      <c r="BY10" s="74">
        <f t="shared" si="33"/>
        <v>0</v>
      </c>
      <c r="BZ10" s="74"/>
      <c r="CA10" s="74"/>
      <c r="CB10" s="74"/>
      <c r="CC10" s="74"/>
      <c r="CD10" s="74">
        <f t="shared" ref="CD10:CE73" si="34">BZ10+CB10</f>
        <v>0</v>
      </c>
      <c r="CE10" s="74">
        <f t="shared" si="34"/>
        <v>0</v>
      </c>
      <c r="CF10" s="74"/>
      <c r="CG10" s="74"/>
      <c r="CH10" s="74"/>
      <c r="CI10" s="74"/>
      <c r="CJ10" s="74">
        <f t="shared" ref="CJ10:CK73" si="35">CF10+CH10</f>
        <v>0</v>
      </c>
      <c r="CK10" s="74">
        <f t="shared" si="35"/>
        <v>0</v>
      </c>
      <c r="CL10" s="74"/>
      <c r="CM10" s="74"/>
      <c r="CN10" s="74"/>
      <c r="CO10" s="74"/>
      <c r="CP10" s="74">
        <f t="shared" ref="CP10:CQ73" si="36">CL10+CN10</f>
        <v>0</v>
      </c>
      <c r="CQ10" s="74">
        <f t="shared" si="36"/>
        <v>0</v>
      </c>
      <c r="CR10" s="74"/>
      <c r="CS10" s="74"/>
      <c r="CT10" s="74"/>
      <c r="CU10" s="74"/>
      <c r="CV10" s="74">
        <f t="shared" ref="CV10:CW73" si="37">CR10+CT10</f>
        <v>0</v>
      </c>
      <c r="CW10" s="74">
        <f t="shared" si="37"/>
        <v>0</v>
      </c>
      <c r="CX10" s="74"/>
      <c r="CY10" s="74"/>
      <c r="CZ10" s="74"/>
      <c r="DA10" s="74"/>
      <c r="DB10" s="74">
        <f t="shared" ref="DB10:DC73" si="38">CX10+CZ10</f>
        <v>0</v>
      </c>
      <c r="DC10" s="74">
        <f t="shared" si="38"/>
        <v>0</v>
      </c>
      <c r="DD10" s="74"/>
      <c r="DE10" s="74"/>
      <c r="DF10" s="74"/>
      <c r="DG10" s="74"/>
      <c r="DH10" s="74">
        <f t="shared" ref="DH10:DI73" si="39">DD10+DF10</f>
        <v>0</v>
      </c>
      <c r="DI10" s="74">
        <f t="shared" si="39"/>
        <v>0</v>
      </c>
      <c r="DJ10" s="74">
        <f t="shared" si="10"/>
        <v>0</v>
      </c>
      <c r="DK10" s="74">
        <f t="shared" si="11"/>
        <v>0</v>
      </c>
      <c r="DL10" s="74">
        <f t="shared" si="12"/>
        <v>0</v>
      </c>
      <c r="DM10" s="74">
        <f t="shared" si="13"/>
        <v>0</v>
      </c>
      <c r="DN10" s="74">
        <f t="shared" ref="DN10:DO73" si="40">DJ10+DL10</f>
        <v>0</v>
      </c>
      <c r="DO10" s="74">
        <f t="shared" si="40"/>
        <v>0</v>
      </c>
    </row>
    <row r="11" spans="1:119">
      <c r="A11" s="25">
        <v>3</v>
      </c>
      <c r="B11" s="26" t="s">
        <v>453</v>
      </c>
      <c r="C11" s="26" t="s">
        <v>454</v>
      </c>
      <c r="D11" s="26" t="s">
        <v>455</v>
      </c>
      <c r="E11" s="205" t="s">
        <v>1165</v>
      </c>
      <c r="F11" s="161">
        <f t="shared" si="14"/>
        <v>0</v>
      </c>
      <c r="G11" s="161">
        <f t="shared" si="15"/>
        <v>0</v>
      </c>
      <c r="H11" s="165">
        <f t="shared" si="16"/>
        <v>48392.410678509747</v>
      </c>
      <c r="I11" s="12">
        <v>82685.313999999998</v>
      </c>
      <c r="J11" s="219">
        <v>0</v>
      </c>
      <c r="K11" s="219">
        <v>0</v>
      </c>
      <c r="L11" s="127">
        <f t="shared" si="17"/>
        <v>48392.410678509747</v>
      </c>
      <c r="M11" s="127">
        <f t="shared" si="18"/>
        <v>48392.410678509747</v>
      </c>
      <c r="N11" s="127">
        <f t="shared" si="19"/>
        <v>48392.410678509747</v>
      </c>
      <c r="O11" s="131">
        <f t="shared" si="20"/>
        <v>0</v>
      </c>
      <c r="P11" s="125">
        <f t="shared" si="21"/>
        <v>48392.410678509747</v>
      </c>
      <c r="Q11" s="74"/>
      <c r="R11" s="74">
        <v>48392.410678509747</v>
      </c>
      <c r="S11" s="74">
        <f t="shared" si="6"/>
        <v>0</v>
      </c>
      <c r="T11" s="74">
        <f t="shared" si="7"/>
        <v>48392.410678509747</v>
      </c>
      <c r="U11" s="74"/>
      <c r="V11" s="74"/>
      <c r="W11" s="74"/>
      <c r="X11" s="74"/>
      <c r="Y11" s="74">
        <f t="shared" si="22"/>
        <v>0</v>
      </c>
      <c r="Z11" s="74">
        <f t="shared" si="22"/>
        <v>0</v>
      </c>
      <c r="AA11" s="74"/>
      <c r="AB11" s="74"/>
      <c r="AC11" s="74"/>
      <c r="AD11" s="74"/>
      <c r="AE11" s="74">
        <f t="shared" si="23"/>
        <v>0</v>
      </c>
      <c r="AF11" s="74">
        <f t="shared" si="23"/>
        <v>0</v>
      </c>
      <c r="AG11" s="74">
        <f t="shared" si="24"/>
        <v>0</v>
      </c>
      <c r="AH11" s="74">
        <f t="shared" si="25"/>
        <v>0</v>
      </c>
      <c r="AI11" s="74">
        <f t="shared" si="25"/>
        <v>48392.410678509747</v>
      </c>
      <c r="AJ11" s="74">
        <f t="shared" si="26"/>
        <v>48392.410678509747</v>
      </c>
      <c r="AK11" s="74">
        <f t="shared" si="27"/>
        <v>48392.410678509747</v>
      </c>
      <c r="AL11" s="74">
        <f t="shared" si="27"/>
        <v>48392.410678509747</v>
      </c>
      <c r="AM11" s="74"/>
      <c r="AN11" s="74"/>
      <c r="AO11" s="74"/>
      <c r="AP11" s="74"/>
      <c r="AQ11" s="74"/>
      <c r="AR11" s="74">
        <f t="shared" si="28"/>
        <v>0</v>
      </c>
      <c r="AS11" s="74">
        <f t="shared" si="28"/>
        <v>0</v>
      </c>
      <c r="AT11" s="74"/>
      <c r="AU11" s="74"/>
      <c r="AV11" s="74"/>
      <c r="AW11" s="74"/>
      <c r="AX11" s="74">
        <f t="shared" si="29"/>
        <v>0</v>
      </c>
      <c r="AY11" s="74">
        <f t="shared" si="29"/>
        <v>0</v>
      </c>
      <c r="AZ11" s="74"/>
      <c r="BA11" s="74"/>
      <c r="BB11" s="74"/>
      <c r="BC11" s="74"/>
      <c r="BD11" s="74">
        <f t="shared" si="30"/>
        <v>0</v>
      </c>
      <c r="BE11" s="74"/>
      <c r="BF11" s="74">
        <f t="shared" si="8"/>
        <v>0</v>
      </c>
      <c r="BG11" s="74"/>
      <c r="BH11" s="74"/>
      <c r="BI11" s="74"/>
      <c r="BJ11" s="74"/>
      <c r="BK11" s="74">
        <f t="shared" si="31"/>
        <v>0</v>
      </c>
      <c r="BL11" s="74"/>
      <c r="BM11" s="74">
        <f t="shared" si="9"/>
        <v>0</v>
      </c>
      <c r="BN11" s="74"/>
      <c r="BO11" s="74"/>
      <c r="BP11" s="74"/>
      <c r="BQ11" s="74"/>
      <c r="BR11" s="74">
        <f t="shared" si="32"/>
        <v>0</v>
      </c>
      <c r="BS11" s="74">
        <f t="shared" si="32"/>
        <v>0</v>
      </c>
      <c r="BT11" s="74"/>
      <c r="BU11" s="74"/>
      <c r="BV11" s="74"/>
      <c r="BW11" s="74"/>
      <c r="BX11" s="74">
        <f t="shared" si="33"/>
        <v>0</v>
      </c>
      <c r="BY11" s="74">
        <f t="shared" si="33"/>
        <v>0</v>
      </c>
      <c r="BZ11" s="74"/>
      <c r="CA11" s="74"/>
      <c r="CB11" s="74"/>
      <c r="CC11" s="74"/>
      <c r="CD11" s="74">
        <f t="shared" si="34"/>
        <v>0</v>
      </c>
      <c r="CE11" s="74">
        <f t="shared" si="34"/>
        <v>0</v>
      </c>
      <c r="CF11" s="74"/>
      <c r="CG11" s="74"/>
      <c r="CH11" s="74"/>
      <c r="CI11" s="74"/>
      <c r="CJ11" s="74">
        <f t="shared" si="35"/>
        <v>0</v>
      </c>
      <c r="CK11" s="74">
        <f t="shared" si="35"/>
        <v>0</v>
      </c>
      <c r="CL11" s="74"/>
      <c r="CM11" s="74"/>
      <c r="CN11" s="74"/>
      <c r="CO11" s="74"/>
      <c r="CP11" s="74">
        <f t="shared" si="36"/>
        <v>0</v>
      </c>
      <c r="CQ11" s="74">
        <f t="shared" si="36"/>
        <v>0</v>
      </c>
      <c r="CR11" s="74"/>
      <c r="CS11" s="74"/>
      <c r="CT11" s="74"/>
      <c r="CU11" s="74"/>
      <c r="CV11" s="74">
        <f t="shared" si="37"/>
        <v>0</v>
      </c>
      <c r="CW11" s="74">
        <f t="shared" si="37"/>
        <v>0</v>
      </c>
      <c r="CX11" s="74"/>
      <c r="CY11" s="74"/>
      <c r="CZ11" s="74"/>
      <c r="DA11" s="74"/>
      <c r="DB11" s="74">
        <f t="shared" si="38"/>
        <v>0</v>
      </c>
      <c r="DC11" s="74">
        <f t="shared" si="38"/>
        <v>0</v>
      </c>
      <c r="DD11" s="74"/>
      <c r="DE11" s="74"/>
      <c r="DF11" s="74"/>
      <c r="DG11" s="74"/>
      <c r="DH11" s="74">
        <f t="shared" si="39"/>
        <v>0</v>
      </c>
      <c r="DI11" s="74">
        <f t="shared" si="39"/>
        <v>0</v>
      </c>
      <c r="DJ11" s="74">
        <f t="shared" si="10"/>
        <v>0</v>
      </c>
      <c r="DK11" s="74">
        <f t="shared" si="11"/>
        <v>0</v>
      </c>
      <c r="DL11" s="74">
        <f t="shared" si="12"/>
        <v>0</v>
      </c>
      <c r="DM11" s="74">
        <f t="shared" si="13"/>
        <v>0</v>
      </c>
      <c r="DN11" s="74">
        <f t="shared" si="40"/>
        <v>0</v>
      </c>
      <c r="DO11" s="74">
        <f t="shared" si="40"/>
        <v>0</v>
      </c>
    </row>
    <row r="12" spans="1:119">
      <c r="A12" s="25">
        <v>4</v>
      </c>
      <c r="B12" s="26" t="s">
        <v>456</v>
      </c>
      <c r="C12" s="26" t="s">
        <v>457</v>
      </c>
      <c r="D12" s="26" t="s">
        <v>458</v>
      </c>
      <c r="E12" s="205" t="s">
        <v>1165</v>
      </c>
      <c r="F12" s="161">
        <f t="shared" si="14"/>
        <v>0</v>
      </c>
      <c r="G12" s="161">
        <f t="shared" si="15"/>
        <v>0</v>
      </c>
      <c r="H12" s="165">
        <f t="shared" si="16"/>
        <v>259004.10836039056</v>
      </c>
      <c r="I12" s="12">
        <v>185212.79999999999</v>
      </c>
      <c r="J12" s="219">
        <v>0</v>
      </c>
      <c r="K12" s="219">
        <v>0</v>
      </c>
      <c r="L12" s="127">
        <f t="shared" si="17"/>
        <v>259004.10836039056</v>
      </c>
      <c r="M12" s="127">
        <f t="shared" si="18"/>
        <v>259004.10836039056</v>
      </c>
      <c r="N12" s="127">
        <f t="shared" si="19"/>
        <v>259004.10836039056</v>
      </c>
      <c r="O12" s="131">
        <f t="shared" si="20"/>
        <v>0</v>
      </c>
      <c r="P12" s="125">
        <f t="shared" si="21"/>
        <v>259004.10836039056</v>
      </c>
      <c r="Q12" s="74"/>
      <c r="R12" s="74">
        <v>259004.10836039056</v>
      </c>
      <c r="S12" s="74">
        <f t="shared" si="6"/>
        <v>0</v>
      </c>
      <c r="T12" s="74">
        <f t="shared" si="7"/>
        <v>259004.10836039056</v>
      </c>
      <c r="U12" s="74"/>
      <c r="V12" s="74"/>
      <c r="W12" s="74"/>
      <c r="X12" s="74"/>
      <c r="Y12" s="74">
        <f t="shared" si="22"/>
        <v>0</v>
      </c>
      <c r="Z12" s="74">
        <f t="shared" si="22"/>
        <v>0</v>
      </c>
      <c r="AA12" s="74"/>
      <c r="AB12" s="74"/>
      <c r="AC12" s="74"/>
      <c r="AD12" s="74"/>
      <c r="AE12" s="74">
        <f t="shared" si="23"/>
        <v>0</v>
      </c>
      <c r="AF12" s="74">
        <f t="shared" si="23"/>
        <v>0</v>
      </c>
      <c r="AG12" s="74">
        <f t="shared" si="24"/>
        <v>0</v>
      </c>
      <c r="AH12" s="74">
        <f t="shared" si="25"/>
        <v>0</v>
      </c>
      <c r="AI12" s="74">
        <f t="shared" si="25"/>
        <v>259004.10836039056</v>
      </c>
      <c r="AJ12" s="74">
        <f t="shared" si="26"/>
        <v>259004.10836039056</v>
      </c>
      <c r="AK12" s="74">
        <f t="shared" si="27"/>
        <v>259004.10836039056</v>
      </c>
      <c r="AL12" s="74">
        <f t="shared" si="27"/>
        <v>259004.10836039056</v>
      </c>
      <c r="AM12" s="74"/>
      <c r="AN12" s="74"/>
      <c r="AO12" s="74"/>
      <c r="AP12" s="74"/>
      <c r="AQ12" s="74"/>
      <c r="AR12" s="74">
        <f t="shared" si="28"/>
        <v>0</v>
      </c>
      <c r="AS12" s="74">
        <f t="shared" si="28"/>
        <v>0</v>
      </c>
      <c r="AT12" s="74"/>
      <c r="AU12" s="74"/>
      <c r="AV12" s="74"/>
      <c r="AW12" s="74"/>
      <c r="AX12" s="74">
        <f t="shared" si="29"/>
        <v>0</v>
      </c>
      <c r="AY12" s="74">
        <f t="shared" si="29"/>
        <v>0</v>
      </c>
      <c r="AZ12" s="74"/>
      <c r="BA12" s="74"/>
      <c r="BB12" s="74"/>
      <c r="BC12" s="74"/>
      <c r="BD12" s="74">
        <f t="shared" si="30"/>
        <v>0</v>
      </c>
      <c r="BE12" s="74"/>
      <c r="BF12" s="74">
        <f t="shared" si="8"/>
        <v>0</v>
      </c>
      <c r="BG12" s="74"/>
      <c r="BH12" s="74"/>
      <c r="BI12" s="74"/>
      <c r="BJ12" s="74"/>
      <c r="BK12" s="74">
        <f t="shared" si="31"/>
        <v>0</v>
      </c>
      <c r="BL12" s="74"/>
      <c r="BM12" s="74">
        <f t="shared" si="9"/>
        <v>0</v>
      </c>
      <c r="BN12" s="74"/>
      <c r="BO12" s="74"/>
      <c r="BP12" s="74"/>
      <c r="BQ12" s="74"/>
      <c r="BR12" s="74">
        <f t="shared" si="32"/>
        <v>0</v>
      </c>
      <c r="BS12" s="74">
        <f t="shared" si="32"/>
        <v>0</v>
      </c>
      <c r="BT12" s="74"/>
      <c r="BU12" s="74"/>
      <c r="BV12" s="74"/>
      <c r="BW12" s="74"/>
      <c r="BX12" s="74">
        <f t="shared" si="33"/>
        <v>0</v>
      </c>
      <c r="BY12" s="74">
        <f t="shared" si="33"/>
        <v>0</v>
      </c>
      <c r="BZ12" s="74"/>
      <c r="CA12" s="74"/>
      <c r="CB12" s="74"/>
      <c r="CC12" s="74"/>
      <c r="CD12" s="74">
        <f t="shared" si="34"/>
        <v>0</v>
      </c>
      <c r="CE12" s="74">
        <f t="shared" si="34"/>
        <v>0</v>
      </c>
      <c r="CF12" s="74"/>
      <c r="CG12" s="74"/>
      <c r="CH12" s="74"/>
      <c r="CI12" s="74"/>
      <c r="CJ12" s="74">
        <f t="shared" si="35"/>
        <v>0</v>
      </c>
      <c r="CK12" s="74">
        <f t="shared" si="35"/>
        <v>0</v>
      </c>
      <c r="CL12" s="74"/>
      <c r="CM12" s="74"/>
      <c r="CN12" s="74"/>
      <c r="CO12" s="74"/>
      <c r="CP12" s="74">
        <f t="shared" si="36"/>
        <v>0</v>
      </c>
      <c r="CQ12" s="74">
        <f t="shared" si="36"/>
        <v>0</v>
      </c>
      <c r="CR12" s="74"/>
      <c r="CS12" s="74"/>
      <c r="CT12" s="74"/>
      <c r="CU12" s="74"/>
      <c r="CV12" s="74">
        <f t="shared" si="37"/>
        <v>0</v>
      </c>
      <c r="CW12" s="74">
        <f t="shared" si="37"/>
        <v>0</v>
      </c>
      <c r="CX12" s="74"/>
      <c r="CY12" s="74"/>
      <c r="CZ12" s="74"/>
      <c r="DA12" s="74"/>
      <c r="DB12" s="74">
        <f t="shared" si="38"/>
        <v>0</v>
      </c>
      <c r="DC12" s="74">
        <f t="shared" si="38"/>
        <v>0</v>
      </c>
      <c r="DD12" s="74"/>
      <c r="DE12" s="74"/>
      <c r="DF12" s="74"/>
      <c r="DG12" s="74"/>
      <c r="DH12" s="74">
        <f t="shared" si="39"/>
        <v>0</v>
      </c>
      <c r="DI12" s="74">
        <f t="shared" si="39"/>
        <v>0</v>
      </c>
      <c r="DJ12" s="74">
        <f t="shared" si="10"/>
        <v>0</v>
      </c>
      <c r="DK12" s="74">
        <f t="shared" si="11"/>
        <v>0</v>
      </c>
      <c r="DL12" s="74">
        <f t="shared" si="12"/>
        <v>0</v>
      </c>
      <c r="DM12" s="74">
        <f t="shared" si="13"/>
        <v>0</v>
      </c>
      <c r="DN12" s="74">
        <f t="shared" si="40"/>
        <v>0</v>
      </c>
      <c r="DO12" s="74">
        <f t="shared" si="40"/>
        <v>0</v>
      </c>
    </row>
    <row r="13" spans="1:119">
      <c r="A13" s="25">
        <v>5</v>
      </c>
      <c r="B13" s="26" t="s">
        <v>456</v>
      </c>
      <c r="C13" s="26" t="s">
        <v>459</v>
      </c>
      <c r="D13" s="26" t="s">
        <v>460</v>
      </c>
      <c r="E13" s="205" t="s">
        <v>1165</v>
      </c>
      <c r="F13" s="161">
        <f t="shared" si="14"/>
        <v>0</v>
      </c>
      <c r="G13" s="161">
        <f t="shared" si="15"/>
        <v>0</v>
      </c>
      <c r="H13" s="165">
        <f t="shared" si="16"/>
        <v>119014.69994616132</v>
      </c>
      <c r="I13" s="12">
        <v>35695</v>
      </c>
      <c r="J13" s="219">
        <v>0</v>
      </c>
      <c r="K13" s="219">
        <v>0</v>
      </c>
      <c r="L13" s="127">
        <f t="shared" si="17"/>
        <v>119014.69994616132</v>
      </c>
      <c r="M13" s="127">
        <f t="shared" si="18"/>
        <v>119014.69994616132</v>
      </c>
      <c r="N13" s="127">
        <f t="shared" si="19"/>
        <v>119014.69994616132</v>
      </c>
      <c r="O13" s="131">
        <f t="shared" si="20"/>
        <v>0</v>
      </c>
      <c r="P13" s="125">
        <f t="shared" si="21"/>
        <v>119014.69994616132</v>
      </c>
      <c r="Q13" s="74"/>
      <c r="R13" s="74">
        <v>119014.69994616132</v>
      </c>
      <c r="S13" s="74">
        <f t="shared" si="6"/>
        <v>0</v>
      </c>
      <c r="T13" s="74">
        <f t="shared" si="7"/>
        <v>119014.69994616132</v>
      </c>
      <c r="U13" s="74"/>
      <c r="V13" s="74"/>
      <c r="W13" s="74"/>
      <c r="X13" s="74"/>
      <c r="Y13" s="74">
        <f t="shared" si="22"/>
        <v>0</v>
      </c>
      <c r="Z13" s="74">
        <f t="shared" si="22"/>
        <v>0</v>
      </c>
      <c r="AA13" s="74"/>
      <c r="AB13" s="74"/>
      <c r="AC13" s="74"/>
      <c r="AD13" s="74"/>
      <c r="AE13" s="74">
        <f t="shared" si="23"/>
        <v>0</v>
      </c>
      <c r="AF13" s="74">
        <f t="shared" si="23"/>
        <v>0</v>
      </c>
      <c r="AG13" s="74">
        <f t="shared" si="24"/>
        <v>0</v>
      </c>
      <c r="AH13" s="74">
        <f t="shared" si="25"/>
        <v>0</v>
      </c>
      <c r="AI13" s="74">
        <f t="shared" si="25"/>
        <v>119014.69994616132</v>
      </c>
      <c r="AJ13" s="74">
        <f t="shared" si="26"/>
        <v>119014.69994616132</v>
      </c>
      <c r="AK13" s="74">
        <f t="shared" si="27"/>
        <v>119014.69994616132</v>
      </c>
      <c r="AL13" s="74">
        <f t="shared" si="27"/>
        <v>119014.69994616132</v>
      </c>
      <c r="AM13" s="74"/>
      <c r="AN13" s="74"/>
      <c r="AO13" s="74"/>
      <c r="AP13" s="74"/>
      <c r="AQ13" s="74"/>
      <c r="AR13" s="74">
        <f t="shared" si="28"/>
        <v>0</v>
      </c>
      <c r="AS13" s="74">
        <f t="shared" si="28"/>
        <v>0</v>
      </c>
      <c r="AT13" s="74"/>
      <c r="AU13" s="74"/>
      <c r="AV13" s="74"/>
      <c r="AW13" s="74"/>
      <c r="AX13" s="74">
        <f t="shared" si="29"/>
        <v>0</v>
      </c>
      <c r="AY13" s="74">
        <f t="shared" si="29"/>
        <v>0</v>
      </c>
      <c r="AZ13" s="74"/>
      <c r="BA13" s="74"/>
      <c r="BB13" s="74"/>
      <c r="BC13" s="74"/>
      <c r="BD13" s="74">
        <f t="shared" si="30"/>
        <v>0</v>
      </c>
      <c r="BE13" s="74"/>
      <c r="BF13" s="74">
        <f t="shared" si="8"/>
        <v>0</v>
      </c>
      <c r="BG13" s="74"/>
      <c r="BH13" s="74"/>
      <c r="BI13" s="74"/>
      <c r="BJ13" s="74"/>
      <c r="BK13" s="74">
        <f t="shared" si="31"/>
        <v>0</v>
      </c>
      <c r="BL13" s="74"/>
      <c r="BM13" s="74">
        <f t="shared" si="9"/>
        <v>0</v>
      </c>
      <c r="BN13" s="74"/>
      <c r="BO13" s="74"/>
      <c r="BP13" s="74"/>
      <c r="BQ13" s="74"/>
      <c r="BR13" s="74">
        <f t="shared" si="32"/>
        <v>0</v>
      </c>
      <c r="BS13" s="74">
        <f t="shared" si="32"/>
        <v>0</v>
      </c>
      <c r="BT13" s="74"/>
      <c r="BU13" s="74"/>
      <c r="BV13" s="74"/>
      <c r="BW13" s="74"/>
      <c r="BX13" s="74">
        <f t="shared" si="33"/>
        <v>0</v>
      </c>
      <c r="BY13" s="74">
        <f t="shared" si="33"/>
        <v>0</v>
      </c>
      <c r="BZ13" s="74"/>
      <c r="CA13" s="74"/>
      <c r="CB13" s="74"/>
      <c r="CC13" s="74"/>
      <c r="CD13" s="74">
        <f t="shared" si="34"/>
        <v>0</v>
      </c>
      <c r="CE13" s="74">
        <f t="shared" si="34"/>
        <v>0</v>
      </c>
      <c r="CF13" s="74"/>
      <c r="CG13" s="74"/>
      <c r="CH13" s="74"/>
      <c r="CI13" s="74"/>
      <c r="CJ13" s="74">
        <f t="shared" si="35"/>
        <v>0</v>
      </c>
      <c r="CK13" s="74">
        <f t="shared" si="35"/>
        <v>0</v>
      </c>
      <c r="CL13" s="74"/>
      <c r="CM13" s="74"/>
      <c r="CN13" s="74"/>
      <c r="CO13" s="74"/>
      <c r="CP13" s="74">
        <f t="shared" si="36"/>
        <v>0</v>
      </c>
      <c r="CQ13" s="74">
        <f t="shared" si="36"/>
        <v>0</v>
      </c>
      <c r="CR13" s="74"/>
      <c r="CS13" s="74"/>
      <c r="CT13" s="74"/>
      <c r="CU13" s="74"/>
      <c r="CV13" s="74">
        <f t="shared" si="37"/>
        <v>0</v>
      </c>
      <c r="CW13" s="74">
        <f t="shared" si="37"/>
        <v>0</v>
      </c>
      <c r="CX13" s="74"/>
      <c r="CY13" s="74"/>
      <c r="CZ13" s="74"/>
      <c r="DA13" s="74"/>
      <c r="DB13" s="74">
        <f t="shared" si="38"/>
        <v>0</v>
      </c>
      <c r="DC13" s="74">
        <f t="shared" si="38"/>
        <v>0</v>
      </c>
      <c r="DD13" s="74"/>
      <c r="DE13" s="74"/>
      <c r="DF13" s="74"/>
      <c r="DG13" s="74"/>
      <c r="DH13" s="74">
        <f t="shared" si="39"/>
        <v>0</v>
      </c>
      <c r="DI13" s="74">
        <f t="shared" si="39"/>
        <v>0</v>
      </c>
      <c r="DJ13" s="74">
        <f t="shared" si="10"/>
        <v>0</v>
      </c>
      <c r="DK13" s="74">
        <f t="shared" si="11"/>
        <v>0</v>
      </c>
      <c r="DL13" s="74">
        <f t="shared" si="12"/>
        <v>0</v>
      </c>
      <c r="DM13" s="74">
        <f t="shared" si="13"/>
        <v>0</v>
      </c>
      <c r="DN13" s="74">
        <f t="shared" si="40"/>
        <v>0</v>
      </c>
      <c r="DO13" s="74">
        <f t="shared" si="40"/>
        <v>0</v>
      </c>
    </row>
    <row r="14" spans="1:119">
      <c r="A14" s="25">
        <v>6</v>
      </c>
      <c r="B14" s="26" t="s">
        <v>456</v>
      </c>
      <c r="C14" s="26" t="s">
        <v>461</v>
      </c>
      <c r="D14" s="26" t="s">
        <v>462</v>
      </c>
      <c r="E14" s="205" t="s">
        <v>1165</v>
      </c>
      <c r="F14" s="161">
        <f t="shared" si="14"/>
        <v>0</v>
      </c>
      <c r="G14" s="161">
        <f t="shared" si="15"/>
        <v>0</v>
      </c>
      <c r="H14" s="165">
        <f t="shared" si="16"/>
        <v>91665.174553123128</v>
      </c>
      <c r="I14" s="12">
        <v>33453</v>
      </c>
      <c r="J14" s="219">
        <v>0</v>
      </c>
      <c r="K14" s="219">
        <v>0</v>
      </c>
      <c r="L14" s="127">
        <f t="shared" si="17"/>
        <v>91665.174553123128</v>
      </c>
      <c r="M14" s="127">
        <f t="shared" si="18"/>
        <v>91665.174553123128</v>
      </c>
      <c r="N14" s="127">
        <f t="shared" si="19"/>
        <v>91665.174553123128</v>
      </c>
      <c r="O14" s="131">
        <f t="shared" si="20"/>
        <v>0</v>
      </c>
      <c r="P14" s="125">
        <f t="shared" si="21"/>
        <v>91665.174553123128</v>
      </c>
      <c r="Q14" s="74"/>
      <c r="R14" s="74">
        <v>91665.174553123128</v>
      </c>
      <c r="S14" s="74">
        <f t="shared" si="6"/>
        <v>0</v>
      </c>
      <c r="T14" s="74">
        <f t="shared" si="7"/>
        <v>91665.174553123128</v>
      </c>
      <c r="U14" s="74"/>
      <c r="V14" s="74"/>
      <c r="W14" s="74"/>
      <c r="X14" s="74"/>
      <c r="Y14" s="74">
        <f t="shared" si="22"/>
        <v>0</v>
      </c>
      <c r="Z14" s="74">
        <f t="shared" si="22"/>
        <v>0</v>
      </c>
      <c r="AA14" s="74"/>
      <c r="AB14" s="74"/>
      <c r="AC14" s="74"/>
      <c r="AD14" s="74"/>
      <c r="AE14" s="74">
        <f t="shared" si="23"/>
        <v>0</v>
      </c>
      <c r="AF14" s="74">
        <f t="shared" si="23"/>
        <v>0</v>
      </c>
      <c r="AG14" s="74">
        <f t="shared" si="24"/>
        <v>0</v>
      </c>
      <c r="AH14" s="74">
        <f t="shared" si="25"/>
        <v>0</v>
      </c>
      <c r="AI14" s="74">
        <f t="shared" si="25"/>
        <v>91665.174553123128</v>
      </c>
      <c r="AJ14" s="74">
        <f t="shared" si="26"/>
        <v>91665.174553123128</v>
      </c>
      <c r="AK14" s="74">
        <f t="shared" si="27"/>
        <v>91665.174553123128</v>
      </c>
      <c r="AL14" s="74">
        <f t="shared" si="27"/>
        <v>91665.174553123128</v>
      </c>
      <c r="AM14" s="74"/>
      <c r="AN14" s="74"/>
      <c r="AO14" s="74"/>
      <c r="AP14" s="74"/>
      <c r="AQ14" s="74"/>
      <c r="AR14" s="74">
        <f t="shared" si="28"/>
        <v>0</v>
      </c>
      <c r="AS14" s="74">
        <f t="shared" si="28"/>
        <v>0</v>
      </c>
      <c r="AT14" s="74"/>
      <c r="AU14" s="74"/>
      <c r="AV14" s="74"/>
      <c r="AW14" s="74"/>
      <c r="AX14" s="74">
        <f t="shared" si="29"/>
        <v>0</v>
      </c>
      <c r="AY14" s="74">
        <f t="shared" si="29"/>
        <v>0</v>
      </c>
      <c r="AZ14" s="74"/>
      <c r="BA14" s="74"/>
      <c r="BB14" s="74"/>
      <c r="BC14" s="74"/>
      <c r="BD14" s="74">
        <f t="shared" si="30"/>
        <v>0</v>
      </c>
      <c r="BE14" s="74"/>
      <c r="BF14" s="74">
        <f t="shared" si="8"/>
        <v>0</v>
      </c>
      <c r="BG14" s="74"/>
      <c r="BH14" s="74"/>
      <c r="BI14" s="74"/>
      <c r="BJ14" s="74"/>
      <c r="BK14" s="74">
        <f t="shared" si="31"/>
        <v>0</v>
      </c>
      <c r="BL14" s="74"/>
      <c r="BM14" s="74">
        <f t="shared" si="9"/>
        <v>0</v>
      </c>
      <c r="BN14" s="74"/>
      <c r="BO14" s="74"/>
      <c r="BP14" s="74"/>
      <c r="BQ14" s="74"/>
      <c r="BR14" s="74">
        <f t="shared" si="32"/>
        <v>0</v>
      </c>
      <c r="BS14" s="74">
        <f t="shared" si="32"/>
        <v>0</v>
      </c>
      <c r="BT14" s="74"/>
      <c r="BU14" s="74"/>
      <c r="BV14" s="74"/>
      <c r="BW14" s="74"/>
      <c r="BX14" s="74">
        <f t="shared" si="33"/>
        <v>0</v>
      </c>
      <c r="BY14" s="74">
        <f t="shared" si="33"/>
        <v>0</v>
      </c>
      <c r="BZ14" s="74"/>
      <c r="CA14" s="74"/>
      <c r="CB14" s="74"/>
      <c r="CC14" s="74"/>
      <c r="CD14" s="74">
        <f t="shared" si="34"/>
        <v>0</v>
      </c>
      <c r="CE14" s="74">
        <f t="shared" si="34"/>
        <v>0</v>
      </c>
      <c r="CF14" s="74"/>
      <c r="CG14" s="74"/>
      <c r="CH14" s="74"/>
      <c r="CI14" s="74"/>
      <c r="CJ14" s="74">
        <f t="shared" si="35"/>
        <v>0</v>
      </c>
      <c r="CK14" s="74">
        <f t="shared" si="35"/>
        <v>0</v>
      </c>
      <c r="CL14" s="74"/>
      <c r="CM14" s="74"/>
      <c r="CN14" s="74"/>
      <c r="CO14" s="74"/>
      <c r="CP14" s="74">
        <f t="shared" si="36"/>
        <v>0</v>
      </c>
      <c r="CQ14" s="74">
        <f t="shared" si="36"/>
        <v>0</v>
      </c>
      <c r="CR14" s="74"/>
      <c r="CS14" s="74"/>
      <c r="CT14" s="74"/>
      <c r="CU14" s="74"/>
      <c r="CV14" s="74">
        <f t="shared" si="37"/>
        <v>0</v>
      </c>
      <c r="CW14" s="74">
        <f t="shared" si="37"/>
        <v>0</v>
      </c>
      <c r="CX14" s="74"/>
      <c r="CY14" s="74"/>
      <c r="CZ14" s="74"/>
      <c r="DA14" s="74"/>
      <c r="DB14" s="74">
        <f t="shared" si="38"/>
        <v>0</v>
      </c>
      <c r="DC14" s="74">
        <f t="shared" si="38"/>
        <v>0</v>
      </c>
      <c r="DD14" s="74"/>
      <c r="DE14" s="74"/>
      <c r="DF14" s="74"/>
      <c r="DG14" s="74"/>
      <c r="DH14" s="74">
        <f t="shared" si="39"/>
        <v>0</v>
      </c>
      <c r="DI14" s="74">
        <f t="shared" si="39"/>
        <v>0</v>
      </c>
      <c r="DJ14" s="74">
        <f t="shared" si="10"/>
        <v>0</v>
      </c>
      <c r="DK14" s="74">
        <f t="shared" si="11"/>
        <v>0</v>
      </c>
      <c r="DL14" s="74">
        <f t="shared" si="12"/>
        <v>0</v>
      </c>
      <c r="DM14" s="74">
        <f t="shared" si="13"/>
        <v>0</v>
      </c>
      <c r="DN14" s="74">
        <f t="shared" si="40"/>
        <v>0</v>
      </c>
      <c r="DO14" s="74">
        <f t="shared" si="40"/>
        <v>0</v>
      </c>
    </row>
    <row r="15" spans="1:119">
      <c r="A15" s="25">
        <v>7</v>
      </c>
      <c r="B15" s="26" t="s">
        <v>87</v>
      </c>
      <c r="C15" s="26" t="s">
        <v>463</v>
      </c>
      <c r="D15" s="26" t="s">
        <v>464</v>
      </c>
      <c r="E15" s="205" t="s">
        <v>1165</v>
      </c>
      <c r="F15" s="161">
        <f t="shared" si="14"/>
        <v>0</v>
      </c>
      <c r="G15" s="161">
        <f t="shared" si="15"/>
        <v>0</v>
      </c>
      <c r="H15" s="165">
        <f t="shared" si="16"/>
        <v>43287.191419608105</v>
      </c>
      <c r="I15" s="12">
        <v>43736.7</v>
      </c>
      <c r="J15" s="219">
        <v>0</v>
      </c>
      <c r="K15" s="219">
        <v>0</v>
      </c>
      <c r="L15" s="127">
        <f t="shared" si="17"/>
        <v>43287.191419608105</v>
      </c>
      <c r="M15" s="127">
        <f t="shared" si="18"/>
        <v>43287.191419608105</v>
      </c>
      <c r="N15" s="127">
        <f t="shared" si="19"/>
        <v>43287.191419608105</v>
      </c>
      <c r="O15" s="131">
        <f t="shared" si="20"/>
        <v>0</v>
      </c>
      <c r="P15" s="125">
        <f t="shared" si="21"/>
        <v>43287.191419608105</v>
      </c>
      <c r="Q15" s="74"/>
      <c r="R15" s="74">
        <v>43287.191419608105</v>
      </c>
      <c r="S15" s="74">
        <f t="shared" si="6"/>
        <v>0</v>
      </c>
      <c r="T15" s="74">
        <f t="shared" si="7"/>
        <v>43287.191419608105</v>
      </c>
      <c r="U15" s="74"/>
      <c r="V15" s="74"/>
      <c r="W15" s="74"/>
      <c r="X15" s="74"/>
      <c r="Y15" s="74">
        <f t="shared" si="22"/>
        <v>0</v>
      </c>
      <c r="Z15" s="74">
        <f t="shared" si="22"/>
        <v>0</v>
      </c>
      <c r="AA15" s="74"/>
      <c r="AB15" s="74"/>
      <c r="AC15" s="74"/>
      <c r="AD15" s="74"/>
      <c r="AE15" s="74">
        <f t="shared" si="23"/>
        <v>0</v>
      </c>
      <c r="AF15" s="74">
        <f t="shared" si="23"/>
        <v>0</v>
      </c>
      <c r="AG15" s="74">
        <f t="shared" si="24"/>
        <v>0</v>
      </c>
      <c r="AH15" s="74">
        <f t="shared" si="25"/>
        <v>0</v>
      </c>
      <c r="AI15" s="74">
        <f t="shared" si="25"/>
        <v>43287.191419608105</v>
      </c>
      <c r="AJ15" s="74">
        <f t="shared" si="26"/>
        <v>43287.191419608105</v>
      </c>
      <c r="AK15" s="74">
        <f t="shared" si="27"/>
        <v>43287.191419608105</v>
      </c>
      <c r="AL15" s="74">
        <f t="shared" si="27"/>
        <v>43287.191419608105</v>
      </c>
      <c r="AM15" s="74"/>
      <c r="AN15" s="74"/>
      <c r="AO15" s="74"/>
      <c r="AP15" s="74"/>
      <c r="AQ15" s="74"/>
      <c r="AR15" s="74">
        <f t="shared" si="28"/>
        <v>0</v>
      </c>
      <c r="AS15" s="74">
        <f t="shared" si="28"/>
        <v>0</v>
      </c>
      <c r="AT15" s="74"/>
      <c r="AU15" s="74"/>
      <c r="AV15" s="74"/>
      <c r="AW15" s="74"/>
      <c r="AX15" s="74">
        <f t="shared" si="29"/>
        <v>0</v>
      </c>
      <c r="AY15" s="74">
        <f t="shared" si="29"/>
        <v>0</v>
      </c>
      <c r="AZ15" s="74"/>
      <c r="BA15" s="74"/>
      <c r="BB15" s="74"/>
      <c r="BC15" s="74"/>
      <c r="BD15" s="74">
        <f t="shared" si="30"/>
        <v>0</v>
      </c>
      <c r="BE15" s="74"/>
      <c r="BF15" s="74">
        <f t="shared" si="8"/>
        <v>0</v>
      </c>
      <c r="BG15" s="74"/>
      <c r="BH15" s="74"/>
      <c r="BI15" s="74"/>
      <c r="BJ15" s="74"/>
      <c r="BK15" s="74">
        <f t="shared" si="31"/>
        <v>0</v>
      </c>
      <c r="BL15" s="74"/>
      <c r="BM15" s="74">
        <f t="shared" si="9"/>
        <v>0</v>
      </c>
      <c r="BN15" s="74"/>
      <c r="BO15" s="74"/>
      <c r="BP15" s="74"/>
      <c r="BQ15" s="74"/>
      <c r="BR15" s="74">
        <f t="shared" si="32"/>
        <v>0</v>
      </c>
      <c r="BS15" s="74">
        <f t="shared" si="32"/>
        <v>0</v>
      </c>
      <c r="BT15" s="74"/>
      <c r="BU15" s="74"/>
      <c r="BV15" s="74"/>
      <c r="BW15" s="74"/>
      <c r="BX15" s="74">
        <f t="shared" si="33"/>
        <v>0</v>
      </c>
      <c r="BY15" s="74">
        <f t="shared" si="33"/>
        <v>0</v>
      </c>
      <c r="BZ15" s="74"/>
      <c r="CA15" s="74"/>
      <c r="CB15" s="74"/>
      <c r="CC15" s="74"/>
      <c r="CD15" s="74">
        <f t="shared" si="34"/>
        <v>0</v>
      </c>
      <c r="CE15" s="74">
        <f t="shared" si="34"/>
        <v>0</v>
      </c>
      <c r="CF15" s="74"/>
      <c r="CG15" s="74"/>
      <c r="CH15" s="74"/>
      <c r="CI15" s="74"/>
      <c r="CJ15" s="74">
        <f t="shared" si="35"/>
        <v>0</v>
      </c>
      <c r="CK15" s="74">
        <f t="shared" si="35"/>
        <v>0</v>
      </c>
      <c r="CL15" s="74"/>
      <c r="CM15" s="74"/>
      <c r="CN15" s="74"/>
      <c r="CO15" s="74"/>
      <c r="CP15" s="74">
        <f t="shared" si="36"/>
        <v>0</v>
      </c>
      <c r="CQ15" s="74">
        <f t="shared" si="36"/>
        <v>0</v>
      </c>
      <c r="CR15" s="74"/>
      <c r="CS15" s="74"/>
      <c r="CT15" s="74"/>
      <c r="CU15" s="74"/>
      <c r="CV15" s="74">
        <f t="shared" si="37"/>
        <v>0</v>
      </c>
      <c r="CW15" s="74">
        <f t="shared" si="37"/>
        <v>0</v>
      </c>
      <c r="CX15" s="74"/>
      <c r="CY15" s="74"/>
      <c r="CZ15" s="74"/>
      <c r="DA15" s="74"/>
      <c r="DB15" s="74">
        <f t="shared" si="38"/>
        <v>0</v>
      </c>
      <c r="DC15" s="74">
        <f t="shared" si="38"/>
        <v>0</v>
      </c>
      <c r="DD15" s="74"/>
      <c r="DE15" s="74"/>
      <c r="DF15" s="74"/>
      <c r="DG15" s="74"/>
      <c r="DH15" s="74">
        <f t="shared" si="39"/>
        <v>0</v>
      </c>
      <c r="DI15" s="74">
        <f t="shared" si="39"/>
        <v>0</v>
      </c>
      <c r="DJ15" s="74">
        <f t="shared" si="10"/>
        <v>0</v>
      </c>
      <c r="DK15" s="74">
        <f t="shared" si="11"/>
        <v>0</v>
      </c>
      <c r="DL15" s="74">
        <f t="shared" si="12"/>
        <v>0</v>
      </c>
      <c r="DM15" s="74">
        <f t="shared" si="13"/>
        <v>0</v>
      </c>
      <c r="DN15" s="74">
        <f t="shared" si="40"/>
        <v>0</v>
      </c>
      <c r="DO15" s="74">
        <f t="shared" si="40"/>
        <v>0</v>
      </c>
    </row>
    <row r="16" spans="1:119">
      <c r="A16" s="25">
        <v>8</v>
      </c>
      <c r="B16" s="26" t="s">
        <v>456</v>
      </c>
      <c r="C16" s="26" t="s">
        <v>465</v>
      </c>
      <c r="D16" s="26" t="s">
        <v>466</v>
      </c>
      <c r="E16" s="205" t="s">
        <v>1165</v>
      </c>
      <c r="F16" s="161">
        <f t="shared" si="14"/>
        <v>0</v>
      </c>
      <c r="G16" s="161">
        <f t="shared" si="15"/>
        <v>0</v>
      </c>
      <c r="H16" s="165">
        <f t="shared" si="16"/>
        <v>229853.5041816991</v>
      </c>
      <c r="I16" s="12">
        <v>114530.79999999999</v>
      </c>
      <c r="J16" s="219">
        <v>0</v>
      </c>
      <c r="K16" s="219">
        <v>0</v>
      </c>
      <c r="L16" s="127">
        <f t="shared" si="17"/>
        <v>229853.5041816991</v>
      </c>
      <c r="M16" s="127">
        <f t="shared" si="18"/>
        <v>229853.5041816991</v>
      </c>
      <c r="N16" s="127">
        <f t="shared" si="19"/>
        <v>229853.5041816991</v>
      </c>
      <c r="O16" s="131">
        <f t="shared" si="20"/>
        <v>0</v>
      </c>
      <c r="P16" s="125">
        <f t="shared" si="21"/>
        <v>229853.5041816991</v>
      </c>
      <c r="Q16" s="74"/>
      <c r="R16" s="74">
        <v>229853.5041816991</v>
      </c>
      <c r="S16" s="74">
        <f t="shared" si="6"/>
        <v>0</v>
      </c>
      <c r="T16" s="74">
        <f t="shared" si="7"/>
        <v>229853.5041816991</v>
      </c>
      <c r="U16" s="74"/>
      <c r="V16" s="74"/>
      <c r="W16" s="74"/>
      <c r="X16" s="74"/>
      <c r="Y16" s="74">
        <f t="shared" si="22"/>
        <v>0</v>
      </c>
      <c r="Z16" s="74">
        <f t="shared" si="22"/>
        <v>0</v>
      </c>
      <c r="AA16" s="74"/>
      <c r="AB16" s="74"/>
      <c r="AC16" s="74"/>
      <c r="AD16" s="74"/>
      <c r="AE16" s="74">
        <f t="shared" si="23"/>
        <v>0</v>
      </c>
      <c r="AF16" s="74">
        <f t="shared" si="23"/>
        <v>0</v>
      </c>
      <c r="AG16" s="74">
        <f t="shared" si="24"/>
        <v>0</v>
      </c>
      <c r="AH16" s="74">
        <f t="shared" si="25"/>
        <v>0</v>
      </c>
      <c r="AI16" s="74">
        <f t="shared" si="25"/>
        <v>229853.5041816991</v>
      </c>
      <c r="AJ16" s="74">
        <f t="shared" si="26"/>
        <v>229853.5041816991</v>
      </c>
      <c r="AK16" s="74">
        <f t="shared" si="27"/>
        <v>229853.5041816991</v>
      </c>
      <c r="AL16" s="74">
        <f t="shared" si="27"/>
        <v>229853.5041816991</v>
      </c>
      <c r="AM16" s="74"/>
      <c r="AN16" s="74"/>
      <c r="AO16" s="74"/>
      <c r="AP16" s="74"/>
      <c r="AQ16" s="74"/>
      <c r="AR16" s="74">
        <f t="shared" si="28"/>
        <v>0</v>
      </c>
      <c r="AS16" s="74">
        <f t="shared" si="28"/>
        <v>0</v>
      </c>
      <c r="AT16" s="74"/>
      <c r="AU16" s="74"/>
      <c r="AV16" s="74"/>
      <c r="AW16" s="74"/>
      <c r="AX16" s="74">
        <f t="shared" si="29"/>
        <v>0</v>
      </c>
      <c r="AY16" s="74">
        <f t="shared" si="29"/>
        <v>0</v>
      </c>
      <c r="AZ16" s="74"/>
      <c r="BA16" s="74"/>
      <c r="BB16" s="74"/>
      <c r="BC16" s="74"/>
      <c r="BD16" s="74">
        <f t="shared" si="30"/>
        <v>0</v>
      </c>
      <c r="BE16" s="74"/>
      <c r="BF16" s="74">
        <f t="shared" si="8"/>
        <v>0</v>
      </c>
      <c r="BG16" s="74"/>
      <c r="BH16" s="74"/>
      <c r="BI16" s="74"/>
      <c r="BJ16" s="74"/>
      <c r="BK16" s="74">
        <f t="shared" si="31"/>
        <v>0</v>
      </c>
      <c r="BL16" s="74"/>
      <c r="BM16" s="74">
        <f t="shared" si="9"/>
        <v>0</v>
      </c>
      <c r="BN16" s="74"/>
      <c r="BO16" s="74"/>
      <c r="BP16" s="74"/>
      <c r="BQ16" s="74"/>
      <c r="BR16" s="74">
        <f t="shared" si="32"/>
        <v>0</v>
      </c>
      <c r="BS16" s="74">
        <f t="shared" si="32"/>
        <v>0</v>
      </c>
      <c r="BT16" s="74"/>
      <c r="BU16" s="74"/>
      <c r="BV16" s="74"/>
      <c r="BW16" s="74"/>
      <c r="BX16" s="74">
        <f t="shared" si="33"/>
        <v>0</v>
      </c>
      <c r="BY16" s="74">
        <f t="shared" si="33"/>
        <v>0</v>
      </c>
      <c r="BZ16" s="74"/>
      <c r="CA16" s="74"/>
      <c r="CB16" s="74"/>
      <c r="CC16" s="74"/>
      <c r="CD16" s="74">
        <f t="shared" si="34"/>
        <v>0</v>
      </c>
      <c r="CE16" s="74">
        <f t="shared" si="34"/>
        <v>0</v>
      </c>
      <c r="CF16" s="74"/>
      <c r="CG16" s="74"/>
      <c r="CH16" s="74"/>
      <c r="CI16" s="74"/>
      <c r="CJ16" s="74">
        <f t="shared" si="35"/>
        <v>0</v>
      </c>
      <c r="CK16" s="74">
        <f t="shared" si="35"/>
        <v>0</v>
      </c>
      <c r="CL16" s="74"/>
      <c r="CM16" s="74"/>
      <c r="CN16" s="74"/>
      <c r="CO16" s="74"/>
      <c r="CP16" s="74">
        <f t="shared" si="36"/>
        <v>0</v>
      </c>
      <c r="CQ16" s="74">
        <f t="shared" si="36"/>
        <v>0</v>
      </c>
      <c r="CR16" s="74"/>
      <c r="CS16" s="74"/>
      <c r="CT16" s="74"/>
      <c r="CU16" s="74"/>
      <c r="CV16" s="74">
        <f t="shared" si="37"/>
        <v>0</v>
      </c>
      <c r="CW16" s="74">
        <f t="shared" si="37"/>
        <v>0</v>
      </c>
      <c r="CX16" s="74"/>
      <c r="CY16" s="74"/>
      <c r="CZ16" s="74"/>
      <c r="DA16" s="74"/>
      <c r="DB16" s="74">
        <f t="shared" si="38"/>
        <v>0</v>
      </c>
      <c r="DC16" s="74">
        <f t="shared" si="38"/>
        <v>0</v>
      </c>
      <c r="DD16" s="74"/>
      <c r="DE16" s="74"/>
      <c r="DF16" s="74"/>
      <c r="DG16" s="74"/>
      <c r="DH16" s="74">
        <f t="shared" si="39"/>
        <v>0</v>
      </c>
      <c r="DI16" s="74">
        <f t="shared" si="39"/>
        <v>0</v>
      </c>
      <c r="DJ16" s="74">
        <f t="shared" si="10"/>
        <v>0</v>
      </c>
      <c r="DK16" s="74">
        <f t="shared" si="11"/>
        <v>0</v>
      </c>
      <c r="DL16" s="74">
        <f t="shared" si="12"/>
        <v>0</v>
      </c>
      <c r="DM16" s="74">
        <f t="shared" si="13"/>
        <v>0</v>
      </c>
      <c r="DN16" s="74">
        <f t="shared" si="40"/>
        <v>0</v>
      </c>
      <c r="DO16" s="74">
        <f t="shared" si="40"/>
        <v>0</v>
      </c>
    </row>
    <row r="17" spans="1:119">
      <c r="A17" s="25">
        <v>9</v>
      </c>
      <c r="B17" s="26" t="s">
        <v>453</v>
      </c>
      <c r="C17" s="26" t="s">
        <v>467</v>
      </c>
      <c r="D17" s="26" t="s">
        <v>468</v>
      </c>
      <c r="E17" s="205" t="s">
        <v>1164</v>
      </c>
      <c r="F17" s="161">
        <f t="shared" si="14"/>
        <v>0</v>
      </c>
      <c r="G17" s="161">
        <f t="shared" si="15"/>
        <v>0</v>
      </c>
      <c r="H17" s="165">
        <f t="shared" si="16"/>
        <v>640</v>
      </c>
      <c r="I17" s="12">
        <v>0</v>
      </c>
      <c r="J17" s="219">
        <v>0</v>
      </c>
      <c r="K17" s="219">
        <v>0</v>
      </c>
      <c r="L17" s="127">
        <f t="shared" si="17"/>
        <v>640</v>
      </c>
      <c r="M17" s="127">
        <f t="shared" si="18"/>
        <v>640</v>
      </c>
      <c r="N17" s="127">
        <f t="shared" si="19"/>
        <v>640</v>
      </c>
      <c r="O17" s="131">
        <f t="shared" si="20"/>
        <v>0</v>
      </c>
      <c r="P17" s="125">
        <f t="shared" si="21"/>
        <v>640</v>
      </c>
      <c r="Q17" s="74"/>
      <c r="R17" s="74">
        <v>640</v>
      </c>
      <c r="S17" s="74">
        <f t="shared" si="6"/>
        <v>0</v>
      </c>
      <c r="T17" s="74">
        <f t="shared" si="7"/>
        <v>640</v>
      </c>
      <c r="U17" s="74"/>
      <c r="V17" s="74"/>
      <c r="W17" s="74"/>
      <c r="X17" s="74"/>
      <c r="Y17" s="74">
        <f t="shared" si="22"/>
        <v>0</v>
      </c>
      <c r="Z17" s="74">
        <f t="shared" si="22"/>
        <v>0</v>
      </c>
      <c r="AA17" s="74"/>
      <c r="AB17" s="74"/>
      <c r="AC17" s="74"/>
      <c r="AD17" s="74"/>
      <c r="AE17" s="74">
        <f t="shared" si="23"/>
        <v>0</v>
      </c>
      <c r="AF17" s="74">
        <f t="shared" si="23"/>
        <v>0</v>
      </c>
      <c r="AG17" s="74">
        <f t="shared" si="24"/>
        <v>0</v>
      </c>
      <c r="AH17" s="74">
        <f t="shared" si="25"/>
        <v>0</v>
      </c>
      <c r="AI17" s="74">
        <f t="shared" si="25"/>
        <v>640</v>
      </c>
      <c r="AJ17" s="74">
        <f t="shared" si="26"/>
        <v>640</v>
      </c>
      <c r="AK17" s="74">
        <f t="shared" si="27"/>
        <v>640</v>
      </c>
      <c r="AL17" s="74">
        <f t="shared" si="27"/>
        <v>640</v>
      </c>
      <c r="AM17" s="74"/>
      <c r="AN17" s="74"/>
      <c r="AO17" s="74"/>
      <c r="AP17" s="74"/>
      <c r="AQ17" s="74"/>
      <c r="AR17" s="74">
        <f t="shared" si="28"/>
        <v>0</v>
      </c>
      <c r="AS17" s="74">
        <f t="shared" si="28"/>
        <v>0</v>
      </c>
      <c r="AT17" s="74"/>
      <c r="AU17" s="74"/>
      <c r="AV17" s="74"/>
      <c r="AW17" s="74"/>
      <c r="AX17" s="74">
        <f t="shared" si="29"/>
        <v>0</v>
      </c>
      <c r="AY17" s="74">
        <f t="shared" si="29"/>
        <v>0</v>
      </c>
      <c r="AZ17" s="74"/>
      <c r="BA17" s="74"/>
      <c r="BB17" s="74"/>
      <c r="BC17" s="74"/>
      <c r="BD17" s="74">
        <f t="shared" si="30"/>
        <v>0</v>
      </c>
      <c r="BE17" s="74"/>
      <c r="BF17" s="74">
        <f t="shared" si="8"/>
        <v>0</v>
      </c>
      <c r="BG17" s="74"/>
      <c r="BH17" s="74"/>
      <c r="BI17" s="74"/>
      <c r="BJ17" s="74"/>
      <c r="BK17" s="74">
        <f t="shared" si="31"/>
        <v>0</v>
      </c>
      <c r="BL17" s="74"/>
      <c r="BM17" s="74">
        <f t="shared" si="9"/>
        <v>0</v>
      </c>
      <c r="BN17" s="74"/>
      <c r="BO17" s="74"/>
      <c r="BP17" s="74"/>
      <c r="BQ17" s="74"/>
      <c r="BR17" s="74">
        <f t="shared" si="32"/>
        <v>0</v>
      </c>
      <c r="BS17" s="74">
        <f t="shared" si="32"/>
        <v>0</v>
      </c>
      <c r="BT17" s="74"/>
      <c r="BU17" s="74"/>
      <c r="BV17" s="74"/>
      <c r="BW17" s="74"/>
      <c r="BX17" s="74">
        <f t="shared" si="33"/>
        <v>0</v>
      </c>
      <c r="BY17" s="74">
        <f t="shared" si="33"/>
        <v>0</v>
      </c>
      <c r="BZ17" s="74"/>
      <c r="CA17" s="74"/>
      <c r="CB17" s="74"/>
      <c r="CC17" s="74"/>
      <c r="CD17" s="74">
        <f t="shared" si="34"/>
        <v>0</v>
      </c>
      <c r="CE17" s="74">
        <f t="shared" si="34"/>
        <v>0</v>
      </c>
      <c r="CF17" s="74"/>
      <c r="CG17" s="74"/>
      <c r="CH17" s="74"/>
      <c r="CI17" s="74"/>
      <c r="CJ17" s="74">
        <f t="shared" si="35"/>
        <v>0</v>
      </c>
      <c r="CK17" s="74">
        <f t="shared" si="35"/>
        <v>0</v>
      </c>
      <c r="CL17" s="74"/>
      <c r="CM17" s="74"/>
      <c r="CN17" s="74"/>
      <c r="CO17" s="74"/>
      <c r="CP17" s="74">
        <f t="shared" si="36"/>
        <v>0</v>
      </c>
      <c r="CQ17" s="74">
        <f t="shared" si="36"/>
        <v>0</v>
      </c>
      <c r="CR17" s="74"/>
      <c r="CS17" s="74"/>
      <c r="CT17" s="74"/>
      <c r="CU17" s="74"/>
      <c r="CV17" s="74">
        <f t="shared" si="37"/>
        <v>0</v>
      </c>
      <c r="CW17" s="74">
        <f t="shared" si="37"/>
        <v>0</v>
      </c>
      <c r="CX17" s="74"/>
      <c r="CY17" s="74"/>
      <c r="CZ17" s="74"/>
      <c r="DA17" s="74"/>
      <c r="DB17" s="74">
        <f t="shared" si="38"/>
        <v>0</v>
      </c>
      <c r="DC17" s="74">
        <f t="shared" si="38"/>
        <v>0</v>
      </c>
      <c r="DD17" s="74"/>
      <c r="DE17" s="74"/>
      <c r="DF17" s="74"/>
      <c r="DG17" s="74"/>
      <c r="DH17" s="74">
        <f t="shared" si="39"/>
        <v>0</v>
      </c>
      <c r="DI17" s="74">
        <f t="shared" si="39"/>
        <v>0</v>
      </c>
      <c r="DJ17" s="74">
        <f t="shared" si="10"/>
        <v>0</v>
      </c>
      <c r="DK17" s="74">
        <f t="shared" si="11"/>
        <v>0</v>
      </c>
      <c r="DL17" s="74">
        <f t="shared" si="12"/>
        <v>0</v>
      </c>
      <c r="DM17" s="74">
        <f t="shared" si="13"/>
        <v>0</v>
      </c>
      <c r="DN17" s="74">
        <f t="shared" si="40"/>
        <v>0</v>
      </c>
      <c r="DO17" s="74">
        <f t="shared" si="40"/>
        <v>0</v>
      </c>
    </row>
    <row r="18" spans="1:119">
      <c r="A18" s="25">
        <v>10</v>
      </c>
      <c r="B18" s="26" t="s">
        <v>453</v>
      </c>
      <c r="C18" s="26" t="s">
        <v>467</v>
      </c>
      <c r="D18" s="26" t="s">
        <v>469</v>
      </c>
      <c r="E18" s="205" t="s">
        <v>1165</v>
      </c>
      <c r="F18" s="161">
        <f t="shared" si="14"/>
        <v>0</v>
      </c>
      <c r="G18" s="161">
        <f t="shared" si="15"/>
        <v>0</v>
      </c>
      <c r="H18" s="165">
        <f t="shared" si="16"/>
        <v>33559.823854823888</v>
      </c>
      <c r="I18" s="12">
        <v>10620</v>
      </c>
      <c r="J18" s="219">
        <v>0</v>
      </c>
      <c r="K18" s="219">
        <v>0</v>
      </c>
      <c r="L18" s="127">
        <f t="shared" si="17"/>
        <v>33559.823854823888</v>
      </c>
      <c r="M18" s="127">
        <f t="shared" si="18"/>
        <v>33559.823854823888</v>
      </c>
      <c r="N18" s="127">
        <f t="shared" si="19"/>
        <v>33559.823854823888</v>
      </c>
      <c r="O18" s="131">
        <f t="shared" si="20"/>
        <v>0</v>
      </c>
      <c r="P18" s="125">
        <f t="shared" si="21"/>
        <v>33559.823854823888</v>
      </c>
      <c r="Q18" s="74"/>
      <c r="R18" s="74">
        <v>33559.823854823888</v>
      </c>
      <c r="S18" s="74">
        <f t="shared" si="6"/>
        <v>0</v>
      </c>
      <c r="T18" s="74">
        <f t="shared" si="7"/>
        <v>33559.823854823888</v>
      </c>
      <c r="U18" s="74"/>
      <c r="V18" s="74"/>
      <c r="W18" s="74"/>
      <c r="X18" s="74"/>
      <c r="Y18" s="74">
        <f t="shared" si="22"/>
        <v>0</v>
      </c>
      <c r="Z18" s="74">
        <f t="shared" si="22"/>
        <v>0</v>
      </c>
      <c r="AA18" s="74"/>
      <c r="AB18" s="74"/>
      <c r="AC18" s="74"/>
      <c r="AD18" s="74"/>
      <c r="AE18" s="74">
        <f t="shared" si="23"/>
        <v>0</v>
      </c>
      <c r="AF18" s="74">
        <f t="shared" si="23"/>
        <v>0</v>
      </c>
      <c r="AG18" s="74">
        <f t="shared" si="24"/>
        <v>0</v>
      </c>
      <c r="AH18" s="74">
        <f t="shared" si="25"/>
        <v>0</v>
      </c>
      <c r="AI18" s="74">
        <f t="shared" si="25"/>
        <v>33559.823854823888</v>
      </c>
      <c r="AJ18" s="74">
        <f t="shared" si="26"/>
        <v>33559.823854823888</v>
      </c>
      <c r="AK18" s="74">
        <f t="shared" si="27"/>
        <v>33559.823854823888</v>
      </c>
      <c r="AL18" s="74">
        <f t="shared" si="27"/>
        <v>33559.823854823888</v>
      </c>
      <c r="AM18" s="74"/>
      <c r="AN18" s="74"/>
      <c r="AO18" s="74"/>
      <c r="AP18" s="74"/>
      <c r="AQ18" s="74"/>
      <c r="AR18" s="74">
        <f t="shared" si="28"/>
        <v>0</v>
      </c>
      <c r="AS18" s="74">
        <f t="shared" si="28"/>
        <v>0</v>
      </c>
      <c r="AT18" s="74"/>
      <c r="AU18" s="74"/>
      <c r="AV18" s="74"/>
      <c r="AW18" s="74"/>
      <c r="AX18" s="74">
        <f t="shared" si="29"/>
        <v>0</v>
      </c>
      <c r="AY18" s="74">
        <f t="shared" si="29"/>
        <v>0</v>
      </c>
      <c r="AZ18" s="74"/>
      <c r="BA18" s="74"/>
      <c r="BB18" s="74"/>
      <c r="BC18" s="74"/>
      <c r="BD18" s="74">
        <f t="shared" si="30"/>
        <v>0</v>
      </c>
      <c r="BE18" s="74"/>
      <c r="BF18" s="74">
        <f t="shared" si="8"/>
        <v>0</v>
      </c>
      <c r="BG18" s="74"/>
      <c r="BH18" s="74"/>
      <c r="BI18" s="74"/>
      <c r="BJ18" s="74"/>
      <c r="BK18" s="74">
        <f t="shared" si="31"/>
        <v>0</v>
      </c>
      <c r="BL18" s="74"/>
      <c r="BM18" s="74">
        <f t="shared" si="9"/>
        <v>0</v>
      </c>
      <c r="BN18" s="74"/>
      <c r="BO18" s="74"/>
      <c r="BP18" s="74"/>
      <c r="BQ18" s="74"/>
      <c r="BR18" s="74">
        <f t="shared" si="32"/>
        <v>0</v>
      </c>
      <c r="BS18" s="74">
        <f t="shared" si="32"/>
        <v>0</v>
      </c>
      <c r="BT18" s="74"/>
      <c r="BU18" s="74"/>
      <c r="BV18" s="74"/>
      <c r="BW18" s="74"/>
      <c r="BX18" s="74">
        <f t="shared" si="33"/>
        <v>0</v>
      </c>
      <c r="BY18" s="74">
        <f t="shared" si="33"/>
        <v>0</v>
      </c>
      <c r="BZ18" s="74"/>
      <c r="CA18" s="74"/>
      <c r="CB18" s="74"/>
      <c r="CC18" s="74"/>
      <c r="CD18" s="74">
        <f t="shared" si="34"/>
        <v>0</v>
      </c>
      <c r="CE18" s="74">
        <f t="shared" si="34"/>
        <v>0</v>
      </c>
      <c r="CF18" s="74"/>
      <c r="CG18" s="74"/>
      <c r="CH18" s="74"/>
      <c r="CI18" s="74"/>
      <c r="CJ18" s="74">
        <f t="shared" si="35"/>
        <v>0</v>
      </c>
      <c r="CK18" s="74">
        <f t="shared" si="35"/>
        <v>0</v>
      </c>
      <c r="CL18" s="74"/>
      <c r="CM18" s="74"/>
      <c r="CN18" s="74"/>
      <c r="CO18" s="74"/>
      <c r="CP18" s="74">
        <f t="shared" si="36"/>
        <v>0</v>
      </c>
      <c r="CQ18" s="74">
        <f t="shared" si="36"/>
        <v>0</v>
      </c>
      <c r="CR18" s="74"/>
      <c r="CS18" s="74"/>
      <c r="CT18" s="74"/>
      <c r="CU18" s="74"/>
      <c r="CV18" s="74">
        <f t="shared" si="37"/>
        <v>0</v>
      </c>
      <c r="CW18" s="74">
        <f t="shared" si="37"/>
        <v>0</v>
      </c>
      <c r="CX18" s="74"/>
      <c r="CY18" s="74"/>
      <c r="CZ18" s="74"/>
      <c r="DA18" s="74"/>
      <c r="DB18" s="74">
        <f t="shared" si="38"/>
        <v>0</v>
      </c>
      <c r="DC18" s="74">
        <f t="shared" si="38"/>
        <v>0</v>
      </c>
      <c r="DD18" s="74"/>
      <c r="DE18" s="74"/>
      <c r="DF18" s="74"/>
      <c r="DG18" s="74"/>
      <c r="DH18" s="74">
        <f t="shared" si="39"/>
        <v>0</v>
      </c>
      <c r="DI18" s="74">
        <f t="shared" si="39"/>
        <v>0</v>
      </c>
      <c r="DJ18" s="74">
        <f t="shared" si="10"/>
        <v>0</v>
      </c>
      <c r="DK18" s="74">
        <f t="shared" si="11"/>
        <v>0</v>
      </c>
      <c r="DL18" s="74">
        <f t="shared" si="12"/>
        <v>0</v>
      </c>
      <c r="DM18" s="74">
        <f t="shared" si="13"/>
        <v>0</v>
      </c>
      <c r="DN18" s="74">
        <f t="shared" si="40"/>
        <v>0</v>
      </c>
      <c r="DO18" s="74">
        <f t="shared" si="40"/>
        <v>0</v>
      </c>
    </row>
    <row r="19" spans="1:119">
      <c r="A19" s="25">
        <v>11</v>
      </c>
      <c r="B19" s="26" t="s">
        <v>470</v>
      </c>
      <c r="C19" s="26" t="s">
        <v>471</v>
      </c>
      <c r="D19" s="26" t="s">
        <v>472</v>
      </c>
      <c r="E19" s="205" t="s">
        <v>1165</v>
      </c>
      <c r="F19" s="161">
        <f t="shared" si="14"/>
        <v>0</v>
      </c>
      <c r="G19" s="161">
        <f t="shared" si="15"/>
        <v>0</v>
      </c>
      <c r="H19" s="165">
        <f t="shared" si="16"/>
        <v>2279430.2799999998</v>
      </c>
      <c r="I19" s="12">
        <v>1714138.7999999998</v>
      </c>
      <c r="J19" s="219">
        <v>1120000</v>
      </c>
      <c r="K19" s="219">
        <v>0</v>
      </c>
      <c r="L19" s="127">
        <f t="shared" si="17"/>
        <v>1159430.2799999998</v>
      </c>
      <c r="M19" s="127">
        <f t="shared" si="18"/>
        <v>2279430.2799999998</v>
      </c>
      <c r="N19" s="127">
        <f t="shared" si="19"/>
        <v>2279430.2799999998</v>
      </c>
      <c r="O19" s="131">
        <f t="shared" si="20"/>
        <v>0</v>
      </c>
      <c r="P19" s="125">
        <f t="shared" si="21"/>
        <v>2279430.2799999998</v>
      </c>
      <c r="Q19" s="74">
        <v>750000</v>
      </c>
      <c r="R19" s="74">
        <f>2279430.28-J19-Q19</f>
        <v>409430.2799999998</v>
      </c>
      <c r="S19" s="74">
        <f t="shared" si="6"/>
        <v>1870000</v>
      </c>
      <c r="T19" s="74">
        <f t="shared" si="7"/>
        <v>409430.2799999998</v>
      </c>
      <c r="U19" s="74"/>
      <c r="V19" s="74"/>
      <c r="W19" s="74"/>
      <c r="X19" s="74"/>
      <c r="Y19" s="74">
        <f t="shared" si="22"/>
        <v>0</v>
      </c>
      <c r="Z19" s="74">
        <f t="shared" si="22"/>
        <v>0</v>
      </c>
      <c r="AA19" s="74"/>
      <c r="AB19" s="74"/>
      <c r="AC19" s="74"/>
      <c r="AD19" s="74"/>
      <c r="AE19" s="74">
        <f t="shared" si="23"/>
        <v>0</v>
      </c>
      <c r="AF19" s="74">
        <f t="shared" si="23"/>
        <v>0</v>
      </c>
      <c r="AG19" s="74">
        <f t="shared" si="24"/>
        <v>750000</v>
      </c>
      <c r="AH19" s="74">
        <f t="shared" si="25"/>
        <v>750000</v>
      </c>
      <c r="AI19" s="74">
        <f t="shared" si="25"/>
        <v>409430.2799999998</v>
      </c>
      <c r="AJ19" s="74">
        <f t="shared" si="26"/>
        <v>409430.2799999998</v>
      </c>
      <c r="AK19" s="74">
        <f t="shared" si="27"/>
        <v>1159430.2799999998</v>
      </c>
      <c r="AL19" s="74">
        <f t="shared" si="27"/>
        <v>1159430.2799999998</v>
      </c>
      <c r="AM19" s="74"/>
      <c r="AN19" s="74"/>
      <c r="AO19" s="74"/>
      <c r="AP19" s="74"/>
      <c r="AQ19" s="74"/>
      <c r="AR19" s="74">
        <f t="shared" si="28"/>
        <v>0</v>
      </c>
      <c r="AS19" s="74">
        <f t="shared" si="28"/>
        <v>0</v>
      </c>
      <c r="AT19" s="74"/>
      <c r="AU19" s="74"/>
      <c r="AV19" s="74"/>
      <c r="AW19" s="74"/>
      <c r="AX19" s="74">
        <f t="shared" si="29"/>
        <v>0</v>
      </c>
      <c r="AY19" s="74">
        <f t="shared" si="29"/>
        <v>0</v>
      </c>
      <c r="AZ19" s="74"/>
      <c r="BA19" s="74"/>
      <c r="BB19" s="74"/>
      <c r="BC19" s="74"/>
      <c r="BD19" s="74">
        <f t="shared" si="30"/>
        <v>0</v>
      </c>
      <c r="BE19" s="74"/>
      <c r="BF19" s="74">
        <f t="shared" si="8"/>
        <v>0</v>
      </c>
      <c r="BG19" s="74"/>
      <c r="BH19" s="74"/>
      <c r="BI19" s="74"/>
      <c r="BJ19" s="74"/>
      <c r="BK19" s="74">
        <f t="shared" si="31"/>
        <v>0</v>
      </c>
      <c r="BL19" s="74"/>
      <c r="BM19" s="74">
        <f t="shared" si="9"/>
        <v>0</v>
      </c>
      <c r="BN19" s="74"/>
      <c r="BO19" s="74"/>
      <c r="BP19" s="74"/>
      <c r="BQ19" s="74"/>
      <c r="BR19" s="74">
        <f t="shared" si="32"/>
        <v>0</v>
      </c>
      <c r="BS19" s="74">
        <f t="shared" si="32"/>
        <v>0</v>
      </c>
      <c r="BT19" s="74"/>
      <c r="BU19" s="74"/>
      <c r="BV19" s="74"/>
      <c r="BW19" s="74"/>
      <c r="BX19" s="74">
        <f t="shared" si="33"/>
        <v>0</v>
      </c>
      <c r="BY19" s="74">
        <f t="shared" si="33"/>
        <v>0</v>
      </c>
      <c r="BZ19" s="74"/>
      <c r="CA19" s="74"/>
      <c r="CB19" s="74"/>
      <c r="CC19" s="74"/>
      <c r="CD19" s="74">
        <f t="shared" si="34"/>
        <v>0</v>
      </c>
      <c r="CE19" s="74">
        <f t="shared" si="34"/>
        <v>0</v>
      </c>
      <c r="CF19" s="74"/>
      <c r="CG19" s="74"/>
      <c r="CH19" s="74"/>
      <c r="CI19" s="74"/>
      <c r="CJ19" s="74">
        <f t="shared" si="35"/>
        <v>0</v>
      </c>
      <c r="CK19" s="74">
        <f t="shared" si="35"/>
        <v>0</v>
      </c>
      <c r="CL19" s="74"/>
      <c r="CM19" s="74"/>
      <c r="CN19" s="74"/>
      <c r="CO19" s="74"/>
      <c r="CP19" s="74">
        <f t="shared" si="36"/>
        <v>0</v>
      </c>
      <c r="CQ19" s="74">
        <f t="shared" si="36"/>
        <v>0</v>
      </c>
      <c r="CR19" s="74"/>
      <c r="CS19" s="74"/>
      <c r="CT19" s="74"/>
      <c r="CU19" s="74"/>
      <c r="CV19" s="74">
        <f t="shared" si="37"/>
        <v>0</v>
      </c>
      <c r="CW19" s="74">
        <f t="shared" si="37"/>
        <v>0</v>
      </c>
      <c r="CX19" s="74"/>
      <c r="CY19" s="74"/>
      <c r="CZ19" s="74"/>
      <c r="DA19" s="74"/>
      <c r="DB19" s="74">
        <f t="shared" si="38"/>
        <v>0</v>
      </c>
      <c r="DC19" s="74">
        <f t="shared" si="38"/>
        <v>0</v>
      </c>
      <c r="DD19" s="74"/>
      <c r="DE19" s="74"/>
      <c r="DF19" s="74"/>
      <c r="DG19" s="74"/>
      <c r="DH19" s="74">
        <f t="shared" si="39"/>
        <v>0</v>
      </c>
      <c r="DI19" s="74">
        <f t="shared" si="39"/>
        <v>0</v>
      </c>
      <c r="DJ19" s="74">
        <f t="shared" si="10"/>
        <v>0</v>
      </c>
      <c r="DK19" s="74">
        <f t="shared" si="11"/>
        <v>0</v>
      </c>
      <c r="DL19" s="74">
        <f t="shared" si="12"/>
        <v>0</v>
      </c>
      <c r="DM19" s="74">
        <f t="shared" si="13"/>
        <v>0</v>
      </c>
      <c r="DN19" s="74">
        <f t="shared" si="40"/>
        <v>0</v>
      </c>
      <c r="DO19" s="74">
        <f t="shared" si="40"/>
        <v>0</v>
      </c>
    </row>
    <row r="20" spans="1:119">
      <c r="A20" s="25">
        <v>12</v>
      </c>
      <c r="B20" s="26" t="s">
        <v>456</v>
      </c>
      <c r="C20" s="26" t="s">
        <v>473</v>
      </c>
      <c r="D20" s="26" t="s">
        <v>474</v>
      </c>
      <c r="E20" s="205" t="s">
        <v>1165</v>
      </c>
      <c r="F20" s="161">
        <f t="shared" si="14"/>
        <v>0</v>
      </c>
      <c r="G20" s="161">
        <f t="shared" si="15"/>
        <v>0</v>
      </c>
      <c r="H20" s="165">
        <f t="shared" si="16"/>
        <v>61880.477149057289</v>
      </c>
      <c r="I20" s="12">
        <v>18183.8</v>
      </c>
      <c r="J20" s="219">
        <v>0</v>
      </c>
      <c r="K20" s="219">
        <v>0</v>
      </c>
      <c r="L20" s="127">
        <f t="shared" si="17"/>
        <v>61880.477149057289</v>
      </c>
      <c r="M20" s="127">
        <f t="shared" si="18"/>
        <v>61880.477149057289</v>
      </c>
      <c r="N20" s="127">
        <f t="shared" si="19"/>
        <v>61880.477149057289</v>
      </c>
      <c r="O20" s="131">
        <f t="shared" si="20"/>
        <v>0</v>
      </c>
      <c r="P20" s="125">
        <f t="shared" si="21"/>
        <v>61880.477149057289</v>
      </c>
      <c r="Q20" s="74"/>
      <c r="R20" s="74">
        <v>61880.477149057289</v>
      </c>
      <c r="S20" s="74">
        <f>J20+Q20</f>
        <v>0</v>
      </c>
      <c r="T20" s="74">
        <f>R20</f>
        <v>61880.477149057289</v>
      </c>
      <c r="U20" s="74"/>
      <c r="V20" s="74"/>
      <c r="W20" s="74"/>
      <c r="X20" s="74"/>
      <c r="Y20" s="74">
        <f t="shared" si="22"/>
        <v>0</v>
      </c>
      <c r="Z20" s="74">
        <f t="shared" si="22"/>
        <v>0</v>
      </c>
      <c r="AA20" s="74"/>
      <c r="AB20" s="74"/>
      <c r="AC20" s="74"/>
      <c r="AD20" s="74"/>
      <c r="AE20" s="74">
        <f t="shared" si="23"/>
        <v>0</v>
      </c>
      <c r="AF20" s="74">
        <f t="shared" si="23"/>
        <v>0</v>
      </c>
      <c r="AG20" s="74">
        <f t="shared" si="24"/>
        <v>0</v>
      </c>
      <c r="AH20" s="74">
        <f t="shared" si="25"/>
        <v>0</v>
      </c>
      <c r="AI20" s="74">
        <f t="shared" si="25"/>
        <v>61880.477149057289</v>
      </c>
      <c r="AJ20" s="74">
        <f t="shared" si="26"/>
        <v>61880.477149057289</v>
      </c>
      <c r="AK20" s="74">
        <f t="shared" si="27"/>
        <v>61880.477149057289</v>
      </c>
      <c r="AL20" s="74">
        <f t="shared" si="27"/>
        <v>61880.477149057289</v>
      </c>
      <c r="AM20" s="74"/>
      <c r="AN20" s="74"/>
      <c r="AO20" s="74"/>
      <c r="AP20" s="74"/>
      <c r="AQ20" s="74"/>
      <c r="AR20" s="74">
        <f t="shared" si="28"/>
        <v>0</v>
      </c>
      <c r="AS20" s="74">
        <f t="shared" si="28"/>
        <v>0</v>
      </c>
      <c r="AT20" s="74"/>
      <c r="AU20" s="74"/>
      <c r="AV20" s="74"/>
      <c r="AW20" s="74"/>
      <c r="AX20" s="74">
        <f t="shared" si="29"/>
        <v>0</v>
      </c>
      <c r="AY20" s="74">
        <f t="shared" si="29"/>
        <v>0</v>
      </c>
      <c r="AZ20" s="74"/>
      <c r="BA20" s="74"/>
      <c r="BB20" s="74"/>
      <c r="BC20" s="74"/>
      <c r="BD20" s="74">
        <f t="shared" si="30"/>
        <v>0</v>
      </c>
      <c r="BE20" s="74"/>
      <c r="BF20" s="74">
        <f t="shared" si="8"/>
        <v>0</v>
      </c>
      <c r="BG20" s="74"/>
      <c r="BH20" s="74"/>
      <c r="BI20" s="74"/>
      <c r="BJ20" s="74"/>
      <c r="BK20" s="74">
        <f t="shared" si="31"/>
        <v>0</v>
      </c>
      <c r="BL20" s="74"/>
      <c r="BM20" s="74">
        <f t="shared" si="9"/>
        <v>0</v>
      </c>
      <c r="BN20" s="74"/>
      <c r="BO20" s="74"/>
      <c r="BP20" s="74"/>
      <c r="BQ20" s="74"/>
      <c r="BR20" s="74">
        <f t="shared" si="32"/>
        <v>0</v>
      </c>
      <c r="BS20" s="74">
        <f t="shared" si="32"/>
        <v>0</v>
      </c>
      <c r="BT20" s="74"/>
      <c r="BU20" s="74"/>
      <c r="BV20" s="74"/>
      <c r="BW20" s="74"/>
      <c r="BX20" s="74">
        <f t="shared" si="33"/>
        <v>0</v>
      </c>
      <c r="BY20" s="74">
        <f t="shared" si="33"/>
        <v>0</v>
      </c>
      <c r="BZ20" s="74"/>
      <c r="CA20" s="74"/>
      <c r="CB20" s="74"/>
      <c r="CC20" s="74"/>
      <c r="CD20" s="74">
        <f t="shared" si="34"/>
        <v>0</v>
      </c>
      <c r="CE20" s="74">
        <f t="shared" si="34"/>
        <v>0</v>
      </c>
      <c r="CF20" s="74"/>
      <c r="CG20" s="74"/>
      <c r="CH20" s="74"/>
      <c r="CI20" s="74"/>
      <c r="CJ20" s="74">
        <f t="shared" si="35"/>
        <v>0</v>
      </c>
      <c r="CK20" s="74">
        <f t="shared" si="35"/>
        <v>0</v>
      </c>
      <c r="CL20" s="74"/>
      <c r="CM20" s="74"/>
      <c r="CN20" s="74"/>
      <c r="CO20" s="74"/>
      <c r="CP20" s="74">
        <f t="shared" si="36"/>
        <v>0</v>
      </c>
      <c r="CQ20" s="74">
        <f t="shared" si="36"/>
        <v>0</v>
      </c>
      <c r="CR20" s="74"/>
      <c r="CS20" s="74"/>
      <c r="CT20" s="74"/>
      <c r="CU20" s="74"/>
      <c r="CV20" s="74">
        <f t="shared" si="37"/>
        <v>0</v>
      </c>
      <c r="CW20" s="74">
        <f t="shared" si="37"/>
        <v>0</v>
      </c>
      <c r="CX20" s="74"/>
      <c r="CY20" s="74"/>
      <c r="CZ20" s="74"/>
      <c r="DA20" s="74"/>
      <c r="DB20" s="74">
        <f t="shared" si="38"/>
        <v>0</v>
      </c>
      <c r="DC20" s="74">
        <f t="shared" si="38"/>
        <v>0</v>
      </c>
      <c r="DD20" s="74"/>
      <c r="DE20" s="74"/>
      <c r="DF20" s="74"/>
      <c r="DG20" s="74"/>
      <c r="DH20" s="74">
        <f t="shared" si="39"/>
        <v>0</v>
      </c>
      <c r="DI20" s="74">
        <f t="shared" si="39"/>
        <v>0</v>
      </c>
      <c r="DJ20" s="74">
        <f t="shared" si="10"/>
        <v>0</v>
      </c>
      <c r="DK20" s="74">
        <f t="shared" si="11"/>
        <v>0</v>
      </c>
      <c r="DL20" s="74">
        <f t="shared" si="12"/>
        <v>0</v>
      </c>
      <c r="DM20" s="74">
        <f t="shared" si="13"/>
        <v>0</v>
      </c>
      <c r="DN20" s="74">
        <f t="shared" si="40"/>
        <v>0</v>
      </c>
      <c r="DO20" s="74">
        <f t="shared" si="40"/>
        <v>0</v>
      </c>
    </row>
    <row r="21" spans="1:119">
      <c r="A21" s="25">
        <v>13</v>
      </c>
      <c r="B21" s="26" t="s">
        <v>470</v>
      </c>
      <c r="C21" s="26" t="s">
        <v>475</v>
      </c>
      <c r="D21" s="26" t="s">
        <v>476</v>
      </c>
      <c r="E21" s="205" t="s">
        <v>1165</v>
      </c>
      <c r="F21" s="161">
        <f t="shared" si="14"/>
        <v>0</v>
      </c>
      <c r="G21" s="161">
        <f t="shared" si="15"/>
        <v>0</v>
      </c>
      <c r="H21" s="165">
        <f t="shared" si="16"/>
        <v>1301828.1399999999</v>
      </c>
      <c r="I21" s="12">
        <v>829634.39999999991</v>
      </c>
      <c r="J21" s="219">
        <v>1070000</v>
      </c>
      <c r="K21" s="219">
        <v>0</v>
      </c>
      <c r="L21" s="127">
        <f t="shared" si="17"/>
        <v>231828.1399999999</v>
      </c>
      <c r="M21" s="127">
        <f t="shared" si="18"/>
        <v>1301828.1399999999</v>
      </c>
      <c r="N21" s="127">
        <f t="shared" si="19"/>
        <v>1301828.1399999999</v>
      </c>
      <c r="O21" s="131">
        <f t="shared" si="20"/>
        <v>0</v>
      </c>
      <c r="P21" s="125">
        <f t="shared" si="21"/>
        <v>1301828.1399999999</v>
      </c>
      <c r="Q21" s="74"/>
      <c r="R21" s="74">
        <f>1301828.14-J21</f>
        <v>231828.1399999999</v>
      </c>
      <c r="S21" s="74">
        <f>J21+Q21</f>
        <v>1070000</v>
      </c>
      <c r="T21" s="74">
        <f>R21</f>
        <v>231828.1399999999</v>
      </c>
      <c r="U21" s="74"/>
      <c r="V21" s="74"/>
      <c r="W21" s="74"/>
      <c r="X21" s="74"/>
      <c r="Y21" s="74">
        <f t="shared" si="22"/>
        <v>0</v>
      </c>
      <c r="Z21" s="74">
        <f t="shared" si="22"/>
        <v>0</v>
      </c>
      <c r="AA21" s="74"/>
      <c r="AB21" s="74"/>
      <c r="AC21" s="74"/>
      <c r="AD21" s="74"/>
      <c r="AE21" s="74">
        <f t="shared" si="23"/>
        <v>0</v>
      </c>
      <c r="AF21" s="74">
        <f t="shared" si="23"/>
        <v>0</v>
      </c>
      <c r="AG21" s="74">
        <f t="shared" si="24"/>
        <v>0</v>
      </c>
      <c r="AH21" s="74">
        <f t="shared" si="25"/>
        <v>0</v>
      </c>
      <c r="AI21" s="74">
        <f t="shared" si="25"/>
        <v>231828.1399999999</v>
      </c>
      <c r="AJ21" s="74">
        <f t="shared" si="26"/>
        <v>231828.1399999999</v>
      </c>
      <c r="AK21" s="74">
        <f t="shared" si="27"/>
        <v>231828.1399999999</v>
      </c>
      <c r="AL21" s="74">
        <f t="shared" si="27"/>
        <v>231828.1399999999</v>
      </c>
      <c r="AM21" s="74"/>
      <c r="AN21" s="74"/>
      <c r="AO21" s="74"/>
      <c r="AP21" s="74"/>
      <c r="AQ21" s="74"/>
      <c r="AR21" s="74">
        <f t="shared" si="28"/>
        <v>0</v>
      </c>
      <c r="AS21" s="74">
        <f t="shared" si="28"/>
        <v>0</v>
      </c>
      <c r="AT21" s="74"/>
      <c r="AU21" s="74"/>
      <c r="AV21" s="74"/>
      <c r="AW21" s="74"/>
      <c r="AX21" s="74">
        <f t="shared" si="29"/>
        <v>0</v>
      </c>
      <c r="AY21" s="74">
        <f t="shared" si="29"/>
        <v>0</v>
      </c>
      <c r="AZ21" s="74"/>
      <c r="BA21" s="74"/>
      <c r="BB21" s="74"/>
      <c r="BC21" s="74"/>
      <c r="BD21" s="74">
        <f t="shared" si="30"/>
        <v>0</v>
      </c>
      <c r="BE21" s="74"/>
      <c r="BF21" s="74">
        <f t="shared" si="8"/>
        <v>0</v>
      </c>
      <c r="BG21" s="74"/>
      <c r="BH21" s="74"/>
      <c r="BI21" s="74"/>
      <c r="BJ21" s="74"/>
      <c r="BK21" s="74">
        <f t="shared" si="31"/>
        <v>0</v>
      </c>
      <c r="BL21" s="74"/>
      <c r="BM21" s="74">
        <f t="shared" si="9"/>
        <v>0</v>
      </c>
      <c r="BN21" s="74"/>
      <c r="BO21" s="74"/>
      <c r="BP21" s="74"/>
      <c r="BQ21" s="74"/>
      <c r="BR21" s="74">
        <f t="shared" si="32"/>
        <v>0</v>
      </c>
      <c r="BS21" s="74">
        <f t="shared" si="32"/>
        <v>0</v>
      </c>
      <c r="BT21" s="74"/>
      <c r="BU21" s="74"/>
      <c r="BV21" s="74"/>
      <c r="BW21" s="74"/>
      <c r="BX21" s="74">
        <f t="shared" si="33"/>
        <v>0</v>
      </c>
      <c r="BY21" s="74">
        <f t="shared" si="33"/>
        <v>0</v>
      </c>
      <c r="BZ21" s="74"/>
      <c r="CA21" s="74"/>
      <c r="CB21" s="74"/>
      <c r="CC21" s="74"/>
      <c r="CD21" s="74">
        <f t="shared" si="34"/>
        <v>0</v>
      </c>
      <c r="CE21" s="74">
        <f t="shared" si="34"/>
        <v>0</v>
      </c>
      <c r="CF21" s="74"/>
      <c r="CG21" s="74"/>
      <c r="CH21" s="74"/>
      <c r="CI21" s="74"/>
      <c r="CJ21" s="74">
        <f t="shared" si="35"/>
        <v>0</v>
      </c>
      <c r="CK21" s="74">
        <f t="shared" si="35"/>
        <v>0</v>
      </c>
      <c r="CL21" s="74"/>
      <c r="CM21" s="74"/>
      <c r="CN21" s="74"/>
      <c r="CO21" s="74"/>
      <c r="CP21" s="74">
        <f t="shared" si="36"/>
        <v>0</v>
      </c>
      <c r="CQ21" s="74">
        <f t="shared" si="36"/>
        <v>0</v>
      </c>
      <c r="CR21" s="74"/>
      <c r="CS21" s="74"/>
      <c r="CT21" s="74"/>
      <c r="CU21" s="74"/>
      <c r="CV21" s="74">
        <f t="shared" si="37"/>
        <v>0</v>
      </c>
      <c r="CW21" s="74">
        <f t="shared" si="37"/>
        <v>0</v>
      </c>
      <c r="CX21" s="74"/>
      <c r="CY21" s="74"/>
      <c r="CZ21" s="74"/>
      <c r="DA21" s="74"/>
      <c r="DB21" s="74">
        <f t="shared" si="38"/>
        <v>0</v>
      </c>
      <c r="DC21" s="74">
        <f t="shared" si="38"/>
        <v>0</v>
      </c>
      <c r="DD21" s="74"/>
      <c r="DE21" s="74"/>
      <c r="DF21" s="74"/>
      <c r="DG21" s="74"/>
      <c r="DH21" s="74">
        <f t="shared" si="39"/>
        <v>0</v>
      </c>
      <c r="DI21" s="74">
        <f t="shared" si="39"/>
        <v>0</v>
      </c>
      <c r="DJ21" s="74">
        <f t="shared" si="10"/>
        <v>0</v>
      </c>
      <c r="DK21" s="74">
        <f t="shared" si="11"/>
        <v>0</v>
      </c>
      <c r="DL21" s="74">
        <f t="shared" si="12"/>
        <v>0</v>
      </c>
      <c r="DM21" s="74">
        <f t="shared" si="13"/>
        <v>0</v>
      </c>
      <c r="DN21" s="74">
        <f t="shared" si="40"/>
        <v>0</v>
      </c>
      <c r="DO21" s="74">
        <f t="shared" si="40"/>
        <v>0</v>
      </c>
    </row>
    <row r="22" spans="1:119">
      <c r="A22" s="25">
        <v>14</v>
      </c>
      <c r="B22" s="26" t="s">
        <v>453</v>
      </c>
      <c r="C22" s="26" t="s">
        <v>477</v>
      </c>
      <c r="D22" s="26" t="s">
        <v>478</v>
      </c>
      <c r="E22" s="205" t="s">
        <v>1165</v>
      </c>
      <c r="F22" s="161">
        <f t="shared" si="14"/>
        <v>0</v>
      </c>
      <c r="G22" s="161">
        <f t="shared" si="15"/>
        <v>0</v>
      </c>
      <c r="H22" s="165">
        <f t="shared" si="16"/>
        <v>9013.6651664887395</v>
      </c>
      <c r="I22" s="12">
        <v>3098.68</v>
      </c>
      <c r="J22" s="219">
        <v>0</v>
      </c>
      <c r="K22" s="219">
        <v>0</v>
      </c>
      <c r="L22" s="127">
        <f t="shared" si="17"/>
        <v>9013.6651664887395</v>
      </c>
      <c r="M22" s="127">
        <f t="shared" si="18"/>
        <v>9013.6651664887395</v>
      </c>
      <c r="N22" s="127">
        <f t="shared" si="19"/>
        <v>9013.6651664887395</v>
      </c>
      <c r="O22" s="131">
        <f t="shared" si="20"/>
        <v>0</v>
      </c>
      <c r="P22" s="125">
        <f t="shared" si="21"/>
        <v>9013.6651664887395</v>
      </c>
      <c r="Q22" s="74"/>
      <c r="R22" s="74">
        <v>9013.6651664887395</v>
      </c>
      <c r="S22" s="74">
        <f t="shared" si="6"/>
        <v>0</v>
      </c>
      <c r="T22" s="74">
        <f t="shared" si="7"/>
        <v>9013.6651664887395</v>
      </c>
      <c r="U22" s="74"/>
      <c r="V22" s="74"/>
      <c r="W22" s="74"/>
      <c r="X22" s="74"/>
      <c r="Y22" s="74">
        <f t="shared" si="22"/>
        <v>0</v>
      </c>
      <c r="Z22" s="74">
        <f t="shared" si="22"/>
        <v>0</v>
      </c>
      <c r="AA22" s="74"/>
      <c r="AB22" s="74"/>
      <c r="AC22" s="74"/>
      <c r="AD22" s="74"/>
      <c r="AE22" s="74">
        <f t="shared" si="23"/>
        <v>0</v>
      </c>
      <c r="AF22" s="74">
        <f t="shared" si="23"/>
        <v>0</v>
      </c>
      <c r="AG22" s="74">
        <f t="shared" si="24"/>
        <v>0</v>
      </c>
      <c r="AH22" s="74">
        <f t="shared" si="25"/>
        <v>0</v>
      </c>
      <c r="AI22" s="74">
        <f t="shared" si="25"/>
        <v>9013.6651664887395</v>
      </c>
      <c r="AJ22" s="74">
        <f t="shared" si="26"/>
        <v>9013.6651664887395</v>
      </c>
      <c r="AK22" s="74">
        <f t="shared" si="27"/>
        <v>9013.6651664887395</v>
      </c>
      <c r="AL22" s="74">
        <f t="shared" si="27"/>
        <v>9013.6651664887395</v>
      </c>
      <c r="AM22" s="74"/>
      <c r="AN22" s="74"/>
      <c r="AO22" s="74"/>
      <c r="AP22" s="74"/>
      <c r="AQ22" s="74"/>
      <c r="AR22" s="74">
        <f t="shared" si="28"/>
        <v>0</v>
      </c>
      <c r="AS22" s="74">
        <f t="shared" si="28"/>
        <v>0</v>
      </c>
      <c r="AT22" s="74"/>
      <c r="AU22" s="74"/>
      <c r="AV22" s="74"/>
      <c r="AW22" s="74"/>
      <c r="AX22" s="74">
        <f t="shared" si="29"/>
        <v>0</v>
      </c>
      <c r="AY22" s="74">
        <f t="shared" si="29"/>
        <v>0</v>
      </c>
      <c r="AZ22" s="74"/>
      <c r="BA22" s="74"/>
      <c r="BB22" s="74"/>
      <c r="BC22" s="74"/>
      <c r="BD22" s="74">
        <f t="shared" si="30"/>
        <v>0</v>
      </c>
      <c r="BE22" s="74"/>
      <c r="BF22" s="74">
        <f t="shared" si="8"/>
        <v>0</v>
      </c>
      <c r="BG22" s="74"/>
      <c r="BH22" s="74"/>
      <c r="BI22" s="74"/>
      <c r="BJ22" s="74"/>
      <c r="BK22" s="74">
        <f t="shared" si="31"/>
        <v>0</v>
      </c>
      <c r="BL22" s="74"/>
      <c r="BM22" s="74">
        <f t="shared" si="9"/>
        <v>0</v>
      </c>
      <c r="BN22" s="74"/>
      <c r="BO22" s="74"/>
      <c r="BP22" s="74"/>
      <c r="BQ22" s="74"/>
      <c r="BR22" s="74">
        <f t="shared" si="32"/>
        <v>0</v>
      </c>
      <c r="BS22" s="74">
        <f t="shared" si="32"/>
        <v>0</v>
      </c>
      <c r="BT22" s="74"/>
      <c r="BU22" s="74"/>
      <c r="BV22" s="74"/>
      <c r="BW22" s="74"/>
      <c r="BX22" s="74">
        <f t="shared" si="33"/>
        <v>0</v>
      </c>
      <c r="BY22" s="74">
        <f t="shared" si="33"/>
        <v>0</v>
      </c>
      <c r="BZ22" s="74"/>
      <c r="CA22" s="74"/>
      <c r="CB22" s="74"/>
      <c r="CC22" s="74"/>
      <c r="CD22" s="74">
        <f t="shared" si="34"/>
        <v>0</v>
      </c>
      <c r="CE22" s="74">
        <f t="shared" si="34"/>
        <v>0</v>
      </c>
      <c r="CF22" s="74"/>
      <c r="CG22" s="74"/>
      <c r="CH22" s="74"/>
      <c r="CI22" s="74"/>
      <c r="CJ22" s="74">
        <f t="shared" si="35"/>
        <v>0</v>
      </c>
      <c r="CK22" s="74">
        <f t="shared" si="35"/>
        <v>0</v>
      </c>
      <c r="CL22" s="74"/>
      <c r="CM22" s="74"/>
      <c r="CN22" s="74"/>
      <c r="CO22" s="74"/>
      <c r="CP22" s="74">
        <f t="shared" si="36"/>
        <v>0</v>
      </c>
      <c r="CQ22" s="74">
        <f t="shared" si="36"/>
        <v>0</v>
      </c>
      <c r="CR22" s="74"/>
      <c r="CS22" s="74"/>
      <c r="CT22" s="74"/>
      <c r="CU22" s="74"/>
      <c r="CV22" s="74">
        <f t="shared" si="37"/>
        <v>0</v>
      </c>
      <c r="CW22" s="74">
        <f t="shared" si="37"/>
        <v>0</v>
      </c>
      <c r="CX22" s="74"/>
      <c r="CY22" s="74"/>
      <c r="CZ22" s="74"/>
      <c r="DA22" s="74"/>
      <c r="DB22" s="74">
        <f t="shared" si="38"/>
        <v>0</v>
      </c>
      <c r="DC22" s="74">
        <f t="shared" si="38"/>
        <v>0</v>
      </c>
      <c r="DD22" s="74"/>
      <c r="DE22" s="74"/>
      <c r="DF22" s="74"/>
      <c r="DG22" s="74"/>
      <c r="DH22" s="74">
        <f t="shared" si="39"/>
        <v>0</v>
      </c>
      <c r="DI22" s="74">
        <f t="shared" si="39"/>
        <v>0</v>
      </c>
      <c r="DJ22" s="74">
        <f t="shared" si="10"/>
        <v>0</v>
      </c>
      <c r="DK22" s="74">
        <f t="shared" si="11"/>
        <v>0</v>
      </c>
      <c r="DL22" s="74">
        <f t="shared" si="12"/>
        <v>0</v>
      </c>
      <c r="DM22" s="74">
        <f t="shared" si="13"/>
        <v>0</v>
      </c>
      <c r="DN22" s="74">
        <f t="shared" si="40"/>
        <v>0</v>
      </c>
      <c r="DO22" s="74">
        <f t="shared" si="40"/>
        <v>0</v>
      </c>
    </row>
    <row r="23" spans="1:119">
      <c r="A23" s="25">
        <v>15</v>
      </c>
      <c r="B23" s="26" t="s">
        <v>453</v>
      </c>
      <c r="C23" s="26" t="s">
        <v>479</v>
      </c>
      <c r="D23" s="26" t="s">
        <v>480</v>
      </c>
      <c r="E23" s="205" t="s">
        <v>1165</v>
      </c>
      <c r="F23" s="161">
        <f t="shared" si="14"/>
        <v>0</v>
      </c>
      <c r="G23" s="161">
        <f t="shared" si="15"/>
        <v>0</v>
      </c>
      <c r="H23" s="165">
        <f t="shared" si="16"/>
        <v>33892.865805560868</v>
      </c>
      <c r="I23" s="12">
        <v>26175.94</v>
      </c>
      <c r="J23" s="219">
        <v>0</v>
      </c>
      <c r="K23" s="219">
        <v>0</v>
      </c>
      <c r="L23" s="127">
        <f t="shared" si="17"/>
        <v>33892.865805560868</v>
      </c>
      <c r="M23" s="127">
        <f t="shared" si="18"/>
        <v>33892.865805560868</v>
      </c>
      <c r="N23" s="127">
        <f t="shared" si="19"/>
        <v>33892.865805560868</v>
      </c>
      <c r="O23" s="131">
        <f t="shared" si="20"/>
        <v>0</v>
      </c>
      <c r="P23" s="125">
        <f t="shared" si="21"/>
        <v>33892.865805560868</v>
      </c>
      <c r="Q23" s="74"/>
      <c r="R23" s="74">
        <v>33892.865805560868</v>
      </c>
      <c r="S23" s="74">
        <f>J23+Q23</f>
        <v>0</v>
      </c>
      <c r="T23" s="74">
        <f>R23</f>
        <v>33892.865805560868</v>
      </c>
      <c r="U23" s="74"/>
      <c r="V23" s="74"/>
      <c r="W23" s="74"/>
      <c r="X23" s="74"/>
      <c r="Y23" s="74">
        <f t="shared" si="22"/>
        <v>0</v>
      </c>
      <c r="Z23" s="74">
        <f t="shared" si="22"/>
        <v>0</v>
      </c>
      <c r="AA23" s="74"/>
      <c r="AB23" s="74"/>
      <c r="AC23" s="74"/>
      <c r="AD23" s="74"/>
      <c r="AE23" s="74">
        <f t="shared" si="23"/>
        <v>0</v>
      </c>
      <c r="AF23" s="74">
        <f t="shared" si="23"/>
        <v>0</v>
      </c>
      <c r="AG23" s="74">
        <f t="shared" si="24"/>
        <v>0</v>
      </c>
      <c r="AH23" s="74">
        <f t="shared" si="25"/>
        <v>0</v>
      </c>
      <c r="AI23" s="74">
        <f t="shared" si="25"/>
        <v>33892.865805560868</v>
      </c>
      <c r="AJ23" s="74">
        <f t="shared" si="26"/>
        <v>33892.865805560868</v>
      </c>
      <c r="AK23" s="74">
        <f t="shared" si="27"/>
        <v>33892.865805560868</v>
      </c>
      <c r="AL23" s="74">
        <f t="shared" si="27"/>
        <v>33892.865805560868</v>
      </c>
      <c r="AM23" s="74"/>
      <c r="AN23" s="74"/>
      <c r="AO23" s="74"/>
      <c r="AP23" s="74"/>
      <c r="AQ23" s="74"/>
      <c r="AR23" s="74">
        <f t="shared" si="28"/>
        <v>0</v>
      </c>
      <c r="AS23" s="74">
        <f t="shared" si="28"/>
        <v>0</v>
      </c>
      <c r="AT23" s="74"/>
      <c r="AU23" s="74"/>
      <c r="AV23" s="74"/>
      <c r="AW23" s="74"/>
      <c r="AX23" s="74">
        <f t="shared" si="29"/>
        <v>0</v>
      </c>
      <c r="AY23" s="74">
        <f t="shared" si="29"/>
        <v>0</v>
      </c>
      <c r="AZ23" s="74"/>
      <c r="BA23" s="74"/>
      <c r="BB23" s="74"/>
      <c r="BC23" s="74"/>
      <c r="BD23" s="74">
        <f t="shared" si="30"/>
        <v>0</v>
      </c>
      <c r="BE23" s="74"/>
      <c r="BF23" s="74">
        <f t="shared" si="8"/>
        <v>0</v>
      </c>
      <c r="BG23" s="74"/>
      <c r="BH23" s="74"/>
      <c r="BI23" s="74"/>
      <c r="BJ23" s="74"/>
      <c r="BK23" s="74">
        <f t="shared" si="31"/>
        <v>0</v>
      </c>
      <c r="BL23" s="74"/>
      <c r="BM23" s="74">
        <f t="shared" si="9"/>
        <v>0</v>
      </c>
      <c r="BN23" s="74"/>
      <c r="BO23" s="74"/>
      <c r="BP23" s="74"/>
      <c r="BQ23" s="74"/>
      <c r="BR23" s="74">
        <f t="shared" si="32"/>
        <v>0</v>
      </c>
      <c r="BS23" s="74">
        <f t="shared" si="32"/>
        <v>0</v>
      </c>
      <c r="BT23" s="74"/>
      <c r="BU23" s="74"/>
      <c r="BV23" s="74"/>
      <c r="BW23" s="74"/>
      <c r="BX23" s="74">
        <f t="shared" si="33"/>
        <v>0</v>
      </c>
      <c r="BY23" s="74">
        <f t="shared" si="33"/>
        <v>0</v>
      </c>
      <c r="BZ23" s="74"/>
      <c r="CA23" s="74"/>
      <c r="CB23" s="74"/>
      <c r="CC23" s="74"/>
      <c r="CD23" s="74">
        <f t="shared" si="34"/>
        <v>0</v>
      </c>
      <c r="CE23" s="74">
        <f t="shared" si="34"/>
        <v>0</v>
      </c>
      <c r="CF23" s="74"/>
      <c r="CG23" s="74"/>
      <c r="CH23" s="74"/>
      <c r="CI23" s="74"/>
      <c r="CJ23" s="74">
        <f t="shared" si="35"/>
        <v>0</v>
      </c>
      <c r="CK23" s="74">
        <f t="shared" si="35"/>
        <v>0</v>
      </c>
      <c r="CL23" s="74"/>
      <c r="CM23" s="74"/>
      <c r="CN23" s="74"/>
      <c r="CO23" s="74"/>
      <c r="CP23" s="74">
        <f t="shared" si="36"/>
        <v>0</v>
      </c>
      <c r="CQ23" s="74">
        <f t="shared" si="36"/>
        <v>0</v>
      </c>
      <c r="CR23" s="74"/>
      <c r="CS23" s="74"/>
      <c r="CT23" s="74"/>
      <c r="CU23" s="74"/>
      <c r="CV23" s="74">
        <f t="shared" si="37"/>
        <v>0</v>
      </c>
      <c r="CW23" s="74">
        <f t="shared" si="37"/>
        <v>0</v>
      </c>
      <c r="CX23" s="74"/>
      <c r="CY23" s="74"/>
      <c r="CZ23" s="74"/>
      <c r="DA23" s="74"/>
      <c r="DB23" s="74">
        <f t="shared" si="38"/>
        <v>0</v>
      </c>
      <c r="DC23" s="74">
        <f t="shared" si="38"/>
        <v>0</v>
      </c>
      <c r="DD23" s="74"/>
      <c r="DE23" s="74"/>
      <c r="DF23" s="74"/>
      <c r="DG23" s="74"/>
      <c r="DH23" s="74">
        <f t="shared" si="39"/>
        <v>0</v>
      </c>
      <c r="DI23" s="74">
        <f t="shared" si="39"/>
        <v>0</v>
      </c>
      <c r="DJ23" s="74">
        <f t="shared" si="10"/>
        <v>0</v>
      </c>
      <c r="DK23" s="74">
        <f t="shared" si="11"/>
        <v>0</v>
      </c>
      <c r="DL23" s="74">
        <f t="shared" si="12"/>
        <v>0</v>
      </c>
      <c r="DM23" s="74">
        <f t="shared" si="13"/>
        <v>0</v>
      </c>
      <c r="DN23" s="74">
        <f t="shared" si="40"/>
        <v>0</v>
      </c>
      <c r="DO23" s="74">
        <f t="shared" si="40"/>
        <v>0</v>
      </c>
    </row>
    <row r="24" spans="1:119">
      <c r="A24" s="25">
        <v>16</v>
      </c>
      <c r="B24" s="26" t="s">
        <v>453</v>
      </c>
      <c r="C24" s="26" t="s">
        <v>481</v>
      </c>
      <c r="D24" s="26" t="s">
        <v>482</v>
      </c>
      <c r="E24" s="205" t="s">
        <v>1165</v>
      </c>
      <c r="F24" s="161">
        <f t="shared" si="14"/>
        <v>0</v>
      </c>
      <c r="G24" s="161">
        <f t="shared" si="15"/>
        <v>0</v>
      </c>
      <c r="H24" s="165">
        <f t="shared" si="16"/>
        <v>12849.21920670386</v>
      </c>
      <c r="I24" s="12">
        <v>15168.9</v>
      </c>
      <c r="J24" s="219">
        <v>0</v>
      </c>
      <c r="K24" s="219">
        <v>0</v>
      </c>
      <c r="L24" s="127">
        <f t="shared" si="17"/>
        <v>12849.21920670386</v>
      </c>
      <c r="M24" s="127">
        <f t="shared" si="18"/>
        <v>12849.21920670386</v>
      </c>
      <c r="N24" s="127">
        <f t="shared" si="19"/>
        <v>12849.21920670386</v>
      </c>
      <c r="O24" s="131">
        <f t="shared" si="20"/>
        <v>0</v>
      </c>
      <c r="P24" s="125">
        <f t="shared" si="21"/>
        <v>12849.21920670386</v>
      </c>
      <c r="Q24" s="74"/>
      <c r="R24" s="74">
        <v>12849.21920670386</v>
      </c>
      <c r="S24" s="74">
        <f t="shared" si="6"/>
        <v>0</v>
      </c>
      <c r="T24" s="74">
        <f t="shared" si="7"/>
        <v>12849.21920670386</v>
      </c>
      <c r="U24" s="74"/>
      <c r="V24" s="74"/>
      <c r="W24" s="74"/>
      <c r="X24" s="74"/>
      <c r="Y24" s="74">
        <f t="shared" si="22"/>
        <v>0</v>
      </c>
      <c r="Z24" s="74">
        <f t="shared" si="22"/>
        <v>0</v>
      </c>
      <c r="AA24" s="74"/>
      <c r="AB24" s="74"/>
      <c r="AC24" s="74"/>
      <c r="AD24" s="74"/>
      <c r="AE24" s="74">
        <f t="shared" si="23"/>
        <v>0</v>
      </c>
      <c r="AF24" s="74">
        <f t="shared" si="23"/>
        <v>0</v>
      </c>
      <c r="AG24" s="74">
        <f t="shared" si="24"/>
        <v>0</v>
      </c>
      <c r="AH24" s="74">
        <f t="shared" si="25"/>
        <v>0</v>
      </c>
      <c r="AI24" s="74">
        <f t="shared" si="25"/>
        <v>12849.21920670386</v>
      </c>
      <c r="AJ24" s="74">
        <f t="shared" si="26"/>
        <v>12849.21920670386</v>
      </c>
      <c r="AK24" s="74">
        <f t="shared" si="27"/>
        <v>12849.21920670386</v>
      </c>
      <c r="AL24" s="74">
        <f t="shared" si="27"/>
        <v>12849.21920670386</v>
      </c>
      <c r="AM24" s="74"/>
      <c r="AN24" s="74"/>
      <c r="AO24" s="74"/>
      <c r="AP24" s="74"/>
      <c r="AQ24" s="74"/>
      <c r="AR24" s="74">
        <f t="shared" si="28"/>
        <v>0</v>
      </c>
      <c r="AS24" s="74">
        <f t="shared" si="28"/>
        <v>0</v>
      </c>
      <c r="AT24" s="74"/>
      <c r="AU24" s="74"/>
      <c r="AV24" s="74"/>
      <c r="AW24" s="74"/>
      <c r="AX24" s="74">
        <f t="shared" si="29"/>
        <v>0</v>
      </c>
      <c r="AY24" s="74">
        <f t="shared" si="29"/>
        <v>0</v>
      </c>
      <c r="AZ24" s="74"/>
      <c r="BA24" s="74"/>
      <c r="BB24" s="74"/>
      <c r="BC24" s="74"/>
      <c r="BD24" s="74">
        <f t="shared" si="30"/>
        <v>0</v>
      </c>
      <c r="BE24" s="74"/>
      <c r="BF24" s="74">
        <f t="shared" si="8"/>
        <v>0</v>
      </c>
      <c r="BG24" s="74"/>
      <c r="BH24" s="74"/>
      <c r="BI24" s="74"/>
      <c r="BJ24" s="74"/>
      <c r="BK24" s="74">
        <f t="shared" si="31"/>
        <v>0</v>
      </c>
      <c r="BL24" s="74"/>
      <c r="BM24" s="74">
        <f t="shared" si="9"/>
        <v>0</v>
      </c>
      <c r="BN24" s="74"/>
      <c r="BO24" s="74"/>
      <c r="BP24" s="74"/>
      <c r="BQ24" s="74"/>
      <c r="BR24" s="74">
        <f t="shared" si="32"/>
        <v>0</v>
      </c>
      <c r="BS24" s="74">
        <f t="shared" si="32"/>
        <v>0</v>
      </c>
      <c r="BT24" s="74"/>
      <c r="BU24" s="74"/>
      <c r="BV24" s="74"/>
      <c r="BW24" s="74"/>
      <c r="BX24" s="74">
        <f t="shared" si="33"/>
        <v>0</v>
      </c>
      <c r="BY24" s="74">
        <f t="shared" si="33"/>
        <v>0</v>
      </c>
      <c r="BZ24" s="74"/>
      <c r="CA24" s="74"/>
      <c r="CB24" s="74"/>
      <c r="CC24" s="74"/>
      <c r="CD24" s="74">
        <f t="shared" si="34"/>
        <v>0</v>
      </c>
      <c r="CE24" s="74">
        <f t="shared" si="34"/>
        <v>0</v>
      </c>
      <c r="CF24" s="74"/>
      <c r="CG24" s="74"/>
      <c r="CH24" s="74"/>
      <c r="CI24" s="74"/>
      <c r="CJ24" s="74">
        <f t="shared" si="35"/>
        <v>0</v>
      </c>
      <c r="CK24" s="74">
        <f t="shared" si="35"/>
        <v>0</v>
      </c>
      <c r="CL24" s="74"/>
      <c r="CM24" s="74"/>
      <c r="CN24" s="74"/>
      <c r="CO24" s="74"/>
      <c r="CP24" s="74">
        <f t="shared" si="36"/>
        <v>0</v>
      </c>
      <c r="CQ24" s="74">
        <f t="shared" si="36"/>
        <v>0</v>
      </c>
      <c r="CR24" s="74"/>
      <c r="CS24" s="74"/>
      <c r="CT24" s="74"/>
      <c r="CU24" s="74"/>
      <c r="CV24" s="74">
        <f t="shared" si="37"/>
        <v>0</v>
      </c>
      <c r="CW24" s="74">
        <f t="shared" si="37"/>
        <v>0</v>
      </c>
      <c r="CX24" s="74"/>
      <c r="CY24" s="74"/>
      <c r="CZ24" s="74"/>
      <c r="DA24" s="74"/>
      <c r="DB24" s="74">
        <f t="shared" si="38"/>
        <v>0</v>
      </c>
      <c r="DC24" s="74">
        <f t="shared" si="38"/>
        <v>0</v>
      </c>
      <c r="DD24" s="74"/>
      <c r="DE24" s="74"/>
      <c r="DF24" s="74"/>
      <c r="DG24" s="74"/>
      <c r="DH24" s="74">
        <f t="shared" si="39"/>
        <v>0</v>
      </c>
      <c r="DI24" s="74">
        <f t="shared" si="39"/>
        <v>0</v>
      </c>
      <c r="DJ24" s="74">
        <f t="shared" si="10"/>
        <v>0</v>
      </c>
      <c r="DK24" s="74">
        <f t="shared" si="11"/>
        <v>0</v>
      </c>
      <c r="DL24" s="74">
        <f t="shared" si="12"/>
        <v>0</v>
      </c>
      <c r="DM24" s="74">
        <f t="shared" si="13"/>
        <v>0</v>
      </c>
      <c r="DN24" s="74">
        <f t="shared" si="40"/>
        <v>0</v>
      </c>
      <c r="DO24" s="74">
        <f t="shared" si="40"/>
        <v>0</v>
      </c>
    </row>
    <row r="25" spans="1:119">
      <c r="A25" s="25">
        <v>17</v>
      </c>
      <c r="B25" s="26" t="s">
        <v>127</v>
      </c>
      <c r="C25" s="26" t="s">
        <v>483</v>
      </c>
      <c r="D25" s="26" t="s">
        <v>484</v>
      </c>
      <c r="E25" s="205" t="s">
        <v>1164</v>
      </c>
      <c r="F25" s="161">
        <f t="shared" si="14"/>
        <v>0</v>
      </c>
      <c r="G25" s="161">
        <f t="shared" si="15"/>
        <v>0</v>
      </c>
      <c r="H25" s="165">
        <f t="shared" si="16"/>
        <v>1019.9</v>
      </c>
      <c r="I25" s="12">
        <v>0</v>
      </c>
      <c r="J25" s="219">
        <v>0</v>
      </c>
      <c r="K25" s="219">
        <v>0</v>
      </c>
      <c r="L25" s="127">
        <f t="shared" si="17"/>
        <v>1019.9</v>
      </c>
      <c r="M25" s="127">
        <f t="shared" si="18"/>
        <v>1019.9</v>
      </c>
      <c r="N25" s="127">
        <f t="shared" si="19"/>
        <v>1019.9</v>
      </c>
      <c r="O25" s="131">
        <f t="shared" si="20"/>
        <v>0</v>
      </c>
      <c r="P25" s="125">
        <f t="shared" si="21"/>
        <v>1019.9</v>
      </c>
      <c r="Q25" s="74"/>
      <c r="R25" s="74">
        <v>1019.9</v>
      </c>
      <c r="S25" s="74">
        <f>J25+Q25</f>
        <v>0</v>
      </c>
      <c r="T25" s="74">
        <f>R25</f>
        <v>1019.9</v>
      </c>
      <c r="U25" s="74"/>
      <c r="V25" s="74"/>
      <c r="W25" s="74"/>
      <c r="X25" s="74"/>
      <c r="Y25" s="74">
        <f t="shared" si="22"/>
        <v>0</v>
      </c>
      <c r="Z25" s="74">
        <f t="shared" si="22"/>
        <v>0</v>
      </c>
      <c r="AA25" s="74"/>
      <c r="AB25" s="74"/>
      <c r="AC25" s="74"/>
      <c r="AD25" s="74"/>
      <c r="AE25" s="74">
        <f t="shared" si="23"/>
        <v>0</v>
      </c>
      <c r="AF25" s="74">
        <f t="shared" si="23"/>
        <v>0</v>
      </c>
      <c r="AG25" s="74">
        <f t="shared" si="24"/>
        <v>0</v>
      </c>
      <c r="AH25" s="74">
        <f t="shared" si="25"/>
        <v>0</v>
      </c>
      <c r="AI25" s="74">
        <f t="shared" si="25"/>
        <v>1019.9</v>
      </c>
      <c r="AJ25" s="74">
        <f t="shared" si="26"/>
        <v>1019.9</v>
      </c>
      <c r="AK25" s="74">
        <f t="shared" si="27"/>
        <v>1019.9</v>
      </c>
      <c r="AL25" s="74">
        <f t="shared" si="27"/>
        <v>1019.9</v>
      </c>
      <c r="AM25" s="74"/>
      <c r="AN25" s="74"/>
      <c r="AO25" s="74"/>
      <c r="AP25" s="74"/>
      <c r="AQ25" s="74"/>
      <c r="AR25" s="74">
        <f t="shared" si="28"/>
        <v>0</v>
      </c>
      <c r="AS25" s="74">
        <f t="shared" si="28"/>
        <v>0</v>
      </c>
      <c r="AT25" s="74"/>
      <c r="AU25" s="74"/>
      <c r="AV25" s="74"/>
      <c r="AW25" s="74"/>
      <c r="AX25" s="74">
        <f t="shared" si="29"/>
        <v>0</v>
      </c>
      <c r="AY25" s="74">
        <f t="shared" si="29"/>
        <v>0</v>
      </c>
      <c r="AZ25" s="74"/>
      <c r="BA25" s="74"/>
      <c r="BB25" s="74"/>
      <c r="BC25" s="74"/>
      <c r="BD25" s="74">
        <f t="shared" si="30"/>
        <v>0</v>
      </c>
      <c r="BE25" s="74"/>
      <c r="BF25" s="74">
        <f t="shared" si="8"/>
        <v>0</v>
      </c>
      <c r="BG25" s="74"/>
      <c r="BH25" s="74"/>
      <c r="BI25" s="74"/>
      <c r="BJ25" s="74"/>
      <c r="BK25" s="74">
        <f t="shared" si="31"/>
        <v>0</v>
      </c>
      <c r="BL25" s="74"/>
      <c r="BM25" s="74">
        <f t="shared" si="9"/>
        <v>0</v>
      </c>
      <c r="BN25" s="74"/>
      <c r="BO25" s="74"/>
      <c r="BP25" s="74"/>
      <c r="BQ25" s="74"/>
      <c r="BR25" s="74">
        <f t="shared" si="32"/>
        <v>0</v>
      </c>
      <c r="BS25" s="74">
        <f t="shared" si="32"/>
        <v>0</v>
      </c>
      <c r="BT25" s="74"/>
      <c r="BU25" s="74"/>
      <c r="BV25" s="74"/>
      <c r="BW25" s="74"/>
      <c r="BX25" s="74">
        <f t="shared" si="33"/>
        <v>0</v>
      </c>
      <c r="BY25" s="74">
        <f t="shared" si="33"/>
        <v>0</v>
      </c>
      <c r="BZ25" s="74"/>
      <c r="CA25" s="74"/>
      <c r="CB25" s="74"/>
      <c r="CC25" s="74"/>
      <c r="CD25" s="74">
        <f t="shared" si="34"/>
        <v>0</v>
      </c>
      <c r="CE25" s="74">
        <f t="shared" si="34"/>
        <v>0</v>
      </c>
      <c r="CF25" s="74"/>
      <c r="CG25" s="74"/>
      <c r="CH25" s="74"/>
      <c r="CI25" s="74"/>
      <c r="CJ25" s="74">
        <f t="shared" si="35"/>
        <v>0</v>
      </c>
      <c r="CK25" s="74">
        <f t="shared" si="35"/>
        <v>0</v>
      </c>
      <c r="CL25" s="74"/>
      <c r="CM25" s="74"/>
      <c r="CN25" s="74"/>
      <c r="CO25" s="74"/>
      <c r="CP25" s="74">
        <f t="shared" si="36"/>
        <v>0</v>
      </c>
      <c r="CQ25" s="74">
        <f t="shared" si="36"/>
        <v>0</v>
      </c>
      <c r="CR25" s="74"/>
      <c r="CS25" s="74"/>
      <c r="CT25" s="74"/>
      <c r="CU25" s="74"/>
      <c r="CV25" s="74">
        <f t="shared" si="37"/>
        <v>0</v>
      </c>
      <c r="CW25" s="74">
        <f t="shared" si="37"/>
        <v>0</v>
      </c>
      <c r="CX25" s="74"/>
      <c r="CY25" s="74"/>
      <c r="CZ25" s="74"/>
      <c r="DA25" s="74"/>
      <c r="DB25" s="74">
        <f t="shared" si="38"/>
        <v>0</v>
      </c>
      <c r="DC25" s="74">
        <f t="shared" si="38"/>
        <v>0</v>
      </c>
      <c r="DD25" s="74"/>
      <c r="DE25" s="74"/>
      <c r="DF25" s="74"/>
      <c r="DG25" s="74"/>
      <c r="DH25" s="74">
        <f t="shared" si="39"/>
        <v>0</v>
      </c>
      <c r="DI25" s="74">
        <f t="shared" si="39"/>
        <v>0</v>
      </c>
      <c r="DJ25" s="74">
        <f t="shared" si="10"/>
        <v>0</v>
      </c>
      <c r="DK25" s="74">
        <f t="shared" si="11"/>
        <v>0</v>
      </c>
      <c r="DL25" s="74">
        <f t="shared" si="12"/>
        <v>0</v>
      </c>
      <c r="DM25" s="74">
        <f t="shared" si="13"/>
        <v>0</v>
      </c>
      <c r="DN25" s="74">
        <f t="shared" si="40"/>
        <v>0</v>
      </c>
      <c r="DO25" s="74">
        <f t="shared" si="40"/>
        <v>0</v>
      </c>
    </row>
    <row r="26" spans="1:119">
      <c r="A26" s="25">
        <v>18</v>
      </c>
      <c r="B26" s="26" t="s">
        <v>127</v>
      </c>
      <c r="C26" s="26" t="s">
        <v>483</v>
      </c>
      <c r="D26" s="26" t="s">
        <v>485</v>
      </c>
      <c r="E26" s="205" t="s">
        <v>1165</v>
      </c>
      <c r="F26" s="161">
        <f t="shared" si="14"/>
        <v>0</v>
      </c>
      <c r="G26" s="161">
        <f t="shared" si="15"/>
        <v>0</v>
      </c>
      <c r="H26" s="165">
        <f t="shared" si="16"/>
        <v>23866.770495170022</v>
      </c>
      <c r="I26" s="79"/>
      <c r="J26" s="219">
        <v>0</v>
      </c>
      <c r="K26" s="219">
        <v>0</v>
      </c>
      <c r="L26" s="127">
        <f t="shared" si="17"/>
        <v>23866.770495170022</v>
      </c>
      <c r="M26" s="127">
        <f t="shared" si="18"/>
        <v>23866.770495170022</v>
      </c>
      <c r="N26" s="127">
        <f t="shared" si="19"/>
        <v>23866.770495170022</v>
      </c>
      <c r="O26" s="131">
        <f t="shared" si="20"/>
        <v>0</v>
      </c>
      <c r="P26" s="125">
        <f t="shared" si="21"/>
        <v>23866.770495170022</v>
      </c>
      <c r="Q26" s="74"/>
      <c r="R26" s="74">
        <v>23866.770495170022</v>
      </c>
      <c r="S26" s="74">
        <f t="shared" si="6"/>
        <v>0</v>
      </c>
      <c r="T26" s="74">
        <f t="shared" si="7"/>
        <v>23866.770495170022</v>
      </c>
      <c r="U26" s="74"/>
      <c r="V26" s="74"/>
      <c r="W26" s="74"/>
      <c r="X26" s="74"/>
      <c r="Y26" s="74">
        <f t="shared" si="22"/>
        <v>0</v>
      </c>
      <c r="Z26" s="74">
        <f t="shared" si="22"/>
        <v>0</v>
      </c>
      <c r="AA26" s="74"/>
      <c r="AB26" s="74"/>
      <c r="AC26" s="74"/>
      <c r="AD26" s="74"/>
      <c r="AE26" s="74">
        <f t="shared" si="23"/>
        <v>0</v>
      </c>
      <c r="AF26" s="74">
        <f t="shared" si="23"/>
        <v>0</v>
      </c>
      <c r="AG26" s="74">
        <f t="shared" si="24"/>
        <v>0</v>
      </c>
      <c r="AH26" s="74">
        <f t="shared" si="25"/>
        <v>0</v>
      </c>
      <c r="AI26" s="74">
        <f t="shared" si="25"/>
        <v>23866.770495170022</v>
      </c>
      <c r="AJ26" s="74">
        <f t="shared" si="26"/>
        <v>23866.770495170022</v>
      </c>
      <c r="AK26" s="74">
        <f t="shared" si="27"/>
        <v>23866.770495170022</v>
      </c>
      <c r="AL26" s="74">
        <f t="shared" si="27"/>
        <v>23866.770495170022</v>
      </c>
      <c r="AM26" s="74"/>
      <c r="AN26" s="74"/>
      <c r="AO26" s="74"/>
      <c r="AP26" s="74"/>
      <c r="AQ26" s="74"/>
      <c r="AR26" s="74">
        <f t="shared" si="28"/>
        <v>0</v>
      </c>
      <c r="AS26" s="74">
        <f t="shared" si="28"/>
        <v>0</v>
      </c>
      <c r="AT26" s="74"/>
      <c r="AU26" s="74"/>
      <c r="AV26" s="74"/>
      <c r="AW26" s="74"/>
      <c r="AX26" s="74">
        <f t="shared" si="29"/>
        <v>0</v>
      </c>
      <c r="AY26" s="74">
        <f t="shared" si="29"/>
        <v>0</v>
      </c>
      <c r="AZ26" s="74"/>
      <c r="BA26" s="74"/>
      <c r="BB26" s="74"/>
      <c r="BC26" s="74"/>
      <c r="BD26" s="74">
        <f t="shared" si="30"/>
        <v>0</v>
      </c>
      <c r="BE26" s="74"/>
      <c r="BF26" s="74">
        <f t="shared" si="8"/>
        <v>0</v>
      </c>
      <c r="BG26" s="74"/>
      <c r="BH26" s="74"/>
      <c r="BI26" s="74"/>
      <c r="BJ26" s="74"/>
      <c r="BK26" s="74">
        <f t="shared" si="31"/>
        <v>0</v>
      </c>
      <c r="BL26" s="74"/>
      <c r="BM26" s="74">
        <f t="shared" si="9"/>
        <v>0</v>
      </c>
      <c r="BN26" s="74"/>
      <c r="BO26" s="74"/>
      <c r="BP26" s="74"/>
      <c r="BQ26" s="74"/>
      <c r="BR26" s="74">
        <f t="shared" si="32"/>
        <v>0</v>
      </c>
      <c r="BS26" s="74">
        <f t="shared" si="32"/>
        <v>0</v>
      </c>
      <c r="BT26" s="74"/>
      <c r="BU26" s="74"/>
      <c r="BV26" s="74"/>
      <c r="BW26" s="74"/>
      <c r="BX26" s="74">
        <f t="shared" si="33"/>
        <v>0</v>
      </c>
      <c r="BY26" s="74">
        <f t="shared" si="33"/>
        <v>0</v>
      </c>
      <c r="BZ26" s="74"/>
      <c r="CA26" s="74"/>
      <c r="CB26" s="74"/>
      <c r="CC26" s="74"/>
      <c r="CD26" s="74">
        <f t="shared" si="34"/>
        <v>0</v>
      </c>
      <c r="CE26" s="74">
        <f t="shared" si="34"/>
        <v>0</v>
      </c>
      <c r="CF26" s="74"/>
      <c r="CG26" s="74"/>
      <c r="CH26" s="74"/>
      <c r="CI26" s="74"/>
      <c r="CJ26" s="74">
        <f t="shared" si="35"/>
        <v>0</v>
      </c>
      <c r="CK26" s="74">
        <f t="shared" si="35"/>
        <v>0</v>
      </c>
      <c r="CL26" s="74"/>
      <c r="CM26" s="74"/>
      <c r="CN26" s="74"/>
      <c r="CO26" s="74"/>
      <c r="CP26" s="74">
        <f t="shared" si="36"/>
        <v>0</v>
      </c>
      <c r="CQ26" s="74">
        <f t="shared" si="36"/>
        <v>0</v>
      </c>
      <c r="CR26" s="74"/>
      <c r="CS26" s="74"/>
      <c r="CT26" s="74"/>
      <c r="CU26" s="74"/>
      <c r="CV26" s="74">
        <f t="shared" si="37"/>
        <v>0</v>
      </c>
      <c r="CW26" s="74">
        <f t="shared" si="37"/>
        <v>0</v>
      </c>
      <c r="CX26" s="74"/>
      <c r="CY26" s="74"/>
      <c r="CZ26" s="74"/>
      <c r="DA26" s="74"/>
      <c r="DB26" s="74">
        <f t="shared" si="38"/>
        <v>0</v>
      </c>
      <c r="DC26" s="74">
        <f t="shared" si="38"/>
        <v>0</v>
      </c>
      <c r="DD26" s="74"/>
      <c r="DE26" s="74"/>
      <c r="DF26" s="74"/>
      <c r="DG26" s="74"/>
      <c r="DH26" s="74">
        <f t="shared" si="39"/>
        <v>0</v>
      </c>
      <c r="DI26" s="74">
        <f t="shared" si="39"/>
        <v>0</v>
      </c>
      <c r="DJ26" s="74">
        <f t="shared" si="10"/>
        <v>0</v>
      </c>
      <c r="DK26" s="74">
        <f t="shared" si="11"/>
        <v>0</v>
      </c>
      <c r="DL26" s="74">
        <f t="shared" si="12"/>
        <v>0</v>
      </c>
      <c r="DM26" s="74">
        <f t="shared" si="13"/>
        <v>0</v>
      </c>
      <c r="DN26" s="74">
        <f t="shared" si="40"/>
        <v>0</v>
      </c>
      <c r="DO26" s="74">
        <f t="shared" si="40"/>
        <v>0</v>
      </c>
    </row>
    <row r="27" spans="1:119">
      <c r="A27" s="25">
        <v>19</v>
      </c>
      <c r="B27" s="26" t="s">
        <v>453</v>
      </c>
      <c r="C27" s="26" t="s">
        <v>486</v>
      </c>
      <c r="D27" s="26" t="s">
        <v>487</v>
      </c>
      <c r="E27" s="205" t="s">
        <v>1165</v>
      </c>
      <c r="F27" s="161">
        <f t="shared" si="14"/>
        <v>0</v>
      </c>
      <c r="G27" s="161">
        <f t="shared" si="15"/>
        <v>0</v>
      </c>
      <c r="H27" s="165">
        <f t="shared" si="16"/>
        <v>16529.25416489919</v>
      </c>
      <c r="I27" s="12">
        <v>5550.7199999999993</v>
      </c>
      <c r="J27" s="219">
        <v>0</v>
      </c>
      <c r="K27" s="219">
        <v>0</v>
      </c>
      <c r="L27" s="127">
        <f t="shared" si="17"/>
        <v>16529.25416489919</v>
      </c>
      <c r="M27" s="127">
        <f t="shared" si="18"/>
        <v>16529.25416489919</v>
      </c>
      <c r="N27" s="127">
        <f t="shared" si="19"/>
        <v>16529.25416489919</v>
      </c>
      <c r="O27" s="131">
        <f t="shared" si="20"/>
        <v>0</v>
      </c>
      <c r="P27" s="125">
        <f t="shared" si="21"/>
        <v>16529.25416489919</v>
      </c>
      <c r="Q27" s="74"/>
      <c r="R27" s="74">
        <v>16529.25416489919</v>
      </c>
      <c r="S27" s="74">
        <f>J27+Q27</f>
        <v>0</v>
      </c>
      <c r="T27" s="74">
        <f>R27</f>
        <v>16529.25416489919</v>
      </c>
      <c r="U27" s="74"/>
      <c r="V27" s="74"/>
      <c r="W27" s="74"/>
      <c r="X27" s="74"/>
      <c r="Y27" s="74">
        <f t="shared" si="22"/>
        <v>0</v>
      </c>
      <c r="Z27" s="74">
        <f t="shared" si="22"/>
        <v>0</v>
      </c>
      <c r="AA27" s="74"/>
      <c r="AB27" s="74"/>
      <c r="AC27" s="74"/>
      <c r="AD27" s="74"/>
      <c r="AE27" s="74">
        <f t="shared" si="23"/>
        <v>0</v>
      </c>
      <c r="AF27" s="74">
        <f t="shared" si="23"/>
        <v>0</v>
      </c>
      <c r="AG27" s="74">
        <f t="shared" si="24"/>
        <v>0</v>
      </c>
      <c r="AH27" s="74">
        <f t="shared" si="25"/>
        <v>0</v>
      </c>
      <c r="AI27" s="74">
        <f t="shared" si="25"/>
        <v>16529.25416489919</v>
      </c>
      <c r="AJ27" s="74">
        <f t="shared" si="26"/>
        <v>16529.25416489919</v>
      </c>
      <c r="AK27" s="74">
        <f t="shared" si="27"/>
        <v>16529.25416489919</v>
      </c>
      <c r="AL27" s="74">
        <f t="shared" si="27"/>
        <v>16529.25416489919</v>
      </c>
      <c r="AM27" s="74"/>
      <c r="AN27" s="74"/>
      <c r="AO27" s="74"/>
      <c r="AP27" s="74"/>
      <c r="AQ27" s="74"/>
      <c r="AR27" s="74">
        <f t="shared" si="28"/>
        <v>0</v>
      </c>
      <c r="AS27" s="74">
        <f t="shared" si="28"/>
        <v>0</v>
      </c>
      <c r="AT27" s="74"/>
      <c r="AU27" s="74"/>
      <c r="AV27" s="74"/>
      <c r="AW27" s="74"/>
      <c r="AX27" s="74">
        <f t="shared" si="29"/>
        <v>0</v>
      </c>
      <c r="AY27" s="74">
        <f t="shared" si="29"/>
        <v>0</v>
      </c>
      <c r="AZ27" s="74"/>
      <c r="BA27" s="74"/>
      <c r="BB27" s="74"/>
      <c r="BC27" s="74"/>
      <c r="BD27" s="74">
        <f t="shared" si="30"/>
        <v>0</v>
      </c>
      <c r="BE27" s="74"/>
      <c r="BF27" s="74">
        <f t="shared" si="8"/>
        <v>0</v>
      </c>
      <c r="BG27" s="74"/>
      <c r="BH27" s="74"/>
      <c r="BI27" s="74"/>
      <c r="BJ27" s="74"/>
      <c r="BK27" s="74">
        <f t="shared" si="31"/>
        <v>0</v>
      </c>
      <c r="BL27" s="74"/>
      <c r="BM27" s="74">
        <f t="shared" si="9"/>
        <v>0</v>
      </c>
      <c r="BN27" s="74"/>
      <c r="BO27" s="74"/>
      <c r="BP27" s="74"/>
      <c r="BQ27" s="74"/>
      <c r="BR27" s="74">
        <f t="shared" si="32"/>
        <v>0</v>
      </c>
      <c r="BS27" s="74">
        <f t="shared" si="32"/>
        <v>0</v>
      </c>
      <c r="BT27" s="74"/>
      <c r="BU27" s="74"/>
      <c r="BV27" s="74"/>
      <c r="BW27" s="74"/>
      <c r="BX27" s="74">
        <f t="shared" si="33"/>
        <v>0</v>
      </c>
      <c r="BY27" s="74">
        <f t="shared" si="33"/>
        <v>0</v>
      </c>
      <c r="BZ27" s="74"/>
      <c r="CA27" s="74"/>
      <c r="CB27" s="74"/>
      <c r="CC27" s="74"/>
      <c r="CD27" s="74">
        <f t="shared" si="34"/>
        <v>0</v>
      </c>
      <c r="CE27" s="74">
        <f t="shared" si="34"/>
        <v>0</v>
      </c>
      <c r="CF27" s="74"/>
      <c r="CG27" s="74"/>
      <c r="CH27" s="74"/>
      <c r="CI27" s="74"/>
      <c r="CJ27" s="74">
        <f t="shared" si="35"/>
        <v>0</v>
      </c>
      <c r="CK27" s="74">
        <f t="shared" si="35"/>
        <v>0</v>
      </c>
      <c r="CL27" s="74"/>
      <c r="CM27" s="74"/>
      <c r="CN27" s="74"/>
      <c r="CO27" s="74"/>
      <c r="CP27" s="74">
        <f t="shared" si="36"/>
        <v>0</v>
      </c>
      <c r="CQ27" s="74">
        <f t="shared" si="36"/>
        <v>0</v>
      </c>
      <c r="CR27" s="74"/>
      <c r="CS27" s="74"/>
      <c r="CT27" s="74"/>
      <c r="CU27" s="74"/>
      <c r="CV27" s="74">
        <f t="shared" si="37"/>
        <v>0</v>
      </c>
      <c r="CW27" s="74">
        <f t="shared" si="37"/>
        <v>0</v>
      </c>
      <c r="CX27" s="74"/>
      <c r="CY27" s="74"/>
      <c r="CZ27" s="74"/>
      <c r="DA27" s="74"/>
      <c r="DB27" s="74">
        <f t="shared" si="38"/>
        <v>0</v>
      </c>
      <c r="DC27" s="74">
        <f t="shared" si="38"/>
        <v>0</v>
      </c>
      <c r="DD27" s="74"/>
      <c r="DE27" s="74"/>
      <c r="DF27" s="74"/>
      <c r="DG27" s="74"/>
      <c r="DH27" s="74">
        <f t="shared" si="39"/>
        <v>0</v>
      </c>
      <c r="DI27" s="74">
        <f t="shared" si="39"/>
        <v>0</v>
      </c>
      <c r="DJ27" s="74">
        <f t="shared" si="10"/>
        <v>0</v>
      </c>
      <c r="DK27" s="74">
        <f t="shared" si="11"/>
        <v>0</v>
      </c>
      <c r="DL27" s="74">
        <f t="shared" si="12"/>
        <v>0</v>
      </c>
      <c r="DM27" s="74">
        <f t="shared" si="13"/>
        <v>0</v>
      </c>
      <c r="DN27" s="74">
        <f t="shared" si="40"/>
        <v>0</v>
      </c>
      <c r="DO27" s="74">
        <f t="shared" si="40"/>
        <v>0</v>
      </c>
    </row>
    <row r="28" spans="1:119">
      <c r="A28" s="25">
        <v>20</v>
      </c>
      <c r="B28" s="26" t="s">
        <v>470</v>
      </c>
      <c r="C28" s="26" t="s">
        <v>488</v>
      </c>
      <c r="D28" s="26" t="s">
        <v>489</v>
      </c>
      <c r="E28" s="205" t="s">
        <v>1164</v>
      </c>
      <c r="F28" s="161">
        <f t="shared" si="14"/>
        <v>0</v>
      </c>
      <c r="G28" s="161">
        <f t="shared" si="15"/>
        <v>0</v>
      </c>
      <c r="H28" s="165">
        <f t="shared" si="16"/>
        <v>1776.25</v>
      </c>
      <c r="I28" s="12">
        <v>0</v>
      </c>
      <c r="J28" s="219">
        <v>0</v>
      </c>
      <c r="K28" s="219">
        <v>0</v>
      </c>
      <c r="L28" s="127">
        <f t="shared" si="17"/>
        <v>1776.25</v>
      </c>
      <c r="M28" s="127">
        <f t="shared" si="18"/>
        <v>1776.25</v>
      </c>
      <c r="N28" s="127">
        <f t="shared" si="19"/>
        <v>1776.25</v>
      </c>
      <c r="O28" s="131">
        <f t="shared" si="20"/>
        <v>0</v>
      </c>
      <c r="P28" s="125">
        <f t="shared" si="21"/>
        <v>1776.25</v>
      </c>
      <c r="Q28" s="74"/>
      <c r="R28" s="74">
        <v>1776.25</v>
      </c>
      <c r="S28" s="74">
        <f>J28+Q28</f>
        <v>0</v>
      </c>
      <c r="T28" s="74">
        <f>R28</f>
        <v>1776.25</v>
      </c>
      <c r="U28" s="74"/>
      <c r="V28" s="74"/>
      <c r="W28" s="74"/>
      <c r="X28" s="74"/>
      <c r="Y28" s="74">
        <f t="shared" si="22"/>
        <v>0</v>
      </c>
      <c r="Z28" s="74">
        <f t="shared" si="22"/>
        <v>0</v>
      </c>
      <c r="AA28" s="74"/>
      <c r="AB28" s="74"/>
      <c r="AC28" s="74"/>
      <c r="AD28" s="74"/>
      <c r="AE28" s="74">
        <f t="shared" si="23"/>
        <v>0</v>
      </c>
      <c r="AF28" s="74">
        <f t="shared" si="23"/>
        <v>0</v>
      </c>
      <c r="AG28" s="74">
        <f t="shared" si="24"/>
        <v>0</v>
      </c>
      <c r="AH28" s="74">
        <f t="shared" si="25"/>
        <v>0</v>
      </c>
      <c r="AI28" s="74">
        <f t="shared" si="25"/>
        <v>1776.25</v>
      </c>
      <c r="AJ28" s="74">
        <f t="shared" si="26"/>
        <v>1776.25</v>
      </c>
      <c r="AK28" s="74">
        <f t="shared" si="27"/>
        <v>1776.25</v>
      </c>
      <c r="AL28" s="74">
        <f t="shared" si="27"/>
        <v>1776.25</v>
      </c>
      <c r="AM28" s="74"/>
      <c r="AN28" s="74"/>
      <c r="AO28" s="74"/>
      <c r="AP28" s="74"/>
      <c r="AQ28" s="74"/>
      <c r="AR28" s="74">
        <f t="shared" si="28"/>
        <v>0</v>
      </c>
      <c r="AS28" s="74">
        <f t="shared" si="28"/>
        <v>0</v>
      </c>
      <c r="AT28" s="74"/>
      <c r="AU28" s="74"/>
      <c r="AV28" s="74"/>
      <c r="AW28" s="74"/>
      <c r="AX28" s="74">
        <f t="shared" si="29"/>
        <v>0</v>
      </c>
      <c r="AY28" s="74">
        <f t="shared" si="29"/>
        <v>0</v>
      </c>
      <c r="AZ28" s="74"/>
      <c r="BA28" s="74"/>
      <c r="BB28" s="74"/>
      <c r="BC28" s="74"/>
      <c r="BD28" s="74">
        <f t="shared" si="30"/>
        <v>0</v>
      </c>
      <c r="BE28" s="74"/>
      <c r="BF28" s="74">
        <f t="shared" si="8"/>
        <v>0</v>
      </c>
      <c r="BG28" s="74"/>
      <c r="BH28" s="74"/>
      <c r="BI28" s="74"/>
      <c r="BJ28" s="74"/>
      <c r="BK28" s="74">
        <f t="shared" si="31"/>
        <v>0</v>
      </c>
      <c r="BL28" s="74"/>
      <c r="BM28" s="74">
        <f t="shared" si="9"/>
        <v>0</v>
      </c>
      <c r="BN28" s="74"/>
      <c r="BO28" s="74"/>
      <c r="BP28" s="74"/>
      <c r="BQ28" s="74"/>
      <c r="BR28" s="74">
        <f t="shared" si="32"/>
        <v>0</v>
      </c>
      <c r="BS28" s="74">
        <f t="shared" si="32"/>
        <v>0</v>
      </c>
      <c r="BT28" s="74"/>
      <c r="BU28" s="74"/>
      <c r="BV28" s="74"/>
      <c r="BW28" s="74"/>
      <c r="BX28" s="74">
        <f t="shared" si="33"/>
        <v>0</v>
      </c>
      <c r="BY28" s="74">
        <f t="shared" si="33"/>
        <v>0</v>
      </c>
      <c r="BZ28" s="74"/>
      <c r="CA28" s="74"/>
      <c r="CB28" s="74"/>
      <c r="CC28" s="74"/>
      <c r="CD28" s="74">
        <f t="shared" si="34"/>
        <v>0</v>
      </c>
      <c r="CE28" s="74">
        <f t="shared" si="34"/>
        <v>0</v>
      </c>
      <c r="CF28" s="74"/>
      <c r="CG28" s="74"/>
      <c r="CH28" s="74"/>
      <c r="CI28" s="74"/>
      <c r="CJ28" s="74">
        <f t="shared" si="35"/>
        <v>0</v>
      </c>
      <c r="CK28" s="74">
        <f t="shared" si="35"/>
        <v>0</v>
      </c>
      <c r="CL28" s="74"/>
      <c r="CM28" s="74"/>
      <c r="CN28" s="74"/>
      <c r="CO28" s="74"/>
      <c r="CP28" s="74">
        <f t="shared" si="36"/>
        <v>0</v>
      </c>
      <c r="CQ28" s="74">
        <f t="shared" si="36"/>
        <v>0</v>
      </c>
      <c r="CR28" s="74"/>
      <c r="CS28" s="74"/>
      <c r="CT28" s="74"/>
      <c r="CU28" s="74"/>
      <c r="CV28" s="74">
        <f t="shared" si="37"/>
        <v>0</v>
      </c>
      <c r="CW28" s="74">
        <f t="shared" si="37"/>
        <v>0</v>
      </c>
      <c r="CX28" s="74"/>
      <c r="CY28" s="74"/>
      <c r="CZ28" s="74"/>
      <c r="DA28" s="74"/>
      <c r="DB28" s="74">
        <f t="shared" si="38"/>
        <v>0</v>
      </c>
      <c r="DC28" s="74">
        <f t="shared" si="38"/>
        <v>0</v>
      </c>
      <c r="DD28" s="74"/>
      <c r="DE28" s="74"/>
      <c r="DF28" s="74"/>
      <c r="DG28" s="74"/>
      <c r="DH28" s="74">
        <f t="shared" si="39"/>
        <v>0</v>
      </c>
      <c r="DI28" s="74">
        <f t="shared" si="39"/>
        <v>0</v>
      </c>
      <c r="DJ28" s="74">
        <f t="shared" si="10"/>
        <v>0</v>
      </c>
      <c r="DK28" s="74">
        <f t="shared" si="11"/>
        <v>0</v>
      </c>
      <c r="DL28" s="74">
        <f t="shared" si="12"/>
        <v>0</v>
      </c>
      <c r="DM28" s="74">
        <f t="shared" si="13"/>
        <v>0</v>
      </c>
      <c r="DN28" s="74">
        <f t="shared" si="40"/>
        <v>0</v>
      </c>
      <c r="DO28" s="74">
        <f t="shared" si="40"/>
        <v>0</v>
      </c>
    </row>
    <row r="29" spans="1:119">
      <c r="A29" s="25">
        <v>21</v>
      </c>
      <c r="B29" s="26" t="s">
        <v>470</v>
      </c>
      <c r="C29" s="26" t="s">
        <v>488</v>
      </c>
      <c r="D29" s="26" t="s">
        <v>490</v>
      </c>
      <c r="E29" s="205" t="s">
        <v>1165</v>
      </c>
      <c r="F29" s="161">
        <f t="shared" si="14"/>
        <v>0</v>
      </c>
      <c r="G29" s="161">
        <f t="shared" si="15"/>
        <v>0</v>
      </c>
      <c r="H29" s="165">
        <f t="shared" si="16"/>
        <v>49582.891689792305</v>
      </c>
      <c r="I29" s="12">
        <v>62876.299999999996</v>
      </c>
      <c r="J29" s="219">
        <v>0</v>
      </c>
      <c r="K29" s="219">
        <v>0</v>
      </c>
      <c r="L29" s="127">
        <f t="shared" si="17"/>
        <v>49582.891689792305</v>
      </c>
      <c r="M29" s="127">
        <f t="shared" si="18"/>
        <v>49582.891689792305</v>
      </c>
      <c r="N29" s="127">
        <f t="shared" si="19"/>
        <v>49582.891689792305</v>
      </c>
      <c r="O29" s="131">
        <f t="shared" si="20"/>
        <v>0</v>
      </c>
      <c r="P29" s="125">
        <f t="shared" si="21"/>
        <v>49582.891689792305</v>
      </c>
      <c r="Q29" s="74"/>
      <c r="R29" s="74">
        <v>49582.891689792305</v>
      </c>
      <c r="S29" s="74">
        <f t="shared" ref="S29:S84" si="41">J29+Q29</f>
        <v>0</v>
      </c>
      <c r="T29" s="74">
        <f t="shared" ref="T29:T84" si="42">R29</f>
        <v>49582.891689792305</v>
      </c>
      <c r="U29" s="74"/>
      <c r="V29" s="74"/>
      <c r="W29" s="74"/>
      <c r="X29" s="74"/>
      <c r="Y29" s="74">
        <f t="shared" si="22"/>
        <v>0</v>
      </c>
      <c r="Z29" s="74">
        <f t="shared" si="22"/>
        <v>0</v>
      </c>
      <c r="AA29" s="74"/>
      <c r="AB29" s="74"/>
      <c r="AC29" s="74"/>
      <c r="AD29" s="74"/>
      <c r="AE29" s="74">
        <f t="shared" si="23"/>
        <v>0</v>
      </c>
      <c r="AF29" s="74">
        <f t="shared" si="23"/>
        <v>0</v>
      </c>
      <c r="AG29" s="74">
        <f t="shared" si="24"/>
        <v>0</v>
      </c>
      <c r="AH29" s="74">
        <f t="shared" si="25"/>
        <v>0</v>
      </c>
      <c r="AI29" s="74">
        <f t="shared" si="25"/>
        <v>49582.891689792305</v>
      </c>
      <c r="AJ29" s="74">
        <f t="shared" si="26"/>
        <v>49582.891689792305</v>
      </c>
      <c r="AK29" s="74">
        <f t="shared" si="27"/>
        <v>49582.891689792305</v>
      </c>
      <c r="AL29" s="74">
        <f t="shared" si="27"/>
        <v>49582.891689792305</v>
      </c>
      <c r="AM29" s="74"/>
      <c r="AN29" s="74"/>
      <c r="AO29" s="74"/>
      <c r="AP29" s="74"/>
      <c r="AQ29" s="74"/>
      <c r="AR29" s="74">
        <f t="shared" si="28"/>
        <v>0</v>
      </c>
      <c r="AS29" s="74">
        <f t="shared" si="28"/>
        <v>0</v>
      </c>
      <c r="AT29" s="74"/>
      <c r="AU29" s="74"/>
      <c r="AV29" s="74"/>
      <c r="AW29" s="74"/>
      <c r="AX29" s="74">
        <f t="shared" si="29"/>
        <v>0</v>
      </c>
      <c r="AY29" s="74">
        <f t="shared" si="29"/>
        <v>0</v>
      </c>
      <c r="AZ29" s="74"/>
      <c r="BA29" s="74"/>
      <c r="BB29" s="74"/>
      <c r="BC29" s="74"/>
      <c r="BD29" s="74">
        <f t="shared" si="30"/>
        <v>0</v>
      </c>
      <c r="BE29" s="74"/>
      <c r="BF29" s="74">
        <f t="shared" si="8"/>
        <v>0</v>
      </c>
      <c r="BG29" s="74"/>
      <c r="BH29" s="74"/>
      <c r="BI29" s="74"/>
      <c r="BJ29" s="74"/>
      <c r="BK29" s="74">
        <f t="shared" si="31"/>
        <v>0</v>
      </c>
      <c r="BL29" s="74"/>
      <c r="BM29" s="74">
        <f t="shared" si="9"/>
        <v>0</v>
      </c>
      <c r="BN29" s="74"/>
      <c r="BO29" s="74"/>
      <c r="BP29" s="74"/>
      <c r="BQ29" s="74"/>
      <c r="BR29" s="74">
        <f t="shared" si="32"/>
        <v>0</v>
      </c>
      <c r="BS29" s="74">
        <f t="shared" si="32"/>
        <v>0</v>
      </c>
      <c r="BT29" s="74"/>
      <c r="BU29" s="74"/>
      <c r="BV29" s="74"/>
      <c r="BW29" s="74"/>
      <c r="BX29" s="74">
        <f t="shared" si="33"/>
        <v>0</v>
      </c>
      <c r="BY29" s="74">
        <f t="shared" si="33"/>
        <v>0</v>
      </c>
      <c r="BZ29" s="74"/>
      <c r="CA29" s="74"/>
      <c r="CB29" s="74"/>
      <c r="CC29" s="74"/>
      <c r="CD29" s="74">
        <f t="shared" si="34"/>
        <v>0</v>
      </c>
      <c r="CE29" s="74">
        <f t="shared" si="34"/>
        <v>0</v>
      </c>
      <c r="CF29" s="74"/>
      <c r="CG29" s="74"/>
      <c r="CH29" s="74"/>
      <c r="CI29" s="74"/>
      <c r="CJ29" s="74">
        <f t="shared" si="35"/>
        <v>0</v>
      </c>
      <c r="CK29" s="74">
        <f t="shared" si="35"/>
        <v>0</v>
      </c>
      <c r="CL29" s="74"/>
      <c r="CM29" s="74"/>
      <c r="CN29" s="74"/>
      <c r="CO29" s="74"/>
      <c r="CP29" s="74">
        <f t="shared" si="36"/>
        <v>0</v>
      </c>
      <c r="CQ29" s="74">
        <f t="shared" si="36"/>
        <v>0</v>
      </c>
      <c r="CR29" s="74"/>
      <c r="CS29" s="74"/>
      <c r="CT29" s="74"/>
      <c r="CU29" s="74"/>
      <c r="CV29" s="74">
        <f t="shared" si="37"/>
        <v>0</v>
      </c>
      <c r="CW29" s="74">
        <f t="shared" si="37"/>
        <v>0</v>
      </c>
      <c r="CX29" s="74"/>
      <c r="CY29" s="74"/>
      <c r="CZ29" s="74"/>
      <c r="DA29" s="74"/>
      <c r="DB29" s="74">
        <f t="shared" si="38"/>
        <v>0</v>
      </c>
      <c r="DC29" s="74">
        <f t="shared" si="38"/>
        <v>0</v>
      </c>
      <c r="DD29" s="74"/>
      <c r="DE29" s="74"/>
      <c r="DF29" s="74"/>
      <c r="DG29" s="74"/>
      <c r="DH29" s="74">
        <f t="shared" si="39"/>
        <v>0</v>
      </c>
      <c r="DI29" s="74">
        <f t="shared" si="39"/>
        <v>0</v>
      </c>
      <c r="DJ29" s="74">
        <f t="shared" si="10"/>
        <v>0</v>
      </c>
      <c r="DK29" s="74">
        <f t="shared" si="11"/>
        <v>0</v>
      </c>
      <c r="DL29" s="74">
        <f t="shared" si="12"/>
        <v>0</v>
      </c>
      <c r="DM29" s="74">
        <f t="shared" si="13"/>
        <v>0</v>
      </c>
      <c r="DN29" s="74">
        <f t="shared" si="40"/>
        <v>0</v>
      </c>
      <c r="DO29" s="74">
        <f t="shared" si="40"/>
        <v>0</v>
      </c>
    </row>
    <row r="30" spans="1:119">
      <c r="A30" s="25">
        <v>22</v>
      </c>
      <c r="B30" s="26" t="s">
        <v>470</v>
      </c>
      <c r="C30" s="26" t="s">
        <v>491</v>
      </c>
      <c r="D30" s="26" t="s">
        <v>492</v>
      </c>
      <c r="E30" s="205" t="s">
        <v>1164</v>
      </c>
      <c r="F30" s="161">
        <f t="shared" si="14"/>
        <v>0</v>
      </c>
      <c r="G30" s="161">
        <f t="shared" si="15"/>
        <v>0</v>
      </c>
      <c r="H30" s="165">
        <f t="shared" si="16"/>
        <v>1081.5</v>
      </c>
      <c r="I30" s="12">
        <v>0</v>
      </c>
      <c r="J30" s="219">
        <v>0</v>
      </c>
      <c r="K30" s="219">
        <v>0</v>
      </c>
      <c r="L30" s="127">
        <f t="shared" si="17"/>
        <v>1081.5</v>
      </c>
      <c r="M30" s="127">
        <f t="shared" si="18"/>
        <v>1081.5</v>
      </c>
      <c r="N30" s="127">
        <f t="shared" si="19"/>
        <v>1081.5</v>
      </c>
      <c r="O30" s="131">
        <f t="shared" si="20"/>
        <v>0</v>
      </c>
      <c r="P30" s="125">
        <f t="shared" si="21"/>
        <v>1081.5</v>
      </c>
      <c r="Q30" s="74"/>
      <c r="R30" s="74">
        <v>1081.5</v>
      </c>
      <c r="S30" s="74">
        <f t="shared" si="41"/>
        <v>0</v>
      </c>
      <c r="T30" s="74">
        <f t="shared" si="42"/>
        <v>1081.5</v>
      </c>
      <c r="U30" s="74"/>
      <c r="V30" s="74"/>
      <c r="W30" s="74"/>
      <c r="X30" s="74"/>
      <c r="Y30" s="74">
        <f t="shared" si="22"/>
        <v>0</v>
      </c>
      <c r="Z30" s="74">
        <f t="shared" si="22"/>
        <v>0</v>
      </c>
      <c r="AA30" s="74"/>
      <c r="AB30" s="74"/>
      <c r="AC30" s="74"/>
      <c r="AD30" s="74"/>
      <c r="AE30" s="74">
        <f t="shared" si="23"/>
        <v>0</v>
      </c>
      <c r="AF30" s="74">
        <f t="shared" si="23"/>
        <v>0</v>
      </c>
      <c r="AG30" s="74">
        <f t="shared" si="24"/>
        <v>0</v>
      </c>
      <c r="AH30" s="74">
        <f t="shared" si="25"/>
        <v>0</v>
      </c>
      <c r="AI30" s="74">
        <f t="shared" si="25"/>
        <v>1081.5</v>
      </c>
      <c r="AJ30" s="74">
        <f t="shared" si="26"/>
        <v>1081.5</v>
      </c>
      <c r="AK30" s="74">
        <f t="shared" si="27"/>
        <v>1081.5</v>
      </c>
      <c r="AL30" s="74">
        <f t="shared" si="27"/>
        <v>1081.5</v>
      </c>
      <c r="AM30" s="74"/>
      <c r="AN30" s="74"/>
      <c r="AO30" s="74"/>
      <c r="AP30" s="74"/>
      <c r="AQ30" s="74"/>
      <c r="AR30" s="74">
        <f t="shared" si="28"/>
        <v>0</v>
      </c>
      <c r="AS30" s="74">
        <f t="shared" si="28"/>
        <v>0</v>
      </c>
      <c r="AT30" s="74"/>
      <c r="AU30" s="74"/>
      <c r="AV30" s="74"/>
      <c r="AW30" s="74"/>
      <c r="AX30" s="74">
        <f t="shared" si="29"/>
        <v>0</v>
      </c>
      <c r="AY30" s="74">
        <f t="shared" si="29"/>
        <v>0</v>
      </c>
      <c r="AZ30" s="74"/>
      <c r="BA30" s="74"/>
      <c r="BB30" s="74"/>
      <c r="BC30" s="74"/>
      <c r="BD30" s="74">
        <f t="shared" si="30"/>
        <v>0</v>
      </c>
      <c r="BE30" s="74"/>
      <c r="BF30" s="74">
        <f t="shared" si="8"/>
        <v>0</v>
      </c>
      <c r="BG30" s="74"/>
      <c r="BH30" s="74"/>
      <c r="BI30" s="74"/>
      <c r="BJ30" s="74"/>
      <c r="BK30" s="74">
        <f t="shared" si="31"/>
        <v>0</v>
      </c>
      <c r="BL30" s="74"/>
      <c r="BM30" s="74">
        <f t="shared" si="9"/>
        <v>0</v>
      </c>
      <c r="BN30" s="74"/>
      <c r="BO30" s="74"/>
      <c r="BP30" s="74"/>
      <c r="BQ30" s="74"/>
      <c r="BR30" s="74">
        <f t="shared" si="32"/>
        <v>0</v>
      </c>
      <c r="BS30" s="74">
        <f t="shared" si="32"/>
        <v>0</v>
      </c>
      <c r="BT30" s="74"/>
      <c r="BU30" s="74"/>
      <c r="BV30" s="74"/>
      <c r="BW30" s="74"/>
      <c r="BX30" s="74">
        <f t="shared" si="33"/>
        <v>0</v>
      </c>
      <c r="BY30" s="74">
        <f t="shared" si="33"/>
        <v>0</v>
      </c>
      <c r="BZ30" s="74"/>
      <c r="CA30" s="74"/>
      <c r="CB30" s="74"/>
      <c r="CC30" s="74"/>
      <c r="CD30" s="74">
        <f t="shared" si="34"/>
        <v>0</v>
      </c>
      <c r="CE30" s="74">
        <f t="shared" si="34"/>
        <v>0</v>
      </c>
      <c r="CF30" s="74"/>
      <c r="CG30" s="74"/>
      <c r="CH30" s="74"/>
      <c r="CI30" s="74"/>
      <c r="CJ30" s="74">
        <f t="shared" si="35"/>
        <v>0</v>
      </c>
      <c r="CK30" s="74">
        <f t="shared" si="35"/>
        <v>0</v>
      </c>
      <c r="CL30" s="74"/>
      <c r="CM30" s="74"/>
      <c r="CN30" s="74"/>
      <c r="CO30" s="74"/>
      <c r="CP30" s="74">
        <f t="shared" si="36"/>
        <v>0</v>
      </c>
      <c r="CQ30" s="74">
        <f t="shared" si="36"/>
        <v>0</v>
      </c>
      <c r="CR30" s="74"/>
      <c r="CS30" s="74"/>
      <c r="CT30" s="74"/>
      <c r="CU30" s="74"/>
      <c r="CV30" s="74">
        <f t="shared" si="37"/>
        <v>0</v>
      </c>
      <c r="CW30" s="74">
        <f t="shared" si="37"/>
        <v>0</v>
      </c>
      <c r="CX30" s="74"/>
      <c r="CY30" s="74"/>
      <c r="CZ30" s="74"/>
      <c r="DA30" s="74"/>
      <c r="DB30" s="74">
        <f t="shared" si="38"/>
        <v>0</v>
      </c>
      <c r="DC30" s="74">
        <f t="shared" si="38"/>
        <v>0</v>
      </c>
      <c r="DD30" s="74"/>
      <c r="DE30" s="74"/>
      <c r="DF30" s="74"/>
      <c r="DG30" s="74"/>
      <c r="DH30" s="74">
        <f t="shared" si="39"/>
        <v>0</v>
      </c>
      <c r="DI30" s="74">
        <f t="shared" si="39"/>
        <v>0</v>
      </c>
      <c r="DJ30" s="74">
        <f t="shared" si="10"/>
        <v>0</v>
      </c>
      <c r="DK30" s="74">
        <f t="shared" si="11"/>
        <v>0</v>
      </c>
      <c r="DL30" s="74">
        <f t="shared" si="12"/>
        <v>0</v>
      </c>
      <c r="DM30" s="74">
        <f t="shared" si="13"/>
        <v>0</v>
      </c>
      <c r="DN30" s="74">
        <f t="shared" si="40"/>
        <v>0</v>
      </c>
      <c r="DO30" s="74">
        <f t="shared" si="40"/>
        <v>0</v>
      </c>
    </row>
    <row r="31" spans="1:119">
      <c r="A31" s="25">
        <v>23</v>
      </c>
      <c r="B31" s="26" t="s">
        <v>470</v>
      </c>
      <c r="C31" s="26" t="s">
        <v>491</v>
      </c>
      <c r="D31" s="26" t="s">
        <v>493</v>
      </c>
      <c r="E31" s="205" t="s">
        <v>1165</v>
      </c>
      <c r="F31" s="161">
        <f t="shared" si="14"/>
        <v>0</v>
      </c>
      <c r="G31" s="161">
        <f t="shared" si="15"/>
        <v>0</v>
      </c>
      <c r="H31" s="165">
        <f t="shared" si="16"/>
        <v>99468.2</v>
      </c>
      <c r="I31" s="12">
        <v>54280</v>
      </c>
      <c r="J31" s="219">
        <v>0</v>
      </c>
      <c r="K31" s="219">
        <v>0</v>
      </c>
      <c r="L31" s="127">
        <f t="shared" si="17"/>
        <v>99468.2</v>
      </c>
      <c r="M31" s="127">
        <f t="shared" si="18"/>
        <v>99468.2</v>
      </c>
      <c r="N31" s="127">
        <f t="shared" si="19"/>
        <v>99468.2</v>
      </c>
      <c r="O31" s="131">
        <f t="shared" si="20"/>
        <v>0</v>
      </c>
      <c r="P31" s="125">
        <f t="shared" si="21"/>
        <v>99468.2</v>
      </c>
      <c r="Q31" s="74">
        <v>50000</v>
      </c>
      <c r="R31" s="74">
        <f>99468.2-Q31</f>
        <v>49468.2</v>
      </c>
      <c r="S31" s="74">
        <f t="shared" si="41"/>
        <v>50000</v>
      </c>
      <c r="T31" s="74">
        <f t="shared" si="42"/>
        <v>49468.2</v>
      </c>
      <c r="U31" s="74"/>
      <c r="V31" s="74"/>
      <c r="W31" s="74"/>
      <c r="X31" s="74"/>
      <c r="Y31" s="74">
        <f t="shared" si="22"/>
        <v>0</v>
      </c>
      <c r="Z31" s="74">
        <f t="shared" si="22"/>
        <v>0</v>
      </c>
      <c r="AA31" s="74"/>
      <c r="AB31" s="74"/>
      <c r="AC31" s="74"/>
      <c r="AD31" s="74"/>
      <c r="AE31" s="74">
        <f t="shared" si="23"/>
        <v>0</v>
      </c>
      <c r="AF31" s="74">
        <f t="shared" si="23"/>
        <v>0</v>
      </c>
      <c r="AG31" s="74">
        <f t="shared" si="24"/>
        <v>50000</v>
      </c>
      <c r="AH31" s="74">
        <f t="shared" si="25"/>
        <v>50000</v>
      </c>
      <c r="AI31" s="74">
        <f t="shared" si="25"/>
        <v>49468.2</v>
      </c>
      <c r="AJ31" s="74">
        <f t="shared" si="26"/>
        <v>49468.2</v>
      </c>
      <c r="AK31" s="74">
        <f t="shared" si="27"/>
        <v>99468.2</v>
      </c>
      <c r="AL31" s="74">
        <f t="shared" si="27"/>
        <v>99468.2</v>
      </c>
      <c r="AM31" s="74"/>
      <c r="AN31" s="74"/>
      <c r="AO31" s="74"/>
      <c r="AP31" s="74"/>
      <c r="AQ31" s="74"/>
      <c r="AR31" s="74">
        <f t="shared" si="28"/>
        <v>0</v>
      </c>
      <c r="AS31" s="74">
        <f t="shared" si="28"/>
        <v>0</v>
      </c>
      <c r="AT31" s="74"/>
      <c r="AU31" s="74"/>
      <c r="AV31" s="74"/>
      <c r="AW31" s="74"/>
      <c r="AX31" s="74">
        <f t="shared" si="29"/>
        <v>0</v>
      </c>
      <c r="AY31" s="74">
        <f t="shared" si="29"/>
        <v>0</v>
      </c>
      <c r="AZ31" s="74"/>
      <c r="BA31" s="74"/>
      <c r="BB31" s="74"/>
      <c r="BC31" s="74"/>
      <c r="BD31" s="74">
        <f t="shared" si="30"/>
        <v>0</v>
      </c>
      <c r="BE31" s="74"/>
      <c r="BF31" s="74">
        <f t="shared" si="8"/>
        <v>0</v>
      </c>
      <c r="BG31" s="74"/>
      <c r="BH31" s="74"/>
      <c r="BI31" s="74"/>
      <c r="BJ31" s="74"/>
      <c r="BK31" s="74">
        <f t="shared" si="31"/>
        <v>0</v>
      </c>
      <c r="BL31" s="74"/>
      <c r="BM31" s="74">
        <f t="shared" si="9"/>
        <v>0</v>
      </c>
      <c r="BN31" s="74"/>
      <c r="BO31" s="74"/>
      <c r="BP31" s="74"/>
      <c r="BQ31" s="74"/>
      <c r="BR31" s="74">
        <f t="shared" si="32"/>
        <v>0</v>
      </c>
      <c r="BS31" s="74">
        <f t="shared" si="32"/>
        <v>0</v>
      </c>
      <c r="BT31" s="74"/>
      <c r="BU31" s="74"/>
      <c r="BV31" s="74"/>
      <c r="BW31" s="74"/>
      <c r="BX31" s="74">
        <f t="shared" si="33"/>
        <v>0</v>
      </c>
      <c r="BY31" s="74">
        <f t="shared" si="33"/>
        <v>0</v>
      </c>
      <c r="BZ31" s="74"/>
      <c r="CA31" s="74"/>
      <c r="CB31" s="74"/>
      <c r="CC31" s="74"/>
      <c r="CD31" s="74">
        <f t="shared" si="34"/>
        <v>0</v>
      </c>
      <c r="CE31" s="74">
        <f t="shared" si="34"/>
        <v>0</v>
      </c>
      <c r="CF31" s="74"/>
      <c r="CG31" s="74"/>
      <c r="CH31" s="74"/>
      <c r="CI31" s="74"/>
      <c r="CJ31" s="74">
        <f t="shared" si="35"/>
        <v>0</v>
      </c>
      <c r="CK31" s="74">
        <f t="shared" si="35"/>
        <v>0</v>
      </c>
      <c r="CL31" s="74"/>
      <c r="CM31" s="74"/>
      <c r="CN31" s="74"/>
      <c r="CO31" s="74"/>
      <c r="CP31" s="74">
        <f t="shared" si="36"/>
        <v>0</v>
      </c>
      <c r="CQ31" s="74">
        <f t="shared" si="36"/>
        <v>0</v>
      </c>
      <c r="CR31" s="74"/>
      <c r="CS31" s="74"/>
      <c r="CT31" s="74"/>
      <c r="CU31" s="74"/>
      <c r="CV31" s="74">
        <f t="shared" si="37"/>
        <v>0</v>
      </c>
      <c r="CW31" s="74">
        <f t="shared" si="37"/>
        <v>0</v>
      </c>
      <c r="CX31" s="74"/>
      <c r="CY31" s="74"/>
      <c r="CZ31" s="74"/>
      <c r="DA31" s="74"/>
      <c r="DB31" s="74">
        <f t="shared" si="38"/>
        <v>0</v>
      </c>
      <c r="DC31" s="74">
        <f t="shared" si="38"/>
        <v>0</v>
      </c>
      <c r="DD31" s="74"/>
      <c r="DE31" s="74"/>
      <c r="DF31" s="74"/>
      <c r="DG31" s="74"/>
      <c r="DH31" s="74">
        <f t="shared" si="39"/>
        <v>0</v>
      </c>
      <c r="DI31" s="74">
        <f t="shared" si="39"/>
        <v>0</v>
      </c>
      <c r="DJ31" s="74">
        <f t="shared" si="10"/>
        <v>0</v>
      </c>
      <c r="DK31" s="74">
        <f t="shared" si="11"/>
        <v>0</v>
      </c>
      <c r="DL31" s="74">
        <f t="shared" si="12"/>
        <v>0</v>
      </c>
      <c r="DM31" s="74">
        <f t="shared" si="13"/>
        <v>0</v>
      </c>
      <c r="DN31" s="74">
        <f t="shared" si="40"/>
        <v>0</v>
      </c>
      <c r="DO31" s="74">
        <f t="shared" si="40"/>
        <v>0</v>
      </c>
    </row>
    <row r="32" spans="1:119">
      <c r="A32" s="25">
        <v>24</v>
      </c>
      <c r="B32" s="26" t="s">
        <v>470</v>
      </c>
      <c r="C32" s="26" t="s">
        <v>494</v>
      </c>
      <c r="D32" s="26" t="s">
        <v>495</v>
      </c>
      <c r="E32" s="205" t="s">
        <v>1164</v>
      </c>
      <c r="F32" s="161">
        <f t="shared" si="14"/>
        <v>0</v>
      </c>
      <c r="G32" s="161">
        <f t="shared" si="15"/>
        <v>0</v>
      </c>
      <c r="H32" s="165">
        <f t="shared" si="16"/>
        <v>57006.25</v>
      </c>
      <c r="I32" s="12">
        <v>0</v>
      </c>
      <c r="J32" s="219">
        <v>0</v>
      </c>
      <c r="K32" s="219">
        <v>0</v>
      </c>
      <c r="L32" s="127">
        <f t="shared" si="17"/>
        <v>57006.25</v>
      </c>
      <c r="M32" s="127">
        <f t="shared" si="18"/>
        <v>57006.25</v>
      </c>
      <c r="N32" s="127">
        <f t="shared" si="19"/>
        <v>57006.25</v>
      </c>
      <c r="O32" s="131">
        <f t="shared" si="20"/>
        <v>0</v>
      </c>
      <c r="P32" s="125">
        <f t="shared" si="21"/>
        <v>57006.25</v>
      </c>
      <c r="Q32" s="74"/>
      <c r="R32" s="74">
        <v>57006.25</v>
      </c>
      <c r="S32" s="74">
        <f t="shared" si="41"/>
        <v>0</v>
      </c>
      <c r="T32" s="74">
        <f t="shared" si="42"/>
        <v>57006.25</v>
      </c>
      <c r="U32" s="74"/>
      <c r="V32" s="74"/>
      <c r="W32" s="74"/>
      <c r="X32" s="74"/>
      <c r="Y32" s="74">
        <f t="shared" si="22"/>
        <v>0</v>
      </c>
      <c r="Z32" s="74">
        <f t="shared" si="22"/>
        <v>0</v>
      </c>
      <c r="AA32" s="74"/>
      <c r="AB32" s="74"/>
      <c r="AC32" s="74"/>
      <c r="AD32" s="74"/>
      <c r="AE32" s="74">
        <f t="shared" si="23"/>
        <v>0</v>
      </c>
      <c r="AF32" s="74">
        <f t="shared" si="23"/>
        <v>0</v>
      </c>
      <c r="AG32" s="74">
        <f t="shared" si="24"/>
        <v>0</v>
      </c>
      <c r="AH32" s="74">
        <f t="shared" si="25"/>
        <v>0</v>
      </c>
      <c r="AI32" s="74">
        <f t="shared" si="25"/>
        <v>57006.25</v>
      </c>
      <c r="AJ32" s="74">
        <f t="shared" si="26"/>
        <v>57006.25</v>
      </c>
      <c r="AK32" s="74">
        <f t="shared" si="27"/>
        <v>57006.25</v>
      </c>
      <c r="AL32" s="74">
        <f t="shared" si="27"/>
        <v>57006.25</v>
      </c>
      <c r="AM32" s="74"/>
      <c r="AN32" s="74"/>
      <c r="AO32" s="74"/>
      <c r="AP32" s="74"/>
      <c r="AQ32" s="74"/>
      <c r="AR32" s="74">
        <f t="shared" si="28"/>
        <v>0</v>
      </c>
      <c r="AS32" s="74">
        <f t="shared" si="28"/>
        <v>0</v>
      </c>
      <c r="AT32" s="74"/>
      <c r="AU32" s="74"/>
      <c r="AV32" s="74"/>
      <c r="AW32" s="74"/>
      <c r="AX32" s="74">
        <f t="shared" si="29"/>
        <v>0</v>
      </c>
      <c r="AY32" s="74">
        <f t="shared" si="29"/>
        <v>0</v>
      </c>
      <c r="AZ32" s="74"/>
      <c r="BA32" s="74"/>
      <c r="BB32" s="74"/>
      <c r="BC32" s="74"/>
      <c r="BD32" s="74">
        <f t="shared" si="30"/>
        <v>0</v>
      </c>
      <c r="BE32" s="74"/>
      <c r="BF32" s="74">
        <f t="shared" si="8"/>
        <v>0</v>
      </c>
      <c r="BG32" s="74"/>
      <c r="BH32" s="74"/>
      <c r="BI32" s="74"/>
      <c r="BJ32" s="74"/>
      <c r="BK32" s="74">
        <f t="shared" si="31"/>
        <v>0</v>
      </c>
      <c r="BL32" s="74"/>
      <c r="BM32" s="74">
        <f t="shared" si="9"/>
        <v>0</v>
      </c>
      <c r="BN32" s="74"/>
      <c r="BO32" s="74"/>
      <c r="BP32" s="74"/>
      <c r="BQ32" s="74"/>
      <c r="BR32" s="74">
        <f t="shared" si="32"/>
        <v>0</v>
      </c>
      <c r="BS32" s="74">
        <f t="shared" si="32"/>
        <v>0</v>
      </c>
      <c r="BT32" s="74"/>
      <c r="BU32" s="74"/>
      <c r="BV32" s="74"/>
      <c r="BW32" s="74"/>
      <c r="BX32" s="74">
        <f t="shared" si="33"/>
        <v>0</v>
      </c>
      <c r="BY32" s="74">
        <f t="shared" si="33"/>
        <v>0</v>
      </c>
      <c r="BZ32" s="74"/>
      <c r="CA32" s="74"/>
      <c r="CB32" s="74"/>
      <c r="CC32" s="74"/>
      <c r="CD32" s="74">
        <f t="shared" si="34"/>
        <v>0</v>
      </c>
      <c r="CE32" s="74">
        <f t="shared" si="34"/>
        <v>0</v>
      </c>
      <c r="CF32" s="74"/>
      <c r="CG32" s="74"/>
      <c r="CH32" s="74"/>
      <c r="CI32" s="74"/>
      <c r="CJ32" s="74">
        <f t="shared" si="35"/>
        <v>0</v>
      </c>
      <c r="CK32" s="74">
        <f t="shared" si="35"/>
        <v>0</v>
      </c>
      <c r="CL32" s="74"/>
      <c r="CM32" s="74"/>
      <c r="CN32" s="74"/>
      <c r="CO32" s="74"/>
      <c r="CP32" s="74">
        <f t="shared" si="36"/>
        <v>0</v>
      </c>
      <c r="CQ32" s="74">
        <f t="shared" si="36"/>
        <v>0</v>
      </c>
      <c r="CR32" s="74"/>
      <c r="CS32" s="74"/>
      <c r="CT32" s="74"/>
      <c r="CU32" s="74"/>
      <c r="CV32" s="74">
        <f t="shared" si="37"/>
        <v>0</v>
      </c>
      <c r="CW32" s="74">
        <f t="shared" si="37"/>
        <v>0</v>
      </c>
      <c r="CX32" s="74"/>
      <c r="CY32" s="74"/>
      <c r="CZ32" s="74"/>
      <c r="DA32" s="74"/>
      <c r="DB32" s="74">
        <f t="shared" si="38"/>
        <v>0</v>
      </c>
      <c r="DC32" s="74">
        <f t="shared" si="38"/>
        <v>0</v>
      </c>
      <c r="DD32" s="74"/>
      <c r="DE32" s="74"/>
      <c r="DF32" s="74"/>
      <c r="DG32" s="74"/>
      <c r="DH32" s="74">
        <f t="shared" si="39"/>
        <v>0</v>
      </c>
      <c r="DI32" s="74">
        <f t="shared" si="39"/>
        <v>0</v>
      </c>
      <c r="DJ32" s="74">
        <f t="shared" si="10"/>
        <v>0</v>
      </c>
      <c r="DK32" s="74">
        <f t="shared" si="11"/>
        <v>0</v>
      </c>
      <c r="DL32" s="74">
        <f t="shared" si="12"/>
        <v>0</v>
      </c>
      <c r="DM32" s="74">
        <f t="shared" si="13"/>
        <v>0</v>
      </c>
      <c r="DN32" s="74">
        <f t="shared" si="40"/>
        <v>0</v>
      </c>
      <c r="DO32" s="74">
        <f t="shared" si="40"/>
        <v>0</v>
      </c>
    </row>
    <row r="33" spans="1:119">
      <c r="A33" s="25">
        <v>25</v>
      </c>
      <c r="B33" s="26" t="s">
        <v>470</v>
      </c>
      <c r="C33" s="26" t="s">
        <v>494</v>
      </c>
      <c r="D33" s="26" t="s">
        <v>496</v>
      </c>
      <c r="E33" s="205" t="s">
        <v>1165</v>
      </c>
      <c r="F33" s="161">
        <f t="shared" si="14"/>
        <v>1303000</v>
      </c>
      <c r="G33" s="161">
        <f t="shared" si="15"/>
        <v>1351421.18</v>
      </c>
      <c r="H33" s="165">
        <f t="shared" si="16"/>
        <v>2153000</v>
      </c>
      <c r="I33" s="12">
        <v>1263780</v>
      </c>
      <c r="J33" s="219">
        <v>0</v>
      </c>
      <c r="K33" s="219">
        <v>0</v>
      </c>
      <c r="L33" s="127">
        <f t="shared" si="17"/>
        <v>850000</v>
      </c>
      <c r="M33" s="127">
        <f t="shared" si="18"/>
        <v>0</v>
      </c>
      <c r="N33" s="127">
        <f t="shared" si="19"/>
        <v>850000</v>
      </c>
      <c r="O33" s="131">
        <f t="shared" si="20"/>
        <v>1303000</v>
      </c>
      <c r="P33" s="125">
        <f t="shared" si="21"/>
        <v>2201421.1799999997</v>
      </c>
      <c r="Q33" s="74">
        <v>850000</v>
      </c>
      <c r="R33" s="74"/>
      <c r="S33" s="74">
        <f t="shared" si="41"/>
        <v>850000</v>
      </c>
      <c r="T33" s="74">
        <f t="shared" si="42"/>
        <v>0</v>
      </c>
      <c r="U33" s="74"/>
      <c r="V33" s="74"/>
      <c r="W33" s="74"/>
      <c r="X33" s="74"/>
      <c r="Y33" s="74">
        <f t="shared" si="22"/>
        <v>0</v>
      </c>
      <c r="Z33" s="74">
        <f t="shared" si="22"/>
        <v>0</v>
      </c>
      <c r="AA33" s="74"/>
      <c r="AB33" s="74"/>
      <c r="AC33" s="74"/>
      <c r="AD33" s="74"/>
      <c r="AE33" s="74">
        <f t="shared" si="23"/>
        <v>0</v>
      </c>
      <c r="AF33" s="74">
        <f t="shared" si="23"/>
        <v>0</v>
      </c>
      <c r="AG33" s="74">
        <f t="shared" si="24"/>
        <v>850000</v>
      </c>
      <c r="AH33" s="74">
        <f t="shared" si="25"/>
        <v>850000</v>
      </c>
      <c r="AI33" s="74">
        <f t="shared" si="25"/>
        <v>0</v>
      </c>
      <c r="AJ33" s="74">
        <f t="shared" si="26"/>
        <v>0</v>
      </c>
      <c r="AK33" s="74">
        <f t="shared" si="27"/>
        <v>850000</v>
      </c>
      <c r="AL33" s="74">
        <f t="shared" si="27"/>
        <v>850000</v>
      </c>
      <c r="AM33" s="74">
        <v>1</v>
      </c>
      <c r="AN33" s="74">
        <v>250000</v>
      </c>
      <c r="AO33" s="74"/>
      <c r="AP33" s="74">
        <v>0</v>
      </c>
      <c r="AQ33" s="74"/>
      <c r="AR33" s="74">
        <f t="shared" si="28"/>
        <v>250000</v>
      </c>
      <c r="AS33" s="74">
        <f t="shared" si="28"/>
        <v>0</v>
      </c>
      <c r="AT33" s="74">
        <v>250000</v>
      </c>
      <c r="AU33" s="74">
        <v>1150000</v>
      </c>
      <c r="AV33" s="74"/>
      <c r="AW33" s="74"/>
      <c r="AX33" s="74">
        <f t="shared" si="29"/>
        <v>250000</v>
      </c>
      <c r="AY33" s="75">
        <f t="shared" si="29"/>
        <v>1150000</v>
      </c>
      <c r="AZ33" s="74">
        <v>250000</v>
      </c>
      <c r="BA33" s="74"/>
      <c r="BB33" s="74"/>
      <c r="BC33" s="74"/>
      <c r="BD33" s="74">
        <f t="shared" si="30"/>
        <v>250000</v>
      </c>
      <c r="BE33" s="74"/>
      <c r="BF33" s="74">
        <f t="shared" si="8"/>
        <v>0</v>
      </c>
      <c r="BG33" s="74"/>
      <c r="BH33" s="74"/>
      <c r="BI33" s="55">
        <f>250000+303000</f>
        <v>553000</v>
      </c>
      <c r="BJ33" s="74"/>
      <c r="BK33" s="74">
        <f t="shared" si="31"/>
        <v>553000</v>
      </c>
      <c r="BL33" s="74">
        <v>56697</v>
      </c>
      <c r="BM33" s="74">
        <f t="shared" si="9"/>
        <v>0</v>
      </c>
      <c r="BN33" s="74"/>
      <c r="BO33" s="74"/>
      <c r="BP33" s="74"/>
      <c r="BQ33" s="74"/>
      <c r="BR33" s="74">
        <f t="shared" si="32"/>
        <v>0</v>
      </c>
      <c r="BS33" s="74">
        <f t="shared" si="32"/>
        <v>0</v>
      </c>
      <c r="BT33" s="74"/>
      <c r="BU33" s="74"/>
      <c r="BV33" s="74"/>
      <c r="BW33" s="74"/>
      <c r="BX33" s="74">
        <f t="shared" si="33"/>
        <v>0</v>
      </c>
      <c r="BY33" s="74">
        <f t="shared" si="33"/>
        <v>0</v>
      </c>
      <c r="BZ33" s="74"/>
      <c r="CA33" s="74">
        <v>100000</v>
      </c>
      <c r="CB33" s="74"/>
      <c r="CC33" s="74">
        <v>101421.18</v>
      </c>
      <c r="CD33" s="74">
        <f t="shared" si="34"/>
        <v>0</v>
      </c>
      <c r="CE33" s="74">
        <f t="shared" si="34"/>
        <v>201421.18</v>
      </c>
      <c r="CF33" s="74"/>
      <c r="CG33" s="74"/>
      <c r="CH33" s="74"/>
      <c r="CI33" s="74"/>
      <c r="CJ33" s="74">
        <f t="shared" si="35"/>
        <v>0</v>
      </c>
      <c r="CK33" s="74">
        <f t="shared" si="35"/>
        <v>0</v>
      </c>
      <c r="CL33" s="74"/>
      <c r="CM33" s="74"/>
      <c r="CN33" s="74"/>
      <c r="CO33" s="74"/>
      <c r="CP33" s="74">
        <f t="shared" si="36"/>
        <v>0</v>
      </c>
      <c r="CQ33" s="74">
        <f t="shared" si="36"/>
        <v>0</v>
      </c>
      <c r="CR33" s="74"/>
      <c r="CS33" s="74"/>
      <c r="CT33" s="74"/>
      <c r="CU33" s="74"/>
      <c r="CV33" s="74">
        <f t="shared" si="37"/>
        <v>0</v>
      </c>
      <c r="CW33" s="74">
        <f t="shared" si="37"/>
        <v>0</v>
      </c>
      <c r="CX33" s="74"/>
      <c r="CY33" s="74"/>
      <c r="CZ33" s="74"/>
      <c r="DA33" s="74"/>
      <c r="DB33" s="74">
        <f t="shared" si="38"/>
        <v>0</v>
      </c>
      <c r="DC33" s="74">
        <f t="shared" si="38"/>
        <v>0</v>
      </c>
      <c r="DD33" s="74"/>
      <c r="DE33" s="74"/>
      <c r="DF33" s="74"/>
      <c r="DG33" s="74"/>
      <c r="DH33" s="74">
        <f t="shared" si="39"/>
        <v>0</v>
      </c>
      <c r="DI33" s="74">
        <f t="shared" si="39"/>
        <v>0</v>
      </c>
      <c r="DJ33" s="74">
        <f t="shared" si="10"/>
        <v>750000</v>
      </c>
      <c r="DK33" s="74">
        <f t="shared" si="11"/>
        <v>1250000</v>
      </c>
      <c r="DL33" s="74">
        <f t="shared" si="12"/>
        <v>553000</v>
      </c>
      <c r="DM33" s="74">
        <f t="shared" si="13"/>
        <v>101421.18</v>
      </c>
      <c r="DN33" s="74">
        <f t="shared" si="40"/>
        <v>1303000</v>
      </c>
      <c r="DO33" s="74">
        <f t="shared" si="40"/>
        <v>1351421.18</v>
      </c>
    </row>
    <row r="34" spans="1:119">
      <c r="A34" s="25">
        <v>26</v>
      </c>
      <c r="B34" s="26" t="s">
        <v>470</v>
      </c>
      <c r="C34" s="26" t="s">
        <v>497</v>
      </c>
      <c r="D34" s="26" t="s">
        <v>498</v>
      </c>
      <c r="E34" s="205" t="s">
        <v>1164</v>
      </c>
      <c r="F34" s="161">
        <f t="shared" si="14"/>
        <v>0</v>
      </c>
      <c r="G34" s="161">
        <f t="shared" si="15"/>
        <v>0</v>
      </c>
      <c r="H34" s="165">
        <f t="shared" si="16"/>
        <v>0</v>
      </c>
      <c r="I34" s="12">
        <v>0</v>
      </c>
      <c r="J34" s="219">
        <v>0</v>
      </c>
      <c r="K34" s="219">
        <v>0</v>
      </c>
      <c r="L34" s="127">
        <f t="shared" si="17"/>
        <v>0</v>
      </c>
      <c r="M34" s="127">
        <f t="shared" si="18"/>
        <v>0</v>
      </c>
      <c r="N34" s="127">
        <f t="shared" si="19"/>
        <v>0</v>
      </c>
      <c r="O34" s="131">
        <f t="shared" si="20"/>
        <v>0</v>
      </c>
      <c r="P34" s="125" t="str">
        <f t="shared" si="21"/>
        <v>ნულოვანი შესრულება</v>
      </c>
      <c r="Q34" s="74"/>
      <c r="R34" s="75">
        <v>0</v>
      </c>
      <c r="S34" s="74">
        <f t="shared" si="41"/>
        <v>0</v>
      </c>
      <c r="T34" s="74">
        <f t="shared" si="42"/>
        <v>0</v>
      </c>
      <c r="U34" s="74"/>
      <c r="V34" s="74"/>
      <c r="W34" s="74"/>
      <c r="X34" s="74"/>
      <c r="Y34" s="74">
        <f t="shared" si="22"/>
        <v>0</v>
      </c>
      <c r="Z34" s="74">
        <f t="shared" si="22"/>
        <v>0</v>
      </c>
      <c r="AA34" s="74"/>
      <c r="AB34" s="74"/>
      <c r="AC34" s="74"/>
      <c r="AD34" s="74"/>
      <c r="AE34" s="74">
        <f t="shared" si="23"/>
        <v>0</v>
      </c>
      <c r="AF34" s="74">
        <f t="shared" si="23"/>
        <v>0</v>
      </c>
      <c r="AG34" s="74">
        <f t="shared" si="24"/>
        <v>0</v>
      </c>
      <c r="AH34" s="74">
        <f t="shared" si="25"/>
        <v>0</v>
      </c>
      <c r="AI34" s="74">
        <f t="shared" si="25"/>
        <v>0</v>
      </c>
      <c r="AJ34" s="74">
        <f t="shared" si="26"/>
        <v>0</v>
      </c>
      <c r="AK34" s="74">
        <f t="shared" si="27"/>
        <v>0</v>
      </c>
      <c r="AL34" s="74">
        <f t="shared" si="27"/>
        <v>0</v>
      </c>
      <c r="AM34" s="74"/>
      <c r="AN34" s="74"/>
      <c r="AO34" s="74"/>
      <c r="AP34" s="74"/>
      <c r="AQ34" s="74"/>
      <c r="AR34" s="74">
        <f t="shared" si="28"/>
        <v>0</v>
      </c>
      <c r="AS34" s="74">
        <f t="shared" si="28"/>
        <v>0</v>
      </c>
      <c r="AT34" s="74"/>
      <c r="AU34" s="74"/>
      <c r="AV34" s="74"/>
      <c r="AW34" s="74"/>
      <c r="AX34" s="74">
        <f t="shared" si="29"/>
        <v>0</v>
      </c>
      <c r="AY34" s="74">
        <f t="shared" si="29"/>
        <v>0</v>
      </c>
      <c r="AZ34" s="74"/>
      <c r="BA34" s="74"/>
      <c r="BB34" s="74"/>
      <c r="BC34" s="74"/>
      <c r="BD34" s="74">
        <f t="shared" si="30"/>
        <v>0</v>
      </c>
      <c r="BE34" s="74"/>
      <c r="BF34" s="74">
        <f t="shared" si="8"/>
        <v>0</v>
      </c>
      <c r="BG34" s="74"/>
      <c r="BH34" s="74"/>
      <c r="BI34" s="74"/>
      <c r="BJ34" s="74"/>
      <c r="BK34" s="74">
        <f t="shared" si="31"/>
        <v>0</v>
      </c>
      <c r="BL34" s="74"/>
      <c r="BM34" s="74">
        <f t="shared" si="9"/>
        <v>0</v>
      </c>
      <c r="BN34" s="74"/>
      <c r="BO34" s="74"/>
      <c r="BP34" s="74"/>
      <c r="BQ34" s="74"/>
      <c r="BR34" s="74">
        <f t="shared" si="32"/>
        <v>0</v>
      </c>
      <c r="BS34" s="74">
        <f t="shared" si="32"/>
        <v>0</v>
      </c>
      <c r="BT34" s="74"/>
      <c r="BU34" s="74"/>
      <c r="BV34" s="74"/>
      <c r="BW34" s="74"/>
      <c r="BX34" s="74">
        <f t="shared" si="33"/>
        <v>0</v>
      </c>
      <c r="BY34" s="74">
        <f t="shared" si="33"/>
        <v>0</v>
      </c>
      <c r="BZ34" s="74"/>
      <c r="CA34" s="74"/>
      <c r="CB34" s="74"/>
      <c r="CC34" s="74"/>
      <c r="CD34" s="74">
        <f t="shared" si="34"/>
        <v>0</v>
      </c>
      <c r="CE34" s="74">
        <f t="shared" si="34"/>
        <v>0</v>
      </c>
      <c r="CF34" s="74"/>
      <c r="CG34" s="74"/>
      <c r="CH34" s="74"/>
      <c r="CI34" s="74"/>
      <c r="CJ34" s="74">
        <f t="shared" si="35"/>
        <v>0</v>
      </c>
      <c r="CK34" s="74">
        <f t="shared" si="35"/>
        <v>0</v>
      </c>
      <c r="CL34" s="74"/>
      <c r="CM34" s="74"/>
      <c r="CN34" s="74"/>
      <c r="CO34" s="74"/>
      <c r="CP34" s="74">
        <f t="shared" si="36"/>
        <v>0</v>
      </c>
      <c r="CQ34" s="74">
        <f t="shared" si="36"/>
        <v>0</v>
      </c>
      <c r="CR34" s="74"/>
      <c r="CS34" s="74"/>
      <c r="CT34" s="74"/>
      <c r="CU34" s="74"/>
      <c r="CV34" s="74">
        <f t="shared" si="37"/>
        <v>0</v>
      </c>
      <c r="CW34" s="74">
        <f t="shared" si="37"/>
        <v>0</v>
      </c>
      <c r="CX34" s="74"/>
      <c r="CY34" s="74"/>
      <c r="CZ34" s="74"/>
      <c r="DA34" s="74"/>
      <c r="DB34" s="74">
        <f t="shared" si="38"/>
        <v>0</v>
      </c>
      <c r="DC34" s="74">
        <f t="shared" si="38"/>
        <v>0</v>
      </c>
      <c r="DD34" s="74"/>
      <c r="DE34" s="74"/>
      <c r="DF34" s="74"/>
      <c r="DG34" s="74"/>
      <c r="DH34" s="74">
        <f t="shared" si="39"/>
        <v>0</v>
      </c>
      <c r="DI34" s="74">
        <f t="shared" si="39"/>
        <v>0</v>
      </c>
      <c r="DJ34" s="74">
        <f t="shared" si="10"/>
        <v>0</v>
      </c>
      <c r="DK34" s="74">
        <f t="shared" si="11"/>
        <v>0</v>
      </c>
      <c r="DL34" s="74">
        <f t="shared" si="12"/>
        <v>0</v>
      </c>
      <c r="DM34" s="74">
        <f t="shared" si="13"/>
        <v>0</v>
      </c>
      <c r="DN34" s="74">
        <f t="shared" si="40"/>
        <v>0</v>
      </c>
      <c r="DO34" s="74">
        <f t="shared" si="40"/>
        <v>0</v>
      </c>
    </row>
    <row r="35" spans="1:119">
      <c r="A35" s="25">
        <v>27</v>
      </c>
      <c r="B35" s="26" t="s">
        <v>470</v>
      </c>
      <c r="C35" s="26" t="s">
        <v>497</v>
      </c>
      <c r="D35" s="26" t="s">
        <v>499</v>
      </c>
      <c r="E35" s="205" t="s">
        <v>1165</v>
      </c>
      <c r="F35" s="161">
        <f t="shared" si="14"/>
        <v>0</v>
      </c>
      <c r="G35" s="161">
        <f t="shared" si="15"/>
        <v>9930.09</v>
      </c>
      <c r="H35" s="165">
        <f t="shared" si="16"/>
        <v>450000</v>
      </c>
      <c r="I35" s="12">
        <v>337480</v>
      </c>
      <c r="J35" s="219">
        <v>0</v>
      </c>
      <c r="K35" s="219">
        <v>0</v>
      </c>
      <c r="L35" s="127">
        <f t="shared" si="17"/>
        <v>450000</v>
      </c>
      <c r="M35" s="127">
        <f t="shared" si="18"/>
        <v>0</v>
      </c>
      <c r="N35" s="127">
        <f t="shared" si="19"/>
        <v>450000</v>
      </c>
      <c r="O35" s="131">
        <f t="shared" si="20"/>
        <v>0</v>
      </c>
      <c r="P35" s="125">
        <f t="shared" si="21"/>
        <v>459930.09</v>
      </c>
      <c r="Q35" s="74">
        <v>450000</v>
      </c>
      <c r="R35" s="74"/>
      <c r="S35" s="74">
        <f t="shared" si="41"/>
        <v>450000</v>
      </c>
      <c r="T35" s="74">
        <f t="shared" si="42"/>
        <v>0</v>
      </c>
      <c r="U35" s="74"/>
      <c r="V35" s="74"/>
      <c r="W35" s="74"/>
      <c r="X35" s="74"/>
      <c r="Y35" s="74">
        <f t="shared" si="22"/>
        <v>0</v>
      </c>
      <c r="Z35" s="74">
        <f t="shared" si="22"/>
        <v>0</v>
      </c>
      <c r="AA35" s="74"/>
      <c r="AB35" s="74"/>
      <c r="AC35" s="74">
        <v>100000</v>
      </c>
      <c r="AD35" s="74"/>
      <c r="AE35" s="74">
        <f t="shared" si="23"/>
        <v>100000</v>
      </c>
      <c r="AF35" s="74">
        <f t="shared" si="23"/>
        <v>0</v>
      </c>
      <c r="AG35" s="74">
        <f t="shared" si="24"/>
        <v>450000</v>
      </c>
      <c r="AH35" s="74">
        <f t="shared" si="25"/>
        <v>450000</v>
      </c>
      <c r="AI35" s="74">
        <f t="shared" si="25"/>
        <v>100000</v>
      </c>
      <c r="AJ35" s="74">
        <f t="shared" si="26"/>
        <v>0</v>
      </c>
      <c r="AK35" s="74">
        <f t="shared" si="27"/>
        <v>550000</v>
      </c>
      <c r="AL35" s="74">
        <f t="shared" si="27"/>
        <v>450000</v>
      </c>
      <c r="AM35" s="74">
        <v>1</v>
      </c>
      <c r="AN35" s="74"/>
      <c r="AO35" s="74"/>
      <c r="AP35" s="74"/>
      <c r="AQ35" s="74"/>
      <c r="AR35" s="74">
        <f t="shared" si="28"/>
        <v>0</v>
      </c>
      <c r="AS35" s="74">
        <f t="shared" si="28"/>
        <v>0</v>
      </c>
      <c r="AT35" s="74"/>
      <c r="AU35" s="74"/>
      <c r="AV35" s="74"/>
      <c r="AW35" s="74">
        <v>9930.09</v>
      </c>
      <c r="AX35" s="74">
        <f t="shared" si="29"/>
        <v>0</v>
      </c>
      <c r="AY35" s="74">
        <f t="shared" si="29"/>
        <v>9930.09</v>
      </c>
      <c r="AZ35" s="74"/>
      <c r="BA35" s="74"/>
      <c r="BB35" s="74"/>
      <c r="BC35" s="74"/>
      <c r="BD35" s="74">
        <f t="shared" si="30"/>
        <v>0</v>
      </c>
      <c r="BE35" s="74"/>
      <c r="BF35" s="74">
        <f t="shared" si="8"/>
        <v>0</v>
      </c>
      <c r="BG35" s="74"/>
      <c r="BH35" s="74"/>
      <c r="BI35" s="74"/>
      <c r="BJ35" s="74"/>
      <c r="BK35" s="74">
        <f t="shared" si="31"/>
        <v>0</v>
      </c>
      <c r="BL35" s="74"/>
      <c r="BM35" s="74">
        <f t="shared" si="9"/>
        <v>0</v>
      </c>
      <c r="BN35" s="74"/>
      <c r="BO35" s="74"/>
      <c r="BP35" s="74"/>
      <c r="BQ35" s="74"/>
      <c r="BR35" s="74">
        <f t="shared" si="32"/>
        <v>0</v>
      </c>
      <c r="BS35" s="74">
        <f t="shared" si="32"/>
        <v>0</v>
      </c>
      <c r="BT35" s="74"/>
      <c r="BU35" s="74"/>
      <c r="BV35" s="74"/>
      <c r="BW35" s="74"/>
      <c r="BX35" s="74">
        <f t="shared" si="33"/>
        <v>0</v>
      </c>
      <c r="BY35" s="74">
        <f t="shared" si="33"/>
        <v>0</v>
      </c>
      <c r="BZ35" s="74"/>
      <c r="CA35" s="74"/>
      <c r="CB35" s="74"/>
      <c r="CC35" s="74"/>
      <c r="CD35" s="74">
        <f t="shared" si="34"/>
        <v>0</v>
      </c>
      <c r="CE35" s="74">
        <f t="shared" si="34"/>
        <v>0</v>
      </c>
      <c r="CF35" s="74"/>
      <c r="CG35" s="74"/>
      <c r="CH35" s="74"/>
      <c r="CI35" s="74"/>
      <c r="CJ35" s="74">
        <f t="shared" si="35"/>
        <v>0</v>
      </c>
      <c r="CK35" s="74">
        <f t="shared" si="35"/>
        <v>0</v>
      </c>
      <c r="CL35" s="74"/>
      <c r="CM35" s="74"/>
      <c r="CN35" s="74"/>
      <c r="CO35" s="74"/>
      <c r="CP35" s="74">
        <f t="shared" si="36"/>
        <v>0</v>
      </c>
      <c r="CQ35" s="74">
        <f t="shared" si="36"/>
        <v>0</v>
      </c>
      <c r="CR35" s="74"/>
      <c r="CS35" s="74"/>
      <c r="CT35" s="74"/>
      <c r="CU35" s="74"/>
      <c r="CV35" s="74">
        <f t="shared" si="37"/>
        <v>0</v>
      </c>
      <c r="CW35" s="74">
        <f t="shared" si="37"/>
        <v>0</v>
      </c>
      <c r="CX35" s="74"/>
      <c r="CY35" s="74"/>
      <c r="CZ35" s="74"/>
      <c r="DA35" s="74"/>
      <c r="DB35" s="74">
        <f t="shared" si="38"/>
        <v>0</v>
      </c>
      <c r="DC35" s="74">
        <f t="shared" si="38"/>
        <v>0</v>
      </c>
      <c r="DD35" s="74"/>
      <c r="DE35" s="74"/>
      <c r="DF35" s="74"/>
      <c r="DG35" s="74"/>
      <c r="DH35" s="74">
        <f t="shared" si="39"/>
        <v>0</v>
      </c>
      <c r="DI35" s="74">
        <f t="shared" si="39"/>
        <v>0</v>
      </c>
      <c r="DJ35" s="74">
        <f t="shared" si="10"/>
        <v>0</v>
      </c>
      <c r="DK35" s="74">
        <f t="shared" si="11"/>
        <v>0</v>
      </c>
      <c r="DL35" s="74">
        <f t="shared" si="12"/>
        <v>0</v>
      </c>
      <c r="DM35" s="74">
        <f t="shared" si="13"/>
        <v>9930.09</v>
      </c>
      <c r="DN35" s="74">
        <f t="shared" si="40"/>
        <v>0</v>
      </c>
      <c r="DO35" s="74">
        <f t="shared" si="40"/>
        <v>9930.09</v>
      </c>
    </row>
    <row r="36" spans="1:119">
      <c r="A36" s="25">
        <v>28</v>
      </c>
      <c r="B36" s="26" t="s">
        <v>87</v>
      </c>
      <c r="C36" s="26" t="s">
        <v>90</v>
      </c>
      <c r="D36" s="26" t="s">
        <v>500</v>
      </c>
      <c r="E36" s="205" t="s">
        <v>1164</v>
      </c>
      <c r="F36" s="161">
        <f t="shared" si="14"/>
        <v>0</v>
      </c>
      <c r="G36" s="161">
        <f t="shared" si="15"/>
        <v>0</v>
      </c>
      <c r="H36" s="165">
        <f t="shared" si="16"/>
        <v>49624.75</v>
      </c>
      <c r="I36" s="12">
        <v>944000</v>
      </c>
      <c r="J36" s="219">
        <v>0</v>
      </c>
      <c r="K36" s="219">
        <v>0</v>
      </c>
      <c r="L36" s="127">
        <f t="shared" si="17"/>
        <v>49624.75</v>
      </c>
      <c r="M36" s="127">
        <f t="shared" si="18"/>
        <v>49624.75</v>
      </c>
      <c r="N36" s="127">
        <f t="shared" si="19"/>
        <v>49624.75</v>
      </c>
      <c r="O36" s="131">
        <f t="shared" si="20"/>
        <v>0</v>
      </c>
      <c r="P36" s="125">
        <f t="shared" si="21"/>
        <v>49624.75</v>
      </c>
      <c r="Q36" s="74"/>
      <c r="R36" s="74">
        <v>49624.75</v>
      </c>
      <c r="S36" s="74">
        <f t="shared" si="41"/>
        <v>0</v>
      </c>
      <c r="T36" s="74">
        <f t="shared" si="42"/>
        <v>49624.75</v>
      </c>
      <c r="U36" s="74"/>
      <c r="V36" s="74"/>
      <c r="W36" s="74"/>
      <c r="X36" s="74"/>
      <c r="Y36" s="74">
        <f t="shared" si="22"/>
        <v>0</v>
      </c>
      <c r="Z36" s="74">
        <f t="shared" si="22"/>
        <v>0</v>
      </c>
      <c r="AA36" s="74"/>
      <c r="AB36" s="74"/>
      <c r="AC36" s="74"/>
      <c r="AD36" s="74"/>
      <c r="AE36" s="74">
        <f t="shared" si="23"/>
        <v>0</v>
      </c>
      <c r="AF36" s="74">
        <f t="shared" si="23"/>
        <v>0</v>
      </c>
      <c r="AG36" s="74">
        <f t="shared" si="24"/>
        <v>0</v>
      </c>
      <c r="AH36" s="74">
        <f t="shared" si="25"/>
        <v>0</v>
      </c>
      <c r="AI36" s="74">
        <f t="shared" si="25"/>
        <v>49624.75</v>
      </c>
      <c r="AJ36" s="74">
        <f t="shared" si="26"/>
        <v>49624.75</v>
      </c>
      <c r="AK36" s="74">
        <f t="shared" si="27"/>
        <v>49624.75</v>
      </c>
      <c r="AL36" s="74">
        <f t="shared" si="27"/>
        <v>49624.75</v>
      </c>
      <c r="AM36" s="74"/>
      <c r="AN36" s="74"/>
      <c r="AO36" s="74"/>
      <c r="AP36" s="74"/>
      <c r="AQ36" s="74"/>
      <c r="AR36" s="74">
        <f t="shared" si="28"/>
        <v>0</v>
      </c>
      <c r="AS36" s="74">
        <f t="shared" si="28"/>
        <v>0</v>
      </c>
      <c r="AT36" s="74"/>
      <c r="AU36" s="74"/>
      <c r="AV36" s="74"/>
      <c r="AW36" s="74"/>
      <c r="AX36" s="74">
        <f t="shared" si="29"/>
        <v>0</v>
      </c>
      <c r="AY36" s="74">
        <f t="shared" si="29"/>
        <v>0</v>
      </c>
      <c r="AZ36" s="74"/>
      <c r="BA36" s="74"/>
      <c r="BB36" s="74"/>
      <c r="BC36" s="74"/>
      <c r="BD36" s="74">
        <f t="shared" si="30"/>
        <v>0</v>
      </c>
      <c r="BE36" s="74"/>
      <c r="BF36" s="74">
        <f t="shared" si="8"/>
        <v>0</v>
      </c>
      <c r="BG36" s="74"/>
      <c r="BH36" s="74"/>
      <c r="BI36" s="74"/>
      <c r="BJ36" s="74"/>
      <c r="BK36" s="74">
        <f t="shared" si="31"/>
        <v>0</v>
      </c>
      <c r="BL36" s="74"/>
      <c r="BM36" s="74">
        <f t="shared" si="9"/>
        <v>0</v>
      </c>
      <c r="BN36" s="74"/>
      <c r="BO36" s="74"/>
      <c r="BP36" s="74"/>
      <c r="BQ36" s="74"/>
      <c r="BR36" s="74">
        <f t="shared" si="32"/>
        <v>0</v>
      </c>
      <c r="BS36" s="74">
        <f t="shared" si="32"/>
        <v>0</v>
      </c>
      <c r="BT36" s="74"/>
      <c r="BU36" s="74"/>
      <c r="BV36" s="74"/>
      <c r="BW36" s="74"/>
      <c r="BX36" s="74">
        <f t="shared" si="33"/>
        <v>0</v>
      </c>
      <c r="BY36" s="74">
        <f t="shared" si="33"/>
        <v>0</v>
      </c>
      <c r="BZ36" s="74"/>
      <c r="CA36" s="74"/>
      <c r="CB36" s="74"/>
      <c r="CC36" s="74"/>
      <c r="CD36" s="74">
        <f t="shared" si="34"/>
        <v>0</v>
      </c>
      <c r="CE36" s="74">
        <f t="shared" si="34"/>
        <v>0</v>
      </c>
      <c r="CF36" s="74"/>
      <c r="CG36" s="74"/>
      <c r="CH36" s="74"/>
      <c r="CI36" s="74"/>
      <c r="CJ36" s="74">
        <f t="shared" si="35"/>
        <v>0</v>
      </c>
      <c r="CK36" s="74">
        <f t="shared" si="35"/>
        <v>0</v>
      </c>
      <c r="CL36" s="74"/>
      <c r="CM36" s="74"/>
      <c r="CN36" s="74"/>
      <c r="CO36" s="74"/>
      <c r="CP36" s="74">
        <f t="shared" si="36"/>
        <v>0</v>
      </c>
      <c r="CQ36" s="74">
        <f t="shared" si="36"/>
        <v>0</v>
      </c>
      <c r="CR36" s="74"/>
      <c r="CS36" s="74"/>
      <c r="CT36" s="74"/>
      <c r="CU36" s="74"/>
      <c r="CV36" s="74">
        <f t="shared" si="37"/>
        <v>0</v>
      </c>
      <c r="CW36" s="74">
        <f t="shared" si="37"/>
        <v>0</v>
      </c>
      <c r="CX36" s="74"/>
      <c r="CY36" s="74"/>
      <c r="CZ36" s="74"/>
      <c r="DA36" s="74"/>
      <c r="DB36" s="74">
        <f t="shared" si="38"/>
        <v>0</v>
      </c>
      <c r="DC36" s="74">
        <f t="shared" si="38"/>
        <v>0</v>
      </c>
      <c r="DD36" s="74"/>
      <c r="DE36" s="74"/>
      <c r="DF36" s="74"/>
      <c r="DG36" s="74"/>
      <c r="DH36" s="74">
        <f t="shared" si="39"/>
        <v>0</v>
      </c>
      <c r="DI36" s="74">
        <f t="shared" si="39"/>
        <v>0</v>
      </c>
      <c r="DJ36" s="74">
        <f t="shared" si="10"/>
        <v>0</v>
      </c>
      <c r="DK36" s="74">
        <f t="shared" si="11"/>
        <v>0</v>
      </c>
      <c r="DL36" s="74">
        <f t="shared" si="12"/>
        <v>0</v>
      </c>
      <c r="DM36" s="74">
        <f t="shared" si="13"/>
        <v>0</v>
      </c>
      <c r="DN36" s="74">
        <f t="shared" si="40"/>
        <v>0</v>
      </c>
      <c r="DO36" s="74">
        <f t="shared" si="40"/>
        <v>0</v>
      </c>
    </row>
    <row r="37" spans="1:119">
      <c r="A37" s="25">
        <v>29</v>
      </c>
      <c r="B37" s="26" t="s">
        <v>87</v>
      </c>
      <c r="C37" s="26" t="s">
        <v>501</v>
      </c>
      <c r="D37" s="26" t="s">
        <v>502</v>
      </c>
      <c r="E37" s="205" t="s">
        <v>1164</v>
      </c>
      <c r="F37" s="161">
        <f t="shared" si="14"/>
        <v>0</v>
      </c>
      <c r="G37" s="161">
        <f t="shared" si="15"/>
        <v>0</v>
      </c>
      <c r="H37" s="165">
        <f t="shared" si="16"/>
        <v>4158</v>
      </c>
      <c r="I37" s="12">
        <v>0</v>
      </c>
      <c r="J37" s="219">
        <v>0</v>
      </c>
      <c r="K37" s="219">
        <v>0</v>
      </c>
      <c r="L37" s="127">
        <f t="shared" si="17"/>
        <v>4158</v>
      </c>
      <c r="M37" s="127">
        <f t="shared" si="18"/>
        <v>4158</v>
      </c>
      <c r="N37" s="127">
        <f t="shared" si="19"/>
        <v>4158</v>
      </c>
      <c r="O37" s="131">
        <f t="shared" si="20"/>
        <v>0</v>
      </c>
      <c r="P37" s="125">
        <f t="shared" si="21"/>
        <v>4158</v>
      </c>
      <c r="Q37" s="74"/>
      <c r="R37" s="74">
        <v>4158</v>
      </c>
      <c r="S37" s="74">
        <f t="shared" si="41"/>
        <v>0</v>
      </c>
      <c r="T37" s="74">
        <f t="shared" si="42"/>
        <v>4158</v>
      </c>
      <c r="U37" s="74"/>
      <c r="V37" s="74"/>
      <c r="W37" s="74"/>
      <c r="X37" s="74"/>
      <c r="Y37" s="74">
        <f t="shared" si="22"/>
        <v>0</v>
      </c>
      <c r="Z37" s="74">
        <f t="shared" si="22"/>
        <v>0</v>
      </c>
      <c r="AA37" s="74"/>
      <c r="AB37" s="74"/>
      <c r="AC37" s="74"/>
      <c r="AD37" s="74"/>
      <c r="AE37" s="74">
        <f t="shared" si="23"/>
        <v>0</v>
      </c>
      <c r="AF37" s="74">
        <f t="shared" si="23"/>
        <v>0</v>
      </c>
      <c r="AG37" s="74">
        <f t="shared" si="24"/>
        <v>0</v>
      </c>
      <c r="AH37" s="74">
        <f t="shared" si="25"/>
        <v>0</v>
      </c>
      <c r="AI37" s="74">
        <f t="shared" si="25"/>
        <v>4158</v>
      </c>
      <c r="AJ37" s="74">
        <f t="shared" si="26"/>
        <v>4158</v>
      </c>
      <c r="AK37" s="74">
        <f t="shared" si="27"/>
        <v>4158</v>
      </c>
      <c r="AL37" s="74">
        <f t="shared" si="27"/>
        <v>4158</v>
      </c>
      <c r="AM37" s="74"/>
      <c r="AN37" s="74"/>
      <c r="AO37" s="74"/>
      <c r="AP37" s="74"/>
      <c r="AQ37" s="74"/>
      <c r="AR37" s="74">
        <f t="shared" si="28"/>
        <v>0</v>
      </c>
      <c r="AS37" s="74">
        <f t="shared" si="28"/>
        <v>0</v>
      </c>
      <c r="AT37" s="74"/>
      <c r="AU37" s="74"/>
      <c r="AV37" s="74"/>
      <c r="AW37" s="74"/>
      <c r="AX37" s="74">
        <f t="shared" si="29"/>
        <v>0</v>
      </c>
      <c r="AY37" s="74">
        <f t="shared" si="29"/>
        <v>0</v>
      </c>
      <c r="AZ37" s="74"/>
      <c r="BA37" s="74"/>
      <c r="BB37" s="74"/>
      <c r="BC37" s="74"/>
      <c r="BD37" s="74">
        <f t="shared" si="30"/>
        <v>0</v>
      </c>
      <c r="BE37" s="74"/>
      <c r="BF37" s="74">
        <f t="shared" si="8"/>
        <v>0</v>
      </c>
      <c r="BG37" s="74"/>
      <c r="BH37" s="74"/>
      <c r="BI37" s="74"/>
      <c r="BJ37" s="74"/>
      <c r="BK37" s="74">
        <f t="shared" si="31"/>
        <v>0</v>
      </c>
      <c r="BL37" s="74"/>
      <c r="BM37" s="74">
        <f t="shared" si="9"/>
        <v>0</v>
      </c>
      <c r="BN37" s="74"/>
      <c r="BO37" s="74"/>
      <c r="BP37" s="74"/>
      <c r="BQ37" s="74"/>
      <c r="BR37" s="74">
        <f t="shared" si="32"/>
        <v>0</v>
      </c>
      <c r="BS37" s="74">
        <f t="shared" si="32"/>
        <v>0</v>
      </c>
      <c r="BT37" s="74"/>
      <c r="BU37" s="74"/>
      <c r="BV37" s="74"/>
      <c r="BW37" s="74"/>
      <c r="BX37" s="74">
        <f t="shared" si="33"/>
        <v>0</v>
      </c>
      <c r="BY37" s="74">
        <f t="shared" si="33"/>
        <v>0</v>
      </c>
      <c r="BZ37" s="74"/>
      <c r="CA37" s="74"/>
      <c r="CB37" s="74"/>
      <c r="CC37" s="74"/>
      <c r="CD37" s="74">
        <f t="shared" si="34"/>
        <v>0</v>
      </c>
      <c r="CE37" s="74">
        <f t="shared" si="34"/>
        <v>0</v>
      </c>
      <c r="CF37" s="74"/>
      <c r="CG37" s="74"/>
      <c r="CH37" s="74"/>
      <c r="CI37" s="74"/>
      <c r="CJ37" s="74">
        <f t="shared" si="35"/>
        <v>0</v>
      </c>
      <c r="CK37" s="74">
        <f t="shared" si="35"/>
        <v>0</v>
      </c>
      <c r="CL37" s="74"/>
      <c r="CM37" s="74"/>
      <c r="CN37" s="74"/>
      <c r="CO37" s="74"/>
      <c r="CP37" s="74">
        <f t="shared" si="36"/>
        <v>0</v>
      </c>
      <c r="CQ37" s="74">
        <f t="shared" si="36"/>
        <v>0</v>
      </c>
      <c r="CR37" s="74"/>
      <c r="CS37" s="74"/>
      <c r="CT37" s="74"/>
      <c r="CU37" s="74"/>
      <c r="CV37" s="74">
        <f t="shared" si="37"/>
        <v>0</v>
      </c>
      <c r="CW37" s="74">
        <f t="shared" si="37"/>
        <v>0</v>
      </c>
      <c r="CX37" s="74"/>
      <c r="CY37" s="74"/>
      <c r="CZ37" s="74"/>
      <c r="DA37" s="74"/>
      <c r="DB37" s="74">
        <f t="shared" si="38"/>
        <v>0</v>
      </c>
      <c r="DC37" s="74">
        <f t="shared" si="38"/>
        <v>0</v>
      </c>
      <c r="DD37" s="74"/>
      <c r="DE37" s="74"/>
      <c r="DF37" s="74"/>
      <c r="DG37" s="74"/>
      <c r="DH37" s="74">
        <f t="shared" si="39"/>
        <v>0</v>
      </c>
      <c r="DI37" s="74">
        <f t="shared" si="39"/>
        <v>0</v>
      </c>
      <c r="DJ37" s="74">
        <f t="shared" si="10"/>
        <v>0</v>
      </c>
      <c r="DK37" s="74">
        <f t="shared" si="11"/>
        <v>0</v>
      </c>
      <c r="DL37" s="74">
        <f t="shared" si="12"/>
        <v>0</v>
      </c>
      <c r="DM37" s="74">
        <f t="shared" si="13"/>
        <v>0</v>
      </c>
      <c r="DN37" s="74">
        <f t="shared" si="40"/>
        <v>0</v>
      </c>
      <c r="DO37" s="74">
        <f t="shared" si="40"/>
        <v>0</v>
      </c>
    </row>
    <row r="38" spans="1:119" s="278" customFormat="1">
      <c r="A38" s="253">
        <v>30</v>
      </c>
      <c r="B38" s="276" t="s">
        <v>87</v>
      </c>
      <c r="C38" s="276" t="s">
        <v>501</v>
      </c>
      <c r="D38" s="276" t="s">
        <v>503</v>
      </c>
      <c r="E38" s="276" t="s">
        <v>1165</v>
      </c>
      <c r="F38" s="255">
        <f t="shared" si="14"/>
        <v>0</v>
      </c>
      <c r="G38" s="255">
        <f t="shared" si="15"/>
        <v>0</v>
      </c>
      <c r="H38" s="256">
        <f t="shared" si="16"/>
        <v>0</v>
      </c>
      <c r="I38" s="277">
        <v>308924</v>
      </c>
      <c r="J38" s="258">
        <v>0</v>
      </c>
      <c r="K38" s="258"/>
      <c r="L38" s="255">
        <f t="shared" si="17"/>
        <v>0</v>
      </c>
      <c r="M38" s="255">
        <f t="shared" si="18"/>
        <v>0</v>
      </c>
      <c r="N38" s="255">
        <f t="shared" si="19"/>
        <v>0</v>
      </c>
      <c r="O38" s="255">
        <f t="shared" si="20"/>
        <v>0</v>
      </c>
      <c r="P38" s="255" t="str">
        <f t="shared" si="21"/>
        <v>ნულოვანი შესრულება</v>
      </c>
      <c r="Q38" s="258"/>
      <c r="R38" s="258"/>
      <c r="S38" s="258">
        <f t="shared" si="41"/>
        <v>0</v>
      </c>
      <c r="T38" s="258">
        <f t="shared" si="42"/>
        <v>0</v>
      </c>
      <c r="U38" s="258"/>
      <c r="V38" s="258"/>
      <c r="W38" s="258"/>
      <c r="X38" s="258"/>
      <c r="Y38" s="258">
        <f t="shared" si="22"/>
        <v>0</v>
      </c>
      <c r="Z38" s="258">
        <f t="shared" si="22"/>
        <v>0</v>
      </c>
      <c r="AA38" s="258"/>
      <c r="AB38" s="258"/>
      <c r="AC38" s="258"/>
      <c r="AD38" s="258"/>
      <c r="AE38" s="258">
        <f t="shared" si="23"/>
        <v>0</v>
      </c>
      <c r="AF38" s="258">
        <f t="shared" si="23"/>
        <v>0</v>
      </c>
      <c r="AG38" s="258">
        <f t="shared" si="24"/>
        <v>0</v>
      </c>
      <c r="AH38" s="258">
        <f t="shared" si="25"/>
        <v>0</v>
      </c>
      <c r="AI38" s="258">
        <f t="shared" si="25"/>
        <v>0</v>
      </c>
      <c r="AJ38" s="258">
        <f t="shared" si="26"/>
        <v>0</v>
      </c>
      <c r="AK38" s="258">
        <f t="shared" si="27"/>
        <v>0</v>
      </c>
      <c r="AL38" s="258">
        <f t="shared" si="27"/>
        <v>0</v>
      </c>
      <c r="AM38" s="258"/>
      <c r="AN38" s="258"/>
      <c r="AO38" s="258"/>
      <c r="AP38" s="258"/>
      <c r="AQ38" s="258"/>
      <c r="AR38" s="258">
        <f t="shared" si="28"/>
        <v>0</v>
      </c>
      <c r="AS38" s="258">
        <f t="shared" si="28"/>
        <v>0</v>
      </c>
      <c r="AT38" s="258"/>
      <c r="AU38" s="258"/>
      <c r="AV38" s="258"/>
      <c r="AW38" s="258"/>
      <c r="AX38" s="258">
        <f t="shared" si="29"/>
        <v>0</v>
      </c>
      <c r="AY38" s="258">
        <f t="shared" si="29"/>
        <v>0</v>
      </c>
      <c r="AZ38" s="258"/>
      <c r="BA38" s="258"/>
      <c r="BB38" s="258"/>
      <c r="BC38" s="258"/>
      <c r="BD38" s="258">
        <f t="shared" si="30"/>
        <v>0</v>
      </c>
      <c r="BE38" s="258"/>
      <c r="BF38" s="258">
        <f t="shared" si="8"/>
        <v>0</v>
      </c>
      <c r="BG38" s="258"/>
      <c r="BH38" s="258"/>
      <c r="BI38" s="258"/>
      <c r="BJ38" s="258"/>
      <c r="BK38" s="258">
        <f t="shared" si="31"/>
        <v>0</v>
      </c>
      <c r="BL38" s="258"/>
      <c r="BM38" s="258">
        <f t="shared" si="9"/>
        <v>0</v>
      </c>
      <c r="BN38" s="258"/>
      <c r="BO38" s="258"/>
      <c r="BP38" s="258"/>
      <c r="BQ38" s="258"/>
      <c r="BR38" s="258">
        <f t="shared" si="32"/>
        <v>0</v>
      </c>
      <c r="BS38" s="258">
        <f t="shared" si="32"/>
        <v>0</v>
      </c>
      <c r="BT38" s="258"/>
      <c r="BU38" s="258"/>
      <c r="BV38" s="258"/>
      <c r="BW38" s="258"/>
      <c r="BX38" s="258">
        <f t="shared" si="33"/>
        <v>0</v>
      </c>
      <c r="BY38" s="258">
        <f t="shared" si="33"/>
        <v>0</v>
      </c>
      <c r="BZ38" s="258"/>
      <c r="CA38" s="258"/>
      <c r="CB38" s="258"/>
      <c r="CC38" s="258"/>
      <c r="CD38" s="258">
        <f t="shared" si="34"/>
        <v>0</v>
      </c>
      <c r="CE38" s="258">
        <f t="shared" si="34"/>
        <v>0</v>
      </c>
      <c r="CF38" s="258"/>
      <c r="CG38" s="258"/>
      <c r="CH38" s="258"/>
      <c r="CI38" s="258"/>
      <c r="CJ38" s="258">
        <f t="shared" si="35"/>
        <v>0</v>
      </c>
      <c r="CK38" s="258">
        <f t="shared" si="35"/>
        <v>0</v>
      </c>
      <c r="CL38" s="258"/>
      <c r="CM38" s="258"/>
      <c r="CN38" s="258"/>
      <c r="CO38" s="258"/>
      <c r="CP38" s="258">
        <f t="shared" si="36"/>
        <v>0</v>
      </c>
      <c r="CQ38" s="258">
        <f t="shared" si="36"/>
        <v>0</v>
      </c>
      <c r="CR38" s="258"/>
      <c r="CS38" s="258"/>
      <c r="CT38" s="258"/>
      <c r="CU38" s="258"/>
      <c r="CV38" s="258">
        <f t="shared" si="37"/>
        <v>0</v>
      </c>
      <c r="CW38" s="258">
        <f t="shared" si="37"/>
        <v>0</v>
      </c>
      <c r="CX38" s="258"/>
      <c r="CY38" s="258"/>
      <c r="CZ38" s="258"/>
      <c r="DA38" s="258"/>
      <c r="DB38" s="258">
        <f t="shared" si="38"/>
        <v>0</v>
      </c>
      <c r="DC38" s="258">
        <f t="shared" si="38"/>
        <v>0</v>
      </c>
      <c r="DD38" s="258"/>
      <c r="DE38" s="258"/>
      <c r="DF38" s="258"/>
      <c r="DG38" s="258"/>
      <c r="DH38" s="258">
        <f t="shared" si="39"/>
        <v>0</v>
      </c>
      <c r="DI38" s="258">
        <f t="shared" si="39"/>
        <v>0</v>
      </c>
      <c r="DJ38" s="258">
        <f t="shared" si="10"/>
        <v>0</v>
      </c>
      <c r="DK38" s="258">
        <f t="shared" si="11"/>
        <v>0</v>
      </c>
      <c r="DL38" s="258">
        <f t="shared" si="12"/>
        <v>0</v>
      </c>
      <c r="DM38" s="258">
        <f t="shared" si="13"/>
        <v>0</v>
      </c>
      <c r="DN38" s="258">
        <f t="shared" si="40"/>
        <v>0</v>
      </c>
      <c r="DO38" s="258">
        <f t="shared" si="40"/>
        <v>0</v>
      </c>
    </row>
    <row r="39" spans="1:119">
      <c r="A39" s="25">
        <v>31</v>
      </c>
      <c r="B39" s="26" t="s">
        <v>453</v>
      </c>
      <c r="C39" s="26" t="s">
        <v>504</v>
      </c>
      <c r="D39" s="26" t="s">
        <v>505</v>
      </c>
      <c r="E39" s="205" t="s">
        <v>1164</v>
      </c>
      <c r="F39" s="161">
        <f t="shared" si="14"/>
        <v>0</v>
      </c>
      <c r="G39" s="161">
        <f t="shared" si="15"/>
        <v>0</v>
      </c>
      <c r="H39" s="165">
        <f t="shared" si="16"/>
        <v>3603.25</v>
      </c>
      <c r="I39" s="12">
        <v>0</v>
      </c>
      <c r="J39" s="219">
        <v>0</v>
      </c>
      <c r="K39" s="219">
        <v>0</v>
      </c>
      <c r="L39" s="127">
        <f t="shared" si="17"/>
        <v>3603.25</v>
      </c>
      <c r="M39" s="127">
        <f t="shared" si="18"/>
        <v>3603.25</v>
      </c>
      <c r="N39" s="127">
        <f t="shared" si="19"/>
        <v>3603.25</v>
      </c>
      <c r="O39" s="131">
        <f t="shared" si="20"/>
        <v>0</v>
      </c>
      <c r="P39" s="125">
        <f t="shared" si="21"/>
        <v>3603.25</v>
      </c>
      <c r="Q39" s="74"/>
      <c r="R39" s="74">
        <v>3603.25</v>
      </c>
      <c r="S39" s="74">
        <f t="shared" si="41"/>
        <v>0</v>
      </c>
      <c r="T39" s="74">
        <f t="shared" si="42"/>
        <v>3603.25</v>
      </c>
      <c r="U39" s="74"/>
      <c r="V39" s="74"/>
      <c r="W39" s="74"/>
      <c r="X39" s="74"/>
      <c r="Y39" s="74">
        <f t="shared" si="22"/>
        <v>0</v>
      </c>
      <c r="Z39" s="74">
        <f t="shared" si="22"/>
        <v>0</v>
      </c>
      <c r="AA39" s="74"/>
      <c r="AB39" s="74"/>
      <c r="AC39" s="74"/>
      <c r="AD39" s="74"/>
      <c r="AE39" s="74">
        <f t="shared" si="23"/>
        <v>0</v>
      </c>
      <c r="AF39" s="74">
        <f t="shared" si="23"/>
        <v>0</v>
      </c>
      <c r="AG39" s="74">
        <f t="shared" si="24"/>
        <v>0</v>
      </c>
      <c r="AH39" s="74">
        <f t="shared" si="25"/>
        <v>0</v>
      </c>
      <c r="AI39" s="74">
        <f t="shared" si="25"/>
        <v>3603.25</v>
      </c>
      <c r="AJ39" s="74">
        <f t="shared" si="26"/>
        <v>3603.25</v>
      </c>
      <c r="AK39" s="74">
        <f t="shared" si="27"/>
        <v>3603.25</v>
      </c>
      <c r="AL39" s="74">
        <f t="shared" si="27"/>
        <v>3603.25</v>
      </c>
      <c r="AM39" s="74"/>
      <c r="AN39" s="74"/>
      <c r="AO39" s="74"/>
      <c r="AP39" s="74"/>
      <c r="AQ39" s="74"/>
      <c r="AR39" s="74">
        <f t="shared" si="28"/>
        <v>0</v>
      </c>
      <c r="AS39" s="74">
        <f t="shared" si="28"/>
        <v>0</v>
      </c>
      <c r="AT39" s="74"/>
      <c r="AU39" s="74"/>
      <c r="AV39" s="74"/>
      <c r="AW39" s="74"/>
      <c r="AX39" s="74">
        <f t="shared" si="29"/>
        <v>0</v>
      </c>
      <c r="AY39" s="74">
        <f t="shared" si="29"/>
        <v>0</v>
      </c>
      <c r="AZ39" s="74"/>
      <c r="BA39" s="74"/>
      <c r="BB39" s="74"/>
      <c r="BC39" s="74"/>
      <c r="BD39" s="74">
        <f t="shared" si="30"/>
        <v>0</v>
      </c>
      <c r="BE39" s="74"/>
      <c r="BF39" s="74">
        <f t="shared" si="8"/>
        <v>0</v>
      </c>
      <c r="BG39" s="74"/>
      <c r="BH39" s="74"/>
      <c r="BI39" s="74"/>
      <c r="BJ39" s="74"/>
      <c r="BK39" s="74">
        <f t="shared" si="31"/>
        <v>0</v>
      </c>
      <c r="BL39" s="74"/>
      <c r="BM39" s="74">
        <f t="shared" si="9"/>
        <v>0</v>
      </c>
      <c r="BN39" s="74"/>
      <c r="BO39" s="74"/>
      <c r="BP39" s="74"/>
      <c r="BQ39" s="74"/>
      <c r="BR39" s="74">
        <f t="shared" si="32"/>
        <v>0</v>
      </c>
      <c r="BS39" s="74">
        <f t="shared" si="32"/>
        <v>0</v>
      </c>
      <c r="BT39" s="74"/>
      <c r="BU39" s="74"/>
      <c r="BV39" s="74"/>
      <c r="BW39" s="74"/>
      <c r="BX39" s="74">
        <f t="shared" si="33"/>
        <v>0</v>
      </c>
      <c r="BY39" s="74">
        <f t="shared" si="33"/>
        <v>0</v>
      </c>
      <c r="BZ39" s="74"/>
      <c r="CA39" s="74"/>
      <c r="CB39" s="74"/>
      <c r="CC39" s="74"/>
      <c r="CD39" s="74">
        <f t="shared" si="34"/>
        <v>0</v>
      </c>
      <c r="CE39" s="74">
        <f t="shared" si="34"/>
        <v>0</v>
      </c>
      <c r="CF39" s="74"/>
      <c r="CG39" s="74"/>
      <c r="CH39" s="74"/>
      <c r="CI39" s="74"/>
      <c r="CJ39" s="74">
        <f t="shared" si="35"/>
        <v>0</v>
      </c>
      <c r="CK39" s="74">
        <f t="shared" si="35"/>
        <v>0</v>
      </c>
      <c r="CL39" s="74"/>
      <c r="CM39" s="74"/>
      <c r="CN39" s="74"/>
      <c r="CO39" s="74"/>
      <c r="CP39" s="74">
        <f t="shared" si="36"/>
        <v>0</v>
      </c>
      <c r="CQ39" s="74">
        <f t="shared" si="36"/>
        <v>0</v>
      </c>
      <c r="CR39" s="74"/>
      <c r="CS39" s="74"/>
      <c r="CT39" s="74"/>
      <c r="CU39" s="74"/>
      <c r="CV39" s="74">
        <f t="shared" si="37"/>
        <v>0</v>
      </c>
      <c r="CW39" s="74">
        <f t="shared" si="37"/>
        <v>0</v>
      </c>
      <c r="CX39" s="74"/>
      <c r="CY39" s="74"/>
      <c r="CZ39" s="74"/>
      <c r="DA39" s="74"/>
      <c r="DB39" s="74">
        <f t="shared" si="38"/>
        <v>0</v>
      </c>
      <c r="DC39" s="74">
        <f t="shared" si="38"/>
        <v>0</v>
      </c>
      <c r="DD39" s="74"/>
      <c r="DE39" s="74"/>
      <c r="DF39" s="74"/>
      <c r="DG39" s="74"/>
      <c r="DH39" s="74">
        <f t="shared" si="39"/>
        <v>0</v>
      </c>
      <c r="DI39" s="74">
        <f t="shared" si="39"/>
        <v>0</v>
      </c>
      <c r="DJ39" s="74">
        <f t="shared" si="10"/>
        <v>0</v>
      </c>
      <c r="DK39" s="74">
        <f t="shared" si="11"/>
        <v>0</v>
      </c>
      <c r="DL39" s="74">
        <f t="shared" si="12"/>
        <v>0</v>
      </c>
      <c r="DM39" s="74">
        <f t="shared" si="13"/>
        <v>0</v>
      </c>
      <c r="DN39" s="74">
        <f t="shared" si="40"/>
        <v>0</v>
      </c>
      <c r="DO39" s="74">
        <f t="shared" si="40"/>
        <v>0</v>
      </c>
    </row>
    <row r="40" spans="1:119">
      <c r="A40" s="25">
        <v>32</v>
      </c>
      <c r="B40" s="26" t="s">
        <v>453</v>
      </c>
      <c r="C40" s="26" t="s">
        <v>504</v>
      </c>
      <c r="D40" s="26" t="s">
        <v>506</v>
      </c>
      <c r="E40" s="205" t="s">
        <v>1165</v>
      </c>
      <c r="F40" s="161">
        <f t="shared" si="14"/>
        <v>0</v>
      </c>
      <c r="G40" s="161">
        <f t="shared" si="15"/>
        <v>0</v>
      </c>
      <c r="H40" s="165">
        <f t="shared" si="16"/>
        <v>149880.63</v>
      </c>
      <c r="I40" s="12">
        <v>169353.59999999998</v>
      </c>
      <c r="J40" s="219">
        <v>0</v>
      </c>
      <c r="K40" s="219">
        <v>0</v>
      </c>
      <c r="L40" s="127">
        <f t="shared" si="17"/>
        <v>149880.63</v>
      </c>
      <c r="M40" s="127">
        <f t="shared" si="18"/>
        <v>149880.63</v>
      </c>
      <c r="N40" s="127">
        <f t="shared" si="19"/>
        <v>149880.63</v>
      </c>
      <c r="O40" s="131">
        <f t="shared" si="20"/>
        <v>0</v>
      </c>
      <c r="P40" s="125">
        <f t="shared" si="21"/>
        <v>149880.63</v>
      </c>
      <c r="Q40" s="74">
        <v>100000</v>
      </c>
      <c r="R40" s="74">
        <f>149880.63-Q40</f>
        <v>49880.630000000005</v>
      </c>
      <c r="S40" s="74">
        <f t="shared" si="41"/>
        <v>100000</v>
      </c>
      <c r="T40" s="74">
        <f t="shared" si="42"/>
        <v>49880.630000000005</v>
      </c>
      <c r="U40" s="74"/>
      <c r="V40" s="74"/>
      <c r="W40" s="74"/>
      <c r="X40" s="74"/>
      <c r="Y40" s="74">
        <f t="shared" si="22"/>
        <v>0</v>
      </c>
      <c r="Z40" s="74">
        <f t="shared" si="22"/>
        <v>0</v>
      </c>
      <c r="AA40" s="74"/>
      <c r="AB40" s="74"/>
      <c r="AC40" s="74"/>
      <c r="AD40" s="74"/>
      <c r="AE40" s="74">
        <f t="shared" si="23"/>
        <v>0</v>
      </c>
      <c r="AF40" s="74">
        <f t="shared" si="23"/>
        <v>0</v>
      </c>
      <c r="AG40" s="74">
        <f t="shared" si="24"/>
        <v>100000</v>
      </c>
      <c r="AH40" s="74">
        <f t="shared" si="25"/>
        <v>100000</v>
      </c>
      <c r="AI40" s="74">
        <f t="shared" si="25"/>
        <v>49880.630000000005</v>
      </c>
      <c r="AJ40" s="74">
        <f t="shared" si="26"/>
        <v>49880.630000000005</v>
      </c>
      <c r="AK40" s="74">
        <f t="shared" si="27"/>
        <v>149880.63</v>
      </c>
      <c r="AL40" s="74">
        <f t="shared" si="27"/>
        <v>149880.63</v>
      </c>
      <c r="AM40" s="74"/>
      <c r="AN40" s="74"/>
      <c r="AO40" s="74"/>
      <c r="AP40" s="74"/>
      <c r="AQ40" s="74"/>
      <c r="AR40" s="74">
        <f t="shared" si="28"/>
        <v>0</v>
      </c>
      <c r="AS40" s="74">
        <f t="shared" si="28"/>
        <v>0</v>
      </c>
      <c r="AT40" s="74"/>
      <c r="AU40" s="74"/>
      <c r="AV40" s="74"/>
      <c r="AW40" s="74"/>
      <c r="AX40" s="74">
        <f t="shared" si="29"/>
        <v>0</v>
      </c>
      <c r="AY40" s="74">
        <f t="shared" si="29"/>
        <v>0</v>
      </c>
      <c r="AZ40" s="74"/>
      <c r="BA40" s="74"/>
      <c r="BB40" s="74"/>
      <c r="BC40" s="74"/>
      <c r="BD40" s="74">
        <f t="shared" si="30"/>
        <v>0</v>
      </c>
      <c r="BE40" s="74"/>
      <c r="BF40" s="74">
        <f t="shared" si="8"/>
        <v>0</v>
      </c>
      <c r="BG40" s="74"/>
      <c r="BH40" s="74"/>
      <c r="BI40" s="74"/>
      <c r="BJ40" s="74"/>
      <c r="BK40" s="74">
        <f t="shared" si="31"/>
        <v>0</v>
      </c>
      <c r="BL40" s="74"/>
      <c r="BM40" s="74">
        <f t="shared" si="9"/>
        <v>0</v>
      </c>
      <c r="BN40" s="74"/>
      <c r="BO40" s="74"/>
      <c r="BP40" s="74"/>
      <c r="BQ40" s="74"/>
      <c r="BR40" s="74">
        <f t="shared" si="32"/>
        <v>0</v>
      </c>
      <c r="BS40" s="74">
        <f t="shared" si="32"/>
        <v>0</v>
      </c>
      <c r="BT40" s="74"/>
      <c r="BU40" s="74"/>
      <c r="BV40" s="74"/>
      <c r="BW40" s="74"/>
      <c r="BX40" s="74">
        <f t="shared" si="33"/>
        <v>0</v>
      </c>
      <c r="BY40" s="74">
        <f t="shared" si="33"/>
        <v>0</v>
      </c>
      <c r="BZ40" s="74"/>
      <c r="CA40" s="74"/>
      <c r="CB40" s="74"/>
      <c r="CC40" s="74"/>
      <c r="CD40" s="74">
        <f t="shared" si="34"/>
        <v>0</v>
      </c>
      <c r="CE40" s="74">
        <f t="shared" si="34"/>
        <v>0</v>
      </c>
      <c r="CF40" s="74"/>
      <c r="CG40" s="74"/>
      <c r="CH40" s="74"/>
      <c r="CI40" s="74"/>
      <c r="CJ40" s="74">
        <f t="shared" si="35"/>
        <v>0</v>
      </c>
      <c r="CK40" s="74">
        <f t="shared" si="35"/>
        <v>0</v>
      </c>
      <c r="CL40" s="74"/>
      <c r="CM40" s="74"/>
      <c r="CN40" s="74"/>
      <c r="CO40" s="74"/>
      <c r="CP40" s="74">
        <f t="shared" si="36"/>
        <v>0</v>
      </c>
      <c r="CQ40" s="74">
        <f t="shared" si="36"/>
        <v>0</v>
      </c>
      <c r="CR40" s="74"/>
      <c r="CS40" s="74"/>
      <c r="CT40" s="74"/>
      <c r="CU40" s="74"/>
      <c r="CV40" s="74">
        <f t="shared" si="37"/>
        <v>0</v>
      </c>
      <c r="CW40" s="74">
        <f t="shared" si="37"/>
        <v>0</v>
      </c>
      <c r="CX40" s="74"/>
      <c r="CY40" s="74"/>
      <c r="CZ40" s="74"/>
      <c r="DA40" s="74"/>
      <c r="DB40" s="74">
        <f t="shared" si="38"/>
        <v>0</v>
      </c>
      <c r="DC40" s="74">
        <f t="shared" si="38"/>
        <v>0</v>
      </c>
      <c r="DD40" s="74"/>
      <c r="DE40" s="74"/>
      <c r="DF40" s="74"/>
      <c r="DG40" s="74"/>
      <c r="DH40" s="74">
        <f t="shared" si="39"/>
        <v>0</v>
      </c>
      <c r="DI40" s="74">
        <f t="shared" si="39"/>
        <v>0</v>
      </c>
      <c r="DJ40" s="74">
        <f t="shared" si="10"/>
        <v>0</v>
      </c>
      <c r="DK40" s="74">
        <f t="shared" si="11"/>
        <v>0</v>
      </c>
      <c r="DL40" s="74">
        <f t="shared" si="12"/>
        <v>0</v>
      </c>
      <c r="DM40" s="74">
        <f t="shared" si="13"/>
        <v>0</v>
      </c>
      <c r="DN40" s="74">
        <f t="shared" si="40"/>
        <v>0</v>
      </c>
      <c r="DO40" s="74">
        <f t="shared" si="40"/>
        <v>0</v>
      </c>
    </row>
    <row r="41" spans="1:119">
      <c r="A41" s="25">
        <v>33</v>
      </c>
      <c r="B41" s="26" t="s">
        <v>456</v>
      </c>
      <c r="C41" s="26" t="s">
        <v>507</v>
      </c>
      <c r="D41" s="26" t="s">
        <v>508</v>
      </c>
      <c r="E41" s="205" t="s">
        <v>1164</v>
      </c>
      <c r="F41" s="161">
        <f t="shared" si="14"/>
        <v>0</v>
      </c>
      <c r="G41" s="161">
        <f t="shared" si="15"/>
        <v>0</v>
      </c>
      <c r="H41" s="165">
        <f t="shared" si="16"/>
        <v>5484.5</v>
      </c>
      <c r="I41" s="12">
        <v>0</v>
      </c>
      <c r="J41" s="219">
        <v>0</v>
      </c>
      <c r="K41" s="219">
        <v>0</v>
      </c>
      <c r="L41" s="127">
        <f t="shared" si="17"/>
        <v>5484.5</v>
      </c>
      <c r="M41" s="127">
        <f t="shared" si="18"/>
        <v>5484.5</v>
      </c>
      <c r="N41" s="127">
        <f t="shared" si="19"/>
        <v>5484.5</v>
      </c>
      <c r="O41" s="131">
        <f t="shared" si="20"/>
        <v>0</v>
      </c>
      <c r="P41" s="125">
        <f t="shared" si="21"/>
        <v>5484.5</v>
      </c>
      <c r="Q41" s="74"/>
      <c r="R41" s="74">
        <v>5484.5</v>
      </c>
      <c r="S41" s="74">
        <f t="shared" si="41"/>
        <v>0</v>
      </c>
      <c r="T41" s="74">
        <f t="shared" si="42"/>
        <v>5484.5</v>
      </c>
      <c r="U41" s="74"/>
      <c r="V41" s="74"/>
      <c r="W41" s="74"/>
      <c r="X41" s="74"/>
      <c r="Y41" s="74">
        <f t="shared" si="22"/>
        <v>0</v>
      </c>
      <c r="Z41" s="74">
        <f t="shared" si="22"/>
        <v>0</v>
      </c>
      <c r="AA41" s="74"/>
      <c r="AB41" s="74"/>
      <c r="AC41" s="74"/>
      <c r="AD41" s="74"/>
      <c r="AE41" s="74">
        <f t="shared" si="23"/>
        <v>0</v>
      </c>
      <c r="AF41" s="74">
        <f t="shared" si="23"/>
        <v>0</v>
      </c>
      <c r="AG41" s="74">
        <f t="shared" si="24"/>
        <v>0</v>
      </c>
      <c r="AH41" s="74">
        <f t="shared" si="25"/>
        <v>0</v>
      </c>
      <c r="AI41" s="74">
        <f t="shared" si="25"/>
        <v>5484.5</v>
      </c>
      <c r="AJ41" s="74">
        <f t="shared" si="26"/>
        <v>5484.5</v>
      </c>
      <c r="AK41" s="74">
        <f t="shared" si="27"/>
        <v>5484.5</v>
      </c>
      <c r="AL41" s="74">
        <f t="shared" si="27"/>
        <v>5484.5</v>
      </c>
      <c r="AM41" s="74"/>
      <c r="AN41" s="74"/>
      <c r="AO41" s="74"/>
      <c r="AP41" s="74"/>
      <c r="AQ41" s="74"/>
      <c r="AR41" s="74">
        <f t="shared" si="28"/>
        <v>0</v>
      </c>
      <c r="AS41" s="74">
        <f t="shared" si="28"/>
        <v>0</v>
      </c>
      <c r="AT41" s="74"/>
      <c r="AU41" s="74"/>
      <c r="AV41" s="74"/>
      <c r="AW41" s="74"/>
      <c r="AX41" s="74">
        <f t="shared" si="29"/>
        <v>0</v>
      </c>
      <c r="AY41" s="74">
        <f t="shared" si="29"/>
        <v>0</v>
      </c>
      <c r="AZ41" s="74"/>
      <c r="BA41" s="74"/>
      <c r="BB41" s="74"/>
      <c r="BC41" s="74"/>
      <c r="BD41" s="74">
        <f t="shared" si="30"/>
        <v>0</v>
      </c>
      <c r="BE41" s="74"/>
      <c r="BF41" s="74">
        <f t="shared" ref="BF41:BF72" si="43">BA41+BC41</f>
        <v>0</v>
      </c>
      <c r="BG41" s="74"/>
      <c r="BH41" s="74"/>
      <c r="BI41" s="74"/>
      <c r="BJ41" s="74"/>
      <c r="BK41" s="74">
        <f t="shared" si="31"/>
        <v>0</v>
      </c>
      <c r="BL41" s="74"/>
      <c r="BM41" s="74">
        <f t="shared" ref="BM41:BM72" si="44">BH41+BJ41</f>
        <v>0</v>
      </c>
      <c r="BN41" s="74"/>
      <c r="BO41" s="74"/>
      <c r="BP41" s="74"/>
      <c r="BQ41" s="74"/>
      <c r="BR41" s="74">
        <f t="shared" si="32"/>
        <v>0</v>
      </c>
      <c r="BS41" s="74">
        <f t="shared" si="32"/>
        <v>0</v>
      </c>
      <c r="BT41" s="74"/>
      <c r="BU41" s="74"/>
      <c r="BV41" s="74"/>
      <c r="BW41" s="74"/>
      <c r="BX41" s="74">
        <f t="shared" si="33"/>
        <v>0</v>
      </c>
      <c r="BY41" s="74">
        <f t="shared" si="33"/>
        <v>0</v>
      </c>
      <c r="BZ41" s="74"/>
      <c r="CA41" s="74"/>
      <c r="CB41" s="74"/>
      <c r="CC41" s="74"/>
      <c r="CD41" s="74">
        <f t="shared" si="34"/>
        <v>0</v>
      </c>
      <c r="CE41" s="74">
        <f t="shared" si="34"/>
        <v>0</v>
      </c>
      <c r="CF41" s="74"/>
      <c r="CG41" s="74"/>
      <c r="CH41" s="74"/>
      <c r="CI41" s="74"/>
      <c r="CJ41" s="74">
        <f t="shared" si="35"/>
        <v>0</v>
      </c>
      <c r="CK41" s="74">
        <f t="shared" si="35"/>
        <v>0</v>
      </c>
      <c r="CL41" s="74"/>
      <c r="CM41" s="74"/>
      <c r="CN41" s="74"/>
      <c r="CO41" s="74"/>
      <c r="CP41" s="74">
        <f t="shared" si="36"/>
        <v>0</v>
      </c>
      <c r="CQ41" s="74">
        <f t="shared" si="36"/>
        <v>0</v>
      </c>
      <c r="CR41" s="74"/>
      <c r="CS41" s="74"/>
      <c r="CT41" s="74"/>
      <c r="CU41" s="74"/>
      <c r="CV41" s="74">
        <f t="shared" si="37"/>
        <v>0</v>
      </c>
      <c r="CW41" s="74">
        <f t="shared" si="37"/>
        <v>0</v>
      </c>
      <c r="CX41" s="74"/>
      <c r="CY41" s="74"/>
      <c r="CZ41" s="74"/>
      <c r="DA41" s="74"/>
      <c r="DB41" s="74">
        <f t="shared" si="38"/>
        <v>0</v>
      </c>
      <c r="DC41" s="74">
        <f t="shared" si="38"/>
        <v>0</v>
      </c>
      <c r="DD41" s="74"/>
      <c r="DE41" s="74"/>
      <c r="DF41" s="74"/>
      <c r="DG41" s="74"/>
      <c r="DH41" s="74">
        <f t="shared" si="39"/>
        <v>0</v>
      </c>
      <c r="DI41" s="74">
        <f t="shared" si="39"/>
        <v>0</v>
      </c>
      <c r="DJ41" s="74">
        <f t="shared" ref="DJ41:DJ72" si="45">AN41+AT41+AZ41+BG41+BN41+BT41+BZ41+CF41+CL41+CR41+CX41+DD41</f>
        <v>0</v>
      </c>
      <c r="DK41" s="74">
        <f t="shared" ref="DK41:DK72" si="46">AO41+AU41+BA41+BH41+BO41+BU41+CA41+CG41+CM41+CS41+CY41+DE41</f>
        <v>0</v>
      </c>
      <c r="DL41" s="74">
        <f t="shared" ref="DL41:DL72" si="47">AP41+AV41+BB41+BI41+BP41+BV41+CB41+CH41+CN41+CT41+CZ41+DF41</f>
        <v>0</v>
      </c>
      <c r="DM41" s="74">
        <f t="shared" ref="DM41:DM72" si="48">AQ41+AW41+BC41+BJ41+BQ41+BW41+CC41+CI41+CO41+CU41+DA41+DG41</f>
        <v>0</v>
      </c>
      <c r="DN41" s="74">
        <f t="shared" si="40"/>
        <v>0</v>
      </c>
      <c r="DO41" s="74">
        <f t="shared" si="40"/>
        <v>0</v>
      </c>
    </row>
    <row r="42" spans="1:119" s="278" customFormat="1">
      <c r="A42" s="253">
        <v>34</v>
      </c>
      <c r="B42" s="276" t="s">
        <v>456</v>
      </c>
      <c r="C42" s="276" t="s">
        <v>507</v>
      </c>
      <c r="D42" s="276" t="s">
        <v>509</v>
      </c>
      <c r="E42" s="276" t="s">
        <v>1165</v>
      </c>
      <c r="F42" s="255">
        <f t="shared" si="14"/>
        <v>0</v>
      </c>
      <c r="G42" s="255">
        <f t="shared" si="15"/>
        <v>0</v>
      </c>
      <c r="H42" s="256">
        <f t="shared" si="16"/>
        <v>0</v>
      </c>
      <c r="I42" s="277">
        <v>131770.6</v>
      </c>
      <c r="J42" s="258">
        <v>0</v>
      </c>
      <c r="K42" s="258">
        <v>0</v>
      </c>
      <c r="L42" s="255">
        <f t="shared" si="17"/>
        <v>0</v>
      </c>
      <c r="M42" s="255">
        <f t="shared" si="18"/>
        <v>0</v>
      </c>
      <c r="N42" s="255">
        <f t="shared" si="19"/>
        <v>0</v>
      </c>
      <c r="O42" s="255">
        <f t="shared" si="20"/>
        <v>0</v>
      </c>
      <c r="P42" s="255" t="str">
        <f t="shared" si="21"/>
        <v>ნულოვანი შესრულება</v>
      </c>
      <c r="Q42" s="258"/>
      <c r="R42" s="258"/>
      <c r="S42" s="258">
        <f t="shared" si="41"/>
        <v>0</v>
      </c>
      <c r="T42" s="258">
        <f t="shared" si="42"/>
        <v>0</v>
      </c>
      <c r="U42" s="258"/>
      <c r="V42" s="258"/>
      <c r="W42" s="258"/>
      <c r="X42" s="258"/>
      <c r="Y42" s="258">
        <f t="shared" si="22"/>
        <v>0</v>
      </c>
      <c r="Z42" s="258">
        <f t="shared" si="22"/>
        <v>0</v>
      </c>
      <c r="AA42" s="258"/>
      <c r="AB42" s="258"/>
      <c r="AC42" s="258"/>
      <c r="AD42" s="258"/>
      <c r="AE42" s="258">
        <f t="shared" si="23"/>
        <v>0</v>
      </c>
      <c r="AF42" s="258">
        <f t="shared" si="23"/>
        <v>0</v>
      </c>
      <c r="AG42" s="258">
        <f t="shared" si="24"/>
        <v>0</v>
      </c>
      <c r="AH42" s="258">
        <f t="shared" si="25"/>
        <v>0</v>
      </c>
      <c r="AI42" s="258">
        <f t="shared" si="25"/>
        <v>0</v>
      </c>
      <c r="AJ42" s="258">
        <f t="shared" si="26"/>
        <v>0</v>
      </c>
      <c r="AK42" s="258">
        <f t="shared" si="27"/>
        <v>0</v>
      </c>
      <c r="AL42" s="258">
        <f t="shared" si="27"/>
        <v>0</v>
      </c>
      <c r="AM42" s="258"/>
      <c r="AN42" s="258"/>
      <c r="AO42" s="258"/>
      <c r="AP42" s="258"/>
      <c r="AQ42" s="258"/>
      <c r="AR42" s="258">
        <f t="shared" si="28"/>
        <v>0</v>
      </c>
      <c r="AS42" s="258">
        <f t="shared" si="28"/>
        <v>0</v>
      </c>
      <c r="AT42" s="258"/>
      <c r="AU42" s="258"/>
      <c r="AV42" s="258"/>
      <c r="AW42" s="258"/>
      <c r="AX42" s="258">
        <f t="shared" si="29"/>
        <v>0</v>
      </c>
      <c r="AY42" s="258">
        <f t="shared" si="29"/>
        <v>0</v>
      </c>
      <c r="AZ42" s="258"/>
      <c r="BA42" s="258"/>
      <c r="BB42" s="258"/>
      <c r="BC42" s="258"/>
      <c r="BD42" s="258">
        <f t="shared" si="30"/>
        <v>0</v>
      </c>
      <c r="BE42" s="258"/>
      <c r="BF42" s="258">
        <f t="shared" si="43"/>
        <v>0</v>
      </c>
      <c r="BG42" s="258"/>
      <c r="BH42" s="258"/>
      <c r="BI42" s="258"/>
      <c r="BJ42" s="258"/>
      <c r="BK42" s="258">
        <f t="shared" si="31"/>
        <v>0</v>
      </c>
      <c r="BL42" s="258"/>
      <c r="BM42" s="258">
        <f t="shared" si="44"/>
        <v>0</v>
      </c>
      <c r="BN42" s="258"/>
      <c r="BO42" s="258"/>
      <c r="BP42" s="258"/>
      <c r="BQ42" s="258"/>
      <c r="BR42" s="258">
        <f t="shared" si="32"/>
        <v>0</v>
      </c>
      <c r="BS42" s="258">
        <f t="shared" si="32"/>
        <v>0</v>
      </c>
      <c r="BT42" s="258"/>
      <c r="BU42" s="258"/>
      <c r="BV42" s="258"/>
      <c r="BW42" s="258"/>
      <c r="BX42" s="258">
        <f t="shared" si="33"/>
        <v>0</v>
      </c>
      <c r="BY42" s="258">
        <f t="shared" si="33"/>
        <v>0</v>
      </c>
      <c r="BZ42" s="258"/>
      <c r="CA42" s="258"/>
      <c r="CB42" s="258"/>
      <c r="CC42" s="258"/>
      <c r="CD42" s="258">
        <f t="shared" si="34"/>
        <v>0</v>
      </c>
      <c r="CE42" s="258">
        <f t="shared" si="34"/>
        <v>0</v>
      </c>
      <c r="CF42" s="258"/>
      <c r="CG42" s="258"/>
      <c r="CH42" s="258"/>
      <c r="CI42" s="258"/>
      <c r="CJ42" s="258">
        <f t="shared" si="35"/>
        <v>0</v>
      </c>
      <c r="CK42" s="258">
        <f t="shared" si="35"/>
        <v>0</v>
      </c>
      <c r="CL42" s="258"/>
      <c r="CM42" s="258"/>
      <c r="CN42" s="258"/>
      <c r="CO42" s="258"/>
      <c r="CP42" s="258">
        <f t="shared" si="36"/>
        <v>0</v>
      </c>
      <c r="CQ42" s="258">
        <f t="shared" si="36"/>
        <v>0</v>
      </c>
      <c r="CR42" s="258"/>
      <c r="CS42" s="258"/>
      <c r="CT42" s="258"/>
      <c r="CU42" s="258"/>
      <c r="CV42" s="258">
        <f t="shared" si="37"/>
        <v>0</v>
      </c>
      <c r="CW42" s="258">
        <f t="shared" si="37"/>
        <v>0</v>
      </c>
      <c r="CX42" s="258"/>
      <c r="CY42" s="258"/>
      <c r="CZ42" s="258"/>
      <c r="DA42" s="258"/>
      <c r="DB42" s="258">
        <f t="shared" si="38"/>
        <v>0</v>
      </c>
      <c r="DC42" s="258">
        <f t="shared" si="38"/>
        <v>0</v>
      </c>
      <c r="DD42" s="258"/>
      <c r="DE42" s="258"/>
      <c r="DF42" s="258"/>
      <c r="DG42" s="258"/>
      <c r="DH42" s="258">
        <f t="shared" si="39"/>
        <v>0</v>
      </c>
      <c r="DI42" s="258">
        <f t="shared" si="39"/>
        <v>0</v>
      </c>
      <c r="DJ42" s="258">
        <f t="shared" si="45"/>
        <v>0</v>
      </c>
      <c r="DK42" s="258">
        <f t="shared" si="46"/>
        <v>0</v>
      </c>
      <c r="DL42" s="258">
        <f t="shared" si="47"/>
        <v>0</v>
      </c>
      <c r="DM42" s="258">
        <f t="shared" si="48"/>
        <v>0</v>
      </c>
      <c r="DN42" s="258">
        <f t="shared" si="40"/>
        <v>0</v>
      </c>
      <c r="DO42" s="258">
        <f t="shared" si="40"/>
        <v>0</v>
      </c>
    </row>
    <row r="43" spans="1:119">
      <c r="A43" s="25">
        <v>35</v>
      </c>
      <c r="B43" s="26" t="s">
        <v>87</v>
      </c>
      <c r="C43" s="26" t="s">
        <v>510</v>
      </c>
      <c r="D43" s="26" t="s">
        <v>511</v>
      </c>
      <c r="E43" s="205" t="s">
        <v>1164</v>
      </c>
      <c r="F43" s="161">
        <f t="shared" si="14"/>
        <v>0</v>
      </c>
      <c r="G43" s="161">
        <f t="shared" si="15"/>
        <v>0</v>
      </c>
      <c r="H43" s="165">
        <f t="shared" si="16"/>
        <v>2812.25</v>
      </c>
      <c r="I43" s="12">
        <v>0</v>
      </c>
      <c r="J43" s="219">
        <v>0</v>
      </c>
      <c r="K43" s="219">
        <v>0</v>
      </c>
      <c r="L43" s="127">
        <f t="shared" si="17"/>
        <v>2812.25</v>
      </c>
      <c r="M43" s="127">
        <f t="shared" si="18"/>
        <v>2812.25</v>
      </c>
      <c r="N43" s="127">
        <f t="shared" si="19"/>
        <v>2812.25</v>
      </c>
      <c r="O43" s="131">
        <f t="shared" si="20"/>
        <v>0</v>
      </c>
      <c r="P43" s="125">
        <f t="shared" si="21"/>
        <v>2812.25</v>
      </c>
      <c r="Q43" s="74"/>
      <c r="R43" s="74">
        <v>2812.25</v>
      </c>
      <c r="S43" s="74">
        <f t="shared" si="41"/>
        <v>0</v>
      </c>
      <c r="T43" s="74">
        <f t="shared" si="42"/>
        <v>2812.25</v>
      </c>
      <c r="U43" s="74"/>
      <c r="V43" s="74"/>
      <c r="W43" s="74"/>
      <c r="X43" s="74"/>
      <c r="Y43" s="74">
        <f t="shared" si="22"/>
        <v>0</v>
      </c>
      <c r="Z43" s="74">
        <f t="shared" si="22"/>
        <v>0</v>
      </c>
      <c r="AA43" s="74"/>
      <c r="AB43" s="74"/>
      <c r="AC43" s="74"/>
      <c r="AD43" s="74"/>
      <c r="AE43" s="74">
        <f t="shared" si="23"/>
        <v>0</v>
      </c>
      <c r="AF43" s="74">
        <f t="shared" si="23"/>
        <v>0</v>
      </c>
      <c r="AG43" s="74">
        <f t="shared" si="24"/>
        <v>0</v>
      </c>
      <c r="AH43" s="74">
        <f t="shared" si="25"/>
        <v>0</v>
      </c>
      <c r="AI43" s="74">
        <f t="shared" si="25"/>
        <v>2812.25</v>
      </c>
      <c r="AJ43" s="74">
        <f t="shared" si="26"/>
        <v>2812.25</v>
      </c>
      <c r="AK43" s="74">
        <f t="shared" si="27"/>
        <v>2812.25</v>
      </c>
      <c r="AL43" s="74">
        <f t="shared" si="27"/>
        <v>2812.25</v>
      </c>
      <c r="AM43" s="74"/>
      <c r="AN43" s="74"/>
      <c r="AO43" s="74"/>
      <c r="AP43" s="74"/>
      <c r="AQ43" s="74"/>
      <c r="AR43" s="74">
        <f t="shared" si="28"/>
        <v>0</v>
      </c>
      <c r="AS43" s="74">
        <f t="shared" si="28"/>
        <v>0</v>
      </c>
      <c r="AT43" s="74"/>
      <c r="AU43" s="74"/>
      <c r="AV43" s="74"/>
      <c r="AW43" s="74"/>
      <c r="AX43" s="74">
        <f t="shared" si="29"/>
        <v>0</v>
      </c>
      <c r="AY43" s="74">
        <f t="shared" si="29"/>
        <v>0</v>
      </c>
      <c r="AZ43" s="74"/>
      <c r="BA43" s="74"/>
      <c r="BB43" s="74"/>
      <c r="BC43" s="74"/>
      <c r="BD43" s="74">
        <f t="shared" si="30"/>
        <v>0</v>
      </c>
      <c r="BE43" s="74"/>
      <c r="BF43" s="74">
        <f t="shared" si="43"/>
        <v>0</v>
      </c>
      <c r="BG43" s="74"/>
      <c r="BH43" s="74"/>
      <c r="BI43" s="74"/>
      <c r="BJ43" s="74"/>
      <c r="BK43" s="74">
        <f t="shared" si="31"/>
        <v>0</v>
      </c>
      <c r="BL43" s="74"/>
      <c r="BM43" s="74">
        <f t="shared" si="44"/>
        <v>0</v>
      </c>
      <c r="BN43" s="74"/>
      <c r="BO43" s="74"/>
      <c r="BP43" s="74"/>
      <c r="BQ43" s="74"/>
      <c r="BR43" s="74">
        <f t="shared" si="32"/>
        <v>0</v>
      </c>
      <c r="BS43" s="74">
        <f t="shared" si="32"/>
        <v>0</v>
      </c>
      <c r="BT43" s="74"/>
      <c r="BU43" s="74"/>
      <c r="BV43" s="74"/>
      <c r="BW43" s="74"/>
      <c r="BX43" s="74">
        <f t="shared" si="33"/>
        <v>0</v>
      </c>
      <c r="BY43" s="74">
        <f t="shared" si="33"/>
        <v>0</v>
      </c>
      <c r="BZ43" s="74"/>
      <c r="CA43" s="74"/>
      <c r="CB43" s="74"/>
      <c r="CC43" s="74"/>
      <c r="CD43" s="74">
        <f t="shared" si="34"/>
        <v>0</v>
      </c>
      <c r="CE43" s="74">
        <f t="shared" si="34"/>
        <v>0</v>
      </c>
      <c r="CF43" s="74"/>
      <c r="CG43" s="74"/>
      <c r="CH43" s="74"/>
      <c r="CI43" s="74"/>
      <c r="CJ43" s="74">
        <f t="shared" si="35"/>
        <v>0</v>
      </c>
      <c r="CK43" s="74">
        <f t="shared" si="35"/>
        <v>0</v>
      </c>
      <c r="CL43" s="74"/>
      <c r="CM43" s="74"/>
      <c r="CN43" s="74"/>
      <c r="CO43" s="74"/>
      <c r="CP43" s="74">
        <f t="shared" si="36"/>
        <v>0</v>
      </c>
      <c r="CQ43" s="74">
        <f t="shared" si="36"/>
        <v>0</v>
      </c>
      <c r="CR43" s="74"/>
      <c r="CS43" s="74"/>
      <c r="CT43" s="74"/>
      <c r="CU43" s="74"/>
      <c r="CV43" s="74">
        <f t="shared" si="37"/>
        <v>0</v>
      </c>
      <c r="CW43" s="74">
        <f t="shared" si="37"/>
        <v>0</v>
      </c>
      <c r="CX43" s="74"/>
      <c r="CY43" s="74"/>
      <c r="CZ43" s="74"/>
      <c r="DA43" s="74"/>
      <c r="DB43" s="74">
        <f t="shared" si="38"/>
        <v>0</v>
      </c>
      <c r="DC43" s="74">
        <f t="shared" si="38"/>
        <v>0</v>
      </c>
      <c r="DD43" s="74"/>
      <c r="DE43" s="74"/>
      <c r="DF43" s="74"/>
      <c r="DG43" s="74"/>
      <c r="DH43" s="74">
        <f t="shared" si="39"/>
        <v>0</v>
      </c>
      <c r="DI43" s="74">
        <f t="shared" si="39"/>
        <v>0</v>
      </c>
      <c r="DJ43" s="74">
        <f t="shared" si="45"/>
        <v>0</v>
      </c>
      <c r="DK43" s="74">
        <f t="shared" si="46"/>
        <v>0</v>
      </c>
      <c r="DL43" s="74">
        <f t="shared" si="47"/>
        <v>0</v>
      </c>
      <c r="DM43" s="74">
        <f t="shared" si="48"/>
        <v>0</v>
      </c>
      <c r="DN43" s="74">
        <f t="shared" si="40"/>
        <v>0</v>
      </c>
      <c r="DO43" s="74">
        <f t="shared" si="40"/>
        <v>0</v>
      </c>
    </row>
    <row r="44" spans="1:119">
      <c r="A44" s="25">
        <v>36</v>
      </c>
      <c r="B44" s="26" t="s">
        <v>87</v>
      </c>
      <c r="C44" s="26" t="s">
        <v>510</v>
      </c>
      <c r="D44" s="26" t="s">
        <v>512</v>
      </c>
      <c r="E44" s="205" t="s">
        <v>1165</v>
      </c>
      <c r="F44" s="161">
        <f t="shared" si="14"/>
        <v>191000</v>
      </c>
      <c r="G44" s="161">
        <f t="shared" si="15"/>
        <v>195016.38</v>
      </c>
      <c r="H44" s="165">
        <f t="shared" si="16"/>
        <v>191000</v>
      </c>
      <c r="I44" s="12">
        <v>114908.4</v>
      </c>
      <c r="J44" s="219">
        <v>0</v>
      </c>
      <c r="K44" s="219"/>
      <c r="L44" s="127">
        <f t="shared" si="17"/>
        <v>0</v>
      </c>
      <c r="M44" s="127">
        <f t="shared" si="18"/>
        <v>0</v>
      </c>
      <c r="N44" s="127">
        <f t="shared" si="19"/>
        <v>0</v>
      </c>
      <c r="O44" s="131">
        <f t="shared" si="20"/>
        <v>191000</v>
      </c>
      <c r="P44" s="125">
        <f t="shared" si="21"/>
        <v>195016.38</v>
      </c>
      <c r="Q44" s="74"/>
      <c r="R44" s="74"/>
      <c r="S44" s="74">
        <f t="shared" si="41"/>
        <v>0</v>
      </c>
      <c r="T44" s="74">
        <f t="shared" si="42"/>
        <v>0</v>
      </c>
      <c r="U44" s="74"/>
      <c r="V44" s="74"/>
      <c r="W44" s="74"/>
      <c r="X44" s="74"/>
      <c r="Y44" s="74">
        <f t="shared" si="22"/>
        <v>0</v>
      </c>
      <c r="Z44" s="74">
        <f t="shared" si="22"/>
        <v>0</v>
      </c>
      <c r="AA44" s="74"/>
      <c r="AB44" s="74"/>
      <c r="AC44" s="74"/>
      <c r="AD44" s="74"/>
      <c r="AE44" s="74">
        <f t="shared" si="23"/>
        <v>0</v>
      </c>
      <c r="AF44" s="74">
        <f t="shared" si="23"/>
        <v>0</v>
      </c>
      <c r="AG44" s="74">
        <f t="shared" si="24"/>
        <v>0</v>
      </c>
      <c r="AH44" s="74">
        <f t="shared" si="25"/>
        <v>0</v>
      </c>
      <c r="AI44" s="74">
        <f t="shared" si="25"/>
        <v>0</v>
      </c>
      <c r="AJ44" s="74">
        <f t="shared" si="26"/>
        <v>0</v>
      </c>
      <c r="AK44" s="74">
        <f t="shared" si="27"/>
        <v>0</v>
      </c>
      <c r="AL44" s="74">
        <f t="shared" si="27"/>
        <v>0</v>
      </c>
      <c r="AM44" s="74">
        <v>1</v>
      </c>
      <c r="AN44" s="74"/>
      <c r="AO44" s="74"/>
      <c r="AP44" s="74"/>
      <c r="AQ44" s="74">
        <v>190000</v>
      </c>
      <c r="AR44" s="74">
        <f t="shared" si="28"/>
        <v>0</v>
      </c>
      <c r="AS44" s="74">
        <f t="shared" si="28"/>
        <v>190000</v>
      </c>
      <c r="AT44" s="74"/>
      <c r="AU44" s="74"/>
      <c r="AV44" s="74">
        <v>191000</v>
      </c>
      <c r="AW44" s="74">
        <v>5016.38</v>
      </c>
      <c r="AX44" s="74">
        <f t="shared" si="29"/>
        <v>191000</v>
      </c>
      <c r="AY44" s="74">
        <f t="shared" si="29"/>
        <v>5016.38</v>
      </c>
      <c r="AZ44" s="74"/>
      <c r="BA44" s="74"/>
      <c r="BB44" s="74"/>
      <c r="BC44" s="74"/>
      <c r="BD44" s="74">
        <f t="shared" si="30"/>
        <v>0</v>
      </c>
      <c r="BE44" s="74"/>
      <c r="BF44" s="74">
        <f t="shared" si="43"/>
        <v>0</v>
      </c>
      <c r="BG44" s="74"/>
      <c r="BH44" s="74"/>
      <c r="BI44" s="74"/>
      <c r="BJ44" s="74"/>
      <c r="BK44" s="74">
        <f t="shared" si="31"/>
        <v>0</v>
      </c>
      <c r="BL44" s="74"/>
      <c r="BM44" s="74">
        <f t="shared" si="44"/>
        <v>0</v>
      </c>
      <c r="BN44" s="74"/>
      <c r="BO44" s="74"/>
      <c r="BP44" s="74"/>
      <c r="BQ44" s="74"/>
      <c r="BR44" s="74">
        <f t="shared" si="32"/>
        <v>0</v>
      </c>
      <c r="BS44" s="74">
        <f t="shared" si="32"/>
        <v>0</v>
      </c>
      <c r="BT44" s="74"/>
      <c r="BU44" s="74"/>
      <c r="BV44" s="74"/>
      <c r="BW44" s="74"/>
      <c r="BX44" s="74">
        <f t="shared" si="33"/>
        <v>0</v>
      </c>
      <c r="BY44" s="74">
        <f t="shared" si="33"/>
        <v>0</v>
      </c>
      <c r="BZ44" s="74"/>
      <c r="CA44" s="74"/>
      <c r="CB44" s="74"/>
      <c r="CC44" s="74"/>
      <c r="CD44" s="74">
        <f t="shared" si="34"/>
        <v>0</v>
      </c>
      <c r="CE44" s="74">
        <f t="shared" si="34"/>
        <v>0</v>
      </c>
      <c r="CF44" s="74"/>
      <c r="CG44" s="74"/>
      <c r="CH44" s="74"/>
      <c r="CI44" s="74"/>
      <c r="CJ44" s="74">
        <f t="shared" si="35"/>
        <v>0</v>
      </c>
      <c r="CK44" s="74">
        <f t="shared" si="35"/>
        <v>0</v>
      </c>
      <c r="CL44" s="74"/>
      <c r="CM44" s="74"/>
      <c r="CN44" s="74"/>
      <c r="CO44" s="74"/>
      <c r="CP44" s="74">
        <f t="shared" si="36"/>
        <v>0</v>
      </c>
      <c r="CQ44" s="74">
        <f t="shared" si="36"/>
        <v>0</v>
      </c>
      <c r="CR44" s="74"/>
      <c r="CS44" s="74"/>
      <c r="CT44" s="74"/>
      <c r="CU44" s="74"/>
      <c r="CV44" s="74">
        <f t="shared" si="37"/>
        <v>0</v>
      </c>
      <c r="CW44" s="74">
        <f t="shared" si="37"/>
        <v>0</v>
      </c>
      <c r="CX44" s="74"/>
      <c r="CY44" s="74"/>
      <c r="CZ44" s="74"/>
      <c r="DA44" s="74"/>
      <c r="DB44" s="74">
        <f t="shared" si="38"/>
        <v>0</v>
      </c>
      <c r="DC44" s="74">
        <f t="shared" si="38"/>
        <v>0</v>
      </c>
      <c r="DD44" s="74"/>
      <c r="DE44" s="74"/>
      <c r="DF44" s="74"/>
      <c r="DG44" s="74"/>
      <c r="DH44" s="74">
        <f t="shared" si="39"/>
        <v>0</v>
      </c>
      <c r="DI44" s="74">
        <f t="shared" si="39"/>
        <v>0</v>
      </c>
      <c r="DJ44" s="74">
        <f t="shared" si="45"/>
        <v>0</v>
      </c>
      <c r="DK44" s="74">
        <f t="shared" si="46"/>
        <v>0</v>
      </c>
      <c r="DL44" s="74">
        <f t="shared" si="47"/>
        <v>191000</v>
      </c>
      <c r="DM44" s="74">
        <f t="shared" si="48"/>
        <v>195016.38</v>
      </c>
      <c r="DN44" s="74">
        <f t="shared" si="40"/>
        <v>191000</v>
      </c>
      <c r="DO44" s="74">
        <f t="shared" si="40"/>
        <v>195016.38</v>
      </c>
    </row>
    <row r="45" spans="1:119">
      <c r="A45" s="25">
        <v>37</v>
      </c>
      <c r="B45" s="26" t="s">
        <v>456</v>
      </c>
      <c r="C45" s="26" t="s">
        <v>513</v>
      </c>
      <c r="D45" s="26" t="s">
        <v>514</v>
      </c>
      <c r="E45" s="205" t="s">
        <v>1164</v>
      </c>
      <c r="F45" s="161">
        <f t="shared" si="14"/>
        <v>0</v>
      </c>
      <c r="G45" s="161">
        <f t="shared" si="15"/>
        <v>0</v>
      </c>
      <c r="H45" s="165">
        <f t="shared" si="16"/>
        <v>2572.5</v>
      </c>
      <c r="I45" s="12">
        <v>0</v>
      </c>
      <c r="J45" s="219">
        <v>0</v>
      </c>
      <c r="K45" s="219">
        <v>0</v>
      </c>
      <c r="L45" s="127">
        <f t="shared" si="17"/>
        <v>2572.5</v>
      </c>
      <c r="M45" s="127">
        <f t="shared" si="18"/>
        <v>2572.5</v>
      </c>
      <c r="N45" s="127">
        <f t="shared" si="19"/>
        <v>2572.5</v>
      </c>
      <c r="O45" s="131">
        <f t="shared" si="20"/>
        <v>0</v>
      </c>
      <c r="P45" s="125">
        <f t="shared" si="21"/>
        <v>2572.5</v>
      </c>
      <c r="Q45" s="74"/>
      <c r="R45" s="74">
        <v>2572.5</v>
      </c>
      <c r="S45" s="74">
        <f t="shared" si="41"/>
        <v>0</v>
      </c>
      <c r="T45" s="74">
        <f t="shared" si="42"/>
        <v>2572.5</v>
      </c>
      <c r="U45" s="74"/>
      <c r="V45" s="74"/>
      <c r="W45" s="74"/>
      <c r="X45" s="74"/>
      <c r="Y45" s="74">
        <f t="shared" si="22"/>
        <v>0</v>
      </c>
      <c r="Z45" s="74">
        <f t="shared" si="22"/>
        <v>0</v>
      </c>
      <c r="AA45" s="74"/>
      <c r="AB45" s="74"/>
      <c r="AC45" s="74"/>
      <c r="AD45" s="74"/>
      <c r="AE45" s="74">
        <f t="shared" si="23"/>
        <v>0</v>
      </c>
      <c r="AF45" s="74">
        <f t="shared" si="23"/>
        <v>0</v>
      </c>
      <c r="AG45" s="74">
        <f t="shared" si="24"/>
        <v>0</v>
      </c>
      <c r="AH45" s="74">
        <f t="shared" si="25"/>
        <v>0</v>
      </c>
      <c r="AI45" s="74">
        <f t="shared" si="25"/>
        <v>2572.5</v>
      </c>
      <c r="AJ45" s="74">
        <f t="shared" si="26"/>
        <v>2572.5</v>
      </c>
      <c r="AK45" s="74">
        <f t="shared" si="27"/>
        <v>2572.5</v>
      </c>
      <c r="AL45" s="74">
        <f t="shared" si="27"/>
        <v>2572.5</v>
      </c>
      <c r="AM45" s="74"/>
      <c r="AN45" s="74"/>
      <c r="AO45" s="74"/>
      <c r="AP45" s="74"/>
      <c r="AQ45" s="74"/>
      <c r="AR45" s="74">
        <f t="shared" si="28"/>
        <v>0</v>
      </c>
      <c r="AS45" s="74">
        <f t="shared" si="28"/>
        <v>0</v>
      </c>
      <c r="AT45" s="74"/>
      <c r="AU45" s="74"/>
      <c r="AV45" s="74"/>
      <c r="AW45" s="74"/>
      <c r="AX45" s="74">
        <f t="shared" si="29"/>
        <v>0</v>
      </c>
      <c r="AY45" s="74">
        <f t="shared" si="29"/>
        <v>0</v>
      </c>
      <c r="AZ45" s="74"/>
      <c r="BA45" s="74"/>
      <c r="BB45" s="74"/>
      <c r="BC45" s="74"/>
      <c r="BD45" s="74">
        <f t="shared" si="30"/>
        <v>0</v>
      </c>
      <c r="BE45" s="74"/>
      <c r="BF45" s="74">
        <f t="shared" si="43"/>
        <v>0</v>
      </c>
      <c r="BG45" s="74"/>
      <c r="BH45" s="74"/>
      <c r="BI45" s="74"/>
      <c r="BJ45" s="74"/>
      <c r="BK45" s="74">
        <f t="shared" si="31"/>
        <v>0</v>
      </c>
      <c r="BL45" s="74"/>
      <c r="BM45" s="74">
        <f t="shared" si="44"/>
        <v>0</v>
      </c>
      <c r="BN45" s="74"/>
      <c r="BO45" s="74"/>
      <c r="BP45" s="74"/>
      <c r="BQ45" s="74"/>
      <c r="BR45" s="74">
        <f t="shared" si="32"/>
        <v>0</v>
      </c>
      <c r="BS45" s="74">
        <f t="shared" si="32"/>
        <v>0</v>
      </c>
      <c r="BT45" s="74"/>
      <c r="BU45" s="74"/>
      <c r="BV45" s="74"/>
      <c r="BW45" s="74"/>
      <c r="BX45" s="74">
        <f t="shared" si="33"/>
        <v>0</v>
      </c>
      <c r="BY45" s="74">
        <f t="shared" si="33"/>
        <v>0</v>
      </c>
      <c r="BZ45" s="74"/>
      <c r="CA45" s="74"/>
      <c r="CB45" s="74"/>
      <c r="CC45" s="74"/>
      <c r="CD45" s="74">
        <f t="shared" si="34"/>
        <v>0</v>
      </c>
      <c r="CE45" s="74">
        <f t="shared" si="34"/>
        <v>0</v>
      </c>
      <c r="CF45" s="74"/>
      <c r="CG45" s="74"/>
      <c r="CH45" s="74"/>
      <c r="CI45" s="74"/>
      <c r="CJ45" s="74">
        <f t="shared" si="35"/>
        <v>0</v>
      </c>
      <c r="CK45" s="74">
        <f t="shared" si="35"/>
        <v>0</v>
      </c>
      <c r="CL45" s="74"/>
      <c r="CM45" s="74"/>
      <c r="CN45" s="74"/>
      <c r="CO45" s="74"/>
      <c r="CP45" s="74">
        <f t="shared" si="36"/>
        <v>0</v>
      </c>
      <c r="CQ45" s="74">
        <f t="shared" si="36"/>
        <v>0</v>
      </c>
      <c r="CR45" s="74"/>
      <c r="CS45" s="74"/>
      <c r="CT45" s="74"/>
      <c r="CU45" s="74"/>
      <c r="CV45" s="74">
        <f t="shared" si="37"/>
        <v>0</v>
      </c>
      <c r="CW45" s="74">
        <f t="shared" si="37"/>
        <v>0</v>
      </c>
      <c r="CX45" s="74"/>
      <c r="CY45" s="74"/>
      <c r="CZ45" s="74"/>
      <c r="DA45" s="74"/>
      <c r="DB45" s="74">
        <f t="shared" si="38"/>
        <v>0</v>
      </c>
      <c r="DC45" s="74">
        <f t="shared" si="38"/>
        <v>0</v>
      </c>
      <c r="DD45" s="74"/>
      <c r="DE45" s="74"/>
      <c r="DF45" s="74"/>
      <c r="DG45" s="74"/>
      <c r="DH45" s="74">
        <f t="shared" si="39"/>
        <v>0</v>
      </c>
      <c r="DI45" s="74">
        <f t="shared" si="39"/>
        <v>0</v>
      </c>
      <c r="DJ45" s="74">
        <f t="shared" si="45"/>
        <v>0</v>
      </c>
      <c r="DK45" s="74">
        <f t="shared" si="46"/>
        <v>0</v>
      </c>
      <c r="DL45" s="74">
        <f t="shared" si="47"/>
        <v>0</v>
      </c>
      <c r="DM45" s="74">
        <f t="shared" si="48"/>
        <v>0</v>
      </c>
      <c r="DN45" s="74">
        <f t="shared" si="40"/>
        <v>0</v>
      </c>
      <c r="DO45" s="74">
        <f t="shared" si="40"/>
        <v>0</v>
      </c>
    </row>
    <row r="46" spans="1:119">
      <c r="A46" s="25">
        <v>38</v>
      </c>
      <c r="B46" s="26" t="s">
        <v>456</v>
      </c>
      <c r="C46" s="26" t="s">
        <v>513</v>
      </c>
      <c r="D46" s="26" t="s">
        <v>515</v>
      </c>
      <c r="E46" s="205" t="s">
        <v>1165</v>
      </c>
      <c r="F46" s="161">
        <f t="shared" si="14"/>
        <v>0</v>
      </c>
      <c r="G46" s="161">
        <f t="shared" si="15"/>
        <v>0</v>
      </c>
      <c r="H46" s="165">
        <f t="shared" si="16"/>
        <v>0</v>
      </c>
      <c r="I46" s="12">
        <v>84948.2</v>
      </c>
      <c r="J46" s="219">
        <v>0</v>
      </c>
      <c r="K46" s="219">
        <v>0</v>
      </c>
      <c r="L46" s="127">
        <f t="shared" si="17"/>
        <v>0</v>
      </c>
      <c r="M46" s="127">
        <f t="shared" si="18"/>
        <v>0</v>
      </c>
      <c r="N46" s="127">
        <f t="shared" si="19"/>
        <v>0</v>
      </c>
      <c r="O46" s="131">
        <f t="shared" si="20"/>
        <v>0</v>
      </c>
      <c r="P46" s="125" t="str">
        <f t="shared" si="21"/>
        <v>ნულოვანი შესრულება</v>
      </c>
      <c r="Q46" s="74"/>
      <c r="R46" s="74"/>
      <c r="S46" s="74">
        <f t="shared" si="41"/>
        <v>0</v>
      </c>
      <c r="T46" s="74">
        <f t="shared" si="42"/>
        <v>0</v>
      </c>
      <c r="U46" s="74"/>
      <c r="V46" s="74"/>
      <c r="W46" s="74"/>
      <c r="X46" s="74"/>
      <c r="Y46" s="74">
        <f t="shared" si="22"/>
        <v>0</v>
      </c>
      <c r="Z46" s="74">
        <f t="shared" si="22"/>
        <v>0</v>
      </c>
      <c r="AA46" s="74"/>
      <c r="AB46" s="74"/>
      <c r="AC46" s="74"/>
      <c r="AD46" s="74"/>
      <c r="AE46" s="74">
        <f t="shared" si="23"/>
        <v>0</v>
      </c>
      <c r="AF46" s="74">
        <f t="shared" si="23"/>
        <v>0</v>
      </c>
      <c r="AG46" s="74">
        <f t="shared" si="24"/>
        <v>0</v>
      </c>
      <c r="AH46" s="74">
        <f t="shared" si="25"/>
        <v>0</v>
      </c>
      <c r="AI46" s="74">
        <f t="shared" si="25"/>
        <v>0</v>
      </c>
      <c r="AJ46" s="74">
        <f t="shared" si="26"/>
        <v>0</v>
      </c>
      <c r="AK46" s="74">
        <f t="shared" si="27"/>
        <v>0</v>
      </c>
      <c r="AL46" s="74">
        <f t="shared" si="27"/>
        <v>0</v>
      </c>
      <c r="AM46" s="74"/>
      <c r="AN46" s="74"/>
      <c r="AO46" s="74"/>
      <c r="AP46" s="74"/>
      <c r="AQ46" s="74"/>
      <c r="AR46" s="74">
        <f t="shared" si="28"/>
        <v>0</v>
      </c>
      <c r="AS46" s="74">
        <f t="shared" si="28"/>
        <v>0</v>
      </c>
      <c r="AT46" s="74"/>
      <c r="AU46" s="74"/>
      <c r="AV46" s="74"/>
      <c r="AW46" s="74"/>
      <c r="AX46" s="74">
        <f t="shared" si="29"/>
        <v>0</v>
      </c>
      <c r="AY46" s="74">
        <f t="shared" si="29"/>
        <v>0</v>
      </c>
      <c r="AZ46" s="74"/>
      <c r="BA46" s="74"/>
      <c r="BB46" s="74"/>
      <c r="BC46" s="74"/>
      <c r="BD46" s="74">
        <f t="shared" si="30"/>
        <v>0</v>
      </c>
      <c r="BE46" s="74"/>
      <c r="BF46" s="74">
        <f t="shared" si="43"/>
        <v>0</v>
      </c>
      <c r="BG46" s="74"/>
      <c r="BH46" s="74"/>
      <c r="BI46" s="74"/>
      <c r="BJ46" s="74"/>
      <c r="BK46" s="74">
        <f t="shared" si="31"/>
        <v>0</v>
      </c>
      <c r="BL46" s="74"/>
      <c r="BM46" s="74">
        <f t="shared" si="44"/>
        <v>0</v>
      </c>
      <c r="BN46" s="74"/>
      <c r="BO46" s="74"/>
      <c r="BP46" s="74"/>
      <c r="BQ46" s="74"/>
      <c r="BR46" s="74">
        <f t="shared" si="32"/>
        <v>0</v>
      </c>
      <c r="BS46" s="74">
        <f t="shared" si="32"/>
        <v>0</v>
      </c>
      <c r="BT46" s="74"/>
      <c r="BU46" s="74"/>
      <c r="BV46" s="74"/>
      <c r="BW46" s="74"/>
      <c r="BX46" s="74">
        <f t="shared" si="33"/>
        <v>0</v>
      </c>
      <c r="BY46" s="74">
        <f t="shared" si="33"/>
        <v>0</v>
      </c>
      <c r="BZ46" s="74"/>
      <c r="CA46" s="74"/>
      <c r="CB46" s="74"/>
      <c r="CC46" s="74"/>
      <c r="CD46" s="74">
        <f t="shared" si="34"/>
        <v>0</v>
      </c>
      <c r="CE46" s="74">
        <f t="shared" si="34"/>
        <v>0</v>
      </c>
      <c r="CF46" s="74"/>
      <c r="CG46" s="74"/>
      <c r="CH46" s="74"/>
      <c r="CI46" s="74"/>
      <c r="CJ46" s="74">
        <f t="shared" si="35"/>
        <v>0</v>
      </c>
      <c r="CK46" s="74">
        <f t="shared" si="35"/>
        <v>0</v>
      </c>
      <c r="CL46" s="74"/>
      <c r="CM46" s="74"/>
      <c r="CN46" s="74"/>
      <c r="CO46" s="74"/>
      <c r="CP46" s="74">
        <f t="shared" si="36"/>
        <v>0</v>
      </c>
      <c r="CQ46" s="74">
        <f t="shared" si="36"/>
        <v>0</v>
      </c>
      <c r="CR46" s="74"/>
      <c r="CS46" s="74"/>
      <c r="CT46" s="74"/>
      <c r="CU46" s="74"/>
      <c r="CV46" s="74">
        <f t="shared" si="37"/>
        <v>0</v>
      </c>
      <c r="CW46" s="74">
        <f t="shared" si="37"/>
        <v>0</v>
      </c>
      <c r="CX46" s="74"/>
      <c r="CY46" s="74"/>
      <c r="CZ46" s="74"/>
      <c r="DA46" s="74"/>
      <c r="DB46" s="74">
        <f t="shared" si="38"/>
        <v>0</v>
      </c>
      <c r="DC46" s="74">
        <f t="shared" si="38"/>
        <v>0</v>
      </c>
      <c r="DD46" s="74"/>
      <c r="DE46" s="74"/>
      <c r="DF46" s="74"/>
      <c r="DG46" s="74"/>
      <c r="DH46" s="74">
        <f t="shared" si="39"/>
        <v>0</v>
      </c>
      <c r="DI46" s="74">
        <f t="shared" si="39"/>
        <v>0</v>
      </c>
      <c r="DJ46" s="74">
        <f t="shared" si="45"/>
        <v>0</v>
      </c>
      <c r="DK46" s="74">
        <f t="shared" si="46"/>
        <v>0</v>
      </c>
      <c r="DL46" s="74">
        <f t="shared" si="47"/>
        <v>0</v>
      </c>
      <c r="DM46" s="74">
        <f t="shared" si="48"/>
        <v>0</v>
      </c>
      <c r="DN46" s="74">
        <f t="shared" si="40"/>
        <v>0</v>
      </c>
      <c r="DO46" s="74">
        <f t="shared" si="40"/>
        <v>0</v>
      </c>
    </row>
    <row r="47" spans="1:119">
      <c r="A47" s="25">
        <v>39</v>
      </c>
      <c r="B47" s="26" t="s">
        <v>87</v>
      </c>
      <c r="C47" s="26" t="s">
        <v>516</v>
      </c>
      <c r="D47" s="26" t="s">
        <v>517</v>
      </c>
      <c r="E47" s="205" t="s">
        <v>1164</v>
      </c>
      <c r="F47" s="161">
        <f t="shared" si="14"/>
        <v>0</v>
      </c>
      <c r="G47" s="161">
        <f t="shared" si="15"/>
        <v>0</v>
      </c>
      <c r="H47" s="165">
        <f t="shared" si="16"/>
        <v>170</v>
      </c>
      <c r="I47" s="12">
        <v>0</v>
      </c>
      <c r="J47" s="219">
        <v>0</v>
      </c>
      <c r="K47" s="219">
        <v>0</v>
      </c>
      <c r="L47" s="127">
        <f t="shared" si="17"/>
        <v>170</v>
      </c>
      <c r="M47" s="127">
        <f t="shared" si="18"/>
        <v>170</v>
      </c>
      <c r="N47" s="127">
        <f t="shared" si="19"/>
        <v>170</v>
      </c>
      <c r="O47" s="131">
        <f t="shared" si="20"/>
        <v>0</v>
      </c>
      <c r="P47" s="125">
        <f t="shared" si="21"/>
        <v>170</v>
      </c>
      <c r="Q47" s="74"/>
      <c r="R47" s="75"/>
      <c r="S47" s="74">
        <f t="shared" si="41"/>
        <v>0</v>
      </c>
      <c r="T47" s="74">
        <f t="shared" si="42"/>
        <v>0</v>
      </c>
      <c r="U47" s="74"/>
      <c r="V47" s="74"/>
      <c r="W47" s="74">
        <v>200</v>
      </c>
      <c r="X47" s="74">
        <v>170</v>
      </c>
      <c r="Y47" s="74">
        <f t="shared" si="22"/>
        <v>200</v>
      </c>
      <c r="Z47" s="74">
        <f t="shared" si="22"/>
        <v>170</v>
      </c>
      <c r="AA47" s="74"/>
      <c r="AB47" s="74"/>
      <c r="AC47" s="74"/>
      <c r="AD47" s="74"/>
      <c r="AE47" s="74">
        <f t="shared" si="23"/>
        <v>0</v>
      </c>
      <c r="AF47" s="74">
        <f t="shared" si="23"/>
        <v>0</v>
      </c>
      <c r="AG47" s="74">
        <f t="shared" si="24"/>
        <v>0</v>
      </c>
      <c r="AH47" s="74">
        <f t="shared" si="25"/>
        <v>0</v>
      </c>
      <c r="AI47" s="74">
        <f t="shared" si="25"/>
        <v>200</v>
      </c>
      <c r="AJ47" s="74">
        <f t="shared" si="26"/>
        <v>170</v>
      </c>
      <c r="AK47" s="74">
        <f t="shared" si="27"/>
        <v>200</v>
      </c>
      <c r="AL47" s="74">
        <f t="shared" si="27"/>
        <v>170</v>
      </c>
      <c r="AM47" s="74"/>
      <c r="AN47" s="74"/>
      <c r="AO47" s="74"/>
      <c r="AP47" s="74"/>
      <c r="AQ47" s="74"/>
      <c r="AR47" s="74">
        <f t="shared" si="28"/>
        <v>0</v>
      </c>
      <c r="AS47" s="74">
        <f t="shared" si="28"/>
        <v>0</v>
      </c>
      <c r="AT47" s="74"/>
      <c r="AU47" s="74"/>
      <c r="AV47" s="74"/>
      <c r="AW47" s="74"/>
      <c r="AX47" s="74">
        <f t="shared" si="29"/>
        <v>0</v>
      </c>
      <c r="AY47" s="74">
        <f t="shared" si="29"/>
        <v>0</v>
      </c>
      <c r="AZ47" s="74"/>
      <c r="BA47" s="74"/>
      <c r="BB47" s="74"/>
      <c r="BC47" s="74"/>
      <c r="BD47" s="74">
        <f t="shared" si="30"/>
        <v>0</v>
      </c>
      <c r="BE47" s="74"/>
      <c r="BF47" s="74">
        <f t="shared" si="43"/>
        <v>0</v>
      </c>
      <c r="BG47" s="74"/>
      <c r="BH47" s="74"/>
      <c r="BI47" s="74"/>
      <c r="BJ47" s="74"/>
      <c r="BK47" s="74">
        <f t="shared" si="31"/>
        <v>0</v>
      </c>
      <c r="BL47" s="74"/>
      <c r="BM47" s="74">
        <f t="shared" si="44"/>
        <v>0</v>
      </c>
      <c r="BN47" s="74"/>
      <c r="BO47" s="74"/>
      <c r="BP47" s="74"/>
      <c r="BQ47" s="74"/>
      <c r="BR47" s="74">
        <f t="shared" si="32"/>
        <v>0</v>
      </c>
      <c r="BS47" s="74">
        <f t="shared" si="32"/>
        <v>0</v>
      </c>
      <c r="BT47" s="74"/>
      <c r="BU47" s="74"/>
      <c r="BV47" s="74"/>
      <c r="BW47" s="74"/>
      <c r="BX47" s="74">
        <f t="shared" si="33"/>
        <v>0</v>
      </c>
      <c r="BY47" s="74">
        <f t="shared" si="33"/>
        <v>0</v>
      </c>
      <c r="BZ47" s="74"/>
      <c r="CA47" s="74"/>
      <c r="CB47" s="74"/>
      <c r="CC47" s="74"/>
      <c r="CD47" s="74">
        <f t="shared" si="34"/>
        <v>0</v>
      </c>
      <c r="CE47" s="74">
        <f t="shared" si="34"/>
        <v>0</v>
      </c>
      <c r="CF47" s="74"/>
      <c r="CG47" s="74"/>
      <c r="CH47" s="74"/>
      <c r="CI47" s="74"/>
      <c r="CJ47" s="74">
        <f t="shared" si="35"/>
        <v>0</v>
      </c>
      <c r="CK47" s="74">
        <f t="shared" si="35"/>
        <v>0</v>
      </c>
      <c r="CL47" s="74"/>
      <c r="CM47" s="74"/>
      <c r="CN47" s="74"/>
      <c r="CO47" s="74"/>
      <c r="CP47" s="74">
        <f t="shared" si="36"/>
        <v>0</v>
      </c>
      <c r="CQ47" s="74">
        <f t="shared" si="36"/>
        <v>0</v>
      </c>
      <c r="CR47" s="74"/>
      <c r="CS47" s="74"/>
      <c r="CT47" s="74"/>
      <c r="CU47" s="74"/>
      <c r="CV47" s="74">
        <f t="shared" si="37"/>
        <v>0</v>
      </c>
      <c r="CW47" s="74">
        <f t="shared" si="37"/>
        <v>0</v>
      </c>
      <c r="CX47" s="74"/>
      <c r="CY47" s="74"/>
      <c r="CZ47" s="74"/>
      <c r="DA47" s="74"/>
      <c r="DB47" s="74">
        <f t="shared" si="38"/>
        <v>0</v>
      </c>
      <c r="DC47" s="74">
        <f t="shared" si="38"/>
        <v>0</v>
      </c>
      <c r="DD47" s="74"/>
      <c r="DE47" s="74"/>
      <c r="DF47" s="74"/>
      <c r="DG47" s="74"/>
      <c r="DH47" s="74">
        <f t="shared" si="39"/>
        <v>0</v>
      </c>
      <c r="DI47" s="74">
        <f t="shared" si="39"/>
        <v>0</v>
      </c>
      <c r="DJ47" s="74">
        <f t="shared" si="45"/>
        <v>0</v>
      </c>
      <c r="DK47" s="74">
        <f t="shared" si="46"/>
        <v>0</v>
      </c>
      <c r="DL47" s="74">
        <f t="shared" si="47"/>
        <v>0</v>
      </c>
      <c r="DM47" s="74">
        <f t="shared" si="48"/>
        <v>0</v>
      </c>
      <c r="DN47" s="74">
        <f t="shared" si="40"/>
        <v>0</v>
      </c>
      <c r="DO47" s="74">
        <f t="shared" si="40"/>
        <v>0</v>
      </c>
    </row>
    <row r="48" spans="1:119">
      <c r="A48" s="25">
        <v>40</v>
      </c>
      <c r="B48" s="26" t="s">
        <v>87</v>
      </c>
      <c r="C48" s="26" t="s">
        <v>516</v>
      </c>
      <c r="D48" s="26" t="s">
        <v>1207</v>
      </c>
      <c r="E48" s="205" t="s">
        <v>1165</v>
      </c>
      <c r="F48" s="161">
        <f t="shared" si="14"/>
        <v>0</v>
      </c>
      <c r="G48" s="161">
        <f t="shared" si="15"/>
        <v>0</v>
      </c>
      <c r="H48" s="165">
        <f t="shared" si="16"/>
        <v>21025.5</v>
      </c>
      <c r="I48" s="12">
        <v>70800</v>
      </c>
      <c r="J48" s="219">
        <v>0</v>
      </c>
      <c r="K48" s="219">
        <v>0</v>
      </c>
      <c r="L48" s="127">
        <f t="shared" si="17"/>
        <v>21025.5</v>
      </c>
      <c r="M48" s="127">
        <f t="shared" si="18"/>
        <v>21025.5</v>
      </c>
      <c r="N48" s="127">
        <f t="shared" si="19"/>
        <v>21025.5</v>
      </c>
      <c r="O48" s="131">
        <f t="shared" si="20"/>
        <v>0</v>
      </c>
      <c r="P48" s="125">
        <f t="shared" si="21"/>
        <v>21025.5</v>
      </c>
      <c r="Q48" s="74"/>
      <c r="R48" s="74"/>
      <c r="S48" s="74">
        <f t="shared" si="41"/>
        <v>0</v>
      </c>
      <c r="T48" s="74">
        <f t="shared" si="42"/>
        <v>0</v>
      </c>
      <c r="U48" s="74"/>
      <c r="V48" s="74"/>
      <c r="W48" s="74">
        <v>25000</v>
      </c>
      <c r="X48" s="74">
        <v>21025.5</v>
      </c>
      <c r="Y48" s="74">
        <f t="shared" si="22"/>
        <v>25000</v>
      </c>
      <c r="Z48" s="74">
        <f t="shared" si="22"/>
        <v>21025.5</v>
      </c>
      <c r="AA48" s="74"/>
      <c r="AB48" s="74"/>
      <c r="AC48" s="74"/>
      <c r="AD48" s="74"/>
      <c r="AE48" s="74">
        <f t="shared" si="23"/>
        <v>0</v>
      </c>
      <c r="AF48" s="74">
        <f t="shared" si="23"/>
        <v>0</v>
      </c>
      <c r="AG48" s="74">
        <f t="shared" si="24"/>
        <v>0</v>
      </c>
      <c r="AH48" s="74">
        <f t="shared" si="25"/>
        <v>0</v>
      </c>
      <c r="AI48" s="74">
        <f t="shared" si="25"/>
        <v>25000</v>
      </c>
      <c r="AJ48" s="74">
        <f t="shared" si="26"/>
        <v>21025.5</v>
      </c>
      <c r="AK48" s="74">
        <f t="shared" si="27"/>
        <v>25000</v>
      </c>
      <c r="AL48" s="74">
        <f t="shared" si="27"/>
        <v>21025.5</v>
      </c>
      <c r="AM48" s="74"/>
      <c r="AN48" s="74"/>
      <c r="AO48" s="74"/>
      <c r="AP48" s="74"/>
      <c r="AQ48" s="74"/>
      <c r="AR48" s="74">
        <f t="shared" si="28"/>
        <v>0</v>
      </c>
      <c r="AS48" s="74">
        <f t="shared" si="28"/>
        <v>0</v>
      </c>
      <c r="AT48" s="74"/>
      <c r="AU48" s="74"/>
      <c r="AV48" s="74"/>
      <c r="AW48" s="74"/>
      <c r="AX48" s="74">
        <f t="shared" si="29"/>
        <v>0</v>
      </c>
      <c r="AY48" s="74">
        <f t="shared" si="29"/>
        <v>0</v>
      </c>
      <c r="AZ48" s="74"/>
      <c r="BA48" s="74"/>
      <c r="BB48" s="74"/>
      <c r="BC48" s="74"/>
      <c r="BD48" s="74">
        <f t="shared" si="30"/>
        <v>0</v>
      </c>
      <c r="BE48" s="74"/>
      <c r="BF48" s="74">
        <f t="shared" si="43"/>
        <v>0</v>
      </c>
      <c r="BG48" s="74"/>
      <c r="BH48" s="74"/>
      <c r="BI48" s="74"/>
      <c r="BJ48" s="74"/>
      <c r="BK48" s="74">
        <f t="shared" si="31"/>
        <v>0</v>
      </c>
      <c r="BL48" s="74"/>
      <c r="BM48" s="74">
        <f t="shared" si="44"/>
        <v>0</v>
      </c>
      <c r="BN48" s="74"/>
      <c r="BO48" s="74"/>
      <c r="BP48" s="74"/>
      <c r="BQ48" s="74"/>
      <c r="BR48" s="74">
        <f t="shared" si="32"/>
        <v>0</v>
      </c>
      <c r="BS48" s="74">
        <f t="shared" si="32"/>
        <v>0</v>
      </c>
      <c r="BT48" s="74"/>
      <c r="BU48" s="74"/>
      <c r="BV48" s="74"/>
      <c r="BW48" s="74"/>
      <c r="BX48" s="74">
        <f t="shared" si="33"/>
        <v>0</v>
      </c>
      <c r="BY48" s="74">
        <f t="shared" si="33"/>
        <v>0</v>
      </c>
      <c r="BZ48" s="74"/>
      <c r="CA48" s="74"/>
      <c r="CB48" s="74"/>
      <c r="CC48" s="74"/>
      <c r="CD48" s="74">
        <f t="shared" si="34"/>
        <v>0</v>
      </c>
      <c r="CE48" s="74">
        <f t="shared" si="34"/>
        <v>0</v>
      </c>
      <c r="CF48" s="74"/>
      <c r="CG48" s="74"/>
      <c r="CH48" s="74"/>
      <c r="CI48" s="74"/>
      <c r="CJ48" s="74">
        <f t="shared" si="35"/>
        <v>0</v>
      </c>
      <c r="CK48" s="74">
        <f t="shared" si="35"/>
        <v>0</v>
      </c>
      <c r="CL48" s="74"/>
      <c r="CM48" s="74"/>
      <c r="CN48" s="74"/>
      <c r="CO48" s="74"/>
      <c r="CP48" s="74">
        <f t="shared" si="36"/>
        <v>0</v>
      </c>
      <c r="CQ48" s="74">
        <f t="shared" si="36"/>
        <v>0</v>
      </c>
      <c r="CR48" s="74"/>
      <c r="CS48" s="74"/>
      <c r="CT48" s="74"/>
      <c r="CU48" s="74"/>
      <c r="CV48" s="74">
        <f t="shared" si="37"/>
        <v>0</v>
      </c>
      <c r="CW48" s="74">
        <f t="shared" si="37"/>
        <v>0</v>
      </c>
      <c r="CX48" s="74"/>
      <c r="CY48" s="74"/>
      <c r="CZ48" s="74"/>
      <c r="DA48" s="74"/>
      <c r="DB48" s="74">
        <f t="shared" si="38"/>
        <v>0</v>
      </c>
      <c r="DC48" s="74">
        <f t="shared" si="38"/>
        <v>0</v>
      </c>
      <c r="DD48" s="74"/>
      <c r="DE48" s="74"/>
      <c r="DF48" s="74"/>
      <c r="DG48" s="74"/>
      <c r="DH48" s="74">
        <f t="shared" si="39"/>
        <v>0</v>
      </c>
      <c r="DI48" s="74">
        <f t="shared" si="39"/>
        <v>0</v>
      </c>
      <c r="DJ48" s="74">
        <f t="shared" si="45"/>
        <v>0</v>
      </c>
      <c r="DK48" s="74">
        <f t="shared" si="46"/>
        <v>0</v>
      </c>
      <c r="DL48" s="74">
        <f t="shared" si="47"/>
        <v>0</v>
      </c>
      <c r="DM48" s="74">
        <f t="shared" si="48"/>
        <v>0</v>
      </c>
      <c r="DN48" s="74">
        <f t="shared" si="40"/>
        <v>0</v>
      </c>
      <c r="DO48" s="74">
        <f t="shared" si="40"/>
        <v>0</v>
      </c>
    </row>
    <row r="49" spans="1:119" s="278" customFormat="1">
      <c r="A49" s="253">
        <v>41</v>
      </c>
      <c r="B49" s="276" t="s">
        <v>456</v>
      </c>
      <c r="C49" s="276" t="s">
        <v>518</v>
      </c>
      <c r="D49" s="276" t="s">
        <v>519</v>
      </c>
      <c r="E49" s="276" t="s">
        <v>1165</v>
      </c>
      <c r="F49" s="255">
        <f t="shared" si="14"/>
        <v>0</v>
      </c>
      <c r="G49" s="255">
        <f t="shared" si="15"/>
        <v>0</v>
      </c>
      <c r="H49" s="256">
        <f t="shared" si="16"/>
        <v>0</v>
      </c>
      <c r="I49" s="277">
        <v>47201.297999999995</v>
      </c>
      <c r="J49" s="258">
        <v>0</v>
      </c>
      <c r="K49" s="258">
        <v>0</v>
      </c>
      <c r="L49" s="255">
        <f t="shared" si="17"/>
        <v>0</v>
      </c>
      <c r="M49" s="255">
        <f t="shared" si="18"/>
        <v>0</v>
      </c>
      <c r="N49" s="255">
        <f t="shared" si="19"/>
        <v>0</v>
      </c>
      <c r="O49" s="255">
        <f t="shared" si="20"/>
        <v>0</v>
      </c>
      <c r="P49" s="255" t="str">
        <f t="shared" si="21"/>
        <v>ნულოვანი შესრულება</v>
      </c>
      <c r="Q49" s="258"/>
      <c r="R49" s="258"/>
      <c r="S49" s="258">
        <f t="shared" si="41"/>
        <v>0</v>
      </c>
      <c r="T49" s="258">
        <f t="shared" si="42"/>
        <v>0</v>
      </c>
      <c r="U49" s="258"/>
      <c r="V49" s="258"/>
      <c r="W49" s="258"/>
      <c r="X49" s="258"/>
      <c r="Y49" s="258">
        <f t="shared" si="22"/>
        <v>0</v>
      </c>
      <c r="Z49" s="258">
        <f t="shared" si="22"/>
        <v>0</v>
      </c>
      <c r="AA49" s="258"/>
      <c r="AB49" s="258"/>
      <c r="AC49" s="258"/>
      <c r="AD49" s="258"/>
      <c r="AE49" s="258">
        <f t="shared" si="23"/>
        <v>0</v>
      </c>
      <c r="AF49" s="258">
        <f t="shared" si="23"/>
        <v>0</v>
      </c>
      <c r="AG49" s="258">
        <f t="shared" si="24"/>
        <v>0</v>
      </c>
      <c r="AH49" s="258">
        <f t="shared" si="25"/>
        <v>0</v>
      </c>
      <c r="AI49" s="258">
        <f t="shared" si="25"/>
        <v>0</v>
      </c>
      <c r="AJ49" s="258">
        <f t="shared" si="26"/>
        <v>0</v>
      </c>
      <c r="AK49" s="258">
        <f t="shared" si="27"/>
        <v>0</v>
      </c>
      <c r="AL49" s="258">
        <f t="shared" si="27"/>
        <v>0</v>
      </c>
      <c r="AM49" s="258"/>
      <c r="AN49" s="258"/>
      <c r="AO49" s="258"/>
      <c r="AP49" s="258"/>
      <c r="AQ49" s="258"/>
      <c r="AR49" s="258">
        <f t="shared" si="28"/>
        <v>0</v>
      </c>
      <c r="AS49" s="258">
        <f t="shared" si="28"/>
        <v>0</v>
      </c>
      <c r="AT49" s="258"/>
      <c r="AU49" s="258"/>
      <c r="AV49" s="258"/>
      <c r="AW49" s="258"/>
      <c r="AX49" s="258">
        <f t="shared" si="29"/>
        <v>0</v>
      </c>
      <c r="AY49" s="258">
        <f t="shared" si="29"/>
        <v>0</v>
      </c>
      <c r="AZ49" s="258"/>
      <c r="BA49" s="258"/>
      <c r="BB49" s="258"/>
      <c r="BC49" s="258"/>
      <c r="BD49" s="258">
        <f t="shared" si="30"/>
        <v>0</v>
      </c>
      <c r="BE49" s="258"/>
      <c r="BF49" s="258">
        <f t="shared" si="43"/>
        <v>0</v>
      </c>
      <c r="BG49" s="258"/>
      <c r="BH49" s="258"/>
      <c r="BI49" s="258"/>
      <c r="BJ49" s="258"/>
      <c r="BK49" s="258">
        <f t="shared" si="31"/>
        <v>0</v>
      </c>
      <c r="BL49" s="258"/>
      <c r="BM49" s="258">
        <f t="shared" si="44"/>
        <v>0</v>
      </c>
      <c r="BN49" s="258"/>
      <c r="BO49" s="258"/>
      <c r="BP49" s="258"/>
      <c r="BQ49" s="258"/>
      <c r="BR49" s="258">
        <f t="shared" si="32"/>
        <v>0</v>
      </c>
      <c r="BS49" s="258">
        <f t="shared" si="32"/>
        <v>0</v>
      </c>
      <c r="BT49" s="258"/>
      <c r="BU49" s="258"/>
      <c r="BV49" s="258"/>
      <c r="BW49" s="258"/>
      <c r="BX49" s="258">
        <f t="shared" si="33"/>
        <v>0</v>
      </c>
      <c r="BY49" s="258">
        <f t="shared" si="33"/>
        <v>0</v>
      </c>
      <c r="BZ49" s="258"/>
      <c r="CA49" s="258"/>
      <c r="CB49" s="258"/>
      <c r="CC49" s="258"/>
      <c r="CD49" s="258">
        <f t="shared" si="34"/>
        <v>0</v>
      </c>
      <c r="CE49" s="258">
        <f t="shared" si="34"/>
        <v>0</v>
      </c>
      <c r="CF49" s="258"/>
      <c r="CG49" s="258"/>
      <c r="CH49" s="258"/>
      <c r="CI49" s="258"/>
      <c r="CJ49" s="258">
        <f t="shared" si="35"/>
        <v>0</v>
      </c>
      <c r="CK49" s="258">
        <f t="shared" si="35"/>
        <v>0</v>
      </c>
      <c r="CL49" s="258"/>
      <c r="CM49" s="258"/>
      <c r="CN49" s="258"/>
      <c r="CO49" s="258"/>
      <c r="CP49" s="258">
        <f t="shared" si="36"/>
        <v>0</v>
      </c>
      <c r="CQ49" s="258">
        <f t="shared" si="36"/>
        <v>0</v>
      </c>
      <c r="CR49" s="258"/>
      <c r="CS49" s="258"/>
      <c r="CT49" s="258"/>
      <c r="CU49" s="258"/>
      <c r="CV49" s="258">
        <f t="shared" si="37"/>
        <v>0</v>
      </c>
      <c r="CW49" s="258">
        <f t="shared" si="37"/>
        <v>0</v>
      </c>
      <c r="CX49" s="258"/>
      <c r="CY49" s="258"/>
      <c r="CZ49" s="258"/>
      <c r="DA49" s="258"/>
      <c r="DB49" s="258">
        <f t="shared" si="38"/>
        <v>0</v>
      </c>
      <c r="DC49" s="258">
        <f t="shared" si="38"/>
        <v>0</v>
      </c>
      <c r="DD49" s="258"/>
      <c r="DE49" s="258"/>
      <c r="DF49" s="258"/>
      <c r="DG49" s="258"/>
      <c r="DH49" s="258">
        <f t="shared" si="39"/>
        <v>0</v>
      </c>
      <c r="DI49" s="258">
        <f t="shared" si="39"/>
        <v>0</v>
      </c>
      <c r="DJ49" s="258">
        <f t="shared" si="45"/>
        <v>0</v>
      </c>
      <c r="DK49" s="258">
        <f t="shared" si="46"/>
        <v>0</v>
      </c>
      <c r="DL49" s="258">
        <f t="shared" si="47"/>
        <v>0</v>
      </c>
      <c r="DM49" s="258">
        <f t="shared" si="48"/>
        <v>0</v>
      </c>
      <c r="DN49" s="258">
        <f t="shared" si="40"/>
        <v>0</v>
      </c>
      <c r="DO49" s="258">
        <f t="shared" si="40"/>
        <v>0</v>
      </c>
    </row>
    <row r="50" spans="1:119">
      <c r="A50" s="25">
        <v>42</v>
      </c>
      <c r="B50" s="26" t="s">
        <v>470</v>
      </c>
      <c r="C50" s="26" t="s">
        <v>520</v>
      </c>
      <c r="D50" s="26" t="s">
        <v>521</v>
      </c>
      <c r="E50" s="205" t="s">
        <v>1165</v>
      </c>
      <c r="F50" s="161">
        <f t="shared" si="14"/>
        <v>50000</v>
      </c>
      <c r="G50" s="161">
        <f t="shared" si="15"/>
        <v>91435.81</v>
      </c>
      <c r="H50" s="165">
        <f t="shared" si="16"/>
        <v>50000</v>
      </c>
      <c r="I50" s="12">
        <v>47205.604999999996</v>
      </c>
      <c r="J50" s="219">
        <v>0</v>
      </c>
      <c r="K50" s="219">
        <v>0</v>
      </c>
      <c r="L50" s="127">
        <f t="shared" si="17"/>
        <v>0</v>
      </c>
      <c r="M50" s="127">
        <f t="shared" si="18"/>
        <v>0</v>
      </c>
      <c r="N50" s="127">
        <f t="shared" si="19"/>
        <v>0</v>
      </c>
      <c r="O50" s="131">
        <f t="shared" si="20"/>
        <v>50000</v>
      </c>
      <c r="P50" s="125">
        <f t="shared" si="21"/>
        <v>91435.81</v>
      </c>
      <c r="Q50" s="74"/>
      <c r="R50" s="74"/>
      <c r="S50" s="74">
        <f t="shared" si="41"/>
        <v>0</v>
      </c>
      <c r="T50" s="74">
        <f t="shared" si="42"/>
        <v>0</v>
      </c>
      <c r="U50" s="74"/>
      <c r="V50" s="74"/>
      <c r="W50" s="74"/>
      <c r="X50" s="74"/>
      <c r="Y50" s="74">
        <f t="shared" si="22"/>
        <v>0</v>
      </c>
      <c r="Z50" s="74">
        <f t="shared" si="22"/>
        <v>0</v>
      </c>
      <c r="AA50" s="74"/>
      <c r="AB50" s="74"/>
      <c r="AC50" s="74"/>
      <c r="AD50" s="74"/>
      <c r="AE50" s="74">
        <f t="shared" si="23"/>
        <v>0</v>
      </c>
      <c r="AF50" s="74">
        <f t="shared" si="23"/>
        <v>0</v>
      </c>
      <c r="AG50" s="74">
        <f t="shared" si="24"/>
        <v>0</v>
      </c>
      <c r="AH50" s="74">
        <f t="shared" si="25"/>
        <v>0</v>
      </c>
      <c r="AI50" s="74">
        <f t="shared" si="25"/>
        <v>0</v>
      </c>
      <c r="AJ50" s="74">
        <f t="shared" si="26"/>
        <v>0</v>
      </c>
      <c r="AK50" s="74">
        <f t="shared" si="27"/>
        <v>0</v>
      </c>
      <c r="AL50" s="74">
        <f t="shared" si="27"/>
        <v>0</v>
      </c>
      <c r="AM50" s="74">
        <v>1</v>
      </c>
      <c r="AN50" s="74"/>
      <c r="AO50" s="74">
        <v>60000</v>
      </c>
      <c r="AP50" s="74"/>
      <c r="AQ50" s="74"/>
      <c r="AR50" s="74">
        <f t="shared" si="28"/>
        <v>0</v>
      </c>
      <c r="AS50" s="74">
        <f t="shared" si="28"/>
        <v>60000</v>
      </c>
      <c r="AT50" s="74"/>
      <c r="AU50" s="74"/>
      <c r="AV50" s="74">
        <v>50000</v>
      </c>
      <c r="AW50" s="74">
        <v>31435.81</v>
      </c>
      <c r="AX50" s="74">
        <f t="shared" si="29"/>
        <v>50000</v>
      </c>
      <c r="AY50" s="74">
        <f t="shared" si="29"/>
        <v>31435.81</v>
      </c>
      <c r="AZ50" s="74"/>
      <c r="BA50" s="74"/>
      <c r="BB50" s="74"/>
      <c r="BC50" s="74"/>
      <c r="BD50" s="74">
        <f t="shared" si="30"/>
        <v>0</v>
      </c>
      <c r="BE50" s="74"/>
      <c r="BF50" s="74">
        <f t="shared" si="43"/>
        <v>0</v>
      </c>
      <c r="BG50" s="74"/>
      <c r="BH50" s="74"/>
      <c r="BI50" s="74"/>
      <c r="BJ50" s="74"/>
      <c r="BK50" s="74">
        <f t="shared" si="31"/>
        <v>0</v>
      </c>
      <c r="BL50" s="74"/>
      <c r="BM50" s="74">
        <f t="shared" si="44"/>
        <v>0</v>
      </c>
      <c r="BN50" s="74"/>
      <c r="BO50" s="74"/>
      <c r="BP50" s="74"/>
      <c r="BQ50" s="74"/>
      <c r="BR50" s="74">
        <f t="shared" si="32"/>
        <v>0</v>
      </c>
      <c r="BS50" s="74">
        <f t="shared" si="32"/>
        <v>0</v>
      </c>
      <c r="BT50" s="74"/>
      <c r="BU50" s="74"/>
      <c r="BV50" s="74"/>
      <c r="BW50" s="74"/>
      <c r="BX50" s="74">
        <f t="shared" si="33"/>
        <v>0</v>
      </c>
      <c r="BY50" s="74">
        <f t="shared" si="33"/>
        <v>0</v>
      </c>
      <c r="BZ50" s="74"/>
      <c r="CA50" s="74"/>
      <c r="CB50" s="74"/>
      <c r="CC50" s="74"/>
      <c r="CD50" s="74">
        <f t="shared" si="34"/>
        <v>0</v>
      </c>
      <c r="CE50" s="74">
        <f t="shared" si="34"/>
        <v>0</v>
      </c>
      <c r="CF50" s="74"/>
      <c r="CG50" s="74"/>
      <c r="CH50" s="74"/>
      <c r="CI50" s="74"/>
      <c r="CJ50" s="74">
        <f t="shared" si="35"/>
        <v>0</v>
      </c>
      <c r="CK50" s="74">
        <f t="shared" si="35"/>
        <v>0</v>
      </c>
      <c r="CL50" s="74"/>
      <c r="CM50" s="74"/>
      <c r="CN50" s="74"/>
      <c r="CO50" s="74"/>
      <c r="CP50" s="74">
        <f t="shared" si="36"/>
        <v>0</v>
      </c>
      <c r="CQ50" s="74">
        <f t="shared" si="36"/>
        <v>0</v>
      </c>
      <c r="CR50" s="74"/>
      <c r="CS50" s="74"/>
      <c r="CT50" s="74"/>
      <c r="CU50" s="74"/>
      <c r="CV50" s="74">
        <f t="shared" si="37"/>
        <v>0</v>
      </c>
      <c r="CW50" s="74">
        <f t="shared" si="37"/>
        <v>0</v>
      </c>
      <c r="CX50" s="74"/>
      <c r="CY50" s="74"/>
      <c r="CZ50" s="74"/>
      <c r="DA50" s="74"/>
      <c r="DB50" s="74">
        <f t="shared" si="38"/>
        <v>0</v>
      </c>
      <c r="DC50" s="74">
        <f t="shared" si="38"/>
        <v>0</v>
      </c>
      <c r="DD50" s="74"/>
      <c r="DE50" s="74"/>
      <c r="DF50" s="74"/>
      <c r="DG50" s="74"/>
      <c r="DH50" s="74">
        <f t="shared" si="39"/>
        <v>0</v>
      </c>
      <c r="DI50" s="74">
        <f t="shared" si="39"/>
        <v>0</v>
      </c>
      <c r="DJ50" s="74">
        <f t="shared" si="45"/>
        <v>0</v>
      </c>
      <c r="DK50" s="74">
        <f t="shared" si="46"/>
        <v>60000</v>
      </c>
      <c r="DL50" s="74">
        <f t="shared" si="47"/>
        <v>50000</v>
      </c>
      <c r="DM50" s="74">
        <f t="shared" si="48"/>
        <v>31435.81</v>
      </c>
      <c r="DN50" s="74">
        <f t="shared" si="40"/>
        <v>50000</v>
      </c>
      <c r="DO50" s="74">
        <f t="shared" si="40"/>
        <v>91435.81</v>
      </c>
    </row>
    <row r="51" spans="1:119">
      <c r="A51" s="25">
        <v>43</v>
      </c>
      <c r="B51" s="26" t="s">
        <v>87</v>
      </c>
      <c r="C51" s="26" t="s">
        <v>522</v>
      </c>
      <c r="D51" s="26" t="s">
        <v>523</v>
      </c>
      <c r="E51" s="205" t="s">
        <v>1165</v>
      </c>
      <c r="F51" s="161">
        <f t="shared" si="14"/>
        <v>100000</v>
      </c>
      <c r="G51" s="161">
        <f t="shared" si="15"/>
        <v>0</v>
      </c>
      <c r="H51" s="165">
        <f t="shared" si="16"/>
        <v>100000</v>
      </c>
      <c r="I51" s="12">
        <v>39550.06</v>
      </c>
      <c r="J51" s="219">
        <v>0</v>
      </c>
      <c r="K51" s="219"/>
      <c r="L51" s="127">
        <f t="shared" si="17"/>
        <v>0</v>
      </c>
      <c r="M51" s="127">
        <f t="shared" si="18"/>
        <v>0</v>
      </c>
      <c r="N51" s="127">
        <f t="shared" si="19"/>
        <v>0</v>
      </c>
      <c r="O51" s="131">
        <f t="shared" si="20"/>
        <v>100000</v>
      </c>
      <c r="P51" s="125" t="str">
        <f t="shared" si="21"/>
        <v>ნულოვანი შესრულება</v>
      </c>
      <c r="Q51" s="74"/>
      <c r="R51" s="74"/>
      <c r="S51" s="74">
        <f t="shared" si="41"/>
        <v>0</v>
      </c>
      <c r="T51" s="74">
        <f t="shared" si="42"/>
        <v>0</v>
      </c>
      <c r="U51" s="74"/>
      <c r="V51" s="74"/>
      <c r="W51" s="74"/>
      <c r="X51" s="74"/>
      <c r="Y51" s="74">
        <f t="shared" si="22"/>
        <v>0</v>
      </c>
      <c r="Z51" s="74">
        <f t="shared" si="22"/>
        <v>0</v>
      </c>
      <c r="AA51" s="74"/>
      <c r="AB51" s="74"/>
      <c r="AC51" s="74"/>
      <c r="AD51" s="74"/>
      <c r="AE51" s="74">
        <f t="shared" si="23"/>
        <v>0</v>
      </c>
      <c r="AF51" s="74">
        <f t="shared" si="23"/>
        <v>0</v>
      </c>
      <c r="AG51" s="74">
        <f t="shared" si="24"/>
        <v>0</v>
      </c>
      <c r="AH51" s="74">
        <f t="shared" si="25"/>
        <v>0</v>
      </c>
      <c r="AI51" s="74">
        <f t="shared" si="25"/>
        <v>0</v>
      </c>
      <c r="AJ51" s="74">
        <f t="shared" si="26"/>
        <v>0</v>
      </c>
      <c r="AK51" s="74">
        <f t="shared" si="27"/>
        <v>0</v>
      </c>
      <c r="AL51" s="74">
        <f t="shared" si="27"/>
        <v>0</v>
      </c>
      <c r="AM51" s="74"/>
      <c r="AN51" s="74"/>
      <c r="AO51" s="74"/>
      <c r="AP51" s="74"/>
      <c r="AQ51" s="74"/>
      <c r="AR51" s="74">
        <f t="shared" si="28"/>
        <v>0</v>
      </c>
      <c r="AS51" s="74">
        <f t="shared" si="28"/>
        <v>0</v>
      </c>
      <c r="AT51" s="74"/>
      <c r="AU51" s="74"/>
      <c r="AV51" s="74">
        <v>100000</v>
      </c>
      <c r="AW51" s="74"/>
      <c r="AX51" s="74">
        <f t="shared" si="29"/>
        <v>100000</v>
      </c>
      <c r="AY51" s="74">
        <f t="shared" si="29"/>
        <v>0</v>
      </c>
      <c r="AZ51" s="74"/>
      <c r="BA51" s="74"/>
      <c r="BB51" s="74"/>
      <c r="BC51" s="74"/>
      <c r="BD51" s="74">
        <f t="shared" si="30"/>
        <v>0</v>
      </c>
      <c r="BE51" s="74"/>
      <c r="BF51" s="74">
        <f t="shared" si="43"/>
        <v>0</v>
      </c>
      <c r="BG51" s="74"/>
      <c r="BH51" s="74"/>
      <c r="BI51" s="74"/>
      <c r="BJ51" s="74"/>
      <c r="BK51" s="74">
        <f t="shared" si="31"/>
        <v>0</v>
      </c>
      <c r="BL51" s="74"/>
      <c r="BM51" s="74">
        <f t="shared" si="44"/>
        <v>0</v>
      </c>
      <c r="BN51" s="74"/>
      <c r="BO51" s="74"/>
      <c r="BP51" s="74"/>
      <c r="BQ51" s="74"/>
      <c r="BR51" s="74">
        <f t="shared" si="32"/>
        <v>0</v>
      </c>
      <c r="BS51" s="74">
        <f t="shared" si="32"/>
        <v>0</v>
      </c>
      <c r="BT51" s="74"/>
      <c r="BU51" s="74"/>
      <c r="BV51" s="74"/>
      <c r="BW51" s="74"/>
      <c r="BX51" s="74">
        <f t="shared" si="33"/>
        <v>0</v>
      </c>
      <c r="BY51" s="74">
        <f t="shared" si="33"/>
        <v>0</v>
      </c>
      <c r="BZ51" s="74"/>
      <c r="CA51" s="74"/>
      <c r="CB51" s="74"/>
      <c r="CC51" s="74"/>
      <c r="CD51" s="74">
        <f t="shared" si="34"/>
        <v>0</v>
      </c>
      <c r="CE51" s="74">
        <f t="shared" si="34"/>
        <v>0</v>
      </c>
      <c r="CF51" s="74"/>
      <c r="CG51" s="74"/>
      <c r="CH51" s="74"/>
      <c r="CI51" s="74"/>
      <c r="CJ51" s="74">
        <f t="shared" si="35"/>
        <v>0</v>
      </c>
      <c r="CK51" s="74">
        <f t="shared" si="35"/>
        <v>0</v>
      </c>
      <c r="CL51" s="74"/>
      <c r="CM51" s="74"/>
      <c r="CN51" s="74"/>
      <c r="CO51" s="74"/>
      <c r="CP51" s="74">
        <f t="shared" si="36"/>
        <v>0</v>
      </c>
      <c r="CQ51" s="74">
        <f t="shared" si="36"/>
        <v>0</v>
      </c>
      <c r="CR51" s="74"/>
      <c r="CS51" s="74"/>
      <c r="CT51" s="74"/>
      <c r="CU51" s="74"/>
      <c r="CV51" s="74">
        <f t="shared" si="37"/>
        <v>0</v>
      </c>
      <c r="CW51" s="74">
        <f t="shared" si="37"/>
        <v>0</v>
      </c>
      <c r="CX51" s="74"/>
      <c r="CY51" s="74"/>
      <c r="CZ51" s="74"/>
      <c r="DA51" s="74"/>
      <c r="DB51" s="74">
        <f t="shared" si="38"/>
        <v>0</v>
      </c>
      <c r="DC51" s="74">
        <f t="shared" si="38"/>
        <v>0</v>
      </c>
      <c r="DD51" s="74"/>
      <c r="DE51" s="74"/>
      <c r="DF51" s="74"/>
      <c r="DG51" s="74"/>
      <c r="DH51" s="74">
        <f t="shared" si="39"/>
        <v>0</v>
      </c>
      <c r="DI51" s="74">
        <f t="shared" si="39"/>
        <v>0</v>
      </c>
      <c r="DJ51" s="74">
        <f t="shared" si="45"/>
        <v>0</v>
      </c>
      <c r="DK51" s="74">
        <f t="shared" si="46"/>
        <v>0</v>
      </c>
      <c r="DL51" s="74">
        <f t="shared" si="47"/>
        <v>100000</v>
      </c>
      <c r="DM51" s="74">
        <f t="shared" si="48"/>
        <v>0</v>
      </c>
      <c r="DN51" s="74">
        <f t="shared" si="40"/>
        <v>100000</v>
      </c>
      <c r="DO51" s="74">
        <f t="shared" si="40"/>
        <v>0</v>
      </c>
    </row>
    <row r="52" spans="1:119">
      <c r="A52" s="25">
        <v>44</v>
      </c>
      <c r="B52" s="26" t="s">
        <v>524</v>
      </c>
      <c r="C52" s="26" t="s">
        <v>525</v>
      </c>
      <c r="D52" s="26" t="s">
        <v>526</v>
      </c>
      <c r="E52" s="205" t="s">
        <v>1164</v>
      </c>
      <c r="F52" s="161">
        <f t="shared" si="14"/>
        <v>0</v>
      </c>
      <c r="G52" s="161">
        <f t="shared" si="15"/>
        <v>0</v>
      </c>
      <c r="H52" s="165">
        <f t="shared" si="16"/>
        <v>1296.75</v>
      </c>
      <c r="I52" s="12">
        <v>0</v>
      </c>
      <c r="J52" s="219">
        <v>0</v>
      </c>
      <c r="K52" s="219">
        <v>0</v>
      </c>
      <c r="L52" s="127">
        <f t="shared" si="17"/>
        <v>1296.75</v>
      </c>
      <c r="M52" s="127">
        <f t="shared" si="18"/>
        <v>1296.75</v>
      </c>
      <c r="N52" s="127">
        <f t="shared" si="19"/>
        <v>1296.75</v>
      </c>
      <c r="O52" s="131">
        <f t="shared" si="20"/>
        <v>0</v>
      </c>
      <c r="P52" s="125">
        <f t="shared" si="21"/>
        <v>1296.75</v>
      </c>
      <c r="Q52" s="74"/>
      <c r="R52" s="74">
        <v>1296.75</v>
      </c>
      <c r="S52" s="74">
        <f t="shared" si="41"/>
        <v>0</v>
      </c>
      <c r="T52" s="74">
        <f t="shared" si="42"/>
        <v>1296.75</v>
      </c>
      <c r="U52" s="74"/>
      <c r="V52" s="74"/>
      <c r="W52" s="74"/>
      <c r="X52" s="74"/>
      <c r="Y52" s="74">
        <f t="shared" si="22"/>
        <v>0</v>
      </c>
      <c r="Z52" s="74">
        <f t="shared" si="22"/>
        <v>0</v>
      </c>
      <c r="AA52" s="74"/>
      <c r="AB52" s="74"/>
      <c r="AC52" s="74"/>
      <c r="AD52" s="74"/>
      <c r="AE52" s="74">
        <f t="shared" si="23"/>
        <v>0</v>
      </c>
      <c r="AF52" s="74">
        <f t="shared" si="23"/>
        <v>0</v>
      </c>
      <c r="AG52" s="74">
        <f t="shared" si="24"/>
        <v>0</v>
      </c>
      <c r="AH52" s="74">
        <f t="shared" si="25"/>
        <v>0</v>
      </c>
      <c r="AI52" s="74">
        <f t="shared" si="25"/>
        <v>1296.75</v>
      </c>
      <c r="AJ52" s="74">
        <f t="shared" si="26"/>
        <v>1296.75</v>
      </c>
      <c r="AK52" s="74">
        <f t="shared" si="27"/>
        <v>1296.75</v>
      </c>
      <c r="AL52" s="74">
        <f t="shared" si="27"/>
        <v>1296.75</v>
      </c>
      <c r="AM52" s="74"/>
      <c r="AN52" s="74"/>
      <c r="AO52" s="74"/>
      <c r="AP52" s="74"/>
      <c r="AQ52" s="74"/>
      <c r="AR52" s="74">
        <f t="shared" si="28"/>
        <v>0</v>
      </c>
      <c r="AS52" s="74">
        <f t="shared" si="28"/>
        <v>0</v>
      </c>
      <c r="AT52" s="74"/>
      <c r="AU52" s="74"/>
      <c r="AV52" s="74"/>
      <c r="AW52" s="74"/>
      <c r="AX52" s="74">
        <f t="shared" si="29"/>
        <v>0</v>
      </c>
      <c r="AY52" s="74">
        <f t="shared" si="29"/>
        <v>0</v>
      </c>
      <c r="AZ52" s="74"/>
      <c r="BA52" s="74"/>
      <c r="BB52" s="74"/>
      <c r="BC52" s="74"/>
      <c r="BD52" s="74">
        <f t="shared" si="30"/>
        <v>0</v>
      </c>
      <c r="BE52" s="74"/>
      <c r="BF52" s="74">
        <f t="shared" si="43"/>
        <v>0</v>
      </c>
      <c r="BG52" s="74"/>
      <c r="BH52" s="74"/>
      <c r="BI52" s="74"/>
      <c r="BJ52" s="74"/>
      <c r="BK52" s="74">
        <f t="shared" si="31"/>
        <v>0</v>
      </c>
      <c r="BL52" s="74"/>
      <c r="BM52" s="74">
        <f t="shared" si="44"/>
        <v>0</v>
      </c>
      <c r="BN52" s="74"/>
      <c r="BO52" s="74"/>
      <c r="BP52" s="74"/>
      <c r="BQ52" s="74"/>
      <c r="BR52" s="74">
        <f t="shared" si="32"/>
        <v>0</v>
      </c>
      <c r="BS52" s="74">
        <f t="shared" si="32"/>
        <v>0</v>
      </c>
      <c r="BT52" s="74"/>
      <c r="BU52" s="74"/>
      <c r="BV52" s="74"/>
      <c r="BW52" s="74"/>
      <c r="BX52" s="74">
        <f t="shared" si="33"/>
        <v>0</v>
      </c>
      <c r="BY52" s="74">
        <f t="shared" si="33"/>
        <v>0</v>
      </c>
      <c r="BZ52" s="74"/>
      <c r="CA52" s="74"/>
      <c r="CB52" s="74"/>
      <c r="CC52" s="74"/>
      <c r="CD52" s="74">
        <f t="shared" si="34"/>
        <v>0</v>
      </c>
      <c r="CE52" s="74">
        <f t="shared" si="34"/>
        <v>0</v>
      </c>
      <c r="CF52" s="74"/>
      <c r="CG52" s="74"/>
      <c r="CH52" s="74"/>
      <c r="CI52" s="74"/>
      <c r="CJ52" s="74">
        <f t="shared" si="35"/>
        <v>0</v>
      </c>
      <c r="CK52" s="74">
        <f t="shared" si="35"/>
        <v>0</v>
      </c>
      <c r="CL52" s="74"/>
      <c r="CM52" s="74"/>
      <c r="CN52" s="74"/>
      <c r="CO52" s="74"/>
      <c r="CP52" s="74">
        <f t="shared" si="36"/>
        <v>0</v>
      </c>
      <c r="CQ52" s="74">
        <f t="shared" si="36"/>
        <v>0</v>
      </c>
      <c r="CR52" s="74"/>
      <c r="CS52" s="74"/>
      <c r="CT52" s="74"/>
      <c r="CU52" s="74"/>
      <c r="CV52" s="74">
        <f t="shared" si="37"/>
        <v>0</v>
      </c>
      <c r="CW52" s="74">
        <f t="shared" si="37"/>
        <v>0</v>
      </c>
      <c r="CX52" s="74"/>
      <c r="CY52" s="74"/>
      <c r="CZ52" s="74"/>
      <c r="DA52" s="74"/>
      <c r="DB52" s="74">
        <f t="shared" si="38"/>
        <v>0</v>
      </c>
      <c r="DC52" s="74">
        <f t="shared" si="38"/>
        <v>0</v>
      </c>
      <c r="DD52" s="74"/>
      <c r="DE52" s="74"/>
      <c r="DF52" s="74"/>
      <c r="DG52" s="74"/>
      <c r="DH52" s="74">
        <f t="shared" si="39"/>
        <v>0</v>
      </c>
      <c r="DI52" s="74">
        <f t="shared" si="39"/>
        <v>0</v>
      </c>
      <c r="DJ52" s="74">
        <f t="shared" si="45"/>
        <v>0</v>
      </c>
      <c r="DK52" s="74">
        <f t="shared" si="46"/>
        <v>0</v>
      </c>
      <c r="DL52" s="74">
        <f t="shared" si="47"/>
        <v>0</v>
      </c>
      <c r="DM52" s="74">
        <f t="shared" si="48"/>
        <v>0</v>
      </c>
      <c r="DN52" s="74">
        <f t="shared" si="40"/>
        <v>0</v>
      </c>
      <c r="DO52" s="74">
        <f t="shared" si="40"/>
        <v>0</v>
      </c>
    </row>
    <row r="53" spans="1:119">
      <c r="A53" s="25">
        <v>45</v>
      </c>
      <c r="B53" s="26" t="s">
        <v>524</v>
      </c>
      <c r="C53" s="26" t="s">
        <v>525</v>
      </c>
      <c r="D53" s="26" t="s">
        <v>527</v>
      </c>
      <c r="E53" s="205" t="s">
        <v>1165</v>
      </c>
      <c r="F53" s="161">
        <f t="shared" si="14"/>
        <v>0</v>
      </c>
      <c r="G53" s="161">
        <f t="shared" si="15"/>
        <v>0</v>
      </c>
      <c r="H53" s="165">
        <f t="shared" si="16"/>
        <v>51627.58</v>
      </c>
      <c r="I53" s="12">
        <v>72865</v>
      </c>
      <c r="J53" s="219">
        <v>0</v>
      </c>
      <c r="K53" s="219">
        <v>0</v>
      </c>
      <c r="L53" s="127">
        <f t="shared" si="17"/>
        <v>51627.58</v>
      </c>
      <c r="M53" s="127">
        <f t="shared" si="18"/>
        <v>51627.58</v>
      </c>
      <c r="N53" s="127">
        <f t="shared" si="19"/>
        <v>51627.58</v>
      </c>
      <c r="O53" s="131">
        <f t="shared" si="20"/>
        <v>0</v>
      </c>
      <c r="P53" s="125">
        <f t="shared" si="21"/>
        <v>51627.58</v>
      </c>
      <c r="Q53" s="74"/>
      <c r="R53" s="74"/>
      <c r="S53" s="74">
        <f t="shared" si="41"/>
        <v>0</v>
      </c>
      <c r="T53" s="74">
        <f t="shared" si="42"/>
        <v>0</v>
      </c>
      <c r="U53" s="74"/>
      <c r="V53" s="74"/>
      <c r="W53" s="74">
        <v>50000</v>
      </c>
      <c r="X53" s="74">
        <v>51627.58</v>
      </c>
      <c r="Y53" s="74">
        <f t="shared" si="22"/>
        <v>50000</v>
      </c>
      <c r="Z53" s="74">
        <f t="shared" si="22"/>
        <v>51627.58</v>
      </c>
      <c r="AA53" s="74"/>
      <c r="AB53" s="74"/>
      <c r="AC53" s="74"/>
      <c r="AD53" s="74"/>
      <c r="AE53" s="74">
        <f t="shared" si="23"/>
        <v>0</v>
      </c>
      <c r="AF53" s="74">
        <f t="shared" si="23"/>
        <v>0</v>
      </c>
      <c r="AG53" s="74">
        <f t="shared" si="24"/>
        <v>0</v>
      </c>
      <c r="AH53" s="74">
        <f t="shared" si="25"/>
        <v>0</v>
      </c>
      <c r="AI53" s="74">
        <f t="shared" si="25"/>
        <v>50000</v>
      </c>
      <c r="AJ53" s="74">
        <f t="shared" si="26"/>
        <v>51627.58</v>
      </c>
      <c r="AK53" s="74">
        <f t="shared" si="27"/>
        <v>50000</v>
      </c>
      <c r="AL53" s="74">
        <f t="shared" si="27"/>
        <v>51627.58</v>
      </c>
      <c r="AM53" s="74"/>
      <c r="AN53" s="74"/>
      <c r="AO53" s="74"/>
      <c r="AP53" s="74"/>
      <c r="AQ53" s="74"/>
      <c r="AR53" s="74">
        <f t="shared" si="28"/>
        <v>0</v>
      </c>
      <c r="AS53" s="74">
        <f t="shared" si="28"/>
        <v>0</v>
      </c>
      <c r="AT53" s="74"/>
      <c r="AU53" s="74"/>
      <c r="AV53" s="74"/>
      <c r="AW53" s="74"/>
      <c r="AX53" s="74">
        <f t="shared" si="29"/>
        <v>0</v>
      </c>
      <c r="AY53" s="74">
        <f t="shared" si="29"/>
        <v>0</v>
      </c>
      <c r="AZ53" s="74"/>
      <c r="BA53" s="74"/>
      <c r="BB53" s="74"/>
      <c r="BC53" s="74"/>
      <c r="BD53" s="74">
        <f t="shared" si="30"/>
        <v>0</v>
      </c>
      <c r="BE53" s="74"/>
      <c r="BF53" s="74">
        <f t="shared" si="43"/>
        <v>0</v>
      </c>
      <c r="BG53" s="74"/>
      <c r="BH53" s="74"/>
      <c r="BI53" s="74"/>
      <c r="BJ53" s="74"/>
      <c r="BK53" s="74">
        <f t="shared" si="31"/>
        <v>0</v>
      </c>
      <c r="BL53" s="74"/>
      <c r="BM53" s="74">
        <f t="shared" si="44"/>
        <v>0</v>
      </c>
      <c r="BN53" s="74"/>
      <c r="BO53" s="74"/>
      <c r="BP53" s="74"/>
      <c r="BQ53" s="74"/>
      <c r="BR53" s="74">
        <f t="shared" si="32"/>
        <v>0</v>
      </c>
      <c r="BS53" s="74">
        <f t="shared" si="32"/>
        <v>0</v>
      </c>
      <c r="BT53" s="74"/>
      <c r="BU53" s="74"/>
      <c r="BV53" s="74"/>
      <c r="BW53" s="74"/>
      <c r="BX53" s="74">
        <f t="shared" si="33"/>
        <v>0</v>
      </c>
      <c r="BY53" s="74">
        <f t="shared" si="33"/>
        <v>0</v>
      </c>
      <c r="BZ53" s="74"/>
      <c r="CA53" s="74"/>
      <c r="CB53" s="74"/>
      <c r="CC53" s="74"/>
      <c r="CD53" s="74">
        <f t="shared" si="34"/>
        <v>0</v>
      </c>
      <c r="CE53" s="74">
        <f t="shared" si="34"/>
        <v>0</v>
      </c>
      <c r="CF53" s="74"/>
      <c r="CG53" s="74"/>
      <c r="CH53" s="74"/>
      <c r="CI53" s="74"/>
      <c r="CJ53" s="74">
        <f t="shared" si="35"/>
        <v>0</v>
      </c>
      <c r="CK53" s="74">
        <f t="shared" si="35"/>
        <v>0</v>
      </c>
      <c r="CL53" s="74"/>
      <c r="CM53" s="74"/>
      <c r="CN53" s="74"/>
      <c r="CO53" s="74"/>
      <c r="CP53" s="74">
        <f t="shared" si="36"/>
        <v>0</v>
      </c>
      <c r="CQ53" s="74">
        <f t="shared" si="36"/>
        <v>0</v>
      </c>
      <c r="CR53" s="74"/>
      <c r="CS53" s="74"/>
      <c r="CT53" s="74"/>
      <c r="CU53" s="74"/>
      <c r="CV53" s="74">
        <f t="shared" si="37"/>
        <v>0</v>
      </c>
      <c r="CW53" s="74">
        <f t="shared" si="37"/>
        <v>0</v>
      </c>
      <c r="CX53" s="74"/>
      <c r="CY53" s="74"/>
      <c r="CZ53" s="74"/>
      <c r="DA53" s="74"/>
      <c r="DB53" s="74">
        <f t="shared" si="38"/>
        <v>0</v>
      </c>
      <c r="DC53" s="74">
        <f t="shared" si="38"/>
        <v>0</v>
      </c>
      <c r="DD53" s="74"/>
      <c r="DE53" s="74"/>
      <c r="DF53" s="74"/>
      <c r="DG53" s="74"/>
      <c r="DH53" s="74">
        <f t="shared" si="39"/>
        <v>0</v>
      </c>
      <c r="DI53" s="74">
        <f t="shared" si="39"/>
        <v>0</v>
      </c>
      <c r="DJ53" s="74">
        <f t="shared" si="45"/>
        <v>0</v>
      </c>
      <c r="DK53" s="74">
        <f t="shared" si="46"/>
        <v>0</v>
      </c>
      <c r="DL53" s="74">
        <f t="shared" si="47"/>
        <v>0</v>
      </c>
      <c r="DM53" s="74">
        <f t="shared" si="48"/>
        <v>0</v>
      </c>
      <c r="DN53" s="74">
        <f t="shared" si="40"/>
        <v>0</v>
      </c>
      <c r="DO53" s="74">
        <f t="shared" si="40"/>
        <v>0</v>
      </c>
    </row>
    <row r="54" spans="1:119">
      <c r="A54" s="25">
        <v>46</v>
      </c>
      <c r="B54" s="26" t="s">
        <v>87</v>
      </c>
      <c r="C54" s="26" t="s">
        <v>528</v>
      </c>
      <c r="D54" s="26" t="s">
        <v>529</v>
      </c>
      <c r="E54" s="205" t="s">
        <v>1164</v>
      </c>
      <c r="F54" s="161">
        <f t="shared" si="14"/>
        <v>0</v>
      </c>
      <c r="G54" s="161">
        <f t="shared" si="15"/>
        <v>0</v>
      </c>
      <c r="H54" s="165">
        <f t="shared" si="16"/>
        <v>787.5</v>
      </c>
      <c r="I54" s="12">
        <v>0</v>
      </c>
      <c r="J54" s="219">
        <v>0</v>
      </c>
      <c r="K54" s="219">
        <v>0</v>
      </c>
      <c r="L54" s="127">
        <f t="shared" si="17"/>
        <v>787.5</v>
      </c>
      <c r="M54" s="127">
        <f t="shared" si="18"/>
        <v>787.5</v>
      </c>
      <c r="N54" s="127">
        <f t="shared" si="19"/>
        <v>787.5</v>
      </c>
      <c r="O54" s="131">
        <f t="shared" si="20"/>
        <v>0</v>
      </c>
      <c r="P54" s="125">
        <f t="shared" si="21"/>
        <v>787.5</v>
      </c>
      <c r="Q54" s="74"/>
      <c r="R54" s="74">
        <v>787.5</v>
      </c>
      <c r="S54" s="74">
        <f t="shared" si="41"/>
        <v>0</v>
      </c>
      <c r="T54" s="74">
        <f t="shared" si="42"/>
        <v>787.5</v>
      </c>
      <c r="U54" s="74"/>
      <c r="V54" s="74"/>
      <c r="W54" s="74"/>
      <c r="X54" s="74"/>
      <c r="Y54" s="74">
        <f t="shared" si="22"/>
        <v>0</v>
      </c>
      <c r="Z54" s="74">
        <f t="shared" si="22"/>
        <v>0</v>
      </c>
      <c r="AA54" s="74"/>
      <c r="AB54" s="74"/>
      <c r="AC54" s="74"/>
      <c r="AD54" s="74"/>
      <c r="AE54" s="74">
        <f t="shared" si="23"/>
        <v>0</v>
      </c>
      <c r="AF54" s="74">
        <f t="shared" si="23"/>
        <v>0</v>
      </c>
      <c r="AG54" s="74">
        <f t="shared" si="24"/>
        <v>0</v>
      </c>
      <c r="AH54" s="74">
        <f t="shared" si="25"/>
        <v>0</v>
      </c>
      <c r="AI54" s="74">
        <f t="shared" si="25"/>
        <v>787.5</v>
      </c>
      <c r="AJ54" s="74">
        <f t="shared" si="26"/>
        <v>787.5</v>
      </c>
      <c r="AK54" s="74">
        <f t="shared" si="27"/>
        <v>787.5</v>
      </c>
      <c r="AL54" s="74">
        <f t="shared" si="27"/>
        <v>787.5</v>
      </c>
      <c r="AM54" s="74"/>
      <c r="AN54" s="74"/>
      <c r="AO54" s="74"/>
      <c r="AP54" s="74"/>
      <c r="AQ54" s="74"/>
      <c r="AR54" s="74">
        <f t="shared" si="28"/>
        <v>0</v>
      </c>
      <c r="AS54" s="74">
        <f t="shared" si="28"/>
        <v>0</v>
      </c>
      <c r="AT54" s="74"/>
      <c r="AU54" s="74"/>
      <c r="AV54" s="74"/>
      <c r="AW54" s="74"/>
      <c r="AX54" s="74">
        <f t="shared" si="29"/>
        <v>0</v>
      </c>
      <c r="AY54" s="74">
        <f t="shared" si="29"/>
        <v>0</v>
      </c>
      <c r="AZ54" s="74"/>
      <c r="BA54" s="74"/>
      <c r="BB54" s="74"/>
      <c r="BC54" s="74"/>
      <c r="BD54" s="74">
        <f t="shared" si="30"/>
        <v>0</v>
      </c>
      <c r="BE54" s="74"/>
      <c r="BF54" s="74">
        <f t="shared" si="43"/>
        <v>0</v>
      </c>
      <c r="BG54" s="74"/>
      <c r="BH54" s="74"/>
      <c r="BI54" s="74"/>
      <c r="BJ54" s="74"/>
      <c r="BK54" s="74">
        <f t="shared" si="31"/>
        <v>0</v>
      </c>
      <c r="BL54" s="74"/>
      <c r="BM54" s="74">
        <f t="shared" si="44"/>
        <v>0</v>
      </c>
      <c r="BN54" s="74"/>
      <c r="BO54" s="74"/>
      <c r="BP54" s="74"/>
      <c r="BQ54" s="74"/>
      <c r="BR54" s="74">
        <f t="shared" si="32"/>
        <v>0</v>
      </c>
      <c r="BS54" s="74">
        <f t="shared" si="32"/>
        <v>0</v>
      </c>
      <c r="BT54" s="74"/>
      <c r="BU54" s="74"/>
      <c r="BV54" s="74"/>
      <c r="BW54" s="74"/>
      <c r="BX54" s="74">
        <f t="shared" si="33"/>
        <v>0</v>
      </c>
      <c r="BY54" s="74">
        <f t="shared" si="33"/>
        <v>0</v>
      </c>
      <c r="BZ54" s="74"/>
      <c r="CA54" s="74"/>
      <c r="CB54" s="74"/>
      <c r="CC54" s="74"/>
      <c r="CD54" s="74">
        <f t="shared" si="34"/>
        <v>0</v>
      </c>
      <c r="CE54" s="74">
        <f t="shared" si="34"/>
        <v>0</v>
      </c>
      <c r="CF54" s="74"/>
      <c r="CG54" s="74"/>
      <c r="CH54" s="74"/>
      <c r="CI54" s="74"/>
      <c r="CJ54" s="74">
        <f t="shared" si="35"/>
        <v>0</v>
      </c>
      <c r="CK54" s="74">
        <f t="shared" si="35"/>
        <v>0</v>
      </c>
      <c r="CL54" s="74"/>
      <c r="CM54" s="74"/>
      <c r="CN54" s="74"/>
      <c r="CO54" s="74"/>
      <c r="CP54" s="74">
        <f t="shared" si="36"/>
        <v>0</v>
      </c>
      <c r="CQ54" s="74">
        <f t="shared" si="36"/>
        <v>0</v>
      </c>
      <c r="CR54" s="74"/>
      <c r="CS54" s="74"/>
      <c r="CT54" s="74"/>
      <c r="CU54" s="74"/>
      <c r="CV54" s="74">
        <f t="shared" si="37"/>
        <v>0</v>
      </c>
      <c r="CW54" s="74">
        <f t="shared" si="37"/>
        <v>0</v>
      </c>
      <c r="CX54" s="74"/>
      <c r="CY54" s="74"/>
      <c r="CZ54" s="74"/>
      <c r="DA54" s="74"/>
      <c r="DB54" s="74">
        <f t="shared" si="38"/>
        <v>0</v>
      </c>
      <c r="DC54" s="74">
        <f t="shared" si="38"/>
        <v>0</v>
      </c>
      <c r="DD54" s="74"/>
      <c r="DE54" s="74"/>
      <c r="DF54" s="74"/>
      <c r="DG54" s="74"/>
      <c r="DH54" s="74">
        <f t="shared" si="39"/>
        <v>0</v>
      </c>
      <c r="DI54" s="74">
        <f t="shared" si="39"/>
        <v>0</v>
      </c>
      <c r="DJ54" s="74">
        <f t="shared" si="45"/>
        <v>0</v>
      </c>
      <c r="DK54" s="74">
        <f t="shared" si="46"/>
        <v>0</v>
      </c>
      <c r="DL54" s="74">
        <f t="shared" si="47"/>
        <v>0</v>
      </c>
      <c r="DM54" s="74">
        <f t="shared" si="48"/>
        <v>0</v>
      </c>
      <c r="DN54" s="74">
        <f t="shared" si="40"/>
        <v>0</v>
      </c>
      <c r="DO54" s="74">
        <f t="shared" si="40"/>
        <v>0</v>
      </c>
    </row>
    <row r="55" spans="1:119">
      <c r="A55" s="25">
        <v>47</v>
      </c>
      <c r="B55" s="26" t="s">
        <v>87</v>
      </c>
      <c r="C55" s="26" t="s">
        <v>528</v>
      </c>
      <c r="D55" s="26" t="s">
        <v>530</v>
      </c>
      <c r="E55" s="205" t="s">
        <v>1165</v>
      </c>
      <c r="F55" s="161">
        <f t="shared" si="14"/>
        <v>0</v>
      </c>
      <c r="G55" s="161">
        <f t="shared" si="15"/>
        <v>0</v>
      </c>
      <c r="H55" s="165">
        <f t="shared" si="16"/>
        <v>34696.704200276647</v>
      </c>
      <c r="I55" s="12">
        <v>74340</v>
      </c>
      <c r="J55" s="219">
        <v>0</v>
      </c>
      <c r="K55" s="219">
        <v>0</v>
      </c>
      <c r="L55" s="127">
        <f t="shared" si="17"/>
        <v>34696.704200276647</v>
      </c>
      <c r="M55" s="127">
        <f t="shared" si="18"/>
        <v>34696.704200276647</v>
      </c>
      <c r="N55" s="127">
        <f t="shared" si="19"/>
        <v>34696.704200276647</v>
      </c>
      <c r="O55" s="131">
        <f t="shared" si="20"/>
        <v>0</v>
      </c>
      <c r="P55" s="125">
        <f t="shared" si="21"/>
        <v>34696.704200276647</v>
      </c>
      <c r="Q55" s="74"/>
      <c r="R55" s="74">
        <v>34696.704200276647</v>
      </c>
      <c r="S55" s="74">
        <f t="shared" si="41"/>
        <v>0</v>
      </c>
      <c r="T55" s="74">
        <f t="shared" si="42"/>
        <v>34696.704200276647</v>
      </c>
      <c r="U55" s="74"/>
      <c r="V55" s="74"/>
      <c r="W55" s="74"/>
      <c r="X55" s="74"/>
      <c r="Y55" s="74">
        <f t="shared" si="22"/>
        <v>0</v>
      </c>
      <c r="Z55" s="74">
        <f t="shared" si="22"/>
        <v>0</v>
      </c>
      <c r="AA55" s="74"/>
      <c r="AB55" s="74"/>
      <c r="AC55" s="74"/>
      <c r="AD55" s="74"/>
      <c r="AE55" s="74">
        <f t="shared" si="23"/>
        <v>0</v>
      </c>
      <c r="AF55" s="74">
        <f t="shared" si="23"/>
        <v>0</v>
      </c>
      <c r="AG55" s="74">
        <f t="shared" si="24"/>
        <v>0</v>
      </c>
      <c r="AH55" s="74">
        <f t="shared" si="25"/>
        <v>0</v>
      </c>
      <c r="AI55" s="74">
        <f t="shared" si="25"/>
        <v>34696.704200276647</v>
      </c>
      <c r="AJ55" s="74">
        <f t="shared" si="26"/>
        <v>34696.704200276647</v>
      </c>
      <c r="AK55" s="74">
        <f t="shared" si="27"/>
        <v>34696.704200276647</v>
      </c>
      <c r="AL55" s="74">
        <f t="shared" si="27"/>
        <v>34696.704200276647</v>
      </c>
      <c r="AM55" s="74"/>
      <c r="AN55" s="74"/>
      <c r="AO55" s="74"/>
      <c r="AP55" s="74"/>
      <c r="AQ55" s="74"/>
      <c r="AR55" s="74">
        <f t="shared" si="28"/>
        <v>0</v>
      </c>
      <c r="AS55" s="74">
        <f t="shared" si="28"/>
        <v>0</v>
      </c>
      <c r="AT55" s="74"/>
      <c r="AU55" s="74"/>
      <c r="AV55" s="74"/>
      <c r="AW55" s="74"/>
      <c r="AX55" s="74">
        <f t="shared" si="29"/>
        <v>0</v>
      </c>
      <c r="AY55" s="74">
        <f t="shared" si="29"/>
        <v>0</v>
      </c>
      <c r="AZ55" s="74"/>
      <c r="BA55" s="74"/>
      <c r="BB55" s="74"/>
      <c r="BC55" s="74"/>
      <c r="BD55" s="74">
        <f t="shared" si="30"/>
        <v>0</v>
      </c>
      <c r="BE55" s="74"/>
      <c r="BF55" s="74">
        <f t="shared" si="43"/>
        <v>0</v>
      </c>
      <c r="BG55" s="74"/>
      <c r="BH55" s="74"/>
      <c r="BI55" s="74"/>
      <c r="BJ55" s="74"/>
      <c r="BK55" s="74">
        <f t="shared" si="31"/>
        <v>0</v>
      </c>
      <c r="BL55" s="74"/>
      <c r="BM55" s="74">
        <f t="shared" si="44"/>
        <v>0</v>
      </c>
      <c r="BN55" s="74"/>
      <c r="BO55" s="74"/>
      <c r="BP55" s="74"/>
      <c r="BQ55" s="74"/>
      <c r="BR55" s="74">
        <f t="shared" si="32"/>
        <v>0</v>
      </c>
      <c r="BS55" s="74">
        <f t="shared" si="32"/>
        <v>0</v>
      </c>
      <c r="BT55" s="74"/>
      <c r="BU55" s="74"/>
      <c r="BV55" s="74"/>
      <c r="BW55" s="74"/>
      <c r="BX55" s="74">
        <f t="shared" si="33"/>
        <v>0</v>
      </c>
      <c r="BY55" s="74">
        <f t="shared" si="33"/>
        <v>0</v>
      </c>
      <c r="BZ55" s="74"/>
      <c r="CA55" s="74"/>
      <c r="CB55" s="74"/>
      <c r="CC55" s="74"/>
      <c r="CD55" s="74">
        <f t="shared" si="34"/>
        <v>0</v>
      </c>
      <c r="CE55" s="74">
        <f t="shared" si="34"/>
        <v>0</v>
      </c>
      <c r="CF55" s="74"/>
      <c r="CG55" s="74"/>
      <c r="CH55" s="74"/>
      <c r="CI55" s="74"/>
      <c r="CJ55" s="74">
        <f t="shared" si="35"/>
        <v>0</v>
      </c>
      <c r="CK55" s="74">
        <f t="shared" si="35"/>
        <v>0</v>
      </c>
      <c r="CL55" s="74"/>
      <c r="CM55" s="74"/>
      <c r="CN55" s="74"/>
      <c r="CO55" s="74"/>
      <c r="CP55" s="74">
        <f t="shared" si="36"/>
        <v>0</v>
      </c>
      <c r="CQ55" s="74">
        <f t="shared" si="36"/>
        <v>0</v>
      </c>
      <c r="CR55" s="74"/>
      <c r="CS55" s="74"/>
      <c r="CT55" s="74"/>
      <c r="CU55" s="74"/>
      <c r="CV55" s="74">
        <f t="shared" si="37"/>
        <v>0</v>
      </c>
      <c r="CW55" s="74">
        <f t="shared" si="37"/>
        <v>0</v>
      </c>
      <c r="CX55" s="74"/>
      <c r="CY55" s="74"/>
      <c r="CZ55" s="74"/>
      <c r="DA55" s="74"/>
      <c r="DB55" s="74">
        <f t="shared" si="38"/>
        <v>0</v>
      </c>
      <c r="DC55" s="74">
        <f t="shared" si="38"/>
        <v>0</v>
      </c>
      <c r="DD55" s="74"/>
      <c r="DE55" s="74"/>
      <c r="DF55" s="74"/>
      <c r="DG55" s="74"/>
      <c r="DH55" s="74">
        <f t="shared" si="39"/>
        <v>0</v>
      </c>
      <c r="DI55" s="74">
        <f t="shared" si="39"/>
        <v>0</v>
      </c>
      <c r="DJ55" s="74">
        <f t="shared" si="45"/>
        <v>0</v>
      </c>
      <c r="DK55" s="74">
        <f t="shared" si="46"/>
        <v>0</v>
      </c>
      <c r="DL55" s="74">
        <f t="shared" si="47"/>
        <v>0</v>
      </c>
      <c r="DM55" s="74">
        <f t="shared" si="48"/>
        <v>0</v>
      </c>
      <c r="DN55" s="74">
        <f t="shared" si="40"/>
        <v>0</v>
      </c>
      <c r="DO55" s="74">
        <f t="shared" si="40"/>
        <v>0</v>
      </c>
    </row>
    <row r="56" spans="1:119">
      <c r="A56" s="25">
        <v>48</v>
      </c>
      <c r="B56" s="26" t="s">
        <v>87</v>
      </c>
      <c r="C56" s="26" t="s">
        <v>531</v>
      </c>
      <c r="D56" s="26" t="s">
        <v>532</v>
      </c>
      <c r="E56" s="205" t="s">
        <v>1164</v>
      </c>
      <c r="F56" s="161">
        <f t="shared" si="14"/>
        <v>0</v>
      </c>
      <c r="G56" s="161">
        <f t="shared" si="15"/>
        <v>0</v>
      </c>
      <c r="H56" s="165">
        <f t="shared" si="16"/>
        <v>1051.75</v>
      </c>
      <c r="I56" s="12">
        <v>0</v>
      </c>
      <c r="J56" s="219">
        <v>0</v>
      </c>
      <c r="K56" s="219">
        <v>0</v>
      </c>
      <c r="L56" s="127">
        <f t="shared" si="17"/>
        <v>1051.75</v>
      </c>
      <c r="M56" s="127">
        <f t="shared" si="18"/>
        <v>1051.75</v>
      </c>
      <c r="N56" s="127">
        <f t="shared" si="19"/>
        <v>1051.75</v>
      </c>
      <c r="O56" s="131">
        <f t="shared" si="20"/>
        <v>0</v>
      </c>
      <c r="P56" s="125">
        <f t="shared" si="21"/>
        <v>1051.75</v>
      </c>
      <c r="Q56" s="74"/>
      <c r="R56" s="74">
        <v>1051.75</v>
      </c>
      <c r="S56" s="74">
        <f t="shared" si="41"/>
        <v>0</v>
      </c>
      <c r="T56" s="74">
        <f t="shared" si="42"/>
        <v>1051.75</v>
      </c>
      <c r="U56" s="74"/>
      <c r="V56" s="74"/>
      <c r="W56" s="74"/>
      <c r="X56" s="74"/>
      <c r="Y56" s="74">
        <f t="shared" si="22"/>
        <v>0</v>
      </c>
      <c r="Z56" s="74">
        <f t="shared" si="22"/>
        <v>0</v>
      </c>
      <c r="AA56" s="74"/>
      <c r="AB56" s="74"/>
      <c r="AC56" s="74"/>
      <c r="AD56" s="74"/>
      <c r="AE56" s="74">
        <f t="shared" si="23"/>
        <v>0</v>
      </c>
      <c r="AF56" s="74">
        <f t="shared" si="23"/>
        <v>0</v>
      </c>
      <c r="AG56" s="74">
        <f t="shared" si="24"/>
        <v>0</v>
      </c>
      <c r="AH56" s="74">
        <f t="shared" si="25"/>
        <v>0</v>
      </c>
      <c r="AI56" s="74">
        <f t="shared" si="25"/>
        <v>1051.75</v>
      </c>
      <c r="AJ56" s="74">
        <f t="shared" si="26"/>
        <v>1051.75</v>
      </c>
      <c r="AK56" s="74">
        <f t="shared" si="27"/>
        <v>1051.75</v>
      </c>
      <c r="AL56" s="74">
        <f t="shared" si="27"/>
        <v>1051.75</v>
      </c>
      <c r="AM56" s="74"/>
      <c r="AN56" s="74"/>
      <c r="AO56" s="74"/>
      <c r="AP56" s="74"/>
      <c r="AQ56" s="74"/>
      <c r="AR56" s="74">
        <f t="shared" si="28"/>
        <v>0</v>
      </c>
      <c r="AS56" s="74">
        <f t="shared" si="28"/>
        <v>0</v>
      </c>
      <c r="AT56" s="74"/>
      <c r="AU56" s="74"/>
      <c r="AV56" s="74"/>
      <c r="AW56" s="74"/>
      <c r="AX56" s="74">
        <f t="shared" si="29"/>
        <v>0</v>
      </c>
      <c r="AY56" s="74">
        <f t="shared" si="29"/>
        <v>0</v>
      </c>
      <c r="AZ56" s="74"/>
      <c r="BA56" s="74"/>
      <c r="BB56" s="74"/>
      <c r="BC56" s="74"/>
      <c r="BD56" s="74">
        <f t="shared" si="30"/>
        <v>0</v>
      </c>
      <c r="BE56" s="74"/>
      <c r="BF56" s="74">
        <f t="shared" si="43"/>
        <v>0</v>
      </c>
      <c r="BG56" s="74"/>
      <c r="BH56" s="74"/>
      <c r="BI56" s="74"/>
      <c r="BJ56" s="74"/>
      <c r="BK56" s="74">
        <f t="shared" si="31"/>
        <v>0</v>
      </c>
      <c r="BL56" s="74"/>
      <c r="BM56" s="74">
        <f t="shared" si="44"/>
        <v>0</v>
      </c>
      <c r="BN56" s="74"/>
      <c r="BO56" s="74"/>
      <c r="BP56" s="74"/>
      <c r="BQ56" s="74"/>
      <c r="BR56" s="74">
        <f t="shared" si="32"/>
        <v>0</v>
      </c>
      <c r="BS56" s="74">
        <f t="shared" si="32"/>
        <v>0</v>
      </c>
      <c r="BT56" s="74"/>
      <c r="BU56" s="74"/>
      <c r="BV56" s="74"/>
      <c r="BW56" s="74"/>
      <c r="BX56" s="74">
        <f t="shared" si="33"/>
        <v>0</v>
      </c>
      <c r="BY56" s="74">
        <f t="shared" si="33"/>
        <v>0</v>
      </c>
      <c r="BZ56" s="74"/>
      <c r="CA56" s="74"/>
      <c r="CB56" s="74"/>
      <c r="CC56" s="74"/>
      <c r="CD56" s="74">
        <f t="shared" si="34"/>
        <v>0</v>
      </c>
      <c r="CE56" s="74">
        <f t="shared" si="34"/>
        <v>0</v>
      </c>
      <c r="CF56" s="74"/>
      <c r="CG56" s="74"/>
      <c r="CH56" s="74"/>
      <c r="CI56" s="74"/>
      <c r="CJ56" s="74">
        <f t="shared" si="35"/>
        <v>0</v>
      </c>
      <c r="CK56" s="74">
        <f t="shared" si="35"/>
        <v>0</v>
      </c>
      <c r="CL56" s="74"/>
      <c r="CM56" s="74"/>
      <c r="CN56" s="74"/>
      <c r="CO56" s="74"/>
      <c r="CP56" s="74">
        <f t="shared" si="36"/>
        <v>0</v>
      </c>
      <c r="CQ56" s="74">
        <f t="shared" si="36"/>
        <v>0</v>
      </c>
      <c r="CR56" s="74"/>
      <c r="CS56" s="74"/>
      <c r="CT56" s="74"/>
      <c r="CU56" s="74"/>
      <c r="CV56" s="74">
        <f t="shared" si="37"/>
        <v>0</v>
      </c>
      <c r="CW56" s="74">
        <f t="shared" si="37"/>
        <v>0</v>
      </c>
      <c r="CX56" s="74"/>
      <c r="CY56" s="74"/>
      <c r="CZ56" s="74"/>
      <c r="DA56" s="74"/>
      <c r="DB56" s="74">
        <f t="shared" si="38"/>
        <v>0</v>
      </c>
      <c r="DC56" s="74">
        <f t="shared" si="38"/>
        <v>0</v>
      </c>
      <c r="DD56" s="74"/>
      <c r="DE56" s="74"/>
      <c r="DF56" s="74"/>
      <c r="DG56" s="74"/>
      <c r="DH56" s="74">
        <f t="shared" si="39"/>
        <v>0</v>
      </c>
      <c r="DI56" s="74">
        <f t="shared" si="39"/>
        <v>0</v>
      </c>
      <c r="DJ56" s="74">
        <f t="shared" si="45"/>
        <v>0</v>
      </c>
      <c r="DK56" s="74">
        <f t="shared" si="46"/>
        <v>0</v>
      </c>
      <c r="DL56" s="74">
        <f t="shared" si="47"/>
        <v>0</v>
      </c>
      <c r="DM56" s="74">
        <f t="shared" si="48"/>
        <v>0</v>
      </c>
      <c r="DN56" s="74">
        <f t="shared" si="40"/>
        <v>0</v>
      </c>
      <c r="DO56" s="74">
        <f t="shared" si="40"/>
        <v>0</v>
      </c>
    </row>
    <row r="57" spans="1:119" s="278" customFormat="1">
      <c r="A57" s="253">
        <v>49</v>
      </c>
      <c r="B57" s="276" t="s">
        <v>87</v>
      </c>
      <c r="C57" s="276" t="s">
        <v>531</v>
      </c>
      <c r="D57" s="276" t="s">
        <v>533</v>
      </c>
      <c r="E57" s="276" t="s">
        <v>1165</v>
      </c>
      <c r="F57" s="255">
        <f t="shared" si="14"/>
        <v>0</v>
      </c>
      <c r="G57" s="255">
        <f t="shared" si="15"/>
        <v>0</v>
      </c>
      <c r="H57" s="256">
        <f t="shared" si="16"/>
        <v>0</v>
      </c>
      <c r="I57" s="277">
        <v>24780</v>
      </c>
      <c r="J57" s="258">
        <v>0</v>
      </c>
      <c r="K57" s="258"/>
      <c r="L57" s="255">
        <f t="shared" si="17"/>
        <v>0</v>
      </c>
      <c r="M57" s="255">
        <f t="shared" si="18"/>
        <v>0</v>
      </c>
      <c r="N57" s="255">
        <f t="shared" si="19"/>
        <v>0</v>
      </c>
      <c r="O57" s="255">
        <f t="shared" si="20"/>
        <v>0</v>
      </c>
      <c r="P57" s="255" t="str">
        <f t="shared" si="21"/>
        <v>ნულოვანი შესრულება</v>
      </c>
      <c r="Q57" s="258"/>
      <c r="R57" s="258"/>
      <c r="S57" s="258">
        <f t="shared" si="41"/>
        <v>0</v>
      </c>
      <c r="T57" s="258">
        <f t="shared" si="42"/>
        <v>0</v>
      </c>
      <c r="U57" s="258"/>
      <c r="V57" s="258"/>
      <c r="W57" s="258"/>
      <c r="X57" s="258"/>
      <c r="Y57" s="258">
        <f t="shared" si="22"/>
        <v>0</v>
      </c>
      <c r="Z57" s="258">
        <f t="shared" si="22"/>
        <v>0</v>
      </c>
      <c r="AA57" s="258"/>
      <c r="AB57" s="258"/>
      <c r="AC57" s="258"/>
      <c r="AD57" s="258"/>
      <c r="AE57" s="258">
        <f t="shared" si="23"/>
        <v>0</v>
      </c>
      <c r="AF57" s="258">
        <f t="shared" si="23"/>
        <v>0</v>
      </c>
      <c r="AG57" s="258">
        <f t="shared" si="24"/>
        <v>0</v>
      </c>
      <c r="AH57" s="258">
        <f t="shared" si="25"/>
        <v>0</v>
      </c>
      <c r="AI57" s="258">
        <f t="shared" si="25"/>
        <v>0</v>
      </c>
      <c r="AJ57" s="258">
        <f t="shared" si="26"/>
        <v>0</v>
      </c>
      <c r="AK57" s="258">
        <f t="shared" si="27"/>
        <v>0</v>
      </c>
      <c r="AL57" s="258">
        <f t="shared" si="27"/>
        <v>0</v>
      </c>
      <c r="AM57" s="258"/>
      <c r="AN57" s="258"/>
      <c r="AO57" s="258"/>
      <c r="AP57" s="258"/>
      <c r="AQ57" s="258"/>
      <c r="AR57" s="258">
        <f t="shared" si="28"/>
        <v>0</v>
      </c>
      <c r="AS57" s="258">
        <f t="shared" si="28"/>
        <v>0</v>
      </c>
      <c r="AT57" s="258"/>
      <c r="AU57" s="258"/>
      <c r="AV57" s="258"/>
      <c r="AW57" s="258"/>
      <c r="AX57" s="258">
        <f t="shared" si="29"/>
        <v>0</v>
      </c>
      <c r="AY57" s="258">
        <f t="shared" si="29"/>
        <v>0</v>
      </c>
      <c r="AZ57" s="258"/>
      <c r="BA57" s="258"/>
      <c r="BB57" s="258"/>
      <c r="BC57" s="258"/>
      <c r="BD57" s="258">
        <f t="shared" si="30"/>
        <v>0</v>
      </c>
      <c r="BE57" s="258"/>
      <c r="BF57" s="258">
        <f t="shared" si="43"/>
        <v>0</v>
      </c>
      <c r="BG57" s="258"/>
      <c r="BH57" s="258"/>
      <c r="BI57" s="258"/>
      <c r="BJ57" s="258"/>
      <c r="BK57" s="258">
        <f t="shared" si="31"/>
        <v>0</v>
      </c>
      <c r="BL57" s="258"/>
      <c r="BM57" s="258">
        <f t="shared" si="44"/>
        <v>0</v>
      </c>
      <c r="BN57" s="258"/>
      <c r="BO57" s="258"/>
      <c r="BP57" s="258"/>
      <c r="BQ57" s="258"/>
      <c r="BR57" s="258">
        <f t="shared" si="32"/>
        <v>0</v>
      </c>
      <c r="BS57" s="258">
        <f t="shared" si="32"/>
        <v>0</v>
      </c>
      <c r="BT57" s="258"/>
      <c r="BU57" s="258"/>
      <c r="BV57" s="258"/>
      <c r="BW57" s="258"/>
      <c r="BX57" s="258">
        <f t="shared" si="33"/>
        <v>0</v>
      </c>
      <c r="BY57" s="258">
        <f t="shared" si="33"/>
        <v>0</v>
      </c>
      <c r="BZ57" s="258"/>
      <c r="CA57" s="258"/>
      <c r="CB57" s="258"/>
      <c r="CC57" s="258"/>
      <c r="CD57" s="258">
        <f t="shared" si="34"/>
        <v>0</v>
      </c>
      <c r="CE57" s="258">
        <f t="shared" si="34"/>
        <v>0</v>
      </c>
      <c r="CF57" s="258"/>
      <c r="CG57" s="258"/>
      <c r="CH57" s="258"/>
      <c r="CI57" s="258"/>
      <c r="CJ57" s="258">
        <f t="shared" si="35"/>
        <v>0</v>
      </c>
      <c r="CK57" s="258">
        <f t="shared" si="35"/>
        <v>0</v>
      </c>
      <c r="CL57" s="258"/>
      <c r="CM57" s="258"/>
      <c r="CN57" s="258"/>
      <c r="CO57" s="258"/>
      <c r="CP57" s="258">
        <f t="shared" si="36"/>
        <v>0</v>
      </c>
      <c r="CQ57" s="258">
        <f t="shared" si="36"/>
        <v>0</v>
      </c>
      <c r="CR57" s="258"/>
      <c r="CS57" s="258"/>
      <c r="CT57" s="258"/>
      <c r="CU57" s="258"/>
      <c r="CV57" s="258">
        <f t="shared" si="37"/>
        <v>0</v>
      </c>
      <c r="CW57" s="258">
        <f t="shared" si="37"/>
        <v>0</v>
      </c>
      <c r="CX57" s="258"/>
      <c r="CY57" s="258"/>
      <c r="CZ57" s="258"/>
      <c r="DA57" s="258"/>
      <c r="DB57" s="258">
        <f t="shared" si="38"/>
        <v>0</v>
      </c>
      <c r="DC57" s="258">
        <f t="shared" si="38"/>
        <v>0</v>
      </c>
      <c r="DD57" s="258"/>
      <c r="DE57" s="258"/>
      <c r="DF57" s="258"/>
      <c r="DG57" s="258"/>
      <c r="DH57" s="258">
        <f t="shared" si="39"/>
        <v>0</v>
      </c>
      <c r="DI57" s="258">
        <f t="shared" si="39"/>
        <v>0</v>
      </c>
      <c r="DJ57" s="258">
        <f t="shared" si="45"/>
        <v>0</v>
      </c>
      <c r="DK57" s="258">
        <f t="shared" si="46"/>
        <v>0</v>
      </c>
      <c r="DL57" s="258">
        <f t="shared" si="47"/>
        <v>0</v>
      </c>
      <c r="DM57" s="258">
        <f t="shared" si="48"/>
        <v>0</v>
      </c>
      <c r="DN57" s="258">
        <f t="shared" si="40"/>
        <v>0</v>
      </c>
      <c r="DO57" s="258">
        <f t="shared" si="40"/>
        <v>0</v>
      </c>
    </row>
    <row r="58" spans="1:119">
      <c r="A58" s="25">
        <v>50</v>
      </c>
      <c r="B58" s="26" t="s">
        <v>87</v>
      </c>
      <c r="C58" s="26" t="s">
        <v>534</v>
      </c>
      <c r="D58" s="26" t="s">
        <v>535</v>
      </c>
      <c r="E58" s="205" t="s">
        <v>1164</v>
      </c>
      <c r="F58" s="161">
        <f t="shared" si="14"/>
        <v>0</v>
      </c>
      <c r="G58" s="161">
        <f t="shared" si="15"/>
        <v>0</v>
      </c>
      <c r="H58" s="165">
        <f t="shared" si="16"/>
        <v>428.75</v>
      </c>
      <c r="I58" s="12">
        <v>0</v>
      </c>
      <c r="J58" s="219">
        <v>0</v>
      </c>
      <c r="K58" s="219">
        <v>0</v>
      </c>
      <c r="L58" s="127">
        <f t="shared" si="17"/>
        <v>428.75</v>
      </c>
      <c r="M58" s="127">
        <f t="shared" si="18"/>
        <v>428.75</v>
      </c>
      <c r="N58" s="127">
        <f t="shared" si="19"/>
        <v>428.75</v>
      </c>
      <c r="O58" s="131">
        <f t="shared" si="20"/>
        <v>0</v>
      </c>
      <c r="P58" s="125">
        <f t="shared" si="21"/>
        <v>428.75</v>
      </c>
      <c r="Q58" s="74"/>
      <c r="R58" s="74">
        <v>428.75</v>
      </c>
      <c r="S58" s="74">
        <f t="shared" si="41"/>
        <v>0</v>
      </c>
      <c r="T58" s="74">
        <f t="shared" si="42"/>
        <v>428.75</v>
      </c>
      <c r="U58" s="74"/>
      <c r="V58" s="74"/>
      <c r="W58" s="74"/>
      <c r="X58" s="74"/>
      <c r="Y58" s="74">
        <f t="shared" si="22"/>
        <v>0</v>
      </c>
      <c r="Z58" s="74">
        <f t="shared" si="22"/>
        <v>0</v>
      </c>
      <c r="AA58" s="74"/>
      <c r="AB58" s="74"/>
      <c r="AC58" s="74"/>
      <c r="AD58" s="74"/>
      <c r="AE58" s="74">
        <f t="shared" si="23"/>
        <v>0</v>
      </c>
      <c r="AF58" s="74">
        <f t="shared" si="23"/>
        <v>0</v>
      </c>
      <c r="AG58" s="74">
        <f t="shared" si="24"/>
        <v>0</v>
      </c>
      <c r="AH58" s="74">
        <f t="shared" si="25"/>
        <v>0</v>
      </c>
      <c r="AI58" s="74">
        <f t="shared" si="25"/>
        <v>428.75</v>
      </c>
      <c r="AJ58" s="74">
        <f t="shared" si="26"/>
        <v>428.75</v>
      </c>
      <c r="AK58" s="74">
        <f t="shared" si="27"/>
        <v>428.75</v>
      </c>
      <c r="AL58" s="74">
        <f t="shared" si="27"/>
        <v>428.75</v>
      </c>
      <c r="AM58" s="74"/>
      <c r="AN58" s="74"/>
      <c r="AO58" s="74"/>
      <c r="AP58" s="74"/>
      <c r="AQ58" s="74"/>
      <c r="AR58" s="74">
        <f t="shared" si="28"/>
        <v>0</v>
      </c>
      <c r="AS58" s="74">
        <f t="shared" si="28"/>
        <v>0</v>
      </c>
      <c r="AT58" s="74"/>
      <c r="AU58" s="74"/>
      <c r="AV58" s="74"/>
      <c r="AW58" s="74"/>
      <c r="AX58" s="74">
        <f t="shared" si="29"/>
        <v>0</v>
      </c>
      <c r="AY58" s="74">
        <f t="shared" si="29"/>
        <v>0</v>
      </c>
      <c r="AZ58" s="74"/>
      <c r="BA58" s="74"/>
      <c r="BB58" s="74"/>
      <c r="BC58" s="74"/>
      <c r="BD58" s="74">
        <f t="shared" si="30"/>
        <v>0</v>
      </c>
      <c r="BE58" s="74"/>
      <c r="BF58" s="74">
        <f t="shared" si="43"/>
        <v>0</v>
      </c>
      <c r="BG58" s="74"/>
      <c r="BH58" s="74"/>
      <c r="BI58" s="74"/>
      <c r="BJ58" s="74"/>
      <c r="BK58" s="74">
        <f t="shared" si="31"/>
        <v>0</v>
      </c>
      <c r="BL58" s="74"/>
      <c r="BM58" s="74">
        <f t="shared" si="44"/>
        <v>0</v>
      </c>
      <c r="BN58" s="74"/>
      <c r="BO58" s="74"/>
      <c r="BP58" s="74"/>
      <c r="BQ58" s="74"/>
      <c r="BR58" s="74">
        <f t="shared" si="32"/>
        <v>0</v>
      </c>
      <c r="BS58" s="74">
        <f t="shared" si="32"/>
        <v>0</v>
      </c>
      <c r="BT58" s="74"/>
      <c r="BU58" s="74"/>
      <c r="BV58" s="74"/>
      <c r="BW58" s="74"/>
      <c r="BX58" s="74">
        <f t="shared" si="33"/>
        <v>0</v>
      </c>
      <c r="BY58" s="74">
        <f t="shared" si="33"/>
        <v>0</v>
      </c>
      <c r="BZ58" s="74"/>
      <c r="CA58" s="74"/>
      <c r="CB58" s="74"/>
      <c r="CC58" s="74"/>
      <c r="CD58" s="74">
        <f t="shared" si="34"/>
        <v>0</v>
      </c>
      <c r="CE58" s="74">
        <f t="shared" si="34"/>
        <v>0</v>
      </c>
      <c r="CF58" s="74"/>
      <c r="CG58" s="74"/>
      <c r="CH58" s="74"/>
      <c r="CI58" s="74"/>
      <c r="CJ58" s="74">
        <f t="shared" si="35"/>
        <v>0</v>
      </c>
      <c r="CK58" s="74">
        <f t="shared" si="35"/>
        <v>0</v>
      </c>
      <c r="CL58" s="74"/>
      <c r="CM58" s="74"/>
      <c r="CN58" s="74"/>
      <c r="CO58" s="74"/>
      <c r="CP58" s="74">
        <f t="shared" si="36"/>
        <v>0</v>
      </c>
      <c r="CQ58" s="74">
        <f t="shared" si="36"/>
        <v>0</v>
      </c>
      <c r="CR58" s="74"/>
      <c r="CS58" s="74"/>
      <c r="CT58" s="74"/>
      <c r="CU58" s="74"/>
      <c r="CV58" s="74">
        <f t="shared" si="37"/>
        <v>0</v>
      </c>
      <c r="CW58" s="74">
        <f t="shared" si="37"/>
        <v>0</v>
      </c>
      <c r="CX58" s="74"/>
      <c r="CY58" s="74"/>
      <c r="CZ58" s="74"/>
      <c r="DA58" s="74"/>
      <c r="DB58" s="74">
        <f t="shared" si="38"/>
        <v>0</v>
      </c>
      <c r="DC58" s="74">
        <f t="shared" si="38"/>
        <v>0</v>
      </c>
      <c r="DD58" s="74"/>
      <c r="DE58" s="74"/>
      <c r="DF58" s="74"/>
      <c r="DG58" s="74"/>
      <c r="DH58" s="74">
        <f t="shared" si="39"/>
        <v>0</v>
      </c>
      <c r="DI58" s="74">
        <f t="shared" si="39"/>
        <v>0</v>
      </c>
      <c r="DJ58" s="74">
        <f t="shared" si="45"/>
        <v>0</v>
      </c>
      <c r="DK58" s="74">
        <f t="shared" si="46"/>
        <v>0</v>
      </c>
      <c r="DL58" s="74">
        <f t="shared" si="47"/>
        <v>0</v>
      </c>
      <c r="DM58" s="74">
        <f t="shared" si="48"/>
        <v>0</v>
      </c>
      <c r="DN58" s="74">
        <f t="shared" si="40"/>
        <v>0</v>
      </c>
      <c r="DO58" s="74">
        <f t="shared" si="40"/>
        <v>0</v>
      </c>
    </row>
    <row r="59" spans="1:119">
      <c r="A59" s="25">
        <v>51</v>
      </c>
      <c r="B59" s="26" t="s">
        <v>87</v>
      </c>
      <c r="C59" s="26" t="s">
        <v>534</v>
      </c>
      <c r="D59" s="26" t="s">
        <v>536</v>
      </c>
      <c r="E59" s="205" t="s">
        <v>1165</v>
      </c>
      <c r="F59" s="161">
        <f t="shared" si="14"/>
        <v>50000</v>
      </c>
      <c r="G59" s="161">
        <f t="shared" si="15"/>
        <v>30920.49</v>
      </c>
      <c r="H59" s="165">
        <f t="shared" si="16"/>
        <v>50000</v>
      </c>
      <c r="I59" s="12">
        <v>24780</v>
      </c>
      <c r="J59" s="219">
        <v>0</v>
      </c>
      <c r="K59" s="219"/>
      <c r="L59" s="127">
        <f t="shared" si="17"/>
        <v>0</v>
      </c>
      <c r="M59" s="127">
        <f t="shared" si="18"/>
        <v>0</v>
      </c>
      <c r="N59" s="127">
        <f t="shared" si="19"/>
        <v>0</v>
      </c>
      <c r="O59" s="131">
        <f t="shared" si="20"/>
        <v>50000</v>
      </c>
      <c r="P59" s="125">
        <f t="shared" si="21"/>
        <v>30920.49</v>
      </c>
      <c r="Q59" s="74"/>
      <c r="R59" s="74"/>
      <c r="S59" s="74">
        <f t="shared" si="41"/>
        <v>0</v>
      </c>
      <c r="T59" s="74">
        <f t="shared" si="42"/>
        <v>0</v>
      </c>
      <c r="U59" s="74"/>
      <c r="V59" s="74"/>
      <c r="W59" s="74"/>
      <c r="X59" s="74"/>
      <c r="Y59" s="74">
        <f t="shared" si="22"/>
        <v>0</v>
      </c>
      <c r="Z59" s="74">
        <f t="shared" si="22"/>
        <v>0</v>
      </c>
      <c r="AA59" s="74"/>
      <c r="AB59" s="74"/>
      <c r="AC59" s="74"/>
      <c r="AD59" s="74"/>
      <c r="AE59" s="74">
        <f t="shared" si="23"/>
        <v>0</v>
      </c>
      <c r="AF59" s="74">
        <f t="shared" si="23"/>
        <v>0</v>
      </c>
      <c r="AG59" s="74">
        <f t="shared" si="24"/>
        <v>0</v>
      </c>
      <c r="AH59" s="74">
        <f t="shared" si="25"/>
        <v>0</v>
      </c>
      <c r="AI59" s="74">
        <f t="shared" si="25"/>
        <v>0</v>
      </c>
      <c r="AJ59" s="74">
        <f t="shared" si="26"/>
        <v>0</v>
      </c>
      <c r="AK59" s="74">
        <f t="shared" si="27"/>
        <v>0</v>
      </c>
      <c r="AL59" s="74">
        <f t="shared" si="27"/>
        <v>0</v>
      </c>
      <c r="AM59" s="74">
        <v>1</v>
      </c>
      <c r="AN59" s="74"/>
      <c r="AO59" s="74"/>
      <c r="AP59" s="74"/>
      <c r="AQ59" s="74"/>
      <c r="AR59" s="74">
        <f t="shared" si="28"/>
        <v>0</v>
      </c>
      <c r="AS59" s="74">
        <f t="shared" si="28"/>
        <v>0</v>
      </c>
      <c r="AT59" s="74"/>
      <c r="AU59" s="74"/>
      <c r="AV59" s="74">
        <v>25000</v>
      </c>
      <c r="AW59" s="74">
        <v>30920.49</v>
      </c>
      <c r="AX59" s="74">
        <f t="shared" si="29"/>
        <v>25000</v>
      </c>
      <c r="AY59" s="74">
        <f t="shared" si="29"/>
        <v>30920.49</v>
      </c>
      <c r="AZ59" s="74"/>
      <c r="BA59" s="74"/>
      <c r="BB59" s="74">
        <v>25000</v>
      </c>
      <c r="BC59" s="74"/>
      <c r="BD59" s="74">
        <f t="shared" si="30"/>
        <v>25000</v>
      </c>
      <c r="BE59" s="74"/>
      <c r="BF59" s="74">
        <f t="shared" si="43"/>
        <v>0</v>
      </c>
      <c r="BG59" s="74"/>
      <c r="BH59" s="74"/>
      <c r="BI59" s="74"/>
      <c r="BJ59" s="74"/>
      <c r="BK59" s="74">
        <f t="shared" si="31"/>
        <v>0</v>
      </c>
      <c r="BL59" s="74"/>
      <c r="BM59" s="74">
        <f t="shared" si="44"/>
        <v>0</v>
      </c>
      <c r="BN59" s="74"/>
      <c r="BO59" s="74"/>
      <c r="BP59" s="74"/>
      <c r="BQ59" s="74"/>
      <c r="BR59" s="74">
        <f t="shared" si="32"/>
        <v>0</v>
      </c>
      <c r="BS59" s="74">
        <f t="shared" si="32"/>
        <v>0</v>
      </c>
      <c r="BT59" s="74"/>
      <c r="BU59" s="74"/>
      <c r="BV59" s="74"/>
      <c r="BW59" s="74"/>
      <c r="BX59" s="74">
        <f t="shared" si="33"/>
        <v>0</v>
      </c>
      <c r="BY59" s="74">
        <f t="shared" si="33"/>
        <v>0</v>
      </c>
      <c r="BZ59" s="74"/>
      <c r="CA59" s="74"/>
      <c r="CB59" s="74"/>
      <c r="CC59" s="74"/>
      <c r="CD59" s="74">
        <f t="shared" si="34"/>
        <v>0</v>
      </c>
      <c r="CE59" s="74">
        <f t="shared" si="34"/>
        <v>0</v>
      </c>
      <c r="CF59" s="74"/>
      <c r="CG59" s="74"/>
      <c r="CH59" s="74"/>
      <c r="CI59" s="74"/>
      <c r="CJ59" s="74">
        <f t="shared" si="35"/>
        <v>0</v>
      </c>
      <c r="CK59" s="74">
        <f t="shared" si="35"/>
        <v>0</v>
      </c>
      <c r="CL59" s="74"/>
      <c r="CM59" s="74"/>
      <c r="CN59" s="74"/>
      <c r="CO59" s="74"/>
      <c r="CP59" s="74">
        <f t="shared" si="36"/>
        <v>0</v>
      </c>
      <c r="CQ59" s="74">
        <f t="shared" si="36"/>
        <v>0</v>
      </c>
      <c r="CR59" s="74"/>
      <c r="CS59" s="74"/>
      <c r="CT59" s="74"/>
      <c r="CU59" s="74"/>
      <c r="CV59" s="74">
        <f t="shared" si="37"/>
        <v>0</v>
      </c>
      <c r="CW59" s="74">
        <f t="shared" si="37"/>
        <v>0</v>
      </c>
      <c r="CX59" s="74"/>
      <c r="CY59" s="74"/>
      <c r="CZ59" s="74"/>
      <c r="DA59" s="74"/>
      <c r="DB59" s="74">
        <f t="shared" si="38"/>
        <v>0</v>
      </c>
      <c r="DC59" s="74">
        <f t="shared" si="38"/>
        <v>0</v>
      </c>
      <c r="DD59" s="74"/>
      <c r="DE59" s="74"/>
      <c r="DF59" s="74"/>
      <c r="DG59" s="74"/>
      <c r="DH59" s="74">
        <f t="shared" si="39"/>
        <v>0</v>
      </c>
      <c r="DI59" s="74">
        <f t="shared" si="39"/>
        <v>0</v>
      </c>
      <c r="DJ59" s="74">
        <f t="shared" si="45"/>
        <v>0</v>
      </c>
      <c r="DK59" s="74">
        <f t="shared" si="46"/>
        <v>0</v>
      </c>
      <c r="DL59" s="74">
        <f t="shared" si="47"/>
        <v>50000</v>
      </c>
      <c r="DM59" s="74">
        <f t="shared" si="48"/>
        <v>30920.49</v>
      </c>
      <c r="DN59" s="74">
        <f t="shared" si="40"/>
        <v>50000</v>
      </c>
      <c r="DO59" s="74">
        <f t="shared" si="40"/>
        <v>30920.49</v>
      </c>
    </row>
    <row r="60" spans="1:119" s="278" customFormat="1">
      <c r="A60" s="253">
        <v>52</v>
      </c>
      <c r="B60" s="276" t="s">
        <v>453</v>
      </c>
      <c r="C60" s="276" t="s">
        <v>537</v>
      </c>
      <c r="D60" s="276" t="s">
        <v>538</v>
      </c>
      <c r="E60" s="276" t="s">
        <v>1165</v>
      </c>
      <c r="F60" s="255">
        <f t="shared" si="14"/>
        <v>0</v>
      </c>
      <c r="G60" s="255">
        <f t="shared" si="15"/>
        <v>0</v>
      </c>
      <c r="H60" s="256">
        <f t="shared" si="16"/>
        <v>0</v>
      </c>
      <c r="I60" s="277">
        <v>18882.95</v>
      </c>
      <c r="J60" s="258">
        <v>0</v>
      </c>
      <c r="K60" s="258">
        <v>0</v>
      </c>
      <c r="L60" s="255">
        <f t="shared" si="17"/>
        <v>0</v>
      </c>
      <c r="M60" s="255">
        <f t="shared" si="18"/>
        <v>0</v>
      </c>
      <c r="N60" s="255">
        <f t="shared" si="19"/>
        <v>0</v>
      </c>
      <c r="O60" s="255">
        <f t="shared" si="20"/>
        <v>0</v>
      </c>
      <c r="P60" s="255" t="str">
        <f t="shared" si="21"/>
        <v>ნულოვანი შესრულება</v>
      </c>
      <c r="Q60" s="258"/>
      <c r="R60" s="258"/>
      <c r="S60" s="258">
        <f t="shared" si="41"/>
        <v>0</v>
      </c>
      <c r="T60" s="258">
        <f t="shared" si="42"/>
        <v>0</v>
      </c>
      <c r="U60" s="258"/>
      <c r="V60" s="258"/>
      <c r="W60" s="258"/>
      <c r="X60" s="258"/>
      <c r="Y60" s="258">
        <f t="shared" si="22"/>
        <v>0</v>
      </c>
      <c r="Z60" s="258">
        <f t="shared" si="22"/>
        <v>0</v>
      </c>
      <c r="AA60" s="258"/>
      <c r="AB60" s="258"/>
      <c r="AC60" s="258"/>
      <c r="AD60" s="258"/>
      <c r="AE60" s="258">
        <f t="shared" si="23"/>
        <v>0</v>
      </c>
      <c r="AF60" s="258">
        <f t="shared" si="23"/>
        <v>0</v>
      </c>
      <c r="AG60" s="258">
        <f t="shared" si="24"/>
        <v>0</v>
      </c>
      <c r="AH60" s="258">
        <f t="shared" si="25"/>
        <v>0</v>
      </c>
      <c r="AI60" s="258">
        <f t="shared" si="25"/>
        <v>0</v>
      </c>
      <c r="AJ60" s="258">
        <f t="shared" si="26"/>
        <v>0</v>
      </c>
      <c r="AK60" s="258">
        <f t="shared" si="27"/>
        <v>0</v>
      </c>
      <c r="AL60" s="258">
        <f t="shared" si="27"/>
        <v>0</v>
      </c>
      <c r="AM60" s="258"/>
      <c r="AN60" s="258"/>
      <c r="AO60" s="258"/>
      <c r="AP60" s="258"/>
      <c r="AQ60" s="258"/>
      <c r="AR60" s="258">
        <f t="shared" si="28"/>
        <v>0</v>
      </c>
      <c r="AS60" s="258">
        <f t="shared" si="28"/>
        <v>0</v>
      </c>
      <c r="AT60" s="258"/>
      <c r="AU60" s="258"/>
      <c r="AV60" s="258"/>
      <c r="AW60" s="258"/>
      <c r="AX60" s="258">
        <f t="shared" si="29"/>
        <v>0</v>
      </c>
      <c r="AY60" s="258">
        <f t="shared" si="29"/>
        <v>0</v>
      </c>
      <c r="AZ60" s="258"/>
      <c r="BA60" s="258"/>
      <c r="BB60" s="258"/>
      <c r="BC60" s="258"/>
      <c r="BD60" s="258">
        <f t="shared" si="30"/>
        <v>0</v>
      </c>
      <c r="BE60" s="258"/>
      <c r="BF60" s="258">
        <f t="shared" si="43"/>
        <v>0</v>
      </c>
      <c r="BG60" s="258"/>
      <c r="BH60" s="258"/>
      <c r="BI60" s="258"/>
      <c r="BJ60" s="258"/>
      <c r="BK60" s="258">
        <f t="shared" si="31"/>
        <v>0</v>
      </c>
      <c r="BL60" s="258"/>
      <c r="BM60" s="258">
        <f t="shared" si="44"/>
        <v>0</v>
      </c>
      <c r="BN60" s="258"/>
      <c r="BO60" s="258"/>
      <c r="BP60" s="258"/>
      <c r="BQ60" s="258"/>
      <c r="BR60" s="258">
        <f t="shared" si="32"/>
        <v>0</v>
      </c>
      <c r="BS60" s="258">
        <f t="shared" si="32"/>
        <v>0</v>
      </c>
      <c r="BT60" s="258"/>
      <c r="BU60" s="258"/>
      <c r="BV60" s="258"/>
      <c r="BW60" s="258"/>
      <c r="BX60" s="258">
        <f t="shared" si="33"/>
        <v>0</v>
      </c>
      <c r="BY60" s="258">
        <f t="shared" si="33"/>
        <v>0</v>
      </c>
      <c r="BZ60" s="258"/>
      <c r="CA60" s="258"/>
      <c r="CB60" s="258"/>
      <c r="CC60" s="258"/>
      <c r="CD60" s="258">
        <f t="shared" si="34"/>
        <v>0</v>
      </c>
      <c r="CE60" s="258">
        <f t="shared" si="34"/>
        <v>0</v>
      </c>
      <c r="CF60" s="258"/>
      <c r="CG60" s="258"/>
      <c r="CH60" s="258"/>
      <c r="CI60" s="258"/>
      <c r="CJ60" s="258">
        <f t="shared" si="35"/>
        <v>0</v>
      </c>
      <c r="CK60" s="258">
        <f t="shared" si="35"/>
        <v>0</v>
      </c>
      <c r="CL60" s="258"/>
      <c r="CM60" s="258"/>
      <c r="CN60" s="258"/>
      <c r="CO60" s="258"/>
      <c r="CP60" s="258">
        <f t="shared" si="36"/>
        <v>0</v>
      </c>
      <c r="CQ60" s="258">
        <f t="shared" si="36"/>
        <v>0</v>
      </c>
      <c r="CR60" s="258"/>
      <c r="CS60" s="258"/>
      <c r="CT60" s="258"/>
      <c r="CU60" s="258"/>
      <c r="CV60" s="258">
        <f t="shared" si="37"/>
        <v>0</v>
      </c>
      <c r="CW60" s="258">
        <f t="shared" si="37"/>
        <v>0</v>
      </c>
      <c r="CX60" s="258"/>
      <c r="CY60" s="258"/>
      <c r="CZ60" s="258"/>
      <c r="DA60" s="258"/>
      <c r="DB60" s="258">
        <f t="shared" si="38"/>
        <v>0</v>
      </c>
      <c r="DC60" s="258">
        <f t="shared" si="38"/>
        <v>0</v>
      </c>
      <c r="DD60" s="258"/>
      <c r="DE60" s="258"/>
      <c r="DF60" s="258"/>
      <c r="DG60" s="258"/>
      <c r="DH60" s="258">
        <f t="shared" si="39"/>
        <v>0</v>
      </c>
      <c r="DI60" s="258">
        <f t="shared" si="39"/>
        <v>0</v>
      </c>
      <c r="DJ60" s="258">
        <f t="shared" si="45"/>
        <v>0</v>
      </c>
      <c r="DK60" s="258">
        <f t="shared" si="46"/>
        <v>0</v>
      </c>
      <c r="DL60" s="258">
        <f t="shared" si="47"/>
        <v>0</v>
      </c>
      <c r="DM60" s="258">
        <f t="shared" si="48"/>
        <v>0</v>
      </c>
      <c r="DN60" s="258">
        <f t="shared" si="40"/>
        <v>0</v>
      </c>
      <c r="DO60" s="258">
        <f t="shared" si="40"/>
        <v>0</v>
      </c>
    </row>
    <row r="61" spans="1:119">
      <c r="A61" s="25">
        <v>53</v>
      </c>
      <c r="B61" s="26" t="s">
        <v>456</v>
      </c>
      <c r="C61" s="26" t="s">
        <v>539</v>
      </c>
      <c r="D61" s="26" t="s">
        <v>540</v>
      </c>
      <c r="E61" s="205" t="s">
        <v>1164</v>
      </c>
      <c r="F61" s="161">
        <f t="shared" si="14"/>
        <v>0</v>
      </c>
      <c r="G61" s="161">
        <f t="shared" si="15"/>
        <v>0</v>
      </c>
      <c r="H61" s="165">
        <f t="shared" si="16"/>
        <v>1786.75</v>
      </c>
      <c r="I61" s="12">
        <v>0</v>
      </c>
      <c r="J61" s="219">
        <v>0</v>
      </c>
      <c r="K61" s="219">
        <v>0</v>
      </c>
      <c r="L61" s="127">
        <f t="shared" si="17"/>
        <v>1786.75</v>
      </c>
      <c r="M61" s="127">
        <f t="shared" si="18"/>
        <v>1786.75</v>
      </c>
      <c r="N61" s="127">
        <f t="shared" si="19"/>
        <v>1786.75</v>
      </c>
      <c r="O61" s="131">
        <f t="shared" si="20"/>
        <v>0</v>
      </c>
      <c r="P61" s="125">
        <f t="shared" si="21"/>
        <v>1786.75</v>
      </c>
      <c r="Q61" s="74"/>
      <c r="R61" s="74">
        <v>1786.75</v>
      </c>
      <c r="S61" s="74">
        <f t="shared" si="41"/>
        <v>0</v>
      </c>
      <c r="T61" s="74">
        <f t="shared" si="42"/>
        <v>1786.75</v>
      </c>
      <c r="U61" s="74"/>
      <c r="V61" s="74"/>
      <c r="W61" s="74"/>
      <c r="X61" s="74"/>
      <c r="Y61" s="74">
        <f t="shared" si="22"/>
        <v>0</v>
      </c>
      <c r="Z61" s="74">
        <f t="shared" si="22"/>
        <v>0</v>
      </c>
      <c r="AA61" s="74"/>
      <c r="AB61" s="74"/>
      <c r="AC61" s="74"/>
      <c r="AD61" s="74"/>
      <c r="AE61" s="74">
        <f t="shared" si="23"/>
        <v>0</v>
      </c>
      <c r="AF61" s="74">
        <f t="shared" si="23"/>
        <v>0</v>
      </c>
      <c r="AG61" s="74">
        <f t="shared" si="24"/>
        <v>0</v>
      </c>
      <c r="AH61" s="74">
        <f t="shared" si="25"/>
        <v>0</v>
      </c>
      <c r="AI61" s="74">
        <f t="shared" si="25"/>
        <v>1786.75</v>
      </c>
      <c r="AJ61" s="74">
        <f t="shared" si="26"/>
        <v>1786.75</v>
      </c>
      <c r="AK61" s="74">
        <f t="shared" si="27"/>
        <v>1786.75</v>
      </c>
      <c r="AL61" s="74">
        <f t="shared" si="27"/>
        <v>1786.75</v>
      </c>
      <c r="AM61" s="74"/>
      <c r="AN61" s="74"/>
      <c r="AO61" s="74"/>
      <c r="AP61" s="74"/>
      <c r="AQ61" s="74"/>
      <c r="AR61" s="74">
        <f t="shared" si="28"/>
        <v>0</v>
      </c>
      <c r="AS61" s="74">
        <f t="shared" si="28"/>
        <v>0</v>
      </c>
      <c r="AT61" s="74"/>
      <c r="AU61" s="74"/>
      <c r="AV61" s="74"/>
      <c r="AW61" s="74"/>
      <c r="AX61" s="74">
        <f t="shared" si="29"/>
        <v>0</v>
      </c>
      <c r="AY61" s="74">
        <f t="shared" si="29"/>
        <v>0</v>
      </c>
      <c r="AZ61" s="74"/>
      <c r="BA61" s="74"/>
      <c r="BB61" s="74"/>
      <c r="BC61" s="74"/>
      <c r="BD61" s="74">
        <f t="shared" si="30"/>
        <v>0</v>
      </c>
      <c r="BE61" s="74"/>
      <c r="BF61" s="74">
        <f t="shared" si="43"/>
        <v>0</v>
      </c>
      <c r="BG61" s="74"/>
      <c r="BH61" s="74"/>
      <c r="BI61" s="74"/>
      <c r="BJ61" s="74"/>
      <c r="BK61" s="74">
        <f t="shared" si="31"/>
        <v>0</v>
      </c>
      <c r="BL61" s="74"/>
      <c r="BM61" s="74">
        <f t="shared" si="44"/>
        <v>0</v>
      </c>
      <c r="BN61" s="74"/>
      <c r="BO61" s="74"/>
      <c r="BP61" s="74"/>
      <c r="BQ61" s="74"/>
      <c r="BR61" s="74">
        <f t="shared" si="32"/>
        <v>0</v>
      </c>
      <c r="BS61" s="74">
        <f t="shared" si="32"/>
        <v>0</v>
      </c>
      <c r="BT61" s="74"/>
      <c r="BU61" s="74"/>
      <c r="BV61" s="74"/>
      <c r="BW61" s="74"/>
      <c r="BX61" s="74">
        <f t="shared" si="33"/>
        <v>0</v>
      </c>
      <c r="BY61" s="74">
        <f t="shared" si="33"/>
        <v>0</v>
      </c>
      <c r="BZ61" s="74"/>
      <c r="CA61" s="74"/>
      <c r="CB61" s="74"/>
      <c r="CC61" s="74"/>
      <c r="CD61" s="74">
        <f t="shared" si="34"/>
        <v>0</v>
      </c>
      <c r="CE61" s="74">
        <f t="shared" si="34"/>
        <v>0</v>
      </c>
      <c r="CF61" s="74"/>
      <c r="CG61" s="74"/>
      <c r="CH61" s="74"/>
      <c r="CI61" s="74"/>
      <c r="CJ61" s="74">
        <f t="shared" si="35"/>
        <v>0</v>
      </c>
      <c r="CK61" s="74">
        <f t="shared" si="35"/>
        <v>0</v>
      </c>
      <c r="CL61" s="74"/>
      <c r="CM61" s="74"/>
      <c r="CN61" s="74"/>
      <c r="CO61" s="74"/>
      <c r="CP61" s="74">
        <f t="shared" si="36"/>
        <v>0</v>
      </c>
      <c r="CQ61" s="74">
        <f t="shared" si="36"/>
        <v>0</v>
      </c>
      <c r="CR61" s="74"/>
      <c r="CS61" s="74"/>
      <c r="CT61" s="74"/>
      <c r="CU61" s="74"/>
      <c r="CV61" s="74">
        <f t="shared" si="37"/>
        <v>0</v>
      </c>
      <c r="CW61" s="74">
        <f t="shared" si="37"/>
        <v>0</v>
      </c>
      <c r="CX61" s="74"/>
      <c r="CY61" s="74"/>
      <c r="CZ61" s="74"/>
      <c r="DA61" s="74"/>
      <c r="DB61" s="74">
        <f t="shared" si="38"/>
        <v>0</v>
      </c>
      <c r="DC61" s="74">
        <f t="shared" si="38"/>
        <v>0</v>
      </c>
      <c r="DD61" s="74"/>
      <c r="DE61" s="74"/>
      <c r="DF61" s="74"/>
      <c r="DG61" s="74"/>
      <c r="DH61" s="74">
        <f t="shared" si="39"/>
        <v>0</v>
      </c>
      <c r="DI61" s="74">
        <f t="shared" si="39"/>
        <v>0</v>
      </c>
      <c r="DJ61" s="74">
        <f t="shared" si="45"/>
        <v>0</v>
      </c>
      <c r="DK61" s="74">
        <f t="shared" si="46"/>
        <v>0</v>
      </c>
      <c r="DL61" s="74">
        <f t="shared" si="47"/>
        <v>0</v>
      </c>
      <c r="DM61" s="74">
        <f t="shared" si="48"/>
        <v>0</v>
      </c>
      <c r="DN61" s="74">
        <f t="shared" si="40"/>
        <v>0</v>
      </c>
      <c r="DO61" s="74">
        <f t="shared" si="40"/>
        <v>0</v>
      </c>
    </row>
    <row r="62" spans="1:119">
      <c r="A62" s="25">
        <v>54</v>
      </c>
      <c r="B62" s="26" t="s">
        <v>456</v>
      </c>
      <c r="C62" s="26" t="s">
        <v>539</v>
      </c>
      <c r="D62" s="26" t="s">
        <v>541</v>
      </c>
      <c r="E62" s="205" t="s">
        <v>1165</v>
      </c>
      <c r="F62" s="161">
        <f t="shared" si="14"/>
        <v>0</v>
      </c>
      <c r="G62" s="161">
        <f t="shared" si="15"/>
        <v>0</v>
      </c>
      <c r="H62" s="165">
        <f t="shared" si="16"/>
        <v>44620.468884755959</v>
      </c>
      <c r="I62" s="12">
        <v>26479.199999999997</v>
      </c>
      <c r="J62" s="219">
        <v>0</v>
      </c>
      <c r="K62" s="219">
        <v>0</v>
      </c>
      <c r="L62" s="127">
        <f t="shared" si="17"/>
        <v>44620.468884755959</v>
      </c>
      <c r="M62" s="127">
        <f t="shared" si="18"/>
        <v>44620.468884755959</v>
      </c>
      <c r="N62" s="127">
        <f t="shared" si="19"/>
        <v>44620.468884755959</v>
      </c>
      <c r="O62" s="131">
        <f t="shared" si="20"/>
        <v>0</v>
      </c>
      <c r="P62" s="125">
        <f t="shared" si="21"/>
        <v>44620.468884755959</v>
      </c>
      <c r="Q62" s="74"/>
      <c r="R62" s="74">
        <v>44620.468884755959</v>
      </c>
      <c r="S62" s="74">
        <f t="shared" si="41"/>
        <v>0</v>
      </c>
      <c r="T62" s="74">
        <f t="shared" si="42"/>
        <v>44620.468884755959</v>
      </c>
      <c r="U62" s="74"/>
      <c r="V62" s="74"/>
      <c r="W62" s="74"/>
      <c r="X62" s="74"/>
      <c r="Y62" s="74">
        <f t="shared" si="22"/>
        <v>0</v>
      </c>
      <c r="Z62" s="74">
        <f t="shared" si="22"/>
        <v>0</v>
      </c>
      <c r="AA62" s="74"/>
      <c r="AB62" s="74"/>
      <c r="AC62" s="74"/>
      <c r="AD62" s="74"/>
      <c r="AE62" s="74">
        <f t="shared" si="23"/>
        <v>0</v>
      </c>
      <c r="AF62" s="74">
        <f t="shared" si="23"/>
        <v>0</v>
      </c>
      <c r="AG62" s="74">
        <f t="shared" si="24"/>
        <v>0</v>
      </c>
      <c r="AH62" s="74">
        <f t="shared" si="25"/>
        <v>0</v>
      </c>
      <c r="AI62" s="74">
        <f t="shared" si="25"/>
        <v>44620.468884755959</v>
      </c>
      <c r="AJ62" s="74">
        <f t="shared" si="26"/>
        <v>44620.468884755959</v>
      </c>
      <c r="AK62" s="74">
        <f t="shared" si="27"/>
        <v>44620.468884755959</v>
      </c>
      <c r="AL62" s="74">
        <f t="shared" si="27"/>
        <v>44620.468884755959</v>
      </c>
      <c r="AM62" s="74"/>
      <c r="AN62" s="74"/>
      <c r="AO62" s="74"/>
      <c r="AP62" s="74"/>
      <c r="AQ62" s="74"/>
      <c r="AR62" s="74">
        <f t="shared" si="28"/>
        <v>0</v>
      </c>
      <c r="AS62" s="74">
        <f t="shared" si="28"/>
        <v>0</v>
      </c>
      <c r="AT62" s="74"/>
      <c r="AU62" s="74"/>
      <c r="AV62" s="74"/>
      <c r="AW62" s="74"/>
      <c r="AX62" s="74">
        <f t="shared" si="29"/>
        <v>0</v>
      </c>
      <c r="AY62" s="74">
        <f t="shared" si="29"/>
        <v>0</v>
      </c>
      <c r="AZ62" s="74"/>
      <c r="BA62" s="74"/>
      <c r="BB62" s="74"/>
      <c r="BC62" s="74"/>
      <c r="BD62" s="74">
        <f t="shared" si="30"/>
        <v>0</v>
      </c>
      <c r="BE62" s="74"/>
      <c r="BF62" s="74">
        <f t="shared" si="43"/>
        <v>0</v>
      </c>
      <c r="BG62" s="74"/>
      <c r="BH62" s="74"/>
      <c r="BI62" s="74"/>
      <c r="BJ62" s="74"/>
      <c r="BK62" s="74">
        <f t="shared" si="31"/>
        <v>0</v>
      </c>
      <c r="BL62" s="74"/>
      <c r="BM62" s="74">
        <f t="shared" si="44"/>
        <v>0</v>
      </c>
      <c r="BN62" s="74"/>
      <c r="BO62" s="74"/>
      <c r="BP62" s="74"/>
      <c r="BQ62" s="74"/>
      <c r="BR62" s="74">
        <f t="shared" si="32"/>
        <v>0</v>
      </c>
      <c r="BS62" s="74">
        <f t="shared" si="32"/>
        <v>0</v>
      </c>
      <c r="BT62" s="74"/>
      <c r="BU62" s="74"/>
      <c r="BV62" s="74"/>
      <c r="BW62" s="74"/>
      <c r="BX62" s="74">
        <f t="shared" si="33"/>
        <v>0</v>
      </c>
      <c r="BY62" s="74">
        <f t="shared" si="33"/>
        <v>0</v>
      </c>
      <c r="BZ62" s="74"/>
      <c r="CA62" s="74"/>
      <c r="CB62" s="74"/>
      <c r="CC62" s="74"/>
      <c r="CD62" s="74">
        <f t="shared" si="34"/>
        <v>0</v>
      </c>
      <c r="CE62" s="74">
        <f t="shared" si="34"/>
        <v>0</v>
      </c>
      <c r="CF62" s="74"/>
      <c r="CG62" s="74"/>
      <c r="CH62" s="74"/>
      <c r="CI62" s="74"/>
      <c r="CJ62" s="74">
        <f t="shared" si="35"/>
        <v>0</v>
      </c>
      <c r="CK62" s="74">
        <f t="shared" si="35"/>
        <v>0</v>
      </c>
      <c r="CL62" s="74"/>
      <c r="CM62" s="74"/>
      <c r="CN62" s="74"/>
      <c r="CO62" s="74"/>
      <c r="CP62" s="74">
        <f t="shared" si="36"/>
        <v>0</v>
      </c>
      <c r="CQ62" s="74">
        <f t="shared" si="36"/>
        <v>0</v>
      </c>
      <c r="CR62" s="74"/>
      <c r="CS62" s="74"/>
      <c r="CT62" s="74"/>
      <c r="CU62" s="74"/>
      <c r="CV62" s="74">
        <f t="shared" si="37"/>
        <v>0</v>
      </c>
      <c r="CW62" s="74">
        <f t="shared" si="37"/>
        <v>0</v>
      </c>
      <c r="CX62" s="74"/>
      <c r="CY62" s="74"/>
      <c r="CZ62" s="74"/>
      <c r="DA62" s="74"/>
      <c r="DB62" s="74">
        <f t="shared" si="38"/>
        <v>0</v>
      </c>
      <c r="DC62" s="74">
        <f t="shared" si="38"/>
        <v>0</v>
      </c>
      <c r="DD62" s="74"/>
      <c r="DE62" s="74"/>
      <c r="DF62" s="74"/>
      <c r="DG62" s="74"/>
      <c r="DH62" s="74">
        <f t="shared" si="39"/>
        <v>0</v>
      </c>
      <c r="DI62" s="74">
        <f t="shared" si="39"/>
        <v>0</v>
      </c>
      <c r="DJ62" s="74">
        <f t="shared" si="45"/>
        <v>0</v>
      </c>
      <c r="DK62" s="74">
        <f t="shared" si="46"/>
        <v>0</v>
      </c>
      <c r="DL62" s="74">
        <f t="shared" si="47"/>
        <v>0</v>
      </c>
      <c r="DM62" s="74">
        <f t="shared" si="48"/>
        <v>0</v>
      </c>
      <c r="DN62" s="74">
        <f t="shared" si="40"/>
        <v>0</v>
      </c>
      <c r="DO62" s="74">
        <f t="shared" si="40"/>
        <v>0</v>
      </c>
    </row>
    <row r="63" spans="1:119">
      <c r="A63" s="25">
        <v>55</v>
      </c>
      <c r="B63" s="26" t="s">
        <v>87</v>
      </c>
      <c r="C63" s="26" t="s">
        <v>542</v>
      </c>
      <c r="D63" s="26" t="s">
        <v>543</v>
      </c>
      <c r="E63" s="205" t="s">
        <v>1164</v>
      </c>
      <c r="F63" s="161">
        <f t="shared" si="14"/>
        <v>0</v>
      </c>
      <c r="G63" s="161">
        <f t="shared" si="15"/>
        <v>0</v>
      </c>
      <c r="H63" s="165">
        <f t="shared" si="16"/>
        <v>476</v>
      </c>
      <c r="I63" s="12">
        <v>0</v>
      </c>
      <c r="J63" s="219">
        <v>0</v>
      </c>
      <c r="K63" s="219">
        <v>0</v>
      </c>
      <c r="L63" s="127">
        <f t="shared" si="17"/>
        <v>476</v>
      </c>
      <c r="M63" s="127">
        <f t="shared" si="18"/>
        <v>476</v>
      </c>
      <c r="N63" s="127">
        <f t="shared" si="19"/>
        <v>476</v>
      </c>
      <c r="O63" s="131">
        <f t="shared" si="20"/>
        <v>0</v>
      </c>
      <c r="P63" s="125">
        <f t="shared" si="21"/>
        <v>476</v>
      </c>
      <c r="Q63" s="74"/>
      <c r="R63" s="74">
        <v>476</v>
      </c>
      <c r="S63" s="74">
        <f t="shared" si="41"/>
        <v>0</v>
      </c>
      <c r="T63" s="74">
        <f t="shared" si="42"/>
        <v>476</v>
      </c>
      <c r="U63" s="74"/>
      <c r="V63" s="74"/>
      <c r="W63" s="74"/>
      <c r="X63" s="74"/>
      <c r="Y63" s="74">
        <f t="shared" si="22"/>
        <v>0</v>
      </c>
      <c r="Z63" s="74">
        <f t="shared" si="22"/>
        <v>0</v>
      </c>
      <c r="AA63" s="74"/>
      <c r="AB63" s="74"/>
      <c r="AC63" s="74"/>
      <c r="AD63" s="74"/>
      <c r="AE63" s="74">
        <f t="shared" si="23"/>
        <v>0</v>
      </c>
      <c r="AF63" s="74">
        <f t="shared" si="23"/>
        <v>0</v>
      </c>
      <c r="AG63" s="74">
        <f t="shared" si="24"/>
        <v>0</v>
      </c>
      <c r="AH63" s="74">
        <f t="shared" si="25"/>
        <v>0</v>
      </c>
      <c r="AI63" s="74">
        <f t="shared" si="25"/>
        <v>476</v>
      </c>
      <c r="AJ63" s="74">
        <f t="shared" si="26"/>
        <v>476</v>
      </c>
      <c r="AK63" s="74">
        <f t="shared" si="27"/>
        <v>476</v>
      </c>
      <c r="AL63" s="74">
        <f t="shared" si="27"/>
        <v>476</v>
      </c>
      <c r="AM63" s="74"/>
      <c r="AN63" s="74"/>
      <c r="AO63" s="74"/>
      <c r="AP63" s="74"/>
      <c r="AQ63" s="74"/>
      <c r="AR63" s="74">
        <f t="shared" si="28"/>
        <v>0</v>
      </c>
      <c r="AS63" s="74">
        <f t="shared" si="28"/>
        <v>0</v>
      </c>
      <c r="AT63" s="74"/>
      <c r="AU63" s="74"/>
      <c r="AV63" s="74"/>
      <c r="AW63" s="74"/>
      <c r="AX63" s="74">
        <f t="shared" si="29"/>
        <v>0</v>
      </c>
      <c r="AY63" s="74">
        <f t="shared" si="29"/>
        <v>0</v>
      </c>
      <c r="AZ63" s="74"/>
      <c r="BA63" s="74"/>
      <c r="BB63" s="74"/>
      <c r="BC63" s="74"/>
      <c r="BD63" s="74">
        <f t="shared" si="30"/>
        <v>0</v>
      </c>
      <c r="BE63" s="74"/>
      <c r="BF63" s="74">
        <f t="shared" si="43"/>
        <v>0</v>
      </c>
      <c r="BG63" s="74"/>
      <c r="BH63" s="74"/>
      <c r="BI63" s="74"/>
      <c r="BJ63" s="74"/>
      <c r="BK63" s="74">
        <f t="shared" si="31"/>
        <v>0</v>
      </c>
      <c r="BL63" s="74"/>
      <c r="BM63" s="74">
        <f t="shared" si="44"/>
        <v>0</v>
      </c>
      <c r="BN63" s="74"/>
      <c r="BO63" s="74"/>
      <c r="BP63" s="74"/>
      <c r="BQ63" s="74"/>
      <c r="BR63" s="74">
        <f t="shared" si="32"/>
        <v>0</v>
      </c>
      <c r="BS63" s="74">
        <f t="shared" si="32"/>
        <v>0</v>
      </c>
      <c r="BT63" s="74"/>
      <c r="BU63" s="74"/>
      <c r="BV63" s="74"/>
      <c r="BW63" s="74"/>
      <c r="BX63" s="74">
        <f t="shared" si="33"/>
        <v>0</v>
      </c>
      <c r="BY63" s="74">
        <f t="shared" si="33"/>
        <v>0</v>
      </c>
      <c r="BZ63" s="74"/>
      <c r="CA63" s="74"/>
      <c r="CB63" s="74"/>
      <c r="CC63" s="74"/>
      <c r="CD63" s="74">
        <f t="shared" si="34"/>
        <v>0</v>
      </c>
      <c r="CE63" s="74">
        <f t="shared" si="34"/>
        <v>0</v>
      </c>
      <c r="CF63" s="74"/>
      <c r="CG63" s="74"/>
      <c r="CH63" s="74"/>
      <c r="CI63" s="74"/>
      <c r="CJ63" s="74">
        <f t="shared" si="35"/>
        <v>0</v>
      </c>
      <c r="CK63" s="74">
        <f t="shared" si="35"/>
        <v>0</v>
      </c>
      <c r="CL63" s="74"/>
      <c r="CM63" s="74"/>
      <c r="CN63" s="74"/>
      <c r="CO63" s="74"/>
      <c r="CP63" s="74">
        <f t="shared" si="36"/>
        <v>0</v>
      </c>
      <c r="CQ63" s="74">
        <f t="shared" si="36"/>
        <v>0</v>
      </c>
      <c r="CR63" s="74"/>
      <c r="CS63" s="74"/>
      <c r="CT63" s="74"/>
      <c r="CU63" s="74"/>
      <c r="CV63" s="74">
        <f t="shared" si="37"/>
        <v>0</v>
      </c>
      <c r="CW63" s="74">
        <f t="shared" si="37"/>
        <v>0</v>
      </c>
      <c r="CX63" s="74"/>
      <c r="CY63" s="74"/>
      <c r="CZ63" s="74"/>
      <c r="DA63" s="74"/>
      <c r="DB63" s="74">
        <f t="shared" si="38"/>
        <v>0</v>
      </c>
      <c r="DC63" s="74">
        <f t="shared" si="38"/>
        <v>0</v>
      </c>
      <c r="DD63" s="74"/>
      <c r="DE63" s="74"/>
      <c r="DF63" s="74"/>
      <c r="DG63" s="74"/>
      <c r="DH63" s="74">
        <f t="shared" si="39"/>
        <v>0</v>
      </c>
      <c r="DI63" s="74">
        <f t="shared" si="39"/>
        <v>0</v>
      </c>
      <c r="DJ63" s="74">
        <f t="shared" si="45"/>
        <v>0</v>
      </c>
      <c r="DK63" s="74">
        <f t="shared" si="46"/>
        <v>0</v>
      </c>
      <c r="DL63" s="74">
        <f t="shared" si="47"/>
        <v>0</v>
      </c>
      <c r="DM63" s="74">
        <f t="shared" si="48"/>
        <v>0</v>
      </c>
      <c r="DN63" s="74">
        <f t="shared" si="40"/>
        <v>0</v>
      </c>
      <c r="DO63" s="74">
        <f t="shared" si="40"/>
        <v>0</v>
      </c>
    </row>
    <row r="64" spans="1:119">
      <c r="A64" s="25">
        <v>56</v>
      </c>
      <c r="B64" s="26" t="s">
        <v>87</v>
      </c>
      <c r="C64" s="26" t="s">
        <v>542</v>
      </c>
      <c r="D64" s="26" t="s">
        <v>544</v>
      </c>
      <c r="E64" s="205" t="s">
        <v>1165</v>
      </c>
      <c r="F64" s="161">
        <f t="shared" si="14"/>
        <v>0</v>
      </c>
      <c r="G64" s="161">
        <f t="shared" si="15"/>
        <v>0</v>
      </c>
      <c r="H64" s="165">
        <f t="shared" si="16"/>
        <v>14677.974380666594</v>
      </c>
      <c r="I64" s="12">
        <v>15045</v>
      </c>
      <c r="J64" s="219">
        <v>0</v>
      </c>
      <c r="K64" s="219">
        <v>0</v>
      </c>
      <c r="L64" s="127">
        <f t="shared" si="17"/>
        <v>14677.974380666594</v>
      </c>
      <c r="M64" s="127">
        <f t="shared" si="18"/>
        <v>14677.974380666594</v>
      </c>
      <c r="N64" s="127">
        <f t="shared" si="19"/>
        <v>14677.974380666594</v>
      </c>
      <c r="O64" s="131">
        <f t="shared" si="20"/>
        <v>0</v>
      </c>
      <c r="P64" s="125">
        <f t="shared" si="21"/>
        <v>14677.974380666594</v>
      </c>
      <c r="Q64" s="74"/>
      <c r="R64" s="74">
        <v>14677.974380666594</v>
      </c>
      <c r="S64" s="74">
        <f t="shared" si="41"/>
        <v>0</v>
      </c>
      <c r="T64" s="74">
        <f t="shared" si="42"/>
        <v>14677.974380666594</v>
      </c>
      <c r="U64" s="74"/>
      <c r="V64" s="74"/>
      <c r="W64" s="74"/>
      <c r="X64" s="74"/>
      <c r="Y64" s="74">
        <f t="shared" si="22"/>
        <v>0</v>
      </c>
      <c r="Z64" s="74">
        <f t="shared" si="22"/>
        <v>0</v>
      </c>
      <c r="AA64" s="74"/>
      <c r="AB64" s="74"/>
      <c r="AC64" s="74"/>
      <c r="AD64" s="74"/>
      <c r="AE64" s="74">
        <f t="shared" si="23"/>
        <v>0</v>
      </c>
      <c r="AF64" s="74">
        <f t="shared" si="23"/>
        <v>0</v>
      </c>
      <c r="AG64" s="74">
        <f t="shared" si="24"/>
        <v>0</v>
      </c>
      <c r="AH64" s="74">
        <f t="shared" si="25"/>
        <v>0</v>
      </c>
      <c r="AI64" s="74">
        <f t="shared" si="25"/>
        <v>14677.974380666594</v>
      </c>
      <c r="AJ64" s="74">
        <f t="shared" si="26"/>
        <v>14677.974380666594</v>
      </c>
      <c r="AK64" s="74">
        <f t="shared" si="27"/>
        <v>14677.974380666594</v>
      </c>
      <c r="AL64" s="74">
        <f t="shared" si="27"/>
        <v>14677.974380666594</v>
      </c>
      <c r="AM64" s="74"/>
      <c r="AN64" s="74"/>
      <c r="AO64" s="74"/>
      <c r="AP64" s="74"/>
      <c r="AQ64" s="74"/>
      <c r="AR64" s="74">
        <f t="shared" si="28"/>
        <v>0</v>
      </c>
      <c r="AS64" s="74">
        <f t="shared" si="28"/>
        <v>0</v>
      </c>
      <c r="AT64" s="74"/>
      <c r="AU64" s="74"/>
      <c r="AV64" s="74"/>
      <c r="AW64" s="74"/>
      <c r="AX64" s="74">
        <f t="shared" si="29"/>
        <v>0</v>
      </c>
      <c r="AY64" s="74">
        <f t="shared" si="29"/>
        <v>0</v>
      </c>
      <c r="AZ64" s="74"/>
      <c r="BA64" s="74"/>
      <c r="BB64" s="74"/>
      <c r="BC64" s="74"/>
      <c r="BD64" s="74">
        <f t="shared" si="30"/>
        <v>0</v>
      </c>
      <c r="BE64" s="74"/>
      <c r="BF64" s="74">
        <f t="shared" si="43"/>
        <v>0</v>
      </c>
      <c r="BG64" s="74"/>
      <c r="BH64" s="74"/>
      <c r="BI64" s="74"/>
      <c r="BJ64" s="74"/>
      <c r="BK64" s="74">
        <f t="shared" si="31"/>
        <v>0</v>
      </c>
      <c r="BL64" s="74"/>
      <c r="BM64" s="74">
        <f t="shared" si="44"/>
        <v>0</v>
      </c>
      <c r="BN64" s="74"/>
      <c r="BO64" s="74"/>
      <c r="BP64" s="74"/>
      <c r="BQ64" s="74"/>
      <c r="BR64" s="74">
        <f t="shared" si="32"/>
        <v>0</v>
      </c>
      <c r="BS64" s="74">
        <f t="shared" si="32"/>
        <v>0</v>
      </c>
      <c r="BT64" s="74"/>
      <c r="BU64" s="74"/>
      <c r="BV64" s="74"/>
      <c r="BW64" s="74"/>
      <c r="BX64" s="74">
        <f t="shared" si="33"/>
        <v>0</v>
      </c>
      <c r="BY64" s="74">
        <f t="shared" si="33"/>
        <v>0</v>
      </c>
      <c r="BZ64" s="74"/>
      <c r="CA64" s="74"/>
      <c r="CB64" s="74"/>
      <c r="CC64" s="74"/>
      <c r="CD64" s="74">
        <f t="shared" si="34"/>
        <v>0</v>
      </c>
      <c r="CE64" s="74">
        <f t="shared" si="34"/>
        <v>0</v>
      </c>
      <c r="CF64" s="74"/>
      <c r="CG64" s="74"/>
      <c r="CH64" s="74"/>
      <c r="CI64" s="74"/>
      <c r="CJ64" s="74">
        <f t="shared" si="35"/>
        <v>0</v>
      </c>
      <c r="CK64" s="74">
        <f t="shared" si="35"/>
        <v>0</v>
      </c>
      <c r="CL64" s="74"/>
      <c r="CM64" s="74"/>
      <c r="CN64" s="74"/>
      <c r="CO64" s="74"/>
      <c r="CP64" s="74">
        <f t="shared" si="36"/>
        <v>0</v>
      </c>
      <c r="CQ64" s="74">
        <f t="shared" si="36"/>
        <v>0</v>
      </c>
      <c r="CR64" s="74"/>
      <c r="CS64" s="74"/>
      <c r="CT64" s="74"/>
      <c r="CU64" s="74"/>
      <c r="CV64" s="74">
        <f t="shared" si="37"/>
        <v>0</v>
      </c>
      <c r="CW64" s="74">
        <f t="shared" si="37"/>
        <v>0</v>
      </c>
      <c r="CX64" s="74"/>
      <c r="CY64" s="74"/>
      <c r="CZ64" s="74"/>
      <c r="DA64" s="74"/>
      <c r="DB64" s="74">
        <f t="shared" si="38"/>
        <v>0</v>
      </c>
      <c r="DC64" s="74">
        <f t="shared" si="38"/>
        <v>0</v>
      </c>
      <c r="DD64" s="74"/>
      <c r="DE64" s="74"/>
      <c r="DF64" s="74"/>
      <c r="DG64" s="74"/>
      <c r="DH64" s="74">
        <f t="shared" si="39"/>
        <v>0</v>
      </c>
      <c r="DI64" s="74">
        <f t="shared" si="39"/>
        <v>0</v>
      </c>
      <c r="DJ64" s="74">
        <f t="shared" si="45"/>
        <v>0</v>
      </c>
      <c r="DK64" s="74">
        <f t="shared" si="46"/>
        <v>0</v>
      </c>
      <c r="DL64" s="74">
        <f t="shared" si="47"/>
        <v>0</v>
      </c>
      <c r="DM64" s="74">
        <f t="shared" si="48"/>
        <v>0</v>
      </c>
      <c r="DN64" s="74">
        <f t="shared" si="40"/>
        <v>0</v>
      </c>
      <c r="DO64" s="74">
        <f t="shared" si="40"/>
        <v>0</v>
      </c>
    </row>
    <row r="65" spans="1:119" s="76" customFormat="1">
      <c r="A65" s="25">
        <v>57</v>
      </c>
      <c r="B65" s="77" t="s">
        <v>456</v>
      </c>
      <c r="C65" s="77" t="s">
        <v>545</v>
      </c>
      <c r="D65" s="77" t="s">
        <v>546</v>
      </c>
      <c r="E65" s="206" t="s">
        <v>1164</v>
      </c>
      <c r="F65" s="161">
        <f t="shared" si="14"/>
        <v>0</v>
      </c>
      <c r="G65" s="161">
        <f t="shared" si="15"/>
        <v>0</v>
      </c>
      <c r="H65" s="165">
        <f t="shared" si="16"/>
        <v>0</v>
      </c>
      <c r="I65" s="12">
        <v>0</v>
      </c>
      <c r="J65" s="234">
        <v>0</v>
      </c>
      <c r="K65" s="234">
        <v>0</v>
      </c>
      <c r="L65" s="127">
        <f t="shared" si="17"/>
        <v>0</v>
      </c>
      <c r="M65" s="127">
        <f t="shared" si="18"/>
        <v>0</v>
      </c>
      <c r="N65" s="127">
        <f t="shared" si="19"/>
        <v>0</v>
      </c>
      <c r="O65" s="131">
        <f t="shared" si="20"/>
        <v>0</v>
      </c>
      <c r="P65" s="125" t="str">
        <f t="shared" si="21"/>
        <v>ნულოვანი შესრულება</v>
      </c>
      <c r="Q65" s="78"/>
      <c r="R65" s="78"/>
      <c r="S65" s="78">
        <f t="shared" si="41"/>
        <v>0</v>
      </c>
      <c r="T65" s="78">
        <f t="shared" si="42"/>
        <v>0</v>
      </c>
      <c r="U65" s="78"/>
      <c r="V65" s="78"/>
      <c r="W65" s="78"/>
      <c r="X65" s="78"/>
      <c r="Y65" s="74">
        <f t="shared" si="22"/>
        <v>0</v>
      </c>
      <c r="Z65" s="74">
        <f t="shared" si="22"/>
        <v>0</v>
      </c>
      <c r="AA65" s="78"/>
      <c r="AB65" s="78"/>
      <c r="AC65" s="78"/>
      <c r="AD65" s="78"/>
      <c r="AE65" s="74">
        <f t="shared" si="23"/>
        <v>0</v>
      </c>
      <c r="AF65" s="74">
        <f t="shared" si="23"/>
        <v>0</v>
      </c>
      <c r="AG65" s="74">
        <f t="shared" si="24"/>
        <v>0</v>
      </c>
      <c r="AH65" s="74">
        <f t="shared" si="25"/>
        <v>0</v>
      </c>
      <c r="AI65" s="74">
        <f t="shared" si="25"/>
        <v>0</v>
      </c>
      <c r="AJ65" s="74">
        <f t="shared" si="26"/>
        <v>0</v>
      </c>
      <c r="AK65" s="74">
        <f t="shared" si="27"/>
        <v>0</v>
      </c>
      <c r="AL65" s="74">
        <f t="shared" si="27"/>
        <v>0</v>
      </c>
      <c r="AM65" s="74"/>
      <c r="AN65" s="78"/>
      <c r="AO65" s="78"/>
      <c r="AP65" s="78"/>
      <c r="AQ65" s="78"/>
      <c r="AR65" s="74">
        <f t="shared" si="28"/>
        <v>0</v>
      </c>
      <c r="AS65" s="74">
        <f t="shared" si="28"/>
        <v>0</v>
      </c>
      <c r="AT65" s="78"/>
      <c r="AU65" s="78"/>
      <c r="AV65" s="78"/>
      <c r="AW65" s="78"/>
      <c r="AX65" s="74">
        <f t="shared" si="29"/>
        <v>0</v>
      </c>
      <c r="AY65" s="74">
        <f t="shared" si="29"/>
        <v>0</v>
      </c>
      <c r="AZ65" s="78"/>
      <c r="BA65" s="78"/>
      <c r="BB65" s="78"/>
      <c r="BC65" s="78"/>
      <c r="BD65" s="74">
        <f t="shared" si="30"/>
        <v>0</v>
      </c>
      <c r="BE65" s="74"/>
      <c r="BF65" s="74">
        <f t="shared" si="43"/>
        <v>0</v>
      </c>
      <c r="BG65" s="78"/>
      <c r="BH65" s="78"/>
      <c r="BI65" s="78"/>
      <c r="BJ65" s="78"/>
      <c r="BK65" s="74">
        <f t="shared" si="31"/>
        <v>0</v>
      </c>
      <c r="BL65" s="74"/>
      <c r="BM65" s="74">
        <f t="shared" si="44"/>
        <v>0</v>
      </c>
      <c r="BN65" s="78"/>
      <c r="BO65" s="78"/>
      <c r="BP65" s="78"/>
      <c r="BQ65" s="78"/>
      <c r="BR65" s="74">
        <f t="shared" si="32"/>
        <v>0</v>
      </c>
      <c r="BS65" s="74">
        <f t="shared" si="32"/>
        <v>0</v>
      </c>
      <c r="BT65" s="78"/>
      <c r="BU65" s="78"/>
      <c r="BV65" s="78"/>
      <c r="BW65" s="78"/>
      <c r="BX65" s="74">
        <f t="shared" si="33"/>
        <v>0</v>
      </c>
      <c r="BY65" s="74">
        <f t="shared" si="33"/>
        <v>0</v>
      </c>
      <c r="BZ65" s="78"/>
      <c r="CA65" s="78"/>
      <c r="CB65" s="78"/>
      <c r="CC65" s="78"/>
      <c r="CD65" s="74">
        <f t="shared" si="34"/>
        <v>0</v>
      </c>
      <c r="CE65" s="74">
        <f t="shared" si="34"/>
        <v>0</v>
      </c>
      <c r="CF65" s="78"/>
      <c r="CG65" s="78"/>
      <c r="CH65" s="78"/>
      <c r="CI65" s="78"/>
      <c r="CJ65" s="74">
        <f t="shared" si="35"/>
        <v>0</v>
      </c>
      <c r="CK65" s="74">
        <f t="shared" si="35"/>
        <v>0</v>
      </c>
      <c r="CL65" s="78"/>
      <c r="CM65" s="78"/>
      <c r="CN65" s="78"/>
      <c r="CO65" s="78"/>
      <c r="CP65" s="74">
        <f t="shared" si="36"/>
        <v>0</v>
      </c>
      <c r="CQ65" s="74">
        <f t="shared" si="36"/>
        <v>0</v>
      </c>
      <c r="CR65" s="78"/>
      <c r="CS65" s="78"/>
      <c r="CT65" s="78"/>
      <c r="CU65" s="78"/>
      <c r="CV65" s="74">
        <f t="shared" si="37"/>
        <v>0</v>
      </c>
      <c r="CW65" s="74">
        <f t="shared" si="37"/>
        <v>0</v>
      </c>
      <c r="CX65" s="78"/>
      <c r="CY65" s="78"/>
      <c r="CZ65" s="78"/>
      <c r="DA65" s="78"/>
      <c r="DB65" s="74">
        <f t="shared" si="38"/>
        <v>0</v>
      </c>
      <c r="DC65" s="74">
        <f t="shared" si="38"/>
        <v>0</v>
      </c>
      <c r="DD65" s="78"/>
      <c r="DE65" s="78"/>
      <c r="DF65" s="78"/>
      <c r="DG65" s="78"/>
      <c r="DH65" s="74">
        <f t="shared" si="39"/>
        <v>0</v>
      </c>
      <c r="DI65" s="74">
        <f t="shared" si="39"/>
        <v>0</v>
      </c>
      <c r="DJ65" s="74">
        <f t="shared" si="45"/>
        <v>0</v>
      </c>
      <c r="DK65" s="74">
        <f t="shared" si="46"/>
        <v>0</v>
      </c>
      <c r="DL65" s="74">
        <f t="shared" si="47"/>
        <v>0</v>
      </c>
      <c r="DM65" s="74">
        <f t="shared" si="48"/>
        <v>0</v>
      </c>
      <c r="DN65" s="74">
        <f t="shared" si="40"/>
        <v>0</v>
      </c>
      <c r="DO65" s="74">
        <f t="shared" si="40"/>
        <v>0</v>
      </c>
    </row>
    <row r="66" spans="1:119" s="76" customFormat="1">
      <c r="A66" s="25">
        <v>58</v>
      </c>
      <c r="B66" s="77" t="s">
        <v>456</v>
      </c>
      <c r="C66" s="77" t="s">
        <v>545</v>
      </c>
      <c r="D66" s="77" t="s">
        <v>547</v>
      </c>
      <c r="E66" s="206" t="s">
        <v>1165</v>
      </c>
      <c r="F66" s="161">
        <f t="shared" si="14"/>
        <v>0</v>
      </c>
      <c r="G66" s="161">
        <f t="shared" si="15"/>
        <v>0</v>
      </c>
      <c r="H66" s="165">
        <f t="shared" si="16"/>
        <v>0</v>
      </c>
      <c r="I66" s="12">
        <v>32273</v>
      </c>
      <c r="J66" s="234">
        <v>0</v>
      </c>
      <c r="K66" s="234">
        <v>0</v>
      </c>
      <c r="L66" s="127">
        <f t="shared" si="17"/>
        <v>0</v>
      </c>
      <c r="M66" s="127">
        <f t="shared" si="18"/>
        <v>0</v>
      </c>
      <c r="N66" s="127">
        <f t="shared" si="19"/>
        <v>0</v>
      </c>
      <c r="O66" s="131">
        <f t="shared" si="20"/>
        <v>0</v>
      </c>
      <c r="P66" s="125" t="str">
        <f t="shared" si="21"/>
        <v>ნულოვანი შესრულება</v>
      </c>
      <c r="Q66" s="78"/>
      <c r="R66" s="78"/>
      <c r="S66" s="78">
        <f t="shared" si="41"/>
        <v>0</v>
      </c>
      <c r="T66" s="78">
        <f t="shared" si="42"/>
        <v>0</v>
      </c>
      <c r="U66" s="78"/>
      <c r="V66" s="78"/>
      <c r="W66" s="78"/>
      <c r="X66" s="78"/>
      <c r="Y66" s="74">
        <f t="shared" si="22"/>
        <v>0</v>
      </c>
      <c r="Z66" s="74">
        <f t="shared" si="22"/>
        <v>0</v>
      </c>
      <c r="AA66" s="78"/>
      <c r="AB66" s="78"/>
      <c r="AC66" s="78"/>
      <c r="AD66" s="78"/>
      <c r="AE66" s="74">
        <f t="shared" si="23"/>
        <v>0</v>
      </c>
      <c r="AF66" s="74">
        <f t="shared" si="23"/>
        <v>0</v>
      </c>
      <c r="AG66" s="74">
        <f t="shared" si="24"/>
        <v>0</v>
      </c>
      <c r="AH66" s="74">
        <f t="shared" si="25"/>
        <v>0</v>
      </c>
      <c r="AI66" s="74">
        <f t="shared" si="25"/>
        <v>0</v>
      </c>
      <c r="AJ66" s="74">
        <f t="shared" si="26"/>
        <v>0</v>
      </c>
      <c r="AK66" s="74">
        <f t="shared" si="27"/>
        <v>0</v>
      </c>
      <c r="AL66" s="74">
        <f t="shared" si="27"/>
        <v>0</v>
      </c>
      <c r="AM66" s="74"/>
      <c r="AN66" s="78"/>
      <c r="AO66" s="78"/>
      <c r="AP66" s="78"/>
      <c r="AQ66" s="78"/>
      <c r="AR66" s="74">
        <f t="shared" si="28"/>
        <v>0</v>
      </c>
      <c r="AS66" s="74">
        <f t="shared" si="28"/>
        <v>0</v>
      </c>
      <c r="AT66" s="78"/>
      <c r="AU66" s="78"/>
      <c r="AV66" s="78"/>
      <c r="AW66" s="78"/>
      <c r="AX66" s="74">
        <f t="shared" si="29"/>
        <v>0</v>
      </c>
      <c r="AY66" s="74">
        <f t="shared" si="29"/>
        <v>0</v>
      </c>
      <c r="AZ66" s="78"/>
      <c r="BA66" s="78"/>
      <c r="BB66" s="78"/>
      <c r="BC66" s="78"/>
      <c r="BD66" s="74">
        <f t="shared" si="30"/>
        <v>0</v>
      </c>
      <c r="BE66" s="74"/>
      <c r="BF66" s="74">
        <f t="shared" si="43"/>
        <v>0</v>
      </c>
      <c r="BG66" s="78"/>
      <c r="BH66" s="78"/>
      <c r="BI66" s="78"/>
      <c r="BJ66" s="78"/>
      <c r="BK66" s="74">
        <f t="shared" si="31"/>
        <v>0</v>
      </c>
      <c r="BL66" s="74"/>
      <c r="BM66" s="74">
        <f t="shared" si="44"/>
        <v>0</v>
      </c>
      <c r="BN66" s="78"/>
      <c r="BO66" s="78"/>
      <c r="BP66" s="78"/>
      <c r="BQ66" s="78"/>
      <c r="BR66" s="74">
        <f t="shared" si="32"/>
        <v>0</v>
      </c>
      <c r="BS66" s="74">
        <f t="shared" si="32"/>
        <v>0</v>
      </c>
      <c r="BT66" s="78"/>
      <c r="BU66" s="78"/>
      <c r="BV66" s="78"/>
      <c r="BW66" s="78"/>
      <c r="BX66" s="74">
        <f t="shared" si="33"/>
        <v>0</v>
      </c>
      <c r="BY66" s="74">
        <f t="shared" si="33"/>
        <v>0</v>
      </c>
      <c r="BZ66" s="78"/>
      <c r="CA66" s="78"/>
      <c r="CB66" s="78"/>
      <c r="CC66" s="78"/>
      <c r="CD66" s="74">
        <f t="shared" si="34"/>
        <v>0</v>
      </c>
      <c r="CE66" s="74">
        <f t="shared" si="34"/>
        <v>0</v>
      </c>
      <c r="CF66" s="78"/>
      <c r="CG66" s="78"/>
      <c r="CH66" s="78"/>
      <c r="CI66" s="78"/>
      <c r="CJ66" s="74">
        <f t="shared" si="35"/>
        <v>0</v>
      </c>
      <c r="CK66" s="74">
        <f t="shared" si="35"/>
        <v>0</v>
      </c>
      <c r="CL66" s="78"/>
      <c r="CM66" s="78"/>
      <c r="CN66" s="78"/>
      <c r="CO66" s="78"/>
      <c r="CP66" s="74">
        <f t="shared" si="36"/>
        <v>0</v>
      </c>
      <c r="CQ66" s="74">
        <f t="shared" si="36"/>
        <v>0</v>
      </c>
      <c r="CR66" s="78"/>
      <c r="CS66" s="78"/>
      <c r="CT66" s="78"/>
      <c r="CU66" s="78"/>
      <c r="CV66" s="74">
        <f t="shared" si="37"/>
        <v>0</v>
      </c>
      <c r="CW66" s="74">
        <f t="shared" si="37"/>
        <v>0</v>
      </c>
      <c r="CX66" s="78"/>
      <c r="CY66" s="78"/>
      <c r="CZ66" s="78"/>
      <c r="DA66" s="78"/>
      <c r="DB66" s="74">
        <f t="shared" si="38"/>
        <v>0</v>
      </c>
      <c r="DC66" s="74">
        <f t="shared" si="38"/>
        <v>0</v>
      </c>
      <c r="DD66" s="78"/>
      <c r="DE66" s="78"/>
      <c r="DF66" s="78"/>
      <c r="DG66" s="78"/>
      <c r="DH66" s="74">
        <f t="shared" si="39"/>
        <v>0</v>
      </c>
      <c r="DI66" s="74">
        <f t="shared" si="39"/>
        <v>0</v>
      </c>
      <c r="DJ66" s="74">
        <f t="shared" si="45"/>
        <v>0</v>
      </c>
      <c r="DK66" s="74">
        <f t="shared" si="46"/>
        <v>0</v>
      </c>
      <c r="DL66" s="74">
        <f t="shared" si="47"/>
        <v>0</v>
      </c>
      <c r="DM66" s="74">
        <f t="shared" si="48"/>
        <v>0</v>
      </c>
      <c r="DN66" s="74">
        <f t="shared" si="40"/>
        <v>0</v>
      </c>
      <c r="DO66" s="74">
        <f t="shared" si="40"/>
        <v>0</v>
      </c>
    </row>
    <row r="67" spans="1:119">
      <c r="A67" s="25">
        <v>59</v>
      </c>
      <c r="B67" s="26" t="s">
        <v>87</v>
      </c>
      <c r="C67" s="26" t="s">
        <v>548</v>
      </c>
      <c r="D67" s="26" t="s">
        <v>549</v>
      </c>
      <c r="E67" s="205" t="s">
        <v>1164</v>
      </c>
      <c r="F67" s="161">
        <f t="shared" si="14"/>
        <v>0</v>
      </c>
      <c r="G67" s="161">
        <f t="shared" si="15"/>
        <v>0</v>
      </c>
      <c r="H67" s="165">
        <f t="shared" si="16"/>
        <v>427</v>
      </c>
      <c r="I67" s="12">
        <v>0</v>
      </c>
      <c r="J67" s="219">
        <v>0</v>
      </c>
      <c r="K67" s="219">
        <v>0</v>
      </c>
      <c r="L67" s="127">
        <f t="shared" si="17"/>
        <v>427</v>
      </c>
      <c r="M67" s="127">
        <f t="shared" si="18"/>
        <v>427</v>
      </c>
      <c r="N67" s="127">
        <f t="shared" si="19"/>
        <v>427</v>
      </c>
      <c r="O67" s="131">
        <f t="shared" si="20"/>
        <v>0</v>
      </c>
      <c r="P67" s="125">
        <f t="shared" si="21"/>
        <v>427</v>
      </c>
      <c r="Q67" s="74"/>
      <c r="R67" s="74">
        <v>427</v>
      </c>
      <c r="S67" s="74">
        <f t="shared" si="41"/>
        <v>0</v>
      </c>
      <c r="T67" s="74">
        <f t="shared" si="42"/>
        <v>427</v>
      </c>
      <c r="U67" s="74"/>
      <c r="V67" s="74"/>
      <c r="W67" s="74"/>
      <c r="X67" s="74"/>
      <c r="Y67" s="74">
        <f t="shared" si="22"/>
        <v>0</v>
      </c>
      <c r="Z67" s="74">
        <f t="shared" si="22"/>
        <v>0</v>
      </c>
      <c r="AA67" s="74"/>
      <c r="AB67" s="74"/>
      <c r="AC67" s="74"/>
      <c r="AD67" s="74"/>
      <c r="AE67" s="74">
        <f t="shared" si="23"/>
        <v>0</v>
      </c>
      <c r="AF67" s="74">
        <f t="shared" si="23"/>
        <v>0</v>
      </c>
      <c r="AG67" s="74">
        <f t="shared" si="24"/>
        <v>0</v>
      </c>
      <c r="AH67" s="74">
        <f t="shared" si="25"/>
        <v>0</v>
      </c>
      <c r="AI67" s="74">
        <f t="shared" si="25"/>
        <v>427</v>
      </c>
      <c r="AJ67" s="74">
        <f t="shared" si="26"/>
        <v>427</v>
      </c>
      <c r="AK67" s="74">
        <f t="shared" si="27"/>
        <v>427</v>
      </c>
      <c r="AL67" s="74">
        <f t="shared" si="27"/>
        <v>427</v>
      </c>
      <c r="AM67" s="74"/>
      <c r="AN67" s="74"/>
      <c r="AO67" s="74"/>
      <c r="AP67" s="74"/>
      <c r="AQ67" s="74"/>
      <c r="AR67" s="74">
        <f t="shared" si="28"/>
        <v>0</v>
      </c>
      <c r="AS67" s="74">
        <f t="shared" si="28"/>
        <v>0</v>
      </c>
      <c r="AT67" s="74"/>
      <c r="AU67" s="74"/>
      <c r="AV67" s="74"/>
      <c r="AW67" s="74"/>
      <c r="AX67" s="74">
        <f t="shared" si="29"/>
        <v>0</v>
      </c>
      <c r="AY67" s="74">
        <f t="shared" si="29"/>
        <v>0</v>
      </c>
      <c r="AZ67" s="74"/>
      <c r="BA67" s="74"/>
      <c r="BB67" s="74"/>
      <c r="BC67" s="74"/>
      <c r="BD67" s="74">
        <f t="shared" si="30"/>
        <v>0</v>
      </c>
      <c r="BE67" s="74"/>
      <c r="BF67" s="74">
        <f t="shared" si="43"/>
        <v>0</v>
      </c>
      <c r="BG67" s="74"/>
      <c r="BH67" s="74"/>
      <c r="BI67" s="74"/>
      <c r="BJ67" s="74"/>
      <c r="BK67" s="74">
        <f t="shared" si="31"/>
        <v>0</v>
      </c>
      <c r="BL67" s="74"/>
      <c r="BM67" s="74">
        <f t="shared" si="44"/>
        <v>0</v>
      </c>
      <c r="BN67" s="74"/>
      <c r="BO67" s="74"/>
      <c r="BP67" s="74"/>
      <c r="BQ67" s="74"/>
      <c r="BR67" s="74">
        <f t="shared" si="32"/>
        <v>0</v>
      </c>
      <c r="BS67" s="74">
        <f t="shared" si="32"/>
        <v>0</v>
      </c>
      <c r="BT67" s="74"/>
      <c r="BU67" s="74"/>
      <c r="BV67" s="74"/>
      <c r="BW67" s="74"/>
      <c r="BX67" s="74">
        <f t="shared" si="33"/>
        <v>0</v>
      </c>
      <c r="BY67" s="74">
        <f t="shared" si="33"/>
        <v>0</v>
      </c>
      <c r="BZ67" s="74"/>
      <c r="CA67" s="74"/>
      <c r="CB67" s="74"/>
      <c r="CC67" s="74"/>
      <c r="CD67" s="74">
        <f t="shared" si="34"/>
        <v>0</v>
      </c>
      <c r="CE67" s="74">
        <f t="shared" si="34"/>
        <v>0</v>
      </c>
      <c r="CF67" s="74"/>
      <c r="CG67" s="74"/>
      <c r="CH67" s="74"/>
      <c r="CI67" s="74"/>
      <c r="CJ67" s="74">
        <f t="shared" si="35"/>
        <v>0</v>
      </c>
      <c r="CK67" s="74">
        <f t="shared" si="35"/>
        <v>0</v>
      </c>
      <c r="CL67" s="74"/>
      <c r="CM67" s="74"/>
      <c r="CN67" s="74"/>
      <c r="CO67" s="74"/>
      <c r="CP67" s="74">
        <f t="shared" si="36"/>
        <v>0</v>
      </c>
      <c r="CQ67" s="74">
        <f t="shared" si="36"/>
        <v>0</v>
      </c>
      <c r="CR67" s="74"/>
      <c r="CS67" s="74"/>
      <c r="CT67" s="74"/>
      <c r="CU67" s="74"/>
      <c r="CV67" s="74">
        <f t="shared" si="37"/>
        <v>0</v>
      </c>
      <c r="CW67" s="74">
        <f t="shared" si="37"/>
        <v>0</v>
      </c>
      <c r="CX67" s="74"/>
      <c r="CY67" s="74"/>
      <c r="CZ67" s="74"/>
      <c r="DA67" s="74"/>
      <c r="DB67" s="74">
        <f t="shared" si="38"/>
        <v>0</v>
      </c>
      <c r="DC67" s="74">
        <f t="shared" si="38"/>
        <v>0</v>
      </c>
      <c r="DD67" s="74"/>
      <c r="DE67" s="74"/>
      <c r="DF67" s="74"/>
      <c r="DG67" s="74"/>
      <c r="DH67" s="74">
        <f t="shared" si="39"/>
        <v>0</v>
      </c>
      <c r="DI67" s="74">
        <f t="shared" si="39"/>
        <v>0</v>
      </c>
      <c r="DJ67" s="74">
        <f t="shared" si="45"/>
        <v>0</v>
      </c>
      <c r="DK67" s="74">
        <f t="shared" si="46"/>
        <v>0</v>
      </c>
      <c r="DL67" s="74">
        <f t="shared" si="47"/>
        <v>0</v>
      </c>
      <c r="DM67" s="74">
        <f t="shared" si="48"/>
        <v>0</v>
      </c>
      <c r="DN67" s="74">
        <f t="shared" si="40"/>
        <v>0</v>
      </c>
      <c r="DO67" s="74">
        <f t="shared" si="40"/>
        <v>0</v>
      </c>
    </row>
    <row r="68" spans="1:119">
      <c r="A68" s="25">
        <v>60</v>
      </c>
      <c r="B68" s="26" t="s">
        <v>87</v>
      </c>
      <c r="C68" s="26" t="s">
        <v>548</v>
      </c>
      <c r="D68" s="26" t="s">
        <v>1208</v>
      </c>
      <c r="E68" s="205" t="s">
        <v>1165</v>
      </c>
      <c r="F68" s="161">
        <f t="shared" si="14"/>
        <v>0</v>
      </c>
      <c r="G68" s="161">
        <f t="shared" si="15"/>
        <v>0</v>
      </c>
      <c r="H68" s="165">
        <f t="shared" si="16"/>
        <v>23485.827680230072</v>
      </c>
      <c r="I68" s="12">
        <v>15045</v>
      </c>
      <c r="J68" s="219">
        <v>0</v>
      </c>
      <c r="K68" s="219">
        <v>0</v>
      </c>
      <c r="L68" s="127">
        <f t="shared" si="17"/>
        <v>23485.827680230072</v>
      </c>
      <c r="M68" s="127">
        <f t="shared" si="18"/>
        <v>23485.827680230072</v>
      </c>
      <c r="N68" s="127">
        <f t="shared" si="19"/>
        <v>23485.827680230072</v>
      </c>
      <c r="O68" s="131">
        <f t="shared" si="20"/>
        <v>0</v>
      </c>
      <c r="P68" s="125">
        <f t="shared" si="21"/>
        <v>23485.827680230072</v>
      </c>
      <c r="Q68" s="74"/>
      <c r="R68" s="74">
        <v>23485.827680230072</v>
      </c>
      <c r="S68" s="74">
        <f t="shared" si="41"/>
        <v>0</v>
      </c>
      <c r="T68" s="74">
        <f t="shared" si="42"/>
        <v>23485.827680230072</v>
      </c>
      <c r="U68" s="74"/>
      <c r="V68" s="74"/>
      <c r="W68" s="74"/>
      <c r="X68" s="74"/>
      <c r="Y68" s="74">
        <f t="shared" si="22"/>
        <v>0</v>
      </c>
      <c r="Z68" s="74">
        <f t="shared" si="22"/>
        <v>0</v>
      </c>
      <c r="AA68" s="74"/>
      <c r="AB68" s="74"/>
      <c r="AC68" s="74"/>
      <c r="AD68" s="74"/>
      <c r="AE68" s="74">
        <f t="shared" si="23"/>
        <v>0</v>
      </c>
      <c r="AF68" s="74">
        <f t="shared" si="23"/>
        <v>0</v>
      </c>
      <c r="AG68" s="74">
        <f t="shared" si="24"/>
        <v>0</v>
      </c>
      <c r="AH68" s="74">
        <f t="shared" si="25"/>
        <v>0</v>
      </c>
      <c r="AI68" s="74">
        <f t="shared" si="25"/>
        <v>23485.827680230072</v>
      </c>
      <c r="AJ68" s="74">
        <f t="shared" si="26"/>
        <v>23485.827680230072</v>
      </c>
      <c r="AK68" s="74">
        <f t="shared" si="27"/>
        <v>23485.827680230072</v>
      </c>
      <c r="AL68" s="74">
        <f t="shared" si="27"/>
        <v>23485.827680230072</v>
      </c>
      <c r="AM68" s="74"/>
      <c r="AN68" s="74"/>
      <c r="AO68" s="74"/>
      <c r="AP68" s="74"/>
      <c r="AQ68" s="74"/>
      <c r="AR68" s="74">
        <f t="shared" si="28"/>
        <v>0</v>
      </c>
      <c r="AS68" s="74">
        <f t="shared" si="28"/>
        <v>0</v>
      </c>
      <c r="AT68" s="74"/>
      <c r="AU68" s="74"/>
      <c r="AV68" s="74"/>
      <c r="AW68" s="74"/>
      <c r="AX68" s="74">
        <f t="shared" si="29"/>
        <v>0</v>
      </c>
      <c r="AY68" s="74">
        <f t="shared" si="29"/>
        <v>0</v>
      </c>
      <c r="AZ68" s="74"/>
      <c r="BA68" s="74"/>
      <c r="BB68" s="74"/>
      <c r="BC68" s="74"/>
      <c r="BD68" s="74">
        <f t="shared" si="30"/>
        <v>0</v>
      </c>
      <c r="BE68" s="74"/>
      <c r="BF68" s="74">
        <f t="shared" si="43"/>
        <v>0</v>
      </c>
      <c r="BG68" s="74"/>
      <c r="BH68" s="74"/>
      <c r="BI68" s="74"/>
      <c r="BJ68" s="74"/>
      <c r="BK68" s="74">
        <f t="shared" si="31"/>
        <v>0</v>
      </c>
      <c r="BL68" s="74"/>
      <c r="BM68" s="74">
        <f t="shared" si="44"/>
        <v>0</v>
      </c>
      <c r="BN68" s="74"/>
      <c r="BO68" s="74"/>
      <c r="BP68" s="74"/>
      <c r="BQ68" s="74"/>
      <c r="BR68" s="74">
        <f t="shared" si="32"/>
        <v>0</v>
      </c>
      <c r="BS68" s="74">
        <f t="shared" si="32"/>
        <v>0</v>
      </c>
      <c r="BT68" s="74"/>
      <c r="BU68" s="74"/>
      <c r="BV68" s="74"/>
      <c r="BW68" s="74"/>
      <c r="BX68" s="74">
        <f t="shared" si="33"/>
        <v>0</v>
      </c>
      <c r="BY68" s="74">
        <f t="shared" si="33"/>
        <v>0</v>
      </c>
      <c r="BZ68" s="74"/>
      <c r="CA68" s="74"/>
      <c r="CB68" s="74"/>
      <c r="CC68" s="74"/>
      <c r="CD68" s="74">
        <f t="shared" si="34"/>
        <v>0</v>
      </c>
      <c r="CE68" s="74">
        <f t="shared" si="34"/>
        <v>0</v>
      </c>
      <c r="CF68" s="74"/>
      <c r="CG68" s="74"/>
      <c r="CH68" s="74"/>
      <c r="CI68" s="74"/>
      <c r="CJ68" s="74">
        <f t="shared" si="35"/>
        <v>0</v>
      </c>
      <c r="CK68" s="74">
        <f t="shared" si="35"/>
        <v>0</v>
      </c>
      <c r="CL68" s="74"/>
      <c r="CM68" s="74"/>
      <c r="CN68" s="74"/>
      <c r="CO68" s="74"/>
      <c r="CP68" s="74">
        <f t="shared" si="36"/>
        <v>0</v>
      </c>
      <c r="CQ68" s="74">
        <f t="shared" si="36"/>
        <v>0</v>
      </c>
      <c r="CR68" s="74"/>
      <c r="CS68" s="74"/>
      <c r="CT68" s="74"/>
      <c r="CU68" s="74"/>
      <c r="CV68" s="74">
        <f t="shared" si="37"/>
        <v>0</v>
      </c>
      <c r="CW68" s="74">
        <f t="shared" si="37"/>
        <v>0</v>
      </c>
      <c r="CX68" s="74"/>
      <c r="CY68" s="74"/>
      <c r="CZ68" s="74"/>
      <c r="DA68" s="74"/>
      <c r="DB68" s="74">
        <f t="shared" si="38"/>
        <v>0</v>
      </c>
      <c r="DC68" s="74">
        <f t="shared" si="38"/>
        <v>0</v>
      </c>
      <c r="DD68" s="74"/>
      <c r="DE68" s="74"/>
      <c r="DF68" s="74"/>
      <c r="DG68" s="74"/>
      <c r="DH68" s="74">
        <f t="shared" si="39"/>
        <v>0</v>
      </c>
      <c r="DI68" s="74">
        <f t="shared" si="39"/>
        <v>0</v>
      </c>
      <c r="DJ68" s="74">
        <f t="shared" si="45"/>
        <v>0</v>
      </c>
      <c r="DK68" s="74">
        <f t="shared" si="46"/>
        <v>0</v>
      </c>
      <c r="DL68" s="74">
        <f t="shared" si="47"/>
        <v>0</v>
      </c>
      <c r="DM68" s="74">
        <f t="shared" si="48"/>
        <v>0</v>
      </c>
      <c r="DN68" s="74">
        <f t="shared" si="40"/>
        <v>0</v>
      </c>
      <c r="DO68" s="74">
        <f t="shared" si="40"/>
        <v>0</v>
      </c>
    </row>
    <row r="69" spans="1:119">
      <c r="A69" s="25">
        <v>61</v>
      </c>
      <c r="B69" s="26" t="s">
        <v>456</v>
      </c>
      <c r="C69" s="26" t="s">
        <v>550</v>
      </c>
      <c r="D69" s="26" t="s">
        <v>551</v>
      </c>
      <c r="E69" s="205" t="s">
        <v>1164</v>
      </c>
      <c r="F69" s="161">
        <f t="shared" si="14"/>
        <v>0</v>
      </c>
      <c r="G69" s="161">
        <f t="shared" si="15"/>
        <v>0</v>
      </c>
      <c r="H69" s="165">
        <f t="shared" si="16"/>
        <v>691.25</v>
      </c>
      <c r="I69" s="12">
        <v>0</v>
      </c>
      <c r="J69" s="219">
        <v>0</v>
      </c>
      <c r="K69" s="219">
        <v>0</v>
      </c>
      <c r="L69" s="127">
        <f t="shared" si="17"/>
        <v>691.25</v>
      </c>
      <c r="M69" s="127">
        <f t="shared" si="18"/>
        <v>691.25</v>
      </c>
      <c r="N69" s="127">
        <f t="shared" si="19"/>
        <v>691.25</v>
      </c>
      <c r="O69" s="131">
        <f t="shared" si="20"/>
        <v>0</v>
      </c>
      <c r="P69" s="125">
        <f t="shared" si="21"/>
        <v>691.25</v>
      </c>
      <c r="Q69" s="74"/>
      <c r="R69" s="74">
        <v>691.25</v>
      </c>
      <c r="S69" s="74">
        <f t="shared" si="41"/>
        <v>0</v>
      </c>
      <c r="T69" s="74">
        <f t="shared" si="42"/>
        <v>691.25</v>
      </c>
      <c r="U69" s="74"/>
      <c r="V69" s="74"/>
      <c r="W69" s="74"/>
      <c r="X69" s="74"/>
      <c r="Y69" s="74">
        <f t="shared" si="22"/>
        <v>0</v>
      </c>
      <c r="Z69" s="74">
        <f t="shared" si="22"/>
        <v>0</v>
      </c>
      <c r="AA69" s="74"/>
      <c r="AB69" s="74"/>
      <c r="AC69" s="74"/>
      <c r="AD69" s="74"/>
      <c r="AE69" s="74">
        <f t="shared" si="23"/>
        <v>0</v>
      </c>
      <c r="AF69" s="74">
        <f t="shared" si="23"/>
        <v>0</v>
      </c>
      <c r="AG69" s="74">
        <f t="shared" si="24"/>
        <v>0</v>
      </c>
      <c r="AH69" s="74">
        <f t="shared" si="25"/>
        <v>0</v>
      </c>
      <c r="AI69" s="74">
        <f t="shared" si="25"/>
        <v>691.25</v>
      </c>
      <c r="AJ69" s="74">
        <f t="shared" si="26"/>
        <v>691.25</v>
      </c>
      <c r="AK69" s="74">
        <f t="shared" si="27"/>
        <v>691.25</v>
      </c>
      <c r="AL69" s="74">
        <f t="shared" si="27"/>
        <v>691.25</v>
      </c>
      <c r="AM69" s="74"/>
      <c r="AN69" s="74"/>
      <c r="AO69" s="74"/>
      <c r="AP69" s="74"/>
      <c r="AQ69" s="74"/>
      <c r="AR69" s="74">
        <f t="shared" si="28"/>
        <v>0</v>
      </c>
      <c r="AS69" s="74">
        <f t="shared" si="28"/>
        <v>0</v>
      </c>
      <c r="AT69" s="74"/>
      <c r="AU69" s="74"/>
      <c r="AV69" s="74"/>
      <c r="AW69" s="74"/>
      <c r="AX69" s="74">
        <f t="shared" si="29"/>
        <v>0</v>
      </c>
      <c r="AY69" s="74">
        <f t="shared" si="29"/>
        <v>0</v>
      </c>
      <c r="AZ69" s="74"/>
      <c r="BA69" s="74"/>
      <c r="BB69" s="74"/>
      <c r="BC69" s="74"/>
      <c r="BD69" s="74">
        <f t="shared" si="30"/>
        <v>0</v>
      </c>
      <c r="BE69" s="74"/>
      <c r="BF69" s="74">
        <f t="shared" si="43"/>
        <v>0</v>
      </c>
      <c r="BG69" s="74"/>
      <c r="BH69" s="74"/>
      <c r="BI69" s="74"/>
      <c r="BJ69" s="74"/>
      <c r="BK69" s="74">
        <f t="shared" si="31"/>
        <v>0</v>
      </c>
      <c r="BL69" s="74"/>
      <c r="BM69" s="74">
        <f t="shared" si="44"/>
        <v>0</v>
      </c>
      <c r="BN69" s="74"/>
      <c r="BO69" s="74"/>
      <c r="BP69" s="74"/>
      <c r="BQ69" s="74"/>
      <c r="BR69" s="74">
        <f t="shared" si="32"/>
        <v>0</v>
      </c>
      <c r="BS69" s="74">
        <f t="shared" si="32"/>
        <v>0</v>
      </c>
      <c r="BT69" s="74"/>
      <c r="BU69" s="74"/>
      <c r="BV69" s="74"/>
      <c r="BW69" s="74"/>
      <c r="BX69" s="74">
        <f t="shared" si="33"/>
        <v>0</v>
      </c>
      <c r="BY69" s="74">
        <f t="shared" si="33"/>
        <v>0</v>
      </c>
      <c r="BZ69" s="74"/>
      <c r="CA69" s="74"/>
      <c r="CB69" s="74"/>
      <c r="CC69" s="74"/>
      <c r="CD69" s="74">
        <f t="shared" si="34"/>
        <v>0</v>
      </c>
      <c r="CE69" s="74">
        <f t="shared" si="34"/>
        <v>0</v>
      </c>
      <c r="CF69" s="74"/>
      <c r="CG69" s="74"/>
      <c r="CH69" s="74"/>
      <c r="CI69" s="74"/>
      <c r="CJ69" s="74">
        <f t="shared" si="35"/>
        <v>0</v>
      </c>
      <c r="CK69" s="74">
        <f t="shared" si="35"/>
        <v>0</v>
      </c>
      <c r="CL69" s="74"/>
      <c r="CM69" s="74"/>
      <c r="CN69" s="74"/>
      <c r="CO69" s="74"/>
      <c r="CP69" s="74">
        <f t="shared" si="36"/>
        <v>0</v>
      </c>
      <c r="CQ69" s="74">
        <f t="shared" si="36"/>
        <v>0</v>
      </c>
      <c r="CR69" s="74"/>
      <c r="CS69" s="74"/>
      <c r="CT69" s="74"/>
      <c r="CU69" s="74"/>
      <c r="CV69" s="74">
        <f t="shared" si="37"/>
        <v>0</v>
      </c>
      <c r="CW69" s="74">
        <f t="shared" si="37"/>
        <v>0</v>
      </c>
      <c r="CX69" s="74"/>
      <c r="CY69" s="74"/>
      <c r="CZ69" s="74"/>
      <c r="DA69" s="74"/>
      <c r="DB69" s="74">
        <f t="shared" si="38"/>
        <v>0</v>
      </c>
      <c r="DC69" s="74">
        <f t="shared" si="38"/>
        <v>0</v>
      </c>
      <c r="DD69" s="74"/>
      <c r="DE69" s="74"/>
      <c r="DF69" s="74"/>
      <c r="DG69" s="74"/>
      <c r="DH69" s="74">
        <f t="shared" si="39"/>
        <v>0</v>
      </c>
      <c r="DI69" s="74">
        <f t="shared" si="39"/>
        <v>0</v>
      </c>
      <c r="DJ69" s="74">
        <f t="shared" si="45"/>
        <v>0</v>
      </c>
      <c r="DK69" s="74">
        <f t="shared" si="46"/>
        <v>0</v>
      </c>
      <c r="DL69" s="74">
        <f t="shared" si="47"/>
        <v>0</v>
      </c>
      <c r="DM69" s="74">
        <f t="shared" si="48"/>
        <v>0</v>
      </c>
      <c r="DN69" s="74">
        <f t="shared" si="40"/>
        <v>0</v>
      </c>
      <c r="DO69" s="74">
        <f t="shared" si="40"/>
        <v>0</v>
      </c>
    </row>
    <row r="70" spans="1:119">
      <c r="A70" s="25">
        <v>62</v>
      </c>
      <c r="B70" s="26" t="s">
        <v>456</v>
      </c>
      <c r="C70" s="26" t="s">
        <v>550</v>
      </c>
      <c r="D70" s="26" t="s">
        <v>552</v>
      </c>
      <c r="E70" s="205" t="s">
        <v>1165</v>
      </c>
      <c r="F70" s="161">
        <f t="shared" si="14"/>
        <v>0</v>
      </c>
      <c r="G70" s="161">
        <f t="shared" si="15"/>
        <v>0</v>
      </c>
      <c r="H70" s="165">
        <f t="shared" si="16"/>
        <v>41972.44</v>
      </c>
      <c r="I70" s="12">
        <v>3894</v>
      </c>
      <c r="J70" s="219">
        <v>0</v>
      </c>
      <c r="K70" s="219">
        <v>0</v>
      </c>
      <c r="L70" s="127">
        <f t="shared" si="17"/>
        <v>41972.44</v>
      </c>
      <c r="M70" s="127">
        <f t="shared" si="18"/>
        <v>41972.44</v>
      </c>
      <c r="N70" s="127">
        <f t="shared" si="19"/>
        <v>41972.44</v>
      </c>
      <c r="O70" s="131">
        <f t="shared" si="20"/>
        <v>0</v>
      </c>
      <c r="P70" s="125">
        <f t="shared" si="21"/>
        <v>41972.44</v>
      </c>
      <c r="Q70" s="74"/>
      <c r="R70" s="74">
        <v>41972.44</v>
      </c>
      <c r="S70" s="74">
        <f t="shared" si="41"/>
        <v>0</v>
      </c>
      <c r="T70" s="74">
        <f t="shared" si="42"/>
        <v>41972.44</v>
      </c>
      <c r="U70" s="74"/>
      <c r="V70" s="74"/>
      <c r="W70" s="74"/>
      <c r="X70" s="74"/>
      <c r="Y70" s="74">
        <f t="shared" si="22"/>
        <v>0</v>
      </c>
      <c r="Z70" s="74">
        <f t="shared" si="22"/>
        <v>0</v>
      </c>
      <c r="AA70" s="74"/>
      <c r="AB70" s="74"/>
      <c r="AC70" s="74"/>
      <c r="AD70" s="74"/>
      <c r="AE70" s="74">
        <f t="shared" si="23"/>
        <v>0</v>
      </c>
      <c r="AF70" s="74">
        <f t="shared" si="23"/>
        <v>0</v>
      </c>
      <c r="AG70" s="74">
        <f t="shared" si="24"/>
        <v>0</v>
      </c>
      <c r="AH70" s="74">
        <f t="shared" si="25"/>
        <v>0</v>
      </c>
      <c r="AI70" s="74">
        <f t="shared" si="25"/>
        <v>41972.44</v>
      </c>
      <c r="AJ70" s="74">
        <f t="shared" si="26"/>
        <v>41972.44</v>
      </c>
      <c r="AK70" s="74">
        <f t="shared" si="27"/>
        <v>41972.44</v>
      </c>
      <c r="AL70" s="74">
        <f t="shared" si="27"/>
        <v>41972.44</v>
      </c>
      <c r="AM70" s="74"/>
      <c r="AN70" s="74"/>
      <c r="AO70" s="74"/>
      <c r="AP70" s="74"/>
      <c r="AQ70" s="74"/>
      <c r="AR70" s="74">
        <f t="shared" si="28"/>
        <v>0</v>
      </c>
      <c r="AS70" s="74">
        <f t="shared" si="28"/>
        <v>0</v>
      </c>
      <c r="AT70" s="74"/>
      <c r="AU70" s="74"/>
      <c r="AV70" s="74"/>
      <c r="AW70" s="74"/>
      <c r="AX70" s="74">
        <f t="shared" si="29"/>
        <v>0</v>
      </c>
      <c r="AY70" s="74">
        <f t="shared" si="29"/>
        <v>0</v>
      </c>
      <c r="AZ70" s="74"/>
      <c r="BA70" s="74"/>
      <c r="BB70" s="74"/>
      <c r="BC70" s="74"/>
      <c r="BD70" s="74">
        <f t="shared" si="30"/>
        <v>0</v>
      </c>
      <c r="BE70" s="74"/>
      <c r="BF70" s="74">
        <f t="shared" si="43"/>
        <v>0</v>
      </c>
      <c r="BG70" s="74"/>
      <c r="BH70" s="74"/>
      <c r="BI70" s="74"/>
      <c r="BJ70" s="74"/>
      <c r="BK70" s="74">
        <f t="shared" si="31"/>
        <v>0</v>
      </c>
      <c r="BL70" s="74"/>
      <c r="BM70" s="74">
        <f t="shared" si="44"/>
        <v>0</v>
      </c>
      <c r="BN70" s="74"/>
      <c r="BO70" s="74"/>
      <c r="BP70" s="74"/>
      <c r="BQ70" s="74"/>
      <c r="BR70" s="74">
        <f t="shared" si="32"/>
        <v>0</v>
      </c>
      <c r="BS70" s="74">
        <f t="shared" si="32"/>
        <v>0</v>
      </c>
      <c r="BT70" s="74"/>
      <c r="BU70" s="74"/>
      <c r="BV70" s="74"/>
      <c r="BW70" s="74"/>
      <c r="BX70" s="74">
        <f t="shared" si="33"/>
        <v>0</v>
      </c>
      <c r="BY70" s="74">
        <f t="shared" si="33"/>
        <v>0</v>
      </c>
      <c r="BZ70" s="74"/>
      <c r="CA70" s="74"/>
      <c r="CB70" s="74"/>
      <c r="CC70" s="74"/>
      <c r="CD70" s="74">
        <f t="shared" si="34"/>
        <v>0</v>
      </c>
      <c r="CE70" s="74">
        <f t="shared" si="34"/>
        <v>0</v>
      </c>
      <c r="CF70" s="74"/>
      <c r="CG70" s="74"/>
      <c r="CH70" s="74"/>
      <c r="CI70" s="74"/>
      <c r="CJ70" s="74">
        <f t="shared" si="35"/>
        <v>0</v>
      </c>
      <c r="CK70" s="74">
        <f t="shared" si="35"/>
        <v>0</v>
      </c>
      <c r="CL70" s="74"/>
      <c r="CM70" s="74"/>
      <c r="CN70" s="74"/>
      <c r="CO70" s="74"/>
      <c r="CP70" s="74">
        <f t="shared" si="36"/>
        <v>0</v>
      </c>
      <c r="CQ70" s="74">
        <f t="shared" si="36"/>
        <v>0</v>
      </c>
      <c r="CR70" s="74"/>
      <c r="CS70" s="74"/>
      <c r="CT70" s="74"/>
      <c r="CU70" s="74"/>
      <c r="CV70" s="74">
        <f t="shared" si="37"/>
        <v>0</v>
      </c>
      <c r="CW70" s="74">
        <f t="shared" si="37"/>
        <v>0</v>
      </c>
      <c r="CX70" s="74"/>
      <c r="CY70" s="74"/>
      <c r="CZ70" s="74"/>
      <c r="DA70" s="74"/>
      <c r="DB70" s="74">
        <f t="shared" si="38"/>
        <v>0</v>
      </c>
      <c r="DC70" s="74">
        <f t="shared" si="38"/>
        <v>0</v>
      </c>
      <c r="DD70" s="74"/>
      <c r="DE70" s="74"/>
      <c r="DF70" s="74"/>
      <c r="DG70" s="74"/>
      <c r="DH70" s="74">
        <f t="shared" si="39"/>
        <v>0</v>
      </c>
      <c r="DI70" s="74">
        <f t="shared" si="39"/>
        <v>0</v>
      </c>
      <c r="DJ70" s="74">
        <f t="shared" si="45"/>
        <v>0</v>
      </c>
      <c r="DK70" s="74">
        <f t="shared" si="46"/>
        <v>0</v>
      </c>
      <c r="DL70" s="74">
        <f t="shared" si="47"/>
        <v>0</v>
      </c>
      <c r="DM70" s="74">
        <f t="shared" si="48"/>
        <v>0</v>
      </c>
      <c r="DN70" s="74">
        <f t="shared" si="40"/>
        <v>0</v>
      </c>
      <c r="DO70" s="74">
        <f t="shared" si="40"/>
        <v>0</v>
      </c>
    </row>
    <row r="71" spans="1:119">
      <c r="A71" s="25">
        <v>63</v>
      </c>
      <c r="B71" s="26" t="s">
        <v>87</v>
      </c>
      <c r="C71" s="26" t="s">
        <v>553</v>
      </c>
      <c r="D71" s="26" t="s">
        <v>1209</v>
      </c>
      <c r="E71" s="205" t="s">
        <v>1164</v>
      </c>
      <c r="F71" s="161">
        <f t="shared" si="14"/>
        <v>0</v>
      </c>
      <c r="G71" s="161">
        <f t="shared" si="15"/>
        <v>0</v>
      </c>
      <c r="H71" s="165">
        <f t="shared" si="16"/>
        <v>1435</v>
      </c>
      <c r="I71" s="12">
        <v>0</v>
      </c>
      <c r="J71" s="219">
        <v>0</v>
      </c>
      <c r="K71" s="219">
        <v>0</v>
      </c>
      <c r="L71" s="127">
        <f t="shared" si="17"/>
        <v>1435</v>
      </c>
      <c r="M71" s="127">
        <f t="shared" si="18"/>
        <v>1435</v>
      </c>
      <c r="N71" s="127">
        <f t="shared" si="19"/>
        <v>1435</v>
      </c>
      <c r="O71" s="131">
        <f t="shared" si="20"/>
        <v>0</v>
      </c>
      <c r="P71" s="125">
        <f t="shared" si="21"/>
        <v>1435</v>
      </c>
      <c r="Q71" s="74"/>
      <c r="R71" s="74">
        <v>1435</v>
      </c>
      <c r="S71" s="74">
        <f t="shared" si="41"/>
        <v>0</v>
      </c>
      <c r="T71" s="74">
        <f t="shared" si="42"/>
        <v>1435</v>
      </c>
      <c r="U71" s="74"/>
      <c r="V71" s="74"/>
      <c r="W71" s="74"/>
      <c r="X71" s="74"/>
      <c r="Y71" s="74">
        <f t="shared" si="22"/>
        <v>0</v>
      </c>
      <c r="Z71" s="74">
        <f t="shared" si="22"/>
        <v>0</v>
      </c>
      <c r="AA71" s="74"/>
      <c r="AB71" s="74"/>
      <c r="AC71" s="74"/>
      <c r="AD71" s="74"/>
      <c r="AE71" s="74">
        <f t="shared" si="23"/>
        <v>0</v>
      </c>
      <c r="AF71" s="74">
        <f t="shared" si="23"/>
        <v>0</v>
      </c>
      <c r="AG71" s="74">
        <f t="shared" si="24"/>
        <v>0</v>
      </c>
      <c r="AH71" s="74">
        <f t="shared" si="25"/>
        <v>0</v>
      </c>
      <c r="AI71" s="74">
        <f t="shared" si="25"/>
        <v>1435</v>
      </c>
      <c r="AJ71" s="74">
        <f t="shared" si="26"/>
        <v>1435</v>
      </c>
      <c r="AK71" s="74">
        <f t="shared" si="27"/>
        <v>1435</v>
      </c>
      <c r="AL71" s="74">
        <f t="shared" si="27"/>
        <v>1435</v>
      </c>
      <c r="AM71" s="74"/>
      <c r="AN71" s="74"/>
      <c r="AO71" s="74"/>
      <c r="AP71" s="74"/>
      <c r="AQ71" s="74"/>
      <c r="AR71" s="74">
        <f t="shared" si="28"/>
        <v>0</v>
      </c>
      <c r="AS71" s="74">
        <f t="shared" si="28"/>
        <v>0</v>
      </c>
      <c r="AT71" s="74"/>
      <c r="AU71" s="74"/>
      <c r="AV71" s="74"/>
      <c r="AW71" s="74"/>
      <c r="AX71" s="74">
        <f t="shared" si="29"/>
        <v>0</v>
      </c>
      <c r="AY71" s="74">
        <f t="shared" si="29"/>
        <v>0</v>
      </c>
      <c r="AZ71" s="74"/>
      <c r="BA71" s="74"/>
      <c r="BB71" s="74"/>
      <c r="BC71" s="74"/>
      <c r="BD71" s="74">
        <f t="shared" si="30"/>
        <v>0</v>
      </c>
      <c r="BE71" s="74"/>
      <c r="BF71" s="74">
        <f t="shared" si="43"/>
        <v>0</v>
      </c>
      <c r="BG71" s="74"/>
      <c r="BH71" s="74"/>
      <c r="BI71" s="74"/>
      <c r="BJ71" s="74"/>
      <c r="BK71" s="74">
        <f t="shared" si="31"/>
        <v>0</v>
      </c>
      <c r="BL71" s="74"/>
      <c r="BM71" s="74">
        <f t="shared" si="44"/>
        <v>0</v>
      </c>
      <c r="BN71" s="74"/>
      <c r="BO71" s="74"/>
      <c r="BP71" s="74"/>
      <c r="BQ71" s="74"/>
      <c r="BR71" s="74">
        <f t="shared" si="32"/>
        <v>0</v>
      </c>
      <c r="BS71" s="74">
        <f t="shared" si="32"/>
        <v>0</v>
      </c>
      <c r="BT71" s="74"/>
      <c r="BU71" s="74"/>
      <c r="BV71" s="74"/>
      <c r="BW71" s="74"/>
      <c r="BX71" s="74">
        <f t="shared" si="33"/>
        <v>0</v>
      </c>
      <c r="BY71" s="74">
        <f t="shared" si="33"/>
        <v>0</v>
      </c>
      <c r="BZ71" s="74"/>
      <c r="CA71" s="74"/>
      <c r="CB71" s="74"/>
      <c r="CC71" s="74"/>
      <c r="CD71" s="74">
        <f t="shared" si="34"/>
        <v>0</v>
      </c>
      <c r="CE71" s="74">
        <f t="shared" si="34"/>
        <v>0</v>
      </c>
      <c r="CF71" s="74"/>
      <c r="CG71" s="74"/>
      <c r="CH71" s="74"/>
      <c r="CI71" s="74"/>
      <c r="CJ71" s="74">
        <f t="shared" si="35"/>
        <v>0</v>
      </c>
      <c r="CK71" s="74">
        <f t="shared" si="35"/>
        <v>0</v>
      </c>
      <c r="CL71" s="74"/>
      <c r="CM71" s="74"/>
      <c r="CN71" s="74"/>
      <c r="CO71" s="74"/>
      <c r="CP71" s="74">
        <f t="shared" si="36"/>
        <v>0</v>
      </c>
      <c r="CQ71" s="74">
        <f t="shared" si="36"/>
        <v>0</v>
      </c>
      <c r="CR71" s="74"/>
      <c r="CS71" s="74"/>
      <c r="CT71" s="74"/>
      <c r="CU71" s="74"/>
      <c r="CV71" s="74">
        <f t="shared" si="37"/>
        <v>0</v>
      </c>
      <c r="CW71" s="74">
        <f t="shared" si="37"/>
        <v>0</v>
      </c>
      <c r="CX71" s="74"/>
      <c r="CY71" s="74"/>
      <c r="CZ71" s="74"/>
      <c r="DA71" s="74"/>
      <c r="DB71" s="74">
        <f t="shared" si="38"/>
        <v>0</v>
      </c>
      <c r="DC71" s="74">
        <f t="shared" si="38"/>
        <v>0</v>
      </c>
      <c r="DD71" s="74"/>
      <c r="DE71" s="74"/>
      <c r="DF71" s="74"/>
      <c r="DG71" s="74"/>
      <c r="DH71" s="74">
        <f t="shared" si="39"/>
        <v>0</v>
      </c>
      <c r="DI71" s="74">
        <f t="shared" si="39"/>
        <v>0</v>
      </c>
      <c r="DJ71" s="74">
        <f t="shared" si="45"/>
        <v>0</v>
      </c>
      <c r="DK71" s="74">
        <f t="shared" si="46"/>
        <v>0</v>
      </c>
      <c r="DL71" s="74">
        <f t="shared" si="47"/>
        <v>0</v>
      </c>
      <c r="DM71" s="74">
        <f t="shared" si="48"/>
        <v>0</v>
      </c>
      <c r="DN71" s="74">
        <f t="shared" si="40"/>
        <v>0</v>
      </c>
      <c r="DO71" s="74">
        <f t="shared" si="40"/>
        <v>0</v>
      </c>
    </row>
    <row r="72" spans="1:119">
      <c r="A72" s="25">
        <v>64</v>
      </c>
      <c r="B72" s="26" t="s">
        <v>87</v>
      </c>
      <c r="C72" s="26" t="s">
        <v>553</v>
      </c>
      <c r="D72" s="26" t="s">
        <v>1210</v>
      </c>
      <c r="E72" s="205" t="s">
        <v>1165</v>
      </c>
      <c r="F72" s="161">
        <f t="shared" si="14"/>
        <v>0</v>
      </c>
      <c r="G72" s="161">
        <f t="shared" si="15"/>
        <v>0</v>
      </c>
      <c r="H72" s="165">
        <f t="shared" si="16"/>
        <v>68824.577088939957</v>
      </c>
      <c r="I72" s="12">
        <v>61950</v>
      </c>
      <c r="J72" s="219">
        <v>0</v>
      </c>
      <c r="K72" s="219">
        <v>0</v>
      </c>
      <c r="L72" s="127">
        <f t="shared" si="17"/>
        <v>68824.577088939957</v>
      </c>
      <c r="M72" s="127">
        <f t="shared" si="18"/>
        <v>68824.577088939957</v>
      </c>
      <c r="N72" s="127">
        <f t="shared" si="19"/>
        <v>68824.577088939957</v>
      </c>
      <c r="O72" s="131">
        <f t="shared" si="20"/>
        <v>0</v>
      </c>
      <c r="P72" s="125">
        <f t="shared" si="21"/>
        <v>68824.577088939957</v>
      </c>
      <c r="Q72" s="74"/>
      <c r="R72" s="74">
        <v>68824.577088939957</v>
      </c>
      <c r="S72" s="74">
        <f t="shared" si="41"/>
        <v>0</v>
      </c>
      <c r="T72" s="74">
        <f t="shared" si="42"/>
        <v>68824.577088939957</v>
      </c>
      <c r="U72" s="74"/>
      <c r="V72" s="74"/>
      <c r="W72" s="74"/>
      <c r="X72" s="74"/>
      <c r="Y72" s="74">
        <f t="shared" si="22"/>
        <v>0</v>
      </c>
      <c r="Z72" s="74">
        <f t="shared" si="22"/>
        <v>0</v>
      </c>
      <c r="AA72" s="74"/>
      <c r="AB72" s="74"/>
      <c r="AC72" s="74"/>
      <c r="AD72" s="74"/>
      <c r="AE72" s="74">
        <f t="shared" si="23"/>
        <v>0</v>
      </c>
      <c r="AF72" s="74">
        <f t="shared" si="23"/>
        <v>0</v>
      </c>
      <c r="AG72" s="74">
        <f t="shared" si="24"/>
        <v>0</v>
      </c>
      <c r="AH72" s="74">
        <f t="shared" si="25"/>
        <v>0</v>
      </c>
      <c r="AI72" s="74">
        <f t="shared" si="25"/>
        <v>68824.577088939957</v>
      </c>
      <c r="AJ72" s="74">
        <f t="shared" si="26"/>
        <v>68824.577088939957</v>
      </c>
      <c r="AK72" s="74">
        <f t="shared" si="27"/>
        <v>68824.577088939957</v>
      </c>
      <c r="AL72" s="74">
        <f t="shared" si="27"/>
        <v>68824.577088939957</v>
      </c>
      <c r="AM72" s="74"/>
      <c r="AN72" s="74"/>
      <c r="AO72" s="74"/>
      <c r="AP72" s="74"/>
      <c r="AQ72" s="74"/>
      <c r="AR72" s="74">
        <f t="shared" si="28"/>
        <v>0</v>
      </c>
      <c r="AS72" s="74">
        <f t="shared" si="28"/>
        <v>0</v>
      </c>
      <c r="AT72" s="74"/>
      <c r="AU72" s="74"/>
      <c r="AV72" s="74"/>
      <c r="AW72" s="74"/>
      <c r="AX72" s="74">
        <f t="shared" si="29"/>
        <v>0</v>
      </c>
      <c r="AY72" s="74">
        <f t="shared" si="29"/>
        <v>0</v>
      </c>
      <c r="AZ72" s="74"/>
      <c r="BA72" s="74"/>
      <c r="BB72" s="74"/>
      <c r="BC72" s="74"/>
      <c r="BD72" s="74">
        <f t="shared" si="30"/>
        <v>0</v>
      </c>
      <c r="BE72" s="74"/>
      <c r="BF72" s="74">
        <f t="shared" si="43"/>
        <v>0</v>
      </c>
      <c r="BG72" s="74"/>
      <c r="BH72" s="74"/>
      <c r="BI72" s="74"/>
      <c r="BJ72" s="74"/>
      <c r="BK72" s="74">
        <f t="shared" si="31"/>
        <v>0</v>
      </c>
      <c r="BL72" s="74"/>
      <c r="BM72" s="74">
        <f t="shared" si="44"/>
        <v>0</v>
      </c>
      <c r="BN72" s="74"/>
      <c r="BO72" s="74"/>
      <c r="BP72" s="74"/>
      <c r="BQ72" s="74"/>
      <c r="BR72" s="74">
        <f t="shared" si="32"/>
        <v>0</v>
      </c>
      <c r="BS72" s="74">
        <f t="shared" si="32"/>
        <v>0</v>
      </c>
      <c r="BT72" s="74"/>
      <c r="BU72" s="74"/>
      <c r="BV72" s="74"/>
      <c r="BW72" s="74"/>
      <c r="BX72" s="74">
        <f t="shared" si="33"/>
        <v>0</v>
      </c>
      <c r="BY72" s="74">
        <f t="shared" si="33"/>
        <v>0</v>
      </c>
      <c r="BZ72" s="74"/>
      <c r="CA72" s="74"/>
      <c r="CB72" s="74"/>
      <c r="CC72" s="74"/>
      <c r="CD72" s="74">
        <f t="shared" si="34"/>
        <v>0</v>
      </c>
      <c r="CE72" s="74">
        <f t="shared" si="34"/>
        <v>0</v>
      </c>
      <c r="CF72" s="74"/>
      <c r="CG72" s="74"/>
      <c r="CH72" s="74"/>
      <c r="CI72" s="74"/>
      <c r="CJ72" s="74">
        <f t="shared" si="35"/>
        <v>0</v>
      </c>
      <c r="CK72" s="74">
        <f t="shared" si="35"/>
        <v>0</v>
      </c>
      <c r="CL72" s="74"/>
      <c r="CM72" s="74"/>
      <c r="CN72" s="74"/>
      <c r="CO72" s="74"/>
      <c r="CP72" s="74">
        <f t="shared" si="36"/>
        <v>0</v>
      </c>
      <c r="CQ72" s="74">
        <f t="shared" si="36"/>
        <v>0</v>
      </c>
      <c r="CR72" s="74"/>
      <c r="CS72" s="74"/>
      <c r="CT72" s="74"/>
      <c r="CU72" s="74"/>
      <c r="CV72" s="74">
        <f t="shared" si="37"/>
        <v>0</v>
      </c>
      <c r="CW72" s="74">
        <f t="shared" si="37"/>
        <v>0</v>
      </c>
      <c r="CX72" s="74"/>
      <c r="CY72" s="74"/>
      <c r="CZ72" s="74"/>
      <c r="DA72" s="74"/>
      <c r="DB72" s="74">
        <f t="shared" si="38"/>
        <v>0</v>
      </c>
      <c r="DC72" s="74">
        <f t="shared" si="38"/>
        <v>0</v>
      </c>
      <c r="DD72" s="74"/>
      <c r="DE72" s="74"/>
      <c r="DF72" s="74"/>
      <c r="DG72" s="74"/>
      <c r="DH72" s="74">
        <f t="shared" si="39"/>
        <v>0</v>
      </c>
      <c r="DI72" s="74">
        <f t="shared" si="39"/>
        <v>0</v>
      </c>
      <c r="DJ72" s="74">
        <f t="shared" si="45"/>
        <v>0</v>
      </c>
      <c r="DK72" s="74">
        <f t="shared" si="46"/>
        <v>0</v>
      </c>
      <c r="DL72" s="74">
        <f t="shared" si="47"/>
        <v>0</v>
      </c>
      <c r="DM72" s="74">
        <f t="shared" si="48"/>
        <v>0</v>
      </c>
      <c r="DN72" s="74">
        <f t="shared" si="40"/>
        <v>0</v>
      </c>
      <c r="DO72" s="74">
        <f t="shared" si="40"/>
        <v>0</v>
      </c>
    </row>
    <row r="73" spans="1:119">
      <c r="A73" s="25">
        <v>65</v>
      </c>
      <c r="B73" s="26" t="s">
        <v>87</v>
      </c>
      <c r="C73" s="26" t="s">
        <v>554</v>
      </c>
      <c r="D73" s="26" t="s">
        <v>1211</v>
      </c>
      <c r="E73" s="205" t="s">
        <v>1164</v>
      </c>
      <c r="F73" s="161">
        <f t="shared" si="14"/>
        <v>0</v>
      </c>
      <c r="G73" s="161">
        <f t="shared" si="15"/>
        <v>0</v>
      </c>
      <c r="H73" s="165">
        <f t="shared" si="16"/>
        <v>610.75</v>
      </c>
      <c r="I73" s="12">
        <v>0</v>
      </c>
      <c r="J73" s="219">
        <v>0</v>
      </c>
      <c r="K73" s="219">
        <v>0</v>
      </c>
      <c r="L73" s="127">
        <f t="shared" si="17"/>
        <v>610.75</v>
      </c>
      <c r="M73" s="127">
        <f t="shared" si="18"/>
        <v>610.75</v>
      </c>
      <c r="N73" s="127">
        <f t="shared" si="19"/>
        <v>610.75</v>
      </c>
      <c r="O73" s="131">
        <f t="shared" si="20"/>
        <v>0</v>
      </c>
      <c r="P73" s="125">
        <f t="shared" si="21"/>
        <v>610.75</v>
      </c>
      <c r="Q73" s="74"/>
      <c r="R73" s="74">
        <v>610.75</v>
      </c>
      <c r="S73" s="74">
        <f t="shared" si="41"/>
        <v>0</v>
      </c>
      <c r="T73" s="74">
        <f t="shared" si="42"/>
        <v>610.75</v>
      </c>
      <c r="U73" s="74"/>
      <c r="V73" s="74"/>
      <c r="W73" s="74"/>
      <c r="X73" s="74"/>
      <c r="Y73" s="74">
        <f t="shared" si="22"/>
        <v>0</v>
      </c>
      <c r="Z73" s="74">
        <f t="shared" si="22"/>
        <v>0</v>
      </c>
      <c r="AA73" s="74"/>
      <c r="AB73" s="74"/>
      <c r="AC73" s="74"/>
      <c r="AD73" s="74"/>
      <c r="AE73" s="74">
        <f t="shared" si="23"/>
        <v>0</v>
      </c>
      <c r="AF73" s="74">
        <f t="shared" si="23"/>
        <v>0</v>
      </c>
      <c r="AG73" s="74">
        <f t="shared" si="24"/>
        <v>0</v>
      </c>
      <c r="AH73" s="74">
        <f t="shared" si="25"/>
        <v>0</v>
      </c>
      <c r="AI73" s="74">
        <f t="shared" si="25"/>
        <v>610.75</v>
      </c>
      <c r="AJ73" s="74">
        <f t="shared" si="26"/>
        <v>610.75</v>
      </c>
      <c r="AK73" s="74">
        <f t="shared" si="27"/>
        <v>610.75</v>
      </c>
      <c r="AL73" s="74">
        <f t="shared" si="27"/>
        <v>610.75</v>
      </c>
      <c r="AM73" s="74"/>
      <c r="AN73" s="74"/>
      <c r="AO73" s="74"/>
      <c r="AP73" s="74"/>
      <c r="AQ73" s="74"/>
      <c r="AR73" s="74">
        <f t="shared" si="28"/>
        <v>0</v>
      </c>
      <c r="AS73" s="74">
        <f t="shared" si="28"/>
        <v>0</v>
      </c>
      <c r="AT73" s="74"/>
      <c r="AU73" s="74"/>
      <c r="AV73" s="74"/>
      <c r="AW73" s="74"/>
      <c r="AX73" s="74">
        <f t="shared" si="29"/>
        <v>0</v>
      </c>
      <c r="AY73" s="74">
        <f t="shared" si="29"/>
        <v>0</v>
      </c>
      <c r="AZ73" s="74"/>
      <c r="BA73" s="74"/>
      <c r="BB73" s="74"/>
      <c r="BC73" s="74"/>
      <c r="BD73" s="74">
        <f t="shared" si="30"/>
        <v>0</v>
      </c>
      <c r="BE73" s="74"/>
      <c r="BF73" s="74">
        <f t="shared" ref="BF73:BF84" si="49">BA73+BC73</f>
        <v>0</v>
      </c>
      <c r="BG73" s="74"/>
      <c r="BH73" s="74"/>
      <c r="BI73" s="74"/>
      <c r="BJ73" s="74"/>
      <c r="BK73" s="74">
        <f t="shared" si="31"/>
        <v>0</v>
      </c>
      <c r="BL73" s="74"/>
      <c r="BM73" s="74">
        <f t="shared" ref="BM73:BM84" si="50">BH73+BJ73</f>
        <v>0</v>
      </c>
      <c r="BN73" s="74"/>
      <c r="BO73" s="74"/>
      <c r="BP73" s="74"/>
      <c r="BQ73" s="74"/>
      <c r="BR73" s="74">
        <f t="shared" si="32"/>
        <v>0</v>
      </c>
      <c r="BS73" s="74">
        <f t="shared" si="32"/>
        <v>0</v>
      </c>
      <c r="BT73" s="74"/>
      <c r="BU73" s="74"/>
      <c r="BV73" s="74"/>
      <c r="BW73" s="74"/>
      <c r="BX73" s="74">
        <f t="shared" si="33"/>
        <v>0</v>
      </c>
      <c r="BY73" s="74">
        <f t="shared" si="33"/>
        <v>0</v>
      </c>
      <c r="BZ73" s="74"/>
      <c r="CA73" s="74"/>
      <c r="CB73" s="74"/>
      <c r="CC73" s="74"/>
      <c r="CD73" s="74">
        <f t="shared" si="34"/>
        <v>0</v>
      </c>
      <c r="CE73" s="74">
        <f t="shared" si="34"/>
        <v>0</v>
      </c>
      <c r="CF73" s="74"/>
      <c r="CG73" s="74"/>
      <c r="CH73" s="74"/>
      <c r="CI73" s="74"/>
      <c r="CJ73" s="74">
        <f t="shared" si="35"/>
        <v>0</v>
      </c>
      <c r="CK73" s="74">
        <f t="shared" si="35"/>
        <v>0</v>
      </c>
      <c r="CL73" s="74"/>
      <c r="CM73" s="74"/>
      <c r="CN73" s="74"/>
      <c r="CO73" s="74"/>
      <c r="CP73" s="74">
        <f t="shared" si="36"/>
        <v>0</v>
      </c>
      <c r="CQ73" s="74">
        <f t="shared" si="36"/>
        <v>0</v>
      </c>
      <c r="CR73" s="74"/>
      <c r="CS73" s="74"/>
      <c r="CT73" s="74"/>
      <c r="CU73" s="74"/>
      <c r="CV73" s="74">
        <f t="shared" si="37"/>
        <v>0</v>
      </c>
      <c r="CW73" s="74">
        <f t="shared" si="37"/>
        <v>0</v>
      </c>
      <c r="CX73" s="74"/>
      <c r="CY73" s="74"/>
      <c r="CZ73" s="74"/>
      <c r="DA73" s="74"/>
      <c r="DB73" s="74">
        <f t="shared" si="38"/>
        <v>0</v>
      </c>
      <c r="DC73" s="74">
        <f t="shared" si="38"/>
        <v>0</v>
      </c>
      <c r="DD73" s="74"/>
      <c r="DE73" s="74"/>
      <c r="DF73" s="74"/>
      <c r="DG73" s="74"/>
      <c r="DH73" s="74">
        <f t="shared" si="39"/>
        <v>0</v>
      </c>
      <c r="DI73" s="74">
        <f t="shared" si="39"/>
        <v>0</v>
      </c>
      <c r="DJ73" s="74">
        <f t="shared" ref="DJ73:DJ84" si="51">AN73+AT73+AZ73+BG73+BN73+BT73+BZ73+CF73+CL73+CR73+CX73+DD73</f>
        <v>0</v>
      </c>
      <c r="DK73" s="74">
        <f t="shared" ref="DK73:DK84" si="52">AO73+AU73+BA73+BH73+BO73+BU73+CA73+CG73+CM73+CS73+CY73+DE73</f>
        <v>0</v>
      </c>
      <c r="DL73" s="74">
        <f t="shared" ref="DL73:DL84" si="53">AP73+AV73+BB73+BI73+BP73+BV73+CB73+CH73+CN73+CT73+CZ73+DF73</f>
        <v>0</v>
      </c>
      <c r="DM73" s="74">
        <f t="shared" ref="DM73:DM84" si="54">AQ73+AW73+BC73+BJ73+BQ73+BW73+CC73+CI73+CO73+CU73+DA73+DG73</f>
        <v>0</v>
      </c>
      <c r="DN73" s="74">
        <f t="shared" si="40"/>
        <v>0</v>
      </c>
      <c r="DO73" s="74">
        <f t="shared" si="40"/>
        <v>0</v>
      </c>
    </row>
    <row r="74" spans="1:119">
      <c r="A74" s="25">
        <v>66</v>
      </c>
      <c r="B74" s="26" t="s">
        <v>87</v>
      </c>
      <c r="C74" s="26" t="s">
        <v>554</v>
      </c>
      <c r="D74" s="26" t="s">
        <v>1212</v>
      </c>
      <c r="E74" s="205" t="s">
        <v>1165</v>
      </c>
      <c r="F74" s="161">
        <f t="shared" ref="F74:F84" si="55">SUM(DN74)</f>
        <v>0</v>
      </c>
      <c r="G74" s="161">
        <f t="shared" ref="G74:G84" si="56">AS74+AY74+BF74+BM74+BS74+BY74+CE74+CK74+CQ74+CW74+DC74+DI74</f>
        <v>0</v>
      </c>
      <c r="H74" s="165">
        <f t="shared" ref="H74:H84" si="57">J74+AL74+DN74</f>
        <v>28137.174912827068</v>
      </c>
      <c r="I74" s="12">
        <v>6726</v>
      </c>
      <c r="J74" s="219">
        <v>0</v>
      </c>
      <c r="K74" s="219">
        <v>0</v>
      </c>
      <c r="L74" s="127">
        <f t="shared" ref="L74:L84" si="58">AL74</f>
        <v>28137.174912827068</v>
      </c>
      <c r="M74" s="127">
        <f t="shared" ref="M74:M84" si="59">IF(AJ74&gt;0,J74+AL74-K74,0)</f>
        <v>28137.174912827068</v>
      </c>
      <c r="N74" s="127">
        <f t="shared" ref="N74:N84" si="60">J74+L74</f>
        <v>28137.174912827068</v>
      </c>
      <c r="O74" s="131">
        <f t="shared" ref="O74:O84" si="61">H74-N74</f>
        <v>0</v>
      </c>
      <c r="P74" s="125">
        <f t="shared" ref="P74:P84" si="62">IF(AND(AJ74&gt;0,DM74&gt;0),"შეცდომაა! ერთზე მეტი ბოლო ჩაბარება!",IF(OR(AJ74&gt;0,DM74&gt;0,),IF(AJ74&gt;0,J74+AL74,J74+AL74+DO74),IF(AND(J74=0,L74=0,DO74=0),"ნულოვანი შესრულება","მიმდინარეობს")))</f>
        <v>28137.174912827068</v>
      </c>
      <c r="Q74" s="74"/>
      <c r="R74" s="74">
        <v>28137.174912827068</v>
      </c>
      <c r="S74" s="74">
        <f t="shared" si="41"/>
        <v>0</v>
      </c>
      <c r="T74" s="74">
        <f t="shared" si="42"/>
        <v>28137.174912827068</v>
      </c>
      <c r="U74" s="74"/>
      <c r="V74" s="74"/>
      <c r="W74" s="74"/>
      <c r="X74" s="74"/>
      <c r="Y74" s="74">
        <f t="shared" ref="Y74:Z84" si="63">U74+W74</f>
        <v>0</v>
      </c>
      <c r="Z74" s="74">
        <f t="shared" si="63"/>
        <v>0</v>
      </c>
      <c r="AA74" s="74"/>
      <c r="AB74" s="74"/>
      <c r="AC74" s="74"/>
      <c r="AD74" s="74"/>
      <c r="AE74" s="74">
        <f t="shared" ref="AE74:AF84" si="64">AA74+AC74</f>
        <v>0</v>
      </c>
      <c r="AF74" s="74">
        <f t="shared" si="64"/>
        <v>0</v>
      </c>
      <c r="AG74" s="74">
        <f t="shared" ref="AG74:AG84" si="65">Q74+U74+AA74</f>
        <v>0</v>
      </c>
      <c r="AH74" s="74">
        <f t="shared" ref="AH74:AI84" si="66">Q74+V74+AB74</f>
        <v>0</v>
      </c>
      <c r="AI74" s="74">
        <f t="shared" si="66"/>
        <v>28137.174912827068</v>
      </c>
      <c r="AJ74" s="74">
        <f t="shared" ref="AJ74:AJ84" si="67">R74+X74+AD74</f>
        <v>28137.174912827068</v>
      </c>
      <c r="AK74" s="74">
        <f t="shared" ref="AK74:AL84" si="68">AG74+AI74</f>
        <v>28137.174912827068</v>
      </c>
      <c r="AL74" s="74">
        <f t="shared" si="68"/>
        <v>28137.174912827068</v>
      </c>
      <c r="AM74" s="74"/>
      <c r="AN74" s="74"/>
      <c r="AO74" s="74"/>
      <c r="AP74" s="74"/>
      <c r="AQ74" s="74"/>
      <c r="AR74" s="74">
        <f t="shared" ref="AR74:AS84" si="69">AN74+AP74</f>
        <v>0</v>
      </c>
      <c r="AS74" s="74">
        <f t="shared" si="69"/>
        <v>0</v>
      </c>
      <c r="AT74" s="74"/>
      <c r="AU74" s="74"/>
      <c r="AV74" s="74"/>
      <c r="AW74" s="74"/>
      <c r="AX74" s="74">
        <f t="shared" ref="AX74:AY84" si="70">AT74+AV74</f>
        <v>0</v>
      </c>
      <c r="AY74" s="74">
        <f t="shared" si="70"/>
        <v>0</v>
      </c>
      <c r="AZ74" s="74"/>
      <c r="BA74" s="74"/>
      <c r="BB74" s="74"/>
      <c r="BC74" s="74"/>
      <c r="BD74" s="74">
        <f t="shared" ref="BD74:BD84" si="71">AZ74+BB74</f>
        <v>0</v>
      </c>
      <c r="BE74" s="74"/>
      <c r="BF74" s="74">
        <f t="shared" si="49"/>
        <v>0</v>
      </c>
      <c r="BG74" s="74"/>
      <c r="BH74" s="74"/>
      <c r="BI74" s="74"/>
      <c r="BJ74" s="74"/>
      <c r="BK74" s="74">
        <f t="shared" ref="BK74:BK84" si="72">BG74+BI74</f>
        <v>0</v>
      </c>
      <c r="BL74" s="74"/>
      <c r="BM74" s="74">
        <f t="shared" si="50"/>
        <v>0</v>
      </c>
      <c r="BN74" s="74"/>
      <c r="BO74" s="74"/>
      <c r="BP74" s="74"/>
      <c r="BQ74" s="74"/>
      <c r="BR74" s="74">
        <f t="shared" ref="BR74:BS84" si="73">BN74+BP74</f>
        <v>0</v>
      </c>
      <c r="BS74" s="74">
        <f t="shared" si="73"/>
        <v>0</v>
      </c>
      <c r="BT74" s="74"/>
      <c r="BU74" s="74"/>
      <c r="BV74" s="74"/>
      <c r="BW74" s="74"/>
      <c r="BX74" s="74">
        <f t="shared" ref="BX74:BY84" si="74">BT74+BV74</f>
        <v>0</v>
      </c>
      <c r="BY74" s="74">
        <f t="shared" si="74"/>
        <v>0</v>
      </c>
      <c r="BZ74" s="74"/>
      <c r="CA74" s="74"/>
      <c r="CB74" s="74"/>
      <c r="CC74" s="74"/>
      <c r="CD74" s="74">
        <f t="shared" ref="CD74:CE84" si="75">BZ74+CB74</f>
        <v>0</v>
      </c>
      <c r="CE74" s="74">
        <f t="shared" si="75"/>
        <v>0</v>
      </c>
      <c r="CF74" s="74"/>
      <c r="CG74" s="74"/>
      <c r="CH74" s="74"/>
      <c r="CI74" s="74"/>
      <c r="CJ74" s="74">
        <f t="shared" ref="CJ74:CK84" si="76">CF74+CH74</f>
        <v>0</v>
      </c>
      <c r="CK74" s="74">
        <f t="shared" si="76"/>
        <v>0</v>
      </c>
      <c r="CL74" s="74"/>
      <c r="CM74" s="74"/>
      <c r="CN74" s="74"/>
      <c r="CO74" s="74"/>
      <c r="CP74" s="74">
        <f t="shared" ref="CP74:CQ84" si="77">CL74+CN74</f>
        <v>0</v>
      </c>
      <c r="CQ74" s="74">
        <f t="shared" si="77"/>
        <v>0</v>
      </c>
      <c r="CR74" s="74"/>
      <c r="CS74" s="74"/>
      <c r="CT74" s="74"/>
      <c r="CU74" s="74"/>
      <c r="CV74" s="74">
        <f t="shared" ref="CV74:CW84" si="78">CR74+CT74</f>
        <v>0</v>
      </c>
      <c r="CW74" s="74">
        <f t="shared" si="78"/>
        <v>0</v>
      </c>
      <c r="CX74" s="74"/>
      <c r="CY74" s="74"/>
      <c r="CZ74" s="74"/>
      <c r="DA74" s="74"/>
      <c r="DB74" s="74">
        <f t="shared" ref="DB74:DC84" si="79">CX74+CZ74</f>
        <v>0</v>
      </c>
      <c r="DC74" s="74">
        <f t="shared" si="79"/>
        <v>0</v>
      </c>
      <c r="DD74" s="74"/>
      <c r="DE74" s="74"/>
      <c r="DF74" s="74"/>
      <c r="DG74" s="74"/>
      <c r="DH74" s="74">
        <f t="shared" ref="DH74:DI84" si="80">DD74+DF74</f>
        <v>0</v>
      </c>
      <c r="DI74" s="74">
        <f t="shared" si="80"/>
        <v>0</v>
      </c>
      <c r="DJ74" s="74">
        <f t="shared" si="51"/>
        <v>0</v>
      </c>
      <c r="DK74" s="74">
        <f t="shared" si="52"/>
        <v>0</v>
      </c>
      <c r="DL74" s="74">
        <f t="shared" si="53"/>
        <v>0</v>
      </c>
      <c r="DM74" s="74">
        <f t="shared" si="54"/>
        <v>0</v>
      </c>
      <c r="DN74" s="74">
        <f t="shared" ref="DN74:DO84" si="81">DJ74+DL74</f>
        <v>0</v>
      </c>
      <c r="DO74" s="74">
        <f t="shared" si="81"/>
        <v>0</v>
      </c>
    </row>
    <row r="75" spans="1:119">
      <c r="A75" s="25">
        <v>67</v>
      </c>
      <c r="B75" s="26" t="s">
        <v>456</v>
      </c>
      <c r="C75" s="26" t="s">
        <v>555</v>
      </c>
      <c r="D75" s="26" t="s">
        <v>556</v>
      </c>
      <c r="E75" s="205" t="s">
        <v>1164</v>
      </c>
      <c r="F75" s="161">
        <f t="shared" si="55"/>
        <v>0</v>
      </c>
      <c r="G75" s="161">
        <f t="shared" si="56"/>
        <v>0</v>
      </c>
      <c r="H75" s="165">
        <f t="shared" si="57"/>
        <v>13130.25</v>
      </c>
      <c r="I75" s="12">
        <v>0</v>
      </c>
      <c r="J75" s="219">
        <v>0</v>
      </c>
      <c r="K75" s="219">
        <v>0</v>
      </c>
      <c r="L75" s="127">
        <f t="shared" si="58"/>
        <v>13130.25</v>
      </c>
      <c r="M75" s="127">
        <f t="shared" si="59"/>
        <v>13130.25</v>
      </c>
      <c r="N75" s="127">
        <f t="shared" si="60"/>
        <v>13130.25</v>
      </c>
      <c r="O75" s="131">
        <f t="shared" si="61"/>
        <v>0</v>
      </c>
      <c r="P75" s="125">
        <f t="shared" si="62"/>
        <v>13130.25</v>
      </c>
      <c r="Q75" s="74"/>
      <c r="R75" s="74">
        <v>13130.25</v>
      </c>
      <c r="S75" s="74">
        <f t="shared" si="41"/>
        <v>0</v>
      </c>
      <c r="T75" s="74">
        <f t="shared" si="42"/>
        <v>13130.25</v>
      </c>
      <c r="U75" s="74"/>
      <c r="V75" s="74"/>
      <c r="W75" s="74"/>
      <c r="X75" s="74"/>
      <c r="Y75" s="74">
        <f t="shared" si="63"/>
        <v>0</v>
      </c>
      <c r="Z75" s="74">
        <f t="shared" si="63"/>
        <v>0</v>
      </c>
      <c r="AA75" s="74"/>
      <c r="AB75" s="74"/>
      <c r="AC75" s="74"/>
      <c r="AD75" s="74"/>
      <c r="AE75" s="74">
        <f t="shared" si="64"/>
        <v>0</v>
      </c>
      <c r="AF75" s="74">
        <f t="shared" si="64"/>
        <v>0</v>
      </c>
      <c r="AG75" s="74">
        <f t="shared" si="65"/>
        <v>0</v>
      </c>
      <c r="AH75" s="74">
        <f t="shared" si="66"/>
        <v>0</v>
      </c>
      <c r="AI75" s="74">
        <f t="shared" si="66"/>
        <v>13130.25</v>
      </c>
      <c r="AJ75" s="74">
        <f t="shared" si="67"/>
        <v>13130.25</v>
      </c>
      <c r="AK75" s="74">
        <f t="shared" si="68"/>
        <v>13130.25</v>
      </c>
      <c r="AL75" s="74">
        <f t="shared" si="68"/>
        <v>13130.25</v>
      </c>
      <c r="AM75" s="74"/>
      <c r="AN75" s="74"/>
      <c r="AO75" s="74"/>
      <c r="AP75" s="74"/>
      <c r="AQ75" s="74"/>
      <c r="AR75" s="74">
        <f t="shared" si="69"/>
        <v>0</v>
      </c>
      <c r="AS75" s="74">
        <f t="shared" si="69"/>
        <v>0</v>
      </c>
      <c r="AT75" s="74"/>
      <c r="AU75" s="74"/>
      <c r="AV75" s="74"/>
      <c r="AW75" s="74"/>
      <c r="AX75" s="74">
        <f t="shared" si="70"/>
        <v>0</v>
      </c>
      <c r="AY75" s="74">
        <f t="shared" si="70"/>
        <v>0</v>
      </c>
      <c r="AZ75" s="74"/>
      <c r="BA75" s="74"/>
      <c r="BB75" s="74"/>
      <c r="BC75" s="74"/>
      <c r="BD75" s="74">
        <f t="shared" si="71"/>
        <v>0</v>
      </c>
      <c r="BE75" s="74"/>
      <c r="BF75" s="74">
        <f t="shared" si="49"/>
        <v>0</v>
      </c>
      <c r="BG75" s="74"/>
      <c r="BH75" s="74"/>
      <c r="BI75" s="74"/>
      <c r="BJ75" s="74"/>
      <c r="BK75" s="74">
        <f t="shared" si="72"/>
        <v>0</v>
      </c>
      <c r="BL75" s="74"/>
      <c r="BM75" s="74">
        <f t="shared" si="50"/>
        <v>0</v>
      </c>
      <c r="BN75" s="74"/>
      <c r="BO75" s="74"/>
      <c r="BP75" s="74"/>
      <c r="BQ75" s="74"/>
      <c r="BR75" s="74">
        <f t="shared" si="73"/>
        <v>0</v>
      </c>
      <c r="BS75" s="74">
        <f t="shared" si="73"/>
        <v>0</v>
      </c>
      <c r="BT75" s="74"/>
      <c r="BU75" s="74"/>
      <c r="BV75" s="74"/>
      <c r="BW75" s="74"/>
      <c r="BX75" s="74">
        <f t="shared" si="74"/>
        <v>0</v>
      </c>
      <c r="BY75" s="74">
        <f t="shared" si="74"/>
        <v>0</v>
      </c>
      <c r="BZ75" s="74"/>
      <c r="CA75" s="74"/>
      <c r="CB75" s="74"/>
      <c r="CC75" s="74"/>
      <c r="CD75" s="74">
        <f t="shared" si="75"/>
        <v>0</v>
      </c>
      <c r="CE75" s="74">
        <f t="shared" si="75"/>
        <v>0</v>
      </c>
      <c r="CF75" s="74"/>
      <c r="CG75" s="74"/>
      <c r="CH75" s="74"/>
      <c r="CI75" s="74"/>
      <c r="CJ75" s="74">
        <f t="shared" si="76"/>
        <v>0</v>
      </c>
      <c r="CK75" s="74">
        <f t="shared" si="76"/>
        <v>0</v>
      </c>
      <c r="CL75" s="74"/>
      <c r="CM75" s="74"/>
      <c r="CN75" s="74"/>
      <c r="CO75" s="74"/>
      <c r="CP75" s="74">
        <f t="shared" si="77"/>
        <v>0</v>
      </c>
      <c r="CQ75" s="74">
        <f t="shared" si="77"/>
        <v>0</v>
      </c>
      <c r="CR75" s="74"/>
      <c r="CS75" s="74"/>
      <c r="CT75" s="74"/>
      <c r="CU75" s="74"/>
      <c r="CV75" s="74">
        <f t="shared" si="78"/>
        <v>0</v>
      </c>
      <c r="CW75" s="74">
        <f t="shared" si="78"/>
        <v>0</v>
      </c>
      <c r="CX75" s="74"/>
      <c r="CY75" s="74"/>
      <c r="CZ75" s="74"/>
      <c r="DA75" s="74"/>
      <c r="DB75" s="74">
        <f t="shared" si="79"/>
        <v>0</v>
      </c>
      <c r="DC75" s="74">
        <f t="shared" si="79"/>
        <v>0</v>
      </c>
      <c r="DD75" s="74"/>
      <c r="DE75" s="74"/>
      <c r="DF75" s="74"/>
      <c r="DG75" s="74"/>
      <c r="DH75" s="74">
        <f t="shared" si="80"/>
        <v>0</v>
      </c>
      <c r="DI75" s="74">
        <f t="shared" si="80"/>
        <v>0</v>
      </c>
      <c r="DJ75" s="74">
        <f t="shared" si="51"/>
        <v>0</v>
      </c>
      <c r="DK75" s="74">
        <f t="shared" si="52"/>
        <v>0</v>
      </c>
      <c r="DL75" s="74">
        <f t="shared" si="53"/>
        <v>0</v>
      </c>
      <c r="DM75" s="74">
        <f t="shared" si="54"/>
        <v>0</v>
      </c>
      <c r="DN75" s="74">
        <f t="shared" si="81"/>
        <v>0</v>
      </c>
      <c r="DO75" s="74">
        <f t="shared" si="81"/>
        <v>0</v>
      </c>
    </row>
    <row r="76" spans="1:119">
      <c r="A76" s="25">
        <v>68</v>
      </c>
      <c r="B76" s="26" t="s">
        <v>456</v>
      </c>
      <c r="C76" s="26" t="s">
        <v>555</v>
      </c>
      <c r="D76" s="26" t="s">
        <v>557</v>
      </c>
      <c r="E76" s="205" t="s">
        <v>1165</v>
      </c>
      <c r="F76" s="161">
        <f t="shared" si="55"/>
        <v>0</v>
      </c>
      <c r="G76" s="161">
        <f t="shared" si="56"/>
        <v>0</v>
      </c>
      <c r="H76" s="165">
        <f t="shared" si="57"/>
        <v>578913.34</v>
      </c>
      <c r="I76" s="12">
        <v>681450</v>
      </c>
      <c r="J76" s="219">
        <v>0</v>
      </c>
      <c r="K76" s="219">
        <v>0</v>
      </c>
      <c r="L76" s="127">
        <f t="shared" si="58"/>
        <v>578913.34</v>
      </c>
      <c r="M76" s="127">
        <f t="shared" si="59"/>
        <v>578913.34</v>
      </c>
      <c r="N76" s="127">
        <f t="shared" si="60"/>
        <v>578913.34</v>
      </c>
      <c r="O76" s="131">
        <f t="shared" si="61"/>
        <v>0</v>
      </c>
      <c r="P76" s="125">
        <f t="shared" si="62"/>
        <v>578913.34</v>
      </c>
      <c r="Q76" s="74">
        <v>500000</v>
      </c>
      <c r="R76" s="74">
        <f>578913.34-Q76</f>
        <v>78913.339999999967</v>
      </c>
      <c r="S76" s="74">
        <f t="shared" si="41"/>
        <v>500000</v>
      </c>
      <c r="T76" s="74">
        <f t="shared" si="42"/>
        <v>78913.339999999967</v>
      </c>
      <c r="U76" s="74"/>
      <c r="V76" s="74"/>
      <c r="W76" s="74"/>
      <c r="X76" s="74"/>
      <c r="Y76" s="74">
        <f t="shared" si="63"/>
        <v>0</v>
      </c>
      <c r="Z76" s="74">
        <f t="shared" si="63"/>
        <v>0</v>
      </c>
      <c r="AA76" s="74"/>
      <c r="AB76" s="74"/>
      <c r="AC76" s="74"/>
      <c r="AD76" s="74"/>
      <c r="AE76" s="74">
        <f t="shared" si="64"/>
        <v>0</v>
      </c>
      <c r="AF76" s="74">
        <f t="shared" si="64"/>
        <v>0</v>
      </c>
      <c r="AG76" s="74">
        <f t="shared" si="65"/>
        <v>500000</v>
      </c>
      <c r="AH76" s="74">
        <f t="shared" si="66"/>
        <v>500000</v>
      </c>
      <c r="AI76" s="74">
        <f t="shared" si="66"/>
        <v>78913.339999999967</v>
      </c>
      <c r="AJ76" s="74">
        <f t="shared" si="67"/>
        <v>78913.339999999967</v>
      </c>
      <c r="AK76" s="74">
        <f t="shared" si="68"/>
        <v>578913.34</v>
      </c>
      <c r="AL76" s="74">
        <f t="shared" si="68"/>
        <v>578913.34</v>
      </c>
      <c r="AM76" s="74"/>
      <c r="AN76" s="74"/>
      <c r="AO76" s="74"/>
      <c r="AP76" s="74"/>
      <c r="AQ76" s="74"/>
      <c r="AR76" s="74">
        <f t="shared" si="69"/>
        <v>0</v>
      </c>
      <c r="AS76" s="74">
        <f t="shared" si="69"/>
        <v>0</v>
      </c>
      <c r="AT76" s="74"/>
      <c r="AU76" s="74"/>
      <c r="AV76" s="74"/>
      <c r="AW76" s="74"/>
      <c r="AX76" s="74">
        <f t="shared" si="70"/>
        <v>0</v>
      </c>
      <c r="AY76" s="74">
        <f t="shared" si="70"/>
        <v>0</v>
      </c>
      <c r="AZ76" s="74"/>
      <c r="BA76" s="74"/>
      <c r="BB76" s="74"/>
      <c r="BC76" s="74"/>
      <c r="BD76" s="74">
        <f t="shared" si="71"/>
        <v>0</v>
      </c>
      <c r="BE76" s="74"/>
      <c r="BF76" s="74">
        <f t="shared" si="49"/>
        <v>0</v>
      </c>
      <c r="BG76" s="74"/>
      <c r="BH76" s="74"/>
      <c r="BI76" s="74"/>
      <c r="BJ76" s="74"/>
      <c r="BK76" s="74">
        <f t="shared" si="72"/>
        <v>0</v>
      </c>
      <c r="BL76" s="74"/>
      <c r="BM76" s="74">
        <f t="shared" si="50"/>
        <v>0</v>
      </c>
      <c r="BN76" s="74"/>
      <c r="BO76" s="74"/>
      <c r="BP76" s="74"/>
      <c r="BQ76" s="74"/>
      <c r="BR76" s="74">
        <f t="shared" si="73"/>
        <v>0</v>
      </c>
      <c r="BS76" s="74">
        <f t="shared" si="73"/>
        <v>0</v>
      </c>
      <c r="BT76" s="74"/>
      <c r="BU76" s="74"/>
      <c r="BV76" s="74"/>
      <c r="BW76" s="74"/>
      <c r="BX76" s="74">
        <f t="shared" si="74"/>
        <v>0</v>
      </c>
      <c r="BY76" s="74">
        <f t="shared" si="74"/>
        <v>0</v>
      </c>
      <c r="BZ76" s="74"/>
      <c r="CA76" s="74"/>
      <c r="CB76" s="74"/>
      <c r="CC76" s="74"/>
      <c r="CD76" s="74">
        <f t="shared" si="75"/>
        <v>0</v>
      </c>
      <c r="CE76" s="74">
        <f t="shared" si="75"/>
        <v>0</v>
      </c>
      <c r="CF76" s="74"/>
      <c r="CG76" s="74"/>
      <c r="CH76" s="74"/>
      <c r="CI76" s="74"/>
      <c r="CJ76" s="74">
        <f t="shared" si="76"/>
        <v>0</v>
      </c>
      <c r="CK76" s="74">
        <f t="shared" si="76"/>
        <v>0</v>
      </c>
      <c r="CL76" s="74"/>
      <c r="CM76" s="74"/>
      <c r="CN76" s="74"/>
      <c r="CO76" s="74"/>
      <c r="CP76" s="74">
        <f t="shared" si="77"/>
        <v>0</v>
      </c>
      <c r="CQ76" s="74">
        <f t="shared" si="77"/>
        <v>0</v>
      </c>
      <c r="CR76" s="74"/>
      <c r="CS76" s="74"/>
      <c r="CT76" s="74"/>
      <c r="CU76" s="74"/>
      <c r="CV76" s="74">
        <f t="shared" si="78"/>
        <v>0</v>
      </c>
      <c r="CW76" s="74">
        <f t="shared" si="78"/>
        <v>0</v>
      </c>
      <c r="CX76" s="74"/>
      <c r="CY76" s="74"/>
      <c r="CZ76" s="74"/>
      <c r="DA76" s="74"/>
      <c r="DB76" s="74">
        <f t="shared" si="79"/>
        <v>0</v>
      </c>
      <c r="DC76" s="74">
        <f t="shared" si="79"/>
        <v>0</v>
      </c>
      <c r="DD76" s="74"/>
      <c r="DE76" s="74"/>
      <c r="DF76" s="74"/>
      <c r="DG76" s="74"/>
      <c r="DH76" s="74">
        <f t="shared" si="80"/>
        <v>0</v>
      </c>
      <c r="DI76" s="74">
        <f t="shared" si="80"/>
        <v>0</v>
      </c>
      <c r="DJ76" s="74">
        <f t="shared" si="51"/>
        <v>0</v>
      </c>
      <c r="DK76" s="74">
        <f t="shared" si="52"/>
        <v>0</v>
      </c>
      <c r="DL76" s="74">
        <f t="shared" si="53"/>
        <v>0</v>
      </c>
      <c r="DM76" s="74">
        <f t="shared" si="54"/>
        <v>0</v>
      </c>
      <c r="DN76" s="74">
        <f t="shared" si="81"/>
        <v>0</v>
      </c>
      <c r="DO76" s="74">
        <f t="shared" si="81"/>
        <v>0</v>
      </c>
    </row>
    <row r="77" spans="1:119">
      <c r="A77" s="25">
        <v>69</v>
      </c>
      <c r="B77" s="26" t="s">
        <v>453</v>
      </c>
      <c r="C77" s="26"/>
      <c r="D77" s="26" t="s">
        <v>558</v>
      </c>
      <c r="E77" s="205" t="s">
        <v>1164</v>
      </c>
      <c r="F77" s="161">
        <f t="shared" si="55"/>
        <v>0</v>
      </c>
      <c r="G77" s="161">
        <f t="shared" si="56"/>
        <v>0</v>
      </c>
      <c r="H77" s="165">
        <f t="shared" si="57"/>
        <v>2819.25</v>
      </c>
      <c r="I77" s="12">
        <v>0</v>
      </c>
      <c r="J77" s="219">
        <v>0</v>
      </c>
      <c r="K77" s="219">
        <v>0</v>
      </c>
      <c r="L77" s="127">
        <f t="shared" si="58"/>
        <v>2819.25</v>
      </c>
      <c r="M77" s="127">
        <f t="shared" si="59"/>
        <v>2819.25</v>
      </c>
      <c r="N77" s="127">
        <f t="shared" si="60"/>
        <v>2819.25</v>
      </c>
      <c r="O77" s="131">
        <f t="shared" si="61"/>
        <v>0</v>
      </c>
      <c r="P77" s="125">
        <f t="shared" si="62"/>
        <v>2819.25</v>
      </c>
      <c r="Q77" s="74"/>
      <c r="R77" s="74">
        <v>2819.25</v>
      </c>
      <c r="S77" s="74">
        <f t="shared" si="41"/>
        <v>0</v>
      </c>
      <c r="T77" s="74">
        <f t="shared" si="42"/>
        <v>2819.25</v>
      </c>
      <c r="U77" s="74"/>
      <c r="V77" s="74"/>
      <c r="W77" s="74"/>
      <c r="X77" s="74"/>
      <c r="Y77" s="74">
        <f t="shared" si="63"/>
        <v>0</v>
      </c>
      <c r="Z77" s="74">
        <f t="shared" si="63"/>
        <v>0</v>
      </c>
      <c r="AA77" s="74"/>
      <c r="AB77" s="74"/>
      <c r="AC77" s="74"/>
      <c r="AD77" s="74"/>
      <c r="AE77" s="74">
        <f t="shared" si="64"/>
        <v>0</v>
      </c>
      <c r="AF77" s="74">
        <f t="shared" si="64"/>
        <v>0</v>
      </c>
      <c r="AG77" s="74">
        <f t="shared" si="65"/>
        <v>0</v>
      </c>
      <c r="AH77" s="74">
        <f t="shared" si="66"/>
        <v>0</v>
      </c>
      <c r="AI77" s="74">
        <f t="shared" si="66"/>
        <v>2819.25</v>
      </c>
      <c r="AJ77" s="74">
        <f t="shared" si="67"/>
        <v>2819.25</v>
      </c>
      <c r="AK77" s="74">
        <f t="shared" si="68"/>
        <v>2819.25</v>
      </c>
      <c r="AL77" s="74">
        <f t="shared" si="68"/>
        <v>2819.25</v>
      </c>
      <c r="AM77" s="74"/>
      <c r="AN77" s="74"/>
      <c r="AO77" s="74"/>
      <c r="AP77" s="74"/>
      <c r="AQ77" s="74"/>
      <c r="AR77" s="74">
        <f t="shared" si="69"/>
        <v>0</v>
      </c>
      <c r="AS77" s="74">
        <f t="shared" si="69"/>
        <v>0</v>
      </c>
      <c r="AT77" s="74"/>
      <c r="AU77" s="74"/>
      <c r="AV77" s="74"/>
      <c r="AW77" s="74"/>
      <c r="AX77" s="74">
        <f t="shared" si="70"/>
        <v>0</v>
      </c>
      <c r="AY77" s="74">
        <f t="shared" si="70"/>
        <v>0</v>
      </c>
      <c r="AZ77" s="74"/>
      <c r="BA77" s="74"/>
      <c r="BB77" s="74"/>
      <c r="BC77" s="74"/>
      <c r="BD77" s="74">
        <f t="shared" si="71"/>
        <v>0</v>
      </c>
      <c r="BE77" s="74"/>
      <c r="BF77" s="74">
        <f t="shared" si="49"/>
        <v>0</v>
      </c>
      <c r="BG77" s="74"/>
      <c r="BH77" s="74"/>
      <c r="BI77" s="74"/>
      <c r="BJ77" s="74"/>
      <c r="BK77" s="74">
        <f t="shared" si="72"/>
        <v>0</v>
      </c>
      <c r="BL77" s="74"/>
      <c r="BM77" s="74">
        <f t="shared" si="50"/>
        <v>0</v>
      </c>
      <c r="BN77" s="74"/>
      <c r="BO77" s="74"/>
      <c r="BP77" s="74"/>
      <c r="BQ77" s="74"/>
      <c r="BR77" s="74">
        <f t="shared" si="73"/>
        <v>0</v>
      </c>
      <c r="BS77" s="74">
        <f t="shared" si="73"/>
        <v>0</v>
      </c>
      <c r="BT77" s="74"/>
      <c r="BU77" s="74"/>
      <c r="BV77" s="74"/>
      <c r="BW77" s="74"/>
      <c r="BX77" s="74">
        <f t="shared" si="74"/>
        <v>0</v>
      </c>
      <c r="BY77" s="74">
        <f t="shared" si="74"/>
        <v>0</v>
      </c>
      <c r="BZ77" s="74"/>
      <c r="CA77" s="74"/>
      <c r="CB77" s="74"/>
      <c r="CC77" s="74"/>
      <c r="CD77" s="74">
        <f t="shared" si="75"/>
        <v>0</v>
      </c>
      <c r="CE77" s="74">
        <f t="shared" si="75"/>
        <v>0</v>
      </c>
      <c r="CF77" s="74"/>
      <c r="CG77" s="74"/>
      <c r="CH77" s="74"/>
      <c r="CI77" s="74"/>
      <c r="CJ77" s="74">
        <f t="shared" si="76"/>
        <v>0</v>
      </c>
      <c r="CK77" s="74">
        <f t="shared" si="76"/>
        <v>0</v>
      </c>
      <c r="CL77" s="74"/>
      <c r="CM77" s="74"/>
      <c r="CN77" s="74"/>
      <c r="CO77" s="74"/>
      <c r="CP77" s="74">
        <f t="shared" si="77"/>
        <v>0</v>
      </c>
      <c r="CQ77" s="74">
        <f t="shared" si="77"/>
        <v>0</v>
      </c>
      <c r="CR77" s="74"/>
      <c r="CS77" s="74"/>
      <c r="CT77" s="74"/>
      <c r="CU77" s="74"/>
      <c r="CV77" s="74">
        <f t="shared" si="78"/>
        <v>0</v>
      </c>
      <c r="CW77" s="74">
        <f t="shared" si="78"/>
        <v>0</v>
      </c>
      <c r="CX77" s="74"/>
      <c r="CY77" s="74"/>
      <c r="CZ77" s="74"/>
      <c r="DA77" s="74"/>
      <c r="DB77" s="74">
        <f t="shared" si="79"/>
        <v>0</v>
      </c>
      <c r="DC77" s="74">
        <f t="shared" si="79"/>
        <v>0</v>
      </c>
      <c r="DD77" s="74"/>
      <c r="DE77" s="74"/>
      <c r="DF77" s="74"/>
      <c r="DG77" s="74"/>
      <c r="DH77" s="74">
        <f t="shared" si="80"/>
        <v>0</v>
      </c>
      <c r="DI77" s="74">
        <f t="shared" si="80"/>
        <v>0</v>
      </c>
      <c r="DJ77" s="74">
        <f t="shared" si="51"/>
        <v>0</v>
      </c>
      <c r="DK77" s="74">
        <f t="shared" si="52"/>
        <v>0</v>
      </c>
      <c r="DL77" s="74">
        <f t="shared" si="53"/>
        <v>0</v>
      </c>
      <c r="DM77" s="74">
        <f t="shared" si="54"/>
        <v>0</v>
      </c>
      <c r="DN77" s="74">
        <f t="shared" si="81"/>
        <v>0</v>
      </c>
      <c r="DO77" s="74">
        <f t="shared" si="81"/>
        <v>0</v>
      </c>
    </row>
    <row r="78" spans="1:119">
      <c r="A78" s="25">
        <v>70</v>
      </c>
      <c r="B78" s="26" t="s">
        <v>453</v>
      </c>
      <c r="C78" s="26"/>
      <c r="D78" s="26" t="s">
        <v>559</v>
      </c>
      <c r="E78" s="205" t="s">
        <v>1165</v>
      </c>
      <c r="F78" s="161">
        <f t="shared" si="55"/>
        <v>0</v>
      </c>
      <c r="G78" s="161">
        <f t="shared" si="56"/>
        <v>0</v>
      </c>
      <c r="H78" s="165">
        <f t="shared" si="57"/>
        <v>249153.79</v>
      </c>
      <c r="I78" s="79">
        <v>0</v>
      </c>
      <c r="J78" s="219">
        <v>0</v>
      </c>
      <c r="K78" s="219">
        <v>0</v>
      </c>
      <c r="L78" s="127">
        <f t="shared" si="58"/>
        <v>249153.79</v>
      </c>
      <c r="M78" s="127">
        <f t="shared" si="59"/>
        <v>249153.79</v>
      </c>
      <c r="N78" s="127">
        <f t="shared" si="60"/>
        <v>249153.79</v>
      </c>
      <c r="O78" s="131">
        <f t="shared" si="61"/>
        <v>0</v>
      </c>
      <c r="P78" s="125">
        <f t="shared" si="62"/>
        <v>249153.79</v>
      </c>
      <c r="Q78" s="74"/>
      <c r="R78" s="74"/>
      <c r="S78" s="74">
        <f t="shared" si="41"/>
        <v>0</v>
      </c>
      <c r="T78" s="74">
        <f t="shared" si="42"/>
        <v>0</v>
      </c>
      <c r="U78" s="74"/>
      <c r="V78" s="74"/>
      <c r="W78" s="74">
        <v>230000</v>
      </c>
      <c r="X78" s="74">
        <v>249153.79</v>
      </c>
      <c r="Y78" s="74">
        <f t="shared" si="63"/>
        <v>230000</v>
      </c>
      <c r="Z78" s="74">
        <f t="shared" si="63"/>
        <v>249153.79</v>
      </c>
      <c r="AA78" s="74"/>
      <c r="AB78" s="74"/>
      <c r="AC78" s="74"/>
      <c r="AD78" s="74"/>
      <c r="AE78" s="74">
        <f t="shared" si="64"/>
        <v>0</v>
      </c>
      <c r="AF78" s="74">
        <f t="shared" si="64"/>
        <v>0</v>
      </c>
      <c r="AG78" s="74">
        <f t="shared" si="65"/>
        <v>0</v>
      </c>
      <c r="AH78" s="74">
        <f t="shared" si="66"/>
        <v>0</v>
      </c>
      <c r="AI78" s="74">
        <f t="shared" si="66"/>
        <v>230000</v>
      </c>
      <c r="AJ78" s="74">
        <f t="shared" si="67"/>
        <v>249153.79</v>
      </c>
      <c r="AK78" s="74">
        <f t="shared" si="68"/>
        <v>230000</v>
      </c>
      <c r="AL78" s="74">
        <f t="shared" si="68"/>
        <v>249153.79</v>
      </c>
      <c r="AM78" s="74"/>
      <c r="AN78" s="74"/>
      <c r="AO78" s="74"/>
      <c r="AP78" s="74"/>
      <c r="AQ78" s="74"/>
      <c r="AR78" s="74">
        <f t="shared" si="69"/>
        <v>0</v>
      </c>
      <c r="AS78" s="74">
        <f t="shared" si="69"/>
        <v>0</v>
      </c>
      <c r="AT78" s="74"/>
      <c r="AU78" s="74"/>
      <c r="AV78" s="74"/>
      <c r="AW78" s="74"/>
      <c r="AX78" s="74">
        <f t="shared" si="70"/>
        <v>0</v>
      </c>
      <c r="AY78" s="74">
        <f t="shared" si="70"/>
        <v>0</v>
      </c>
      <c r="AZ78" s="74"/>
      <c r="BA78" s="74"/>
      <c r="BB78" s="74"/>
      <c r="BC78" s="74"/>
      <c r="BD78" s="74">
        <f t="shared" si="71"/>
        <v>0</v>
      </c>
      <c r="BE78" s="74"/>
      <c r="BF78" s="74">
        <f t="shared" si="49"/>
        <v>0</v>
      </c>
      <c r="BG78" s="74"/>
      <c r="BH78" s="74"/>
      <c r="BI78" s="74"/>
      <c r="BJ78" s="74"/>
      <c r="BK78" s="74">
        <f t="shared" si="72"/>
        <v>0</v>
      </c>
      <c r="BL78" s="74"/>
      <c r="BM78" s="74">
        <f t="shared" si="50"/>
        <v>0</v>
      </c>
      <c r="BN78" s="74"/>
      <c r="BO78" s="74"/>
      <c r="BP78" s="74"/>
      <c r="BQ78" s="74"/>
      <c r="BR78" s="74">
        <f t="shared" si="73"/>
        <v>0</v>
      </c>
      <c r="BS78" s="74">
        <f t="shared" si="73"/>
        <v>0</v>
      </c>
      <c r="BT78" s="74"/>
      <c r="BU78" s="74"/>
      <c r="BV78" s="74"/>
      <c r="BW78" s="74"/>
      <c r="BX78" s="74">
        <f t="shared" si="74"/>
        <v>0</v>
      </c>
      <c r="BY78" s="74">
        <f t="shared" si="74"/>
        <v>0</v>
      </c>
      <c r="BZ78" s="74"/>
      <c r="CA78" s="74"/>
      <c r="CB78" s="74"/>
      <c r="CC78" s="74"/>
      <c r="CD78" s="74">
        <f t="shared" si="75"/>
        <v>0</v>
      </c>
      <c r="CE78" s="74">
        <f t="shared" si="75"/>
        <v>0</v>
      </c>
      <c r="CF78" s="74"/>
      <c r="CG78" s="74"/>
      <c r="CH78" s="74"/>
      <c r="CI78" s="74"/>
      <c r="CJ78" s="74">
        <f t="shared" si="76"/>
        <v>0</v>
      </c>
      <c r="CK78" s="74">
        <f t="shared" si="76"/>
        <v>0</v>
      </c>
      <c r="CL78" s="74"/>
      <c r="CM78" s="74"/>
      <c r="CN78" s="74"/>
      <c r="CO78" s="74"/>
      <c r="CP78" s="74">
        <f t="shared" si="77"/>
        <v>0</v>
      </c>
      <c r="CQ78" s="74">
        <f t="shared" si="77"/>
        <v>0</v>
      </c>
      <c r="CR78" s="74"/>
      <c r="CS78" s="74"/>
      <c r="CT78" s="74"/>
      <c r="CU78" s="74"/>
      <c r="CV78" s="74">
        <f t="shared" si="78"/>
        <v>0</v>
      </c>
      <c r="CW78" s="74">
        <f t="shared" si="78"/>
        <v>0</v>
      </c>
      <c r="CX78" s="74"/>
      <c r="CY78" s="74"/>
      <c r="CZ78" s="74"/>
      <c r="DA78" s="74"/>
      <c r="DB78" s="74">
        <f t="shared" si="79"/>
        <v>0</v>
      </c>
      <c r="DC78" s="74">
        <f t="shared" si="79"/>
        <v>0</v>
      </c>
      <c r="DD78" s="74"/>
      <c r="DE78" s="74"/>
      <c r="DF78" s="74"/>
      <c r="DG78" s="74"/>
      <c r="DH78" s="74">
        <f t="shared" si="80"/>
        <v>0</v>
      </c>
      <c r="DI78" s="74">
        <f t="shared" si="80"/>
        <v>0</v>
      </c>
      <c r="DJ78" s="74">
        <f t="shared" si="51"/>
        <v>0</v>
      </c>
      <c r="DK78" s="74">
        <f t="shared" si="52"/>
        <v>0</v>
      </c>
      <c r="DL78" s="74">
        <f t="shared" si="53"/>
        <v>0</v>
      </c>
      <c r="DM78" s="74">
        <f t="shared" si="54"/>
        <v>0</v>
      </c>
      <c r="DN78" s="74">
        <f t="shared" si="81"/>
        <v>0</v>
      </c>
      <c r="DO78" s="74">
        <f t="shared" si="81"/>
        <v>0</v>
      </c>
    </row>
    <row r="79" spans="1:119">
      <c r="A79" s="25">
        <v>71</v>
      </c>
      <c r="B79" s="26" t="s">
        <v>87</v>
      </c>
      <c r="C79" s="26"/>
      <c r="D79" s="26" t="s">
        <v>560</v>
      </c>
      <c r="E79" s="205" t="s">
        <v>1191</v>
      </c>
      <c r="F79" s="161">
        <f t="shared" si="55"/>
        <v>0</v>
      </c>
      <c r="G79" s="161">
        <f t="shared" si="56"/>
        <v>160172.26999999999</v>
      </c>
      <c r="H79" s="165">
        <f t="shared" si="57"/>
        <v>0</v>
      </c>
      <c r="I79" s="79">
        <f>60000*1.18</f>
        <v>70800</v>
      </c>
      <c r="J79" s="219">
        <v>0</v>
      </c>
      <c r="K79" s="219">
        <v>0</v>
      </c>
      <c r="L79" s="127">
        <f t="shared" si="58"/>
        <v>0</v>
      </c>
      <c r="M79" s="127">
        <f t="shared" si="59"/>
        <v>0</v>
      </c>
      <c r="N79" s="127">
        <f t="shared" si="60"/>
        <v>0</v>
      </c>
      <c r="O79" s="131">
        <f t="shared" si="61"/>
        <v>0</v>
      </c>
      <c r="P79" s="125">
        <f t="shared" si="62"/>
        <v>160172.26999999999</v>
      </c>
      <c r="Q79" s="74"/>
      <c r="R79" s="74"/>
      <c r="S79" s="74">
        <f t="shared" si="41"/>
        <v>0</v>
      </c>
      <c r="T79" s="74">
        <f t="shared" si="42"/>
        <v>0</v>
      </c>
      <c r="U79" s="74"/>
      <c r="V79" s="74"/>
      <c r="W79" s="74"/>
      <c r="X79" s="74"/>
      <c r="Y79" s="74">
        <f t="shared" si="63"/>
        <v>0</v>
      </c>
      <c r="Z79" s="74">
        <f t="shared" si="63"/>
        <v>0</v>
      </c>
      <c r="AA79" s="74"/>
      <c r="AB79" s="74"/>
      <c r="AC79" s="74"/>
      <c r="AD79" s="74"/>
      <c r="AE79" s="74">
        <f t="shared" si="64"/>
        <v>0</v>
      </c>
      <c r="AF79" s="74">
        <f t="shared" si="64"/>
        <v>0</v>
      </c>
      <c r="AG79" s="74">
        <f t="shared" si="65"/>
        <v>0</v>
      </c>
      <c r="AH79" s="74">
        <f t="shared" si="66"/>
        <v>0</v>
      </c>
      <c r="AI79" s="74">
        <f t="shared" si="66"/>
        <v>0</v>
      </c>
      <c r="AJ79" s="74">
        <f t="shared" si="67"/>
        <v>0</v>
      </c>
      <c r="AK79" s="74">
        <f t="shared" si="68"/>
        <v>0</v>
      </c>
      <c r="AL79" s="74">
        <f t="shared" si="68"/>
        <v>0</v>
      </c>
      <c r="AM79" s="74"/>
      <c r="AN79" s="74"/>
      <c r="AO79" s="74"/>
      <c r="AP79" s="74"/>
      <c r="AQ79" s="74"/>
      <c r="AR79" s="74">
        <f t="shared" si="69"/>
        <v>0</v>
      </c>
      <c r="AS79" s="74">
        <f t="shared" si="69"/>
        <v>0</v>
      </c>
      <c r="AT79" s="74"/>
      <c r="AU79" s="74"/>
      <c r="AV79" s="74"/>
      <c r="AW79" s="74"/>
      <c r="AX79" s="74">
        <f t="shared" si="70"/>
        <v>0</v>
      </c>
      <c r="AY79" s="74">
        <f t="shared" si="70"/>
        <v>0</v>
      </c>
      <c r="AZ79" s="74"/>
      <c r="BA79" s="74"/>
      <c r="BB79" s="74"/>
      <c r="BC79" s="74">
        <v>160172.26999999999</v>
      </c>
      <c r="BD79" s="74">
        <f t="shared" si="71"/>
        <v>0</v>
      </c>
      <c r="BE79" s="74">
        <v>160000</v>
      </c>
      <c r="BF79" s="74">
        <f t="shared" si="49"/>
        <v>160172.26999999999</v>
      </c>
      <c r="BG79" s="74"/>
      <c r="BH79" s="74"/>
      <c r="BI79" s="74"/>
      <c r="BJ79" s="74"/>
      <c r="BK79" s="74">
        <f t="shared" si="72"/>
        <v>0</v>
      </c>
      <c r="BL79" s="74"/>
      <c r="BM79" s="74">
        <f t="shared" si="50"/>
        <v>0</v>
      </c>
      <c r="BN79" s="74"/>
      <c r="BO79" s="74"/>
      <c r="BP79" s="74"/>
      <c r="BQ79" s="74"/>
      <c r="BR79" s="74">
        <f t="shared" si="73"/>
        <v>0</v>
      </c>
      <c r="BS79" s="74">
        <f t="shared" si="73"/>
        <v>0</v>
      </c>
      <c r="BT79" s="74"/>
      <c r="BU79" s="74"/>
      <c r="BV79" s="74"/>
      <c r="BW79" s="74"/>
      <c r="BX79" s="74">
        <f t="shared" si="74"/>
        <v>0</v>
      </c>
      <c r="BY79" s="74">
        <f t="shared" si="74"/>
        <v>0</v>
      </c>
      <c r="BZ79" s="74"/>
      <c r="CA79" s="74"/>
      <c r="CB79" s="74"/>
      <c r="CC79" s="74"/>
      <c r="CD79" s="74">
        <f t="shared" si="75"/>
        <v>0</v>
      </c>
      <c r="CE79" s="74">
        <f t="shared" si="75"/>
        <v>0</v>
      </c>
      <c r="CF79" s="74"/>
      <c r="CG79" s="74"/>
      <c r="CH79" s="74"/>
      <c r="CI79" s="74"/>
      <c r="CJ79" s="74">
        <f t="shared" si="76"/>
        <v>0</v>
      </c>
      <c r="CK79" s="74">
        <f t="shared" si="76"/>
        <v>0</v>
      </c>
      <c r="CL79" s="74"/>
      <c r="CM79" s="74"/>
      <c r="CN79" s="74"/>
      <c r="CO79" s="74"/>
      <c r="CP79" s="74">
        <f t="shared" si="77"/>
        <v>0</v>
      </c>
      <c r="CQ79" s="74">
        <f t="shared" si="77"/>
        <v>0</v>
      </c>
      <c r="CR79" s="74"/>
      <c r="CS79" s="74"/>
      <c r="CT79" s="74"/>
      <c r="CU79" s="74"/>
      <c r="CV79" s="74">
        <f t="shared" si="78"/>
        <v>0</v>
      </c>
      <c r="CW79" s="74">
        <f t="shared" si="78"/>
        <v>0</v>
      </c>
      <c r="CX79" s="74"/>
      <c r="CY79" s="74"/>
      <c r="CZ79" s="74"/>
      <c r="DA79" s="74"/>
      <c r="DB79" s="74">
        <f t="shared" si="79"/>
        <v>0</v>
      </c>
      <c r="DC79" s="74">
        <f t="shared" si="79"/>
        <v>0</v>
      </c>
      <c r="DD79" s="74"/>
      <c r="DE79" s="74"/>
      <c r="DF79" s="74"/>
      <c r="DG79" s="74"/>
      <c r="DH79" s="74">
        <f t="shared" si="80"/>
        <v>0</v>
      </c>
      <c r="DI79" s="74">
        <f t="shared" si="80"/>
        <v>0</v>
      </c>
      <c r="DJ79" s="74">
        <f t="shared" si="51"/>
        <v>0</v>
      </c>
      <c r="DK79" s="74">
        <f t="shared" si="52"/>
        <v>0</v>
      </c>
      <c r="DL79" s="74">
        <f t="shared" si="53"/>
        <v>0</v>
      </c>
      <c r="DM79" s="74">
        <f t="shared" si="54"/>
        <v>160172.26999999999</v>
      </c>
      <c r="DN79" s="74">
        <f t="shared" si="81"/>
        <v>0</v>
      </c>
      <c r="DO79" s="74">
        <f t="shared" si="81"/>
        <v>160172.26999999999</v>
      </c>
    </row>
    <row r="80" spans="1:119">
      <c r="A80" s="87">
        <v>72</v>
      </c>
      <c r="B80" s="88" t="s">
        <v>470</v>
      </c>
      <c r="C80" s="88"/>
      <c r="D80" s="88" t="s">
        <v>561</v>
      </c>
      <c r="E80" s="88" t="s">
        <v>1215</v>
      </c>
      <c r="F80" s="231">
        <f t="shared" si="55"/>
        <v>0</v>
      </c>
      <c r="G80" s="231">
        <f t="shared" si="56"/>
        <v>0</v>
      </c>
      <c r="H80" s="232">
        <f t="shared" si="57"/>
        <v>0</v>
      </c>
      <c r="I80" s="233"/>
      <c r="J80" s="86">
        <v>0</v>
      </c>
      <c r="K80" s="86">
        <v>0</v>
      </c>
      <c r="L80" s="231">
        <f t="shared" si="58"/>
        <v>0</v>
      </c>
      <c r="M80" s="231">
        <f t="shared" si="59"/>
        <v>0</v>
      </c>
      <c r="N80" s="231">
        <f t="shared" si="60"/>
        <v>0</v>
      </c>
      <c r="O80" s="131">
        <f t="shared" si="61"/>
        <v>0</v>
      </c>
      <c r="P80" s="231" t="str">
        <f t="shared" si="62"/>
        <v>ნულოვანი შესრულება</v>
      </c>
      <c r="Q80" s="86"/>
      <c r="R80" s="86"/>
      <c r="S80" s="86">
        <f t="shared" si="41"/>
        <v>0</v>
      </c>
      <c r="T80" s="86">
        <f t="shared" si="42"/>
        <v>0</v>
      </c>
      <c r="U80" s="86"/>
      <c r="V80" s="86"/>
      <c r="W80" s="86"/>
      <c r="X80" s="86"/>
      <c r="Y80" s="86">
        <f t="shared" si="63"/>
        <v>0</v>
      </c>
      <c r="Z80" s="86">
        <f t="shared" si="63"/>
        <v>0</v>
      </c>
      <c r="AA80" s="86"/>
      <c r="AB80" s="86"/>
      <c r="AC80" s="86"/>
      <c r="AD80" s="86"/>
      <c r="AE80" s="86">
        <f t="shared" si="64"/>
        <v>0</v>
      </c>
      <c r="AF80" s="86">
        <f t="shared" si="64"/>
        <v>0</v>
      </c>
      <c r="AG80" s="86">
        <f t="shared" si="65"/>
        <v>0</v>
      </c>
      <c r="AH80" s="86">
        <f t="shared" si="66"/>
        <v>0</v>
      </c>
      <c r="AI80" s="86">
        <f t="shared" si="66"/>
        <v>0</v>
      </c>
      <c r="AJ80" s="86">
        <f t="shared" si="67"/>
        <v>0</v>
      </c>
      <c r="AK80" s="86">
        <f t="shared" si="68"/>
        <v>0</v>
      </c>
      <c r="AL80" s="86">
        <f t="shared" si="68"/>
        <v>0</v>
      </c>
      <c r="AM80" s="86"/>
      <c r="AN80" s="86"/>
      <c r="AO80" s="86"/>
      <c r="AP80" s="86"/>
      <c r="AQ80" s="86"/>
      <c r="AR80" s="86">
        <f t="shared" si="69"/>
        <v>0</v>
      </c>
      <c r="AS80" s="86">
        <f t="shared" si="69"/>
        <v>0</v>
      </c>
      <c r="AT80" s="86"/>
      <c r="AU80" s="86"/>
      <c r="AV80" s="86"/>
      <c r="AW80" s="86"/>
      <c r="AX80" s="86">
        <f t="shared" si="70"/>
        <v>0</v>
      </c>
      <c r="AY80" s="86">
        <f t="shared" si="70"/>
        <v>0</v>
      </c>
      <c r="AZ80" s="86"/>
      <c r="BA80" s="86"/>
      <c r="BB80" s="86"/>
      <c r="BC80" s="86"/>
      <c r="BD80" s="86">
        <f t="shared" si="71"/>
        <v>0</v>
      </c>
      <c r="BE80" s="86"/>
      <c r="BF80" s="86">
        <f t="shared" si="49"/>
        <v>0</v>
      </c>
      <c r="BG80" s="86"/>
      <c r="BH80" s="86"/>
      <c r="BI80" s="86"/>
      <c r="BJ80" s="86"/>
      <c r="BK80" s="86">
        <f t="shared" si="72"/>
        <v>0</v>
      </c>
      <c r="BL80" s="86"/>
      <c r="BM80" s="86">
        <f t="shared" si="50"/>
        <v>0</v>
      </c>
      <c r="BN80" s="86"/>
      <c r="BO80" s="86"/>
      <c r="BP80" s="86"/>
      <c r="BQ80" s="86"/>
      <c r="BR80" s="86">
        <f t="shared" si="73"/>
        <v>0</v>
      </c>
      <c r="BS80" s="86">
        <f t="shared" si="73"/>
        <v>0</v>
      </c>
      <c r="BT80" s="86"/>
      <c r="BU80" s="86"/>
      <c r="BV80" s="86"/>
      <c r="BW80" s="86"/>
      <c r="BX80" s="86">
        <f t="shared" si="74"/>
        <v>0</v>
      </c>
      <c r="BY80" s="86">
        <f t="shared" si="74"/>
        <v>0</v>
      </c>
      <c r="BZ80" s="86"/>
      <c r="CA80" s="86"/>
      <c r="CB80" s="86"/>
      <c r="CC80" s="86"/>
      <c r="CD80" s="86">
        <f t="shared" si="75"/>
        <v>0</v>
      </c>
      <c r="CE80" s="86">
        <f t="shared" si="75"/>
        <v>0</v>
      </c>
      <c r="CF80" s="86"/>
      <c r="CG80" s="86"/>
      <c r="CH80" s="86"/>
      <c r="CI80" s="86"/>
      <c r="CJ80" s="86">
        <f t="shared" si="76"/>
        <v>0</v>
      </c>
      <c r="CK80" s="86">
        <f t="shared" si="76"/>
        <v>0</v>
      </c>
      <c r="CL80" s="86"/>
      <c r="CM80" s="86"/>
      <c r="CN80" s="86"/>
      <c r="CO80" s="86"/>
      <c r="CP80" s="86">
        <f t="shared" si="77"/>
        <v>0</v>
      </c>
      <c r="CQ80" s="86">
        <f t="shared" si="77"/>
        <v>0</v>
      </c>
      <c r="CR80" s="86"/>
      <c r="CS80" s="86"/>
      <c r="CT80" s="86"/>
      <c r="CU80" s="86"/>
      <c r="CV80" s="86">
        <f t="shared" si="78"/>
        <v>0</v>
      </c>
      <c r="CW80" s="86">
        <f t="shared" si="78"/>
        <v>0</v>
      </c>
      <c r="CX80" s="86"/>
      <c r="CY80" s="86"/>
      <c r="CZ80" s="86"/>
      <c r="DA80" s="86"/>
      <c r="DB80" s="86">
        <f t="shared" si="79"/>
        <v>0</v>
      </c>
      <c r="DC80" s="86">
        <f t="shared" si="79"/>
        <v>0</v>
      </c>
      <c r="DD80" s="86"/>
      <c r="DE80" s="86"/>
      <c r="DF80" s="86"/>
      <c r="DG80" s="86"/>
      <c r="DH80" s="86">
        <f t="shared" si="80"/>
        <v>0</v>
      </c>
      <c r="DI80" s="86">
        <f t="shared" si="80"/>
        <v>0</v>
      </c>
      <c r="DJ80" s="86">
        <f t="shared" si="51"/>
        <v>0</v>
      </c>
      <c r="DK80" s="86">
        <f t="shared" si="52"/>
        <v>0</v>
      </c>
      <c r="DL80" s="86">
        <f t="shared" si="53"/>
        <v>0</v>
      </c>
      <c r="DM80" s="86">
        <f t="shared" si="54"/>
        <v>0</v>
      </c>
      <c r="DN80" s="86">
        <f t="shared" si="81"/>
        <v>0</v>
      </c>
      <c r="DO80" s="86">
        <f t="shared" si="81"/>
        <v>0</v>
      </c>
    </row>
    <row r="81" spans="1:119">
      <c r="A81" s="87">
        <v>73</v>
      </c>
      <c r="B81" s="88" t="s">
        <v>456</v>
      </c>
      <c r="C81" s="88" t="s">
        <v>562</v>
      </c>
      <c r="D81" s="88" t="s">
        <v>563</v>
      </c>
      <c r="E81" s="88" t="s">
        <v>1213</v>
      </c>
      <c r="F81" s="231">
        <f t="shared" si="55"/>
        <v>0</v>
      </c>
      <c r="G81" s="231">
        <f t="shared" si="56"/>
        <v>0</v>
      </c>
      <c r="H81" s="232">
        <f t="shared" si="57"/>
        <v>0</v>
      </c>
      <c r="I81" s="89">
        <v>0</v>
      </c>
      <c r="J81" s="86">
        <v>0</v>
      </c>
      <c r="K81" s="86">
        <v>0</v>
      </c>
      <c r="L81" s="231">
        <f t="shared" si="58"/>
        <v>0</v>
      </c>
      <c r="M81" s="231">
        <f t="shared" si="59"/>
        <v>0</v>
      </c>
      <c r="N81" s="231">
        <f t="shared" si="60"/>
        <v>0</v>
      </c>
      <c r="O81" s="131">
        <f t="shared" si="61"/>
        <v>0</v>
      </c>
      <c r="P81" s="231" t="str">
        <f t="shared" si="62"/>
        <v>ნულოვანი შესრულება</v>
      </c>
      <c r="Q81" s="86"/>
      <c r="R81" s="86"/>
      <c r="S81" s="86">
        <f t="shared" si="41"/>
        <v>0</v>
      </c>
      <c r="T81" s="86">
        <f t="shared" si="42"/>
        <v>0</v>
      </c>
      <c r="U81" s="86"/>
      <c r="V81" s="86"/>
      <c r="W81" s="86"/>
      <c r="X81" s="86"/>
      <c r="Y81" s="86">
        <f t="shared" si="63"/>
        <v>0</v>
      </c>
      <c r="Z81" s="86">
        <f t="shared" si="63"/>
        <v>0</v>
      </c>
      <c r="AA81" s="86"/>
      <c r="AB81" s="86"/>
      <c r="AC81" s="86"/>
      <c r="AD81" s="86"/>
      <c r="AE81" s="86">
        <f t="shared" si="64"/>
        <v>0</v>
      </c>
      <c r="AF81" s="86">
        <f t="shared" si="64"/>
        <v>0</v>
      </c>
      <c r="AG81" s="86">
        <f t="shared" si="65"/>
        <v>0</v>
      </c>
      <c r="AH81" s="86">
        <f t="shared" si="66"/>
        <v>0</v>
      </c>
      <c r="AI81" s="86">
        <f t="shared" si="66"/>
        <v>0</v>
      </c>
      <c r="AJ81" s="86">
        <f t="shared" si="67"/>
        <v>0</v>
      </c>
      <c r="AK81" s="86">
        <f t="shared" si="68"/>
        <v>0</v>
      </c>
      <c r="AL81" s="86">
        <f t="shared" si="68"/>
        <v>0</v>
      </c>
      <c r="AM81" s="86"/>
      <c r="AN81" s="86"/>
      <c r="AO81" s="86"/>
      <c r="AP81" s="86"/>
      <c r="AQ81" s="86"/>
      <c r="AR81" s="86">
        <f t="shared" si="69"/>
        <v>0</v>
      </c>
      <c r="AS81" s="86">
        <f t="shared" si="69"/>
        <v>0</v>
      </c>
      <c r="AT81" s="86"/>
      <c r="AU81" s="86"/>
      <c r="AV81" s="86"/>
      <c r="AW81" s="86"/>
      <c r="AX81" s="86">
        <f t="shared" si="70"/>
        <v>0</v>
      </c>
      <c r="AY81" s="86">
        <f t="shared" si="70"/>
        <v>0</v>
      </c>
      <c r="AZ81" s="86"/>
      <c r="BA81" s="86"/>
      <c r="BB81" s="86"/>
      <c r="BC81" s="86"/>
      <c r="BD81" s="86">
        <f t="shared" si="71"/>
        <v>0</v>
      </c>
      <c r="BE81" s="86"/>
      <c r="BF81" s="86">
        <f t="shared" si="49"/>
        <v>0</v>
      </c>
      <c r="BG81" s="86"/>
      <c r="BH81" s="86"/>
      <c r="BI81" s="86"/>
      <c r="BJ81" s="86"/>
      <c r="BK81" s="86">
        <f t="shared" si="72"/>
        <v>0</v>
      </c>
      <c r="BL81" s="86"/>
      <c r="BM81" s="86">
        <f t="shared" si="50"/>
        <v>0</v>
      </c>
      <c r="BN81" s="86"/>
      <c r="BO81" s="86"/>
      <c r="BP81" s="86"/>
      <c r="BQ81" s="86"/>
      <c r="BR81" s="86">
        <f t="shared" si="73"/>
        <v>0</v>
      </c>
      <c r="BS81" s="86">
        <f t="shared" si="73"/>
        <v>0</v>
      </c>
      <c r="BT81" s="86"/>
      <c r="BU81" s="86"/>
      <c r="BV81" s="86"/>
      <c r="BW81" s="86"/>
      <c r="BX81" s="86">
        <f t="shared" si="74"/>
        <v>0</v>
      </c>
      <c r="BY81" s="86">
        <f t="shared" si="74"/>
        <v>0</v>
      </c>
      <c r="BZ81" s="86"/>
      <c r="CA81" s="86"/>
      <c r="CB81" s="86"/>
      <c r="CC81" s="86"/>
      <c r="CD81" s="86">
        <f t="shared" si="75"/>
        <v>0</v>
      </c>
      <c r="CE81" s="86">
        <f t="shared" si="75"/>
        <v>0</v>
      </c>
      <c r="CF81" s="86"/>
      <c r="CG81" s="86"/>
      <c r="CH81" s="86"/>
      <c r="CI81" s="86"/>
      <c r="CJ81" s="86">
        <f t="shared" si="76"/>
        <v>0</v>
      </c>
      <c r="CK81" s="86">
        <f t="shared" si="76"/>
        <v>0</v>
      </c>
      <c r="CL81" s="86"/>
      <c r="CM81" s="86"/>
      <c r="CN81" s="86"/>
      <c r="CO81" s="86"/>
      <c r="CP81" s="86">
        <f t="shared" si="77"/>
        <v>0</v>
      </c>
      <c r="CQ81" s="86">
        <f t="shared" si="77"/>
        <v>0</v>
      </c>
      <c r="CR81" s="86"/>
      <c r="CS81" s="86"/>
      <c r="CT81" s="86"/>
      <c r="CU81" s="86"/>
      <c r="CV81" s="86">
        <f t="shared" si="78"/>
        <v>0</v>
      </c>
      <c r="CW81" s="86">
        <f t="shared" si="78"/>
        <v>0</v>
      </c>
      <c r="CX81" s="86"/>
      <c r="CY81" s="86"/>
      <c r="CZ81" s="86"/>
      <c r="DA81" s="86"/>
      <c r="DB81" s="86">
        <f t="shared" si="79"/>
        <v>0</v>
      </c>
      <c r="DC81" s="86">
        <f t="shared" si="79"/>
        <v>0</v>
      </c>
      <c r="DD81" s="86"/>
      <c r="DE81" s="86"/>
      <c r="DF81" s="86"/>
      <c r="DG81" s="86"/>
      <c r="DH81" s="86">
        <f t="shared" si="80"/>
        <v>0</v>
      </c>
      <c r="DI81" s="86">
        <f t="shared" si="80"/>
        <v>0</v>
      </c>
      <c r="DJ81" s="86">
        <f t="shared" si="51"/>
        <v>0</v>
      </c>
      <c r="DK81" s="86">
        <f t="shared" si="52"/>
        <v>0</v>
      </c>
      <c r="DL81" s="86">
        <f t="shared" si="53"/>
        <v>0</v>
      </c>
      <c r="DM81" s="86">
        <f t="shared" si="54"/>
        <v>0</v>
      </c>
      <c r="DN81" s="86">
        <f t="shared" si="81"/>
        <v>0</v>
      </c>
      <c r="DO81" s="86">
        <f t="shared" si="81"/>
        <v>0</v>
      </c>
    </row>
    <row r="82" spans="1:119">
      <c r="A82" s="87">
        <v>74</v>
      </c>
      <c r="B82" s="88" t="s">
        <v>456</v>
      </c>
      <c r="C82" s="88" t="s">
        <v>562</v>
      </c>
      <c r="D82" s="88" t="s">
        <v>564</v>
      </c>
      <c r="E82" s="88" t="s">
        <v>1214</v>
      </c>
      <c r="F82" s="231">
        <f t="shared" si="55"/>
        <v>0</v>
      </c>
      <c r="G82" s="231">
        <f t="shared" si="56"/>
        <v>0</v>
      </c>
      <c r="H82" s="232">
        <f t="shared" si="57"/>
        <v>0</v>
      </c>
      <c r="I82" s="89">
        <v>61655</v>
      </c>
      <c r="J82" s="86">
        <v>0</v>
      </c>
      <c r="K82" s="86">
        <v>0</v>
      </c>
      <c r="L82" s="231">
        <f t="shared" si="58"/>
        <v>0</v>
      </c>
      <c r="M82" s="231">
        <f t="shared" si="59"/>
        <v>0</v>
      </c>
      <c r="N82" s="231">
        <f t="shared" si="60"/>
        <v>0</v>
      </c>
      <c r="O82" s="131">
        <f t="shared" si="61"/>
        <v>0</v>
      </c>
      <c r="P82" s="231" t="str">
        <f t="shared" si="62"/>
        <v>ნულოვანი შესრულება</v>
      </c>
      <c r="Q82" s="86"/>
      <c r="R82" s="86"/>
      <c r="S82" s="86">
        <f t="shared" si="41"/>
        <v>0</v>
      </c>
      <c r="T82" s="86">
        <f t="shared" si="42"/>
        <v>0</v>
      </c>
      <c r="U82" s="86"/>
      <c r="V82" s="86"/>
      <c r="W82" s="86"/>
      <c r="X82" s="86"/>
      <c r="Y82" s="86">
        <f t="shared" si="63"/>
        <v>0</v>
      </c>
      <c r="Z82" s="86">
        <f t="shared" si="63"/>
        <v>0</v>
      </c>
      <c r="AA82" s="86"/>
      <c r="AB82" s="86"/>
      <c r="AC82" s="86"/>
      <c r="AD82" s="86"/>
      <c r="AE82" s="86">
        <f t="shared" si="64"/>
        <v>0</v>
      </c>
      <c r="AF82" s="86">
        <f t="shared" si="64"/>
        <v>0</v>
      </c>
      <c r="AG82" s="86">
        <f t="shared" si="65"/>
        <v>0</v>
      </c>
      <c r="AH82" s="86">
        <f t="shared" si="66"/>
        <v>0</v>
      </c>
      <c r="AI82" s="86">
        <f t="shared" si="66"/>
        <v>0</v>
      </c>
      <c r="AJ82" s="86">
        <f t="shared" si="67"/>
        <v>0</v>
      </c>
      <c r="AK82" s="86">
        <f t="shared" si="68"/>
        <v>0</v>
      </c>
      <c r="AL82" s="86">
        <f t="shared" si="68"/>
        <v>0</v>
      </c>
      <c r="AM82" s="86"/>
      <c r="AN82" s="86"/>
      <c r="AO82" s="86"/>
      <c r="AP82" s="86"/>
      <c r="AQ82" s="86"/>
      <c r="AR82" s="86">
        <f t="shared" si="69"/>
        <v>0</v>
      </c>
      <c r="AS82" s="86">
        <f t="shared" si="69"/>
        <v>0</v>
      </c>
      <c r="AT82" s="86"/>
      <c r="AU82" s="86"/>
      <c r="AV82" s="86"/>
      <c r="AW82" s="86"/>
      <c r="AX82" s="86">
        <f t="shared" si="70"/>
        <v>0</v>
      </c>
      <c r="AY82" s="86">
        <f t="shared" si="70"/>
        <v>0</v>
      </c>
      <c r="AZ82" s="86"/>
      <c r="BA82" s="86"/>
      <c r="BB82" s="86"/>
      <c r="BC82" s="86"/>
      <c r="BD82" s="86">
        <f t="shared" si="71"/>
        <v>0</v>
      </c>
      <c r="BE82" s="86"/>
      <c r="BF82" s="86">
        <f t="shared" si="49"/>
        <v>0</v>
      </c>
      <c r="BG82" s="86"/>
      <c r="BH82" s="86"/>
      <c r="BI82" s="86"/>
      <c r="BJ82" s="86"/>
      <c r="BK82" s="86">
        <f t="shared" si="72"/>
        <v>0</v>
      </c>
      <c r="BL82" s="86"/>
      <c r="BM82" s="86">
        <f t="shared" si="50"/>
        <v>0</v>
      </c>
      <c r="BN82" s="86"/>
      <c r="BO82" s="86"/>
      <c r="BP82" s="86"/>
      <c r="BQ82" s="86"/>
      <c r="BR82" s="86">
        <f t="shared" si="73"/>
        <v>0</v>
      </c>
      <c r="BS82" s="86">
        <f t="shared" si="73"/>
        <v>0</v>
      </c>
      <c r="BT82" s="86"/>
      <c r="BU82" s="86"/>
      <c r="BV82" s="86"/>
      <c r="BW82" s="86"/>
      <c r="BX82" s="86">
        <f t="shared" si="74"/>
        <v>0</v>
      </c>
      <c r="BY82" s="86">
        <f t="shared" si="74"/>
        <v>0</v>
      </c>
      <c r="BZ82" s="86"/>
      <c r="CA82" s="86"/>
      <c r="CB82" s="86"/>
      <c r="CC82" s="86"/>
      <c r="CD82" s="86">
        <f t="shared" si="75"/>
        <v>0</v>
      </c>
      <c r="CE82" s="86">
        <f t="shared" si="75"/>
        <v>0</v>
      </c>
      <c r="CF82" s="86"/>
      <c r="CG82" s="86"/>
      <c r="CH82" s="86"/>
      <c r="CI82" s="86"/>
      <c r="CJ82" s="86">
        <f t="shared" si="76"/>
        <v>0</v>
      </c>
      <c r="CK82" s="86">
        <f t="shared" si="76"/>
        <v>0</v>
      </c>
      <c r="CL82" s="86"/>
      <c r="CM82" s="86"/>
      <c r="CN82" s="86"/>
      <c r="CO82" s="86"/>
      <c r="CP82" s="86">
        <f t="shared" si="77"/>
        <v>0</v>
      </c>
      <c r="CQ82" s="86">
        <f t="shared" si="77"/>
        <v>0</v>
      </c>
      <c r="CR82" s="86"/>
      <c r="CS82" s="86"/>
      <c r="CT82" s="86"/>
      <c r="CU82" s="86"/>
      <c r="CV82" s="86">
        <f t="shared" si="78"/>
        <v>0</v>
      </c>
      <c r="CW82" s="86">
        <f t="shared" si="78"/>
        <v>0</v>
      </c>
      <c r="CX82" s="86"/>
      <c r="CY82" s="86"/>
      <c r="CZ82" s="86"/>
      <c r="DA82" s="86"/>
      <c r="DB82" s="86">
        <f t="shared" si="79"/>
        <v>0</v>
      </c>
      <c r="DC82" s="86">
        <f t="shared" si="79"/>
        <v>0</v>
      </c>
      <c r="DD82" s="86"/>
      <c r="DE82" s="86"/>
      <c r="DF82" s="86"/>
      <c r="DG82" s="86"/>
      <c r="DH82" s="86">
        <f t="shared" si="80"/>
        <v>0</v>
      </c>
      <c r="DI82" s="86">
        <f t="shared" si="80"/>
        <v>0</v>
      </c>
      <c r="DJ82" s="86">
        <f t="shared" si="51"/>
        <v>0</v>
      </c>
      <c r="DK82" s="86">
        <f t="shared" si="52"/>
        <v>0</v>
      </c>
      <c r="DL82" s="86">
        <f t="shared" si="53"/>
        <v>0</v>
      </c>
      <c r="DM82" s="86">
        <f t="shared" si="54"/>
        <v>0</v>
      </c>
      <c r="DN82" s="86">
        <f t="shared" si="81"/>
        <v>0</v>
      </c>
      <c r="DO82" s="86">
        <f t="shared" si="81"/>
        <v>0</v>
      </c>
    </row>
    <row r="83" spans="1:119">
      <c r="A83" s="87">
        <v>75</v>
      </c>
      <c r="B83" s="88" t="s">
        <v>87</v>
      </c>
      <c r="C83" s="88" t="s">
        <v>565</v>
      </c>
      <c r="D83" s="88" t="s">
        <v>566</v>
      </c>
      <c r="E83" s="88" t="s">
        <v>1213</v>
      </c>
      <c r="F83" s="231">
        <f t="shared" si="55"/>
        <v>0</v>
      </c>
      <c r="G83" s="231">
        <f t="shared" si="56"/>
        <v>0</v>
      </c>
      <c r="H83" s="232">
        <f t="shared" si="57"/>
        <v>0</v>
      </c>
      <c r="I83" s="89">
        <v>0</v>
      </c>
      <c r="J83" s="86">
        <v>0</v>
      </c>
      <c r="K83" s="86">
        <v>0</v>
      </c>
      <c r="L83" s="231">
        <f t="shared" si="58"/>
        <v>0</v>
      </c>
      <c r="M83" s="231">
        <f t="shared" si="59"/>
        <v>0</v>
      </c>
      <c r="N83" s="231">
        <f t="shared" si="60"/>
        <v>0</v>
      </c>
      <c r="O83" s="131">
        <f t="shared" si="61"/>
        <v>0</v>
      </c>
      <c r="P83" s="231" t="str">
        <f t="shared" si="62"/>
        <v>ნულოვანი შესრულება</v>
      </c>
      <c r="Q83" s="86"/>
      <c r="R83" s="86"/>
      <c r="S83" s="86">
        <f t="shared" si="41"/>
        <v>0</v>
      </c>
      <c r="T83" s="86">
        <f t="shared" si="42"/>
        <v>0</v>
      </c>
      <c r="U83" s="86"/>
      <c r="V83" s="86"/>
      <c r="W83" s="86"/>
      <c r="X83" s="86"/>
      <c r="Y83" s="86">
        <f t="shared" si="63"/>
        <v>0</v>
      </c>
      <c r="Z83" s="86">
        <f t="shared" si="63"/>
        <v>0</v>
      </c>
      <c r="AA83" s="86"/>
      <c r="AB83" s="86"/>
      <c r="AC83" s="86"/>
      <c r="AD83" s="86"/>
      <c r="AE83" s="86">
        <f t="shared" si="64"/>
        <v>0</v>
      </c>
      <c r="AF83" s="86">
        <f t="shared" si="64"/>
        <v>0</v>
      </c>
      <c r="AG83" s="86">
        <f t="shared" si="65"/>
        <v>0</v>
      </c>
      <c r="AH83" s="86">
        <f t="shared" si="66"/>
        <v>0</v>
      </c>
      <c r="AI83" s="86">
        <f t="shared" si="66"/>
        <v>0</v>
      </c>
      <c r="AJ83" s="86">
        <f t="shared" si="67"/>
        <v>0</v>
      </c>
      <c r="AK83" s="86">
        <f t="shared" si="68"/>
        <v>0</v>
      </c>
      <c r="AL83" s="86">
        <f t="shared" si="68"/>
        <v>0</v>
      </c>
      <c r="AM83" s="86"/>
      <c r="AN83" s="86"/>
      <c r="AO83" s="86"/>
      <c r="AP83" s="86">
        <v>0</v>
      </c>
      <c r="AQ83" s="86"/>
      <c r="AR83" s="86">
        <f t="shared" si="69"/>
        <v>0</v>
      </c>
      <c r="AS83" s="86">
        <f t="shared" si="69"/>
        <v>0</v>
      </c>
      <c r="AT83" s="86"/>
      <c r="AU83" s="86"/>
      <c r="AV83" s="86"/>
      <c r="AW83" s="86"/>
      <c r="AX83" s="86">
        <f t="shared" si="70"/>
        <v>0</v>
      </c>
      <c r="AY83" s="86">
        <f t="shared" si="70"/>
        <v>0</v>
      </c>
      <c r="AZ83" s="86"/>
      <c r="BA83" s="86"/>
      <c r="BB83" s="86"/>
      <c r="BC83" s="86"/>
      <c r="BD83" s="86">
        <f t="shared" si="71"/>
        <v>0</v>
      </c>
      <c r="BE83" s="86"/>
      <c r="BF83" s="86">
        <f t="shared" si="49"/>
        <v>0</v>
      </c>
      <c r="BG83" s="86"/>
      <c r="BH83" s="86"/>
      <c r="BI83" s="86"/>
      <c r="BJ83" s="86"/>
      <c r="BK83" s="86">
        <f t="shared" si="72"/>
        <v>0</v>
      </c>
      <c r="BL83" s="86"/>
      <c r="BM83" s="86">
        <f t="shared" si="50"/>
        <v>0</v>
      </c>
      <c r="BN83" s="86"/>
      <c r="BO83" s="86"/>
      <c r="BP83" s="86"/>
      <c r="BQ83" s="86"/>
      <c r="BR83" s="86">
        <f t="shared" si="73"/>
        <v>0</v>
      </c>
      <c r="BS83" s="86">
        <f t="shared" si="73"/>
        <v>0</v>
      </c>
      <c r="BT83" s="86"/>
      <c r="BU83" s="86"/>
      <c r="BV83" s="86"/>
      <c r="BW83" s="86"/>
      <c r="BX83" s="86">
        <f t="shared" si="74"/>
        <v>0</v>
      </c>
      <c r="BY83" s="86">
        <f t="shared" si="74"/>
        <v>0</v>
      </c>
      <c r="BZ83" s="86"/>
      <c r="CA83" s="86"/>
      <c r="CB83" s="86"/>
      <c r="CC83" s="86"/>
      <c r="CD83" s="86">
        <f t="shared" si="75"/>
        <v>0</v>
      </c>
      <c r="CE83" s="86">
        <f t="shared" si="75"/>
        <v>0</v>
      </c>
      <c r="CF83" s="86"/>
      <c r="CG83" s="86"/>
      <c r="CH83" s="86"/>
      <c r="CI83" s="86"/>
      <c r="CJ83" s="86">
        <f t="shared" si="76"/>
        <v>0</v>
      </c>
      <c r="CK83" s="86">
        <f t="shared" si="76"/>
        <v>0</v>
      </c>
      <c r="CL83" s="86"/>
      <c r="CM83" s="86"/>
      <c r="CN83" s="86"/>
      <c r="CO83" s="86"/>
      <c r="CP83" s="86">
        <f t="shared" si="77"/>
        <v>0</v>
      </c>
      <c r="CQ83" s="86">
        <f t="shared" si="77"/>
        <v>0</v>
      </c>
      <c r="CR83" s="86"/>
      <c r="CS83" s="86"/>
      <c r="CT83" s="86"/>
      <c r="CU83" s="86"/>
      <c r="CV83" s="86">
        <f t="shared" si="78"/>
        <v>0</v>
      </c>
      <c r="CW83" s="86">
        <f t="shared" si="78"/>
        <v>0</v>
      </c>
      <c r="CX83" s="86"/>
      <c r="CY83" s="86"/>
      <c r="CZ83" s="86"/>
      <c r="DA83" s="86"/>
      <c r="DB83" s="86">
        <f t="shared" si="79"/>
        <v>0</v>
      </c>
      <c r="DC83" s="86">
        <f t="shared" si="79"/>
        <v>0</v>
      </c>
      <c r="DD83" s="86"/>
      <c r="DE83" s="86"/>
      <c r="DF83" s="86"/>
      <c r="DG83" s="86"/>
      <c r="DH83" s="86">
        <f t="shared" si="80"/>
        <v>0</v>
      </c>
      <c r="DI83" s="86">
        <f t="shared" si="80"/>
        <v>0</v>
      </c>
      <c r="DJ83" s="86">
        <f t="shared" si="51"/>
        <v>0</v>
      </c>
      <c r="DK83" s="86">
        <f t="shared" si="52"/>
        <v>0</v>
      </c>
      <c r="DL83" s="86">
        <f t="shared" si="53"/>
        <v>0</v>
      </c>
      <c r="DM83" s="86">
        <f t="shared" si="54"/>
        <v>0</v>
      </c>
      <c r="DN83" s="86">
        <f t="shared" si="81"/>
        <v>0</v>
      </c>
      <c r="DO83" s="86">
        <f t="shared" si="81"/>
        <v>0</v>
      </c>
    </row>
    <row r="84" spans="1:119">
      <c r="A84" s="87">
        <v>76</v>
      </c>
      <c r="B84" s="88" t="s">
        <v>87</v>
      </c>
      <c r="C84" s="88" t="s">
        <v>565</v>
      </c>
      <c r="D84" s="88" t="s">
        <v>567</v>
      </c>
      <c r="E84" s="88" t="s">
        <v>1214</v>
      </c>
      <c r="F84" s="231">
        <f t="shared" si="55"/>
        <v>0</v>
      </c>
      <c r="G84" s="231">
        <f t="shared" si="56"/>
        <v>0</v>
      </c>
      <c r="H84" s="232">
        <f t="shared" si="57"/>
        <v>0</v>
      </c>
      <c r="I84" s="89">
        <v>41064</v>
      </c>
      <c r="J84" s="86">
        <v>0</v>
      </c>
      <c r="K84" s="86">
        <v>0</v>
      </c>
      <c r="L84" s="231">
        <f t="shared" si="58"/>
        <v>0</v>
      </c>
      <c r="M84" s="231">
        <f t="shared" si="59"/>
        <v>0</v>
      </c>
      <c r="N84" s="231">
        <f t="shared" si="60"/>
        <v>0</v>
      </c>
      <c r="O84" s="131">
        <f t="shared" si="61"/>
        <v>0</v>
      </c>
      <c r="P84" s="231" t="str">
        <f t="shared" si="62"/>
        <v>ნულოვანი შესრულება</v>
      </c>
      <c r="Q84" s="86"/>
      <c r="R84" s="86"/>
      <c r="S84" s="86">
        <f t="shared" si="41"/>
        <v>0</v>
      </c>
      <c r="T84" s="86">
        <f t="shared" si="42"/>
        <v>0</v>
      </c>
      <c r="U84" s="86"/>
      <c r="V84" s="86"/>
      <c r="W84" s="86"/>
      <c r="X84" s="86"/>
      <c r="Y84" s="86">
        <f t="shared" si="63"/>
        <v>0</v>
      </c>
      <c r="Z84" s="86">
        <f t="shared" si="63"/>
        <v>0</v>
      </c>
      <c r="AA84" s="86"/>
      <c r="AB84" s="86"/>
      <c r="AC84" s="86"/>
      <c r="AD84" s="86"/>
      <c r="AE84" s="86">
        <f t="shared" si="64"/>
        <v>0</v>
      </c>
      <c r="AF84" s="86">
        <f t="shared" si="64"/>
        <v>0</v>
      </c>
      <c r="AG84" s="86">
        <f t="shared" si="65"/>
        <v>0</v>
      </c>
      <c r="AH84" s="86">
        <f t="shared" si="66"/>
        <v>0</v>
      </c>
      <c r="AI84" s="86">
        <f t="shared" si="66"/>
        <v>0</v>
      </c>
      <c r="AJ84" s="86">
        <f t="shared" si="67"/>
        <v>0</v>
      </c>
      <c r="AK84" s="86">
        <f t="shared" si="68"/>
        <v>0</v>
      </c>
      <c r="AL84" s="86">
        <f t="shared" si="68"/>
        <v>0</v>
      </c>
      <c r="AM84" s="86"/>
      <c r="AN84" s="86"/>
      <c r="AO84" s="86"/>
      <c r="AP84" s="86"/>
      <c r="AQ84" s="86"/>
      <c r="AR84" s="86">
        <f t="shared" si="69"/>
        <v>0</v>
      </c>
      <c r="AS84" s="86">
        <f t="shared" si="69"/>
        <v>0</v>
      </c>
      <c r="AT84" s="86"/>
      <c r="AU84" s="86"/>
      <c r="AV84" s="86"/>
      <c r="AW84" s="86"/>
      <c r="AX84" s="86">
        <f t="shared" si="70"/>
        <v>0</v>
      </c>
      <c r="AY84" s="86">
        <f t="shared" si="70"/>
        <v>0</v>
      </c>
      <c r="AZ84" s="86"/>
      <c r="BA84" s="86"/>
      <c r="BB84" s="86"/>
      <c r="BC84" s="86"/>
      <c r="BD84" s="86">
        <f t="shared" si="71"/>
        <v>0</v>
      </c>
      <c r="BE84" s="86"/>
      <c r="BF84" s="86">
        <f t="shared" si="49"/>
        <v>0</v>
      </c>
      <c r="BG84" s="86"/>
      <c r="BH84" s="86"/>
      <c r="BI84" s="86"/>
      <c r="BJ84" s="86"/>
      <c r="BK84" s="86">
        <f t="shared" si="72"/>
        <v>0</v>
      </c>
      <c r="BL84" s="86"/>
      <c r="BM84" s="86">
        <f t="shared" si="50"/>
        <v>0</v>
      </c>
      <c r="BN84" s="86"/>
      <c r="BO84" s="86"/>
      <c r="BP84" s="86"/>
      <c r="BQ84" s="86"/>
      <c r="BR84" s="86">
        <f t="shared" si="73"/>
        <v>0</v>
      </c>
      <c r="BS84" s="86">
        <f t="shared" si="73"/>
        <v>0</v>
      </c>
      <c r="BT84" s="86"/>
      <c r="BU84" s="86"/>
      <c r="BV84" s="86"/>
      <c r="BW84" s="86"/>
      <c r="BX84" s="86">
        <f t="shared" si="74"/>
        <v>0</v>
      </c>
      <c r="BY84" s="86">
        <f t="shared" si="74"/>
        <v>0</v>
      </c>
      <c r="BZ84" s="86"/>
      <c r="CA84" s="86"/>
      <c r="CB84" s="86"/>
      <c r="CC84" s="86"/>
      <c r="CD84" s="86">
        <f t="shared" si="75"/>
        <v>0</v>
      </c>
      <c r="CE84" s="86">
        <f t="shared" si="75"/>
        <v>0</v>
      </c>
      <c r="CF84" s="86"/>
      <c r="CG84" s="86"/>
      <c r="CH84" s="86"/>
      <c r="CI84" s="86"/>
      <c r="CJ84" s="86">
        <f t="shared" si="76"/>
        <v>0</v>
      </c>
      <c r="CK84" s="86">
        <f t="shared" si="76"/>
        <v>0</v>
      </c>
      <c r="CL84" s="86"/>
      <c r="CM84" s="86"/>
      <c r="CN84" s="86"/>
      <c r="CO84" s="86"/>
      <c r="CP84" s="86">
        <f t="shared" si="77"/>
        <v>0</v>
      </c>
      <c r="CQ84" s="86">
        <f t="shared" si="77"/>
        <v>0</v>
      </c>
      <c r="CR84" s="86"/>
      <c r="CS84" s="86"/>
      <c r="CT84" s="86"/>
      <c r="CU84" s="86"/>
      <c r="CV84" s="86">
        <f t="shared" si="78"/>
        <v>0</v>
      </c>
      <c r="CW84" s="86">
        <f t="shared" si="78"/>
        <v>0</v>
      </c>
      <c r="CX84" s="86"/>
      <c r="CY84" s="86"/>
      <c r="CZ84" s="86"/>
      <c r="DA84" s="86"/>
      <c r="DB84" s="86">
        <f t="shared" si="79"/>
        <v>0</v>
      </c>
      <c r="DC84" s="86">
        <f t="shared" si="79"/>
        <v>0</v>
      </c>
      <c r="DD84" s="86"/>
      <c r="DE84" s="86"/>
      <c r="DF84" s="86"/>
      <c r="DG84" s="86"/>
      <c r="DH84" s="86">
        <f t="shared" si="80"/>
        <v>0</v>
      </c>
      <c r="DI84" s="86">
        <f t="shared" si="80"/>
        <v>0</v>
      </c>
      <c r="DJ84" s="86">
        <f t="shared" si="51"/>
        <v>0</v>
      </c>
      <c r="DK84" s="86">
        <f t="shared" si="52"/>
        <v>0</v>
      </c>
      <c r="DL84" s="86">
        <f t="shared" si="53"/>
        <v>0</v>
      </c>
      <c r="DM84" s="86">
        <f t="shared" si="54"/>
        <v>0</v>
      </c>
      <c r="DN84" s="86">
        <f t="shared" si="81"/>
        <v>0</v>
      </c>
      <c r="DO84" s="86">
        <f t="shared" si="81"/>
        <v>0</v>
      </c>
    </row>
  </sheetData>
  <autoFilter ref="A8:DO84" xr:uid="{00000000-0009-0000-0000-000005000000}"/>
  <mergeCells count="90">
    <mergeCell ref="O3:O6"/>
    <mergeCell ref="I3:I6"/>
    <mergeCell ref="A3:A6"/>
    <mergeCell ref="B3:B6"/>
    <mergeCell ref="C3:C6"/>
    <mergeCell ref="D3:D6"/>
    <mergeCell ref="E3:E6"/>
    <mergeCell ref="F3:F6"/>
    <mergeCell ref="H3:H6"/>
    <mergeCell ref="G3:G6"/>
    <mergeCell ref="AN3:DO3"/>
    <mergeCell ref="U4:Z4"/>
    <mergeCell ref="AA4:AF4"/>
    <mergeCell ref="AG4:AL4"/>
    <mergeCell ref="AN4:AS4"/>
    <mergeCell ref="AT4:AY4"/>
    <mergeCell ref="DJ4:DO4"/>
    <mergeCell ref="AZ4:BF4"/>
    <mergeCell ref="BG4:BM4"/>
    <mergeCell ref="BN4:BS4"/>
    <mergeCell ref="BT4:BY4"/>
    <mergeCell ref="BZ4:CE4"/>
    <mergeCell ref="CF4:CK4"/>
    <mergeCell ref="CL4:CQ4"/>
    <mergeCell ref="CR4:CW4"/>
    <mergeCell ref="CX4:DC4"/>
    <mergeCell ref="Q3:R4"/>
    <mergeCell ref="S3:T4"/>
    <mergeCell ref="U3:AL3"/>
    <mergeCell ref="AE5:AF5"/>
    <mergeCell ref="J5:J6"/>
    <mergeCell ref="Q5:Q6"/>
    <mergeCell ref="R5:R6"/>
    <mergeCell ref="S5:S6"/>
    <mergeCell ref="T5:T6"/>
    <mergeCell ref="J3:K4"/>
    <mergeCell ref="L3:M4"/>
    <mergeCell ref="N3:N6"/>
    <mergeCell ref="P3:P6"/>
    <mergeCell ref="K5:K6"/>
    <mergeCell ref="L5:L6"/>
    <mergeCell ref="M5:M6"/>
    <mergeCell ref="DD4:DI4"/>
    <mergeCell ref="U5:V5"/>
    <mergeCell ref="W5:X5"/>
    <mergeCell ref="Y5:Z5"/>
    <mergeCell ref="AA5:AB5"/>
    <mergeCell ref="AC5:AD5"/>
    <mergeCell ref="BD5:BF5"/>
    <mergeCell ref="AG5:AH5"/>
    <mergeCell ref="AI5:AJ5"/>
    <mergeCell ref="AK5:AL5"/>
    <mergeCell ref="AN5:AO5"/>
    <mergeCell ref="AP5:AQ5"/>
    <mergeCell ref="AR5:AS5"/>
    <mergeCell ref="AT5:AU5"/>
    <mergeCell ref="AV5:AW5"/>
    <mergeCell ref="AX5:AY5"/>
    <mergeCell ref="AZ5:BA5"/>
    <mergeCell ref="BB5:BC5"/>
    <mergeCell ref="CD5:CE5"/>
    <mergeCell ref="BG5:BH5"/>
    <mergeCell ref="BI5:BJ5"/>
    <mergeCell ref="BK5:BM5"/>
    <mergeCell ref="BN5:BO5"/>
    <mergeCell ref="BP5:BQ5"/>
    <mergeCell ref="BR5:BS5"/>
    <mergeCell ref="DL5:DM5"/>
    <mergeCell ref="DN5:DO5"/>
    <mergeCell ref="CR5:CS5"/>
    <mergeCell ref="CT5:CU5"/>
    <mergeCell ref="CV5:CW5"/>
    <mergeCell ref="CX5:CY5"/>
    <mergeCell ref="CZ5:DA5"/>
    <mergeCell ref="DB5:DC5"/>
    <mergeCell ref="DD5:DE5"/>
    <mergeCell ref="DF5:DG5"/>
    <mergeCell ref="DH5:DI5"/>
    <mergeCell ref="DJ5:DK5"/>
    <mergeCell ref="CP5:CQ5"/>
    <mergeCell ref="BT5:BU5"/>
    <mergeCell ref="BV5:BW5"/>
    <mergeCell ref="BX5:BY5"/>
    <mergeCell ref="BZ5:CA5"/>
    <mergeCell ref="CB5:CC5"/>
    <mergeCell ref="CF5:CG5"/>
    <mergeCell ref="CH5:CI5"/>
    <mergeCell ref="CJ5:CK5"/>
    <mergeCell ref="CL5:CM5"/>
    <mergeCell ref="CN5:CO5"/>
  </mergeCells>
  <pageMargins left="0.7" right="0.7" top="0.75" bottom="0.75" header="0.3" footer="0.3"/>
  <pageSetup paperSize="9" orientation="portrait"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DN92"/>
  <sheetViews>
    <sheetView zoomScaleNormal="100" workbookViewId="0">
      <pane xSplit="38" ySplit="8" topLeftCell="CF60" activePane="bottomRight" state="frozen"/>
      <selection pane="topRight" activeCell="AL1" sqref="AL1"/>
      <selection pane="bottomLeft" activeCell="A9" sqref="A9"/>
      <selection pane="bottomRight" activeCell="E77" sqref="E77"/>
    </sheetView>
  </sheetViews>
  <sheetFormatPr defaultColWidth="10.42578125" defaultRowHeight="15"/>
  <cols>
    <col min="1" max="1" width="6.85546875" style="14" bestFit="1" customWidth="1"/>
    <col min="2" max="2" width="16.5703125" style="14" customWidth="1"/>
    <col min="3" max="3" width="11.28515625" style="14" customWidth="1"/>
    <col min="4" max="4" width="34.42578125" style="14" customWidth="1"/>
    <col min="5" max="5" width="15.5703125" style="14" bestFit="1" customWidth="1"/>
    <col min="6" max="7" width="15.28515625" style="14" customWidth="1"/>
    <col min="8" max="8" width="25.42578125" style="14" hidden="1" customWidth="1"/>
    <col min="9" max="9" width="25.42578125" style="35" hidden="1" customWidth="1"/>
    <col min="10" max="14" width="15" style="14" hidden="1" customWidth="1"/>
    <col min="15" max="15" width="15.42578125" style="14" hidden="1" customWidth="1"/>
    <col min="16" max="16" width="24.7109375" style="14" hidden="1" customWidth="1"/>
    <col min="17" max="20" width="13.7109375" style="14" hidden="1" customWidth="1"/>
    <col min="21" max="21" width="7.5703125" style="14" hidden="1" customWidth="1"/>
    <col min="22" max="22" width="10.85546875" style="14" hidden="1" customWidth="1"/>
    <col min="23" max="26" width="12" style="14" hidden="1" customWidth="1"/>
    <col min="27" max="28" width="7.5703125" style="14" hidden="1" customWidth="1"/>
    <col min="29" max="29" width="12" style="14" hidden="1" customWidth="1"/>
    <col min="30" max="30" width="10.85546875" style="14" hidden="1" customWidth="1"/>
    <col min="31" max="31" width="12" style="14" hidden="1" customWidth="1"/>
    <col min="32" max="32" width="10.85546875" style="14" hidden="1" customWidth="1"/>
    <col min="33" max="38" width="13.7109375" style="14" hidden="1" customWidth="1"/>
    <col min="39" max="39" width="13.7109375" style="14" bestFit="1" customWidth="1"/>
    <col min="40" max="41" width="13.85546875" style="14" bestFit="1" customWidth="1"/>
    <col min="42" max="42" width="12" style="14" bestFit="1" customWidth="1"/>
    <col min="43" max="43" width="13.7109375" style="14" bestFit="1" customWidth="1"/>
    <col min="44" max="44" width="13.85546875" style="14" bestFit="1" customWidth="1"/>
    <col min="45" max="46" width="12" style="14" bestFit="1" customWidth="1"/>
    <col min="47" max="47" width="13.85546875" style="14" bestFit="1" customWidth="1"/>
    <col min="48" max="48" width="10.85546875" style="14" bestFit="1" customWidth="1"/>
    <col min="49" max="49" width="13.85546875" style="14" bestFit="1" customWidth="1"/>
    <col min="50" max="51" width="12" style="14" bestFit="1" customWidth="1"/>
    <col min="52" max="52" width="13.85546875" style="14" bestFit="1" customWidth="1"/>
    <col min="53" max="55" width="12" style="14" bestFit="1" customWidth="1"/>
    <col min="56" max="57" width="13.85546875" style="14" bestFit="1" customWidth="1"/>
    <col min="58" max="59" width="7.5703125" style="14" bestFit="1" customWidth="1"/>
    <col min="60" max="60" width="10.85546875" style="14" bestFit="1" customWidth="1"/>
    <col min="61" max="62" width="12" style="14" bestFit="1" customWidth="1"/>
    <col min="63" max="63" width="12" style="14" customWidth="1"/>
    <col min="64" max="64" width="12" style="14" bestFit="1" customWidth="1"/>
    <col min="65" max="65" width="13.7109375" style="14" bestFit="1" customWidth="1"/>
    <col min="66" max="66" width="7.5703125" style="14" bestFit="1" customWidth="1"/>
    <col min="67" max="68" width="12" style="14" bestFit="1" customWidth="1"/>
    <col min="69" max="69" width="13.7109375" style="14" bestFit="1" customWidth="1"/>
    <col min="70" max="70" width="12" style="14" bestFit="1" customWidth="1"/>
    <col min="71" max="71" width="13.7109375" style="14" bestFit="1" customWidth="1"/>
    <col min="72" max="72" width="7.5703125" style="14" bestFit="1" customWidth="1"/>
    <col min="73" max="73" width="12" style="14" bestFit="1" customWidth="1"/>
    <col min="74" max="74" width="7.5703125" style="14" bestFit="1" customWidth="1"/>
    <col min="75" max="75" width="13.7109375" style="14" bestFit="1" customWidth="1"/>
    <col min="76" max="76" width="7.5703125" style="14" bestFit="1" customWidth="1"/>
    <col min="77" max="77" width="13.7109375" style="14" bestFit="1" customWidth="1"/>
    <col min="78" max="78" width="7.5703125" style="14" bestFit="1" customWidth="1"/>
    <col min="79" max="79" width="12" style="14" bestFit="1" customWidth="1"/>
    <col min="80" max="80" width="7.5703125" style="14" bestFit="1" customWidth="1"/>
    <col min="81" max="81" width="13.7109375" style="14" bestFit="1" customWidth="1"/>
    <col min="82" max="82" width="7.5703125" style="14" bestFit="1" customWidth="1"/>
    <col min="83" max="83" width="13.7109375" style="14" bestFit="1" customWidth="1"/>
    <col min="84" max="86" width="7.5703125" style="14" bestFit="1" customWidth="1"/>
    <col min="87" max="87" width="13.7109375" style="14" bestFit="1" customWidth="1"/>
    <col min="88" max="88" width="7.5703125" style="14" bestFit="1" customWidth="1"/>
    <col min="89" max="89" width="12" style="14" bestFit="1" customWidth="1"/>
    <col min="90" max="90" width="7.5703125" style="14" bestFit="1" customWidth="1"/>
    <col min="91" max="91" width="10.85546875" style="14" bestFit="1" customWidth="1"/>
    <col min="92" max="92" width="7.5703125" style="14" bestFit="1" customWidth="1"/>
    <col min="93" max="93" width="12" style="14" bestFit="1" customWidth="1"/>
    <col min="94" max="94" width="7.5703125" style="14" bestFit="1" customWidth="1"/>
    <col min="95" max="95" width="12" style="14" bestFit="1" customWidth="1"/>
    <col min="96" max="96" width="10.85546875" style="14" bestFit="1" customWidth="1"/>
    <col min="97" max="101" width="12" style="14" bestFit="1" customWidth="1"/>
    <col min="102" max="104" width="7.5703125" style="14" bestFit="1" customWidth="1"/>
    <col min="105" max="105" width="12" style="14" bestFit="1" customWidth="1"/>
    <col min="106" max="106" width="7.5703125" style="14" bestFit="1" customWidth="1"/>
    <col min="107" max="107" width="12" style="14" bestFit="1" customWidth="1"/>
    <col min="108" max="108" width="7.5703125" style="14" bestFit="1" customWidth="1"/>
    <col min="109" max="109" width="12" style="14" bestFit="1" customWidth="1"/>
    <col min="110" max="110" width="7.5703125" style="14" bestFit="1" customWidth="1"/>
    <col min="111" max="111" width="12" style="14" bestFit="1" customWidth="1"/>
    <col min="112" max="112" width="7.5703125" style="14" bestFit="1" customWidth="1"/>
    <col min="113" max="113" width="15" style="14" bestFit="1" customWidth="1"/>
    <col min="114" max="114" width="13.85546875" style="14" bestFit="1" customWidth="1"/>
    <col min="115" max="115" width="13.7109375" style="14" bestFit="1" customWidth="1"/>
    <col min="116" max="116" width="13.85546875" style="14" bestFit="1" customWidth="1"/>
    <col min="117" max="117" width="15" style="14" bestFit="1" customWidth="1"/>
    <col min="118" max="118" width="13.85546875" style="14" bestFit="1" customWidth="1"/>
    <col min="119" max="16384" width="10.42578125" style="14"/>
  </cols>
  <sheetData>
    <row r="1" spans="1:118" ht="15.75">
      <c r="B1" s="72" t="s">
        <v>568</v>
      </c>
      <c r="E1" s="173">
        <v>5046250</v>
      </c>
      <c r="F1" s="280">
        <f>E1-F7</f>
        <v>260000</v>
      </c>
      <c r="G1" s="280"/>
      <c r="AL1" s="73"/>
    </row>
    <row r="2" spans="1:118" ht="15.75" thickBot="1">
      <c r="D2" s="14">
        <f>SUBTOTAL(3,D9:D72)</f>
        <v>64</v>
      </c>
      <c r="F2" s="279"/>
      <c r="G2" s="279"/>
      <c r="AX2" s="279">
        <f>AX7-AW7</f>
        <v>-1294945.49</v>
      </c>
    </row>
    <row r="3" spans="1:118" ht="19.5" thickBot="1">
      <c r="A3" s="513" t="s">
        <v>1</v>
      </c>
      <c r="B3" s="475" t="s">
        <v>2</v>
      </c>
      <c r="C3" s="475" t="s">
        <v>3</v>
      </c>
      <c r="D3" s="475" t="s">
        <v>4</v>
      </c>
      <c r="E3" s="516" t="s">
        <v>1176</v>
      </c>
      <c r="F3" s="516" t="s">
        <v>1170</v>
      </c>
      <c r="G3" s="516" t="s">
        <v>1362</v>
      </c>
      <c r="H3" s="510" t="s">
        <v>1178</v>
      </c>
      <c r="I3" s="475" t="s">
        <v>5</v>
      </c>
      <c r="J3" s="488" t="s">
        <v>6</v>
      </c>
      <c r="K3" s="489"/>
      <c r="L3" s="492" t="s">
        <v>9</v>
      </c>
      <c r="M3" s="493"/>
      <c r="N3" s="469" t="s">
        <v>1197</v>
      </c>
      <c r="O3" s="469" t="s">
        <v>1349</v>
      </c>
      <c r="P3" s="485" t="s">
        <v>1196</v>
      </c>
      <c r="Q3" s="478" t="s">
        <v>7</v>
      </c>
      <c r="R3" s="479"/>
      <c r="S3" s="478" t="s">
        <v>8</v>
      </c>
      <c r="T3" s="479"/>
      <c r="U3" s="482" t="s">
        <v>9</v>
      </c>
      <c r="V3" s="483"/>
      <c r="W3" s="483"/>
      <c r="X3" s="483"/>
      <c r="Y3" s="483"/>
      <c r="Z3" s="483"/>
      <c r="AA3" s="483"/>
      <c r="AB3" s="483"/>
      <c r="AC3" s="483"/>
      <c r="AD3" s="483"/>
      <c r="AE3" s="483"/>
      <c r="AF3" s="483"/>
      <c r="AG3" s="483"/>
      <c r="AH3" s="483"/>
      <c r="AI3" s="483"/>
      <c r="AJ3" s="483"/>
      <c r="AK3" s="483"/>
      <c r="AL3" s="484"/>
      <c r="AM3" s="499">
        <v>2025</v>
      </c>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3"/>
      <c r="DK3" s="483"/>
      <c r="DL3" s="483"/>
      <c r="DM3" s="483"/>
      <c r="DN3" s="484"/>
    </row>
    <row r="4" spans="1:118" ht="24" thickBot="1">
      <c r="A4" s="514"/>
      <c r="B4" s="476"/>
      <c r="C4" s="476"/>
      <c r="D4" s="476"/>
      <c r="E4" s="517"/>
      <c r="F4" s="517"/>
      <c r="G4" s="517"/>
      <c r="H4" s="511"/>
      <c r="I4" s="476"/>
      <c r="J4" s="490"/>
      <c r="K4" s="491"/>
      <c r="L4" s="494"/>
      <c r="M4" s="495"/>
      <c r="N4" s="496"/>
      <c r="O4" s="496"/>
      <c r="P4" s="486"/>
      <c r="Q4" s="480"/>
      <c r="R4" s="481"/>
      <c r="S4" s="480"/>
      <c r="T4" s="481"/>
      <c r="U4" s="500" t="s">
        <v>10</v>
      </c>
      <c r="V4" s="501"/>
      <c r="W4" s="501"/>
      <c r="X4" s="501"/>
      <c r="Y4" s="501"/>
      <c r="Z4" s="502"/>
      <c r="AA4" s="500" t="s">
        <v>11</v>
      </c>
      <c r="AB4" s="501"/>
      <c r="AC4" s="501"/>
      <c r="AD4" s="501"/>
      <c r="AE4" s="501"/>
      <c r="AF4" s="502"/>
      <c r="AG4" s="503" t="s">
        <v>9</v>
      </c>
      <c r="AH4" s="504"/>
      <c r="AI4" s="504"/>
      <c r="AJ4" s="504"/>
      <c r="AK4" s="504"/>
      <c r="AL4" s="505"/>
      <c r="AM4" s="500" t="s">
        <v>12</v>
      </c>
      <c r="AN4" s="501"/>
      <c r="AO4" s="501"/>
      <c r="AP4" s="501"/>
      <c r="AQ4" s="501"/>
      <c r="AR4" s="502"/>
      <c r="AS4" s="500" t="s">
        <v>13</v>
      </c>
      <c r="AT4" s="501"/>
      <c r="AU4" s="501"/>
      <c r="AV4" s="501"/>
      <c r="AW4" s="501"/>
      <c r="AX4" s="502"/>
      <c r="AY4" s="500" t="s">
        <v>14</v>
      </c>
      <c r="AZ4" s="501"/>
      <c r="BA4" s="501"/>
      <c r="BB4" s="501"/>
      <c r="BC4" s="501"/>
      <c r="BD4" s="509"/>
      <c r="BE4" s="502"/>
      <c r="BF4" s="500" t="s">
        <v>15</v>
      </c>
      <c r="BG4" s="501"/>
      <c r="BH4" s="501"/>
      <c r="BI4" s="501"/>
      <c r="BJ4" s="501"/>
      <c r="BK4" s="509"/>
      <c r="BL4" s="502"/>
      <c r="BM4" s="500" t="s">
        <v>16</v>
      </c>
      <c r="BN4" s="501"/>
      <c r="BO4" s="501"/>
      <c r="BP4" s="501"/>
      <c r="BQ4" s="501"/>
      <c r="BR4" s="502"/>
      <c r="BS4" s="500" t="s">
        <v>17</v>
      </c>
      <c r="BT4" s="501"/>
      <c r="BU4" s="501"/>
      <c r="BV4" s="501"/>
      <c r="BW4" s="501"/>
      <c r="BX4" s="502"/>
      <c r="BY4" s="500" t="s">
        <v>18</v>
      </c>
      <c r="BZ4" s="501"/>
      <c r="CA4" s="501"/>
      <c r="CB4" s="501"/>
      <c r="CC4" s="501"/>
      <c r="CD4" s="502"/>
      <c r="CE4" s="500" t="s">
        <v>19</v>
      </c>
      <c r="CF4" s="501"/>
      <c r="CG4" s="501"/>
      <c r="CH4" s="501"/>
      <c r="CI4" s="501"/>
      <c r="CJ4" s="502"/>
      <c r="CK4" s="500" t="s">
        <v>20</v>
      </c>
      <c r="CL4" s="501"/>
      <c r="CM4" s="501"/>
      <c r="CN4" s="501"/>
      <c r="CO4" s="501"/>
      <c r="CP4" s="502"/>
      <c r="CQ4" s="466" t="s">
        <v>21</v>
      </c>
      <c r="CR4" s="467"/>
      <c r="CS4" s="467"/>
      <c r="CT4" s="467"/>
      <c r="CU4" s="467"/>
      <c r="CV4" s="525"/>
      <c r="CW4" s="500" t="s">
        <v>22</v>
      </c>
      <c r="CX4" s="501"/>
      <c r="CY4" s="501"/>
      <c r="CZ4" s="501"/>
      <c r="DA4" s="501"/>
      <c r="DB4" s="502"/>
      <c r="DC4" s="500" t="s">
        <v>23</v>
      </c>
      <c r="DD4" s="501"/>
      <c r="DE4" s="501"/>
      <c r="DF4" s="501"/>
      <c r="DG4" s="501"/>
      <c r="DH4" s="502"/>
      <c r="DI4" s="506" t="s">
        <v>24</v>
      </c>
      <c r="DJ4" s="507"/>
      <c r="DK4" s="507"/>
      <c r="DL4" s="507"/>
      <c r="DM4" s="507"/>
      <c r="DN4" s="508"/>
    </row>
    <row r="5" spans="1:118">
      <c r="A5" s="514"/>
      <c r="B5" s="476"/>
      <c r="C5" s="476"/>
      <c r="D5" s="476"/>
      <c r="E5" s="517"/>
      <c r="F5" s="517"/>
      <c r="G5" s="517"/>
      <c r="H5" s="511"/>
      <c r="I5" s="476"/>
      <c r="J5" s="469" t="s">
        <v>1169</v>
      </c>
      <c r="K5" s="469" t="s">
        <v>1206</v>
      </c>
      <c r="L5" s="498" t="s">
        <v>1172</v>
      </c>
      <c r="M5" s="469" t="s">
        <v>1177</v>
      </c>
      <c r="N5" s="496"/>
      <c r="O5" s="496"/>
      <c r="P5" s="486"/>
      <c r="Q5" s="471" t="s">
        <v>1169</v>
      </c>
      <c r="R5" s="473" t="s">
        <v>1168</v>
      </c>
      <c r="S5" s="471" t="s">
        <v>1169</v>
      </c>
      <c r="T5" s="473" t="s">
        <v>1168</v>
      </c>
      <c r="U5" s="464" t="s">
        <v>1167</v>
      </c>
      <c r="V5" s="460"/>
      <c r="W5" s="460" t="s">
        <v>1166</v>
      </c>
      <c r="X5" s="461"/>
      <c r="Y5" s="462" t="s">
        <v>25</v>
      </c>
      <c r="Z5" s="463"/>
      <c r="AA5" s="464" t="s">
        <v>1167</v>
      </c>
      <c r="AB5" s="460"/>
      <c r="AC5" s="460" t="s">
        <v>1166</v>
      </c>
      <c r="AD5" s="461"/>
      <c r="AE5" s="462" t="s">
        <v>25</v>
      </c>
      <c r="AF5" s="463"/>
      <c r="AG5" s="464" t="s">
        <v>1167</v>
      </c>
      <c r="AH5" s="460"/>
      <c r="AI5" s="460" t="s">
        <v>1166</v>
      </c>
      <c r="AJ5" s="461"/>
      <c r="AK5" s="462" t="s">
        <v>25</v>
      </c>
      <c r="AL5" s="463"/>
      <c r="AM5" s="464" t="s">
        <v>1167</v>
      </c>
      <c r="AN5" s="460"/>
      <c r="AO5" s="460" t="s">
        <v>1166</v>
      </c>
      <c r="AP5" s="461"/>
      <c r="AQ5" s="462" t="s">
        <v>25</v>
      </c>
      <c r="AR5" s="463"/>
      <c r="AS5" s="464" t="s">
        <v>1167</v>
      </c>
      <c r="AT5" s="460"/>
      <c r="AU5" s="460" t="s">
        <v>1166</v>
      </c>
      <c r="AV5" s="461"/>
      <c r="AW5" s="462" t="s">
        <v>25</v>
      </c>
      <c r="AX5" s="463"/>
      <c r="AY5" s="464" t="s">
        <v>1167</v>
      </c>
      <c r="AZ5" s="460"/>
      <c r="BA5" s="460" t="s">
        <v>1166</v>
      </c>
      <c r="BB5" s="461"/>
      <c r="BC5" s="462" t="s">
        <v>25</v>
      </c>
      <c r="BD5" s="465"/>
      <c r="BE5" s="463"/>
      <c r="BF5" s="464" t="s">
        <v>1167</v>
      </c>
      <c r="BG5" s="460"/>
      <c r="BH5" s="460" t="s">
        <v>1166</v>
      </c>
      <c r="BI5" s="461"/>
      <c r="BJ5" s="462" t="s">
        <v>25</v>
      </c>
      <c r="BK5" s="465"/>
      <c r="BL5" s="463"/>
      <c r="BM5" s="464" t="s">
        <v>1167</v>
      </c>
      <c r="BN5" s="460"/>
      <c r="BO5" s="460" t="s">
        <v>1166</v>
      </c>
      <c r="BP5" s="461"/>
      <c r="BQ5" s="462" t="s">
        <v>25</v>
      </c>
      <c r="BR5" s="463"/>
      <c r="BS5" s="464" t="s">
        <v>1167</v>
      </c>
      <c r="BT5" s="460"/>
      <c r="BU5" s="460" t="s">
        <v>1166</v>
      </c>
      <c r="BV5" s="461"/>
      <c r="BW5" s="462" t="s">
        <v>25</v>
      </c>
      <c r="BX5" s="463"/>
      <c r="BY5" s="464" t="s">
        <v>1167</v>
      </c>
      <c r="BZ5" s="460"/>
      <c r="CA5" s="460" t="s">
        <v>1166</v>
      </c>
      <c r="CB5" s="461"/>
      <c r="CC5" s="462" t="s">
        <v>25</v>
      </c>
      <c r="CD5" s="463"/>
      <c r="CE5" s="464" t="s">
        <v>1167</v>
      </c>
      <c r="CF5" s="460"/>
      <c r="CG5" s="460" t="s">
        <v>1166</v>
      </c>
      <c r="CH5" s="461"/>
      <c r="CI5" s="462" t="s">
        <v>25</v>
      </c>
      <c r="CJ5" s="463"/>
      <c r="CK5" s="464" t="s">
        <v>1167</v>
      </c>
      <c r="CL5" s="460"/>
      <c r="CM5" s="460" t="s">
        <v>1166</v>
      </c>
      <c r="CN5" s="461"/>
      <c r="CO5" s="462" t="s">
        <v>25</v>
      </c>
      <c r="CP5" s="463"/>
      <c r="CQ5" s="464" t="s">
        <v>1167</v>
      </c>
      <c r="CR5" s="460"/>
      <c r="CS5" s="460" t="s">
        <v>1166</v>
      </c>
      <c r="CT5" s="461"/>
      <c r="CU5" s="462" t="s">
        <v>25</v>
      </c>
      <c r="CV5" s="463"/>
      <c r="CW5" s="464" t="s">
        <v>1167</v>
      </c>
      <c r="CX5" s="460"/>
      <c r="CY5" s="460" t="s">
        <v>1166</v>
      </c>
      <c r="CZ5" s="461"/>
      <c r="DA5" s="462" t="s">
        <v>25</v>
      </c>
      <c r="DB5" s="463"/>
      <c r="DC5" s="464" t="s">
        <v>1167</v>
      </c>
      <c r="DD5" s="460"/>
      <c r="DE5" s="460" t="s">
        <v>1166</v>
      </c>
      <c r="DF5" s="461"/>
      <c r="DG5" s="462" t="s">
        <v>25</v>
      </c>
      <c r="DH5" s="463"/>
      <c r="DI5" s="464" t="s">
        <v>1167</v>
      </c>
      <c r="DJ5" s="460"/>
      <c r="DK5" s="460" t="s">
        <v>1166</v>
      </c>
      <c r="DL5" s="461"/>
      <c r="DM5" s="462" t="s">
        <v>25</v>
      </c>
      <c r="DN5" s="463"/>
    </row>
    <row r="6" spans="1:118" ht="20.25" customHeight="1" thickBot="1">
      <c r="A6" s="515"/>
      <c r="B6" s="477"/>
      <c r="C6" s="477"/>
      <c r="D6" s="477"/>
      <c r="E6" s="518"/>
      <c r="F6" s="518"/>
      <c r="G6" s="518"/>
      <c r="H6" s="512"/>
      <c r="I6" s="477"/>
      <c r="J6" s="470"/>
      <c r="K6" s="470"/>
      <c r="L6" s="497"/>
      <c r="M6" s="497"/>
      <c r="N6" s="470"/>
      <c r="O6" s="470"/>
      <c r="P6" s="487"/>
      <c r="Q6" s="472"/>
      <c r="R6" s="474"/>
      <c r="S6" s="472"/>
      <c r="T6" s="474"/>
      <c r="U6" s="2" t="s">
        <v>26</v>
      </c>
      <c r="V6" s="3" t="s">
        <v>27</v>
      </c>
      <c r="W6" s="3" t="s">
        <v>26</v>
      </c>
      <c r="X6" s="4" t="s">
        <v>27</v>
      </c>
      <c r="Y6" s="5" t="s">
        <v>26</v>
      </c>
      <c r="Z6" s="6" t="s">
        <v>27</v>
      </c>
      <c r="AA6" s="2" t="s">
        <v>26</v>
      </c>
      <c r="AB6" s="3" t="s">
        <v>27</v>
      </c>
      <c r="AC6" s="3" t="s">
        <v>26</v>
      </c>
      <c r="AD6" s="4" t="s">
        <v>27</v>
      </c>
      <c r="AE6" s="5" t="s">
        <v>26</v>
      </c>
      <c r="AF6" s="6" t="s">
        <v>27</v>
      </c>
      <c r="AG6" s="2" t="s">
        <v>26</v>
      </c>
      <c r="AH6" s="3" t="s">
        <v>27</v>
      </c>
      <c r="AI6" s="3" t="s">
        <v>26</v>
      </c>
      <c r="AJ6" s="4" t="s">
        <v>27</v>
      </c>
      <c r="AK6" s="5" t="s">
        <v>26</v>
      </c>
      <c r="AL6" s="6" t="s">
        <v>27</v>
      </c>
      <c r="AM6" s="2" t="s">
        <v>26</v>
      </c>
      <c r="AN6" s="3" t="s">
        <v>27</v>
      </c>
      <c r="AO6" s="3" t="s">
        <v>26</v>
      </c>
      <c r="AP6" s="4" t="s">
        <v>27</v>
      </c>
      <c r="AQ6" s="5" t="s">
        <v>26</v>
      </c>
      <c r="AR6" s="6" t="s">
        <v>27</v>
      </c>
      <c r="AS6" s="2" t="s">
        <v>26</v>
      </c>
      <c r="AT6" s="3" t="s">
        <v>27</v>
      </c>
      <c r="AU6" s="3" t="s">
        <v>26</v>
      </c>
      <c r="AV6" s="4" t="s">
        <v>27</v>
      </c>
      <c r="AW6" s="5" t="s">
        <v>26</v>
      </c>
      <c r="AX6" s="6" t="s">
        <v>27</v>
      </c>
      <c r="AY6" s="2" t="s">
        <v>26</v>
      </c>
      <c r="AZ6" s="3" t="s">
        <v>27</v>
      </c>
      <c r="BA6" s="3" t="s">
        <v>26</v>
      </c>
      <c r="BB6" s="4" t="s">
        <v>27</v>
      </c>
      <c r="BC6" s="5" t="s">
        <v>26</v>
      </c>
      <c r="BD6" s="367" t="s">
        <v>1254</v>
      </c>
      <c r="BE6" s="6" t="s">
        <v>27</v>
      </c>
      <c r="BF6" s="2" t="s">
        <v>26</v>
      </c>
      <c r="BG6" s="3" t="s">
        <v>27</v>
      </c>
      <c r="BH6" s="3" t="s">
        <v>26</v>
      </c>
      <c r="BI6" s="4" t="s">
        <v>27</v>
      </c>
      <c r="BJ6" s="5" t="s">
        <v>26</v>
      </c>
      <c r="BK6" s="367" t="s">
        <v>1254</v>
      </c>
      <c r="BL6" s="6" t="s">
        <v>27</v>
      </c>
      <c r="BM6" s="2" t="s">
        <v>26</v>
      </c>
      <c r="BN6" s="3" t="s">
        <v>27</v>
      </c>
      <c r="BO6" s="3" t="s">
        <v>26</v>
      </c>
      <c r="BP6" s="4" t="s">
        <v>27</v>
      </c>
      <c r="BQ6" s="5" t="s">
        <v>26</v>
      </c>
      <c r="BR6" s="6" t="s">
        <v>27</v>
      </c>
      <c r="BS6" s="2" t="s">
        <v>26</v>
      </c>
      <c r="BT6" s="3" t="s">
        <v>27</v>
      </c>
      <c r="BU6" s="3" t="s">
        <v>26</v>
      </c>
      <c r="BV6" s="4" t="s">
        <v>27</v>
      </c>
      <c r="BW6" s="5" t="s">
        <v>26</v>
      </c>
      <c r="BX6" s="6" t="s">
        <v>27</v>
      </c>
      <c r="BY6" s="2" t="s">
        <v>26</v>
      </c>
      <c r="BZ6" s="3" t="s">
        <v>27</v>
      </c>
      <c r="CA6" s="3" t="s">
        <v>26</v>
      </c>
      <c r="CB6" s="4" t="s">
        <v>27</v>
      </c>
      <c r="CC6" s="5" t="s">
        <v>26</v>
      </c>
      <c r="CD6" s="6" t="s">
        <v>27</v>
      </c>
      <c r="CE6" s="2" t="s">
        <v>26</v>
      </c>
      <c r="CF6" s="3" t="s">
        <v>27</v>
      </c>
      <c r="CG6" s="3" t="s">
        <v>26</v>
      </c>
      <c r="CH6" s="4" t="s">
        <v>27</v>
      </c>
      <c r="CI6" s="5" t="s">
        <v>26</v>
      </c>
      <c r="CJ6" s="6" t="s">
        <v>27</v>
      </c>
      <c r="CK6" s="2" t="s">
        <v>26</v>
      </c>
      <c r="CL6" s="3" t="s">
        <v>27</v>
      </c>
      <c r="CM6" s="3" t="s">
        <v>26</v>
      </c>
      <c r="CN6" s="4" t="s">
        <v>27</v>
      </c>
      <c r="CO6" s="5" t="s">
        <v>26</v>
      </c>
      <c r="CP6" s="6" t="s">
        <v>27</v>
      </c>
      <c r="CQ6" s="2" t="s">
        <v>26</v>
      </c>
      <c r="CR6" s="3" t="s">
        <v>27</v>
      </c>
      <c r="CS6" s="3" t="s">
        <v>26</v>
      </c>
      <c r="CT6" s="4" t="s">
        <v>27</v>
      </c>
      <c r="CU6" s="5" t="s">
        <v>26</v>
      </c>
      <c r="CV6" s="6" t="s">
        <v>27</v>
      </c>
      <c r="CW6" s="2" t="s">
        <v>26</v>
      </c>
      <c r="CX6" s="3" t="s">
        <v>27</v>
      </c>
      <c r="CY6" s="3" t="s">
        <v>26</v>
      </c>
      <c r="CZ6" s="4" t="s">
        <v>27</v>
      </c>
      <c r="DA6" s="5" t="s">
        <v>26</v>
      </c>
      <c r="DB6" s="6" t="s">
        <v>27</v>
      </c>
      <c r="DC6" s="2" t="s">
        <v>26</v>
      </c>
      <c r="DD6" s="3" t="s">
        <v>27</v>
      </c>
      <c r="DE6" s="3" t="s">
        <v>26</v>
      </c>
      <c r="DF6" s="4" t="s">
        <v>27</v>
      </c>
      <c r="DG6" s="5" t="s">
        <v>26</v>
      </c>
      <c r="DH6" s="6" t="s">
        <v>27</v>
      </c>
      <c r="DI6" s="2" t="s">
        <v>26</v>
      </c>
      <c r="DJ6" s="3" t="s">
        <v>27</v>
      </c>
      <c r="DK6" s="3" t="s">
        <v>26</v>
      </c>
      <c r="DL6" s="4" t="s">
        <v>27</v>
      </c>
      <c r="DM6" s="5" t="s">
        <v>26</v>
      </c>
      <c r="DN6" s="6" t="s">
        <v>27</v>
      </c>
    </row>
    <row r="7" spans="1:118" ht="15.75">
      <c r="A7" s="40">
        <f t="shared" ref="A7:D7" si="0">SUBTOTAL(3,A9:A74)</f>
        <v>66</v>
      </c>
      <c r="B7" s="40">
        <f t="shared" si="0"/>
        <v>66</v>
      </c>
      <c r="C7" s="40">
        <f t="shared" si="0"/>
        <v>63</v>
      </c>
      <c r="D7" s="40">
        <f t="shared" si="0"/>
        <v>66</v>
      </c>
      <c r="E7" s="40">
        <f>SUBTOTAL(3,E9:E74)</f>
        <v>66</v>
      </c>
      <c r="F7" s="40">
        <f t="shared" ref="F7:O7" si="1">SUBTOTAL(9,F9:F92)</f>
        <v>4786250</v>
      </c>
      <c r="G7" s="40">
        <f t="shared" si="1"/>
        <v>5441477.2299999995</v>
      </c>
      <c r="H7" s="40">
        <f t="shared" si="1"/>
        <v>9647353.2451042142</v>
      </c>
      <c r="I7" s="40">
        <f t="shared" si="1"/>
        <v>18849310.586000003</v>
      </c>
      <c r="J7" s="40">
        <f t="shared" si="1"/>
        <v>0</v>
      </c>
      <c r="K7" s="40">
        <f t="shared" si="1"/>
        <v>0</v>
      </c>
      <c r="L7" s="40">
        <f t="shared" si="1"/>
        <v>4861103.2451042105</v>
      </c>
      <c r="M7" s="40">
        <f t="shared" si="1"/>
        <v>2891103.2451042118</v>
      </c>
      <c r="N7" s="40">
        <f t="shared" si="1"/>
        <v>4861103.2451042105</v>
      </c>
      <c r="O7" s="40">
        <f t="shared" si="1"/>
        <v>4786250</v>
      </c>
      <c r="P7" s="40">
        <f>SUBTOTAL(9,P9:P92)</f>
        <v>10216294.725104211</v>
      </c>
      <c r="Q7" s="40">
        <f t="shared" ref="Q7:AL7" si="2">SUBTOTAL(9,Q9:Q92)</f>
        <v>3130000</v>
      </c>
      <c r="R7" s="40">
        <f t="shared" si="2"/>
        <v>1284758.9751042116</v>
      </c>
      <c r="S7" s="40">
        <f t="shared" si="2"/>
        <v>3130000</v>
      </c>
      <c r="T7" s="40">
        <f t="shared" si="2"/>
        <v>1284758.9751042116</v>
      </c>
      <c r="U7" s="40">
        <f t="shared" si="2"/>
        <v>0</v>
      </c>
      <c r="V7" s="40">
        <f t="shared" si="2"/>
        <v>20000</v>
      </c>
      <c r="W7" s="40">
        <f t="shared" si="2"/>
        <v>110000</v>
      </c>
      <c r="X7" s="40">
        <f t="shared" si="2"/>
        <v>412909.52</v>
      </c>
      <c r="Y7" s="40">
        <f t="shared" si="2"/>
        <v>110000</v>
      </c>
      <c r="Z7" s="40">
        <f t="shared" si="2"/>
        <v>432909.52</v>
      </c>
      <c r="AA7" s="40">
        <f t="shared" si="2"/>
        <v>0</v>
      </c>
      <c r="AB7" s="40">
        <f t="shared" si="2"/>
        <v>0</v>
      </c>
      <c r="AC7" s="40">
        <f t="shared" si="2"/>
        <v>96405</v>
      </c>
      <c r="AD7" s="40">
        <f t="shared" si="2"/>
        <v>13434.75</v>
      </c>
      <c r="AE7" s="40">
        <f t="shared" si="2"/>
        <v>96405</v>
      </c>
      <c r="AF7" s="40">
        <f t="shared" si="2"/>
        <v>13434.75</v>
      </c>
      <c r="AG7" s="40">
        <f t="shared" si="2"/>
        <v>3130000</v>
      </c>
      <c r="AH7" s="40">
        <f t="shared" si="2"/>
        <v>3150000</v>
      </c>
      <c r="AI7" s="40">
        <f t="shared" si="2"/>
        <v>1491163.9751042116</v>
      </c>
      <c r="AJ7" s="40">
        <f t="shared" si="2"/>
        <v>1711103.2451042116</v>
      </c>
      <c r="AK7" s="40">
        <f t="shared" si="2"/>
        <v>4621163.9751042109</v>
      </c>
      <c r="AL7" s="40">
        <f t="shared" si="2"/>
        <v>4861103.2451042105</v>
      </c>
      <c r="AM7" s="40">
        <f t="shared" ref="AM7:CX7" si="3">SUBTOTAL(9,AM9:AM92)</f>
        <v>1500000</v>
      </c>
      <c r="AN7" s="40">
        <f t="shared" si="3"/>
        <v>1700000</v>
      </c>
      <c r="AO7" s="40">
        <f t="shared" si="3"/>
        <v>1052500</v>
      </c>
      <c r="AP7" s="40">
        <f t="shared" si="3"/>
        <v>848000</v>
      </c>
      <c r="AQ7" s="40">
        <f t="shared" si="3"/>
        <v>2552500</v>
      </c>
      <c r="AR7" s="40">
        <f t="shared" si="3"/>
        <v>2548000</v>
      </c>
      <c r="AS7" s="40">
        <f t="shared" si="3"/>
        <v>0</v>
      </c>
      <c r="AT7" s="40">
        <f t="shared" si="3"/>
        <v>760000</v>
      </c>
      <c r="AU7" s="40">
        <f t="shared" si="3"/>
        <v>2078750</v>
      </c>
      <c r="AV7" s="40">
        <f t="shared" si="3"/>
        <v>23804.510000000002</v>
      </c>
      <c r="AW7" s="40">
        <f t="shared" si="3"/>
        <v>2078750</v>
      </c>
      <c r="AX7" s="40">
        <f t="shared" si="3"/>
        <v>783804.51</v>
      </c>
      <c r="AY7" s="40">
        <f t="shared" si="3"/>
        <v>0</v>
      </c>
      <c r="AZ7" s="40">
        <f t="shared" si="3"/>
        <v>1000000</v>
      </c>
      <c r="BA7" s="40">
        <f t="shared" si="3"/>
        <v>10250</v>
      </c>
      <c r="BB7" s="40">
        <f t="shared" si="3"/>
        <v>0</v>
      </c>
      <c r="BC7" s="40">
        <f t="shared" si="3"/>
        <v>10250</v>
      </c>
      <c r="BD7" s="40">
        <f t="shared" si="3"/>
        <v>1400000</v>
      </c>
      <c r="BE7" s="40">
        <f t="shared" si="3"/>
        <v>1000000</v>
      </c>
      <c r="BF7" s="40">
        <f t="shared" si="3"/>
        <v>0</v>
      </c>
      <c r="BG7" s="40">
        <f t="shared" si="3"/>
        <v>0</v>
      </c>
      <c r="BH7" s="40">
        <f t="shared" si="3"/>
        <v>35000</v>
      </c>
      <c r="BI7" s="40">
        <f t="shared" si="3"/>
        <v>423976.54</v>
      </c>
      <c r="BJ7" s="40">
        <f t="shared" si="3"/>
        <v>35000</v>
      </c>
      <c r="BK7" s="40">
        <f t="shared" si="3"/>
        <v>314445</v>
      </c>
      <c r="BL7" s="40">
        <f t="shared" si="3"/>
        <v>423976.54</v>
      </c>
      <c r="BM7" s="40">
        <f t="shared" si="3"/>
        <v>0</v>
      </c>
      <c r="BN7" s="40">
        <f t="shared" si="3"/>
        <v>0</v>
      </c>
      <c r="BO7" s="40">
        <f t="shared" si="3"/>
        <v>24500</v>
      </c>
      <c r="BP7" s="40">
        <f t="shared" si="3"/>
        <v>528855.92999999993</v>
      </c>
      <c r="BQ7" s="40">
        <f t="shared" si="3"/>
        <v>24500</v>
      </c>
      <c r="BR7" s="40">
        <f t="shared" si="3"/>
        <v>528855.92999999993</v>
      </c>
      <c r="BS7" s="40">
        <f t="shared" si="3"/>
        <v>0</v>
      </c>
      <c r="BT7" s="40">
        <f t="shared" si="3"/>
        <v>0</v>
      </c>
      <c r="BU7" s="40">
        <f t="shared" si="3"/>
        <v>6750</v>
      </c>
      <c r="BV7" s="40">
        <f t="shared" si="3"/>
        <v>0</v>
      </c>
      <c r="BW7" s="40">
        <f t="shared" si="3"/>
        <v>6750</v>
      </c>
      <c r="BX7" s="40">
        <f t="shared" si="3"/>
        <v>0</v>
      </c>
      <c r="BY7" s="40">
        <f t="shared" si="3"/>
        <v>0</v>
      </c>
      <c r="BZ7" s="40">
        <f t="shared" si="3"/>
        <v>0</v>
      </c>
      <c r="CA7" s="40">
        <f t="shared" si="3"/>
        <v>0</v>
      </c>
      <c r="CB7" s="40">
        <f t="shared" si="3"/>
        <v>0</v>
      </c>
      <c r="CC7" s="40">
        <f t="shared" si="3"/>
        <v>0</v>
      </c>
      <c r="CD7" s="40">
        <f t="shared" si="3"/>
        <v>0</v>
      </c>
      <c r="CE7" s="40">
        <f t="shared" si="3"/>
        <v>0</v>
      </c>
      <c r="CF7" s="40">
        <f t="shared" si="3"/>
        <v>0</v>
      </c>
      <c r="CG7" s="40">
        <f t="shared" si="3"/>
        <v>0</v>
      </c>
      <c r="CH7" s="40">
        <f t="shared" si="3"/>
        <v>0</v>
      </c>
      <c r="CI7" s="40">
        <f t="shared" si="3"/>
        <v>0</v>
      </c>
      <c r="CJ7" s="40">
        <f t="shared" si="3"/>
        <v>0</v>
      </c>
      <c r="CK7" s="40">
        <f t="shared" si="3"/>
        <v>0</v>
      </c>
      <c r="CL7" s="40">
        <f t="shared" si="3"/>
        <v>0</v>
      </c>
      <c r="CM7" s="40">
        <f t="shared" si="3"/>
        <v>31750</v>
      </c>
      <c r="CN7" s="40">
        <f t="shared" si="3"/>
        <v>0</v>
      </c>
      <c r="CO7" s="40">
        <f t="shared" si="3"/>
        <v>31750</v>
      </c>
      <c r="CP7" s="40">
        <f t="shared" si="3"/>
        <v>0</v>
      </c>
      <c r="CQ7" s="40">
        <f t="shared" si="3"/>
        <v>0</v>
      </c>
      <c r="CR7" s="40">
        <f t="shared" si="3"/>
        <v>51642.5</v>
      </c>
      <c r="CS7" s="40">
        <f t="shared" si="3"/>
        <v>0</v>
      </c>
      <c r="CT7" s="40">
        <f t="shared" si="3"/>
        <v>110554.5</v>
      </c>
      <c r="CU7" s="40">
        <f t="shared" si="3"/>
        <v>0</v>
      </c>
      <c r="CV7" s="40">
        <f t="shared" si="3"/>
        <v>162197</v>
      </c>
      <c r="CW7" s="40">
        <f t="shared" si="3"/>
        <v>0</v>
      </c>
      <c r="CX7" s="40">
        <f t="shared" si="3"/>
        <v>0</v>
      </c>
      <c r="CY7" s="40">
        <f t="shared" ref="CY7:DM7" si="4">SUBTOTAL(9,CY9:CY92)</f>
        <v>0</v>
      </c>
      <c r="CZ7" s="40">
        <f t="shared" si="4"/>
        <v>0</v>
      </c>
      <c r="DA7" s="40">
        <f t="shared" si="4"/>
        <v>0</v>
      </c>
      <c r="DB7" s="40">
        <f t="shared" si="4"/>
        <v>0</v>
      </c>
      <c r="DC7" s="40">
        <f t="shared" si="4"/>
        <v>0</v>
      </c>
      <c r="DD7" s="40">
        <f t="shared" si="4"/>
        <v>0</v>
      </c>
      <c r="DE7" s="40">
        <f t="shared" si="4"/>
        <v>46750</v>
      </c>
      <c r="DF7" s="40">
        <f t="shared" si="4"/>
        <v>0</v>
      </c>
      <c r="DG7" s="40">
        <f t="shared" si="4"/>
        <v>46750</v>
      </c>
      <c r="DH7" s="40">
        <f t="shared" si="4"/>
        <v>0</v>
      </c>
      <c r="DI7" s="40">
        <f t="shared" si="4"/>
        <v>1500000</v>
      </c>
      <c r="DJ7" s="40">
        <f t="shared" si="4"/>
        <v>3511642.5</v>
      </c>
      <c r="DK7" s="40">
        <f t="shared" si="4"/>
        <v>3286250</v>
      </c>
      <c r="DL7" s="40">
        <f t="shared" si="4"/>
        <v>1935191.48</v>
      </c>
      <c r="DM7" s="40">
        <f t="shared" si="4"/>
        <v>4786250</v>
      </c>
      <c r="DN7" s="40">
        <f>SUBTOTAL(9,DN9:DN92)</f>
        <v>5446833.9799999995</v>
      </c>
    </row>
    <row r="8" spans="1:118" ht="12.75" customHeight="1">
      <c r="A8" s="92"/>
      <c r="I8" s="208"/>
      <c r="J8" s="175"/>
      <c r="K8" s="175"/>
      <c r="L8" s="175"/>
      <c r="M8" s="175"/>
      <c r="N8" s="175"/>
      <c r="O8" s="175"/>
      <c r="P8" s="175"/>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c r="BC8" s="209"/>
      <c r="BD8" s="209"/>
      <c r="BE8" s="209"/>
      <c r="BF8" s="209"/>
      <c r="BG8" s="209"/>
      <c r="BH8" s="209"/>
      <c r="BI8" s="209"/>
      <c r="BJ8" s="209"/>
      <c r="BK8" s="209"/>
      <c r="BL8" s="209"/>
      <c r="BM8" s="209"/>
      <c r="BN8" s="209"/>
      <c r="BO8" s="209"/>
      <c r="BP8" s="209"/>
      <c r="BQ8" s="209"/>
      <c r="BR8" s="209"/>
      <c r="BS8" s="209"/>
      <c r="BT8" s="209"/>
      <c r="BU8" s="209"/>
      <c r="BV8" s="209"/>
      <c r="BW8" s="209"/>
      <c r="BX8" s="209"/>
      <c r="BY8" s="209"/>
      <c r="BZ8" s="209"/>
      <c r="CA8" s="209"/>
      <c r="CB8" s="209"/>
      <c r="CC8" s="209"/>
      <c r="CD8" s="209"/>
      <c r="CE8" s="209"/>
      <c r="CF8" s="209"/>
      <c r="CG8" s="209"/>
      <c r="CH8" s="209"/>
      <c r="CI8" s="209"/>
      <c r="CJ8" s="209"/>
      <c r="CK8" s="209"/>
      <c r="CL8" s="209"/>
      <c r="CM8" s="209"/>
      <c r="CN8" s="209"/>
      <c r="CO8" s="209"/>
      <c r="CP8" s="209"/>
      <c r="CQ8" s="209"/>
      <c r="CR8" s="209"/>
      <c r="CS8" s="209"/>
      <c r="CT8" s="209"/>
      <c r="CU8" s="209"/>
      <c r="CV8" s="209"/>
      <c r="CW8" s="209"/>
      <c r="CX8" s="209"/>
      <c r="CY8" s="209"/>
      <c r="CZ8" s="209"/>
      <c r="DA8" s="209"/>
      <c r="DB8" s="209"/>
      <c r="DC8" s="209"/>
      <c r="DD8" s="209"/>
      <c r="DE8" s="209"/>
      <c r="DF8" s="209"/>
      <c r="DG8" s="209"/>
      <c r="DH8" s="209"/>
      <c r="DI8" s="209"/>
      <c r="DJ8" s="209"/>
      <c r="DK8" s="209"/>
      <c r="DL8" s="209"/>
      <c r="DM8" s="209"/>
      <c r="DN8" s="209"/>
    </row>
    <row r="9" spans="1:118">
      <c r="A9" s="25">
        <v>1</v>
      </c>
      <c r="B9" s="26" t="s">
        <v>569</v>
      </c>
      <c r="C9" s="26" t="s">
        <v>570</v>
      </c>
      <c r="D9" s="26" t="s">
        <v>571</v>
      </c>
      <c r="E9" s="205" t="s">
        <v>1164</v>
      </c>
      <c r="F9" s="161">
        <f>SUM(DM9)</f>
        <v>0</v>
      </c>
      <c r="G9" s="161">
        <f t="shared" ref="G9:G14" si="5">DN9</f>
        <v>0</v>
      </c>
      <c r="H9" s="165">
        <f>J9+AL9+DM9</f>
        <v>65</v>
      </c>
      <c r="I9" s="80">
        <v>0</v>
      </c>
      <c r="J9" s="127">
        <v>0</v>
      </c>
      <c r="K9" s="127">
        <v>0</v>
      </c>
      <c r="L9" s="127">
        <f t="shared" ref="L9" si="6">AL9</f>
        <v>65</v>
      </c>
      <c r="M9" s="127">
        <f t="shared" ref="M9" si="7">IF(AJ9&gt;0,J9+AL9-K9,0)</f>
        <v>65</v>
      </c>
      <c r="N9" s="127">
        <f t="shared" ref="N9" si="8">J9+L9</f>
        <v>65</v>
      </c>
      <c r="O9" s="131">
        <f>H9-N9</f>
        <v>0</v>
      </c>
      <c r="P9" s="125">
        <f>IF(AND(AJ9&gt;0,DL9&gt;0),"შეცდომაა! ერთზე მეტი ბოლო ჩაბარება!",IF(OR(AJ9&gt;0,DL9&gt;0,),IF(AJ9&gt;0,J9+AL9,J9+AL9+DN9),IF(AND(J9=0,L9=0,DN9=0),"ნულოვანი შესრულება","მიმდინარეობს")))</f>
        <v>65</v>
      </c>
      <c r="Q9" s="81"/>
      <c r="R9" s="81">
        <v>65</v>
      </c>
      <c r="S9" s="81">
        <f>J9+Q9</f>
        <v>0</v>
      </c>
      <c r="T9" s="81">
        <f>R9</f>
        <v>65</v>
      </c>
      <c r="U9" s="81"/>
      <c r="V9" s="81"/>
      <c r="W9" s="81"/>
      <c r="X9" s="81"/>
      <c r="Y9" s="74">
        <f>U9+W9</f>
        <v>0</v>
      </c>
      <c r="Z9" s="74">
        <f>V9+X9</f>
        <v>0</v>
      </c>
      <c r="AA9" s="81"/>
      <c r="AB9" s="81"/>
      <c r="AC9" s="81"/>
      <c r="AD9" s="81"/>
      <c r="AE9" s="74">
        <f>AA9+AC9</f>
        <v>0</v>
      </c>
      <c r="AF9" s="74">
        <f>AB9+AD9</f>
        <v>0</v>
      </c>
      <c r="AG9" s="74">
        <f>Q9+U9+AA9</f>
        <v>0</v>
      </c>
      <c r="AH9" s="74">
        <f>Q9+V9+AB9</f>
        <v>0</v>
      </c>
      <c r="AI9" s="74">
        <f>R9+W9+AC9</f>
        <v>65</v>
      </c>
      <c r="AJ9" s="74">
        <f>R9+X9+AD9</f>
        <v>65</v>
      </c>
      <c r="AK9" s="74">
        <f>AG9+AI9</f>
        <v>65</v>
      </c>
      <c r="AL9" s="74">
        <f>AH9+AJ9</f>
        <v>65</v>
      </c>
      <c r="AM9" s="81"/>
      <c r="AN9" s="81"/>
      <c r="AO9" s="81"/>
      <c r="AP9" s="81"/>
      <c r="AQ9" s="74">
        <f>AM9+AO9</f>
        <v>0</v>
      </c>
      <c r="AR9" s="74">
        <f>AN9+AP9</f>
        <v>0</v>
      </c>
      <c r="AS9" s="81"/>
      <c r="AT9" s="81"/>
      <c r="AU9" s="81"/>
      <c r="AV9" s="81"/>
      <c r="AW9" s="74">
        <f>AS9+AU9</f>
        <v>0</v>
      </c>
      <c r="AX9" s="74">
        <f>AT9+AV9</f>
        <v>0</v>
      </c>
      <c r="AY9" s="81"/>
      <c r="AZ9" s="81"/>
      <c r="BA9" s="81"/>
      <c r="BB9" s="81"/>
      <c r="BC9" s="74">
        <f>AY9+BA9</f>
        <v>0</v>
      </c>
      <c r="BD9" s="74"/>
      <c r="BE9" s="74">
        <f t="shared" ref="BE9:BE40" si="9">AZ9+BB9</f>
        <v>0</v>
      </c>
      <c r="BF9" s="81"/>
      <c r="BG9" s="81"/>
      <c r="BH9" s="81"/>
      <c r="BI9" s="81"/>
      <c r="BJ9" s="74">
        <f>BF9+BH9</f>
        <v>0</v>
      </c>
      <c r="BK9" s="74"/>
      <c r="BL9" s="74">
        <f t="shared" ref="BL9:BL40" si="10">BG9+BI9</f>
        <v>0</v>
      </c>
      <c r="BM9" s="81"/>
      <c r="BN9" s="81"/>
      <c r="BO9" s="81"/>
      <c r="BP9" s="81"/>
      <c r="BQ9" s="74">
        <f>BM9+BO9</f>
        <v>0</v>
      </c>
      <c r="BR9" s="74">
        <f>BN9+BP9</f>
        <v>0</v>
      </c>
      <c r="BS9" s="81"/>
      <c r="BT9" s="81"/>
      <c r="BU9" s="81"/>
      <c r="BV9" s="81"/>
      <c r="BW9" s="74">
        <f>BS9+BU9</f>
        <v>0</v>
      </c>
      <c r="BX9" s="74">
        <f>BT9+BV9</f>
        <v>0</v>
      </c>
      <c r="BY9" s="81"/>
      <c r="BZ9" s="81"/>
      <c r="CA9" s="81"/>
      <c r="CB9" s="81"/>
      <c r="CC9" s="74">
        <f>BY9+CA9</f>
        <v>0</v>
      </c>
      <c r="CD9" s="74">
        <f>BZ9+CB9</f>
        <v>0</v>
      </c>
      <c r="CE9" s="81"/>
      <c r="CF9" s="81"/>
      <c r="CG9" s="81"/>
      <c r="CH9" s="81"/>
      <c r="CI9" s="74">
        <f>CE9+CG9</f>
        <v>0</v>
      </c>
      <c r="CJ9" s="74">
        <f>CF9+CH9</f>
        <v>0</v>
      </c>
      <c r="CK9" s="81"/>
      <c r="CL9" s="81"/>
      <c r="CM9" s="81"/>
      <c r="CN9" s="81"/>
      <c r="CO9" s="74">
        <f>CK9+CM9</f>
        <v>0</v>
      </c>
      <c r="CP9" s="74">
        <f>CL9+CN9</f>
        <v>0</v>
      </c>
      <c r="CQ9" s="81"/>
      <c r="CR9" s="81"/>
      <c r="CS9" s="81"/>
      <c r="CT9" s="81"/>
      <c r="CU9" s="74">
        <f>CQ9+CS9</f>
        <v>0</v>
      </c>
      <c r="CV9" s="74">
        <f>CR9+CT9</f>
        <v>0</v>
      </c>
      <c r="CW9" s="81"/>
      <c r="CX9" s="81"/>
      <c r="CY9" s="81"/>
      <c r="CZ9" s="81"/>
      <c r="DA9" s="74">
        <f>CW9+CY9</f>
        <v>0</v>
      </c>
      <c r="DB9" s="74">
        <f>CX9+CZ9</f>
        <v>0</v>
      </c>
      <c r="DC9" s="81"/>
      <c r="DD9" s="81"/>
      <c r="DE9" s="81"/>
      <c r="DF9" s="81"/>
      <c r="DG9" s="74">
        <f>DC9+DE9</f>
        <v>0</v>
      </c>
      <c r="DH9" s="74">
        <f>DD9+DF9</f>
        <v>0</v>
      </c>
      <c r="DI9" s="74">
        <f t="shared" ref="DI9:DI40" si="11">AM9+AS9+AY9+BF9+BM9+BS9+BY9+CE9+CK9+CQ9+CW9+DC9</f>
        <v>0</v>
      </c>
      <c r="DJ9" s="74">
        <f t="shared" ref="DJ9:DJ40" si="12">AN9+AT9+AZ9+BG9+BN9+BT9+BZ9+CF9+CL9+CR9+CX9+DD9</f>
        <v>0</v>
      </c>
      <c r="DK9" s="74">
        <f t="shared" ref="DK9:DK40" si="13">AO9+AU9+BA9+BH9+BO9+BU9+CA9+CG9+CM9+CS9+CY9+DE9</f>
        <v>0</v>
      </c>
      <c r="DL9" s="74">
        <f t="shared" ref="DL9:DL40" si="14">AP9+AV9+BB9+BI9+BP9+BV9+CB9+CH9+CN9+CT9+CZ9+DF9</f>
        <v>0</v>
      </c>
      <c r="DM9" s="74">
        <f>DI9+DK9</f>
        <v>0</v>
      </c>
      <c r="DN9" s="74">
        <f>DJ9+DL9</f>
        <v>0</v>
      </c>
    </row>
    <row r="10" spans="1:118">
      <c r="A10" s="25">
        <v>2</v>
      </c>
      <c r="B10" s="26" t="s">
        <v>569</v>
      </c>
      <c r="C10" s="26" t="s">
        <v>570</v>
      </c>
      <c r="D10" s="26" t="s">
        <v>572</v>
      </c>
      <c r="E10" s="205" t="s">
        <v>1165</v>
      </c>
      <c r="F10" s="161">
        <f t="shared" ref="F10:F65" si="15">SUM(DM10)</f>
        <v>0</v>
      </c>
      <c r="G10" s="161">
        <f t="shared" si="5"/>
        <v>0</v>
      </c>
      <c r="H10" s="165">
        <f t="shared" ref="H10:H65" si="16">J10+AL10+DM10</f>
        <v>14731.101250893498</v>
      </c>
      <c r="I10" s="80">
        <v>54162</v>
      </c>
      <c r="J10" s="127">
        <v>0</v>
      </c>
      <c r="K10" s="127">
        <v>0</v>
      </c>
      <c r="L10" s="127">
        <f t="shared" ref="L10:L65" si="17">AL10</f>
        <v>14731.101250893498</v>
      </c>
      <c r="M10" s="127">
        <f t="shared" ref="M10:M65" si="18">IF(AJ10&gt;0,J10+AL10-K10,0)</f>
        <v>14731.101250893498</v>
      </c>
      <c r="N10" s="127">
        <f t="shared" ref="N10:N65" si="19">J10+L10</f>
        <v>14731.101250893498</v>
      </c>
      <c r="O10" s="131">
        <f t="shared" ref="O10:O72" si="20">H10-N10</f>
        <v>0</v>
      </c>
      <c r="P10" s="125">
        <f t="shared" ref="P10:P65" si="21">IF(AND(AJ10&gt;0,DL10&gt;0),"შეცდომაა! ერთზე მეტი ბოლო ჩაბარება!",IF(OR(AJ10&gt;0,DL10&gt;0,),IF(AJ10&gt;0,J10+AL10,J10+AL10+DN10),IF(AND(J10=0,L10=0,DN10=0),"ნულოვანი შესრულება","მიმდინარეობს")))</f>
        <v>14731.101250893498</v>
      </c>
      <c r="Q10" s="81"/>
      <c r="R10" s="81">
        <v>14731.101250893498</v>
      </c>
      <c r="S10" s="81">
        <f>J10+Q10</f>
        <v>0</v>
      </c>
      <c r="T10" s="81">
        <f>R10</f>
        <v>14731.101250893498</v>
      </c>
      <c r="U10" s="81"/>
      <c r="V10" s="81"/>
      <c r="W10" s="81"/>
      <c r="X10" s="81"/>
      <c r="Y10" s="74">
        <f t="shared" ref="Y10:Z65" si="22">U10+W10</f>
        <v>0</v>
      </c>
      <c r="Z10" s="74">
        <f t="shared" si="22"/>
        <v>0</v>
      </c>
      <c r="AA10" s="81"/>
      <c r="AB10" s="81"/>
      <c r="AC10" s="81"/>
      <c r="AD10" s="81"/>
      <c r="AE10" s="74">
        <f t="shared" ref="AE10:AF65" si="23">AA10+AC10</f>
        <v>0</v>
      </c>
      <c r="AF10" s="74">
        <f t="shared" si="23"/>
        <v>0</v>
      </c>
      <c r="AG10" s="74">
        <f t="shared" ref="AG10:AG65" si="24">Q10+U10+AA10</f>
        <v>0</v>
      </c>
      <c r="AH10" s="74">
        <f t="shared" ref="AH10:AI65" si="25">Q10+V10+AB10</f>
        <v>0</v>
      </c>
      <c r="AI10" s="74">
        <f t="shared" si="25"/>
        <v>14731.101250893498</v>
      </c>
      <c r="AJ10" s="74">
        <f t="shared" ref="AJ10:AJ65" si="26">R10+X10+AD10</f>
        <v>14731.101250893498</v>
      </c>
      <c r="AK10" s="74">
        <f t="shared" ref="AK10:AL65" si="27">AG10+AI10</f>
        <v>14731.101250893498</v>
      </c>
      <c r="AL10" s="74">
        <f t="shared" si="27"/>
        <v>14731.101250893498</v>
      </c>
      <c r="AM10" s="81"/>
      <c r="AN10" s="81"/>
      <c r="AO10" s="81"/>
      <c r="AP10" s="81"/>
      <c r="AQ10" s="74">
        <f t="shared" ref="AQ10:AR65" si="28">AM10+AO10</f>
        <v>0</v>
      </c>
      <c r="AR10" s="74">
        <f t="shared" si="28"/>
        <v>0</v>
      </c>
      <c r="AS10" s="81"/>
      <c r="AT10" s="81"/>
      <c r="AU10" s="81"/>
      <c r="AV10" s="81"/>
      <c r="AW10" s="74">
        <f t="shared" ref="AW10:AX65" si="29">AS10+AU10</f>
        <v>0</v>
      </c>
      <c r="AX10" s="74">
        <f t="shared" si="29"/>
        <v>0</v>
      </c>
      <c r="AY10" s="81"/>
      <c r="AZ10" s="81"/>
      <c r="BA10" s="81"/>
      <c r="BB10" s="81"/>
      <c r="BC10" s="74">
        <f t="shared" ref="BC10:BC65" si="30">AY10+BA10</f>
        <v>0</v>
      </c>
      <c r="BD10" s="74"/>
      <c r="BE10" s="74">
        <f t="shared" si="9"/>
        <v>0</v>
      </c>
      <c r="BF10" s="81"/>
      <c r="BG10" s="81"/>
      <c r="BH10" s="81"/>
      <c r="BI10" s="81"/>
      <c r="BJ10" s="74">
        <f t="shared" ref="BJ10:BJ65" si="31">BF10+BH10</f>
        <v>0</v>
      </c>
      <c r="BK10" s="74"/>
      <c r="BL10" s="74">
        <f t="shared" si="10"/>
        <v>0</v>
      </c>
      <c r="BM10" s="81"/>
      <c r="BN10" s="81"/>
      <c r="BO10" s="81"/>
      <c r="BP10" s="81"/>
      <c r="BQ10" s="74">
        <f t="shared" ref="BQ10:BR65" si="32">BM10+BO10</f>
        <v>0</v>
      </c>
      <c r="BR10" s="74">
        <f t="shared" si="32"/>
        <v>0</v>
      </c>
      <c r="BS10" s="81"/>
      <c r="BT10" s="81"/>
      <c r="BU10" s="81"/>
      <c r="BV10" s="81"/>
      <c r="BW10" s="74">
        <f t="shared" ref="BW10:BX65" si="33">BS10+BU10</f>
        <v>0</v>
      </c>
      <c r="BX10" s="74">
        <f t="shared" si="33"/>
        <v>0</v>
      </c>
      <c r="BY10" s="81"/>
      <c r="BZ10" s="81"/>
      <c r="CA10" s="81"/>
      <c r="CB10" s="81"/>
      <c r="CC10" s="74">
        <f t="shared" ref="CC10:CD65" si="34">BY10+CA10</f>
        <v>0</v>
      </c>
      <c r="CD10" s="74">
        <f t="shared" si="34"/>
        <v>0</v>
      </c>
      <c r="CE10" s="81"/>
      <c r="CF10" s="81"/>
      <c r="CG10" s="81"/>
      <c r="CH10" s="81"/>
      <c r="CI10" s="74">
        <f t="shared" ref="CI10:CJ65" si="35">CE10+CG10</f>
        <v>0</v>
      </c>
      <c r="CJ10" s="74">
        <f t="shared" si="35"/>
        <v>0</v>
      </c>
      <c r="CK10" s="81"/>
      <c r="CL10" s="81"/>
      <c r="CM10" s="81"/>
      <c r="CN10" s="81"/>
      <c r="CO10" s="74">
        <f t="shared" ref="CO10:CP65" si="36">CK10+CM10</f>
        <v>0</v>
      </c>
      <c r="CP10" s="74">
        <f t="shared" si="36"/>
        <v>0</v>
      </c>
      <c r="CQ10" s="81"/>
      <c r="CR10" s="81"/>
      <c r="CS10" s="81"/>
      <c r="CT10" s="81"/>
      <c r="CU10" s="74">
        <f t="shared" ref="CU10:CV65" si="37">CQ10+CS10</f>
        <v>0</v>
      </c>
      <c r="CV10" s="74">
        <f t="shared" si="37"/>
        <v>0</v>
      </c>
      <c r="CW10" s="81"/>
      <c r="CX10" s="81"/>
      <c r="CY10" s="81"/>
      <c r="CZ10" s="81"/>
      <c r="DA10" s="74">
        <f t="shared" ref="DA10:DB65" si="38">CW10+CY10</f>
        <v>0</v>
      </c>
      <c r="DB10" s="74">
        <f t="shared" si="38"/>
        <v>0</v>
      </c>
      <c r="DC10" s="81"/>
      <c r="DD10" s="81"/>
      <c r="DE10" s="81"/>
      <c r="DF10" s="81"/>
      <c r="DG10" s="74">
        <f t="shared" ref="DG10:DH65" si="39">DC10+DE10</f>
        <v>0</v>
      </c>
      <c r="DH10" s="74">
        <f t="shared" si="39"/>
        <v>0</v>
      </c>
      <c r="DI10" s="74">
        <f t="shared" si="11"/>
        <v>0</v>
      </c>
      <c r="DJ10" s="74">
        <f t="shared" si="12"/>
        <v>0</v>
      </c>
      <c r="DK10" s="74">
        <f t="shared" si="13"/>
        <v>0</v>
      </c>
      <c r="DL10" s="74">
        <f t="shared" si="14"/>
        <v>0</v>
      </c>
      <c r="DM10" s="74">
        <f t="shared" ref="DM10:DN65" si="40">DI10+DK10</f>
        <v>0</v>
      </c>
      <c r="DN10" s="74">
        <f t="shared" si="40"/>
        <v>0</v>
      </c>
    </row>
    <row r="11" spans="1:118">
      <c r="A11" s="25">
        <v>3</v>
      </c>
      <c r="B11" s="26" t="s">
        <v>573</v>
      </c>
      <c r="C11" s="26" t="s">
        <v>574</v>
      </c>
      <c r="D11" s="26" t="s">
        <v>575</v>
      </c>
      <c r="E11" s="205" t="s">
        <v>1165</v>
      </c>
      <c r="F11" s="161">
        <f t="shared" si="15"/>
        <v>0</v>
      </c>
      <c r="G11" s="161">
        <f t="shared" si="5"/>
        <v>0</v>
      </c>
      <c r="H11" s="165">
        <f t="shared" si="16"/>
        <v>287086.37</v>
      </c>
      <c r="I11" s="80">
        <v>424800</v>
      </c>
      <c r="J11" s="127">
        <v>0</v>
      </c>
      <c r="K11" s="243">
        <v>0</v>
      </c>
      <c r="L11" s="127">
        <f t="shared" si="17"/>
        <v>287086.37</v>
      </c>
      <c r="M11" s="127">
        <f t="shared" si="18"/>
        <v>287086.37</v>
      </c>
      <c r="N11" s="127">
        <f t="shared" si="19"/>
        <v>287086.37</v>
      </c>
      <c r="O11" s="131">
        <f t="shared" si="20"/>
        <v>0</v>
      </c>
      <c r="P11" s="125">
        <f t="shared" si="21"/>
        <v>287086.37</v>
      </c>
      <c r="Q11" s="81">
        <v>100000</v>
      </c>
      <c r="R11" s="81">
        <f>287086.37-Q11</f>
        <v>187086.37</v>
      </c>
      <c r="S11" s="81">
        <f>J11+Q11</f>
        <v>100000</v>
      </c>
      <c r="T11" s="81">
        <f t="shared" ref="T11:T68" si="41">R11</f>
        <v>187086.37</v>
      </c>
      <c r="U11" s="81"/>
      <c r="V11" s="81"/>
      <c r="W11" s="81"/>
      <c r="X11" s="81"/>
      <c r="Y11" s="74">
        <f t="shared" si="22"/>
        <v>0</v>
      </c>
      <c r="Z11" s="74">
        <f t="shared" si="22"/>
        <v>0</v>
      </c>
      <c r="AA11" s="81"/>
      <c r="AB11" s="81"/>
      <c r="AC11" s="81"/>
      <c r="AD11" s="81"/>
      <c r="AE11" s="74">
        <f t="shared" si="23"/>
        <v>0</v>
      </c>
      <c r="AF11" s="74">
        <f t="shared" si="23"/>
        <v>0</v>
      </c>
      <c r="AG11" s="74">
        <f t="shared" si="24"/>
        <v>100000</v>
      </c>
      <c r="AH11" s="74">
        <f t="shared" si="25"/>
        <v>100000</v>
      </c>
      <c r="AI11" s="74">
        <f t="shared" si="25"/>
        <v>187086.37</v>
      </c>
      <c r="AJ11" s="74">
        <f t="shared" si="26"/>
        <v>187086.37</v>
      </c>
      <c r="AK11" s="74">
        <f t="shared" si="27"/>
        <v>287086.37</v>
      </c>
      <c r="AL11" s="74">
        <f t="shared" si="27"/>
        <v>287086.37</v>
      </c>
      <c r="AM11" s="81"/>
      <c r="AN11" s="81"/>
      <c r="AO11" s="81"/>
      <c r="AP11" s="81"/>
      <c r="AQ11" s="74">
        <f t="shared" si="28"/>
        <v>0</v>
      </c>
      <c r="AR11" s="74">
        <f t="shared" si="28"/>
        <v>0</v>
      </c>
      <c r="AS11" s="81"/>
      <c r="AT11" s="81"/>
      <c r="AU11" s="81"/>
      <c r="AV11" s="81"/>
      <c r="AW11" s="74">
        <f t="shared" si="29"/>
        <v>0</v>
      </c>
      <c r="AX11" s="74">
        <f t="shared" si="29"/>
        <v>0</v>
      </c>
      <c r="AY11" s="81"/>
      <c r="AZ11" s="81"/>
      <c r="BA11" s="81"/>
      <c r="BB11" s="81"/>
      <c r="BC11" s="74">
        <f t="shared" si="30"/>
        <v>0</v>
      </c>
      <c r="BD11" s="74"/>
      <c r="BE11" s="74">
        <f t="shared" si="9"/>
        <v>0</v>
      </c>
      <c r="BF11" s="81"/>
      <c r="BG11" s="81"/>
      <c r="BH11" s="81"/>
      <c r="BI11" s="81"/>
      <c r="BJ11" s="74">
        <f t="shared" si="31"/>
        <v>0</v>
      </c>
      <c r="BK11" s="74"/>
      <c r="BL11" s="74">
        <f t="shared" si="10"/>
        <v>0</v>
      </c>
      <c r="BM11" s="81"/>
      <c r="BN11" s="81"/>
      <c r="BO11" s="81"/>
      <c r="BP11" s="81"/>
      <c r="BQ11" s="74">
        <f t="shared" si="32"/>
        <v>0</v>
      </c>
      <c r="BR11" s="74">
        <f t="shared" si="32"/>
        <v>0</v>
      </c>
      <c r="BS11" s="81"/>
      <c r="BT11" s="81"/>
      <c r="BU11" s="81"/>
      <c r="BV11" s="81"/>
      <c r="BW11" s="74">
        <f t="shared" si="33"/>
        <v>0</v>
      </c>
      <c r="BX11" s="74">
        <f t="shared" si="33"/>
        <v>0</v>
      </c>
      <c r="BY11" s="81"/>
      <c r="BZ11" s="81"/>
      <c r="CA11" s="81"/>
      <c r="CB11" s="81"/>
      <c r="CC11" s="74">
        <f t="shared" si="34"/>
        <v>0</v>
      </c>
      <c r="CD11" s="74">
        <f t="shared" si="34"/>
        <v>0</v>
      </c>
      <c r="CE11" s="81"/>
      <c r="CF11" s="81"/>
      <c r="CG11" s="81"/>
      <c r="CH11" s="81"/>
      <c r="CI11" s="74">
        <f t="shared" si="35"/>
        <v>0</v>
      </c>
      <c r="CJ11" s="74">
        <f t="shared" si="35"/>
        <v>0</v>
      </c>
      <c r="CK11" s="81"/>
      <c r="CL11" s="81"/>
      <c r="CM11" s="81"/>
      <c r="CN11" s="81"/>
      <c r="CO11" s="74">
        <f t="shared" si="36"/>
        <v>0</v>
      </c>
      <c r="CP11" s="74">
        <f t="shared" si="36"/>
        <v>0</v>
      </c>
      <c r="CQ11" s="81"/>
      <c r="CR11" s="81"/>
      <c r="CS11" s="81"/>
      <c r="CT11" s="81"/>
      <c r="CU11" s="74">
        <f t="shared" si="37"/>
        <v>0</v>
      </c>
      <c r="CV11" s="74">
        <f t="shared" si="37"/>
        <v>0</v>
      </c>
      <c r="CW11" s="81"/>
      <c r="CX11" s="81"/>
      <c r="CY11" s="81"/>
      <c r="CZ11" s="81"/>
      <c r="DA11" s="74">
        <f t="shared" si="38"/>
        <v>0</v>
      </c>
      <c r="DB11" s="74">
        <f t="shared" si="38"/>
        <v>0</v>
      </c>
      <c r="DC11" s="81"/>
      <c r="DD11" s="81"/>
      <c r="DE11" s="81"/>
      <c r="DF11" s="81"/>
      <c r="DG11" s="74">
        <f t="shared" si="39"/>
        <v>0</v>
      </c>
      <c r="DH11" s="74">
        <f t="shared" si="39"/>
        <v>0</v>
      </c>
      <c r="DI11" s="74">
        <f t="shared" si="11"/>
        <v>0</v>
      </c>
      <c r="DJ11" s="74">
        <f t="shared" si="12"/>
        <v>0</v>
      </c>
      <c r="DK11" s="74">
        <f t="shared" si="13"/>
        <v>0</v>
      </c>
      <c r="DL11" s="74">
        <f t="shared" si="14"/>
        <v>0</v>
      </c>
      <c r="DM11" s="74">
        <f t="shared" si="40"/>
        <v>0</v>
      </c>
      <c r="DN11" s="74">
        <f t="shared" si="40"/>
        <v>0</v>
      </c>
    </row>
    <row r="12" spans="1:118">
      <c r="A12" s="25">
        <v>4</v>
      </c>
      <c r="B12" s="26" t="s">
        <v>576</v>
      </c>
      <c r="C12" s="26" t="s">
        <v>577</v>
      </c>
      <c r="D12" s="26" t="s">
        <v>578</v>
      </c>
      <c r="E12" s="205" t="s">
        <v>1165</v>
      </c>
      <c r="F12" s="161">
        <f t="shared" si="15"/>
        <v>90000</v>
      </c>
      <c r="G12" s="161">
        <f t="shared" si="5"/>
        <v>206805.49</v>
      </c>
      <c r="H12" s="165">
        <f t="shared" si="16"/>
        <v>345000</v>
      </c>
      <c r="I12" s="80">
        <v>224200</v>
      </c>
      <c r="J12" s="127">
        <v>0</v>
      </c>
      <c r="K12" s="127">
        <v>0</v>
      </c>
      <c r="L12" s="127">
        <f t="shared" si="17"/>
        <v>255000</v>
      </c>
      <c r="M12" s="127">
        <f t="shared" si="18"/>
        <v>0</v>
      </c>
      <c r="N12" s="127">
        <f t="shared" si="19"/>
        <v>255000</v>
      </c>
      <c r="O12" s="131">
        <f t="shared" si="20"/>
        <v>90000</v>
      </c>
      <c r="P12" s="125">
        <f t="shared" si="21"/>
        <v>461805.49</v>
      </c>
      <c r="Q12" s="81">
        <v>250000</v>
      </c>
      <c r="R12" s="81"/>
      <c r="S12" s="81">
        <f t="shared" ref="S12:S64" si="42">J12+Q12</f>
        <v>250000</v>
      </c>
      <c r="T12" s="81">
        <f t="shared" si="41"/>
        <v>0</v>
      </c>
      <c r="U12" s="81"/>
      <c r="V12" s="81">
        <v>5000</v>
      </c>
      <c r="W12" s="75"/>
      <c r="X12" s="81"/>
      <c r="Y12" s="75">
        <f t="shared" si="22"/>
        <v>0</v>
      </c>
      <c r="Z12" s="75">
        <f t="shared" si="22"/>
        <v>5000</v>
      </c>
      <c r="AA12" s="81"/>
      <c r="AB12" s="75"/>
      <c r="AC12" s="75">
        <v>0</v>
      </c>
      <c r="AD12" s="81"/>
      <c r="AE12" s="75">
        <f t="shared" si="23"/>
        <v>0</v>
      </c>
      <c r="AF12" s="75">
        <f t="shared" si="23"/>
        <v>0</v>
      </c>
      <c r="AG12" s="75">
        <f t="shared" si="24"/>
        <v>250000</v>
      </c>
      <c r="AH12" s="75">
        <f t="shared" si="25"/>
        <v>255000</v>
      </c>
      <c r="AI12" s="75">
        <f t="shared" si="25"/>
        <v>0</v>
      </c>
      <c r="AJ12" s="75">
        <f t="shared" si="26"/>
        <v>0</v>
      </c>
      <c r="AK12" s="75">
        <f t="shared" si="27"/>
        <v>250000</v>
      </c>
      <c r="AL12" s="75">
        <f t="shared" si="27"/>
        <v>255000</v>
      </c>
      <c r="AM12" s="81"/>
      <c r="AN12" s="81"/>
      <c r="AO12" s="81">
        <v>90000</v>
      </c>
      <c r="AP12" s="81">
        <v>202000</v>
      </c>
      <c r="AQ12" s="75">
        <f t="shared" si="28"/>
        <v>90000</v>
      </c>
      <c r="AR12" s="75">
        <f t="shared" si="28"/>
        <v>202000</v>
      </c>
      <c r="AS12" s="81"/>
      <c r="AT12" s="81"/>
      <c r="AU12" s="81"/>
      <c r="AV12" s="81">
        <v>4805.49</v>
      </c>
      <c r="AW12" s="75">
        <f t="shared" si="29"/>
        <v>0</v>
      </c>
      <c r="AX12" s="75">
        <f t="shared" si="29"/>
        <v>4805.49</v>
      </c>
      <c r="AY12" s="81"/>
      <c r="AZ12" s="81"/>
      <c r="BA12" s="81"/>
      <c r="BB12" s="81"/>
      <c r="BC12" s="75">
        <f t="shared" si="30"/>
        <v>0</v>
      </c>
      <c r="BD12" s="75"/>
      <c r="BE12" s="75">
        <f t="shared" si="9"/>
        <v>0</v>
      </c>
      <c r="BF12" s="81"/>
      <c r="BG12" s="81"/>
      <c r="BH12" s="81"/>
      <c r="BI12" s="81"/>
      <c r="BJ12" s="75">
        <f t="shared" si="31"/>
        <v>0</v>
      </c>
      <c r="BK12" s="75"/>
      <c r="BL12" s="75">
        <f t="shared" si="10"/>
        <v>0</v>
      </c>
      <c r="BM12" s="81"/>
      <c r="BN12" s="81"/>
      <c r="BO12" s="81"/>
      <c r="BP12" s="81"/>
      <c r="BQ12" s="75">
        <f t="shared" si="32"/>
        <v>0</v>
      </c>
      <c r="BR12" s="75">
        <f t="shared" si="32"/>
        <v>0</v>
      </c>
      <c r="BS12" s="81"/>
      <c r="BT12" s="81"/>
      <c r="BU12" s="81"/>
      <c r="BV12" s="81"/>
      <c r="BW12" s="75">
        <f t="shared" si="33"/>
        <v>0</v>
      </c>
      <c r="BX12" s="75">
        <f t="shared" si="33"/>
        <v>0</v>
      </c>
      <c r="BY12" s="81"/>
      <c r="BZ12" s="81"/>
      <c r="CA12" s="81"/>
      <c r="CB12" s="81"/>
      <c r="CC12" s="75">
        <f t="shared" si="34"/>
        <v>0</v>
      </c>
      <c r="CD12" s="75">
        <f t="shared" si="34"/>
        <v>0</v>
      </c>
      <c r="CE12" s="81"/>
      <c r="CF12" s="81"/>
      <c r="CG12" s="81"/>
      <c r="CH12" s="81"/>
      <c r="CI12" s="75">
        <f t="shared" si="35"/>
        <v>0</v>
      </c>
      <c r="CJ12" s="75">
        <f t="shared" si="35"/>
        <v>0</v>
      </c>
      <c r="CK12" s="81"/>
      <c r="CL12" s="81"/>
      <c r="CM12" s="81"/>
      <c r="CN12" s="81"/>
      <c r="CO12" s="75">
        <f t="shared" si="36"/>
        <v>0</v>
      </c>
      <c r="CP12" s="75">
        <f t="shared" si="36"/>
        <v>0</v>
      </c>
      <c r="CQ12" s="81"/>
      <c r="CR12" s="81"/>
      <c r="CS12" s="81"/>
      <c r="CT12" s="81"/>
      <c r="CU12" s="75">
        <f t="shared" si="37"/>
        <v>0</v>
      </c>
      <c r="CV12" s="75">
        <f t="shared" si="37"/>
        <v>0</v>
      </c>
      <c r="CW12" s="81"/>
      <c r="CX12" s="81"/>
      <c r="CY12" s="81"/>
      <c r="CZ12" s="81"/>
      <c r="DA12" s="75">
        <f t="shared" si="38"/>
        <v>0</v>
      </c>
      <c r="DB12" s="75">
        <f t="shared" si="38"/>
        <v>0</v>
      </c>
      <c r="DC12" s="81"/>
      <c r="DD12" s="81"/>
      <c r="DE12" s="81"/>
      <c r="DF12" s="81"/>
      <c r="DG12" s="75">
        <f t="shared" si="39"/>
        <v>0</v>
      </c>
      <c r="DH12" s="75">
        <f t="shared" si="39"/>
        <v>0</v>
      </c>
      <c r="DI12" s="75">
        <f t="shared" si="11"/>
        <v>0</v>
      </c>
      <c r="DJ12" s="75">
        <f t="shared" si="12"/>
        <v>0</v>
      </c>
      <c r="DK12" s="75">
        <f t="shared" si="13"/>
        <v>90000</v>
      </c>
      <c r="DL12" s="75">
        <f t="shared" si="14"/>
        <v>206805.49</v>
      </c>
      <c r="DM12" s="75">
        <f t="shared" si="40"/>
        <v>90000</v>
      </c>
      <c r="DN12" s="75">
        <f t="shared" si="40"/>
        <v>206805.49</v>
      </c>
    </row>
    <row r="13" spans="1:118">
      <c r="A13" s="25">
        <v>5</v>
      </c>
      <c r="B13" s="26" t="s">
        <v>576</v>
      </c>
      <c r="C13" s="26" t="s">
        <v>579</v>
      </c>
      <c r="D13" s="26" t="s">
        <v>580</v>
      </c>
      <c r="E13" s="205" t="s">
        <v>1165</v>
      </c>
      <c r="F13" s="161">
        <f t="shared" si="15"/>
        <v>140000</v>
      </c>
      <c r="G13" s="161">
        <f t="shared" si="5"/>
        <v>141804.34</v>
      </c>
      <c r="H13" s="165">
        <f t="shared" si="16"/>
        <v>470000</v>
      </c>
      <c r="I13" s="80">
        <v>403560</v>
      </c>
      <c r="J13" s="127">
        <v>0</v>
      </c>
      <c r="K13" s="127">
        <v>0</v>
      </c>
      <c r="L13" s="127">
        <f t="shared" si="17"/>
        <v>330000</v>
      </c>
      <c r="M13" s="127">
        <f t="shared" si="18"/>
        <v>0</v>
      </c>
      <c r="N13" s="127">
        <f t="shared" si="19"/>
        <v>330000</v>
      </c>
      <c r="O13" s="131">
        <f t="shared" si="20"/>
        <v>140000</v>
      </c>
      <c r="P13" s="125">
        <f t="shared" si="21"/>
        <v>471804.33999999997</v>
      </c>
      <c r="Q13" s="81">
        <v>320000</v>
      </c>
      <c r="R13" s="81"/>
      <c r="S13" s="81">
        <f t="shared" si="42"/>
        <v>320000</v>
      </c>
      <c r="T13" s="81">
        <f t="shared" si="41"/>
        <v>0</v>
      </c>
      <c r="U13" s="81"/>
      <c r="V13" s="81">
        <v>10000</v>
      </c>
      <c r="W13" s="75">
        <v>0</v>
      </c>
      <c r="X13" s="81"/>
      <c r="Y13" s="74">
        <f t="shared" si="22"/>
        <v>0</v>
      </c>
      <c r="Z13" s="74">
        <f t="shared" si="22"/>
        <v>10000</v>
      </c>
      <c r="AA13" s="81"/>
      <c r="AB13" s="81"/>
      <c r="AC13" s="75">
        <v>0</v>
      </c>
      <c r="AD13" s="81"/>
      <c r="AE13" s="74">
        <f t="shared" si="23"/>
        <v>0</v>
      </c>
      <c r="AF13" s="74">
        <f t="shared" si="23"/>
        <v>0</v>
      </c>
      <c r="AG13" s="74">
        <f t="shared" si="24"/>
        <v>320000</v>
      </c>
      <c r="AH13" s="74">
        <f t="shared" si="25"/>
        <v>330000</v>
      </c>
      <c r="AI13" s="74">
        <f t="shared" si="25"/>
        <v>0</v>
      </c>
      <c r="AJ13" s="74">
        <f t="shared" si="26"/>
        <v>0</v>
      </c>
      <c r="AK13" s="74">
        <f t="shared" si="27"/>
        <v>320000</v>
      </c>
      <c r="AL13" s="74">
        <f t="shared" si="27"/>
        <v>330000</v>
      </c>
      <c r="AM13" s="81"/>
      <c r="AN13" s="81"/>
      <c r="AO13" s="81">
        <v>140000</v>
      </c>
      <c r="AP13" s="81">
        <v>138000</v>
      </c>
      <c r="AQ13" s="74">
        <f t="shared" si="28"/>
        <v>140000</v>
      </c>
      <c r="AR13" s="74">
        <f t="shared" si="28"/>
        <v>138000</v>
      </c>
      <c r="AS13" s="81"/>
      <c r="AT13" s="81"/>
      <c r="AU13" s="81"/>
      <c r="AV13" s="81">
        <v>3804.34</v>
      </c>
      <c r="AW13" s="74">
        <f t="shared" si="29"/>
        <v>0</v>
      </c>
      <c r="AX13" s="74">
        <f t="shared" si="29"/>
        <v>3804.34</v>
      </c>
      <c r="AY13" s="81"/>
      <c r="AZ13" s="81"/>
      <c r="BA13" s="81"/>
      <c r="BB13" s="81"/>
      <c r="BC13" s="74">
        <f t="shared" si="30"/>
        <v>0</v>
      </c>
      <c r="BD13" s="74"/>
      <c r="BE13" s="74">
        <f t="shared" si="9"/>
        <v>0</v>
      </c>
      <c r="BF13" s="81"/>
      <c r="BG13" s="81"/>
      <c r="BH13" s="81"/>
      <c r="BI13" s="81"/>
      <c r="BJ13" s="74">
        <f t="shared" si="31"/>
        <v>0</v>
      </c>
      <c r="BK13" s="74"/>
      <c r="BL13" s="74">
        <f t="shared" si="10"/>
        <v>0</v>
      </c>
      <c r="BM13" s="81"/>
      <c r="BN13" s="81"/>
      <c r="BO13" s="81"/>
      <c r="BP13" s="81"/>
      <c r="BQ13" s="74">
        <f t="shared" si="32"/>
        <v>0</v>
      </c>
      <c r="BR13" s="74">
        <f t="shared" si="32"/>
        <v>0</v>
      </c>
      <c r="BS13" s="81"/>
      <c r="BT13" s="81"/>
      <c r="BU13" s="81"/>
      <c r="BV13" s="81"/>
      <c r="BW13" s="74">
        <f t="shared" si="33"/>
        <v>0</v>
      </c>
      <c r="BX13" s="74">
        <f t="shared" si="33"/>
        <v>0</v>
      </c>
      <c r="BY13" s="81"/>
      <c r="BZ13" s="81"/>
      <c r="CA13" s="81"/>
      <c r="CB13" s="81"/>
      <c r="CC13" s="74">
        <f t="shared" si="34"/>
        <v>0</v>
      </c>
      <c r="CD13" s="74">
        <f t="shared" si="34"/>
        <v>0</v>
      </c>
      <c r="CE13" s="81"/>
      <c r="CF13" s="81"/>
      <c r="CG13" s="81"/>
      <c r="CH13" s="81"/>
      <c r="CI13" s="74">
        <f t="shared" si="35"/>
        <v>0</v>
      </c>
      <c r="CJ13" s="74">
        <f t="shared" si="35"/>
        <v>0</v>
      </c>
      <c r="CK13" s="81"/>
      <c r="CL13" s="81"/>
      <c r="CM13" s="81"/>
      <c r="CN13" s="81"/>
      <c r="CO13" s="74">
        <f t="shared" si="36"/>
        <v>0</v>
      </c>
      <c r="CP13" s="74">
        <f t="shared" si="36"/>
        <v>0</v>
      </c>
      <c r="CQ13" s="81"/>
      <c r="CR13" s="81"/>
      <c r="CS13" s="81"/>
      <c r="CT13" s="81"/>
      <c r="CU13" s="74">
        <f t="shared" si="37"/>
        <v>0</v>
      </c>
      <c r="CV13" s="74">
        <f t="shared" si="37"/>
        <v>0</v>
      </c>
      <c r="CW13" s="81"/>
      <c r="CX13" s="81"/>
      <c r="CY13" s="81"/>
      <c r="CZ13" s="81"/>
      <c r="DA13" s="74">
        <f t="shared" si="38"/>
        <v>0</v>
      </c>
      <c r="DB13" s="74">
        <f t="shared" si="38"/>
        <v>0</v>
      </c>
      <c r="DC13" s="81"/>
      <c r="DD13" s="81"/>
      <c r="DE13" s="81"/>
      <c r="DF13" s="81"/>
      <c r="DG13" s="74">
        <f t="shared" si="39"/>
        <v>0</v>
      </c>
      <c r="DH13" s="74">
        <f t="shared" si="39"/>
        <v>0</v>
      </c>
      <c r="DI13" s="74">
        <f t="shared" si="11"/>
        <v>0</v>
      </c>
      <c r="DJ13" s="74">
        <f t="shared" si="12"/>
        <v>0</v>
      </c>
      <c r="DK13" s="74">
        <f t="shared" si="13"/>
        <v>140000</v>
      </c>
      <c r="DL13" s="74">
        <f t="shared" si="14"/>
        <v>141804.34</v>
      </c>
      <c r="DM13" s="74">
        <f t="shared" si="40"/>
        <v>140000</v>
      </c>
      <c r="DN13" s="74">
        <f t="shared" si="40"/>
        <v>141804.34</v>
      </c>
    </row>
    <row r="14" spans="1:118">
      <c r="A14" s="25">
        <v>6</v>
      </c>
      <c r="B14" s="26" t="s">
        <v>581</v>
      </c>
      <c r="C14" s="26" t="s">
        <v>582</v>
      </c>
      <c r="D14" s="26" t="s">
        <v>583</v>
      </c>
      <c r="E14" s="205" t="s">
        <v>1164</v>
      </c>
      <c r="F14" s="161">
        <f t="shared" si="15"/>
        <v>27000</v>
      </c>
      <c r="G14" s="161">
        <f t="shared" si="5"/>
        <v>0</v>
      </c>
      <c r="H14" s="165">
        <f t="shared" si="16"/>
        <v>108745.86</v>
      </c>
      <c r="I14" s="80">
        <v>0</v>
      </c>
      <c r="J14" s="127">
        <v>0</v>
      </c>
      <c r="K14" s="127">
        <v>0</v>
      </c>
      <c r="L14" s="127">
        <f t="shared" si="17"/>
        <v>81745.86</v>
      </c>
      <c r="M14" s="127">
        <f t="shared" si="18"/>
        <v>81745.86</v>
      </c>
      <c r="N14" s="127">
        <f t="shared" si="19"/>
        <v>81745.86</v>
      </c>
      <c r="O14" s="131">
        <f t="shared" si="20"/>
        <v>27000</v>
      </c>
      <c r="P14" s="125">
        <f t="shared" si="21"/>
        <v>81745.86</v>
      </c>
      <c r="Q14" s="81"/>
      <c r="R14" s="81">
        <f>59638.24+3392.3+7934.5+5472.2+2514.75+2793.87</f>
        <v>81745.86</v>
      </c>
      <c r="S14" s="81">
        <f t="shared" si="42"/>
        <v>0</v>
      </c>
      <c r="T14" s="81">
        <f t="shared" si="41"/>
        <v>81745.86</v>
      </c>
      <c r="U14" s="81"/>
      <c r="V14" s="81"/>
      <c r="W14" s="81"/>
      <c r="X14" s="81"/>
      <c r="Y14" s="74">
        <f t="shared" si="22"/>
        <v>0</v>
      </c>
      <c r="Z14" s="74">
        <f t="shared" si="22"/>
        <v>0</v>
      </c>
      <c r="AA14" s="81"/>
      <c r="AB14" s="81"/>
      <c r="AC14" s="81">
        <v>6750</v>
      </c>
      <c r="AD14" s="81"/>
      <c r="AE14" s="74">
        <f t="shared" si="23"/>
        <v>6750</v>
      </c>
      <c r="AF14" s="74">
        <f t="shared" si="23"/>
        <v>0</v>
      </c>
      <c r="AG14" s="74">
        <f t="shared" si="24"/>
        <v>0</v>
      </c>
      <c r="AH14" s="74">
        <f t="shared" si="25"/>
        <v>0</v>
      </c>
      <c r="AI14" s="74">
        <f t="shared" si="25"/>
        <v>88495.86</v>
      </c>
      <c r="AJ14" s="74">
        <f t="shared" si="26"/>
        <v>81745.86</v>
      </c>
      <c r="AK14" s="74">
        <f t="shared" si="27"/>
        <v>88495.86</v>
      </c>
      <c r="AL14" s="74">
        <f t="shared" si="27"/>
        <v>81745.86</v>
      </c>
      <c r="AM14" s="81"/>
      <c r="AN14" s="81"/>
      <c r="AO14" s="81"/>
      <c r="AP14" s="81"/>
      <c r="AQ14" s="74">
        <f t="shared" si="28"/>
        <v>0</v>
      </c>
      <c r="AR14" s="74">
        <f t="shared" si="28"/>
        <v>0</v>
      </c>
      <c r="AS14" s="81"/>
      <c r="AT14" s="81"/>
      <c r="AU14" s="81"/>
      <c r="AV14" s="81"/>
      <c r="AW14" s="74">
        <f t="shared" si="29"/>
        <v>0</v>
      </c>
      <c r="AX14" s="74">
        <f t="shared" si="29"/>
        <v>0</v>
      </c>
      <c r="AY14" s="81"/>
      <c r="AZ14" s="81"/>
      <c r="BA14" s="81">
        <v>6750</v>
      </c>
      <c r="BB14" s="81"/>
      <c r="BC14" s="74">
        <f t="shared" si="30"/>
        <v>6750</v>
      </c>
      <c r="BD14" s="74"/>
      <c r="BE14" s="74">
        <f t="shared" si="9"/>
        <v>0</v>
      </c>
      <c r="BF14" s="81"/>
      <c r="BG14" s="81"/>
      <c r="BH14" s="81"/>
      <c r="BI14" s="81"/>
      <c r="BJ14" s="74">
        <f t="shared" si="31"/>
        <v>0</v>
      </c>
      <c r="BK14" s="74"/>
      <c r="BL14" s="74">
        <f t="shared" si="10"/>
        <v>0</v>
      </c>
      <c r="BM14" s="81"/>
      <c r="BN14" s="81"/>
      <c r="BO14" s="81"/>
      <c r="BP14" s="81"/>
      <c r="BQ14" s="74">
        <f t="shared" si="32"/>
        <v>0</v>
      </c>
      <c r="BR14" s="74">
        <f t="shared" si="32"/>
        <v>0</v>
      </c>
      <c r="BS14" s="81"/>
      <c r="BT14" s="81"/>
      <c r="BU14" s="81">
        <v>6750</v>
      </c>
      <c r="BV14" s="81"/>
      <c r="BW14" s="74">
        <f t="shared" si="33"/>
        <v>6750</v>
      </c>
      <c r="BX14" s="74">
        <f t="shared" si="33"/>
        <v>0</v>
      </c>
      <c r="BY14" s="81"/>
      <c r="BZ14" s="81"/>
      <c r="CA14" s="81"/>
      <c r="CB14" s="81"/>
      <c r="CC14" s="74">
        <f t="shared" si="34"/>
        <v>0</v>
      </c>
      <c r="CD14" s="74">
        <f t="shared" si="34"/>
        <v>0</v>
      </c>
      <c r="CE14" s="81"/>
      <c r="CF14" s="81"/>
      <c r="CG14" s="81"/>
      <c r="CH14" s="81"/>
      <c r="CI14" s="74">
        <f t="shared" si="35"/>
        <v>0</v>
      </c>
      <c r="CJ14" s="74">
        <f t="shared" si="35"/>
        <v>0</v>
      </c>
      <c r="CK14" s="81"/>
      <c r="CL14" s="81"/>
      <c r="CM14" s="81">
        <v>6750</v>
      </c>
      <c r="CN14" s="81"/>
      <c r="CO14" s="74">
        <f t="shared" si="36"/>
        <v>6750</v>
      </c>
      <c r="CP14" s="74">
        <f t="shared" si="36"/>
        <v>0</v>
      </c>
      <c r="CQ14" s="81"/>
      <c r="CR14" s="81"/>
      <c r="CS14" s="81"/>
      <c r="CT14" s="81"/>
      <c r="CU14" s="74">
        <f t="shared" si="37"/>
        <v>0</v>
      </c>
      <c r="CV14" s="74">
        <f t="shared" si="37"/>
        <v>0</v>
      </c>
      <c r="CW14" s="81"/>
      <c r="CX14" s="81"/>
      <c r="CY14" s="81"/>
      <c r="CZ14" s="81"/>
      <c r="DA14" s="74">
        <f t="shared" si="38"/>
        <v>0</v>
      </c>
      <c r="DB14" s="74">
        <f t="shared" si="38"/>
        <v>0</v>
      </c>
      <c r="DC14" s="81"/>
      <c r="DD14" s="81"/>
      <c r="DE14" s="81">
        <v>6750</v>
      </c>
      <c r="DF14" s="81"/>
      <c r="DG14" s="74">
        <f t="shared" si="39"/>
        <v>6750</v>
      </c>
      <c r="DH14" s="74">
        <f t="shared" si="39"/>
        <v>0</v>
      </c>
      <c r="DI14" s="74">
        <f t="shared" si="11"/>
        <v>0</v>
      </c>
      <c r="DJ14" s="74">
        <f t="shared" si="12"/>
        <v>0</v>
      </c>
      <c r="DK14" s="74">
        <f t="shared" si="13"/>
        <v>27000</v>
      </c>
      <c r="DL14" s="74">
        <f t="shared" si="14"/>
        <v>0</v>
      </c>
      <c r="DM14" s="74">
        <f t="shared" si="40"/>
        <v>27000</v>
      </c>
      <c r="DN14" s="74">
        <f t="shared" si="40"/>
        <v>0</v>
      </c>
    </row>
    <row r="15" spans="1:118" s="278" customFormat="1">
      <c r="A15" s="253">
        <v>7</v>
      </c>
      <c r="B15" s="276" t="s">
        <v>581</v>
      </c>
      <c r="C15" s="276" t="s">
        <v>582</v>
      </c>
      <c r="D15" s="276" t="s">
        <v>584</v>
      </c>
      <c r="E15" s="276" t="s">
        <v>1165</v>
      </c>
      <c r="F15" s="255">
        <f t="shared" si="15"/>
        <v>650000</v>
      </c>
      <c r="G15" s="255">
        <f>DN15</f>
        <v>461083.6</v>
      </c>
      <c r="H15" s="256">
        <f t="shared" si="16"/>
        <v>650000</v>
      </c>
      <c r="I15" s="281">
        <v>4720000</v>
      </c>
      <c r="J15" s="255">
        <v>0</v>
      </c>
      <c r="K15" s="255">
        <v>0</v>
      </c>
      <c r="L15" s="255">
        <f t="shared" si="17"/>
        <v>0</v>
      </c>
      <c r="M15" s="255">
        <f t="shared" si="18"/>
        <v>0</v>
      </c>
      <c r="N15" s="255">
        <f t="shared" si="19"/>
        <v>0</v>
      </c>
      <c r="O15" s="255">
        <f t="shared" si="20"/>
        <v>650000</v>
      </c>
      <c r="P15" s="255">
        <f t="shared" si="21"/>
        <v>461083.6</v>
      </c>
      <c r="Q15" s="282"/>
      <c r="R15" s="282"/>
      <c r="S15" s="282">
        <f t="shared" si="42"/>
        <v>0</v>
      </c>
      <c r="T15" s="282">
        <f t="shared" si="41"/>
        <v>0</v>
      </c>
      <c r="U15" s="282"/>
      <c r="V15" s="282"/>
      <c r="W15" s="282"/>
      <c r="X15" s="282"/>
      <c r="Y15" s="258">
        <f t="shared" si="22"/>
        <v>0</v>
      </c>
      <c r="Z15" s="258">
        <f t="shared" si="22"/>
        <v>0</v>
      </c>
      <c r="AA15" s="282"/>
      <c r="AB15" s="282"/>
      <c r="AC15" s="282"/>
      <c r="AD15" s="282"/>
      <c r="AE15" s="258">
        <f t="shared" si="23"/>
        <v>0</v>
      </c>
      <c r="AF15" s="258">
        <f t="shared" si="23"/>
        <v>0</v>
      </c>
      <c r="AG15" s="258">
        <f t="shared" si="24"/>
        <v>0</v>
      </c>
      <c r="AH15" s="258">
        <f t="shared" si="25"/>
        <v>0</v>
      </c>
      <c r="AI15" s="258">
        <f t="shared" si="25"/>
        <v>0</v>
      </c>
      <c r="AJ15" s="258">
        <f t="shared" si="26"/>
        <v>0</v>
      </c>
      <c r="AK15" s="258">
        <f t="shared" si="27"/>
        <v>0</v>
      </c>
      <c r="AL15" s="258">
        <f t="shared" si="27"/>
        <v>0</v>
      </c>
      <c r="AM15" s="282"/>
      <c r="AN15" s="282"/>
      <c r="AO15" s="282">
        <v>650000</v>
      </c>
      <c r="AP15" s="342">
        <f>117000+52000+74000+65000+65000+75000</f>
        <v>448000</v>
      </c>
      <c r="AQ15" s="258">
        <f t="shared" si="28"/>
        <v>650000</v>
      </c>
      <c r="AR15" s="258">
        <f t="shared" si="28"/>
        <v>448000</v>
      </c>
      <c r="AS15" s="282"/>
      <c r="AT15" s="282"/>
      <c r="AU15" s="282"/>
      <c r="AV15" s="342">
        <f>1910.31+2183.81+2039.36+1803.37+1841.5+3305.25</f>
        <v>13083.599999999999</v>
      </c>
      <c r="AW15" s="258">
        <f t="shared" si="29"/>
        <v>0</v>
      </c>
      <c r="AX15" s="258">
        <f t="shared" si="29"/>
        <v>13083.599999999999</v>
      </c>
      <c r="AY15" s="282"/>
      <c r="AZ15" s="282"/>
      <c r="BA15" s="282"/>
      <c r="BB15" s="282"/>
      <c r="BC15" s="258">
        <f t="shared" si="30"/>
        <v>0</v>
      </c>
      <c r="BD15" s="258"/>
      <c r="BE15" s="258">
        <f t="shared" si="9"/>
        <v>0</v>
      </c>
      <c r="BF15" s="282"/>
      <c r="BG15" s="282"/>
      <c r="BH15" s="282"/>
      <c r="BI15" s="282"/>
      <c r="BJ15" s="258">
        <f t="shared" si="31"/>
        <v>0</v>
      </c>
      <c r="BK15" s="258"/>
      <c r="BL15" s="258">
        <f t="shared" si="10"/>
        <v>0</v>
      </c>
      <c r="BM15" s="282"/>
      <c r="BN15" s="282"/>
      <c r="BO15" s="282"/>
      <c r="BP15" s="282"/>
      <c r="BQ15" s="258">
        <f t="shared" si="32"/>
        <v>0</v>
      </c>
      <c r="BR15" s="258">
        <f t="shared" si="32"/>
        <v>0</v>
      </c>
      <c r="BS15" s="282"/>
      <c r="BT15" s="282"/>
      <c r="BU15" s="282"/>
      <c r="BV15" s="282"/>
      <c r="BW15" s="258">
        <f t="shared" si="33"/>
        <v>0</v>
      </c>
      <c r="BX15" s="258">
        <f t="shared" si="33"/>
        <v>0</v>
      </c>
      <c r="BY15" s="282"/>
      <c r="BZ15" s="282"/>
      <c r="CA15" s="282"/>
      <c r="CB15" s="282"/>
      <c r="CC15" s="258">
        <f t="shared" si="34"/>
        <v>0</v>
      </c>
      <c r="CD15" s="258">
        <f t="shared" si="34"/>
        <v>0</v>
      </c>
      <c r="CE15" s="282"/>
      <c r="CF15" s="282"/>
      <c r="CG15" s="282"/>
      <c r="CH15" s="282"/>
      <c r="CI15" s="258">
        <f t="shared" si="35"/>
        <v>0</v>
      </c>
      <c r="CJ15" s="258">
        <f t="shared" si="35"/>
        <v>0</v>
      </c>
      <c r="CK15" s="282"/>
      <c r="CL15" s="282"/>
      <c r="CM15" s="282"/>
      <c r="CN15" s="282"/>
      <c r="CO15" s="258">
        <f t="shared" si="36"/>
        <v>0</v>
      </c>
      <c r="CP15" s="258">
        <f t="shared" si="36"/>
        <v>0</v>
      </c>
      <c r="CQ15" s="282"/>
      <c r="CR15" s="282"/>
      <c r="CS15" s="282"/>
      <c r="CT15" s="282"/>
      <c r="CU15" s="258">
        <f t="shared" si="37"/>
        <v>0</v>
      </c>
      <c r="CV15" s="258">
        <f t="shared" si="37"/>
        <v>0</v>
      </c>
      <c r="CW15" s="282"/>
      <c r="CX15" s="282"/>
      <c r="CY15" s="282"/>
      <c r="CZ15" s="282"/>
      <c r="DA15" s="258">
        <f t="shared" si="38"/>
        <v>0</v>
      </c>
      <c r="DB15" s="258">
        <f t="shared" si="38"/>
        <v>0</v>
      </c>
      <c r="DC15" s="282"/>
      <c r="DD15" s="282"/>
      <c r="DE15" s="282"/>
      <c r="DF15" s="282"/>
      <c r="DG15" s="258">
        <f t="shared" si="39"/>
        <v>0</v>
      </c>
      <c r="DH15" s="258">
        <f t="shared" si="39"/>
        <v>0</v>
      </c>
      <c r="DI15" s="258">
        <f t="shared" si="11"/>
        <v>0</v>
      </c>
      <c r="DJ15" s="258">
        <f t="shared" si="12"/>
        <v>0</v>
      </c>
      <c r="DK15" s="258">
        <f t="shared" si="13"/>
        <v>650000</v>
      </c>
      <c r="DL15" s="258">
        <f t="shared" si="14"/>
        <v>461083.6</v>
      </c>
      <c r="DM15" s="258">
        <f t="shared" si="40"/>
        <v>650000</v>
      </c>
      <c r="DN15" s="258">
        <f t="shared" si="40"/>
        <v>461083.6</v>
      </c>
    </row>
    <row r="16" spans="1:118">
      <c r="A16" s="25">
        <v>8</v>
      </c>
      <c r="B16" s="26" t="s">
        <v>573</v>
      </c>
      <c r="C16" s="26" t="s">
        <v>585</v>
      </c>
      <c r="D16" s="26" t="s">
        <v>586</v>
      </c>
      <c r="E16" s="205" t="s">
        <v>1164</v>
      </c>
      <c r="F16" s="161">
        <f t="shared" si="15"/>
        <v>35000</v>
      </c>
      <c r="G16" s="161">
        <f t="shared" ref="G16" si="43">DN16</f>
        <v>0</v>
      </c>
      <c r="H16" s="165">
        <f t="shared" si="16"/>
        <v>35000</v>
      </c>
      <c r="I16" s="80">
        <v>0</v>
      </c>
      <c r="J16" s="127">
        <v>0</v>
      </c>
      <c r="K16" s="243">
        <v>0</v>
      </c>
      <c r="L16" s="127">
        <f t="shared" si="17"/>
        <v>0</v>
      </c>
      <c r="M16" s="127">
        <f t="shared" si="18"/>
        <v>0</v>
      </c>
      <c r="N16" s="127">
        <f t="shared" si="19"/>
        <v>0</v>
      </c>
      <c r="O16" s="131">
        <f t="shared" si="20"/>
        <v>35000</v>
      </c>
      <c r="P16" s="125" t="str">
        <f t="shared" si="21"/>
        <v>ნულოვანი შესრულება</v>
      </c>
      <c r="Q16" s="81"/>
      <c r="R16" s="81"/>
      <c r="S16" s="81">
        <f t="shared" si="42"/>
        <v>0</v>
      </c>
      <c r="T16" s="81">
        <f t="shared" si="41"/>
        <v>0</v>
      </c>
      <c r="U16" s="81"/>
      <c r="V16" s="81"/>
      <c r="W16" s="81"/>
      <c r="X16" s="81"/>
      <c r="Y16" s="74">
        <f t="shared" si="22"/>
        <v>0</v>
      </c>
      <c r="Z16" s="74">
        <f t="shared" si="22"/>
        <v>0</v>
      </c>
      <c r="AA16" s="81"/>
      <c r="AB16" s="81"/>
      <c r="AC16" s="81"/>
      <c r="AD16" s="81"/>
      <c r="AE16" s="74">
        <f t="shared" si="23"/>
        <v>0</v>
      </c>
      <c r="AF16" s="74">
        <f t="shared" si="23"/>
        <v>0</v>
      </c>
      <c r="AG16" s="74">
        <f t="shared" si="24"/>
        <v>0</v>
      </c>
      <c r="AH16" s="74">
        <f t="shared" si="25"/>
        <v>0</v>
      </c>
      <c r="AI16" s="74">
        <f t="shared" si="25"/>
        <v>0</v>
      </c>
      <c r="AJ16" s="74">
        <f t="shared" si="26"/>
        <v>0</v>
      </c>
      <c r="AK16" s="74">
        <f t="shared" si="27"/>
        <v>0</v>
      </c>
      <c r="AL16" s="74">
        <f t="shared" si="27"/>
        <v>0</v>
      </c>
      <c r="AM16" s="81"/>
      <c r="AN16" s="81"/>
      <c r="AO16" s="81"/>
      <c r="AP16" s="81"/>
      <c r="AQ16" s="74">
        <f t="shared" si="28"/>
        <v>0</v>
      </c>
      <c r="AR16" s="74">
        <f t="shared" si="28"/>
        <v>0</v>
      </c>
      <c r="AS16" s="81"/>
      <c r="AT16" s="81"/>
      <c r="AU16" s="81"/>
      <c r="AV16" s="81"/>
      <c r="AW16" s="74">
        <f t="shared" si="29"/>
        <v>0</v>
      </c>
      <c r="AX16" s="74">
        <f t="shared" si="29"/>
        <v>0</v>
      </c>
      <c r="AY16" s="81"/>
      <c r="AZ16" s="81"/>
      <c r="BA16" s="81"/>
      <c r="BB16" s="81"/>
      <c r="BC16" s="74">
        <f t="shared" si="30"/>
        <v>0</v>
      </c>
      <c r="BD16" s="74"/>
      <c r="BE16" s="74">
        <f t="shared" si="9"/>
        <v>0</v>
      </c>
      <c r="BF16" s="81"/>
      <c r="BG16" s="81"/>
      <c r="BH16" s="81">
        <f>20000*1.75</f>
        <v>35000</v>
      </c>
      <c r="BI16" s="81"/>
      <c r="BJ16" s="74">
        <f t="shared" si="31"/>
        <v>35000</v>
      </c>
      <c r="BK16" s="74"/>
      <c r="BL16" s="74">
        <f t="shared" si="10"/>
        <v>0</v>
      </c>
      <c r="BM16" s="81"/>
      <c r="BN16" s="81"/>
      <c r="BO16" s="81"/>
      <c r="BP16" s="81"/>
      <c r="BQ16" s="74">
        <f t="shared" si="32"/>
        <v>0</v>
      </c>
      <c r="BR16" s="74">
        <f t="shared" si="32"/>
        <v>0</v>
      </c>
      <c r="BS16" s="81"/>
      <c r="BT16" s="81"/>
      <c r="BU16" s="81"/>
      <c r="BV16" s="81"/>
      <c r="BW16" s="74">
        <f t="shared" si="33"/>
        <v>0</v>
      </c>
      <c r="BX16" s="74">
        <f t="shared" si="33"/>
        <v>0</v>
      </c>
      <c r="BY16" s="81"/>
      <c r="BZ16" s="81"/>
      <c r="CA16" s="81"/>
      <c r="CB16" s="81"/>
      <c r="CC16" s="74">
        <f t="shared" si="34"/>
        <v>0</v>
      </c>
      <c r="CD16" s="74">
        <f t="shared" si="34"/>
        <v>0</v>
      </c>
      <c r="CE16" s="81"/>
      <c r="CF16" s="81"/>
      <c r="CG16" s="81"/>
      <c r="CH16" s="81"/>
      <c r="CI16" s="74">
        <f t="shared" si="35"/>
        <v>0</v>
      </c>
      <c r="CJ16" s="74">
        <f t="shared" si="35"/>
        <v>0</v>
      </c>
      <c r="CK16" s="81"/>
      <c r="CL16" s="81"/>
      <c r="CM16" s="81"/>
      <c r="CN16" s="81"/>
      <c r="CO16" s="74">
        <f t="shared" si="36"/>
        <v>0</v>
      </c>
      <c r="CP16" s="74">
        <f t="shared" si="36"/>
        <v>0</v>
      </c>
      <c r="CQ16" s="81"/>
      <c r="CR16" s="81"/>
      <c r="CS16" s="81"/>
      <c r="CT16" s="81"/>
      <c r="CU16" s="74">
        <f t="shared" si="37"/>
        <v>0</v>
      </c>
      <c r="CV16" s="74">
        <f t="shared" si="37"/>
        <v>0</v>
      </c>
      <c r="CW16" s="81"/>
      <c r="CX16" s="81"/>
      <c r="CY16" s="81"/>
      <c r="CZ16" s="81"/>
      <c r="DA16" s="74">
        <f t="shared" si="38"/>
        <v>0</v>
      </c>
      <c r="DB16" s="74">
        <f t="shared" si="38"/>
        <v>0</v>
      </c>
      <c r="DC16" s="81"/>
      <c r="DD16" s="81"/>
      <c r="DE16" s="81"/>
      <c r="DF16" s="81"/>
      <c r="DG16" s="74">
        <f t="shared" si="39"/>
        <v>0</v>
      </c>
      <c r="DH16" s="74">
        <f t="shared" si="39"/>
        <v>0</v>
      </c>
      <c r="DI16" s="74">
        <f t="shared" si="11"/>
        <v>0</v>
      </c>
      <c r="DJ16" s="74">
        <f t="shared" si="12"/>
        <v>0</v>
      </c>
      <c r="DK16" s="74">
        <f t="shared" si="13"/>
        <v>35000</v>
      </c>
      <c r="DL16" s="74">
        <f t="shared" si="14"/>
        <v>0</v>
      </c>
      <c r="DM16" s="74">
        <f t="shared" si="40"/>
        <v>35000</v>
      </c>
      <c r="DN16" s="74">
        <f t="shared" si="40"/>
        <v>0</v>
      </c>
    </row>
    <row r="17" spans="1:118" s="278" customFormat="1">
      <c r="A17" s="253">
        <v>9</v>
      </c>
      <c r="B17" s="276" t="s">
        <v>573</v>
      </c>
      <c r="C17" s="276" t="s">
        <v>585</v>
      </c>
      <c r="D17" s="276" t="s">
        <v>587</v>
      </c>
      <c r="E17" s="276" t="s">
        <v>1165</v>
      </c>
      <c r="F17" s="255">
        <f t="shared" si="15"/>
        <v>0</v>
      </c>
      <c r="G17" s="255">
        <f>DN17</f>
        <v>0</v>
      </c>
      <c r="H17" s="256">
        <f t="shared" si="16"/>
        <v>0</v>
      </c>
      <c r="I17" s="281">
        <v>1190057.1399999999</v>
      </c>
      <c r="J17" s="255">
        <v>0</v>
      </c>
      <c r="K17" s="284">
        <v>0</v>
      </c>
      <c r="L17" s="255">
        <f t="shared" si="17"/>
        <v>0</v>
      </c>
      <c r="M17" s="255">
        <f t="shared" si="18"/>
        <v>0</v>
      </c>
      <c r="N17" s="255">
        <f t="shared" si="19"/>
        <v>0</v>
      </c>
      <c r="O17" s="255">
        <f t="shared" si="20"/>
        <v>0</v>
      </c>
      <c r="P17" s="255" t="str">
        <f t="shared" si="21"/>
        <v>ნულოვანი შესრულება</v>
      </c>
      <c r="Q17" s="282"/>
      <c r="R17" s="282"/>
      <c r="S17" s="282">
        <f t="shared" si="42"/>
        <v>0</v>
      </c>
      <c r="T17" s="282">
        <f t="shared" si="41"/>
        <v>0</v>
      </c>
      <c r="U17" s="282"/>
      <c r="V17" s="282"/>
      <c r="W17" s="282"/>
      <c r="X17" s="282"/>
      <c r="Y17" s="258">
        <f t="shared" si="22"/>
        <v>0</v>
      </c>
      <c r="Z17" s="258">
        <f t="shared" si="22"/>
        <v>0</v>
      </c>
      <c r="AA17" s="282"/>
      <c r="AB17" s="282"/>
      <c r="AC17" s="282"/>
      <c r="AD17" s="282"/>
      <c r="AE17" s="258">
        <f t="shared" si="23"/>
        <v>0</v>
      </c>
      <c r="AF17" s="258">
        <f t="shared" si="23"/>
        <v>0</v>
      </c>
      <c r="AG17" s="258">
        <f t="shared" si="24"/>
        <v>0</v>
      </c>
      <c r="AH17" s="258">
        <f t="shared" si="25"/>
        <v>0</v>
      </c>
      <c r="AI17" s="258">
        <f t="shared" si="25"/>
        <v>0</v>
      </c>
      <c r="AJ17" s="258">
        <f t="shared" si="26"/>
        <v>0</v>
      </c>
      <c r="AK17" s="258">
        <f t="shared" si="27"/>
        <v>0</v>
      </c>
      <c r="AL17" s="258">
        <f t="shared" si="27"/>
        <v>0</v>
      </c>
      <c r="AM17" s="282"/>
      <c r="AN17" s="282"/>
      <c r="AO17" s="282"/>
      <c r="AP17" s="282"/>
      <c r="AQ17" s="258">
        <f t="shared" si="28"/>
        <v>0</v>
      </c>
      <c r="AR17" s="258">
        <f t="shared" si="28"/>
        <v>0</v>
      </c>
      <c r="AS17" s="282"/>
      <c r="AT17" s="282"/>
      <c r="AU17" s="282"/>
      <c r="AV17" s="282"/>
      <c r="AW17" s="258">
        <f t="shared" si="29"/>
        <v>0</v>
      </c>
      <c r="AX17" s="258">
        <f t="shared" si="29"/>
        <v>0</v>
      </c>
      <c r="AY17" s="282"/>
      <c r="AZ17" s="282"/>
      <c r="BA17" s="282"/>
      <c r="BB17" s="282"/>
      <c r="BC17" s="258">
        <f t="shared" si="30"/>
        <v>0</v>
      </c>
      <c r="BD17" s="258"/>
      <c r="BE17" s="258">
        <f t="shared" si="9"/>
        <v>0</v>
      </c>
      <c r="BF17" s="282"/>
      <c r="BG17" s="282"/>
      <c r="BH17" s="282"/>
      <c r="BI17" s="282"/>
      <c r="BJ17" s="258">
        <f t="shared" si="31"/>
        <v>0</v>
      </c>
      <c r="BK17" s="258"/>
      <c r="BL17" s="258">
        <f t="shared" si="10"/>
        <v>0</v>
      </c>
      <c r="BM17" s="282"/>
      <c r="BN17" s="282"/>
      <c r="BO17" s="282"/>
      <c r="BP17" s="282"/>
      <c r="BQ17" s="258">
        <f t="shared" si="32"/>
        <v>0</v>
      </c>
      <c r="BR17" s="258">
        <f t="shared" si="32"/>
        <v>0</v>
      </c>
      <c r="BS17" s="282"/>
      <c r="BT17" s="282"/>
      <c r="BU17" s="282"/>
      <c r="BV17" s="282"/>
      <c r="BW17" s="258">
        <f t="shared" si="33"/>
        <v>0</v>
      </c>
      <c r="BX17" s="258">
        <f t="shared" si="33"/>
        <v>0</v>
      </c>
      <c r="BY17" s="282"/>
      <c r="BZ17" s="282"/>
      <c r="CA17" s="282"/>
      <c r="CB17" s="282"/>
      <c r="CC17" s="258">
        <f t="shared" si="34"/>
        <v>0</v>
      </c>
      <c r="CD17" s="258">
        <f t="shared" si="34"/>
        <v>0</v>
      </c>
      <c r="CE17" s="282"/>
      <c r="CF17" s="282"/>
      <c r="CG17" s="282"/>
      <c r="CH17" s="282"/>
      <c r="CI17" s="258">
        <f t="shared" si="35"/>
        <v>0</v>
      </c>
      <c r="CJ17" s="258">
        <f t="shared" si="35"/>
        <v>0</v>
      </c>
      <c r="CK17" s="282"/>
      <c r="CL17" s="282"/>
      <c r="CM17" s="282"/>
      <c r="CN17" s="282"/>
      <c r="CO17" s="258">
        <f t="shared" si="36"/>
        <v>0</v>
      </c>
      <c r="CP17" s="258">
        <f t="shared" si="36"/>
        <v>0</v>
      </c>
      <c r="CQ17" s="282"/>
      <c r="CR17" s="282"/>
      <c r="CS17" s="282"/>
      <c r="CT17" s="282"/>
      <c r="CU17" s="258">
        <f t="shared" si="37"/>
        <v>0</v>
      </c>
      <c r="CV17" s="258">
        <f t="shared" si="37"/>
        <v>0</v>
      </c>
      <c r="CW17" s="282"/>
      <c r="CX17" s="282"/>
      <c r="CY17" s="282"/>
      <c r="CZ17" s="282"/>
      <c r="DA17" s="258">
        <f t="shared" si="38"/>
        <v>0</v>
      </c>
      <c r="DB17" s="258">
        <f t="shared" si="38"/>
        <v>0</v>
      </c>
      <c r="DC17" s="282"/>
      <c r="DD17" s="282"/>
      <c r="DE17" s="282"/>
      <c r="DF17" s="282"/>
      <c r="DG17" s="258">
        <f t="shared" si="39"/>
        <v>0</v>
      </c>
      <c r="DH17" s="258">
        <f t="shared" si="39"/>
        <v>0</v>
      </c>
      <c r="DI17" s="258">
        <f t="shared" si="11"/>
        <v>0</v>
      </c>
      <c r="DJ17" s="258">
        <f t="shared" si="12"/>
        <v>0</v>
      </c>
      <c r="DK17" s="258">
        <f t="shared" si="13"/>
        <v>0</v>
      </c>
      <c r="DL17" s="258">
        <f t="shared" si="14"/>
        <v>0</v>
      </c>
      <c r="DM17" s="258">
        <f t="shared" si="40"/>
        <v>0</v>
      </c>
      <c r="DN17" s="258">
        <f t="shared" si="40"/>
        <v>0</v>
      </c>
    </row>
    <row r="18" spans="1:118">
      <c r="A18" s="25">
        <v>10</v>
      </c>
      <c r="B18" s="26" t="s">
        <v>581</v>
      </c>
      <c r="C18" s="26" t="s">
        <v>588</v>
      </c>
      <c r="D18" s="26" t="s">
        <v>589</v>
      </c>
      <c r="E18" s="205" t="s">
        <v>1164</v>
      </c>
      <c r="F18" s="161">
        <f t="shared" si="15"/>
        <v>0</v>
      </c>
      <c r="G18" s="161">
        <f t="shared" ref="G18:G26" si="44">DN18</f>
        <v>0</v>
      </c>
      <c r="H18" s="165">
        <f t="shared" si="16"/>
        <v>7001.75</v>
      </c>
      <c r="I18" s="80">
        <v>0</v>
      </c>
      <c r="J18" s="127">
        <v>0</v>
      </c>
      <c r="K18" s="127">
        <v>0</v>
      </c>
      <c r="L18" s="127">
        <f t="shared" si="17"/>
        <v>7001.75</v>
      </c>
      <c r="M18" s="127">
        <f t="shared" si="18"/>
        <v>7001.75</v>
      </c>
      <c r="N18" s="127">
        <f t="shared" si="19"/>
        <v>7001.75</v>
      </c>
      <c r="O18" s="131">
        <f t="shared" si="20"/>
        <v>0</v>
      </c>
      <c r="P18" s="125">
        <f t="shared" si="21"/>
        <v>7001.75</v>
      </c>
      <c r="Q18" s="81"/>
      <c r="R18" s="81">
        <v>7001.75</v>
      </c>
      <c r="S18" s="81">
        <f t="shared" si="42"/>
        <v>0</v>
      </c>
      <c r="T18" s="81">
        <f t="shared" si="41"/>
        <v>7001.75</v>
      </c>
      <c r="U18" s="81"/>
      <c r="V18" s="81"/>
      <c r="W18" s="81"/>
      <c r="X18" s="81"/>
      <c r="Y18" s="74">
        <f t="shared" si="22"/>
        <v>0</v>
      </c>
      <c r="Z18" s="74">
        <f t="shared" si="22"/>
        <v>0</v>
      </c>
      <c r="AA18" s="81"/>
      <c r="AB18" s="81"/>
      <c r="AC18" s="81"/>
      <c r="AD18" s="81"/>
      <c r="AE18" s="74">
        <f t="shared" si="23"/>
        <v>0</v>
      </c>
      <c r="AF18" s="74">
        <f t="shared" si="23"/>
        <v>0</v>
      </c>
      <c r="AG18" s="74">
        <f t="shared" si="24"/>
        <v>0</v>
      </c>
      <c r="AH18" s="74">
        <f t="shared" si="25"/>
        <v>0</v>
      </c>
      <c r="AI18" s="74">
        <f t="shared" si="25"/>
        <v>7001.75</v>
      </c>
      <c r="AJ18" s="74">
        <f t="shared" si="26"/>
        <v>7001.75</v>
      </c>
      <c r="AK18" s="74">
        <f t="shared" si="27"/>
        <v>7001.75</v>
      </c>
      <c r="AL18" s="74">
        <f t="shared" si="27"/>
        <v>7001.75</v>
      </c>
      <c r="AM18" s="81"/>
      <c r="AN18" s="81"/>
      <c r="AO18" s="81"/>
      <c r="AP18" s="81"/>
      <c r="AQ18" s="74">
        <f t="shared" si="28"/>
        <v>0</v>
      </c>
      <c r="AR18" s="74">
        <f t="shared" si="28"/>
        <v>0</v>
      </c>
      <c r="AS18" s="81"/>
      <c r="AT18" s="81"/>
      <c r="AU18" s="81"/>
      <c r="AV18" s="81"/>
      <c r="AW18" s="74">
        <f t="shared" si="29"/>
        <v>0</v>
      </c>
      <c r="AX18" s="74">
        <f t="shared" si="29"/>
        <v>0</v>
      </c>
      <c r="AY18" s="81"/>
      <c r="AZ18" s="81"/>
      <c r="BA18" s="81"/>
      <c r="BB18" s="81"/>
      <c r="BC18" s="74">
        <f t="shared" si="30"/>
        <v>0</v>
      </c>
      <c r="BD18" s="74"/>
      <c r="BE18" s="74">
        <f t="shared" si="9"/>
        <v>0</v>
      </c>
      <c r="BF18" s="81"/>
      <c r="BG18" s="81"/>
      <c r="BH18" s="81"/>
      <c r="BI18" s="81"/>
      <c r="BJ18" s="74">
        <f t="shared" si="31"/>
        <v>0</v>
      </c>
      <c r="BK18" s="74"/>
      <c r="BL18" s="74">
        <f t="shared" si="10"/>
        <v>0</v>
      </c>
      <c r="BM18" s="81"/>
      <c r="BN18" s="81"/>
      <c r="BO18" s="81"/>
      <c r="BP18" s="81"/>
      <c r="BQ18" s="74">
        <f t="shared" si="32"/>
        <v>0</v>
      </c>
      <c r="BR18" s="74">
        <f t="shared" si="32"/>
        <v>0</v>
      </c>
      <c r="BS18" s="81"/>
      <c r="BT18" s="81"/>
      <c r="BU18" s="81"/>
      <c r="BV18" s="81"/>
      <c r="BW18" s="74">
        <f t="shared" si="33"/>
        <v>0</v>
      </c>
      <c r="BX18" s="74">
        <f t="shared" si="33"/>
        <v>0</v>
      </c>
      <c r="BY18" s="81"/>
      <c r="BZ18" s="81"/>
      <c r="CA18" s="81"/>
      <c r="CB18" s="81"/>
      <c r="CC18" s="74">
        <f t="shared" si="34"/>
        <v>0</v>
      </c>
      <c r="CD18" s="74">
        <f t="shared" si="34"/>
        <v>0</v>
      </c>
      <c r="CE18" s="81"/>
      <c r="CF18" s="81"/>
      <c r="CG18" s="81"/>
      <c r="CH18" s="81"/>
      <c r="CI18" s="74">
        <f t="shared" si="35"/>
        <v>0</v>
      </c>
      <c r="CJ18" s="74">
        <f t="shared" si="35"/>
        <v>0</v>
      </c>
      <c r="CK18" s="81"/>
      <c r="CL18" s="81"/>
      <c r="CM18" s="81"/>
      <c r="CN18" s="81"/>
      <c r="CO18" s="74">
        <f t="shared" si="36"/>
        <v>0</v>
      </c>
      <c r="CP18" s="74">
        <f t="shared" si="36"/>
        <v>0</v>
      </c>
      <c r="CQ18" s="81"/>
      <c r="CR18" s="81"/>
      <c r="CS18" s="81"/>
      <c r="CT18" s="81"/>
      <c r="CU18" s="74">
        <f t="shared" si="37"/>
        <v>0</v>
      </c>
      <c r="CV18" s="74">
        <f t="shared" si="37"/>
        <v>0</v>
      </c>
      <c r="CW18" s="81"/>
      <c r="CX18" s="81"/>
      <c r="CY18" s="81"/>
      <c r="CZ18" s="81"/>
      <c r="DA18" s="74">
        <f t="shared" si="38"/>
        <v>0</v>
      </c>
      <c r="DB18" s="74">
        <f t="shared" si="38"/>
        <v>0</v>
      </c>
      <c r="DC18" s="81"/>
      <c r="DD18" s="81"/>
      <c r="DE18" s="81"/>
      <c r="DF18" s="81"/>
      <c r="DG18" s="74">
        <f t="shared" si="39"/>
        <v>0</v>
      </c>
      <c r="DH18" s="74">
        <f t="shared" si="39"/>
        <v>0</v>
      </c>
      <c r="DI18" s="74">
        <f t="shared" si="11"/>
        <v>0</v>
      </c>
      <c r="DJ18" s="74">
        <f t="shared" si="12"/>
        <v>0</v>
      </c>
      <c r="DK18" s="74">
        <f t="shared" si="13"/>
        <v>0</v>
      </c>
      <c r="DL18" s="74">
        <f t="shared" si="14"/>
        <v>0</v>
      </c>
      <c r="DM18" s="74">
        <f t="shared" si="40"/>
        <v>0</v>
      </c>
      <c r="DN18" s="74">
        <f t="shared" si="40"/>
        <v>0</v>
      </c>
    </row>
    <row r="19" spans="1:118">
      <c r="A19" s="25">
        <v>11</v>
      </c>
      <c r="B19" s="26" t="s">
        <v>581</v>
      </c>
      <c r="C19" s="26" t="s">
        <v>588</v>
      </c>
      <c r="D19" s="26" t="s">
        <v>590</v>
      </c>
      <c r="E19" s="205" t="s">
        <v>1165</v>
      </c>
      <c r="F19" s="161">
        <f t="shared" si="15"/>
        <v>3500000</v>
      </c>
      <c r="G19" s="161">
        <f t="shared" si="44"/>
        <v>3868640</v>
      </c>
      <c r="H19" s="165">
        <f t="shared" si="16"/>
        <v>4500000</v>
      </c>
      <c r="I19" s="80">
        <v>1168200</v>
      </c>
      <c r="J19" s="127">
        <v>0</v>
      </c>
      <c r="K19" s="127">
        <v>0</v>
      </c>
      <c r="L19" s="127">
        <f t="shared" si="17"/>
        <v>1000000</v>
      </c>
      <c r="M19" s="127">
        <f t="shared" si="18"/>
        <v>0</v>
      </c>
      <c r="N19" s="127">
        <f t="shared" si="19"/>
        <v>1000000</v>
      </c>
      <c r="O19" s="131">
        <f t="shared" si="20"/>
        <v>3500000</v>
      </c>
      <c r="P19" s="125">
        <f t="shared" si="21"/>
        <v>4868640</v>
      </c>
      <c r="Q19" s="81">
        <v>1000000</v>
      </c>
      <c r="R19" s="81"/>
      <c r="S19" s="81">
        <f t="shared" si="42"/>
        <v>1000000</v>
      </c>
      <c r="T19" s="81">
        <f t="shared" si="41"/>
        <v>0</v>
      </c>
      <c r="U19" s="81"/>
      <c r="V19" s="81"/>
      <c r="W19" s="81"/>
      <c r="X19" s="81"/>
      <c r="Y19" s="74">
        <f t="shared" si="22"/>
        <v>0</v>
      </c>
      <c r="Z19" s="74">
        <f t="shared" si="22"/>
        <v>0</v>
      </c>
      <c r="AA19" s="81"/>
      <c r="AB19" s="81"/>
      <c r="AC19" s="81"/>
      <c r="AD19" s="81"/>
      <c r="AE19" s="74">
        <f t="shared" si="23"/>
        <v>0</v>
      </c>
      <c r="AF19" s="74">
        <f t="shared" si="23"/>
        <v>0</v>
      </c>
      <c r="AG19" s="74">
        <f t="shared" si="24"/>
        <v>1000000</v>
      </c>
      <c r="AH19" s="74">
        <f t="shared" si="25"/>
        <v>1000000</v>
      </c>
      <c r="AI19" s="74">
        <f t="shared" si="25"/>
        <v>0</v>
      </c>
      <c r="AJ19" s="74">
        <f t="shared" si="26"/>
        <v>0</v>
      </c>
      <c r="AK19" s="74">
        <f t="shared" si="27"/>
        <v>1000000</v>
      </c>
      <c r="AL19" s="74">
        <f t="shared" si="27"/>
        <v>1000000</v>
      </c>
      <c r="AM19" s="81">
        <v>1500000</v>
      </c>
      <c r="AN19" s="81">
        <v>1700000</v>
      </c>
      <c r="AO19" s="81"/>
      <c r="AP19" s="81"/>
      <c r="AQ19" s="74">
        <f t="shared" si="28"/>
        <v>1500000</v>
      </c>
      <c r="AR19" s="74">
        <f t="shared" si="28"/>
        <v>1700000</v>
      </c>
      <c r="AS19" s="81"/>
      <c r="AT19" s="81">
        <v>760000</v>
      </c>
      <c r="AU19" s="81">
        <v>2000000</v>
      </c>
      <c r="AV19" s="81">
        <v>0</v>
      </c>
      <c r="AW19" s="74">
        <f t="shared" si="29"/>
        <v>2000000</v>
      </c>
      <c r="AX19" s="74">
        <f>AT19+AV19</f>
        <v>760000</v>
      </c>
      <c r="AY19" s="81"/>
      <c r="AZ19" s="81">
        <v>1000000</v>
      </c>
      <c r="BA19" s="81"/>
      <c r="BB19" s="81"/>
      <c r="BC19" s="74">
        <f t="shared" si="30"/>
        <v>0</v>
      </c>
      <c r="BD19" s="74">
        <v>1000000</v>
      </c>
      <c r="BE19" s="74">
        <f t="shared" si="9"/>
        <v>1000000</v>
      </c>
      <c r="BF19" s="81"/>
      <c r="BG19" s="81"/>
      <c r="BH19" s="81"/>
      <c r="BI19" s="81"/>
      <c r="BJ19" s="74">
        <f t="shared" si="31"/>
        <v>0</v>
      </c>
      <c r="BK19" s="74">
        <v>163000</v>
      </c>
      <c r="BL19" s="74">
        <f t="shared" si="10"/>
        <v>0</v>
      </c>
      <c r="BM19" s="81"/>
      <c r="BN19" s="81"/>
      <c r="BO19" s="81"/>
      <c r="BP19" s="81">
        <v>408640</v>
      </c>
      <c r="BQ19" s="74">
        <f t="shared" si="32"/>
        <v>0</v>
      </c>
      <c r="BR19" s="74">
        <f t="shared" si="32"/>
        <v>408640</v>
      </c>
      <c r="BS19" s="81"/>
      <c r="BT19" s="81"/>
      <c r="BU19" s="81"/>
      <c r="BV19" s="81"/>
      <c r="BW19" s="74">
        <f t="shared" si="33"/>
        <v>0</v>
      </c>
      <c r="BX19" s="74">
        <f t="shared" si="33"/>
        <v>0</v>
      </c>
      <c r="BY19" s="81"/>
      <c r="BZ19" s="81"/>
      <c r="CA19" s="81"/>
      <c r="CB19" s="81"/>
      <c r="CC19" s="74">
        <f t="shared" si="34"/>
        <v>0</v>
      </c>
      <c r="CD19" s="74">
        <f t="shared" si="34"/>
        <v>0</v>
      </c>
      <c r="CE19" s="81"/>
      <c r="CF19" s="81"/>
      <c r="CG19" s="81"/>
      <c r="CH19" s="81"/>
      <c r="CI19" s="74">
        <f t="shared" si="35"/>
        <v>0</v>
      </c>
      <c r="CJ19" s="74">
        <f t="shared" si="35"/>
        <v>0</v>
      </c>
      <c r="CK19" s="81"/>
      <c r="CL19" s="81"/>
      <c r="CM19" s="81"/>
      <c r="CN19" s="81"/>
      <c r="CO19" s="74">
        <f t="shared" si="36"/>
        <v>0</v>
      </c>
      <c r="CP19" s="74">
        <f t="shared" si="36"/>
        <v>0</v>
      </c>
      <c r="CQ19" s="81"/>
      <c r="CR19" s="81"/>
      <c r="CS19" s="81"/>
      <c r="CT19" s="81"/>
      <c r="CU19" s="74">
        <f t="shared" si="37"/>
        <v>0</v>
      </c>
      <c r="CV19" s="74">
        <f t="shared" si="37"/>
        <v>0</v>
      </c>
      <c r="CW19" s="81"/>
      <c r="CX19" s="81"/>
      <c r="CY19" s="81"/>
      <c r="CZ19" s="81"/>
      <c r="DA19" s="74">
        <f t="shared" si="38"/>
        <v>0</v>
      </c>
      <c r="DB19" s="74">
        <f t="shared" si="38"/>
        <v>0</v>
      </c>
      <c r="DC19" s="81"/>
      <c r="DD19" s="81"/>
      <c r="DE19" s="81"/>
      <c r="DF19" s="81"/>
      <c r="DG19" s="74">
        <f t="shared" si="39"/>
        <v>0</v>
      </c>
      <c r="DH19" s="74">
        <f t="shared" si="39"/>
        <v>0</v>
      </c>
      <c r="DI19" s="74">
        <f t="shared" si="11"/>
        <v>1500000</v>
      </c>
      <c r="DJ19" s="74">
        <f t="shared" si="12"/>
        <v>3460000</v>
      </c>
      <c r="DK19" s="74">
        <f t="shared" si="13"/>
        <v>2000000</v>
      </c>
      <c r="DL19" s="74">
        <f t="shared" si="14"/>
        <v>408640</v>
      </c>
      <c r="DM19" s="74">
        <f t="shared" si="40"/>
        <v>3500000</v>
      </c>
      <c r="DN19" s="74">
        <f t="shared" si="40"/>
        <v>3868640</v>
      </c>
    </row>
    <row r="20" spans="1:118">
      <c r="A20" s="25">
        <v>12</v>
      </c>
      <c r="B20" s="26" t="s">
        <v>581</v>
      </c>
      <c r="C20" s="26" t="s">
        <v>591</v>
      </c>
      <c r="D20" s="26" t="s">
        <v>592</v>
      </c>
      <c r="E20" s="205" t="s">
        <v>1164</v>
      </c>
      <c r="F20" s="161">
        <f t="shared" si="15"/>
        <v>0</v>
      </c>
      <c r="G20" s="161">
        <f t="shared" si="44"/>
        <v>0</v>
      </c>
      <c r="H20" s="165">
        <f t="shared" si="16"/>
        <v>5731.25</v>
      </c>
      <c r="I20" s="80">
        <v>0</v>
      </c>
      <c r="J20" s="127">
        <v>0</v>
      </c>
      <c r="K20" s="127">
        <v>0</v>
      </c>
      <c r="L20" s="127">
        <f t="shared" si="17"/>
        <v>5731.25</v>
      </c>
      <c r="M20" s="127">
        <f t="shared" si="18"/>
        <v>5731.25</v>
      </c>
      <c r="N20" s="127">
        <f t="shared" si="19"/>
        <v>5731.25</v>
      </c>
      <c r="O20" s="131">
        <f t="shared" si="20"/>
        <v>0</v>
      </c>
      <c r="P20" s="125">
        <f t="shared" si="21"/>
        <v>5731.25</v>
      </c>
      <c r="Q20" s="81"/>
      <c r="R20" s="81">
        <v>5731.25</v>
      </c>
      <c r="S20" s="81">
        <f t="shared" si="42"/>
        <v>0</v>
      </c>
      <c r="T20" s="81">
        <f t="shared" si="41"/>
        <v>5731.25</v>
      </c>
      <c r="U20" s="81"/>
      <c r="V20" s="81"/>
      <c r="W20" s="81"/>
      <c r="X20" s="81"/>
      <c r="Y20" s="74">
        <f t="shared" si="22"/>
        <v>0</v>
      </c>
      <c r="Z20" s="74">
        <f t="shared" si="22"/>
        <v>0</v>
      </c>
      <c r="AA20" s="81"/>
      <c r="AB20" s="81"/>
      <c r="AC20" s="81"/>
      <c r="AD20" s="81"/>
      <c r="AE20" s="74">
        <f t="shared" si="23"/>
        <v>0</v>
      </c>
      <c r="AF20" s="74">
        <f t="shared" si="23"/>
        <v>0</v>
      </c>
      <c r="AG20" s="74">
        <f t="shared" si="24"/>
        <v>0</v>
      </c>
      <c r="AH20" s="74">
        <f t="shared" si="25"/>
        <v>0</v>
      </c>
      <c r="AI20" s="74">
        <f t="shared" si="25"/>
        <v>5731.25</v>
      </c>
      <c r="AJ20" s="74">
        <f t="shared" si="26"/>
        <v>5731.25</v>
      </c>
      <c r="AK20" s="74">
        <f t="shared" si="27"/>
        <v>5731.25</v>
      </c>
      <c r="AL20" s="74">
        <f t="shared" si="27"/>
        <v>5731.25</v>
      </c>
      <c r="AM20" s="81"/>
      <c r="AN20" s="81"/>
      <c r="AO20" s="81"/>
      <c r="AP20" s="81"/>
      <c r="AQ20" s="74">
        <f t="shared" si="28"/>
        <v>0</v>
      </c>
      <c r="AR20" s="74">
        <f t="shared" si="28"/>
        <v>0</v>
      </c>
      <c r="AS20" s="81"/>
      <c r="AT20" s="81"/>
      <c r="AU20" s="81"/>
      <c r="AV20" s="81"/>
      <c r="AW20" s="74">
        <f t="shared" si="29"/>
        <v>0</v>
      </c>
      <c r="AX20" s="74">
        <f t="shared" si="29"/>
        <v>0</v>
      </c>
      <c r="AY20" s="81"/>
      <c r="AZ20" s="81"/>
      <c r="BA20" s="81"/>
      <c r="BB20" s="81"/>
      <c r="BC20" s="74">
        <f t="shared" si="30"/>
        <v>0</v>
      </c>
      <c r="BD20" s="74"/>
      <c r="BE20" s="74">
        <f t="shared" si="9"/>
        <v>0</v>
      </c>
      <c r="BF20" s="81"/>
      <c r="BG20" s="81"/>
      <c r="BH20" s="81"/>
      <c r="BI20" s="81"/>
      <c r="BJ20" s="74">
        <f t="shared" si="31"/>
        <v>0</v>
      </c>
      <c r="BK20" s="74"/>
      <c r="BL20" s="74">
        <f t="shared" si="10"/>
        <v>0</v>
      </c>
      <c r="BM20" s="81"/>
      <c r="BN20" s="81"/>
      <c r="BO20" s="81"/>
      <c r="BP20" s="81"/>
      <c r="BQ20" s="74">
        <f t="shared" si="32"/>
        <v>0</v>
      </c>
      <c r="BR20" s="74">
        <f t="shared" si="32"/>
        <v>0</v>
      </c>
      <c r="BS20" s="81"/>
      <c r="BT20" s="81"/>
      <c r="BU20" s="81"/>
      <c r="BV20" s="81"/>
      <c r="BW20" s="74">
        <f t="shared" si="33"/>
        <v>0</v>
      </c>
      <c r="BX20" s="74">
        <f t="shared" si="33"/>
        <v>0</v>
      </c>
      <c r="BY20" s="81"/>
      <c r="BZ20" s="81"/>
      <c r="CA20" s="81"/>
      <c r="CB20" s="81"/>
      <c r="CC20" s="74">
        <f t="shared" si="34"/>
        <v>0</v>
      </c>
      <c r="CD20" s="74">
        <f t="shared" si="34"/>
        <v>0</v>
      </c>
      <c r="CE20" s="81"/>
      <c r="CF20" s="81"/>
      <c r="CG20" s="81"/>
      <c r="CH20" s="81"/>
      <c r="CI20" s="74">
        <f t="shared" si="35"/>
        <v>0</v>
      </c>
      <c r="CJ20" s="74">
        <f t="shared" si="35"/>
        <v>0</v>
      </c>
      <c r="CK20" s="81"/>
      <c r="CL20" s="81"/>
      <c r="CM20" s="81"/>
      <c r="CN20" s="81"/>
      <c r="CO20" s="74">
        <f t="shared" si="36"/>
        <v>0</v>
      </c>
      <c r="CP20" s="74">
        <f t="shared" si="36"/>
        <v>0</v>
      </c>
      <c r="CQ20" s="81"/>
      <c r="CR20" s="81"/>
      <c r="CS20" s="81"/>
      <c r="CT20" s="81"/>
      <c r="CU20" s="74">
        <f t="shared" si="37"/>
        <v>0</v>
      </c>
      <c r="CV20" s="74">
        <f t="shared" si="37"/>
        <v>0</v>
      </c>
      <c r="CW20" s="81"/>
      <c r="CX20" s="81"/>
      <c r="CY20" s="81"/>
      <c r="CZ20" s="81"/>
      <c r="DA20" s="74">
        <f t="shared" si="38"/>
        <v>0</v>
      </c>
      <c r="DB20" s="74">
        <f t="shared" si="38"/>
        <v>0</v>
      </c>
      <c r="DC20" s="81"/>
      <c r="DD20" s="81"/>
      <c r="DE20" s="81"/>
      <c r="DF20" s="81"/>
      <c r="DG20" s="74">
        <f t="shared" si="39"/>
        <v>0</v>
      </c>
      <c r="DH20" s="74">
        <f t="shared" si="39"/>
        <v>0</v>
      </c>
      <c r="DI20" s="74">
        <f t="shared" si="11"/>
        <v>0</v>
      </c>
      <c r="DJ20" s="74">
        <f t="shared" si="12"/>
        <v>0</v>
      </c>
      <c r="DK20" s="74">
        <f t="shared" si="13"/>
        <v>0</v>
      </c>
      <c r="DL20" s="74">
        <f t="shared" si="14"/>
        <v>0</v>
      </c>
      <c r="DM20" s="74">
        <f t="shared" si="40"/>
        <v>0</v>
      </c>
      <c r="DN20" s="74">
        <f t="shared" si="40"/>
        <v>0</v>
      </c>
    </row>
    <row r="21" spans="1:118">
      <c r="A21" s="25">
        <v>13</v>
      </c>
      <c r="B21" s="26" t="s">
        <v>581</v>
      </c>
      <c r="C21" s="26" t="s">
        <v>591</v>
      </c>
      <c r="D21" s="26" t="s">
        <v>593</v>
      </c>
      <c r="E21" s="205" t="s">
        <v>1165</v>
      </c>
      <c r="F21" s="161">
        <f t="shared" si="15"/>
        <v>0</v>
      </c>
      <c r="G21" s="161">
        <f t="shared" si="44"/>
        <v>0</v>
      </c>
      <c r="H21" s="165">
        <f t="shared" si="16"/>
        <v>0</v>
      </c>
      <c r="I21" s="80">
        <v>622450</v>
      </c>
      <c r="J21" s="127">
        <v>0</v>
      </c>
      <c r="K21" s="127">
        <v>0</v>
      </c>
      <c r="L21" s="127">
        <f t="shared" si="17"/>
        <v>0</v>
      </c>
      <c r="M21" s="127">
        <f t="shared" si="18"/>
        <v>0</v>
      </c>
      <c r="N21" s="127">
        <f t="shared" si="19"/>
        <v>0</v>
      </c>
      <c r="O21" s="131">
        <f t="shared" si="20"/>
        <v>0</v>
      </c>
      <c r="P21" s="125" t="str">
        <f t="shared" si="21"/>
        <v>ნულოვანი შესრულება</v>
      </c>
      <c r="Q21" s="81"/>
      <c r="R21" s="81"/>
      <c r="S21" s="81">
        <f t="shared" si="42"/>
        <v>0</v>
      </c>
      <c r="T21" s="81">
        <f t="shared" si="41"/>
        <v>0</v>
      </c>
      <c r="U21" s="81"/>
      <c r="V21" s="81"/>
      <c r="W21" s="81"/>
      <c r="X21" s="81"/>
      <c r="Y21" s="74">
        <f t="shared" si="22"/>
        <v>0</v>
      </c>
      <c r="Z21" s="74">
        <f t="shared" si="22"/>
        <v>0</v>
      </c>
      <c r="AA21" s="81"/>
      <c r="AB21" s="81"/>
      <c r="AC21" s="81"/>
      <c r="AD21" s="81"/>
      <c r="AE21" s="74">
        <f t="shared" si="23"/>
        <v>0</v>
      </c>
      <c r="AF21" s="74">
        <f t="shared" si="23"/>
        <v>0</v>
      </c>
      <c r="AG21" s="74">
        <f t="shared" si="24"/>
        <v>0</v>
      </c>
      <c r="AH21" s="74">
        <f t="shared" si="25"/>
        <v>0</v>
      </c>
      <c r="AI21" s="74">
        <f t="shared" si="25"/>
        <v>0</v>
      </c>
      <c r="AJ21" s="74">
        <f t="shared" si="26"/>
        <v>0</v>
      </c>
      <c r="AK21" s="74">
        <f t="shared" si="27"/>
        <v>0</v>
      </c>
      <c r="AL21" s="74">
        <f t="shared" si="27"/>
        <v>0</v>
      </c>
      <c r="AM21" s="81"/>
      <c r="AN21" s="81"/>
      <c r="AO21" s="81"/>
      <c r="AP21" s="81"/>
      <c r="AQ21" s="74">
        <f t="shared" si="28"/>
        <v>0</v>
      </c>
      <c r="AR21" s="74">
        <f t="shared" si="28"/>
        <v>0</v>
      </c>
      <c r="AS21" s="81"/>
      <c r="AT21" s="81"/>
      <c r="AU21" s="81"/>
      <c r="AV21" s="81"/>
      <c r="AW21" s="74">
        <f t="shared" si="29"/>
        <v>0</v>
      </c>
      <c r="AX21" s="74">
        <f t="shared" si="29"/>
        <v>0</v>
      </c>
      <c r="AY21" s="81"/>
      <c r="AZ21" s="81"/>
      <c r="BA21" s="81"/>
      <c r="BB21" s="81"/>
      <c r="BC21" s="74">
        <f t="shared" si="30"/>
        <v>0</v>
      </c>
      <c r="BD21" s="74"/>
      <c r="BE21" s="74">
        <f t="shared" si="9"/>
        <v>0</v>
      </c>
      <c r="BF21" s="81"/>
      <c r="BG21" s="81"/>
      <c r="BH21" s="81"/>
      <c r="BI21" s="81"/>
      <c r="BJ21" s="74">
        <f t="shared" si="31"/>
        <v>0</v>
      </c>
      <c r="BK21" s="74"/>
      <c r="BL21" s="74">
        <f t="shared" si="10"/>
        <v>0</v>
      </c>
      <c r="BM21" s="81"/>
      <c r="BN21" s="81"/>
      <c r="BO21" s="81"/>
      <c r="BP21" s="81"/>
      <c r="BQ21" s="74">
        <f t="shared" si="32"/>
        <v>0</v>
      </c>
      <c r="BR21" s="74">
        <f t="shared" si="32"/>
        <v>0</v>
      </c>
      <c r="BS21" s="81"/>
      <c r="BT21" s="81"/>
      <c r="BU21" s="81"/>
      <c r="BV21" s="81"/>
      <c r="BW21" s="74">
        <f t="shared" si="33"/>
        <v>0</v>
      </c>
      <c r="BX21" s="74">
        <f t="shared" si="33"/>
        <v>0</v>
      </c>
      <c r="BY21" s="81"/>
      <c r="BZ21" s="81"/>
      <c r="CA21" s="81"/>
      <c r="CB21" s="81"/>
      <c r="CC21" s="74">
        <f t="shared" si="34"/>
        <v>0</v>
      </c>
      <c r="CD21" s="74">
        <f t="shared" si="34"/>
        <v>0</v>
      </c>
      <c r="CE21" s="81"/>
      <c r="CF21" s="81"/>
      <c r="CG21" s="81"/>
      <c r="CH21" s="81"/>
      <c r="CI21" s="74">
        <f t="shared" si="35"/>
        <v>0</v>
      </c>
      <c r="CJ21" s="74">
        <f t="shared" si="35"/>
        <v>0</v>
      </c>
      <c r="CK21" s="81"/>
      <c r="CL21" s="81"/>
      <c r="CM21" s="81"/>
      <c r="CN21" s="81"/>
      <c r="CO21" s="74">
        <f t="shared" si="36"/>
        <v>0</v>
      </c>
      <c r="CP21" s="74">
        <f t="shared" si="36"/>
        <v>0</v>
      </c>
      <c r="CQ21" s="81"/>
      <c r="CR21" s="81"/>
      <c r="CS21" s="81"/>
      <c r="CT21" s="81"/>
      <c r="CU21" s="74">
        <f t="shared" si="37"/>
        <v>0</v>
      </c>
      <c r="CV21" s="74">
        <f t="shared" si="37"/>
        <v>0</v>
      </c>
      <c r="CW21" s="81"/>
      <c r="CX21" s="81"/>
      <c r="CY21" s="81"/>
      <c r="CZ21" s="81"/>
      <c r="DA21" s="74">
        <f t="shared" si="38"/>
        <v>0</v>
      </c>
      <c r="DB21" s="74">
        <f t="shared" si="38"/>
        <v>0</v>
      </c>
      <c r="DC21" s="81"/>
      <c r="DD21" s="81"/>
      <c r="DE21" s="81"/>
      <c r="DF21" s="81"/>
      <c r="DG21" s="74">
        <f t="shared" si="39"/>
        <v>0</v>
      </c>
      <c r="DH21" s="74">
        <f t="shared" si="39"/>
        <v>0</v>
      </c>
      <c r="DI21" s="74">
        <f t="shared" si="11"/>
        <v>0</v>
      </c>
      <c r="DJ21" s="74">
        <f t="shared" si="12"/>
        <v>0</v>
      </c>
      <c r="DK21" s="74">
        <f t="shared" si="13"/>
        <v>0</v>
      </c>
      <c r="DL21" s="74">
        <f t="shared" si="14"/>
        <v>0</v>
      </c>
      <c r="DM21" s="74">
        <f t="shared" si="40"/>
        <v>0</v>
      </c>
      <c r="DN21" s="74">
        <f t="shared" si="40"/>
        <v>0</v>
      </c>
    </row>
    <row r="22" spans="1:118">
      <c r="A22" s="25">
        <v>14</v>
      </c>
      <c r="B22" s="26" t="s">
        <v>569</v>
      </c>
      <c r="C22" s="26" t="s">
        <v>594</v>
      </c>
      <c r="D22" s="26" t="s">
        <v>595</v>
      </c>
      <c r="E22" s="205" t="s">
        <v>1164</v>
      </c>
      <c r="F22" s="161">
        <f t="shared" si="15"/>
        <v>0</v>
      </c>
      <c r="G22" s="161">
        <f t="shared" si="44"/>
        <v>0</v>
      </c>
      <c r="H22" s="165">
        <f t="shared" si="16"/>
        <v>2887.5</v>
      </c>
      <c r="I22" s="80">
        <v>0</v>
      </c>
      <c r="J22" s="127">
        <v>0</v>
      </c>
      <c r="K22" s="127">
        <v>0</v>
      </c>
      <c r="L22" s="127">
        <f t="shared" si="17"/>
        <v>2887.5</v>
      </c>
      <c r="M22" s="127">
        <f t="shared" si="18"/>
        <v>2887.5</v>
      </c>
      <c r="N22" s="127">
        <f t="shared" si="19"/>
        <v>2887.5</v>
      </c>
      <c r="O22" s="131">
        <f t="shared" si="20"/>
        <v>0</v>
      </c>
      <c r="P22" s="125">
        <f t="shared" si="21"/>
        <v>2887.5</v>
      </c>
      <c r="Q22" s="81"/>
      <c r="R22" s="81">
        <v>2887.5</v>
      </c>
      <c r="S22" s="81">
        <f t="shared" si="42"/>
        <v>0</v>
      </c>
      <c r="T22" s="81">
        <f t="shared" si="41"/>
        <v>2887.5</v>
      </c>
      <c r="U22" s="81"/>
      <c r="V22" s="81"/>
      <c r="W22" s="81"/>
      <c r="X22" s="81"/>
      <c r="Y22" s="74">
        <f t="shared" si="22"/>
        <v>0</v>
      </c>
      <c r="Z22" s="74">
        <f t="shared" si="22"/>
        <v>0</v>
      </c>
      <c r="AA22" s="81"/>
      <c r="AB22" s="81"/>
      <c r="AC22" s="81"/>
      <c r="AD22" s="81"/>
      <c r="AE22" s="74">
        <f t="shared" si="23"/>
        <v>0</v>
      </c>
      <c r="AF22" s="74">
        <f t="shared" si="23"/>
        <v>0</v>
      </c>
      <c r="AG22" s="74">
        <f t="shared" si="24"/>
        <v>0</v>
      </c>
      <c r="AH22" s="74">
        <f t="shared" si="25"/>
        <v>0</v>
      </c>
      <c r="AI22" s="74">
        <f t="shared" si="25"/>
        <v>2887.5</v>
      </c>
      <c r="AJ22" s="74">
        <f t="shared" si="26"/>
        <v>2887.5</v>
      </c>
      <c r="AK22" s="74">
        <f t="shared" si="27"/>
        <v>2887.5</v>
      </c>
      <c r="AL22" s="74">
        <f t="shared" si="27"/>
        <v>2887.5</v>
      </c>
      <c r="AM22" s="81"/>
      <c r="AN22" s="81"/>
      <c r="AO22" s="81"/>
      <c r="AP22" s="81"/>
      <c r="AQ22" s="74">
        <f t="shared" si="28"/>
        <v>0</v>
      </c>
      <c r="AR22" s="74">
        <f t="shared" si="28"/>
        <v>0</v>
      </c>
      <c r="AS22" s="81"/>
      <c r="AT22" s="81"/>
      <c r="AU22" s="81"/>
      <c r="AV22" s="81"/>
      <c r="AW22" s="74">
        <f t="shared" si="29"/>
        <v>0</v>
      </c>
      <c r="AX22" s="74">
        <f t="shared" si="29"/>
        <v>0</v>
      </c>
      <c r="AY22" s="81"/>
      <c r="AZ22" s="81"/>
      <c r="BA22" s="81"/>
      <c r="BB22" s="81"/>
      <c r="BC22" s="74">
        <f t="shared" si="30"/>
        <v>0</v>
      </c>
      <c r="BD22" s="74"/>
      <c r="BE22" s="74">
        <f t="shared" si="9"/>
        <v>0</v>
      </c>
      <c r="BF22" s="81"/>
      <c r="BG22" s="81"/>
      <c r="BH22" s="81"/>
      <c r="BI22" s="81"/>
      <c r="BJ22" s="74">
        <f t="shared" si="31"/>
        <v>0</v>
      </c>
      <c r="BK22" s="74"/>
      <c r="BL22" s="74">
        <f t="shared" si="10"/>
        <v>0</v>
      </c>
      <c r="BM22" s="81"/>
      <c r="BN22" s="81"/>
      <c r="BO22" s="81"/>
      <c r="BP22" s="81"/>
      <c r="BQ22" s="74">
        <f t="shared" si="32"/>
        <v>0</v>
      </c>
      <c r="BR22" s="74">
        <f t="shared" si="32"/>
        <v>0</v>
      </c>
      <c r="BS22" s="81"/>
      <c r="BT22" s="81"/>
      <c r="BU22" s="81"/>
      <c r="BV22" s="81"/>
      <c r="BW22" s="74">
        <f t="shared" si="33"/>
        <v>0</v>
      </c>
      <c r="BX22" s="74">
        <f t="shared" si="33"/>
        <v>0</v>
      </c>
      <c r="BY22" s="81"/>
      <c r="BZ22" s="81"/>
      <c r="CA22" s="81"/>
      <c r="CB22" s="81"/>
      <c r="CC22" s="74">
        <f t="shared" si="34"/>
        <v>0</v>
      </c>
      <c r="CD22" s="74">
        <f t="shared" si="34"/>
        <v>0</v>
      </c>
      <c r="CE22" s="81"/>
      <c r="CF22" s="81"/>
      <c r="CG22" s="81"/>
      <c r="CH22" s="81"/>
      <c r="CI22" s="74">
        <f t="shared" si="35"/>
        <v>0</v>
      </c>
      <c r="CJ22" s="74">
        <f t="shared" si="35"/>
        <v>0</v>
      </c>
      <c r="CK22" s="81"/>
      <c r="CL22" s="81"/>
      <c r="CM22" s="81"/>
      <c r="CN22" s="81"/>
      <c r="CO22" s="74">
        <f t="shared" si="36"/>
        <v>0</v>
      </c>
      <c r="CP22" s="74">
        <f t="shared" si="36"/>
        <v>0</v>
      </c>
      <c r="CQ22" s="81"/>
      <c r="CR22" s="81"/>
      <c r="CS22" s="81"/>
      <c r="CT22" s="81"/>
      <c r="CU22" s="74">
        <f t="shared" si="37"/>
        <v>0</v>
      </c>
      <c r="CV22" s="74">
        <f t="shared" si="37"/>
        <v>0</v>
      </c>
      <c r="CW22" s="81"/>
      <c r="CX22" s="81"/>
      <c r="CY22" s="81"/>
      <c r="CZ22" s="81"/>
      <c r="DA22" s="74">
        <f t="shared" si="38"/>
        <v>0</v>
      </c>
      <c r="DB22" s="74">
        <f t="shared" si="38"/>
        <v>0</v>
      </c>
      <c r="DC22" s="81"/>
      <c r="DD22" s="81"/>
      <c r="DE22" s="81"/>
      <c r="DF22" s="81"/>
      <c r="DG22" s="74">
        <f t="shared" si="39"/>
        <v>0</v>
      </c>
      <c r="DH22" s="74">
        <f t="shared" si="39"/>
        <v>0</v>
      </c>
      <c r="DI22" s="74">
        <f t="shared" si="11"/>
        <v>0</v>
      </c>
      <c r="DJ22" s="74">
        <f t="shared" si="12"/>
        <v>0</v>
      </c>
      <c r="DK22" s="74">
        <f t="shared" si="13"/>
        <v>0</v>
      </c>
      <c r="DL22" s="74">
        <f t="shared" si="14"/>
        <v>0</v>
      </c>
      <c r="DM22" s="74">
        <f t="shared" si="40"/>
        <v>0</v>
      </c>
      <c r="DN22" s="74">
        <f t="shared" si="40"/>
        <v>0</v>
      </c>
    </row>
    <row r="23" spans="1:118">
      <c r="A23" s="25">
        <v>15</v>
      </c>
      <c r="B23" s="26" t="s">
        <v>569</v>
      </c>
      <c r="C23" s="26" t="s">
        <v>594</v>
      </c>
      <c r="D23" s="26" t="s">
        <v>596</v>
      </c>
      <c r="E23" s="205" t="s">
        <v>1165</v>
      </c>
      <c r="F23" s="161">
        <f t="shared" si="15"/>
        <v>0</v>
      </c>
      <c r="G23" s="161">
        <f t="shared" si="44"/>
        <v>0</v>
      </c>
      <c r="H23" s="165">
        <f t="shared" si="16"/>
        <v>612909.52</v>
      </c>
      <c r="I23" s="80">
        <v>351451.19999999995</v>
      </c>
      <c r="J23" s="127">
        <v>0</v>
      </c>
      <c r="K23" s="127">
        <v>0</v>
      </c>
      <c r="L23" s="127">
        <f t="shared" si="17"/>
        <v>612909.52</v>
      </c>
      <c r="M23" s="127">
        <f t="shared" si="18"/>
        <v>612909.52</v>
      </c>
      <c r="N23" s="127">
        <f t="shared" si="19"/>
        <v>612909.52</v>
      </c>
      <c r="O23" s="131">
        <f t="shared" si="20"/>
        <v>0</v>
      </c>
      <c r="P23" s="125">
        <f t="shared" si="21"/>
        <v>612909.52</v>
      </c>
      <c r="Q23" s="81">
        <v>200000</v>
      </c>
      <c r="R23" s="81"/>
      <c r="S23" s="81">
        <f t="shared" si="42"/>
        <v>200000</v>
      </c>
      <c r="T23" s="81">
        <f t="shared" si="41"/>
        <v>0</v>
      </c>
      <c r="U23" s="81"/>
      <c r="V23" s="81"/>
      <c r="W23" s="81">
        <v>110000</v>
      </c>
      <c r="X23" s="81">
        <v>412909.52</v>
      </c>
      <c r="Y23" s="74">
        <f t="shared" si="22"/>
        <v>110000</v>
      </c>
      <c r="Z23" s="74">
        <f t="shared" si="22"/>
        <v>412909.52</v>
      </c>
      <c r="AA23" s="81"/>
      <c r="AB23" s="81"/>
      <c r="AC23" s="81"/>
      <c r="AD23" s="81"/>
      <c r="AE23" s="74">
        <f t="shared" si="23"/>
        <v>0</v>
      </c>
      <c r="AF23" s="74">
        <f t="shared" si="23"/>
        <v>0</v>
      </c>
      <c r="AG23" s="74">
        <f t="shared" si="24"/>
        <v>200000</v>
      </c>
      <c r="AH23" s="74">
        <f t="shared" si="25"/>
        <v>200000</v>
      </c>
      <c r="AI23" s="74">
        <f t="shared" si="25"/>
        <v>110000</v>
      </c>
      <c r="AJ23" s="74">
        <f t="shared" si="26"/>
        <v>412909.52</v>
      </c>
      <c r="AK23" s="74">
        <f t="shared" si="27"/>
        <v>310000</v>
      </c>
      <c r="AL23" s="74">
        <f t="shared" si="27"/>
        <v>612909.52</v>
      </c>
      <c r="AM23" s="81"/>
      <c r="AN23" s="81"/>
      <c r="AO23" s="81"/>
      <c r="AP23" s="81"/>
      <c r="AQ23" s="74">
        <f t="shared" si="28"/>
        <v>0</v>
      </c>
      <c r="AR23" s="74">
        <f t="shared" si="28"/>
        <v>0</v>
      </c>
      <c r="AS23" s="81"/>
      <c r="AT23" s="81"/>
      <c r="AU23" s="81"/>
      <c r="AV23" s="81"/>
      <c r="AW23" s="74">
        <f t="shared" si="29"/>
        <v>0</v>
      </c>
      <c r="AX23" s="74">
        <f t="shared" si="29"/>
        <v>0</v>
      </c>
      <c r="AY23" s="81"/>
      <c r="AZ23" s="81"/>
      <c r="BA23" s="81"/>
      <c r="BB23" s="81"/>
      <c r="BC23" s="74">
        <f t="shared" si="30"/>
        <v>0</v>
      </c>
      <c r="BD23" s="74"/>
      <c r="BE23" s="74">
        <f t="shared" si="9"/>
        <v>0</v>
      </c>
      <c r="BF23" s="81"/>
      <c r="BG23" s="81"/>
      <c r="BH23" s="81"/>
      <c r="BI23" s="81"/>
      <c r="BJ23" s="74">
        <f t="shared" si="31"/>
        <v>0</v>
      </c>
      <c r="BK23" s="74"/>
      <c r="BL23" s="74">
        <f t="shared" si="10"/>
        <v>0</v>
      </c>
      <c r="BM23" s="81"/>
      <c r="BN23" s="81"/>
      <c r="BO23" s="81"/>
      <c r="BP23" s="81"/>
      <c r="BQ23" s="74">
        <f t="shared" si="32"/>
        <v>0</v>
      </c>
      <c r="BR23" s="74">
        <f t="shared" si="32"/>
        <v>0</v>
      </c>
      <c r="BS23" s="81"/>
      <c r="BT23" s="81"/>
      <c r="BU23" s="81"/>
      <c r="BV23" s="81"/>
      <c r="BW23" s="74">
        <f t="shared" si="33"/>
        <v>0</v>
      </c>
      <c r="BX23" s="74">
        <f t="shared" si="33"/>
        <v>0</v>
      </c>
      <c r="BY23" s="81"/>
      <c r="BZ23" s="81"/>
      <c r="CA23" s="81"/>
      <c r="CB23" s="81"/>
      <c r="CC23" s="74">
        <f t="shared" si="34"/>
        <v>0</v>
      </c>
      <c r="CD23" s="74">
        <f t="shared" si="34"/>
        <v>0</v>
      </c>
      <c r="CE23" s="81"/>
      <c r="CF23" s="81"/>
      <c r="CG23" s="81"/>
      <c r="CH23" s="81"/>
      <c r="CI23" s="74">
        <f t="shared" si="35"/>
        <v>0</v>
      </c>
      <c r="CJ23" s="74">
        <f t="shared" si="35"/>
        <v>0</v>
      </c>
      <c r="CK23" s="81"/>
      <c r="CL23" s="81"/>
      <c r="CM23" s="81"/>
      <c r="CN23" s="81"/>
      <c r="CO23" s="74">
        <f t="shared" si="36"/>
        <v>0</v>
      </c>
      <c r="CP23" s="74">
        <f t="shared" si="36"/>
        <v>0</v>
      </c>
      <c r="CQ23" s="81"/>
      <c r="CR23" s="81"/>
      <c r="CS23" s="81"/>
      <c r="CT23" s="81"/>
      <c r="CU23" s="74">
        <f t="shared" si="37"/>
        <v>0</v>
      </c>
      <c r="CV23" s="74">
        <f t="shared" si="37"/>
        <v>0</v>
      </c>
      <c r="CW23" s="81"/>
      <c r="CX23" s="81"/>
      <c r="CY23" s="81"/>
      <c r="CZ23" s="81"/>
      <c r="DA23" s="74">
        <f t="shared" si="38"/>
        <v>0</v>
      </c>
      <c r="DB23" s="74">
        <f t="shared" si="38"/>
        <v>0</v>
      </c>
      <c r="DC23" s="81"/>
      <c r="DD23" s="81"/>
      <c r="DE23" s="81"/>
      <c r="DF23" s="81"/>
      <c r="DG23" s="74">
        <f t="shared" si="39"/>
        <v>0</v>
      </c>
      <c r="DH23" s="74">
        <f t="shared" si="39"/>
        <v>0</v>
      </c>
      <c r="DI23" s="74">
        <f t="shared" si="11"/>
        <v>0</v>
      </c>
      <c r="DJ23" s="74">
        <f t="shared" si="12"/>
        <v>0</v>
      </c>
      <c r="DK23" s="74">
        <f t="shared" si="13"/>
        <v>0</v>
      </c>
      <c r="DL23" s="74">
        <f t="shared" si="14"/>
        <v>0</v>
      </c>
      <c r="DM23" s="74">
        <f t="shared" si="40"/>
        <v>0</v>
      </c>
      <c r="DN23" s="74">
        <f t="shared" si="40"/>
        <v>0</v>
      </c>
    </row>
    <row r="24" spans="1:118">
      <c r="A24" s="25">
        <v>16</v>
      </c>
      <c r="B24" s="26" t="s">
        <v>573</v>
      </c>
      <c r="C24" s="26" t="s">
        <v>597</v>
      </c>
      <c r="D24" s="26" t="s">
        <v>598</v>
      </c>
      <c r="E24" s="205" t="s">
        <v>1164</v>
      </c>
      <c r="F24" s="161">
        <f t="shared" si="15"/>
        <v>0</v>
      </c>
      <c r="G24" s="161">
        <f t="shared" si="44"/>
        <v>0</v>
      </c>
      <c r="H24" s="165">
        <f t="shared" si="16"/>
        <v>12117.8</v>
      </c>
      <c r="I24" s="80">
        <v>0</v>
      </c>
      <c r="J24" s="127">
        <v>0</v>
      </c>
      <c r="K24" s="243">
        <v>0</v>
      </c>
      <c r="L24" s="127">
        <f t="shared" si="17"/>
        <v>12117.8</v>
      </c>
      <c r="M24" s="127">
        <f t="shared" si="18"/>
        <v>12117.8</v>
      </c>
      <c r="N24" s="127">
        <f t="shared" si="19"/>
        <v>12117.8</v>
      </c>
      <c r="O24" s="131">
        <f t="shared" si="20"/>
        <v>0</v>
      </c>
      <c r="P24" s="125">
        <f t="shared" si="21"/>
        <v>12117.8</v>
      </c>
      <c r="Q24" s="81"/>
      <c r="R24" s="81">
        <v>12117.8</v>
      </c>
      <c r="S24" s="81">
        <f t="shared" si="42"/>
        <v>0</v>
      </c>
      <c r="T24" s="81">
        <f t="shared" si="41"/>
        <v>12117.8</v>
      </c>
      <c r="U24" s="81"/>
      <c r="V24" s="81"/>
      <c r="W24" s="81"/>
      <c r="X24" s="81"/>
      <c r="Y24" s="74">
        <f t="shared" si="22"/>
        <v>0</v>
      </c>
      <c r="Z24" s="74">
        <f t="shared" si="22"/>
        <v>0</v>
      </c>
      <c r="AA24" s="81"/>
      <c r="AB24" s="81"/>
      <c r="AC24" s="81"/>
      <c r="AD24" s="81"/>
      <c r="AE24" s="74">
        <f t="shared" si="23"/>
        <v>0</v>
      </c>
      <c r="AF24" s="74">
        <f t="shared" si="23"/>
        <v>0</v>
      </c>
      <c r="AG24" s="74">
        <f t="shared" si="24"/>
        <v>0</v>
      </c>
      <c r="AH24" s="74">
        <f t="shared" si="25"/>
        <v>0</v>
      </c>
      <c r="AI24" s="74">
        <f t="shared" si="25"/>
        <v>12117.8</v>
      </c>
      <c r="AJ24" s="74">
        <f t="shared" si="26"/>
        <v>12117.8</v>
      </c>
      <c r="AK24" s="74">
        <f t="shared" si="27"/>
        <v>12117.8</v>
      </c>
      <c r="AL24" s="74">
        <f t="shared" si="27"/>
        <v>12117.8</v>
      </c>
      <c r="AM24" s="81"/>
      <c r="AN24" s="81"/>
      <c r="AO24" s="81"/>
      <c r="AP24" s="81"/>
      <c r="AQ24" s="74">
        <f t="shared" si="28"/>
        <v>0</v>
      </c>
      <c r="AR24" s="74">
        <f t="shared" si="28"/>
        <v>0</v>
      </c>
      <c r="AS24" s="81"/>
      <c r="AT24" s="81"/>
      <c r="AU24" s="81"/>
      <c r="AV24" s="81"/>
      <c r="AW24" s="74">
        <f t="shared" si="29"/>
        <v>0</v>
      </c>
      <c r="AX24" s="74">
        <f t="shared" si="29"/>
        <v>0</v>
      </c>
      <c r="AY24" s="81"/>
      <c r="AZ24" s="81"/>
      <c r="BA24" s="81"/>
      <c r="BB24" s="81"/>
      <c r="BC24" s="74">
        <f t="shared" si="30"/>
        <v>0</v>
      </c>
      <c r="BD24" s="74"/>
      <c r="BE24" s="74">
        <f t="shared" si="9"/>
        <v>0</v>
      </c>
      <c r="BF24" s="81"/>
      <c r="BG24" s="81"/>
      <c r="BH24" s="81"/>
      <c r="BI24" s="81"/>
      <c r="BJ24" s="74">
        <f t="shared" si="31"/>
        <v>0</v>
      </c>
      <c r="BK24" s="74"/>
      <c r="BL24" s="74">
        <f t="shared" si="10"/>
        <v>0</v>
      </c>
      <c r="BM24" s="81"/>
      <c r="BN24" s="81"/>
      <c r="BO24" s="81"/>
      <c r="BP24" s="81"/>
      <c r="BQ24" s="74">
        <f t="shared" si="32"/>
        <v>0</v>
      </c>
      <c r="BR24" s="74">
        <f t="shared" si="32"/>
        <v>0</v>
      </c>
      <c r="BS24" s="81"/>
      <c r="BT24" s="81"/>
      <c r="BU24" s="81"/>
      <c r="BV24" s="81"/>
      <c r="BW24" s="74">
        <f t="shared" si="33"/>
        <v>0</v>
      </c>
      <c r="BX24" s="74">
        <f t="shared" si="33"/>
        <v>0</v>
      </c>
      <c r="BY24" s="81"/>
      <c r="BZ24" s="81"/>
      <c r="CA24" s="81"/>
      <c r="CB24" s="81"/>
      <c r="CC24" s="74">
        <f t="shared" si="34"/>
        <v>0</v>
      </c>
      <c r="CD24" s="74">
        <f t="shared" si="34"/>
        <v>0</v>
      </c>
      <c r="CE24" s="81"/>
      <c r="CF24" s="81"/>
      <c r="CG24" s="81"/>
      <c r="CH24" s="81"/>
      <c r="CI24" s="74">
        <f t="shared" si="35"/>
        <v>0</v>
      </c>
      <c r="CJ24" s="74">
        <f t="shared" si="35"/>
        <v>0</v>
      </c>
      <c r="CK24" s="81"/>
      <c r="CL24" s="81"/>
      <c r="CM24" s="81"/>
      <c r="CN24" s="81"/>
      <c r="CO24" s="74">
        <f t="shared" si="36"/>
        <v>0</v>
      </c>
      <c r="CP24" s="74">
        <f t="shared" si="36"/>
        <v>0</v>
      </c>
      <c r="CQ24" s="81"/>
      <c r="CR24" s="81"/>
      <c r="CS24" s="81"/>
      <c r="CT24" s="81"/>
      <c r="CU24" s="74">
        <f t="shared" si="37"/>
        <v>0</v>
      </c>
      <c r="CV24" s="74">
        <f t="shared" si="37"/>
        <v>0</v>
      </c>
      <c r="CW24" s="81"/>
      <c r="CX24" s="81"/>
      <c r="CY24" s="81"/>
      <c r="CZ24" s="81"/>
      <c r="DA24" s="74">
        <f t="shared" si="38"/>
        <v>0</v>
      </c>
      <c r="DB24" s="74">
        <f t="shared" si="38"/>
        <v>0</v>
      </c>
      <c r="DC24" s="81"/>
      <c r="DD24" s="81"/>
      <c r="DE24" s="81"/>
      <c r="DF24" s="81"/>
      <c r="DG24" s="74">
        <f t="shared" si="39"/>
        <v>0</v>
      </c>
      <c r="DH24" s="74">
        <f t="shared" si="39"/>
        <v>0</v>
      </c>
      <c r="DI24" s="74">
        <f t="shared" si="11"/>
        <v>0</v>
      </c>
      <c r="DJ24" s="74">
        <f t="shared" si="12"/>
        <v>0</v>
      </c>
      <c r="DK24" s="74">
        <f t="shared" si="13"/>
        <v>0</v>
      </c>
      <c r="DL24" s="74">
        <f t="shared" si="14"/>
        <v>0</v>
      </c>
      <c r="DM24" s="74">
        <f t="shared" si="40"/>
        <v>0</v>
      </c>
      <c r="DN24" s="74">
        <f t="shared" si="40"/>
        <v>0</v>
      </c>
    </row>
    <row r="25" spans="1:118">
      <c r="A25" s="25">
        <v>17</v>
      </c>
      <c r="B25" s="26" t="s">
        <v>573</v>
      </c>
      <c r="C25" s="26" t="s">
        <v>597</v>
      </c>
      <c r="D25" s="26" t="s">
        <v>599</v>
      </c>
      <c r="E25" s="205" t="s">
        <v>1165</v>
      </c>
      <c r="F25" s="161">
        <f t="shared" si="15"/>
        <v>0</v>
      </c>
      <c r="G25" s="161">
        <f t="shared" si="44"/>
        <v>0</v>
      </c>
      <c r="H25" s="165">
        <f t="shared" si="16"/>
        <v>616648.26</v>
      </c>
      <c r="I25" s="80">
        <v>555397.67999999993</v>
      </c>
      <c r="J25" s="127">
        <v>0</v>
      </c>
      <c r="K25" s="243">
        <v>0</v>
      </c>
      <c r="L25" s="127">
        <f t="shared" si="17"/>
        <v>616648.26</v>
      </c>
      <c r="M25" s="127">
        <f t="shared" si="18"/>
        <v>616648.26</v>
      </c>
      <c r="N25" s="127">
        <f t="shared" si="19"/>
        <v>616648.26</v>
      </c>
      <c r="O25" s="131">
        <f t="shared" si="20"/>
        <v>0</v>
      </c>
      <c r="P25" s="125">
        <f t="shared" si="21"/>
        <v>616648.26</v>
      </c>
      <c r="Q25" s="81">
        <v>450000</v>
      </c>
      <c r="R25" s="81">
        <f>616648.26-Q25</f>
        <v>166648.26</v>
      </c>
      <c r="S25" s="81">
        <f t="shared" si="42"/>
        <v>450000</v>
      </c>
      <c r="T25" s="81">
        <f t="shared" si="41"/>
        <v>166648.26</v>
      </c>
      <c r="U25" s="81"/>
      <c r="V25" s="81"/>
      <c r="W25" s="81"/>
      <c r="X25" s="81"/>
      <c r="Y25" s="74">
        <f t="shared" si="22"/>
        <v>0</v>
      </c>
      <c r="Z25" s="74">
        <f t="shared" si="22"/>
        <v>0</v>
      </c>
      <c r="AA25" s="81"/>
      <c r="AB25" s="81"/>
      <c r="AC25" s="81"/>
      <c r="AD25" s="81"/>
      <c r="AE25" s="74">
        <f t="shared" si="23"/>
        <v>0</v>
      </c>
      <c r="AF25" s="74">
        <f t="shared" si="23"/>
        <v>0</v>
      </c>
      <c r="AG25" s="74">
        <f t="shared" si="24"/>
        <v>450000</v>
      </c>
      <c r="AH25" s="74">
        <f t="shared" si="25"/>
        <v>450000</v>
      </c>
      <c r="AI25" s="74">
        <f t="shared" si="25"/>
        <v>166648.26</v>
      </c>
      <c r="AJ25" s="74">
        <f t="shared" si="26"/>
        <v>166648.26</v>
      </c>
      <c r="AK25" s="74">
        <f t="shared" si="27"/>
        <v>616648.26</v>
      </c>
      <c r="AL25" s="74">
        <f t="shared" si="27"/>
        <v>616648.26</v>
      </c>
      <c r="AM25" s="81"/>
      <c r="AN25" s="81"/>
      <c r="AO25" s="81"/>
      <c r="AP25" s="81"/>
      <c r="AQ25" s="74">
        <f t="shared" si="28"/>
        <v>0</v>
      </c>
      <c r="AR25" s="74">
        <f t="shared" si="28"/>
        <v>0</v>
      </c>
      <c r="AS25" s="81"/>
      <c r="AT25" s="81"/>
      <c r="AU25" s="81"/>
      <c r="AV25" s="81"/>
      <c r="AW25" s="74">
        <f t="shared" si="29"/>
        <v>0</v>
      </c>
      <c r="AX25" s="74">
        <f t="shared" si="29"/>
        <v>0</v>
      </c>
      <c r="AY25" s="81"/>
      <c r="AZ25" s="81"/>
      <c r="BA25" s="81"/>
      <c r="BB25" s="81"/>
      <c r="BC25" s="74">
        <f t="shared" si="30"/>
        <v>0</v>
      </c>
      <c r="BD25" s="74"/>
      <c r="BE25" s="74">
        <f t="shared" si="9"/>
        <v>0</v>
      </c>
      <c r="BF25" s="81"/>
      <c r="BG25" s="81"/>
      <c r="BH25" s="81"/>
      <c r="BI25" s="81"/>
      <c r="BJ25" s="74">
        <f t="shared" si="31"/>
        <v>0</v>
      </c>
      <c r="BK25" s="74"/>
      <c r="BL25" s="74">
        <f t="shared" si="10"/>
        <v>0</v>
      </c>
      <c r="BM25" s="81"/>
      <c r="BN25" s="81"/>
      <c r="BO25" s="81"/>
      <c r="BP25" s="81"/>
      <c r="BQ25" s="74">
        <f t="shared" si="32"/>
        <v>0</v>
      </c>
      <c r="BR25" s="74">
        <f t="shared" si="32"/>
        <v>0</v>
      </c>
      <c r="BS25" s="81"/>
      <c r="BT25" s="81"/>
      <c r="BU25" s="81"/>
      <c r="BV25" s="81"/>
      <c r="BW25" s="74">
        <f t="shared" si="33"/>
        <v>0</v>
      </c>
      <c r="BX25" s="74">
        <f t="shared" si="33"/>
        <v>0</v>
      </c>
      <c r="BY25" s="81"/>
      <c r="BZ25" s="81"/>
      <c r="CA25" s="81"/>
      <c r="CB25" s="81"/>
      <c r="CC25" s="74">
        <f t="shared" si="34"/>
        <v>0</v>
      </c>
      <c r="CD25" s="74">
        <f t="shared" si="34"/>
        <v>0</v>
      </c>
      <c r="CE25" s="81"/>
      <c r="CF25" s="81"/>
      <c r="CG25" s="81"/>
      <c r="CH25" s="81"/>
      <c r="CI25" s="74">
        <f t="shared" si="35"/>
        <v>0</v>
      </c>
      <c r="CJ25" s="74">
        <f t="shared" si="35"/>
        <v>0</v>
      </c>
      <c r="CK25" s="81"/>
      <c r="CL25" s="81"/>
      <c r="CM25" s="81"/>
      <c r="CN25" s="81"/>
      <c r="CO25" s="74">
        <f t="shared" si="36"/>
        <v>0</v>
      </c>
      <c r="CP25" s="74">
        <f t="shared" si="36"/>
        <v>0</v>
      </c>
      <c r="CQ25" s="81"/>
      <c r="CR25" s="81"/>
      <c r="CS25" s="81"/>
      <c r="CT25" s="81"/>
      <c r="CU25" s="74">
        <f t="shared" si="37"/>
        <v>0</v>
      </c>
      <c r="CV25" s="74">
        <f t="shared" si="37"/>
        <v>0</v>
      </c>
      <c r="CW25" s="81"/>
      <c r="CX25" s="81"/>
      <c r="CY25" s="81"/>
      <c r="CZ25" s="81"/>
      <c r="DA25" s="74">
        <f t="shared" si="38"/>
        <v>0</v>
      </c>
      <c r="DB25" s="74">
        <f t="shared" si="38"/>
        <v>0</v>
      </c>
      <c r="DC25" s="81"/>
      <c r="DD25" s="81"/>
      <c r="DE25" s="81"/>
      <c r="DF25" s="81"/>
      <c r="DG25" s="74">
        <f t="shared" si="39"/>
        <v>0</v>
      </c>
      <c r="DH25" s="74">
        <f t="shared" si="39"/>
        <v>0</v>
      </c>
      <c r="DI25" s="74">
        <f t="shared" si="11"/>
        <v>0</v>
      </c>
      <c r="DJ25" s="74">
        <f t="shared" si="12"/>
        <v>0</v>
      </c>
      <c r="DK25" s="74">
        <f t="shared" si="13"/>
        <v>0</v>
      </c>
      <c r="DL25" s="74">
        <f t="shared" si="14"/>
        <v>0</v>
      </c>
      <c r="DM25" s="74">
        <f t="shared" si="40"/>
        <v>0</v>
      </c>
      <c r="DN25" s="74">
        <f t="shared" si="40"/>
        <v>0</v>
      </c>
    </row>
    <row r="26" spans="1:118" s="76" customFormat="1">
      <c r="A26" s="25">
        <v>18</v>
      </c>
      <c r="B26" s="83" t="s">
        <v>581</v>
      </c>
      <c r="C26" s="83" t="s">
        <v>600</v>
      </c>
      <c r="D26" s="83" t="s">
        <v>601</v>
      </c>
      <c r="E26" s="210" t="s">
        <v>1164</v>
      </c>
      <c r="F26" s="237">
        <f t="shared" si="15"/>
        <v>0</v>
      </c>
      <c r="G26" s="161">
        <f t="shared" si="44"/>
        <v>0</v>
      </c>
      <c r="H26" s="238">
        <f t="shared" si="16"/>
        <v>9714.25</v>
      </c>
      <c r="I26" s="239">
        <v>0</v>
      </c>
      <c r="J26" s="127">
        <v>0</v>
      </c>
      <c r="K26" s="127">
        <v>0</v>
      </c>
      <c r="L26" s="240">
        <f t="shared" si="17"/>
        <v>9714.25</v>
      </c>
      <c r="M26" s="240">
        <f t="shared" si="18"/>
        <v>9714.25</v>
      </c>
      <c r="N26" s="240">
        <f t="shared" si="19"/>
        <v>9714.25</v>
      </c>
      <c r="O26" s="131">
        <f t="shared" si="20"/>
        <v>0</v>
      </c>
      <c r="P26" s="241">
        <f t="shared" si="21"/>
        <v>9714.25</v>
      </c>
      <c r="Q26" s="84"/>
      <c r="R26" s="84">
        <v>9714.25</v>
      </c>
      <c r="S26" s="84">
        <f>J26+Q26</f>
        <v>0</v>
      </c>
      <c r="T26" s="84">
        <f>R26</f>
        <v>9714.25</v>
      </c>
      <c r="U26" s="84"/>
      <c r="V26" s="84"/>
      <c r="W26" s="84"/>
      <c r="X26" s="84"/>
      <c r="Y26" s="242">
        <f t="shared" si="22"/>
        <v>0</v>
      </c>
      <c r="Z26" s="242">
        <f t="shared" si="22"/>
        <v>0</v>
      </c>
      <c r="AA26" s="84"/>
      <c r="AB26" s="84"/>
      <c r="AC26" s="84"/>
      <c r="AD26" s="84"/>
      <c r="AE26" s="242">
        <f t="shared" si="23"/>
        <v>0</v>
      </c>
      <c r="AF26" s="242">
        <f t="shared" si="23"/>
        <v>0</v>
      </c>
      <c r="AG26" s="242">
        <f t="shared" si="24"/>
        <v>0</v>
      </c>
      <c r="AH26" s="242">
        <f t="shared" si="25"/>
        <v>0</v>
      </c>
      <c r="AI26" s="242">
        <f t="shared" si="25"/>
        <v>9714.25</v>
      </c>
      <c r="AJ26" s="242">
        <f t="shared" si="26"/>
        <v>9714.25</v>
      </c>
      <c r="AK26" s="242">
        <f t="shared" si="27"/>
        <v>9714.25</v>
      </c>
      <c r="AL26" s="242">
        <f t="shared" si="27"/>
        <v>9714.25</v>
      </c>
      <c r="AM26" s="84">
        <v>0</v>
      </c>
      <c r="AN26" s="84"/>
      <c r="AO26" s="84"/>
      <c r="AP26" s="84"/>
      <c r="AQ26" s="242">
        <f t="shared" si="28"/>
        <v>0</v>
      </c>
      <c r="AR26" s="242">
        <f t="shared" si="28"/>
        <v>0</v>
      </c>
      <c r="AS26" s="84"/>
      <c r="AT26" s="84"/>
      <c r="AU26" s="84"/>
      <c r="AV26" s="84"/>
      <c r="AW26" s="242">
        <f t="shared" si="29"/>
        <v>0</v>
      </c>
      <c r="AX26" s="242">
        <f t="shared" si="29"/>
        <v>0</v>
      </c>
      <c r="AY26" s="84"/>
      <c r="AZ26" s="84"/>
      <c r="BA26" s="84"/>
      <c r="BB26" s="84"/>
      <c r="BC26" s="242">
        <f t="shared" si="30"/>
        <v>0</v>
      </c>
      <c r="BD26" s="242"/>
      <c r="BE26" s="242">
        <f t="shared" si="9"/>
        <v>0</v>
      </c>
      <c r="BF26" s="84"/>
      <c r="BG26" s="84"/>
      <c r="BH26" s="84"/>
      <c r="BI26" s="84"/>
      <c r="BJ26" s="242">
        <f t="shared" si="31"/>
        <v>0</v>
      </c>
      <c r="BK26" s="242"/>
      <c r="BL26" s="242">
        <f t="shared" si="10"/>
        <v>0</v>
      </c>
      <c r="BM26" s="84"/>
      <c r="BN26" s="84"/>
      <c r="BO26" s="84">
        <v>0</v>
      </c>
      <c r="BP26" s="84"/>
      <c r="BQ26" s="242">
        <f t="shared" si="32"/>
        <v>0</v>
      </c>
      <c r="BR26" s="242">
        <f t="shared" si="32"/>
        <v>0</v>
      </c>
      <c r="BS26" s="84"/>
      <c r="BT26" s="84"/>
      <c r="BU26" s="84"/>
      <c r="BV26" s="84"/>
      <c r="BW26" s="242">
        <f t="shared" si="33"/>
        <v>0</v>
      </c>
      <c r="BX26" s="242">
        <f t="shared" si="33"/>
        <v>0</v>
      </c>
      <c r="BY26" s="84"/>
      <c r="BZ26" s="84"/>
      <c r="CA26" s="84"/>
      <c r="CB26" s="84"/>
      <c r="CC26" s="242">
        <f t="shared" si="34"/>
        <v>0</v>
      </c>
      <c r="CD26" s="242">
        <f t="shared" si="34"/>
        <v>0</v>
      </c>
      <c r="CE26" s="84"/>
      <c r="CF26" s="84"/>
      <c r="CG26" s="84"/>
      <c r="CH26" s="84"/>
      <c r="CI26" s="242">
        <f t="shared" si="35"/>
        <v>0</v>
      </c>
      <c r="CJ26" s="242">
        <f t="shared" si="35"/>
        <v>0</v>
      </c>
      <c r="CK26" s="84"/>
      <c r="CL26" s="84"/>
      <c r="CM26" s="84"/>
      <c r="CN26" s="82"/>
      <c r="CO26" s="75">
        <f t="shared" si="36"/>
        <v>0</v>
      </c>
      <c r="CP26" s="75">
        <f t="shared" si="36"/>
        <v>0</v>
      </c>
      <c r="CQ26" s="82"/>
      <c r="CR26" s="82"/>
      <c r="CS26" s="82"/>
      <c r="CT26" s="82"/>
      <c r="CU26" s="75">
        <f t="shared" si="37"/>
        <v>0</v>
      </c>
      <c r="CV26" s="75">
        <f t="shared" si="37"/>
        <v>0</v>
      </c>
      <c r="CW26" s="82"/>
      <c r="CX26" s="82"/>
      <c r="CY26" s="82"/>
      <c r="CZ26" s="82"/>
      <c r="DA26" s="75">
        <f t="shared" si="38"/>
        <v>0</v>
      </c>
      <c r="DB26" s="75">
        <f t="shared" si="38"/>
        <v>0</v>
      </c>
      <c r="DC26" s="82"/>
      <c r="DD26" s="82"/>
      <c r="DE26" s="82"/>
      <c r="DF26" s="82"/>
      <c r="DG26" s="75">
        <f t="shared" si="39"/>
        <v>0</v>
      </c>
      <c r="DH26" s="75">
        <f t="shared" si="39"/>
        <v>0</v>
      </c>
      <c r="DI26" s="75">
        <f t="shared" si="11"/>
        <v>0</v>
      </c>
      <c r="DJ26" s="75">
        <f t="shared" si="12"/>
        <v>0</v>
      </c>
      <c r="DK26" s="75">
        <f t="shared" si="13"/>
        <v>0</v>
      </c>
      <c r="DL26" s="75">
        <f t="shared" si="14"/>
        <v>0</v>
      </c>
      <c r="DM26" s="75">
        <f t="shared" si="40"/>
        <v>0</v>
      </c>
      <c r="DN26" s="75">
        <f t="shared" si="40"/>
        <v>0</v>
      </c>
    </row>
    <row r="27" spans="1:118" s="292" customFormat="1">
      <c r="A27" s="253">
        <v>19</v>
      </c>
      <c r="B27" s="285" t="s">
        <v>581</v>
      </c>
      <c r="C27" s="285" t="s">
        <v>600</v>
      </c>
      <c r="D27" s="285" t="s">
        <v>602</v>
      </c>
      <c r="E27" s="285" t="s">
        <v>1165</v>
      </c>
      <c r="F27" s="286">
        <f t="shared" si="15"/>
        <v>0</v>
      </c>
      <c r="G27" s="255">
        <f>DN27</f>
        <v>0</v>
      </c>
      <c r="H27" s="287">
        <f t="shared" si="16"/>
        <v>0</v>
      </c>
      <c r="I27" s="288">
        <v>278328.95999999996</v>
      </c>
      <c r="J27" s="255">
        <v>0</v>
      </c>
      <c r="K27" s="255">
        <v>0</v>
      </c>
      <c r="L27" s="286">
        <f t="shared" si="17"/>
        <v>0</v>
      </c>
      <c r="M27" s="286">
        <f t="shared" si="18"/>
        <v>0</v>
      </c>
      <c r="N27" s="286">
        <f t="shared" si="19"/>
        <v>0</v>
      </c>
      <c r="O27" s="255">
        <f t="shared" si="20"/>
        <v>0</v>
      </c>
      <c r="P27" s="286" t="str">
        <f t="shared" si="21"/>
        <v>ნულოვანი შესრულება</v>
      </c>
      <c r="Q27" s="289"/>
      <c r="R27" s="289">
        <v>0</v>
      </c>
      <c r="S27" s="289">
        <f t="shared" si="42"/>
        <v>0</v>
      </c>
      <c r="T27" s="289">
        <f t="shared" si="41"/>
        <v>0</v>
      </c>
      <c r="U27" s="289"/>
      <c r="V27" s="289"/>
      <c r="W27" s="289"/>
      <c r="X27" s="289"/>
      <c r="Y27" s="290">
        <f t="shared" si="22"/>
        <v>0</v>
      </c>
      <c r="Z27" s="290">
        <f t="shared" si="22"/>
        <v>0</v>
      </c>
      <c r="AA27" s="289"/>
      <c r="AB27" s="289"/>
      <c r="AC27" s="289"/>
      <c r="AD27" s="289"/>
      <c r="AE27" s="290">
        <f t="shared" si="23"/>
        <v>0</v>
      </c>
      <c r="AF27" s="290">
        <f t="shared" si="23"/>
        <v>0</v>
      </c>
      <c r="AG27" s="290">
        <f t="shared" si="24"/>
        <v>0</v>
      </c>
      <c r="AH27" s="290">
        <f t="shared" si="25"/>
        <v>0</v>
      </c>
      <c r="AI27" s="290">
        <f t="shared" si="25"/>
        <v>0</v>
      </c>
      <c r="AJ27" s="290">
        <f t="shared" si="26"/>
        <v>0</v>
      </c>
      <c r="AK27" s="290">
        <f t="shared" si="27"/>
        <v>0</v>
      </c>
      <c r="AL27" s="290">
        <f t="shared" si="27"/>
        <v>0</v>
      </c>
      <c r="AM27" s="289">
        <v>0</v>
      </c>
      <c r="AN27" s="289"/>
      <c r="AO27" s="289"/>
      <c r="AP27" s="289"/>
      <c r="AQ27" s="290">
        <f t="shared" si="28"/>
        <v>0</v>
      </c>
      <c r="AR27" s="290">
        <f t="shared" si="28"/>
        <v>0</v>
      </c>
      <c r="AS27" s="289"/>
      <c r="AT27" s="289"/>
      <c r="AU27" s="289"/>
      <c r="AV27" s="289"/>
      <c r="AW27" s="290">
        <f t="shared" si="29"/>
        <v>0</v>
      </c>
      <c r="AX27" s="290">
        <f t="shared" si="29"/>
        <v>0</v>
      </c>
      <c r="AY27" s="289"/>
      <c r="AZ27" s="289"/>
      <c r="BA27" s="289"/>
      <c r="BB27" s="289"/>
      <c r="BC27" s="290">
        <f t="shared" si="30"/>
        <v>0</v>
      </c>
      <c r="BD27" s="290"/>
      <c r="BE27" s="290">
        <f t="shared" si="9"/>
        <v>0</v>
      </c>
      <c r="BF27" s="289"/>
      <c r="BG27" s="289"/>
      <c r="BH27" s="289"/>
      <c r="BI27" s="289"/>
      <c r="BJ27" s="290">
        <f t="shared" si="31"/>
        <v>0</v>
      </c>
      <c r="BK27" s="290"/>
      <c r="BL27" s="290">
        <f t="shared" si="10"/>
        <v>0</v>
      </c>
      <c r="BM27" s="289"/>
      <c r="BN27" s="289"/>
      <c r="BO27" s="289"/>
      <c r="BP27" s="289"/>
      <c r="BQ27" s="290">
        <f t="shared" si="32"/>
        <v>0</v>
      </c>
      <c r="BR27" s="290">
        <f t="shared" si="32"/>
        <v>0</v>
      </c>
      <c r="BS27" s="289"/>
      <c r="BT27" s="289"/>
      <c r="BU27" s="289"/>
      <c r="BV27" s="289"/>
      <c r="BW27" s="290">
        <f t="shared" si="33"/>
        <v>0</v>
      </c>
      <c r="BX27" s="290">
        <f t="shared" si="33"/>
        <v>0</v>
      </c>
      <c r="BY27" s="289"/>
      <c r="BZ27" s="289"/>
      <c r="CA27" s="289"/>
      <c r="CB27" s="289"/>
      <c r="CC27" s="290">
        <f t="shared" si="34"/>
        <v>0</v>
      </c>
      <c r="CD27" s="290">
        <f t="shared" si="34"/>
        <v>0</v>
      </c>
      <c r="CE27" s="289"/>
      <c r="CF27" s="289"/>
      <c r="CG27" s="289"/>
      <c r="CH27" s="289"/>
      <c r="CI27" s="290">
        <f t="shared" si="35"/>
        <v>0</v>
      </c>
      <c r="CJ27" s="290">
        <f t="shared" si="35"/>
        <v>0</v>
      </c>
      <c r="CK27" s="289"/>
      <c r="CL27" s="289"/>
      <c r="CM27" s="289"/>
      <c r="CN27" s="291"/>
      <c r="CO27" s="258">
        <f t="shared" si="36"/>
        <v>0</v>
      </c>
      <c r="CP27" s="258">
        <f t="shared" si="36"/>
        <v>0</v>
      </c>
      <c r="CQ27" s="291"/>
      <c r="CR27" s="291"/>
      <c r="CS27" s="291"/>
      <c r="CT27" s="291"/>
      <c r="CU27" s="258">
        <f t="shared" si="37"/>
        <v>0</v>
      </c>
      <c r="CV27" s="258">
        <f t="shared" si="37"/>
        <v>0</v>
      </c>
      <c r="CW27" s="291"/>
      <c r="CX27" s="291"/>
      <c r="CY27" s="291"/>
      <c r="CZ27" s="291"/>
      <c r="DA27" s="258">
        <f t="shared" si="38"/>
        <v>0</v>
      </c>
      <c r="DB27" s="258">
        <f t="shared" si="38"/>
        <v>0</v>
      </c>
      <c r="DC27" s="291"/>
      <c r="DD27" s="291"/>
      <c r="DE27" s="291"/>
      <c r="DF27" s="291"/>
      <c r="DG27" s="258">
        <f t="shared" si="39"/>
        <v>0</v>
      </c>
      <c r="DH27" s="258">
        <f t="shared" si="39"/>
        <v>0</v>
      </c>
      <c r="DI27" s="258">
        <f t="shared" si="11"/>
        <v>0</v>
      </c>
      <c r="DJ27" s="258">
        <f t="shared" si="12"/>
        <v>0</v>
      </c>
      <c r="DK27" s="258">
        <f t="shared" si="13"/>
        <v>0</v>
      </c>
      <c r="DL27" s="258">
        <f t="shared" si="14"/>
        <v>0</v>
      </c>
      <c r="DM27" s="258">
        <f t="shared" si="40"/>
        <v>0</v>
      </c>
      <c r="DN27" s="258">
        <f t="shared" si="40"/>
        <v>0</v>
      </c>
    </row>
    <row r="28" spans="1:118">
      <c r="A28" s="25">
        <v>20</v>
      </c>
      <c r="B28" s="26" t="s">
        <v>573</v>
      </c>
      <c r="C28" s="26" t="s">
        <v>603</v>
      </c>
      <c r="D28" s="26" t="s">
        <v>604</v>
      </c>
      <c r="E28" s="205" t="s">
        <v>1164</v>
      </c>
      <c r="F28" s="161">
        <f t="shared" si="15"/>
        <v>0</v>
      </c>
      <c r="G28" s="161">
        <f t="shared" ref="G28" si="45">DN28</f>
        <v>0</v>
      </c>
      <c r="H28" s="165">
        <f t="shared" si="16"/>
        <v>0</v>
      </c>
      <c r="I28" s="80">
        <v>0</v>
      </c>
      <c r="J28" s="127">
        <v>0</v>
      </c>
      <c r="K28" s="243">
        <v>0</v>
      </c>
      <c r="L28" s="127">
        <f t="shared" si="17"/>
        <v>0</v>
      </c>
      <c r="M28" s="127">
        <f t="shared" si="18"/>
        <v>0</v>
      </c>
      <c r="N28" s="127">
        <f t="shared" si="19"/>
        <v>0</v>
      </c>
      <c r="O28" s="131">
        <f t="shared" si="20"/>
        <v>0</v>
      </c>
      <c r="P28" s="125" t="str">
        <f t="shared" si="21"/>
        <v>ნულოვანი შესრულება</v>
      </c>
      <c r="Q28" s="81"/>
      <c r="R28" s="81"/>
      <c r="S28" s="81">
        <f t="shared" si="42"/>
        <v>0</v>
      </c>
      <c r="T28" s="81">
        <f t="shared" si="41"/>
        <v>0</v>
      </c>
      <c r="U28" s="81"/>
      <c r="V28" s="81"/>
      <c r="W28" s="81"/>
      <c r="X28" s="81"/>
      <c r="Y28" s="74">
        <f t="shared" si="22"/>
        <v>0</v>
      </c>
      <c r="Z28" s="74">
        <f t="shared" si="22"/>
        <v>0</v>
      </c>
      <c r="AA28" s="81"/>
      <c r="AB28" s="81"/>
      <c r="AC28" s="81"/>
      <c r="AD28" s="81"/>
      <c r="AE28" s="74">
        <f t="shared" si="23"/>
        <v>0</v>
      </c>
      <c r="AF28" s="74">
        <f t="shared" si="23"/>
        <v>0</v>
      </c>
      <c r="AG28" s="74">
        <f t="shared" si="24"/>
        <v>0</v>
      </c>
      <c r="AH28" s="74">
        <f t="shared" si="25"/>
        <v>0</v>
      </c>
      <c r="AI28" s="74">
        <f t="shared" si="25"/>
        <v>0</v>
      </c>
      <c r="AJ28" s="74">
        <f t="shared" si="26"/>
        <v>0</v>
      </c>
      <c r="AK28" s="74">
        <f t="shared" si="27"/>
        <v>0</v>
      </c>
      <c r="AL28" s="74">
        <f t="shared" si="27"/>
        <v>0</v>
      </c>
      <c r="AM28" s="81"/>
      <c r="AN28" s="81"/>
      <c r="AO28" s="81"/>
      <c r="AP28" s="81"/>
      <c r="AQ28" s="74">
        <f t="shared" si="28"/>
        <v>0</v>
      </c>
      <c r="AR28" s="74">
        <f t="shared" si="28"/>
        <v>0</v>
      </c>
      <c r="AS28" s="81"/>
      <c r="AT28" s="81"/>
      <c r="AU28" s="81"/>
      <c r="AV28" s="81"/>
      <c r="AW28" s="74">
        <f t="shared" si="29"/>
        <v>0</v>
      </c>
      <c r="AX28" s="74">
        <f t="shared" si="29"/>
        <v>0</v>
      </c>
      <c r="AY28" s="81"/>
      <c r="AZ28" s="81"/>
      <c r="BA28" s="81"/>
      <c r="BB28" s="81"/>
      <c r="BC28" s="74">
        <f t="shared" si="30"/>
        <v>0</v>
      </c>
      <c r="BD28" s="74"/>
      <c r="BE28" s="74">
        <f t="shared" si="9"/>
        <v>0</v>
      </c>
      <c r="BF28" s="81"/>
      <c r="BG28" s="81"/>
      <c r="BH28" s="81"/>
      <c r="BI28" s="81"/>
      <c r="BJ28" s="74">
        <f t="shared" si="31"/>
        <v>0</v>
      </c>
      <c r="BK28" s="74"/>
      <c r="BL28" s="74">
        <f t="shared" si="10"/>
        <v>0</v>
      </c>
      <c r="BM28" s="81"/>
      <c r="BN28" s="81"/>
      <c r="BO28" s="81"/>
      <c r="BP28" s="81"/>
      <c r="BQ28" s="74">
        <f t="shared" si="32"/>
        <v>0</v>
      </c>
      <c r="BR28" s="74">
        <f t="shared" si="32"/>
        <v>0</v>
      </c>
      <c r="BS28" s="81"/>
      <c r="BT28" s="81"/>
      <c r="BU28" s="81"/>
      <c r="BV28" s="81"/>
      <c r="BW28" s="74">
        <f t="shared" si="33"/>
        <v>0</v>
      </c>
      <c r="BX28" s="74">
        <f t="shared" si="33"/>
        <v>0</v>
      </c>
      <c r="BY28" s="81"/>
      <c r="BZ28" s="81"/>
      <c r="CA28" s="81"/>
      <c r="CB28" s="81"/>
      <c r="CC28" s="74">
        <f t="shared" si="34"/>
        <v>0</v>
      </c>
      <c r="CD28" s="74">
        <f t="shared" si="34"/>
        <v>0</v>
      </c>
      <c r="CE28" s="81"/>
      <c r="CF28" s="81"/>
      <c r="CG28" s="81"/>
      <c r="CH28" s="81"/>
      <c r="CI28" s="74">
        <f t="shared" si="35"/>
        <v>0</v>
      </c>
      <c r="CJ28" s="74">
        <f t="shared" si="35"/>
        <v>0</v>
      </c>
      <c r="CK28" s="81"/>
      <c r="CL28" s="81"/>
      <c r="CM28" s="81"/>
      <c r="CN28" s="81"/>
      <c r="CO28" s="74">
        <f t="shared" si="36"/>
        <v>0</v>
      </c>
      <c r="CP28" s="74">
        <f t="shared" si="36"/>
        <v>0</v>
      </c>
      <c r="CQ28" s="81"/>
      <c r="CR28" s="81"/>
      <c r="CS28" s="81"/>
      <c r="CT28" s="81"/>
      <c r="CU28" s="74">
        <f t="shared" si="37"/>
        <v>0</v>
      </c>
      <c r="CV28" s="74">
        <f t="shared" si="37"/>
        <v>0</v>
      </c>
      <c r="CW28" s="81"/>
      <c r="CX28" s="81"/>
      <c r="CY28" s="81"/>
      <c r="CZ28" s="81"/>
      <c r="DA28" s="74">
        <f t="shared" si="38"/>
        <v>0</v>
      </c>
      <c r="DB28" s="74">
        <f t="shared" si="38"/>
        <v>0</v>
      </c>
      <c r="DC28" s="81"/>
      <c r="DD28" s="81"/>
      <c r="DE28" s="81"/>
      <c r="DF28" s="81"/>
      <c r="DG28" s="74">
        <f t="shared" si="39"/>
        <v>0</v>
      </c>
      <c r="DH28" s="74">
        <f t="shared" si="39"/>
        <v>0</v>
      </c>
      <c r="DI28" s="74">
        <f t="shared" si="11"/>
        <v>0</v>
      </c>
      <c r="DJ28" s="74">
        <f t="shared" si="12"/>
        <v>0</v>
      </c>
      <c r="DK28" s="74">
        <f t="shared" si="13"/>
        <v>0</v>
      </c>
      <c r="DL28" s="74">
        <f t="shared" si="14"/>
        <v>0</v>
      </c>
      <c r="DM28" s="74">
        <f t="shared" si="40"/>
        <v>0</v>
      </c>
      <c r="DN28" s="74">
        <f t="shared" si="40"/>
        <v>0</v>
      </c>
    </row>
    <row r="29" spans="1:118" s="278" customFormat="1">
      <c r="A29" s="253">
        <v>21</v>
      </c>
      <c r="B29" s="276" t="s">
        <v>573</v>
      </c>
      <c r="C29" s="276" t="s">
        <v>603</v>
      </c>
      <c r="D29" s="276" t="s">
        <v>605</v>
      </c>
      <c r="E29" s="276" t="s">
        <v>1165</v>
      </c>
      <c r="F29" s="255">
        <f t="shared" si="15"/>
        <v>0</v>
      </c>
      <c r="G29" s="255">
        <f>DN29</f>
        <v>0</v>
      </c>
      <c r="H29" s="256">
        <f t="shared" si="16"/>
        <v>0</v>
      </c>
      <c r="I29" s="281">
        <v>218772</v>
      </c>
      <c r="J29" s="255">
        <v>0</v>
      </c>
      <c r="K29" s="284">
        <v>0</v>
      </c>
      <c r="L29" s="255">
        <f t="shared" si="17"/>
        <v>0</v>
      </c>
      <c r="M29" s="255">
        <f t="shared" si="18"/>
        <v>0</v>
      </c>
      <c r="N29" s="255">
        <f t="shared" si="19"/>
        <v>0</v>
      </c>
      <c r="O29" s="255">
        <f t="shared" si="20"/>
        <v>0</v>
      </c>
      <c r="P29" s="255" t="str">
        <f t="shared" si="21"/>
        <v>ნულოვანი შესრულება</v>
      </c>
      <c r="Q29" s="282"/>
      <c r="R29" s="282"/>
      <c r="S29" s="282">
        <f t="shared" si="42"/>
        <v>0</v>
      </c>
      <c r="T29" s="282">
        <f t="shared" si="41"/>
        <v>0</v>
      </c>
      <c r="U29" s="282"/>
      <c r="V29" s="282"/>
      <c r="W29" s="282"/>
      <c r="X29" s="282"/>
      <c r="Y29" s="258">
        <f t="shared" si="22"/>
        <v>0</v>
      </c>
      <c r="Z29" s="258">
        <f t="shared" si="22"/>
        <v>0</v>
      </c>
      <c r="AA29" s="282"/>
      <c r="AB29" s="282"/>
      <c r="AC29" s="282"/>
      <c r="AD29" s="282"/>
      <c r="AE29" s="258">
        <f t="shared" si="23"/>
        <v>0</v>
      </c>
      <c r="AF29" s="258">
        <f t="shared" si="23"/>
        <v>0</v>
      </c>
      <c r="AG29" s="258">
        <f t="shared" si="24"/>
        <v>0</v>
      </c>
      <c r="AH29" s="258">
        <f t="shared" si="25"/>
        <v>0</v>
      </c>
      <c r="AI29" s="258">
        <f t="shared" si="25"/>
        <v>0</v>
      </c>
      <c r="AJ29" s="258">
        <f t="shared" si="26"/>
        <v>0</v>
      </c>
      <c r="AK29" s="258">
        <f t="shared" si="27"/>
        <v>0</v>
      </c>
      <c r="AL29" s="258">
        <f t="shared" si="27"/>
        <v>0</v>
      </c>
      <c r="AM29" s="282"/>
      <c r="AN29" s="282"/>
      <c r="AO29" s="282"/>
      <c r="AP29" s="282"/>
      <c r="AQ29" s="258">
        <f t="shared" si="28"/>
        <v>0</v>
      </c>
      <c r="AR29" s="258">
        <f t="shared" si="28"/>
        <v>0</v>
      </c>
      <c r="AS29" s="282"/>
      <c r="AT29" s="282"/>
      <c r="AU29" s="282"/>
      <c r="AV29" s="282"/>
      <c r="AW29" s="258">
        <f t="shared" si="29"/>
        <v>0</v>
      </c>
      <c r="AX29" s="258">
        <f t="shared" si="29"/>
        <v>0</v>
      </c>
      <c r="AY29" s="282"/>
      <c r="AZ29" s="282"/>
      <c r="BA29" s="282"/>
      <c r="BB29" s="282"/>
      <c r="BC29" s="258">
        <f t="shared" si="30"/>
        <v>0</v>
      </c>
      <c r="BD29" s="258"/>
      <c r="BE29" s="258">
        <f t="shared" si="9"/>
        <v>0</v>
      </c>
      <c r="BF29" s="282"/>
      <c r="BG29" s="282"/>
      <c r="BH29" s="282"/>
      <c r="BI29" s="282"/>
      <c r="BJ29" s="258">
        <f t="shared" si="31"/>
        <v>0</v>
      </c>
      <c r="BK29" s="258"/>
      <c r="BL29" s="258">
        <f t="shared" si="10"/>
        <v>0</v>
      </c>
      <c r="BM29" s="282"/>
      <c r="BN29" s="282"/>
      <c r="BO29" s="282"/>
      <c r="BP29" s="282"/>
      <c r="BQ29" s="258">
        <f t="shared" si="32"/>
        <v>0</v>
      </c>
      <c r="BR29" s="258">
        <f t="shared" si="32"/>
        <v>0</v>
      </c>
      <c r="BS29" s="282"/>
      <c r="BT29" s="282"/>
      <c r="BU29" s="282"/>
      <c r="BV29" s="282"/>
      <c r="BW29" s="258">
        <f t="shared" si="33"/>
        <v>0</v>
      </c>
      <c r="BX29" s="258">
        <f t="shared" si="33"/>
        <v>0</v>
      </c>
      <c r="BY29" s="282"/>
      <c r="BZ29" s="282"/>
      <c r="CA29" s="282"/>
      <c r="CB29" s="282"/>
      <c r="CC29" s="258">
        <f t="shared" si="34"/>
        <v>0</v>
      </c>
      <c r="CD29" s="258">
        <f t="shared" si="34"/>
        <v>0</v>
      </c>
      <c r="CE29" s="282"/>
      <c r="CF29" s="282"/>
      <c r="CG29" s="282"/>
      <c r="CH29" s="282"/>
      <c r="CI29" s="258">
        <f t="shared" si="35"/>
        <v>0</v>
      </c>
      <c r="CJ29" s="258">
        <f t="shared" si="35"/>
        <v>0</v>
      </c>
      <c r="CK29" s="282"/>
      <c r="CL29" s="282"/>
      <c r="CM29" s="282"/>
      <c r="CN29" s="282"/>
      <c r="CO29" s="258">
        <f t="shared" si="36"/>
        <v>0</v>
      </c>
      <c r="CP29" s="258">
        <f t="shared" si="36"/>
        <v>0</v>
      </c>
      <c r="CQ29" s="282"/>
      <c r="CR29" s="282"/>
      <c r="CS29" s="282"/>
      <c r="CT29" s="282"/>
      <c r="CU29" s="258">
        <f t="shared" si="37"/>
        <v>0</v>
      </c>
      <c r="CV29" s="258">
        <f t="shared" si="37"/>
        <v>0</v>
      </c>
      <c r="CW29" s="282"/>
      <c r="CX29" s="282"/>
      <c r="CY29" s="282"/>
      <c r="CZ29" s="282"/>
      <c r="DA29" s="258">
        <f t="shared" si="38"/>
        <v>0</v>
      </c>
      <c r="DB29" s="258">
        <f t="shared" si="38"/>
        <v>0</v>
      </c>
      <c r="DC29" s="282"/>
      <c r="DD29" s="282"/>
      <c r="DE29" s="282"/>
      <c r="DF29" s="282"/>
      <c r="DG29" s="258">
        <f t="shared" si="39"/>
        <v>0</v>
      </c>
      <c r="DH29" s="258">
        <f t="shared" si="39"/>
        <v>0</v>
      </c>
      <c r="DI29" s="258">
        <f t="shared" si="11"/>
        <v>0</v>
      </c>
      <c r="DJ29" s="258">
        <f t="shared" si="12"/>
        <v>0</v>
      </c>
      <c r="DK29" s="258">
        <f t="shared" si="13"/>
        <v>0</v>
      </c>
      <c r="DL29" s="258">
        <f t="shared" si="14"/>
        <v>0</v>
      </c>
      <c r="DM29" s="258">
        <f t="shared" si="40"/>
        <v>0</v>
      </c>
      <c r="DN29" s="258">
        <f t="shared" si="40"/>
        <v>0</v>
      </c>
    </row>
    <row r="30" spans="1:118">
      <c r="A30" s="25">
        <v>22</v>
      </c>
      <c r="B30" s="26" t="s">
        <v>581</v>
      </c>
      <c r="C30" s="26" t="s">
        <v>606</v>
      </c>
      <c r="D30" s="26" t="s">
        <v>607</v>
      </c>
      <c r="E30" s="205" t="s">
        <v>1164</v>
      </c>
      <c r="F30" s="161">
        <f t="shared" si="15"/>
        <v>0</v>
      </c>
      <c r="G30" s="161">
        <f t="shared" ref="G30:G32" si="46">DN30</f>
        <v>0</v>
      </c>
      <c r="H30" s="165">
        <f t="shared" si="16"/>
        <v>7707</v>
      </c>
      <c r="I30" s="80">
        <v>0</v>
      </c>
      <c r="J30" s="127">
        <v>0</v>
      </c>
      <c r="K30" s="127">
        <v>0</v>
      </c>
      <c r="L30" s="127">
        <f t="shared" si="17"/>
        <v>7707</v>
      </c>
      <c r="M30" s="127">
        <f t="shared" si="18"/>
        <v>7707</v>
      </c>
      <c r="N30" s="127">
        <f t="shared" si="19"/>
        <v>7707</v>
      </c>
      <c r="O30" s="131">
        <f t="shared" si="20"/>
        <v>0</v>
      </c>
      <c r="P30" s="125">
        <f t="shared" si="21"/>
        <v>7707</v>
      </c>
      <c r="Q30" s="81"/>
      <c r="R30" s="81"/>
      <c r="S30" s="81">
        <f t="shared" si="42"/>
        <v>0</v>
      </c>
      <c r="T30" s="81">
        <f t="shared" si="41"/>
        <v>0</v>
      </c>
      <c r="U30" s="81"/>
      <c r="V30" s="81"/>
      <c r="W30" s="81"/>
      <c r="X30" s="81"/>
      <c r="Y30" s="74">
        <f t="shared" si="22"/>
        <v>0</v>
      </c>
      <c r="Z30" s="74">
        <f t="shared" si="22"/>
        <v>0</v>
      </c>
      <c r="AA30" s="81"/>
      <c r="AB30" s="81"/>
      <c r="AC30" s="81">
        <f>3500*1.75</f>
        <v>6125</v>
      </c>
      <c r="AD30" s="81">
        <v>7707</v>
      </c>
      <c r="AE30" s="74">
        <f t="shared" si="23"/>
        <v>6125</v>
      </c>
      <c r="AF30" s="74">
        <f t="shared" si="23"/>
        <v>7707</v>
      </c>
      <c r="AG30" s="74">
        <f t="shared" si="24"/>
        <v>0</v>
      </c>
      <c r="AH30" s="74">
        <f t="shared" si="25"/>
        <v>0</v>
      </c>
      <c r="AI30" s="74">
        <f t="shared" si="25"/>
        <v>6125</v>
      </c>
      <c r="AJ30" s="74">
        <f t="shared" si="26"/>
        <v>7707</v>
      </c>
      <c r="AK30" s="74">
        <f t="shared" si="27"/>
        <v>6125</v>
      </c>
      <c r="AL30" s="74">
        <f t="shared" si="27"/>
        <v>7707</v>
      </c>
      <c r="AM30" s="81"/>
      <c r="AN30" s="81"/>
      <c r="AO30" s="81"/>
      <c r="AP30" s="81"/>
      <c r="AQ30" s="74">
        <f t="shared" si="28"/>
        <v>0</v>
      </c>
      <c r="AR30" s="74">
        <f t="shared" si="28"/>
        <v>0</v>
      </c>
      <c r="AS30" s="81"/>
      <c r="AT30" s="81"/>
      <c r="AU30" s="81"/>
      <c r="AV30" s="81"/>
      <c r="AW30" s="74">
        <f t="shared" si="29"/>
        <v>0</v>
      </c>
      <c r="AX30" s="74">
        <f t="shared" si="29"/>
        <v>0</v>
      </c>
      <c r="AY30" s="81"/>
      <c r="AZ30" s="81"/>
      <c r="BA30" s="81"/>
      <c r="BB30" s="81"/>
      <c r="BC30" s="74">
        <f t="shared" si="30"/>
        <v>0</v>
      </c>
      <c r="BD30" s="74"/>
      <c r="BE30" s="74">
        <f t="shared" si="9"/>
        <v>0</v>
      </c>
      <c r="BF30" s="81"/>
      <c r="BG30" s="81"/>
      <c r="BH30" s="81"/>
      <c r="BI30" s="81"/>
      <c r="BJ30" s="74">
        <f t="shared" si="31"/>
        <v>0</v>
      </c>
      <c r="BK30" s="74"/>
      <c r="BL30" s="74">
        <f t="shared" si="10"/>
        <v>0</v>
      </c>
      <c r="BM30" s="81"/>
      <c r="BN30" s="81"/>
      <c r="BO30" s="81"/>
      <c r="BP30" s="81"/>
      <c r="BQ30" s="74">
        <f t="shared" si="32"/>
        <v>0</v>
      </c>
      <c r="BR30" s="74">
        <f t="shared" si="32"/>
        <v>0</v>
      </c>
      <c r="BS30" s="81"/>
      <c r="BT30" s="81"/>
      <c r="BU30" s="81"/>
      <c r="BV30" s="81"/>
      <c r="BW30" s="74">
        <f t="shared" si="33"/>
        <v>0</v>
      </c>
      <c r="BX30" s="74">
        <f t="shared" si="33"/>
        <v>0</v>
      </c>
      <c r="BY30" s="81"/>
      <c r="BZ30" s="81"/>
      <c r="CA30" s="81"/>
      <c r="CB30" s="81"/>
      <c r="CC30" s="74">
        <f t="shared" si="34"/>
        <v>0</v>
      </c>
      <c r="CD30" s="74">
        <f t="shared" si="34"/>
        <v>0</v>
      </c>
      <c r="CE30" s="81"/>
      <c r="CF30" s="81"/>
      <c r="CG30" s="81"/>
      <c r="CH30" s="81"/>
      <c r="CI30" s="74">
        <f t="shared" si="35"/>
        <v>0</v>
      </c>
      <c r="CJ30" s="74">
        <f t="shared" si="35"/>
        <v>0</v>
      </c>
      <c r="CK30" s="81"/>
      <c r="CL30" s="81"/>
      <c r="CM30" s="81"/>
      <c r="CN30" s="81"/>
      <c r="CO30" s="74">
        <f t="shared" si="36"/>
        <v>0</v>
      </c>
      <c r="CP30" s="74">
        <f t="shared" si="36"/>
        <v>0</v>
      </c>
      <c r="CQ30" s="81"/>
      <c r="CR30" s="81"/>
      <c r="CS30" s="81"/>
      <c r="CT30" s="81"/>
      <c r="CU30" s="74">
        <f t="shared" si="37"/>
        <v>0</v>
      </c>
      <c r="CV30" s="74">
        <f t="shared" si="37"/>
        <v>0</v>
      </c>
      <c r="CW30" s="81"/>
      <c r="CX30" s="81"/>
      <c r="CY30" s="81"/>
      <c r="CZ30" s="81"/>
      <c r="DA30" s="74">
        <f t="shared" si="38"/>
        <v>0</v>
      </c>
      <c r="DB30" s="74">
        <f t="shared" si="38"/>
        <v>0</v>
      </c>
      <c r="DC30" s="81"/>
      <c r="DD30" s="81"/>
      <c r="DE30" s="81"/>
      <c r="DF30" s="81"/>
      <c r="DG30" s="74">
        <f t="shared" si="39"/>
        <v>0</v>
      </c>
      <c r="DH30" s="74">
        <f t="shared" si="39"/>
        <v>0</v>
      </c>
      <c r="DI30" s="74">
        <f t="shared" si="11"/>
        <v>0</v>
      </c>
      <c r="DJ30" s="74">
        <f t="shared" si="12"/>
        <v>0</v>
      </c>
      <c r="DK30" s="74">
        <f t="shared" si="13"/>
        <v>0</v>
      </c>
      <c r="DL30" s="74">
        <f t="shared" si="14"/>
        <v>0</v>
      </c>
      <c r="DM30" s="74">
        <f t="shared" si="40"/>
        <v>0</v>
      </c>
      <c r="DN30" s="74">
        <f t="shared" si="40"/>
        <v>0</v>
      </c>
    </row>
    <row r="31" spans="1:118" s="278" customFormat="1">
      <c r="A31" s="253">
        <v>23</v>
      </c>
      <c r="B31" s="276" t="s">
        <v>581</v>
      </c>
      <c r="C31" s="276" t="s">
        <v>606</v>
      </c>
      <c r="D31" s="276" t="s">
        <v>608</v>
      </c>
      <c r="E31" s="276" t="s">
        <v>1165</v>
      </c>
      <c r="F31" s="255">
        <f t="shared" si="15"/>
        <v>0</v>
      </c>
      <c r="G31" s="255">
        <f t="shared" si="46"/>
        <v>12000</v>
      </c>
      <c r="H31" s="256">
        <f t="shared" si="16"/>
        <v>0</v>
      </c>
      <c r="I31" s="281">
        <v>214170</v>
      </c>
      <c r="J31" s="255">
        <v>0</v>
      </c>
      <c r="K31" s="255">
        <v>0</v>
      </c>
      <c r="L31" s="255">
        <f t="shared" si="17"/>
        <v>0</v>
      </c>
      <c r="M31" s="255">
        <f t="shared" si="18"/>
        <v>0</v>
      </c>
      <c r="N31" s="255">
        <f t="shared" si="19"/>
        <v>0</v>
      </c>
      <c r="O31" s="255">
        <f t="shared" si="20"/>
        <v>0</v>
      </c>
      <c r="P31" s="255" t="str">
        <f t="shared" si="21"/>
        <v>მიმდინარეობს</v>
      </c>
      <c r="Q31" s="282"/>
      <c r="R31" s="282"/>
      <c r="S31" s="282">
        <f t="shared" si="42"/>
        <v>0</v>
      </c>
      <c r="T31" s="282">
        <f t="shared" si="41"/>
        <v>0</v>
      </c>
      <c r="U31" s="282"/>
      <c r="V31" s="282"/>
      <c r="W31" s="282"/>
      <c r="X31" s="282"/>
      <c r="Y31" s="258">
        <f t="shared" si="22"/>
        <v>0</v>
      </c>
      <c r="Z31" s="258">
        <f t="shared" si="22"/>
        <v>0</v>
      </c>
      <c r="AA31" s="282"/>
      <c r="AB31" s="282"/>
      <c r="AC31" s="282"/>
      <c r="AD31" s="282"/>
      <c r="AE31" s="258">
        <f t="shared" si="23"/>
        <v>0</v>
      </c>
      <c r="AF31" s="258">
        <f t="shared" si="23"/>
        <v>0</v>
      </c>
      <c r="AG31" s="258">
        <f t="shared" si="24"/>
        <v>0</v>
      </c>
      <c r="AH31" s="258">
        <f t="shared" si="25"/>
        <v>0</v>
      </c>
      <c r="AI31" s="258">
        <f t="shared" si="25"/>
        <v>0</v>
      </c>
      <c r="AJ31" s="258">
        <f t="shared" si="26"/>
        <v>0</v>
      </c>
      <c r="AK31" s="258">
        <f t="shared" si="27"/>
        <v>0</v>
      </c>
      <c r="AL31" s="258">
        <f t="shared" si="27"/>
        <v>0</v>
      </c>
      <c r="AM31" s="282"/>
      <c r="AN31" s="282"/>
      <c r="AO31" s="282"/>
      <c r="AP31" s="282"/>
      <c r="AQ31" s="258">
        <f t="shared" si="28"/>
        <v>0</v>
      </c>
      <c r="AR31" s="258">
        <f t="shared" si="28"/>
        <v>0</v>
      </c>
      <c r="AS31" s="282"/>
      <c r="AT31" s="282"/>
      <c r="AU31" s="282"/>
      <c r="AV31" s="282"/>
      <c r="AW31" s="258">
        <f t="shared" si="29"/>
        <v>0</v>
      </c>
      <c r="AX31" s="258">
        <f t="shared" si="29"/>
        <v>0</v>
      </c>
      <c r="AY31" s="282"/>
      <c r="AZ31" s="282"/>
      <c r="BA31" s="282"/>
      <c r="BB31" s="282"/>
      <c r="BC31" s="258">
        <f t="shared" si="30"/>
        <v>0</v>
      </c>
      <c r="BD31" s="258"/>
      <c r="BE31" s="258">
        <f t="shared" si="9"/>
        <v>0</v>
      </c>
      <c r="BF31" s="282"/>
      <c r="BG31" s="282"/>
      <c r="BH31" s="282"/>
      <c r="BI31" s="282"/>
      <c r="BJ31" s="258">
        <f t="shared" si="31"/>
        <v>0</v>
      </c>
      <c r="BK31" s="258"/>
      <c r="BL31" s="258">
        <f t="shared" si="10"/>
        <v>0</v>
      </c>
      <c r="BM31" s="282"/>
      <c r="BN31" s="282"/>
      <c r="BO31" s="282"/>
      <c r="BP31" s="282"/>
      <c r="BQ31" s="258">
        <f t="shared" si="32"/>
        <v>0</v>
      </c>
      <c r="BR31" s="258">
        <f t="shared" si="32"/>
        <v>0</v>
      </c>
      <c r="BS31" s="282"/>
      <c r="BT31" s="282"/>
      <c r="BU31" s="282"/>
      <c r="BV31" s="282"/>
      <c r="BW31" s="258">
        <f t="shared" si="33"/>
        <v>0</v>
      </c>
      <c r="BX31" s="258">
        <f t="shared" si="33"/>
        <v>0</v>
      </c>
      <c r="BY31" s="282"/>
      <c r="BZ31" s="282"/>
      <c r="CA31" s="282"/>
      <c r="CB31" s="282"/>
      <c r="CC31" s="258">
        <f t="shared" si="34"/>
        <v>0</v>
      </c>
      <c r="CD31" s="258">
        <f t="shared" si="34"/>
        <v>0</v>
      </c>
      <c r="CE31" s="282"/>
      <c r="CF31" s="282"/>
      <c r="CG31" s="282"/>
      <c r="CH31" s="282"/>
      <c r="CI31" s="258">
        <f t="shared" si="35"/>
        <v>0</v>
      </c>
      <c r="CJ31" s="258">
        <f t="shared" si="35"/>
        <v>0</v>
      </c>
      <c r="CK31" s="282"/>
      <c r="CL31" s="282"/>
      <c r="CM31" s="282"/>
      <c r="CN31" s="282"/>
      <c r="CO31" s="258">
        <f t="shared" si="36"/>
        <v>0</v>
      </c>
      <c r="CP31" s="258">
        <f t="shared" si="36"/>
        <v>0</v>
      </c>
      <c r="CQ31" s="282"/>
      <c r="CR31" s="282">
        <v>12000</v>
      </c>
      <c r="CS31" s="282"/>
      <c r="CT31" s="282"/>
      <c r="CU31" s="258">
        <f t="shared" si="37"/>
        <v>0</v>
      </c>
      <c r="CV31" s="258">
        <f t="shared" si="37"/>
        <v>12000</v>
      </c>
      <c r="CW31" s="282"/>
      <c r="CX31" s="282"/>
      <c r="CY31" s="282"/>
      <c r="CZ31" s="282"/>
      <c r="DA31" s="258">
        <f t="shared" si="38"/>
        <v>0</v>
      </c>
      <c r="DB31" s="258">
        <f t="shared" si="38"/>
        <v>0</v>
      </c>
      <c r="DC31" s="282"/>
      <c r="DD31" s="282"/>
      <c r="DE31" s="282"/>
      <c r="DF31" s="282"/>
      <c r="DG31" s="258">
        <f t="shared" si="39"/>
        <v>0</v>
      </c>
      <c r="DH31" s="258">
        <f t="shared" si="39"/>
        <v>0</v>
      </c>
      <c r="DI31" s="258">
        <f t="shared" si="11"/>
        <v>0</v>
      </c>
      <c r="DJ31" s="258">
        <f t="shared" si="12"/>
        <v>12000</v>
      </c>
      <c r="DK31" s="258">
        <f t="shared" si="13"/>
        <v>0</v>
      </c>
      <c r="DL31" s="258">
        <f t="shared" si="14"/>
        <v>0</v>
      </c>
      <c r="DM31" s="258">
        <f t="shared" si="40"/>
        <v>0</v>
      </c>
      <c r="DN31" s="258">
        <f t="shared" si="40"/>
        <v>12000</v>
      </c>
    </row>
    <row r="32" spans="1:118" s="278" customFormat="1">
      <c r="A32" s="253">
        <v>24</v>
      </c>
      <c r="B32" s="276" t="s">
        <v>581</v>
      </c>
      <c r="C32" s="276" t="s">
        <v>609</v>
      </c>
      <c r="D32" s="276" t="s">
        <v>610</v>
      </c>
      <c r="E32" s="276" t="s">
        <v>1165</v>
      </c>
      <c r="F32" s="255">
        <f t="shared" si="15"/>
        <v>0</v>
      </c>
      <c r="G32" s="255">
        <f t="shared" si="46"/>
        <v>30000</v>
      </c>
      <c r="H32" s="256">
        <f t="shared" si="16"/>
        <v>0</v>
      </c>
      <c r="I32" s="281">
        <v>141203.51999999999</v>
      </c>
      <c r="J32" s="255">
        <v>0</v>
      </c>
      <c r="K32" s="284">
        <v>0</v>
      </c>
      <c r="L32" s="255">
        <f t="shared" si="17"/>
        <v>0</v>
      </c>
      <c r="M32" s="255">
        <f t="shared" si="18"/>
        <v>0</v>
      </c>
      <c r="N32" s="255">
        <f t="shared" si="19"/>
        <v>0</v>
      </c>
      <c r="O32" s="255">
        <f t="shared" si="20"/>
        <v>0</v>
      </c>
      <c r="P32" s="255" t="str">
        <f t="shared" si="21"/>
        <v>მიმდინარეობს</v>
      </c>
      <c r="Q32" s="282"/>
      <c r="R32" s="282"/>
      <c r="S32" s="282">
        <f t="shared" si="42"/>
        <v>0</v>
      </c>
      <c r="T32" s="282">
        <f t="shared" si="41"/>
        <v>0</v>
      </c>
      <c r="U32" s="282"/>
      <c r="V32" s="282"/>
      <c r="W32" s="282"/>
      <c r="X32" s="282"/>
      <c r="Y32" s="258">
        <f t="shared" si="22"/>
        <v>0</v>
      </c>
      <c r="Z32" s="258">
        <f t="shared" si="22"/>
        <v>0</v>
      </c>
      <c r="AA32" s="282"/>
      <c r="AB32" s="282"/>
      <c r="AC32" s="282"/>
      <c r="AD32" s="282"/>
      <c r="AE32" s="258">
        <f t="shared" si="23"/>
        <v>0</v>
      </c>
      <c r="AF32" s="258">
        <f t="shared" si="23"/>
        <v>0</v>
      </c>
      <c r="AG32" s="258">
        <f t="shared" si="24"/>
        <v>0</v>
      </c>
      <c r="AH32" s="258">
        <f t="shared" si="25"/>
        <v>0</v>
      </c>
      <c r="AI32" s="258">
        <f t="shared" si="25"/>
        <v>0</v>
      </c>
      <c r="AJ32" s="258">
        <f t="shared" si="26"/>
        <v>0</v>
      </c>
      <c r="AK32" s="258">
        <f t="shared" si="27"/>
        <v>0</v>
      </c>
      <c r="AL32" s="258">
        <f t="shared" si="27"/>
        <v>0</v>
      </c>
      <c r="AM32" s="282"/>
      <c r="AN32" s="282"/>
      <c r="AO32" s="282"/>
      <c r="AP32" s="282"/>
      <c r="AQ32" s="258">
        <f t="shared" si="28"/>
        <v>0</v>
      </c>
      <c r="AR32" s="258">
        <f t="shared" si="28"/>
        <v>0</v>
      </c>
      <c r="AS32" s="282"/>
      <c r="AT32" s="282"/>
      <c r="AU32" s="282"/>
      <c r="AV32" s="282"/>
      <c r="AW32" s="258">
        <f t="shared" si="29"/>
        <v>0</v>
      </c>
      <c r="AX32" s="258">
        <f t="shared" si="29"/>
        <v>0</v>
      </c>
      <c r="AY32" s="282"/>
      <c r="AZ32" s="282"/>
      <c r="BA32" s="282"/>
      <c r="BB32" s="282"/>
      <c r="BC32" s="258">
        <f t="shared" si="30"/>
        <v>0</v>
      </c>
      <c r="BD32" s="258"/>
      <c r="BE32" s="258">
        <f t="shared" si="9"/>
        <v>0</v>
      </c>
      <c r="BF32" s="282"/>
      <c r="BG32" s="282"/>
      <c r="BH32" s="282"/>
      <c r="BI32" s="282"/>
      <c r="BJ32" s="258">
        <f t="shared" si="31"/>
        <v>0</v>
      </c>
      <c r="BK32" s="258"/>
      <c r="BL32" s="258">
        <f t="shared" si="10"/>
        <v>0</v>
      </c>
      <c r="BM32" s="282"/>
      <c r="BN32" s="282"/>
      <c r="BO32" s="282">
        <v>0</v>
      </c>
      <c r="BP32" s="282"/>
      <c r="BQ32" s="258">
        <f t="shared" si="32"/>
        <v>0</v>
      </c>
      <c r="BR32" s="258">
        <f t="shared" si="32"/>
        <v>0</v>
      </c>
      <c r="BS32" s="282"/>
      <c r="BT32" s="282"/>
      <c r="BU32" s="282"/>
      <c r="BV32" s="282"/>
      <c r="BW32" s="258">
        <f t="shared" si="33"/>
        <v>0</v>
      </c>
      <c r="BX32" s="258">
        <f t="shared" si="33"/>
        <v>0</v>
      </c>
      <c r="BY32" s="282"/>
      <c r="BZ32" s="282"/>
      <c r="CA32" s="282"/>
      <c r="CB32" s="282"/>
      <c r="CC32" s="258">
        <f t="shared" si="34"/>
        <v>0</v>
      </c>
      <c r="CD32" s="258">
        <f t="shared" si="34"/>
        <v>0</v>
      </c>
      <c r="CE32" s="282"/>
      <c r="CF32" s="282"/>
      <c r="CG32" s="282"/>
      <c r="CH32" s="282"/>
      <c r="CI32" s="258">
        <f t="shared" si="35"/>
        <v>0</v>
      </c>
      <c r="CJ32" s="258">
        <f t="shared" si="35"/>
        <v>0</v>
      </c>
      <c r="CK32" s="282"/>
      <c r="CL32" s="282"/>
      <c r="CM32" s="282"/>
      <c r="CN32" s="282"/>
      <c r="CO32" s="258">
        <f t="shared" si="36"/>
        <v>0</v>
      </c>
      <c r="CP32" s="258">
        <f t="shared" si="36"/>
        <v>0</v>
      </c>
      <c r="CQ32" s="282"/>
      <c r="CR32" s="282">
        <v>30000</v>
      </c>
      <c r="CS32" s="282"/>
      <c r="CT32" s="282"/>
      <c r="CU32" s="258">
        <f t="shared" si="37"/>
        <v>0</v>
      </c>
      <c r="CV32" s="258">
        <f t="shared" si="37"/>
        <v>30000</v>
      </c>
      <c r="CW32" s="282"/>
      <c r="CX32" s="282"/>
      <c r="CY32" s="282"/>
      <c r="CZ32" s="282"/>
      <c r="DA32" s="258">
        <f t="shared" si="38"/>
        <v>0</v>
      </c>
      <c r="DB32" s="258">
        <f t="shared" si="38"/>
        <v>0</v>
      </c>
      <c r="DC32" s="282"/>
      <c r="DD32" s="282"/>
      <c r="DE32" s="282"/>
      <c r="DF32" s="282"/>
      <c r="DG32" s="258">
        <f t="shared" si="39"/>
        <v>0</v>
      </c>
      <c r="DH32" s="258">
        <f t="shared" si="39"/>
        <v>0</v>
      </c>
      <c r="DI32" s="258">
        <f t="shared" si="11"/>
        <v>0</v>
      </c>
      <c r="DJ32" s="258">
        <f t="shared" si="12"/>
        <v>30000</v>
      </c>
      <c r="DK32" s="258">
        <f t="shared" si="13"/>
        <v>0</v>
      </c>
      <c r="DL32" s="258">
        <f t="shared" si="14"/>
        <v>0</v>
      </c>
      <c r="DM32" s="258">
        <f t="shared" si="40"/>
        <v>0</v>
      </c>
      <c r="DN32" s="258">
        <f t="shared" si="40"/>
        <v>30000</v>
      </c>
    </row>
    <row r="33" spans="1:118">
      <c r="A33" s="25">
        <v>25</v>
      </c>
      <c r="B33" s="26" t="s">
        <v>581</v>
      </c>
      <c r="C33" s="26" t="s">
        <v>611</v>
      </c>
      <c r="D33" s="26" t="s">
        <v>612</v>
      </c>
      <c r="E33" s="205" t="s">
        <v>1164</v>
      </c>
      <c r="F33" s="161">
        <f t="shared" si="15"/>
        <v>0</v>
      </c>
      <c r="G33" s="161">
        <f t="shared" ref="G33:G37" si="47">DN33</f>
        <v>0</v>
      </c>
      <c r="H33" s="165">
        <f t="shared" si="16"/>
        <v>4371.5</v>
      </c>
      <c r="I33" s="80">
        <v>0</v>
      </c>
      <c r="J33" s="127">
        <v>0</v>
      </c>
      <c r="K33" s="243">
        <v>0</v>
      </c>
      <c r="L33" s="127">
        <f t="shared" si="17"/>
        <v>4371.5</v>
      </c>
      <c r="M33" s="127">
        <f t="shared" si="18"/>
        <v>4371.5</v>
      </c>
      <c r="N33" s="127">
        <f t="shared" si="19"/>
        <v>4371.5</v>
      </c>
      <c r="O33" s="131">
        <f t="shared" si="20"/>
        <v>0</v>
      </c>
      <c r="P33" s="125">
        <f t="shared" si="21"/>
        <v>4371.5</v>
      </c>
      <c r="Q33" s="81"/>
      <c r="R33" s="81">
        <v>4371.5</v>
      </c>
      <c r="S33" s="81">
        <f t="shared" si="42"/>
        <v>0</v>
      </c>
      <c r="T33" s="81">
        <f t="shared" si="41"/>
        <v>4371.5</v>
      </c>
      <c r="U33" s="81"/>
      <c r="V33" s="81"/>
      <c r="W33" s="81"/>
      <c r="X33" s="81"/>
      <c r="Y33" s="74">
        <f t="shared" si="22"/>
        <v>0</v>
      </c>
      <c r="Z33" s="74">
        <f t="shared" si="22"/>
        <v>0</v>
      </c>
      <c r="AA33" s="81"/>
      <c r="AB33" s="81"/>
      <c r="AC33" s="81"/>
      <c r="AD33" s="81"/>
      <c r="AE33" s="74">
        <f t="shared" si="23"/>
        <v>0</v>
      </c>
      <c r="AF33" s="74">
        <f t="shared" si="23"/>
        <v>0</v>
      </c>
      <c r="AG33" s="74">
        <f t="shared" si="24"/>
        <v>0</v>
      </c>
      <c r="AH33" s="74">
        <f t="shared" si="25"/>
        <v>0</v>
      </c>
      <c r="AI33" s="74">
        <f t="shared" si="25"/>
        <v>4371.5</v>
      </c>
      <c r="AJ33" s="74">
        <f t="shared" si="26"/>
        <v>4371.5</v>
      </c>
      <c r="AK33" s="74">
        <f t="shared" si="27"/>
        <v>4371.5</v>
      </c>
      <c r="AL33" s="74">
        <f t="shared" si="27"/>
        <v>4371.5</v>
      </c>
      <c r="AM33" s="81"/>
      <c r="AN33" s="81"/>
      <c r="AO33" s="81"/>
      <c r="AP33" s="81"/>
      <c r="AQ33" s="74">
        <f t="shared" si="28"/>
        <v>0</v>
      </c>
      <c r="AR33" s="74">
        <f t="shared" si="28"/>
        <v>0</v>
      </c>
      <c r="AS33" s="81"/>
      <c r="AT33" s="81"/>
      <c r="AU33" s="81"/>
      <c r="AV33" s="81"/>
      <c r="AW33" s="74">
        <f t="shared" si="29"/>
        <v>0</v>
      </c>
      <c r="AX33" s="74">
        <f t="shared" si="29"/>
        <v>0</v>
      </c>
      <c r="AY33" s="81"/>
      <c r="AZ33" s="81"/>
      <c r="BA33" s="81"/>
      <c r="BB33" s="81"/>
      <c r="BC33" s="74">
        <f t="shared" si="30"/>
        <v>0</v>
      </c>
      <c r="BD33" s="74"/>
      <c r="BE33" s="74">
        <f t="shared" si="9"/>
        <v>0</v>
      </c>
      <c r="BF33" s="81"/>
      <c r="BG33" s="81"/>
      <c r="BH33" s="81"/>
      <c r="BI33" s="81"/>
      <c r="BJ33" s="74">
        <f t="shared" si="31"/>
        <v>0</v>
      </c>
      <c r="BK33" s="74"/>
      <c r="BL33" s="74">
        <f t="shared" si="10"/>
        <v>0</v>
      </c>
      <c r="BM33" s="81"/>
      <c r="BN33" s="81"/>
      <c r="BO33" s="81"/>
      <c r="BP33" s="81"/>
      <c r="BQ33" s="74">
        <f t="shared" si="32"/>
        <v>0</v>
      </c>
      <c r="BR33" s="74">
        <f t="shared" si="32"/>
        <v>0</v>
      </c>
      <c r="BS33" s="81"/>
      <c r="BT33" s="81"/>
      <c r="BU33" s="81"/>
      <c r="BV33" s="81"/>
      <c r="BW33" s="74">
        <f t="shared" si="33"/>
        <v>0</v>
      </c>
      <c r="BX33" s="74">
        <f t="shared" si="33"/>
        <v>0</v>
      </c>
      <c r="BY33" s="81"/>
      <c r="BZ33" s="81"/>
      <c r="CA33" s="81"/>
      <c r="CB33" s="81"/>
      <c r="CC33" s="74">
        <f t="shared" si="34"/>
        <v>0</v>
      </c>
      <c r="CD33" s="74">
        <f t="shared" si="34"/>
        <v>0</v>
      </c>
      <c r="CE33" s="81"/>
      <c r="CF33" s="81"/>
      <c r="CG33" s="81"/>
      <c r="CH33" s="81"/>
      <c r="CI33" s="74">
        <f t="shared" si="35"/>
        <v>0</v>
      </c>
      <c r="CJ33" s="74">
        <f t="shared" si="35"/>
        <v>0</v>
      </c>
      <c r="CK33" s="81"/>
      <c r="CL33" s="81"/>
      <c r="CM33" s="81"/>
      <c r="CN33" s="81"/>
      <c r="CO33" s="74">
        <f t="shared" si="36"/>
        <v>0</v>
      </c>
      <c r="CP33" s="74">
        <f t="shared" si="36"/>
        <v>0</v>
      </c>
      <c r="CQ33" s="81"/>
      <c r="CR33" s="81"/>
      <c r="CS33" s="81"/>
      <c r="CT33" s="81"/>
      <c r="CU33" s="74">
        <f t="shared" si="37"/>
        <v>0</v>
      </c>
      <c r="CV33" s="74">
        <f t="shared" si="37"/>
        <v>0</v>
      </c>
      <c r="CW33" s="81"/>
      <c r="CX33" s="81"/>
      <c r="CY33" s="81"/>
      <c r="CZ33" s="81"/>
      <c r="DA33" s="74">
        <f t="shared" si="38"/>
        <v>0</v>
      </c>
      <c r="DB33" s="74">
        <f t="shared" si="38"/>
        <v>0</v>
      </c>
      <c r="DC33" s="81"/>
      <c r="DD33" s="81"/>
      <c r="DE33" s="81"/>
      <c r="DF33" s="81"/>
      <c r="DG33" s="74">
        <f t="shared" si="39"/>
        <v>0</v>
      </c>
      <c r="DH33" s="74">
        <f t="shared" si="39"/>
        <v>0</v>
      </c>
      <c r="DI33" s="74">
        <f t="shared" si="11"/>
        <v>0</v>
      </c>
      <c r="DJ33" s="74">
        <f t="shared" si="12"/>
        <v>0</v>
      </c>
      <c r="DK33" s="74">
        <f t="shared" si="13"/>
        <v>0</v>
      </c>
      <c r="DL33" s="74">
        <f t="shared" si="14"/>
        <v>0</v>
      </c>
      <c r="DM33" s="74">
        <f t="shared" si="40"/>
        <v>0</v>
      </c>
      <c r="DN33" s="74">
        <f t="shared" si="40"/>
        <v>0</v>
      </c>
    </row>
    <row r="34" spans="1:118" s="76" customFormat="1">
      <c r="A34" s="25">
        <v>26</v>
      </c>
      <c r="B34" s="83" t="s">
        <v>581</v>
      </c>
      <c r="C34" s="83" t="s">
        <v>611</v>
      </c>
      <c r="D34" s="83" t="s">
        <v>613</v>
      </c>
      <c r="E34" s="210" t="s">
        <v>1165</v>
      </c>
      <c r="F34" s="161">
        <f t="shared" si="15"/>
        <v>0</v>
      </c>
      <c r="G34" s="161">
        <f t="shared" si="47"/>
        <v>0</v>
      </c>
      <c r="H34" s="165">
        <f t="shared" si="16"/>
        <v>0</v>
      </c>
      <c r="I34" s="80">
        <v>224495</v>
      </c>
      <c r="J34" s="127">
        <v>0</v>
      </c>
      <c r="K34" s="243">
        <v>0</v>
      </c>
      <c r="L34" s="127">
        <f t="shared" si="17"/>
        <v>0</v>
      </c>
      <c r="M34" s="127">
        <f t="shared" si="18"/>
        <v>0</v>
      </c>
      <c r="N34" s="127">
        <f t="shared" si="19"/>
        <v>0</v>
      </c>
      <c r="O34" s="131">
        <f t="shared" si="20"/>
        <v>0</v>
      </c>
      <c r="P34" s="125" t="str">
        <f t="shared" si="21"/>
        <v>ნულოვანი შესრულება</v>
      </c>
      <c r="Q34" s="82"/>
      <c r="R34" s="82">
        <v>0</v>
      </c>
      <c r="S34" s="82">
        <f t="shared" si="42"/>
        <v>0</v>
      </c>
      <c r="T34" s="82">
        <f t="shared" si="41"/>
        <v>0</v>
      </c>
      <c r="U34" s="82"/>
      <c r="V34" s="82"/>
      <c r="W34" s="82"/>
      <c r="X34" s="82"/>
      <c r="Y34" s="74">
        <f t="shared" si="22"/>
        <v>0</v>
      </c>
      <c r="Z34" s="74">
        <f t="shared" si="22"/>
        <v>0</v>
      </c>
      <c r="AA34" s="82"/>
      <c r="AB34" s="82"/>
      <c r="AC34" s="82"/>
      <c r="AD34" s="82"/>
      <c r="AE34" s="74">
        <f t="shared" si="23"/>
        <v>0</v>
      </c>
      <c r="AF34" s="74">
        <f t="shared" si="23"/>
        <v>0</v>
      </c>
      <c r="AG34" s="74">
        <f t="shared" si="24"/>
        <v>0</v>
      </c>
      <c r="AH34" s="74">
        <f t="shared" si="25"/>
        <v>0</v>
      </c>
      <c r="AI34" s="74">
        <f t="shared" si="25"/>
        <v>0</v>
      </c>
      <c r="AJ34" s="74">
        <f t="shared" si="26"/>
        <v>0</v>
      </c>
      <c r="AK34" s="74">
        <f t="shared" si="27"/>
        <v>0</v>
      </c>
      <c r="AL34" s="74">
        <f t="shared" si="27"/>
        <v>0</v>
      </c>
      <c r="AM34" s="82"/>
      <c r="AN34" s="82"/>
      <c r="AO34" s="82"/>
      <c r="AP34" s="82"/>
      <c r="AQ34" s="74">
        <f t="shared" si="28"/>
        <v>0</v>
      </c>
      <c r="AR34" s="74">
        <f t="shared" si="28"/>
        <v>0</v>
      </c>
      <c r="AS34" s="82"/>
      <c r="AT34" s="82"/>
      <c r="AU34" s="82"/>
      <c r="AV34" s="82"/>
      <c r="AW34" s="74">
        <f t="shared" si="29"/>
        <v>0</v>
      </c>
      <c r="AX34" s="74">
        <f t="shared" si="29"/>
        <v>0</v>
      </c>
      <c r="AY34" s="82"/>
      <c r="AZ34" s="82"/>
      <c r="BA34" s="82"/>
      <c r="BB34" s="82"/>
      <c r="BC34" s="74">
        <f t="shared" si="30"/>
        <v>0</v>
      </c>
      <c r="BD34" s="74"/>
      <c r="BE34" s="74">
        <f t="shared" si="9"/>
        <v>0</v>
      </c>
      <c r="BF34" s="82"/>
      <c r="BG34" s="82"/>
      <c r="BH34" s="82"/>
      <c r="BI34" s="82"/>
      <c r="BJ34" s="74">
        <f t="shared" si="31"/>
        <v>0</v>
      </c>
      <c r="BK34" s="74"/>
      <c r="BL34" s="74">
        <f t="shared" si="10"/>
        <v>0</v>
      </c>
      <c r="BM34" s="82"/>
      <c r="BN34" s="82"/>
      <c r="BO34" s="82"/>
      <c r="BP34" s="82"/>
      <c r="BQ34" s="74">
        <f t="shared" si="32"/>
        <v>0</v>
      </c>
      <c r="BR34" s="74">
        <f t="shared" si="32"/>
        <v>0</v>
      </c>
      <c r="BS34" s="82"/>
      <c r="BT34" s="82"/>
      <c r="BU34" s="82"/>
      <c r="BV34" s="82"/>
      <c r="BW34" s="74">
        <f t="shared" si="33"/>
        <v>0</v>
      </c>
      <c r="BX34" s="74">
        <f t="shared" si="33"/>
        <v>0</v>
      </c>
      <c r="BY34" s="82"/>
      <c r="BZ34" s="82"/>
      <c r="CA34" s="82"/>
      <c r="CB34" s="82"/>
      <c r="CC34" s="74">
        <f t="shared" si="34"/>
        <v>0</v>
      </c>
      <c r="CD34" s="74">
        <f t="shared" si="34"/>
        <v>0</v>
      </c>
      <c r="CE34" s="82"/>
      <c r="CF34" s="82"/>
      <c r="CG34" s="82"/>
      <c r="CH34" s="82"/>
      <c r="CI34" s="74">
        <f t="shared" si="35"/>
        <v>0</v>
      </c>
      <c r="CJ34" s="74">
        <f t="shared" si="35"/>
        <v>0</v>
      </c>
      <c r="CK34" s="82"/>
      <c r="CL34" s="82"/>
      <c r="CM34" s="82"/>
      <c r="CN34" s="82"/>
      <c r="CO34" s="74">
        <f t="shared" si="36"/>
        <v>0</v>
      </c>
      <c r="CP34" s="74">
        <f t="shared" si="36"/>
        <v>0</v>
      </c>
      <c r="CQ34" s="82"/>
      <c r="CR34" s="82"/>
      <c r="CS34" s="82"/>
      <c r="CT34" s="82"/>
      <c r="CU34" s="74">
        <f t="shared" si="37"/>
        <v>0</v>
      </c>
      <c r="CV34" s="74">
        <f t="shared" si="37"/>
        <v>0</v>
      </c>
      <c r="CW34" s="82"/>
      <c r="CX34" s="82"/>
      <c r="CY34" s="82"/>
      <c r="CZ34" s="82"/>
      <c r="DA34" s="74">
        <f t="shared" si="38"/>
        <v>0</v>
      </c>
      <c r="DB34" s="74">
        <f t="shared" si="38"/>
        <v>0</v>
      </c>
      <c r="DC34" s="82"/>
      <c r="DD34" s="82"/>
      <c r="DE34" s="82"/>
      <c r="DF34" s="82"/>
      <c r="DG34" s="74">
        <f t="shared" si="39"/>
        <v>0</v>
      </c>
      <c r="DH34" s="74">
        <f t="shared" si="39"/>
        <v>0</v>
      </c>
      <c r="DI34" s="74">
        <f t="shared" si="11"/>
        <v>0</v>
      </c>
      <c r="DJ34" s="74">
        <f t="shared" si="12"/>
        <v>0</v>
      </c>
      <c r="DK34" s="74">
        <f t="shared" si="13"/>
        <v>0</v>
      </c>
      <c r="DL34" s="74">
        <f t="shared" si="14"/>
        <v>0</v>
      </c>
      <c r="DM34" s="74">
        <f t="shared" si="40"/>
        <v>0</v>
      </c>
      <c r="DN34" s="74">
        <f t="shared" si="40"/>
        <v>0</v>
      </c>
    </row>
    <row r="35" spans="1:118" s="85" customFormat="1">
      <c r="A35" s="25">
        <v>27</v>
      </c>
      <c r="B35" s="83" t="s">
        <v>569</v>
      </c>
      <c r="C35" s="83" t="s">
        <v>614</v>
      </c>
      <c r="D35" s="83" t="s">
        <v>615</v>
      </c>
      <c r="E35" s="210" t="s">
        <v>1164</v>
      </c>
      <c r="F35" s="161">
        <f t="shared" si="15"/>
        <v>0</v>
      </c>
      <c r="G35" s="161">
        <f t="shared" si="47"/>
        <v>0</v>
      </c>
      <c r="H35" s="165">
        <f t="shared" si="16"/>
        <v>12006.75</v>
      </c>
      <c r="I35" s="80">
        <v>0</v>
      </c>
      <c r="J35" s="127">
        <v>0</v>
      </c>
      <c r="K35" s="243">
        <v>0</v>
      </c>
      <c r="L35" s="127">
        <f t="shared" si="17"/>
        <v>12006.75</v>
      </c>
      <c r="M35" s="127">
        <f t="shared" si="18"/>
        <v>12006.75</v>
      </c>
      <c r="N35" s="127">
        <f t="shared" si="19"/>
        <v>12006.75</v>
      </c>
      <c r="O35" s="131">
        <f t="shared" si="20"/>
        <v>0</v>
      </c>
      <c r="P35" s="125">
        <f t="shared" si="21"/>
        <v>12006.75</v>
      </c>
      <c r="Q35" s="84"/>
      <c r="R35" s="84">
        <v>12006.75</v>
      </c>
      <c r="S35" s="84">
        <f t="shared" si="42"/>
        <v>0</v>
      </c>
      <c r="T35" s="84">
        <f t="shared" si="41"/>
        <v>12006.75</v>
      </c>
      <c r="U35" s="84"/>
      <c r="V35" s="84"/>
      <c r="W35" s="84"/>
      <c r="X35" s="84"/>
      <c r="Y35" s="74">
        <f t="shared" si="22"/>
        <v>0</v>
      </c>
      <c r="Z35" s="74">
        <f t="shared" si="22"/>
        <v>0</v>
      </c>
      <c r="AA35" s="84"/>
      <c r="AB35" s="84"/>
      <c r="AC35" s="84"/>
      <c r="AD35" s="84"/>
      <c r="AE35" s="74">
        <f t="shared" si="23"/>
        <v>0</v>
      </c>
      <c r="AF35" s="74">
        <f t="shared" si="23"/>
        <v>0</v>
      </c>
      <c r="AG35" s="74">
        <f t="shared" si="24"/>
        <v>0</v>
      </c>
      <c r="AH35" s="74">
        <f t="shared" si="25"/>
        <v>0</v>
      </c>
      <c r="AI35" s="74">
        <f t="shared" si="25"/>
        <v>12006.75</v>
      </c>
      <c r="AJ35" s="74">
        <f t="shared" si="26"/>
        <v>12006.75</v>
      </c>
      <c r="AK35" s="74">
        <f t="shared" si="27"/>
        <v>12006.75</v>
      </c>
      <c r="AL35" s="74">
        <f t="shared" si="27"/>
        <v>12006.75</v>
      </c>
      <c r="AM35" s="84"/>
      <c r="AN35" s="84"/>
      <c r="AO35" s="84"/>
      <c r="AP35" s="84"/>
      <c r="AQ35" s="74">
        <f t="shared" si="28"/>
        <v>0</v>
      </c>
      <c r="AR35" s="74">
        <f t="shared" si="28"/>
        <v>0</v>
      </c>
      <c r="AS35" s="84"/>
      <c r="AT35" s="84"/>
      <c r="AU35" s="84"/>
      <c r="AV35" s="84"/>
      <c r="AW35" s="74">
        <f t="shared" si="29"/>
        <v>0</v>
      </c>
      <c r="AX35" s="74">
        <f t="shared" si="29"/>
        <v>0</v>
      </c>
      <c r="AY35" s="84"/>
      <c r="AZ35" s="84"/>
      <c r="BA35" s="84"/>
      <c r="BB35" s="84"/>
      <c r="BC35" s="74">
        <f t="shared" si="30"/>
        <v>0</v>
      </c>
      <c r="BD35" s="74"/>
      <c r="BE35" s="74">
        <f t="shared" si="9"/>
        <v>0</v>
      </c>
      <c r="BF35" s="84"/>
      <c r="BG35" s="84"/>
      <c r="BH35" s="84"/>
      <c r="BI35" s="84"/>
      <c r="BJ35" s="74">
        <f t="shared" si="31"/>
        <v>0</v>
      </c>
      <c r="BK35" s="74"/>
      <c r="BL35" s="74">
        <f t="shared" si="10"/>
        <v>0</v>
      </c>
      <c r="BM35" s="84"/>
      <c r="BN35" s="84"/>
      <c r="BO35" s="84"/>
      <c r="BP35" s="84"/>
      <c r="BQ35" s="74">
        <f t="shared" si="32"/>
        <v>0</v>
      </c>
      <c r="BR35" s="74">
        <f t="shared" si="32"/>
        <v>0</v>
      </c>
      <c r="BS35" s="84"/>
      <c r="BT35" s="84"/>
      <c r="BU35" s="84"/>
      <c r="BV35" s="84"/>
      <c r="BW35" s="74">
        <f t="shared" si="33"/>
        <v>0</v>
      </c>
      <c r="BX35" s="74">
        <f t="shared" si="33"/>
        <v>0</v>
      </c>
      <c r="BY35" s="84"/>
      <c r="BZ35" s="84"/>
      <c r="CA35" s="84"/>
      <c r="CB35" s="84"/>
      <c r="CC35" s="74">
        <f t="shared" si="34"/>
        <v>0</v>
      </c>
      <c r="CD35" s="74">
        <f t="shared" si="34"/>
        <v>0</v>
      </c>
      <c r="CE35" s="84"/>
      <c r="CF35" s="84"/>
      <c r="CG35" s="84"/>
      <c r="CH35" s="84"/>
      <c r="CI35" s="74">
        <f t="shared" si="35"/>
        <v>0</v>
      </c>
      <c r="CJ35" s="74">
        <f t="shared" si="35"/>
        <v>0</v>
      </c>
      <c r="CK35" s="84"/>
      <c r="CL35" s="84"/>
      <c r="CM35" s="84"/>
      <c r="CN35" s="84"/>
      <c r="CO35" s="74">
        <f t="shared" si="36"/>
        <v>0</v>
      </c>
      <c r="CP35" s="74">
        <f t="shared" si="36"/>
        <v>0</v>
      </c>
      <c r="CQ35" s="84"/>
      <c r="CR35" s="84"/>
      <c r="CS35" s="84"/>
      <c r="CT35" s="84"/>
      <c r="CU35" s="74">
        <f t="shared" si="37"/>
        <v>0</v>
      </c>
      <c r="CV35" s="74">
        <f t="shared" si="37"/>
        <v>0</v>
      </c>
      <c r="CW35" s="84"/>
      <c r="CX35" s="84"/>
      <c r="CY35" s="84"/>
      <c r="CZ35" s="84"/>
      <c r="DA35" s="74">
        <f t="shared" si="38"/>
        <v>0</v>
      </c>
      <c r="DB35" s="74">
        <f t="shared" si="38"/>
        <v>0</v>
      </c>
      <c r="DC35" s="84"/>
      <c r="DD35" s="84"/>
      <c r="DE35" s="84"/>
      <c r="DF35" s="84"/>
      <c r="DG35" s="74">
        <f t="shared" si="39"/>
        <v>0</v>
      </c>
      <c r="DH35" s="74">
        <f t="shared" si="39"/>
        <v>0</v>
      </c>
      <c r="DI35" s="74">
        <f t="shared" si="11"/>
        <v>0</v>
      </c>
      <c r="DJ35" s="74">
        <f t="shared" si="12"/>
        <v>0</v>
      </c>
      <c r="DK35" s="74">
        <f t="shared" si="13"/>
        <v>0</v>
      </c>
      <c r="DL35" s="74">
        <f t="shared" si="14"/>
        <v>0</v>
      </c>
      <c r="DM35" s="74">
        <f t="shared" si="40"/>
        <v>0</v>
      </c>
      <c r="DN35" s="74">
        <f t="shared" si="40"/>
        <v>0</v>
      </c>
    </row>
    <row r="36" spans="1:118" s="85" customFormat="1">
      <c r="A36" s="25">
        <v>28</v>
      </c>
      <c r="B36" s="83" t="s">
        <v>569</v>
      </c>
      <c r="C36" s="83" t="s">
        <v>614</v>
      </c>
      <c r="D36" s="83" t="s">
        <v>616</v>
      </c>
      <c r="E36" s="210" t="s">
        <v>1165</v>
      </c>
      <c r="F36" s="161">
        <f t="shared" si="15"/>
        <v>0</v>
      </c>
      <c r="G36" s="161">
        <f t="shared" si="47"/>
        <v>0</v>
      </c>
      <c r="H36" s="165">
        <f t="shared" si="16"/>
        <v>527746</v>
      </c>
      <c r="I36" s="80">
        <v>124395.59999999999</v>
      </c>
      <c r="J36" s="127">
        <v>0</v>
      </c>
      <c r="K36" s="243">
        <v>0</v>
      </c>
      <c r="L36" s="127">
        <f t="shared" si="17"/>
        <v>527746</v>
      </c>
      <c r="M36" s="127">
        <f t="shared" si="18"/>
        <v>527746</v>
      </c>
      <c r="N36" s="127">
        <f t="shared" si="19"/>
        <v>527746</v>
      </c>
      <c r="O36" s="131">
        <f t="shared" si="20"/>
        <v>0</v>
      </c>
      <c r="P36" s="125">
        <f t="shared" si="21"/>
        <v>527746</v>
      </c>
      <c r="Q36" s="84">
        <v>130000</v>
      </c>
      <c r="R36" s="84">
        <f>527746-Q36</f>
        <v>397746</v>
      </c>
      <c r="S36" s="84">
        <f t="shared" si="42"/>
        <v>130000</v>
      </c>
      <c r="T36" s="84">
        <f t="shared" si="41"/>
        <v>397746</v>
      </c>
      <c r="U36" s="84"/>
      <c r="V36" s="84"/>
      <c r="W36" s="84"/>
      <c r="X36" s="84"/>
      <c r="Y36" s="74">
        <f t="shared" si="22"/>
        <v>0</v>
      </c>
      <c r="Z36" s="74">
        <f t="shared" si="22"/>
        <v>0</v>
      </c>
      <c r="AA36" s="84"/>
      <c r="AB36" s="84"/>
      <c r="AC36" s="84"/>
      <c r="AD36" s="84"/>
      <c r="AE36" s="74">
        <f t="shared" si="23"/>
        <v>0</v>
      </c>
      <c r="AF36" s="74">
        <f t="shared" si="23"/>
        <v>0</v>
      </c>
      <c r="AG36" s="74">
        <f t="shared" si="24"/>
        <v>130000</v>
      </c>
      <c r="AH36" s="74">
        <f t="shared" si="25"/>
        <v>130000</v>
      </c>
      <c r="AI36" s="74">
        <f t="shared" si="25"/>
        <v>397746</v>
      </c>
      <c r="AJ36" s="74">
        <f t="shared" si="26"/>
        <v>397746</v>
      </c>
      <c r="AK36" s="74">
        <f t="shared" si="27"/>
        <v>527746</v>
      </c>
      <c r="AL36" s="74">
        <f t="shared" si="27"/>
        <v>527746</v>
      </c>
      <c r="AM36" s="84"/>
      <c r="AN36" s="84"/>
      <c r="AO36" s="84"/>
      <c r="AP36" s="84"/>
      <c r="AQ36" s="74">
        <f t="shared" si="28"/>
        <v>0</v>
      </c>
      <c r="AR36" s="74">
        <f t="shared" si="28"/>
        <v>0</v>
      </c>
      <c r="AS36" s="84"/>
      <c r="AT36" s="84"/>
      <c r="AU36" s="84"/>
      <c r="AV36" s="84"/>
      <c r="AW36" s="74">
        <f t="shared" si="29"/>
        <v>0</v>
      </c>
      <c r="AX36" s="74">
        <f t="shared" si="29"/>
        <v>0</v>
      </c>
      <c r="AY36" s="84"/>
      <c r="AZ36" s="84"/>
      <c r="BA36" s="84"/>
      <c r="BB36" s="84"/>
      <c r="BC36" s="74">
        <f t="shared" si="30"/>
        <v>0</v>
      </c>
      <c r="BD36" s="74"/>
      <c r="BE36" s="74">
        <f t="shared" si="9"/>
        <v>0</v>
      </c>
      <c r="BF36" s="84"/>
      <c r="BG36" s="84"/>
      <c r="BH36" s="84"/>
      <c r="BI36" s="84"/>
      <c r="BJ36" s="74">
        <f t="shared" si="31"/>
        <v>0</v>
      </c>
      <c r="BK36" s="74"/>
      <c r="BL36" s="74">
        <f t="shared" si="10"/>
        <v>0</v>
      </c>
      <c r="BM36" s="84"/>
      <c r="BN36" s="84"/>
      <c r="BO36" s="84"/>
      <c r="BP36" s="84"/>
      <c r="BQ36" s="74">
        <f t="shared" si="32"/>
        <v>0</v>
      </c>
      <c r="BR36" s="74">
        <f t="shared" si="32"/>
        <v>0</v>
      </c>
      <c r="BS36" s="84"/>
      <c r="BT36" s="84"/>
      <c r="BU36" s="84"/>
      <c r="BV36" s="84"/>
      <c r="BW36" s="74">
        <f t="shared" si="33"/>
        <v>0</v>
      </c>
      <c r="BX36" s="74">
        <f t="shared" si="33"/>
        <v>0</v>
      </c>
      <c r="BY36" s="84"/>
      <c r="BZ36" s="84"/>
      <c r="CA36" s="84"/>
      <c r="CB36" s="84"/>
      <c r="CC36" s="74">
        <f t="shared" si="34"/>
        <v>0</v>
      </c>
      <c r="CD36" s="74">
        <f t="shared" si="34"/>
        <v>0</v>
      </c>
      <c r="CE36" s="84"/>
      <c r="CF36" s="84"/>
      <c r="CG36" s="84"/>
      <c r="CH36" s="84"/>
      <c r="CI36" s="74">
        <f t="shared" si="35"/>
        <v>0</v>
      </c>
      <c r="CJ36" s="74">
        <f t="shared" si="35"/>
        <v>0</v>
      </c>
      <c r="CK36" s="84"/>
      <c r="CL36" s="84"/>
      <c r="CM36" s="84"/>
      <c r="CN36" s="84"/>
      <c r="CO36" s="74">
        <f t="shared" si="36"/>
        <v>0</v>
      </c>
      <c r="CP36" s="74">
        <f t="shared" si="36"/>
        <v>0</v>
      </c>
      <c r="CQ36" s="84"/>
      <c r="CR36" s="84"/>
      <c r="CS36" s="84"/>
      <c r="CT36" s="84"/>
      <c r="CU36" s="74">
        <f t="shared" si="37"/>
        <v>0</v>
      </c>
      <c r="CV36" s="74">
        <f t="shared" si="37"/>
        <v>0</v>
      </c>
      <c r="CW36" s="84"/>
      <c r="CX36" s="84"/>
      <c r="CY36" s="84"/>
      <c r="CZ36" s="84"/>
      <c r="DA36" s="74">
        <f t="shared" si="38"/>
        <v>0</v>
      </c>
      <c r="DB36" s="74">
        <f t="shared" si="38"/>
        <v>0</v>
      </c>
      <c r="DC36" s="84"/>
      <c r="DD36" s="84"/>
      <c r="DE36" s="84"/>
      <c r="DF36" s="84"/>
      <c r="DG36" s="74">
        <f t="shared" si="39"/>
        <v>0</v>
      </c>
      <c r="DH36" s="74">
        <f t="shared" si="39"/>
        <v>0</v>
      </c>
      <c r="DI36" s="74">
        <f t="shared" si="11"/>
        <v>0</v>
      </c>
      <c r="DJ36" s="74">
        <f t="shared" si="12"/>
        <v>0</v>
      </c>
      <c r="DK36" s="74">
        <f t="shared" si="13"/>
        <v>0</v>
      </c>
      <c r="DL36" s="74">
        <f t="shared" si="14"/>
        <v>0</v>
      </c>
      <c r="DM36" s="74">
        <f t="shared" si="40"/>
        <v>0</v>
      </c>
      <c r="DN36" s="74">
        <f t="shared" si="40"/>
        <v>0</v>
      </c>
    </row>
    <row r="37" spans="1:118">
      <c r="A37" s="25">
        <v>29</v>
      </c>
      <c r="B37" s="26" t="s">
        <v>581</v>
      </c>
      <c r="C37" s="26" t="s">
        <v>617</v>
      </c>
      <c r="D37" s="26" t="s">
        <v>618</v>
      </c>
      <c r="E37" s="205" t="s">
        <v>1164</v>
      </c>
      <c r="F37" s="161">
        <f t="shared" si="15"/>
        <v>3500</v>
      </c>
      <c r="G37" s="161">
        <f t="shared" si="47"/>
        <v>0</v>
      </c>
      <c r="H37" s="165">
        <f t="shared" si="16"/>
        <v>3500</v>
      </c>
      <c r="I37" s="80">
        <v>0</v>
      </c>
      <c r="J37" s="127">
        <v>0</v>
      </c>
      <c r="K37" s="243">
        <v>0</v>
      </c>
      <c r="L37" s="127">
        <f t="shared" si="17"/>
        <v>0</v>
      </c>
      <c r="M37" s="127">
        <f t="shared" si="18"/>
        <v>0</v>
      </c>
      <c r="N37" s="127">
        <f t="shared" si="19"/>
        <v>0</v>
      </c>
      <c r="O37" s="131">
        <f t="shared" si="20"/>
        <v>3500</v>
      </c>
      <c r="P37" s="125" t="str">
        <f t="shared" si="21"/>
        <v>ნულოვანი შესრულება</v>
      </c>
      <c r="Q37" s="81"/>
      <c r="R37" s="81"/>
      <c r="S37" s="81">
        <f t="shared" si="42"/>
        <v>0</v>
      </c>
      <c r="T37" s="81">
        <f t="shared" si="41"/>
        <v>0</v>
      </c>
      <c r="U37" s="81"/>
      <c r="V37" s="81"/>
      <c r="W37" s="81"/>
      <c r="X37" s="81"/>
      <c r="Y37" s="74">
        <f t="shared" si="22"/>
        <v>0</v>
      </c>
      <c r="Z37" s="74">
        <f t="shared" si="22"/>
        <v>0</v>
      </c>
      <c r="AA37" s="81"/>
      <c r="AB37" s="81"/>
      <c r="AC37" s="81"/>
      <c r="AD37" s="81"/>
      <c r="AE37" s="74">
        <f t="shared" si="23"/>
        <v>0</v>
      </c>
      <c r="AF37" s="74">
        <f t="shared" si="23"/>
        <v>0</v>
      </c>
      <c r="AG37" s="74">
        <f t="shared" si="24"/>
        <v>0</v>
      </c>
      <c r="AH37" s="74">
        <f t="shared" si="25"/>
        <v>0</v>
      </c>
      <c r="AI37" s="74">
        <f t="shared" si="25"/>
        <v>0</v>
      </c>
      <c r="AJ37" s="74">
        <f t="shared" si="26"/>
        <v>0</v>
      </c>
      <c r="AK37" s="74">
        <f t="shared" si="27"/>
        <v>0</v>
      </c>
      <c r="AL37" s="74">
        <f t="shared" si="27"/>
        <v>0</v>
      </c>
      <c r="AM37" s="81"/>
      <c r="AN37" s="81"/>
      <c r="AO37" s="81"/>
      <c r="AP37" s="81"/>
      <c r="AQ37" s="74">
        <f t="shared" si="28"/>
        <v>0</v>
      </c>
      <c r="AR37" s="74">
        <f t="shared" si="28"/>
        <v>0</v>
      </c>
      <c r="AS37" s="81"/>
      <c r="AT37" s="81"/>
      <c r="AU37" s="81"/>
      <c r="AV37" s="81"/>
      <c r="AW37" s="74">
        <f t="shared" si="29"/>
        <v>0</v>
      </c>
      <c r="AX37" s="74">
        <f t="shared" si="29"/>
        <v>0</v>
      </c>
      <c r="AY37" s="81"/>
      <c r="AZ37" s="81"/>
      <c r="BA37" s="81">
        <f>2000*1.75</f>
        <v>3500</v>
      </c>
      <c r="BB37" s="81"/>
      <c r="BC37" s="74">
        <f t="shared" si="30"/>
        <v>3500</v>
      </c>
      <c r="BD37" s="74"/>
      <c r="BE37" s="74">
        <f t="shared" si="9"/>
        <v>0</v>
      </c>
      <c r="BF37" s="81"/>
      <c r="BG37" s="81"/>
      <c r="BH37" s="81"/>
      <c r="BI37" s="81"/>
      <c r="BJ37" s="74">
        <f t="shared" si="31"/>
        <v>0</v>
      </c>
      <c r="BK37" s="74"/>
      <c r="BL37" s="74">
        <f t="shared" si="10"/>
        <v>0</v>
      </c>
      <c r="BM37" s="81"/>
      <c r="BN37" s="81"/>
      <c r="BO37" s="81"/>
      <c r="BP37" s="81"/>
      <c r="BQ37" s="74">
        <f t="shared" si="32"/>
        <v>0</v>
      </c>
      <c r="BR37" s="74">
        <f t="shared" si="32"/>
        <v>0</v>
      </c>
      <c r="BS37" s="81"/>
      <c r="BT37" s="81"/>
      <c r="BU37" s="81"/>
      <c r="BV37" s="81"/>
      <c r="BW37" s="74">
        <f t="shared" si="33"/>
        <v>0</v>
      </c>
      <c r="BX37" s="74">
        <f t="shared" si="33"/>
        <v>0</v>
      </c>
      <c r="BY37" s="81"/>
      <c r="BZ37" s="81"/>
      <c r="CA37" s="81"/>
      <c r="CB37" s="81"/>
      <c r="CC37" s="74">
        <f t="shared" si="34"/>
        <v>0</v>
      </c>
      <c r="CD37" s="74">
        <f t="shared" si="34"/>
        <v>0</v>
      </c>
      <c r="CE37" s="81"/>
      <c r="CF37" s="81"/>
      <c r="CG37" s="81"/>
      <c r="CH37" s="81"/>
      <c r="CI37" s="74">
        <f t="shared" si="35"/>
        <v>0</v>
      </c>
      <c r="CJ37" s="74">
        <f t="shared" si="35"/>
        <v>0</v>
      </c>
      <c r="CK37" s="81"/>
      <c r="CL37" s="81"/>
      <c r="CM37" s="81"/>
      <c r="CN37" s="81"/>
      <c r="CO37" s="74">
        <f t="shared" si="36"/>
        <v>0</v>
      </c>
      <c r="CP37" s="74">
        <f t="shared" si="36"/>
        <v>0</v>
      </c>
      <c r="CQ37" s="81"/>
      <c r="CR37" s="81"/>
      <c r="CS37" s="81"/>
      <c r="CT37" s="81"/>
      <c r="CU37" s="74">
        <f t="shared" si="37"/>
        <v>0</v>
      </c>
      <c r="CV37" s="74">
        <f t="shared" si="37"/>
        <v>0</v>
      </c>
      <c r="CW37" s="81"/>
      <c r="CX37" s="81"/>
      <c r="CY37" s="81"/>
      <c r="CZ37" s="81"/>
      <c r="DA37" s="74">
        <f t="shared" si="38"/>
        <v>0</v>
      </c>
      <c r="DB37" s="74">
        <f t="shared" si="38"/>
        <v>0</v>
      </c>
      <c r="DC37" s="81"/>
      <c r="DD37" s="81"/>
      <c r="DE37" s="81"/>
      <c r="DF37" s="81"/>
      <c r="DG37" s="74">
        <f t="shared" si="39"/>
        <v>0</v>
      </c>
      <c r="DH37" s="74">
        <f t="shared" si="39"/>
        <v>0</v>
      </c>
      <c r="DI37" s="74">
        <f t="shared" si="11"/>
        <v>0</v>
      </c>
      <c r="DJ37" s="74">
        <f t="shared" si="12"/>
        <v>0</v>
      </c>
      <c r="DK37" s="74">
        <f t="shared" si="13"/>
        <v>3500</v>
      </c>
      <c r="DL37" s="74">
        <f t="shared" si="14"/>
        <v>0</v>
      </c>
      <c r="DM37" s="74">
        <f t="shared" si="40"/>
        <v>3500</v>
      </c>
      <c r="DN37" s="74">
        <f t="shared" si="40"/>
        <v>0</v>
      </c>
    </row>
    <row r="38" spans="1:118" s="278" customFormat="1">
      <c r="A38" s="253">
        <v>30</v>
      </c>
      <c r="B38" s="276" t="s">
        <v>581</v>
      </c>
      <c r="C38" s="276" t="s">
        <v>617</v>
      </c>
      <c r="D38" s="276" t="s">
        <v>619</v>
      </c>
      <c r="E38" s="276" t="s">
        <v>1165</v>
      </c>
      <c r="F38" s="255">
        <f t="shared" si="15"/>
        <v>0</v>
      </c>
      <c r="G38" s="255">
        <f>DN38</f>
        <v>0</v>
      </c>
      <c r="H38" s="256">
        <f t="shared" si="16"/>
        <v>0</v>
      </c>
      <c r="I38" s="281">
        <v>124218.59999999999</v>
      </c>
      <c r="J38" s="255">
        <v>0</v>
      </c>
      <c r="K38" s="284">
        <v>0</v>
      </c>
      <c r="L38" s="255">
        <f t="shared" si="17"/>
        <v>0</v>
      </c>
      <c r="M38" s="255">
        <f t="shared" si="18"/>
        <v>0</v>
      </c>
      <c r="N38" s="255">
        <f t="shared" si="19"/>
        <v>0</v>
      </c>
      <c r="O38" s="255">
        <f t="shared" si="20"/>
        <v>0</v>
      </c>
      <c r="P38" s="255" t="str">
        <f t="shared" si="21"/>
        <v>ნულოვანი შესრულება</v>
      </c>
      <c r="Q38" s="282"/>
      <c r="R38" s="282"/>
      <c r="S38" s="282">
        <f t="shared" si="42"/>
        <v>0</v>
      </c>
      <c r="T38" s="282">
        <f t="shared" si="41"/>
        <v>0</v>
      </c>
      <c r="U38" s="282"/>
      <c r="V38" s="282"/>
      <c r="W38" s="282"/>
      <c r="X38" s="282"/>
      <c r="Y38" s="258">
        <f t="shared" si="22"/>
        <v>0</v>
      </c>
      <c r="Z38" s="258">
        <f t="shared" si="22"/>
        <v>0</v>
      </c>
      <c r="AA38" s="282"/>
      <c r="AB38" s="282"/>
      <c r="AC38" s="282"/>
      <c r="AD38" s="282"/>
      <c r="AE38" s="258">
        <f t="shared" si="23"/>
        <v>0</v>
      </c>
      <c r="AF38" s="258">
        <f t="shared" si="23"/>
        <v>0</v>
      </c>
      <c r="AG38" s="258">
        <f t="shared" si="24"/>
        <v>0</v>
      </c>
      <c r="AH38" s="258">
        <f t="shared" si="25"/>
        <v>0</v>
      </c>
      <c r="AI38" s="258">
        <f t="shared" si="25"/>
        <v>0</v>
      </c>
      <c r="AJ38" s="258">
        <f t="shared" si="26"/>
        <v>0</v>
      </c>
      <c r="AK38" s="258">
        <f t="shared" si="27"/>
        <v>0</v>
      </c>
      <c r="AL38" s="258">
        <f t="shared" si="27"/>
        <v>0</v>
      </c>
      <c r="AM38" s="282"/>
      <c r="AN38" s="282"/>
      <c r="AO38" s="282"/>
      <c r="AP38" s="282"/>
      <c r="AQ38" s="258">
        <f t="shared" si="28"/>
        <v>0</v>
      </c>
      <c r="AR38" s="258">
        <f t="shared" si="28"/>
        <v>0</v>
      </c>
      <c r="AS38" s="282"/>
      <c r="AT38" s="282"/>
      <c r="AU38" s="282"/>
      <c r="AV38" s="282"/>
      <c r="AW38" s="258">
        <f t="shared" si="29"/>
        <v>0</v>
      </c>
      <c r="AX38" s="258">
        <f t="shared" si="29"/>
        <v>0</v>
      </c>
      <c r="AY38" s="282"/>
      <c r="AZ38" s="282"/>
      <c r="BA38" s="282"/>
      <c r="BB38" s="282"/>
      <c r="BC38" s="258">
        <f t="shared" si="30"/>
        <v>0</v>
      </c>
      <c r="BD38" s="258"/>
      <c r="BE38" s="258">
        <f t="shared" si="9"/>
        <v>0</v>
      </c>
      <c r="BF38" s="282"/>
      <c r="BG38" s="282"/>
      <c r="BH38" s="282"/>
      <c r="BI38" s="282"/>
      <c r="BJ38" s="258">
        <f t="shared" si="31"/>
        <v>0</v>
      </c>
      <c r="BK38" s="258"/>
      <c r="BL38" s="258">
        <f t="shared" si="10"/>
        <v>0</v>
      </c>
      <c r="BM38" s="282"/>
      <c r="BN38" s="282"/>
      <c r="BO38" s="282"/>
      <c r="BP38" s="282"/>
      <c r="BQ38" s="258">
        <f t="shared" si="32"/>
        <v>0</v>
      </c>
      <c r="BR38" s="258">
        <f t="shared" si="32"/>
        <v>0</v>
      </c>
      <c r="BS38" s="282"/>
      <c r="BT38" s="282"/>
      <c r="BU38" s="282"/>
      <c r="BV38" s="282"/>
      <c r="BW38" s="258">
        <f t="shared" si="33"/>
        <v>0</v>
      </c>
      <c r="BX38" s="258">
        <f t="shared" si="33"/>
        <v>0</v>
      </c>
      <c r="BY38" s="282"/>
      <c r="BZ38" s="282"/>
      <c r="CA38" s="282"/>
      <c r="CB38" s="282"/>
      <c r="CC38" s="258">
        <f t="shared" si="34"/>
        <v>0</v>
      </c>
      <c r="CD38" s="258">
        <f t="shared" si="34"/>
        <v>0</v>
      </c>
      <c r="CE38" s="282"/>
      <c r="CF38" s="282"/>
      <c r="CG38" s="282"/>
      <c r="CH38" s="282"/>
      <c r="CI38" s="258">
        <f t="shared" si="35"/>
        <v>0</v>
      </c>
      <c r="CJ38" s="258">
        <f t="shared" si="35"/>
        <v>0</v>
      </c>
      <c r="CK38" s="282"/>
      <c r="CL38" s="282"/>
      <c r="CM38" s="282"/>
      <c r="CN38" s="282"/>
      <c r="CO38" s="258">
        <f t="shared" si="36"/>
        <v>0</v>
      </c>
      <c r="CP38" s="258">
        <f t="shared" si="36"/>
        <v>0</v>
      </c>
      <c r="CQ38" s="282"/>
      <c r="CR38" s="282"/>
      <c r="CS38" s="282"/>
      <c r="CT38" s="282"/>
      <c r="CU38" s="258">
        <f t="shared" si="37"/>
        <v>0</v>
      </c>
      <c r="CV38" s="258">
        <f t="shared" si="37"/>
        <v>0</v>
      </c>
      <c r="CW38" s="282"/>
      <c r="CX38" s="282"/>
      <c r="CY38" s="282"/>
      <c r="CZ38" s="282"/>
      <c r="DA38" s="258">
        <f t="shared" si="38"/>
        <v>0</v>
      </c>
      <c r="DB38" s="258">
        <f t="shared" si="38"/>
        <v>0</v>
      </c>
      <c r="DC38" s="282"/>
      <c r="DD38" s="282"/>
      <c r="DE38" s="282"/>
      <c r="DF38" s="282"/>
      <c r="DG38" s="258">
        <f t="shared" si="39"/>
        <v>0</v>
      </c>
      <c r="DH38" s="258">
        <f t="shared" si="39"/>
        <v>0</v>
      </c>
      <c r="DI38" s="258">
        <f t="shared" si="11"/>
        <v>0</v>
      </c>
      <c r="DJ38" s="258">
        <f t="shared" si="12"/>
        <v>0</v>
      </c>
      <c r="DK38" s="258">
        <f t="shared" si="13"/>
        <v>0</v>
      </c>
      <c r="DL38" s="258">
        <f t="shared" si="14"/>
        <v>0</v>
      </c>
      <c r="DM38" s="258">
        <f t="shared" si="40"/>
        <v>0</v>
      </c>
      <c r="DN38" s="258">
        <f t="shared" si="40"/>
        <v>0</v>
      </c>
    </row>
    <row r="39" spans="1:118">
      <c r="A39" s="25">
        <v>31</v>
      </c>
      <c r="B39" s="26" t="s">
        <v>569</v>
      </c>
      <c r="C39" s="26" t="s">
        <v>620</v>
      </c>
      <c r="D39" s="26" t="s">
        <v>621</v>
      </c>
      <c r="E39" s="205" t="s">
        <v>1164</v>
      </c>
      <c r="F39" s="161">
        <f t="shared" si="15"/>
        <v>0</v>
      </c>
      <c r="G39" s="161">
        <f t="shared" ref="G39:G40" si="48">DN39</f>
        <v>0</v>
      </c>
      <c r="H39" s="165">
        <f t="shared" si="16"/>
        <v>5265.75</v>
      </c>
      <c r="I39" s="80">
        <v>0</v>
      </c>
      <c r="J39" s="127">
        <v>0</v>
      </c>
      <c r="K39" s="243">
        <v>0</v>
      </c>
      <c r="L39" s="127">
        <f t="shared" si="17"/>
        <v>5265.75</v>
      </c>
      <c r="M39" s="127">
        <f t="shared" si="18"/>
        <v>5265.75</v>
      </c>
      <c r="N39" s="127">
        <f t="shared" si="19"/>
        <v>5265.75</v>
      </c>
      <c r="O39" s="131">
        <f t="shared" si="20"/>
        <v>0</v>
      </c>
      <c r="P39" s="125">
        <f t="shared" si="21"/>
        <v>5265.75</v>
      </c>
      <c r="Q39" s="81"/>
      <c r="R39" s="81">
        <v>5265.75</v>
      </c>
      <c r="S39" s="81">
        <f t="shared" si="42"/>
        <v>0</v>
      </c>
      <c r="T39" s="81">
        <f t="shared" si="41"/>
        <v>5265.75</v>
      </c>
      <c r="U39" s="81"/>
      <c r="V39" s="81"/>
      <c r="W39" s="81"/>
      <c r="X39" s="81"/>
      <c r="Y39" s="74">
        <f t="shared" si="22"/>
        <v>0</v>
      </c>
      <c r="Z39" s="74">
        <f t="shared" si="22"/>
        <v>0</v>
      </c>
      <c r="AA39" s="81"/>
      <c r="AB39" s="81"/>
      <c r="AC39" s="81"/>
      <c r="AD39" s="81"/>
      <c r="AE39" s="74">
        <f t="shared" si="23"/>
        <v>0</v>
      </c>
      <c r="AF39" s="74">
        <f t="shared" si="23"/>
        <v>0</v>
      </c>
      <c r="AG39" s="74">
        <f t="shared" si="24"/>
        <v>0</v>
      </c>
      <c r="AH39" s="74">
        <f t="shared" si="25"/>
        <v>0</v>
      </c>
      <c r="AI39" s="74">
        <f t="shared" si="25"/>
        <v>5265.75</v>
      </c>
      <c r="AJ39" s="74">
        <f t="shared" si="26"/>
        <v>5265.75</v>
      </c>
      <c r="AK39" s="74">
        <f t="shared" si="27"/>
        <v>5265.75</v>
      </c>
      <c r="AL39" s="74">
        <f t="shared" si="27"/>
        <v>5265.75</v>
      </c>
      <c r="AM39" s="81"/>
      <c r="AN39" s="81"/>
      <c r="AO39" s="81"/>
      <c r="AP39" s="81"/>
      <c r="AQ39" s="74">
        <f t="shared" si="28"/>
        <v>0</v>
      </c>
      <c r="AR39" s="74">
        <f t="shared" si="28"/>
        <v>0</v>
      </c>
      <c r="AS39" s="81"/>
      <c r="AT39" s="81"/>
      <c r="AU39" s="81"/>
      <c r="AV39" s="81"/>
      <c r="AW39" s="74">
        <f t="shared" si="29"/>
        <v>0</v>
      </c>
      <c r="AX39" s="74">
        <f t="shared" si="29"/>
        <v>0</v>
      </c>
      <c r="AY39" s="81"/>
      <c r="AZ39" s="81"/>
      <c r="BA39" s="81"/>
      <c r="BB39" s="81"/>
      <c r="BC39" s="74">
        <f t="shared" si="30"/>
        <v>0</v>
      </c>
      <c r="BD39" s="74"/>
      <c r="BE39" s="74">
        <f t="shared" si="9"/>
        <v>0</v>
      </c>
      <c r="BF39" s="81"/>
      <c r="BG39" s="81"/>
      <c r="BH39" s="81"/>
      <c r="BI39" s="81"/>
      <c r="BJ39" s="74">
        <f t="shared" si="31"/>
        <v>0</v>
      </c>
      <c r="BK39" s="74"/>
      <c r="BL39" s="74">
        <f t="shared" si="10"/>
        <v>0</v>
      </c>
      <c r="BM39" s="81"/>
      <c r="BN39" s="81"/>
      <c r="BO39" s="81"/>
      <c r="BP39" s="81"/>
      <c r="BQ39" s="74">
        <f t="shared" si="32"/>
        <v>0</v>
      </c>
      <c r="BR39" s="74">
        <f t="shared" si="32"/>
        <v>0</v>
      </c>
      <c r="BS39" s="81"/>
      <c r="BT39" s="81"/>
      <c r="BU39" s="81"/>
      <c r="BV39" s="81"/>
      <c r="BW39" s="74">
        <f t="shared" si="33"/>
        <v>0</v>
      </c>
      <c r="BX39" s="74">
        <f t="shared" si="33"/>
        <v>0</v>
      </c>
      <c r="BY39" s="81"/>
      <c r="BZ39" s="81"/>
      <c r="CA39" s="81"/>
      <c r="CB39" s="81"/>
      <c r="CC39" s="74">
        <f t="shared" si="34"/>
        <v>0</v>
      </c>
      <c r="CD39" s="74">
        <f t="shared" si="34"/>
        <v>0</v>
      </c>
      <c r="CE39" s="81"/>
      <c r="CF39" s="81"/>
      <c r="CG39" s="81"/>
      <c r="CH39" s="81"/>
      <c r="CI39" s="74">
        <f t="shared" si="35"/>
        <v>0</v>
      </c>
      <c r="CJ39" s="74">
        <f t="shared" si="35"/>
        <v>0</v>
      </c>
      <c r="CK39" s="81"/>
      <c r="CL39" s="81"/>
      <c r="CM39" s="81"/>
      <c r="CN39" s="81"/>
      <c r="CO39" s="74">
        <f t="shared" si="36"/>
        <v>0</v>
      </c>
      <c r="CP39" s="74">
        <f t="shared" si="36"/>
        <v>0</v>
      </c>
      <c r="CQ39" s="81"/>
      <c r="CR39" s="81"/>
      <c r="CS39" s="81"/>
      <c r="CT39" s="81"/>
      <c r="CU39" s="74">
        <f t="shared" si="37"/>
        <v>0</v>
      </c>
      <c r="CV39" s="74">
        <f t="shared" si="37"/>
        <v>0</v>
      </c>
      <c r="CW39" s="81"/>
      <c r="CX39" s="81"/>
      <c r="CY39" s="81"/>
      <c r="CZ39" s="81"/>
      <c r="DA39" s="74">
        <f t="shared" si="38"/>
        <v>0</v>
      </c>
      <c r="DB39" s="74">
        <f t="shared" si="38"/>
        <v>0</v>
      </c>
      <c r="DC39" s="81"/>
      <c r="DD39" s="81"/>
      <c r="DE39" s="81"/>
      <c r="DF39" s="81"/>
      <c r="DG39" s="74">
        <f t="shared" si="39"/>
        <v>0</v>
      </c>
      <c r="DH39" s="74">
        <f t="shared" si="39"/>
        <v>0</v>
      </c>
      <c r="DI39" s="74">
        <f t="shared" si="11"/>
        <v>0</v>
      </c>
      <c r="DJ39" s="74">
        <f t="shared" si="12"/>
        <v>0</v>
      </c>
      <c r="DK39" s="74">
        <f t="shared" si="13"/>
        <v>0</v>
      </c>
      <c r="DL39" s="74">
        <f t="shared" si="14"/>
        <v>0</v>
      </c>
      <c r="DM39" s="74">
        <f t="shared" si="40"/>
        <v>0</v>
      </c>
      <c r="DN39" s="74">
        <f t="shared" si="40"/>
        <v>0</v>
      </c>
    </row>
    <row r="40" spans="1:118">
      <c r="A40" s="25">
        <v>32</v>
      </c>
      <c r="B40" s="26" t="s">
        <v>569</v>
      </c>
      <c r="C40" s="26" t="s">
        <v>620</v>
      </c>
      <c r="D40" s="26" t="s">
        <v>622</v>
      </c>
      <c r="E40" s="205" t="s">
        <v>1165</v>
      </c>
      <c r="F40" s="161">
        <f t="shared" si="15"/>
        <v>0</v>
      </c>
      <c r="G40" s="161">
        <f t="shared" si="48"/>
        <v>0</v>
      </c>
      <c r="H40" s="165">
        <f t="shared" si="16"/>
        <v>354073.68</v>
      </c>
      <c r="I40" s="80">
        <v>115085.4</v>
      </c>
      <c r="J40" s="127">
        <v>0</v>
      </c>
      <c r="K40" s="243">
        <v>0</v>
      </c>
      <c r="L40" s="127">
        <f t="shared" si="17"/>
        <v>354073.68</v>
      </c>
      <c r="M40" s="127">
        <f t="shared" si="18"/>
        <v>354073.68</v>
      </c>
      <c r="N40" s="127">
        <f t="shared" si="19"/>
        <v>354073.68</v>
      </c>
      <c r="O40" s="131">
        <f t="shared" si="20"/>
        <v>0</v>
      </c>
      <c r="P40" s="125">
        <f t="shared" si="21"/>
        <v>354073.68</v>
      </c>
      <c r="Q40" s="81">
        <v>150000</v>
      </c>
      <c r="R40" s="81">
        <f>354073.68-Q40</f>
        <v>204073.68</v>
      </c>
      <c r="S40" s="81">
        <f t="shared" si="42"/>
        <v>150000</v>
      </c>
      <c r="T40" s="81">
        <f t="shared" si="41"/>
        <v>204073.68</v>
      </c>
      <c r="U40" s="81"/>
      <c r="V40" s="81"/>
      <c r="W40" s="81"/>
      <c r="X40" s="81"/>
      <c r="Y40" s="74">
        <f t="shared" si="22"/>
        <v>0</v>
      </c>
      <c r="Z40" s="74">
        <f t="shared" si="22"/>
        <v>0</v>
      </c>
      <c r="AA40" s="81"/>
      <c r="AB40" s="81"/>
      <c r="AC40" s="81"/>
      <c r="AD40" s="81"/>
      <c r="AE40" s="74">
        <f t="shared" si="23"/>
        <v>0</v>
      </c>
      <c r="AF40" s="74">
        <f t="shared" si="23"/>
        <v>0</v>
      </c>
      <c r="AG40" s="74">
        <f t="shared" si="24"/>
        <v>150000</v>
      </c>
      <c r="AH40" s="74">
        <f t="shared" si="25"/>
        <v>150000</v>
      </c>
      <c r="AI40" s="74">
        <f t="shared" si="25"/>
        <v>204073.68</v>
      </c>
      <c r="AJ40" s="74">
        <f t="shared" si="26"/>
        <v>204073.68</v>
      </c>
      <c r="AK40" s="74">
        <f t="shared" si="27"/>
        <v>354073.68</v>
      </c>
      <c r="AL40" s="74">
        <f t="shared" si="27"/>
        <v>354073.68</v>
      </c>
      <c r="AM40" s="81"/>
      <c r="AN40" s="81"/>
      <c r="AO40" s="81"/>
      <c r="AP40" s="81"/>
      <c r="AQ40" s="74">
        <f t="shared" si="28"/>
        <v>0</v>
      </c>
      <c r="AR40" s="74">
        <f t="shared" si="28"/>
        <v>0</v>
      </c>
      <c r="AS40" s="81"/>
      <c r="AT40" s="81"/>
      <c r="AU40" s="81"/>
      <c r="AV40" s="81"/>
      <c r="AW40" s="74">
        <f t="shared" si="29"/>
        <v>0</v>
      </c>
      <c r="AX40" s="74">
        <f t="shared" si="29"/>
        <v>0</v>
      </c>
      <c r="AY40" s="81"/>
      <c r="AZ40" s="81"/>
      <c r="BA40" s="81"/>
      <c r="BB40" s="81"/>
      <c r="BC40" s="74">
        <f t="shared" si="30"/>
        <v>0</v>
      </c>
      <c r="BD40" s="74"/>
      <c r="BE40" s="74">
        <f t="shared" si="9"/>
        <v>0</v>
      </c>
      <c r="BF40" s="81"/>
      <c r="BG40" s="81"/>
      <c r="BH40" s="81"/>
      <c r="BI40" s="81"/>
      <c r="BJ40" s="74">
        <f t="shared" si="31"/>
        <v>0</v>
      </c>
      <c r="BK40" s="74"/>
      <c r="BL40" s="74">
        <f t="shared" si="10"/>
        <v>0</v>
      </c>
      <c r="BM40" s="81"/>
      <c r="BN40" s="81"/>
      <c r="BO40" s="81"/>
      <c r="BP40" s="81"/>
      <c r="BQ40" s="74">
        <f t="shared" si="32"/>
        <v>0</v>
      </c>
      <c r="BR40" s="74">
        <f t="shared" si="32"/>
        <v>0</v>
      </c>
      <c r="BS40" s="81"/>
      <c r="BT40" s="81"/>
      <c r="BU40" s="81"/>
      <c r="BV40" s="81"/>
      <c r="BW40" s="74">
        <f t="shared" si="33"/>
        <v>0</v>
      </c>
      <c r="BX40" s="74">
        <f t="shared" si="33"/>
        <v>0</v>
      </c>
      <c r="BY40" s="81"/>
      <c r="BZ40" s="81"/>
      <c r="CA40" s="81"/>
      <c r="CB40" s="81"/>
      <c r="CC40" s="74">
        <f t="shared" si="34"/>
        <v>0</v>
      </c>
      <c r="CD40" s="74">
        <f t="shared" si="34"/>
        <v>0</v>
      </c>
      <c r="CE40" s="81"/>
      <c r="CF40" s="81"/>
      <c r="CG40" s="81"/>
      <c r="CH40" s="81"/>
      <c r="CI40" s="74">
        <f t="shared" si="35"/>
        <v>0</v>
      </c>
      <c r="CJ40" s="74">
        <f t="shared" si="35"/>
        <v>0</v>
      </c>
      <c r="CK40" s="81"/>
      <c r="CL40" s="81"/>
      <c r="CM40" s="81"/>
      <c r="CN40" s="81"/>
      <c r="CO40" s="74">
        <f t="shared" si="36"/>
        <v>0</v>
      </c>
      <c r="CP40" s="74">
        <f t="shared" si="36"/>
        <v>0</v>
      </c>
      <c r="CQ40" s="81"/>
      <c r="CR40" s="81"/>
      <c r="CS40" s="81"/>
      <c r="CT40" s="81"/>
      <c r="CU40" s="74">
        <f t="shared" si="37"/>
        <v>0</v>
      </c>
      <c r="CV40" s="74">
        <f t="shared" si="37"/>
        <v>0</v>
      </c>
      <c r="CW40" s="81"/>
      <c r="CX40" s="81"/>
      <c r="CY40" s="81"/>
      <c r="CZ40" s="81"/>
      <c r="DA40" s="74">
        <f t="shared" si="38"/>
        <v>0</v>
      </c>
      <c r="DB40" s="74">
        <f t="shared" si="38"/>
        <v>0</v>
      </c>
      <c r="DC40" s="81"/>
      <c r="DD40" s="81"/>
      <c r="DE40" s="81"/>
      <c r="DF40" s="81"/>
      <c r="DG40" s="74">
        <f t="shared" si="39"/>
        <v>0</v>
      </c>
      <c r="DH40" s="74">
        <f t="shared" si="39"/>
        <v>0</v>
      </c>
      <c r="DI40" s="74">
        <f t="shared" si="11"/>
        <v>0</v>
      </c>
      <c r="DJ40" s="74">
        <f t="shared" si="12"/>
        <v>0</v>
      </c>
      <c r="DK40" s="74">
        <f t="shared" si="13"/>
        <v>0</v>
      </c>
      <c r="DL40" s="74">
        <f t="shared" si="14"/>
        <v>0</v>
      </c>
      <c r="DM40" s="74">
        <f t="shared" si="40"/>
        <v>0</v>
      </c>
      <c r="DN40" s="74">
        <f t="shared" si="40"/>
        <v>0</v>
      </c>
    </row>
    <row r="41" spans="1:118" s="278" customFormat="1">
      <c r="A41" s="253">
        <v>33</v>
      </c>
      <c r="B41" s="276" t="s">
        <v>569</v>
      </c>
      <c r="C41" s="276" t="s">
        <v>623</v>
      </c>
      <c r="D41" s="276" t="s">
        <v>624</v>
      </c>
      <c r="E41" s="276" t="s">
        <v>1165</v>
      </c>
      <c r="F41" s="255">
        <f t="shared" si="15"/>
        <v>0</v>
      </c>
      <c r="G41" s="255">
        <f>DN41</f>
        <v>41413.11</v>
      </c>
      <c r="H41" s="256">
        <f t="shared" si="16"/>
        <v>40000</v>
      </c>
      <c r="I41" s="281">
        <v>22697.3</v>
      </c>
      <c r="J41" s="255">
        <v>0</v>
      </c>
      <c r="K41" s="255">
        <v>0</v>
      </c>
      <c r="L41" s="255">
        <f t="shared" si="17"/>
        <v>40000</v>
      </c>
      <c r="M41" s="255">
        <f t="shared" si="18"/>
        <v>0</v>
      </c>
      <c r="N41" s="255">
        <f t="shared" si="19"/>
        <v>40000</v>
      </c>
      <c r="O41" s="255">
        <f t="shared" si="20"/>
        <v>0</v>
      </c>
      <c r="P41" s="255">
        <f t="shared" si="21"/>
        <v>81413.11</v>
      </c>
      <c r="Q41" s="282">
        <v>40000</v>
      </c>
      <c r="R41" s="282"/>
      <c r="S41" s="282">
        <f t="shared" si="42"/>
        <v>40000</v>
      </c>
      <c r="T41" s="282">
        <f t="shared" si="41"/>
        <v>0</v>
      </c>
      <c r="U41" s="282"/>
      <c r="V41" s="282"/>
      <c r="W41" s="282"/>
      <c r="X41" s="282"/>
      <c r="Y41" s="258">
        <f t="shared" si="22"/>
        <v>0</v>
      </c>
      <c r="Z41" s="258">
        <f t="shared" si="22"/>
        <v>0</v>
      </c>
      <c r="AA41" s="282"/>
      <c r="AB41" s="282"/>
      <c r="AC41" s="282"/>
      <c r="AD41" s="282"/>
      <c r="AE41" s="258">
        <f t="shared" si="23"/>
        <v>0</v>
      </c>
      <c r="AF41" s="258">
        <f t="shared" si="23"/>
        <v>0</v>
      </c>
      <c r="AG41" s="258">
        <f t="shared" si="24"/>
        <v>40000</v>
      </c>
      <c r="AH41" s="258">
        <f t="shared" si="25"/>
        <v>40000</v>
      </c>
      <c r="AI41" s="258">
        <f t="shared" si="25"/>
        <v>0</v>
      </c>
      <c r="AJ41" s="258">
        <f t="shared" si="26"/>
        <v>0</v>
      </c>
      <c r="AK41" s="258">
        <f t="shared" si="27"/>
        <v>40000</v>
      </c>
      <c r="AL41" s="258">
        <f t="shared" si="27"/>
        <v>40000</v>
      </c>
      <c r="AM41" s="282"/>
      <c r="AN41" s="282"/>
      <c r="AO41" s="282"/>
      <c r="AP41" s="282"/>
      <c r="AQ41" s="258">
        <f t="shared" si="28"/>
        <v>0</v>
      </c>
      <c r="AR41" s="258">
        <f t="shared" si="28"/>
        <v>0</v>
      </c>
      <c r="AS41" s="282"/>
      <c r="AT41" s="282"/>
      <c r="AU41" s="282"/>
      <c r="AV41" s="282"/>
      <c r="AW41" s="258">
        <f t="shared" si="29"/>
        <v>0</v>
      </c>
      <c r="AX41" s="258">
        <f t="shared" si="29"/>
        <v>0</v>
      </c>
      <c r="AY41" s="282"/>
      <c r="AZ41" s="282"/>
      <c r="BA41" s="282"/>
      <c r="BB41" s="282"/>
      <c r="BC41" s="258">
        <f t="shared" si="30"/>
        <v>0</v>
      </c>
      <c r="BD41" s="258"/>
      <c r="BE41" s="258">
        <f t="shared" ref="BE41:BE65" si="49">AZ41+BB41</f>
        <v>0</v>
      </c>
      <c r="BF41" s="282"/>
      <c r="BG41" s="282"/>
      <c r="BH41" s="282"/>
      <c r="BI41" s="81">
        <v>41413.11</v>
      </c>
      <c r="BJ41" s="258">
        <f t="shared" si="31"/>
        <v>0</v>
      </c>
      <c r="BK41" s="55">
        <v>40000</v>
      </c>
      <c r="BL41" s="75">
        <f t="shared" ref="BL41:BL65" si="50">BG41+BI41</f>
        <v>41413.11</v>
      </c>
      <c r="BM41" s="282"/>
      <c r="BN41" s="282"/>
      <c r="BO41" s="282"/>
      <c r="BP41" s="282"/>
      <c r="BQ41" s="258">
        <f t="shared" si="32"/>
        <v>0</v>
      </c>
      <c r="BR41" s="258">
        <f t="shared" si="32"/>
        <v>0</v>
      </c>
      <c r="BS41" s="282"/>
      <c r="BT41" s="282"/>
      <c r="BU41" s="282"/>
      <c r="BV41" s="282"/>
      <c r="BW41" s="258">
        <f t="shared" si="33"/>
        <v>0</v>
      </c>
      <c r="BX41" s="258">
        <f t="shared" si="33"/>
        <v>0</v>
      </c>
      <c r="BY41" s="282"/>
      <c r="BZ41" s="282"/>
      <c r="CA41" s="282"/>
      <c r="CB41" s="282"/>
      <c r="CC41" s="258">
        <f t="shared" si="34"/>
        <v>0</v>
      </c>
      <c r="CD41" s="258">
        <f t="shared" si="34"/>
        <v>0</v>
      </c>
      <c r="CE41" s="282"/>
      <c r="CF41" s="282"/>
      <c r="CG41" s="282"/>
      <c r="CH41" s="282"/>
      <c r="CI41" s="258">
        <f t="shared" si="35"/>
        <v>0</v>
      </c>
      <c r="CJ41" s="258">
        <f t="shared" si="35"/>
        <v>0</v>
      </c>
      <c r="CK41" s="282"/>
      <c r="CL41" s="282"/>
      <c r="CM41" s="282"/>
      <c r="CN41" s="282"/>
      <c r="CO41" s="258">
        <f t="shared" si="36"/>
        <v>0</v>
      </c>
      <c r="CP41" s="258">
        <f t="shared" si="36"/>
        <v>0</v>
      </c>
      <c r="CQ41" s="282"/>
      <c r="CR41" s="282"/>
      <c r="CS41" s="282"/>
      <c r="CT41" s="282"/>
      <c r="CU41" s="258">
        <f t="shared" si="37"/>
        <v>0</v>
      </c>
      <c r="CV41" s="258">
        <f t="shared" si="37"/>
        <v>0</v>
      </c>
      <c r="CW41" s="282"/>
      <c r="CX41" s="282"/>
      <c r="CY41" s="282"/>
      <c r="CZ41" s="282"/>
      <c r="DA41" s="258">
        <f t="shared" si="38"/>
        <v>0</v>
      </c>
      <c r="DB41" s="258">
        <f t="shared" si="38"/>
        <v>0</v>
      </c>
      <c r="DC41" s="282"/>
      <c r="DD41" s="282"/>
      <c r="DE41" s="282"/>
      <c r="DF41" s="282"/>
      <c r="DG41" s="258">
        <f t="shared" si="39"/>
        <v>0</v>
      </c>
      <c r="DH41" s="258">
        <f t="shared" si="39"/>
        <v>0</v>
      </c>
      <c r="DI41" s="258">
        <f t="shared" ref="DI41:DI65" si="51">AM41+AS41+AY41+BF41+BM41+BS41+BY41+CE41+CK41+CQ41+CW41+DC41</f>
        <v>0</v>
      </c>
      <c r="DJ41" s="258">
        <f t="shared" ref="DJ41:DJ65" si="52">AN41+AT41+AZ41+BG41+BN41+BT41+BZ41+CF41+CL41+CR41+CX41+DD41</f>
        <v>0</v>
      </c>
      <c r="DK41" s="258">
        <f t="shared" ref="DK41:DK65" si="53">AO41+AU41+BA41+BH41+BO41+BU41+CA41+CG41+CM41+CS41+CY41+DE41</f>
        <v>0</v>
      </c>
      <c r="DL41" s="258">
        <f t="shared" ref="DL41:DL65" si="54">AP41+AV41+BB41+BI41+BP41+BV41+CB41+CH41+CN41+CT41+CZ41+DF41</f>
        <v>41413.11</v>
      </c>
      <c r="DM41" s="258">
        <f t="shared" si="40"/>
        <v>0</v>
      </c>
      <c r="DN41" s="258">
        <f t="shared" si="40"/>
        <v>41413.11</v>
      </c>
    </row>
    <row r="42" spans="1:118">
      <c r="A42" s="25">
        <v>34</v>
      </c>
      <c r="B42" s="26" t="s">
        <v>581</v>
      </c>
      <c r="C42" s="26" t="s">
        <v>625</v>
      </c>
      <c r="D42" s="26" t="s">
        <v>626</v>
      </c>
      <c r="E42" s="205" t="s">
        <v>1164</v>
      </c>
      <c r="F42" s="161">
        <f t="shared" si="15"/>
        <v>0</v>
      </c>
      <c r="G42" s="161">
        <f t="shared" ref="G42:G44" si="55">DN42</f>
        <v>0</v>
      </c>
      <c r="H42" s="165">
        <f t="shared" si="16"/>
        <v>934.5</v>
      </c>
      <c r="I42" s="80">
        <v>0</v>
      </c>
      <c r="J42" s="127">
        <v>0</v>
      </c>
      <c r="K42" s="243">
        <v>0</v>
      </c>
      <c r="L42" s="127">
        <f t="shared" si="17"/>
        <v>934.5</v>
      </c>
      <c r="M42" s="127">
        <f t="shared" si="18"/>
        <v>934.5</v>
      </c>
      <c r="N42" s="127">
        <f t="shared" si="19"/>
        <v>934.5</v>
      </c>
      <c r="O42" s="131">
        <f t="shared" si="20"/>
        <v>0</v>
      </c>
      <c r="P42" s="125">
        <f t="shared" si="21"/>
        <v>934.5</v>
      </c>
      <c r="Q42" s="81"/>
      <c r="R42" s="81"/>
      <c r="S42" s="81">
        <f t="shared" si="42"/>
        <v>0</v>
      </c>
      <c r="T42" s="81">
        <f t="shared" si="41"/>
        <v>0</v>
      </c>
      <c r="U42" s="81"/>
      <c r="V42" s="81"/>
      <c r="W42" s="81"/>
      <c r="X42" s="81"/>
      <c r="Y42" s="74">
        <f t="shared" si="22"/>
        <v>0</v>
      </c>
      <c r="Z42" s="74">
        <f t="shared" si="22"/>
        <v>0</v>
      </c>
      <c r="AA42" s="81"/>
      <c r="AB42" s="81"/>
      <c r="AC42" s="81">
        <f>500*1.75</f>
        <v>875</v>
      </c>
      <c r="AD42" s="267">
        <v>934.5</v>
      </c>
      <c r="AE42" s="74">
        <f t="shared" si="23"/>
        <v>875</v>
      </c>
      <c r="AF42" s="74">
        <f t="shared" si="23"/>
        <v>934.5</v>
      </c>
      <c r="AG42" s="74">
        <f t="shared" si="24"/>
        <v>0</v>
      </c>
      <c r="AH42" s="74">
        <f t="shared" si="25"/>
        <v>0</v>
      </c>
      <c r="AI42" s="74">
        <f t="shared" si="25"/>
        <v>875</v>
      </c>
      <c r="AJ42" s="74">
        <f t="shared" si="26"/>
        <v>934.5</v>
      </c>
      <c r="AK42" s="74">
        <f t="shared" si="27"/>
        <v>875</v>
      </c>
      <c r="AL42" s="74">
        <f t="shared" si="27"/>
        <v>934.5</v>
      </c>
      <c r="AM42" s="81"/>
      <c r="AN42" s="81"/>
      <c r="AO42" s="81"/>
      <c r="AP42" s="81"/>
      <c r="AQ42" s="74">
        <f t="shared" si="28"/>
        <v>0</v>
      </c>
      <c r="AR42" s="74">
        <f t="shared" si="28"/>
        <v>0</v>
      </c>
      <c r="AS42" s="81"/>
      <c r="AT42" s="81"/>
      <c r="AU42" s="81"/>
      <c r="AV42" s="81"/>
      <c r="AW42" s="74">
        <f t="shared" si="29"/>
        <v>0</v>
      </c>
      <c r="AX42" s="74">
        <f t="shared" si="29"/>
        <v>0</v>
      </c>
      <c r="AY42" s="81"/>
      <c r="AZ42" s="81"/>
      <c r="BA42" s="81"/>
      <c r="BB42" s="81"/>
      <c r="BC42" s="74">
        <f t="shared" si="30"/>
        <v>0</v>
      </c>
      <c r="BD42" s="74"/>
      <c r="BE42" s="74">
        <f t="shared" si="49"/>
        <v>0</v>
      </c>
      <c r="BF42" s="81"/>
      <c r="BG42" s="81"/>
      <c r="BH42" s="81"/>
      <c r="BI42" s="81"/>
      <c r="BJ42" s="74">
        <f t="shared" si="31"/>
        <v>0</v>
      </c>
      <c r="BK42" s="74"/>
      <c r="BL42" s="74">
        <f t="shared" si="50"/>
        <v>0</v>
      </c>
      <c r="BM42" s="81"/>
      <c r="BN42" s="81"/>
      <c r="BO42" s="81"/>
      <c r="BP42" s="81"/>
      <c r="BQ42" s="74">
        <f t="shared" si="32"/>
        <v>0</v>
      </c>
      <c r="BR42" s="74">
        <f t="shared" si="32"/>
        <v>0</v>
      </c>
      <c r="BS42" s="81"/>
      <c r="BT42" s="81"/>
      <c r="BU42" s="81"/>
      <c r="BV42" s="81"/>
      <c r="BW42" s="74">
        <f t="shared" si="33"/>
        <v>0</v>
      </c>
      <c r="BX42" s="74">
        <f t="shared" si="33"/>
        <v>0</v>
      </c>
      <c r="BY42" s="81"/>
      <c r="BZ42" s="81"/>
      <c r="CA42" s="81"/>
      <c r="CB42" s="81"/>
      <c r="CC42" s="74">
        <f t="shared" si="34"/>
        <v>0</v>
      </c>
      <c r="CD42" s="74">
        <f t="shared" si="34"/>
        <v>0</v>
      </c>
      <c r="CE42" s="81"/>
      <c r="CF42" s="81"/>
      <c r="CG42" s="81"/>
      <c r="CH42" s="81"/>
      <c r="CI42" s="74">
        <f t="shared" si="35"/>
        <v>0</v>
      </c>
      <c r="CJ42" s="74">
        <f t="shared" si="35"/>
        <v>0</v>
      </c>
      <c r="CK42" s="81"/>
      <c r="CL42" s="81"/>
      <c r="CM42" s="81"/>
      <c r="CN42" s="81"/>
      <c r="CO42" s="74">
        <f t="shared" si="36"/>
        <v>0</v>
      </c>
      <c r="CP42" s="74">
        <f t="shared" si="36"/>
        <v>0</v>
      </c>
      <c r="CQ42" s="81"/>
      <c r="CR42" s="81"/>
      <c r="CS42" s="81"/>
      <c r="CT42" s="81"/>
      <c r="CU42" s="74">
        <f t="shared" si="37"/>
        <v>0</v>
      </c>
      <c r="CV42" s="74">
        <f t="shared" si="37"/>
        <v>0</v>
      </c>
      <c r="CW42" s="81"/>
      <c r="CX42" s="81"/>
      <c r="CY42" s="81"/>
      <c r="CZ42" s="81"/>
      <c r="DA42" s="74">
        <f t="shared" si="38"/>
        <v>0</v>
      </c>
      <c r="DB42" s="74">
        <f t="shared" si="38"/>
        <v>0</v>
      </c>
      <c r="DC42" s="81"/>
      <c r="DD42" s="81"/>
      <c r="DE42" s="81"/>
      <c r="DF42" s="81"/>
      <c r="DG42" s="74">
        <f t="shared" si="39"/>
        <v>0</v>
      </c>
      <c r="DH42" s="74">
        <f t="shared" si="39"/>
        <v>0</v>
      </c>
      <c r="DI42" s="74">
        <f t="shared" si="51"/>
        <v>0</v>
      </c>
      <c r="DJ42" s="74">
        <f t="shared" si="52"/>
        <v>0</v>
      </c>
      <c r="DK42" s="74">
        <f t="shared" si="53"/>
        <v>0</v>
      </c>
      <c r="DL42" s="74">
        <f t="shared" si="54"/>
        <v>0</v>
      </c>
      <c r="DM42" s="74">
        <f t="shared" si="40"/>
        <v>0</v>
      </c>
      <c r="DN42" s="74">
        <f t="shared" si="40"/>
        <v>0</v>
      </c>
    </row>
    <row r="43" spans="1:118">
      <c r="A43" s="25">
        <v>35</v>
      </c>
      <c r="B43" s="26" t="s">
        <v>581</v>
      </c>
      <c r="C43" s="26" t="s">
        <v>625</v>
      </c>
      <c r="D43" s="26" t="s">
        <v>627</v>
      </c>
      <c r="E43" s="205" t="s">
        <v>1165</v>
      </c>
      <c r="F43" s="161">
        <f t="shared" si="15"/>
        <v>0</v>
      </c>
      <c r="G43" s="161">
        <f t="shared" si="55"/>
        <v>0</v>
      </c>
      <c r="H43" s="165">
        <f t="shared" si="16"/>
        <v>0</v>
      </c>
      <c r="I43" s="80">
        <v>85816.68</v>
      </c>
      <c r="J43" s="127">
        <v>0</v>
      </c>
      <c r="K43" s="243">
        <v>0</v>
      </c>
      <c r="L43" s="127">
        <f t="shared" si="17"/>
        <v>0</v>
      </c>
      <c r="M43" s="127">
        <f t="shared" si="18"/>
        <v>0</v>
      </c>
      <c r="N43" s="127">
        <f t="shared" si="19"/>
        <v>0</v>
      </c>
      <c r="O43" s="131">
        <f t="shared" si="20"/>
        <v>0</v>
      </c>
      <c r="P43" s="125" t="str">
        <f t="shared" si="21"/>
        <v>ნულოვანი შესრულება</v>
      </c>
      <c r="Q43" s="81"/>
      <c r="R43" s="81"/>
      <c r="S43" s="81">
        <f t="shared" si="42"/>
        <v>0</v>
      </c>
      <c r="T43" s="81">
        <f t="shared" si="41"/>
        <v>0</v>
      </c>
      <c r="U43" s="81"/>
      <c r="V43" s="81"/>
      <c r="W43" s="81"/>
      <c r="X43" s="81"/>
      <c r="Y43" s="74">
        <f t="shared" si="22"/>
        <v>0</v>
      </c>
      <c r="Z43" s="74">
        <f t="shared" si="22"/>
        <v>0</v>
      </c>
      <c r="AA43" s="81"/>
      <c r="AB43" s="81"/>
      <c r="AC43" s="81"/>
      <c r="AD43" s="81"/>
      <c r="AE43" s="74">
        <f t="shared" si="23"/>
        <v>0</v>
      </c>
      <c r="AF43" s="74">
        <f t="shared" si="23"/>
        <v>0</v>
      </c>
      <c r="AG43" s="74">
        <f t="shared" si="24"/>
        <v>0</v>
      </c>
      <c r="AH43" s="74">
        <f t="shared" si="25"/>
        <v>0</v>
      </c>
      <c r="AI43" s="74">
        <f t="shared" si="25"/>
        <v>0</v>
      </c>
      <c r="AJ43" s="74">
        <f t="shared" si="26"/>
        <v>0</v>
      </c>
      <c r="AK43" s="74">
        <f t="shared" si="27"/>
        <v>0</v>
      </c>
      <c r="AL43" s="74">
        <f t="shared" si="27"/>
        <v>0</v>
      </c>
      <c r="AM43" s="81"/>
      <c r="AN43" s="81"/>
      <c r="AO43" s="81"/>
      <c r="AP43" s="81"/>
      <c r="AQ43" s="74">
        <f t="shared" si="28"/>
        <v>0</v>
      </c>
      <c r="AR43" s="74">
        <f t="shared" si="28"/>
        <v>0</v>
      </c>
      <c r="AS43" s="81"/>
      <c r="AT43" s="81"/>
      <c r="AU43" s="81"/>
      <c r="AV43" s="81"/>
      <c r="AW43" s="74">
        <f t="shared" si="29"/>
        <v>0</v>
      </c>
      <c r="AX43" s="74">
        <f t="shared" si="29"/>
        <v>0</v>
      </c>
      <c r="AY43" s="81"/>
      <c r="AZ43" s="81"/>
      <c r="BA43" s="81"/>
      <c r="BB43" s="81"/>
      <c r="BC43" s="74">
        <f t="shared" si="30"/>
        <v>0</v>
      </c>
      <c r="BD43" s="74"/>
      <c r="BE43" s="74">
        <f t="shared" si="49"/>
        <v>0</v>
      </c>
      <c r="BF43" s="81"/>
      <c r="BG43" s="81"/>
      <c r="BH43" s="81"/>
      <c r="BI43" s="81"/>
      <c r="BJ43" s="74">
        <f t="shared" si="31"/>
        <v>0</v>
      </c>
      <c r="BK43" s="74"/>
      <c r="BL43" s="74">
        <f t="shared" si="50"/>
        <v>0</v>
      </c>
      <c r="BM43" s="81"/>
      <c r="BN43" s="81"/>
      <c r="BO43" s="81"/>
      <c r="BP43" s="81"/>
      <c r="BQ43" s="74">
        <f t="shared" si="32"/>
        <v>0</v>
      </c>
      <c r="BR43" s="74">
        <f t="shared" si="32"/>
        <v>0</v>
      </c>
      <c r="BS43" s="81"/>
      <c r="BT43" s="81"/>
      <c r="BU43" s="81"/>
      <c r="BV43" s="81"/>
      <c r="BW43" s="74">
        <f t="shared" si="33"/>
        <v>0</v>
      </c>
      <c r="BX43" s="74">
        <f t="shared" si="33"/>
        <v>0</v>
      </c>
      <c r="BY43" s="81"/>
      <c r="BZ43" s="81"/>
      <c r="CA43" s="81"/>
      <c r="CB43" s="81"/>
      <c r="CC43" s="74">
        <f t="shared" si="34"/>
        <v>0</v>
      </c>
      <c r="CD43" s="74">
        <f t="shared" si="34"/>
        <v>0</v>
      </c>
      <c r="CE43" s="81"/>
      <c r="CF43" s="81"/>
      <c r="CG43" s="81"/>
      <c r="CH43" s="81"/>
      <c r="CI43" s="74">
        <f t="shared" si="35"/>
        <v>0</v>
      </c>
      <c r="CJ43" s="74">
        <f t="shared" si="35"/>
        <v>0</v>
      </c>
      <c r="CK43" s="81"/>
      <c r="CL43" s="81"/>
      <c r="CM43" s="81"/>
      <c r="CN43" s="81"/>
      <c r="CO43" s="74">
        <f t="shared" si="36"/>
        <v>0</v>
      </c>
      <c r="CP43" s="74">
        <f t="shared" si="36"/>
        <v>0</v>
      </c>
      <c r="CQ43" s="81"/>
      <c r="CR43" s="81"/>
      <c r="CS43" s="81"/>
      <c r="CT43" s="81"/>
      <c r="CU43" s="74">
        <f t="shared" si="37"/>
        <v>0</v>
      </c>
      <c r="CV43" s="74">
        <f t="shared" si="37"/>
        <v>0</v>
      </c>
      <c r="CW43" s="81"/>
      <c r="CX43" s="81"/>
      <c r="CY43" s="81"/>
      <c r="CZ43" s="81"/>
      <c r="DA43" s="74">
        <f t="shared" si="38"/>
        <v>0</v>
      </c>
      <c r="DB43" s="74">
        <f t="shared" si="38"/>
        <v>0</v>
      </c>
      <c r="DC43" s="81"/>
      <c r="DD43" s="81"/>
      <c r="DE43" s="81"/>
      <c r="DF43" s="81"/>
      <c r="DG43" s="74">
        <f t="shared" si="39"/>
        <v>0</v>
      </c>
      <c r="DH43" s="74">
        <f t="shared" si="39"/>
        <v>0</v>
      </c>
      <c r="DI43" s="74">
        <f t="shared" si="51"/>
        <v>0</v>
      </c>
      <c r="DJ43" s="74">
        <f t="shared" si="52"/>
        <v>0</v>
      </c>
      <c r="DK43" s="74">
        <f t="shared" si="53"/>
        <v>0</v>
      </c>
      <c r="DL43" s="74">
        <f t="shared" si="54"/>
        <v>0</v>
      </c>
      <c r="DM43" s="74">
        <f t="shared" si="40"/>
        <v>0</v>
      </c>
      <c r="DN43" s="74">
        <f t="shared" si="40"/>
        <v>0</v>
      </c>
    </row>
    <row r="44" spans="1:118">
      <c r="A44" s="25">
        <v>36</v>
      </c>
      <c r="B44" s="26" t="s">
        <v>581</v>
      </c>
      <c r="C44" s="26" t="s">
        <v>628</v>
      </c>
      <c r="D44" s="26" t="s">
        <v>629</v>
      </c>
      <c r="E44" s="205" t="s">
        <v>1164</v>
      </c>
      <c r="F44" s="161">
        <f t="shared" si="15"/>
        <v>0</v>
      </c>
      <c r="G44" s="161">
        <f t="shared" si="55"/>
        <v>0</v>
      </c>
      <c r="H44" s="165">
        <f t="shared" si="16"/>
        <v>1862</v>
      </c>
      <c r="I44" s="80">
        <v>0</v>
      </c>
      <c r="J44" s="127">
        <v>0</v>
      </c>
      <c r="K44" s="243">
        <v>0</v>
      </c>
      <c r="L44" s="127">
        <f t="shared" si="17"/>
        <v>1862</v>
      </c>
      <c r="M44" s="127">
        <f t="shared" si="18"/>
        <v>1862</v>
      </c>
      <c r="N44" s="127">
        <f t="shared" si="19"/>
        <v>1862</v>
      </c>
      <c r="O44" s="131">
        <f t="shared" si="20"/>
        <v>0</v>
      </c>
      <c r="P44" s="125">
        <f t="shared" si="21"/>
        <v>1862</v>
      </c>
      <c r="Q44" s="81"/>
      <c r="R44" s="81">
        <v>1862</v>
      </c>
      <c r="S44" s="81">
        <f t="shared" si="42"/>
        <v>0</v>
      </c>
      <c r="T44" s="81">
        <f t="shared" si="41"/>
        <v>1862</v>
      </c>
      <c r="U44" s="81"/>
      <c r="V44" s="81"/>
      <c r="W44" s="81"/>
      <c r="X44" s="81"/>
      <c r="Y44" s="74">
        <f t="shared" si="22"/>
        <v>0</v>
      </c>
      <c r="Z44" s="74">
        <f t="shared" si="22"/>
        <v>0</v>
      </c>
      <c r="AA44" s="81"/>
      <c r="AB44" s="81"/>
      <c r="AC44" s="81"/>
      <c r="AD44" s="81"/>
      <c r="AE44" s="74">
        <f t="shared" si="23"/>
        <v>0</v>
      </c>
      <c r="AF44" s="74">
        <f t="shared" si="23"/>
        <v>0</v>
      </c>
      <c r="AG44" s="74">
        <f t="shared" si="24"/>
        <v>0</v>
      </c>
      <c r="AH44" s="74">
        <f t="shared" si="25"/>
        <v>0</v>
      </c>
      <c r="AI44" s="74">
        <f t="shared" si="25"/>
        <v>1862</v>
      </c>
      <c r="AJ44" s="74">
        <f t="shared" si="26"/>
        <v>1862</v>
      </c>
      <c r="AK44" s="74">
        <f t="shared" si="27"/>
        <v>1862</v>
      </c>
      <c r="AL44" s="74">
        <f t="shared" si="27"/>
        <v>1862</v>
      </c>
      <c r="AM44" s="81"/>
      <c r="AN44" s="81"/>
      <c r="AO44" s="81"/>
      <c r="AP44" s="81"/>
      <c r="AQ44" s="74">
        <f t="shared" si="28"/>
        <v>0</v>
      </c>
      <c r="AR44" s="74">
        <f t="shared" si="28"/>
        <v>0</v>
      </c>
      <c r="AS44" s="81"/>
      <c r="AT44" s="81"/>
      <c r="AU44" s="81"/>
      <c r="AV44" s="81"/>
      <c r="AW44" s="74">
        <f t="shared" si="29"/>
        <v>0</v>
      </c>
      <c r="AX44" s="74">
        <f t="shared" si="29"/>
        <v>0</v>
      </c>
      <c r="AY44" s="81"/>
      <c r="AZ44" s="81"/>
      <c r="BA44" s="81"/>
      <c r="BB44" s="81"/>
      <c r="BC44" s="74">
        <f t="shared" si="30"/>
        <v>0</v>
      </c>
      <c r="BD44" s="74"/>
      <c r="BE44" s="74">
        <f t="shared" si="49"/>
        <v>0</v>
      </c>
      <c r="BF44" s="81"/>
      <c r="BG44" s="81"/>
      <c r="BH44" s="81"/>
      <c r="BI44" s="81"/>
      <c r="BJ44" s="74">
        <f t="shared" si="31"/>
        <v>0</v>
      </c>
      <c r="BK44" s="74"/>
      <c r="BL44" s="74">
        <f t="shared" si="50"/>
        <v>0</v>
      </c>
      <c r="BM44" s="81"/>
      <c r="BN44" s="81"/>
      <c r="BO44" s="81"/>
      <c r="BP44" s="81"/>
      <c r="BQ44" s="74">
        <f t="shared" si="32"/>
        <v>0</v>
      </c>
      <c r="BR44" s="74">
        <f t="shared" si="32"/>
        <v>0</v>
      </c>
      <c r="BS44" s="81"/>
      <c r="BT44" s="81"/>
      <c r="BU44" s="81"/>
      <c r="BV44" s="81"/>
      <c r="BW44" s="74">
        <f t="shared" si="33"/>
        <v>0</v>
      </c>
      <c r="BX44" s="74">
        <f t="shared" si="33"/>
        <v>0</v>
      </c>
      <c r="BY44" s="81"/>
      <c r="BZ44" s="81"/>
      <c r="CA44" s="81"/>
      <c r="CB44" s="81"/>
      <c r="CC44" s="74">
        <f t="shared" si="34"/>
        <v>0</v>
      </c>
      <c r="CD44" s="74">
        <f t="shared" si="34"/>
        <v>0</v>
      </c>
      <c r="CE44" s="81"/>
      <c r="CF44" s="81"/>
      <c r="CG44" s="81"/>
      <c r="CH44" s="81"/>
      <c r="CI44" s="74">
        <f t="shared" si="35"/>
        <v>0</v>
      </c>
      <c r="CJ44" s="74">
        <f t="shared" si="35"/>
        <v>0</v>
      </c>
      <c r="CK44" s="81"/>
      <c r="CL44" s="81"/>
      <c r="CM44" s="81"/>
      <c r="CN44" s="81"/>
      <c r="CO44" s="74">
        <f t="shared" si="36"/>
        <v>0</v>
      </c>
      <c r="CP44" s="74">
        <f t="shared" si="36"/>
        <v>0</v>
      </c>
      <c r="CQ44" s="81"/>
      <c r="CR44" s="81"/>
      <c r="CS44" s="81"/>
      <c r="CT44" s="81"/>
      <c r="CU44" s="74">
        <f t="shared" si="37"/>
        <v>0</v>
      </c>
      <c r="CV44" s="74">
        <f t="shared" si="37"/>
        <v>0</v>
      </c>
      <c r="CW44" s="81"/>
      <c r="CX44" s="81"/>
      <c r="CY44" s="81"/>
      <c r="CZ44" s="81"/>
      <c r="DA44" s="74">
        <f t="shared" si="38"/>
        <v>0</v>
      </c>
      <c r="DB44" s="74">
        <f t="shared" si="38"/>
        <v>0</v>
      </c>
      <c r="DC44" s="81"/>
      <c r="DD44" s="81"/>
      <c r="DE44" s="81"/>
      <c r="DF44" s="81"/>
      <c r="DG44" s="74">
        <f t="shared" si="39"/>
        <v>0</v>
      </c>
      <c r="DH44" s="74">
        <f t="shared" si="39"/>
        <v>0</v>
      </c>
      <c r="DI44" s="74">
        <f t="shared" si="51"/>
        <v>0</v>
      </c>
      <c r="DJ44" s="74">
        <f t="shared" si="52"/>
        <v>0</v>
      </c>
      <c r="DK44" s="74">
        <f t="shared" si="53"/>
        <v>0</v>
      </c>
      <c r="DL44" s="74">
        <f t="shared" si="54"/>
        <v>0</v>
      </c>
      <c r="DM44" s="74">
        <f t="shared" si="40"/>
        <v>0</v>
      </c>
      <c r="DN44" s="74">
        <f t="shared" si="40"/>
        <v>0</v>
      </c>
    </row>
    <row r="45" spans="1:118" s="278" customFormat="1">
      <c r="A45" s="253">
        <v>37</v>
      </c>
      <c r="B45" s="276" t="s">
        <v>581</v>
      </c>
      <c r="C45" s="276" t="s">
        <v>628</v>
      </c>
      <c r="D45" s="276" t="s">
        <v>630</v>
      </c>
      <c r="E45" s="276" t="s">
        <v>1165</v>
      </c>
      <c r="F45" s="255">
        <f t="shared" si="15"/>
        <v>0</v>
      </c>
      <c r="G45" s="255">
        <f>DN45</f>
        <v>120215.93</v>
      </c>
      <c r="H45" s="256">
        <f t="shared" si="16"/>
        <v>305000</v>
      </c>
      <c r="I45" s="281">
        <v>83048.399999999994</v>
      </c>
      <c r="J45" s="255">
        <v>0</v>
      </c>
      <c r="K45" s="284">
        <v>0</v>
      </c>
      <c r="L45" s="255">
        <f t="shared" si="17"/>
        <v>305000</v>
      </c>
      <c r="M45" s="255">
        <f t="shared" si="18"/>
        <v>0</v>
      </c>
      <c r="N45" s="255">
        <f t="shared" si="19"/>
        <v>305000</v>
      </c>
      <c r="O45" s="255">
        <f t="shared" si="20"/>
        <v>0</v>
      </c>
      <c r="P45" s="255">
        <f t="shared" si="21"/>
        <v>425215.93</v>
      </c>
      <c r="Q45" s="282">
        <v>300000</v>
      </c>
      <c r="R45" s="282"/>
      <c r="S45" s="282">
        <f t="shared" si="42"/>
        <v>300000</v>
      </c>
      <c r="T45" s="282">
        <f t="shared" si="41"/>
        <v>0</v>
      </c>
      <c r="U45" s="282"/>
      <c r="V45" s="282">
        <v>5000</v>
      </c>
      <c r="W45" s="282"/>
      <c r="X45" s="282"/>
      <c r="Y45" s="258">
        <f t="shared" si="22"/>
        <v>0</v>
      </c>
      <c r="Z45" s="258">
        <f t="shared" si="22"/>
        <v>5000</v>
      </c>
      <c r="AA45" s="282"/>
      <c r="AB45" s="282"/>
      <c r="AC45" s="282"/>
      <c r="AD45" s="282"/>
      <c r="AE45" s="258">
        <f t="shared" si="23"/>
        <v>0</v>
      </c>
      <c r="AF45" s="258">
        <f t="shared" si="23"/>
        <v>0</v>
      </c>
      <c r="AG45" s="258">
        <f t="shared" si="24"/>
        <v>300000</v>
      </c>
      <c r="AH45" s="258">
        <f t="shared" si="25"/>
        <v>305000</v>
      </c>
      <c r="AI45" s="258">
        <f t="shared" si="25"/>
        <v>0</v>
      </c>
      <c r="AJ45" s="258">
        <f t="shared" si="26"/>
        <v>0</v>
      </c>
      <c r="AK45" s="258">
        <f t="shared" si="27"/>
        <v>300000</v>
      </c>
      <c r="AL45" s="258">
        <f t="shared" si="27"/>
        <v>305000</v>
      </c>
      <c r="AM45" s="282"/>
      <c r="AN45" s="282"/>
      <c r="AO45" s="282"/>
      <c r="AP45" s="282"/>
      <c r="AQ45" s="258">
        <f t="shared" si="28"/>
        <v>0</v>
      </c>
      <c r="AR45" s="258">
        <f t="shared" si="28"/>
        <v>0</v>
      </c>
      <c r="AS45" s="282"/>
      <c r="AT45" s="282"/>
      <c r="AU45" s="282"/>
      <c r="AV45" s="282"/>
      <c r="AW45" s="258">
        <f t="shared" si="29"/>
        <v>0</v>
      </c>
      <c r="AX45" s="258">
        <f t="shared" si="29"/>
        <v>0</v>
      </c>
      <c r="AY45" s="282"/>
      <c r="AZ45" s="282"/>
      <c r="BA45" s="282"/>
      <c r="BB45" s="282"/>
      <c r="BC45" s="258">
        <f t="shared" si="30"/>
        <v>0</v>
      </c>
      <c r="BD45" s="258"/>
      <c r="BE45" s="258">
        <f t="shared" si="49"/>
        <v>0</v>
      </c>
      <c r="BF45" s="282"/>
      <c r="BG45" s="282"/>
      <c r="BH45" s="282"/>
      <c r="BI45" s="282"/>
      <c r="BJ45" s="258">
        <f t="shared" si="31"/>
        <v>0</v>
      </c>
      <c r="BK45" s="55">
        <v>111445</v>
      </c>
      <c r="BL45" s="258">
        <f t="shared" si="50"/>
        <v>0</v>
      </c>
      <c r="BM45" s="282"/>
      <c r="BN45" s="282"/>
      <c r="BO45" s="282"/>
      <c r="BP45" s="282">
        <v>120215.93</v>
      </c>
      <c r="BQ45" s="258">
        <f t="shared" si="32"/>
        <v>0</v>
      </c>
      <c r="BR45" s="258">
        <f t="shared" si="32"/>
        <v>120215.93</v>
      </c>
      <c r="BS45" s="282"/>
      <c r="BT45" s="282"/>
      <c r="BU45" s="282"/>
      <c r="BV45" s="282"/>
      <c r="BW45" s="258">
        <f t="shared" si="33"/>
        <v>0</v>
      </c>
      <c r="BX45" s="258">
        <f t="shared" si="33"/>
        <v>0</v>
      </c>
      <c r="BY45" s="282"/>
      <c r="BZ45" s="282"/>
      <c r="CA45" s="282"/>
      <c r="CB45" s="282"/>
      <c r="CC45" s="258">
        <f t="shared" si="34"/>
        <v>0</v>
      </c>
      <c r="CD45" s="258">
        <f t="shared" si="34"/>
        <v>0</v>
      </c>
      <c r="CE45" s="282"/>
      <c r="CF45" s="282"/>
      <c r="CG45" s="282"/>
      <c r="CH45" s="282"/>
      <c r="CI45" s="258">
        <f t="shared" si="35"/>
        <v>0</v>
      </c>
      <c r="CJ45" s="258">
        <f t="shared" si="35"/>
        <v>0</v>
      </c>
      <c r="CK45" s="282"/>
      <c r="CL45" s="282"/>
      <c r="CM45" s="282"/>
      <c r="CN45" s="282"/>
      <c r="CO45" s="258">
        <f t="shared" si="36"/>
        <v>0</v>
      </c>
      <c r="CP45" s="258">
        <f t="shared" si="36"/>
        <v>0</v>
      </c>
      <c r="CQ45" s="282"/>
      <c r="CR45" s="282"/>
      <c r="CS45" s="282"/>
      <c r="CT45" s="282"/>
      <c r="CU45" s="258">
        <f t="shared" si="37"/>
        <v>0</v>
      </c>
      <c r="CV45" s="258">
        <f t="shared" si="37"/>
        <v>0</v>
      </c>
      <c r="CW45" s="282"/>
      <c r="CX45" s="282"/>
      <c r="CY45" s="282"/>
      <c r="CZ45" s="282"/>
      <c r="DA45" s="258">
        <f t="shared" si="38"/>
        <v>0</v>
      </c>
      <c r="DB45" s="258">
        <f t="shared" si="38"/>
        <v>0</v>
      </c>
      <c r="DC45" s="282"/>
      <c r="DD45" s="282"/>
      <c r="DE45" s="282"/>
      <c r="DF45" s="282"/>
      <c r="DG45" s="258">
        <f t="shared" si="39"/>
        <v>0</v>
      </c>
      <c r="DH45" s="258">
        <f t="shared" si="39"/>
        <v>0</v>
      </c>
      <c r="DI45" s="258">
        <f t="shared" si="51"/>
        <v>0</v>
      </c>
      <c r="DJ45" s="258">
        <f t="shared" si="52"/>
        <v>0</v>
      </c>
      <c r="DK45" s="258">
        <f t="shared" si="53"/>
        <v>0</v>
      </c>
      <c r="DL45" s="258">
        <f t="shared" si="54"/>
        <v>120215.93</v>
      </c>
      <c r="DM45" s="258">
        <f t="shared" si="40"/>
        <v>0</v>
      </c>
      <c r="DN45" s="258">
        <f t="shared" si="40"/>
        <v>120215.93</v>
      </c>
    </row>
    <row r="46" spans="1:118">
      <c r="A46" s="25">
        <v>38</v>
      </c>
      <c r="B46" s="26" t="s">
        <v>631</v>
      </c>
      <c r="C46" s="26" t="s">
        <v>632</v>
      </c>
      <c r="D46" s="26" t="s">
        <v>633</v>
      </c>
      <c r="E46" s="205" t="s">
        <v>1165</v>
      </c>
      <c r="F46" s="161">
        <f t="shared" si="15"/>
        <v>0</v>
      </c>
      <c r="G46" s="161">
        <f t="shared" ref="G46:G48" si="56">DN46</f>
        <v>0</v>
      </c>
      <c r="H46" s="165">
        <f t="shared" si="16"/>
        <v>112271.33</v>
      </c>
      <c r="I46" s="80">
        <v>68440</v>
      </c>
      <c r="J46" s="127">
        <v>0</v>
      </c>
      <c r="K46" s="243">
        <v>0</v>
      </c>
      <c r="L46" s="127">
        <f t="shared" si="17"/>
        <v>112271.33</v>
      </c>
      <c r="M46" s="127">
        <f t="shared" si="18"/>
        <v>112271.33</v>
      </c>
      <c r="N46" s="127">
        <f t="shared" si="19"/>
        <v>112271.33</v>
      </c>
      <c r="O46" s="131">
        <f t="shared" si="20"/>
        <v>0</v>
      </c>
      <c r="P46" s="125">
        <f t="shared" si="21"/>
        <v>112271.33</v>
      </c>
      <c r="Q46" s="81">
        <v>50000</v>
      </c>
      <c r="R46" s="81">
        <f>112271.33-Q46</f>
        <v>62271.33</v>
      </c>
      <c r="S46" s="81">
        <f t="shared" si="42"/>
        <v>50000</v>
      </c>
      <c r="T46" s="81">
        <f t="shared" si="41"/>
        <v>62271.33</v>
      </c>
      <c r="U46" s="81"/>
      <c r="V46" s="81"/>
      <c r="W46" s="81"/>
      <c r="X46" s="81"/>
      <c r="Y46" s="74">
        <f t="shared" si="22"/>
        <v>0</v>
      </c>
      <c r="Z46" s="74">
        <f t="shared" si="22"/>
        <v>0</v>
      </c>
      <c r="AA46" s="81"/>
      <c r="AB46" s="81"/>
      <c r="AC46" s="81"/>
      <c r="AD46" s="81"/>
      <c r="AE46" s="74">
        <f t="shared" si="23"/>
        <v>0</v>
      </c>
      <c r="AF46" s="74">
        <f t="shared" si="23"/>
        <v>0</v>
      </c>
      <c r="AG46" s="74">
        <f t="shared" si="24"/>
        <v>50000</v>
      </c>
      <c r="AH46" s="74">
        <f t="shared" si="25"/>
        <v>50000</v>
      </c>
      <c r="AI46" s="74">
        <f t="shared" si="25"/>
        <v>62271.33</v>
      </c>
      <c r="AJ46" s="74">
        <f t="shared" si="26"/>
        <v>62271.33</v>
      </c>
      <c r="AK46" s="74">
        <f t="shared" si="27"/>
        <v>112271.33</v>
      </c>
      <c r="AL46" s="74">
        <f t="shared" si="27"/>
        <v>112271.33</v>
      </c>
      <c r="AM46" s="81"/>
      <c r="AN46" s="81"/>
      <c r="AO46" s="81"/>
      <c r="AP46" s="81"/>
      <c r="AQ46" s="74">
        <f t="shared" si="28"/>
        <v>0</v>
      </c>
      <c r="AR46" s="74">
        <f t="shared" si="28"/>
        <v>0</v>
      </c>
      <c r="AS46" s="81"/>
      <c r="AT46" s="81"/>
      <c r="AU46" s="81"/>
      <c r="AV46" s="81"/>
      <c r="AW46" s="74">
        <f t="shared" si="29"/>
        <v>0</v>
      </c>
      <c r="AX46" s="74">
        <f t="shared" si="29"/>
        <v>0</v>
      </c>
      <c r="AY46" s="81"/>
      <c r="AZ46" s="81"/>
      <c r="BA46" s="81"/>
      <c r="BB46" s="81"/>
      <c r="BC46" s="74">
        <f t="shared" si="30"/>
        <v>0</v>
      </c>
      <c r="BD46" s="74"/>
      <c r="BE46" s="74">
        <f t="shared" si="49"/>
        <v>0</v>
      </c>
      <c r="BF46" s="81"/>
      <c r="BG46" s="81"/>
      <c r="BH46" s="81"/>
      <c r="BI46" s="81"/>
      <c r="BJ46" s="74">
        <f t="shared" si="31"/>
        <v>0</v>
      </c>
      <c r="BK46" s="74"/>
      <c r="BL46" s="74">
        <f t="shared" si="50"/>
        <v>0</v>
      </c>
      <c r="BM46" s="81"/>
      <c r="BN46" s="81"/>
      <c r="BO46" s="81"/>
      <c r="BP46" s="81"/>
      <c r="BQ46" s="74">
        <f t="shared" si="32"/>
        <v>0</v>
      </c>
      <c r="BR46" s="74">
        <f t="shared" si="32"/>
        <v>0</v>
      </c>
      <c r="BS46" s="81"/>
      <c r="BT46" s="81"/>
      <c r="BU46" s="81"/>
      <c r="BV46" s="81"/>
      <c r="BW46" s="74">
        <f t="shared" si="33"/>
        <v>0</v>
      </c>
      <c r="BX46" s="74">
        <f t="shared" si="33"/>
        <v>0</v>
      </c>
      <c r="BY46" s="81"/>
      <c r="BZ46" s="81"/>
      <c r="CA46" s="81"/>
      <c r="CB46" s="81"/>
      <c r="CC46" s="74">
        <f t="shared" si="34"/>
        <v>0</v>
      </c>
      <c r="CD46" s="74">
        <f t="shared" si="34"/>
        <v>0</v>
      </c>
      <c r="CE46" s="81"/>
      <c r="CF46" s="81"/>
      <c r="CG46" s="81"/>
      <c r="CH46" s="81"/>
      <c r="CI46" s="74">
        <f t="shared" si="35"/>
        <v>0</v>
      </c>
      <c r="CJ46" s="74">
        <f t="shared" si="35"/>
        <v>0</v>
      </c>
      <c r="CK46" s="81"/>
      <c r="CL46" s="81"/>
      <c r="CM46" s="81"/>
      <c r="CN46" s="81"/>
      <c r="CO46" s="74">
        <f t="shared" si="36"/>
        <v>0</v>
      </c>
      <c r="CP46" s="74">
        <f t="shared" si="36"/>
        <v>0</v>
      </c>
      <c r="CQ46" s="81"/>
      <c r="CR46" s="81"/>
      <c r="CS46" s="81"/>
      <c r="CT46" s="81"/>
      <c r="CU46" s="74">
        <f t="shared" si="37"/>
        <v>0</v>
      </c>
      <c r="CV46" s="74">
        <f t="shared" si="37"/>
        <v>0</v>
      </c>
      <c r="CW46" s="81"/>
      <c r="CX46" s="81"/>
      <c r="CY46" s="81"/>
      <c r="CZ46" s="81"/>
      <c r="DA46" s="74">
        <f t="shared" si="38"/>
        <v>0</v>
      </c>
      <c r="DB46" s="74">
        <f t="shared" si="38"/>
        <v>0</v>
      </c>
      <c r="DC46" s="81"/>
      <c r="DD46" s="81"/>
      <c r="DE46" s="81"/>
      <c r="DF46" s="81"/>
      <c r="DG46" s="74">
        <f t="shared" si="39"/>
        <v>0</v>
      </c>
      <c r="DH46" s="74">
        <f t="shared" si="39"/>
        <v>0</v>
      </c>
      <c r="DI46" s="74">
        <f t="shared" si="51"/>
        <v>0</v>
      </c>
      <c r="DJ46" s="74">
        <f t="shared" si="52"/>
        <v>0</v>
      </c>
      <c r="DK46" s="74">
        <f t="shared" si="53"/>
        <v>0</v>
      </c>
      <c r="DL46" s="74">
        <f t="shared" si="54"/>
        <v>0</v>
      </c>
      <c r="DM46" s="74">
        <f t="shared" si="40"/>
        <v>0</v>
      </c>
      <c r="DN46" s="74">
        <f t="shared" si="40"/>
        <v>0</v>
      </c>
    </row>
    <row r="47" spans="1:118">
      <c r="A47" s="25">
        <v>39</v>
      </c>
      <c r="B47" s="26" t="s">
        <v>573</v>
      </c>
      <c r="C47" s="26" t="s">
        <v>634</v>
      </c>
      <c r="D47" s="26" t="s">
        <v>635</v>
      </c>
      <c r="E47" s="205" t="s">
        <v>1165</v>
      </c>
      <c r="F47" s="161">
        <f t="shared" si="15"/>
        <v>50000</v>
      </c>
      <c r="G47" s="161">
        <f t="shared" si="56"/>
        <v>62111.08</v>
      </c>
      <c r="H47" s="165">
        <f t="shared" si="16"/>
        <v>50000</v>
      </c>
      <c r="I47" s="80">
        <v>66094.395999999993</v>
      </c>
      <c r="J47" s="127">
        <v>0</v>
      </c>
      <c r="K47" s="243">
        <v>0</v>
      </c>
      <c r="L47" s="127">
        <f t="shared" si="17"/>
        <v>0</v>
      </c>
      <c r="M47" s="127">
        <f t="shared" si="18"/>
        <v>0</v>
      </c>
      <c r="N47" s="127">
        <f t="shared" si="19"/>
        <v>0</v>
      </c>
      <c r="O47" s="131">
        <f t="shared" si="20"/>
        <v>50000</v>
      </c>
      <c r="P47" s="125">
        <f t="shared" si="21"/>
        <v>62111.08</v>
      </c>
      <c r="Q47" s="81"/>
      <c r="R47" s="81"/>
      <c r="S47" s="81">
        <f t="shared" si="42"/>
        <v>0</v>
      </c>
      <c r="T47" s="81">
        <f t="shared" si="41"/>
        <v>0</v>
      </c>
      <c r="U47" s="81"/>
      <c r="V47" s="81"/>
      <c r="W47" s="81"/>
      <c r="X47" s="81"/>
      <c r="Y47" s="74">
        <f t="shared" si="22"/>
        <v>0</v>
      </c>
      <c r="Z47" s="74">
        <f t="shared" si="22"/>
        <v>0</v>
      </c>
      <c r="AA47" s="81"/>
      <c r="AB47" s="81"/>
      <c r="AC47" s="81">
        <v>60000</v>
      </c>
      <c r="AD47" s="81"/>
      <c r="AE47" s="74">
        <f t="shared" si="23"/>
        <v>60000</v>
      </c>
      <c r="AF47" s="74">
        <f t="shared" si="23"/>
        <v>0</v>
      </c>
      <c r="AG47" s="74">
        <f t="shared" si="24"/>
        <v>0</v>
      </c>
      <c r="AH47" s="74">
        <f t="shared" si="25"/>
        <v>0</v>
      </c>
      <c r="AI47" s="74">
        <f t="shared" si="25"/>
        <v>60000</v>
      </c>
      <c r="AJ47" s="74">
        <f t="shared" si="26"/>
        <v>0</v>
      </c>
      <c r="AK47" s="74">
        <f t="shared" si="27"/>
        <v>60000</v>
      </c>
      <c r="AL47" s="74">
        <f t="shared" si="27"/>
        <v>0</v>
      </c>
      <c r="AM47" s="81"/>
      <c r="AN47" s="81"/>
      <c r="AO47" s="81">
        <v>50000</v>
      </c>
      <c r="AP47" s="81">
        <v>60000</v>
      </c>
      <c r="AQ47" s="74">
        <f t="shared" si="28"/>
        <v>50000</v>
      </c>
      <c r="AR47" s="74">
        <f t="shared" si="28"/>
        <v>60000</v>
      </c>
      <c r="AS47" s="81"/>
      <c r="AT47" s="81"/>
      <c r="AU47" s="81"/>
      <c r="AV47" s="81">
        <v>2111.08</v>
      </c>
      <c r="AW47" s="74">
        <f t="shared" si="29"/>
        <v>0</v>
      </c>
      <c r="AX47" s="74">
        <f t="shared" si="29"/>
        <v>2111.08</v>
      </c>
      <c r="AY47" s="81"/>
      <c r="AZ47" s="81"/>
      <c r="BA47" s="81"/>
      <c r="BB47" s="81"/>
      <c r="BC47" s="74">
        <f t="shared" si="30"/>
        <v>0</v>
      </c>
      <c r="BD47" s="74"/>
      <c r="BE47" s="74">
        <f t="shared" si="49"/>
        <v>0</v>
      </c>
      <c r="BF47" s="81"/>
      <c r="BG47" s="81"/>
      <c r="BH47" s="81"/>
      <c r="BI47" s="81"/>
      <c r="BJ47" s="74">
        <f t="shared" si="31"/>
        <v>0</v>
      </c>
      <c r="BK47" s="74"/>
      <c r="BL47" s="74">
        <f t="shared" si="50"/>
        <v>0</v>
      </c>
      <c r="BM47" s="81"/>
      <c r="BN47" s="81"/>
      <c r="BO47" s="81"/>
      <c r="BP47" s="81"/>
      <c r="BQ47" s="74">
        <f t="shared" si="32"/>
        <v>0</v>
      </c>
      <c r="BR47" s="74">
        <f t="shared" si="32"/>
        <v>0</v>
      </c>
      <c r="BS47" s="81"/>
      <c r="BT47" s="81"/>
      <c r="BU47" s="81"/>
      <c r="BV47" s="81"/>
      <c r="BW47" s="74">
        <f t="shared" si="33"/>
        <v>0</v>
      </c>
      <c r="BX47" s="74">
        <f t="shared" si="33"/>
        <v>0</v>
      </c>
      <c r="BY47" s="81"/>
      <c r="BZ47" s="81"/>
      <c r="CA47" s="81"/>
      <c r="CB47" s="81"/>
      <c r="CC47" s="74">
        <f t="shared" si="34"/>
        <v>0</v>
      </c>
      <c r="CD47" s="74">
        <f t="shared" si="34"/>
        <v>0</v>
      </c>
      <c r="CE47" s="81"/>
      <c r="CF47" s="81"/>
      <c r="CG47" s="81"/>
      <c r="CH47" s="81"/>
      <c r="CI47" s="74">
        <f t="shared" si="35"/>
        <v>0</v>
      </c>
      <c r="CJ47" s="74">
        <f t="shared" si="35"/>
        <v>0</v>
      </c>
      <c r="CK47" s="81"/>
      <c r="CL47" s="81"/>
      <c r="CM47" s="81"/>
      <c r="CN47" s="81"/>
      <c r="CO47" s="74">
        <f t="shared" si="36"/>
        <v>0</v>
      </c>
      <c r="CP47" s="74">
        <f t="shared" si="36"/>
        <v>0</v>
      </c>
      <c r="CQ47" s="81"/>
      <c r="CR47" s="81"/>
      <c r="CS47" s="81"/>
      <c r="CT47" s="81"/>
      <c r="CU47" s="74">
        <f t="shared" si="37"/>
        <v>0</v>
      </c>
      <c r="CV47" s="74">
        <f t="shared" si="37"/>
        <v>0</v>
      </c>
      <c r="CW47" s="81"/>
      <c r="CX47" s="81"/>
      <c r="CY47" s="81"/>
      <c r="CZ47" s="81"/>
      <c r="DA47" s="74">
        <f t="shared" si="38"/>
        <v>0</v>
      </c>
      <c r="DB47" s="74">
        <f t="shared" si="38"/>
        <v>0</v>
      </c>
      <c r="DC47" s="81"/>
      <c r="DD47" s="81"/>
      <c r="DE47" s="81"/>
      <c r="DF47" s="81"/>
      <c r="DG47" s="74">
        <f t="shared" si="39"/>
        <v>0</v>
      </c>
      <c r="DH47" s="74">
        <f t="shared" si="39"/>
        <v>0</v>
      </c>
      <c r="DI47" s="74">
        <f t="shared" si="51"/>
        <v>0</v>
      </c>
      <c r="DJ47" s="74">
        <f t="shared" si="52"/>
        <v>0</v>
      </c>
      <c r="DK47" s="74">
        <f t="shared" si="53"/>
        <v>50000</v>
      </c>
      <c r="DL47" s="74">
        <f t="shared" si="54"/>
        <v>62111.08</v>
      </c>
      <c r="DM47" s="74">
        <f t="shared" si="40"/>
        <v>50000</v>
      </c>
      <c r="DN47" s="74">
        <f t="shared" si="40"/>
        <v>62111.08</v>
      </c>
    </row>
    <row r="48" spans="1:118">
      <c r="A48" s="25">
        <v>40</v>
      </c>
      <c r="B48" s="26" t="s">
        <v>581</v>
      </c>
      <c r="C48" s="26" t="s">
        <v>636</v>
      </c>
      <c r="D48" s="26" t="s">
        <v>637</v>
      </c>
      <c r="E48" s="205" t="s">
        <v>1164</v>
      </c>
      <c r="F48" s="161">
        <f t="shared" si="15"/>
        <v>0</v>
      </c>
      <c r="G48" s="161">
        <f t="shared" si="56"/>
        <v>0</v>
      </c>
      <c r="H48" s="165">
        <f t="shared" si="16"/>
        <v>4516.75</v>
      </c>
      <c r="I48" s="80">
        <v>0</v>
      </c>
      <c r="J48" s="127">
        <v>0</v>
      </c>
      <c r="K48" s="243">
        <v>0</v>
      </c>
      <c r="L48" s="127">
        <f t="shared" si="17"/>
        <v>4516.75</v>
      </c>
      <c r="M48" s="127">
        <f t="shared" si="18"/>
        <v>4516.75</v>
      </c>
      <c r="N48" s="127">
        <f t="shared" si="19"/>
        <v>4516.75</v>
      </c>
      <c r="O48" s="131">
        <f t="shared" si="20"/>
        <v>0</v>
      </c>
      <c r="P48" s="125">
        <f t="shared" si="21"/>
        <v>4516.75</v>
      </c>
      <c r="Q48" s="81"/>
      <c r="R48" s="81"/>
      <c r="S48" s="81">
        <f t="shared" si="42"/>
        <v>0</v>
      </c>
      <c r="T48" s="81">
        <f t="shared" si="41"/>
        <v>0</v>
      </c>
      <c r="U48" s="81"/>
      <c r="V48" s="81"/>
      <c r="W48" s="81"/>
      <c r="X48" s="81"/>
      <c r="Y48" s="74">
        <f t="shared" si="22"/>
        <v>0</v>
      </c>
      <c r="Z48" s="74">
        <f t="shared" si="22"/>
        <v>0</v>
      </c>
      <c r="AA48" s="81"/>
      <c r="AB48" s="81"/>
      <c r="AC48" s="81">
        <f>2500*1.75</f>
        <v>4375</v>
      </c>
      <c r="AD48" s="81">
        <v>4516.75</v>
      </c>
      <c r="AE48" s="74">
        <f t="shared" si="23"/>
        <v>4375</v>
      </c>
      <c r="AF48" s="74">
        <f t="shared" si="23"/>
        <v>4516.75</v>
      </c>
      <c r="AG48" s="74">
        <f t="shared" si="24"/>
        <v>0</v>
      </c>
      <c r="AH48" s="74">
        <f t="shared" si="25"/>
        <v>0</v>
      </c>
      <c r="AI48" s="74">
        <f t="shared" si="25"/>
        <v>4375</v>
      </c>
      <c r="AJ48" s="74">
        <f t="shared" si="26"/>
        <v>4516.75</v>
      </c>
      <c r="AK48" s="74">
        <f t="shared" si="27"/>
        <v>4375</v>
      </c>
      <c r="AL48" s="74">
        <f t="shared" si="27"/>
        <v>4516.75</v>
      </c>
      <c r="AM48" s="81"/>
      <c r="AN48" s="81"/>
      <c r="AO48" s="81"/>
      <c r="AP48" s="81"/>
      <c r="AQ48" s="74">
        <f t="shared" si="28"/>
        <v>0</v>
      </c>
      <c r="AR48" s="74">
        <f t="shared" si="28"/>
        <v>0</v>
      </c>
      <c r="AS48" s="81"/>
      <c r="AT48" s="81"/>
      <c r="AU48" s="81"/>
      <c r="AV48" s="81"/>
      <c r="AW48" s="74">
        <f t="shared" si="29"/>
        <v>0</v>
      </c>
      <c r="AX48" s="74">
        <f t="shared" si="29"/>
        <v>0</v>
      </c>
      <c r="AY48" s="81"/>
      <c r="AZ48" s="81"/>
      <c r="BA48" s="81"/>
      <c r="BB48" s="81"/>
      <c r="BC48" s="74">
        <f t="shared" si="30"/>
        <v>0</v>
      </c>
      <c r="BD48" s="74"/>
      <c r="BE48" s="74">
        <f t="shared" si="49"/>
        <v>0</v>
      </c>
      <c r="BF48" s="81"/>
      <c r="BG48" s="81"/>
      <c r="BH48" s="81"/>
      <c r="BI48" s="81"/>
      <c r="BJ48" s="74">
        <f t="shared" si="31"/>
        <v>0</v>
      </c>
      <c r="BK48" s="74"/>
      <c r="BL48" s="74">
        <f t="shared" si="50"/>
        <v>0</v>
      </c>
      <c r="BM48" s="81"/>
      <c r="BN48" s="81"/>
      <c r="BO48" s="81"/>
      <c r="BP48" s="81"/>
      <c r="BQ48" s="74">
        <f t="shared" si="32"/>
        <v>0</v>
      </c>
      <c r="BR48" s="74">
        <f t="shared" si="32"/>
        <v>0</v>
      </c>
      <c r="BS48" s="81"/>
      <c r="BT48" s="81"/>
      <c r="BU48" s="81"/>
      <c r="BV48" s="81"/>
      <c r="BW48" s="74">
        <f t="shared" si="33"/>
        <v>0</v>
      </c>
      <c r="BX48" s="74">
        <f t="shared" si="33"/>
        <v>0</v>
      </c>
      <c r="BY48" s="81"/>
      <c r="BZ48" s="81"/>
      <c r="CA48" s="81"/>
      <c r="CB48" s="81"/>
      <c r="CC48" s="74">
        <f t="shared" si="34"/>
        <v>0</v>
      </c>
      <c r="CD48" s="74">
        <f t="shared" si="34"/>
        <v>0</v>
      </c>
      <c r="CE48" s="81"/>
      <c r="CF48" s="81"/>
      <c r="CG48" s="81"/>
      <c r="CH48" s="81"/>
      <c r="CI48" s="74">
        <f t="shared" si="35"/>
        <v>0</v>
      </c>
      <c r="CJ48" s="74">
        <f t="shared" si="35"/>
        <v>0</v>
      </c>
      <c r="CK48" s="81"/>
      <c r="CL48" s="81"/>
      <c r="CM48" s="81"/>
      <c r="CN48" s="81"/>
      <c r="CO48" s="74">
        <f t="shared" si="36"/>
        <v>0</v>
      </c>
      <c r="CP48" s="74">
        <f t="shared" si="36"/>
        <v>0</v>
      </c>
      <c r="CQ48" s="81"/>
      <c r="CR48" s="81"/>
      <c r="CS48" s="81"/>
      <c r="CT48" s="81"/>
      <c r="CU48" s="74">
        <f t="shared" si="37"/>
        <v>0</v>
      </c>
      <c r="CV48" s="74">
        <f t="shared" si="37"/>
        <v>0</v>
      </c>
      <c r="CW48" s="81"/>
      <c r="CX48" s="81"/>
      <c r="CY48" s="81"/>
      <c r="CZ48" s="81"/>
      <c r="DA48" s="74">
        <f t="shared" si="38"/>
        <v>0</v>
      </c>
      <c r="DB48" s="74">
        <f t="shared" si="38"/>
        <v>0</v>
      </c>
      <c r="DC48" s="81"/>
      <c r="DD48" s="81"/>
      <c r="DE48" s="81"/>
      <c r="DF48" s="81"/>
      <c r="DG48" s="74">
        <f t="shared" si="39"/>
        <v>0</v>
      </c>
      <c r="DH48" s="74">
        <f t="shared" si="39"/>
        <v>0</v>
      </c>
      <c r="DI48" s="74">
        <f t="shared" si="51"/>
        <v>0</v>
      </c>
      <c r="DJ48" s="74">
        <f t="shared" si="52"/>
        <v>0</v>
      </c>
      <c r="DK48" s="74">
        <f t="shared" si="53"/>
        <v>0</v>
      </c>
      <c r="DL48" s="74">
        <f t="shared" si="54"/>
        <v>0</v>
      </c>
      <c r="DM48" s="74">
        <f t="shared" si="40"/>
        <v>0</v>
      </c>
      <c r="DN48" s="74">
        <f t="shared" si="40"/>
        <v>0</v>
      </c>
    </row>
    <row r="49" spans="1:118" s="278" customFormat="1">
      <c r="A49" s="253">
        <v>41</v>
      </c>
      <c r="B49" s="276" t="s">
        <v>581</v>
      </c>
      <c r="C49" s="276" t="s">
        <v>636</v>
      </c>
      <c r="D49" s="276" t="s">
        <v>638</v>
      </c>
      <c r="E49" s="276" t="s">
        <v>1165</v>
      </c>
      <c r="F49" s="255">
        <f t="shared" si="15"/>
        <v>0</v>
      </c>
      <c r="G49" s="255">
        <f>DN49</f>
        <v>0</v>
      </c>
      <c r="H49" s="256">
        <f t="shared" si="16"/>
        <v>0</v>
      </c>
      <c r="I49" s="281">
        <v>62197.799999999996</v>
      </c>
      <c r="J49" s="255">
        <v>0</v>
      </c>
      <c r="K49" s="284">
        <v>0</v>
      </c>
      <c r="L49" s="255">
        <f t="shared" si="17"/>
        <v>0</v>
      </c>
      <c r="M49" s="255">
        <f t="shared" si="18"/>
        <v>0</v>
      </c>
      <c r="N49" s="255">
        <f t="shared" si="19"/>
        <v>0</v>
      </c>
      <c r="O49" s="255">
        <f t="shared" si="20"/>
        <v>0</v>
      </c>
      <c r="P49" s="255" t="str">
        <f t="shared" si="21"/>
        <v>ნულოვანი შესრულება</v>
      </c>
      <c r="Q49" s="282"/>
      <c r="R49" s="282"/>
      <c r="S49" s="282">
        <f t="shared" si="42"/>
        <v>0</v>
      </c>
      <c r="T49" s="282">
        <f t="shared" si="41"/>
        <v>0</v>
      </c>
      <c r="U49" s="282"/>
      <c r="V49" s="282"/>
      <c r="W49" s="282"/>
      <c r="X49" s="282"/>
      <c r="Y49" s="258">
        <f t="shared" si="22"/>
        <v>0</v>
      </c>
      <c r="Z49" s="258">
        <f t="shared" si="22"/>
        <v>0</v>
      </c>
      <c r="AA49" s="282"/>
      <c r="AB49" s="282"/>
      <c r="AC49" s="282"/>
      <c r="AD49" s="282"/>
      <c r="AE49" s="258">
        <f t="shared" si="23"/>
        <v>0</v>
      </c>
      <c r="AF49" s="258">
        <f t="shared" si="23"/>
        <v>0</v>
      </c>
      <c r="AG49" s="258">
        <f t="shared" si="24"/>
        <v>0</v>
      </c>
      <c r="AH49" s="258">
        <f t="shared" si="25"/>
        <v>0</v>
      </c>
      <c r="AI49" s="258">
        <f t="shared" si="25"/>
        <v>0</v>
      </c>
      <c r="AJ49" s="258">
        <f t="shared" si="26"/>
        <v>0</v>
      </c>
      <c r="AK49" s="258">
        <f t="shared" si="27"/>
        <v>0</v>
      </c>
      <c r="AL49" s="258">
        <f t="shared" si="27"/>
        <v>0</v>
      </c>
      <c r="AM49" s="282"/>
      <c r="AN49" s="282"/>
      <c r="AO49" s="282"/>
      <c r="AP49" s="282"/>
      <c r="AQ49" s="258">
        <f t="shared" si="28"/>
        <v>0</v>
      </c>
      <c r="AR49" s="258">
        <f t="shared" si="28"/>
        <v>0</v>
      </c>
      <c r="AS49" s="282"/>
      <c r="AT49" s="282"/>
      <c r="AU49" s="282"/>
      <c r="AV49" s="282"/>
      <c r="AW49" s="258">
        <f t="shared" si="29"/>
        <v>0</v>
      </c>
      <c r="AX49" s="258">
        <f t="shared" si="29"/>
        <v>0</v>
      </c>
      <c r="AY49" s="282"/>
      <c r="AZ49" s="282"/>
      <c r="BA49" s="282"/>
      <c r="BB49" s="282"/>
      <c r="BC49" s="258">
        <f t="shared" si="30"/>
        <v>0</v>
      </c>
      <c r="BD49" s="258"/>
      <c r="BE49" s="258">
        <f t="shared" si="49"/>
        <v>0</v>
      </c>
      <c r="BF49" s="282"/>
      <c r="BG49" s="282"/>
      <c r="BH49" s="282"/>
      <c r="BI49" s="282"/>
      <c r="BJ49" s="258">
        <f t="shared" si="31"/>
        <v>0</v>
      </c>
      <c r="BK49" s="258"/>
      <c r="BL49" s="258">
        <f t="shared" si="50"/>
        <v>0</v>
      </c>
      <c r="BM49" s="282"/>
      <c r="BN49" s="282"/>
      <c r="BO49" s="282"/>
      <c r="BP49" s="282"/>
      <c r="BQ49" s="258">
        <f t="shared" si="32"/>
        <v>0</v>
      </c>
      <c r="BR49" s="258">
        <f t="shared" si="32"/>
        <v>0</v>
      </c>
      <c r="BS49" s="282"/>
      <c r="BT49" s="282"/>
      <c r="BU49" s="282"/>
      <c r="BV49" s="282"/>
      <c r="BW49" s="258">
        <f t="shared" si="33"/>
        <v>0</v>
      </c>
      <c r="BX49" s="258">
        <f t="shared" si="33"/>
        <v>0</v>
      </c>
      <c r="BY49" s="282"/>
      <c r="BZ49" s="282"/>
      <c r="CA49" s="282"/>
      <c r="CB49" s="282"/>
      <c r="CC49" s="258">
        <f t="shared" si="34"/>
        <v>0</v>
      </c>
      <c r="CD49" s="258">
        <f t="shared" si="34"/>
        <v>0</v>
      </c>
      <c r="CE49" s="282"/>
      <c r="CF49" s="282"/>
      <c r="CG49" s="282"/>
      <c r="CH49" s="282"/>
      <c r="CI49" s="258">
        <f t="shared" si="35"/>
        <v>0</v>
      </c>
      <c r="CJ49" s="258">
        <f t="shared" si="35"/>
        <v>0</v>
      </c>
      <c r="CK49" s="282"/>
      <c r="CL49" s="282"/>
      <c r="CM49" s="282"/>
      <c r="CN49" s="282"/>
      <c r="CO49" s="258">
        <f t="shared" si="36"/>
        <v>0</v>
      </c>
      <c r="CP49" s="258">
        <f t="shared" si="36"/>
        <v>0</v>
      </c>
      <c r="CQ49" s="282"/>
      <c r="CR49" s="282"/>
      <c r="CS49" s="282"/>
      <c r="CT49" s="282"/>
      <c r="CU49" s="258">
        <f t="shared" si="37"/>
        <v>0</v>
      </c>
      <c r="CV49" s="258">
        <f t="shared" si="37"/>
        <v>0</v>
      </c>
      <c r="CW49" s="282"/>
      <c r="CX49" s="282"/>
      <c r="CY49" s="282"/>
      <c r="CZ49" s="282"/>
      <c r="DA49" s="258">
        <f t="shared" si="38"/>
        <v>0</v>
      </c>
      <c r="DB49" s="258">
        <f t="shared" si="38"/>
        <v>0</v>
      </c>
      <c r="DC49" s="282"/>
      <c r="DD49" s="282"/>
      <c r="DE49" s="282"/>
      <c r="DF49" s="282"/>
      <c r="DG49" s="258">
        <f t="shared" si="39"/>
        <v>0</v>
      </c>
      <c r="DH49" s="258">
        <f t="shared" si="39"/>
        <v>0</v>
      </c>
      <c r="DI49" s="258">
        <f t="shared" si="51"/>
        <v>0</v>
      </c>
      <c r="DJ49" s="258">
        <f t="shared" si="52"/>
        <v>0</v>
      </c>
      <c r="DK49" s="258">
        <f t="shared" si="53"/>
        <v>0</v>
      </c>
      <c r="DL49" s="258">
        <f t="shared" si="54"/>
        <v>0</v>
      </c>
      <c r="DM49" s="258">
        <f t="shared" si="40"/>
        <v>0</v>
      </c>
      <c r="DN49" s="258">
        <f t="shared" si="40"/>
        <v>0</v>
      </c>
    </row>
    <row r="50" spans="1:118">
      <c r="A50" s="25">
        <v>42</v>
      </c>
      <c r="B50" s="26" t="s">
        <v>569</v>
      </c>
      <c r="C50" s="26" t="s">
        <v>639</v>
      </c>
      <c r="D50" s="26" t="s">
        <v>640</v>
      </c>
      <c r="E50" s="205" t="s">
        <v>1165</v>
      </c>
      <c r="F50" s="161">
        <f t="shared" si="15"/>
        <v>0</v>
      </c>
      <c r="G50" s="161">
        <f t="shared" ref="G50:G69" si="57">DN50</f>
        <v>0</v>
      </c>
      <c r="H50" s="165">
        <f t="shared" si="16"/>
        <v>131838.31</v>
      </c>
      <c r="I50" s="80">
        <v>56262.399999999994</v>
      </c>
      <c r="J50" s="127">
        <v>0</v>
      </c>
      <c r="K50" s="243">
        <v>0</v>
      </c>
      <c r="L50" s="127">
        <f t="shared" si="17"/>
        <v>131838.31</v>
      </c>
      <c r="M50" s="127">
        <f t="shared" si="18"/>
        <v>131838.31</v>
      </c>
      <c r="N50" s="127">
        <f t="shared" si="19"/>
        <v>131838.31</v>
      </c>
      <c r="O50" s="131">
        <f t="shared" si="20"/>
        <v>0</v>
      </c>
      <c r="P50" s="125">
        <f t="shared" si="21"/>
        <v>131838.31</v>
      </c>
      <c r="Q50" s="81">
        <v>100000</v>
      </c>
      <c r="R50" s="81">
        <f>131838.31-Q50</f>
        <v>31838.309999999998</v>
      </c>
      <c r="S50" s="81">
        <f t="shared" si="42"/>
        <v>100000</v>
      </c>
      <c r="T50" s="81">
        <f t="shared" si="41"/>
        <v>31838.309999999998</v>
      </c>
      <c r="U50" s="81"/>
      <c r="V50" s="81"/>
      <c r="W50" s="81"/>
      <c r="X50" s="81"/>
      <c r="Y50" s="74">
        <f t="shared" si="22"/>
        <v>0</v>
      </c>
      <c r="Z50" s="74">
        <f t="shared" si="22"/>
        <v>0</v>
      </c>
      <c r="AA50" s="81"/>
      <c r="AB50" s="81"/>
      <c r="AC50" s="81"/>
      <c r="AD50" s="81"/>
      <c r="AE50" s="74">
        <f t="shared" si="23"/>
        <v>0</v>
      </c>
      <c r="AF50" s="74">
        <f t="shared" si="23"/>
        <v>0</v>
      </c>
      <c r="AG50" s="74">
        <f t="shared" si="24"/>
        <v>100000</v>
      </c>
      <c r="AH50" s="74">
        <f t="shared" si="25"/>
        <v>100000</v>
      </c>
      <c r="AI50" s="74">
        <f t="shared" si="25"/>
        <v>31838.309999999998</v>
      </c>
      <c r="AJ50" s="74">
        <f t="shared" si="26"/>
        <v>31838.309999999998</v>
      </c>
      <c r="AK50" s="74">
        <f t="shared" si="27"/>
        <v>131838.31</v>
      </c>
      <c r="AL50" s="74">
        <f t="shared" si="27"/>
        <v>131838.31</v>
      </c>
      <c r="AM50" s="81"/>
      <c r="AN50" s="81"/>
      <c r="AO50" s="81"/>
      <c r="AP50" s="81"/>
      <c r="AQ50" s="74">
        <f t="shared" si="28"/>
        <v>0</v>
      </c>
      <c r="AR50" s="74">
        <f t="shared" si="28"/>
        <v>0</v>
      </c>
      <c r="AS50" s="81"/>
      <c r="AT50" s="81"/>
      <c r="AU50" s="81"/>
      <c r="AV50" s="81"/>
      <c r="AW50" s="74">
        <f t="shared" si="29"/>
        <v>0</v>
      </c>
      <c r="AX50" s="74">
        <f t="shared" si="29"/>
        <v>0</v>
      </c>
      <c r="AY50" s="81"/>
      <c r="AZ50" s="81"/>
      <c r="BA50" s="81"/>
      <c r="BB50" s="81"/>
      <c r="BC50" s="74">
        <f t="shared" si="30"/>
        <v>0</v>
      </c>
      <c r="BD50" s="74"/>
      <c r="BE50" s="74">
        <f t="shared" si="49"/>
        <v>0</v>
      </c>
      <c r="BF50" s="81"/>
      <c r="BG50" s="81"/>
      <c r="BH50" s="81"/>
      <c r="BI50" s="81"/>
      <c r="BJ50" s="74">
        <f t="shared" si="31"/>
        <v>0</v>
      </c>
      <c r="BK50" s="74"/>
      <c r="BL50" s="74">
        <f t="shared" si="50"/>
        <v>0</v>
      </c>
      <c r="BM50" s="81"/>
      <c r="BN50" s="81"/>
      <c r="BO50" s="81"/>
      <c r="BP50" s="81"/>
      <c r="BQ50" s="74">
        <f t="shared" si="32"/>
        <v>0</v>
      </c>
      <c r="BR50" s="74">
        <f t="shared" si="32"/>
        <v>0</v>
      </c>
      <c r="BS50" s="81"/>
      <c r="BT50" s="81"/>
      <c r="BU50" s="81"/>
      <c r="BV50" s="81"/>
      <c r="BW50" s="74">
        <f t="shared" si="33"/>
        <v>0</v>
      </c>
      <c r="BX50" s="74">
        <f t="shared" si="33"/>
        <v>0</v>
      </c>
      <c r="BY50" s="81"/>
      <c r="BZ50" s="81"/>
      <c r="CA50" s="81"/>
      <c r="CB50" s="81"/>
      <c r="CC50" s="74">
        <f t="shared" si="34"/>
        <v>0</v>
      </c>
      <c r="CD50" s="74">
        <f t="shared" si="34"/>
        <v>0</v>
      </c>
      <c r="CE50" s="81"/>
      <c r="CF50" s="81"/>
      <c r="CG50" s="81"/>
      <c r="CH50" s="81"/>
      <c r="CI50" s="74">
        <f t="shared" si="35"/>
        <v>0</v>
      </c>
      <c r="CJ50" s="74">
        <f t="shared" si="35"/>
        <v>0</v>
      </c>
      <c r="CK50" s="81"/>
      <c r="CL50" s="81"/>
      <c r="CM50" s="81"/>
      <c r="CN50" s="81"/>
      <c r="CO50" s="74">
        <f t="shared" si="36"/>
        <v>0</v>
      </c>
      <c r="CP50" s="74">
        <f t="shared" si="36"/>
        <v>0</v>
      </c>
      <c r="CQ50" s="81"/>
      <c r="CR50" s="81"/>
      <c r="CS50" s="81"/>
      <c r="CT50" s="81"/>
      <c r="CU50" s="74">
        <f t="shared" si="37"/>
        <v>0</v>
      </c>
      <c r="CV50" s="74">
        <f t="shared" si="37"/>
        <v>0</v>
      </c>
      <c r="CW50" s="81"/>
      <c r="CX50" s="81"/>
      <c r="CY50" s="81"/>
      <c r="CZ50" s="81"/>
      <c r="DA50" s="74">
        <f t="shared" si="38"/>
        <v>0</v>
      </c>
      <c r="DB50" s="74">
        <f t="shared" si="38"/>
        <v>0</v>
      </c>
      <c r="DC50" s="81"/>
      <c r="DD50" s="81"/>
      <c r="DE50" s="81"/>
      <c r="DF50" s="81"/>
      <c r="DG50" s="74">
        <f t="shared" si="39"/>
        <v>0</v>
      </c>
      <c r="DH50" s="74">
        <f t="shared" si="39"/>
        <v>0</v>
      </c>
      <c r="DI50" s="74">
        <f t="shared" si="51"/>
        <v>0</v>
      </c>
      <c r="DJ50" s="74">
        <f t="shared" si="52"/>
        <v>0</v>
      </c>
      <c r="DK50" s="74">
        <f t="shared" si="53"/>
        <v>0</v>
      </c>
      <c r="DL50" s="74">
        <f t="shared" si="54"/>
        <v>0</v>
      </c>
      <c r="DM50" s="74">
        <f t="shared" si="40"/>
        <v>0</v>
      </c>
      <c r="DN50" s="74">
        <f t="shared" si="40"/>
        <v>0</v>
      </c>
    </row>
    <row r="51" spans="1:118" s="278" customFormat="1">
      <c r="A51" s="253">
        <v>43</v>
      </c>
      <c r="B51" s="276" t="s">
        <v>569</v>
      </c>
      <c r="C51" s="276" t="s">
        <v>641</v>
      </c>
      <c r="D51" s="276" t="s">
        <v>642</v>
      </c>
      <c r="E51" s="276" t="s">
        <v>1165</v>
      </c>
      <c r="F51" s="255">
        <f t="shared" si="15"/>
        <v>40000</v>
      </c>
      <c r="G51" s="255">
        <f>DN51</f>
        <v>0</v>
      </c>
      <c r="H51" s="256">
        <f t="shared" si="16"/>
        <v>80000</v>
      </c>
      <c r="I51" s="281">
        <v>37760</v>
      </c>
      <c r="J51" s="255">
        <v>0</v>
      </c>
      <c r="K51" s="255">
        <v>0</v>
      </c>
      <c r="L51" s="255">
        <f t="shared" si="17"/>
        <v>40000</v>
      </c>
      <c r="M51" s="255">
        <f t="shared" si="18"/>
        <v>0</v>
      </c>
      <c r="N51" s="255">
        <f t="shared" si="19"/>
        <v>40000</v>
      </c>
      <c r="O51" s="255">
        <f t="shared" si="20"/>
        <v>40000</v>
      </c>
      <c r="P51" s="255" t="str">
        <f t="shared" si="21"/>
        <v>მიმდინარეობს</v>
      </c>
      <c r="Q51" s="282">
        <v>40000</v>
      </c>
      <c r="R51" s="282"/>
      <c r="S51" s="282">
        <f t="shared" si="42"/>
        <v>40000</v>
      </c>
      <c r="T51" s="282">
        <f t="shared" si="41"/>
        <v>0</v>
      </c>
      <c r="U51" s="282"/>
      <c r="V51" s="282"/>
      <c r="W51" s="282"/>
      <c r="X51" s="282"/>
      <c r="Y51" s="258">
        <f t="shared" si="22"/>
        <v>0</v>
      </c>
      <c r="Z51" s="258">
        <f t="shared" si="22"/>
        <v>0</v>
      </c>
      <c r="AA51" s="282"/>
      <c r="AB51" s="282"/>
      <c r="AC51" s="282"/>
      <c r="AD51" s="282"/>
      <c r="AE51" s="258">
        <f t="shared" si="23"/>
        <v>0</v>
      </c>
      <c r="AF51" s="258">
        <f t="shared" si="23"/>
        <v>0</v>
      </c>
      <c r="AG51" s="258">
        <f t="shared" si="24"/>
        <v>40000</v>
      </c>
      <c r="AH51" s="258">
        <f t="shared" si="25"/>
        <v>40000</v>
      </c>
      <c r="AI51" s="258">
        <f t="shared" si="25"/>
        <v>0</v>
      </c>
      <c r="AJ51" s="258">
        <f t="shared" si="26"/>
        <v>0</v>
      </c>
      <c r="AK51" s="258">
        <f t="shared" si="27"/>
        <v>40000</v>
      </c>
      <c r="AL51" s="258">
        <f t="shared" si="27"/>
        <v>40000</v>
      </c>
      <c r="AM51" s="282"/>
      <c r="AN51" s="282"/>
      <c r="AO51" s="282"/>
      <c r="AP51" s="282"/>
      <c r="AQ51" s="258">
        <f t="shared" si="28"/>
        <v>0</v>
      </c>
      <c r="AR51" s="258">
        <f t="shared" si="28"/>
        <v>0</v>
      </c>
      <c r="AS51" s="282"/>
      <c r="AT51" s="282"/>
      <c r="AU51" s="282"/>
      <c r="AV51" s="282"/>
      <c r="AW51" s="258">
        <f t="shared" si="29"/>
        <v>0</v>
      </c>
      <c r="AX51" s="258">
        <f t="shared" si="29"/>
        <v>0</v>
      </c>
      <c r="AY51" s="282"/>
      <c r="AZ51" s="282"/>
      <c r="BA51" s="282"/>
      <c r="BB51" s="282"/>
      <c r="BC51" s="258">
        <f t="shared" si="30"/>
        <v>0</v>
      </c>
      <c r="BD51" s="258"/>
      <c r="BE51" s="258">
        <f t="shared" si="49"/>
        <v>0</v>
      </c>
      <c r="BF51" s="282"/>
      <c r="BG51" s="282"/>
      <c r="BH51" s="282"/>
      <c r="BI51" s="282"/>
      <c r="BJ51" s="258">
        <f t="shared" si="31"/>
        <v>0</v>
      </c>
      <c r="BK51" s="258"/>
      <c r="BL51" s="258">
        <f t="shared" si="50"/>
        <v>0</v>
      </c>
      <c r="BM51" s="282"/>
      <c r="BN51" s="282"/>
      <c r="BO51" s="282"/>
      <c r="BP51" s="282"/>
      <c r="BQ51" s="258">
        <f t="shared" si="32"/>
        <v>0</v>
      </c>
      <c r="BR51" s="258">
        <f t="shared" si="32"/>
        <v>0</v>
      </c>
      <c r="BS51" s="282"/>
      <c r="BT51" s="282"/>
      <c r="BU51" s="282"/>
      <c r="BV51" s="282"/>
      <c r="BW51" s="258">
        <f t="shared" si="33"/>
        <v>0</v>
      </c>
      <c r="BX51" s="258">
        <f t="shared" si="33"/>
        <v>0</v>
      </c>
      <c r="BY51" s="282"/>
      <c r="BZ51" s="282"/>
      <c r="CA51" s="282"/>
      <c r="CB51" s="282"/>
      <c r="CC51" s="258">
        <f t="shared" si="34"/>
        <v>0</v>
      </c>
      <c r="CD51" s="258">
        <f t="shared" si="34"/>
        <v>0</v>
      </c>
      <c r="CE51" s="282"/>
      <c r="CF51" s="282"/>
      <c r="CG51" s="282"/>
      <c r="CH51" s="282"/>
      <c r="CI51" s="258">
        <f t="shared" si="35"/>
        <v>0</v>
      </c>
      <c r="CJ51" s="258">
        <f t="shared" si="35"/>
        <v>0</v>
      </c>
      <c r="CK51" s="282"/>
      <c r="CL51" s="282"/>
      <c r="CM51" s="282"/>
      <c r="CN51" s="282"/>
      <c r="CO51" s="258">
        <f t="shared" si="36"/>
        <v>0</v>
      </c>
      <c r="CP51" s="258">
        <f t="shared" si="36"/>
        <v>0</v>
      </c>
      <c r="CQ51" s="282"/>
      <c r="CR51" s="282"/>
      <c r="CS51" s="282"/>
      <c r="CT51" s="282"/>
      <c r="CU51" s="258">
        <f t="shared" si="37"/>
        <v>0</v>
      </c>
      <c r="CV51" s="258">
        <f t="shared" si="37"/>
        <v>0</v>
      </c>
      <c r="CW51" s="282"/>
      <c r="CX51" s="282"/>
      <c r="CY51" s="282"/>
      <c r="CZ51" s="282"/>
      <c r="DA51" s="258">
        <f t="shared" si="38"/>
        <v>0</v>
      </c>
      <c r="DB51" s="258">
        <f t="shared" si="38"/>
        <v>0</v>
      </c>
      <c r="DC51" s="282"/>
      <c r="DD51" s="282"/>
      <c r="DE51" s="282">
        <v>40000</v>
      </c>
      <c r="DF51" s="282"/>
      <c r="DG51" s="258">
        <f t="shared" si="39"/>
        <v>40000</v>
      </c>
      <c r="DH51" s="258">
        <f t="shared" si="39"/>
        <v>0</v>
      </c>
      <c r="DI51" s="258">
        <f t="shared" si="51"/>
        <v>0</v>
      </c>
      <c r="DJ51" s="258">
        <f t="shared" si="52"/>
        <v>0</v>
      </c>
      <c r="DK51" s="258">
        <f t="shared" si="53"/>
        <v>40000</v>
      </c>
      <c r="DL51" s="258">
        <f t="shared" si="54"/>
        <v>0</v>
      </c>
      <c r="DM51" s="258">
        <f t="shared" si="40"/>
        <v>40000</v>
      </c>
      <c r="DN51" s="258">
        <f t="shared" si="40"/>
        <v>0</v>
      </c>
    </row>
    <row r="52" spans="1:118">
      <c r="A52" s="25">
        <v>44</v>
      </c>
      <c r="B52" s="26" t="s">
        <v>573</v>
      </c>
      <c r="C52" s="26" t="s">
        <v>643</v>
      </c>
      <c r="D52" s="26" t="s">
        <v>644</v>
      </c>
      <c r="E52" s="205" t="s">
        <v>1164</v>
      </c>
      <c r="F52" s="161">
        <f t="shared" si="15"/>
        <v>0</v>
      </c>
      <c r="G52" s="161">
        <f t="shared" si="57"/>
        <v>0</v>
      </c>
      <c r="H52" s="165">
        <f t="shared" si="16"/>
        <v>3057.25</v>
      </c>
      <c r="I52" s="80">
        <v>0</v>
      </c>
      <c r="J52" s="127">
        <v>0</v>
      </c>
      <c r="K52" s="243">
        <v>0</v>
      </c>
      <c r="L52" s="127">
        <f t="shared" si="17"/>
        <v>3057.25</v>
      </c>
      <c r="M52" s="127">
        <f t="shared" si="18"/>
        <v>3057.25</v>
      </c>
      <c r="N52" s="127">
        <f t="shared" si="19"/>
        <v>3057.25</v>
      </c>
      <c r="O52" s="131">
        <f t="shared" si="20"/>
        <v>0</v>
      </c>
      <c r="P52" s="125">
        <f t="shared" si="21"/>
        <v>3057.25</v>
      </c>
      <c r="Q52" s="81"/>
      <c r="R52" s="81">
        <v>3057.25</v>
      </c>
      <c r="S52" s="81">
        <f t="shared" si="42"/>
        <v>0</v>
      </c>
      <c r="T52" s="81">
        <f t="shared" si="41"/>
        <v>3057.25</v>
      </c>
      <c r="U52" s="81"/>
      <c r="V52" s="81"/>
      <c r="W52" s="81"/>
      <c r="X52" s="81"/>
      <c r="Y52" s="74">
        <f t="shared" si="22"/>
        <v>0</v>
      </c>
      <c r="Z52" s="74">
        <f t="shared" si="22"/>
        <v>0</v>
      </c>
      <c r="AA52" s="81"/>
      <c r="AB52" s="81"/>
      <c r="AC52" s="81">
        <v>3000</v>
      </c>
      <c r="AD52" s="81"/>
      <c r="AE52" s="74">
        <f t="shared" si="23"/>
        <v>3000</v>
      </c>
      <c r="AF52" s="74">
        <f t="shared" si="23"/>
        <v>0</v>
      </c>
      <c r="AG52" s="74">
        <f t="shared" si="24"/>
        <v>0</v>
      </c>
      <c r="AH52" s="74">
        <f t="shared" si="25"/>
        <v>0</v>
      </c>
      <c r="AI52" s="74">
        <f t="shared" si="25"/>
        <v>6057.25</v>
      </c>
      <c r="AJ52" s="74">
        <f t="shared" si="26"/>
        <v>3057.25</v>
      </c>
      <c r="AK52" s="74">
        <f t="shared" si="27"/>
        <v>6057.25</v>
      </c>
      <c r="AL52" s="74">
        <f t="shared" si="27"/>
        <v>3057.25</v>
      </c>
      <c r="AM52" s="81"/>
      <c r="AN52" s="81"/>
      <c r="AO52" s="81"/>
      <c r="AP52" s="81"/>
      <c r="AQ52" s="74">
        <f t="shared" si="28"/>
        <v>0</v>
      </c>
      <c r="AR52" s="74">
        <f t="shared" si="28"/>
        <v>0</v>
      </c>
      <c r="AS52" s="81"/>
      <c r="AT52" s="81"/>
      <c r="AU52" s="81"/>
      <c r="AV52" s="81"/>
      <c r="AW52" s="74">
        <f t="shared" si="29"/>
        <v>0</v>
      </c>
      <c r="AX52" s="74">
        <f t="shared" si="29"/>
        <v>0</v>
      </c>
      <c r="AY52" s="81"/>
      <c r="AZ52" s="81"/>
      <c r="BA52" s="81"/>
      <c r="BB52" s="81"/>
      <c r="BC52" s="74">
        <f t="shared" si="30"/>
        <v>0</v>
      </c>
      <c r="BD52" s="74"/>
      <c r="BE52" s="74">
        <f t="shared" si="49"/>
        <v>0</v>
      </c>
      <c r="BF52" s="81"/>
      <c r="BG52" s="81"/>
      <c r="BH52" s="81"/>
      <c r="BI52" s="81"/>
      <c r="BJ52" s="74">
        <f t="shared" si="31"/>
        <v>0</v>
      </c>
      <c r="BK52" s="74"/>
      <c r="BL52" s="74">
        <f t="shared" si="50"/>
        <v>0</v>
      </c>
      <c r="BM52" s="81"/>
      <c r="BN52" s="81"/>
      <c r="BO52" s="81"/>
      <c r="BP52" s="81"/>
      <c r="BQ52" s="74">
        <f t="shared" si="32"/>
        <v>0</v>
      </c>
      <c r="BR52" s="74">
        <f t="shared" si="32"/>
        <v>0</v>
      </c>
      <c r="BS52" s="81"/>
      <c r="BT52" s="81"/>
      <c r="BU52" s="81"/>
      <c r="BV52" s="81"/>
      <c r="BW52" s="74">
        <f t="shared" si="33"/>
        <v>0</v>
      </c>
      <c r="BX52" s="74">
        <f t="shared" si="33"/>
        <v>0</v>
      </c>
      <c r="BY52" s="81"/>
      <c r="BZ52" s="81"/>
      <c r="CA52" s="81"/>
      <c r="CB52" s="81"/>
      <c r="CC52" s="74">
        <f t="shared" si="34"/>
        <v>0</v>
      </c>
      <c r="CD52" s="74">
        <f t="shared" si="34"/>
        <v>0</v>
      </c>
      <c r="CE52" s="81"/>
      <c r="CF52" s="81"/>
      <c r="CG52" s="81"/>
      <c r="CH52" s="81"/>
      <c r="CI52" s="74">
        <f t="shared" si="35"/>
        <v>0</v>
      </c>
      <c r="CJ52" s="74">
        <f t="shared" si="35"/>
        <v>0</v>
      </c>
      <c r="CK52" s="81"/>
      <c r="CL52" s="81"/>
      <c r="CM52" s="81"/>
      <c r="CN52" s="81"/>
      <c r="CO52" s="74">
        <f t="shared" si="36"/>
        <v>0</v>
      </c>
      <c r="CP52" s="74">
        <f t="shared" si="36"/>
        <v>0</v>
      </c>
      <c r="CQ52" s="81"/>
      <c r="CR52" s="81"/>
      <c r="CS52" s="81"/>
      <c r="CT52" s="81"/>
      <c r="CU52" s="74">
        <f t="shared" si="37"/>
        <v>0</v>
      </c>
      <c r="CV52" s="74">
        <f t="shared" si="37"/>
        <v>0</v>
      </c>
      <c r="CW52" s="81"/>
      <c r="CX52" s="81"/>
      <c r="CY52" s="81"/>
      <c r="CZ52" s="81"/>
      <c r="DA52" s="74">
        <f t="shared" si="38"/>
        <v>0</v>
      </c>
      <c r="DB52" s="74">
        <f t="shared" si="38"/>
        <v>0</v>
      </c>
      <c r="DC52" s="81"/>
      <c r="DD52" s="81"/>
      <c r="DE52" s="81"/>
      <c r="DF52" s="81"/>
      <c r="DG52" s="74">
        <f t="shared" si="39"/>
        <v>0</v>
      </c>
      <c r="DH52" s="74">
        <f t="shared" si="39"/>
        <v>0</v>
      </c>
      <c r="DI52" s="74">
        <f t="shared" si="51"/>
        <v>0</v>
      </c>
      <c r="DJ52" s="74">
        <f t="shared" si="52"/>
        <v>0</v>
      </c>
      <c r="DK52" s="74">
        <f t="shared" si="53"/>
        <v>0</v>
      </c>
      <c r="DL52" s="74">
        <f t="shared" si="54"/>
        <v>0</v>
      </c>
      <c r="DM52" s="74">
        <f t="shared" si="40"/>
        <v>0</v>
      </c>
      <c r="DN52" s="74">
        <f t="shared" si="40"/>
        <v>0</v>
      </c>
    </row>
    <row r="53" spans="1:118" s="278" customFormat="1">
      <c r="A53" s="253">
        <v>45</v>
      </c>
      <c r="B53" s="276" t="s">
        <v>573</v>
      </c>
      <c r="C53" s="276" t="s">
        <v>643</v>
      </c>
      <c r="D53" s="276" t="s">
        <v>645</v>
      </c>
      <c r="E53" s="276" t="s">
        <v>1165</v>
      </c>
      <c r="F53" s="255">
        <f t="shared" si="15"/>
        <v>0</v>
      </c>
      <c r="G53" s="255">
        <f>DN53</f>
        <v>0</v>
      </c>
      <c r="H53" s="256">
        <f t="shared" si="16"/>
        <v>0</v>
      </c>
      <c r="I53" s="281">
        <v>501500</v>
      </c>
      <c r="J53" s="255">
        <v>0</v>
      </c>
      <c r="K53" s="284">
        <v>0</v>
      </c>
      <c r="L53" s="255">
        <f t="shared" si="17"/>
        <v>0</v>
      </c>
      <c r="M53" s="255">
        <f t="shared" si="18"/>
        <v>0</v>
      </c>
      <c r="N53" s="255">
        <f t="shared" si="19"/>
        <v>0</v>
      </c>
      <c r="O53" s="255">
        <f t="shared" si="20"/>
        <v>0</v>
      </c>
      <c r="P53" s="255" t="str">
        <f t="shared" si="21"/>
        <v>ნულოვანი შესრულება</v>
      </c>
      <c r="Q53" s="282"/>
      <c r="R53" s="282"/>
      <c r="S53" s="282">
        <f t="shared" si="42"/>
        <v>0</v>
      </c>
      <c r="T53" s="282">
        <f t="shared" si="41"/>
        <v>0</v>
      </c>
      <c r="U53" s="282"/>
      <c r="V53" s="282"/>
      <c r="W53" s="282"/>
      <c r="X53" s="282"/>
      <c r="Y53" s="258">
        <f t="shared" si="22"/>
        <v>0</v>
      </c>
      <c r="Z53" s="258">
        <f t="shared" si="22"/>
        <v>0</v>
      </c>
      <c r="AA53" s="282"/>
      <c r="AB53" s="282"/>
      <c r="AC53" s="282"/>
      <c r="AD53" s="282"/>
      <c r="AE53" s="258">
        <f t="shared" si="23"/>
        <v>0</v>
      </c>
      <c r="AF53" s="258">
        <f t="shared" si="23"/>
        <v>0</v>
      </c>
      <c r="AG53" s="258">
        <f t="shared" si="24"/>
        <v>0</v>
      </c>
      <c r="AH53" s="258">
        <f t="shared" si="25"/>
        <v>0</v>
      </c>
      <c r="AI53" s="258">
        <f t="shared" si="25"/>
        <v>0</v>
      </c>
      <c r="AJ53" s="258">
        <f t="shared" si="26"/>
        <v>0</v>
      </c>
      <c r="AK53" s="258">
        <f t="shared" si="27"/>
        <v>0</v>
      </c>
      <c r="AL53" s="258">
        <f t="shared" si="27"/>
        <v>0</v>
      </c>
      <c r="AM53" s="282"/>
      <c r="AN53" s="282"/>
      <c r="AO53" s="282"/>
      <c r="AP53" s="282"/>
      <c r="AQ53" s="258">
        <f t="shared" si="28"/>
        <v>0</v>
      </c>
      <c r="AR53" s="258">
        <f t="shared" si="28"/>
        <v>0</v>
      </c>
      <c r="AS53" s="282"/>
      <c r="AT53" s="282"/>
      <c r="AU53" s="282"/>
      <c r="AV53" s="282"/>
      <c r="AW53" s="258">
        <f t="shared" si="29"/>
        <v>0</v>
      </c>
      <c r="AX53" s="258">
        <f t="shared" si="29"/>
        <v>0</v>
      </c>
      <c r="AY53" s="282"/>
      <c r="AZ53" s="282"/>
      <c r="BA53" s="282"/>
      <c r="BB53" s="282"/>
      <c r="BC53" s="258">
        <f t="shared" si="30"/>
        <v>0</v>
      </c>
      <c r="BD53" s="258"/>
      <c r="BE53" s="258">
        <f t="shared" si="49"/>
        <v>0</v>
      </c>
      <c r="BF53" s="282"/>
      <c r="BG53" s="282"/>
      <c r="BH53" s="282"/>
      <c r="BI53" s="282"/>
      <c r="BJ53" s="258">
        <f t="shared" si="31"/>
        <v>0</v>
      </c>
      <c r="BK53" s="258"/>
      <c r="BL53" s="258">
        <f t="shared" si="50"/>
        <v>0</v>
      </c>
      <c r="BM53" s="282"/>
      <c r="BN53" s="282"/>
      <c r="BO53" s="282"/>
      <c r="BP53" s="282"/>
      <c r="BQ53" s="258">
        <f t="shared" si="32"/>
        <v>0</v>
      </c>
      <c r="BR53" s="258">
        <f t="shared" si="32"/>
        <v>0</v>
      </c>
      <c r="BS53" s="282"/>
      <c r="BT53" s="282"/>
      <c r="BU53" s="282"/>
      <c r="BV53" s="282"/>
      <c r="BW53" s="258">
        <f t="shared" si="33"/>
        <v>0</v>
      </c>
      <c r="BX53" s="258">
        <f t="shared" si="33"/>
        <v>0</v>
      </c>
      <c r="BY53" s="282"/>
      <c r="BZ53" s="282"/>
      <c r="CA53" s="282"/>
      <c r="CB53" s="282"/>
      <c r="CC53" s="258">
        <f t="shared" si="34"/>
        <v>0</v>
      </c>
      <c r="CD53" s="258">
        <f t="shared" si="34"/>
        <v>0</v>
      </c>
      <c r="CE53" s="282"/>
      <c r="CF53" s="282"/>
      <c r="CG53" s="282"/>
      <c r="CH53" s="282"/>
      <c r="CI53" s="258">
        <f t="shared" si="35"/>
        <v>0</v>
      </c>
      <c r="CJ53" s="258">
        <f t="shared" si="35"/>
        <v>0</v>
      </c>
      <c r="CK53" s="282"/>
      <c r="CL53" s="282"/>
      <c r="CM53" s="282"/>
      <c r="CN53" s="282"/>
      <c r="CO53" s="258">
        <f t="shared" si="36"/>
        <v>0</v>
      </c>
      <c r="CP53" s="258">
        <f t="shared" si="36"/>
        <v>0</v>
      </c>
      <c r="CQ53" s="282"/>
      <c r="CR53" s="282"/>
      <c r="CS53" s="282"/>
      <c r="CT53" s="282"/>
      <c r="CU53" s="258">
        <f t="shared" si="37"/>
        <v>0</v>
      </c>
      <c r="CV53" s="258">
        <f t="shared" si="37"/>
        <v>0</v>
      </c>
      <c r="CW53" s="282"/>
      <c r="CX53" s="282"/>
      <c r="CY53" s="282"/>
      <c r="CZ53" s="282"/>
      <c r="DA53" s="258">
        <f t="shared" si="38"/>
        <v>0</v>
      </c>
      <c r="DB53" s="258">
        <f t="shared" si="38"/>
        <v>0</v>
      </c>
      <c r="DC53" s="282"/>
      <c r="DD53" s="282"/>
      <c r="DE53" s="282"/>
      <c r="DF53" s="282"/>
      <c r="DG53" s="258">
        <f t="shared" si="39"/>
        <v>0</v>
      </c>
      <c r="DH53" s="258">
        <f t="shared" si="39"/>
        <v>0</v>
      </c>
      <c r="DI53" s="258">
        <f t="shared" si="51"/>
        <v>0</v>
      </c>
      <c r="DJ53" s="258">
        <f t="shared" si="52"/>
        <v>0</v>
      </c>
      <c r="DK53" s="258">
        <f t="shared" si="53"/>
        <v>0</v>
      </c>
      <c r="DL53" s="258">
        <f t="shared" si="54"/>
        <v>0</v>
      </c>
      <c r="DM53" s="258">
        <f t="shared" si="40"/>
        <v>0</v>
      </c>
      <c r="DN53" s="258">
        <f t="shared" si="40"/>
        <v>0</v>
      </c>
    </row>
    <row r="54" spans="1:118">
      <c r="A54" s="25">
        <v>46</v>
      </c>
      <c r="B54" s="26" t="s">
        <v>581</v>
      </c>
      <c r="C54" s="26" t="s">
        <v>646</v>
      </c>
      <c r="D54" s="26" t="s">
        <v>647</v>
      </c>
      <c r="E54" s="205" t="s">
        <v>1164</v>
      </c>
      <c r="F54" s="161">
        <f t="shared" si="15"/>
        <v>0</v>
      </c>
      <c r="G54" s="161">
        <f t="shared" si="57"/>
        <v>0</v>
      </c>
      <c r="H54" s="165">
        <f t="shared" si="16"/>
        <v>276.5</v>
      </c>
      <c r="I54" s="80">
        <v>0</v>
      </c>
      <c r="J54" s="127">
        <v>0</v>
      </c>
      <c r="K54" s="243">
        <v>0</v>
      </c>
      <c r="L54" s="127">
        <f t="shared" si="17"/>
        <v>276.5</v>
      </c>
      <c r="M54" s="127">
        <f t="shared" si="18"/>
        <v>276.5</v>
      </c>
      <c r="N54" s="127">
        <f t="shared" si="19"/>
        <v>276.5</v>
      </c>
      <c r="O54" s="131">
        <f t="shared" si="20"/>
        <v>0</v>
      </c>
      <c r="P54" s="125">
        <f t="shared" si="21"/>
        <v>276.5</v>
      </c>
      <c r="Q54" s="81"/>
      <c r="R54" s="81"/>
      <c r="S54" s="81">
        <f t="shared" si="42"/>
        <v>0</v>
      </c>
      <c r="T54" s="81">
        <f t="shared" si="41"/>
        <v>0</v>
      </c>
      <c r="U54" s="81"/>
      <c r="V54" s="81"/>
      <c r="W54" s="81"/>
      <c r="X54" s="81"/>
      <c r="Y54" s="74">
        <f t="shared" si="22"/>
        <v>0</v>
      </c>
      <c r="Z54" s="74">
        <f t="shared" si="22"/>
        <v>0</v>
      </c>
      <c r="AA54" s="81"/>
      <c r="AB54" s="81"/>
      <c r="AC54" s="81">
        <f>160*1.75</f>
        <v>280</v>
      </c>
      <c r="AD54" s="81">
        <v>276.5</v>
      </c>
      <c r="AE54" s="74">
        <f t="shared" si="23"/>
        <v>280</v>
      </c>
      <c r="AF54" s="74">
        <f t="shared" si="23"/>
        <v>276.5</v>
      </c>
      <c r="AG54" s="74">
        <f t="shared" si="24"/>
        <v>0</v>
      </c>
      <c r="AH54" s="74">
        <f t="shared" si="25"/>
        <v>0</v>
      </c>
      <c r="AI54" s="74">
        <f t="shared" si="25"/>
        <v>280</v>
      </c>
      <c r="AJ54" s="74">
        <f t="shared" si="26"/>
        <v>276.5</v>
      </c>
      <c r="AK54" s="74">
        <f t="shared" si="27"/>
        <v>280</v>
      </c>
      <c r="AL54" s="74">
        <f t="shared" si="27"/>
        <v>276.5</v>
      </c>
      <c r="AM54" s="81"/>
      <c r="AN54" s="81"/>
      <c r="AO54" s="81"/>
      <c r="AP54" s="81"/>
      <c r="AQ54" s="74">
        <f t="shared" si="28"/>
        <v>0</v>
      </c>
      <c r="AR54" s="74">
        <f t="shared" si="28"/>
        <v>0</v>
      </c>
      <c r="AS54" s="81"/>
      <c r="AT54" s="81"/>
      <c r="AU54" s="81"/>
      <c r="AV54" s="81"/>
      <c r="AW54" s="74">
        <f t="shared" si="29"/>
        <v>0</v>
      </c>
      <c r="AX54" s="74">
        <f t="shared" si="29"/>
        <v>0</v>
      </c>
      <c r="AY54" s="81"/>
      <c r="AZ54" s="81"/>
      <c r="BA54" s="81"/>
      <c r="BB54" s="81"/>
      <c r="BC54" s="74">
        <f t="shared" si="30"/>
        <v>0</v>
      </c>
      <c r="BD54" s="74"/>
      <c r="BE54" s="74">
        <f t="shared" si="49"/>
        <v>0</v>
      </c>
      <c r="BF54" s="81"/>
      <c r="BG54" s="81"/>
      <c r="BH54" s="81"/>
      <c r="BI54" s="81"/>
      <c r="BJ54" s="74">
        <f t="shared" si="31"/>
        <v>0</v>
      </c>
      <c r="BK54" s="74"/>
      <c r="BL54" s="74">
        <f t="shared" si="50"/>
        <v>0</v>
      </c>
      <c r="BM54" s="81"/>
      <c r="BN54" s="81"/>
      <c r="BO54" s="81"/>
      <c r="BP54" s="81"/>
      <c r="BQ54" s="74">
        <f t="shared" si="32"/>
        <v>0</v>
      </c>
      <c r="BR54" s="74">
        <f t="shared" si="32"/>
        <v>0</v>
      </c>
      <c r="BS54" s="81"/>
      <c r="BT54" s="81"/>
      <c r="BU54" s="81"/>
      <c r="BV54" s="81"/>
      <c r="BW54" s="74">
        <f t="shared" si="33"/>
        <v>0</v>
      </c>
      <c r="BX54" s="74">
        <f t="shared" si="33"/>
        <v>0</v>
      </c>
      <c r="BY54" s="81"/>
      <c r="BZ54" s="81"/>
      <c r="CA54" s="81"/>
      <c r="CB54" s="81"/>
      <c r="CC54" s="74">
        <f t="shared" si="34"/>
        <v>0</v>
      </c>
      <c r="CD54" s="74">
        <f t="shared" si="34"/>
        <v>0</v>
      </c>
      <c r="CE54" s="81"/>
      <c r="CF54" s="81"/>
      <c r="CG54" s="81"/>
      <c r="CH54" s="81"/>
      <c r="CI54" s="74">
        <f t="shared" si="35"/>
        <v>0</v>
      </c>
      <c r="CJ54" s="74">
        <f t="shared" si="35"/>
        <v>0</v>
      </c>
      <c r="CK54" s="81"/>
      <c r="CL54" s="81"/>
      <c r="CM54" s="81"/>
      <c r="CN54" s="81"/>
      <c r="CO54" s="74">
        <f t="shared" si="36"/>
        <v>0</v>
      </c>
      <c r="CP54" s="74">
        <f t="shared" si="36"/>
        <v>0</v>
      </c>
      <c r="CQ54" s="81"/>
      <c r="CR54" s="81"/>
      <c r="CS54" s="81"/>
      <c r="CT54" s="81"/>
      <c r="CU54" s="74">
        <f t="shared" si="37"/>
        <v>0</v>
      </c>
      <c r="CV54" s="74">
        <f t="shared" si="37"/>
        <v>0</v>
      </c>
      <c r="CW54" s="81"/>
      <c r="CX54" s="81"/>
      <c r="CY54" s="81"/>
      <c r="CZ54" s="81"/>
      <c r="DA54" s="74">
        <f t="shared" si="38"/>
        <v>0</v>
      </c>
      <c r="DB54" s="74">
        <f t="shared" si="38"/>
        <v>0</v>
      </c>
      <c r="DC54" s="81"/>
      <c r="DD54" s="81"/>
      <c r="DE54" s="81"/>
      <c r="DF54" s="81"/>
      <c r="DG54" s="74">
        <f t="shared" si="39"/>
        <v>0</v>
      </c>
      <c r="DH54" s="74">
        <f t="shared" si="39"/>
        <v>0</v>
      </c>
      <c r="DI54" s="74">
        <f t="shared" si="51"/>
        <v>0</v>
      </c>
      <c r="DJ54" s="74">
        <f t="shared" si="52"/>
        <v>0</v>
      </c>
      <c r="DK54" s="74">
        <f t="shared" si="53"/>
        <v>0</v>
      </c>
      <c r="DL54" s="74">
        <f t="shared" si="54"/>
        <v>0</v>
      </c>
      <c r="DM54" s="74">
        <f t="shared" si="40"/>
        <v>0</v>
      </c>
      <c r="DN54" s="74">
        <f t="shared" si="40"/>
        <v>0</v>
      </c>
    </row>
    <row r="55" spans="1:118">
      <c r="A55" s="25">
        <v>47</v>
      </c>
      <c r="B55" s="26" t="s">
        <v>581</v>
      </c>
      <c r="C55" s="26" t="s">
        <v>646</v>
      </c>
      <c r="D55" s="26" t="s">
        <v>648</v>
      </c>
      <c r="E55" s="205" t="s">
        <v>1165</v>
      </c>
      <c r="F55" s="161">
        <f t="shared" si="15"/>
        <v>0</v>
      </c>
      <c r="G55" s="161">
        <f t="shared" si="57"/>
        <v>0</v>
      </c>
      <c r="H55" s="165">
        <f t="shared" si="16"/>
        <v>0</v>
      </c>
      <c r="I55" s="80">
        <v>21724.98</v>
      </c>
      <c r="J55" s="127">
        <v>0</v>
      </c>
      <c r="K55" s="243">
        <v>0</v>
      </c>
      <c r="L55" s="127">
        <f t="shared" si="17"/>
        <v>0</v>
      </c>
      <c r="M55" s="127">
        <f t="shared" si="18"/>
        <v>0</v>
      </c>
      <c r="N55" s="127">
        <f t="shared" si="19"/>
        <v>0</v>
      </c>
      <c r="O55" s="131">
        <f t="shared" si="20"/>
        <v>0</v>
      </c>
      <c r="P55" s="125" t="str">
        <f t="shared" si="21"/>
        <v>ნულოვანი შესრულება</v>
      </c>
      <c r="Q55" s="81"/>
      <c r="R55" s="81"/>
      <c r="S55" s="81">
        <f t="shared" si="42"/>
        <v>0</v>
      </c>
      <c r="T55" s="81">
        <f t="shared" si="41"/>
        <v>0</v>
      </c>
      <c r="U55" s="81"/>
      <c r="V55" s="81"/>
      <c r="W55" s="81"/>
      <c r="X55" s="81"/>
      <c r="Y55" s="74">
        <f t="shared" si="22"/>
        <v>0</v>
      </c>
      <c r="Z55" s="74">
        <f t="shared" si="22"/>
        <v>0</v>
      </c>
      <c r="AA55" s="81"/>
      <c r="AB55" s="81"/>
      <c r="AC55" s="81"/>
      <c r="AD55" s="81"/>
      <c r="AE55" s="74">
        <f t="shared" si="23"/>
        <v>0</v>
      </c>
      <c r="AF55" s="74">
        <f t="shared" si="23"/>
        <v>0</v>
      </c>
      <c r="AG55" s="74">
        <f t="shared" si="24"/>
        <v>0</v>
      </c>
      <c r="AH55" s="74">
        <f t="shared" si="25"/>
        <v>0</v>
      </c>
      <c r="AI55" s="74">
        <f t="shared" si="25"/>
        <v>0</v>
      </c>
      <c r="AJ55" s="74">
        <f t="shared" si="26"/>
        <v>0</v>
      </c>
      <c r="AK55" s="74">
        <f t="shared" si="27"/>
        <v>0</v>
      </c>
      <c r="AL55" s="74">
        <f t="shared" si="27"/>
        <v>0</v>
      </c>
      <c r="AM55" s="81"/>
      <c r="AN55" s="81"/>
      <c r="AO55" s="81"/>
      <c r="AP55" s="81"/>
      <c r="AQ55" s="74">
        <f t="shared" si="28"/>
        <v>0</v>
      </c>
      <c r="AR55" s="74">
        <f t="shared" si="28"/>
        <v>0</v>
      </c>
      <c r="AS55" s="81"/>
      <c r="AT55" s="81"/>
      <c r="AU55" s="81"/>
      <c r="AV55" s="81"/>
      <c r="AW55" s="74">
        <f t="shared" si="29"/>
        <v>0</v>
      </c>
      <c r="AX55" s="74">
        <f t="shared" si="29"/>
        <v>0</v>
      </c>
      <c r="AY55" s="81"/>
      <c r="AZ55" s="81"/>
      <c r="BA55" s="81"/>
      <c r="BB55" s="81"/>
      <c r="BC55" s="74">
        <f t="shared" si="30"/>
        <v>0</v>
      </c>
      <c r="BD55" s="74"/>
      <c r="BE55" s="74">
        <f t="shared" si="49"/>
        <v>0</v>
      </c>
      <c r="BF55" s="81"/>
      <c r="BG55" s="81"/>
      <c r="BH55" s="81"/>
      <c r="BI55" s="81"/>
      <c r="BJ55" s="74">
        <f t="shared" si="31"/>
        <v>0</v>
      </c>
      <c r="BK55" s="74"/>
      <c r="BL55" s="74">
        <f t="shared" si="50"/>
        <v>0</v>
      </c>
      <c r="BM55" s="81"/>
      <c r="BN55" s="81"/>
      <c r="BO55" s="81"/>
      <c r="BP55" s="81"/>
      <c r="BQ55" s="74">
        <f t="shared" si="32"/>
        <v>0</v>
      </c>
      <c r="BR55" s="74">
        <f t="shared" si="32"/>
        <v>0</v>
      </c>
      <c r="BS55" s="81"/>
      <c r="BT55" s="81"/>
      <c r="BU55" s="81"/>
      <c r="BV55" s="81"/>
      <c r="BW55" s="74">
        <f t="shared" si="33"/>
        <v>0</v>
      </c>
      <c r="BX55" s="74">
        <f t="shared" si="33"/>
        <v>0</v>
      </c>
      <c r="BY55" s="81"/>
      <c r="BZ55" s="81"/>
      <c r="CA55" s="81"/>
      <c r="CB55" s="81"/>
      <c r="CC55" s="74">
        <f t="shared" si="34"/>
        <v>0</v>
      </c>
      <c r="CD55" s="74">
        <f t="shared" si="34"/>
        <v>0</v>
      </c>
      <c r="CE55" s="81"/>
      <c r="CF55" s="81"/>
      <c r="CG55" s="81"/>
      <c r="CH55" s="81"/>
      <c r="CI55" s="74">
        <f t="shared" si="35"/>
        <v>0</v>
      </c>
      <c r="CJ55" s="74">
        <f t="shared" si="35"/>
        <v>0</v>
      </c>
      <c r="CK55" s="81"/>
      <c r="CL55" s="81"/>
      <c r="CM55" s="81"/>
      <c r="CN55" s="81"/>
      <c r="CO55" s="74">
        <f t="shared" si="36"/>
        <v>0</v>
      </c>
      <c r="CP55" s="74">
        <f t="shared" si="36"/>
        <v>0</v>
      </c>
      <c r="CQ55" s="81"/>
      <c r="CR55" s="81"/>
      <c r="CS55" s="81"/>
      <c r="CT55" s="81"/>
      <c r="CU55" s="74">
        <f t="shared" si="37"/>
        <v>0</v>
      </c>
      <c r="CV55" s="74">
        <f t="shared" si="37"/>
        <v>0</v>
      </c>
      <c r="CW55" s="81"/>
      <c r="CX55" s="81"/>
      <c r="CY55" s="81"/>
      <c r="CZ55" s="81"/>
      <c r="DA55" s="74">
        <f t="shared" si="38"/>
        <v>0</v>
      </c>
      <c r="DB55" s="74">
        <f t="shared" si="38"/>
        <v>0</v>
      </c>
      <c r="DC55" s="81"/>
      <c r="DD55" s="81"/>
      <c r="DE55" s="81"/>
      <c r="DF55" s="81"/>
      <c r="DG55" s="74">
        <f t="shared" si="39"/>
        <v>0</v>
      </c>
      <c r="DH55" s="74">
        <f t="shared" si="39"/>
        <v>0</v>
      </c>
      <c r="DI55" s="74">
        <f t="shared" si="51"/>
        <v>0</v>
      </c>
      <c r="DJ55" s="74">
        <f t="shared" si="52"/>
        <v>0</v>
      </c>
      <c r="DK55" s="74">
        <f t="shared" si="53"/>
        <v>0</v>
      </c>
      <c r="DL55" s="74">
        <f t="shared" si="54"/>
        <v>0</v>
      </c>
      <c r="DM55" s="74">
        <f t="shared" si="40"/>
        <v>0</v>
      </c>
      <c r="DN55" s="74">
        <f t="shared" si="40"/>
        <v>0</v>
      </c>
    </row>
    <row r="56" spans="1:118">
      <c r="A56" s="25">
        <v>48</v>
      </c>
      <c r="B56" s="26" t="s">
        <v>581</v>
      </c>
      <c r="C56" s="26" t="s">
        <v>649</v>
      </c>
      <c r="D56" s="26" t="s">
        <v>650</v>
      </c>
      <c r="E56" s="205" t="s">
        <v>1164</v>
      </c>
      <c r="F56" s="161">
        <f t="shared" si="15"/>
        <v>0</v>
      </c>
      <c r="G56" s="161">
        <f t="shared" si="57"/>
        <v>0</v>
      </c>
      <c r="H56" s="165">
        <f t="shared" si="16"/>
        <v>0</v>
      </c>
      <c r="I56" s="80">
        <v>0</v>
      </c>
      <c r="J56" s="127">
        <v>0</v>
      </c>
      <c r="K56" s="243">
        <v>0</v>
      </c>
      <c r="L56" s="127">
        <f t="shared" si="17"/>
        <v>0</v>
      </c>
      <c r="M56" s="127">
        <f t="shared" si="18"/>
        <v>0</v>
      </c>
      <c r="N56" s="127">
        <f t="shared" si="19"/>
        <v>0</v>
      </c>
      <c r="O56" s="131">
        <f t="shared" si="20"/>
        <v>0</v>
      </c>
      <c r="P56" s="125" t="str">
        <f t="shared" si="21"/>
        <v>ნულოვანი შესრულება</v>
      </c>
      <c r="Q56" s="81"/>
      <c r="R56" s="81"/>
      <c r="S56" s="81">
        <f t="shared" si="42"/>
        <v>0</v>
      </c>
      <c r="T56" s="81">
        <f t="shared" si="41"/>
        <v>0</v>
      </c>
      <c r="U56" s="81"/>
      <c r="V56" s="81"/>
      <c r="W56" s="81"/>
      <c r="X56" s="81"/>
      <c r="Y56" s="74">
        <f t="shared" si="22"/>
        <v>0</v>
      </c>
      <c r="Z56" s="74">
        <f t="shared" si="22"/>
        <v>0</v>
      </c>
      <c r="AA56" s="81"/>
      <c r="AB56" s="81"/>
      <c r="AC56" s="81"/>
      <c r="AD56" s="81"/>
      <c r="AE56" s="74">
        <f t="shared" si="23"/>
        <v>0</v>
      </c>
      <c r="AF56" s="74">
        <f t="shared" si="23"/>
        <v>0</v>
      </c>
      <c r="AG56" s="74">
        <f t="shared" si="24"/>
        <v>0</v>
      </c>
      <c r="AH56" s="74">
        <f t="shared" si="25"/>
        <v>0</v>
      </c>
      <c r="AI56" s="74">
        <f t="shared" si="25"/>
        <v>0</v>
      </c>
      <c r="AJ56" s="74">
        <f t="shared" si="26"/>
        <v>0</v>
      </c>
      <c r="AK56" s="74">
        <f t="shared" si="27"/>
        <v>0</v>
      </c>
      <c r="AL56" s="74">
        <f t="shared" si="27"/>
        <v>0</v>
      </c>
      <c r="AM56" s="81"/>
      <c r="AN56" s="81"/>
      <c r="AO56" s="81"/>
      <c r="AP56" s="81"/>
      <c r="AQ56" s="74">
        <f t="shared" si="28"/>
        <v>0</v>
      </c>
      <c r="AR56" s="74">
        <f t="shared" si="28"/>
        <v>0</v>
      </c>
      <c r="AS56" s="81"/>
      <c r="AT56" s="81"/>
      <c r="AU56" s="81"/>
      <c r="AV56" s="81"/>
      <c r="AW56" s="74">
        <f t="shared" si="29"/>
        <v>0</v>
      </c>
      <c r="AX56" s="74">
        <f t="shared" si="29"/>
        <v>0</v>
      </c>
      <c r="AY56" s="81"/>
      <c r="AZ56" s="81"/>
      <c r="BA56" s="81"/>
      <c r="BB56" s="81"/>
      <c r="BC56" s="74">
        <f t="shared" si="30"/>
        <v>0</v>
      </c>
      <c r="BD56" s="74"/>
      <c r="BE56" s="74">
        <f t="shared" si="49"/>
        <v>0</v>
      </c>
      <c r="BF56" s="81"/>
      <c r="BG56" s="81"/>
      <c r="BH56" s="81"/>
      <c r="BI56" s="81"/>
      <c r="BJ56" s="74">
        <f t="shared" si="31"/>
        <v>0</v>
      </c>
      <c r="BK56" s="74"/>
      <c r="BL56" s="74">
        <f t="shared" si="50"/>
        <v>0</v>
      </c>
      <c r="BM56" s="81"/>
      <c r="BN56" s="81"/>
      <c r="BO56" s="81"/>
      <c r="BP56" s="81"/>
      <c r="BQ56" s="74">
        <f t="shared" si="32"/>
        <v>0</v>
      </c>
      <c r="BR56" s="74">
        <f t="shared" si="32"/>
        <v>0</v>
      </c>
      <c r="BS56" s="81"/>
      <c r="BT56" s="81"/>
      <c r="BU56" s="81"/>
      <c r="BV56" s="81"/>
      <c r="BW56" s="74">
        <f t="shared" si="33"/>
        <v>0</v>
      </c>
      <c r="BX56" s="74">
        <f t="shared" si="33"/>
        <v>0</v>
      </c>
      <c r="BY56" s="81"/>
      <c r="BZ56" s="81"/>
      <c r="CA56" s="81"/>
      <c r="CB56" s="81"/>
      <c r="CC56" s="74">
        <f t="shared" si="34"/>
        <v>0</v>
      </c>
      <c r="CD56" s="74">
        <f t="shared" si="34"/>
        <v>0</v>
      </c>
      <c r="CE56" s="81"/>
      <c r="CF56" s="81"/>
      <c r="CG56" s="81"/>
      <c r="CH56" s="81"/>
      <c r="CI56" s="74">
        <f t="shared" si="35"/>
        <v>0</v>
      </c>
      <c r="CJ56" s="74">
        <f t="shared" si="35"/>
        <v>0</v>
      </c>
      <c r="CK56" s="81"/>
      <c r="CL56" s="81"/>
      <c r="CM56" s="81"/>
      <c r="CN56" s="81"/>
      <c r="CO56" s="74">
        <f t="shared" si="36"/>
        <v>0</v>
      </c>
      <c r="CP56" s="74">
        <f t="shared" si="36"/>
        <v>0</v>
      </c>
      <c r="CQ56" s="81"/>
      <c r="CR56" s="81"/>
      <c r="CS56" s="81"/>
      <c r="CT56" s="81"/>
      <c r="CU56" s="74">
        <f t="shared" si="37"/>
        <v>0</v>
      </c>
      <c r="CV56" s="74">
        <f t="shared" si="37"/>
        <v>0</v>
      </c>
      <c r="CW56" s="81"/>
      <c r="CX56" s="81"/>
      <c r="CY56" s="81"/>
      <c r="CZ56" s="81"/>
      <c r="DA56" s="74">
        <f t="shared" si="38"/>
        <v>0</v>
      </c>
      <c r="DB56" s="74">
        <f t="shared" si="38"/>
        <v>0</v>
      </c>
      <c r="DC56" s="81"/>
      <c r="DD56" s="81"/>
      <c r="DE56" s="81"/>
      <c r="DF56" s="81"/>
      <c r="DG56" s="74">
        <f t="shared" si="39"/>
        <v>0</v>
      </c>
      <c r="DH56" s="74">
        <f t="shared" si="39"/>
        <v>0</v>
      </c>
      <c r="DI56" s="74">
        <f t="shared" si="51"/>
        <v>0</v>
      </c>
      <c r="DJ56" s="74">
        <f t="shared" si="52"/>
        <v>0</v>
      </c>
      <c r="DK56" s="74">
        <f t="shared" si="53"/>
        <v>0</v>
      </c>
      <c r="DL56" s="74">
        <f t="shared" si="54"/>
        <v>0</v>
      </c>
      <c r="DM56" s="74">
        <f t="shared" si="40"/>
        <v>0</v>
      </c>
      <c r="DN56" s="74">
        <f t="shared" si="40"/>
        <v>0</v>
      </c>
    </row>
    <row r="57" spans="1:118">
      <c r="A57" s="25">
        <v>49</v>
      </c>
      <c r="B57" s="26" t="s">
        <v>581</v>
      </c>
      <c r="C57" s="26" t="s">
        <v>649</v>
      </c>
      <c r="D57" s="26" t="s">
        <v>651</v>
      </c>
      <c r="E57" s="205" t="s">
        <v>1165</v>
      </c>
      <c r="F57" s="161">
        <f t="shared" si="15"/>
        <v>0</v>
      </c>
      <c r="G57" s="161">
        <f t="shared" si="57"/>
        <v>0</v>
      </c>
      <c r="H57" s="165">
        <f t="shared" si="16"/>
        <v>0</v>
      </c>
      <c r="I57" s="80">
        <v>20401.02</v>
      </c>
      <c r="J57" s="127">
        <v>0</v>
      </c>
      <c r="K57" s="243">
        <v>0</v>
      </c>
      <c r="L57" s="127">
        <f t="shared" si="17"/>
        <v>0</v>
      </c>
      <c r="M57" s="127">
        <f t="shared" si="18"/>
        <v>0</v>
      </c>
      <c r="N57" s="127">
        <f t="shared" si="19"/>
        <v>0</v>
      </c>
      <c r="O57" s="131">
        <f t="shared" si="20"/>
        <v>0</v>
      </c>
      <c r="P57" s="125" t="str">
        <f t="shared" si="21"/>
        <v>ნულოვანი შესრულება</v>
      </c>
      <c r="Q57" s="81"/>
      <c r="R57" s="81"/>
      <c r="S57" s="81">
        <f t="shared" si="42"/>
        <v>0</v>
      </c>
      <c r="T57" s="81">
        <f t="shared" si="41"/>
        <v>0</v>
      </c>
      <c r="U57" s="81"/>
      <c r="V57" s="81"/>
      <c r="W57" s="81"/>
      <c r="X57" s="81"/>
      <c r="Y57" s="74">
        <f t="shared" si="22"/>
        <v>0</v>
      </c>
      <c r="Z57" s="74">
        <f t="shared" si="22"/>
        <v>0</v>
      </c>
      <c r="AA57" s="81"/>
      <c r="AB57" s="81"/>
      <c r="AC57" s="81"/>
      <c r="AD57" s="81"/>
      <c r="AE57" s="74">
        <f t="shared" si="23"/>
        <v>0</v>
      </c>
      <c r="AF57" s="74">
        <f t="shared" si="23"/>
        <v>0</v>
      </c>
      <c r="AG57" s="74">
        <f t="shared" si="24"/>
        <v>0</v>
      </c>
      <c r="AH57" s="74">
        <f t="shared" si="25"/>
        <v>0</v>
      </c>
      <c r="AI57" s="74">
        <f t="shared" si="25"/>
        <v>0</v>
      </c>
      <c r="AJ57" s="74">
        <f t="shared" si="26"/>
        <v>0</v>
      </c>
      <c r="AK57" s="74">
        <f t="shared" si="27"/>
        <v>0</v>
      </c>
      <c r="AL57" s="74">
        <f t="shared" si="27"/>
        <v>0</v>
      </c>
      <c r="AM57" s="81"/>
      <c r="AN57" s="81"/>
      <c r="AO57" s="81"/>
      <c r="AP57" s="81"/>
      <c r="AQ57" s="74">
        <f t="shared" si="28"/>
        <v>0</v>
      </c>
      <c r="AR57" s="74">
        <f t="shared" si="28"/>
        <v>0</v>
      </c>
      <c r="AS57" s="81"/>
      <c r="AT57" s="81"/>
      <c r="AU57" s="81"/>
      <c r="AV57" s="81"/>
      <c r="AW57" s="74">
        <f t="shared" si="29"/>
        <v>0</v>
      </c>
      <c r="AX57" s="74">
        <f t="shared" si="29"/>
        <v>0</v>
      </c>
      <c r="AY57" s="81"/>
      <c r="AZ57" s="81"/>
      <c r="BA57" s="81"/>
      <c r="BB57" s="81"/>
      <c r="BC57" s="74">
        <f t="shared" si="30"/>
        <v>0</v>
      </c>
      <c r="BD57" s="74"/>
      <c r="BE57" s="74">
        <f t="shared" si="49"/>
        <v>0</v>
      </c>
      <c r="BF57" s="81"/>
      <c r="BG57" s="81"/>
      <c r="BH57" s="81"/>
      <c r="BI57" s="81"/>
      <c r="BJ57" s="74">
        <f t="shared" si="31"/>
        <v>0</v>
      </c>
      <c r="BK57" s="74"/>
      <c r="BL57" s="74">
        <f t="shared" si="50"/>
        <v>0</v>
      </c>
      <c r="BM57" s="81"/>
      <c r="BN57" s="81"/>
      <c r="BO57" s="81"/>
      <c r="BP57" s="81"/>
      <c r="BQ57" s="74">
        <f t="shared" si="32"/>
        <v>0</v>
      </c>
      <c r="BR57" s="74">
        <f t="shared" si="32"/>
        <v>0</v>
      </c>
      <c r="BS57" s="81"/>
      <c r="BT57" s="81"/>
      <c r="BU57" s="81"/>
      <c r="BV57" s="81"/>
      <c r="BW57" s="74">
        <f t="shared" si="33"/>
        <v>0</v>
      </c>
      <c r="BX57" s="74">
        <f t="shared" si="33"/>
        <v>0</v>
      </c>
      <c r="BY57" s="81"/>
      <c r="BZ57" s="81"/>
      <c r="CA57" s="81"/>
      <c r="CB57" s="81"/>
      <c r="CC57" s="74">
        <f t="shared" si="34"/>
        <v>0</v>
      </c>
      <c r="CD57" s="74">
        <f t="shared" si="34"/>
        <v>0</v>
      </c>
      <c r="CE57" s="81"/>
      <c r="CF57" s="81"/>
      <c r="CG57" s="81"/>
      <c r="CH57" s="81"/>
      <c r="CI57" s="74">
        <f t="shared" si="35"/>
        <v>0</v>
      </c>
      <c r="CJ57" s="74">
        <f t="shared" si="35"/>
        <v>0</v>
      </c>
      <c r="CK57" s="81"/>
      <c r="CL57" s="81"/>
      <c r="CM57" s="81"/>
      <c r="CN57" s="81"/>
      <c r="CO57" s="74">
        <f t="shared" si="36"/>
        <v>0</v>
      </c>
      <c r="CP57" s="74">
        <f t="shared" si="36"/>
        <v>0</v>
      </c>
      <c r="CQ57" s="81"/>
      <c r="CR57" s="81"/>
      <c r="CS57" s="81"/>
      <c r="CT57" s="81"/>
      <c r="CU57" s="74">
        <f t="shared" si="37"/>
        <v>0</v>
      </c>
      <c r="CV57" s="74">
        <f t="shared" si="37"/>
        <v>0</v>
      </c>
      <c r="CW57" s="81"/>
      <c r="CX57" s="81"/>
      <c r="CY57" s="81"/>
      <c r="CZ57" s="81"/>
      <c r="DA57" s="74">
        <f t="shared" si="38"/>
        <v>0</v>
      </c>
      <c r="DB57" s="74">
        <f t="shared" si="38"/>
        <v>0</v>
      </c>
      <c r="DC57" s="81"/>
      <c r="DD57" s="81"/>
      <c r="DE57" s="81"/>
      <c r="DF57" s="81"/>
      <c r="DG57" s="74">
        <f t="shared" si="39"/>
        <v>0</v>
      </c>
      <c r="DH57" s="74">
        <f t="shared" si="39"/>
        <v>0</v>
      </c>
      <c r="DI57" s="74">
        <f t="shared" si="51"/>
        <v>0</v>
      </c>
      <c r="DJ57" s="74">
        <f t="shared" si="52"/>
        <v>0</v>
      </c>
      <c r="DK57" s="74">
        <f t="shared" si="53"/>
        <v>0</v>
      </c>
      <c r="DL57" s="74">
        <f t="shared" si="54"/>
        <v>0</v>
      </c>
      <c r="DM57" s="74">
        <f t="shared" si="40"/>
        <v>0</v>
      </c>
      <c r="DN57" s="74">
        <f t="shared" si="40"/>
        <v>0</v>
      </c>
    </row>
    <row r="58" spans="1:118">
      <c r="A58" s="25">
        <v>50</v>
      </c>
      <c r="B58" s="26" t="s">
        <v>573</v>
      </c>
      <c r="C58" s="26" t="s">
        <v>652</v>
      </c>
      <c r="D58" s="26" t="s">
        <v>653</v>
      </c>
      <c r="E58" s="205" t="s">
        <v>1164</v>
      </c>
      <c r="F58" s="161">
        <f t="shared" si="15"/>
        <v>0</v>
      </c>
      <c r="G58" s="161">
        <f t="shared" si="57"/>
        <v>0</v>
      </c>
      <c r="H58" s="165">
        <f t="shared" si="16"/>
        <v>0</v>
      </c>
      <c r="I58" s="80">
        <v>0</v>
      </c>
      <c r="J58" s="127">
        <v>0</v>
      </c>
      <c r="K58" s="243">
        <v>0</v>
      </c>
      <c r="L58" s="127">
        <f t="shared" si="17"/>
        <v>0</v>
      </c>
      <c r="M58" s="127">
        <f t="shared" si="18"/>
        <v>0</v>
      </c>
      <c r="N58" s="127">
        <f t="shared" si="19"/>
        <v>0</v>
      </c>
      <c r="O58" s="131">
        <f t="shared" si="20"/>
        <v>0</v>
      </c>
      <c r="P58" s="125" t="str">
        <f t="shared" si="21"/>
        <v>ნულოვანი შესრულება</v>
      </c>
      <c r="Q58" s="81"/>
      <c r="R58" s="81"/>
      <c r="S58" s="81">
        <f t="shared" si="42"/>
        <v>0</v>
      </c>
      <c r="T58" s="81">
        <f t="shared" si="41"/>
        <v>0</v>
      </c>
      <c r="U58" s="81"/>
      <c r="V58" s="81"/>
      <c r="W58" s="81"/>
      <c r="X58" s="81"/>
      <c r="Y58" s="74">
        <f t="shared" si="22"/>
        <v>0</v>
      </c>
      <c r="Z58" s="74">
        <f t="shared" si="22"/>
        <v>0</v>
      </c>
      <c r="AA58" s="81"/>
      <c r="AB58" s="81"/>
      <c r="AC58" s="81"/>
      <c r="AD58" s="81"/>
      <c r="AE58" s="74">
        <f t="shared" si="23"/>
        <v>0</v>
      </c>
      <c r="AF58" s="74">
        <f t="shared" si="23"/>
        <v>0</v>
      </c>
      <c r="AG58" s="74">
        <f t="shared" si="24"/>
        <v>0</v>
      </c>
      <c r="AH58" s="74">
        <f t="shared" si="25"/>
        <v>0</v>
      </c>
      <c r="AI58" s="74">
        <f t="shared" si="25"/>
        <v>0</v>
      </c>
      <c r="AJ58" s="74">
        <f t="shared" si="26"/>
        <v>0</v>
      </c>
      <c r="AK58" s="74">
        <f t="shared" si="27"/>
        <v>0</v>
      </c>
      <c r="AL58" s="74">
        <f t="shared" si="27"/>
        <v>0</v>
      </c>
      <c r="AM58" s="81"/>
      <c r="AN58" s="81"/>
      <c r="AO58" s="81"/>
      <c r="AP58" s="81"/>
      <c r="AQ58" s="74">
        <f t="shared" si="28"/>
        <v>0</v>
      </c>
      <c r="AR58" s="74">
        <f t="shared" si="28"/>
        <v>0</v>
      </c>
      <c r="AS58" s="81"/>
      <c r="AT58" s="81"/>
      <c r="AU58" s="81"/>
      <c r="AV58" s="81"/>
      <c r="AW58" s="74">
        <f t="shared" si="29"/>
        <v>0</v>
      </c>
      <c r="AX58" s="74">
        <f t="shared" si="29"/>
        <v>0</v>
      </c>
      <c r="AY58" s="81"/>
      <c r="AZ58" s="81"/>
      <c r="BA58" s="81"/>
      <c r="BB58" s="81"/>
      <c r="BC58" s="74">
        <f t="shared" si="30"/>
        <v>0</v>
      </c>
      <c r="BD58" s="74"/>
      <c r="BE58" s="74">
        <f t="shared" si="49"/>
        <v>0</v>
      </c>
      <c r="BF58" s="81"/>
      <c r="BG58" s="81"/>
      <c r="BH58" s="81"/>
      <c r="BI58" s="81"/>
      <c r="BJ58" s="74">
        <f t="shared" si="31"/>
        <v>0</v>
      </c>
      <c r="BK58" s="74"/>
      <c r="BL58" s="74">
        <f t="shared" si="50"/>
        <v>0</v>
      </c>
      <c r="BM58" s="81"/>
      <c r="BN58" s="81"/>
      <c r="BO58" s="81"/>
      <c r="BP58" s="81"/>
      <c r="BQ58" s="74">
        <f t="shared" si="32"/>
        <v>0</v>
      </c>
      <c r="BR58" s="74">
        <f t="shared" si="32"/>
        <v>0</v>
      </c>
      <c r="BS58" s="81"/>
      <c r="BT58" s="81"/>
      <c r="BU58" s="81"/>
      <c r="BV58" s="81"/>
      <c r="BW58" s="74">
        <f t="shared" si="33"/>
        <v>0</v>
      </c>
      <c r="BX58" s="74">
        <f t="shared" si="33"/>
        <v>0</v>
      </c>
      <c r="BY58" s="81"/>
      <c r="BZ58" s="81"/>
      <c r="CA58" s="81"/>
      <c r="CB58" s="81"/>
      <c r="CC58" s="74">
        <f t="shared" si="34"/>
        <v>0</v>
      </c>
      <c r="CD58" s="74">
        <f t="shared" si="34"/>
        <v>0</v>
      </c>
      <c r="CE58" s="81"/>
      <c r="CF58" s="81"/>
      <c r="CG58" s="81"/>
      <c r="CH58" s="81"/>
      <c r="CI58" s="74">
        <f t="shared" si="35"/>
        <v>0</v>
      </c>
      <c r="CJ58" s="74">
        <f t="shared" si="35"/>
        <v>0</v>
      </c>
      <c r="CK58" s="81"/>
      <c r="CL58" s="81"/>
      <c r="CM58" s="81"/>
      <c r="CN58" s="81"/>
      <c r="CO58" s="74">
        <f t="shared" si="36"/>
        <v>0</v>
      </c>
      <c r="CP58" s="74">
        <f t="shared" si="36"/>
        <v>0</v>
      </c>
      <c r="CQ58" s="81"/>
      <c r="CR58" s="81"/>
      <c r="CS58" s="81"/>
      <c r="CT58" s="81"/>
      <c r="CU58" s="74">
        <f t="shared" si="37"/>
        <v>0</v>
      </c>
      <c r="CV58" s="74">
        <f t="shared" si="37"/>
        <v>0</v>
      </c>
      <c r="CW58" s="81"/>
      <c r="CX58" s="81"/>
      <c r="CY58" s="81"/>
      <c r="CZ58" s="81"/>
      <c r="DA58" s="74">
        <f t="shared" si="38"/>
        <v>0</v>
      </c>
      <c r="DB58" s="74">
        <f t="shared" si="38"/>
        <v>0</v>
      </c>
      <c r="DC58" s="81"/>
      <c r="DD58" s="81"/>
      <c r="DE58" s="81"/>
      <c r="DF58" s="81"/>
      <c r="DG58" s="74">
        <f t="shared" si="39"/>
        <v>0</v>
      </c>
      <c r="DH58" s="74">
        <f t="shared" si="39"/>
        <v>0</v>
      </c>
      <c r="DI58" s="74">
        <f t="shared" si="51"/>
        <v>0</v>
      </c>
      <c r="DJ58" s="74">
        <f t="shared" si="52"/>
        <v>0</v>
      </c>
      <c r="DK58" s="74">
        <f t="shared" si="53"/>
        <v>0</v>
      </c>
      <c r="DL58" s="74">
        <f t="shared" si="54"/>
        <v>0</v>
      </c>
      <c r="DM58" s="74">
        <f t="shared" si="40"/>
        <v>0</v>
      </c>
      <c r="DN58" s="74">
        <f t="shared" si="40"/>
        <v>0</v>
      </c>
    </row>
    <row r="59" spans="1:118">
      <c r="A59" s="25">
        <v>51</v>
      </c>
      <c r="B59" s="26" t="s">
        <v>573</v>
      </c>
      <c r="C59" s="26" t="s">
        <v>652</v>
      </c>
      <c r="D59" s="26" t="s">
        <v>654</v>
      </c>
      <c r="E59" s="205" t="s">
        <v>1165</v>
      </c>
      <c r="F59" s="161">
        <f t="shared" si="15"/>
        <v>0</v>
      </c>
      <c r="G59" s="161">
        <f t="shared" si="57"/>
        <v>0</v>
      </c>
      <c r="H59" s="165">
        <f t="shared" si="16"/>
        <v>0</v>
      </c>
      <c r="I59" s="80">
        <v>16225</v>
      </c>
      <c r="J59" s="127">
        <v>0</v>
      </c>
      <c r="K59" s="243">
        <v>0</v>
      </c>
      <c r="L59" s="127">
        <f t="shared" si="17"/>
        <v>0</v>
      </c>
      <c r="M59" s="127">
        <f t="shared" si="18"/>
        <v>0</v>
      </c>
      <c r="N59" s="127">
        <f t="shared" si="19"/>
        <v>0</v>
      </c>
      <c r="O59" s="131">
        <f t="shared" si="20"/>
        <v>0</v>
      </c>
      <c r="P59" s="125" t="str">
        <f t="shared" si="21"/>
        <v>ნულოვანი შესრულება</v>
      </c>
      <c r="Q59" s="81"/>
      <c r="R59" s="81"/>
      <c r="S59" s="81">
        <f t="shared" si="42"/>
        <v>0</v>
      </c>
      <c r="T59" s="81">
        <f t="shared" si="41"/>
        <v>0</v>
      </c>
      <c r="U59" s="81"/>
      <c r="V59" s="81"/>
      <c r="W59" s="81"/>
      <c r="X59" s="81"/>
      <c r="Y59" s="74">
        <f t="shared" si="22"/>
        <v>0</v>
      </c>
      <c r="Z59" s="74">
        <f t="shared" si="22"/>
        <v>0</v>
      </c>
      <c r="AA59" s="81"/>
      <c r="AB59" s="81"/>
      <c r="AC59" s="81"/>
      <c r="AD59" s="81"/>
      <c r="AE59" s="74">
        <f t="shared" si="23"/>
        <v>0</v>
      </c>
      <c r="AF59" s="74">
        <f t="shared" si="23"/>
        <v>0</v>
      </c>
      <c r="AG59" s="74">
        <f t="shared" si="24"/>
        <v>0</v>
      </c>
      <c r="AH59" s="74">
        <f t="shared" si="25"/>
        <v>0</v>
      </c>
      <c r="AI59" s="74">
        <f t="shared" si="25"/>
        <v>0</v>
      </c>
      <c r="AJ59" s="74">
        <f t="shared" si="26"/>
        <v>0</v>
      </c>
      <c r="AK59" s="74">
        <f t="shared" si="27"/>
        <v>0</v>
      </c>
      <c r="AL59" s="74">
        <f t="shared" si="27"/>
        <v>0</v>
      </c>
      <c r="AM59" s="81"/>
      <c r="AN59" s="81"/>
      <c r="AO59" s="81"/>
      <c r="AP59" s="81"/>
      <c r="AQ59" s="74">
        <f t="shared" si="28"/>
        <v>0</v>
      </c>
      <c r="AR59" s="74">
        <f t="shared" si="28"/>
        <v>0</v>
      </c>
      <c r="AS59" s="81"/>
      <c r="AT59" s="81"/>
      <c r="AU59" s="81"/>
      <c r="AV59" s="81"/>
      <c r="AW59" s="74">
        <f t="shared" si="29"/>
        <v>0</v>
      </c>
      <c r="AX59" s="74">
        <f t="shared" si="29"/>
        <v>0</v>
      </c>
      <c r="AY59" s="81"/>
      <c r="AZ59" s="81"/>
      <c r="BA59" s="81"/>
      <c r="BB59" s="81"/>
      <c r="BC59" s="74">
        <f t="shared" si="30"/>
        <v>0</v>
      </c>
      <c r="BD59" s="74"/>
      <c r="BE59" s="74">
        <f t="shared" si="49"/>
        <v>0</v>
      </c>
      <c r="BF59" s="81"/>
      <c r="BG59" s="81"/>
      <c r="BH59" s="81"/>
      <c r="BI59" s="81"/>
      <c r="BJ59" s="74">
        <f t="shared" si="31"/>
        <v>0</v>
      </c>
      <c r="BK59" s="74"/>
      <c r="BL59" s="74">
        <f t="shared" si="50"/>
        <v>0</v>
      </c>
      <c r="BM59" s="81"/>
      <c r="BN59" s="81"/>
      <c r="BO59" s="81"/>
      <c r="BP59" s="81"/>
      <c r="BQ59" s="74">
        <f t="shared" si="32"/>
        <v>0</v>
      </c>
      <c r="BR59" s="74">
        <f t="shared" si="32"/>
        <v>0</v>
      </c>
      <c r="BS59" s="81"/>
      <c r="BT59" s="81"/>
      <c r="BU59" s="81"/>
      <c r="BV59" s="81"/>
      <c r="BW59" s="74">
        <f t="shared" si="33"/>
        <v>0</v>
      </c>
      <c r="BX59" s="74">
        <f t="shared" si="33"/>
        <v>0</v>
      </c>
      <c r="BY59" s="81"/>
      <c r="BZ59" s="81"/>
      <c r="CA59" s="81"/>
      <c r="CB59" s="81"/>
      <c r="CC59" s="74">
        <f t="shared" si="34"/>
        <v>0</v>
      </c>
      <c r="CD59" s="74">
        <f t="shared" si="34"/>
        <v>0</v>
      </c>
      <c r="CE59" s="81"/>
      <c r="CF59" s="81"/>
      <c r="CG59" s="81"/>
      <c r="CH59" s="81"/>
      <c r="CI59" s="74">
        <f t="shared" si="35"/>
        <v>0</v>
      </c>
      <c r="CJ59" s="74">
        <f t="shared" si="35"/>
        <v>0</v>
      </c>
      <c r="CK59" s="81"/>
      <c r="CL59" s="81"/>
      <c r="CM59" s="81"/>
      <c r="CN59" s="81"/>
      <c r="CO59" s="74">
        <f t="shared" si="36"/>
        <v>0</v>
      </c>
      <c r="CP59" s="74">
        <f t="shared" si="36"/>
        <v>0</v>
      </c>
      <c r="CQ59" s="81"/>
      <c r="CR59" s="81"/>
      <c r="CS59" s="81"/>
      <c r="CT59" s="81"/>
      <c r="CU59" s="74">
        <f t="shared" si="37"/>
        <v>0</v>
      </c>
      <c r="CV59" s="74">
        <f t="shared" si="37"/>
        <v>0</v>
      </c>
      <c r="CW59" s="81"/>
      <c r="CX59" s="81"/>
      <c r="CY59" s="81"/>
      <c r="CZ59" s="81"/>
      <c r="DA59" s="74">
        <f t="shared" si="38"/>
        <v>0</v>
      </c>
      <c r="DB59" s="74">
        <f t="shared" si="38"/>
        <v>0</v>
      </c>
      <c r="DC59" s="81"/>
      <c r="DD59" s="81"/>
      <c r="DE59" s="81"/>
      <c r="DF59" s="81"/>
      <c r="DG59" s="74">
        <f t="shared" si="39"/>
        <v>0</v>
      </c>
      <c r="DH59" s="74">
        <f t="shared" si="39"/>
        <v>0</v>
      </c>
      <c r="DI59" s="74">
        <f t="shared" si="51"/>
        <v>0</v>
      </c>
      <c r="DJ59" s="74">
        <f t="shared" si="52"/>
        <v>0</v>
      </c>
      <c r="DK59" s="74">
        <f t="shared" si="53"/>
        <v>0</v>
      </c>
      <c r="DL59" s="74">
        <f t="shared" si="54"/>
        <v>0</v>
      </c>
      <c r="DM59" s="74">
        <f t="shared" si="40"/>
        <v>0</v>
      </c>
      <c r="DN59" s="74">
        <f t="shared" si="40"/>
        <v>0</v>
      </c>
    </row>
    <row r="60" spans="1:118">
      <c r="A60" s="25">
        <v>52</v>
      </c>
      <c r="B60" s="26" t="s">
        <v>581</v>
      </c>
      <c r="C60" s="26" t="s">
        <v>655</v>
      </c>
      <c r="D60" s="26" t="s">
        <v>656</v>
      </c>
      <c r="E60" s="205" t="s">
        <v>1165</v>
      </c>
      <c r="F60" s="161">
        <f t="shared" si="15"/>
        <v>0</v>
      </c>
      <c r="G60" s="161">
        <f t="shared" si="57"/>
        <v>0</v>
      </c>
      <c r="H60" s="165">
        <f t="shared" si="16"/>
        <v>0</v>
      </c>
      <c r="I60" s="80">
        <v>8371.51</v>
      </c>
      <c r="J60" s="127">
        <v>0</v>
      </c>
      <c r="K60" s="243">
        <v>0</v>
      </c>
      <c r="L60" s="127">
        <f t="shared" si="17"/>
        <v>0</v>
      </c>
      <c r="M60" s="127">
        <f t="shared" si="18"/>
        <v>0</v>
      </c>
      <c r="N60" s="127">
        <f t="shared" si="19"/>
        <v>0</v>
      </c>
      <c r="O60" s="131">
        <f t="shared" si="20"/>
        <v>0</v>
      </c>
      <c r="P60" s="125" t="str">
        <f t="shared" si="21"/>
        <v>ნულოვანი შესრულება</v>
      </c>
      <c r="Q60" s="81"/>
      <c r="R60" s="81"/>
      <c r="S60" s="81">
        <f t="shared" si="42"/>
        <v>0</v>
      </c>
      <c r="T60" s="81">
        <f t="shared" si="41"/>
        <v>0</v>
      </c>
      <c r="U60" s="81"/>
      <c r="V60" s="81"/>
      <c r="W60" s="81"/>
      <c r="X60" s="81"/>
      <c r="Y60" s="74">
        <f t="shared" si="22"/>
        <v>0</v>
      </c>
      <c r="Z60" s="74">
        <f t="shared" si="22"/>
        <v>0</v>
      </c>
      <c r="AA60" s="81"/>
      <c r="AB60" s="81"/>
      <c r="AC60" s="81">
        <v>15000</v>
      </c>
      <c r="AD60" s="81"/>
      <c r="AE60" s="74">
        <f t="shared" si="23"/>
        <v>15000</v>
      </c>
      <c r="AF60" s="74">
        <f t="shared" si="23"/>
        <v>0</v>
      </c>
      <c r="AG60" s="74">
        <f t="shared" si="24"/>
        <v>0</v>
      </c>
      <c r="AH60" s="74">
        <f t="shared" si="25"/>
        <v>0</v>
      </c>
      <c r="AI60" s="74">
        <f t="shared" si="25"/>
        <v>15000</v>
      </c>
      <c r="AJ60" s="74">
        <f t="shared" si="26"/>
        <v>0</v>
      </c>
      <c r="AK60" s="74">
        <f t="shared" si="27"/>
        <v>15000</v>
      </c>
      <c r="AL60" s="74">
        <f t="shared" si="27"/>
        <v>0</v>
      </c>
      <c r="AM60" s="81"/>
      <c r="AN60" s="81"/>
      <c r="AO60" s="81"/>
      <c r="AP60" s="81"/>
      <c r="AQ60" s="74">
        <f t="shared" si="28"/>
        <v>0</v>
      </c>
      <c r="AR60" s="74">
        <f t="shared" si="28"/>
        <v>0</v>
      </c>
      <c r="AS60" s="81"/>
      <c r="AT60" s="81"/>
      <c r="AU60" s="81"/>
      <c r="AV60" s="81"/>
      <c r="AW60" s="74">
        <f t="shared" si="29"/>
        <v>0</v>
      </c>
      <c r="AX60" s="74">
        <f t="shared" si="29"/>
        <v>0</v>
      </c>
      <c r="AY60" s="81"/>
      <c r="AZ60" s="81"/>
      <c r="BA60" s="81"/>
      <c r="BB60" s="81"/>
      <c r="BC60" s="74">
        <f t="shared" si="30"/>
        <v>0</v>
      </c>
      <c r="BD60" s="74"/>
      <c r="BE60" s="74">
        <f t="shared" si="49"/>
        <v>0</v>
      </c>
      <c r="BF60" s="81"/>
      <c r="BG60" s="81"/>
      <c r="BH60" s="81"/>
      <c r="BI60" s="81"/>
      <c r="BJ60" s="74">
        <f t="shared" si="31"/>
        <v>0</v>
      </c>
      <c r="BK60" s="74"/>
      <c r="BL60" s="74">
        <f t="shared" si="50"/>
        <v>0</v>
      </c>
      <c r="BM60" s="81"/>
      <c r="BN60" s="81"/>
      <c r="BO60" s="81"/>
      <c r="BP60" s="81"/>
      <c r="BQ60" s="74">
        <f t="shared" si="32"/>
        <v>0</v>
      </c>
      <c r="BR60" s="74">
        <f t="shared" si="32"/>
        <v>0</v>
      </c>
      <c r="BS60" s="81"/>
      <c r="BT60" s="81"/>
      <c r="BU60" s="81"/>
      <c r="BV60" s="81"/>
      <c r="BW60" s="74">
        <f t="shared" si="33"/>
        <v>0</v>
      </c>
      <c r="BX60" s="74">
        <f t="shared" si="33"/>
        <v>0</v>
      </c>
      <c r="BY60" s="81"/>
      <c r="BZ60" s="81"/>
      <c r="CA60" s="81"/>
      <c r="CB60" s="81"/>
      <c r="CC60" s="74">
        <f t="shared" si="34"/>
        <v>0</v>
      </c>
      <c r="CD60" s="74">
        <f t="shared" si="34"/>
        <v>0</v>
      </c>
      <c r="CE60" s="81"/>
      <c r="CF60" s="81"/>
      <c r="CG60" s="81"/>
      <c r="CH60" s="81"/>
      <c r="CI60" s="74">
        <f t="shared" si="35"/>
        <v>0</v>
      </c>
      <c r="CJ60" s="74">
        <f t="shared" si="35"/>
        <v>0</v>
      </c>
      <c r="CK60" s="81"/>
      <c r="CL60" s="81"/>
      <c r="CM60" s="81"/>
      <c r="CN60" s="81"/>
      <c r="CO60" s="74">
        <f t="shared" si="36"/>
        <v>0</v>
      </c>
      <c r="CP60" s="74">
        <f t="shared" si="36"/>
        <v>0</v>
      </c>
      <c r="CQ60" s="81"/>
      <c r="CR60" s="81"/>
      <c r="CS60" s="81"/>
      <c r="CT60" s="81"/>
      <c r="CU60" s="74">
        <f t="shared" si="37"/>
        <v>0</v>
      </c>
      <c r="CV60" s="74">
        <f t="shared" si="37"/>
        <v>0</v>
      </c>
      <c r="CW60" s="81"/>
      <c r="CX60" s="81"/>
      <c r="CY60" s="81"/>
      <c r="CZ60" s="81"/>
      <c r="DA60" s="74">
        <f t="shared" si="38"/>
        <v>0</v>
      </c>
      <c r="DB60" s="74">
        <f t="shared" si="38"/>
        <v>0</v>
      </c>
      <c r="DC60" s="81"/>
      <c r="DD60" s="81"/>
      <c r="DE60" s="81"/>
      <c r="DF60" s="81"/>
      <c r="DG60" s="74">
        <f t="shared" si="39"/>
        <v>0</v>
      </c>
      <c r="DH60" s="74">
        <f t="shared" si="39"/>
        <v>0</v>
      </c>
      <c r="DI60" s="74">
        <f t="shared" si="51"/>
        <v>0</v>
      </c>
      <c r="DJ60" s="74">
        <f t="shared" si="52"/>
        <v>0</v>
      </c>
      <c r="DK60" s="74">
        <f t="shared" si="53"/>
        <v>0</v>
      </c>
      <c r="DL60" s="74">
        <f t="shared" si="54"/>
        <v>0</v>
      </c>
      <c r="DM60" s="74">
        <f t="shared" si="40"/>
        <v>0</v>
      </c>
      <c r="DN60" s="74">
        <f t="shared" si="40"/>
        <v>0</v>
      </c>
    </row>
    <row r="61" spans="1:118">
      <c r="A61" s="25">
        <v>53</v>
      </c>
      <c r="B61" s="26" t="s">
        <v>581</v>
      </c>
      <c r="C61" s="26" t="s">
        <v>658</v>
      </c>
      <c r="D61" s="26" t="s">
        <v>659</v>
      </c>
      <c r="E61" s="205" t="s">
        <v>1164</v>
      </c>
      <c r="F61" s="161">
        <f t="shared" si="15"/>
        <v>0</v>
      </c>
      <c r="G61" s="161">
        <f t="shared" si="57"/>
        <v>0</v>
      </c>
      <c r="H61" s="165">
        <f t="shared" si="16"/>
        <v>917</v>
      </c>
      <c r="I61" s="80">
        <v>0</v>
      </c>
      <c r="J61" s="127">
        <v>0</v>
      </c>
      <c r="K61" s="127">
        <v>0</v>
      </c>
      <c r="L61" s="127">
        <f t="shared" si="17"/>
        <v>917</v>
      </c>
      <c r="M61" s="127">
        <f t="shared" si="18"/>
        <v>917</v>
      </c>
      <c r="N61" s="127">
        <f t="shared" si="19"/>
        <v>917</v>
      </c>
      <c r="O61" s="131">
        <f t="shared" si="20"/>
        <v>0</v>
      </c>
      <c r="P61" s="125">
        <f t="shared" si="21"/>
        <v>917</v>
      </c>
      <c r="Q61" s="81"/>
      <c r="R61" s="81">
        <v>917</v>
      </c>
      <c r="S61" s="81">
        <f t="shared" si="42"/>
        <v>0</v>
      </c>
      <c r="T61" s="81">
        <f t="shared" si="41"/>
        <v>917</v>
      </c>
      <c r="U61" s="81"/>
      <c r="V61" s="81"/>
      <c r="W61" s="81"/>
      <c r="X61" s="81"/>
      <c r="Y61" s="74">
        <f t="shared" si="22"/>
        <v>0</v>
      </c>
      <c r="Z61" s="74">
        <f t="shared" si="22"/>
        <v>0</v>
      </c>
      <c r="AA61" s="81"/>
      <c r="AB61" s="81"/>
      <c r="AC61" s="81"/>
      <c r="AD61" s="81"/>
      <c r="AE61" s="74">
        <f t="shared" si="23"/>
        <v>0</v>
      </c>
      <c r="AF61" s="74">
        <f t="shared" si="23"/>
        <v>0</v>
      </c>
      <c r="AG61" s="74">
        <f t="shared" si="24"/>
        <v>0</v>
      </c>
      <c r="AH61" s="74">
        <f t="shared" si="25"/>
        <v>0</v>
      </c>
      <c r="AI61" s="74">
        <f t="shared" si="25"/>
        <v>917</v>
      </c>
      <c r="AJ61" s="74">
        <f t="shared" si="26"/>
        <v>917</v>
      </c>
      <c r="AK61" s="74">
        <f t="shared" si="27"/>
        <v>917</v>
      </c>
      <c r="AL61" s="74">
        <f t="shared" si="27"/>
        <v>917</v>
      </c>
      <c r="AM61" s="81"/>
      <c r="AN61" s="81"/>
      <c r="AO61" s="81"/>
      <c r="AP61" s="81"/>
      <c r="AQ61" s="74">
        <f t="shared" si="28"/>
        <v>0</v>
      </c>
      <c r="AR61" s="74">
        <f t="shared" si="28"/>
        <v>0</v>
      </c>
      <c r="AS61" s="81"/>
      <c r="AT61" s="81"/>
      <c r="AU61" s="81"/>
      <c r="AV61" s="81"/>
      <c r="AW61" s="74">
        <f t="shared" si="29"/>
        <v>0</v>
      </c>
      <c r="AX61" s="74">
        <f t="shared" si="29"/>
        <v>0</v>
      </c>
      <c r="AY61" s="81"/>
      <c r="AZ61" s="81"/>
      <c r="BA61" s="81"/>
      <c r="BB61" s="81"/>
      <c r="BC61" s="74">
        <f t="shared" si="30"/>
        <v>0</v>
      </c>
      <c r="BD61" s="74"/>
      <c r="BE61" s="74">
        <f t="shared" si="49"/>
        <v>0</v>
      </c>
      <c r="BF61" s="81"/>
      <c r="BG61" s="81"/>
      <c r="BH61" s="81"/>
      <c r="BI61" s="81"/>
      <c r="BJ61" s="74">
        <f t="shared" si="31"/>
        <v>0</v>
      </c>
      <c r="BK61" s="74"/>
      <c r="BL61" s="74">
        <f t="shared" si="50"/>
        <v>0</v>
      </c>
      <c r="BM61" s="81"/>
      <c r="BN61" s="81"/>
      <c r="BO61" s="81"/>
      <c r="BP61" s="81"/>
      <c r="BQ61" s="74">
        <f t="shared" si="32"/>
        <v>0</v>
      </c>
      <c r="BR61" s="74">
        <f t="shared" si="32"/>
        <v>0</v>
      </c>
      <c r="BS61" s="81"/>
      <c r="BT61" s="81"/>
      <c r="BU61" s="81"/>
      <c r="BV61" s="81"/>
      <c r="BW61" s="74">
        <f t="shared" si="33"/>
        <v>0</v>
      </c>
      <c r="BX61" s="74">
        <f t="shared" si="33"/>
        <v>0</v>
      </c>
      <c r="BY61" s="81"/>
      <c r="BZ61" s="81"/>
      <c r="CA61" s="81"/>
      <c r="CB61" s="81"/>
      <c r="CC61" s="74">
        <f t="shared" si="34"/>
        <v>0</v>
      </c>
      <c r="CD61" s="74">
        <f t="shared" si="34"/>
        <v>0</v>
      </c>
      <c r="CE61" s="81"/>
      <c r="CF61" s="81"/>
      <c r="CG61" s="81"/>
      <c r="CH61" s="81"/>
      <c r="CI61" s="74">
        <f t="shared" si="35"/>
        <v>0</v>
      </c>
      <c r="CJ61" s="74">
        <f t="shared" si="35"/>
        <v>0</v>
      </c>
      <c r="CK61" s="81"/>
      <c r="CL61" s="81"/>
      <c r="CM61" s="81"/>
      <c r="CN61" s="81"/>
      <c r="CO61" s="74">
        <f t="shared" si="36"/>
        <v>0</v>
      </c>
      <c r="CP61" s="74">
        <f t="shared" si="36"/>
        <v>0</v>
      </c>
      <c r="CQ61" s="81"/>
      <c r="CR61" s="81"/>
      <c r="CS61" s="81"/>
      <c r="CT61" s="81"/>
      <c r="CU61" s="74">
        <f t="shared" si="37"/>
        <v>0</v>
      </c>
      <c r="CV61" s="74">
        <f t="shared" si="37"/>
        <v>0</v>
      </c>
      <c r="CW61" s="81"/>
      <c r="CX61" s="81"/>
      <c r="CY61" s="81"/>
      <c r="CZ61" s="81"/>
      <c r="DA61" s="74">
        <f t="shared" si="38"/>
        <v>0</v>
      </c>
      <c r="DB61" s="74">
        <f t="shared" si="38"/>
        <v>0</v>
      </c>
      <c r="DC61" s="81"/>
      <c r="DD61" s="81"/>
      <c r="DE61" s="81"/>
      <c r="DF61" s="81"/>
      <c r="DG61" s="74">
        <f t="shared" si="39"/>
        <v>0</v>
      </c>
      <c r="DH61" s="74">
        <f t="shared" si="39"/>
        <v>0</v>
      </c>
      <c r="DI61" s="74">
        <f t="shared" si="51"/>
        <v>0</v>
      </c>
      <c r="DJ61" s="74">
        <f t="shared" si="52"/>
        <v>0</v>
      </c>
      <c r="DK61" s="74">
        <f t="shared" si="53"/>
        <v>0</v>
      </c>
      <c r="DL61" s="74">
        <f t="shared" si="54"/>
        <v>0</v>
      </c>
      <c r="DM61" s="74">
        <f t="shared" si="40"/>
        <v>0</v>
      </c>
      <c r="DN61" s="74">
        <f t="shared" si="40"/>
        <v>0</v>
      </c>
    </row>
    <row r="62" spans="1:118">
      <c r="A62" s="25">
        <v>54</v>
      </c>
      <c r="B62" s="26" t="s">
        <v>581</v>
      </c>
      <c r="C62" s="26" t="s">
        <v>658</v>
      </c>
      <c r="D62" s="26" t="s">
        <v>660</v>
      </c>
      <c r="E62" s="205" t="s">
        <v>1165</v>
      </c>
      <c r="F62" s="161">
        <f t="shared" si="15"/>
        <v>25000</v>
      </c>
      <c r="G62" s="161">
        <f t="shared" si="57"/>
        <v>0</v>
      </c>
      <c r="H62" s="165">
        <f t="shared" si="16"/>
        <v>25000</v>
      </c>
      <c r="I62" s="80">
        <v>98294</v>
      </c>
      <c r="J62" s="127">
        <v>0</v>
      </c>
      <c r="K62" s="127">
        <v>0</v>
      </c>
      <c r="L62" s="127">
        <f t="shared" si="17"/>
        <v>0</v>
      </c>
      <c r="M62" s="127">
        <f t="shared" si="18"/>
        <v>0</v>
      </c>
      <c r="N62" s="127">
        <f t="shared" si="19"/>
        <v>0</v>
      </c>
      <c r="O62" s="131">
        <f t="shared" si="20"/>
        <v>25000</v>
      </c>
      <c r="P62" s="125" t="str">
        <f t="shared" si="21"/>
        <v>ნულოვანი შესრულება</v>
      </c>
      <c r="Q62" s="81"/>
      <c r="R62" s="81"/>
      <c r="S62" s="81">
        <f t="shared" si="42"/>
        <v>0</v>
      </c>
      <c r="T62" s="81">
        <f t="shared" si="41"/>
        <v>0</v>
      </c>
      <c r="U62" s="81"/>
      <c r="V62" s="81"/>
      <c r="W62" s="81"/>
      <c r="X62" s="81"/>
      <c r="Y62" s="74">
        <f t="shared" si="22"/>
        <v>0</v>
      </c>
      <c r="Z62" s="74">
        <f t="shared" si="22"/>
        <v>0</v>
      </c>
      <c r="AA62" s="81"/>
      <c r="AB62" s="81"/>
      <c r="AC62" s="81"/>
      <c r="AD62" s="81"/>
      <c r="AE62" s="74">
        <f t="shared" si="23"/>
        <v>0</v>
      </c>
      <c r="AF62" s="74">
        <f t="shared" si="23"/>
        <v>0</v>
      </c>
      <c r="AG62" s="74">
        <f t="shared" si="24"/>
        <v>0</v>
      </c>
      <c r="AH62" s="74">
        <f t="shared" si="25"/>
        <v>0</v>
      </c>
      <c r="AI62" s="74">
        <f t="shared" si="25"/>
        <v>0</v>
      </c>
      <c r="AJ62" s="74">
        <f t="shared" si="26"/>
        <v>0</v>
      </c>
      <c r="AK62" s="74">
        <f t="shared" si="27"/>
        <v>0</v>
      </c>
      <c r="AL62" s="74">
        <f t="shared" si="27"/>
        <v>0</v>
      </c>
      <c r="AM62" s="81"/>
      <c r="AN62" s="81"/>
      <c r="AO62" s="81"/>
      <c r="AP62" s="81"/>
      <c r="AQ62" s="74">
        <f t="shared" si="28"/>
        <v>0</v>
      </c>
      <c r="AR62" s="74">
        <f t="shared" si="28"/>
        <v>0</v>
      </c>
      <c r="AS62" s="81"/>
      <c r="AT62" s="81"/>
      <c r="AU62" s="81"/>
      <c r="AV62" s="81"/>
      <c r="AW62" s="74">
        <f t="shared" si="29"/>
        <v>0</v>
      </c>
      <c r="AX62" s="74">
        <f t="shared" si="29"/>
        <v>0</v>
      </c>
      <c r="AY62" s="81"/>
      <c r="AZ62" s="81"/>
      <c r="BA62" s="81"/>
      <c r="BB62" s="81"/>
      <c r="BC62" s="74">
        <f t="shared" si="30"/>
        <v>0</v>
      </c>
      <c r="BD62" s="74"/>
      <c r="BE62" s="74">
        <f t="shared" si="49"/>
        <v>0</v>
      </c>
      <c r="BF62" s="81"/>
      <c r="BG62" s="81"/>
      <c r="BH62" s="81"/>
      <c r="BI62" s="81"/>
      <c r="BJ62" s="74">
        <f t="shared" si="31"/>
        <v>0</v>
      </c>
      <c r="BK62" s="74"/>
      <c r="BL62" s="74">
        <f t="shared" si="50"/>
        <v>0</v>
      </c>
      <c r="BM62" s="81"/>
      <c r="BN62" s="81"/>
      <c r="BO62" s="81"/>
      <c r="BP62" s="81"/>
      <c r="BQ62" s="74">
        <f t="shared" si="32"/>
        <v>0</v>
      </c>
      <c r="BR62" s="74">
        <f t="shared" si="32"/>
        <v>0</v>
      </c>
      <c r="BS62" s="81"/>
      <c r="BT62" s="81"/>
      <c r="BU62" s="81"/>
      <c r="BV62" s="81"/>
      <c r="BW62" s="74"/>
      <c r="BX62" s="74">
        <f t="shared" si="33"/>
        <v>0</v>
      </c>
      <c r="BY62" s="81"/>
      <c r="BZ62" s="81"/>
      <c r="CA62" s="81"/>
      <c r="CB62" s="81"/>
      <c r="CC62" s="74">
        <f t="shared" si="34"/>
        <v>0</v>
      </c>
      <c r="CD62" s="74">
        <f t="shared" si="34"/>
        <v>0</v>
      </c>
      <c r="CE62" s="81"/>
      <c r="CF62" s="81"/>
      <c r="CG62" s="81"/>
      <c r="CH62" s="81"/>
      <c r="CI62" s="74">
        <f t="shared" si="35"/>
        <v>0</v>
      </c>
      <c r="CJ62" s="74">
        <f t="shared" si="35"/>
        <v>0</v>
      </c>
      <c r="CK62" s="81"/>
      <c r="CL62" s="81"/>
      <c r="CM62" s="81">
        <v>25000</v>
      </c>
      <c r="CN62" s="81"/>
      <c r="CO62" s="74">
        <f t="shared" si="36"/>
        <v>25000</v>
      </c>
      <c r="CP62" s="74">
        <f t="shared" si="36"/>
        <v>0</v>
      </c>
      <c r="CQ62" s="81"/>
      <c r="CR62" s="81"/>
      <c r="CS62" s="81"/>
      <c r="CT62" s="81"/>
      <c r="CU62" s="74">
        <f t="shared" si="37"/>
        <v>0</v>
      </c>
      <c r="CV62" s="74">
        <f t="shared" si="37"/>
        <v>0</v>
      </c>
      <c r="CW62" s="81"/>
      <c r="CX62" s="81"/>
      <c r="CY62" s="81"/>
      <c r="CZ62" s="81"/>
      <c r="DA62" s="74">
        <f t="shared" si="38"/>
        <v>0</v>
      </c>
      <c r="DB62" s="74">
        <f t="shared" si="38"/>
        <v>0</v>
      </c>
      <c r="DC62" s="81"/>
      <c r="DD62" s="81"/>
      <c r="DE62" s="81"/>
      <c r="DF62" s="81"/>
      <c r="DG62" s="74">
        <f t="shared" si="39"/>
        <v>0</v>
      </c>
      <c r="DH62" s="74">
        <f t="shared" si="39"/>
        <v>0</v>
      </c>
      <c r="DI62" s="74">
        <f t="shared" si="51"/>
        <v>0</v>
      </c>
      <c r="DJ62" s="74">
        <f t="shared" si="52"/>
        <v>0</v>
      </c>
      <c r="DK62" s="74">
        <f t="shared" si="53"/>
        <v>25000</v>
      </c>
      <c r="DL62" s="74">
        <f t="shared" si="54"/>
        <v>0</v>
      </c>
      <c r="DM62" s="74">
        <f t="shared" si="40"/>
        <v>25000</v>
      </c>
      <c r="DN62" s="74">
        <f t="shared" si="40"/>
        <v>0</v>
      </c>
    </row>
    <row r="63" spans="1:118">
      <c r="A63" s="25">
        <v>55</v>
      </c>
      <c r="B63" s="26" t="s">
        <v>569</v>
      </c>
      <c r="C63" s="26" t="s">
        <v>661</v>
      </c>
      <c r="D63" s="26" t="s">
        <v>662</v>
      </c>
      <c r="E63" s="205" t="s">
        <v>1164</v>
      </c>
      <c r="F63" s="161">
        <f t="shared" si="15"/>
        <v>0</v>
      </c>
      <c r="G63" s="161">
        <f t="shared" si="57"/>
        <v>0</v>
      </c>
      <c r="H63" s="165">
        <f t="shared" si="16"/>
        <v>1135.75</v>
      </c>
      <c r="I63" s="80">
        <v>0</v>
      </c>
      <c r="J63" s="127">
        <v>0</v>
      </c>
      <c r="K63" s="127">
        <v>0</v>
      </c>
      <c r="L63" s="127">
        <f t="shared" si="17"/>
        <v>1135.75</v>
      </c>
      <c r="M63" s="127">
        <f t="shared" si="18"/>
        <v>1135.75</v>
      </c>
      <c r="N63" s="127">
        <f t="shared" si="19"/>
        <v>1135.75</v>
      </c>
      <c r="O63" s="131">
        <f t="shared" si="20"/>
        <v>0</v>
      </c>
      <c r="P63" s="125">
        <f t="shared" si="21"/>
        <v>1135.75</v>
      </c>
      <c r="Q63" s="81"/>
      <c r="R63" s="81">
        <v>1135.75</v>
      </c>
      <c r="S63" s="81">
        <f t="shared" si="42"/>
        <v>0</v>
      </c>
      <c r="T63" s="81">
        <f t="shared" si="41"/>
        <v>1135.75</v>
      </c>
      <c r="U63" s="81"/>
      <c r="V63" s="81"/>
      <c r="W63" s="81"/>
      <c r="X63" s="81"/>
      <c r="Y63" s="74">
        <f t="shared" si="22"/>
        <v>0</v>
      </c>
      <c r="Z63" s="74">
        <f t="shared" si="22"/>
        <v>0</v>
      </c>
      <c r="AA63" s="81"/>
      <c r="AB63" s="81"/>
      <c r="AC63" s="81"/>
      <c r="AD63" s="81"/>
      <c r="AE63" s="74">
        <f t="shared" si="23"/>
        <v>0</v>
      </c>
      <c r="AF63" s="74">
        <f t="shared" si="23"/>
        <v>0</v>
      </c>
      <c r="AG63" s="74">
        <f t="shared" si="24"/>
        <v>0</v>
      </c>
      <c r="AH63" s="74">
        <f t="shared" si="25"/>
        <v>0</v>
      </c>
      <c r="AI63" s="74">
        <f t="shared" si="25"/>
        <v>1135.75</v>
      </c>
      <c r="AJ63" s="74">
        <f t="shared" si="26"/>
        <v>1135.75</v>
      </c>
      <c r="AK63" s="74">
        <f t="shared" si="27"/>
        <v>1135.75</v>
      </c>
      <c r="AL63" s="74">
        <f t="shared" si="27"/>
        <v>1135.75</v>
      </c>
      <c r="AM63" s="81"/>
      <c r="AN63" s="81"/>
      <c r="AO63" s="81"/>
      <c r="AP63" s="81"/>
      <c r="AQ63" s="74">
        <f t="shared" si="28"/>
        <v>0</v>
      </c>
      <c r="AR63" s="74">
        <f t="shared" si="28"/>
        <v>0</v>
      </c>
      <c r="AS63" s="81"/>
      <c r="AT63" s="81"/>
      <c r="AU63" s="81"/>
      <c r="AV63" s="81"/>
      <c r="AW63" s="74">
        <f t="shared" si="29"/>
        <v>0</v>
      </c>
      <c r="AX63" s="74">
        <f t="shared" si="29"/>
        <v>0</v>
      </c>
      <c r="AY63" s="81"/>
      <c r="AZ63" s="81"/>
      <c r="BA63" s="81"/>
      <c r="BB63" s="81"/>
      <c r="BC63" s="74">
        <f t="shared" si="30"/>
        <v>0</v>
      </c>
      <c r="BD63" s="74"/>
      <c r="BE63" s="74">
        <f t="shared" si="49"/>
        <v>0</v>
      </c>
      <c r="BF63" s="81"/>
      <c r="BG63" s="81"/>
      <c r="BH63" s="81"/>
      <c r="BI63" s="81"/>
      <c r="BJ63" s="74">
        <f t="shared" si="31"/>
        <v>0</v>
      </c>
      <c r="BK63" s="74"/>
      <c r="BL63" s="74">
        <f t="shared" si="50"/>
        <v>0</v>
      </c>
      <c r="BM63" s="81"/>
      <c r="BN63" s="81"/>
      <c r="BO63" s="81"/>
      <c r="BP63" s="81"/>
      <c r="BQ63" s="74">
        <f t="shared" si="32"/>
        <v>0</v>
      </c>
      <c r="BR63" s="74">
        <f t="shared" si="32"/>
        <v>0</v>
      </c>
      <c r="BS63" s="81"/>
      <c r="BT63" s="81"/>
      <c r="BU63" s="81"/>
      <c r="BV63" s="81"/>
      <c r="BW63" s="74">
        <f t="shared" si="33"/>
        <v>0</v>
      </c>
      <c r="BX63" s="74">
        <f t="shared" si="33"/>
        <v>0</v>
      </c>
      <c r="BY63" s="81"/>
      <c r="BZ63" s="81"/>
      <c r="CA63" s="81"/>
      <c r="CB63" s="81"/>
      <c r="CC63" s="74">
        <f t="shared" si="34"/>
        <v>0</v>
      </c>
      <c r="CD63" s="74">
        <f t="shared" si="34"/>
        <v>0</v>
      </c>
      <c r="CE63" s="81"/>
      <c r="CF63" s="81"/>
      <c r="CG63" s="81"/>
      <c r="CH63" s="81"/>
      <c r="CI63" s="74">
        <f t="shared" si="35"/>
        <v>0</v>
      </c>
      <c r="CJ63" s="74">
        <f t="shared" si="35"/>
        <v>0</v>
      </c>
      <c r="CK63" s="81"/>
      <c r="CL63" s="81"/>
      <c r="CM63" s="81"/>
      <c r="CN63" s="81"/>
      <c r="CO63" s="74">
        <f t="shared" si="36"/>
        <v>0</v>
      </c>
      <c r="CP63" s="74">
        <f t="shared" si="36"/>
        <v>0</v>
      </c>
      <c r="CQ63" s="81"/>
      <c r="CR63" s="81"/>
      <c r="CS63" s="81"/>
      <c r="CT63" s="81"/>
      <c r="CU63" s="74">
        <f t="shared" si="37"/>
        <v>0</v>
      </c>
      <c r="CV63" s="74">
        <f t="shared" si="37"/>
        <v>0</v>
      </c>
      <c r="CW63" s="81"/>
      <c r="CX63" s="81"/>
      <c r="CY63" s="81"/>
      <c r="CZ63" s="81"/>
      <c r="DA63" s="74">
        <f t="shared" si="38"/>
        <v>0</v>
      </c>
      <c r="DB63" s="74">
        <f t="shared" si="38"/>
        <v>0</v>
      </c>
      <c r="DC63" s="81"/>
      <c r="DD63" s="81"/>
      <c r="DE63" s="81"/>
      <c r="DF63" s="81"/>
      <c r="DG63" s="74">
        <f t="shared" si="39"/>
        <v>0</v>
      </c>
      <c r="DH63" s="74">
        <f t="shared" si="39"/>
        <v>0</v>
      </c>
      <c r="DI63" s="74">
        <f t="shared" si="51"/>
        <v>0</v>
      </c>
      <c r="DJ63" s="74">
        <f t="shared" si="52"/>
        <v>0</v>
      </c>
      <c r="DK63" s="74">
        <f t="shared" si="53"/>
        <v>0</v>
      </c>
      <c r="DL63" s="74">
        <f t="shared" si="54"/>
        <v>0</v>
      </c>
      <c r="DM63" s="74">
        <f t="shared" si="40"/>
        <v>0</v>
      </c>
      <c r="DN63" s="74">
        <f t="shared" si="40"/>
        <v>0</v>
      </c>
    </row>
    <row r="64" spans="1:118">
      <c r="A64" s="25">
        <v>56</v>
      </c>
      <c r="B64" s="26" t="s">
        <v>569</v>
      </c>
      <c r="C64" s="26" t="s">
        <v>661</v>
      </c>
      <c r="D64" s="26" t="s">
        <v>663</v>
      </c>
      <c r="E64" s="205" t="s">
        <v>1165</v>
      </c>
      <c r="F64" s="161">
        <f t="shared" si="15"/>
        <v>0</v>
      </c>
      <c r="G64" s="161">
        <f t="shared" si="57"/>
        <v>0</v>
      </c>
      <c r="H64" s="165">
        <f t="shared" si="16"/>
        <v>32964.85385331804</v>
      </c>
      <c r="I64" s="80">
        <v>68381</v>
      </c>
      <c r="J64" s="127">
        <v>0</v>
      </c>
      <c r="K64" s="127">
        <v>0</v>
      </c>
      <c r="L64" s="127">
        <f t="shared" si="17"/>
        <v>32964.85385331804</v>
      </c>
      <c r="M64" s="127">
        <f t="shared" si="18"/>
        <v>32964.85385331804</v>
      </c>
      <c r="N64" s="127">
        <f t="shared" si="19"/>
        <v>32964.85385331804</v>
      </c>
      <c r="O64" s="131">
        <f t="shared" si="20"/>
        <v>0</v>
      </c>
      <c r="P64" s="125">
        <f t="shared" si="21"/>
        <v>32964.85385331804</v>
      </c>
      <c r="Q64" s="81"/>
      <c r="R64" s="81">
        <v>32964.85385331804</v>
      </c>
      <c r="S64" s="81">
        <f t="shared" si="42"/>
        <v>0</v>
      </c>
      <c r="T64" s="81">
        <f t="shared" si="41"/>
        <v>32964.85385331804</v>
      </c>
      <c r="U64" s="81"/>
      <c r="V64" s="81"/>
      <c r="W64" s="81"/>
      <c r="X64" s="81"/>
      <c r="Y64" s="74">
        <f t="shared" si="22"/>
        <v>0</v>
      </c>
      <c r="Z64" s="74">
        <f t="shared" si="22"/>
        <v>0</v>
      </c>
      <c r="AA64" s="81"/>
      <c r="AB64" s="81"/>
      <c r="AC64" s="81"/>
      <c r="AD64" s="81"/>
      <c r="AE64" s="74">
        <f t="shared" si="23"/>
        <v>0</v>
      </c>
      <c r="AF64" s="74">
        <f t="shared" si="23"/>
        <v>0</v>
      </c>
      <c r="AG64" s="74">
        <f t="shared" si="24"/>
        <v>0</v>
      </c>
      <c r="AH64" s="74">
        <f t="shared" si="25"/>
        <v>0</v>
      </c>
      <c r="AI64" s="74">
        <f t="shared" si="25"/>
        <v>32964.85385331804</v>
      </c>
      <c r="AJ64" s="74">
        <f t="shared" si="26"/>
        <v>32964.85385331804</v>
      </c>
      <c r="AK64" s="74">
        <f t="shared" si="27"/>
        <v>32964.85385331804</v>
      </c>
      <c r="AL64" s="74">
        <f t="shared" si="27"/>
        <v>32964.85385331804</v>
      </c>
      <c r="AM64" s="81"/>
      <c r="AN64" s="81"/>
      <c r="AO64" s="81"/>
      <c r="AP64" s="81"/>
      <c r="AQ64" s="74">
        <f t="shared" si="28"/>
        <v>0</v>
      </c>
      <c r="AR64" s="74">
        <f t="shared" si="28"/>
        <v>0</v>
      </c>
      <c r="AS64" s="81"/>
      <c r="AT64" s="81"/>
      <c r="AU64" s="81"/>
      <c r="AV64" s="81"/>
      <c r="AW64" s="74">
        <f t="shared" si="29"/>
        <v>0</v>
      </c>
      <c r="AX64" s="74">
        <f t="shared" si="29"/>
        <v>0</v>
      </c>
      <c r="AY64" s="81"/>
      <c r="AZ64" s="81"/>
      <c r="BA64" s="81"/>
      <c r="BB64" s="81"/>
      <c r="BC64" s="74">
        <f t="shared" si="30"/>
        <v>0</v>
      </c>
      <c r="BD64" s="74"/>
      <c r="BE64" s="74">
        <f t="shared" si="49"/>
        <v>0</v>
      </c>
      <c r="BF64" s="81"/>
      <c r="BG64" s="81"/>
      <c r="BH64" s="81"/>
      <c r="BI64" s="81"/>
      <c r="BJ64" s="74">
        <f t="shared" si="31"/>
        <v>0</v>
      </c>
      <c r="BK64" s="74"/>
      <c r="BL64" s="74">
        <f t="shared" si="50"/>
        <v>0</v>
      </c>
      <c r="BM64" s="81"/>
      <c r="BN64" s="81"/>
      <c r="BO64" s="81"/>
      <c r="BP64" s="81"/>
      <c r="BQ64" s="74">
        <f t="shared" si="32"/>
        <v>0</v>
      </c>
      <c r="BR64" s="74">
        <f t="shared" si="32"/>
        <v>0</v>
      </c>
      <c r="BS64" s="81"/>
      <c r="BT64" s="81"/>
      <c r="BU64" s="81"/>
      <c r="BV64" s="81"/>
      <c r="BW64" s="74">
        <f t="shared" si="33"/>
        <v>0</v>
      </c>
      <c r="BX64" s="74">
        <f t="shared" si="33"/>
        <v>0</v>
      </c>
      <c r="BY64" s="81"/>
      <c r="BZ64" s="81"/>
      <c r="CA64" s="81"/>
      <c r="CB64" s="81"/>
      <c r="CC64" s="74">
        <f t="shared" si="34"/>
        <v>0</v>
      </c>
      <c r="CD64" s="74">
        <f t="shared" si="34"/>
        <v>0</v>
      </c>
      <c r="CE64" s="81"/>
      <c r="CF64" s="81"/>
      <c r="CG64" s="81"/>
      <c r="CH64" s="81"/>
      <c r="CI64" s="74">
        <f t="shared" si="35"/>
        <v>0</v>
      </c>
      <c r="CJ64" s="74">
        <f t="shared" si="35"/>
        <v>0</v>
      </c>
      <c r="CK64" s="81"/>
      <c r="CL64" s="81"/>
      <c r="CM64" s="81"/>
      <c r="CN64" s="81"/>
      <c r="CO64" s="74">
        <f t="shared" si="36"/>
        <v>0</v>
      </c>
      <c r="CP64" s="74">
        <f t="shared" si="36"/>
        <v>0</v>
      </c>
      <c r="CQ64" s="81"/>
      <c r="CR64" s="81"/>
      <c r="CS64" s="81"/>
      <c r="CT64" s="81"/>
      <c r="CU64" s="74">
        <f t="shared" si="37"/>
        <v>0</v>
      </c>
      <c r="CV64" s="74">
        <f t="shared" si="37"/>
        <v>0</v>
      </c>
      <c r="CW64" s="81"/>
      <c r="CX64" s="81"/>
      <c r="CY64" s="81"/>
      <c r="CZ64" s="81"/>
      <c r="DA64" s="74">
        <f t="shared" si="38"/>
        <v>0</v>
      </c>
      <c r="DB64" s="74">
        <f t="shared" si="38"/>
        <v>0</v>
      </c>
      <c r="DC64" s="81"/>
      <c r="DD64" s="81"/>
      <c r="DE64" s="81"/>
      <c r="DF64" s="81"/>
      <c r="DG64" s="74">
        <f t="shared" si="39"/>
        <v>0</v>
      </c>
      <c r="DH64" s="74">
        <f t="shared" si="39"/>
        <v>0</v>
      </c>
      <c r="DI64" s="74">
        <f t="shared" si="51"/>
        <v>0</v>
      </c>
      <c r="DJ64" s="74">
        <f t="shared" si="52"/>
        <v>0</v>
      </c>
      <c r="DK64" s="74">
        <f t="shared" si="53"/>
        <v>0</v>
      </c>
      <c r="DL64" s="74">
        <f t="shared" si="54"/>
        <v>0</v>
      </c>
      <c r="DM64" s="74">
        <f t="shared" si="40"/>
        <v>0</v>
      </c>
      <c r="DN64" s="74">
        <f t="shared" si="40"/>
        <v>0</v>
      </c>
    </row>
    <row r="65" spans="1:118">
      <c r="A65" s="25">
        <v>57</v>
      </c>
      <c r="B65" s="26" t="s">
        <v>581</v>
      </c>
      <c r="C65" s="26"/>
      <c r="D65" s="26" t="s">
        <v>664</v>
      </c>
      <c r="E65" s="205" t="s">
        <v>1191</v>
      </c>
      <c r="F65" s="161">
        <f t="shared" si="15"/>
        <v>0</v>
      </c>
      <c r="G65" s="161">
        <f t="shared" si="57"/>
        <v>382563.43</v>
      </c>
      <c r="H65" s="165">
        <f t="shared" si="16"/>
        <v>0</v>
      </c>
      <c r="I65" s="207"/>
      <c r="J65" s="127">
        <v>0</v>
      </c>
      <c r="K65" s="127">
        <v>0</v>
      </c>
      <c r="L65" s="127">
        <f t="shared" si="17"/>
        <v>0</v>
      </c>
      <c r="M65" s="127">
        <f t="shared" si="18"/>
        <v>0</v>
      </c>
      <c r="N65" s="127">
        <f t="shared" si="19"/>
        <v>0</v>
      </c>
      <c r="O65" s="131">
        <f t="shared" si="20"/>
        <v>0</v>
      </c>
      <c r="P65" s="125">
        <f t="shared" si="21"/>
        <v>382563.43</v>
      </c>
      <c r="Q65" s="81"/>
      <c r="R65" s="81">
        <v>0</v>
      </c>
      <c r="S65" s="81">
        <v>0</v>
      </c>
      <c r="T65" s="81">
        <f t="shared" si="41"/>
        <v>0</v>
      </c>
      <c r="U65" s="81"/>
      <c r="V65" s="81"/>
      <c r="W65" s="81"/>
      <c r="X65" s="81"/>
      <c r="Y65" s="74">
        <f t="shared" si="22"/>
        <v>0</v>
      </c>
      <c r="Z65" s="74">
        <f t="shared" si="22"/>
        <v>0</v>
      </c>
      <c r="AA65" s="81"/>
      <c r="AB65" s="81"/>
      <c r="AC65" s="81"/>
      <c r="AD65" s="81"/>
      <c r="AE65" s="74">
        <f t="shared" si="23"/>
        <v>0</v>
      </c>
      <c r="AF65" s="74">
        <f t="shared" si="23"/>
        <v>0</v>
      </c>
      <c r="AG65" s="74">
        <f t="shared" si="24"/>
        <v>0</v>
      </c>
      <c r="AH65" s="74">
        <f t="shared" si="25"/>
        <v>0</v>
      </c>
      <c r="AI65" s="74">
        <f t="shared" si="25"/>
        <v>0</v>
      </c>
      <c r="AJ65" s="74">
        <f t="shared" si="26"/>
        <v>0</v>
      </c>
      <c r="AK65" s="74">
        <f t="shared" si="27"/>
        <v>0</v>
      </c>
      <c r="AL65" s="74">
        <f t="shared" si="27"/>
        <v>0</v>
      </c>
      <c r="AM65" s="81"/>
      <c r="AN65" s="81"/>
      <c r="AO65" s="81">
        <v>0</v>
      </c>
      <c r="AP65" s="81"/>
      <c r="AQ65" s="74">
        <f t="shared" si="28"/>
        <v>0</v>
      </c>
      <c r="AR65" s="74">
        <f t="shared" si="28"/>
        <v>0</v>
      </c>
      <c r="AS65" s="81"/>
      <c r="AT65" s="81"/>
      <c r="AU65" s="81"/>
      <c r="AV65" s="81"/>
      <c r="AW65" s="74">
        <f t="shared" si="29"/>
        <v>0</v>
      </c>
      <c r="AX65" s="74">
        <f t="shared" si="29"/>
        <v>0</v>
      </c>
      <c r="AY65" s="81"/>
      <c r="AZ65" s="81"/>
      <c r="BA65" s="81"/>
      <c r="BB65" s="81"/>
      <c r="BC65" s="74">
        <f t="shared" si="30"/>
        <v>0</v>
      </c>
      <c r="BD65" s="74">
        <v>400000</v>
      </c>
      <c r="BE65" s="74">
        <f t="shared" si="49"/>
        <v>0</v>
      </c>
      <c r="BF65" s="81"/>
      <c r="BG65" s="81"/>
      <c r="BH65" s="81"/>
      <c r="BI65" s="81">
        <v>382563.43</v>
      </c>
      <c r="BJ65" s="74">
        <f t="shared" si="31"/>
        <v>0</v>
      </c>
      <c r="BK65" s="74"/>
      <c r="BL65" s="74">
        <f t="shared" si="50"/>
        <v>382563.43</v>
      </c>
      <c r="BM65" s="81"/>
      <c r="BN65" s="81"/>
      <c r="BO65" s="81"/>
      <c r="BP65" s="81"/>
      <c r="BQ65" s="74">
        <f t="shared" si="32"/>
        <v>0</v>
      </c>
      <c r="BR65" s="74">
        <f t="shared" si="32"/>
        <v>0</v>
      </c>
      <c r="BS65" s="81"/>
      <c r="BT65" s="81"/>
      <c r="BU65" s="81"/>
      <c r="BV65" s="81"/>
      <c r="BW65" s="74">
        <f t="shared" si="33"/>
        <v>0</v>
      </c>
      <c r="BX65" s="74">
        <f t="shared" si="33"/>
        <v>0</v>
      </c>
      <c r="BY65" s="81"/>
      <c r="BZ65" s="81"/>
      <c r="CA65" s="81"/>
      <c r="CB65" s="81"/>
      <c r="CC65" s="74">
        <f t="shared" si="34"/>
        <v>0</v>
      </c>
      <c r="CD65" s="74">
        <f t="shared" si="34"/>
        <v>0</v>
      </c>
      <c r="CE65" s="81"/>
      <c r="CF65" s="81"/>
      <c r="CG65" s="81"/>
      <c r="CH65" s="81"/>
      <c r="CI65" s="74">
        <f t="shared" si="35"/>
        <v>0</v>
      </c>
      <c r="CJ65" s="74">
        <f t="shared" si="35"/>
        <v>0</v>
      </c>
      <c r="CK65" s="81"/>
      <c r="CL65" s="81"/>
      <c r="CM65" s="81"/>
      <c r="CN65" s="81"/>
      <c r="CO65" s="74">
        <f t="shared" si="36"/>
        <v>0</v>
      </c>
      <c r="CP65" s="74">
        <f t="shared" si="36"/>
        <v>0</v>
      </c>
      <c r="CQ65" s="81"/>
      <c r="CR65" s="81"/>
      <c r="CS65" s="81"/>
      <c r="CT65" s="81"/>
      <c r="CU65" s="74">
        <f t="shared" si="37"/>
        <v>0</v>
      </c>
      <c r="CV65" s="74">
        <f t="shared" si="37"/>
        <v>0</v>
      </c>
      <c r="CW65" s="81"/>
      <c r="CX65" s="81"/>
      <c r="CY65" s="81"/>
      <c r="CZ65" s="81"/>
      <c r="DA65" s="74">
        <f t="shared" si="38"/>
        <v>0</v>
      </c>
      <c r="DB65" s="74">
        <f t="shared" si="38"/>
        <v>0</v>
      </c>
      <c r="DC65" s="81"/>
      <c r="DD65" s="81"/>
      <c r="DE65" s="81"/>
      <c r="DF65" s="81"/>
      <c r="DG65" s="74">
        <f t="shared" si="39"/>
        <v>0</v>
      </c>
      <c r="DH65" s="74">
        <f t="shared" si="39"/>
        <v>0</v>
      </c>
      <c r="DI65" s="74">
        <f t="shared" si="51"/>
        <v>0</v>
      </c>
      <c r="DJ65" s="74">
        <f t="shared" si="52"/>
        <v>0</v>
      </c>
      <c r="DK65" s="74">
        <f t="shared" si="53"/>
        <v>0</v>
      </c>
      <c r="DL65" s="74">
        <f t="shared" si="54"/>
        <v>382563.43</v>
      </c>
      <c r="DM65" s="74">
        <f t="shared" si="40"/>
        <v>0</v>
      </c>
      <c r="DN65" s="74">
        <f t="shared" si="40"/>
        <v>382563.43</v>
      </c>
    </row>
    <row r="66" spans="1:118">
      <c r="A66" s="25">
        <v>58</v>
      </c>
      <c r="B66" s="26" t="s">
        <v>1218</v>
      </c>
      <c r="C66" s="26" t="s">
        <v>657</v>
      </c>
      <c r="D66" s="26" t="s">
        <v>1216</v>
      </c>
      <c r="E66" s="205" t="s">
        <v>1164</v>
      </c>
      <c r="F66" s="161">
        <f t="shared" ref="F66" si="58">SUM(DM66)</f>
        <v>0</v>
      </c>
      <c r="G66" s="161">
        <f t="shared" si="57"/>
        <v>0</v>
      </c>
      <c r="H66" s="165">
        <f t="shared" ref="H66" si="59">J66+AL66+DM66</f>
        <v>402.5</v>
      </c>
      <c r="I66" s="207"/>
      <c r="J66" s="236">
        <v>0</v>
      </c>
      <c r="K66" s="236">
        <v>0</v>
      </c>
      <c r="L66" s="127">
        <f t="shared" ref="L66" si="60">AL66</f>
        <v>402.5</v>
      </c>
      <c r="M66" s="127">
        <f t="shared" ref="M66" si="61">IF(AJ66&gt;0,J66+AL66-K66,0)</f>
        <v>402.5</v>
      </c>
      <c r="N66" s="127">
        <f t="shared" ref="N66" si="62">J66+L66</f>
        <v>402.5</v>
      </c>
      <c r="O66" s="131">
        <f t="shared" si="20"/>
        <v>0</v>
      </c>
      <c r="P66" s="125">
        <f t="shared" ref="P66" si="63">IF(AND(AJ66&gt;0,DL66&gt;0),"შეცდომაა! ერთზე მეტი ბოლო ჩაბარება!",IF(OR(AJ66&gt;0,DL66&gt;0,),IF(AJ66&gt;0,J66+AL66,J66+AL66+DN66),IF(AND(J66=0,L66=0,DN66=0),"ნულოვანი შესრულება","მიმდინარეობს")))</f>
        <v>402.5</v>
      </c>
      <c r="Q66" s="81"/>
      <c r="R66" s="81">
        <v>402.5</v>
      </c>
      <c r="S66" s="81">
        <v>0</v>
      </c>
      <c r="T66" s="81">
        <f t="shared" ref="T66" si="64">R66</f>
        <v>402.5</v>
      </c>
      <c r="U66" s="81"/>
      <c r="V66" s="81"/>
      <c r="W66" s="81"/>
      <c r="X66" s="81"/>
      <c r="Y66" s="74">
        <f t="shared" ref="Y66" si="65">U66+W66</f>
        <v>0</v>
      </c>
      <c r="Z66" s="74">
        <f t="shared" ref="Z66" si="66">V66+X66</f>
        <v>0</v>
      </c>
      <c r="AA66" s="81"/>
      <c r="AB66" s="81"/>
      <c r="AC66" s="81"/>
      <c r="AD66" s="81"/>
      <c r="AE66" s="74">
        <f t="shared" ref="AE66" si="67">AA66+AC66</f>
        <v>0</v>
      </c>
      <c r="AF66" s="74">
        <f t="shared" ref="AF66" si="68">AB66+AD66</f>
        <v>0</v>
      </c>
      <c r="AG66" s="74">
        <f t="shared" ref="AG66" si="69">Q66+U66+AA66</f>
        <v>0</v>
      </c>
      <c r="AH66" s="74">
        <f t="shared" ref="AH66" si="70">Q66+V66+AB66</f>
        <v>0</v>
      </c>
      <c r="AI66" s="74">
        <f t="shared" ref="AI66" si="71">R66+W66+AC66</f>
        <v>402.5</v>
      </c>
      <c r="AJ66" s="74">
        <f t="shared" ref="AJ66" si="72">R66+X66+AD66</f>
        <v>402.5</v>
      </c>
      <c r="AK66" s="74">
        <f t="shared" ref="AK66" si="73">AG66+AI66</f>
        <v>402.5</v>
      </c>
      <c r="AL66" s="74">
        <f t="shared" ref="AL66" si="74">AH66+AJ66</f>
        <v>402.5</v>
      </c>
      <c r="AM66" s="81"/>
      <c r="AN66" s="81"/>
      <c r="AO66" s="81">
        <v>0</v>
      </c>
      <c r="AP66" s="81"/>
      <c r="AQ66" s="74">
        <f t="shared" ref="AQ66" si="75">AM66+AO66</f>
        <v>0</v>
      </c>
      <c r="AR66" s="74">
        <f t="shared" ref="AR66" si="76">AN66+AP66</f>
        <v>0</v>
      </c>
      <c r="AS66" s="81"/>
      <c r="AT66" s="81"/>
      <c r="AU66" s="81"/>
      <c r="AV66" s="81"/>
      <c r="AW66" s="74">
        <f t="shared" ref="AW66" si="77">AS66+AU66</f>
        <v>0</v>
      </c>
      <c r="AX66" s="74">
        <f t="shared" ref="AX66" si="78">AT66+AV66</f>
        <v>0</v>
      </c>
      <c r="AY66" s="81"/>
      <c r="AZ66" s="81"/>
      <c r="BA66" s="81"/>
      <c r="BB66" s="81"/>
      <c r="BC66" s="74">
        <f t="shared" ref="BC66" si="79">AY66+BA66</f>
        <v>0</v>
      </c>
      <c r="BD66" s="74"/>
      <c r="BE66" s="74">
        <f t="shared" ref="BE66" si="80">AZ66+BB66</f>
        <v>0</v>
      </c>
      <c r="BF66" s="81"/>
      <c r="BG66" s="81"/>
      <c r="BH66" s="81"/>
      <c r="BI66" s="81"/>
      <c r="BJ66" s="74">
        <f t="shared" ref="BJ66" si="81">BF66+BH66</f>
        <v>0</v>
      </c>
      <c r="BK66" s="74"/>
      <c r="BL66" s="74">
        <f t="shared" ref="BL66" si="82">BG66+BI66</f>
        <v>0</v>
      </c>
      <c r="BM66" s="81"/>
      <c r="BN66" s="81"/>
      <c r="BO66" s="81"/>
      <c r="BP66" s="81"/>
      <c r="BQ66" s="74">
        <f t="shared" ref="BQ66" si="83">BM66+BO66</f>
        <v>0</v>
      </c>
      <c r="BR66" s="74">
        <f t="shared" ref="BR66" si="84">BN66+BP66</f>
        <v>0</v>
      </c>
      <c r="BS66" s="81"/>
      <c r="BT66" s="81"/>
      <c r="BU66" s="81"/>
      <c r="BV66" s="81"/>
      <c r="BW66" s="74">
        <f t="shared" ref="BW66" si="85">BS66+BU66</f>
        <v>0</v>
      </c>
      <c r="BX66" s="74">
        <f t="shared" ref="BX66" si="86">BT66+BV66</f>
        <v>0</v>
      </c>
      <c r="BY66" s="81"/>
      <c r="BZ66" s="81"/>
      <c r="CA66" s="81"/>
      <c r="CB66" s="81"/>
      <c r="CC66" s="74">
        <f t="shared" ref="CC66" si="87">BY66+CA66</f>
        <v>0</v>
      </c>
      <c r="CD66" s="74">
        <f t="shared" ref="CD66" si="88">BZ66+CB66</f>
        <v>0</v>
      </c>
      <c r="CE66" s="81"/>
      <c r="CF66" s="81"/>
      <c r="CG66" s="81"/>
      <c r="CH66" s="81"/>
      <c r="CI66" s="74">
        <f t="shared" ref="CI66" si="89">CE66+CG66</f>
        <v>0</v>
      </c>
      <c r="CJ66" s="74">
        <f t="shared" ref="CJ66" si="90">CF66+CH66</f>
        <v>0</v>
      </c>
      <c r="CK66" s="81"/>
      <c r="CL66" s="81"/>
      <c r="CM66" s="81"/>
      <c r="CN66" s="81"/>
      <c r="CO66" s="74">
        <f t="shared" ref="CO66" si="91">CK66+CM66</f>
        <v>0</v>
      </c>
      <c r="CP66" s="74">
        <f t="shared" ref="CP66" si="92">CL66+CN66</f>
        <v>0</v>
      </c>
      <c r="CQ66" s="81"/>
      <c r="CR66" s="81"/>
      <c r="CS66" s="81"/>
      <c r="CT66" s="81"/>
      <c r="CU66" s="74">
        <f t="shared" ref="CU66" si="93">CQ66+CS66</f>
        <v>0</v>
      </c>
      <c r="CV66" s="74">
        <f t="shared" ref="CV66" si="94">CR66+CT66</f>
        <v>0</v>
      </c>
      <c r="CW66" s="81"/>
      <c r="CX66" s="81"/>
      <c r="CY66" s="81"/>
      <c r="CZ66" s="81"/>
      <c r="DA66" s="74">
        <f t="shared" ref="DA66" si="95">CW66+CY66</f>
        <v>0</v>
      </c>
      <c r="DB66" s="74">
        <f t="shared" ref="DB66" si="96">CX66+CZ66</f>
        <v>0</v>
      </c>
      <c r="DC66" s="81"/>
      <c r="DD66" s="81"/>
      <c r="DE66" s="81"/>
      <c r="DF66" s="81"/>
      <c r="DG66" s="74">
        <f t="shared" ref="DG66" si="97">DC66+DE66</f>
        <v>0</v>
      </c>
      <c r="DH66" s="74">
        <f t="shared" ref="DH66" si="98">DD66+DF66</f>
        <v>0</v>
      </c>
      <c r="DI66" s="74">
        <f t="shared" ref="DI66" si="99">AM66+AS66+AY66+BF66+BM66+BS66+BY66+CE66+CK66+CQ66+CW66+DC66</f>
        <v>0</v>
      </c>
      <c r="DJ66" s="74">
        <f t="shared" ref="DJ66" si="100">AN66+AT66+AZ66+BG66+BN66+BT66+BZ66+CF66+CL66+CR66+CX66+DD66</f>
        <v>0</v>
      </c>
      <c r="DK66" s="74">
        <f t="shared" ref="DK66" si="101">AO66+AU66+BA66+BH66+BO66+BU66+CA66+CG66+CM66+CS66+CY66+DE66</f>
        <v>0</v>
      </c>
      <c r="DL66" s="74">
        <f t="shared" ref="DL66" si="102">AP66+AV66+BB66+BI66+BP66+BV66+CB66+CH66+CN66+CT66+CZ66+DF66</f>
        <v>0</v>
      </c>
      <c r="DM66" s="74">
        <f t="shared" ref="DM66" si="103">DI66+DK66</f>
        <v>0</v>
      </c>
      <c r="DN66" s="74">
        <f t="shared" ref="DN66" si="104">DJ66+DL66</f>
        <v>0</v>
      </c>
    </row>
    <row r="67" spans="1:118">
      <c r="A67" s="25">
        <v>59</v>
      </c>
      <c r="B67" s="26" t="s">
        <v>1218</v>
      </c>
      <c r="C67" s="26" t="s">
        <v>657</v>
      </c>
      <c r="D67" s="26" t="s">
        <v>1217</v>
      </c>
      <c r="E67" s="205" t="s">
        <v>1165</v>
      </c>
      <c r="F67" s="161">
        <f t="shared" ref="F67" si="105">SUM(DM67)</f>
        <v>0</v>
      </c>
      <c r="G67" s="161">
        <f t="shared" si="57"/>
        <v>0</v>
      </c>
      <c r="H67" s="165">
        <f t="shared" ref="H67" si="106">J67+AL67+DM67</f>
        <v>39117.160000000003</v>
      </c>
      <c r="I67" s="207">
        <v>9499</v>
      </c>
      <c r="J67" s="236">
        <v>0</v>
      </c>
      <c r="K67" s="236">
        <v>0</v>
      </c>
      <c r="L67" s="127">
        <f t="shared" ref="L67" si="107">AL67</f>
        <v>39117.160000000003</v>
      </c>
      <c r="M67" s="127">
        <f t="shared" ref="M67" si="108">IF(AJ67&gt;0,J67+AL67-K67,0)</f>
        <v>39117.160000000003</v>
      </c>
      <c r="N67" s="127">
        <f t="shared" ref="N67" si="109">J67+L67</f>
        <v>39117.160000000003</v>
      </c>
      <c r="O67" s="131">
        <f t="shared" si="20"/>
        <v>0</v>
      </c>
      <c r="P67" s="125">
        <f t="shared" ref="P67" si="110">IF(AND(AJ67&gt;0,DL67&gt;0),"შეცდომაა! ერთზე მეტი ბოლო ჩაბარება!",IF(OR(AJ67&gt;0,DL67&gt;0,),IF(AJ67&gt;0,J67+AL67,J67+AL67+DN67),IF(AND(J67=0,L67=0,DN67=0),"ნულოვანი შესრულება","მიმდინარეობს")))</f>
        <v>39117.160000000003</v>
      </c>
      <c r="Q67" s="81"/>
      <c r="R67" s="81">
        <v>39117.160000000003</v>
      </c>
      <c r="S67" s="81">
        <v>0</v>
      </c>
      <c r="T67" s="81">
        <f t="shared" ref="T67" si="111">R67</f>
        <v>39117.160000000003</v>
      </c>
      <c r="U67" s="81"/>
      <c r="V67" s="81"/>
      <c r="W67" s="81"/>
      <c r="X67" s="81"/>
      <c r="Y67" s="74">
        <f t="shared" ref="Y67" si="112">U67+W67</f>
        <v>0</v>
      </c>
      <c r="Z67" s="74">
        <f t="shared" ref="Z67" si="113">V67+X67</f>
        <v>0</v>
      </c>
      <c r="AA67" s="81"/>
      <c r="AB67" s="81"/>
      <c r="AC67" s="81"/>
      <c r="AD67" s="81"/>
      <c r="AE67" s="74">
        <f t="shared" ref="AE67" si="114">AA67+AC67</f>
        <v>0</v>
      </c>
      <c r="AF67" s="74">
        <f t="shared" ref="AF67" si="115">AB67+AD67</f>
        <v>0</v>
      </c>
      <c r="AG67" s="74">
        <f t="shared" ref="AG67" si="116">Q67+U67+AA67</f>
        <v>0</v>
      </c>
      <c r="AH67" s="74">
        <f t="shared" ref="AH67" si="117">Q67+V67+AB67</f>
        <v>0</v>
      </c>
      <c r="AI67" s="74">
        <f t="shared" ref="AI67" si="118">R67+W67+AC67</f>
        <v>39117.160000000003</v>
      </c>
      <c r="AJ67" s="74">
        <f t="shared" ref="AJ67" si="119">R67+X67+AD67</f>
        <v>39117.160000000003</v>
      </c>
      <c r="AK67" s="74">
        <f t="shared" ref="AK67" si="120">AG67+AI67</f>
        <v>39117.160000000003</v>
      </c>
      <c r="AL67" s="74">
        <f t="shared" ref="AL67" si="121">AH67+AJ67</f>
        <v>39117.160000000003</v>
      </c>
      <c r="AM67" s="81"/>
      <c r="AN67" s="81"/>
      <c r="AO67" s="81">
        <v>0</v>
      </c>
      <c r="AP67" s="81"/>
      <c r="AQ67" s="74">
        <f t="shared" ref="AQ67" si="122">AM67+AO67</f>
        <v>0</v>
      </c>
      <c r="AR67" s="74">
        <f t="shared" ref="AR67" si="123">AN67+AP67</f>
        <v>0</v>
      </c>
      <c r="AS67" s="81"/>
      <c r="AT67" s="81"/>
      <c r="AU67" s="81"/>
      <c r="AV67" s="81"/>
      <c r="AW67" s="74">
        <f t="shared" ref="AW67" si="124">AS67+AU67</f>
        <v>0</v>
      </c>
      <c r="AX67" s="74">
        <f t="shared" ref="AX67" si="125">AT67+AV67</f>
        <v>0</v>
      </c>
      <c r="AY67" s="81"/>
      <c r="AZ67" s="81"/>
      <c r="BA67" s="81"/>
      <c r="BB67" s="81"/>
      <c r="BC67" s="74">
        <f t="shared" ref="BC67" si="126">AY67+BA67</f>
        <v>0</v>
      </c>
      <c r="BD67" s="74"/>
      <c r="BE67" s="74">
        <f t="shared" ref="BE67" si="127">AZ67+BB67</f>
        <v>0</v>
      </c>
      <c r="BF67" s="81"/>
      <c r="BG67" s="81"/>
      <c r="BH67" s="81"/>
      <c r="BI67" s="81"/>
      <c r="BJ67" s="74">
        <f t="shared" ref="BJ67" si="128">BF67+BH67</f>
        <v>0</v>
      </c>
      <c r="BK67" s="74"/>
      <c r="BL67" s="74">
        <f t="shared" ref="BL67" si="129">BG67+BI67</f>
        <v>0</v>
      </c>
      <c r="BM67" s="81"/>
      <c r="BN67" s="81"/>
      <c r="BO67" s="81"/>
      <c r="BP67" s="81"/>
      <c r="BQ67" s="74">
        <f t="shared" ref="BQ67" si="130">BM67+BO67</f>
        <v>0</v>
      </c>
      <c r="BR67" s="74">
        <f t="shared" ref="BR67" si="131">BN67+BP67</f>
        <v>0</v>
      </c>
      <c r="BS67" s="81"/>
      <c r="BT67" s="81"/>
      <c r="BU67" s="81"/>
      <c r="BV67" s="81"/>
      <c r="BW67" s="74">
        <f t="shared" ref="BW67" si="132">BS67+BU67</f>
        <v>0</v>
      </c>
      <c r="BX67" s="74">
        <f t="shared" ref="BX67" si="133">BT67+BV67</f>
        <v>0</v>
      </c>
      <c r="BY67" s="81"/>
      <c r="BZ67" s="81"/>
      <c r="CA67" s="81"/>
      <c r="CB67" s="81"/>
      <c r="CC67" s="74">
        <f t="shared" ref="CC67" si="134">BY67+CA67</f>
        <v>0</v>
      </c>
      <c r="CD67" s="74">
        <f t="shared" ref="CD67" si="135">BZ67+CB67</f>
        <v>0</v>
      </c>
      <c r="CE67" s="81"/>
      <c r="CF67" s="81"/>
      <c r="CG67" s="81"/>
      <c r="CH67" s="81"/>
      <c r="CI67" s="74">
        <f t="shared" ref="CI67" si="136">CE67+CG67</f>
        <v>0</v>
      </c>
      <c r="CJ67" s="74">
        <f t="shared" ref="CJ67" si="137">CF67+CH67</f>
        <v>0</v>
      </c>
      <c r="CK67" s="81"/>
      <c r="CL67" s="81"/>
      <c r="CM67" s="81"/>
      <c r="CN67" s="81"/>
      <c r="CO67" s="74">
        <f t="shared" ref="CO67" si="138">CK67+CM67</f>
        <v>0</v>
      </c>
      <c r="CP67" s="74">
        <f t="shared" ref="CP67" si="139">CL67+CN67</f>
        <v>0</v>
      </c>
      <c r="CQ67" s="81"/>
      <c r="CR67" s="81"/>
      <c r="CS67" s="81"/>
      <c r="CT67" s="81"/>
      <c r="CU67" s="74">
        <f t="shared" ref="CU67" si="140">CQ67+CS67</f>
        <v>0</v>
      </c>
      <c r="CV67" s="74">
        <f t="shared" ref="CV67" si="141">CR67+CT67</f>
        <v>0</v>
      </c>
      <c r="CW67" s="81"/>
      <c r="CX67" s="81"/>
      <c r="CY67" s="81"/>
      <c r="CZ67" s="81"/>
      <c r="DA67" s="74">
        <f t="shared" ref="DA67" si="142">CW67+CY67</f>
        <v>0</v>
      </c>
      <c r="DB67" s="74">
        <f t="shared" ref="DB67" si="143">CX67+CZ67</f>
        <v>0</v>
      </c>
      <c r="DC67" s="81"/>
      <c r="DD67" s="81"/>
      <c r="DE67" s="81"/>
      <c r="DF67" s="81"/>
      <c r="DG67" s="74">
        <f t="shared" ref="DG67" si="144">DC67+DE67</f>
        <v>0</v>
      </c>
      <c r="DH67" s="74">
        <f t="shared" ref="DH67" si="145">DD67+DF67</f>
        <v>0</v>
      </c>
      <c r="DI67" s="74">
        <f t="shared" ref="DI67" si="146">AM67+AS67+AY67+BF67+BM67+BS67+BY67+CE67+CK67+CQ67+CW67+DC67</f>
        <v>0</v>
      </c>
      <c r="DJ67" s="74">
        <f t="shared" ref="DJ67" si="147">AN67+AT67+AZ67+BG67+BN67+BT67+BZ67+CF67+CL67+CR67+CX67+DD67</f>
        <v>0</v>
      </c>
      <c r="DK67" s="74">
        <f t="shared" ref="DK67" si="148">AO67+AU67+BA67+BH67+BO67+BU67+CA67+CG67+CM67+CS67+CY67+DE67</f>
        <v>0</v>
      </c>
      <c r="DL67" s="74">
        <f t="shared" ref="DL67" si="149">AP67+AV67+BB67+BI67+BP67+BV67+CB67+CH67+CN67+CT67+CZ67+DF67</f>
        <v>0</v>
      </c>
      <c r="DM67" s="74">
        <f t="shared" ref="DM67" si="150">DI67+DK67</f>
        <v>0</v>
      </c>
      <c r="DN67" s="74">
        <f t="shared" ref="DN67" si="151">DJ67+DL67</f>
        <v>0</v>
      </c>
    </row>
    <row r="68" spans="1:118">
      <c r="A68" s="87">
        <v>60</v>
      </c>
      <c r="B68" s="88" t="s">
        <v>576</v>
      </c>
      <c r="C68" s="88" t="s">
        <v>665</v>
      </c>
      <c r="D68" s="88" t="s">
        <v>666</v>
      </c>
      <c r="E68" s="205" t="s">
        <v>1219</v>
      </c>
      <c r="F68" s="161">
        <f t="shared" ref="F68:F72" si="152">SUM(DM68)</f>
        <v>122500</v>
      </c>
      <c r="G68" s="161">
        <f t="shared" si="57"/>
        <v>0</v>
      </c>
      <c r="H68" s="165">
        <f t="shared" ref="H68:H72" si="153">J68+AL68+DM68</f>
        <v>122500</v>
      </c>
      <c r="I68" s="86">
        <v>0</v>
      </c>
      <c r="J68" s="219">
        <v>0</v>
      </c>
      <c r="K68" s="219">
        <v>0</v>
      </c>
      <c r="L68" s="127">
        <f t="shared" ref="L68:L72" si="154">AL68</f>
        <v>0</v>
      </c>
      <c r="M68" s="127">
        <f t="shared" ref="M68:M72" si="155">IF(AJ68&gt;0,J68+AL68-K68,0)</f>
        <v>0</v>
      </c>
      <c r="N68" s="127">
        <f t="shared" ref="N68:N72" si="156">J68+L68</f>
        <v>0</v>
      </c>
      <c r="O68" s="131">
        <f t="shared" si="20"/>
        <v>122500</v>
      </c>
      <c r="P68" s="125" t="str">
        <f t="shared" ref="P68:P72" si="157">IF(AND(AJ68&gt;0,DL68&gt;0),"შეცდომაა! ერთზე მეტი ბოლო ჩაბარება!",IF(OR(AJ68&gt;0,DL68&gt;0,),IF(AJ68&gt;0,J68+AL68,J68+AL68+DN68),IF(AND(J68=0,L68=0,DN68=0),"ნულოვანი შესრულება","მიმდინარეობს")))</f>
        <v>ნულოვანი შესრულება</v>
      </c>
      <c r="Q68" s="91"/>
      <c r="R68" s="91">
        <v>0</v>
      </c>
      <c r="S68" s="91">
        <v>0</v>
      </c>
      <c r="T68" s="91">
        <f t="shared" si="41"/>
        <v>0</v>
      </c>
      <c r="U68" s="91"/>
      <c r="V68" s="91"/>
      <c r="W68" s="91"/>
      <c r="X68" s="91"/>
      <c r="Y68" s="86">
        <f t="shared" ref="Y68:Z72" si="158">U68+W68</f>
        <v>0</v>
      </c>
      <c r="Z68" s="86">
        <f t="shared" si="158"/>
        <v>0</v>
      </c>
      <c r="AA68" s="91"/>
      <c r="AB68" s="91"/>
      <c r="AC68" s="91"/>
      <c r="AD68" s="91"/>
      <c r="AE68" s="86">
        <f t="shared" ref="AE68:AF72" si="159">AA68+AC68</f>
        <v>0</v>
      </c>
      <c r="AF68" s="86">
        <f t="shared" si="159"/>
        <v>0</v>
      </c>
      <c r="AG68" s="86">
        <f t="shared" ref="AG68:AG72" si="160">Q68+U68+AA68</f>
        <v>0</v>
      </c>
      <c r="AH68" s="86">
        <f t="shared" ref="AH68:AI72" si="161">Q68+V68+AB68</f>
        <v>0</v>
      </c>
      <c r="AI68" s="86">
        <f t="shared" si="161"/>
        <v>0</v>
      </c>
      <c r="AJ68" s="86">
        <f t="shared" ref="AJ68:AJ72" si="162">R68+X68+AD68</f>
        <v>0</v>
      </c>
      <c r="AK68" s="86">
        <f t="shared" ref="AK68:AL72" si="163">AG68+AI68</f>
        <v>0</v>
      </c>
      <c r="AL68" s="86">
        <f t="shared" si="163"/>
        <v>0</v>
      </c>
      <c r="AM68" s="91"/>
      <c r="AN68" s="91"/>
      <c r="AO68" s="91">
        <v>122500</v>
      </c>
      <c r="AP68" s="91"/>
      <c r="AQ68" s="86">
        <f t="shared" ref="AQ68:AR72" si="164">AM68+AO68</f>
        <v>122500</v>
      </c>
      <c r="AR68" s="86">
        <f t="shared" si="164"/>
        <v>0</v>
      </c>
      <c r="AS68" s="91"/>
      <c r="AT68" s="91"/>
      <c r="AU68" s="91"/>
      <c r="AV68" s="91"/>
      <c r="AW68" s="86">
        <f t="shared" ref="AW68:AX72" si="165">AS68+AU68</f>
        <v>0</v>
      </c>
      <c r="AX68" s="86">
        <f t="shared" si="165"/>
        <v>0</v>
      </c>
      <c r="AY68" s="91"/>
      <c r="AZ68" s="91"/>
      <c r="BA68" s="91"/>
      <c r="BB68" s="91"/>
      <c r="BC68" s="86">
        <f t="shared" ref="BC68:BC72" si="166">AY68+BA68</f>
        <v>0</v>
      </c>
      <c r="BD68" s="86"/>
      <c r="BE68" s="86">
        <f t="shared" ref="BE68:BE74" si="167">AZ68+BB68</f>
        <v>0</v>
      </c>
      <c r="BF68" s="91"/>
      <c r="BG68" s="91"/>
      <c r="BH68" s="91"/>
      <c r="BI68" s="91"/>
      <c r="BJ68" s="86">
        <f t="shared" ref="BJ68:BJ72" si="168">BF68+BH68</f>
        <v>0</v>
      </c>
      <c r="BK68" s="86"/>
      <c r="BL68" s="86">
        <f t="shared" ref="BL68:BL74" si="169">BG68+BI68</f>
        <v>0</v>
      </c>
      <c r="BM68" s="91"/>
      <c r="BN68" s="91"/>
      <c r="BO68" s="91"/>
      <c r="BP68" s="91"/>
      <c r="BQ68" s="86">
        <f t="shared" ref="BQ68:BR72" si="170">BM68+BO68</f>
        <v>0</v>
      </c>
      <c r="BR68" s="86">
        <f t="shared" si="170"/>
        <v>0</v>
      </c>
      <c r="BS68" s="91"/>
      <c r="BT68" s="91"/>
      <c r="BU68" s="91"/>
      <c r="BV68" s="91"/>
      <c r="BW68" s="86">
        <f t="shared" ref="BW68:BX72" si="171">BS68+BU68</f>
        <v>0</v>
      </c>
      <c r="BX68" s="86">
        <f t="shared" si="171"/>
        <v>0</v>
      </c>
      <c r="BY68" s="91"/>
      <c r="BZ68" s="91"/>
      <c r="CA68" s="91"/>
      <c r="CB68" s="91"/>
      <c r="CC68" s="86">
        <f t="shared" ref="CC68:CD72" si="172">BY68+CA68</f>
        <v>0</v>
      </c>
      <c r="CD68" s="86">
        <f t="shared" si="172"/>
        <v>0</v>
      </c>
      <c r="CE68" s="91"/>
      <c r="CF68" s="91"/>
      <c r="CG68" s="91"/>
      <c r="CH68" s="91"/>
      <c r="CI68" s="86">
        <f t="shared" ref="CI68:CJ72" si="173">CE68+CG68</f>
        <v>0</v>
      </c>
      <c r="CJ68" s="86">
        <f t="shared" si="173"/>
        <v>0</v>
      </c>
      <c r="CK68" s="91"/>
      <c r="CL68" s="91"/>
      <c r="CM68" s="91"/>
      <c r="CN68" s="91"/>
      <c r="CO68" s="86">
        <f t="shared" ref="CO68:CP72" si="174">CK68+CM68</f>
        <v>0</v>
      </c>
      <c r="CP68" s="86">
        <f t="shared" si="174"/>
        <v>0</v>
      </c>
      <c r="CQ68" s="91"/>
      <c r="CR68" s="91"/>
      <c r="CS68" s="91"/>
      <c r="CT68" s="91"/>
      <c r="CU68" s="86">
        <f t="shared" ref="CU68:CV72" si="175">CQ68+CS68</f>
        <v>0</v>
      </c>
      <c r="CV68" s="86">
        <f t="shared" si="175"/>
        <v>0</v>
      </c>
      <c r="CW68" s="91"/>
      <c r="CX68" s="91"/>
      <c r="CY68" s="91"/>
      <c r="CZ68" s="91"/>
      <c r="DA68" s="86">
        <f t="shared" ref="DA68:DB72" si="176">CW68+CY68</f>
        <v>0</v>
      </c>
      <c r="DB68" s="86">
        <f t="shared" si="176"/>
        <v>0</v>
      </c>
      <c r="DC68" s="91"/>
      <c r="DD68" s="91"/>
      <c r="DE68" s="91"/>
      <c r="DF68" s="91"/>
      <c r="DG68" s="86">
        <f t="shared" ref="DG68:DH72" si="177">DC68+DE68</f>
        <v>0</v>
      </c>
      <c r="DH68" s="86">
        <f t="shared" si="177"/>
        <v>0</v>
      </c>
      <c r="DI68" s="86">
        <f t="shared" ref="DI68:DL72" si="178">AM68+AS68+AY68+BF68+BM68+BS68+BY68+CE68+CK68+CQ68+CW68+DC68</f>
        <v>0</v>
      </c>
      <c r="DJ68" s="86">
        <f t="shared" si="178"/>
        <v>0</v>
      </c>
      <c r="DK68" s="86">
        <f t="shared" si="178"/>
        <v>122500</v>
      </c>
      <c r="DL68" s="86">
        <f t="shared" si="178"/>
        <v>0</v>
      </c>
      <c r="DM68" s="86">
        <f t="shared" ref="DM68:DN72" si="179">DI68+DK68</f>
        <v>122500</v>
      </c>
      <c r="DN68" s="86">
        <f t="shared" si="179"/>
        <v>0</v>
      </c>
    </row>
    <row r="69" spans="1:118">
      <c r="A69" s="87">
        <v>61</v>
      </c>
      <c r="B69" s="88" t="s">
        <v>631</v>
      </c>
      <c r="C69" s="88"/>
      <c r="D69" s="88" t="s">
        <v>667</v>
      </c>
      <c r="E69" s="205" t="s">
        <v>1219</v>
      </c>
      <c r="F69" s="161">
        <f t="shared" si="152"/>
        <v>78750</v>
      </c>
      <c r="G69" s="161">
        <f t="shared" si="57"/>
        <v>0</v>
      </c>
      <c r="H69" s="165">
        <f t="shared" si="153"/>
        <v>78750</v>
      </c>
      <c r="I69" s="90">
        <v>0</v>
      </c>
      <c r="J69" s="243">
        <v>0</v>
      </c>
      <c r="K69" s="236"/>
      <c r="L69" s="127">
        <f t="shared" si="154"/>
        <v>0</v>
      </c>
      <c r="M69" s="127">
        <f t="shared" si="155"/>
        <v>0</v>
      </c>
      <c r="N69" s="127">
        <f t="shared" si="156"/>
        <v>0</v>
      </c>
      <c r="O69" s="131">
        <f t="shared" si="20"/>
        <v>78750</v>
      </c>
      <c r="P69" s="125" t="str">
        <f t="shared" si="157"/>
        <v>ნულოვანი შესრულება</v>
      </c>
      <c r="Q69" s="91"/>
      <c r="R69" s="91">
        <v>0</v>
      </c>
      <c r="S69" s="91">
        <v>0</v>
      </c>
      <c r="T69" s="91">
        <f t="shared" ref="T69:T72" si="180">R69</f>
        <v>0</v>
      </c>
      <c r="U69" s="91"/>
      <c r="V69" s="91"/>
      <c r="W69" s="91"/>
      <c r="X69" s="91"/>
      <c r="Y69" s="86">
        <f t="shared" si="158"/>
        <v>0</v>
      </c>
      <c r="Z69" s="86">
        <f t="shared" si="158"/>
        <v>0</v>
      </c>
      <c r="AA69" s="91"/>
      <c r="AB69" s="91"/>
      <c r="AC69" s="91"/>
      <c r="AD69" s="91"/>
      <c r="AE69" s="86">
        <f t="shared" si="159"/>
        <v>0</v>
      </c>
      <c r="AF69" s="86">
        <f t="shared" si="159"/>
        <v>0</v>
      </c>
      <c r="AG69" s="86">
        <f t="shared" si="160"/>
        <v>0</v>
      </c>
      <c r="AH69" s="86">
        <f t="shared" si="161"/>
        <v>0</v>
      </c>
      <c r="AI69" s="86">
        <f t="shared" si="161"/>
        <v>0</v>
      </c>
      <c r="AJ69" s="86">
        <f t="shared" si="162"/>
        <v>0</v>
      </c>
      <c r="AK69" s="86">
        <f t="shared" si="163"/>
        <v>0</v>
      </c>
      <c r="AL69" s="86">
        <f t="shared" si="163"/>
        <v>0</v>
      </c>
      <c r="AM69" s="91"/>
      <c r="AN69" s="91"/>
      <c r="AO69" s="91"/>
      <c r="AP69" s="91"/>
      <c r="AQ69" s="86">
        <f t="shared" si="164"/>
        <v>0</v>
      </c>
      <c r="AR69" s="86">
        <f t="shared" si="164"/>
        <v>0</v>
      </c>
      <c r="AS69" s="91"/>
      <c r="AT69" s="91"/>
      <c r="AU69" s="91">
        <f>45000*1.75</f>
        <v>78750</v>
      </c>
      <c r="AV69" s="91"/>
      <c r="AW69" s="86">
        <f t="shared" si="165"/>
        <v>78750</v>
      </c>
      <c r="AX69" s="86">
        <f t="shared" si="165"/>
        <v>0</v>
      </c>
      <c r="AY69" s="91"/>
      <c r="AZ69" s="91"/>
      <c r="BA69" s="91"/>
      <c r="BB69" s="91"/>
      <c r="BC69" s="86">
        <f t="shared" si="166"/>
        <v>0</v>
      </c>
      <c r="BD69" s="86"/>
      <c r="BE69" s="86">
        <f t="shared" si="167"/>
        <v>0</v>
      </c>
      <c r="BF69" s="91"/>
      <c r="BG69" s="91"/>
      <c r="BH69" s="91"/>
      <c r="BI69" s="91"/>
      <c r="BJ69" s="86">
        <f t="shared" si="168"/>
        <v>0</v>
      </c>
      <c r="BK69" s="86"/>
      <c r="BL69" s="86">
        <f t="shared" si="169"/>
        <v>0</v>
      </c>
      <c r="BM69" s="91"/>
      <c r="BN69" s="91"/>
      <c r="BO69" s="91"/>
      <c r="BP69" s="91"/>
      <c r="BQ69" s="86">
        <f t="shared" si="170"/>
        <v>0</v>
      </c>
      <c r="BR69" s="86">
        <f t="shared" si="170"/>
        <v>0</v>
      </c>
      <c r="BS69" s="91"/>
      <c r="BT69" s="91"/>
      <c r="BU69" s="91"/>
      <c r="BV69" s="91"/>
      <c r="BW69" s="86">
        <f t="shared" si="171"/>
        <v>0</v>
      </c>
      <c r="BX69" s="86">
        <f t="shared" si="171"/>
        <v>0</v>
      </c>
      <c r="BY69" s="91"/>
      <c r="BZ69" s="91"/>
      <c r="CA69" s="91"/>
      <c r="CB69" s="91"/>
      <c r="CC69" s="86">
        <f t="shared" si="172"/>
        <v>0</v>
      </c>
      <c r="CD69" s="86">
        <f t="shared" si="172"/>
        <v>0</v>
      </c>
      <c r="CE69" s="91"/>
      <c r="CF69" s="91"/>
      <c r="CG69" s="91"/>
      <c r="CH69" s="91"/>
      <c r="CI69" s="86">
        <f t="shared" si="173"/>
        <v>0</v>
      </c>
      <c r="CJ69" s="86">
        <f t="shared" si="173"/>
        <v>0</v>
      </c>
      <c r="CK69" s="91"/>
      <c r="CL69" s="91"/>
      <c r="CM69" s="91"/>
      <c r="CN69" s="91"/>
      <c r="CO69" s="86">
        <f t="shared" si="174"/>
        <v>0</v>
      </c>
      <c r="CP69" s="86">
        <f t="shared" si="174"/>
        <v>0</v>
      </c>
      <c r="CQ69" s="91"/>
      <c r="CR69" s="91"/>
      <c r="CS69" s="91"/>
      <c r="CT69" s="91"/>
      <c r="CU69" s="86">
        <f t="shared" si="175"/>
        <v>0</v>
      </c>
      <c r="CV69" s="86">
        <f t="shared" si="175"/>
        <v>0</v>
      </c>
      <c r="CW69" s="91"/>
      <c r="CX69" s="91"/>
      <c r="CY69" s="91"/>
      <c r="CZ69" s="91"/>
      <c r="DA69" s="86">
        <f t="shared" si="176"/>
        <v>0</v>
      </c>
      <c r="DB69" s="86">
        <f t="shared" si="176"/>
        <v>0</v>
      </c>
      <c r="DC69" s="91"/>
      <c r="DD69" s="91"/>
      <c r="DE69" s="91"/>
      <c r="DF69" s="91"/>
      <c r="DG69" s="86">
        <f t="shared" si="177"/>
        <v>0</v>
      </c>
      <c r="DH69" s="86">
        <f t="shared" si="177"/>
        <v>0</v>
      </c>
      <c r="DI69" s="86">
        <f t="shared" si="178"/>
        <v>0</v>
      </c>
      <c r="DJ69" s="86">
        <f t="shared" si="178"/>
        <v>0</v>
      </c>
      <c r="DK69" s="86">
        <f t="shared" si="178"/>
        <v>78750</v>
      </c>
      <c r="DL69" s="86">
        <f t="shared" si="178"/>
        <v>0</v>
      </c>
      <c r="DM69" s="86">
        <f t="shared" si="179"/>
        <v>78750</v>
      </c>
      <c r="DN69" s="86">
        <f t="shared" si="179"/>
        <v>0</v>
      </c>
    </row>
    <row r="70" spans="1:118" s="278" customFormat="1">
      <c r="A70" s="253">
        <v>62</v>
      </c>
      <c r="B70" s="276" t="s">
        <v>631</v>
      </c>
      <c r="C70" s="276"/>
      <c r="D70" s="276" t="s">
        <v>668</v>
      </c>
      <c r="E70" s="276" t="s">
        <v>1220</v>
      </c>
      <c r="F70" s="255">
        <f t="shared" si="152"/>
        <v>0</v>
      </c>
      <c r="G70" s="255">
        <f>DN70</f>
        <v>0</v>
      </c>
      <c r="H70" s="256">
        <f t="shared" si="153"/>
        <v>0</v>
      </c>
      <c r="I70" s="281">
        <v>4500000</v>
      </c>
      <c r="J70" s="284">
        <v>0</v>
      </c>
      <c r="K70" s="284">
        <v>0</v>
      </c>
      <c r="L70" s="255">
        <f t="shared" si="154"/>
        <v>0</v>
      </c>
      <c r="M70" s="255">
        <f t="shared" si="155"/>
        <v>0</v>
      </c>
      <c r="N70" s="255">
        <f t="shared" si="156"/>
        <v>0</v>
      </c>
      <c r="O70" s="255">
        <f t="shared" si="20"/>
        <v>0</v>
      </c>
      <c r="P70" s="255" t="str">
        <f t="shared" si="157"/>
        <v>ნულოვანი შესრულება</v>
      </c>
      <c r="Q70" s="282"/>
      <c r="R70" s="282">
        <v>0</v>
      </c>
      <c r="S70" s="282">
        <v>0</v>
      </c>
      <c r="T70" s="282">
        <f t="shared" si="180"/>
        <v>0</v>
      </c>
      <c r="U70" s="282"/>
      <c r="V70" s="282"/>
      <c r="W70" s="282"/>
      <c r="X70" s="282"/>
      <c r="Y70" s="258">
        <f t="shared" si="158"/>
        <v>0</v>
      </c>
      <c r="Z70" s="258">
        <f t="shared" si="158"/>
        <v>0</v>
      </c>
      <c r="AA70" s="282"/>
      <c r="AB70" s="282"/>
      <c r="AC70" s="282"/>
      <c r="AD70" s="282"/>
      <c r="AE70" s="258">
        <f t="shared" si="159"/>
        <v>0</v>
      </c>
      <c r="AF70" s="258">
        <f t="shared" si="159"/>
        <v>0</v>
      </c>
      <c r="AG70" s="258">
        <f t="shared" si="160"/>
        <v>0</v>
      </c>
      <c r="AH70" s="258">
        <f t="shared" si="161"/>
        <v>0</v>
      </c>
      <c r="AI70" s="258">
        <f t="shared" si="161"/>
        <v>0</v>
      </c>
      <c r="AJ70" s="258">
        <f t="shared" si="162"/>
        <v>0</v>
      </c>
      <c r="AK70" s="258">
        <f t="shared" si="163"/>
        <v>0</v>
      </c>
      <c r="AL70" s="258">
        <f t="shared" si="163"/>
        <v>0</v>
      </c>
      <c r="AM70" s="282"/>
      <c r="AN70" s="282"/>
      <c r="AO70" s="282"/>
      <c r="AP70" s="282"/>
      <c r="AQ70" s="258">
        <f t="shared" si="164"/>
        <v>0</v>
      </c>
      <c r="AR70" s="258">
        <f t="shared" si="164"/>
        <v>0</v>
      </c>
      <c r="AS70" s="282"/>
      <c r="AT70" s="282"/>
      <c r="AU70" s="282"/>
      <c r="AV70" s="282"/>
      <c r="AW70" s="258">
        <f t="shared" si="165"/>
        <v>0</v>
      </c>
      <c r="AX70" s="258">
        <f t="shared" si="165"/>
        <v>0</v>
      </c>
      <c r="AY70" s="282"/>
      <c r="AZ70" s="282"/>
      <c r="BA70" s="282"/>
      <c r="BB70" s="282"/>
      <c r="BC70" s="258">
        <f t="shared" si="166"/>
        <v>0</v>
      </c>
      <c r="BD70" s="258"/>
      <c r="BE70" s="258">
        <f t="shared" si="167"/>
        <v>0</v>
      </c>
      <c r="BF70" s="282"/>
      <c r="BG70" s="282"/>
      <c r="BH70" s="282"/>
      <c r="BI70" s="282"/>
      <c r="BJ70" s="258">
        <f t="shared" si="168"/>
        <v>0</v>
      </c>
      <c r="BK70" s="258"/>
      <c r="BL70" s="258">
        <f t="shared" si="169"/>
        <v>0</v>
      </c>
      <c r="BM70" s="282"/>
      <c r="BN70" s="282"/>
      <c r="BO70" s="282"/>
      <c r="BP70" s="282"/>
      <c r="BQ70" s="258">
        <f t="shared" si="170"/>
        <v>0</v>
      </c>
      <c r="BR70" s="258">
        <f t="shared" si="170"/>
        <v>0</v>
      </c>
      <c r="BS70" s="282"/>
      <c r="BT70" s="282"/>
      <c r="BU70" s="282"/>
      <c r="BV70" s="282"/>
      <c r="BW70" s="258">
        <f t="shared" si="171"/>
        <v>0</v>
      </c>
      <c r="BX70" s="258">
        <f t="shared" si="171"/>
        <v>0</v>
      </c>
      <c r="BY70" s="282"/>
      <c r="BZ70" s="282"/>
      <c r="CA70" s="282"/>
      <c r="CB70" s="282"/>
      <c r="CC70" s="258">
        <f t="shared" si="172"/>
        <v>0</v>
      </c>
      <c r="CD70" s="258">
        <f t="shared" si="172"/>
        <v>0</v>
      </c>
      <c r="CE70" s="282"/>
      <c r="CF70" s="282"/>
      <c r="CG70" s="282"/>
      <c r="CH70" s="282"/>
      <c r="CI70" s="258">
        <f t="shared" si="173"/>
        <v>0</v>
      </c>
      <c r="CJ70" s="258">
        <f t="shared" si="173"/>
        <v>0</v>
      </c>
      <c r="CK70" s="282"/>
      <c r="CL70" s="282"/>
      <c r="CM70" s="282"/>
      <c r="CN70" s="282"/>
      <c r="CO70" s="258">
        <f t="shared" si="174"/>
        <v>0</v>
      </c>
      <c r="CP70" s="258">
        <f t="shared" si="174"/>
        <v>0</v>
      </c>
      <c r="CQ70" s="282"/>
      <c r="CR70" s="282"/>
      <c r="CS70" s="282"/>
      <c r="CT70" s="282"/>
      <c r="CU70" s="258">
        <f t="shared" si="175"/>
        <v>0</v>
      </c>
      <c r="CV70" s="258">
        <f t="shared" si="175"/>
        <v>0</v>
      </c>
      <c r="CW70" s="282"/>
      <c r="CX70" s="282"/>
      <c r="CY70" s="282"/>
      <c r="CZ70" s="282"/>
      <c r="DA70" s="258">
        <f t="shared" si="176"/>
        <v>0</v>
      </c>
      <c r="DB70" s="258">
        <f t="shared" si="176"/>
        <v>0</v>
      </c>
      <c r="DC70" s="282"/>
      <c r="DD70" s="282"/>
      <c r="DE70" s="282"/>
      <c r="DF70" s="282"/>
      <c r="DG70" s="258">
        <f t="shared" si="177"/>
        <v>0</v>
      </c>
      <c r="DH70" s="258">
        <f t="shared" si="177"/>
        <v>0</v>
      </c>
      <c r="DI70" s="258">
        <f t="shared" si="178"/>
        <v>0</v>
      </c>
      <c r="DJ70" s="258">
        <f t="shared" si="178"/>
        <v>0</v>
      </c>
      <c r="DK70" s="258">
        <f t="shared" si="178"/>
        <v>0</v>
      </c>
      <c r="DL70" s="258">
        <f t="shared" si="178"/>
        <v>0</v>
      </c>
      <c r="DM70" s="258">
        <f t="shared" si="179"/>
        <v>0</v>
      </c>
      <c r="DN70" s="258">
        <f t="shared" si="179"/>
        <v>0</v>
      </c>
    </row>
    <row r="71" spans="1:118">
      <c r="A71" s="87">
        <v>63</v>
      </c>
      <c r="B71" s="88" t="s">
        <v>569</v>
      </c>
      <c r="C71" s="88" t="s">
        <v>669</v>
      </c>
      <c r="D71" s="88" t="s">
        <v>1221</v>
      </c>
      <c r="E71" s="205" t="s">
        <v>1219</v>
      </c>
      <c r="F71" s="161">
        <f t="shared" si="152"/>
        <v>24500</v>
      </c>
      <c r="G71" s="161">
        <f>DN71</f>
        <v>0</v>
      </c>
      <c r="H71" s="165">
        <f t="shared" si="153"/>
        <v>24500</v>
      </c>
      <c r="I71" s="90">
        <v>0</v>
      </c>
      <c r="J71" s="243">
        <v>0</v>
      </c>
      <c r="K71" s="243">
        <v>0</v>
      </c>
      <c r="L71" s="127">
        <f t="shared" si="154"/>
        <v>0</v>
      </c>
      <c r="M71" s="127">
        <f t="shared" si="155"/>
        <v>0</v>
      </c>
      <c r="N71" s="127">
        <f t="shared" si="156"/>
        <v>0</v>
      </c>
      <c r="O71" s="131">
        <f t="shared" si="20"/>
        <v>24500</v>
      </c>
      <c r="P71" s="125" t="str">
        <f t="shared" si="157"/>
        <v>ნულოვანი შესრულება</v>
      </c>
      <c r="Q71" s="91"/>
      <c r="R71" s="91">
        <v>0</v>
      </c>
      <c r="S71" s="91">
        <v>0</v>
      </c>
      <c r="T71" s="91">
        <f t="shared" si="180"/>
        <v>0</v>
      </c>
      <c r="U71" s="91"/>
      <c r="V71" s="91"/>
      <c r="W71" s="91"/>
      <c r="X71" s="91"/>
      <c r="Y71" s="86">
        <f t="shared" si="158"/>
        <v>0</v>
      </c>
      <c r="Z71" s="86">
        <f t="shared" si="158"/>
        <v>0</v>
      </c>
      <c r="AA71" s="91"/>
      <c r="AB71" s="91"/>
      <c r="AC71" s="91"/>
      <c r="AD71" s="91"/>
      <c r="AE71" s="86">
        <f t="shared" si="159"/>
        <v>0</v>
      </c>
      <c r="AF71" s="86">
        <f t="shared" si="159"/>
        <v>0</v>
      </c>
      <c r="AG71" s="86">
        <f t="shared" si="160"/>
        <v>0</v>
      </c>
      <c r="AH71" s="86">
        <f t="shared" si="161"/>
        <v>0</v>
      </c>
      <c r="AI71" s="86">
        <f t="shared" si="161"/>
        <v>0</v>
      </c>
      <c r="AJ71" s="86">
        <f t="shared" si="162"/>
        <v>0</v>
      </c>
      <c r="AK71" s="86">
        <f t="shared" si="163"/>
        <v>0</v>
      </c>
      <c r="AL71" s="86">
        <f t="shared" si="163"/>
        <v>0</v>
      </c>
      <c r="AM71" s="91"/>
      <c r="AN71" s="91"/>
      <c r="AO71" s="91"/>
      <c r="AP71" s="91"/>
      <c r="AQ71" s="86">
        <f t="shared" si="164"/>
        <v>0</v>
      </c>
      <c r="AR71" s="86">
        <f t="shared" si="164"/>
        <v>0</v>
      </c>
      <c r="AS71" s="91"/>
      <c r="AT71" s="91"/>
      <c r="AU71" s="91"/>
      <c r="AV71" s="91"/>
      <c r="AW71" s="86">
        <f t="shared" si="165"/>
        <v>0</v>
      </c>
      <c r="AX71" s="86">
        <f t="shared" si="165"/>
        <v>0</v>
      </c>
      <c r="AY71" s="91"/>
      <c r="AZ71" s="91"/>
      <c r="BA71" s="91"/>
      <c r="BB71" s="91"/>
      <c r="BC71" s="86">
        <f t="shared" si="166"/>
        <v>0</v>
      </c>
      <c r="BD71" s="86"/>
      <c r="BE71" s="86">
        <f t="shared" si="167"/>
        <v>0</v>
      </c>
      <c r="BF71" s="91"/>
      <c r="BG71" s="91"/>
      <c r="BH71" s="91"/>
      <c r="BI71" s="91"/>
      <c r="BJ71" s="86">
        <f t="shared" si="168"/>
        <v>0</v>
      </c>
      <c r="BK71" s="86"/>
      <c r="BL71" s="86">
        <f t="shared" si="169"/>
        <v>0</v>
      </c>
      <c r="BM71" s="91"/>
      <c r="BN71" s="91"/>
      <c r="BO71" s="91">
        <f>14000*1.75</f>
        <v>24500</v>
      </c>
      <c r="BP71" s="91"/>
      <c r="BQ71" s="86">
        <f t="shared" si="170"/>
        <v>24500</v>
      </c>
      <c r="BR71" s="86">
        <f t="shared" si="170"/>
        <v>0</v>
      </c>
      <c r="BS71" s="91"/>
      <c r="BT71" s="91"/>
      <c r="BU71" s="91"/>
      <c r="BV71" s="91"/>
      <c r="BW71" s="86">
        <f t="shared" si="171"/>
        <v>0</v>
      </c>
      <c r="BX71" s="86">
        <f t="shared" si="171"/>
        <v>0</v>
      </c>
      <c r="BY71" s="91"/>
      <c r="BZ71" s="91"/>
      <c r="CA71" s="91"/>
      <c r="CB71" s="91"/>
      <c r="CC71" s="86">
        <f t="shared" si="172"/>
        <v>0</v>
      </c>
      <c r="CD71" s="86">
        <f t="shared" si="172"/>
        <v>0</v>
      </c>
      <c r="CE71" s="91"/>
      <c r="CF71" s="91"/>
      <c r="CG71" s="91"/>
      <c r="CH71" s="91"/>
      <c r="CI71" s="86">
        <f t="shared" si="173"/>
        <v>0</v>
      </c>
      <c r="CJ71" s="86">
        <f t="shared" si="173"/>
        <v>0</v>
      </c>
      <c r="CK71" s="91"/>
      <c r="CL71" s="91"/>
      <c r="CM71" s="91"/>
      <c r="CN71" s="91"/>
      <c r="CO71" s="86">
        <f t="shared" si="174"/>
        <v>0</v>
      </c>
      <c r="CP71" s="86">
        <f t="shared" si="174"/>
        <v>0</v>
      </c>
      <c r="CQ71" s="91"/>
      <c r="CR71" s="91"/>
      <c r="CS71" s="91"/>
      <c r="CT71" s="91"/>
      <c r="CU71" s="86">
        <f t="shared" si="175"/>
        <v>0</v>
      </c>
      <c r="CV71" s="86">
        <f t="shared" si="175"/>
        <v>0</v>
      </c>
      <c r="CW71" s="91"/>
      <c r="CX71" s="91"/>
      <c r="CY71" s="91"/>
      <c r="CZ71" s="91"/>
      <c r="DA71" s="86">
        <f t="shared" si="176"/>
        <v>0</v>
      </c>
      <c r="DB71" s="86">
        <f t="shared" si="176"/>
        <v>0</v>
      </c>
      <c r="DC71" s="91"/>
      <c r="DD71" s="91"/>
      <c r="DE71" s="91"/>
      <c r="DF71" s="91"/>
      <c r="DG71" s="86">
        <f t="shared" si="177"/>
        <v>0</v>
      </c>
      <c r="DH71" s="86">
        <f t="shared" si="177"/>
        <v>0</v>
      </c>
      <c r="DI71" s="86">
        <f t="shared" si="178"/>
        <v>0</v>
      </c>
      <c r="DJ71" s="86">
        <f t="shared" si="178"/>
        <v>0</v>
      </c>
      <c r="DK71" s="86">
        <f t="shared" si="178"/>
        <v>24500</v>
      </c>
      <c r="DL71" s="86">
        <f t="shared" si="178"/>
        <v>0</v>
      </c>
      <c r="DM71" s="86">
        <f t="shared" si="179"/>
        <v>24500</v>
      </c>
      <c r="DN71" s="86">
        <f t="shared" si="179"/>
        <v>0</v>
      </c>
    </row>
    <row r="72" spans="1:118" s="278" customFormat="1">
      <c r="A72" s="253">
        <v>64</v>
      </c>
      <c r="B72" s="276" t="s">
        <v>569</v>
      </c>
      <c r="C72" s="276" t="s">
        <v>669</v>
      </c>
      <c r="D72" s="276" t="s">
        <v>670</v>
      </c>
      <c r="E72" s="276" t="s">
        <v>1220</v>
      </c>
      <c r="F72" s="255">
        <f t="shared" si="152"/>
        <v>0</v>
      </c>
      <c r="G72" s="255">
        <f>DN72</f>
        <v>0</v>
      </c>
      <c r="H72" s="256">
        <f t="shared" si="153"/>
        <v>0</v>
      </c>
      <c r="I72" s="281">
        <v>1967650</v>
      </c>
      <c r="J72" s="284">
        <v>0</v>
      </c>
      <c r="K72" s="284">
        <v>0</v>
      </c>
      <c r="L72" s="255">
        <f t="shared" si="154"/>
        <v>0</v>
      </c>
      <c r="M72" s="255">
        <f t="shared" si="155"/>
        <v>0</v>
      </c>
      <c r="N72" s="255">
        <f t="shared" si="156"/>
        <v>0</v>
      </c>
      <c r="O72" s="255">
        <f t="shared" si="20"/>
        <v>0</v>
      </c>
      <c r="P72" s="255" t="str">
        <f t="shared" si="157"/>
        <v>ნულოვანი შესრულება</v>
      </c>
      <c r="Q72" s="282"/>
      <c r="R72" s="282">
        <v>0</v>
      </c>
      <c r="S72" s="282">
        <v>0</v>
      </c>
      <c r="T72" s="282">
        <f t="shared" si="180"/>
        <v>0</v>
      </c>
      <c r="U72" s="282"/>
      <c r="V72" s="282"/>
      <c r="W72" s="282"/>
      <c r="X72" s="282"/>
      <c r="Y72" s="258">
        <f t="shared" si="158"/>
        <v>0</v>
      </c>
      <c r="Z72" s="258">
        <f t="shared" si="158"/>
        <v>0</v>
      </c>
      <c r="AA72" s="282"/>
      <c r="AB72" s="282"/>
      <c r="AC72" s="282"/>
      <c r="AD72" s="282"/>
      <c r="AE72" s="258">
        <f t="shared" si="159"/>
        <v>0</v>
      </c>
      <c r="AF72" s="258">
        <f t="shared" si="159"/>
        <v>0</v>
      </c>
      <c r="AG72" s="258">
        <f t="shared" si="160"/>
        <v>0</v>
      </c>
      <c r="AH72" s="258">
        <f t="shared" si="161"/>
        <v>0</v>
      </c>
      <c r="AI72" s="258">
        <f t="shared" si="161"/>
        <v>0</v>
      </c>
      <c r="AJ72" s="258">
        <f t="shared" si="162"/>
        <v>0</v>
      </c>
      <c r="AK72" s="258">
        <f t="shared" si="163"/>
        <v>0</v>
      </c>
      <c r="AL72" s="258">
        <f t="shared" si="163"/>
        <v>0</v>
      </c>
      <c r="AM72" s="282"/>
      <c r="AN72" s="282"/>
      <c r="AO72" s="282"/>
      <c r="AP72" s="282"/>
      <c r="AQ72" s="258">
        <f t="shared" si="164"/>
        <v>0</v>
      </c>
      <c r="AR72" s="258">
        <f t="shared" si="164"/>
        <v>0</v>
      </c>
      <c r="AS72" s="282"/>
      <c r="AT72" s="282"/>
      <c r="AU72" s="282"/>
      <c r="AV72" s="282"/>
      <c r="AW72" s="258">
        <f t="shared" si="165"/>
        <v>0</v>
      </c>
      <c r="AX72" s="258">
        <f t="shared" si="165"/>
        <v>0</v>
      </c>
      <c r="AY72" s="282"/>
      <c r="AZ72" s="282"/>
      <c r="BA72" s="282"/>
      <c r="BB72" s="282"/>
      <c r="BC72" s="258">
        <f t="shared" si="166"/>
        <v>0</v>
      </c>
      <c r="BD72" s="258"/>
      <c r="BE72" s="258">
        <f t="shared" si="167"/>
        <v>0</v>
      </c>
      <c r="BF72" s="282"/>
      <c r="BG72" s="282"/>
      <c r="BH72" s="282"/>
      <c r="BI72" s="282"/>
      <c r="BJ72" s="258">
        <f t="shared" si="168"/>
        <v>0</v>
      </c>
      <c r="BK72" s="258"/>
      <c r="BL72" s="258">
        <f t="shared" si="169"/>
        <v>0</v>
      </c>
      <c r="BM72" s="282"/>
      <c r="BN72" s="282"/>
      <c r="BO72" s="282"/>
      <c r="BP72" s="282"/>
      <c r="BQ72" s="258">
        <f t="shared" si="170"/>
        <v>0</v>
      </c>
      <c r="BR72" s="258">
        <f t="shared" si="170"/>
        <v>0</v>
      </c>
      <c r="BS72" s="282"/>
      <c r="BT72" s="282"/>
      <c r="BU72" s="282"/>
      <c r="BV72" s="282"/>
      <c r="BW72" s="258">
        <f t="shared" si="171"/>
        <v>0</v>
      </c>
      <c r="BX72" s="258">
        <f t="shared" si="171"/>
        <v>0</v>
      </c>
      <c r="BY72" s="282"/>
      <c r="BZ72" s="282"/>
      <c r="CA72" s="282"/>
      <c r="CB72" s="282"/>
      <c r="CC72" s="258">
        <f t="shared" si="172"/>
        <v>0</v>
      </c>
      <c r="CD72" s="258">
        <f t="shared" si="172"/>
        <v>0</v>
      </c>
      <c r="CE72" s="282"/>
      <c r="CF72" s="282"/>
      <c r="CG72" s="282"/>
      <c r="CH72" s="282"/>
      <c r="CI72" s="258">
        <f t="shared" si="173"/>
        <v>0</v>
      </c>
      <c r="CJ72" s="258">
        <f t="shared" si="173"/>
        <v>0</v>
      </c>
      <c r="CK72" s="282"/>
      <c r="CL72" s="282"/>
      <c r="CM72" s="282"/>
      <c r="CN72" s="282"/>
      <c r="CO72" s="258">
        <f t="shared" si="174"/>
        <v>0</v>
      </c>
      <c r="CP72" s="258">
        <f t="shared" si="174"/>
        <v>0</v>
      </c>
      <c r="CQ72" s="282"/>
      <c r="CR72" s="282"/>
      <c r="CS72" s="282"/>
      <c r="CT72" s="282"/>
      <c r="CU72" s="258">
        <f t="shared" si="175"/>
        <v>0</v>
      </c>
      <c r="CV72" s="258">
        <f t="shared" si="175"/>
        <v>0</v>
      </c>
      <c r="CW72" s="282"/>
      <c r="CX72" s="282"/>
      <c r="CY72" s="282"/>
      <c r="CZ72" s="282"/>
      <c r="DA72" s="258">
        <f t="shared" si="176"/>
        <v>0</v>
      </c>
      <c r="DB72" s="258">
        <f t="shared" si="176"/>
        <v>0</v>
      </c>
      <c r="DC72" s="282"/>
      <c r="DD72" s="282"/>
      <c r="DE72" s="282"/>
      <c r="DF72" s="282"/>
      <c r="DG72" s="258">
        <f t="shared" si="177"/>
        <v>0</v>
      </c>
      <c r="DH72" s="258">
        <f t="shared" si="177"/>
        <v>0</v>
      </c>
      <c r="DI72" s="258">
        <f t="shared" si="178"/>
        <v>0</v>
      </c>
      <c r="DJ72" s="258">
        <f t="shared" si="178"/>
        <v>0</v>
      </c>
      <c r="DK72" s="258">
        <f t="shared" si="178"/>
        <v>0</v>
      </c>
      <c r="DL72" s="258">
        <f t="shared" si="178"/>
        <v>0</v>
      </c>
      <c r="DM72" s="258">
        <f t="shared" si="179"/>
        <v>0</v>
      </c>
      <c r="DN72" s="258">
        <f t="shared" si="179"/>
        <v>0</v>
      </c>
    </row>
    <row r="73" spans="1:118">
      <c r="A73" s="25">
        <v>65</v>
      </c>
      <c r="B73" s="26" t="s">
        <v>581</v>
      </c>
      <c r="C73" s="26" t="s">
        <v>1348</v>
      </c>
      <c r="D73" s="26" t="s">
        <v>1347</v>
      </c>
      <c r="E73" s="205" t="s">
        <v>1164</v>
      </c>
      <c r="F73" s="131">
        <f t="shared" ref="F73:F74" si="181">SUM(DM73)</f>
        <v>0</v>
      </c>
      <c r="G73" s="131">
        <f t="shared" ref="G73:G75" si="182">DN73</f>
        <v>5442.5</v>
      </c>
      <c r="H73" s="283">
        <f t="shared" ref="H73:H74" si="183">J73+AL73+DM73</f>
        <v>0</v>
      </c>
      <c r="I73" s="80"/>
      <c r="J73" s="400">
        <v>0</v>
      </c>
      <c r="K73" s="400">
        <v>0</v>
      </c>
      <c r="L73" s="131">
        <f t="shared" ref="L73" si="184">AL73</f>
        <v>0</v>
      </c>
      <c r="M73" s="131">
        <f t="shared" ref="M73" si="185">IF(AJ73&gt;0,J73+AL73-K73,0)</f>
        <v>0</v>
      </c>
      <c r="N73" s="131">
        <f t="shared" ref="N73" si="186">J73+L73</f>
        <v>0</v>
      </c>
      <c r="O73" s="131">
        <f t="shared" ref="O73" si="187">H73-N73</f>
        <v>0</v>
      </c>
      <c r="P73" s="131" t="str">
        <f t="shared" ref="P73" si="188">IF(AND(AJ73&gt;0,DL73&gt;0),"შეცდომაა! ერთზე მეტი ბოლო ჩაბარება!",IF(OR(AJ73&gt;0,DL73&gt;0,),IF(AJ73&gt;0,J73+AL73,J73+AL73+DN73),IF(AND(J73=0,L73=0,DN73=0),"ნულოვანი შესრულება","მიმდინარეობს")))</f>
        <v>მიმდინარეობს</v>
      </c>
      <c r="Q73" s="81"/>
      <c r="R73" s="81">
        <v>0</v>
      </c>
      <c r="S73" s="81">
        <v>0</v>
      </c>
      <c r="T73" s="81">
        <f t="shared" ref="T73" si="189">R73</f>
        <v>0</v>
      </c>
      <c r="U73" s="81"/>
      <c r="V73" s="81"/>
      <c r="W73" s="81"/>
      <c r="X73" s="81"/>
      <c r="Y73" s="75">
        <f t="shared" ref="Y73" si="190">U73+W73</f>
        <v>0</v>
      </c>
      <c r="Z73" s="75">
        <f t="shared" ref="Z73" si="191">V73+X73</f>
        <v>0</v>
      </c>
      <c r="AA73" s="81"/>
      <c r="AB73" s="81"/>
      <c r="AC73" s="81"/>
      <c r="AD73" s="81"/>
      <c r="AE73" s="75">
        <f t="shared" ref="AE73" si="192">AA73+AC73</f>
        <v>0</v>
      </c>
      <c r="AF73" s="75">
        <f t="shared" ref="AF73" si="193">AB73+AD73</f>
        <v>0</v>
      </c>
      <c r="AG73" s="75">
        <f t="shared" ref="AG73" si="194">Q73+U73+AA73</f>
        <v>0</v>
      </c>
      <c r="AH73" s="75">
        <f t="shared" ref="AH73" si="195">Q73+V73+AB73</f>
        <v>0</v>
      </c>
      <c r="AI73" s="75">
        <f t="shared" ref="AI73" si="196">R73+W73+AC73</f>
        <v>0</v>
      </c>
      <c r="AJ73" s="75">
        <f t="shared" ref="AJ73" si="197">R73+X73+AD73</f>
        <v>0</v>
      </c>
      <c r="AK73" s="75">
        <f t="shared" ref="AK73" si="198">AG73+AI73</f>
        <v>0</v>
      </c>
      <c r="AL73" s="75">
        <f t="shared" ref="AL73" si="199">AH73+AJ73</f>
        <v>0</v>
      </c>
      <c r="AM73" s="81"/>
      <c r="AN73" s="81"/>
      <c r="AO73" s="81"/>
      <c r="AP73" s="81"/>
      <c r="AQ73" s="75">
        <f t="shared" ref="AQ73" si="200">AM73+AO73</f>
        <v>0</v>
      </c>
      <c r="AR73" s="75">
        <f t="shared" ref="AR73" si="201">AN73+AP73</f>
        <v>0</v>
      </c>
      <c r="AS73" s="81"/>
      <c r="AT73" s="81"/>
      <c r="AU73" s="81"/>
      <c r="AV73" s="81"/>
      <c r="AW73" s="75">
        <f t="shared" ref="AW73" si="202">AS73+AU73</f>
        <v>0</v>
      </c>
      <c r="AX73" s="75">
        <f t="shared" ref="AX73" si="203">AT73+AV73</f>
        <v>0</v>
      </c>
      <c r="AY73" s="81"/>
      <c r="AZ73" s="81"/>
      <c r="BA73" s="81"/>
      <c r="BB73" s="81"/>
      <c r="BC73" s="75">
        <f t="shared" ref="BC73" si="204">AY73+BA73</f>
        <v>0</v>
      </c>
      <c r="BD73" s="75"/>
      <c r="BE73" s="75">
        <f t="shared" si="167"/>
        <v>0</v>
      </c>
      <c r="BF73" s="81"/>
      <c r="BG73" s="81"/>
      <c r="BH73" s="81"/>
      <c r="BI73" s="81"/>
      <c r="BJ73" s="75">
        <f t="shared" ref="BJ73" si="205">BF73+BH73</f>
        <v>0</v>
      </c>
      <c r="BK73" s="75"/>
      <c r="BL73" s="75">
        <f t="shared" si="169"/>
        <v>0</v>
      </c>
      <c r="BM73" s="81"/>
      <c r="BN73" s="81"/>
      <c r="BO73" s="81"/>
      <c r="BP73" s="81"/>
      <c r="BQ73" s="75">
        <f t="shared" ref="BQ73" si="206">BM73+BO73</f>
        <v>0</v>
      </c>
      <c r="BR73" s="75">
        <f t="shared" ref="BR73" si="207">BN73+BP73</f>
        <v>0</v>
      </c>
      <c r="BS73" s="81"/>
      <c r="BT73" s="81"/>
      <c r="BU73" s="81"/>
      <c r="BV73" s="81"/>
      <c r="BW73" s="75">
        <f t="shared" ref="BW73" si="208">BS73+BU73</f>
        <v>0</v>
      </c>
      <c r="BX73" s="75">
        <f t="shared" ref="BX73" si="209">BT73+BV73</f>
        <v>0</v>
      </c>
      <c r="BY73" s="81"/>
      <c r="BZ73" s="81"/>
      <c r="CA73" s="81"/>
      <c r="CB73" s="81"/>
      <c r="CC73" s="75">
        <f t="shared" ref="CC73" si="210">BY73+CA73</f>
        <v>0</v>
      </c>
      <c r="CD73" s="75">
        <f t="shared" ref="CD73" si="211">BZ73+CB73</f>
        <v>0</v>
      </c>
      <c r="CE73" s="81"/>
      <c r="CF73" s="81"/>
      <c r="CG73" s="81"/>
      <c r="CH73" s="81"/>
      <c r="CI73" s="75">
        <f t="shared" ref="CI73" si="212">CE73+CG73</f>
        <v>0</v>
      </c>
      <c r="CJ73" s="75">
        <f t="shared" ref="CJ73" si="213">CF73+CH73</f>
        <v>0</v>
      </c>
      <c r="CK73" s="81"/>
      <c r="CL73" s="81"/>
      <c r="CM73" s="81"/>
      <c r="CN73" s="81"/>
      <c r="CO73" s="75">
        <f t="shared" ref="CO73" si="214">CK73+CM73</f>
        <v>0</v>
      </c>
      <c r="CP73" s="75">
        <f t="shared" ref="CP73" si="215">CL73+CN73</f>
        <v>0</v>
      </c>
      <c r="CQ73" s="81"/>
      <c r="CR73" s="81">
        <v>5442.5</v>
      </c>
      <c r="CS73" s="81"/>
      <c r="CT73" s="81"/>
      <c r="CU73" s="75">
        <f t="shared" ref="CU73" si="216">CQ73+CS73</f>
        <v>0</v>
      </c>
      <c r="CV73" s="75">
        <f t="shared" ref="CV73" si="217">CR73+CT73</f>
        <v>5442.5</v>
      </c>
      <c r="CW73" s="81"/>
      <c r="CX73" s="81"/>
      <c r="CY73" s="81"/>
      <c r="CZ73" s="81"/>
      <c r="DA73" s="75">
        <f t="shared" ref="DA73" si="218">CW73+CY73</f>
        <v>0</v>
      </c>
      <c r="DB73" s="75">
        <f t="shared" ref="DB73" si="219">CX73+CZ73</f>
        <v>0</v>
      </c>
      <c r="DC73" s="81"/>
      <c r="DD73" s="81"/>
      <c r="DE73" s="81"/>
      <c r="DF73" s="81"/>
      <c r="DG73" s="75">
        <f t="shared" ref="DG73" si="220">DC73+DE73</f>
        <v>0</v>
      </c>
      <c r="DH73" s="75">
        <f t="shared" ref="DH73" si="221">DD73+DF73</f>
        <v>0</v>
      </c>
      <c r="DI73" s="75">
        <f t="shared" ref="DI73" si="222">AM73+AS73+AY73+BF73+BM73+BS73+BY73+CE73+CK73+CQ73+CW73+DC73</f>
        <v>0</v>
      </c>
      <c r="DJ73" s="75">
        <f t="shared" ref="DJ73" si="223">AN73+AT73+AZ73+BG73+BN73+BT73+BZ73+CF73+CL73+CR73+CX73+DD73</f>
        <v>5442.5</v>
      </c>
      <c r="DK73" s="75">
        <f t="shared" ref="DK73" si="224">AO73+AU73+BA73+BH73+BO73+BU73+CA73+CG73+CM73+CS73+CY73+DE73</f>
        <v>0</v>
      </c>
      <c r="DL73" s="75">
        <f t="shared" ref="DL73" si="225">AP73+AV73+BB73+BI73+BP73+BV73+CB73+CH73+CN73+CT73+CZ73+DF73</f>
        <v>0</v>
      </c>
      <c r="DM73" s="75">
        <f t="shared" ref="DM73" si="226">DI73+DK73</f>
        <v>0</v>
      </c>
      <c r="DN73" s="75">
        <f t="shared" ref="DN73" si="227">DJ73+DL73</f>
        <v>5442.5</v>
      </c>
    </row>
    <row r="74" spans="1:118">
      <c r="A74" s="25">
        <v>66</v>
      </c>
      <c r="B74" s="26" t="s">
        <v>581</v>
      </c>
      <c r="C74" s="26" t="s">
        <v>1348</v>
      </c>
      <c r="D74" s="26" t="s">
        <v>1346</v>
      </c>
      <c r="E74" s="205" t="s">
        <v>1165</v>
      </c>
      <c r="F74" s="131">
        <f t="shared" si="181"/>
        <v>0</v>
      </c>
      <c r="G74" s="131">
        <f t="shared" si="182"/>
        <v>4200</v>
      </c>
      <c r="H74" s="283">
        <f t="shared" si="183"/>
        <v>0</v>
      </c>
      <c r="I74" s="80"/>
      <c r="J74" s="400">
        <v>0</v>
      </c>
      <c r="K74" s="400">
        <v>0</v>
      </c>
      <c r="L74" s="131">
        <f t="shared" ref="L74" si="228">AL74</f>
        <v>0</v>
      </c>
      <c r="M74" s="131">
        <f t="shared" ref="M74" si="229">IF(AJ74&gt;0,J74+AL74-K74,0)</f>
        <v>0</v>
      </c>
      <c r="N74" s="131">
        <f t="shared" ref="N74" si="230">J74+L74</f>
        <v>0</v>
      </c>
      <c r="O74" s="131">
        <f t="shared" ref="O74" si="231">H74-N74</f>
        <v>0</v>
      </c>
      <c r="P74" s="131" t="str">
        <f t="shared" ref="P74" si="232">IF(AND(AJ74&gt;0,DL74&gt;0),"შეცდომაა! ერთზე მეტი ბოლო ჩაბარება!",IF(OR(AJ74&gt;0,DL74&gt;0,),IF(AJ74&gt;0,J74+AL74,J74+AL74+DN74),IF(AND(J74=0,L74=0,DN74=0),"ნულოვანი შესრულება","მიმდინარეობს")))</f>
        <v>მიმდინარეობს</v>
      </c>
      <c r="Q74" s="81"/>
      <c r="R74" s="81">
        <v>0</v>
      </c>
      <c r="S74" s="81">
        <v>0</v>
      </c>
      <c r="T74" s="81">
        <f t="shared" ref="T74" si="233">R74</f>
        <v>0</v>
      </c>
      <c r="U74" s="81"/>
      <c r="V74" s="81"/>
      <c r="W74" s="81"/>
      <c r="X74" s="81"/>
      <c r="Y74" s="75">
        <f t="shared" ref="Y74" si="234">U74+W74</f>
        <v>0</v>
      </c>
      <c r="Z74" s="75">
        <f t="shared" ref="Z74" si="235">V74+X74</f>
        <v>0</v>
      </c>
      <c r="AA74" s="81"/>
      <c r="AB74" s="81"/>
      <c r="AC74" s="81"/>
      <c r="AD74" s="81"/>
      <c r="AE74" s="75">
        <f t="shared" ref="AE74" si="236">AA74+AC74</f>
        <v>0</v>
      </c>
      <c r="AF74" s="75">
        <f t="shared" ref="AF74" si="237">AB74+AD74</f>
        <v>0</v>
      </c>
      <c r="AG74" s="75">
        <f t="shared" ref="AG74" si="238">Q74+U74+AA74</f>
        <v>0</v>
      </c>
      <c r="AH74" s="75">
        <f t="shared" ref="AH74" si="239">Q74+V74+AB74</f>
        <v>0</v>
      </c>
      <c r="AI74" s="75">
        <f t="shared" ref="AI74" si="240">R74+W74+AC74</f>
        <v>0</v>
      </c>
      <c r="AJ74" s="75">
        <f t="shared" ref="AJ74" si="241">R74+X74+AD74</f>
        <v>0</v>
      </c>
      <c r="AK74" s="75">
        <f t="shared" ref="AK74" si="242">AG74+AI74</f>
        <v>0</v>
      </c>
      <c r="AL74" s="75">
        <f t="shared" ref="AL74" si="243">AH74+AJ74</f>
        <v>0</v>
      </c>
      <c r="AM74" s="81"/>
      <c r="AN74" s="81"/>
      <c r="AO74" s="81"/>
      <c r="AP74" s="81"/>
      <c r="AQ74" s="75">
        <f t="shared" ref="AQ74" si="244">AM74+AO74</f>
        <v>0</v>
      </c>
      <c r="AR74" s="75">
        <f t="shared" ref="AR74" si="245">AN74+AP74</f>
        <v>0</v>
      </c>
      <c r="AS74" s="81"/>
      <c r="AT74" s="81"/>
      <c r="AU74" s="81"/>
      <c r="AV74" s="81"/>
      <c r="AW74" s="75">
        <f t="shared" ref="AW74" si="246">AS74+AU74</f>
        <v>0</v>
      </c>
      <c r="AX74" s="75">
        <f t="shared" ref="AX74" si="247">AT74+AV74</f>
        <v>0</v>
      </c>
      <c r="AY74" s="81"/>
      <c r="AZ74" s="81"/>
      <c r="BA74" s="81"/>
      <c r="BB74" s="81"/>
      <c r="BC74" s="75">
        <f t="shared" ref="BC74" si="248">AY74+BA74</f>
        <v>0</v>
      </c>
      <c r="BD74" s="75"/>
      <c r="BE74" s="75">
        <f t="shared" si="167"/>
        <v>0</v>
      </c>
      <c r="BF74" s="81"/>
      <c r="BG74" s="81"/>
      <c r="BH74" s="81"/>
      <c r="BI74" s="81"/>
      <c r="BJ74" s="75">
        <f t="shared" ref="BJ74" si="249">BF74+BH74</f>
        <v>0</v>
      </c>
      <c r="BK74" s="75"/>
      <c r="BL74" s="75">
        <f t="shared" si="169"/>
        <v>0</v>
      </c>
      <c r="BM74" s="81"/>
      <c r="BN74" s="81"/>
      <c r="BO74" s="81"/>
      <c r="BP74" s="81"/>
      <c r="BQ74" s="75">
        <f t="shared" ref="BQ74" si="250">BM74+BO74</f>
        <v>0</v>
      </c>
      <c r="BR74" s="75">
        <f t="shared" ref="BR74" si="251">BN74+BP74</f>
        <v>0</v>
      </c>
      <c r="BS74" s="81"/>
      <c r="BT74" s="81"/>
      <c r="BU74" s="81"/>
      <c r="BV74" s="81"/>
      <c r="BW74" s="75">
        <f t="shared" ref="BW74" si="252">BS74+BU74</f>
        <v>0</v>
      </c>
      <c r="BX74" s="75">
        <f t="shared" ref="BX74" si="253">BT74+BV74</f>
        <v>0</v>
      </c>
      <c r="BY74" s="81"/>
      <c r="BZ74" s="81"/>
      <c r="CA74" s="81"/>
      <c r="CB74" s="81"/>
      <c r="CC74" s="75">
        <f t="shared" ref="CC74" si="254">BY74+CA74</f>
        <v>0</v>
      </c>
      <c r="CD74" s="75">
        <f t="shared" ref="CD74" si="255">BZ74+CB74</f>
        <v>0</v>
      </c>
      <c r="CE74" s="81"/>
      <c r="CF74" s="81"/>
      <c r="CG74" s="81"/>
      <c r="CH74" s="81"/>
      <c r="CI74" s="75">
        <f t="shared" ref="CI74" si="256">CE74+CG74</f>
        <v>0</v>
      </c>
      <c r="CJ74" s="75">
        <f t="shared" ref="CJ74" si="257">CF74+CH74</f>
        <v>0</v>
      </c>
      <c r="CK74" s="81"/>
      <c r="CL74" s="81"/>
      <c r="CM74" s="81"/>
      <c r="CN74" s="81"/>
      <c r="CO74" s="75">
        <f t="shared" ref="CO74" si="258">CK74+CM74</f>
        <v>0</v>
      </c>
      <c r="CP74" s="75">
        <f t="shared" ref="CP74" si="259">CL74+CN74</f>
        <v>0</v>
      </c>
      <c r="CQ74" s="81"/>
      <c r="CR74" s="81">
        <v>4200</v>
      </c>
      <c r="CS74" s="81"/>
      <c r="CT74" s="81"/>
      <c r="CU74" s="75">
        <f t="shared" ref="CU74" si="260">CQ74+CS74</f>
        <v>0</v>
      </c>
      <c r="CV74" s="75">
        <f t="shared" ref="CV74" si="261">CR74+CT74</f>
        <v>4200</v>
      </c>
      <c r="CW74" s="81"/>
      <c r="CX74" s="81"/>
      <c r="CY74" s="81"/>
      <c r="CZ74" s="81"/>
      <c r="DA74" s="75">
        <f t="shared" ref="DA74" si="262">CW74+CY74</f>
        <v>0</v>
      </c>
      <c r="DB74" s="75">
        <f t="shared" ref="DB74" si="263">CX74+CZ74</f>
        <v>0</v>
      </c>
      <c r="DC74" s="81"/>
      <c r="DD74" s="81"/>
      <c r="DE74" s="81"/>
      <c r="DF74" s="81"/>
      <c r="DG74" s="75">
        <f t="shared" ref="DG74" si="264">DC74+DE74</f>
        <v>0</v>
      </c>
      <c r="DH74" s="75">
        <f t="shared" ref="DH74" si="265">DD74+DF74</f>
        <v>0</v>
      </c>
      <c r="DI74" s="75">
        <f t="shared" ref="DI74" si="266">AM74+AS74+AY74+BF74+BM74+BS74+BY74+CE74+CK74+CQ74+CW74+DC74</f>
        <v>0</v>
      </c>
      <c r="DJ74" s="75">
        <f t="shared" ref="DJ74" si="267">AN74+AT74+AZ74+BG74+BN74+BT74+BZ74+CF74+CL74+CR74+CX74+DD74</f>
        <v>4200</v>
      </c>
      <c r="DK74" s="75">
        <f t="shared" ref="DK74" si="268">AO74+AU74+BA74+BH74+BO74+BU74+CA74+CG74+CM74+CS74+CY74+DE74</f>
        <v>0</v>
      </c>
      <c r="DL74" s="75">
        <f t="shared" ref="DL74" si="269">AP74+AV74+BB74+BI74+BP74+BV74+CB74+CH74+CN74+CT74+CZ74+DF74</f>
        <v>0</v>
      </c>
      <c r="DM74" s="75">
        <f t="shared" ref="DM74" si="270">DI74+DK74</f>
        <v>0</v>
      </c>
      <c r="DN74" s="75">
        <f t="shared" ref="DN74" si="271">DJ74+DL74</f>
        <v>4200</v>
      </c>
    </row>
    <row r="75" spans="1:118">
      <c r="A75" s="25">
        <v>67</v>
      </c>
      <c r="B75" s="26" t="s">
        <v>631</v>
      </c>
      <c r="C75" s="26" t="s">
        <v>1361</v>
      </c>
      <c r="D75" s="26" t="s">
        <v>1359</v>
      </c>
      <c r="E75" s="205" t="s">
        <v>1164</v>
      </c>
      <c r="F75" s="131">
        <f t="shared" ref="F75:F92" si="272">SUM(DM75)</f>
        <v>0</v>
      </c>
      <c r="G75" s="131">
        <f t="shared" si="182"/>
        <v>47593</v>
      </c>
      <c r="H75" s="283">
        <f t="shared" ref="H75:H92" si="273">J75+AL75+DM75</f>
        <v>0</v>
      </c>
      <c r="I75" s="80"/>
      <c r="J75" s="400">
        <v>0</v>
      </c>
      <c r="K75" s="400">
        <v>0</v>
      </c>
      <c r="L75" s="131">
        <f t="shared" ref="L75:L92" si="274">AL75</f>
        <v>0</v>
      </c>
      <c r="M75" s="131">
        <f t="shared" ref="M75:M92" si="275">IF(AJ75&gt;0,J75+AL75-K75,0)</f>
        <v>0</v>
      </c>
      <c r="N75" s="131">
        <f t="shared" ref="N75:N92" si="276">J75+L75</f>
        <v>0</v>
      </c>
      <c r="O75" s="131">
        <f t="shared" ref="O75:O92" si="277">H75-N75</f>
        <v>0</v>
      </c>
      <c r="P75" s="131">
        <f t="shared" ref="P75:P92" si="278">IF(AND(AJ75&gt;0,DL75&gt;0),"შეცდომაა! ერთზე მეტი ბოლო ჩაბარება!",IF(OR(AJ75&gt;0,DL75&gt;0,),IF(AJ75&gt;0,J75+AL75,J75+AL75+DN75),IF(AND(J75=0,L75=0,DN75=0),"ნულოვანი შესრულება","მიმდინარეობს")))</f>
        <v>47593</v>
      </c>
      <c r="Q75" s="81"/>
      <c r="R75" s="81">
        <v>0</v>
      </c>
      <c r="S75" s="81">
        <v>0</v>
      </c>
      <c r="T75" s="81">
        <f t="shared" ref="T75:T92" si="279">R75</f>
        <v>0</v>
      </c>
      <c r="U75" s="81"/>
      <c r="V75" s="81"/>
      <c r="W75" s="81"/>
      <c r="X75" s="81"/>
      <c r="Y75" s="75">
        <f t="shared" ref="Y75:Y92" si="280">U75+W75</f>
        <v>0</v>
      </c>
      <c r="Z75" s="75">
        <f t="shared" ref="Z75:Z92" si="281">V75+X75</f>
        <v>0</v>
      </c>
      <c r="AA75" s="81"/>
      <c r="AB75" s="81"/>
      <c r="AC75" s="81"/>
      <c r="AD75" s="81"/>
      <c r="AE75" s="75">
        <f t="shared" ref="AE75:AE92" si="282">AA75+AC75</f>
        <v>0</v>
      </c>
      <c r="AF75" s="75">
        <f t="shared" ref="AF75:AF92" si="283">AB75+AD75</f>
        <v>0</v>
      </c>
      <c r="AG75" s="75">
        <f t="shared" ref="AG75:AG92" si="284">Q75+U75+AA75</f>
        <v>0</v>
      </c>
      <c r="AH75" s="75">
        <f t="shared" ref="AH75:AH92" si="285">Q75+V75+AB75</f>
        <v>0</v>
      </c>
      <c r="AI75" s="75">
        <f t="shared" ref="AI75:AI92" si="286">R75+W75+AC75</f>
        <v>0</v>
      </c>
      <c r="AJ75" s="75">
        <f t="shared" ref="AJ75:AJ92" si="287">R75+X75+AD75</f>
        <v>0</v>
      </c>
      <c r="AK75" s="75">
        <f t="shared" ref="AK75:AK92" si="288">AG75+AI75</f>
        <v>0</v>
      </c>
      <c r="AL75" s="75">
        <f t="shared" ref="AL75:AL92" si="289">AH75+AJ75</f>
        <v>0</v>
      </c>
      <c r="AM75" s="81"/>
      <c r="AN75" s="81"/>
      <c r="AO75" s="81"/>
      <c r="AP75" s="81"/>
      <c r="AQ75" s="75">
        <f t="shared" ref="AQ75:AQ92" si="290">AM75+AO75</f>
        <v>0</v>
      </c>
      <c r="AR75" s="75">
        <f t="shared" ref="AR75:AR92" si="291">AN75+AP75</f>
        <v>0</v>
      </c>
      <c r="AS75" s="81"/>
      <c r="AT75" s="81"/>
      <c r="AU75" s="81"/>
      <c r="AV75" s="81"/>
      <c r="AW75" s="75">
        <f t="shared" ref="AW75:AW92" si="292">AS75+AU75</f>
        <v>0</v>
      </c>
      <c r="AX75" s="75">
        <f t="shared" ref="AX75:AX92" si="293">AT75+AV75</f>
        <v>0</v>
      </c>
      <c r="AY75" s="81"/>
      <c r="AZ75" s="81"/>
      <c r="BA75" s="81"/>
      <c r="BB75" s="81"/>
      <c r="BC75" s="75">
        <f t="shared" ref="BC75:BC92" si="294">AY75+BA75</f>
        <v>0</v>
      </c>
      <c r="BD75" s="75"/>
      <c r="BE75" s="75">
        <f t="shared" ref="BE75:BE92" si="295">AZ75+BB75</f>
        <v>0</v>
      </c>
      <c r="BF75" s="81"/>
      <c r="BG75" s="81"/>
      <c r="BH75" s="81"/>
      <c r="BI75" s="81"/>
      <c r="BJ75" s="75">
        <f t="shared" ref="BJ75:BJ92" si="296">BF75+BH75</f>
        <v>0</v>
      </c>
      <c r="BK75" s="75"/>
      <c r="BL75" s="75">
        <f t="shared" ref="BL75:BL92" si="297">BG75+BI75</f>
        <v>0</v>
      </c>
      <c r="BM75" s="81"/>
      <c r="BN75" s="81"/>
      <c r="BO75" s="81"/>
      <c r="BP75" s="81"/>
      <c r="BQ75" s="75">
        <f t="shared" ref="BQ75:BQ92" si="298">BM75+BO75</f>
        <v>0</v>
      </c>
      <c r="BR75" s="75">
        <f t="shared" ref="BR75:BR92" si="299">BN75+BP75</f>
        <v>0</v>
      </c>
      <c r="BS75" s="81"/>
      <c r="BT75" s="81"/>
      <c r="BU75" s="81"/>
      <c r="BV75" s="81"/>
      <c r="BW75" s="75">
        <f t="shared" ref="BW75:BW92" si="300">BS75+BU75</f>
        <v>0</v>
      </c>
      <c r="BX75" s="75">
        <f t="shared" ref="BX75:BX92" si="301">BT75+BV75</f>
        <v>0</v>
      </c>
      <c r="BY75" s="81"/>
      <c r="BZ75" s="81"/>
      <c r="CA75" s="81"/>
      <c r="CB75" s="81"/>
      <c r="CC75" s="75">
        <f t="shared" ref="CC75:CC92" si="302">BY75+CA75</f>
        <v>0</v>
      </c>
      <c r="CD75" s="75">
        <f t="shared" ref="CD75:CD92" si="303">BZ75+CB75</f>
        <v>0</v>
      </c>
      <c r="CE75" s="81"/>
      <c r="CF75" s="81"/>
      <c r="CG75" s="81"/>
      <c r="CH75" s="81"/>
      <c r="CI75" s="75">
        <f t="shared" ref="CI75:CI92" si="304">CE75+CG75</f>
        <v>0</v>
      </c>
      <c r="CJ75" s="75">
        <f t="shared" ref="CJ75:CJ92" si="305">CF75+CH75</f>
        <v>0</v>
      </c>
      <c r="CK75" s="81"/>
      <c r="CL75" s="81"/>
      <c r="CM75" s="81"/>
      <c r="CN75" s="81"/>
      <c r="CO75" s="75">
        <f t="shared" ref="CO75:CO92" si="306">CK75+CM75</f>
        <v>0</v>
      </c>
      <c r="CP75" s="75">
        <f t="shared" ref="CP75:CP92" si="307">CL75+CN75</f>
        <v>0</v>
      </c>
      <c r="CQ75" s="81"/>
      <c r="CR75" s="75">
        <v>0</v>
      </c>
      <c r="CS75" s="81"/>
      <c r="CT75" s="81">
        <v>47593</v>
      </c>
      <c r="CU75" s="75">
        <f t="shared" ref="CU75:CU92" si="308">CQ75+CS75</f>
        <v>0</v>
      </c>
      <c r="CV75" s="75">
        <f t="shared" ref="CV75:CV92" si="309">CR75+CT75</f>
        <v>47593</v>
      </c>
      <c r="CW75" s="81"/>
      <c r="CX75" s="81"/>
      <c r="CY75" s="81"/>
      <c r="CZ75" s="81"/>
      <c r="DA75" s="75">
        <f t="shared" ref="DA75:DA92" si="310">CW75+CY75</f>
        <v>0</v>
      </c>
      <c r="DB75" s="75">
        <f t="shared" ref="DB75:DB92" si="311">CX75+CZ75</f>
        <v>0</v>
      </c>
      <c r="DC75" s="81"/>
      <c r="DD75" s="81"/>
      <c r="DE75" s="81"/>
      <c r="DF75" s="81"/>
      <c r="DG75" s="75">
        <f t="shared" ref="DG75:DG92" si="312">DC75+DE75</f>
        <v>0</v>
      </c>
      <c r="DH75" s="75">
        <f t="shared" ref="DH75:DH92" si="313">DD75+DF75</f>
        <v>0</v>
      </c>
      <c r="DI75" s="75">
        <f t="shared" ref="DI75:DI92" si="314">AM75+AS75+AY75+BF75+BM75+BS75+BY75+CE75+CK75+CQ75+CW75+DC75</f>
        <v>0</v>
      </c>
      <c r="DJ75" s="75">
        <f t="shared" ref="DJ75:DJ92" si="315">AN75+AT75+AZ75+BG75+BN75+BT75+BZ75+CF75+CL75+CR75+CX75+DD75</f>
        <v>0</v>
      </c>
      <c r="DK75" s="75">
        <f t="shared" ref="DK75:DK92" si="316">AO75+AU75+BA75+BH75+BO75+BU75+CA75+CG75+CM75+CS75+CY75+DE75</f>
        <v>0</v>
      </c>
      <c r="DL75" s="75">
        <f t="shared" ref="DL75:DL92" si="317">AP75+AV75+BB75+BI75+BP75+BV75+CB75+CH75+CN75+CT75+CZ75+DF75</f>
        <v>47593</v>
      </c>
      <c r="DM75" s="75">
        <f t="shared" ref="DM75:DM92" si="318">DI75+DK75</f>
        <v>0</v>
      </c>
      <c r="DN75" s="75">
        <f t="shared" ref="DN75:DN92" si="319">DJ75+DL75</f>
        <v>47593</v>
      </c>
    </row>
    <row r="76" spans="1:118">
      <c r="A76" s="25">
        <v>68</v>
      </c>
      <c r="B76" s="26" t="s">
        <v>631</v>
      </c>
      <c r="C76" s="26"/>
      <c r="D76" s="26" t="s">
        <v>1360</v>
      </c>
      <c r="E76" s="205" t="s">
        <v>1164</v>
      </c>
      <c r="F76" s="131">
        <f t="shared" si="272"/>
        <v>0</v>
      </c>
      <c r="G76" s="131">
        <f>DN76</f>
        <v>57604.75</v>
      </c>
      <c r="H76" s="283">
        <f t="shared" si="273"/>
        <v>0</v>
      </c>
      <c r="I76" s="80"/>
      <c r="J76" s="400">
        <v>0</v>
      </c>
      <c r="K76" s="400">
        <v>0</v>
      </c>
      <c r="L76" s="131">
        <f t="shared" si="274"/>
        <v>0</v>
      </c>
      <c r="M76" s="131">
        <f t="shared" si="275"/>
        <v>0</v>
      </c>
      <c r="N76" s="131">
        <f t="shared" si="276"/>
        <v>0</v>
      </c>
      <c r="O76" s="131">
        <f t="shared" si="277"/>
        <v>0</v>
      </c>
      <c r="P76" s="131">
        <f t="shared" si="278"/>
        <v>57604.75</v>
      </c>
      <c r="Q76" s="81"/>
      <c r="R76" s="81">
        <v>0</v>
      </c>
      <c r="S76" s="81">
        <v>0</v>
      </c>
      <c r="T76" s="81">
        <f t="shared" si="279"/>
        <v>0</v>
      </c>
      <c r="U76" s="81"/>
      <c r="V76" s="81"/>
      <c r="W76" s="81"/>
      <c r="X76" s="81"/>
      <c r="Y76" s="75">
        <f t="shared" si="280"/>
        <v>0</v>
      </c>
      <c r="Z76" s="75">
        <f t="shared" si="281"/>
        <v>0</v>
      </c>
      <c r="AA76" s="81"/>
      <c r="AB76" s="81"/>
      <c r="AC76" s="81"/>
      <c r="AD76" s="81"/>
      <c r="AE76" s="75">
        <f t="shared" si="282"/>
        <v>0</v>
      </c>
      <c r="AF76" s="75">
        <f t="shared" si="283"/>
        <v>0</v>
      </c>
      <c r="AG76" s="75">
        <f t="shared" si="284"/>
        <v>0</v>
      </c>
      <c r="AH76" s="75">
        <f t="shared" si="285"/>
        <v>0</v>
      </c>
      <c r="AI76" s="75">
        <f t="shared" si="286"/>
        <v>0</v>
      </c>
      <c r="AJ76" s="75">
        <f t="shared" si="287"/>
        <v>0</v>
      </c>
      <c r="AK76" s="75">
        <f t="shared" si="288"/>
        <v>0</v>
      </c>
      <c r="AL76" s="75">
        <f t="shared" si="289"/>
        <v>0</v>
      </c>
      <c r="AM76" s="81"/>
      <c r="AN76" s="81"/>
      <c r="AO76" s="81"/>
      <c r="AP76" s="81"/>
      <c r="AQ76" s="75">
        <f t="shared" si="290"/>
        <v>0</v>
      </c>
      <c r="AR76" s="75">
        <f t="shared" si="291"/>
        <v>0</v>
      </c>
      <c r="AS76" s="81"/>
      <c r="AT76" s="81"/>
      <c r="AU76" s="81"/>
      <c r="AV76" s="81"/>
      <c r="AW76" s="75">
        <f t="shared" si="292"/>
        <v>0</v>
      </c>
      <c r="AX76" s="75">
        <f t="shared" si="293"/>
        <v>0</v>
      </c>
      <c r="AY76" s="81"/>
      <c r="AZ76" s="81"/>
      <c r="BA76" s="81"/>
      <c r="BB76" s="81"/>
      <c r="BC76" s="75">
        <f t="shared" si="294"/>
        <v>0</v>
      </c>
      <c r="BD76" s="75"/>
      <c r="BE76" s="75">
        <f t="shared" si="295"/>
        <v>0</v>
      </c>
      <c r="BF76" s="81"/>
      <c r="BG76" s="81"/>
      <c r="BH76" s="81"/>
      <c r="BI76" s="81"/>
      <c r="BJ76" s="75">
        <f t="shared" si="296"/>
        <v>0</v>
      </c>
      <c r="BK76" s="75"/>
      <c r="BL76" s="75">
        <f t="shared" si="297"/>
        <v>0</v>
      </c>
      <c r="BM76" s="81"/>
      <c r="BN76" s="81"/>
      <c r="BO76" s="81"/>
      <c r="BP76" s="81"/>
      <c r="BQ76" s="75">
        <f t="shared" si="298"/>
        <v>0</v>
      </c>
      <c r="BR76" s="75">
        <f t="shared" si="299"/>
        <v>0</v>
      </c>
      <c r="BS76" s="81"/>
      <c r="BT76" s="81"/>
      <c r="BU76" s="81"/>
      <c r="BV76" s="81"/>
      <c r="BW76" s="75">
        <f t="shared" si="300"/>
        <v>0</v>
      </c>
      <c r="BX76" s="75">
        <f t="shared" si="301"/>
        <v>0</v>
      </c>
      <c r="BY76" s="81"/>
      <c r="BZ76" s="81"/>
      <c r="CA76" s="81"/>
      <c r="CB76" s="81"/>
      <c r="CC76" s="75">
        <f t="shared" si="302"/>
        <v>0</v>
      </c>
      <c r="CD76" s="75">
        <f t="shared" si="303"/>
        <v>0</v>
      </c>
      <c r="CE76" s="81"/>
      <c r="CF76" s="81"/>
      <c r="CG76" s="81"/>
      <c r="CH76" s="81"/>
      <c r="CI76" s="75">
        <f t="shared" si="304"/>
        <v>0</v>
      </c>
      <c r="CJ76" s="75">
        <f t="shared" si="305"/>
        <v>0</v>
      </c>
      <c r="CK76" s="81"/>
      <c r="CL76" s="81"/>
      <c r="CM76" s="81"/>
      <c r="CN76" s="81"/>
      <c r="CO76" s="75">
        <f t="shared" si="306"/>
        <v>0</v>
      </c>
      <c r="CP76" s="75">
        <f t="shared" si="307"/>
        <v>0</v>
      </c>
      <c r="CQ76" s="81"/>
      <c r="CR76" s="75">
        <v>0</v>
      </c>
      <c r="CS76" s="81"/>
      <c r="CT76" s="81">
        <v>57604.75</v>
      </c>
      <c r="CU76" s="75">
        <f t="shared" si="308"/>
        <v>0</v>
      </c>
      <c r="CV76" s="75">
        <f t="shared" si="309"/>
        <v>57604.75</v>
      </c>
      <c r="CW76" s="81"/>
      <c r="CX76" s="81"/>
      <c r="CY76" s="81"/>
      <c r="CZ76" s="81"/>
      <c r="DA76" s="75">
        <f t="shared" si="310"/>
        <v>0</v>
      </c>
      <c r="DB76" s="75">
        <f t="shared" si="311"/>
        <v>0</v>
      </c>
      <c r="DC76" s="81"/>
      <c r="DD76" s="81"/>
      <c r="DE76" s="81"/>
      <c r="DF76" s="81"/>
      <c r="DG76" s="75">
        <f t="shared" si="312"/>
        <v>0</v>
      </c>
      <c r="DH76" s="75">
        <f t="shared" si="313"/>
        <v>0</v>
      </c>
      <c r="DI76" s="75">
        <f t="shared" si="314"/>
        <v>0</v>
      </c>
      <c r="DJ76" s="75">
        <f t="shared" si="315"/>
        <v>0</v>
      </c>
      <c r="DK76" s="75">
        <f t="shared" si="316"/>
        <v>0</v>
      </c>
      <c r="DL76" s="75">
        <f t="shared" si="317"/>
        <v>57604.75</v>
      </c>
      <c r="DM76" s="75">
        <f t="shared" si="318"/>
        <v>0</v>
      </c>
      <c r="DN76" s="75">
        <f t="shared" si="319"/>
        <v>57604.75</v>
      </c>
    </row>
    <row r="77" spans="1:118">
      <c r="A77" s="25">
        <v>69</v>
      </c>
      <c r="B77" s="26" t="s">
        <v>631</v>
      </c>
      <c r="C77" s="26" t="s">
        <v>1369</v>
      </c>
      <c r="D77" s="26" t="s">
        <v>1368</v>
      </c>
      <c r="E77" s="205" t="s">
        <v>1164</v>
      </c>
      <c r="F77" s="131">
        <f t="shared" si="272"/>
        <v>0</v>
      </c>
      <c r="G77" s="131"/>
      <c r="H77" s="283">
        <f t="shared" si="273"/>
        <v>0</v>
      </c>
      <c r="I77" s="80"/>
      <c r="J77" s="400">
        <v>0</v>
      </c>
      <c r="K77" s="400">
        <v>0</v>
      </c>
      <c r="L77" s="131">
        <f t="shared" si="274"/>
        <v>0</v>
      </c>
      <c r="M77" s="131">
        <f t="shared" si="275"/>
        <v>0</v>
      </c>
      <c r="N77" s="131">
        <f t="shared" si="276"/>
        <v>0</v>
      </c>
      <c r="O77" s="131">
        <f t="shared" si="277"/>
        <v>0</v>
      </c>
      <c r="P77" s="131">
        <f t="shared" si="278"/>
        <v>5356.75</v>
      </c>
      <c r="Q77" s="81"/>
      <c r="R77" s="81">
        <v>0</v>
      </c>
      <c r="S77" s="81">
        <v>0</v>
      </c>
      <c r="T77" s="81">
        <f t="shared" si="279"/>
        <v>0</v>
      </c>
      <c r="U77" s="81"/>
      <c r="V77" s="81"/>
      <c r="W77" s="81"/>
      <c r="X77" s="81"/>
      <c r="Y77" s="75">
        <f t="shared" si="280"/>
        <v>0</v>
      </c>
      <c r="Z77" s="75">
        <f t="shared" si="281"/>
        <v>0</v>
      </c>
      <c r="AA77" s="81"/>
      <c r="AB77" s="81"/>
      <c r="AC77" s="81"/>
      <c r="AD77" s="81"/>
      <c r="AE77" s="75">
        <f t="shared" si="282"/>
        <v>0</v>
      </c>
      <c r="AF77" s="75">
        <f t="shared" si="283"/>
        <v>0</v>
      </c>
      <c r="AG77" s="75">
        <f t="shared" si="284"/>
        <v>0</v>
      </c>
      <c r="AH77" s="75">
        <f t="shared" si="285"/>
        <v>0</v>
      </c>
      <c r="AI77" s="75">
        <f t="shared" si="286"/>
        <v>0</v>
      </c>
      <c r="AJ77" s="75">
        <f t="shared" si="287"/>
        <v>0</v>
      </c>
      <c r="AK77" s="75">
        <f t="shared" si="288"/>
        <v>0</v>
      </c>
      <c r="AL77" s="75">
        <f t="shared" si="289"/>
        <v>0</v>
      </c>
      <c r="AM77" s="81"/>
      <c r="AN77" s="81"/>
      <c r="AO77" s="81"/>
      <c r="AP77" s="81"/>
      <c r="AQ77" s="75">
        <f t="shared" si="290"/>
        <v>0</v>
      </c>
      <c r="AR77" s="75">
        <f t="shared" si="291"/>
        <v>0</v>
      </c>
      <c r="AS77" s="81"/>
      <c r="AT77" s="81"/>
      <c r="AU77" s="81"/>
      <c r="AV77" s="81"/>
      <c r="AW77" s="75">
        <f t="shared" si="292"/>
        <v>0</v>
      </c>
      <c r="AX77" s="75">
        <f t="shared" si="293"/>
        <v>0</v>
      </c>
      <c r="AY77" s="81"/>
      <c r="AZ77" s="81"/>
      <c r="BA77" s="81"/>
      <c r="BB77" s="81"/>
      <c r="BC77" s="75">
        <f t="shared" si="294"/>
        <v>0</v>
      </c>
      <c r="BD77" s="75"/>
      <c r="BE77" s="75">
        <f t="shared" si="295"/>
        <v>0</v>
      </c>
      <c r="BF77" s="81"/>
      <c r="BG77" s="81"/>
      <c r="BH77" s="81"/>
      <c r="BI77" s="81"/>
      <c r="BJ77" s="75">
        <f t="shared" si="296"/>
        <v>0</v>
      </c>
      <c r="BK77" s="75"/>
      <c r="BL77" s="75">
        <f t="shared" si="297"/>
        <v>0</v>
      </c>
      <c r="BM77" s="81"/>
      <c r="BN77" s="81"/>
      <c r="BO77" s="81"/>
      <c r="BP77" s="81"/>
      <c r="BQ77" s="75">
        <f t="shared" si="298"/>
        <v>0</v>
      </c>
      <c r="BR77" s="75">
        <f t="shared" si="299"/>
        <v>0</v>
      </c>
      <c r="BS77" s="81"/>
      <c r="BT77" s="81"/>
      <c r="BU77" s="81"/>
      <c r="BV77" s="81"/>
      <c r="BW77" s="75">
        <f t="shared" si="300"/>
        <v>0</v>
      </c>
      <c r="BX77" s="75">
        <f t="shared" si="301"/>
        <v>0</v>
      </c>
      <c r="BY77" s="81"/>
      <c r="BZ77" s="81"/>
      <c r="CA77" s="81"/>
      <c r="CB77" s="81"/>
      <c r="CC77" s="75">
        <f t="shared" si="302"/>
        <v>0</v>
      </c>
      <c r="CD77" s="75">
        <f t="shared" si="303"/>
        <v>0</v>
      </c>
      <c r="CE77" s="81"/>
      <c r="CF77" s="81"/>
      <c r="CG77" s="81"/>
      <c r="CH77" s="81"/>
      <c r="CI77" s="75">
        <f t="shared" si="304"/>
        <v>0</v>
      </c>
      <c r="CJ77" s="75">
        <f t="shared" si="305"/>
        <v>0</v>
      </c>
      <c r="CK77" s="81"/>
      <c r="CL77" s="81"/>
      <c r="CM77" s="81"/>
      <c r="CN77" s="81"/>
      <c r="CO77" s="75">
        <f t="shared" si="306"/>
        <v>0</v>
      </c>
      <c r="CP77" s="75">
        <f t="shared" si="307"/>
        <v>0</v>
      </c>
      <c r="CQ77" s="81"/>
      <c r="CR77" s="75">
        <v>0</v>
      </c>
      <c r="CS77" s="81"/>
      <c r="CT77" s="81">
        <v>5356.75</v>
      </c>
      <c r="CU77" s="75">
        <f t="shared" si="308"/>
        <v>0</v>
      </c>
      <c r="CV77" s="75">
        <f t="shared" si="309"/>
        <v>5356.75</v>
      </c>
      <c r="CW77" s="81"/>
      <c r="CX77" s="81"/>
      <c r="CY77" s="81"/>
      <c r="CZ77" s="81"/>
      <c r="DA77" s="75">
        <f t="shared" si="310"/>
        <v>0</v>
      </c>
      <c r="DB77" s="75">
        <f t="shared" si="311"/>
        <v>0</v>
      </c>
      <c r="DC77" s="81"/>
      <c r="DD77" s="81"/>
      <c r="DE77" s="81"/>
      <c r="DF77" s="81"/>
      <c r="DG77" s="75">
        <f t="shared" si="312"/>
        <v>0</v>
      </c>
      <c r="DH77" s="75">
        <f t="shared" si="313"/>
        <v>0</v>
      </c>
      <c r="DI77" s="75">
        <f t="shared" si="314"/>
        <v>0</v>
      </c>
      <c r="DJ77" s="75">
        <f t="shared" si="315"/>
        <v>0</v>
      </c>
      <c r="DK77" s="75">
        <f t="shared" si="316"/>
        <v>0</v>
      </c>
      <c r="DL77" s="75">
        <f t="shared" si="317"/>
        <v>5356.75</v>
      </c>
      <c r="DM77" s="75">
        <f t="shared" si="318"/>
        <v>0</v>
      </c>
      <c r="DN77" s="75">
        <f t="shared" si="319"/>
        <v>5356.75</v>
      </c>
    </row>
    <row r="78" spans="1:118">
      <c r="A78" s="25">
        <v>70</v>
      </c>
      <c r="B78" s="26"/>
      <c r="C78" s="26"/>
      <c r="D78" s="26"/>
      <c r="E78" s="205"/>
      <c r="F78" s="131">
        <f t="shared" si="272"/>
        <v>0</v>
      </c>
      <c r="G78" s="131"/>
      <c r="H78" s="283">
        <f t="shared" si="273"/>
        <v>0</v>
      </c>
      <c r="I78" s="80"/>
      <c r="J78" s="400">
        <v>0</v>
      </c>
      <c r="K78" s="400">
        <v>0</v>
      </c>
      <c r="L78" s="131">
        <f t="shared" si="274"/>
        <v>0</v>
      </c>
      <c r="M78" s="131">
        <f t="shared" si="275"/>
        <v>0</v>
      </c>
      <c r="N78" s="131">
        <f t="shared" si="276"/>
        <v>0</v>
      </c>
      <c r="O78" s="131">
        <f t="shared" si="277"/>
        <v>0</v>
      </c>
      <c r="P78" s="131" t="str">
        <f t="shared" si="278"/>
        <v>ნულოვანი შესრულება</v>
      </c>
      <c r="Q78" s="81"/>
      <c r="R78" s="81">
        <v>0</v>
      </c>
      <c r="S78" s="81">
        <v>0</v>
      </c>
      <c r="T78" s="81">
        <f t="shared" si="279"/>
        <v>0</v>
      </c>
      <c r="U78" s="81"/>
      <c r="V78" s="81"/>
      <c r="W78" s="81"/>
      <c r="X78" s="81"/>
      <c r="Y78" s="75">
        <f t="shared" si="280"/>
        <v>0</v>
      </c>
      <c r="Z78" s="75">
        <f t="shared" si="281"/>
        <v>0</v>
      </c>
      <c r="AA78" s="81"/>
      <c r="AB78" s="81"/>
      <c r="AC78" s="81"/>
      <c r="AD78" s="81"/>
      <c r="AE78" s="75">
        <f t="shared" si="282"/>
        <v>0</v>
      </c>
      <c r="AF78" s="75">
        <f t="shared" si="283"/>
        <v>0</v>
      </c>
      <c r="AG78" s="75">
        <f t="shared" si="284"/>
        <v>0</v>
      </c>
      <c r="AH78" s="75">
        <f t="shared" si="285"/>
        <v>0</v>
      </c>
      <c r="AI78" s="75">
        <f t="shared" si="286"/>
        <v>0</v>
      </c>
      <c r="AJ78" s="75">
        <f t="shared" si="287"/>
        <v>0</v>
      </c>
      <c r="AK78" s="75">
        <f t="shared" si="288"/>
        <v>0</v>
      </c>
      <c r="AL78" s="75">
        <f t="shared" si="289"/>
        <v>0</v>
      </c>
      <c r="AM78" s="81"/>
      <c r="AN78" s="81"/>
      <c r="AO78" s="81"/>
      <c r="AP78" s="81"/>
      <c r="AQ78" s="75">
        <f t="shared" si="290"/>
        <v>0</v>
      </c>
      <c r="AR78" s="75">
        <f t="shared" si="291"/>
        <v>0</v>
      </c>
      <c r="AS78" s="81"/>
      <c r="AT78" s="81"/>
      <c r="AU78" s="81"/>
      <c r="AV78" s="81"/>
      <c r="AW78" s="75">
        <f t="shared" si="292"/>
        <v>0</v>
      </c>
      <c r="AX78" s="75">
        <f t="shared" si="293"/>
        <v>0</v>
      </c>
      <c r="AY78" s="81"/>
      <c r="AZ78" s="81"/>
      <c r="BA78" s="81"/>
      <c r="BB78" s="81"/>
      <c r="BC78" s="75">
        <f t="shared" si="294"/>
        <v>0</v>
      </c>
      <c r="BD78" s="75"/>
      <c r="BE78" s="75">
        <f t="shared" si="295"/>
        <v>0</v>
      </c>
      <c r="BF78" s="81"/>
      <c r="BG78" s="81"/>
      <c r="BH78" s="81"/>
      <c r="BI78" s="81"/>
      <c r="BJ78" s="75">
        <f t="shared" si="296"/>
        <v>0</v>
      </c>
      <c r="BK78" s="75"/>
      <c r="BL78" s="75">
        <f t="shared" si="297"/>
        <v>0</v>
      </c>
      <c r="BM78" s="81"/>
      <c r="BN78" s="81"/>
      <c r="BO78" s="81"/>
      <c r="BP78" s="81"/>
      <c r="BQ78" s="75">
        <f t="shared" si="298"/>
        <v>0</v>
      </c>
      <c r="BR78" s="75">
        <f t="shared" si="299"/>
        <v>0</v>
      </c>
      <c r="BS78" s="81"/>
      <c r="BT78" s="81"/>
      <c r="BU78" s="81"/>
      <c r="BV78" s="81"/>
      <c r="BW78" s="75">
        <f t="shared" si="300"/>
        <v>0</v>
      </c>
      <c r="BX78" s="75">
        <f t="shared" si="301"/>
        <v>0</v>
      </c>
      <c r="BY78" s="81"/>
      <c r="BZ78" s="81"/>
      <c r="CA78" s="81"/>
      <c r="CB78" s="81"/>
      <c r="CC78" s="75">
        <f t="shared" si="302"/>
        <v>0</v>
      </c>
      <c r="CD78" s="75">
        <f t="shared" si="303"/>
        <v>0</v>
      </c>
      <c r="CE78" s="81"/>
      <c r="CF78" s="81"/>
      <c r="CG78" s="81"/>
      <c r="CH78" s="81"/>
      <c r="CI78" s="75">
        <f t="shared" si="304"/>
        <v>0</v>
      </c>
      <c r="CJ78" s="75">
        <f t="shared" si="305"/>
        <v>0</v>
      </c>
      <c r="CK78" s="81"/>
      <c r="CL78" s="81"/>
      <c r="CM78" s="81"/>
      <c r="CN78" s="81"/>
      <c r="CO78" s="75">
        <f t="shared" si="306"/>
        <v>0</v>
      </c>
      <c r="CP78" s="75">
        <f t="shared" si="307"/>
        <v>0</v>
      </c>
      <c r="CQ78" s="81"/>
      <c r="CR78" s="75">
        <v>0</v>
      </c>
      <c r="CS78" s="81"/>
      <c r="CT78" s="81"/>
      <c r="CU78" s="75">
        <f t="shared" si="308"/>
        <v>0</v>
      </c>
      <c r="CV78" s="75">
        <f t="shared" si="309"/>
        <v>0</v>
      </c>
      <c r="CW78" s="81"/>
      <c r="CX78" s="81"/>
      <c r="CY78" s="81"/>
      <c r="CZ78" s="81"/>
      <c r="DA78" s="75">
        <f t="shared" si="310"/>
        <v>0</v>
      </c>
      <c r="DB78" s="75">
        <f t="shared" si="311"/>
        <v>0</v>
      </c>
      <c r="DC78" s="81"/>
      <c r="DD78" s="81"/>
      <c r="DE78" s="81"/>
      <c r="DF78" s="81"/>
      <c r="DG78" s="75">
        <f t="shared" si="312"/>
        <v>0</v>
      </c>
      <c r="DH78" s="75">
        <f t="shared" si="313"/>
        <v>0</v>
      </c>
      <c r="DI78" s="75">
        <f t="shared" si="314"/>
        <v>0</v>
      </c>
      <c r="DJ78" s="75">
        <f t="shared" si="315"/>
        <v>0</v>
      </c>
      <c r="DK78" s="75">
        <f t="shared" si="316"/>
        <v>0</v>
      </c>
      <c r="DL78" s="75">
        <f t="shared" si="317"/>
        <v>0</v>
      </c>
      <c r="DM78" s="75">
        <f t="shared" si="318"/>
        <v>0</v>
      </c>
      <c r="DN78" s="75">
        <f t="shared" si="319"/>
        <v>0</v>
      </c>
    </row>
    <row r="79" spans="1:118">
      <c r="A79" s="25">
        <v>71</v>
      </c>
      <c r="B79" s="26"/>
      <c r="C79" s="26"/>
      <c r="D79" s="26"/>
      <c r="E79" s="205"/>
      <c r="F79" s="131">
        <f t="shared" si="272"/>
        <v>0</v>
      </c>
      <c r="G79" s="131"/>
      <c r="H79" s="283">
        <f t="shared" si="273"/>
        <v>0</v>
      </c>
      <c r="I79" s="80"/>
      <c r="J79" s="400">
        <v>0</v>
      </c>
      <c r="K79" s="400">
        <v>0</v>
      </c>
      <c r="L79" s="131">
        <f t="shared" si="274"/>
        <v>0</v>
      </c>
      <c r="M79" s="131">
        <f t="shared" si="275"/>
        <v>0</v>
      </c>
      <c r="N79" s="131">
        <f t="shared" si="276"/>
        <v>0</v>
      </c>
      <c r="O79" s="131">
        <f t="shared" si="277"/>
        <v>0</v>
      </c>
      <c r="P79" s="131" t="str">
        <f t="shared" si="278"/>
        <v>ნულოვანი შესრულება</v>
      </c>
      <c r="Q79" s="81"/>
      <c r="R79" s="81">
        <v>0</v>
      </c>
      <c r="S79" s="81">
        <v>0</v>
      </c>
      <c r="T79" s="81">
        <f t="shared" si="279"/>
        <v>0</v>
      </c>
      <c r="U79" s="81"/>
      <c r="V79" s="81"/>
      <c r="W79" s="81"/>
      <c r="X79" s="81"/>
      <c r="Y79" s="75">
        <f t="shared" si="280"/>
        <v>0</v>
      </c>
      <c r="Z79" s="75">
        <f t="shared" si="281"/>
        <v>0</v>
      </c>
      <c r="AA79" s="81"/>
      <c r="AB79" s="81"/>
      <c r="AC79" s="81"/>
      <c r="AD79" s="81"/>
      <c r="AE79" s="75">
        <f t="shared" si="282"/>
        <v>0</v>
      </c>
      <c r="AF79" s="75">
        <f t="shared" si="283"/>
        <v>0</v>
      </c>
      <c r="AG79" s="75">
        <f t="shared" si="284"/>
        <v>0</v>
      </c>
      <c r="AH79" s="75">
        <f t="shared" si="285"/>
        <v>0</v>
      </c>
      <c r="AI79" s="75">
        <f t="shared" si="286"/>
        <v>0</v>
      </c>
      <c r="AJ79" s="75">
        <f t="shared" si="287"/>
        <v>0</v>
      </c>
      <c r="AK79" s="75">
        <f t="shared" si="288"/>
        <v>0</v>
      </c>
      <c r="AL79" s="75">
        <f t="shared" si="289"/>
        <v>0</v>
      </c>
      <c r="AM79" s="81"/>
      <c r="AN79" s="81"/>
      <c r="AO79" s="81"/>
      <c r="AP79" s="81"/>
      <c r="AQ79" s="75">
        <f t="shared" si="290"/>
        <v>0</v>
      </c>
      <c r="AR79" s="75">
        <f t="shared" si="291"/>
        <v>0</v>
      </c>
      <c r="AS79" s="81"/>
      <c r="AT79" s="81"/>
      <c r="AU79" s="81"/>
      <c r="AV79" s="81"/>
      <c r="AW79" s="75">
        <f t="shared" si="292"/>
        <v>0</v>
      </c>
      <c r="AX79" s="75">
        <f t="shared" si="293"/>
        <v>0</v>
      </c>
      <c r="AY79" s="81"/>
      <c r="AZ79" s="81"/>
      <c r="BA79" s="81"/>
      <c r="BB79" s="81"/>
      <c r="BC79" s="75">
        <f t="shared" si="294"/>
        <v>0</v>
      </c>
      <c r="BD79" s="75"/>
      <c r="BE79" s="75">
        <f t="shared" si="295"/>
        <v>0</v>
      </c>
      <c r="BF79" s="81"/>
      <c r="BG79" s="81"/>
      <c r="BH79" s="81"/>
      <c r="BI79" s="81"/>
      <c r="BJ79" s="75">
        <f t="shared" si="296"/>
        <v>0</v>
      </c>
      <c r="BK79" s="75"/>
      <c r="BL79" s="75">
        <f t="shared" si="297"/>
        <v>0</v>
      </c>
      <c r="BM79" s="81"/>
      <c r="BN79" s="81"/>
      <c r="BO79" s="81"/>
      <c r="BP79" s="81"/>
      <c r="BQ79" s="75">
        <f t="shared" si="298"/>
        <v>0</v>
      </c>
      <c r="BR79" s="75">
        <f t="shared" si="299"/>
        <v>0</v>
      </c>
      <c r="BS79" s="81"/>
      <c r="BT79" s="81"/>
      <c r="BU79" s="81"/>
      <c r="BV79" s="81"/>
      <c r="BW79" s="75">
        <f t="shared" si="300"/>
        <v>0</v>
      </c>
      <c r="BX79" s="75">
        <f t="shared" si="301"/>
        <v>0</v>
      </c>
      <c r="BY79" s="81"/>
      <c r="BZ79" s="81"/>
      <c r="CA79" s="81"/>
      <c r="CB79" s="81"/>
      <c r="CC79" s="75">
        <f t="shared" si="302"/>
        <v>0</v>
      </c>
      <c r="CD79" s="75">
        <f t="shared" si="303"/>
        <v>0</v>
      </c>
      <c r="CE79" s="81"/>
      <c r="CF79" s="81"/>
      <c r="CG79" s="81"/>
      <c r="CH79" s="81"/>
      <c r="CI79" s="75">
        <f t="shared" si="304"/>
        <v>0</v>
      </c>
      <c r="CJ79" s="75">
        <f t="shared" si="305"/>
        <v>0</v>
      </c>
      <c r="CK79" s="81"/>
      <c r="CL79" s="81"/>
      <c r="CM79" s="81"/>
      <c r="CN79" s="81"/>
      <c r="CO79" s="75">
        <f t="shared" si="306"/>
        <v>0</v>
      </c>
      <c r="CP79" s="75">
        <f t="shared" si="307"/>
        <v>0</v>
      </c>
      <c r="CQ79" s="81"/>
      <c r="CR79" s="75">
        <v>0</v>
      </c>
      <c r="CS79" s="81"/>
      <c r="CT79" s="81"/>
      <c r="CU79" s="75">
        <f t="shared" si="308"/>
        <v>0</v>
      </c>
      <c r="CV79" s="75">
        <f t="shared" si="309"/>
        <v>0</v>
      </c>
      <c r="CW79" s="81"/>
      <c r="CX79" s="81"/>
      <c r="CY79" s="81"/>
      <c r="CZ79" s="81"/>
      <c r="DA79" s="75">
        <f t="shared" si="310"/>
        <v>0</v>
      </c>
      <c r="DB79" s="75">
        <f t="shared" si="311"/>
        <v>0</v>
      </c>
      <c r="DC79" s="81"/>
      <c r="DD79" s="81"/>
      <c r="DE79" s="81"/>
      <c r="DF79" s="81"/>
      <c r="DG79" s="75">
        <f t="shared" si="312"/>
        <v>0</v>
      </c>
      <c r="DH79" s="75">
        <f t="shared" si="313"/>
        <v>0</v>
      </c>
      <c r="DI79" s="75">
        <f t="shared" si="314"/>
        <v>0</v>
      </c>
      <c r="DJ79" s="75">
        <f t="shared" si="315"/>
        <v>0</v>
      </c>
      <c r="DK79" s="75">
        <f t="shared" si="316"/>
        <v>0</v>
      </c>
      <c r="DL79" s="75">
        <f t="shared" si="317"/>
        <v>0</v>
      </c>
      <c r="DM79" s="75">
        <f t="shared" si="318"/>
        <v>0</v>
      </c>
      <c r="DN79" s="75">
        <f t="shared" si="319"/>
        <v>0</v>
      </c>
    </row>
    <row r="80" spans="1:118">
      <c r="A80" s="25">
        <v>72</v>
      </c>
      <c r="B80" s="26"/>
      <c r="C80" s="26"/>
      <c r="D80" s="26"/>
      <c r="E80" s="205"/>
      <c r="F80" s="131">
        <f t="shared" si="272"/>
        <v>0</v>
      </c>
      <c r="G80" s="131"/>
      <c r="H80" s="283">
        <f t="shared" si="273"/>
        <v>0</v>
      </c>
      <c r="I80" s="80"/>
      <c r="J80" s="400">
        <v>0</v>
      </c>
      <c r="K80" s="400">
        <v>0</v>
      </c>
      <c r="L80" s="131">
        <f t="shared" si="274"/>
        <v>0</v>
      </c>
      <c r="M80" s="131">
        <f t="shared" si="275"/>
        <v>0</v>
      </c>
      <c r="N80" s="131">
        <f t="shared" si="276"/>
        <v>0</v>
      </c>
      <c r="O80" s="131">
        <f t="shared" si="277"/>
        <v>0</v>
      </c>
      <c r="P80" s="131" t="str">
        <f t="shared" si="278"/>
        <v>ნულოვანი შესრულება</v>
      </c>
      <c r="Q80" s="81"/>
      <c r="R80" s="81">
        <v>0</v>
      </c>
      <c r="S80" s="81">
        <v>0</v>
      </c>
      <c r="T80" s="81">
        <f t="shared" si="279"/>
        <v>0</v>
      </c>
      <c r="U80" s="81"/>
      <c r="V80" s="81"/>
      <c r="W80" s="81"/>
      <c r="X80" s="81"/>
      <c r="Y80" s="75">
        <f t="shared" si="280"/>
        <v>0</v>
      </c>
      <c r="Z80" s="75">
        <f t="shared" si="281"/>
        <v>0</v>
      </c>
      <c r="AA80" s="81"/>
      <c r="AB80" s="81"/>
      <c r="AC80" s="81"/>
      <c r="AD80" s="81"/>
      <c r="AE80" s="75">
        <f t="shared" si="282"/>
        <v>0</v>
      </c>
      <c r="AF80" s="75">
        <f t="shared" si="283"/>
        <v>0</v>
      </c>
      <c r="AG80" s="75">
        <f t="shared" si="284"/>
        <v>0</v>
      </c>
      <c r="AH80" s="75">
        <f t="shared" si="285"/>
        <v>0</v>
      </c>
      <c r="AI80" s="75">
        <f t="shared" si="286"/>
        <v>0</v>
      </c>
      <c r="AJ80" s="75">
        <f t="shared" si="287"/>
        <v>0</v>
      </c>
      <c r="AK80" s="75">
        <f t="shared" si="288"/>
        <v>0</v>
      </c>
      <c r="AL80" s="75">
        <f t="shared" si="289"/>
        <v>0</v>
      </c>
      <c r="AM80" s="81"/>
      <c r="AN80" s="81"/>
      <c r="AO80" s="81"/>
      <c r="AP80" s="81"/>
      <c r="AQ80" s="75">
        <f t="shared" si="290"/>
        <v>0</v>
      </c>
      <c r="AR80" s="75">
        <f t="shared" si="291"/>
        <v>0</v>
      </c>
      <c r="AS80" s="81"/>
      <c r="AT80" s="81"/>
      <c r="AU80" s="81"/>
      <c r="AV80" s="81"/>
      <c r="AW80" s="75">
        <f t="shared" si="292"/>
        <v>0</v>
      </c>
      <c r="AX80" s="75">
        <f t="shared" si="293"/>
        <v>0</v>
      </c>
      <c r="AY80" s="81"/>
      <c r="AZ80" s="81"/>
      <c r="BA80" s="81"/>
      <c r="BB80" s="81"/>
      <c r="BC80" s="75">
        <f t="shared" si="294"/>
        <v>0</v>
      </c>
      <c r="BD80" s="75"/>
      <c r="BE80" s="75">
        <f t="shared" si="295"/>
        <v>0</v>
      </c>
      <c r="BF80" s="81"/>
      <c r="BG80" s="81"/>
      <c r="BH80" s="81"/>
      <c r="BI80" s="81"/>
      <c r="BJ80" s="75">
        <f t="shared" si="296"/>
        <v>0</v>
      </c>
      <c r="BK80" s="75"/>
      <c r="BL80" s="75">
        <f t="shared" si="297"/>
        <v>0</v>
      </c>
      <c r="BM80" s="81"/>
      <c r="BN80" s="81"/>
      <c r="BO80" s="81"/>
      <c r="BP80" s="81"/>
      <c r="BQ80" s="75">
        <f t="shared" si="298"/>
        <v>0</v>
      </c>
      <c r="BR80" s="75">
        <f t="shared" si="299"/>
        <v>0</v>
      </c>
      <c r="BS80" s="81"/>
      <c r="BT80" s="81"/>
      <c r="BU80" s="81"/>
      <c r="BV80" s="81"/>
      <c r="BW80" s="75">
        <f t="shared" si="300"/>
        <v>0</v>
      </c>
      <c r="BX80" s="75">
        <f t="shared" si="301"/>
        <v>0</v>
      </c>
      <c r="BY80" s="81"/>
      <c r="BZ80" s="81"/>
      <c r="CA80" s="81"/>
      <c r="CB80" s="81"/>
      <c r="CC80" s="75">
        <f t="shared" si="302"/>
        <v>0</v>
      </c>
      <c r="CD80" s="75">
        <f t="shared" si="303"/>
        <v>0</v>
      </c>
      <c r="CE80" s="81"/>
      <c r="CF80" s="81"/>
      <c r="CG80" s="81"/>
      <c r="CH80" s="81"/>
      <c r="CI80" s="75">
        <f t="shared" si="304"/>
        <v>0</v>
      </c>
      <c r="CJ80" s="75">
        <f t="shared" si="305"/>
        <v>0</v>
      </c>
      <c r="CK80" s="81"/>
      <c r="CL80" s="81"/>
      <c r="CM80" s="81"/>
      <c r="CN80" s="81"/>
      <c r="CO80" s="75">
        <f t="shared" si="306"/>
        <v>0</v>
      </c>
      <c r="CP80" s="75">
        <f t="shared" si="307"/>
        <v>0</v>
      </c>
      <c r="CQ80" s="81"/>
      <c r="CR80" s="75">
        <v>0</v>
      </c>
      <c r="CS80" s="81"/>
      <c r="CT80" s="81"/>
      <c r="CU80" s="75">
        <f t="shared" si="308"/>
        <v>0</v>
      </c>
      <c r="CV80" s="75">
        <f t="shared" si="309"/>
        <v>0</v>
      </c>
      <c r="CW80" s="81"/>
      <c r="CX80" s="81"/>
      <c r="CY80" s="81"/>
      <c r="CZ80" s="81"/>
      <c r="DA80" s="75">
        <f t="shared" si="310"/>
        <v>0</v>
      </c>
      <c r="DB80" s="75">
        <f t="shared" si="311"/>
        <v>0</v>
      </c>
      <c r="DC80" s="81"/>
      <c r="DD80" s="81"/>
      <c r="DE80" s="81"/>
      <c r="DF80" s="81"/>
      <c r="DG80" s="75">
        <f t="shared" si="312"/>
        <v>0</v>
      </c>
      <c r="DH80" s="75">
        <f t="shared" si="313"/>
        <v>0</v>
      </c>
      <c r="DI80" s="75">
        <f t="shared" si="314"/>
        <v>0</v>
      </c>
      <c r="DJ80" s="75">
        <f t="shared" si="315"/>
        <v>0</v>
      </c>
      <c r="DK80" s="75">
        <f t="shared" si="316"/>
        <v>0</v>
      </c>
      <c r="DL80" s="75">
        <f t="shared" si="317"/>
        <v>0</v>
      </c>
      <c r="DM80" s="75">
        <f t="shared" si="318"/>
        <v>0</v>
      </c>
      <c r="DN80" s="75">
        <f t="shared" si="319"/>
        <v>0</v>
      </c>
    </row>
    <row r="81" spans="1:118">
      <c r="A81" s="25">
        <v>73</v>
      </c>
      <c r="B81" s="26"/>
      <c r="C81" s="26"/>
      <c r="D81" s="26"/>
      <c r="E81" s="205"/>
      <c r="F81" s="131">
        <f t="shared" si="272"/>
        <v>0</v>
      </c>
      <c r="G81" s="131"/>
      <c r="H81" s="283">
        <f t="shared" si="273"/>
        <v>0</v>
      </c>
      <c r="I81" s="80"/>
      <c r="J81" s="400">
        <v>0</v>
      </c>
      <c r="K81" s="400">
        <v>0</v>
      </c>
      <c r="L81" s="131">
        <f t="shared" si="274"/>
        <v>0</v>
      </c>
      <c r="M81" s="131">
        <f t="shared" si="275"/>
        <v>0</v>
      </c>
      <c r="N81" s="131">
        <f t="shared" si="276"/>
        <v>0</v>
      </c>
      <c r="O81" s="131">
        <f t="shared" si="277"/>
        <v>0</v>
      </c>
      <c r="P81" s="131" t="str">
        <f t="shared" si="278"/>
        <v>ნულოვანი შესრულება</v>
      </c>
      <c r="Q81" s="81"/>
      <c r="R81" s="81">
        <v>0</v>
      </c>
      <c r="S81" s="81">
        <v>0</v>
      </c>
      <c r="T81" s="81">
        <f t="shared" si="279"/>
        <v>0</v>
      </c>
      <c r="U81" s="81"/>
      <c r="V81" s="81"/>
      <c r="W81" s="81"/>
      <c r="X81" s="81"/>
      <c r="Y81" s="75">
        <f t="shared" si="280"/>
        <v>0</v>
      </c>
      <c r="Z81" s="75">
        <f t="shared" si="281"/>
        <v>0</v>
      </c>
      <c r="AA81" s="81"/>
      <c r="AB81" s="81"/>
      <c r="AC81" s="81"/>
      <c r="AD81" s="81"/>
      <c r="AE81" s="75">
        <f t="shared" si="282"/>
        <v>0</v>
      </c>
      <c r="AF81" s="75">
        <f t="shared" si="283"/>
        <v>0</v>
      </c>
      <c r="AG81" s="75">
        <f t="shared" si="284"/>
        <v>0</v>
      </c>
      <c r="AH81" s="75">
        <f t="shared" si="285"/>
        <v>0</v>
      </c>
      <c r="AI81" s="75">
        <f t="shared" si="286"/>
        <v>0</v>
      </c>
      <c r="AJ81" s="75">
        <f t="shared" si="287"/>
        <v>0</v>
      </c>
      <c r="AK81" s="75">
        <f t="shared" si="288"/>
        <v>0</v>
      </c>
      <c r="AL81" s="75">
        <f t="shared" si="289"/>
        <v>0</v>
      </c>
      <c r="AM81" s="81"/>
      <c r="AN81" s="81"/>
      <c r="AO81" s="81"/>
      <c r="AP81" s="81"/>
      <c r="AQ81" s="75">
        <f t="shared" si="290"/>
        <v>0</v>
      </c>
      <c r="AR81" s="75">
        <f t="shared" si="291"/>
        <v>0</v>
      </c>
      <c r="AS81" s="81"/>
      <c r="AT81" s="81"/>
      <c r="AU81" s="81"/>
      <c r="AV81" s="81"/>
      <c r="AW81" s="75">
        <f t="shared" si="292"/>
        <v>0</v>
      </c>
      <c r="AX81" s="75">
        <f t="shared" si="293"/>
        <v>0</v>
      </c>
      <c r="AY81" s="81"/>
      <c r="AZ81" s="81"/>
      <c r="BA81" s="81"/>
      <c r="BB81" s="81"/>
      <c r="BC81" s="75">
        <f t="shared" si="294"/>
        <v>0</v>
      </c>
      <c r="BD81" s="75"/>
      <c r="BE81" s="75">
        <f t="shared" si="295"/>
        <v>0</v>
      </c>
      <c r="BF81" s="81"/>
      <c r="BG81" s="81"/>
      <c r="BH81" s="81"/>
      <c r="BI81" s="81"/>
      <c r="BJ81" s="75">
        <f t="shared" si="296"/>
        <v>0</v>
      </c>
      <c r="BK81" s="75"/>
      <c r="BL81" s="75">
        <f t="shared" si="297"/>
        <v>0</v>
      </c>
      <c r="BM81" s="81"/>
      <c r="BN81" s="81"/>
      <c r="BO81" s="81"/>
      <c r="BP81" s="81"/>
      <c r="BQ81" s="75">
        <f t="shared" si="298"/>
        <v>0</v>
      </c>
      <c r="BR81" s="75">
        <f t="shared" si="299"/>
        <v>0</v>
      </c>
      <c r="BS81" s="81"/>
      <c r="BT81" s="81"/>
      <c r="BU81" s="81"/>
      <c r="BV81" s="81"/>
      <c r="BW81" s="75">
        <f t="shared" si="300"/>
        <v>0</v>
      </c>
      <c r="BX81" s="75">
        <f t="shared" si="301"/>
        <v>0</v>
      </c>
      <c r="BY81" s="81"/>
      <c r="BZ81" s="81"/>
      <c r="CA81" s="81"/>
      <c r="CB81" s="81"/>
      <c r="CC81" s="75">
        <f t="shared" si="302"/>
        <v>0</v>
      </c>
      <c r="CD81" s="75">
        <f t="shared" si="303"/>
        <v>0</v>
      </c>
      <c r="CE81" s="81"/>
      <c r="CF81" s="81"/>
      <c r="CG81" s="81"/>
      <c r="CH81" s="81"/>
      <c r="CI81" s="75">
        <f t="shared" si="304"/>
        <v>0</v>
      </c>
      <c r="CJ81" s="75">
        <f t="shared" si="305"/>
        <v>0</v>
      </c>
      <c r="CK81" s="81"/>
      <c r="CL81" s="81"/>
      <c r="CM81" s="81"/>
      <c r="CN81" s="81"/>
      <c r="CO81" s="75">
        <f t="shared" si="306"/>
        <v>0</v>
      </c>
      <c r="CP81" s="75">
        <f t="shared" si="307"/>
        <v>0</v>
      </c>
      <c r="CQ81" s="81"/>
      <c r="CR81" s="75">
        <v>0</v>
      </c>
      <c r="CS81" s="81"/>
      <c r="CT81" s="81"/>
      <c r="CU81" s="75">
        <f t="shared" si="308"/>
        <v>0</v>
      </c>
      <c r="CV81" s="75">
        <f t="shared" si="309"/>
        <v>0</v>
      </c>
      <c r="CW81" s="81"/>
      <c r="CX81" s="81"/>
      <c r="CY81" s="81"/>
      <c r="CZ81" s="81"/>
      <c r="DA81" s="75">
        <f t="shared" si="310"/>
        <v>0</v>
      </c>
      <c r="DB81" s="75">
        <f t="shared" si="311"/>
        <v>0</v>
      </c>
      <c r="DC81" s="81"/>
      <c r="DD81" s="81"/>
      <c r="DE81" s="81"/>
      <c r="DF81" s="81"/>
      <c r="DG81" s="75">
        <f t="shared" si="312"/>
        <v>0</v>
      </c>
      <c r="DH81" s="75">
        <f t="shared" si="313"/>
        <v>0</v>
      </c>
      <c r="DI81" s="75">
        <f t="shared" si="314"/>
        <v>0</v>
      </c>
      <c r="DJ81" s="75">
        <f t="shared" si="315"/>
        <v>0</v>
      </c>
      <c r="DK81" s="75">
        <f t="shared" si="316"/>
        <v>0</v>
      </c>
      <c r="DL81" s="75">
        <f t="shared" si="317"/>
        <v>0</v>
      </c>
      <c r="DM81" s="75">
        <f t="shared" si="318"/>
        <v>0</v>
      </c>
      <c r="DN81" s="75">
        <f t="shared" si="319"/>
        <v>0</v>
      </c>
    </row>
    <row r="82" spans="1:118">
      <c r="A82" s="25">
        <v>74</v>
      </c>
      <c r="B82" s="26"/>
      <c r="C82" s="26"/>
      <c r="D82" s="26"/>
      <c r="E82" s="205"/>
      <c r="F82" s="131">
        <f t="shared" si="272"/>
        <v>0</v>
      </c>
      <c r="G82" s="131"/>
      <c r="H82" s="283">
        <f t="shared" si="273"/>
        <v>0</v>
      </c>
      <c r="I82" s="80"/>
      <c r="J82" s="400">
        <v>0</v>
      </c>
      <c r="K82" s="400">
        <v>0</v>
      </c>
      <c r="L82" s="131">
        <f t="shared" si="274"/>
        <v>0</v>
      </c>
      <c r="M82" s="131">
        <f t="shared" si="275"/>
        <v>0</v>
      </c>
      <c r="N82" s="131">
        <f t="shared" si="276"/>
        <v>0</v>
      </c>
      <c r="O82" s="131">
        <f t="shared" si="277"/>
        <v>0</v>
      </c>
      <c r="P82" s="131" t="str">
        <f t="shared" si="278"/>
        <v>ნულოვანი შესრულება</v>
      </c>
      <c r="Q82" s="81"/>
      <c r="R82" s="81">
        <v>0</v>
      </c>
      <c r="S82" s="81">
        <v>0</v>
      </c>
      <c r="T82" s="81">
        <f t="shared" si="279"/>
        <v>0</v>
      </c>
      <c r="U82" s="81"/>
      <c r="V82" s="81"/>
      <c r="W82" s="81"/>
      <c r="X82" s="81"/>
      <c r="Y82" s="75">
        <f t="shared" si="280"/>
        <v>0</v>
      </c>
      <c r="Z82" s="75">
        <f t="shared" si="281"/>
        <v>0</v>
      </c>
      <c r="AA82" s="81"/>
      <c r="AB82" s="81"/>
      <c r="AC82" s="81"/>
      <c r="AD82" s="81"/>
      <c r="AE82" s="75">
        <f t="shared" si="282"/>
        <v>0</v>
      </c>
      <c r="AF82" s="75">
        <f t="shared" si="283"/>
        <v>0</v>
      </c>
      <c r="AG82" s="75">
        <f t="shared" si="284"/>
        <v>0</v>
      </c>
      <c r="AH82" s="75">
        <f t="shared" si="285"/>
        <v>0</v>
      </c>
      <c r="AI82" s="75">
        <f t="shared" si="286"/>
        <v>0</v>
      </c>
      <c r="AJ82" s="75">
        <f t="shared" si="287"/>
        <v>0</v>
      </c>
      <c r="AK82" s="75">
        <f t="shared" si="288"/>
        <v>0</v>
      </c>
      <c r="AL82" s="75">
        <f t="shared" si="289"/>
        <v>0</v>
      </c>
      <c r="AM82" s="81"/>
      <c r="AN82" s="81"/>
      <c r="AO82" s="81"/>
      <c r="AP82" s="81"/>
      <c r="AQ82" s="75">
        <f t="shared" si="290"/>
        <v>0</v>
      </c>
      <c r="AR82" s="75">
        <f t="shared" si="291"/>
        <v>0</v>
      </c>
      <c r="AS82" s="81"/>
      <c r="AT82" s="81"/>
      <c r="AU82" s="81"/>
      <c r="AV82" s="81"/>
      <c r="AW82" s="75">
        <f t="shared" si="292"/>
        <v>0</v>
      </c>
      <c r="AX82" s="75">
        <f t="shared" si="293"/>
        <v>0</v>
      </c>
      <c r="AY82" s="81"/>
      <c r="AZ82" s="81"/>
      <c r="BA82" s="81"/>
      <c r="BB82" s="81"/>
      <c r="BC82" s="75">
        <f t="shared" si="294"/>
        <v>0</v>
      </c>
      <c r="BD82" s="75"/>
      <c r="BE82" s="75">
        <f t="shared" si="295"/>
        <v>0</v>
      </c>
      <c r="BF82" s="81"/>
      <c r="BG82" s="81"/>
      <c r="BH82" s="81"/>
      <c r="BI82" s="81"/>
      <c r="BJ82" s="75">
        <f t="shared" si="296"/>
        <v>0</v>
      </c>
      <c r="BK82" s="75"/>
      <c r="BL82" s="75">
        <f t="shared" si="297"/>
        <v>0</v>
      </c>
      <c r="BM82" s="81"/>
      <c r="BN82" s="81"/>
      <c r="BO82" s="81"/>
      <c r="BP82" s="81"/>
      <c r="BQ82" s="75">
        <f t="shared" si="298"/>
        <v>0</v>
      </c>
      <c r="BR82" s="75">
        <f t="shared" si="299"/>
        <v>0</v>
      </c>
      <c r="BS82" s="81"/>
      <c r="BT82" s="81"/>
      <c r="BU82" s="81"/>
      <c r="BV82" s="81"/>
      <c r="BW82" s="75">
        <f t="shared" si="300"/>
        <v>0</v>
      </c>
      <c r="BX82" s="75">
        <f t="shared" si="301"/>
        <v>0</v>
      </c>
      <c r="BY82" s="81"/>
      <c r="BZ82" s="81"/>
      <c r="CA82" s="81"/>
      <c r="CB82" s="81"/>
      <c r="CC82" s="75">
        <f t="shared" si="302"/>
        <v>0</v>
      </c>
      <c r="CD82" s="75">
        <f t="shared" si="303"/>
        <v>0</v>
      </c>
      <c r="CE82" s="81"/>
      <c r="CF82" s="81"/>
      <c r="CG82" s="81"/>
      <c r="CH82" s="81"/>
      <c r="CI82" s="75">
        <f t="shared" si="304"/>
        <v>0</v>
      </c>
      <c r="CJ82" s="75">
        <f t="shared" si="305"/>
        <v>0</v>
      </c>
      <c r="CK82" s="81"/>
      <c r="CL82" s="81"/>
      <c r="CM82" s="81"/>
      <c r="CN82" s="81"/>
      <c r="CO82" s="75">
        <f t="shared" si="306"/>
        <v>0</v>
      </c>
      <c r="CP82" s="75">
        <f t="shared" si="307"/>
        <v>0</v>
      </c>
      <c r="CQ82" s="81"/>
      <c r="CR82" s="75">
        <v>0</v>
      </c>
      <c r="CS82" s="81"/>
      <c r="CT82" s="81"/>
      <c r="CU82" s="75">
        <f t="shared" si="308"/>
        <v>0</v>
      </c>
      <c r="CV82" s="75">
        <f t="shared" si="309"/>
        <v>0</v>
      </c>
      <c r="CW82" s="81"/>
      <c r="CX82" s="81"/>
      <c r="CY82" s="81"/>
      <c r="CZ82" s="81"/>
      <c r="DA82" s="75">
        <f t="shared" si="310"/>
        <v>0</v>
      </c>
      <c r="DB82" s="75">
        <f t="shared" si="311"/>
        <v>0</v>
      </c>
      <c r="DC82" s="81"/>
      <c r="DD82" s="81"/>
      <c r="DE82" s="81"/>
      <c r="DF82" s="81"/>
      <c r="DG82" s="75">
        <f t="shared" si="312"/>
        <v>0</v>
      </c>
      <c r="DH82" s="75">
        <f t="shared" si="313"/>
        <v>0</v>
      </c>
      <c r="DI82" s="75">
        <f t="shared" si="314"/>
        <v>0</v>
      </c>
      <c r="DJ82" s="75">
        <f t="shared" si="315"/>
        <v>0</v>
      </c>
      <c r="DK82" s="75">
        <f t="shared" si="316"/>
        <v>0</v>
      </c>
      <c r="DL82" s="75">
        <f t="shared" si="317"/>
        <v>0</v>
      </c>
      <c r="DM82" s="75">
        <f t="shared" si="318"/>
        <v>0</v>
      </c>
      <c r="DN82" s="75">
        <f t="shared" si="319"/>
        <v>0</v>
      </c>
    </row>
    <row r="83" spans="1:118">
      <c r="A83" s="25">
        <v>75</v>
      </c>
      <c r="B83" s="26"/>
      <c r="C83" s="26"/>
      <c r="D83" s="26"/>
      <c r="E83" s="205"/>
      <c r="F83" s="131">
        <f t="shared" si="272"/>
        <v>0</v>
      </c>
      <c r="G83" s="131"/>
      <c r="H83" s="283">
        <f t="shared" si="273"/>
        <v>0</v>
      </c>
      <c r="I83" s="80"/>
      <c r="J83" s="400">
        <v>0</v>
      </c>
      <c r="K83" s="400">
        <v>0</v>
      </c>
      <c r="L83" s="131">
        <f t="shared" si="274"/>
        <v>0</v>
      </c>
      <c r="M83" s="131">
        <f t="shared" si="275"/>
        <v>0</v>
      </c>
      <c r="N83" s="131">
        <f t="shared" si="276"/>
        <v>0</v>
      </c>
      <c r="O83" s="131">
        <f t="shared" si="277"/>
        <v>0</v>
      </c>
      <c r="P83" s="131" t="str">
        <f t="shared" si="278"/>
        <v>ნულოვანი შესრულება</v>
      </c>
      <c r="Q83" s="81"/>
      <c r="R83" s="81">
        <v>0</v>
      </c>
      <c r="S83" s="81">
        <v>0</v>
      </c>
      <c r="T83" s="81">
        <f t="shared" si="279"/>
        <v>0</v>
      </c>
      <c r="U83" s="81"/>
      <c r="V83" s="81"/>
      <c r="W83" s="81"/>
      <c r="X83" s="81"/>
      <c r="Y83" s="75">
        <f t="shared" si="280"/>
        <v>0</v>
      </c>
      <c r="Z83" s="75">
        <f t="shared" si="281"/>
        <v>0</v>
      </c>
      <c r="AA83" s="81"/>
      <c r="AB83" s="81"/>
      <c r="AC83" s="81"/>
      <c r="AD83" s="81"/>
      <c r="AE83" s="75">
        <f t="shared" si="282"/>
        <v>0</v>
      </c>
      <c r="AF83" s="75">
        <f t="shared" si="283"/>
        <v>0</v>
      </c>
      <c r="AG83" s="75">
        <f t="shared" si="284"/>
        <v>0</v>
      </c>
      <c r="AH83" s="75">
        <f t="shared" si="285"/>
        <v>0</v>
      </c>
      <c r="AI83" s="75">
        <f t="shared" si="286"/>
        <v>0</v>
      </c>
      <c r="AJ83" s="75">
        <f t="shared" si="287"/>
        <v>0</v>
      </c>
      <c r="AK83" s="75">
        <f t="shared" si="288"/>
        <v>0</v>
      </c>
      <c r="AL83" s="75">
        <f t="shared" si="289"/>
        <v>0</v>
      </c>
      <c r="AM83" s="81"/>
      <c r="AN83" s="81"/>
      <c r="AO83" s="81"/>
      <c r="AP83" s="81"/>
      <c r="AQ83" s="75">
        <f t="shared" si="290"/>
        <v>0</v>
      </c>
      <c r="AR83" s="75">
        <f t="shared" si="291"/>
        <v>0</v>
      </c>
      <c r="AS83" s="81"/>
      <c r="AT83" s="81"/>
      <c r="AU83" s="81"/>
      <c r="AV83" s="81"/>
      <c r="AW83" s="75">
        <f t="shared" si="292"/>
        <v>0</v>
      </c>
      <c r="AX83" s="75">
        <f t="shared" si="293"/>
        <v>0</v>
      </c>
      <c r="AY83" s="81"/>
      <c r="AZ83" s="81"/>
      <c r="BA83" s="81"/>
      <c r="BB83" s="81"/>
      <c r="BC83" s="75">
        <f t="shared" si="294"/>
        <v>0</v>
      </c>
      <c r="BD83" s="75"/>
      <c r="BE83" s="75">
        <f t="shared" si="295"/>
        <v>0</v>
      </c>
      <c r="BF83" s="81"/>
      <c r="BG83" s="81"/>
      <c r="BH83" s="81"/>
      <c r="BI83" s="81"/>
      <c r="BJ83" s="75">
        <f t="shared" si="296"/>
        <v>0</v>
      </c>
      <c r="BK83" s="75"/>
      <c r="BL83" s="75">
        <f t="shared" si="297"/>
        <v>0</v>
      </c>
      <c r="BM83" s="81"/>
      <c r="BN83" s="81"/>
      <c r="BO83" s="81"/>
      <c r="BP83" s="81"/>
      <c r="BQ83" s="75">
        <f t="shared" si="298"/>
        <v>0</v>
      </c>
      <c r="BR83" s="75">
        <f t="shared" si="299"/>
        <v>0</v>
      </c>
      <c r="BS83" s="81"/>
      <c r="BT83" s="81"/>
      <c r="BU83" s="81"/>
      <c r="BV83" s="81"/>
      <c r="BW83" s="75">
        <f t="shared" si="300"/>
        <v>0</v>
      </c>
      <c r="BX83" s="75">
        <f t="shared" si="301"/>
        <v>0</v>
      </c>
      <c r="BY83" s="81"/>
      <c r="BZ83" s="81"/>
      <c r="CA83" s="81"/>
      <c r="CB83" s="81"/>
      <c r="CC83" s="75">
        <f t="shared" si="302"/>
        <v>0</v>
      </c>
      <c r="CD83" s="75">
        <f t="shared" si="303"/>
        <v>0</v>
      </c>
      <c r="CE83" s="81"/>
      <c r="CF83" s="81"/>
      <c r="CG83" s="81"/>
      <c r="CH83" s="81"/>
      <c r="CI83" s="75">
        <f t="shared" si="304"/>
        <v>0</v>
      </c>
      <c r="CJ83" s="75">
        <f t="shared" si="305"/>
        <v>0</v>
      </c>
      <c r="CK83" s="81"/>
      <c r="CL83" s="81"/>
      <c r="CM83" s="81"/>
      <c r="CN83" s="81"/>
      <c r="CO83" s="75">
        <f t="shared" si="306"/>
        <v>0</v>
      </c>
      <c r="CP83" s="75">
        <f t="shared" si="307"/>
        <v>0</v>
      </c>
      <c r="CQ83" s="81"/>
      <c r="CR83" s="75">
        <v>0</v>
      </c>
      <c r="CS83" s="81"/>
      <c r="CT83" s="81"/>
      <c r="CU83" s="75">
        <f t="shared" si="308"/>
        <v>0</v>
      </c>
      <c r="CV83" s="75">
        <f t="shared" si="309"/>
        <v>0</v>
      </c>
      <c r="CW83" s="81"/>
      <c r="CX83" s="81"/>
      <c r="CY83" s="81"/>
      <c r="CZ83" s="81"/>
      <c r="DA83" s="75">
        <f t="shared" si="310"/>
        <v>0</v>
      </c>
      <c r="DB83" s="75">
        <f t="shared" si="311"/>
        <v>0</v>
      </c>
      <c r="DC83" s="81"/>
      <c r="DD83" s="81"/>
      <c r="DE83" s="81"/>
      <c r="DF83" s="81"/>
      <c r="DG83" s="75">
        <f t="shared" si="312"/>
        <v>0</v>
      </c>
      <c r="DH83" s="75">
        <f t="shared" si="313"/>
        <v>0</v>
      </c>
      <c r="DI83" s="75">
        <f t="shared" si="314"/>
        <v>0</v>
      </c>
      <c r="DJ83" s="75">
        <f t="shared" si="315"/>
        <v>0</v>
      </c>
      <c r="DK83" s="75">
        <f t="shared" si="316"/>
        <v>0</v>
      </c>
      <c r="DL83" s="75">
        <f t="shared" si="317"/>
        <v>0</v>
      </c>
      <c r="DM83" s="75">
        <f t="shared" si="318"/>
        <v>0</v>
      </c>
      <c r="DN83" s="75">
        <f t="shared" si="319"/>
        <v>0</v>
      </c>
    </row>
    <row r="84" spans="1:118">
      <c r="A84" s="25">
        <v>76</v>
      </c>
      <c r="B84" s="26"/>
      <c r="C84" s="26"/>
      <c r="D84" s="26"/>
      <c r="E84" s="205"/>
      <c r="F84" s="131">
        <f t="shared" si="272"/>
        <v>0</v>
      </c>
      <c r="G84" s="131"/>
      <c r="H84" s="283">
        <f t="shared" si="273"/>
        <v>0</v>
      </c>
      <c r="I84" s="80"/>
      <c r="J84" s="400">
        <v>0</v>
      </c>
      <c r="K84" s="400">
        <v>0</v>
      </c>
      <c r="L84" s="131">
        <f t="shared" si="274"/>
        <v>0</v>
      </c>
      <c r="M84" s="131">
        <f t="shared" si="275"/>
        <v>0</v>
      </c>
      <c r="N84" s="131">
        <f t="shared" si="276"/>
        <v>0</v>
      </c>
      <c r="O84" s="131">
        <f t="shared" si="277"/>
        <v>0</v>
      </c>
      <c r="P84" s="131" t="str">
        <f t="shared" si="278"/>
        <v>ნულოვანი შესრულება</v>
      </c>
      <c r="Q84" s="81"/>
      <c r="R84" s="81">
        <v>0</v>
      </c>
      <c r="S84" s="81">
        <v>0</v>
      </c>
      <c r="T84" s="81">
        <f t="shared" si="279"/>
        <v>0</v>
      </c>
      <c r="U84" s="81"/>
      <c r="V84" s="81"/>
      <c r="W84" s="81"/>
      <c r="X84" s="81"/>
      <c r="Y84" s="75">
        <f t="shared" si="280"/>
        <v>0</v>
      </c>
      <c r="Z84" s="75">
        <f t="shared" si="281"/>
        <v>0</v>
      </c>
      <c r="AA84" s="81"/>
      <c r="AB84" s="81"/>
      <c r="AC84" s="81"/>
      <c r="AD84" s="81"/>
      <c r="AE84" s="75">
        <f t="shared" si="282"/>
        <v>0</v>
      </c>
      <c r="AF84" s="75">
        <f t="shared" si="283"/>
        <v>0</v>
      </c>
      <c r="AG84" s="75">
        <f t="shared" si="284"/>
        <v>0</v>
      </c>
      <c r="AH84" s="75">
        <f t="shared" si="285"/>
        <v>0</v>
      </c>
      <c r="AI84" s="75">
        <f t="shared" si="286"/>
        <v>0</v>
      </c>
      <c r="AJ84" s="75">
        <f t="shared" si="287"/>
        <v>0</v>
      </c>
      <c r="AK84" s="75">
        <f t="shared" si="288"/>
        <v>0</v>
      </c>
      <c r="AL84" s="75">
        <f t="shared" si="289"/>
        <v>0</v>
      </c>
      <c r="AM84" s="81"/>
      <c r="AN84" s="81"/>
      <c r="AO84" s="81"/>
      <c r="AP84" s="81"/>
      <c r="AQ84" s="75">
        <f t="shared" si="290"/>
        <v>0</v>
      </c>
      <c r="AR84" s="75">
        <f t="shared" si="291"/>
        <v>0</v>
      </c>
      <c r="AS84" s="81"/>
      <c r="AT84" s="81"/>
      <c r="AU84" s="81"/>
      <c r="AV84" s="81"/>
      <c r="AW84" s="75">
        <f t="shared" si="292"/>
        <v>0</v>
      </c>
      <c r="AX84" s="75">
        <f t="shared" si="293"/>
        <v>0</v>
      </c>
      <c r="AY84" s="81"/>
      <c r="AZ84" s="81"/>
      <c r="BA84" s="81"/>
      <c r="BB84" s="81"/>
      <c r="BC84" s="75">
        <f t="shared" si="294"/>
        <v>0</v>
      </c>
      <c r="BD84" s="75"/>
      <c r="BE84" s="75">
        <f t="shared" si="295"/>
        <v>0</v>
      </c>
      <c r="BF84" s="81"/>
      <c r="BG84" s="81"/>
      <c r="BH84" s="81"/>
      <c r="BI84" s="81"/>
      <c r="BJ84" s="75">
        <f t="shared" si="296"/>
        <v>0</v>
      </c>
      <c r="BK84" s="75"/>
      <c r="BL84" s="75">
        <f t="shared" si="297"/>
        <v>0</v>
      </c>
      <c r="BM84" s="81"/>
      <c r="BN84" s="81"/>
      <c r="BO84" s="81"/>
      <c r="BP84" s="81"/>
      <c r="BQ84" s="75">
        <f t="shared" si="298"/>
        <v>0</v>
      </c>
      <c r="BR84" s="75">
        <f t="shared" si="299"/>
        <v>0</v>
      </c>
      <c r="BS84" s="81"/>
      <c r="BT84" s="81"/>
      <c r="BU84" s="81"/>
      <c r="BV84" s="81"/>
      <c r="BW84" s="75">
        <f t="shared" si="300"/>
        <v>0</v>
      </c>
      <c r="BX84" s="75">
        <f t="shared" si="301"/>
        <v>0</v>
      </c>
      <c r="BY84" s="81"/>
      <c r="BZ84" s="81"/>
      <c r="CA84" s="81"/>
      <c r="CB84" s="81"/>
      <c r="CC84" s="75">
        <f t="shared" si="302"/>
        <v>0</v>
      </c>
      <c r="CD84" s="75">
        <f t="shared" si="303"/>
        <v>0</v>
      </c>
      <c r="CE84" s="81"/>
      <c r="CF84" s="81"/>
      <c r="CG84" s="81"/>
      <c r="CH84" s="81"/>
      <c r="CI84" s="75">
        <f t="shared" si="304"/>
        <v>0</v>
      </c>
      <c r="CJ84" s="75">
        <f t="shared" si="305"/>
        <v>0</v>
      </c>
      <c r="CK84" s="81"/>
      <c r="CL84" s="81"/>
      <c r="CM84" s="81"/>
      <c r="CN84" s="81"/>
      <c r="CO84" s="75">
        <f t="shared" si="306"/>
        <v>0</v>
      </c>
      <c r="CP84" s="75">
        <f t="shared" si="307"/>
        <v>0</v>
      </c>
      <c r="CQ84" s="81"/>
      <c r="CR84" s="75">
        <v>0</v>
      </c>
      <c r="CS84" s="81"/>
      <c r="CT84" s="81"/>
      <c r="CU84" s="75">
        <f t="shared" si="308"/>
        <v>0</v>
      </c>
      <c r="CV84" s="75">
        <f t="shared" si="309"/>
        <v>0</v>
      </c>
      <c r="CW84" s="81"/>
      <c r="CX84" s="81"/>
      <c r="CY84" s="81"/>
      <c r="CZ84" s="81"/>
      <c r="DA84" s="75">
        <f t="shared" si="310"/>
        <v>0</v>
      </c>
      <c r="DB84" s="75">
        <f t="shared" si="311"/>
        <v>0</v>
      </c>
      <c r="DC84" s="81"/>
      <c r="DD84" s="81"/>
      <c r="DE84" s="81"/>
      <c r="DF84" s="81"/>
      <c r="DG84" s="75">
        <f t="shared" si="312"/>
        <v>0</v>
      </c>
      <c r="DH84" s="75">
        <f t="shared" si="313"/>
        <v>0</v>
      </c>
      <c r="DI84" s="75">
        <f t="shared" si="314"/>
        <v>0</v>
      </c>
      <c r="DJ84" s="75">
        <f t="shared" si="315"/>
        <v>0</v>
      </c>
      <c r="DK84" s="75">
        <f t="shared" si="316"/>
        <v>0</v>
      </c>
      <c r="DL84" s="75">
        <f t="shared" si="317"/>
        <v>0</v>
      </c>
      <c r="DM84" s="75">
        <f t="shared" si="318"/>
        <v>0</v>
      </c>
      <c r="DN84" s="75">
        <f t="shared" si="319"/>
        <v>0</v>
      </c>
    </row>
    <row r="85" spans="1:118">
      <c r="A85" s="25">
        <v>77</v>
      </c>
      <c r="B85" s="26"/>
      <c r="C85" s="26"/>
      <c r="D85" s="26"/>
      <c r="E85" s="205"/>
      <c r="F85" s="131">
        <f t="shared" si="272"/>
        <v>0</v>
      </c>
      <c r="G85" s="131"/>
      <c r="H85" s="283">
        <f t="shared" si="273"/>
        <v>0</v>
      </c>
      <c r="I85" s="80"/>
      <c r="J85" s="400">
        <v>0</v>
      </c>
      <c r="K85" s="400">
        <v>0</v>
      </c>
      <c r="L85" s="131">
        <f t="shared" si="274"/>
        <v>0</v>
      </c>
      <c r="M85" s="131">
        <f t="shared" si="275"/>
        <v>0</v>
      </c>
      <c r="N85" s="131">
        <f t="shared" si="276"/>
        <v>0</v>
      </c>
      <c r="O85" s="131">
        <f t="shared" si="277"/>
        <v>0</v>
      </c>
      <c r="P85" s="131" t="str">
        <f t="shared" si="278"/>
        <v>ნულოვანი შესრულება</v>
      </c>
      <c r="Q85" s="81"/>
      <c r="R85" s="81">
        <v>0</v>
      </c>
      <c r="S85" s="81">
        <v>0</v>
      </c>
      <c r="T85" s="81">
        <f t="shared" si="279"/>
        <v>0</v>
      </c>
      <c r="U85" s="81"/>
      <c r="V85" s="81"/>
      <c r="W85" s="81"/>
      <c r="X85" s="81"/>
      <c r="Y85" s="75">
        <f t="shared" si="280"/>
        <v>0</v>
      </c>
      <c r="Z85" s="75">
        <f t="shared" si="281"/>
        <v>0</v>
      </c>
      <c r="AA85" s="81"/>
      <c r="AB85" s="81"/>
      <c r="AC85" s="81"/>
      <c r="AD85" s="81"/>
      <c r="AE85" s="75">
        <f t="shared" si="282"/>
        <v>0</v>
      </c>
      <c r="AF85" s="75">
        <f t="shared" si="283"/>
        <v>0</v>
      </c>
      <c r="AG85" s="75">
        <f t="shared" si="284"/>
        <v>0</v>
      </c>
      <c r="AH85" s="75">
        <f t="shared" si="285"/>
        <v>0</v>
      </c>
      <c r="AI85" s="75">
        <f t="shared" si="286"/>
        <v>0</v>
      </c>
      <c r="AJ85" s="75">
        <f t="shared" si="287"/>
        <v>0</v>
      </c>
      <c r="AK85" s="75">
        <f t="shared" si="288"/>
        <v>0</v>
      </c>
      <c r="AL85" s="75">
        <f t="shared" si="289"/>
        <v>0</v>
      </c>
      <c r="AM85" s="81"/>
      <c r="AN85" s="81"/>
      <c r="AO85" s="81"/>
      <c r="AP85" s="81"/>
      <c r="AQ85" s="75">
        <f t="shared" si="290"/>
        <v>0</v>
      </c>
      <c r="AR85" s="75">
        <f t="shared" si="291"/>
        <v>0</v>
      </c>
      <c r="AS85" s="81"/>
      <c r="AT85" s="81"/>
      <c r="AU85" s="81"/>
      <c r="AV85" s="81"/>
      <c r="AW85" s="75">
        <f t="shared" si="292"/>
        <v>0</v>
      </c>
      <c r="AX85" s="75">
        <f t="shared" si="293"/>
        <v>0</v>
      </c>
      <c r="AY85" s="81"/>
      <c r="AZ85" s="81"/>
      <c r="BA85" s="81"/>
      <c r="BB85" s="81"/>
      <c r="BC85" s="75">
        <f t="shared" si="294"/>
        <v>0</v>
      </c>
      <c r="BD85" s="75"/>
      <c r="BE85" s="75">
        <f t="shared" si="295"/>
        <v>0</v>
      </c>
      <c r="BF85" s="81"/>
      <c r="BG85" s="81"/>
      <c r="BH85" s="81"/>
      <c r="BI85" s="81"/>
      <c r="BJ85" s="75">
        <f t="shared" si="296"/>
        <v>0</v>
      </c>
      <c r="BK85" s="75"/>
      <c r="BL85" s="75">
        <f t="shared" si="297"/>
        <v>0</v>
      </c>
      <c r="BM85" s="81"/>
      <c r="BN85" s="81"/>
      <c r="BO85" s="81"/>
      <c r="BP85" s="81"/>
      <c r="BQ85" s="75">
        <f t="shared" si="298"/>
        <v>0</v>
      </c>
      <c r="BR85" s="75">
        <f t="shared" si="299"/>
        <v>0</v>
      </c>
      <c r="BS85" s="81"/>
      <c r="BT85" s="81"/>
      <c r="BU85" s="81"/>
      <c r="BV85" s="81"/>
      <c r="BW85" s="75">
        <f t="shared" si="300"/>
        <v>0</v>
      </c>
      <c r="BX85" s="75">
        <f t="shared" si="301"/>
        <v>0</v>
      </c>
      <c r="BY85" s="81"/>
      <c r="BZ85" s="81"/>
      <c r="CA85" s="81"/>
      <c r="CB85" s="81"/>
      <c r="CC85" s="75">
        <f t="shared" si="302"/>
        <v>0</v>
      </c>
      <c r="CD85" s="75">
        <f t="shared" si="303"/>
        <v>0</v>
      </c>
      <c r="CE85" s="81"/>
      <c r="CF85" s="81"/>
      <c r="CG85" s="81"/>
      <c r="CH85" s="81"/>
      <c r="CI85" s="75">
        <f t="shared" si="304"/>
        <v>0</v>
      </c>
      <c r="CJ85" s="75">
        <f t="shared" si="305"/>
        <v>0</v>
      </c>
      <c r="CK85" s="81"/>
      <c r="CL85" s="81"/>
      <c r="CM85" s="81"/>
      <c r="CN85" s="81"/>
      <c r="CO85" s="75">
        <f t="shared" si="306"/>
        <v>0</v>
      </c>
      <c r="CP85" s="75">
        <f t="shared" si="307"/>
        <v>0</v>
      </c>
      <c r="CQ85" s="81"/>
      <c r="CR85" s="75">
        <v>0</v>
      </c>
      <c r="CS85" s="81"/>
      <c r="CT85" s="81"/>
      <c r="CU85" s="75">
        <f t="shared" si="308"/>
        <v>0</v>
      </c>
      <c r="CV85" s="75">
        <f t="shared" si="309"/>
        <v>0</v>
      </c>
      <c r="CW85" s="81"/>
      <c r="CX85" s="81"/>
      <c r="CY85" s="81"/>
      <c r="CZ85" s="81"/>
      <c r="DA85" s="75">
        <f t="shared" si="310"/>
        <v>0</v>
      </c>
      <c r="DB85" s="75">
        <f t="shared" si="311"/>
        <v>0</v>
      </c>
      <c r="DC85" s="81"/>
      <c r="DD85" s="81"/>
      <c r="DE85" s="81"/>
      <c r="DF85" s="81"/>
      <c r="DG85" s="75">
        <f t="shared" si="312"/>
        <v>0</v>
      </c>
      <c r="DH85" s="75">
        <f t="shared" si="313"/>
        <v>0</v>
      </c>
      <c r="DI85" s="75">
        <f t="shared" si="314"/>
        <v>0</v>
      </c>
      <c r="DJ85" s="75">
        <f t="shared" si="315"/>
        <v>0</v>
      </c>
      <c r="DK85" s="75">
        <f t="shared" si="316"/>
        <v>0</v>
      </c>
      <c r="DL85" s="75">
        <f t="shared" si="317"/>
        <v>0</v>
      </c>
      <c r="DM85" s="75">
        <f t="shared" si="318"/>
        <v>0</v>
      </c>
      <c r="DN85" s="75">
        <f t="shared" si="319"/>
        <v>0</v>
      </c>
    </row>
    <row r="86" spans="1:118">
      <c r="A86" s="25">
        <v>78</v>
      </c>
      <c r="B86" s="26"/>
      <c r="C86" s="26"/>
      <c r="D86" s="26"/>
      <c r="E86" s="205"/>
      <c r="F86" s="131">
        <f t="shared" si="272"/>
        <v>0</v>
      </c>
      <c r="G86" s="131"/>
      <c r="H86" s="283">
        <f t="shared" si="273"/>
        <v>0</v>
      </c>
      <c r="I86" s="80"/>
      <c r="J86" s="400">
        <v>0</v>
      </c>
      <c r="K86" s="400">
        <v>0</v>
      </c>
      <c r="L86" s="131">
        <f t="shared" si="274"/>
        <v>0</v>
      </c>
      <c r="M86" s="131">
        <f t="shared" si="275"/>
        <v>0</v>
      </c>
      <c r="N86" s="131">
        <f t="shared" si="276"/>
        <v>0</v>
      </c>
      <c r="O86" s="131">
        <f t="shared" si="277"/>
        <v>0</v>
      </c>
      <c r="P86" s="131" t="str">
        <f t="shared" si="278"/>
        <v>ნულოვანი შესრულება</v>
      </c>
      <c r="Q86" s="81"/>
      <c r="R86" s="81">
        <v>0</v>
      </c>
      <c r="S86" s="81">
        <v>0</v>
      </c>
      <c r="T86" s="81">
        <f t="shared" si="279"/>
        <v>0</v>
      </c>
      <c r="U86" s="81"/>
      <c r="V86" s="81"/>
      <c r="W86" s="81"/>
      <c r="X86" s="81"/>
      <c r="Y86" s="75">
        <f t="shared" si="280"/>
        <v>0</v>
      </c>
      <c r="Z86" s="75">
        <f t="shared" si="281"/>
        <v>0</v>
      </c>
      <c r="AA86" s="81"/>
      <c r="AB86" s="81"/>
      <c r="AC86" s="81"/>
      <c r="AD86" s="81"/>
      <c r="AE86" s="75">
        <f t="shared" si="282"/>
        <v>0</v>
      </c>
      <c r="AF86" s="75">
        <f t="shared" si="283"/>
        <v>0</v>
      </c>
      <c r="AG86" s="75">
        <f t="shared" si="284"/>
        <v>0</v>
      </c>
      <c r="AH86" s="75">
        <f t="shared" si="285"/>
        <v>0</v>
      </c>
      <c r="AI86" s="75">
        <f t="shared" si="286"/>
        <v>0</v>
      </c>
      <c r="AJ86" s="75">
        <f t="shared" si="287"/>
        <v>0</v>
      </c>
      <c r="AK86" s="75">
        <f t="shared" si="288"/>
        <v>0</v>
      </c>
      <c r="AL86" s="75">
        <f t="shared" si="289"/>
        <v>0</v>
      </c>
      <c r="AM86" s="81"/>
      <c r="AN86" s="81"/>
      <c r="AO86" s="81"/>
      <c r="AP86" s="81"/>
      <c r="AQ86" s="75">
        <f t="shared" si="290"/>
        <v>0</v>
      </c>
      <c r="AR86" s="75">
        <f t="shared" si="291"/>
        <v>0</v>
      </c>
      <c r="AS86" s="81"/>
      <c r="AT86" s="81"/>
      <c r="AU86" s="81"/>
      <c r="AV86" s="81"/>
      <c r="AW86" s="75">
        <f t="shared" si="292"/>
        <v>0</v>
      </c>
      <c r="AX86" s="75">
        <f t="shared" si="293"/>
        <v>0</v>
      </c>
      <c r="AY86" s="81"/>
      <c r="AZ86" s="81"/>
      <c r="BA86" s="81"/>
      <c r="BB86" s="81"/>
      <c r="BC86" s="75">
        <f t="shared" si="294"/>
        <v>0</v>
      </c>
      <c r="BD86" s="75"/>
      <c r="BE86" s="75">
        <f t="shared" si="295"/>
        <v>0</v>
      </c>
      <c r="BF86" s="81"/>
      <c r="BG86" s="81"/>
      <c r="BH86" s="81"/>
      <c r="BI86" s="81"/>
      <c r="BJ86" s="75">
        <f t="shared" si="296"/>
        <v>0</v>
      </c>
      <c r="BK86" s="75"/>
      <c r="BL86" s="75">
        <f t="shared" si="297"/>
        <v>0</v>
      </c>
      <c r="BM86" s="81"/>
      <c r="BN86" s="81"/>
      <c r="BO86" s="81"/>
      <c r="BP86" s="81"/>
      <c r="BQ86" s="75">
        <f t="shared" si="298"/>
        <v>0</v>
      </c>
      <c r="BR86" s="75">
        <f t="shared" si="299"/>
        <v>0</v>
      </c>
      <c r="BS86" s="81"/>
      <c r="BT86" s="81"/>
      <c r="BU86" s="81"/>
      <c r="BV86" s="81"/>
      <c r="BW86" s="75">
        <f t="shared" si="300"/>
        <v>0</v>
      </c>
      <c r="BX86" s="75">
        <f t="shared" si="301"/>
        <v>0</v>
      </c>
      <c r="BY86" s="81"/>
      <c r="BZ86" s="81"/>
      <c r="CA86" s="81"/>
      <c r="CB86" s="81"/>
      <c r="CC86" s="75">
        <f t="shared" si="302"/>
        <v>0</v>
      </c>
      <c r="CD86" s="75">
        <f t="shared" si="303"/>
        <v>0</v>
      </c>
      <c r="CE86" s="81"/>
      <c r="CF86" s="81"/>
      <c r="CG86" s="81"/>
      <c r="CH86" s="81"/>
      <c r="CI86" s="75">
        <f t="shared" si="304"/>
        <v>0</v>
      </c>
      <c r="CJ86" s="75">
        <f t="shared" si="305"/>
        <v>0</v>
      </c>
      <c r="CK86" s="81"/>
      <c r="CL86" s="81"/>
      <c r="CM86" s="81"/>
      <c r="CN86" s="81"/>
      <c r="CO86" s="75">
        <f t="shared" si="306"/>
        <v>0</v>
      </c>
      <c r="CP86" s="75">
        <f t="shared" si="307"/>
        <v>0</v>
      </c>
      <c r="CQ86" s="81"/>
      <c r="CR86" s="75">
        <v>0</v>
      </c>
      <c r="CS86" s="81"/>
      <c r="CT86" s="81"/>
      <c r="CU86" s="75">
        <f t="shared" si="308"/>
        <v>0</v>
      </c>
      <c r="CV86" s="75">
        <f t="shared" si="309"/>
        <v>0</v>
      </c>
      <c r="CW86" s="81"/>
      <c r="CX86" s="81"/>
      <c r="CY86" s="81"/>
      <c r="CZ86" s="81"/>
      <c r="DA86" s="75">
        <f t="shared" si="310"/>
        <v>0</v>
      </c>
      <c r="DB86" s="75">
        <f t="shared" si="311"/>
        <v>0</v>
      </c>
      <c r="DC86" s="81"/>
      <c r="DD86" s="81"/>
      <c r="DE86" s="81"/>
      <c r="DF86" s="81"/>
      <c r="DG86" s="75">
        <f t="shared" si="312"/>
        <v>0</v>
      </c>
      <c r="DH86" s="75">
        <f t="shared" si="313"/>
        <v>0</v>
      </c>
      <c r="DI86" s="75">
        <f t="shared" si="314"/>
        <v>0</v>
      </c>
      <c r="DJ86" s="75">
        <f t="shared" si="315"/>
        <v>0</v>
      </c>
      <c r="DK86" s="75">
        <f t="shared" si="316"/>
        <v>0</v>
      </c>
      <c r="DL86" s="75">
        <f t="shared" si="317"/>
        <v>0</v>
      </c>
      <c r="DM86" s="75">
        <f t="shared" si="318"/>
        <v>0</v>
      </c>
      <c r="DN86" s="75">
        <f t="shared" si="319"/>
        <v>0</v>
      </c>
    </row>
    <row r="87" spans="1:118">
      <c r="A87" s="25">
        <v>79</v>
      </c>
      <c r="B87" s="26"/>
      <c r="C87" s="26"/>
      <c r="D87" s="26"/>
      <c r="E87" s="205"/>
      <c r="F87" s="131">
        <f t="shared" si="272"/>
        <v>0</v>
      </c>
      <c r="G87" s="131"/>
      <c r="H87" s="283">
        <f t="shared" si="273"/>
        <v>0</v>
      </c>
      <c r="I87" s="80"/>
      <c r="J87" s="400">
        <v>0</v>
      </c>
      <c r="K87" s="400">
        <v>0</v>
      </c>
      <c r="L87" s="131">
        <f t="shared" si="274"/>
        <v>0</v>
      </c>
      <c r="M87" s="131">
        <f t="shared" si="275"/>
        <v>0</v>
      </c>
      <c r="N87" s="131">
        <f t="shared" si="276"/>
        <v>0</v>
      </c>
      <c r="O87" s="131">
        <f t="shared" si="277"/>
        <v>0</v>
      </c>
      <c r="P87" s="131" t="str">
        <f t="shared" si="278"/>
        <v>ნულოვანი შესრულება</v>
      </c>
      <c r="Q87" s="81"/>
      <c r="R87" s="81">
        <v>0</v>
      </c>
      <c r="S87" s="81">
        <v>0</v>
      </c>
      <c r="T87" s="81">
        <f t="shared" si="279"/>
        <v>0</v>
      </c>
      <c r="U87" s="81"/>
      <c r="V87" s="81"/>
      <c r="W87" s="81"/>
      <c r="X87" s="81"/>
      <c r="Y87" s="75">
        <f t="shared" si="280"/>
        <v>0</v>
      </c>
      <c r="Z87" s="75">
        <f t="shared" si="281"/>
        <v>0</v>
      </c>
      <c r="AA87" s="81"/>
      <c r="AB87" s="81"/>
      <c r="AC87" s="81"/>
      <c r="AD87" s="81"/>
      <c r="AE87" s="75">
        <f t="shared" si="282"/>
        <v>0</v>
      </c>
      <c r="AF87" s="75">
        <f t="shared" si="283"/>
        <v>0</v>
      </c>
      <c r="AG87" s="75">
        <f t="shared" si="284"/>
        <v>0</v>
      </c>
      <c r="AH87" s="75">
        <f t="shared" si="285"/>
        <v>0</v>
      </c>
      <c r="AI87" s="75">
        <f t="shared" si="286"/>
        <v>0</v>
      </c>
      <c r="AJ87" s="75">
        <f t="shared" si="287"/>
        <v>0</v>
      </c>
      <c r="AK87" s="75">
        <f t="shared" si="288"/>
        <v>0</v>
      </c>
      <c r="AL87" s="75">
        <f t="shared" si="289"/>
        <v>0</v>
      </c>
      <c r="AM87" s="81"/>
      <c r="AN87" s="81"/>
      <c r="AO87" s="81"/>
      <c r="AP87" s="81"/>
      <c r="AQ87" s="75">
        <f t="shared" si="290"/>
        <v>0</v>
      </c>
      <c r="AR87" s="75">
        <f t="shared" si="291"/>
        <v>0</v>
      </c>
      <c r="AS87" s="81"/>
      <c r="AT87" s="81"/>
      <c r="AU87" s="81"/>
      <c r="AV87" s="81"/>
      <c r="AW87" s="75">
        <f t="shared" si="292"/>
        <v>0</v>
      </c>
      <c r="AX87" s="75">
        <f t="shared" si="293"/>
        <v>0</v>
      </c>
      <c r="AY87" s="81"/>
      <c r="AZ87" s="81"/>
      <c r="BA87" s="81"/>
      <c r="BB87" s="81"/>
      <c r="BC87" s="75">
        <f t="shared" si="294"/>
        <v>0</v>
      </c>
      <c r="BD87" s="75"/>
      <c r="BE87" s="75">
        <f t="shared" si="295"/>
        <v>0</v>
      </c>
      <c r="BF87" s="81"/>
      <c r="BG87" s="81"/>
      <c r="BH87" s="81"/>
      <c r="BI87" s="81"/>
      <c r="BJ87" s="75">
        <f t="shared" si="296"/>
        <v>0</v>
      </c>
      <c r="BK87" s="75"/>
      <c r="BL87" s="75">
        <f t="shared" si="297"/>
        <v>0</v>
      </c>
      <c r="BM87" s="81"/>
      <c r="BN87" s="81"/>
      <c r="BO87" s="81"/>
      <c r="BP87" s="81"/>
      <c r="BQ87" s="75">
        <f t="shared" si="298"/>
        <v>0</v>
      </c>
      <c r="BR87" s="75">
        <f t="shared" si="299"/>
        <v>0</v>
      </c>
      <c r="BS87" s="81"/>
      <c r="BT87" s="81"/>
      <c r="BU87" s="81"/>
      <c r="BV87" s="81"/>
      <c r="BW87" s="75">
        <f t="shared" si="300"/>
        <v>0</v>
      </c>
      <c r="BX87" s="75">
        <f t="shared" si="301"/>
        <v>0</v>
      </c>
      <c r="BY87" s="81"/>
      <c r="BZ87" s="81"/>
      <c r="CA87" s="81"/>
      <c r="CB87" s="81"/>
      <c r="CC87" s="75">
        <f t="shared" si="302"/>
        <v>0</v>
      </c>
      <c r="CD87" s="75">
        <f t="shared" si="303"/>
        <v>0</v>
      </c>
      <c r="CE87" s="81"/>
      <c r="CF87" s="81"/>
      <c r="CG87" s="81"/>
      <c r="CH87" s="81"/>
      <c r="CI87" s="75">
        <f t="shared" si="304"/>
        <v>0</v>
      </c>
      <c r="CJ87" s="75">
        <f t="shared" si="305"/>
        <v>0</v>
      </c>
      <c r="CK87" s="81"/>
      <c r="CL87" s="81"/>
      <c r="CM87" s="81"/>
      <c r="CN87" s="81"/>
      <c r="CO87" s="75">
        <f t="shared" si="306"/>
        <v>0</v>
      </c>
      <c r="CP87" s="75">
        <f t="shared" si="307"/>
        <v>0</v>
      </c>
      <c r="CQ87" s="81"/>
      <c r="CR87" s="75">
        <v>0</v>
      </c>
      <c r="CS87" s="81"/>
      <c r="CT87" s="81"/>
      <c r="CU87" s="75">
        <f t="shared" si="308"/>
        <v>0</v>
      </c>
      <c r="CV87" s="75">
        <f t="shared" si="309"/>
        <v>0</v>
      </c>
      <c r="CW87" s="81"/>
      <c r="CX87" s="81"/>
      <c r="CY87" s="81"/>
      <c r="CZ87" s="81"/>
      <c r="DA87" s="75">
        <f t="shared" si="310"/>
        <v>0</v>
      </c>
      <c r="DB87" s="75">
        <f t="shared" si="311"/>
        <v>0</v>
      </c>
      <c r="DC87" s="81"/>
      <c r="DD87" s="81"/>
      <c r="DE87" s="81"/>
      <c r="DF87" s="81"/>
      <c r="DG87" s="75">
        <f t="shared" si="312"/>
        <v>0</v>
      </c>
      <c r="DH87" s="75">
        <f t="shared" si="313"/>
        <v>0</v>
      </c>
      <c r="DI87" s="75">
        <f t="shared" si="314"/>
        <v>0</v>
      </c>
      <c r="DJ87" s="75">
        <f t="shared" si="315"/>
        <v>0</v>
      </c>
      <c r="DK87" s="75">
        <f t="shared" si="316"/>
        <v>0</v>
      </c>
      <c r="DL87" s="75">
        <f t="shared" si="317"/>
        <v>0</v>
      </c>
      <c r="DM87" s="75">
        <f t="shared" si="318"/>
        <v>0</v>
      </c>
      <c r="DN87" s="75">
        <f t="shared" si="319"/>
        <v>0</v>
      </c>
    </row>
    <row r="88" spans="1:118">
      <c r="A88" s="25">
        <v>80</v>
      </c>
      <c r="B88" s="26"/>
      <c r="C88" s="26"/>
      <c r="D88" s="26"/>
      <c r="E88" s="205"/>
      <c r="F88" s="131">
        <f t="shared" si="272"/>
        <v>0</v>
      </c>
      <c r="G88" s="131"/>
      <c r="H88" s="283">
        <f t="shared" si="273"/>
        <v>0</v>
      </c>
      <c r="I88" s="80"/>
      <c r="J88" s="400">
        <v>0</v>
      </c>
      <c r="K88" s="400">
        <v>0</v>
      </c>
      <c r="L88" s="131">
        <f t="shared" si="274"/>
        <v>0</v>
      </c>
      <c r="M88" s="131">
        <f t="shared" si="275"/>
        <v>0</v>
      </c>
      <c r="N88" s="131">
        <f t="shared" si="276"/>
        <v>0</v>
      </c>
      <c r="O88" s="131">
        <f t="shared" si="277"/>
        <v>0</v>
      </c>
      <c r="P88" s="131" t="str">
        <f t="shared" si="278"/>
        <v>ნულოვანი შესრულება</v>
      </c>
      <c r="Q88" s="81"/>
      <c r="R88" s="81">
        <v>0</v>
      </c>
      <c r="S88" s="81">
        <v>0</v>
      </c>
      <c r="T88" s="81">
        <f t="shared" si="279"/>
        <v>0</v>
      </c>
      <c r="U88" s="81"/>
      <c r="V88" s="81"/>
      <c r="W88" s="81"/>
      <c r="X88" s="81"/>
      <c r="Y88" s="75">
        <f t="shared" si="280"/>
        <v>0</v>
      </c>
      <c r="Z88" s="75">
        <f t="shared" si="281"/>
        <v>0</v>
      </c>
      <c r="AA88" s="81"/>
      <c r="AB88" s="81"/>
      <c r="AC88" s="81"/>
      <c r="AD88" s="81"/>
      <c r="AE88" s="75">
        <f t="shared" si="282"/>
        <v>0</v>
      </c>
      <c r="AF88" s="75">
        <f t="shared" si="283"/>
        <v>0</v>
      </c>
      <c r="AG88" s="75">
        <f t="shared" si="284"/>
        <v>0</v>
      </c>
      <c r="AH88" s="75">
        <f t="shared" si="285"/>
        <v>0</v>
      </c>
      <c r="AI88" s="75">
        <f t="shared" si="286"/>
        <v>0</v>
      </c>
      <c r="AJ88" s="75">
        <f t="shared" si="287"/>
        <v>0</v>
      </c>
      <c r="AK88" s="75">
        <f t="shared" si="288"/>
        <v>0</v>
      </c>
      <c r="AL88" s="75">
        <f t="shared" si="289"/>
        <v>0</v>
      </c>
      <c r="AM88" s="81"/>
      <c r="AN88" s="81"/>
      <c r="AO88" s="81"/>
      <c r="AP88" s="81"/>
      <c r="AQ88" s="75">
        <f t="shared" si="290"/>
        <v>0</v>
      </c>
      <c r="AR88" s="75">
        <f t="shared" si="291"/>
        <v>0</v>
      </c>
      <c r="AS88" s="81"/>
      <c r="AT88" s="81"/>
      <c r="AU88" s="81"/>
      <c r="AV88" s="81"/>
      <c r="AW88" s="75">
        <f t="shared" si="292"/>
        <v>0</v>
      </c>
      <c r="AX88" s="75">
        <f t="shared" si="293"/>
        <v>0</v>
      </c>
      <c r="AY88" s="81"/>
      <c r="AZ88" s="81"/>
      <c r="BA88" s="81"/>
      <c r="BB88" s="81"/>
      <c r="BC88" s="75">
        <f t="shared" si="294"/>
        <v>0</v>
      </c>
      <c r="BD88" s="75"/>
      <c r="BE88" s="75">
        <f t="shared" si="295"/>
        <v>0</v>
      </c>
      <c r="BF88" s="81"/>
      <c r="BG88" s="81"/>
      <c r="BH88" s="81"/>
      <c r="BI88" s="81"/>
      <c r="BJ88" s="75">
        <f t="shared" si="296"/>
        <v>0</v>
      </c>
      <c r="BK88" s="75"/>
      <c r="BL88" s="75">
        <f t="shared" si="297"/>
        <v>0</v>
      </c>
      <c r="BM88" s="81"/>
      <c r="BN88" s="81"/>
      <c r="BO88" s="81"/>
      <c r="BP88" s="81"/>
      <c r="BQ88" s="75">
        <f t="shared" si="298"/>
        <v>0</v>
      </c>
      <c r="BR88" s="75">
        <f t="shared" si="299"/>
        <v>0</v>
      </c>
      <c r="BS88" s="81"/>
      <c r="BT88" s="81"/>
      <c r="BU88" s="81"/>
      <c r="BV88" s="81"/>
      <c r="BW88" s="75">
        <f t="shared" si="300"/>
        <v>0</v>
      </c>
      <c r="BX88" s="75">
        <f t="shared" si="301"/>
        <v>0</v>
      </c>
      <c r="BY88" s="81"/>
      <c r="BZ88" s="81"/>
      <c r="CA88" s="81"/>
      <c r="CB88" s="81"/>
      <c r="CC88" s="75">
        <f t="shared" si="302"/>
        <v>0</v>
      </c>
      <c r="CD88" s="75">
        <f t="shared" si="303"/>
        <v>0</v>
      </c>
      <c r="CE88" s="81"/>
      <c r="CF88" s="81"/>
      <c r="CG88" s="81"/>
      <c r="CH88" s="81"/>
      <c r="CI88" s="75">
        <f t="shared" si="304"/>
        <v>0</v>
      </c>
      <c r="CJ88" s="75">
        <f t="shared" si="305"/>
        <v>0</v>
      </c>
      <c r="CK88" s="81"/>
      <c r="CL88" s="81"/>
      <c r="CM88" s="81"/>
      <c r="CN88" s="81"/>
      <c r="CO88" s="75">
        <f t="shared" si="306"/>
        <v>0</v>
      </c>
      <c r="CP88" s="75">
        <f t="shared" si="307"/>
        <v>0</v>
      </c>
      <c r="CQ88" s="81"/>
      <c r="CR88" s="75">
        <v>0</v>
      </c>
      <c r="CS88" s="81"/>
      <c r="CT88" s="81"/>
      <c r="CU88" s="75">
        <f t="shared" si="308"/>
        <v>0</v>
      </c>
      <c r="CV88" s="75">
        <f t="shared" si="309"/>
        <v>0</v>
      </c>
      <c r="CW88" s="81"/>
      <c r="CX88" s="81"/>
      <c r="CY88" s="81"/>
      <c r="CZ88" s="81"/>
      <c r="DA88" s="75">
        <f t="shared" si="310"/>
        <v>0</v>
      </c>
      <c r="DB88" s="75">
        <f t="shared" si="311"/>
        <v>0</v>
      </c>
      <c r="DC88" s="81"/>
      <c r="DD88" s="81"/>
      <c r="DE88" s="81"/>
      <c r="DF88" s="81"/>
      <c r="DG88" s="75">
        <f t="shared" si="312"/>
        <v>0</v>
      </c>
      <c r="DH88" s="75">
        <f t="shared" si="313"/>
        <v>0</v>
      </c>
      <c r="DI88" s="75">
        <f t="shared" si="314"/>
        <v>0</v>
      </c>
      <c r="DJ88" s="75">
        <f t="shared" si="315"/>
        <v>0</v>
      </c>
      <c r="DK88" s="75">
        <f t="shared" si="316"/>
        <v>0</v>
      </c>
      <c r="DL88" s="75">
        <f t="shared" si="317"/>
        <v>0</v>
      </c>
      <c r="DM88" s="75">
        <f t="shared" si="318"/>
        <v>0</v>
      </c>
      <c r="DN88" s="75">
        <f t="shared" si="319"/>
        <v>0</v>
      </c>
    </row>
    <row r="89" spans="1:118">
      <c r="A89" s="25">
        <v>81</v>
      </c>
      <c r="B89" s="26"/>
      <c r="C89" s="26"/>
      <c r="D89" s="26"/>
      <c r="E89" s="205"/>
      <c r="F89" s="131">
        <f t="shared" si="272"/>
        <v>0</v>
      </c>
      <c r="G89" s="131"/>
      <c r="H89" s="283">
        <f t="shared" si="273"/>
        <v>0</v>
      </c>
      <c r="I89" s="80"/>
      <c r="J89" s="400">
        <v>0</v>
      </c>
      <c r="K89" s="400">
        <v>0</v>
      </c>
      <c r="L89" s="131">
        <f t="shared" si="274"/>
        <v>0</v>
      </c>
      <c r="M89" s="131">
        <f t="shared" si="275"/>
        <v>0</v>
      </c>
      <c r="N89" s="131">
        <f t="shared" si="276"/>
        <v>0</v>
      </c>
      <c r="O89" s="131">
        <f t="shared" si="277"/>
        <v>0</v>
      </c>
      <c r="P89" s="131" t="str">
        <f t="shared" si="278"/>
        <v>ნულოვანი შესრულება</v>
      </c>
      <c r="Q89" s="81"/>
      <c r="R89" s="81">
        <v>0</v>
      </c>
      <c r="S89" s="81">
        <v>0</v>
      </c>
      <c r="T89" s="81">
        <f t="shared" si="279"/>
        <v>0</v>
      </c>
      <c r="U89" s="81"/>
      <c r="V89" s="81"/>
      <c r="W89" s="81"/>
      <c r="X89" s="81"/>
      <c r="Y89" s="75">
        <f t="shared" si="280"/>
        <v>0</v>
      </c>
      <c r="Z89" s="75">
        <f t="shared" si="281"/>
        <v>0</v>
      </c>
      <c r="AA89" s="81"/>
      <c r="AB89" s="81"/>
      <c r="AC89" s="81"/>
      <c r="AD89" s="81"/>
      <c r="AE89" s="75">
        <f t="shared" si="282"/>
        <v>0</v>
      </c>
      <c r="AF89" s="75">
        <f t="shared" si="283"/>
        <v>0</v>
      </c>
      <c r="AG89" s="75">
        <f t="shared" si="284"/>
        <v>0</v>
      </c>
      <c r="AH89" s="75">
        <f t="shared" si="285"/>
        <v>0</v>
      </c>
      <c r="AI89" s="75">
        <f t="shared" si="286"/>
        <v>0</v>
      </c>
      <c r="AJ89" s="75">
        <f t="shared" si="287"/>
        <v>0</v>
      </c>
      <c r="AK89" s="75">
        <f t="shared" si="288"/>
        <v>0</v>
      </c>
      <c r="AL89" s="75">
        <f t="shared" si="289"/>
        <v>0</v>
      </c>
      <c r="AM89" s="81"/>
      <c r="AN89" s="81"/>
      <c r="AO89" s="81"/>
      <c r="AP89" s="81"/>
      <c r="AQ89" s="75">
        <f t="shared" si="290"/>
        <v>0</v>
      </c>
      <c r="AR89" s="75">
        <f t="shared" si="291"/>
        <v>0</v>
      </c>
      <c r="AS89" s="81"/>
      <c r="AT89" s="81"/>
      <c r="AU89" s="81"/>
      <c r="AV89" s="81"/>
      <c r="AW89" s="75">
        <f t="shared" si="292"/>
        <v>0</v>
      </c>
      <c r="AX89" s="75">
        <f t="shared" si="293"/>
        <v>0</v>
      </c>
      <c r="AY89" s="81"/>
      <c r="AZ89" s="81"/>
      <c r="BA89" s="81"/>
      <c r="BB89" s="81"/>
      <c r="BC89" s="75">
        <f t="shared" si="294"/>
        <v>0</v>
      </c>
      <c r="BD89" s="75"/>
      <c r="BE89" s="75">
        <f t="shared" si="295"/>
        <v>0</v>
      </c>
      <c r="BF89" s="81"/>
      <c r="BG89" s="81"/>
      <c r="BH89" s="81"/>
      <c r="BI89" s="81"/>
      <c r="BJ89" s="75">
        <f t="shared" si="296"/>
        <v>0</v>
      </c>
      <c r="BK89" s="75"/>
      <c r="BL89" s="75">
        <f t="shared" si="297"/>
        <v>0</v>
      </c>
      <c r="BM89" s="81"/>
      <c r="BN89" s="81"/>
      <c r="BO89" s="81"/>
      <c r="BP89" s="81"/>
      <c r="BQ89" s="75">
        <f t="shared" si="298"/>
        <v>0</v>
      </c>
      <c r="BR89" s="75">
        <f t="shared" si="299"/>
        <v>0</v>
      </c>
      <c r="BS89" s="81"/>
      <c r="BT89" s="81"/>
      <c r="BU89" s="81"/>
      <c r="BV89" s="81"/>
      <c r="BW89" s="75">
        <f t="shared" si="300"/>
        <v>0</v>
      </c>
      <c r="BX89" s="75">
        <f t="shared" si="301"/>
        <v>0</v>
      </c>
      <c r="BY89" s="81"/>
      <c r="BZ89" s="81"/>
      <c r="CA89" s="81"/>
      <c r="CB89" s="81"/>
      <c r="CC89" s="75">
        <f t="shared" si="302"/>
        <v>0</v>
      </c>
      <c r="CD89" s="75">
        <f t="shared" si="303"/>
        <v>0</v>
      </c>
      <c r="CE89" s="81"/>
      <c r="CF89" s="81"/>
      <c r="CG89" s="81"/>
      <c r="CH89" s="81"/>
      <c r="CI89" s="75">
        <f t="shared" si="304"/>
        <v>0</v>
      </c>
      <c r="CJ89" s="75">
        <f t="shared" si="305"/>
        <v>0</v>
      </c>
      <c r="CK89" s="81"/>
      <c r="CL89" s="81"/>
      <c r="CM89" s="81"/>
      <c r="CN89" s="81"/>
      <c r="CO89" s="75">
        <f t="shared" si="306"/>
        <v>0</v>
      </c>
      <c r="CP89" s="75">
        <f t="shared" si="307"/>
        <v>0</v>
      </c>
      <c r="CQ89" s="81"/>
      <c r="CR89" s="75">
        <v>0</v>
      </c>
      <c r="CS89" s="81"/>
      <c r="CT89" s="81"/>
      <c r="CU89" s="75">
        <f t="shared" si="308"/>
        <v>0</v>
      </c>
      <c r="CV89" s="75">
        <f t="shared" si="309"/>
        <v>0</v>
      </c>
      <c r="CW89" s="81"/>
      <c r="CX89" s="81"/>
      <c r="CY89" s="81"/>
      <c r="CZ89" s="81"/>
      <c r="DA89" s="75">
        <f t="shared" si="310"/>
        <v>0</v>
      </c>
      <c r="DB89" s="75">
        <f t="shared" si="311"/>
        <v>0</v>
      </c>
      <c r="DC89" s="81"/>
      <c r="DD89" s="81"/>
      <c r="DE89" s="81"/>
      <c r="DF89" s="81"/>
      <c r="DG89" s="75">
        <f t="shared" si="312"/>
        <v>0</v>
      </c>
      <c r="DH89" s="75">
        <f t="shared" si="313"/>
        <v>0</v>
      </c>
      <c r="DI89" s="75">
        <f t="shared" si="314"/>
        <v>0</v>
      </c>
      <c r="DJ89" s="75">
        <f t="shared" si="315"/>
        <v>0</v>
      </c>
      <c r="DK89" s="75">
        <f t="shared" si="316"/>
        <v>0</v>
      </c>
      <c r="DL89" s="75">
        <f t="shared" si="317"/>
        <v>0</v>
      </c>
      <c r="DM89" s="75">
        <f t="shared" si="318"/>
        <v>0</v>
      </c>
      <c r="DN89" s="75">
        <f t="shared" si="319"/>
        <v>0</v>
      </c>
    </row>
    <row r="90" spans="1:118">
      <c r="A90" s="25">
        <v>82</v>
      </c>
      <c r="B90" s="26"/>
      <c r="C90" s="26"/>
      <c r="D90" s="26"/>
      <c r="E90" s="205"/>
      <c r="F90" s="131">
        <f t="shared" si="272"/>
        <v>0</v>
      </c>
      <c r="G90" s="131"/>
      <c r="H90" s="283">
        <f t="shared" si="273"/>
        <v>0</v>
      </c>
      <c r="I90" s="80"/>
      <c r="J90" s="400">
        <v>0</v>
      </c>
      <c r="K90" s="400">
        <v>0</v>
      </c>
      <c r="L90" s="131">
        <f t="shared" si="274"/>
        <v>0</v>
      </c>
      <c r="M90" s="131">
        <f t="shared" si="275"/>
        <v>0</v>
      </c>
      <c r="N90" s="131">
        <f t="shared" si="276"/>
        <v>0</v>
      </c>
      <c r="O90" s="131">
        <f t="shared" si="277"/>
        <v>0</v>
      </c>
      <c r="P90" s="131" t="str">
        <f t="shared" si="278"/>
        <v>ნულოვანი შესრულება</v>
      </c>
      <c r="Q90" s="81"/>
      <c r="R90" s="81">
        <v>0</v>
      </c>
      <c r="S90" s="81">
        <v>0</v>
      </c>
      <c r="T90" s="81">
        <f t="shared" si="279"/>
        <v>0</v>
      </c>
      <c r="U90" s="81"/>
      <c r="V90" s="81"/>
      <c r="W90" s="81"/>
      <c r="X90" s="81"/>
      <c r="Y90" s="75">
        <f t="shared" si="280"/>
        <v>0</v>
      </c>
      <c r="Z90" s="75">
        <f t="shared" si="281"/>
        <v>0</v>
      </c>
      <c r="AA90" s="81"/>
      <c r="AB90" s="81"/>
      <c r="AC90" s="81"/>
      <c r="AD90" s="81"/>
      <c r="AE90" s="75">
        <f t="shared" si="282"/>
        <v>0</v>
      </c>
      <c r="AF90" s="75">
        <f t="shared" si="283"/>
        <v>0</v>
      </c>
      <c r="AG90" s="75">
        <f t="shared" si="284"/>
        <v>0</v>
      </c>
      <c r="AH90" s="75">
        <f t="shared" si="285"/>
        <v>0</v>
      </c>
      <c r="AI90" s="75">
        <f t="shared" si="286"/>
        <v>0</v>
      </c>
      <c r="AJ90" s="75">
        <f t="shared" si="287"/>
        <v>0</v>
      </c>
      <c r="AK90" s="75">
        <f t="shared" si="288"/>
        <v>0</v>
      </c>
      <c r="AL90" s="75">
        <f t="shared" si="289"/>
        <v>0</v>
      </c>
      <c r="AM90" s="81"/>
      <c r="AN90" s="81"/>
      <c r="AO90" s="81"/>
      <c r="AP90" s="81"/>
      <c r="AQ90" s="75">
        <f t="shared" si="290"/>
        <v>0</v>
      </c>
      <c r="AR90" s="75">
        <f t="shared" si="291"/>
        <v>0</v>
      </c>
      <c r="AS90" s="81"/>
      <c r="AT90" s="81"/>
      <c r="AU90" s="81"/>
      <c r="AV90" s="81"/>
      <c r="AW90" s="75">
        <f t="shared" si="292"/>
        <v>0</v>
      </c>
      <c r="AX90" s="75">
        <f t="shared" si="293"/>
        <v>0</v>
      </c>
      <c r="AY90" s="81"/>
      <c r="AZ90" s="81"/>
      <c r="BA90" s="81"/>
      <c r="BB90" s="81"/>
      <c r="BC90" s="75">
        <f t="shared" si="294"/>
        <v>0</v>
      </c>
      <c r="BD90" s="75"/>
      <c r="BE90" s="75">
        <f t="shared" si="295"/>
        <v>0</v>
      </c>
      <c r="BF90" s="81"/>
      <c r="BG90" s="81"/>
      <c r="BH90" s="81"/>
      <c r="BI90" s="81"/>
      <c r="BJ90" s="75">
        <f t="shared" si="296"/>
        <v>0</v>
      </c>
      <c r="BK90" s="75"/>
      <c r="BL90" s="75">
        <f t="shared" si="297"/>
        <v>0</v>
      </c>
      <c r="BM90" s="81"/>
      <c r="BN90" s="81"/>
      <c r="BO90" s="81"/>
      <c r="BP90" s="81"/>
      <c r="BQ90" s="75">
        <f t="shared" si="298"/>
        <v>0</v>
      </c>
      <c r="BR90" s="75">
        <f t="shared" si="299"/>
        <v>0</v>
      </c>
      <c r="BS90" s="81"/>
      <c r="BT90" s="81"/>
      <c r="BU90" s="81"/>
      <c r="BV90" s="81"/>
      <c r="BW90" s="75">
        <f t="shared" si="300"/>
        <v>0</v>
      </c>
      <c r="BX90" s="75">
        <f t="shared" si="301"/>
        <v>0</v>
      </c>
      <c r="BY90" s="81"/>
      <c r="BZ90" s="81"/>
      <c r="CA90" s="81"/>
      <c r="CB90" s="81"/>
      <c r="CC90" s="75">
        <f t="shared" si="302"/>
        <v>0</v>
      </c>
      <c r="CD90" s="75">
        <f t="shared" si="303"/>
        <v>0</v>
      </c>
      <c r="CE90" s="81"/>
      <c r="CF90" s="81"/>
      <c r="CG90" s="81"/>
      <c r="CH90" s="81"/>
      <c r="CI90" s="75">
        <f t="shared" si="304"/>
        <v>0</v>
      </c>
      <c r="CJ90" s="75">
        <f t="shared" si="305"/>
        <v>0</v>
      </c>
      <c r="CK90" s="81"/>
      <c r="CL90" s="81"/>
      <c r="CM90" s="81"/>
      <c r="CN90" s="81"/>
      <c r="CO90" s="75">
        <f t="shared" si="306"/>
        <v>0</v>
      </c>
      <c r="CP90" s="75">
        <f t="shared" si="307"/>
        <v>0</v>
      </c>
      <c r="CQ90" s="81"/>
      <c r="CR90" s="75">
        <v>0</v>
      </c>
      <c r="CS90" s="81"/>
      <c r="CT90" s="81"/>
      <c r="CU90" s="75">
        <f t="shared" si="308"/>
        <v>0</v>
      </c>
      <c r="CV90" s="75">
        <f t="shared" si="309"/>
        <v>0</v>
      </c>
      <c r="CW90" s="81"/>
      <c r="CX90" s="81"/>
      <c r="CY90" s="81"/>
      <c r="CZ90" s="81"/>
      <c r="DA90" s="75">
        <f t="shared" si="310"/>
        <v>0</v>
      </c>
      <c r="DB90" s="75">
        <f t="shared" si="311"/>
        <v>0</v>
      </c>
      <c r="DC90" s="81"/>
      <c r="DD90" s="81"/>
      <c r="DE90" s="81"/>
      <c r="DF90" s="81"/>
      <c r="DG90" s="75">
        <f t="shared" si="312"/>
        <v>0</v>
      </c>
      <c r="DH90" s="75">
        <f t="shared" si="313"/>
        <v>0</v>
      </c>
      <c r="DI90" s="75">
        <f t="shared" si="314"/>
        <v>0</v>
      </c>
      <c r="DJ90" s="75">
        <f t="shared" si="315"/>
        <v>0</v>
      </c>
      <c r="DK90" s="75">
        <f t="shared" si="316"/>
        <v>0</v>
      </c>
      <c r="DL90" s="75">
        <f t="shared" si="317"/>
        <v>0</v>
      </c>
      <c r="DM90" s="75">
        <f t="shared" si="318"/>
        <v>0</v>
      </c>
      <c r="DN90" s="75">
        <f t="shared" si="319"/>
        <v>0</v>
      </c>
    </row>
    <row r="91" spans="1:118">
      <c r="A91" s="25">
        <v>83</v>
      </c>
      <c r="B91" s="26"/>
      <c r="C91" s="26"/>
      <c r="D91" s="26"/>
      <c r="E91" s="205"/>
      <c r="F91" s="131">
        <f t="shared" si="272"/>
        <v>0</v>
      </c>
      <c r="G91" s="131"/>
      <c r="H91" s="283">
        <f t="shared" si="273"/>
        <v>0</v>
      </c>
      <c r="I91" s="80"/>
      <c r="J91" s="400">
        <v>0</v>
      </c>
      <c r="K91" s="400">
        <v>0</v>
      </c>
      <c r="L91" s="131">
        <f t="shared" si="274"/>
        <v>0</v>
      </c>
      <c r="M91" s="131">
        <f t="shared" si="275"/>
        <v>0</v>
      </c>
      <c r="N91" s="131">
        <f t="shared" si="276"/>
        <v>0</v>
      </c>
      <c r="O91" s="131">
        <f t="shared" si="277"/>
        <v>0</v>
      </c>
      <c r="P91" s="131" t="str">
        <f t="shared" si="278"/>
        <v>ნულოვანი შესრულება</v>
      </c>
      <c r="Q91" s="81"/>
      <c r="R91" s="81">
        <v>0</v>
      </c>
      <c r="S91" s="81">
        <v>0</v>
      </c>
      <c r="T91" s="81">
        <f t="shared" si="279"/>
        <v>0</v>
      </c>
      <c r="U91" s="81"/>
      <c r="V91" s="81"/>
      <c r="W91" s="81"/>
      <c r="X91" s="81"/>
      <c r="Y91" s="75">
        <f t="shared" si="280"/>
        <v>0</v>
      </c>
      <c r="Z91" s="75">
        <f t="shared" si="281"/>
        <v>0</v>
      </c>
      <c r="AA91" s="81"/>
      <c r="AB91" s="81"/>
      <c r="AC91" s="81"/>
      <c r="AD91" s="81"/>
      <c r="AE91" s="75">
        <f t="shared" si="282"/>
        <v>0</v>
      </c>
      <c r="AF91" s="75">
        <f t="shared" si="283"/>
        <v>0</v>
      </c>
      <c r="AG91" s="75">
        <f t="shared" si="284"/>
        <v>0</v>
      </c>
      <c r="AH91" s="75">
        <f t="shared" si="285"/>
        <v>0</v>
      </c>
      <c r="AI91" s="75">
        <f t="shared" si="286"/>
        <v>0</v>
      </c>
      <c r="AJ91" s="75">
        <f t="shared" si="287"/>
        <v>0</v>
      </c>
      <c r="AK91" s="75">
        <f t="shared" si="288"/>
        <v>0</v>
      </c>
      <c r="AL91" s="75">
        <f t="shared" si="289"/>
        <v>0</v>
      </c>
      <c r="AM91" s="81"/>
      <c r="AN91" s="81"/>
      <c r="AO91" s="81"/>
      <c r="AP91" s="81"/>
      <c r="AQ91" s="75">
        <f t="shared" si="290"/>
        <v>0</v>
      </c>
      <c r="AR91" s="75">
        <f t="shared" si="291"/>
        <v>0</v>
      </c>
      <c r="AS91" s="81"/>
      <c r="AT91" s="81"/>
      <c r="AU91" s="81"/>
      <c r="AV91" s="81"/>
      <c r="AW91" s="75">
        <f t="shared" si="292"/>
        <v>0</v>
      </c>
      <c r="AX91" s="75">
        <f t="shared" si="293"/>
        <v>0</v>
      </c>
      <c r="AY91" s="81"/>
      <c r="AZ91" s="81"/>
      <c r="BA91" s="81"/>
      <c r="BB91" s="81"/>
      <c r="BC91" s="75">
        <f t="shared" si="294"/>
        <v>0</v>
      </c>
      <c r="BD91" s="75"/>
      <c r="BE91" s="75">
        <f t="shared" si="295"/>
        <v>0</v>
      </c>
      <c r="BF91" s="81"/>
      <c r="BG91" s="81"/>
      <c r="BH91" s="81"/>
      <c r="BI91" s="81"/>
      <c r="BJ91" s="75">
        <f t="shared" si="296"/>
        <v>0</v>
      </c>
      <c r="BK91" s="75"/>
      <c r="BL91" s="75">
        <f t="shared" si="297"/>
        <v>0</v>
      </c>
      <c r="BM91" s="81"/>
      <c r="BN91" s="81"/>
      <c r="BO91" s="81"/>
      <c r="BP91" s="81"/>
      <c r="BQ91" s="75">
        <f t="shared" si="298"/>
        <v>0</v>
      </c>
      <c r="BR91" s="75">
        <f t="shared" si="299"/>
        <v>0</v>
      </c>
      <c r="BS91" s="81"/>
      <c r="BT91" s="81"/>
      <c r="BU91" s="81"/>
      <c r="BV91" s="81"/>
      <c r="BW91" s="75">
        <f t="shared" si="300"/>
        <v>0</v>
      </c>
      <c r="BX91" s="75">
        <f t="shared" si="301"/>
        <v>0</v>
      </c>
      <c r="BY91" s="81"/>
      <c r="BZ91" s="81"/>
      <c r="CA91" s="81"/>
      <c r="CB91" s="81"/>
      <c r="CC91" s="75">
        <f t="shared" si="302"/>
        <v>0</v>
      </c>
      <c r="CD91" s="75">
        <f t="shared" si="303"/>
        <v>0</v>
      </c>
      <c r="CE91" s="81"/>
      <c r="CF91" s="81"/>
      <c r="CG91" s="81"/>
      <c r="CH91" s="81"/>
      <c r="CI91" s="75">
        <f t="shared" si="304"/>
        <v>0</v>
      </c>
      <c r="CJ91" s="75">
        <f t="shared" si="305"/>
        <v>0</v>
      </c>
      <c r="CK91" s="81"/>
      <c r="CL91" s="81"/>
      <c r="CM91" s="81"/>
      <c r="CN91" s="81"/>
      <c r="CO91" s="75">
        <f t="shared" si="306"/>
        <v>0</v>
      </c>
      <c r="CP91" s="75">
        <f t="shared" si="307"/>
        <v>0</v>
      </c>
      <c r="CQ91" s="81"/>
      <c r="CR91" s="75">
        <v>0</v>
      </c>
      <c r="CS91" s="81"/>
      <c r="CT91" s="81"/>
      <c r="CU91" s="75">
        <f t="shared" si="308"/>
        <v>0</v>
      </c>
      <c r="CV91" s="75">
        <f t="shared" si="309"/>
        <v>0</v>
      </c>
      <c r="CW91" s="81"/>
      <c r="CX91" s="81"/>
      <c r="CY91" s="81"/>
      <c r="CZ91" s="81"/>
      <c r="DA91" s="75">
        <f t="shared" si="310"/>
        <v>0</v>
      </c>
      <c r="DB91" s="75">
        <f t="shared" si="311"/>
        <v>0</v>
      </c>
      <c r="DC91" s="81"/>
      <c r="DD91" s="81"/>
      <c r="DE91" s="81"/>
      <c r="DF91" s="81"/>
      <c r="DG91" s="75">
        <f t="shared" si="312"/>
        <v>0</v>
      </c>
      <c r="DH91" s="75">
        <f t="shared" si="313"/>
        <v>0</v>
      </c>
      <c r="DI91" s="75">
        <f t="shared" si="314"/>
        <v>0</v>
      </c>
      <c r="DJ91" s="75">
        <f t="shared" si="315"/>
        <v>0</v>
      </c>
      <c r="DK91" s="75">
        <f t="shared" si="316"/>
        <v>0</v>
      </c>
      <c r="DL91" s="75">
        <f t="shared" si="317"/>
        <v>0</v>
      </c>
      <c r="DM91" s="75">
        <f t="shared" si="318"/>
        <v>0</v>
      </c>
      <c r="DN91" s="75">
        <f t="shared" si="319"/>
        <v>0</v>
      </c>
    </row>
    <row r="92" spans="1:118">
      <c r="A92" s="25">
        <v>84</v>
      </c>
      <c r="B92" s="26" t="s">
        <v>581</v>
      </c>
      <c r="C92" s="26" t="s">
        <v>1358</v>
      </c>
      <c r="D92" s="26" t="s">
        <v>1346</v>
      </c>
      <c r="E92" s="205" t="s">
        <v>1165</v>
      </c>
      <c r="F92" s="131">
        <f t="shared" si="272"/>
        <v>0</v>
      </c>
      <c r="G92" s="131"/>
      <c r="H92" s="283">
        <f t="shared" si="273"/>
        <v>0</v>
      </c>
      <c r="I92" s="80"/>
      <c r="J92" s="400">
        <v>0</v>
      </c>
      <c r="K92" s="400">
        <v>0</v>
      </c>
      <c r="L92" s="131">
        <f t="shared" si="274"/>
        <v>0</v>
      </c>
      <c r="M92" s="131">
        <f t="shared" si="275"/>
        <v>0</v>
      </c>
      <c r="N92" s="131">
        <f t="shared" si="276"/>
        <v>0</v>
      </c>
      <c r="O92" s="131">
        <f t="shared" si="277"/>
        <v>0</v>
      </c>
      <c r="P92" s="131" t="str">
        <f t="shared" si="278"/>
        <v>ნულოვანი შესრულება</v>
      </c>
      <c r="Q92" s="81"/>
      <c r="R92" s="81">
        <v>0</v>
      </c>
      <c r="S92" s="81">
        <v>0</v>
      </c>
      <c r="T92" s="81">
        <f t="shared" si="279"/>
        <v>0</v>
      </c>
      <c r="U92" s="81"/>
      <c r="V92" s="81"/>
      <c r="W92" s="81"/>
      <c r="X92" s="81"/>
      <c r="Y92" s="75">
        <f t="shared" si="280"/>
        <v>0</v>
      </c>
      <c r="Z92" s="75">
        <f t="shared" si="281"/>
        <v>0</v>
      </c>
      <c r="AA92" s="81"/>
      <c r="AB92" s="81"/>
      <c r="AC92" s="81"/>
      <c r="AD92" s="81"/>
      <c r="AE92" s="75">
        <f t="shared" si="282"/>
        <v>0</v>
      </c>
      <c r="AF92" s="75">
        <f t="shared" si="283"/>
        <v>0</v>
      </c>
      <c r="AG92" s="75">
        <f t="shared" si="284"/>
        <v>0</v>
      </c>
      <c r="AH92" s="75">
        <f t="shared" si="285"/>
        <v>0</v>
      </c>
      <c r="AI92" s="75">
        <f t="shared" si="286"/>
        <v>0</v>
      </c>
      <c r="AJ92" s="75">
        <f t="shared" si="287"/>
        <v>0</v>
      </c>
      <c r="AK92" s="75">
        <f t="shared" si="288"/>
        <v>0</v>
      </c>
      <c r="AL92" s="75">
        <f t="shared" si="289"/>
        <v>0</v>
      </c>
      <c r="AM92" s="81"/>
      <c r="AN92" s="81"/>
      <c r="AO92" s="81"/>
      <c r="AP92" s="81"/>
      <c r="AQ92" s="75">
        <f t="shared" si="290"/>
        <v>0</v>
      </c>
      <c r="AR92" s="75">
        <f t="shared" si="291"/>
        <v>0</v>
      </c>
      <c r="AS92" s="81"/>
      <c r="AT92" s="81"/>
      <c r="AU92" s="81"/>
      <c r="AV92" s="81"/>
      <c r="AW92" s="75">
        <f t="shared" si="292"/>
        <v>0</v>
      </c>
      <c r="AX92" s="75">
        <f t="shared" si="293"/>
        <v>0</v>
      </c>
      <c r="AY92" s="81"/>
      <c r="AZ92" s="81"/>
      <c r="BA92" s="81"/>
      <c r="BB92" s="81"/>
      <c r="BC92" s="75">
        <f t="shared" si="294"/>
        <v>0</v>
      </c>
      <c r="BD92" s="75"/>
      <c r="BE92" s="75">
        <f t="shared" si="295"/>
        <v>0</v>
      </c>
      <c r="BF92" s="81"/>
      <c r="BG92" s="81"/>
      <c r="BH92" s="81"/>
      <c r="BI92" s="81"/>
      <c r="BJ92" s="75">
        <f t="shared" si="296"/>
        <v>0</v>
      </c>
      <c r="BK92" s="75"/>
      <c r="BL92" s="75">
        <f t="shared" si="297"/>
        <v>0</v>
      </c>
      <c r="BM92" s="81"/>
      <c r="BN92" s="81"/>
      <c r="BO92" s="81"/>
      <c r="BP92" s="81"/>
      <c r="BQ92" s="75">
        <f t="shared" si="298"/>
        <v>0</v>
      </c>
      <c r="BR92" s="75">
        <f t="shared" si="299"/>
        <v>0</v>
      </c>
      <c r="BS92" s="81"/>
      <c r="BT92" s="81"/>
      <c r="BU92" s="81"/>
      <c r="BV92" s="81"/>
      <c r="BW92" s="75">
        <f t="shared" si="300"/>
        <v>0</v>
      </c>
      <c r="BX92" s="75">
        <f t="shared" si="301"/>
        <v>0</v>
      </c>
      <c r="BY92" s="81"/>
      <c r="BZ92" s="81"/>
      <c r="CA92" s="81"/>
      <c r="CB92" s="81"/>
      <c r="CC92" s="75">
        <f t="shared" si="302"/>
        <v>0</v>
      </c>
      <c r="CD92" s="75">
        <f t="shared" si="303"/>
        <v>0</v>
      </c>
      <c r="CE92" s="81"/>
      <c r="CF92" s="81"/>
      <c r="CG92" s="81"/>
      <c r="CH92" s="81"/>
      <c r="CI92" s="75">
        <f t="shared" si="304"/>
        <v>0</v>
      </c>
      <c r="CJ92" s="75">
        <f t="shared" si="305"/>
        <v>0</v>
      </c>
      <c r="CK92" s="81"/>
      <c r="CL92" s="81"/>
      <c r="CM92" s="81"/>
      <c r="CN92" s="81"/>
      <c r="CO92" s="75">
        <f t="shared" si="306"/>
        <v>0</v>
      </c>
      <c r="CP92" s="75">
        <f t="shared" si="307"/>
        <v>0</v>
      </c>
      <c r="CQ92" s="81"/>
      <c r="CR92" s="75">
        <v>0</v>
      </c>
      <c r="CS92" s="81"/>
      <c r="CT92" s="81"/>
      <c r="CU92" s="75">
        <f t="shared" si="308"/>
        <v>0</v>
      </c>
      <c r="CV92" s="75">
        <f t="shared" si="309"/>
        <v>0</v>
      </c>
      <c r="CW92" s="81"/>
      <c r="CX92" s="81"/>
      <c r="CY92" s="81"/>
      <c r="CZ92" s="81"/>
      <c r="DA92" s="75">
        <f t="shared" si="310"/>
        <v>0</v>
      </c>
      <c r="DB92" s="75">
        <f t="shared" si="311"/>
        <v>0</v>
      </c>
      <c r="DC92" s="81"/>
      <c r="DD92" s="81"/>
      <c r="DE92" s="81"/>
      <c r="DF92" s="81"/>
      <c r="DG92" s="75">
        <f t="shared" si="312"/>
        <v>0</v>
      </c>
      <c r="DH92" s="75">
        <f t="shared" si="313"/>
        <v>0</v>
      </c>
      <c r="DI92" s="75">
        <f t="shared" si="314"/>
        <v>0</v>
      </c>
      <c r="DJ92" s="75">
        <f t="shared" si="315"/>
        <v>0</v>
      </c>
      <c r="DK92" s="75">
        <f t="shared" si="316"/>
        <v>0</v>
      </c>
      <c r="DL92" s="75">
        <f t="shared" si="317"/>
        <v>0</v>
      </c>
      <c r="DM92" s="75">
        <f t="shared" si="318"/>
        <v>0</v>
      </c>
      <c r="DN92" s="75">
        <f t="shared" si="319"/>
        <v>0</v>
      </c>
    </row>
  </sheetData>
  <autoFilter ref="A8:DN74" xr:uid="{00000000-0009-0000-0000-000006000000}"/>
  <mergeCells count="90">
    <mergeCell ref="O3:O6"/>
    <mergeCell ref="I3:I6"/>
    <mergeCell ref="A3:A6"/>
    <mergeCell ref="B3:B6"/>
    <mergeCell ref="C3:C6"/>
    <mergeCell ref="D3:D6"/>
    <mergeCell ref="E3:E6"/>
    <mergeCell ref="F3:F6"/>
    <mergeCell ref="H3:H6"/>
    <mergeCell ref="G3:G6"/>
    <mergeCell ref="AM3:DN3"/>
    <mergeCell ref="U4:Z4"/>
    <mergeCell ref="AA4:AF4"/>
    <mergeCell ref="AG4:AL4"/>
    <mergeCell ref="AM4:AR4"/>
    <mergeCell ref="AS4:AX4"/>
    <mergeCell ref="DI4:DN4"/>
    <mergeCell ref="AY4:BE4"/>
    <mergeCell ref="BF4:BL4"/>
    <mergeCell ref="BM4:BR4"/>
    <mergeCell ref="BS4:BX4"/>
    <mergeCell ref="BY4:CD4"/>
    <mergeCell ref="CE4:CJ4"/>
    <mergeCell ref="CK4:CP4"/>
    <mergeCell ref="CQ4:CV4"/>
    <mergeCell ref="CW4:DB4"/>
    <mergeCell ref="Q3:R4"/>
    <mergeCell ref="S3:T4"/>
    <mergeCell ref="U3:AL3"/>
    <mergeCell ref="AE5:AF5"/>
    <mergeCell ref="J5:J6"/>
    <mergeCell ref="Q5:Q6"/>
    <mergeCell ref="R5:R6"/>
    <mergeCell ref="S5:S6"/>
    <mergeCell ref="T5:T6"/>
    <mergeCell ref="J3:K4"/>
    <mergeCell ref="L3:M4"/>
    <mergeCell ref="N3:N6"/>
    <mergeCell ref="P3:P6"/>
    <mergeCell ref="K5:K6"/>
    <mergeCell ref="L5:L6"/>
    <mergeCell ref="M5:M6"/>
    <mergeCell ref="DC4:DH4"/>
    <mergeCell ref="U5:V5"/>
    <mergeCell ref="W5:X5"/>
    <mergeCell ref="Y5:Z5"/>
    <mergeCell ref="AA5:AB5"/>
    <mergeCell ref="AC5:AD5"/>
    <mergeCell ref="BC5:BE5"/>
    <mergeCell ref="AG5:AH5"/>
    <mergeCell ref="AI5:AJ5"/>
    <mergeCell ref="AK5:AL5"/>
    <mergeCell ref="AM5:AN5"/>
    <mergeCell ref="AO5:AP5"/>
    <mergeCell ref="AQ5:AR5"/>
    <mergeCell ref="AS5:AT5"/>
    <mergeCell ref="AU5:AV5"/>
    <mergeCell ref="AW5:AX5"/>
    <mergeCell ref="AY5:AZ5"/>
    <mergeCell ref="BA5:BB5"/>
    <mergeCell ref="CC5:CD5"/>
    <mergeCell ref="BF5:BG5"/>
    <mergeCell ref="BH5:BI5"/>
    <mergeCell ref="BJ5:BL5"/>
    <mergeCell ref="BM5:BN5"/>
    <mergeCell ref="BO5:BP5"/>
    <mergeCell ref="BQ5:BR5"/>
    <mergeCell ref="DK5:DL5"/>
    <mergeCell ref="DM5:DN5"/>
    <mergeCell ref="CQ5:CR5"/>
    <mergeCell ref="CS5:CT5"/>
    <mergeCell ref="CU5:CV5"/>
    <mergeCell ref="CW5:CX5"/>
    <mergeCell ref="CY5:CZ5"/>
    <mergeCell ref="DA5:DB5"/>
    <mergeCell ref="DC5:DD5"/>
    <mergeCell ref="DE5:DF5"/>
    <mergeCell ref="DG5:DH5"/>
    <mergeCell ref="DI5:DJ5"/>
    <mergeCell ref="CO5:CP5"/>
    <mergeCell ref="BS5:BT5"/>
    <mergeCell ref="BU5:BV5"/>
    <mergeCell ref="BW5:BX5"/>
    <mergeCell ref="BY5:BZ5"/>
    <mergeCell ref="CA5:CB5"/>
    <mergeCell ref="CE5:CF5"/>
    <mergeCell ref="CG5:CH5"/>
    <mergeCell ref="CI5:CJ5"/>
    <mergeCell ref="CK5:CL5"/>
    <mergeCell ref="CM5:CN5"/>
  </mergeCells>
  <phoneticPr fontId="33" type="noConversion"/>
  <pageMargins left="0.7" right="0.7" top="0.75" bottom="0.75" header="0.3" footer="0.3"/>
  <pageSetup paperSize="9" orientation="portrait" verticalDpi="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DL146"/>
  <sheetViews>
    <sheetView workbookViewId="0">
      <pane xSplit="7" ySplit="8" topLeftCell="CF40" activePane="bottomRight" state="frozen"/>
      <selection pane="topRight" activeCell="H1" sqref="H1"/>
      <selection pane="bottomLeft" activeCell="A9" sqref="A9"/>
      <selection pane="bottomRight" activeCell="CX7" sqref="CX7"/>
    </sheetView>
  </sheetViews>
  <sheetFormatPr defaultColWidth="10.42578125" defaultRowHeight="15"/>
  <cols>
    <col min="1" max="1" width="8" style="14" bestFit="1" customWidth="1"/>
    <col min="2" max="2" width="28" style="14" bestFit="1" customWidth="1"/>
    <col min="3" max="3" width="11.28515625" style="14" customWidth="1"/>
    <col min="4" max="4" width="28.5703125" style="14" customWidth="1"/>
    <col min="5" max="5" width="15.5703125" style="14" bestFit="1" customWidth="1"/>
    <col min="6" max="6" width="13.85546875" style="14" bestFit="1" customWidth="1"/>
    <col min="7" max="7" width="14" style="14" bestFit="1" customWidth="1"/>
    <col min="8" max="8" width="19.85546875" style="17" customWidth="1"/>
    <col min="9" max="9" width="10" style="14" hidden="1" customWidth="1"/>
    <col min="10" max="10" width="13.140625" style="14" hidden="1" customWidth="1"/>
    <col min="11" max="12" width="10.85546875" style="14" hidden="1" customWidth="1"/>
    <col min="13" max="13" width="10.85546875" style="14" bestFit="1" customWidth="1"/>
    <col min="14" max="14" width="13.42578125" style="14" customWidth="1"/>
    <col min="15" max="15" width="15.85546875" style="14" customWidth="1"/>
    <col min="16" max="16" width="16.85546875" style="14" hidden="1" customWidth="1"/>
    <col min="17" max="17" width="13.5703125" style="14" hidden="1" customWidth="1"/>
    <col min="18" max="18" width="14.140625" style="14" hidden="1" customWidth="1"/>
    <col min="19" max="19" width="13.5703125" style="14" hidden="1" customWidth="1"/>
    <col min="20" max="20" width="7.5703125" style="14" hidden="1" customWidth="1"/>
    <col min="21" max="21" width="8.42578125" style="14" hidden="1" customWidth="1"/>
    <col min="22" max="28" width="7.5703125" style="14" hidden="1" customWidth="1"/>
    <col min="29" max="29" width="10.85546875" style="14" hidden="1" customWidth="1"/>
    <col min="30" max="30" width="7.5703125" style="14" hidden="1" customWidth="1"/>
    <col min="31" max="31" width="10.85546875" style="14" hidden="1" customWidth="1"/>
    <col min="32" max="34" width="7.5703125" style="14" hidden="1" customWidth="1"/>
    <col min="35" max="35" width="10.85546875" style="14" hidden="1" customWidth="1"/>
    <col min="36" max="36" width="7.5703125" style="14" hidden="1" customWidth="1"/>
    <col min="37" max="37" width="10.85546875" style="14" hidden="1" customWidth="1"/>
    <col min="38" max="39" width="7.5703125" style="14" bestFit="1" customWidth="1"/>
    <col min="40" max="43" width="12" style="14" bestFit="1" customWidth="1"/>
    <col min="44" max="45" width="7.5703125" style="14" bestFit="1" customWidth="1"/>
    <col min="46" max="49" width="12" style="14" bestFit="1" customWidth="1"/>
    <col min="50" max="51" width="7.5703125" style="14" bestFit="1" customWidth="1"/>
    <col min="52" max="55" width="12" style="14" bestFit="1" customWidth="1"/>
    <col min="56" max="56" width="7.5703125" style="14" bestFit="1" customWidth="1"/>
    <col min="57" max="61" width="12" style="14" bestFit="1" customWidth="1"/>
    <col min="62" max="62" width="7.5703125" style="14" bestFit="1" customWidth="1"/>
    <col min="63" max="67" width="12" style="14" bestFit="1" customWidth="1"/>
    <col min="68" max="69" width="7.5703125" style="14" bestFit="1" customWidth="1"/>
    <col min="70" max="73" width="12" style="14" bestFit="1" customWidth="1"/>
    <col min="74" max="74" width="7.5703125" style="14" bestFit="1" customWidth="1"/>
    <col min="75" max="76" width="12" style="14" bestFit="1" customWidth="1"/>
    <col min="77" max="77" width="10.85546875" style="14" bestFit="1" customWidth="1"/>
    <col min="78" max="79" width="12" style="14" bestFit="1" customWidth="1"/>
    <col min="80" max="80" width="7.5703125" style="14" bestFit="1" customWidth="1"/>
    <col min="81" max="81" width="10.85546875" style="14" bestFit="1" customWidth="1"/>
    <col min="82" max="82" width="12" style="14" bestFit="1" customWidth="1"/>
    <col min="83" max="83" width="10.85546875" style="14" bestFit="1" customWidth="1"/>
    <col min="84" max="85" width="12" style="14" bestFit="1" customWidth="1"/>
    <col min="86" max="86" width="7.5703125" style="14" bestFit="1" customWidth="1"/>
    <col min="87" max="88" width="12" style="14" bestFit="1" customWidth="1"/>
    <col min="89" max="89" width="10.85546875" style="14" bestFit="1" customWidth="1"/>
    <col min="90" max="91" width="12" style="14" bestFit="1" customWidth="1"/>
    <col min="92" max="92" width="7.5703125" style="14" bestFit="1" customWidth="1"/>
    <col min="93" max="94" width="12" style="14" bestFit="1" customWidth="1"/>
    <col min="95" max="95" width="7.5703125" style="14" bestFit="1" customWidth="1"/>
    <col min="96" max="97" width="12" style="14" bestFit="1" customWidth="1"/>
    <col min="98" max="98" width="7.5703125" style="14" bestFit="1" customWidth="1"/>
    <col min="99" max="100" width="12" style="14" bestFit="1" customWidth="1"/>
    <col min="101" max="101" width="10.85546875" style="14" bestFit="1" customWidth="1"/>
    <col min="102" max="103" width="12" style="14" bestFit="1" customWidth="1"/>
    <col min="104" max="105" width="7.5703125" style="14" bestFit="1" customWidth="1"/>
    <col min="106" max="106" width="12" style="14" bestFit="1" customWidth="1"/>
    <col min="107" max="107" width="7.5703125" style="14" bestFit="1" customWidth="1"/>
    <col min="108" max="108" width="12" style="14" bestFit="1" customWidth="1"/>
    <col min="109" max="110" width="7.5703125" style="14" bestFit="1" customWidth="1"/>
    <col min="111" max="115" width="13.85546875" style="14" bestFit="1" customWidth="1"/>
    <col min="116" max="116" width="12.140625" style="14" bestFit="1" customWidth="1"/>
    <col min="117" max="16384" width="10.42578125" style="14"/>
  </cols>
  <sheetData>
    <row r="1" spans="1:116" ht="15.75">
      <c r="B1" s="16" t="s">
        <v>1162</v>
      </c>
    </row>
    <row r="2" spans="1:116" ht="15.75" thickBot="1">
      <c r="H2" s="17">
        <v>1.18</v>
      </c>
      <c r="AW2" s="279">
        <f>AW7-AV7</f>
        <v>7500</v>
      </c>
    </row>
    <row r="3" spans="1:116" ht="19.5" thickBot="1">
      <c r="A3" s="513" t="s">
        <v>1</v>
      </c>
      <c r="B3" s="475" t="s">
        <v>2</v>
      </c>
      <c r="C3" s="475" t="s">
        <v>3</v>
      </c>
      <c r="D3" s="475" t="s">
        <v>4</v>
      </c>
      <c r="E3" s="516" t="s">
        <v>1176</v>
      </c>
      <c r="F3" s="516" t="s">
        <v>1170</v>
      </c>
      <c r="G3" s="510" t="s">
        <v>1178</v>
      </c>
      <c r="H3" s="540" t="s">
        <v>5</v>
      </c>
      <c r="I3" s="488" t="s">
        <v>6</v>
      </c>
      <c r="J3" s="489"/>
      <c r="K3" s="492" t="s">
        <v>9</v>
      </c>
      <c r="L3" s="493"/>
      <c r="M3" s="469" t="s">
        <v>1197</v>
      </c>
      <c r="N3" s="273"/>
      <c r="O3" s="485" t="s">
        <v>1196</v>
      </c>
      <c r="P3" s="478" t="s">
        <v>7</v>
      </c>
      <c r="Q3" s="479"/>
      <c r="R3" s="478" t="s">
        <v>8</v>
      </c>
      <c r="S3" s="479"/>
      <c r="T3" s="482" t="s">
        <v>9</v>
      </c>
      <c r="U3" s="483"/>
      <c r="V3" s="483"/>
      <c r="W3" s="483"/>
      <c r="X3" s="483"/>
      <c r="Y3" s="483"/>
      <c r="Z3" s="483"/>
      <c r="AA3" s="483"/>
      <c r="AB3" s="483"/>
      <c r="AC3" s="483"/>
      <c r="AD3" s="483"/>
      <c r="AE3" s="483"/>
      <c r="AF3" s="483"/>
      <c r="AG3" s="483"/>
      <c r="AH3" s="483"/>
      <c r="AI3" s="483"/>
      <c r="AJ3" s="483"/>
      <c r="AK3" s="484"/>
      <c r="AL3" s="499">
        <v>2025</v>
      </c>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3"/>
      <c r="DK3" s="484"/>
    </row>
    <row r="4" spans="1:116" ht="80.25" customHeight="1" thickBot="1">
      <c r="A4" s="514"/>
      <c r="B4" s="476"/>
      <c r="C4" s="476"/>
      <c r="D4" s="476"/>
      <c r="E4" s="517"/>
      <c r="F4" s="517"/>
      <c r="G4" s="511"/>
      <c r="H4" s="541"/>
      <c r="I4" s="490"/>
      <c r="J4" s="491"/>
      <c r="K4" s="494"/>
      <c r="L4" s="495"/>
      <c r="M4" s="496"/>
      <c r="N4" s="271" t="s">
        <v>1234</v>
      </c>
      <c r="O4" s="486"/>
      <c r="P4" s="480"/>
      <c r="Q4" s="481"/>
      <c r="R4" s="480"/>
      <c r="S4" s="481"/>
      <c r="T4" s="500" t="s">
        <v>10</v>
      </c>
      <c r="U4" s="501"/>
      <c r="V4" s="501"/>
      <c r="W4" s="501"/>
      <c r="X4" s="501"/>
      <c r="Y4" s="502"/>
      <c r="Z4" s="500" t="s">
        <v>11</v>
      </c>
      <c r="AA4" s="501"/>
      <c r="AB4" s="501"/>
      <c r="AC4" s="501"/>
      <c r="AD4" s="501"/>
      <c r="AE4" s="502"/>
      <c r="AF4" s="503" t="s">
        <v>9</v>
      </c>
      <c r="AG4" s="504"/>
      <c r="AH4" s="504"/>
      <c r="AI4" s="504"/>
      <c r="AJ4" s="504"/>
      <c r="AK4" s="505"/>
      <c r="AL4" s="500" t="s">
        <v>12</v>
      </c>
      <c r="AM4" s="501"/>
      <c r="AN4" s="501"/>
      <c r="AO4" s="501"/>
      <c r="AP4" s="501"/>
      <c r="AQ4" s="502"/>
      <c r="AR4" s="500" t="s">
        <v>13</v>
      </c>
      <c r="AS4" s="501"/>
      <c r="AT4" s="501"/>
      <c r="AU4" s="501"/>
      <c r="AV4" s="501"/>
      <c r="AW4" s="502"/>
      <c r="AX4" s="500" t="s">
        <v>14</v>
      </c>
      <c r="AY4" s="501"/>
      <c r="AZ4" s="501"/>
      <c r="BA4" s="501"/>
      <c r="BB4" s="501"/>
      <c r="BC4" s="502"/>
      <c r="BD4" s="500" t="s">
        <v>15</v>
      </c>
      <c r="BE4" s="501"/>
      <c r="BF4" s="501"/>
      <c r="BG4" s="501"/>
      <c r="BH4" s="501"/>
      <c r="BI4" s="502"/>
      <c r="BJ4" s="500" t="s">
        <v>16</v>
      </c>
      <c r="BK4" s="501"/>
      <c r="BL4" s="501"/>
      <c r="BM4" s="501"/>
      <c r="BN4" s="501"/>
      <c r="BO4" s="502"/>
      <c r="BP4" s="500" t="s">
        <v>17</v>
      </c>
      <c r="BQ4" s="501"/>
      <c r="BR4" s="501"/>
      <c r="BS4" s="501"/>
      <c r="BT4" s="501"/>
      <c r="BU4" s="502"/>
      <c r="BV4" s="500" t="s">
        <v>18</v>
      </c>
      <c r="BW4" s="501"/>
      <c r="BX4" s="501"/>
      <c r="BY4" s="501"/>
      <c r="BZ4" s="501"/>
      <c r="CA4" s="502"/>
      <c r="CB4" s="500" t="s">
        <v>19</v>
      </c>
      <c r="CC4" s="501"/>
      <c r="CD4" s="501"/>
      <c r="CE4" s="501"/>
      <c r="CF4" s="501"/>
      <c r="CG4" s="502"/>
      <c r="CH4" s="500" t="s">
        <v>20</v>
      </c>
      <c r="CI4" s="501"/>
      <c r="CJ4" s="501"/>
      <c r="CK4" s="501"/>
      <c r="CL4" s="501"/>
      <c r="CM4" s="502"/>
      <c r="CN4" s="500" t="s">
        <v>21</v>
      </c>
      <c r="CO4" s="501"/>
      <c r="CP4" s="501"/>
      <c r="CQ4" s="501"/>
      <c r="CR4" s="501"/>
      <c r="CS4" s="502"/>
      <c r="CT4" s="466" t="s">
        <v>22</v>
      </c>
      <c r="CU4" s="467"/>
      <c r="CV4" s="467"/>
      <c r="CW4" s="467"/>
      <c r="CX4" s="467"/>
      <c r="CY4" s="525"/>
      <c r="CZ4" s="500" t="s">
        <v>23</v>
      </c>
      <c r="DA4" s="501"/>
      <c r="DB4" s="501"/>
      <c r="DC4" s="501"/>
      <c r="DD4" s="501"/>
      <c r="DE4" s="502"/>
      <c r="DF4" s="506" t="s">
        <v>24</v>
      </c>
      <c r="DG4" s="507"/>
      <c r="DH4" s="507"/>
      <c r="DI4" s="507"/>
      <c r="DJ4" s="507"/>
      <c r="DK4" s="508"/>
    </row>
    <row r="5" spans="1:116">
      <c r="A5" s="514"/>
      <c r="B5" s="476"/>
      <c r="C5" s="476"/>
      <c r="D5" s="476"/>
      <c r="E5" s="517"/>
      <c r="F5" s="517"/>
      <c r="G5" s="511"/>
      <c r="H5" s="541"/>
      <c r="I5" s="469" t="s">
        <v>1169</v>
      </c>
      <c r="J5" s="469" t="s">
        <v>1199</v>
      </c>
      <c r="K5" s="469" t="s">
        <v>1174</v>
      </c>
      <c r="L5" s="469" t="s">
        <v>1201</v>
      </c>
      <c r="M5" s="496"/>
      <c r="N5" s="274"/>
      <c r="O5" s="486"/>
      <c r="P5" s="471" t="s">
        <v>1169</v>
      </c>
      <c r="Q5" s="473" t="s">
        <v>1168</v>
      </c>
      <c r="R5" s="471" t="s">
        <v>1169</v>
      </c>
      <c r="S5" s="473" t="s">
        <v>1168</v>
      </c>
      <c r="T5" s="464" t="s">
        <v>1167</v>
      </c>
      <c r="U5" s="460"/>
      <c r="V5" s="460" t="s">
        <v>1166</v>
      </c>
      <c r="W5" s="461"/>
      <c r="X5" s="462" t="s">
        <v>25</v>
      </c>
      <c r="Y5" s="463"/>
      <c r="Z5" s="464" t="s">
        <v>1167</v>
      </c>
      <c r="AA5" s="460"/>
      <c r="AB5" s="460" t="s">
        <v>1166</v>
      </c>
      <c r="AC5" s="461"/>
      <c r="AD5" s="462" t="s">
        <v>25</v>
      </c>
      <c r="AE5" s="463"/>
      <c r="AF5" s="464" t="s">
        <v>1167</v>
      </c>
      <c r="AG5" s="460"/>
      <c r="AH5" s="460" t="s">
        <v>1166</v>
      </c>
      <c r="AI5" s="461"/>
      <c r="AJ5" s="462" t="s">
        <v>25</v>
      </c>
      <c r="AK5" s="463"/>
      <c r="AL5" s="464" t="s">
        <v>1167</v>
      </c>
      <c r="AM5" s="460"/>
      <c r="AN5" s="460" t="s">
        <v>1166</v>
      </c>
      <c r="AO5" s="461"/>
      <c r="AP5" s="462" t="s">
        <v>25</v>
      </c>
      <c r="AQ5" s="463"/>
      <c r="AR5" s="464" t="s">
        <v>1167</v>
      </c>
      <c r="AS5" s="460"/>
      <c r="AT5" s="460" t="s">
        <v>1166</v>
      </c>
      <c r="AU5" s="461"/>
      <c r="AV5" s="462" t="s">
        <v>25</v>
      </c>
      <c r="AW5" s="463"/>
      <c r="AX5" s="464" t="s">
        <v>1167</v>
      </c>
      <c r="AY5" s="460"/>
      <c r="AZ5" s="460" t="s">
        <v>1166</v>
      </c>
      <c r="BA5" s="461"/>
      <c r="BB5" s="462" t="s">
        <v>25</v>
      </c>
      <c r="BC5" s="463"/>
      <c r="BD5" s="464" t="s">
        <v>1167</v>
      </c>
      <c r="BE5" s="460"/>
      <c r="BF5" s="460" t="s">
        <v>1166</v>
      </c>
      <c r="BG5" s="461"/>
      <c r="BH5" s="462" t="s">
        <v>25</v>
      </c>
      <c r="BI5" s="463"/>
      <c r="BJ5" s="464" t="s">
        <v>1167</v>
      </c>
      <c r="BK5" s="460"/>
      <c r="BL5" s="460" t="s">
        <v>1166</v>
      </c>
      <c r="BM5" s="461"/>
      <c r="BN5" s="462" t="s">
        <v>25</v>
      </c>
      <c r="BO5" s="463"/>
      <c r="BP5" s="464" t="s">
        <v>1167</v>
      </c>
      <c r="BQ5" s="460"/>
      <c r="BR5" s="460" t="s">
        <v>1166</v>
      </c>
      <c r="BS5" s="461"/>
      <c r="BT5" s="462" t="s">
        <v>25</v>
      </c>
      <c r="BU5" s="463"/>
      <c r="BV5" s="464" t="s">
        <v>1167</v>
      </c>
      <c r="BW5" s="460"/>
      <c r="BX5" s="460" t="s">
        <v>1166</v>
      </c>
      <c r="BY5" s="461"/>
      <c r="BZ5" s="462" t="s">
        <v>25</v>
      </c>
      <c r="CA5" s="463"/>
      <c r="CB5" s="464" t="s">
        <v>1167</v>
      </c>
      <c r="CC5" s="460"/>
      <c r="CD5" s="460" t="s">
        <v>1166</v>
      </c>
      <c r="CE5" s="461"/>
      <c r="CF5" s="462" t="s">
        <v>25</v>
      </c>
      <c r="CG5" s="463"/>
      <c r="CH5" s="464" t="s">
        <v>1167</v>
      </c>
      <c r="CI5" s="460"/>
      <c r="CJ5" s="460" t="s">
        <v>1166</v>
      </c>
      <c r="CK5" s="461"/>
      <c r="CL5" s="462" t="s">
        <v>25</v>
      </c>
      <c r="CM5" s="463"/>
      <c r="CN5" s="464" t="s">
        <v>1167</v>
      </c>
      <c r="CO5" s="460"/>
      <c r="CP5" s="460" t="s">
        <v>1166</v>
      </c>
      <c r="CQ5" s="461"/>
      <c r="CR5" s="462" t="s">
        <v>25</v>
      </c>
      <c r="CS5" s="463"/>
      <c r="CT5" s="464" t="s">
        <v>1167</v>
      </c>
      <c r="CU5" s="460"/>
      <c r="CV5" s="460" t="s">
        <v>1166</v>
      </c>
      <c r="CW5" s="461"/>
      <c r="CX5" s="462" t="s">
        <v>25</v>
      </c>
      <c r="CY5" s="463"/>
      <c r="CZ5" s="464" t="s">
        <v>1167</v>
      </c>
      <c r="DA5" s="460"/>
      <c r="DB5" s="460" t="s">
        <v>1166</v>
      </c>
      <c r="DC5" s="461"/>
      <c r="DD5" s="462" t="s">
        <v>25</v>
      </c>
      <c r="DE5" s="463"/>
      <c r="DF5" s="464" t="s">
        <v>1167</v>
      </c>
      <c r="DG5" s="460"/>
      <c r="DH5" s="460" t="s">
        <v>1166</v>
      </c>
      <c r="DI5" s="461"/>
      <c r="DJ5" s="462" t="s">
        <v>25</v>
      </c>
      <c r="DK5" s="463"/>
    </row>
    <row r="6" spans="1:116" ht="15.75" thickBot="1">
      <c r="A6" s="538"/>
      <c r="B6" s="539"/>
      <c r="C6" s="539"/>
      <c r="D6" s="539"/>
      <c r="E6" s="518"/>
      <c r="F6" s="518"/>
      <c r="G6" s="512"/>
      <c r="H6" s="542"/>
      <c r="I6" s="470"/>
      <c r="J6" s="497"/>
      <c r="K6" s="497"/>
      <c r="L6" s="497"/>
      <c r="M6" s="470"/>
      <c r="N6" s="275"/>
      <c r="O6" s="487"/>
      <c r="P6" s="472"/>
      <c r="Q6" s="474"/>
      <c r="R6" s="472"/>
      <c r="S6" s="474"/>
      <c r="T6" s="2" t="s">
        <v>26</v>
      </c>
      <c r="U6" s="3" t="s">
        <v>27</v>
      </c>
      <c r="V6" s="3" t="s">
        <v>26</v>
      </c>
      <c r="W6" s="4" t="s">
        <v>27</v>
      </c>
      <c r="X6" s="5" t="s">
        <v>26</v>
      </c>
      <c r="Y6" s="6" t="s">
        <v>27</v>
      </c>
      <c r="Z6" s="2" t="s">
        <v>26</v>
      </c>
      <c r="AA6" s="3" t="s">
        <v>27</v>
      </c>
      <c r="AB6" s="3" t="s">
        <v>26</v>
      </c>
      <c r="AC6" s="4" t="s">
        <v>27</v>
      </c>
      <c r="AD6" s="5" t="s">
        <v>26</v>
      </c>
      <c r="AE6" s="6" t="s">
        <v>27</v>
      </c>
      <c r="AF6" s="2" t="s">
        <v>26</v>
      </c>
      <c r="AG6" s="3" t="s">
        <v>27</v>
      </c>
      <c r="AH6" s="3" t="s">
        <v>26</v>
      </c>
      <c r="AI6" s="4" t="s">
        <v>27</v>
      </c>
      <c r="AJ6" s="5" t="s">
        <v>26</v>
      </c>
      <c r="AK6" s="6" t="s">
        <v>27</v>
      </c>
      <c r="AL6" s="2" t="s">
        <v>26</v>
      </c>
      <c r="AM6" s="3" t="s">
        <v>27</v>
      </c>
      <c r="AN6" s="3" t="s">
        <v>26</v>
      </c>
      <c r="AO6" s="4" t="s">
        <v>27</v>
      </c>
      <c r="AP6" s="5" t="s">
        <v>26</v>
      </c>
      <c r="AQ6" s="6" t="s">
        <v>27</v>
      </c>
      <c r="AR6" s="2" t="s">
        <v>26</v>
      </c>
      <c r="AS6" s="3" t="s">
        <v>27</v>
      </c>
      <c r="AT6" s="3" t="s">
        <v>26</v>
      </c>
      <c r="AU6" s="4" t="s">
        <v>27</v>
      </c>
      <c r="AV6" s="5" t="s">
        <v>26</v>
      </c>
      <c r="AW6" s="6" t="s">
        <v>27</v>
      </c>
      <c r="AX6" s="2" t="s">
        <v>26</v>
      </c>
      <c r="AY6" s="3" t="s">
        <v>27</v>
      </c>
      <c r="AZ6" s="3" t="s">
        <v>26</v>
      </c>
      <c r="BA6" s="4" t="s">
        <v>27</v>
      </c>
      <c r="BB6" s="5" t="s">
        <v>26</v>
      </c>
      <c r="BC6" s="6" t="s">
        <v>27</v>
      </c>
      <c r="BD6" s="2" t="s">
        <v>26</v>
      </c>
      <c r="BE6" s="3" t="s">
        <v>27</v>
      </c>
      <c r="BF6" s="3" t="s">
        <v>26</v>
      </c>
      <c r="BG6" s="4" t="s">
        <v>27</v>
      </c>
      <c r="BH6" s="5" t="s">
        <v>26</v>
      </c>
      <c r="BI6" s="6" t="s">
        <v>27</v>
      </c>
      <c r="BJ6" s="2" t="s">
        <v>26</v>
      </c>
      <c r="BK6" s="3" t="s">
        <v>27</v>
      </c>
      <c r="BL6" s="3" t="s">
        <v>26</v>
      </c>
      <c r="BM6" s="4" t="s">
        <v>27</v>
      </c>
      <c r="BN6" s="5" t="s">
        <v>26</v>
      </c>
      <c r="BO6" s="6" t="s">
        <v>27</v>
      </c>
      <c r="BP6" s="2" t="s">
        <v>26</v>
      </c>
      <c r="BQ6" s="3" t="s">
        <v>27</v>
      </c>
      <c r="BR6" s="3" t="s">
        <v>26</v>
      </c>
      <c r="BS6" s="4" t="s">
        <v>27</v>
      </c>
      <c r="BT6" s="5" t="s">
        <v>26</v>
      </c>
      <c r="BU6" s="6" t="s">
        <v>27</v>
      </c>
      <c r="BV6" s="2" t="s">
        <v>26</v>
      </c>
      <c r="BW6" s="3" t="s">
        <v>27</v>
      </c>
      <c r="BX6" s="3" t="s">
        <v>26</v>
      </c>
      <c r="BY6" s="4" t="s">
        <v>27</v>
      </c>
      <c r="BZ6" s="5" t="s">
        <v>26</v>
      </c>
      <c r="CA6" s="6" t="s">
        <v>27</v>
      </c>
      <c r="CB6" s="2" t="s">
        <v>26</v>
      </c>
      <c r="CC6" s="3" t="s">
        <v>27</v>
      </c>
      <c r="CD6" s="3" t="s">
        <v>26</v>
      </c>
      <c r="CE6" s="4" t="s">
        <v>27</v>
      </c>
      <c r="CF6" s="5" t="s">
        <v>26</v>
      </c>
      <c r="CG6" s="6" t="s">
        <v>27</v>
      </c>
      <c r="CH6" s="2" t="s">
        <v>26</v>
      </c>
      <c r="CI6" s="3" t="s">
        <v>27</v>
      </c>
      <c r="CJ6" s="3" t="s">
        <v>26</v>
      </c>
      <c r="CK6" s="4" t="s">
        <v>27</v>
      </c>
      <c r="CL6" s="5" t="s">
        <v>26</v>
      </c>
      <c r="CM6" s="6" t="s">
        <v>27</v>
      </c>
      <c r="CN6" s="2" t="s">
        <v>26</v>
      </c>
      <c r="CO6" s="3" t="s">
        <v>27</v>
      </c>
      <c r="CP6" s="3" t="s">
        <v>26</v>
      </c>
      <c r="CQ6" s="4" t="s">
        <v>27</v>
      </c>
      <c r="CR6" s="5" t="s">
        <v>26</v>
      </c>
      <c r="CS6" s="6" t="s">
        <v>27</v>
      </c>
      <c r="CT6" s="2" t="s">
        <v>26</v>
      </c>
      <c r="CU6" s="3" t="s">
        <v>27</v>
      </c>
      <c r="CV6" s="3" t="s">
        <v>26</v>
      </c>
      <c r="CW6" s="4" t="s">
        <v>27</v>
      </c>
      <c r="CX6" s="5" t="s">
        <v>26</v>
      </c>
      <c r="CY6" s="6" t="s">
        <v>27</v>
      </c>
      <c r="CZ6" s="2" t="s">
        <v>26</v>
      </c>
      <c r="DA6" s="3" t="s">
        <v>27</v>
      </c>
      <c r="DB6" s="3" t="s">
        <v>26</v>
      </c>
      <c r="DC6" s="4" t="s">
        <v>27</v>
      </c>
      <c r="DD6" s="5" t="s">
        <v>26</v>
      </c>
      <c r="DE6" s="6" t="s">
        <v>27</v>
      </c>
      <c r="DF6" s="2" t="s">
        <v>26</v>
      </c>
      <c r="DG6" s="3" t="s">
        <v>27</v>
      </c>
      <c r="DH6" s="3" t="s">
        <v>26</v>
      </c>
      <c r="DI6" s="4" t="s">
        <v>27</v>
      </c>
      <c r="DJ6" s="5" t="s">
        <v>26</v>
      </c>
      <c r="DK6" s="6" t="s">
        <v>27</v>
      </c>
    </row>
    <row r="7" spans="1:116" ht="15.75">
      <c r="A7" s="121">
        <f t="shared" ref="A7:D7" si="0">SUBTOTAL(3,A9:A146)</f>
        <v>138</v>
      </c>
      <c r="B7" s="121">
        <f t="shared" si="0"/>
        <v>138</v>
      </c>
      <c r="C7" s="121">
        <f t="shared" si="0"/>
        <v>34</v>
      </c>
      <c r="D7" s="121">
        <f t="shared" si="0"/>
        <v>45</v>
      </c>
      <c r="E7" s="121">
        <f>SUBTOTAL(3,E9:E146)</f>
        <v>138</v>
      </c>
      <c r="F7" s="121">
        <f t="shared" ref="F7:BQ7" si="1">SUBTOTAL(9,F9:F146)</f>
        <v>3126700</v>
      </c>
      <c r="G7" s="121">
        <f t="shared" si="1"/>
        <v>3152200</v>
      </c>
      <c r="H7" s="121">
        <f t="shared" si="1"/>
        <v>0</v>
      </c>
      <c r="I7" s="121">
        <f t="shared" si="1"/>
        <v>0</v>
      </c>
      <c r="J7" s="121">
        <f t="shared" si="1"/>
        <v>0</v>
      </c>
      <c r="K7" s="121">
        <f t="shared" si="1"/>
        <v>25500</v>
      </c>
      <c r="L7" s="121">
        <f t="shared" si="1"/>
        <v>25500</v>
      </c>
      <c r="M7" s="121">
        <f t="shared" si="1"/>
        <v>25500</v>
      </c>
      <c r="N7" s="121">
        <f t="shared" si="1"/>
        <v>3126700</v>
      </c>
      <c r="O7" s="121">
        <f t="shared" si="1"/>
        <v>2139887.7399999998</v>
      </c>
      <c r="P7" s="121">
        <f t="shared" si="1"/>
        <v>0</v>
      </c>
      <c r="Q7" s="121">
        <f t="shared" si="1"/>
        <v>0</v>
      </c>
      <c r="R7" s="121">
        <f t="shared" si="1"/>
        <v>0</v>
      </c>
      <c r="S7" s="121">
        <f t="shared" si="1"/>
        <v>0</v>
      </c>
      <c r="T7" s="121">
        <f t="shared" si="1"/>
        <v>0</v>
      </c>
      <c r="U7" s="121">
        <f t="shared" si="1"/>
        <v>0</v>
      </c>
      <c r="V7" s="121">
        <f t="shared" si="1"/>
        <v>6786</v>
      </c>
      <c r="W7" s="121">
        <f t="shared" si="1"/>
        <v>0</v>
      </c>
      <c r="X7" s="121">
        <f t="shared" si="1"/>
        <v>6786</v>
      </c>
      <c r="Y7" s="121">
        <f t="shared" si="1"/>
        <v>0</v>
      </c>
      <c r="Z7" s="121">
        <f t="shared" si="1"/>
        <v>6786</v>
      </c>
      <c r="AA7" s="121">
        <f t="shared" si="1"/>
        <v>0</v>
      </c>
      <c r="AB7" s="121">
        <f t="shared" si="1"/>
        <v>0</v>
      </c>
      <c r="AC7" s="121">
        <f t="shared" si="1"/>
        <v>25500</v>
      </c>
      <c r="AD7" s="121">
        <f t="shared" si="1"/>
        <v>6786</v>
      </c>
      <c r="AE7" s="121">
        <f t="shared" si="1"/>
        <v>25500</v>
      </c>
      <c r="AF7" s="121">
        <f t="shared" si="1"/>
        <v>6786</v>
      </c>
      <c r="AG7" s="121">
        <f t="shared" si="1"/>
        <v>0</v>
      </c>
      <c r="AH7" s="121">
        <f t="shared" si="1"/>
        <v>6786</v>
      </c>
      <c r="AI7" s="121">
        <f t="shared" si="1"/>
        <v>25500</v>
      </c>
      <c r="AJ7" s="121">
        <f t="shared" si="1"/>
        <v>13572</v>
      </c>
      <c r="AK7" s="121">
        <f t="shared" si="1"/>
        <v>25500</v>
      </c>
      <c r="AL7" s="121">
        <f t="shared" si="1"/>
        <v>0</v>
      </c>
      <c r="AM7" s="121">
        <f t="shared" si="1"/>
        <v>0</v>
      </c>
      <c r="AN7" s="121">
        <f t="shared" si="1"/>
        <v>376700</v>
      </c>
      <c r="AO7" s="121">
        <f t="shared" si="1"/>
        <v>376700</v>
      </c>
      <c r="AP7" s="121">
        <f t="shared" si="1"/>
        <v>376700</v>
      </c>
      <c r="AQ7" s="121">
        <f t="shared" si="1"/>
        <v>376700</v>
      </c>
      <c r="AR7" s="121">
        <f t="shared" si="1"/>
        <v>0</v>
      </c>
      <c r="AS7" s="121">
        <f t="shared" si="1"/>
        <v>0</v>
      </c>
      <c r="AT7" s="121">
        <f t="shared" si="1"/>
        <v>250000</v>
      </c>
      <c r="AU7" s="121">
        <f t="shared" si="1"/>
        <v>257500</v>
      </c>
      <c r="AV7" s="121">
        <f t="shared" si="1"/>
        <v>250000</v>
      </c>
      <c r="AW7" s="121">
        <f t="shared" si="1"/>
        <v>257500</v>
      </c>
      <c r="AX7" s="121">
        <f t="shared" si="1"/>
        <v>0</v>
      </c>
      <c r="AY7" s="121">
        <f t="shared" si="1"/>
        <v>0</v>
      </c>
      <c r="AZ7" s="121">
        <f t="shared" si="1"/>
        <v>250000</v>
      </c>
      <c r="BA7" s="121">
        <f t="shared" si="1"/>
        <v>245500</v>
      </c>
      <c r="BB7" s="121">
        <f t="shared" si="1"/>
        <v>250000</v>
      </c>
      <c r="BC7" s="121">
        <f t="shared" si="1"/>
        <v>245500</v>
      </c>
      <c r="BD7" s="121">
        <f t="shared" si="1"/>
        <v>0</v>
      </c>
      <c r="BE7" s="121">
        <f t="shared" si="1"/>
        <v>236000</v>
      </c>
      <c r="BF7" s="121">
        <f t="shared" si="1"/>
        <v>250000</v>
      </c>
      <c r="BG7" s="121">
        <f t="shared" si="1"/>
        <v>22500</v>
      </c>
      <c r="BH7" s="121">
        <f t="shared" si="1"/>
        <v>250000</v>
      </c>
      <c r="BI7" s="121">
        <f t="shared" si="1"/>
        <v>258500</v>
      </c>
      <c r="BJ7" s="121">
        <f t="shared" si="1"/>
        <v>0</v>
      </c>
      <c r="BK7" s="121">
        <f t="shared" si="1"/>
        <v>132000</v>
      </c>
      <c r="BL7" s="121">
        <f t="shared" si="1"/>
        <v>250000</v>
      </c>
      <c r="BM7" s="121">
        <f t="shared" si="1"/>
        <v>137972.1</v>
      </c>
      <c r="BN7" s="121">
        <f t="shared" si="1"/>
        <v>250000</v>
      </c>
      <c r="BO7" s="121">
        <f t="shared" si="1"/>
        <v>269972.09999999998</v>
      </c>
      <c r="BP7" s="121">
        <f t="shared" si="1"/>
        <v>0</v>
      </c>
      <c r="BQ7" s="121">
        <f t="shared" si="1"/>
        <v>0</v>
      </c>
      <c r="BR7" s="121">
        <f t="shared" ref="BR7:CX7" si="2">SUBTOTAL(9,BR9:BR146)</f>
        <v>250000</v>
      </c>
      <c r="BS7" s="121">
        <f t="shared" si="2"/>
        <v>257084.6</v>
      </c>
      <c r="BT7" s="121">
        <f t="shared" si="2"/>
        <v>250000</v>
      </c>
      <c r="BU7" s="121">
        <f t="shared" si="2"/>
        <v>257084.6</v>
      </c>
      <c r="BV7" s="121">
        <f t="shared" si="2"/>
        <v>0</v>
      </c>
      <c r="BW7" s="121">
        <f t="shared" si="2"/>
        <v>185000</v>
      </c>
      <c r="BX7" s="121">
        <f t="shared" si="2"/>
        <v>250000</v>
      </c>
      <c r="BY7" s="121">
        <f t="shared" si="2"/>
        <v>0</v>
      </c>
      <c r="BZ7" s="121">
        <f t="shared" si="2"/>
        <v>250000</v>
      </c>
      <c r="CA7" s="121">
        <f t="shared" si="2"/>
        <v>185000</v>
      </c>
      <c r="CB7" s="121">
        <f t="shared" si="2"/>
        <v>0</v>
      </c>
      <c r="CC7" s="121">
        <f t="shared" si="2"/>
        <v>30000</v>
      </c>
      <c r="CD7" s="121">
        <f t="shared" si="2"/>
        <v>250000</v>
      </c>
      <c r="CE7" s="121">
        <f t="shared" si="2"/>
        <v>90276.23</v>
      </c>
      <c r="CF7" s="121">
        <f t="shared" si="2"/>
        <v>250000</v>
      </c>
      <c r="CG7" s="121">
        <f t="shared" si="2"/>
        <v>120276.23</v>
      </c>
      <c r="CH7" s="121">
        <f t="shared" si="2"/>
        <v>0</v>
      </c>
      <c r="CI7" s="121">
        <f t="shared" si="2"/>
        <v>322000</v>
      </c>
      <c r="CJ7" s="121">
        <f t="shared" si="2"/>
        <v>250000</v>
      </c>
      <c r="CK7" s="121">
        <f t="shared" si="2"/>
        <v>91196.81</v>
      </c>
      <c r="CL7" s="121">
        <f t="shared" si="2"/>
        <v>250000</v>
      </c>
      <c r="CM7" s="121">
        <f t="shared" si="2"/>
        <v>413196.81</v>
      </c>
      <c r="CN7" s="121">
        <f t="shared" si="2"/>
        <v>0</v>
      </c>
      <c r="CO7" s="121">
        <f t="shared" si="2"/>
        <v>216000</v>
      </c>
      <c r="CP7" s="121">
        <f t="shared" si="2"/>
        <v>250000</v>
      </c>
      <c r="CQ7" s="121">
        <f t="shared" si="2"/>
        <v>0</v>
      </c>
      <c r="CR7" s="121">
        <f t="shared" si="2"/>
        <v>250000</v>
      </c>
      <c r="CS7" s="121">
        <f t="shared" si="2"/>
        <v>216000</v>
      </c>
      <c r="CT7" s="121">
        <f t="shared" si="2"/>
        <v>0</v>
      </c>
      <c r="CU7" s="121">
        <f t="shared" si="2"/>
        <v>509000</v>
      </c>
      <c r="CV7" s="121">
        <f t="shared" si="2"/>
        <v>250000</v>
      </c>
      <c r="CW7" s="121">
        <f t="shared" si="2"/>
        <v>71858</v>
      </c>
      <c r="CX7" s="121">
        <f t="shared" si="2"/>
        <v>250000</v>
      </c>
      <c r="CY7" s="121">
        <f>SUBTOTAL(9,CY9:CY146)</f>
        <v>580858</v>
      </c>
      <c r="CZ7" s="121">
        <f t="shared" ref="CZ7:DK7" si="3">SUBTOTAL(9,CZ9:CZ146)</f>
        <v>0</v>
      </c>
      <c r="DA7" s="121">
        <f t="shared" si="3"/>
        <v>0</v>
      </c>
      <c r="DB7" s="121">
        <f t="shared" si="3"/>
        <v>250000</v>
      </c>
      <c r="DC7" s="121">
        <f t="shared" si="3"/>
        <v>0</v>
      </c>
      <c r="DD7" s="121">
        <f t="shared" si="3"/>
        <v>250000</v>
      </c>
      <c r="DE7" s="121">
        <f t="shared" si="3"/>
        <v>0</v>
      </c>
      <c r="DF7" s="121">
        <f t="shared" si="3"/>
        <v>0</v>
      </c>
      <c r="DG7" s="121">
        <f t="shared" si="3"/>
        <v>1630000</v>
      </c>
      <c r="DH7" s="121">
        <f t="shared" si="3"/>
        <v>3126700</v>
      </c>
      <c r="DI7" s="121">
        <f t="shared" si="3"/>
        <v>1550587.7399999998</v>
      </c>
      <c r="DJ7" s="121">
        <f t="shared" si="3"/>
        <v>3126700</v>
      </c>
      <c r="DK7" s="121">
        <f t="shared" si="3"/>
        <v>3180587.74</v>
      </c>
      <c r="DL7" s="279"/>
    </row>
    <row r="8" spans="1:116" ht="7.5" customHeight="1">
      <c r="A8" s="21"/>
      <c r="B8" s="22"/>
      <c r="C8" s="22"/>
      <c r="D8" s="22"/>
      <c r="E8" s="22"/>
      <c r="F8" s="22"/>
      <c r="G8" s="22"/>
      <c r="H8" s="23"/>
      <c r="I8" s="24"/>
      <c r="J8" s="24"/>
      <c r="K8" s="24"/>
      <c r="L8" s="24"/>
      <c r="M8" s="24"/>
      <c r="N8" s="175"/>
      <c r="O8" s="24"/>
      <c r="P8" s="24"/>
      <c r="Q8" s="24"/>
      <c r="R8" s="24"/>
      <c r="S8" s="24"/>
      <c r="T8" s="24"/>
      <c r="U8" s="24"/>
      <c r="V8" s="24"/>
      <c r="W8" s="24"/>
      <c r="X8" s="24"/>
      <c r="Y8" s="24"/>
      <c r="Z8" s="24"/>
      <c r="AA8" s="24"/>
      <c r="AB8" s="24"/>
      <c r="AC8" s="24"/>
      <c r="AD8" s="24"/>
      <c r="AE8" s="24"/>
      <c r="AF8" s="24"/>
      <c r="AG8" s="24"/>
      <c r="AH8" s="24"/>
      <c r="AI8" s="24"/>
      <c r="AJ8" s="24"/>
      <c r="AK8" s="24"/>
      <c r="AL8" s="23"/>
      <c r="AM8" s="23"/>
      <c r="AN8" s="23"/>
      <c r="AO8" s="23"/>
      <c r="AP8" s="23"/>
      <c r="AQ8" s="23"/>
      <c r="AR8" s="24"/>
      <c r="AS8" s="24"/>
      <c r="AT8" s="24"/>
      <c r="AU8" s="24"/>
      <c r="AV8" s="24"/>
      <c r="AW8" s="24"/>
      <c r="AX8" s="24"/>
      <c r="AY8" s="24"/>
      <c r="AZ8" s="24"/>
      <c r="BA8" s="175"/>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row>
    <row r="9" spans="1:116">
      <c r="A9" s="25">
        <v>1</v>
      </c>
      <c r="B9" s="26" t="s">
        <v>1162</v>
      </c>
      <c r="C9" s="26"/>
      <c r="D9" s="26"/>
      <c r="E9" s="205" t="s">
        <v>1200</v>
      </c>
      <c r="F9" s="161">
        <f>SUM(DJ9)</f>
        <v>3126700</v>
      </c>
      <c r="G9" s="165">
        <f>I9+AK9+DJ9</f>
        <v>3152200</v>
      </c>
      <c r="H9" s="27"/>
      <c r="I9" s="27">
        <v>0</v>
      </c>
      <c r="J9" s="27">
        <v>0</v>
      </c>
      <c r="K9" s="127">
        <f t="shared" ref="K9" si="4">AK9</f>
        <v>25500</v>
      </c>
      <c r="L9" s="127">
        <f t="shared" ref="L9" si="5">IF(AI9&gt;0,I9+AK9-J9,0)</f>
        <v>25500</v>
      </c>
      <c r="M9" s="127">
        <f t="shared" ref="M9" si="6">I9+K9</f>
        <v>25500</v>
      </c>
      <c r="N9" s="131">
        <f>G9-M9</f>
        <v>3126700</v>
      </c>
      <c r="O9" s="125" t="str">
        <f>IF(AND(AI9&gt;0,DI9&gt;0),"შეცდომაა! ერთზე მეტი ბოლო ჩაბარება!",IF(OR(AI9&gt;0,DI9&gt;0,),IF(AI9&gt;0,I9+AK9,I9+AK9+DK9),IF(AND(I9=0,K9=0,DK9=0),"ნულოვანი შესრულება","მიმდინარეობს")))</f>
        <v>შეცდომაა! ერთზე მეტი ბოლო ჩაბარება!</v>
      </c>
      <c r="P9" s="27"/>
      <c r="Q9" s="27">
        <v>0</v>
      </c>
      <c r="R9" s="27">
        <f t="shared" ref="R9:R11" si="7">I9+P9</f>
        <v>0</v>
      </c>
      <c r="S9" s="27">
        <f t="shared" ref="S9:S11" si="8">Q9</f>
        <v>0</v>
      </c>
      <c r="T9" s="27"/>
      <c r="U9" s="27"/>
      <c r="V9" s="27">
        <v>0</v>
      </c>
      <c r="W9" s="27"/>
      <c r="X9" s="27">
        <f t="shared" ref="X9:Y11" si="9">T9+V9</f>
        <v>0</v>
      </c>
      <c r="Y9" s="27">
        <f t="shared" si="9"/>
        <v>0</v>
      </c>
      <c r="Z9" s="27">
        <v>0</v>
      </c>
      <c r="AA9" s="27"/>
      <c r="AB9" s="27"/>
      <c r="AC9" s="27">
        <v>25500</v>
      </c>
      <c r="AD9" s="27">
        <f t="shared" ref="AD9:AE11" si="10">Z9+AB9</f>
        <v>0</v>
      </c>
      <c r="AE9" s="27">
        <f t="shared" si="10"/>
        <v>25500</v>
      </c>
      <c r="AF9" s="27">
        <f t="shared" ref="AF9:AF11" si="11">P9+T9+Z9</f>
        <v>0</v>
      </c>
      <c r="AG9" s="27">
        <f t="shared" ref="AG9:AH11" si="12">P9+U9+AA9</f>
        <v>0</v>
      </c>
      <c r="AH9" s="27">
        <f t="shared" si="12"/>
        <v>0</v>
      </c>
      <c r="AI9" s="27">
        <f t="shared" ref="AI9:AI11" si="13">Q9+W9+AC9</f>
        <v>25500</v>
      </c>
      <c r="AJ9" s="27">
        <f t="shared" ref="AJ9:AK11" si="14">AF9+AH9</f>
        <v>0</v>
      </c>
      <c r="AK9" s="27">
        <f t="shared" si="14"/>
        <v>25500</v>
      </c>
      <c r="AL9" s="27"/>
      <c r="AM9" s="27"/>
      <c r="AN9" s="27">
        <v>376700</v>
      </c>
      <c r="AO9" s="27">
        <v>376700</v>
      </c>
      <c r="AP9" s="27">
        <f t="shared" ref="AP9:AQ11" si="15">AL9+AN9</f>
        <v>376700</v>
      </c>
      <c r="AQ9" s="27">
        <f t="shared" si="15"/>
        <v>376700</v>
      </c>
      <c r="AR9" s="27"/>
      <c r="AS9" s="27"/>
      <c r="AT9" s="27">
        <v>250000</v>
      </c>
      <c r="AU9" s="27"/>
      <c r="AV9" s="27">
        <f t="shared" ref="AV9:AW11" si="16">AR9+AT9</f>
        <v>250000</v>
      </c>
      <c r="AW9" s="27">
        <f t="shared" si="16"/>
        <v>0</v>
      </c>
      <c r="AX9" s="27"/>
      <c r="AY9" s="27"/>
      <c r="AZ9" s="27">
        <v>250000</v>
      </c>
      <c r="BA9" s="27"/>
      <c r="BB9" s="27">
        <f t="shared" ref="BB9:BC11" si="17">AX9+AZ9</f>
        <v>250000</v>
      </c>
      <c r="BC9" s="27">
        <f t="shared" si="17"/>
        <v>0</v>
      </c>
      <c r="BD9" s="27"/>
      <c r="BE9" s="27"/>
      <c r="BF9" s="27">
        <v>250000</v>
      </c>
      <c r="BG9" s="27"/>
      <c r="BH9" s="27">
        <f t="shared" ref="BH9:BI11" si="18">BD9+BF9</f>
        <v>250000</v>
      </c>
      <c r="BI9" s="27">
        <f t="shared" si="18"/>
        <v>0</v>
      </c>
      <c r="BJ9" s="27"/>
      <c r="BK9" s="27"/>
      <c r="BL9" s="27">
        <v>250000</v>
      </c>
      <c r="BM9" s="27"/>
      <c r="BN9" s="27">
        <f t="shared" ref="BN9:BO11" si="19">BJ9+BL9</f>
        <v>250000</v>
      </c>
      <c r="BO9" s="27">
        <f t="shared" si="19"/>
        <v>0</v>
      </c>
      <c r="BP9" s="26"/>
      <c r="BQ9" s="26"/>
      <c r="BR9" s="27">
        <v>250000</v>
      </c>
      <c r="BS9" s="27"/>
      <c r="BT9" s="27">
        <f t="shared" ref="BT9:BU11" si="20">BP9+BR9</f>
        <v>250000</v>
      </c>
      <c r="BU9" s="27">
        <f t="shared" si="20"/>
        <v>0</v>
      </c>
      <c r="BV9" s="26"/>
      <c r="BW9" s="26"/>
      <c r="BX9" s="27">
        <v>250000</v>
      </c>
      <c r="BY9" s="26"/>
      <c r="BZ9" s="27">
        <f t="shared" ref="BZ9:CA11" si="21">BV9+BX9</f>
        <v>250000</v>
      </c>
      <c r="CA9" s="27">
        <f t="shared" si="21"/>
        <v>0</v>
      </c>
      <c r="CB9" s="26"/>
      <c r="CC9" s="26"/>
      <c r="CD9" s="27">
        <v>250000</v>
      </c>
      <c r="CE9" s="26"/>
      <c r="CF9" s="27">
        <f t="shared" ref="CF9:CG11" si="22">CB9+CD9</f>
        <v>250000</v>
      </c>
      <c r="CG9" s="27">
        <f t="shared" si="22"/>
        <v>0</v>
      </c>
      <c r="CH9" s="27"/>
      <c r="CI9" s="27"/>
      <c r="CJ9" s="27">
        <v>250000</v>
      </c>
      <c r="CK9" s="27"/>
      <c r="CL9" s="27">
        <f t="shared" ref="CL9:CM11" si="23">CH9+CJ9</f>
        <v>250000</v>
      </c>
      <c r="CM9" s="27">
        <f t="shared" si="23"/>
        <v>0</v>
      </c>
      <c r="CN9" s="27"/>
      <c r="CO9" s="27"/>
      <c r="CP9" s="27">
        <v>250000</v>
      </c>
      <c r="CQ9" s="27"/>
      <c r="CR9" s="27">
        <f t="shared" ref="CR9:CS11" si="24">CN9+CP9</f>
        <v>250000</v>
      </c>
      <c r="CS9" s="27">
        <f t="shared" si="24"/>
        <v>0</v>
      </c>
      <c r="CT9" s="27"/>
      <c r="CU9" s="27"/>
      <c r="CV9" s="27">
        <v>250000</v>
      </c>
      <c r="CW9" s="27"/>
      <c r="CX9" s="27">
        <f t="shared" ref="CX9:CY11" si="25">CT9+CV9</f>
        <v>250000</v>
      </c>
      <c r="CY9" s="27">
        <f t="shared" si="25"/>
        <v>0</v>
      </c>
      <c r="CZ9" s="27"/>
      <c r="DA9" s="27"/>
      <c r="DB9" s="27">
        <v>250000</v>
      </c>
      <c r="DC9" s="27"/>
      <c r="DD9" s="27">
        <f t="shared" ref="DD9:DE11" si="26">CZ9+DB9</f>
        <v>250000</v>
      </c>
      <c r="DE9" s="27">
        <f t="shared" si="26"/>
        <v>0</v>
      </c>
      <c r="DF9" s="27">
        <f t="shared" ref="DF9:DI11" si="27">AL9+AR9+AX9+BD9+BJ9+BP9+BV9+CB9+CH9+CN9+CT9+CZ9</f>
        <v>0</v>
      </c>
      <c r="DG9" s="27">
        <f t="shared" si="27"/>
        <v>0</v>
      </c>
      <c r="DH9" s="27">
        <f t="shared" si="27"/>
        <v>3126700</v>
      </c>
      <c r="DI9" s="27">
        <f t="shared" si="27"/>
        <v>376700</v>
      </c>
      <c r="DJ9" s="27">
        <f t="shared" ref="DJ9:DK11" si="28">DF9+DH9</f>
        <v>3126700</v>
      </c>
      <c r="DK9" s="27">
        <f t="shared" si="28"/>
        <v>376700</v>
      </c>
    </row>
    <row r="10" spans="1:116">
      <c r="A10" s="25">
        <v>1</v>
      </c>
      <c r="B10" s="26" t="s">
        <v>1162</v>
      </c>
      <c r="C10" s="26"/>
      <c r="D10" s="26" t="s">
        <v>1246</v>
      </c>
      <c r="E10" s="205" t="s">
        <v>1200</v>
      </c>
      <c r="F10" s="161">
        <f t="shared" ref="F10:F30" si="29">SUM(DJ10)</f>
        <v>0</v>
      </c>
      <c r="G10" s="165">
        <f t="shared" ref="G10:G30" si="30">I10+AK10+DJ10</f>
        <v>0</v>
      </c>
      <c r="H10" s="27"/>
      <c r="I10" s="27">
        <v>0</v>
      </c>
      <c r="J10" s="27">
        <v>0</v>
      </c>
      <c r="K10" s="127">
        <f t="shared" ref="K10:K30" si="31">AK10</f>
        <v>0</v>
      </c>
      <c r="L10" s="127">
        <f t="shared" ref="L10:L30" si="32">IF(AI10&gt;0,I10+AK10-J10,0)</f>
        <v>0</v>
      </c>
      <c r="M10" s="127">
        <f t="shared" ref="M10:M30" si="33">I10+K10</f>
        <v>0</v>
      </c>
      <c r="N10" s="131"/>
      <c r="O10" s="125">
        <f t="shared" ref="O10:O30" si="34">IF(AND(AI10&gt;0,DI10&gt;0),"შეცდომაა! ერთზე მეტი ბოლო ჩაბარება!",IF(OR(AI10&gt;0,DI10&gt;0,),IF(AI10&gt;0,I10+AK10,I10+AK10+DK10),IF(AND(I10=0,K10=0,DK10=0),"ნულოვანი შესრულება","მიმდინარეობს")))</f>
        <v>97500</v>
      </c>
      <c r="P10" s="27"/>
      <c r="Q10" s="27">
        <v>0</v>
      </c>
      <c r="R10" s="27">
        <f t="shared" ref="R10" si="35">I10+P10</f>
        <v>0</v>
      </c>
      <c r="S10" s="27">
        <f t="shared" ref="S10" si="36">Q10</f>
        <v>0</v>
      </c>
      <c r="T10" s="27"/>
      <c r="U10" s="27"/>
      <c r="V10" s="27">
        <v>0</v>
      </c>
      <c r="W10" s="27"/>
      <c r="X10" s="27">
        <f t="shared" ref="X10" si="37">T10+V10</f>
        <v>0</v>
      </c>
      <c r="Y10" s="27">
        <f t="shared" ref="Y10" si="38">U10+W10</f>
        <v>0</v>
      </c>
      <c r="Z10" s="27">
        <v>0</v>
      </c>
      <c r="AA10" s="27"/>
      <c r="AB10" s="27"/>
      <c r="AC10" s="27"/>
      <c r="AD10" s="27">
        <f t="shared" ref="AD10" si="39">Z10+AB10</f>
        <v>0</v>
      </c>
      <c r="AE10" s="27">
        <f t="shared" ref="AE10" si="40">AA10+AC10</f>
        <v>0</v>
      </c>
      <c r="AF10" s="27">
        <f t="shared" ref="AF10" si="41">P10+T10+Z10</f>
        <v>0</v>
      </c>
      <c r="AG10" s="27">
        <f t="shared" ref="AG10" si="42">P10+U10+AA10</f>
        <v>0</v>
      </c>
      <c r="AH10" s="27">
        <f t="shared" ref="AH10" si="43">Q10+V10+AB10</f>
        <v>0</v>
      </c>
      <c r="AI10" s="27">
        <f t="shared" ref="AI10" si="44">Q10+W10+AC10</f>
        <v>0</v>
      </c>
      <c r="AJ10" s="27">
        <f t="shared" ref="AJ10" si="45">AF10+AH10</f>
        <v>0</v>
      </c>
      <c r="AK10" s="27">
        <f t="shared" ref="AK10" si="46">AG10+AI10</f>
        <v>0</v>
      </c>
      <c r="AL10" s="27"/>
      <c r="AM10" s="27"/>
      <c r="AN10" s="27">
        <v>0</v>
      </c>
      <c r="AO10" s="27"/>
      <c r="AP10" s="27">
        <f t="shared" ref="AP10" si="47">AL10+AN10</f>
        <v>0</v>
      </c>
      <c r="AQ10" s="27">
        <f t="shared" ref="AQ10" si="48">AM10+AO10</f>
        <v>0</v>
      </c>
      <c r="AR10" s="27"/>
      <c r="AS10" s="27"/>
      <c r="AT10" s="27">
        <v>0</v>
      </c>
      <c r="AU10" s="27">
        <f>6500+8500+8500+6500+8500+27000+8500+8500+6500+8500</f>
        <v>97500</v>
      </c>
      <c r="AV10" s="27">
        <f t="shared" ref="AV10" si="49">AR10+AT10</f>
        <v>0</v>
      </c>
      <c r="AW10" s="27">
        <f t="shared" ref="AW10" si="50">AS10+AU10</f>
        <v>97500</v>
      </c>
      <c r="AX10" s="27"/>
      <c r="AY10" s="27"/>
      <c r="AZ10" s="27">
        <v>0</v>
      </c>
      <c r="BA10" s="27"/>
      <c r="BB10" s="27">
        <f t="shared" ref="BB10" si="51">AX10+AZ10</f>
        <v>0</v>
      </c>
      <c r="BC10" s="27">
        <f t="shared" ref="BC10" si="52">AY10+BA10</f>
        <v>0</v>
      </c>
      <c r="BD10" s="27"/>
      <c r="BE10" s="27"/>
      <c r="BF10" s="27">
        <v>0</v>
      </c>
      <c r="BG10" s="27"/>
      <c r="BH10" s="27">
        <f t="shared" ref="BH10" si="53">BD10+BF10</f>
        <v>0</v>
      </c>
      <c r="BI10" s="27">
        <f t="shared" ref="BI10" si="54">BE10+BG10</f>
        <v>0</v>
      </c>
      <c r="BJ10" s="27"/>
      <c r="BK10" s="27"/>
      <c r="BL10" s="27">
        <v>0</v>
      </c>
      <c r="BM10" s="27"/>
      <c r="BN10" s="27">
        <f t="shared" ref="BN10" si="55">BJ10+BL10</f>
        <v>0</v>
      </c>
      <c r="BO10" s="27">
        <f t="shared" ref="BO10" si="56">BK10+BM10</f>
        <v>0</v>
      </c>
      <c r="BP10" s="26"/>
      <c r="BQ10" s="26"/>
      <c r="BR10" s="27">
        <v>0</v>
      </c>
      <c r="BS10" s="27"/>
      <c r="BT10" s="27">
        <f t="shared" ref="BT10" si="57">BP10+BR10</f>
        <v>0</v>
      </c>
      <c r="BU10" s="27">
        <f t="shared" ref="BU10" si="58">BQ10+BS10</f>
        <v>0</v>
      </c>
      <c r="BV10" s="26"/>
      <c r="BW10" s="26"/>
      <c r="BX10" s="27">
        <v>0</v>
      </c>
      <c r="BY10" s="26"/>
      <c r="BZ10" s="27">
        <f t="shared" ref="BZ10" si="59">BV10+BX10</f>
        <v>0</v>
      </c>
      <c r="CA10" s="27">
        <f t="shared" ref="CA10" si="60">BW10+BY10</f>
        <v>0</v>
      </c>
      <c r="CB10" s="26"/>
      <c r="CC10" s="26"/>
      <c r="CD10" s="27">
        <v>0</v>
      </c>
      <c r="CE10" s="26"/>
      <c r="CF10" s="27">
        <f t="shared" ref="CF10" si="61">CB10+CD10</f>
        <v>0</v>
      </c>
      <c r="CG10" s="27">
        <f t="shared" ref="CG10" si="62">CC10+CE10</f>
        <v>0</v>
      </c>
      <c r="CH10" s="27"/>
      <c r="CI10" s="27"/>
      <c r="CJ10" s="27">
        <v>0</v>
      </c>
      <c r="CK10" s="27"/>
      <c r="CL10" s="27">
        <f t="shared" ref="CL10" si="63">CH10+CJ10</f>
        <v>0</v>
      </c>
      <c r="CM10" s="27">
        <f t="shared" ref="CM10" si="64">CI10+CK10</f>
        <v>0</v>
      </c>
      <c r="CN10" s="27"/>
      <c r="CO10" s="27"/>
      <c r="CP10" s="27">
        <v>0</v>
      </c>
      <c r="CQ10" s="27"/>
      <c r="CR10" s="27">
        <f t="shared" ref="CR10" si="65">CN10+CP10</f>
        <v>0</v>
      </c>
      <c r="CS10" s="27">
        <f t="shared" ref="CS10" si="66">CO10+CQ10</f>
        <v>0</v>
      </c>
      <c r="CT10" s="27"/>
      <c r="CU10" s="27"/>
      <c r="CV10" s="27">
        <v>0</v>
      </c>
      <c r="CW10" s="27"/>
      <c r="CX10" s="27">
        <f t="shared" ref="CX10" si="67">CT10+CV10</f>
        <v>0</v>
      </c>
      <c r="CY10" s="27">
        <f t="shared" ref="CY10" si="68">CU10+CW10</f>
        <v>0</v>
      </c>
      <c r="CZ10" s="27"/>
      <c r="DA10" s="27"/>
      <c r="DB10" s="27">
        <v>0</v>
      </c>
      <c r="DC10" s="27"/>
      <c r="DD10" s="27">
        <f t="shared" ref="DD10" si="69">CZ10+DB10</f>
        <v>0</v>
      </c>
      <c r="DE10" s="27">
        <f t="shared" ref="DE10" si="70">DA10+DC10</f>
        <v>0</v>
      </c>
      <c r="DF10" s="27">
        <f t="shared" ref="DF10" si="71">AL10+AR10+AX10+BD10+BJ10+BP10+BV10+CB10+CH10+CN10+CT10+CZ10</f>
        <v>0</v>
      </c>
      <c r="DG10" s="27">
        <f t="shared" ref="DG10" si="72">AM10+AS10+AY10+BE10+BK10+BQ10+BW10+CC10+CI10+CO10+CU10+DA10</f>
        <v>0</v>
      </c>
      <c r="DH10" s="27">
        <f t="shared" ref="DH10" si="73">AN10+AT10+AZ10+BF10+BL10+BR10+BX10+CD10+CJ10+CP10+CV10+DB10</f>
        <v>0</v>
      </c>
      <c r="DI10" s="27">
        <f t="shared" ref="DI10" si="74">AO10+AU10+BA10+BG10+BM10+BS10+BY10+CE10+CK10+CQ10+CW10+DC10</f>
        <v>97500</v>
      </c>
      <c r="DJ10" s="27">
        <f t="shared" ref="DJ10" si="75">DF10+DH10</f>
        <v>0</v>
      </c>
      <c r="DK10" s="27">
        <f t="shared" ref="DK10" si="76">DG10+DI10</f>
        <v>97500</v>
      </c>
    </row>
    <row r="11" spans="1:116">
      <c r="A11" s="25">
        <v>3</v>
      </c>
      <c r="B11" s="26" t="s">
        <v>1162</v>
      </c>
      <c r="C11" s="26" t="s">
        <v>1248</v>
      </c>
      <c r="D11" s="26" t="s">
        <v>1247</v>
      </c>
      <c r="E11" s="205" t="s">
        <v>1200</v>
      </c>
      <c r="F11" s="161">
        <f t="shared" si="29"/>
        <v>0</v>
      </c>
      <c r="G11" s="165">
        <f t="shared" si="30"/>
        <v>0</v>
      </c>
      <c r="H11" s="27"/>
      <c r="I11" s="27">
        <v>0</v>
      </c>
      <c r="J11" s="27">
        <v>0</v>
      </c>
      <c r="K11" s="127">
        <f t="shared" si="31"/>
        <v>0</v>
      </c>
      <c r="L11" s="127">
        <f t="shared" si="32"/>
        <v>0</v>
      </c>
      <c r="M11" s="127">
        <f t="shared" si="33"/>
        <v>0</v>
      </c>
      <c r="N11" s="131"/>
      <c r="O11" s="125">
        <f t="shared" si="34"/>
        <v>160000</v>
      </c>
      <c r="P11" s="27">
        <v>0</v>
      </c>
      <c r="Q11" s="27">
        <v>0</v>
      </c>
      <c r="R11" s="27">
        <f t="shared" si="7"/>
        <v>0</v>
      </c>
      <c r="S11" s="27">
        <f t="shared" si="8"/>
        <v>0</v>
      </c>
      <c r="T11" s="27"/>
      <c r="U11" s="27"/>
      <c r="V11" s="27">
        <v>0</v>
      </c>
      <c r="W11" s="27"/>
      <c r="X11" s="27">
        <f t="shared" si="9"/>
        <v>0</v>
      </c>
      <c r="Y11" s="27">
        <f t="shared" si="9"/>
        <v>0</v>
      </c>
      <c r="Z11" s="27">
        <v>0</v>
      </c>
      <c r="AA11" s="27"/>
      <c r="AB11" s="27"/>
      <c r="AC11" s="27"/>
      <c r="AD11" s="27">
        <f t="shared" si="10"/>
        <v>0</v>
      </c>
      <c r="AE11" s="27">
        <f t="shared" si="10"/>
        <v>0</v>
      </c>
      <c r="AF11" s="27">
        <f t="shared" si="11"/>
        <v>0</v>
      </c>
      <c r="AG11" s="27">
        <f t="shared" si="12"/>
        <v>0</v>
      </c>
      <c r="AH11" s="27">
        <f t="shared" si="12"/>
        <v>0</v>
      </c>
      <c r="AI11" s="27">
        <f t="shared" si="13"/>
        <v>0</v>
      </c>
      <c r="AJ11" s="27">
        <f t="shared" si="14"/>
        <v>0</v>
      </c>
      <c r="AK11" s="27">
        <f t="shared" si="14"/>
        <v>0</v>
      </c>
      <c r="AL11" s="27"/>
      <c r="AM11" s="27"/>
      <c r="AN11" s="27">
        <v>0</v>
      </c>
      <c r="AO11" s="27"/>
      <c r="AP11" s="27">
        <f t="shared" si="15"/>
        <v>0</v>
      </c>
      <c r="AQ11" s="27">
        <f t="shared" si="15"/>
        <v>0</v>
      </c>
      <c r="AR11" s="27"/>
      <c r="AS11" s="27"/>
      <c r="AT11" s="27">
        <v>0</v>
      </c>
      <c r="AU11" s="357">
        <v>160000</v>
      </c>
      <c r="AV11" s="27">
        <f t="shared" si="16"/>
        <v>0</v>
      </c>
      <c r="AW11" s="27">
        <f t="shared" si="16"/>
        <v>160000</v>
      </c>
      <c r="AX11" s="27"/>
      <c r="AY11" s="27"/>
      <c r="AZ11" s="27">
        <v>0</v>
      </c>
      <c r="BA11" s="27"/>
      <c r="BB11" s="27">
        <f t="shared" si="17"/>
        <v>0</v>
      </c>
      <c r="BC11" s="27">
        <f t="shared" si="17"/>
        <v>0</v>
      </c>
      <c r="BD11" s="27"/>
      <c r="BE11" s="27"/>
      <c r="BF11" s="27">
        <v>0</v>
      </c>
      <c r="BG11" s="27"/>
      <c r="BH11" s="27">
        <f t="shared" si="18"/>
        <v>0</v>
      </c>
      <c r="BI11" s="27">
        <f t="shared" si="18"/>
        <v>0</v>
      </c>
      <c r="BJ11" s="27"/>
      <c r="BK11" s="27"/>
      <c r="BL11" s="27">
        <v>0</v>
      </c>
      <c r="BM11" s="27"/>
      <c r="BN11" s="27">
        <f t="shared" si="19"/>
        <v>0</v>
      </c>
      <c r="BO11" s="27">
        <f t="shared" si="19"/>
        <v>0</v>
      </c>
      <c r="BP11" s="26"/>
      <c r="BQ11" s="26"/>
      <c r="BR11" s="27">
        <v>0</v>
      </c>
      <c r="BS11" s="27"/>
      <c r="BT11" s="27">
        <f t="shared" si="20"/>
        <v>0</v>
      </c>
      <c r="BU11" s="27">
        <f t="shared" si="20"/>
        <v>0</v>
      </c>
      <c r="BV11" s="26"/>
      <c r="BW11" s="26"/>
      <c r="BX11" s="27">
        <v>0</v>
      </c>
      <c r="BY11" s="26"/>
      <c r="BZ11" s="27">
        <f t="shared" si="21"/>
        <v>0</v>
      </c>
      <c r="CA11" s="27">
        <f t="shared" si="21"/>
        <v>0</v>
      </c>
      <c r="CB11" s="26"/>
      <c r="CC11" s="26"/>
      <c r="CD11" s="27">
        <v>0</v>
      </c>
      <c r="CE11" s="26"/>
      <c r="CF11" s="27">
        <f t="shared" si="22"/>
        <v>0</v>
      </c>
      <c r="CG11" s="27">
        <f t="shared" si="22"/>
        <v>0</v>
      </c>
      <c r="CH11" s="27"/>
      <c r="CI11" s="27"/>
      <c r="CJ11" s="27">
        <v>0</v>
      </c>
      <c r="CK11" s="27"/>
      <c r="CL11" s="27">
        <f t="shared" si="23"/>
        <v>0</v>
      </c>
      <c r="CM11" s="27">
        <f t="shared" si="23"/>
        <v>0</v>
      </c>
      <c r="CN11" s="27"/>
      <c r="CO11" s="27"/>
      <c r="CP11" s="27">
        <v>0</v>
      </c>
      <c r="CQ11" s="27"/>
      <c r="CR11" s="27">
        <f t="shared" si="24"/>
        <v>0</v>
      </c>
      <c r="CS11" s="27">
        <f t="shared" si="24"/>
        <v>0</v>
      </c>
      <c r="CT11" s="27"/>
      <c r="CU11" s="27"/>
      <c r="CV11" s="27">
        <v>0</v>
      </c>
      <c r="CW11" s="27"/>
      <c r="CX11" s="27">
        <f t="shared" si="25"/>
        <v>0</v>
      </c>
      <c r="CY11" s="27">
        <f t="shared" si="25"/>
        <v>0</v>
      </c>
      <c r="CZ11" s="27"/>
      <c r="DA11" s="27"/>
      <c r="DB11" s="27">
        <v>0</v>
      </c>
      <c r="DC11" s="27"/>
      <c r="DD11" s="27">
        <f t="shared" si="26"/>
        <v>0</v>
      </c>
      <c r="DE11" s="27">
        <f t="shared" si="26"/>
        <v>0</v>
      </c>
      <c r="DF11" s="27">
        <f t="shared" si="27"/>
        <v>0</v>
      </c>
      <c r="DG11" s="27">
        <f t="shared" si="27"/>
        <v>0</v>
      </c>
      <c r="DH11" s="27">
        <f t="shared" si="27"/>
        <v>0</v>
      </c>
      <c r="DI11" s="27">
        <f t="shared" si="27"/>
        <v>160000</v>
      </c>
      <c r="DJ11" s="27">
        <f t="shared" si="28"/>
        <v>0</v>
      </c>
      <c r="DK11" s="27">
        <f t="shared" si="28"/>
        <v>160000</v>
      </c>
    </row>
    <row r="12" spans="1:116">
      <c r="A12" s="25">
        <v>4</v>
      </c>
      <c r="B12" s="26" t="s">
        <v>1162</v>
      </c>
      <c r="C12" s="26" t="s">
        <v>831</v>
      </c>
      <c r="D12" s="26" t="s">
        <v>1260</v>
      </c>
      <c r="E12" s="205" t="s">
        <v>1200</v>
      </c>
      <c r="F12" s="161">
        <f t="shared" si="29"/>
        <v>0</v>
      </c>
      <c r="G12" s="165">
        <f t="shared" si="30"/>
        <v>0</v>
      </c>
      <c r="H12" s="27"/>
      <c r="I12" s="27">
        <v>0</v>
      </c>
      <c r="J12" s="27">
        <v>0</v>
      </c>
      <c r="K12" s="127">
        <f t="shared" si="31"/>
        <v>0</v>
      </c>
      <c r="L12" s="127">
        <f t="shared" si="32"/>
        <v>0</v>
      </c>
      <c r="M12" s="127">
        <f t="shared" si="33"/>
        <v>0</v>
      </c>
      <c r="N12" s="131"/>
      <c r="O12" s="125">
        <f t="shared" si="34"/>
        <v>6500</v>
      </c>
      <c r="P12" s="27">
        <v>0</v>
      </c>
      <c r="Q12" s="27">
        <v>0</v>
      </c>
      <c r="R12" s="27">
        <f t="shared" ref="R12:R30" si="77">I12+P12</f>
        <v>0</v>
      </c>
      <c r="S12" s="27">
        <f t="shared" ref="S12:S30" si="78">Q12</f>
        <v>0</v>
      </c>
      <c r="T12" s="27"/>
      <c r="U12" s="27"/>
      <c r="V12" s="27">
        <v>0</v>
      </c>
      <c r="W12" s="27"/>
      <c r="X12" s="27">
        <f t="shared" ref="X12:X30" si="79">T12+V12</f>
        <v>0</v>
      </c>
      <c r="Y12" s="27">
        <f t="shared" ref="Y12:Y30" si="80">U12+W12</f>
        <v>0</v>
      </c>
      <c r="Z12" s="27">
        <v>0</v>
      </c>
      <c r="AA12" s="27"/>
      <c r="AB12" s="27"/>
      <c r="AC12" s="27"/>
      <c r="AD12" s="27">
        <f t="shared" ref="AD12:AD30" si="81">Z12+AB12</f>
        <v>0</v>
      </c>
      <c r="AE12" s="27">
        <f t="shared" ref="AE12:AE30" si="82">AA12+AC12</f>
        <v>0</v>
      </c>
      <c r="AF12" s="27">
        <f t="shared" ref="AF12:AF30" si="83">P12+T12+Z12</f>
        <v>0</v>
      </c>
      <c r="AG12" s="27">
        <f t="shared" ref="AG12:AG30" si="84">P12+U12+AA12</f>
        <v>0</v>
      </c>
      <c r="AH12" s="27">
        <f t="shared" ref="AH12:AH30" si="85">Q12+V12+AB12</f>
        <v>0</v>
      </c>
      <c r="AI12" s="27">
        <f t="shared" ref="AI12:AI30" si="86">Q12+W12+AC12</f>
        <v>0</v>
      </c>
      <c r="AJ12" s="27">
        <f t="shared" ref="AJ12:AJ30" si="87">AF12+AH12</f>
        <v>0</v>
      </c>
      <c r="AK12" s="27">
        <f t="shared" ref="AK12:AK30" si="88">AG12+AI12</f>
        <v>0</v>
      </c>
      <c r="AL12" s="27"/>
      <c r="AM12" s="27"/>
      <c r="AN12" s="27">
        <v>0</v>
      </c>
      <c r="AO12" s="27"/>
      <c r="AP12" s="27">
        <f t="shared" ref="AP12:AP30" si="89">AL12+AN12</f>
        <v>0</v>
      </c>
      <c r="AQ12" s="27">
        <f t="shared" ref="AQ12:AQ30" si="90">AM12+AO12</f>
        <v>0</v>
      </c>
      <c r="AR12" s="27"/>
      <c r="AS12" s="27"/>
      <c r="AT12" s="27">
        <v>0</v>
      </c>
      <c r="AU12" s="357"/>
      <c r="AV12" s="27">
        <f t="shared" ref="AV12:AV30" si="91">AR12+AT12</f>
        <v>0</v>
      </c>
      <c r="AW12" s="27">
        <f t="shared" ref="AW12:AW30" si="92">AS12+AU12</f>
        <v>0</v>
      </c>
      <c r="AX12" s="27"/>
      <c r="AY12" s="27"/>
      <c r="AZ12" s="27">
        <v>0</v>
      </c>
      <c r="BA12" s="27">
        <v>6500</v>
      </c>
      <c r="BB12" s="27">
        <f t="shared" ref="BB12:BB30" si="93">AX12+AZ12</f>
        <v>0</v>
      </c>
      <c r="BC12" s="27">
        <f t="shared" ref="BC12:BC30" si="94">AY12+BA12</f>
        <v>6500</v>
      </c>
      <c r="BD12" s="27"/>
      <c r="BE12" s="27"/>
      <c r="BF12" s="27">
        <v>0</v>
      </c>
      <c r="BG12" s="27"/>
      <c r="BH12" s="27">
        <f t="shared" ref="BH12:BH30" si="95">BD12+BF12</f>
        <v>0</v>
      </c>
      <c r="BI12" s="27">
        <f t="shared" ref="BI12:BI30" si="96">BE12+BG12</f>
        <v>0</v>
      </c>
      <c r="BJ12" s="27"/>
      <c r="BK12" s="27"/>
      <c r="BL12" s="27">
        <v>0</v>
      </c>
      <c r="BM12" s="27"/>
      <c r="BN12" s="27">
        <f t="shared" ref="BN12:BN30" si="97">BJ12+BL12</f>
        <v>0</v>
      </c>
      <c r="BO12" s="27">
        <f t="shared" ref="BO12:BO30" si="98">BK12+BM12</f>
        <v>0</v>
      </c>
      <c r="BP12" s="26"/>
      <c r="BQ12" s="26"/>
      <c r="BR12" s="27">
        <v>0</v>
      </c>
      <c r="BS12" s="27"/>
      <c r="BT12" s="27">
        <f t="shared" ref="BT12:BT30" si="99">BP12+BR12</f>
        <v>0</v>
      </c>
      <c r="BU12" s="27">
        <f t="shared" ref="BU12:BU30" si="100">BQ12+BS12</f>
        <v>0</v>
      </c>
      <c r="BV12" s="26"/>
      <c r="BW12" s="26"/>
      <c r="BX12" s="27">
        <v>0</v>
      </c>
      <c r="BY12" s="26"/>
      <c r="BZ12" s="27">
        <f t="shared" ref="BZ12:BZ30" si="101">BV12+BX12</f>
        <v>0</v>
      </c>
      <c r="CA12" s="27">
        <f t="shared" ref="CA12:CA30" si="102">BW12+BY12</f>
        <v>0</v>
      </c>
      <c r="CB12" s="26"/>
      <c r="CC12" s="26"/>
      <c r="CD12" s="27">
        <v>0</v>
      </c>
      <c r="CE12" s="26"/>
      <c r="CF12" s="27">
        <f t="shared" ref="CF12:CF30" si="103">CB12+CD12</f>
        <v>0</v>
      </c>
      <c r="CG12" s="27">
        <f t="shared" ref="CG12:CG30" si="104">CC12+CE12</f>
        <v>0</v>
      </c>
      <c r="CH12" s="27"/>
      <c r="CI12" s="27"/>
      <c r="CJ12" s="27">
        <v>0</v>
      </c>
      <c r="CK12" s="27"/>
      <c r="CL12" s="27">
        <f t="shared" ref="CL12:CL30" si="105">CH12+CJ12</f>
        <v>0</v>
      </c>
      <c r="CM12" s="27">
        <f t="shared" ref="CM12:CM30" si="106">CI12+CK12</f>
        <v>0</v>
      </c>
      <c r="CN12" s="27"/>
      <c r="CO12" s="27"/>
      <c r="CP12" s="27">
        <v>0</v>
      </c>
      <c r="CQ12" s="27"/>
      <c r="CR12" s="27">
        <f t="shared" ref="CR12:CR30" si="107">CN12+CP12</f>
        <v>0</v>
      </c>
      <c r="CS12" s="27">
        <f t="shared" ref="CS12:CS30" si="108">CO12+CQ12</f>
        <v>0</v>
      </c>
      <c r="CT12" s="27"/>
      <c r="CU12" s="27"/>
      <c r="CV12" s="27">
        <v>0</v>
      </c>
      <c r="CW12" s="27"/>
      <c r="CX12" s="27">
        <f t="shared" ref="CX12:CX30" si="109">CT12+CV12</f>
        <v>0</v>
      </c>
      <c r="CY12" s="27">
        <f t="shared" ref="CY12:CY30" si="110">CU12+CW12</f>
        <v>0</v>
      </c>
      <c r="CZ12" s="27"/>
      <c r="DA12" s="27"/>
      <c r="DB12" s="27">
        <v>0</v>
      </c>
      <c r="DC12" s="27"/>
      <c r="DD12" s="27">
        <f t="shared" ref="DD12:DD30" si="111">CZ12+DB12</f>
        <v>0</v>
      </c>
      <c r="DE12" s="27">
        <f t="shared" ref="DE12:DE30" si="112">DA12+DC12</f>
        <v>0</v>
      </c>
      <c r="DF12" s="27">
        <f t="shared" ref="DF12:DF30" si="113">AL12+AR12+AX12+BD12+BJ12+BP12+BV12+CB12+CH12+CN12+CT12+CZ12</f>
        <v>0</v>
      </c>
      <c r="DG12" s="27">
        <f t="shared" ref="DG12:DG30" si="114">AM12+AS12+AY12+BE12+BK12+BQ12+BW12+CC12+CI12+CO12+CU12+DA12</f>
        <v>0</v>
      </c>
      <c r="DH12" s="27">
        <f t="shared" ref="DH12:DH30" si="115">AN12+AT12+AZ12+BF12+BL12+BR12+BX12+CD12+CJ12+CP12+CV12+DB12</f>
        <v>0</v>
      </c>
      <c r="DI12" s="27">
        <f t="shared" ref="DI12:DI30" si="116">AO12+AU12+BA12+BG12+BM12+BS12+BY12+CE12+CK12+CQ12+CW12+DC12</f>
        <v>6500</v>
      </c>
      <c r="DJ12" s="27">
        <f t="shared" ref="DJ12:DJ30" si="117">DF12+DH12</f>
        <v>0</v>
      </c>
      <c r="DK12" s="27">
        <f t="shared" ref="DK12:DK30" si="118">DG12+DI12</f>
        <v>6500</v>
      </c>
    </row>
    <row r="13" spans="1:116">
      <c r="A13" s="25">
        <v>5</v>
      </c>
      <c r="B13" s="26" t="s">
        <v>1162</v>
      </c>
      <c r="C13" s="26" t="s">
        <v>831</v>
      </c>
      <c r="D13" s="26" t="s">
        <v>1261</v>
      </c>
      <c r="E13" s="205" t="s">
        <v>1200</v>
      </c>
      <c r="F13" s="161">
        <f t="shared" si="29"/>
        <v>0</v>
      </c>
      <c r="G13" s="165">
        <f t="shared" si="30"/>
        <v>0</v>
      </c>
      <c r="H13" s="27"/>
      <c r="I13" s="27">
        <v>0</v>
      </c>
      <c r="J13" s="27">
        <v>0</v>
      </c>
      <c r="K13" s="127">
        <f t="shared" si="31"/>
        <v>0</v>
      </c>
      <c r="L13" s="127">
        <f t="shared" si="32"/>
        <v>0</v>
      </c>
      <c r="M13" s="127">
        <f t="shared" si="33"/>
        <v>0</v>
      </c>
      <c r="N13" s="131"/>
      <c r="O13" s="125">
        <f t="shared" si="34"/>
        <v>8500</v>
      </c>
      <c r="P13" s="27">
        <v>0</v>
      </c>
      <c r="Q13" s="27">
        <v>0</v>
      </c>
      <c r="R13" s="27">
        <f t="shared" si="77"/>
        <v>0</v>
      </c>
      <c r="S13" s="27">
        <f t="shared" si="78"/>
        <v>0</v>
      </c>
      <c r="T13" s="27"/>
      <c r="U13" s="27"/>
      <c r="V13" s="27">
        <v>0</v>
      </c>
      <c r="W13" s="27"/>
      <c r="X13" s="27">
        <f t="shared" si="79"/>
        <v>0</v>
      </c>
      <c r="Y13" s="27">
        <f t="shared" si="80"/>
        <v>0</v>
      </c>
      <c r="Z13" s="27">
        <v>0</v>
      </c>
      <c r="AA13" s="27"/>
      <c r="AB13" s="27"/>
      <c r="AC13" s="27"/>
      <c r="AD13" s="27">
        <f t="shared" si="81"/>
        <v>0</v>
      </c>
      <c r="AE13" s="27">
        <f t="shared" si="82"/>
        <v>0</v>
      </c>
      <c r="AF13" s="27">
        <f t="shared" si="83"/>
        <v>0</v>
      </c>
      <c r="AG13" s="27">
        <f t="shared" si="84"/>
        <v>0</v>
      </c>
      <c r="AH13" s="27">
        <f t="shared" si="85"/>
        <v>0</v>
      </c>
      <c r="AI13" s="27">
        <f t="shared" si="86"/>
        <v>0</v>
      </c>
      <c r="AJ13" s="27">
        <f t="shared" si="87"/>
        <v>0</v>
      </c>
      <c r="AK13" s="27">
        <f t="shared" si="88"/>
        <v>0</v>
      </c>
      <c r="AL13" s="27"/>
      <c r="AM13" s="27"/>
      <c r="AN13" s="27">
        <v>0</v>
      </c>
      <c r="AO13" s="27"/>
      <c r="AP13" s="27">
        <f t="shared" si="89"/>
        <v>0</v>
      </c>
      <c r="AQ13" s="27">
        <f t="shared" si="90"/>
        <v>0</v>
      </c>
      <c r="AR13" s="27"/>
      <c r="AS13" s="27"/>
      <c r="AT13" s="27">
        <v>0</v>
      </c>
      <c r="AU13" s="27"/>
      <c r="AV13" s="27">
        <f t="shared" si="91"/>
        <v>0</v>
      </c>
      <c r="AW13" s="27">
        <f t="shared" si="92"/>
        <v>0</v>
      </c>
      <c r="AX13" s="27"/>
      <c r="AY13" s="27"/>
      <c r="AZ13" s="27">
        <v>0</v>
      </c>
      <c r="BA13" s="27">
        <v>8500</v>
      </c>
      <c r="BB13" s="27">
        <f t="shared" si="93"/>
        <v>0</v>
      </c>
      <c r="BC13" s="27">
        <f t="shared" si="94"/>
        <v>8500</v>
      </c>
      <c r="BD13" s="27"/>
      <c r="BE13" s="27"/>
      <c r="BF13" s="27">
        <v>0</v>
      </c>
      <c r="BG13" s="27"/>
      <c r="BH13" s="27">
        <f t="shared" si="95"/>
        <v>0</v>
      </c>
      <c r="BI13" s="27">
        <f t="shared" si="96"/>
        <v>0</v>
      </c>
      <c r="BJ13" s="27"/>
      <c r="BK13" s="27"/>
      <c r="BL13" s="27">
        <v>0</v>
      </c>
      <c r="BM13" s="27"/>
      <c r="BN13" s="27">
        <f t="shared" si="97"/>
        <v>0</v>
      </c>
      <c r="BO13" s="27">
        <f t="shared" si="98"/>
        <v>0</v>
      </c>
      <c r="BP13" s="26"/>
      <c r="BQ13" s="26"/>
      <c r="BR13" s="27">
        <v>0</v>
      </c>
      <c r="BS13" s="27"/>
      <c r="BT13" s="27">
        <f t="shared" si="99"/>
        <v>0</v>
      </c>
      <c r="BU13" s="27">
        <f t="shared" si="100"/>
        <v>0</v>
      </c>
      <c r="BV13" s="26"/>
      <c r="BW13" s="26"/>
      <c r="BX13" s="27">
        <v>0</v>
      </c>
      <c r="BY13" s="26"/>
      <c r="BZ13" s="27">
        <f t="shared" si="101"/>
        <v>0</v>
      </c>
      <c r="CA13" s="27">
        <f t="shared" si="102"/>
        <v>0</v>
      </c>
      <c r="CB13" s="26"/>
      <c r="CC13" s="26"/>
      <c r="CD13" s="27">
        <v>0</v>
      </c>
      <c r="CE13" s="26"/>
      <c r="CF13" s="27">
        <f t="shared" si="103"/>
        <v>0</v>
      </c>
      <c r="CG13" s="27">
        <f t="shared" si="104"/>
        <v>0</v>
      </c>
      <c r="CH13" s="27"/>
      <c r="CI13" s="27"/>
      <c r="CJ13" s="27">
        <v>0</v>
      </c>
      <c r="CK13" s="27"/>
      <c r="CL13" s="27">
        <f t="shared" si="105"/>
        <v>0</v>
      </c>
      <c r="CM13" s="27">
        <f t="shared" si="106"/>
        <v>0</v>
      </c>
      <c r="CN13" s="27"/>
      <c r="CO13" s="27"/>
      <c r="CP13" s="27">
        <v>0</v>
      </c>
      <c r="CQ13" s="27"/>
      <c r="CR13" s="27">
        <f t="shared" si="107"/>
        <v>0</v>
      </c>
      <c r="CS13" s="27">
        <f t="shared" si="108"/>
        <v>0</v>
      </c>
      <c r="CT13" s="27"/>
      <c r="CU13" s="27"/>
      <c r="CV13" s="27">
        <v>0</v>
      </c>
      <c r="CW13" s="27"/>
      <c r="CX13" s="27">
        <f t="shared" si="109"/>
        <v>0</v>
      </c>
      <c r="CY13" s="27">
        <f t="shared" si="110"/>
        <v>0</v>
      </c>
      <c r="CZ13" s="27"/>
      <c r="DA13" s="27"/>
      <c r="DB13" s="27">
        <v>0</v>
      </c>
      <c r="DC13" s="27"/>
      <c r="DD13" s="27">
        <f t="shared" si="111"/>
        <v>0</v>
      </c>
      <c r="DE13" s="27">
        <f t="shared" si="112"/>
        <v>0</v>
      </c>
      <c r="DF13" s="27">
        <f t="shared" si="113"/>
        <v>0</v>
      </c>
      <c r="DG13" s="27">
        <f t="shared" si="114"/>
        <v>0</v>
      </c>
      <c r="DH13" s="27">
        <f t="shared" si="115"/>
        <v>0</v>
      </c>
      <c r="DI13" s="27">
        <f t="shared" si="116"/>
        <v>8500</v>
      </c>
      <c r="DJ13" s="27">
        <f t="shared" si="117"/>
        <v>0</v>
      </c>
      <c r="DK13" s="27">
        <f t="shared" si="118"/>
        <v>8500</v>
      </c>
    </row>
    <row r="14" spans="1:116">
      <c r="A14" s="25">
        <v>6</v>
      </c>
      <c r="B14" s="26" t="s">
        <v>1162</v>
      </c>
      <c r="C14" s="26" t="s">
        <v>831</v>
      </c>
      <c r="D14" s="26" t="s">
        <v>1262</v>
      </c>
      <c r="E14" s="205" t="s">
        <v>1200</v>
      </c>
      <c r="F14" s="161">
        <f t="shared" si="29"/>
        <v>0</v>
      </c>
      <c r="G14" s="165">
        <f t="shared" si="30"/>
        <v>0</v>
      </c>
      <c r="H14" s="27"/>
      <c r="I14" s="27">
        <v>0</v>
      </c>
      <c r="J14" s="27">
        <v>0</v>
      </c>
      <c r="K14" s="127">
        <f t="shared" si="31"/>
        <v>0</v>
      </c>
      <c r="L14" s="127">
        <f t="shared" si="32"/>
        <v>0</v>
      </c>
      <c r="M14" s="127">
        <f t="shared" si="33"/>
        <v>0</v>
      </c>
      <c r="N14" s="131"/>
      <c r="O14" s="125">
        <f t="shared" si="34"/>
        <v>8500</v>
      </c>
      <c r="P14" s="27">
        <v>0</v>
      </c>
      <c r="Q14" s="27">
        <v>0</v>
      </c>
      <c r="R14" s="27">
        <f t="shared" si="77"/>
        <v>0</v>
      </c>
      <c r="S14" s="27">
        <f t="shared" si="78"/>
        <v>0</v>
      </c>
      <c r="T14" s="27"/>
      <c r="U14" s="27"/>
      <c r="V14" s="27">
        <v>0</v>
      </c>
      <c r="W14" s="27"/>
      <c r="X14" s="27">
        <f t="shared" si="79"/>
        <v>0</v>
      </c>
      <c r="Y14" s="27">
        <f t="shared" si="80"/>
        <v>0</v>
      </c>
      <c r="Z14" s="27">
        <v>0</v>
      </c>
      <c r="AA14" s="27"/>
      <c r="AB14" s="27"/>
      <c r="AC14" s="27"/>
      <c r="AD14" s="27">
        <f t="shared" si="81"/>
        <v>0</v>
      </c>
      <c r="AE14" s="27">
        <f t="shared" si="82"/>
        <v>0</v>
      </c>
      <c r="AF14" s="27">
        <f t="shared" si="83"/>
        <v>0</v>
      </c>
      <c r="AG14" s="27">
        <f t="shared" si="84"/>
        <v>0</v>
      </c>
      <c r="AH14" s="27">
        <f t="shared" si="85"/>
        <v>0</v>
      </c>
      <c r="AI14" s="27">
        <f t="shared" si="86"/>
        <v>0</v>
      </c>
      <c r="AJ14" s="27">
        <f t="shared" si="87"/>
        <v>0</v>
      </c>
      <c r="AK14" s="27">
        <f t="shared" si="88"/>
        <v>0</v>
      </c>
      <c r="AL14" s="27"/>
      <c r="AM14" s="27"/>
      <c r="AN14" s="27">
        <v>0</v>
      </c>
      <c r="AO14" s="27"/>
      <c r="AP14" s="27">
        <f t="shared" si="89"/>
        <v>0</v>
      </c>
      <c r="AQ14" s="27">
        <f t="shared" si="90"/>
        <v>0</v>
      </c>
      <c r="AR14" s="27"/>
      <c r="AS14" s="27"/>
      <c r="AT14" s="27">
        <v>0</v>
      </c>
      <c r="AU14" s="27"/>
      <c r="AV14" s="27">
        <f t="shared" si="91"/>
        <v>0</v>
      </c>
      <c r="AW14" s="27">
        <f t="shared" si="92"/>
        <v>0</v>
      </c>
      <c r="AX14" s="27"/>
      <c r="AY14" s="27"/>
      <c r="AZ14" s="27">
        <v>0</v>
      </c>
      <c r="BA14" s="27">
        <v>8500</v>
      </c>
      <c r="BB14" s="27">
        <f t="shared" si="93"/>
        <v>0</v>
      </c>
      <c r="BC14" s="27">
        <f t="shared" si="94"/>
        <v>8500</v>
      </c>
      <c r="BD14" s="27"/>
      <c r="BE14" s="27"/>
      <c r="BF14" s="27">
        <v>0</v>
      </c>
      <c r="BG14" s="27"/>
      <c r="BH14" s="27">
        <f t="shared" si="95"/>
        <v>0</v>
      </c>
      <c r="BI14" s="27">
        <f t="shared" si="96"/>
        <v>0</v>
      </c>
      <c r="BJ14" s="27"/>
      <c r="BK14" s="27"/>
      <c r="BL14" s="27">
        <v>0</v>
      </c>
      <c r="BM14" s="27"/>
      <c r="BN14" s="27">
        <f t="shared" si="97"/>
        <v>0</v>
      </c>
      <c r="BO14" s="27">
        <f t="shared" si="98"/>
        <v>0</v>
      </c>
      <c r="BP14" s="26"/>
      <c r="BQ14" s="26"/>
      <c r="BR14" s="27">
        <v>0</v>
      </c>
      <c r="BS14" s="27"/>
      <c r="BT14" s="27">
        <f t="shared" si="99"/>
        <v>0</v>
      </c>
      <c r="BU14" s="27">
        <f t="shared" si="100"/>
        <v>0</v>
      </c>
      <c r="BV14" s="26"/>
      <c r="BW14" s="26"/>
      <c r="BX14" s="27">
        <v>0</v>
      </c>
      <c r="BY14" s="26"/>
      <c r="BZ14" s="27">
        <f t="shared" si="101"/>
        <v>0</v>
      </c>
      <c r="CA14" s="27">
        <f t="shared" si="102"/>
        <v>0</v>
      </c>
      <c r="CB14" s="26"/>
      <c r="CC14" s="26"/>
      <c r="CD14" s="27">
        <v>0</v>
      </c>
      <c r="CE14" s="26"/>
      <c r="CF14" s="27">
        <f t="shared" si="103"/>
        <v>0</v>
      </c>
      <c r="CG14" s="27">
        <f t="shared" si="104"/>
        <v>0</v>
      </c>
      <c r="CH14" s="27"/>
      <c r="CI14" s="27"/>
      <c r="CJ14" s="27">
        <v>0</v>
      </c>
      <c r="CK14" s="27"/>
      <c r="CL14" s="27">
        <f t="shared" si="105"/>
        <v>0</v>
      </c>
      <c r="CM14" s="27">
        <f t="shared" si="106"/>
        <v>0</v>
      </c>
      <c r="CN14" s="27"/>
      <c r="CO14" s="27"/>
      <c r="CP14" s="27">
        <v>0</v>
      </c>
      <c r="CQ14" s="27"/>
      <c r="CR14" s="27">
        <f t="shared" si="107"/>
        <v>0</v>
      </c>
      <c r="CS14" s="27">
        <f t="shared" si="108"/>
        <v>0</v>
      </c>
      <c r="CT14" s="27"/>
      <c r="CU14" s="27"/>
      <c r="CV14" s="27">
        <v>0</v>
      </c>
      <c r="CW14" s="27"/>
      <c r="CX14" s="27">
        <f t="shared" si="109"/>
        <v>0</v>
      </c>
      <c r="CY14" s="27">
        <f t="shared" si="110"/>
        <v>0</v>
      </c>
      <c r="CZ14" s="27"/>
      <c r="DA14" s="27"/>
      <c r="DB14" s="27">
        <v>0</v>
      </c>
      <c r="DC14" s="27"/>
      <c r="DD14" s="27">
        <f t="shared" si="111"/>
        <v>0</v>
      </c>
      <c r="DE14" s="27">
        <f t="shared" si="112"/>
        <v>0</v>
      </c>
      <c r="DF14" s="27">
        <f t="shared" si="113"/>
        <v>0</v>
      </c>
      <c r="DG14" s="27">
        <f t="shared" si="114"/>
        <v>0</v>
      </c>
      <c r="DH14" s="27">
        <f t="shared" si="115"/>
        <v>0</v>
      </c>
      <c r="DI14" s="27">
        <f t="shared" si="116"/>
        <v>8500</v>
      </c>
      <c r="DJ14" s="27">
        <f t="shared" si="117"/>
        <v>0</v>
      </c>
      <c r="DK14" s="27">
        <f t="shared" si="118"/>
        <v>8500</v>
      </c>
    </row>
    <row r="15" spans="1:116">
      <c r="A15" s="25">
        <v>7</v>
      </c>
      <c r="B15" s="26" t="s">
        <v>1162</v>
      </c>
      <c r="C15" s="26"/>
      <c r="D15" s="26" t="s">
        <v>1263</v>
      </c>
      <c r="E15" s="205" t="s">
        <v>1200</v>
      </c>
      <c r="F15" s="161">
        <f t="shared" si="29"/>
        <v>0</v>
      </c>
      <c r="G15" s="165">
        <f t="shared" si="30"/>
        <v>0</v>
      </c>
      <c r="H15" s="27"/>
      <c r="I15" s="27">
        <v>0</v>
      </c>
      <c r="J15" s="27">
        <v>0</v>
      </c>
      <c r="K15" s="127">
        <f t="shared" si="31"/>
        <v>0</v>
      </c>
      <c r="L15" s="127">
        <f t="shared" si="32"/>
        <v>0</v>
      </c>
      <c r="M15" s="127">
        <f t="shared" si="33"/>
        <v>0</v>
      </c>
      <c r="N15" s="131"/>
      <c r="O15" s="125">
        <f t="shared" si="34"/>
        <v>62000</v>
      </c>
      <c r="P15" s="27">
        <v>0</v>
      </c>
      <c r="Q15" s="27">
        <v>0</v>
      </c>
      <c r="R15" s="27">
        <f t="shared" si="77"/>
        <v>0</v>
      </c>
      <c r="S15" s="27">
        <f t="shared" si="78"/>
        <v>0</v>
      </c>
      <c r="T15" s="27"/>
      <c r="U15" s="27"/>
      <c r="V15" s="27">
        <v>0</v>
      </c>
      <c r="W15" s="27"/>
      <c r="X15" s="27">
        <f t="shared" si="79"/>
        <v>0</v>
      </c>
      <c r="Y15" s="27">
        <f t="shared" si="80"/>
        <v>0</v>
      </c>
      <c r="Z15" s="27">
        <v>0</v>
      </c>
      <c r="AA15" s="27"/>
      <c r="AB15" s="27"/>
      <c r="AC15" s="27"/>
      <c r="AD15" s="27">
        <f t="shared" si="81"/>
        <v>0</v>
      </c>
      <c r="AE15" s="27">
        <f t="shared" si="82"/>
        <v>0</v>
      </c>
      <c r="AF15" s="27">
        <f t="shared" si="83"/>
        <v>0</v>
      </c>
      <c r="AG15" s="27">
        <f t="shared" si="84"/>
        <v>0</v>
      </c>
      <c r="AH15" s="27">
        <f t="shared" si="85"/>
        <v>0</v>
      </c>
      <c r="AI15" s="27">
        <f t="shared" si="86"/>
        <v>0</v>
      </c>
      <c r="AJ15" s="27">
        <f t="shared" si="87"/>
        <v>0</v>
      </c>
      <c r="AK15" s="27">
        <f t="shared" si="88"/>
        <v>0</v>
      </c>
      <c r="AL15" s="27"/>
      <c r="AM15" s="27"/>
      <c r="AN15" s="27">
        <v>0</v>
      </c>
      <c r="AO15" s="27"/>
      <c r="AP15" s="27">
        <f t="shared" si="89"/>
        <v>0</v>
      </c>
      <c r="AQ15" s="27">
        <f t="shared" si="90"/>
        <v>0</v>
      </c>
      <c r="AR15" s="27"/>
      <c r="AS15" s="27"/>
      <c r="AT15" s="27">
        <v>0</v>
      </c>
      <c r="AU15" s="27"/>
      <c r="AV15" s="27">
        <f t="shared" si="91"/>
        <v>0</v>
      </c>
      <c r="AW15" s="27">
        <f t="shared" si="92"/>
        <v>0</v>
      </c>
      <c r="AX15" s="27"/>
      <c r="AY15" s="27"/>
      <c r="AZ15" s="27">
        <v>0</v>
      </c>
      <c r="BA15" s="27">
        <f>8500+22500+22500+8500</f>
        <v>62000</v>
      </c>
      <c r="BB15" s="27">
        <f t="shared" si="93"/>
        <v>0</v>
      </c>
      <c r="BC15" s="27">
        <f t="shared" si="94"/>
        <v>62000</v>
      </c>
      <c r="BD15" s="27"/>
      <c r="BE15" s="27"/>
      <c r="BF15" s="27">
        <v>0</v>
      </c>
      <c r="BG15" s="27"/>
      <c r="BH15" s="27">
        <f t="shared" si="95"/>
        <v>0</v>
      </c>
      <c r="BI15" s="27">
        <f t="shared" si="96"/>
        <v>0</v>
      </c>
      <c r="BJ15" s="27"/>
      <c r="BK15" s="27"/>
      <c r="BL15" s="27">
        <v>0</v>
      </c>
      <c r="BM15" s="27"/>
      <c r="BN15" s="27">
        <f t="shared" si="97"/>
        <v>0</v>
      </c>
      <c r="BO15" s="27">
        <f t="shared" si="98"/>
        <v>0</v>
      </c>
      <c r="BP15" s="26"/>
      <c r="BQ15" s="26"/>
      <c r="BR15" s="27">
        <v>0</v>
      </c>
      <c r="BS15" s="27"/>
      <c r="BT15" s="27">
        <f t="shared" si="99"/>
        <v>0</v>
      </c>
      <c r="BU15" s="27">
        <f t="shared" si="100"/>
        <v>0</v>
      </c>
      <c r="BV15" s="26"/>
      <c r="BW15" s="26"/>
      <c r="BX15" s="27">
        <v>0</v>
      </c>
      <c r="BY15" s="26"/>
      <c r="BZ15" s="27">
        <f t="shared" si="101"/>
        <v>0</v>
      </c>
      <c r="CA15" s="27">
        <f t="shared" si="102"/>
        <v>0</v>
      </c>
      <c r="CB15" s="26"/>
      <c r="CC15" s="26"/>
      <c r="CD15" s="27">
        <v>0</v>
      </c>
      <c r="CE15" s="26"/>
      <c r="CF15" s="27">
        <f t="shared" si="103"/>
        <v>0</v>
      </c>
      <c r="CG15" s="27">
        <f t="shared" si="104"/>
        <v>0</v>
      </c>
      <c r="CH15" s="27"/>
      <c r="CI15" s="27"/>
      <c r="CJ15" s="27">
        <v>0</v>
      </c>
      <c r="CK15" s="27"/>
      <c r="CL15" s="27">
        <f t="shared" si="105"/>
        <v>0</v>
      </c>
      <c r="CM15" s="27">
        <f t="shared" si="106"/>
        <v>0</v>
      </c>
      <c r="CN15" s="27"/>
      <c r="CO15" s="27"/>
      <c r="CP15" s="27">
        <v>0</v>
      </c>
      <c r="CQ15" s="27"/>
      <c r="CR15" s="27">
        <f t="shared" si="107"/>
        <v>0</v>
      </c>
      <c r="CS15" s="27">
        <f t="shared" si="108"/>
        <v>0</v>
      </c>
      <c r="CT15" s="27"/>
      <c r="CU15" s="27"/>
      <c r="CV15" s="27">
        <v>0</v>
      </c>
      <c r="CW15" s="27"/>
      <c r="CX15" s="27">
        <f t="shared" si="109"/>
        <v>0</v>
      </c>
      <c r="CY15" s="27">
        <f t="shared" si="110"/>
        <v>0</v>
      </c>
      <c r="CZ15" s="27"/>
      <c r="DA15" s="27"/>
      <c r="DB15" s="27">
        <v>0</v>
      </c>
      <c r="DC15" s="27"/>
      <c r="DD15" s="27">
        <f t="shared" si="111"/>
        <v>0</v>
      </c>
      <c r="DE15" s="27">
        <f t="shared" si="112"/>
        <v>0</v>
      </c>
      <c r="DF15" s="27">
        <f t="shared" si="113"/>
        <v>0</v>
      </c>
      <c r="DG15" s="27">
        <f t="shared" si="114"/>
        <v>0</v>
      </c>
      <c r="DH15" s="27">
        <f t="shared" si="115"/>
        <v>0</v>
      </c>
      <c r="DI15" s="27">
        <f t="shared" si="116"/>
        <v>62000</v>
      </c>
      <c r="DJ15" s="27">
        <f t="shared" si="117"/>
        <v>0</v>
      </c>
      <c r="DK15" s="27">
        <f t="shared" si="118"/>
        <v>62000</v>
      </c>
    </row>
    <row r="16" spans="1:116">
      <c r="A16" s="25">
        <v>8</v>
      </c>
      <c r="B16" s="26" t="s">
        <v>1162</v>
      </c>
      <c r="C16" s="26" t="s">
        <v>1265</v>
      </c>
      <c r="D16" s="26" t="s">
        <v>1264</v>
      </c>
      <c r="E16" s="205" t="s">
        <v>1200</v>
      </c>
      <c r="F16" s="161">
        <f t="shared" si="29"/>
        <v>0</v>
      </c>
      <c r="G16" s="165">
        <f t="shared" si="30"/>
        <v>0</v>
      </c>
      <c r="H16" s="27"/>
      <c r="I16" s="27">
        <v>0</v>
      </c>
      <c r="J16" s="27">
        <v>0</v>
      </c>
      <c r="K16" s="127">
        <f t="shared" si="31"/>
        <v>0</v>
      </c>
      <c r="L16" s="127">
        <f t="shared" si="32"/>
        <v>0</v>
      </c>
      <c r="M16" s="127">
        <f t="shared" si="33"/>
        <v>0</v>
      </c>
      <c r="N16" s="131"/>
      <c r="O16" s="125">
        <f t="shared" si="34"/>
        <v>160000</v>
      </c>
      <c r="P16" s="27">
        <v>0</v>
      </c>
      <c r="Q16" s="27">
        <v>0</v>
      </c>
      <c r="R16" s="27">
        <f t="shared" si="77"/>
        <v>0</v>
      </c>
      <c r="S16" s="27">
        <f t="shared" si="78"/>
        <v>0</v>
      </c>
      <c r="T16" s="27"/>
      <c r="U16" s="27"/>
      <c r="V16" s="27">
        <v>0</v>
      </c>
      <c r="W16" s="27"/>
      <c r="X16" s="27">
        <f t="shared" si="79"/>
        <v>0</v>
      </c>
      <c r="Y16" s="27">
        <f t="shared" si="80"/>
        <v>0</v>
      </c>
      <c r="Z16" s="27">
        <v>0</v>
      </c>
      <c r="AA16" s="27"/>
      <c r="AB16" s="27"/>
      <c r="AC16" s="27"/>
      <c r="AD16" s="27">
        <f t="shared" si="81"/>
        <v>0</v>
      </c>
      <c r="AE16" s="27">
        <f t="shared" si="82"/>
        <v>0</v>
      </c>
      <c r="AF16" s="27">
        <f t="shared" si="83"/>
        <v>0</v>
      </c>
      <c r="AG16" s="27">
        <f t="shared" si="84"/>
        <v>0</v>
      </c>
      <c r="AH16" s="27">
        <f t="shared" si="85"/>
        <v>0</v>
      </c>
      <c r="AI16" s="27">
        <f t="shared" si="86"/>
        <v>0</v>
      </c>
      <c r="AJ16" s="27">
        <f t="shared" si="87"/>
        <v>0</v>
      </c>
      <c r="AK16" s="27">
        <f t="shared" si="88"/>
        <v>0</v>
      </c>
      <c r="AL16" s="27"/>
      <c r="AM16" s="27"/>
      <c r="AN16" s="27">
        <v>0</v>
      </c>
      <c r="AO16" s="27"/>
      <c r="AP16" s="27">
        <f t="shared" si="89"/>
        <v>0</v>
      </c>
      <c r="AQ16" s="27">
        <f t="shared" si="90"/>
        <v>0</v>
      </c>
      <c r="AR16" s="27"/>
      <c r="AS16" s="27"/>
      <c r="AT16" s="27">
        <v>0</v>
      </c>
      <c r="AU16" s="27"/>
      <c r="AV16" s="27">
        <f t="shared" si="91"/>
        <v>0</v>
      </c>
      <c r="AW16" s="27">
        <f t="shared" si="92"/>
        <v>0</v>
      </c>
      <c r="AX16" s="27"/>
      <c r="AY16" s="27"/>
      <c r="AZ16" s="27">
        <v>0</v>
      </c>
      <c r="BA16" s="27">
        <v>160000</v>
      </c>
      <c r="BB16" s="27">
        <f t="shared" si="93"/>
        <v>0</v>
      </c>
      <c r="BC16" s="27">
        <f t="shared" si="94"/>
        <v>160000</v>
      </c>
      <c r="BD16" s="27"/>
      <c r="BE16" s="27"/>
      <c r="BF16" s="27">
        <v>0</v>
      </c>
      <c r="BG16" s="27"/>
      <c r="BH16" s="27">
        <f t="shared" si="95"/>
        <v>0</v>
      </c>
      <c r="BI16" s="27">
        <f t="shared" si="96"/>
        <v>0</v>
      </c>
      <c r="BJ16" s="27"/>
      <c r="BK16" s="27"/>
      <c r="BL16" s="27">
        <v>0</v>
      </c>
      <c r="BM16" s="27"/>
      <c r="BN16" s="27">
        <f t="shared" si="97"/>
        <v>0</v>
      </c>
      <c r="BO16" s="27">
        <f t="shared" si="98"/>
        <v>0</v>
      </c>
      <c r="BP16" s="26"/>
      <c r="BQ16" s="26"/>
      <c r="BR16" s="27">
        <v>0</v>
      </c>
      <c r="BS16" s="27"/>
      <c r="BT16" s="27">
        <f t="shared" si="99"/>
        <v>0</v>
      </c>
      <c r="BU16" s="27">
        <f t="shared" si="100"/>
        <v>0</v>
      </c>
      <c r="BV16" s="26"/>
      <c r="BW16" s="26"/>
      <c r="BX16" s="27">
        <v>0</v>
      </c>
      <c r="BY16" s="26"/>
      <c r="BZ16" s="27">
        <f t="shared" si="101"/>
        <v>0</v>
      </c>
      <c r="CA16" s="27">
        <f t="shared" si="102"/>
        <v>0</v>
      </c>
      <c r="CB16" s="26"/>
      <c r="CC16" s="26"/>
      <c r="CD16" s="27">
        <v>0</v>
      </c>
      <c r="CE16" s="26"/>
      <c r="CF16" s="27">
        <f t="shared" si="103"/>
        <v>0</v>
      </c>
      <c r="CG16" s="27">
        <f t="shared" si="104"/>
        <v>0</v>
      </c>
      <c r="CH16" s="27"/>
      <c r="CI16" s="27"/>
      <c r="CJ16" s="27">
        <v>0</v>
      </c>
      <c r="CK16" s="27"/>
      <c r="CL16" s="27">
        <f t="shared" si="105"/>
        <v>0</v>
      </c>
      <c r="CM16" s="27">
        <f t="shared" si="106"/>
        <v>0</v>
      </c>
      <c r="CN16" s="27"/>
      <c r="CO16" s="27"/>
      <c r="CP16" s="27">
        <v>0</v>
      </c>
      <c r="CQ16" s="27"/>
      <c r="CR16" s="27">
        <f t="shared" si="107"/>
        <v>0</v>
      </c>
      <c r="CS16" s="27">
        <f t="shared" si="108"/>
        <v>0</v>
      </c>
      <c r="CT16" s="27"/>
      <c r="CU16" s="27"/>
      <c r="CV16" s="27">
        <v>0</v>
      </c>
      <c r="CW16" s="27"/>
      <c r="CX16" s="27">
        <f t="shared" si="109"/>
        <v>0</v>
      </c>
      <c r="CY16" s="27">
        <f t="shared" si="110"/>
        <v>0</v>
      </c>
      <c r="CZ16" s="27"/>
      <c r="DA16" s="27"/>
      <c r="DB16" s="27">
        <v>0</v>
      </c>
      <c r="DC16" s="27"/>
      <c r="DD16" s="27">
        <f t="shared" si="111"/>
        <v>0</v>
      </c>
      <c r="DE16" s="27">
        <f t="shared" si="112"/>
        <v>0</v>
      </c>
      <c r="DF16" s="27">
        <f t="shared" si="113"/>
        <v>0</v>
      </c>
      <c r="DG16" s="27">
        <f t="shared" si="114"/>
        <v>0</v>
      </c>
      <c r="DH16" s="27">
        <f t="shared" si="115"/>
        <v>0</v>
      </c>
      <c r="DI16" s="27">
        <f t="shared" si="116"/>
        <v>160000</v>
      </c>
      <c r="DJ16" s="27">
        <f t="shared" si="117"/>
        <v>0</v>
      </c>
      <c r="DK16" s="27">
        <f t="shared" si="118"/>
        <v>160000</v>
      </c>
    </row>
    <row r="17" spans="1:115">
      <c r="A17" s="25">
        <v>9</v>
      </c>
      <c r="B17" s="26" t="s">
        <v>1162</v>
      </c>
      <c r="C17" s="26" t="s">
        <v>1272</v>
      </c>
      <c r="D17" s="26" t="s">
        <v>1273</v>
      </c>
      <c r="E17" s="205" t="s">
        <v>1200</v>
      </c>
      <c r="F17" s="161">
        <f t="shared" si="29"/>
        <v>0</v>
      </c>
      <c r="G17" s="165">
        <f t="shared" si="30"/>
        <v>0</v>
      </c>
      <c r="H17" s="27"/>
      <c r="I17" s="27">
        <v>0</v>
      </c>
      <c r="J17" s="27">
        <v>0</v>
      </c>
      <c r="K17" s="127">
        <f t="shared" si="31"/>
        <v>0</v>
      </c>
      <c r="L17" s="127">
        <f t="shared" si="32"/>
        <v>0</v>
      </c>
      <c r="M17" s="127">
        <f t="shared" si="33"/>
        <v>0</v>
      </c>
      <c r="N17" s="131"/>
      <c r="O17" s="125">
        <f t="shared" si="34"/>
        <v>136486.04999999999</v>
      </c>
      <c r="P17" s="27">
        <v>0</v>
      </c>
      <c r="Q17" s="27">
        <v>0</v>
      </c>
      <c r="R17" s="27">
        <f t="shared" si="77"/>
        <v>0</v>
      </c>
      <c r="S17" s="27">
        <f t="shared" si="78"/>
        <v>0</v>
      </c>
      <c r="T17" s="27"/>
      <c r="U17" s="27"/>
      <c r="V17" s="27">
        <v>0</v>
      </c>
      <c r="W17" s="27"/>
      <c r="X17" s="27">
        <f t="shared" si="79"/>
        <v>0</v>
      </c>
      <c r="Y17" s="27">
        <f t="shared" si="80"/>
        <v>0</v>
      </c>
      <c r="Z17" s="27">
        <v>0</v>
      </c>
      <c r="AA17" s="27"/>
      <c r="AB17" s="27"/>
      <c r="AC17" s="27"/>
      <c r="AD17" s="27">
        <f t="shared" si="81"/>
        <v>0</v>
      </c>
      <c r="AE17" s="27">
        <f t="shared" si="82"/>
        <v>0</v>
      </c>
      <c r="AF17" s="27">
        <f t="shared" si="83"/>
        <v>0</v>
      </c>
      <c r="AG17" s="27">
        <f t="shared" si="84"/>
        <v>0</v>
      </c>
      <c r="AH17" s="27">
        <f t="shared" si="85"/>
        <v>0</v>
      </c>
      <c r="AI17" s="27">
        <f t="shared" si="86"/>
        <v>0</v>
      </c>
      <c r="AJ17" s="27">
        <f t="shared" si="87"/>
        <v>0</v>
      </c>
      <c r="AK17" s="27">
        <f t="shared" si="88"/>
        <v>0</v>
      </c>
      <c r="AL17" s="27"/>
      <c r="AM17" s="27"/>
      <c r="AN17" s="27">
        <v>0</v>
      </c>
      <c r="AO17" s="27"/>
      <c r="AP17" s="27">
        <f t="shared" si="89"/>
        <v>0</v>
      </c>
      <c r="AQ17" s="27">
        <f t="shared" si="90"/>
        <v>0</v>
      </c>
      <c r="AR17" s="27"/>
      <c r="AS17" s="27"/>
      <c r="AT17" s="27">
        <v>0</v>
      </c>
      <c r="AU17" s="27"/>
      <c r="AV17" s="27">
        <f t="shared" si="91"/>
        <v>0</v>
      </c>
      <c r="AW17" s="27">
        <f t="shared" si="92"/>
        <v>0</v>
      </c>
      <c r="AX17" s="27"/>
      <c r="AY17" s="27"/>
      <c r="AZ17" s="27">
        <v>0</v>
      </c>
      <c r="BA17" s="27"/>
      <c r="BB17" s="27">
        <f t="shared" si="93"/>
        <v>0</v>
      </c>
      <c r="BC17" s="27">
        <f t="shared" si="94"/>
        <v>0</v>
      </c>
      <c r="BD17" s="27"/>
      <c r="BE17" s="27">
        <v>118000</v>
      </c>
      <c r="BF17" s="27">
        <v>0</v>
      </c>
      <c r="BG17" s="27"/>
      <c r="BH17" s="27">
        <f t="shared" si="95"/>
        <v>0</v>
      </c>
      <c r="BI17" s="27">
        <f t="shared" si="96"/>
        <v>118000</v>
      </c>
      <c r="BJ17" s="27"/>
      <c r="BK17" s="27"/>
      <c r="BL17" s="27">
        <v>0</v>
      </c>
      <c r="BM17" s="27">
        <v>18486.05</v>
      </c>
      <c r="BN17" s="27">
        <f t="shared" si="97"/>
        <v>0</v>
      </c>
      <c r="BO17" s="27">
        <f t="shared" si="98"/>
        <v>18486.05</v>
      </c>
      <c r="BP17" s="26"/>
      <c r="BQ17" s="26"/>
      <c r="BR17" s="27">
        <v>0</v>
      </c>
      <c r="BS17" s="27"/>
      <c r="BT17" s="27">
        <f t="shared" si="99"/>
        <v>0</v>
      </c>
      <c r="BU17" s="27">
        <f t="shared" si="100"/>
        <v>0</v>
      </c>
      <c r="BV17" s="26"/>
      <c r="BW17" s="26"/>
      <c r="BX17" s="27">
        <v>0</v>
      </c>
      <c r="BY17" s="26"/>
      <c r="BZ17" s="27">
        <f t="shared" si="101"/>
        <v>0</v>
      </c>
      <c r="CA17" s="27">
        <f t="shared" si="102"/>
        <v>0</v>
      </c>
      <c r="CB17" s="26"/>
      <c r="CC17" s="26"/>
      <c r="CD17" s="27">
        <v>0</v>
      </c>
      <c r="CE17" s="26"/>
      <c r="CF17" s="27">
        <f t="shared" si="103"/>
        <v>0</v>
      </c>
      <c r="CG17" s="27">
        <f t="shared" si="104"/>
        <v>0</v>
      </c>
      <c r="CH17" s="27"/>
      <c r="CI17" s="27"/>
      <c r="CJ17" s="27">
        <v>0</v>
      </c>
      <c r="CK17" s="27"/>
      <c r="CL17" s="27">
        <f t="shared" si="105"/>
        <v>0</v>
      </c>
      <c r="CM17" s="27">
        <f t="shared" si="106"/>
        <v>0</v>
      </c>
      <c r="CN17" s="27"/>
      <c r="CO17" s="27"/>
      <c r="CP17" s="27">
        <v>0</v>
      </c>
      <c r="CQ17" s="27"/>
      <c r="CR17" s="27">
        <f t="shared" si="107"/>
        <v>0</v>
      </c>
      <c r="CS17" s="27">
        <f t="shared" si="108"/>
        <v>0</v>
      </c>
      <c r="CT17" s="27"/>
      <c r="CU17" s="27"/>
      <c r="CV17" s="27">
        <v>0</v>
      </c>
      <c r="CW17" s="27"/>
      <c r="CX17" s="27">
        <f t="shared" si="109"/>
        <v>0</v>
      </c>
      <c r="CY17" s="27">
        <f t="shared" si="110"/>
        <v>0</v>
      </c>
      <c r="CZ17" s="27"/>
      <c r="DA17" s="27"/>
      <c r="DB17" s="27">
        <v>0</v>
      </c>
      <c r="DC17" s="27"/>
      <c r="DD17" s="27">
        <f t="shared" si="111"/>
        <v>0</v>
      </c>
      <c r="DE17" s="27">
        <f t="shared" si="112"/>
        <v>0</v>
      </c>
      <c r="DF17" s="27">
        <f t="shared" si="113"/>
        <v>0</v>
      </c>
      <c r="DG17" s="27">
        <f t="shared" si="114"/>
        <v>118000</v>
      </c>
      <c r="DH17" s="27">
        <f t="shared" si="115"/>
        <v>0</v>
      </c>
      <c r="DI17" s="27">
        <f t="shared" si="116"/>
        <v>18486.05</v>
      </c>
      <c r="DJ17" s="27">
        <f t="shared" si="117"/>
        <v>0</v>
      </c>
      <c r="DK17" s="27">
        <f t="shared" si="118"/>
        <v>136486.04999999999</v>
      </c>
    </row>
    <row r="18" spans="1:115">
      <c r="A18" s="25">
        <v>10</v>
      </c>
      <c r="B18" s="26" t="s">
        <v>1162</v>
      </c>
      <c r="C18" s="26" t="s">
        <v>1275</v>
      </c>
      <c r="D18" s="26" t="s">
        <v>1274</v>
      </c>
      <c r="E18" s="205" t="s">
        <v>1200</v>
      </c>
      <c r="F18" s="161">
        <f t="shared" si="29"/>
        <v>0</v>
      </c>
      <c r="G18" s="165">
        <f t="shared" si="30"/>
        <v>0</v>
      </c>
      <c r="H18" s="27"/>
      <c r="I18" s="27">
        <v>0</v>
      </c>
      <c r="J18" s="27">
        <v>0</v>
      </c>
      <c r="K18" s="127">
        <f t="shared" si="31"/>
        <v>0</v>
      </c>
      <c r="L18" s="127">
        <f t="shared" si="32"/>
        <v>0</v>
      </c>
      <c r="M18" s="127">
        <f t="shared" si="33"/>
        <v>0</v>
      </c>
      <c r="N18" s="131"/>
      <c r="O18" s="125">
        <f t="shared" si="34"/>
        <v>136486.04999999999</v>
      </c>
      <c r="P18" s="27">
        <v>0</v>
      </c>
      <c r="Q18" s="27">
        <v>0</v>
      </c>
      <c r="R18" s="27">
        <f t="shared" si="77"/>
        <v>0</v>
      </c>
      <c r="S18" s="27">
        <f t="shared" si="78"/>
        <v>0</v>
      </c>
      <c r="T18" s="27"/>
      <c r="U18" s="27"/>
      <c r="V18" s="27">
        <v>0</v>
      </c>
      <c r="W18" s="27"/>
      <c r="X18" s="27">
        <f t="shared" si="79"/>
        <v>0</v>
      </c>
      <c r="Y18" s="27">
        <f t="shared" si="80"/>
        <v>0</v>
      </c>
      <c r="Z18" s="27">
        <v>0</v>
      </c>
      <c r="AA18" s="27"/>
      <c r="AB18" s="27"/>
      <c r="AC18" s="27"/>
      <c r="AD18" s="27">
        <f t="shared" si="81"/>
        <v>0</v>
      </c>
      <c r="AE18" s="27">
        <f t="shared" si="82"/>
        <v>0</v>
      </c>
      <c r="AF18" s="27">
        <f t="shared" si="83"/>
        <v>0</v>
      </c>
      <c r="AG18" s="27">
        <f t="shared" si="84"/>
        <v>0</v>
      </c>
      <c r="AH18" s="27">
        <f t="shared" si="85"/>
        <v>0</v>
      </c>
      <c r="AI18" s="27">
        <f t="shared" si="86"/>
        <v>0</v>
      </c>
      <c r="AJ18" s="27">
        <f t="shared" si="87"/>
        <v>0</v>
      </c>
      <c r="AK18" s="27">
        <f t="shared" si="88"/>
        <v>0</v>
      </c>
      <c r="AL18" s="27"/>
      <c r="AM18" s="27"/>
      <c r="AN18" s="27">
        <v>0</v>
      </c>
      <c r="AO18" s="27"/>
      <c r="AP18" s="27">
        <f t="shared" si="89"/>
        <v>0</v>
      </c>
      <c r="AQ18" s="27">
        <f t="shared" si="90"/>
        <v>0</v>
      </c>
      <c r="AR18" s="27"/>
      <c r="AS18" s="27"/>
      <c r="AT18" s="27">
        <v>0</v>
      </c>
      <c r="AU18" s="27"/>
      <c r="AV18" s="27">
        <f t="shared" si="91"/>
        <v>0</v>
      </c>
      <c r="AW18" s="27">
        <f t="shared" si="92"/>
        <v>0</v>
      </c>
      <c r="AX18" s="27"/>
      <c r="AY18" s="27"/>
      <c r="AZ18" s="27">
        <v>0</v>
      </c>
      <c r="BA18" s="27"/>
      <c r="BB18" s="27">
        <f t="shared" si="93"/>
        <v>0</v>
      </c>
      <c r="BC18" s="27">
        <f t="shared" si="94"/>
        <v>0</v>
      </c>
      <c r="BD18" s="27"/>
      <c r="BE18" s="27">
        <v>118000</v>
      </c>
      <c r="BF18" s="27">
        <v>0</v>
      </c>
      <c r="BG18" s="27"/>
      <c r="BH18" s="27">
        <f t="shared" si="95"/>
        <v>0</v>
      </c>
      <c r="BI18" s="27">
        <f t="shared" si="96"/>
        <v>118000</v>
      </c>
      <c r="BJ18" s="27"/>
      <c r="BK18" s="27"/>
      <c r="BL18" s="27">
        <v>0</v>
      </c>
      <c r="BM18" s="27">
        <v>18486.05</v>
      </c>
      <c r="BN18" s="27">
        <f t="shared" si="97"/>
        <v>0</v>
      </c>
      <c r="BO18" s="27">
        <f t="shared" si="98"/>
        <v>18486.05</v>
      </c>
      <c r="BP18" s="26"/>
      <c r="BQ18" s="26"/>
      <c r="BR18" s="27">
        <v>0</v>
      </c>
      <c r="BS18" s="27"/>
      <c r="BT18" s="27">
        <f t="shared" si="99"/>
        <v>0</v>
      </c>
      <c r="BU18" s="27">
        <f t="shared" si="100"/>
        <v>0</v>
      </c>
      <c r="BV18" s="26"/>
      <c r="BW18" s="26"/>
      <c r="BX18" s="27">
        <v>0</v>
      </c>
      <c r="BY18" s="26"/>
      <c r="BZ18" s="27">
        <f t="shared" si="101"/>
        <v>0</v>
      </c>
      <c r="CA18" s="27">
        <f t="shared" si="102"/>
        <v>0</v>
      </c>
      <c r="CB18" s="26"/>
      <c r="CC18" s="26"/>
      <c r="CD18" s="27">
        <v>0</v>
      </c>
      <c r="CE18" s="26"/>
      <c r="CF18" s="27">
        <f t="shared" si="103"/>
        <v>0</v>
      </c>
      <c r="CG18" s="27">
        <f t="shared" si="104"/>
        <v>0</v>
      </c>
      <c r="CH18" s="27"/>
      <c r="CI18" s="27"/>
      <c r="CJ18" s="27">
        <v>0</v>
      </c>
      <c r="CK18" s="27"/>
      <c r="CL18" s="27">
        <f t="shared" si="105"/>
        <v>0</v>
      </c>
      <c r="CM18" s="27">
        <f t="shared" si="106"/>
        <v>0</v>
      </c>
      <c r="CN18" s="27"/>
      <c r="CO18" s="27"/>
      <c r="CP18" s="27">
        <v>0</v>
      </c>
      <c r="CQ18" s="27"/>
      <c r="CR18" s="27">
        <f t="shared" si="107"/>
        <v>0</v>
      </c>
      <c r="CS18" s="27">
        <f t="shared" si="108"/>
        <v>0</v>
      </c>
      <c r="CT18" s="27"/>
      <c r="CU18" s="27"/>
      <c r="CV18" s="27">
        <v>0</v>
      </c>
      <c r="CW18" s="27"/>
      <c r="CX18" s="27">
        <f t="shared" si="109"/>
        <v>0</v>
      </c>
      <c r="CY18" s="27">
        <f t="shared" si="110"/>
        <v>0</v>
      </c>
      <c r="CZ18" s="27"/>
      <c r="DA18" s="27"/>
      <c r="DB18" s="27">
        <v>0</v>
      </c>
      <c r="DC18" s="27"/>
      <c r="DD18" s="27">
        <f t="shared" si="111"/>
        <v>0</v>
      </c>
      <c r="DE18" s="27">
        <f t="shared" si="112"/>
        <v>0</v>
      </c>
      <c r="DF18" s="27">
        <f t="shared" si="113"/>
        <v>0</v>
      </c>
      <c r="DG18" s="27">
        <f t="shared" si="114"/>
        <v>118000</v>
      </c>
      <c r="DH18" s="27">
        <f t="shared" si="115"/>
        <v>0</v>
      </c>
      <c r="DI18" s="27">
        <f t="shared" si="116"/>
        <v>18486.05</v>
      </c>
      <c r="DJ18" s="27">
        <f t="shared" si="117"/>
        <v>0</v>
      </c>
      <c r="DK18" s="27">
        <f t="shared" si="118"/>
        <v>136486.04999999999</v>
      </c>
    </row>
    <row r="19" spans="1:115">
      <c r="A19" s="25">
        <v>11</v>
      </c>
      <c r="B19" s="26" t="s">
        <v>1162</v>
      </c>
      <c r="C19" s="26"/>
      <c r="D19" s="26" t="s">
        <v>1276</v>
      </c>
      <c r="E19" s="205" t="s">
        <v>1200</v>
      </c>
      <c r="F19" s="161">
        <f t="shared" si="29"/>
        <v>0</v>
      </c>
      <c r="G19" s="165">
        <f t="shared" si="30"/>
        <v>0</v>
      </c>
      <c r="H19" s="27"/>
      <c r="I19" s="27">
        <v>0</v>
      </c>
      <c r="J19" s="27">
        <v>0</v>
      </c>
      <c r="K19" s="127">
        <f t="shared" si="31"/>
        <v>0</v>
      </c>
      <c r="L19" s="127">
        <f t="shared" si="32"/>
        <v>0</v>
      </c>
      <c r="M19" s="127">
        <f t="shared" si="33"/>
        <v>0</v>
      </c>
      <c r="N19" s="131"/>
      <c r="O19" s="125">
        <f t="shared" si="34"/>
        <v>22500</v>
      </c>
      <c r="P19" s="27">
        <v>0</v>
      </c>
      <c r="Q19" s="27">
        <v>0</v>
      </c>
      <c r="R19" s="27">
        <f t="shared" si="77"/>
        <v>0</v>
      </c>
      <c r="S19" s="27">
        <f t="shared" si="78"/>
        <v>0</v>
      </c>
      <c r="T19" s="27"/>
      <c r="U19" s="27"/>
      <c r="V19" s="27">
        <v>0</v>
      </c>
      <c r="W19" s="27"/>
      <c r="X19" s="27">
        <f t="shared" si="79"/>
        <v>0</v>
      </c>
      <c r="Y19" s="27">
        <f t="shared" si="80"/>
        <v>0</v>
      </c>
      <c r="Z19" s="27">
        <v>0</v>
      </c>
      <c r="AA19" s="27"/>
      <c r="AB19" s="27"/>
      <c r="AC19" s="27"/>
      <c r="AD19" s="27">
        <f t="shared" si="81"/>
        <v>0</v>
      </c>
      <c r="AE19" s="27">
        <f t="shared" si="82"/>
        <v>0</v>
      </c>
      <c r="AF19" s="27">
        <f t="shared" si="83"/>
        <v>0</v>
      </c>
      <c r="AG19" s="27">
        <f t="shared" si="84"/>
        <v>0</v>
      </c>
      <c r="AH19" s="27">
        <f t="shared" si="85"/>
        <v>0</v>
      </c>
      <c r="AI19" s="27">
        <f t="shared" si="86"/>
        <v>0</v>
      </c>
      <c r="AJ19" s="27">
        <f t="shared" si="87"/>
        <v>0</v>
      </c>
      <c r="AK19" s="27">
        <f t="shared" si="88"/>
        <v>0</v>
      </c>
      <c r="AL19" s="27"/>
      <c r="AM19" s="27"/>
      <c r="AN19" s="27">
        <v>0</v>
      </c>
      <c r="AO19" s="27"/>
      <c r="AP19" s="27">
        <f t="shared" si="89"/>
        <v>0</v>
      </c>
      <c r="AQ19" s="27">
        <f t="shared" si="90"/>
        <v>0</v>
      </c>
      <c r="AR19" s="27"/>
      <c r="AS19" s="27"/>
      <c r="AT19" s="27">
        <v>0</v>
      </c>
      <c r="AU19" s="27"/>
      <c r="AV19" s="27">
        <f t="shared" si="91"/>
        <v>0</v>
      </c>
      <c r="AW19" s="27">
        <f t="shared" si="92"/>
        <v>0</v>
      </c>
      <c r="AX19" s="27"/>
      <c r="AY19" s="27"/>
      <c r="AZ19" s="27">
        <v>0</v>
      </c>
      <c r="BA19" s="27"/>
      <c r="BB19" s="27">
        <f t="shared" si="93"/>
        <v>0</v>
      </c>
      <c r="BC19" s="27">
        <f t="shared" si="94"/>
        <v>0</v>
      </c>
      <c r="BD19" s="27"/>
      <c r="BE19" s="27"/>
      <c r="BF19" s="27">
        <v>0</v>
      </c>
      <c r="BG19" s="27">
        <v>22500</v>
      </c>
      <c r="BH19" s="27">
        <f t="shared" si="95"/>
        <v>0</v>
      </c>
      <c r="BI19" s="27">
        <f t="shared" si="96"/>
        <v>22500</v>
      </c>
      <c r="BJ19" s="27"/>
      <c r="BK19" s="27"/>
      <c r="BL19" s="27">
        <v>0</v>
      </c>
      <c r="BM19" s="27"/>
      <c r="BN19" s="27">
        <f t="shared" si="97"/>
        <v>0</v>
      </c>
      <c r="BO19" s="27">
        <f t="shared" si="98"/>
        <v>0</v>
      </c>
      <c r="BP19" s="26"/>
      <c r="BQ19" s="26"/>
      <c r="BR19" s="27">
        <v>0</v>
      </c>
      <c r="BS19" s="27"/>
      <c r="BT19" s="27">
        <f t="shared" si="99"/>
        <v>0</v>
      </c>
      <c r="BU19" s="27">
        <f t="shared" si="100"/>
        <v>0</v>
      </c>
      <c r="BV19" s="26"/>
      <c r="BW19" s="26"/>
      <c r="BX19" s="27">
        <v>0</v>
      </c>
      <c r="BY19" s="26"/>
      <c r="BZ19" s="27">
        <f t="shared" si="101"/>
        <v>0</v>
      </c>
      <c r="CA19" s="27">
        <f t="shared" si="102"/>
        <v>0</v>
      </c>
      <c r="CB19" s="26"/>
      <c r="CC19" s="26"/>
      <c r="CD19" s="27">
        <v>0</v>
      </c>
      <c r="CE19" s="26"/>
      <c r="CF19" s="27">
        <f t="shared" si="103"/>
        <v>0</v>
      </c>
      <c r="CG19" s="27">
        <f t="shared" si="104"/>
        <v>0</v>
      </c>
      <c r="CH19" s="27"/>
      <c r="CI19" s="27"/>
      <c r="CJ19" s="27">
        <v>0</v>
      </c>
      <c r="CK19" s="27"/>
      <c r="CL19" s="27">
        <f t="shared" si="105"/>
        <v>0</v>
      </c>
      <c r="CM19" s="27">
        <f t="shared" si="106"/>
        <v>0</v>
      </c>
      <c r="CN19" s="27"/>
      <c r="CO19" s="27"/>
      <c r="CP19" s="27">
        <v>0</v>
      </c>
      <c r="CQ19" s="27"/>
      <c r="CR19" s="27">
        <f t="shared" si="107"/>
        <v>0</v>
      </c>
      <c r="CS19" s="27">
        <f t="shared" si="108"/>
        <v>0</v>
      </c>
      <c r="CT19" s="27"/>
      <c r="CU19" s="27"/>
      <c r="CV19" s="27">
        <v>0</v>
      </c>
      <c r="CW19" s="27"/>
      <c r="CX19" s="27">
        <f t="shared" si="109"/>
        <v>0</v>
      </c>
      <c r="CY19" s="27">
        <f t="shared" si="110"/>
        <v>0</v>
      </c>
      <c r="CZ19" s="27"/>
      <c r="DA19" s="27"/>
      <c r="DB19" s="27">
        <v>0</v>
      </c>
      <c r="DC19" s="27"/>
      <c r="DD19" s="27">
        <f t="shared" si="111"/>
        <v>0</v>
      </c>
      <c r="DE19" s="27">
        <f t="shared" si="112"/>
        <v>0</v>
      </c>
      <c r="DF19" s="27">
        <f t="shared" si="113"/>
        <v>0</v>
      </c>
      <c r="DG19" s="27">
        <f t="shared" si="114"/>
        <v>0</v>
      </c>
      <c r="DH19" s="27">
        <f t="shared" si="115"/>
        <v>0</v>
      </c>
      <c r="DI19" s="27">
        <f t="shared" si="116"/>
        <v>22500</v>
      </c>
      <c r="DJ19" s="27">
        <f t="shared" si="117"/>
        <v>0</v>
      </c>
      <c r="DK19" s="27">
        <f t="shared" si="118"/>
        <v>22500</v>
      </c>
    </row>
    <row r="20" spans="1:115">
      <c r="A20" s="25">
        <v>12</v>
      </c>
      <c r="B20" s="26" t="s">
        <v>1162</v>
      </c>
      <c r="C20" s="26"/>
      <c r="D20" s="26" t="s">
        <v>1296</v>
      </c>
      <c r="E20" s="205" t="s">
        <v>1200</v>
      </c>
      <c r="F20" s="161">
        <f t="shared" si="29"/>
        <v>0</v>
      </c>
      <c r="G20" s="165">
        <f t="shared" si="30"/>
        <v>0</v>
      </c>
      <c r="H20" s="27"/>
      <c r="I20" s="27">
        <v>0</v>
      </c>
      <c r="J20" s="27">
        <v>0</v>
      </c>
      <c r="K20" s="127">
        <f t="shared" si="31"/>
        <v>0</v>
      </c>
      <c r="L20" s="127">
        <f t="shared" si="32"/>
        <v>0</v>
      </c>
      <c r="M20" s="127">
        <f t="shared" si="33"/>
        <v>0</v>
      </c>
      <c r="N20" s="131"/>
      <c r="O20" s="125">
        <f t="shared" si="34"/>
        <v>22500</v>
      </c>
      <c r="P20" s="27">
        <v>0</v>
      </c>
      <c r="Q20" s="27">
        <v>0</v>
      </c>
      <c r="R20" s="27">
        <f t="shared" si="77"/>
        <v>0</v>
      </c>
      <c r="S20" s="27">
        <f t="shared" si="78"/>
        <v>0</v>
      </c>
      <c r="T20" s="27"/>
      <c r="U20" s="27"/>
      <c r="V20" s="27">
        <v>0</v>
      </c>
      <c r="W20" s="27"/>
      <c r="X20" s="27">
        <f t="shared" si="79"/>
        <v>0</v>
      </c>
      <c r="Y20" s="27">
        <f t="shared" si="80"/>
        <v>0</v>
      </c>
      <c r="Z20" s="27">
        <v>0</v>
      </c>
      <c r="AA20" s="27"/>
      <c r="AB20" s="27"/>
      <c r="AC20" s="27"/>
      <c r="AD20" s="27">
        <f t="shared" si="81"/>
        <v>0</v>
      </c>
      <c r="AE20" s="27">
        <f t="shared" si="82"/>
        <v>0</v>
      </c>
      <c r="AF20" s="27">
        <f t="shared" si="83"/>
        <v>0</v>
      </c>
      <c r="AG20" s="27">
        <f t="shared" si="84"/>
        <v>0</v>
      </c>
      <c r="AH20" s="27">
        <f t="shared" si="85"/>
        <v>0</v>
      </c>
      <c r="AI20" s="27">
        <f t="shared" si="86"/>
        <v>0</v>
      </c>
      <c r="AJ20" s="27">
        <f t="shared" si="87"/>
        <v>0</v>
      </c>
      <c r="AK20" s="27">
        <f t="shared" si="88"/>
        <v>0</v>
      </c>
      <c r="AL20" s="27"/>
      <c r="AM20" s="27"/>
      <c r="AN20" s="27">
        <v>0</v>
      </c>
      <c r="AO20" s="27"/>
      <c r="AP20" s="27">
        <f t="shared" si="89"/>
        <v>0</v>
      </c>
      <c r="AQ20" s="27">
        <f t="shared" si="90"/>
        <v>0</v>
      </c>
      <c r="AR20" s="27"/>
      <c r="AS20" s="27"/>
      <c r="AT20" s="27">
        <v>0</v>
      </c>
      <c r="AU20" s="27"/>
      <c r="AV20" s="27">
        <f t="shared" si="91"/>
        <v>0</v>
      </c>
      <c r="AW20" s="27">
        <f t="shared" si="92"/>
        <v>0</v>
      </c>
      <c r="AX20" s="27"/>
      <c r="AY20" s="27"/>
      <c r="AZ20" s="27">
        <v>0</v>
      </c>
      <c r="BA20" s="27"/>
      <c r="BB20" s="27">
        <f t="shared" si="93"/>
        <v>0</v>
      </c>
      <c r="BC20" s="27">
        <f t="shared" si="94"/>
        <v>0</v>
      </c>
      <c r="BD20" s="27"/>
      <c r="BE20" s="27"/>
      <c r="BF20" s="27">
        <v>0</v>
      </c>
      <c r="BG20" s="27"/>
      <c r="BH20" s="27">
        <f t="shared" si="95"/>
        <v>0</v>
      </c>
      <c r="BI20" s="27">
        <f t="shared" si="96"/>
        <v>0</v>
      </c>
      <c r="BJ20" s="27"/>
      <c r="BK20" s="27"/>
      <c r="BL20" s="27">
        <v>0</v>
      </c>
      <c r="BM20" s="27">
        <v>22500</v>
      </c>
      <c r="BN20" s="27">
        <f t="shared" si="97"/>
        <v>0</v>
      </c>
      <c r="BO20" s="27">
        <f t="shared" si="98"/>
        <v>22500</v>
      </c>
      <c r="BP20" s="26"/>
      <c r="BQ20" s="26"/>
      <c r="BR20" s="27">
        <v>0</v>
      </c>
      <c r="BS20" s="27"/>
      <c r="BT20" s="27">
        <f t="shared" si="99"/>
        <v>0</v>
      </c>
      <c r="BU20" s="27">
        <f t="shared" si="100"/>
        <v>0</v>
      </c>
      <c r="BV20" s="26"/>
      <c r="BW20" s="26"/>
      <c r="BX20" s="27">
        <v>0</v>
      </c>
      <c r="BY20" s="26"/>
      <c r="BZ20" s="27">
        <f t="shared" si="101"/>
        <v>0</v>
      </c>
      <c r="CA20" s="27">
        <f t="shared" si="102"/>
        <v>0</v>
      </c>
      <c r="CB20" s="26"/>
      <c r="CC20" s="26"/>
      <c r="CD20" s="27">
        <v>0</v>
      </c>
      <c r="CE20" s="26"/>
      <c r="CF20" s="27">
        <f t="shared" si="103"/>
        <v>0</v>
      </c>
      <c r="CG20" s="27">
        <f t="shared" si="104"/>
        <v>0</v>
      </c>
      <c r="CH20" s="27"/>
      <c r="CI20" s="27"/>
      <c r="CJ20" s="27">
        <v>0</v>
      </c>
      <c r="CK20" s="27"/>
      <c r="CL20" s="27">
        <f t="shared" si="105"/>
        <v>0</v>
      </c>
      <c r="CM20" s="27">
        <f t="shared" si="106"/>
        <v>0</v>
      </c>
      <c r="CN20" s="27"/>
      <c r="CO20" s="27"/>
      <c r="CP20" s="27">
        <v>0</v>
      </c>
      <c r="CQ20" s="27"/>
      <c r="CR20" s="27">
        <f t="shared" si="107"/>
        <v>0</v>
      </c>
      <c r="CS20" s="27">
        <f t="shared" si="108"/>
        <v>0</v>
      </c>
      <c r="CT20" s="27"/>
      <c r="CU20" s="27"/>
      <c r="CV20" s="27">
        <v>0</v>
      </c>
      <c r="CW20" s="27"/>
      <c r="CX20" s="27">
        <f t="shared" si="109"/>
        <v>0</v>
      </c>
      <c r="CY20" s="27">
        <f t="shared" si="110"/>
        <v>0</v>
      </c>
      <c r="CZ20" s="27"/>
      <c r="DA20" s="27"/>
      <c r="DB20" s="27">
        <v>0</v>
      </c>
      <c r="DC20" s="27"/>
      <c r="DD20" s="27">
        <f t="shared" si="111"/>
        <v>0</v>
      </c>
      <c r="DE20" s="27">
        <f t="shared" si="112"/>
        <v>0</v>
      </c>
      <c r="DF20" s="27">
        <f t="shared" si="113"/>
        <v>0</v>
      </c>
      <c r="DG20" s="27">
        <f t="shared" si="114"/>
        <v>0</v>
      </c>
      <c r="DH20" s="27">
        <f t="shared" si="115"/>
        <v>0</v>
      </c>
      <c r="DI20" s="27">
        <f t="shared" si="116"/>
        <v>22500</v>
      </c>
      <c r="DJ20" s="27">
        <f t="shared" si="117"/>
        <v>0</v>
      </c>
      <c r="DK20" s="27">
        <f t="shared" si="118"/>
        <v>22500</v>
      </c>
    </row>
    <row r="21" spans="1:115">
      <c r="A21" s="25">
        <v>13</v>
      </c>
      <c r="B21" s="26" t="s">
        <v>1162</v>
      </c>
      <c r="C21" s="26" t="s">
        <v>1307</v>
      </c>
      <c r="D21" s="26" t="s">
        <v>1297</v>
      </c>
      <c r="E21" s="205" t="s">
        <v>1200</v>
      </c>
      <c r="F21" s="161">
        <f t="shared" si="29"/>
        <v>0</v>
      </c>
      <c r="G21" s="165">
        <f t="shared" si="30"/>
        <v>0</v>
      </c>
      <c r="H21" s="27"/>
      <c r="I21" s="27">
        <v>0</v>
      </c>
      <c r="J21" s="27">
        <v>0</v>
      </c>
      <c r="K21" s="131">
        <f t="shared" si="31"/>
        <v>0</v>
      </c>
      <c r="L21" s="131">
        <f t="shared" si="32"/>
        <v>0</v>
      </c>
      <c r="M21" s="131">
        <f t="shared" si="33"/>
        <v>0</v>
      </c>
      <c r="N21" s="131"/>
      <c r="O21" s="131">
        <f t="shared" si="34"/>
        <v>30345.45</v>
      </c>
      <c r="P21" s="27">
        <v>0</v>
      </c>
      <c r="Q21" s="27">
        <v>0</v>
      </c>
      <c r="R21" s="27">
        <f t="shared" si="77"/>
        <v>0</v>
      </c>
      <c r="S21" s="27">
        <f t="shared" si="78"/>
        <v>0</v>
      </c>
      <c r="T21" s="27"/>
      <c r="U21" s="27"/>
      <c r="V21" s="27">
        <v>0</v>
      </c>
      <c r="W21" s="27"/>
      <c r="X21" s="27">
        <f t="shared" si="79"/>
        <v>0</v>
      </c>
      <c r="Y21" s="27">
        <f t="shared" si="80"/>
        <v>0</v>
      </c>
      <c r="Z21" s="27">
        <v>0</v>
      </c>
      <c r="AA21" s="27"/>
      <c r="AB21" s="27"/>
      <c r="AC21" s="27"/>
      <c r="AD21" s="27">
        <f t="shared" si="81"/>
        <v>0</v>
      </c>
      <c r="AE21" s="27">
        <f t="shared" si="82"/>
        <v>0</v>
      </c>
      <c r="AF21" s="27">
        <f t="shared" si="83"/>
        <v>0</v>
      </c>
      <c r="AG21" s="27">
        <f t="shared" si="84"/>
        <v>0</v>
      </c>
      <c r="AH21" s="27">
        <f t="shared" si="85"/>
        <v>0</v>
      </c>
      <c r="AI21" s="27">
        <f t="shared" si="86"/>
        <v>0</v>
      </c>
      <c r="AJ21" s="27">
        <f t="shared" si="87"/>
        <v>0</v>
      </c>
      <c r="AK21" s="27">
        <f t="shared" si="88"/>
        <v>0</v>
      </c>
      <c r="AL21" s="27"/>
      <c r="AM21" s="27"/>
      <c r="AN21" s="27">
        <v>0</v>
      </c>
      <c r="AO21" s="27"/>
      <c r="AP21" s="27">
        <f t="shared" si="89"/>
        <v>0</v>
      </c>
      <c r="AQ21" s="27">
        <f t="shared" si="90"/>
        <v>0</v>
      </c>
      <c r="AR21" s="27"/>
      <c r="AS21" s="27"/>
      <c r="AT21" s="27">
        <v>0</v>
      </c>
      <c r="AU21" s="27"/>
      <c r="AV21" s="27">
        <f t="shared" si="91"/>
        <v>0</v>
      </c>
      <c r="AW21" s="27">
        <f t="shared" si="92"/>
        <v>0</v>
      </c>
      <c r="AX21" s="27"/>
      <c r="AY21" s="27"/>
      <c r="AZ21" s="27">
        <v>0</v>
      </c>
      <c r="BA21" s="27"/>
      <c r="BB21" s="27">
        <f t="shared" si="93"/>
        <v>0</v>
      </c>
      <c r="BC21" s="27">
        <f t="shared" si="94"/>
        <v>0</v>
      </c>
      <c r="BD21" s="27"/>
      <c r="BE21" s="27"/>
      <c r="BF21" s="27">
        <v>0</v>
      </c>
      <c r="BG21" s="27"/>
      <c r="BH21" s="27">
        <f t="shared" si="95"/>
        <v>0</v>
      </c>
      <c r="BI21" s="27">
        <f t="shared" si="96"/>
        <v>0</v>
      </c>
      <c r="BJ21" s="27"/>
      <c r="BK21" s="27">
        <v>26000</v>
      </c>
      <c r="BL21" s="27">
        <v>0</v>
      </c>
      <c r="BM21" s="27"/>
      <c r="BN21" s="27">
        <f t="shared" si="97"/>
        <v>0</v>
      </c>
      <c r="BO21" s="27">
        <f t="shared" si="98"/>
        <v>26000</v>
      </c>
      <c r="BP21" s="26"/>
      <c r="BQ21" s="26"/>
      <c r="BR21" s="27">
        <v>0</v>
      </c>
      <c r="BS21" s="27">
        <v>4345.45</v>
      </c>
      <c r="BT21" s="27">
        <f t="shared" si="99"/>
        <v>0</v>
      </c>
      <c r="BU21" s="27">
        <f t="shared" si="100"/>
        <v>4345.45</v>
      </c>
      <c r="BV21" s="26"/>
      <c r="BW21" s="26"/>
      <c r="BX21" s="27">
        <v>0</v>
      </c>
      <c r="BY21" s="26"/>
      <c r="BZ21" s="27">
        <f t="shared" si="101"/>
        <v>0</v>
      </c>
      <c r="CA21" s="27">
        <f t="shared" si="102"/>
        <v>0</v>
      </c>
      <c r="CB21" s="26"/>
      <c r="CC21" s="26"/>
      <c r="CD21" s="27">
        <v>0</v>
      </c>
      <c r="CE21" s="26"/>
      <c r="CF21" s="27">
        <f t="shared" si="103"/>
        <v>0</v>
      </c>
      <c r="CG21" s="27">
        <f t="shared" si="104"/>
        <v>0</v>
      </c>
      <c r="CH21" s="27"/>
      <c r="CI21" s="27"/>
      <c r="CJ21" s="27">
        <v>0</v>
      </c>
      <c r="CK21" s="27"/>
      <c r="CL21" s="27">
        <f t="shared" si="105"/>
        <v>0</v>
      </c>
      <c r="CM21" s="27">
        <f t="shared" si="106"/>
        <v>0</v>
      </c>
      <c r="CN21" s="27"/>
      <c r="CO21" s="27"/>
      <c r="CP21" s="27">
        <v>0</v>
      </c>
      <c r="CQ21" s="27"/>
      <c r="CR21" s="27">
        <f t="shared" si="107"/>
        <v>0</v>
      </c>
      <c r="CS21" s="27">
        <f t="shared" si="108"/>
        <v>0</v>
      </c>
      <c r="CT21" s="27"/>
      <c r="CU21" s="27"/>
      <c r="CV21" s="27">
        <v>0</v>
      </c>
      <c r="CW21" s="27"/>
      <c r="CX21" s="27">
        <f t="shared" si="109"/>
        <v>0</v>
      </c>
      <c r="CY21" s="27">
        <f t="shared" si="110"/>
        <v>0</v>
      </c>
      <c r="CZ21" s="27"/>
      <c r="DA21" s="27"/>
      <c r="DB21" s="27">
        <v>0</v>
      </c>
      <c r="DC21" s="27"/>
      <c r="DD21" s="27">
        <f t="shared" si="111"/>
        <v>0</v>
      </c>
      <c r="DE21" s="27">
        <f t="shared" si="112"/>
        <v>0</v>
      </c>
      <c r="DF21" s="27">
        <f t="shared" si="113"/>
        <v>0</v>
      </c>
      <c r="DG21" s="27">
        <f t="shared" si="114"/>
        <v>26000</v>
      </c>
      <c r="DH21" s="27">
        <f t="shared" si="115"/>
        <v>0</v>
      </c>
      <c r="DI21" s="27">
        <f t="shared" si="116"/>
        <v>4345.45</v>
      </c>
      <c r="DJ21" s="27">
        <f t="shared" si="117"/>
        <v>0</v>
      </c>
      <c r="DK21" s="27">
        <f t="shared" si="118"/>
        <v>30345.45</v>
      </c>
    </row>
    <row r="22" spans="1:115">
      <c r="A22" s="25">
        <v>14</v>
      </c>
      <c r="B22" s="26" t="s">
        <v>1162</v>
      </c>
      <c r="C22" s="26" t="s">
        <v>1304</v>
      </c>
      <c r="D22" s="26" t="s">
        <v>1298</v>
      </c>
      <c r="E22" s="205" t="s">
        <v>1200</v>
      </c>
      <c r="F22" s="161">
        <f t="shared" si="29"/>
        <v>0</v>
      </c>
      <c r="G22" s="165">
        <f t="shared" si="30"/>
        <v>0</v>
      </c>
      <c r="H22" s="27"/>
      <c r="I22" s="27">
        <v>0</v>
      </c>
      <c r="J22" s="27">
        <v>0</v>
      </c>
      <c r="K22" s="131">
        <f t="shared" si="31"/>
        <v>0</v>
      </c>
      <c r="L22" s="131">
        <f t="shared" si="32"/>
        <v>0</v>
      </c>
      <c r="M22" s="131">
        <f t="shared" si="33"/>
        <v>0</v>
      </c>
      <c r="N22" s="131"/>
      <c r="O22" s="131">
        <f t="shared" si="34"/>
        <v>30345.45</v>
      </c>
      <c r="P22" s="27">
        <v>0</v>
      </c>
      <c r="Q22" s="27">
        <v>0</v>
      </c>
      <c r="R22" s="27">
        <f t="shared" si="77"/>
        <v>0</v>
      </c>
      <c r="S22" s="27">
        <f t="shared" si="78"/>
        <v>0</v>
      </c>
      <c r="T22" s="27"/>
      <c r="U22" s="27"/>
      <c r="V22" s="27">
        <v>0</v>
      </c>
      <c r="W22" s="27"/>
      <c r="X22" s="27">
        <f t="shared" si="79"/>
        <v>0</v>
      </c>
      <c r="Y22" s="27">
        <f t="shared" si="80"/>
        <v>0</v>
      </c>
      <c r="Z22" s="27">
        <v>0</v>
      </c>
      <c r="AA22" s="27"/>
      <c r="AB22" s="27"/>
      <c r="AC22" s="27"/>
      <c r="AD22" s="27">
        <f t="shared" si="81"/>
        <v>0</v>
      </c>
      <c r="AE22" s="27">
        <f t="shared" si="82"/>
        <v>0</v>
      </c>
      <c r="AF22" s="27">
        <f t="shared" si="83"/>
        <v>0</v>
      </c>
      <c r="AG22" s="27">
        <f t="shared" si="84"/>
        <v>0</v>
      </c>
      <c r="AH22" s="27">
        <f t="shared" si="85"/>
        <v>0</v>
      </c>
      <c r="AI22" s="27">
        <f t="shared" si="86"/>
        <v>0</v>
      </c>
      <c r="AJ22" s="27">
        <f t="shared" si="87"/>
        <v>0</v>
      </c>
      <c r="AK22" s="27">
        <f t="shared" si="88"/>
        <v>0</v>
      </c>
      <c r="AL22" s="27"/>
      <c r="AM22" s="27"/>
      <c r="AN22" s="27">
        <v>0</v>
      </c>
      <c r="AO22" s="27"/>
      <c r="AP22" s="27">
        <f t="shared" si="89"/>
        <v>0</v>
      </c>
      <c r="AQ22" s="27">
        <f t="shared" si="90"/>
        <v>0</v>
      </c>
      <c r="AR22" s="27"/>
      <c r="AS22" s="27"/>
      <c r="AT22" s="27">
        <v>0</v>
      </c>
      <c r="AU22" s="27"/>
      <c r="AV22" s="27">
        <f t="shared" si="91"/>
        <v>0</v>
      </c>
      <c r="AW22" s="27">
        <f t="shared" si="92"/>
        <v>0</v>
      </c>
      <c r="AX22" s="27"/>
      <c r="AY22" s="27"/>
      <c r="AZ22" s="27">
        <v>0</v>
      </c>
      <c r="BA22" s="27"/>
      <c r="BB22" s="27">
        <f t="shared" si="93"/>
        <v>0</v>
      </c>
      <c r="BC22" s="27">
        <f t="shared" si="94"/>
        <v>0</v>
      </c>
      <c r="BD22" s="27"/>
      <c r="BE22" s="27"/>
      <c r="BF22" s="27">
        <v>0</v>
      </c>
      <c r="BG22" s="27"/>
      <c r="BH22" s="27">
        <f t="shared" si="95"/>
        <v>0</v>
      </c>
      <c r="BI22" s="27">
        <f t="shared" si="96"/>
        <v>0</v>
      </c>
      <c r="BJ22" s="27"/>
      <c r="BK22" s="27">
        <v>26000</v>
      </c>
      <c r="BL22" s="27">
        <v>0</v>
      </c>
      <c r="BM22" s="27"/>
      <c r="BN22" s="27">
        <f t="shared" si="97"/>
        <v>0</v>
      </c>
      <c r="BO22" s="27">
        <f t="shared" si="98"/>
        <v>26000</v>
      </c>
      <c r="BP22" s="26"/>
      <c r="BQ22" s="26"/>
      <c r="BR22" s="27">
        <v>0</v>
      </c>
      <c r="BS22" s="27">
        <v>4345.45</v>
      </c>
      <c r="BT22" s="27">
        <f t="shared" si="99"/>
        <v>0</v>
      </c>
      <c r="BU22" s="27">
        <f t="shared" si="100"/>
        <v>4345.45</v>
      </c>
      <c r="BV22" s="26"/>
      <c r="BW22" s="26"/>
      <c r="BX22" s="27">
        <v>0</v>
      </c>
      <c r="BY22" s="26"/>
      <c r="BZ22" s="27">
        <f t="shared" si="101"/>
        <v>0</v>
      </c>
      <c r="CA22" s="27">
        <f t="shared" si="102"/>
        <v>0</v>
      </c>
      <c r="CB22" s="26"/>
      <c r="CC22" s="26"/>
      <c r="CD22" s="27">
        <v>0</v>
      </c>
      <c r="CE22" s="26"/>
      <c r="CF22" s="27">
        <f t="shared" si="103"/>
        <v>0</v>
      </c>
      <c r="CG22" s="27">
        <f t="shared" si="104"/>
        <v>0</v>
      </c>
      <c r="CH22" s="27"/>
      <c r="CI22" s="27"/>
      <c r="CJ22" s="27">
        <v>0</v>
      </c>
      <c r="CK22" s="27"/>
      <c r="CL22" s="27">
        <f t="shared" si="105"/>
        <v>0</v>
      </c>
      <c r="CM22" s="27">
        <f t="shared" si="106"/>
        <v>0</v>
      </c>
      <c r="CN22" s="27"/>
      <c r="CO22" s="27"/>
      <c r="CP22" s="27">
        <v>0</v>
      </c>
      <c r="CQ22" s="27"/>
      <c r="CR22" s="27">
        <f t="shared" si="107"/>
        <v>0</v>
      </c>
      <c r="CS22" s="27">
        <f t="shared" si="108"/>
        <v>0</v>
      </c>
      <c r="CT22" s="27"/>
      <c r="CU22" s="27"/>
      <c r="CV22" s="27">
        <v>0</v>
      </c>
      <c r="CW22" s="27"/>
      <c r="CX22" s="27">
        <f t="shared" si="109"/>
        <v>0</v>
      </c>
      <c r="CY22" s="27">
        <f t="shared" si="110"/>
        <v>0</v>
      </c>
      <c r="CZ22" s="27"/>
      <c r="DA22" s="27"/>
      <c r="DB22" s="27">
        <v>0</v>
      </c>
      <c r="DC22" s="27"/>
      <c r="DD22" s="27">
        <f t="shared" si="111"/>
        <v>0</v>
      </c>
      <c r="DE22" s="27">
        <f t="shared" si="112"/>
        <v>0</v>
      </c>
      <c r="DF22" s="27">
        <f t="shared" si="113"/>
        <v>0</v>
      </c>
      <c r="DG22" s="27">
        <f t="shared" si="114"/>
        <v>26000</v>
      </c>
      <c r="DH22" s="27">
        <f t="shared" si="115"/>
        <v>0</v>
      </c>
      <c r="DI22" s="27">
        <f t="shared" si="116"/>
        <v>4345.45</v>
      </c>
      <c r="DJ22" s="27">
        <f t="shared" si="117"/>
        <v>0</v>
      </c>
      <c r="DK22" s="27">
        <f t="shared" si="118"/>
        <v>30345.45</v>
      </c>
    </row>
    <row r="23" spans="1:115">
      <c r="A23" s="25">
        <v>15</v>
      </c>
      <c r="B23" s="26" t="s">
        <v>1162</v>
      </c>
      <c r="C23" s="26" t="s">
        <v>1305</v>
      </c>
      <c r="D23" s="26" t="s">
        <v>1299</v>
      </c>
      <c r="E23" s="205" t="s">
        <v>1200</v>
      </c>
      <c r="F23" s="161">
        <f t="shared" si="29"/>
        <v>0</v>
      </c>
      <c r="G23" s="165">
        <f t="shared" si="30"/>
        <v>0</v>
      </c>
      <c r="H23" s="27"/>
      <c r="I23" s="27">
        <v>0</v>
      </c>
      <c r="J23" s="27">
        <v>0</v>
      </c>
      <c r="K23" s="131">
        <f t="shared" si="31"/>
        <v>0</v>
      </c>
      <c r="L23" s="131">
        <f t="shared" si="32"/>
        <v>0</v>
      </c>
      <c r="M23" s="131">
        <f t="shared" si="33"/>
        <v>0</v>
      </c>
      <c r="N23" s="131"/>
      <c r="O23" s="131">
        <f t="shared" si="34"/>
        <v>47846.85</v>
      </c>
      <c r="P23" s="27">
        <v>0</v>
      </c>
      <c r="Q23" s="27">
        <v>0</v>
      </c>
      <c r="R23" s="27">
        <f t="shared" si="77"/>
        <v>0</v>
      </c>
      <c r="S23" s="27">
        <f t="shared" si="78"/>
        <v>0</v>
      </c>
      <c r="T23" s="27"/>
      <c r="U23" s="27"/>
      <c r="V23" s="27">
        <v>0</v>
      </c>
      <c r="W23" s="27"/>
      <c r="X23" s="27">
        <f t="shared" si="79"/>
        <v>0</v>
      </c>
      <c r="Y23" s="27">
        <f t="shared" si="80"/>
        <v>0</v>
      </c>
      <c r="Z23" s="27">
        <v>0</v>
      </c>
      <c r="AA23" s="27"/>
      <c r="AB23" s="27"/>
      <c r="AC23" s="27"/>
      <c r="AD23" s="27">
        <f t="shared" si="81"/>
        <v>0</v>
      </c>
      <c r="AE23" s="27">
        <f t="shared" si="82"/>
        <v>0</v>
      </c>
      <c r="AF23" s="27">
        <f t="shared" si="83"/>
        <v>0</v>
      </c>
      <c r="AG23" s="27">
        <f t="shared" si="84"/>
        <v>0</v>
      </c>
      <c r="AH23" s="27">
        <f t="shared" si="85"/>
        <v>0</v>
      </c>
      <c r="AI23" s="27">
        <f t="shared" si="86"/>
        <v>0</v>
      </c>
      <c r="AJ23" s="27">
        <f t="shared" si="87"/>
        <v>0</v>
      </c>
      <c r="AK23" s="27">
        <f t="shared" si="88"/>
        <v>0</v>
      </c>
      <c r="AL23" s="27"/>
      <c r="AM23" s="27"/>
      <c r="AN23" s="27">
        <v>0</v>
      </c>
      <c r="AO23" s="27"/>
      <c r="AP23" s="27">
        <f t="shared" si="89"/>
        <v>0</v>
      </c>
      <c r="AQ23" s="27">
        <f t="shared" si="90"/>
        <v>0</v>
      </c>
      <c r="AR23" s="27"/>
      <c r="AS23" s="27"/>
      <c r="AT23" s="27">
        <v>0</v>
      </c>
      <c r="AU23" s="27"/>
      <c r="AV23" s="27">
        <f t="shared" si="91"/>
        <v>0</v>
      </c>
      <c r="AW23" s="27">
        <f t="shared" si="92"/>
        <v>0</v>
      </c>
      <c r="AX23" s="27"/>
      <c r="AY23" s="27"/>
      <c r="AZ23" s="27">
        <v>0</v>
      </c>
      <c r="BA23" s="27"/>
      <c r="BB23" s="27">
        <f t="shared" si="93"/>
        <v>0</v>
      </c>
      <c r="BC23" s="27">
        <f t="shared" si="94"/>
        <v>0</v>
      </c>
      <c r="BD23" s="27"/>
      <c r="BE23" s="27"/>
      <c r="BF23" s="27">
        <v>0</v>
      </c>
      <c r="BG23" s="27"/>
      <c r="BH23" s="27">
        <f t="shared" si="95"/>
        <v>0</v>
      </c>
      <c r="BI23" s="27">
        <f t="shared" si="96"/>
        <v>0</v>
      </c>
      <c r="BJ23" s="27"/>
      <c r="BK23" s="27">
        <v>40000</v>
      </c>
      <c r="BL23" s="27">
        <v>0</v>
      </c>
      <c r="BM23" s="27"/>
      <c r="BN23" s="27">
        <f t="shared" si="97"/>
        <v>0</v>
      </c>
      <c r="BO23" s="27">
        <f t="shared" si="98"/>
        <v>40000</v>
      </c>
      <c r="BP23" s="26"/>
      <c r="BQ23" s="26"/>
      <c r="BR23" s="27">
        <v>0</v>
      </c>
      <c r="BS23" s="27">
        <v>7846.85</v>
      </c>
      <c r="BT23" s="27">
        <f t="shared" si="99"/>
        <v>0</v>
      </c>
      <c r="BU23" s="27">
        <f t="shared" si="100"/>
        <v>7846.85</v>
      </c>
      <c r="BV23" s="26"/>
      <c r="BW23" s="26"/>
      <c r="BX23" s="27">
        <v>0</v>
      </c>
      <c r="BY23" s="26"/>
      <c r="BZ23" s="27">
        <f t="shared" si="101"/>
        <v>0</v>
      </c>
      <c r="CA23" s="27">
        <f t="shared" si="102"/>
        <v>0</v>
      </c>
      <c r="CB23" s="26"/>
      <c r="CC23" s="26"/>
      <c r="CD23" s="27">
        <v>0</v>
      </c>
      <c r="CE23" s="26"/>
      <c r="CF23" s="27">
        <f t="shared" si="103"/>
        <v>0</v>
      </c>
      <c r="CG23" s="27">
        <f t="shared" si="104"/>
        <v>0</v>
      </c>
      <c r="CH23" s="27"/>
      <c r="CI23" s="27"/>
      <c r="CJ23" s="27">
        <v>0</v>
      </c>
      <c r="CK23" s="27"/>
      <c r="CL23" s="27">
        <f t="shared" si="105"/>
        <v>0</v>
      </c>
      <c r="CM23" s="27">
        <f t="shared" si="106"/>
        <v>0</v>
      </c>
      <c r="CN23" s="27"/>
      <c r="CO23" s="27"/>
      <c r="CP23" s="27">
        <v>0</v>
      </c>
      <c r="CQ23" s="27"/>
      <c r="CR23" s="27">
        <f t="shared" si="107"/>
        <v>0</v>
      </c>
      <c r="CS23" s="27">
        <f t="shared" si="108"/>
        <v>0</v>
      </c>
      <c r="CT23" s="27"/>
      <c r="CU23" s="27"/>
      <c r="CV23" s="27">
        <v>0</v>
      </c>
      <c r="CW23" s="27"/>
      <c r="CX23" s="27">
        <f t="shared" si="109"/>
        <v>0</v>
      </c>
      <c r="CY23" s="27">
        <f t="shared" si="110"/>
        <v>0</v>
      </c>
      <c r="CZ23" s="27"/>
      <c r="DA23" s="27"/>
      <c r="DB23" s="27">
        <v>0</v>
      </c>
      <c r="DC23" s="27"/>
      <c r="DD23" s="27">
        <f t="shared" si="111"/>
        <v>0</v>
      </c>
      <c r="DE23" s="27">
        <f t="shared" si="112"/>
        <v>0</v>
      </c>
      <c r="DF23" s="27">
        <f t="shared" si="113"/>
        <v>0</v>
      </c>
      <c r="DG23" s="27">
        <f t="shared" si="114"/>
        <v>40000</v>
      </c>
      <c r="DH23" s="27">
        <f t="shared" si="115"/>
        <v>0</v>
      </c>
      <c r="DI23" s="27">
        <f t="shared" si="116"/>
        <v>7846.85</v>
      </c>
      <c r="DJ23" s="27">
        <f t="shared" si="117"/>
        <v>0</v>
      </c>
      <c r="DK23" s="27">
        <f t="shared" si="118"/>
        <v>47846.85</v>
      </c>
    </row>
    <row r="24" spans="1:115">
      <c r="A24" s="25">
        <v>16</v>
      </c>
      <c r="B24" s="26" t="s">
        <v>1162</v>
      </c>
      <c r="C24" s="26" t="s">
        <v>1306</v>
      </c>
      <c r="D24" s="26" t="s">
        <v>1300</v>
      </c>
      <c r="E24" s="205" t="s">
        <v>1200</v>
      </c>
      <c r="F24" s="161">
        <f t="shared" si="29"/>
        <v>0</v>
      </c>
      <c r="G24" s="165">
        <f t="shared" si="30"/>
        <v>0</v>
      </c>
      <c r="H24" s="27"/>
      <c r="I24" s="27">
        <v>0</v>
      </c>
      <c r="J24" s="27">
        <v>0</v>
      </c>
      <c r="K24" s="131">
        <f t="shared" si="31"/>
        <v>0</v>
      </c>
      <c r="L24" s="131">
        <f t="shared" si="32"/>
        <v>0</v>
      </c>
      <c r="M24" s="131">
        <f t="shared" si="33"/>
        <v>0</v>
      </c>
      <c r="N24" s="131"/>
      <c r="O24" s="131">
        <f t="shared" si="34"/>
        <v>47846.85</v>
      </c>
      <c r="P24" s="27">
        <v>0</v>
      </c>
      <c r="Q24" s="27">
        <v>0</v>
      </c>
      <c r="R24" s="27">
        <f t="shared" si="77"/>
        <v>0</v>
      </c>
      <c r="S24" s="27">
        <f t="shared" si="78"/>
        <v>0</v>
      </c>
      <c r="T24" s="27"/>
      <c r="U24" s="27"/>
      <c r="V24" s="27">
        <v>0</v>
      </c>
      <c r="W24" s="27"/>
      <c r="X24" s="27">
        <f t="shared" si="79"/>
        <v>0</v>
      </c>
      <c r="Y24" s="27">
        <f t="shared" si="80"/>
        <v>0</v>
      </c>
      <c r="Z24" s="27">
        <v>0</v>
      </c>
      <c r="AA24" s="27"/>
      <c r="AB24" s="27"/>
      <c r="AC24" s="27"/>
      <c r="AD24" s="27">
        <f t="shared" si="81"/>
        <v>0</v>
      </c>
      <c r="AE24" s="27">
        <f t="shared" si="82"/>
        <v>0</v>
      </c>
      <c r="AF24" s="27">
        <f t="shared" si="83"/>
        <v>0</v>
      </c>
      <c r="AG24" s="27">
        <f t="shared" si="84"/>
        <v>0</v>
      </c>
      <c r="AH24" s="27">
        <f t="shared" si="85"/>
        <v>0</v>
      </c>
      <c r="AI24" s="27">
        <f t="shared" si="86"/>
        <v>0</v>
      </c>
      <c r="AJ24" s="27">
        <f t="shared" si="87"/>
        <v>0</v>
      </c>
      <c r="AK24" s="27">
        <f t="shared" si="88"/>
        <v>0</v>
      </c>
      <c r="AL24" s="27"/>
      <c r="AM24" s="27"/>
      <c r="AN24" s="27">
        <v>0</v>
      </c>
      <c r="AO24" s="27"/>
      <c r="AP24" s="27">
        <f t="shared" si="89"/>
        <v>0</v>
      </c>
      <c r="AQ24" s="27">
        <f t="shared" si="90"/>
        <v>0</v>
      </c>
      <c r="AR24" s="27"/>
      <c r="AS24" s="27"/>
      <c r="AT24" s="27">
        <v>0</v>
      </c>
      <c r="AU24" s="27"/>
      <c r="AV24" s="27">
        <f t="shared" si="91"/>
        <v>0</v>
      </c>
      <c r="AW24" s="27">
        <f t="shared" si="92"/>
        <v>0</v>
      </c>
      <c r="AX24" s="27"/>
      <c r="AY24" s="27"/>
      <c r="AZ24" s="27">
        <v>0</v>
      </c>
      <c r="BA24" s="27"/>
      <c r="BB24" s="27">
        <f t="shared" si="93"/>
        <v>0</v>
      </c>
      <c r="BC24" s="27">
        <f t="shared" si="94"/>
        <v>0</v>
      </c>
      <c r="BD24" s="27"/>
      <c r="BE24" s="27"/>
      <c r="BF24" s="27">
        <v>0</v>
      </c>
      <c r="BG24" s="27"/>
      <c r="BH24" s="27">
        <f t="shared" si="95"/>
        <v>0</v>
      </c>
      <c r="BI24" s="27">
        <f t="shared" si="96"/>
        <v>0</v>
      </c>
      <c r="BJ24" s="27"/>
      <c r="BK24" s="27">
        <v>40000</v>
      </c>
      <c r="BL24" s="27">
        <v>0</v>
      </c>
      <c r="BM24" s="27"/>
      <c r="BN24" s="27">
        <f t="shared" si="97"/>
        <v>0</v>
      </c>
      <c r="BO24" s="27">
        <f t="shared" si="98"/>
        <v>40000</v>
      </c>
      <c r="BP24" s="26"/>
      <c r="BQ24" s="26"/>
      <c r="BR24" s="27">
        <v>0</v>
      </c>
      <c r="BS24" s="27">
        <v>7846.85</v>
      </c>
      <c r="BT24" s="27">
        <f t="shared" si="99"/>
        <v>0</v>
      </c>
      <c r="BU24" s="27">
        <f t="shared" si="100"/>
        <v>7846.85</v>
      </c>
      <c r="BV24" s="26"/>
      <c r="BW24" s="26"/>
      <c r="BX24" s="27">
        <v>0</v>
      </c>
      <c r="BY24" s="26"/>
      <c r="BZ24" s="27">
        <f t="shared" si="101"/>
        <v>0</v>
      </c>
      <c r="CA24" s="27">
        <f t="shared" si="102"/>
        <v>0</v>
      </c>
      <c r="CB24" s="26"/>
      <c r="CC24" s="26"/>
      <c r="CD24" s="27">
        <v>0</v>
      </c>
      <c r="CE24" s="26"/>
      <c r="CF24" s="27">
        <f t="shared" si="103"/>
        <v>0</v>
      </c>
      <c r="CG24" s="27">
        <f t="shared" si="104"/>
        <v>0</v>
      </c>
      <c r="CH24" s="27"/>
      <c r="CI24" s="27"/>
      <c r="CJ24" s="27">
        <v>0</v>
      </c>
      <c r="CK24" s="27"/>
      <c r="CL24" s="27">
        <f t="shared" si="105"/>
        <v>0</v>
      </c>
      <c r="CM24" s="27">
        <f t="shared" si="106"/>
        <v>0</v>
      </c>
      <c r="CN24" s="27"/>
      <c r="CO24" s="27"/>
      <c r="CP24" s="27">
        <v>0</v>
      </c>
      <c r="CQ24" s="27"/>
      <c r="CR24" s="27">
        <f t="shared" si="107"/>
        <v>0</v>
      </c>
      <c r="CS24" s="27">
        <f t="shared" si="108"/>
        <v>0</v>
      </c>
      <c r="CT24" s="27"/>
      <c r="CU24" s="27"/>
      <c r="CV24" s="27">
        <v>0</v>
      </c>
      <c r="CW24" s="27"/>
      <c r="CX24" s="27">
        <f t="shared" si="109"/>
        <v>0</v>
      </c>
      <c r="CY24" s="27">
        <f t="shared" si="110"/>
        <v>0</v>
      </c>
      <c r="CZ24" s="27"/>
      <c r="DA24" s="27"/>
      <c r="DB24" s="27">
        <v>0</v>
      </c>
      <c r="DC24" s="27"/>
      <c r="DD24" s="27">
        <f t="shared" si="111"/>
        <v>0</v>
      </c>
      <c r="DE24" s="27">
        <f t="shared" si="112"/>
        <v>0</v>
      </c>
      <c r="DF24" s="27">
        <f t="shared" si="113"/>
        <v>0</v>
      </c>
      <c r="DG24" s="27">
        <f t="shared" si="114"/>
        <v>40000</v>
      </c>
      <c r="DH24" s="27">
        <f t="shared" si="115"/>
        <v>0</v>
      </c>
      <c r="DI24" s="27">
        <f t="shared" si="116"/>
        <v>7846.85</v>
      </c>
      <c r="DJ24" s="27">
        <f t="shared" si="117"/>
        <v>0</v>
      </c>
      <c r="DK24" s="27">
        <f t="shared" si="118"/>
        <v>47846.85</v>
      </c>
    </row>
    <row r="25" spans="1:115">
      <c r="A25" s="25">
        <v>17</v>
      </c>
      <c r="B25" s="26" t="s">
        <v>1162</v>
      </c>
      <c r="C25" s="26"/>
      <c r="D25" s="26" t="s">
        <v>1301</v>
      </c>
      <c r="E25" s="205" t="s">
        <v>1200</v>
      </c>
      <c r="F25" s="161">
        <f t="shared" si="29"/>
        <v>0</v>
      </c>
      <c r="G25" s="165">
        <f t="shared" si="30"/>
        <v>0</v>
      </c>
      <c r="H25" s="27"/>
      <c r="I25" s="27">
        <v>0</v>
      </c>
      <c r="J25" s="27">
        <v>0</v>
      </c>
      <c r="K25" s="127">
        <f t="shared" si="31"/>
        <v>0</v>
      </c>
      <c r="L25" s="127">
        <f t="shared" si="32"/>
        <v>0</v>
      </c>
      <c r="M25" s="127">
        <f t="shared" si="33"/>
        <v>0</v>
      </c>
      <c r="N25" s="131"/>
      <c r="O25" s="125">
        <f t="shared" si="34"/>
        <v>27000</v>
      </c>
      <c r="P25" s="27">
        <v>0</v>
      </c>
      <c r="Q25" s="27">
        <v>0</v>
      </c>
      <c r="R25" s="27">
        <f t="shared" si="77"/>
        <v>0</v>
      </c>
      <c r="S25" s="27">
        <f t="shared" si="78"/>
        <v>0</v>
      </c>
      <c r="T25" s="27"/>
      <c r="U25" s="27"/>
      <c r="V25" s="27">
        <v>0</v>
      </c>
      <c r="W25" s="27"/>
      <c r="X25" s="27">
        <f t="shared" si="79"/>
        <v>0</v>
      </c>
      <c r="Y25" s="27">
        <f t="shared" si="80"/>
        <v>0</v>
      </c>
      <c r="Z25" s="27">
        <v>0</v>
      </c>
      <c r="AA25" s="27"/>
      <c r="AB25" s="27"/>
      <c r="AC25" s="27"/>
      <c r="AD25" s="27">
        <f t="shared" si="81"/>
        <v>0</v>
      </c>
      <c r="AE25" s="27">
        <f t="shared" si="82"/>
        <v>0</v>
      </c>
      <c r="AF25" s="27">
        <f t="shared" si="83"/>
        <v>0</v>
      </c>
      <c r="AG25" s="27">
        <f t="shared" si="84"/>
        <v>0</v>
      </c>
      <c r="AH25" s="27">
        <f t="shared" si="85"/>
        <v>0</v>
      </c>
      <c r="AI25" s="27">
        <f t="shared" si="86"/>
        <v>0</v>
      </c>
      <c r="AJ25" s="27">
        <f t="shared" si="87"/>
        <v>0</v>
      </c>
      <c r="AK25" s="27">
        <f t="shared" si="88"/>
        <v>0</v>
      </c>
      <c r="AL25" s="27"/>
      <c r="AM25" s="27"/>
      <c r="AN25" s="27">
        <v>0</v>
      </c>
      <c r="AO25" s="27"/>
      <c r="AP25" s="27">
        <f t="shared" si="89"/>
        <v>0</v>
      </c>
      <c r="AQ25" s="27">
        <f t="shared" si="90"/>
        <v>0</v>
      </c>
      <c r="AR25" s="27"/>
      <c r="AS25" s="27"/>
      <c r="AT25" s="27">
        <v>0</v>
      </c>
      <c r="AU25" s="27"/>
      <c r="AV25" s="27">
        <f t="shared" si="91"/>
        <v>0</v>
      </c>
      <c r="AW25" s="27">
        <f t="shared" si="92"/>
        <v>0</v>
      </c>
      <c r="AX25" s="27"/>
      <c r="AY25" s="27"/>
      <c r="AZ25" s="27">
        <v>0</v>
      </c>
      <c r="BA25" s="27"/>
      <c r="BB25" s="27">
        <f t="shared" si="93"/>
        <v>0</v>
      </c>
      <c r="BC25" s="27">
        <f t="shared" si="94"/>
        <v>0</v>
      </c>
      <c r="BD25" s="27"/>
      <c r="BE25" s="27"/>
      <c r="BF25" s="27">
        <v>0</v>
      </c>
      <c r="BG25" s="27"/>
      <c r="BH25" s="27">
        <f t="shared" si="95"/>
        <v>0</v>
      </c>
      <c r="BI25" s="27">
        <f t="shared" si="96"/>
        <v>0</v>
      </c>
      <c r="BJ25" s="27"/>
      <c r="BK25" s="27"/>
      <c r="BL25" s="27">
        <v>0</v>
      </c>
      <c r="BM25" s="27">
        <v>27000</v>
      </c>
      <c r="BN25" s="27">
        <f t="shared" si="97"/>
        <v>0</v>
      </c>
      <c r="BO25" s="27">
        <f t="shared" si="98"/>
        <v>27000</v>
      </c>
      <c r="BP25" s="26"/>
      <c r="BQ25" s="26"/>
      <c r="BR25" s="27">
        <v>0</v>
      </c>
      <c r="BS25" s="27"/>
      <c r="BT25" s="27">
        <f t="shared" si="99"/>
        <v>0</v>
      </c>
      <c r="BU25" s="27">
        <f t="shared" si="100"/>
        <v>0</v>
      </c>
      <c r="BV25" s="26"/>
      <c r="BW25" s="26"/>
      <c r="BX25" s="27">
        <v>0</v>
      </c>
      <c r="BY25" s="26"/>
      <c r="BZ25" s="27">
        <f t="shared" si="101"/>
        <v>0</v>
      </c>
      <c r="CA25" s="27">
        <f t="shared" si="102"/>
        <v>0</v>
      </c>
      <c r="CB25" s="26"/>
      <c r="CC25" s="26"/>
      <c r="CD25" s="27">
        <v>0</v>
      </c>
      <c r="CE25" s="26"/>
      <c r="CF25" s="27">
        <f t="shared" si="103"/>
        <v>0</v>
      </c>
      <c r="CG25" s="27">
        <f t="shared" si="104"/>
        <v>0</v>
      </c>
      <c r="CH25" s="27"/>
      <c r="CI25" s="27"/>
      <c r="CJ25" s="27">
        <v>0</v>
      </c>
      <c r="CK25" s="27"/>
      <c r="CL25" s="27">
        <f t="shared" si="105"/>
        <v>0</v>
      </c>
      <c r="CM25" s="27">
        <f t="shared" si="106"/>
        <v>0</v>
      </c>
      <c r="CN25" s="27"/>
      <c r="CO25" s="27"/>
      <c r="CP25" s="27">
        <v>0</v>
      </c>
      <c r="CQ25" s="27"/>
      <c r="CR25" s="27">
        <f t="shared" si="107"/>
        <v>0</v>
      </c>
      <c r="CS25" s="27">
        <f t="shared" si="108"/>
        <v>0</v>
      </c>
      <c r="CT25" s="27"/>
      <c r="CU25" s="27"/>
      <c r="CV25" s="27">
        <v>0</v>
      </c>
      <c r="CW25" s="27"/>
      <c r="CX25" s="27">
        <f t="shared" si="109"/>
        <v>0</v>
      </c>
      <c r="CY25" s="27">
        <f t="shared" si="110"/>
        <v>0</v>
      </c>
      <c r="CZ25" s="27"/>
      <c r="DA25" s="27"/>
      <c r="DB25" s="27">
        <v>0</v>
      </c>
      <c r="DC25" s="27"/>
      <c r="DD25" s="27">
        <f t="shared" si="111"/>
        <v>0</v>
      </c>
      <c r="DE25" s="27">
        <f t="shared" si="112"/>
        <v>0</v>
      </c>
      <c r="DF25" s="27">
        <f t="shared" si="113"/>
        <v>0</v>
      </c>
      <c r="DG25" s="27">
        <f t="shared" si="114"/>
        <v>0</v>
      </c>
      <c r="DH25" s="27">
        <f t="shared" si="115"/>
        <v>0</v>
      </c>
      <c r="DI25" s="27">
        <f t="shared" si="116"/>
        <v>27000</v>
      </c>
      <c r="DJ25" s="27">
        <f t="shared" si="117"/>
        <v>0</v>
      </c>
      <c r="DK25" s="27">
        <f t="shared" si="118"/>
        <v>27000</v>
      </c>
    </row>
    <row r="26" spans="1:115">
      <c r="A26" s="25">
        <v>18</v>
      </c>
      <c r="B26" s="26" t="s">
        <v>1162</v>
      </c>
      <c r="C26" s="26"/>
      <c r="D26" s="26" t="s">
        <v>1296</v>
      </c>
      <c r="E26" s="205" t="s">
        <v>1200</v>
      </c>
      <c r="F26" s="161">
        <f t="shared" si="29"/>
        <v>0</v>
      </c>
      <c r="G26" s="165">
        <f t="shared" si="30"/>
        <v>0</v>
      </c>
      <c r="H26" s="27"/>
      <c r="I26" s="27">
        <v>0</v>
      </c>
      <c r="J26" s="27">
        <v>0</v>
      </c>
      <c r="K26" s="127">
        <f t="shared" si="31"/>
        <v>0</v>
      </c>
      <c r="L26" s="127">
        <f t="shared" si="32"/>
        <v>0</v>
      </c>
      <c r="M26" s="127">
        <f t="shared" si="33"/>
        <v>0</v>
      </c>
      <c r="N26" s="131"/>
      <c r="O26" s="125">
        <f t="shared" si="34"/>
        <v>51500</v>
      </c>
      <c r="P26" s="27">
        <v>0</v>
      </c>
      <c r="Q26" s="27">
        <v>0</v>
      </c>
      <c r="R26" s="27">
        <f t="shared" si="77"/>
        <v>0</v>
      </c>
      <c r="S26" s="27">
        <f t="shared" si="78"/>
        <v>0</v>
      </c>
      <c r="T26" s="27"/>
      <c r="U26" s="27"/>
      <c r="V26" s="27">
        <v>0</v>
      </c>
      <c r="W26" s="27"/>
      <c r="X26" s="27">
        <f t="shared" si="79"/>
        <v>0</v>
      </c>
      <c r="Y26" s="27">
        <f t="shared" si="80"/>
        <v>0</v>
      </c>
      <c r="Z26" s="27">
        <v>0</v>
      </c>
      <c r="AA26" s="27"/>
      <c r="AB26" s="27"/>
      <c r="AC26" s="27"/>
      <c r="AD26" s="27">
        <f t="shared" si="81"/>
        <v>0</v>
      </c>
      <c r="AE26" s="27">
        <f t="shared" si="82"/>
        <v>0</v>
      </c>
      <c r="AF26" s="27">
        <f t="shared" si="83"/>
        <v>0</v>
      </c>
      <c r="AG26" s="27">
        <f t="shared" si="84"/>
        <v>0</v>
      </c>
      <c r="AH26" s="27">
        <f t="shared" si="85"/>
        <v>0</v>
      </c>
      <c r="AI26" s="27">
        <f t="shared" si="86"/>
        <v>0</v>
      </c>
      <c r="AJ26" s="27">
        <f t="shared" si="87"/>
        <v>0</v>
      </c>
      <c r="AK26" s="27">
        <f t="shared" si="88"/>
        <v>0</v>
      </c>
      <c r="AL26" s="27"/>
      <c r="AM26" s="27"/>
      <c r="AN26" s="27">
        <v>0</v>
      </c>
      <c r="AO26" s="27"/>
      <c r="AP26" s="27">
        <f t="shared" si="89"/>
        <v>0</v>
      </c>
      <c r="AQ26" s="27">
        <f t="shared" si="90"/>
        <v>0</v>
      </c>
      <c r="AR26" s="27"/>
      <c r="AS26" s="27"/>
      <c r="AT26" s="27">
        <v>0</v>
      </c>
      <c r="AU26" s="27"/>
      <c r="AV26" s="27">
        <f t="shared" si="91"/>
        <v>0</v>
      </c>
      <c r="AW26" s="27">
        <f t="shared" si="92"/>
        <v>0</v>
      </c>
      <c r="AX26" s="27"/>
      <c r="AY26" s="27"/>
      <c r="AZ26" s="27">
        <v>0</v>
      </c>
      <c r="BA26" s="27"/>
      <c r="BB26" s="27">
        <f t="shared" si="93"/>
        <v>0</v>
      </c>
      <c r="BC26" s="27">
        <f t="shared" si="94"/>
        <v>0</v>
      </c>
      <c r="BD26" s="27"/>
      <c r="BE26" s="27"/>
      <c r="BF26" s="27">
        <v>0</v>
      </c>
      <c r="BG26" s="27"/>
      <c r="BH26" s="27">
        <f t="shared" si="95"/>
        <v>0</v>
      </c>
      <c r="BI26" s="27">
        <f t="shared" si="96"/>
        <v>0</v>
      </c>
      <c r="BJ26" s="27"/>
      <c r="BK26" s="27"/>
      <c r="BL26" s="27">
        <v>0</v>
      </c>
      <c r="BM26" s="27">
        <f>6500+22500+22500</f>
        <v>51500</v>
      </c>
      <c r="BN26" s="27">
        <f t="shared" si="97"/>
        <v>0</v>
      </c>
      <c r="BO26" s="27">
        <f t="shared" si="98"/>
        <v>51500</v>
      </c>
      <c r="BP26" s="26"/>
      <c r="BQ26" s="26"/>
      <c r="BR26" s="27">
        <v>0</v>
      </c>
      <c r="BS26" s="27"/>
      <c r="BT26" s="27">
        <f t="shared" si="99"/>
        <v>0</v>
      </c>
      <c r="BU26" s="27">
        <f t="shared" si="100"/>
        <v>0</v>
      </c>
      <c r="BV26" s="26"/>
      <c r="BW26" s="26"/>
      <c r="BX26" s="27">
        <v>0</v>
      </c>
      <c r="BY26" s="26"/>
      <c r="BZ26" s="27">
        <f t="shared" si="101"/>
        <v>0</v>
      </c>
      <c r="CA26" s="27">
        <f t="shared" si="102"/>
        <v>0</v>
      </c>
      <c r="CB26" s="26"/>
      <c r="CC26" s="26"/>
      <c r="CD26" s="27">
        <v>0</v>
      </c>
      <c r="CE26" s="26"/>
      <c r="CF26" s="27">
        <f t="shared" si="103"/>
        <v>0</v>
      </c>
      <c r="CG26" s="27">
        <f t="shared" si="104"/>
        <v>0</v>
      </c>
      <c r="CH26" s="27"/>
      <c r="CI26" s="27"/>
      <c r="CJ26" s="27">
        <v>0</v>
      </c>
      <c r="CK26" s="27"/>
      <c r="CL26" s="27">
        <f t="shared" si="105"/>
        <v>0</v>
      </c>
      <c r="CM26" s="27">
        <f t="shared" si="106"/>
        <v>0</v>
      </c>
      <c r="CN26" s="27"/>
      <c r="CO26" s="27"/>
      <c r="CP26" s="27">
        <v>0</v>
      </c>
      <c r="CQ26" s="27"/>
      <c r="CR26" s="27">
        <f t="shared" si="107"/>
        <v>0</v>
      </c>
      <c r="CS26" s="27">
        <f t="shared" si="108"/>
        <v>0</v>
      </c>
      <c r="CT26" s="27"/>
      <c r="CU26" s="27"/>
      <c r="CV26" s="27">
        <v>0</v>
      </c>
      <c r="CW26" s="27"/>
      <c r="CX26" s="27">
        <f t="shared" si="109"/>
        <v>0</v>
      </c>
      <c r="CY26" s="27">
        <f t="shared" si="110"/>
        <v>0</v>
      </c>
      <c r="CZ26" s="27"/>
      <c r="DA26" s="27"/>
      <c r="DB26" s="27">
        <v>0</v>
      </c>
      <c r="DC26" s="27"/>
      <c r="DD26" s="27">
        <f t="shared" si="111"/>
        <v>0</v>
      </c>
      <c r="DE26" s="27">
        <f t="shared" si="112"/>
        <v>0</v>
      </c>
      <c r="DF26" s="27">
        <f t="shared" si="113"/>
        <v>0</v>
      </c>
      <c r="DG26" s="27">
        <f t="shared" si="114"/>
        <v>0</v>
      </c>
      <c r="DH26" s="27">
        <f t="shared" si="115"/>
        <v>0</v>
      </c>
      <c r="DI26" s="27">
        <f t="shared" si="116"/>
        <v>51500</v>
      </c>
      <c r="DJ26" s="27">
        <f t="shared" si="117"/>
        <v>0</v>
      </c>
      <c r="DK26" s="27">
        <f t="shared" si="118"/>
        <v>51500</v>
      </c>
    </row>
    <row r="27" spans="1:115">
      <c r="A27" s="25">
        <v>19</v>
      </c>
      <c r="B27" s="26" t="s">
        <v>1162</v>
      </c>
      <c r="C27" s="26"/>
      <c r="D27" s="26" t="s">
        <v>1315</v>
      </c>
      <c r="E27" s="205" t="s">
        <v>1200</v>
      </c>
      <c r="F27" s="161">
        <f t="shared" si="29"/>
        <v>0</v>
      </c>
      <c r="G27" s="165">
        <f t="shared" si="30"/>
        <v>0</v>
      </c>
      <c r="H27" s="27"/>
      <c r="I27" s="27">
        <v>0</v>
      </c>
      <c r="J27" s="27">
        <v>0</v>
      </c>
      <c r="K27" s="127">
        <f t="shared" si="31"/>
        <v>0</v>
      </c>
      <c r="L27" s="127">
        <f t="shared" si="32"/>
        <v>0</v>
      </c>
      <c r="M27" s="127">
        <f t="shared" si="33"/>
        <v>0</v>
      </c>
      <c r="N27" s="131"/>
      <c r="O27" s="125">
        <f t="shared" si="34"/>
        <v>45000</v>
      </c>
      <c r="P27" s="27">
        <v>0</v>
      </c>
      <c r="Q27" s="27">
        <v>0</v>
      </c>
      <c r="R27" s="27">
        <f t="shared" si="77"/>
        <v>0</v>
      </c>
      <c r="S27" s="27">
        <f t="shared" si="78"/>
        <v>0</v>
      </c>
      <c r="T27" s="27"/>
      <c r="U27" s="27"/>
      <c r="V27" s="27">
        <v>0</v>
      </c>
      <c r="W27" s="27"/>
      <c r="X27" s="27">
        <f t="shared" si="79"/>
        <v>0</v>
      </c>
      <c r="Y27" s="27">
        <f t="shared" si="80"/>
        <v>0</v>
      </c>
      <c r="Z27" s="27">
        <v>0</v>
      </c>
      <c r="AA27" s="27"/>
      <c r="AB27" s="27"/>
      <c r="AC27" s="27"/>
      <c r="AD27" s="27">
        <f t="shared" si="81"/>
        <v>0</v>
      </c>
      <c r="AE27" s="27">
        <f t="shared" si="82"/>
        <v>0</v>
      </c>
      <c r="AF27" s="27">
        <f t="shared" si="83"/>
        <v>0</v>
      </c>
      <c r="AG27" s="27">
        <f t="shared" si="84"/>
        <v>0</v>
      </c>
      <c r="AH27" s="27">
        <f t="shared" si="85"/>
        <v>0</v>
      </c>
      <c r="AI27" s="27">
        <f t="shared" si="86"/>
        <v>0</v>
      </c>
      <c r="AJ27" s="27">
        <f t="shared" si="87"/>
        <v>0</v>
      </c>
      <c r="AK27" s="27">
        <f t="shared" si="88"/>
        <v>0</v>
      </c>
      <c r="AL27" s="27"/>
      <c r="AM27" s="27"/>
      <c r="AN27" s="27">
        <v>0</v>
      </c>
      <c r="AO27" s="27"/>
      <c r="AP27" s="27">
        <f t="shared" si="89"/>
        <v>0</v>
      </c>
      <c r="AQ27" s="27">
        <f t="shared" si="90"/>
        <v>0</v>
      </c>
      <c r="AR27" s="27"/>
      <c r="AS27" s="27"/>
      <c r="AT27" s="27">
        <v>0</v>
      </c>
      <c r="AU27" s="27"/>
      <c r="AV27" s="27">
        <f t="shared" si="91"/>
        <v>0</v>
      </c>
      <c r="AW27" s="27">
        <f t="shared" si="92"/>
        <v>0</v>
      </c>
      <c r="AX27" s="27"/>
      <c r="AY27" s="27"/>
      <c r="AZ27" s="27">
        <v>0</v>
      </c>
      <c r="BA27" s="27"/>
      <c r="BB27" s="27">
        <f t="shared" si="93"/>
        <v>0</v>
      </c>
      <c r="BC27" s="27">
        <f t="shared" si="94"/>
        <v>0</v>
      </c>
      <c r="BD27" s="27"/>
      <c r="BE27" s="27"/>
      <c r="BF27" s="27">
        <v>0</v>
      </c>
      <c r="BG27" s="27"/>
      <c r="BH27" s="27">
        <f t="shared" si="95"/>
        <v>0</v>
      </c>
      <c r="BI27" s="27">
        <f t="shared" si="96"/>
        <v>0</v>
      </c>
      <c r="BJ27" s="27"/>
      <c r="BK27" s="27"/>
      <c r="BL27" s="27">
        <v>0</v>
      </c>
      <c r="BM27" s="27"/>
      <c r="BN27" s="27">
        <f t="shared" si="97"/>
        <v>0</v>
      </c>
      <c r="BO27" s="27">
        <f t="shared" si="98"/>
        <v>0</v>
      </c>
      <c r="BP27" s="26"/>
      <c r="BQ27" s="26"/>
      <c r="BR27" s="27">
        <v>0</v>
      </c>
      <c r="BS27" s="27">
        <f>22500+22500</f>
        <v>45000</v>
      </c>
      <c r="BT27" s="27">
        <f t="shared" si="99"/>
        <v>0</v>
      </c>
      <c r="BU27" s="27">
        <f t="shared" si="100"/>
        <v>45000</v>
      </c>
      <c r="BV27" s="26"/>
      <c r="BW27" s="26"/>
      <c r="BX27" s="27">
        <v>0</v>
      </c>
      <c r="BY27" s="26"/>
      <c r="BZ27" s="27">
        <f t="shared" si="101"/>
        <v>0</v>
      </c>
      <c r="CA27" s="27">
        <f t="shared" si="102"/>
        <v>0</v>
      </c>
      <c r="CB27" s="26"/>
      <c r="CC27" s="26"/>
      <c r="CD27" s="27">
        <v>0</v>
      </c>
      <c r="CE27" s="27"/>
      <c r="CF27" s="27">
        <f t="shared" si="103"/>
        <v>0</v>
      </c>
      <c r="CG27" s="27">
        <f t="shared" si="104"/>
        <v>0</v>
      </c>
      <c r="CH27" s="27"/>
      <c r="CI27" s="27"/>
      <c r="CJ27" s="27">
        <v>0</v>
      </c>
      <c r="CK27" s="27"/>
      <c r="CL27" s="27">
        <f t="shared" si="105"/>
        <v>0</v>
      </c>
      <c r="CM27" s="27">
        <f t="shared" si="106"/>
        <v>0</v>
      </c>
      <c r="CN27" s="27"/>
      <c r="CO27" s="27"/>
      <c r="CP27" s="27">
        <v>0</v>
      </c>
      <c r="CQ27" s="27"/>
      <c r="CR27" s="27">
        <f t="shared" si="107"/>
        <v>0</v>
      </c>
      <c r="CS27" s="27">
        <f t="shared" si="108"/>
        <v>0</v>
      </c>
      <c r="CT27" s="27"/>
      <c r="CU27" s="27"/>
      <c r="CV27" s="27">
        <v>0</v>
      </c>
      <c r="CW27" s="27"/>
      <c r="CX27" s="27">
        <f t="shared" si="109"/>
        <v>0</v>
      </c>
      <c r="CY27" s="27">
        <f t="shared" si="110"/>
        <v>0</v>
      </c>
      <c r="CZ27" s="27"/>
      <c r="DA27" s="27"/>
      <c r="DB27" s="27">
        <v>0</v>
      </c>
      <c r="DC27" s="27"/>
      <c r="DD27" s="27">
        <f t="shared" si="111"/>
        <v>0</v>
      </c>
      <c r="DE27" s="27">
        <f t="shared" si="112"/>
        <v>0</v>
      </c>
      <c r="DF27" s="27">
        <f t="shared" si="113"/>
        <v>0</v>
      </c>
      <c r="DG27" s="27">
        <f t="shared" si="114"/>
        <v>0</v>
      </c>
      <c r="DH27" s="27">
        <f t="shared" si="115"/>
        <v>0</v>
      </c>
      <c r="DI27" s="27">
        <f t="shared" si="116"/>
        <v>45000</v>
      </c>
      <c r="DJ27" s="27">
        <f t="shared" si="117"/>
        <v>0</v>
      </c>
      <c r="DK27" s="27">
        <f t="shared" si="118"/>
        <v>45000</v>
      </c>
    </row>
    <row r="28" spans="1:115">
      <c r="A28" s="25">
        <v>20</v>
      </c>
      <c r="B28" s="26" t="s">
        <v>1162</v>
      </c>
      <c r="C28" s="26"/>
      <c r="D28" s="26" t="s">
        <v>1314</v>
      </c>
      <c r="E28" s="205" t="s">
        <v>1200</v>
      </c>
      <c r="F28" s="161">
        <f t="shared" si="29"/>
        <v>0</v>
      </c>
      <c r="G28" s="165">
        <f t="shared" si="30"/>
        <v>0</v>
      </c>
      <c r="H28" s="27"/>
      <c r="I28" s="27">
        <v>0</v>
      </c>
      <c r="J28" s="27">
        <v>0</v>
      </c>
      <c r="K28" s="127">
        <f t="shared" si="31"/>
        <v>0</v>
      </c>
      <c r="L28" s="127">
        <f t="shared" si="32"/>
        <v>0</v>
      </c>
      <c r="M28" s="127">
        <f t="shared" si="33"/>
        <v>0</v>
      </c>
      <c r="N28" s="131"/>
      <c r="O28" s="125">
        <f t="shared" si="34"/>
        <v>187700</v>
      </c>
      <c r="P28" s="27">
        <v>0</v>
      </c>
      <c r="Q28" s="27">
        <v>0</v>
      </c>
      <c r="R28" s="27">
        <f t="shared" si="77"/>
        <v>0</v>
      </c>
      <c r="S28" s="27">
        <f t="shared" si="78"/>
        <v>0</v>
      </c>
      <c r="T28" s="27"/>
      <c r="U28" s="27"/>
      <c r="V28" s="27">
        <v>0</v>
      </c>
      <c r="W28" s="27"/>
      <c r="X28" s="27">
        <f t="shared" si="79"/>
        <v>0</v>
      </c>
      <c r="Y28" s="27">
        <f t="shared" si="80"/>
        <v>0</v>
      </c>
      <c r="Z28" s="27">
        <v>0</v>
      </c>
      <c r="AA28" s="27"/>
      <c r="AB28" s="27"/>
      <c r="AC28" s="27"/>
      <c r="AD28" s="27">
        <f t="shared" si="81"/>
        <v>0</v>
      </c>
      <c r="AE28" s="27">
        <f t="shared" si="82"/>
        <v>0</v>
      </c>
      <c r="AF28" s="27">
        <f t="shared" si="83"/>
        <v>0</v>
      </c>
      <c r="AG28" s="27">
        <f t="shared" si="84"/>
        <v>0</v>
      </c>
      <c r="AH28" s="27">
        <f t="shared" si="85"/>
        <v>0</v>
      </c>
      <c r="AI28" s="27">
        <f t="shared" si="86"/>
        <v>0</v>
      </c>
      <c r="AJ28" s="27">
        <f t="shared" si="87"/>
        <v>0</v>
      </c>
      <c r="AK28" s="27">
        <f t="shared" si="88"/>
        <v>0</v>
      </c>
      <c r="AL28" s="27"/>
      <c r="AM28" s="27"/>
      <c r="AN28" s="27">
        <v>0</v>
      </c>
      <c r="AO28" s="27"/>
      <c r="AP28" s="27">
        <f t="shared" si="89"/>
        <v>0</v>
      </c>
      <c r="AQ28" s="27">
        <f t="shared" si="90"/>
        <v>0</v>
      </c>
      <c r="AR28" s="27"/>
      <c r="AS28" s="27"/>
      <c r="AT28" s="27">
        <v>0</v>
      </c>
      <c r="AU28" s="27"/>
      <c r="AV28" s="27">
        <f t="shared" si="91"/>
        <v>0</v>
      </c>
      <c r="AW28" s="27">
        <f t="shared" si="92"/>
        <v>0</v>
      </c>
      <c r="AX28" s="27"/>
      <c r="AY28" s="27"/>
      <c r="AZ28" s="27">
        <v>0</v>
      </c>
      <c r="BA28" s="27"/>
      <c r="BB28" s="27">
        <f t="shared" si="93"/>
        <v>0</v>
      </c>
      <c r="BC28" s="27">
        <f t="shared" si="94"/>
        <v>0</v>
      </c>
      <c r="BD28" s="27"/>
      <c r="BE28" s="27"/>
      <c r="BF28" s="27">
        <v>0</v>
      </c>
      <c r="BG28" s="27"/>
      <c r="BH28" s="27">
        <f t="shared" si="95"/>
        <v>0</v>
      </c>
      <c r="BI28" s="27">
        <f t="shared" si="96"/>
        <v>0</v>
      </c>
      <c r="BJ28" s="27"/>
      <c r="BK28" s="27"/>
      <c r="BL28" s="27">
        <v>0</v>
      </c>
      <c r="BM28" s="27"/>
      <c r="BN28" s="27">
        <f t="shared" si="97"/>
        <v>0</v>
      </c>
      <c r="BO28" s="27">
        <f t="shared" si="98"/>
        <v>0</v>
      </c>
      <c r="BP28" s="26"/>
      <c r="BQ28" s="26"/>
      <c r="BR28" s="27">
        <v>0</v>
      </c>
      <c r="BS28" s="27">
        <f>22500+42700+6500+8500+22500+8500+22500+8500+6500+6500+6500+6500+6500+6500+6500</f>
        <v>187700</v>
      </c>
      <c r="BT28" s="27">
        <f t="shared" si="99"/>
        <v>0</v>
      </c>
      <c r="BU28" s="27">
        <f t="shared" si="100"/>
        <v>187700</v>
      </c>
      <c r="BV28" s="26"/>
      <c r="BW28" s="26"/>
      <c r="BX28" s="27">
        <v>0</v>
      </c>
      <c r="BY28" s="26"/>
      <c r="BZ28" s="27">
        <f t="shared" si="101"/>
        <v>0</v>
      </c>
      <c r="CA28" s="27">
        <f t="shared" si="102"/>
        <v>0</v>
      </c>
      <c r="CB28" s="26"/>
      <c r="CC28" s="26"/>
      <c r="CD28" s="27">
        <v>0</v>
      </c>
      <c r="CE28" s="27"/>
      <c r="CF28" s="27">
        <f t="shared" si="103"/>
        <v>0</v>
      </c>
      <c r="CG28" s="27">
        <f t="shared" si="104"/>
        <v>0</v>
      </c>
      <c r="CH28" s="27"/>
      <c r="CI28" s="27"/>
      <c r="CJ28" s="27">
        <v>0</v>
      </c>
      <c r="CK28" s="27"/>
      <c r="CL28" s="27">
        <f t="shared" si="105"/>
        <v>0</v>
      </c>
      <c r="CM28" s="27">
        <f t="shared" si="106"/>
        <v>0</v>
      </c>
      <c r="CN28" s="27"/>
      <c r="CO28" s="27"/>
      <c r="CP28" s="27">
        <v>0</v>
      </c>
      <c r="CQ28" s="27"/>
      <c r="CR28" s="27">
        <f t="shared" si="107"/>
        <v>0</v>
      </c>
      <c r="CS28" s="27">
        <f t="shared" si="108"/>
        <v>0</v>
      </c>
      <c r="CT28" s="27"/>
      <c r="CU28" s="27"/>
      <c r="CV28" s="27">
        <v>0</v>
      </c>
      <c r="CW28" s="27"/>
      <c r="CX28" s="27">
        <f t="shared" si="109"/>
        <v>0</v>
      </c>
      <c r="CY28" s="27">
        <f t="shared" si="110"/>
        <v>0</v>
      </c>
      <c r="CZ28" s="27"/>
      <c r="DA28" s="27"/>
      <c r="DB28" s="27">
        <v>0</v>
      </c>
      <c r="DC28" s="27"/>
      <c r="DD28" s="27">
        <f t="shared" si="111"/>
        <v>0</v>
      </c>
      <c r="DE28" s="27">
        <f t="shared" si="112"/>
        <v>0</v>
      </c>
      <c r="DF28" s="27">
        <f t="shared" si="113"/>
        <v>0</v>
      </c>
      <c r="DG28" s="27">
        <f t="shared" si="114"/>
        <v>0</v>
      </c>
      <c r="DH28" s="27">
        <f t="shared" si="115"/>
        <v>0</v>
      </c>
      <c r="DI28" s="27">
        <f t="shared" si="116"/>
        <v>187700</v>
      </c>
      <c r="DJ28" s="27">
        <f t="shared" si="117"/>
        <v>0</v>
      </c>
      <c r="DK28" s="27">
        <f t="shared" si="118"/>
        <v>187700</v>
      </c>
    </row>
    <row r="29" spans="1:115">
      <c r="A29" s="25">
        <v>21</v>
      </c>
      <c r="B29" s="26" t="s">
        <v>1162</v>
      </c>
      <c r="C29" s="26" t="s">
        <v>1319</v>
      </c>
      <c r="D29" s="26" t="s">
        <v>1318</v>
      </c>
      <c r="E29" s="205" t="s">
        <v>1200</v>
      </c>
      <c r="F29" s="161">
        <f t="shared" si="29"/>
        <v>0</v>
      </c>
      <c r="G29" s="165">
        <f t="shared" si="30"/>
        <v>0</v>
      </c>
      <c r="H29" s="27"/>
      <c r="I29" s="27">
        <v>0</v>
      </c>
      <c r="J29" s="27">
        <v>0</v>
      </c>
      <c r="K29" s="127">
        <f t="shared" si="31"/>
        <v>0</v>
      </c>
      <c r="L29" s="127">
        <f t="shared" si="32"/>
        <v>0</v>
      </c>
      <c r="M29" s="127">
        <f t="shared" si="33"/>
        <v>0</v>
      </c>
      <c r="N29" s="131"/>
      <c r="O29" s="125">
        <f t="shared" si="34"/>
        <v>208776.23</v>
      </c>
      <c r="P29" s="27">
        <v>0</v>
      </c>
      <c r="Q29" s="27">
        <v>0</v>
      </c>
      <c r="R29" s="27">
        <f t="shared" si="77"/>
        <v>0</v>
      </c>
      <c r="S29" s="27">
        <f t="shared" si="78"/>
        <v>0</v>
      </c>
      <c r="T29" s="27"/>
      <c r="U29" s="27"/>
      <c r="V29" s="27">
        <v>0</v>
      </c>
      <c r="W29" s="27"/>
      <c r="X29" s="27">
        <f t="shared" si="79"/>
        <v>0</v>
      </c>
      <c r="Y29" s="27">
        <f t="shared" si="80"/>
        <v>0</v>
      </c>
      <c r="Z29" s="27">
        <v>0</v>
      </c>
      <c r="AA29" s="27"/>
      <c r="AB29" s="27"/>
      <c r="AC29" s="27"/>
      <c r="AD29" s="27">
        <f t="shared" si="81"/>
        <v>0</v>
      </c>
      <c r="AE29" s="27">
        <f t="shared" si="82"/>
        <v>0</v>
      </c>
      <c r="AF29" s="27">
        <f t="shared" si="83"/>
        <v>0</v>
      </c>
      <c r="AG29" s="27">
        <f t="shared" si="84"/>
        <v>0</v>
      </c>
      <c r="AH29" s="27">
        <f t="shared" si="85"/>
        <v>0</v>
      </c>
      <c r="AI29" s="27">
        <f t="shared" si="86"/>
        <v>0</v>
      </c>
      <c r="AJ29" s="27">
        <f t="shared" si="87"/>
        <v>0</v>
      </c>
      <c r="AK29" s="27">
        <f t="shared" si="88"/>
        <v>0</v>
      </c>
      <c r="AL29" s="27"/>
      <c r="AM29" s="27"/>
      <c r="AN29" s="27">
        <v>0</v>
      </c>
      <c r="AO29" s="27"/>
      <c r="AP29" s="27">
        <f t="shared" si="89"/>
        <v>0</v>
      </c>
      <c r="AQ29" s="27">
        <f t="shared" si="90"/>
        <v>0</v>
      </c>
      <c r="AR29" s="27"/>
      <c r="AS29" s="27"/>
      <c r="AT29" s="27">
        <v>0</v>
      </c>
      <c r="AU29" s="27"/>
      <c r="AV29" s="27">
        <f t="shared" si="91"/>
        <v>0</v>
      </c>
      <c r="AW29" s="27">
        <f t="shared" si="92"/>
        <v>0</v>
      </c>
      <c r="AX29" s="27"/>
      <c r="AY29" s="27"/>
      <c r="AZ29" s="27">
        <v>0</v>
      </c>
      <c r="BA29" s="27"/>
      <c r="BB29" s="27">
        <f t="shared" si="93"/>
        <v>0</v>
      </c>
      <c r="BC29" s="27">
        <f t="shared" si="94"/>
        <v>0</v>
      </c>
      <c r="BD29" s="27"/>
      <c r="BE29" s="27"/>
      <c r="BF29" s="27">
        <v>0</v>
      </c>
      <c r="BG29" s="27"/>
      <c r="BH29" s="27">
        <f t="shared" si="95"/>
        <v>0</v>
      </c>
      <c r="BI29" s="27">
        <f t="shared" si="96"/>
        <v>0</v>
      </c>
      <c r="BJ29" s="27"/>
      <c r="BK29" s="27"/>
      <c r="BL29" s="27">
        <v>0</v>
      </c>
      <c r="BM29" s="27"/>
      <c r="BN29" s="27">
        <f t="shared" si="97"/>
        <v>0</v>
      </c>
      <c r="BO29" s="27">
        <f t="shared" si="98"/>
        <v>0</v>
      </c>
      <c r="BP29" s="26"/>
      <c r="BQ29" s="26"/>
      <c r="BR29" s="27">
        <v>0</v>
      </c>
      <c r="BS29" s="27"/>
      <c r="BT29" s="27">
        <f t="shared" si="99"/>
        <v>0</v>
      </c>
      <c r="BU29" s="27">
        <f t="shared" si="100"/>
        <v>0</v>
      </c>
      <c r="BV29" s="26"/>
      <c r="BW29" s="26">
        <v>185000</v>
      </c>
      <c r="BX29" s="27">
        <v>0</v>
      </c>
      <c r="BY29" s="26"/>
      <c r="BZ29" s="27">
        <f t="shared" si="101"/>
        <v>0</v>
      </c>
      <c r="CA29" s="27">
        <f t="shared" si="102"/>
        <v>185000</v>
      </c>
      <c r="CB29" s="26"/>
      <c r="CC29" s="26"/>
      <c r="CD29" s="27">
        <v>0</v>
      </c>
      <c r="CE29" s="27">
        <v>23776.23</v>
      </c>
      <c r="CF29" s="27">
        <f t="shared" si="103"/>
        <v>0</v>
      </c>
      <c r="CG29" s="27">
        <f t="shared" si="104"/>
        <v>23776.23</v>
      </c>
      <c r="CH29" s="27"/>
      <c r="CI29" s="27"/>
      <c r="CJ29" s="27">
        <v>0</v>
      </c>
      <c r="CK29" s="27"/>
      <c r="CL29" s="27">
        <f t="shared" si="105"/>
        <v>0</v>
      </c>
      <c r="CM29" s="27">
        <f t="shared" si="106"/>
        <v>0</v>
      </c>
      <c r="CN29" s="27"/>
      <c r="CO29" s="27"/>
      <c r="CP29" s="27">
        <v>0</v>
      </c>
      <c r="CQ29" s="27"/>
      <c r="CR29" s="27">
        <f t="shared" si="107"/>
        <v>0</v>
      </c>
      <c r="CS29" s="27">
        <f t="shared" si="108"/>
        <v>0</v>
      </c>
      <c r="CT29" s="27"/>
      <c r="CU29" s="27"/>
      <c r="CV29" s="27">
        <v>0</v>
      </c>
      <c r="CW29" s="27"/>
      <c r="CX29" s="27">
        <f t="shared" si="109"/>
        <v>0</v>
      </c>
      <c r="CY29" s="27">
        <f t="shared" si="110"/>
        <v>0</v>
      </c>
      <c r="CZ29" s="27"/>
      <c r="DA29" s="27"/>
      <c r="DB29" s="27">
        <v>0</v>
      </c>
      <c r="DC29" s="27"/>
      <c r="DD29" s="27">
        <f t="shared" si="111"/>
        <v>0</v>
      </c>
      <c r="DE29" s="27">
        <f t="shared" si="112"/>
        <v>0</v>
      </c>
      <c r="DF29" s="27">
        <f t="shared" si="113"/>
        <v>0</v>
      </c>
      <c r="DG29" s="27">
        <f t="shared" si="114"/>
        <v>185000</v>
      </c>
      <c r="DH29" s="27">
        <f t="shared" si="115"/>
        <v>0</v>
      </c>
      <c r="DI29" s="27">
        <f t="shared" si="116"/>
        <v>23776.23</v>
      </c>
      <c r="DJ29" s="27">
        <f t="shared" si="117"/>
        <v>0</v>
      </c>
      <c r="DK29" s="27">
        <f t="shared" si="118"/>
        <v>208776.23</v>
      </c>
    </row>
    <row r="30" spans="1:115">
      <c r="A30" s="25">
        <v>22</v>
      </c>
      <c r="B30" s="26" t="s">
        <v>1162</v>
      </c>
      <c r="C30" s="26" t="s">
        <v>813</v>
      </c>
      <c r="D30" s="246" t="s">
        <v>1322</v>
      </c>
      <c r="E30" s="205" t="s">
        <v>1200</v>
      </c>
      <c r="F30" s="161">
        <f t="shared" si="29"/>
        <v>0</v>
      </c>
      <c r="G30" s="165">
        <f t="shared" si="30"/>
        <v>0</v>
      </c>
      <c r="H30" s="27"/>
      <c r="I30" s="27">
        <v>0</v>
      </c>
      <c r="J30" s="27">
        <v>0</v>
      </c>
      <c r="K30" s="127">
        <f t="shared" si="31"/>
        <v>0</v>
      </c>
      <c r="L30" s="127">
        <f t="shared" si="32"/>
        <v>0</v>
      </c>
      <c r="M30" s="127">
        <f t="shared" si="33"/>
        <v>0</v>
      </c>
      <c r="N30" s="131"/>
      <c r="O30" s="125">
        <f t="shared" si="34"/>
        <v>9213.43</v>
      </c>
      <c r="P30" s="27">
        <v>0</v>
      </c>
      <c r="Q30" s="27">
        <v>0</v>
      </c>
      <c r="R30" s="27">
        <f t="shared" si="77"/>
        <v>0</v>
      </c>
      <c r="S30" s="27">
        <f t="shared" si="78"/>
        <v>0</v>
      </c>
      <c r="T30" s="27"/>
      <c r="U30" s="27"/>
      <c r="V30" s="27">
        <v>0</v>
      </c>
      <c r="W30" s="27"/>
      <c r="X30" s="27">
        <f t="shared" si="79"/>
        <v>0</v>
      </c>
      <c r="Y30" s="27">
        <f t="shared" si="80"/>
        <v>0</v>
      </c>
      <c r="Z30" s="27">
        <v>0</v>
      </c>
      <c r="AA30" s="27"/>
      <c r="AB30" s="27"/>
      <c r="AC30" s="27"/>
      <c r="AD30" s="27">
        <f t="shared" si="81"/>
        <v>0</v>
      </c>
      <c r="AE30" s="27">
        <f t="shared" si="82"/>
        <v>0</v>
      </c>
      <c r="AF30" s="27">
        <f t="shared" si="83"/>
        <v>0</v>
      </c>
      <c r="AG30" s="27">
        <f t="shared" si="84"/>
        <v>0</v>
      </c>
      <c r="AH30" s="27">
        <f t="shared" si="85"/>
        <v>0</v>
      </c>
      <c r="AI30" s="27">
        <f t="shared" si="86"/>
        <v>0</v>
      </c>
      <c r="AJ30" s="27">
        <f t="shared" si="87"/>
        <v>0</v>
      </c>
      <c r="AK30" s="27">
        <f t="shared" si="88"/>
        <v>0</v>
      </c>
      <c r="AL30" s="27"/>
      <c r="AM30" s="27"/>
      <c r="AN30" s="27">
        <v>0</v>
      </c>
      <c r="AO30" s="27"/>
      <c r="AP30" s="27">
        <f t="shared" si="89"/>
        <v>0</v>
      </c>
      <c r="AQ30" s="27">
        <f t="shared" si="90"/>
        <v>0</v>
      </c>
      <c r="AR30" s="27"/>
      <c r="AS30" s="27"/>
      <c r="AT30" s="27">
        <v>0</v>
      </c>
      <c r="AU30" s="27"/>
      <c r="AV30" s="27">
        <f t="shared" si="91"/>
        <v>0</v>
      </c>
      <c r="AW30" s="27">
        <f t="shared" si="92"/>
        <v>0</v>
      </c>
      <c r="AX30" s="27"/>
      <c r="AY30" s="27"/>
      <c r="AZ30" s="27">
        <v>0</v>
      </c>
      <c r="BA30" s="27"/>
      <c r="BB30" s="27">
        <f t="shared" si="93"/>
        <v>0</v>
      </c>
      <c r="BC30" s="27">
        <f t="shared" si="94"/>
        <v>0</v>
      </c>
      <c r="BD30" s="27"/>
      <c r="BE30" s="27"/>
      <c r="BF30" s="27">
        <v>0</v>
      </c>
      <c r="BG30" s="27"/>
      <c r="BH30" s="27">
        <f t="shared" si="95"/>
        <v>0</v>
      </c>
      <c r="BI30" s="27">
        <f t="shared" si="96"/>
        <v>0</v>
      </c>
      <c r="BJ30" s="27"/>
      <c r="BK30" s="27"/>
      <c r="BL30" s="27">
        <v>0</v>
      </c>
      <c r="BM30" s="27"/>
      <c r="BN30" s="27">
        <f t="shared" si="97"/>
        <v>0</v>
      </c>
      <c r="BO30" s="27">
        <f t="shared" si="98"/>
        <v>0</v>
      </c>
      <c r="BP30" s="26"/>
      <c r="BQ30" s="26"/>
      <c r="BR30" s="27">
        <v>0</v>
      </c>
      <c r="BS30" s="27"/>
      <c r="BT30" s="27">
        <f t="shared" si="99"/>
        <v>0</v>
      </c>
      <c r="BU30" s="27">
        <f t="shared" si="100"/>
        <v>0</v>
      </c>
      <c r="BV30" s="26"/>
      <c r="BW30" s="26"/>
      <c r="BX30" s="27">
        <v>0</v>
      </c>
      <c r="BY30" s="26"/>
      <c r="BZ30" s="27">
        <f t="shared" si="101"/>
        <v>0</v>
      </c>
      <c r="CA30" s="27">
        <f t="shared" si="102"/>
        <v>0</v>
      </c>
      <c r="CB30" s="26"/>
      <c r="CC30" s="26">
        <v>8000</v>
      </c>
      <c r="CD30" s="27">
        <v>0</v>
      </c>
      <c r="CE30" s="27"/>
      <c r="CF30" s="27">
        <f t="shared" si="103"/>
        <v>0</v>
      </c>
      <c r="CG30" s="27">
        <f t="shared" si="104"/>
        <v>8000</v>
      </c>
      <c r="CH30" s="27"/>
      <c r="CI30" s="27"/>
      <c r="CJ30" s="27">
        <v>0</v>
      </c>
      <c r="CK30" s="27">
        <v>1213.43</v>
      </c>
      <c r="CL30" s="27">
        <f t="shared" si="105"/>
        <v>0</v>
      </c>
      <c r="CM30" s="27">
        <f t="shared" si="106"/>
        <v>1213.43</v>
      </c>
      <c r="CN30" s="27"/>
      <c r="CO30" s="27"/>
      <c r="CP30" s="27">
        <v>0</v>
      </c>
      <c r="CQ30" s="27"/>
      <c r="CR30" s="27">
        <f t="shared" si="107"/>
        <v>0</v>
      </c>
      <c r="CS30" s="27">
        <f t="shared" si="108"/>
        <v>0</v>
      </c>
      <c r="CT30" s="27"/>
      <c r="CU30" s="27"/>
      <c r="CV30" s="27">
        <v>0</v>
      </c>
      <c r="CW30" s="27"/>
      <c r="CX30" s="27">
        <f t="shared" si="109"/>
        <v>0</v>
      </c>
      <c r="CY30" s="27">
        <f t="shared" si="110"/>
        <v>0</v>
      </c>
      <c r="CZ30" s="27"/>
      <c r="DA30" s="27"/>
      <c r="DB30" s="27">
        <v>0</v>
      </c>
      <c r="DC30" s="27"/>
      <c r="DD30" s="27">
        <f t="shared" si="111"/>
        <v>0</v>
      </c>
      <c r="DE30" s="27">
        <f t="shared" si="112"/>
        <v>0</v>
      </c>
      <c r="DF30" s="27">
        <f t="shared" si="113"/>
        <v>0</v>
      </c>
      <c r="DG30" s="27">
        <f t="shared" si="114"/>
        <v>8000</v>
      </c>
      <c r="DH30" s="27">
        <f t="shared" si="115"/>
        <v>0</v>
      </c>
      <c r="DI30" s="27">
        <f t="shared" si="116"/>
        <v>1213.43</v>
      </c>
      <c r="DJ30" s="27">
        <f t="shared" si="117"/>
        <v>0</v>
      </c>
      <c r="DK30" s="27">
        <f t="shared" si="118"/>
        <v>9213.43</v>
      </c>
    </row>
    <row r="31" spans="1:115">
      <c r="A31" s="25">
        <v>23</v>
      </c>
      <c r="B31" s="26" t="s">
        <v>1162</v>
      </c>
      <c r="C31" s="26" t="s">
        <v>813</v>
      </c>
      <c r="D31" s="246" t="s">
        <v>1323</v>
      </c>
      <c r="E31" s="205" t="s">
        <v>1200</v>
      </c>
      <c r="F31" s="161">
        <f t="shared" ref="F31:F52" si="119">SUM(DJ31)</f>
        <v>0</v>
      </c>
      <c r="G31" s="165">
        <f t="shared" ref="G31:G52" si="120">I31+AK31+DJ31</f>
        <v>0</v>
      </c>
      <c r="H31" s="27"/>
      <c r="I31" s="27">
        <v>0</v>
      </c>
      <c r="J31" s="27">
        <v>0</v>
      </c>
      <c r="K31" s="127">
        <f t="shared" ref="K31:K52" si="121">AK31</f>
        <v>0</v>
      </c>
      <c r="L31" s="127">
        <f t="shared" ref="L31:L52" si="122">IF(AI31&gt;0,I31+AK31-J31,0)</f>
        <v>0</v>
      </c>
      <c r="M31" s="127">
        <f t="shared" ref="M31:M52" si="123">I31+K31</f>
        <v>0</v>
      </c>
      <c r="N31" s="131"/>
      <c r="O31" s="125">
        <f t="shared" ref="O31:O52" si="124">IF(AND(AI31&gt;0,DI31&gt;0),"შეცდომაა! ერთზე მეტი ბოლო ჩაბარება!",IF(OR(AI31&gt;0,DI31&gt;0,),IF(AI31&gt;0,I31+AK31,I31+AK31+DK31),IF(AND(I31=0,K31=0,DK31=0),"ნულოვანი შესრულება","მიმდინარეობს")))</f>
        <v>9213.43</v>
      </c>
      <c r="P31" s="27">
        <v>0</v>
      </c>
      <c r="Q31" s="27">
        <v>0</v>
      </c>
      <c r="R31" s="27">
        <f t="shared" ref="R31:R52" si="125">I31+P31</f>
        <v>0</v>
      </c>
      <c r="S31" s="27">
        <f t="shared" ref="S31:S52" si="126">Q31</f>
        <v>0</v>
      </c>
      <c r="T31" s="27"/>
      <c r="U31" s="27"/>
      <c r="V31" s="27">
        <v>1</v>
      </c>
      <c r="W31" s="27"/>
      <c r="X31" s="27">
        <f t="shared" ref="X31:X52" si="127">T31+V31</f>
        <v>1</v>
      </c>
      <c r="Y31" s="27">
        <f t="shared" ref="Y31:Y52" si="128">U31+W31</f>
        <v>0</v>
      </c>
      <c r="Z31" s="27">
        <v>1</v>
      </c>
      <c r="AA31" s="27"/>
      <c r="AB31" s="27"/>
      <c r="AC31" s="27"/>
      <c r="AD31" s="27">
        <f t="shared" ref="AD31:AD52" si="129">Z31+AB31</f>
        <v>1</v>
      </c>
      <c r="AE31" s="27">
        <f t="shared" ref="AE31:AE52" si="130">AA31+AC31</f>
        <v>0</v>
      </c>
      <c r="AF31" s="27">
        <f t="shared" ref="AF31:AF52" si="131">P31+T31+Z31</f>
        <v>1</v>
      </c>
      <c r="AG31" s="27">
        <f t="shared" ref="AG31:AG52" si="132">P31+U31+AA31</f>
        <v>0</v>
      </c>
      <c r="AH31" s="27">
        <f t="shared" ref="AH31:AH52" si="133">Q31+V31+AB31</f>
        <v>1</v>
      </c>
      <c r="AI31" s="27">
        <f t="shared" ref="AI31:AI52" si="134">Q31+W31+AC31</f>
        <v>0</v>
      </c>
      <c r="AJ31" s="27">
        <f t="shared" ref="AJ31:AJ52" si="135">AF31+AH31</f>
        <v>2</v>
      </c>
      <c r="AK31" s="27">
        <f t="shared" ref="AK31:AK52" si="136">AG31+AI31</f>
        <v>0</v>
      </c>
      <c r="AL31" s="27"/>
      <c r="AM31" s="27"/>
      <c r="AN31" s="27">
        <v>0</v>
      </c>
      <c r="AO31" s="27"/>
      <c r="AP31" s="27">
        <f t="shared" ref="AP31:AP52" si="137">AL31+AN31</f>
        <v>0</v>
      </c>
      <c r="AQ31" s="27">
        <f t="shared" ref="AQ31:AQ52" si="138">AM31+AO31</f>
        <v>0</v>
      </c>
      <c r="AR31" s="27"/>
      <c r="AS31" s="27"/>
      <c r="AT31" s="27">
        <v>0</v>
      </c>
      <c r="AU31" s="27"/>
      <c r="AV31" s="27">
        <f t="shared" ref="AV31:AV52" si="139">AR31+AT31</f>
        <v>0</v>
      </c>
      <c r="AW31" s="27">
        <f t="shared" ref="AW31:AW52" si="140">AS31+AU31</f>
        <v>0</v>
      </c>
      <c r="AX31" s="27"/>
      <c r="AY31" s="27"/>
      <c r="AZ31" s="27">
        <v>0</v>
      </c>
      <c r="BA31" s="27"/>
      <c r="BB31" s="27">
        <f t="shared" ref="BB31:BB52" si="141">AX31+AZ31</f>
        <v>0</v>
      </c>
      <c r="BC31" s="27">
        <f t="shared" ref="BC31:BC52" si="142">AY31+BA31</f>
        <v>0</v>
      </c>
      <c r="BD31" s="27"/>
      <c r="BE31" s="27"/>
      <c r="BF31" s="27">
        <v>0</v>
      </c>
      <c r="BG31" s="27"/>
      <c r="BH31" s="27">
        <f t="shared" ref="BH31:BH52" si="143">BD31+BF31</f>
        <v>0</v>
      </c>
      <c r="BI31" s="27">
        <f t="shared" ref="BI31:BI52" si="144">BE31+BG31</f>
        <v>0</v>
      </c>
      <c r="BJ31" s="27"/>
      <c r="BK31" s="27"/>
      <c r="BL31" s="27">
        <v>0</v>
      </c>
      <c r="BM31" s="27"/>
      <c r="BN31" s="27">
        <f t="shared" ref="BN31:BN52" si="145">BJ31+BL31</f>
        <v>0</v>
      </c>
      <c r="BO31" s="27">
        <f t="shared" ref="BO31:BO52" si="146">BK31+BM31</f>
        <v>0</v>
      </c>
      <c r="BP31" s="26"/>
      <c r="BQ31" s="26"/>
      <c r="BR31" s="27">
        <v>0</v>
      </c>
      <c r="BS31" s="27"/>
      <c r="BT31" s="27">
        <f t="shared" ref="BT31:BT52" si="147">BP31+BR31</f>
        <v>0</v>
      </c>
      <c r="BU31" s="27">
        <f t="shared" ref="BU31:BU52" si="148">BQ31+BS31</f>
        <v>0</v>
      </c>
      <c r="BV31" s="26"/>
      <c r="BW31" s="26"/>
      <c r="BX31" s="27">
        <v>0</v>
      </c>
      <c r="BY31" s="26"/>
      <c r="BZ31" s="27">
        <f t="shared" ref="BZ31:BZ52" si="149">BV31+BX31</f>
        <v>0</v>
      </c>
      <c r="CA31" s="27">
        <f t="shared" ref="CA31:CA52" si="150">BW31+BY31</f>
        <v>0</v>
      </c>
      <c r="CB31" s="26"/>
      <c r="CC31" s="26">
        <v>8000</v>
      </c>
      <c r="CD31" s="27">
        <v>0</v>
      </c>
      <c r="CE31" s="27"/>
      <c r="CF31" s="27">
        <f t="shared" ref="CF31:CF52" si="151">CB31+CD31</f>
        <v>0</v>
      </c>
      <c r="CG31" s="27">
        <f t="shared" ref="CG31:CG52" si="152">CC31+CE31</f>
        <v>8000</v>
      </c>
      <c r="CH31" s="27"/>
      <c r="CI31" s="27"/>
      <c r="CJ31" s="27">
        <v>0</v>
      </c>
      <c r="CK31" s="27">
        <v>1213.43</v>
      </c>
      <c r="CL31" s="27">
        <f t="shared" ref="CL31:CL52" si="153">CH31+CJ31</f>
        <v>0</v>
      </c>
      <c r="CM31" s="27">
        <f t="shared" ref="CM31:CM52" si="154">CI31+CK31</f>
        <v>1213.43</v>
      </c>
      <c r="CN31" s="27"/>
      <c r="CO31" s="27"/>
      <c r="CP31" s="27">
        <v>0</v>
      </c>
      <c r="CQ31" s="27"/>
      <c r="CR31" s="27">
        <f t="shared" ref="CR31:CR52" si="155">CN31+CP31</f>
        <v>0</v>
      </c>
      <c r="CS31" s="27">
        <f t="shared" ref="CS31:CS52" si="156">CO31+CQ31</f>
        <v>0</v>
      </c>
      <c r="CT31" s="27"/>
      <c r="CU31" s="27"/>
      <c r="CV31" s="27">
        <v>0</v>
      </c>
      <c r="CW31" s="27"/>
      <c r="CX31" s="27">
        <f t="shared" ref="CX31:CX52" si="157">CT31+CV31</f>
        <v>0</v>
      </c>
      <c r="CY31" s="27">
        <f t="shared" ref="CY31:CY52" si="158">CU31+CW31</f>
        <v>0</v>
      </c>
      <c r="CZ31" s="27"/>
      <c r="DA31" s="27"/>
      <c r="DB31" s="27">
        <v>0</v>
      </c>
      <c r="DC31" s="27"/>
      <c r="DD31" s="27">
        <f t="shared" ref="DD31:DD52" si="159">CZ31+DB31</f>
        <v>0</v>
      </c>
      <c r="DE31" s="27">
        <f t="shared" ref="DE31:DE52" si="160">DA31+DC31</f>
        <v>0</v>
      </c>
      <c r="DF31" s="27">
        <f t="shared" ref="DF31:DF52" si="161">AL31+AR31+AX31+BD31+BJ31+BP31+BV31+CB31+CH31+CN31+CT31+CZ31</f>
        <v>0</v>
      </c>
      <c r="DG31" s="27">
        <f t="shared" ref="DG31:DG52" si="162">AM31+AS31+AY31+BE31+BK31+BQ31+BW31+CC31+CI31+CO31+CU31+DA31</f>
        <v>8000</v>
      </c>
      <c r="DH31" s="27">
        <f t="shared" ref="DH31:DH52" si="163">AN31+AT31+AZ31+BF31+BL31+BR31+BX31+CD31+CJ31+CP31+CV31+DB31</f>
        <v>0</v>
      </c>
      <c r="DI31" s="27">
        <f t="shared" ref="DI31:DI52" si="164">AO31+AU31+BA31+BG31+BM31+BS31+BY31+CE31+CK31+CQ31+CW31+DC31</f>
        <v>1213.43</v>
      </c>
      <c r="DJ31" s="27">
        <f t="shared" ref="DJ31:DJ52" si="165">DF31+DH31</f>
        <v>0</v>
      </c>
      <c r="DK31" s="27">
        <f t="shared" ref="DK31:DK52" si="166">DG31+DI31</f>
        <v>9213.43</v>
      </c>
    </row>
    <row r="32" spans="1:115">
      <c r="A32" s="25">
        <v>24</v>
      </c>
      <c r="B32" s="26" t="s">
        <v>1162</v>
      </c>
      <c r="C32" s="26" t="s">
        <v>813</v>
      </c>
      <c r="D32" s="246" t="s">
        <v>1324</v>
      </c>
      <c r="E32" s="205" t="s">
        <v>1200</v>
      </c>
      <c r="F32" s="161">
        <f t="shared" si="119"/>
        <v>0</v>
      </c>
      <c r="G32" s="165">
        <f t="shared" si="120"/>
        <v>0</v>
      </c>
      <c r="H32" s="27"/>
      <c r="I32" s="27">
        <v>0</v>
      </c>
      <c r="J32" s="27">
        <v>0</v>
      </c>
      <c r="K32" s="127">
        <f t="shared" si="121"/>
        <v>0</v>
      </c>
      <c r="L32" s="127">
        <f t="shared" si="122"/>
        <v>0</v>
      </c>
      <c r="M32" s="127">
        <f t="shared" si="123"/>
        <v>0</v>
      </c>
      <c r="N32" s="131"/>
      <c r="O32" s="125">
        <f t="shared" si="124"/>
        <v>7035.07</v>
      </c>
      <c r="P32" s="27">
        <v>0</v>
      </c>
      <c r="Q32" s="27">
        <v>0</v>
      </c>
      <c r="R32" s="27">
        <f t="shared" si="125"/>
        <v>0</v>
      </c>
      <c r="S32" s="27">
        <f t="shared" si="126"/>
        <v>0</v>
      </c>
      <c r="T32" s="27"/>
      <c r="U32" s="27"/>
      <c r="V32" s="27">
        <v>2</v>
      </c>
      <c r="W32" s="27"/>
      <c r="X32" s="27">
        <f t="shared" si="127"/>
        <v>2</v>
      </c>
      <c r="Y32" s="27">
        <f t="shared" si="128"/>
        <v>0</v>
      </c>
      <c r="Z32" s="27">
        <v>2</v>
      </c>
      <c r="AA32" s="27"/>
      <c r="AB32" s="27"/>
      <c r="AC32" s="27"/>
      <c r="AD32" s="27">
        <f t="shared" si="129"/>
        <v>2</v>
      </c>
      <c r="AE32" s="27">
        <f t="shared" si="130"/>
        <v>0</v>
      </c>
      <c r="AF32" s="27">
        <f t="shared" si="131"/>
        <v>2</v>
      </c>
      <c r="AG32" s="27">
        <f t="shared" si="132"/>
        <v>0</v>
      </c>
      <c r="AH32" s="27">
        <f t="shared" si="133"/>
        <v>2</v>
      </c>
      <c r="AI32" s="27">
        <f t="shared" si="134"/>
        <v>0</v>
      </c>
      <c r="AJ32" s="27">
        <f t="shared" si="135"/>
        <v>4</v>
      </c>
      <c r="AK32" s="27">
        <f t="shared" si="136"/>
        <v>0</v>
      </c>
      <c r="AL32" s="27"/>
      <c r="AM32" s="27"/>
      <c r="AN32" s="27">
        <v>0</v>
      </c>
      <c r="AO32" s="27"/>
      <c r="AP32" s="27">
        <f t="shared" si="137"/>
        <v>0</v>
      </c>
      <c r="AQ32" s="27">
        <f t="shared" si="138"/>
        <v>0</v>
      </c>
      <c r="AR32" s="27"/>
      <c r="AS32" s="27"/>
      <c r="AT32" s="27">
        <v>0</v>
      </c>
      <c r="AU32" s="27"/>
      <c r="AV32" s="27">
        <f t="shared" si="139"/>
        <v>0</v>
      </c>
      <c r="AW32" s="27">
        <f t="shared" si="140"/>
        <v>0</v>
      </c>
      <c r="AX32" s="27"/>
      <c r="AY32" s="27"/>
      <c r="AZ32" s="27">
        <v>0</v>
      </c>
      <c r="BA32" s="27"/>
      <c r="BB32" s="27">
        <f t="shared" si="141"/>
        <v>0</v>
      </c>
      <c r="BC32" s="27">
        <f t="shared" si="142"/>
        <v>0</v>
      </c>
      <c r="BD32" s="27"/>
      <c r="BE32" s="27"/>
      <c r="BF32" s="27">
        <v>0</v>
      </c>
      <c r="BG32" s="27"/>
      <c r="BH32" s="27">
        <f t="shared" si="143"/>
        <v>0</v>
      </c>
      <c r="BI32" s="27">
        <f t="shared" si="144"/>
        <v>0</v>
      </c>
      <c r="BJ32" s="27"/>
      <c r="BK32" s="27"/>
      <c r="BL32" s="27">
        <v>0</v>
      </c>
      <c r="BM32" s="27"/>
      <c r="BN32" s="27">
        <f t="shared" si="145"/>
        <v>0</v>
      </c>
      <c r="BO32" s="27">
        <f t="shared" si="146"/>
        <v>0</v>
      </c>
      <c r="BP32" s="26"/>
      <c r="BQ32" s="26"/>
      <c r="BR32" s="27">
        <v>0</v>
      </c>
      <c r="BS32" s="27"/>
      <c r="BT32" s="27">
        <f t="shared" si="147"/>
        <v>0</v>
      </c>
      <c r="BU32" s="27">
        <f t="shared" si="148"/>
        <v>0</v>
      </c>
      <c r="BV32" s="26"/>
      <c r="BW32" s="26"/>
      <c r="BX32" s="27">
        <v>0</v>
      </c>
      <c r="BY32" s="26"/>
      <c r="BZ32" s="27">
        <f t="shared" si="149"/>
        <v>0</v>
      </c>
      <c r="CA32" s="27">
        <f t="shared" si="150"/>
        <v>0</v>
      </c>
      <c r="CB32" s="26"/>
      <c r="CC32" s="26">
        <v>6000</v>
      </c>
      <c r="CD32" s="27">
        <v>0</v>
      </c>
      <c r="CE32" s="27"/>
      <c r="CF32" s="27">
        <f t="shared" si="151"/>
        <v>0</v>
      </c>
      <c r="CG32" s="27">
        <f t="shared" si="152"/>
        <v>6000</v>
      </c>
      <c r="CH32" s="27"/>
      <c r="CI32" s="27"/>
      <c r="CJ32" s="27">
        <v>0</v>
      </c>
      <c r="CK32" s="27">
        <v>1035.07</v>
      </c>
      <c r="CL32" s="27">
        <f t="shared" si="153"/>
        <v>0</v>
      </c>
      <c r="CM32" s="27">
        <f t="shared" si="154"/>
        <v>1035.07</v>
      </c>
      <c r="CN32" s="27"/>
      <c r="CO32" s="27"/>
      <c r="CP32" s="27">
        <v>0</v>
      </c>
      <c r="CQ32" s="27"/>
      <c r="CR32" s="27">
        <f t="shared" si="155"/>
        <v>0</v>
      </c>
      <c r="CS32" s="27">
        <f t="shared" si="156"/>
        <v>0</v>
      </c>
      <c r="CT32" s="27"/>
      <c r="CU32" s="27"/>
      <c r="CV32" s="27">
        <v>0</v>
      </c>
      <c r="CW32" s="27"/>
      <c r="CX32" s="27">
        <f t="shared" si="157"/>
        <v>0</v>
      </c>
      <c r="CY32" s="27">
        <f t="shared" si="158"/>
        <v>0</v>
      </c>
      <c r="CZ32" s="27"/>
      <c r="DA32" s="27"/>
      <c r="DB32" s="27">
        <v>0</v>
      </c>
      <c r="DC32" s="27"/>
      <c r="DD32" s="27">
        <f t="shared" si="159"/>
        <v>0</v>
      </c>
      <c r="DE32" s="27">
        <f t="shared" si="160"/>
        <v>0</v>
      </c>
      <c r="DF32" s="27">
        <f t="shared" si="161"/>
        <v>0</v>
      </c>
      <c r="DG32" s="27">
        <f t="shared" si="162"/>
        <v>6000</v>
      </c>
      <c r="DH32" s="27">
        <f t="shared" si="163"/>
        <v>0</v>
      </c>
      <c r="DI32" s="27">
        <f t="shared" si="164"/>
        <v>1035.07</v>
      </c>
      <c r="DJ32" s="27">
        <f t="shared" si="165"/>
        <v>0</v>
      </c>
      <c r="DK32" s="27">
        <f t="shared" si="166"/>
        <v>7035.07</v>
      </c>
    </row>
    <row r="33" spans="1:115">
      <c r="A33" s="25">
        <v>25</v>
      </c>
      <c r="B33" s="26" t="s">
        <v>1162</v>
      </c>
      <c r="C33" s="26" t="s">
        <v>816</v>
      </c>
      <c r="D33" s="26" t="s">
        <v>1325</v>
      </c>
      <c r="E33" s="205" t="s">
        <v>1200</v>
      </c>
      <c r="F33" s="161">
        <f t="shared" si="119"/>
        <v>0</v>
      </c>
      <c r="G33" s="165">
        <f t="shared" si="120"/>
        <v>0</v>
      </c>
      <c r="H33" s="27"/>
      <c r="I33" s="27">
        <v>0</v>
      </c>
      <c r="J33" s="27">
        <v>0</v>
      </c>
      <c r="K33" s="127">
        <f t="shared" si="121"/>
        <v>0</v>
      </c>
      <c r="L33" s="127">
        <f t="shared" si="122"/>
        <v>0</v>
      </c>
      <c r="M33" s="127">
        <f t="shared" si="123"/>
        <v>0</v>
      </c>
      <c r="N33" s="131"/>
      <c r="O33" s="125">
        <f t="shared" si="124"/>
        <v>9213.43</v>
      </c>
      <c r="P33" s="27">
        <v>0</v>
      </c>
      <c r="Q33" s="27">
        <v>0</v>
      </c>
      <c r="R33" s="27">
        <f t="shared" si="125"/>
        <v>0</v>
      </c>
      <c r="S33" s="27">
        <f t="shared" si="126"/>
        <v>0</v>
      </c>
      <c r="T33" s="27"/>
      <c r="U33" s="27"/>
      <c r="V33" s="27">
        <v>3</v>
      </c>
      <c r="W33" s="27"/>
      <c r="X33" s="27">
        <f t="shared" si="127"/>
        <v>3</v>
      </c>
      <c r="Y33" s="27">
        <f t="shared" si="128"/>
        <v>0</v>
      </c>
      <c r="Z33" s="27">
        <v>3</v>
      </c>
      <c r="AA33" s="27"/>
      <c r="AB33" s="27"/>
      <c r="AC33" s="27"/>
      <c r="AD33" s="27">
        <f t="shared" si="129"/>
        <v>3</v>
      </c>
      <c r="AE33" s="27">
        <f t="shared" si="130"/>
        <v>0</v>
      </c>
      <c r="AF33" s="27">
        <f t="shared" si="131"/>
        <v>3</v>
      </c>
      <c r="AG33" s="27">
        <f t="shared" si="132"/>
        <v>0</v>
      </c>
      <c r="AH33" s="27">
        <f t="shared" si="133"/>
        <v>3</v>
      </c>
      <c r="AI33" s="27">
        <f t="shared" si="134"/>
        <v>0</v>
      </c>
      <c r="AJ33" s="27">
        <f t="shared" si="135"/>
        <v>6</v>
      </c>
      <c r="AK33" s="27">
        <f t="shared" si="136"/>
        <v>0</v>
      </c>
      <c r="AL33" s="27"/>
      <c r="AM33" s="27"/>
      <c r="AN33" s="27">
        <v>0</v>
      </c>
      <c r="AO33" s="27"/>
      <c r="AP33" s="27">
        <f t="shared" si="137"/>
        <v>0</v>
      </c>
      <c r="AQ33" s="27">
        <f t="shared" si="138"/>
        <v>0</v>
      </c>
      <c r="AR33" s="27"/>
      <c r="AS33" s="27"/>
      <c r="AT33" s="27">
        <v>0</v>
      </c>
      <c r="AU33" s="27"/>
      <c r="AV33" s="27">
        <f t="shared" si="139"/>
        <v>0</v>
      </c>
      <c r="AW33" s="27">
        <f t="shared" si="140"/>
        <v>0</v>
      </c>
      <c r="AX33" s="27"/>
      <c r="AY33" s="27"/>
      <c r="AZ33" s="27">
        <v>0</v>
      </c>
      <c r="BA33" s="27"/>
      <c r="BB33" s="27">
        <f t="shared" si="141"/>
        <v>0</v>
      </c>
      <c r="BC33" s="27">
        <f t="shared" si="142"/>
        <v>0</v>
      </c>
      <c r="BD33" s="27"/>
      <c r="BE33" s="27"/>
      <c r="BF33" s="27">
        <v>0</v>
      </c>
      <c r="BG33" s="27"/>
      <c r="BH33" s="27">
        <f t="shared" si="143"/>
        <v>0</v>
      </c>
      <c r="BI33" s="27">
        <f t="shared" si="144"/>
        <v>0</v>
      </c>
      <c r="BJ33" s="27"/>
      <c r="BK33" s="27"/>
      <c r="BL33" s="27">
        <v>0</v>
      </c>
      <c r="BM33" s="27"/>
      <c r="BN33" s="27">
        <f t="shared" si="145"/>
        <v>0</v>
      </c>
      <c r="BO33" s="27">
        <f t="shared" si="146"/>
        <v>0</v>
      </c>
      <c r="BP33" s="26"/>
      <c r="BQ33" s="26"/>
      <c r="BR33" s="27">
        <v>0</v>
      </c>
      <c r="BS33" s="27"/>
      <c r="BT33" s="27">
        <f t="shared" si="147"/>
        <v>0</v>
      </c>
      <c r="BU33" s="27">
        <f t="shared" si="148"/>
        <v>0</v>
      </c>
      <c r="BV33" s="26"/>
      <c r="BW33" s="26"/>
      <c r="BX33" s="27">
        <v>0</v>
      </c>
      <c r="BY33" s="26"/>
      <c r="BZ33" s="27">
        <f t="shared" si="149"/>
        <v>0</v>
      </c>
      <c r="CA33" s="27">
        <f t="shared" si="150"/>
        <v>0</v>
      </c>
      <c r="CB33" s="26"/>
      <c r="CC33" s="26">
        <v>8000</v>
      </c>
      <c r="CD33" s="27">
        <v>0</v>
      </c>
      <c r="CE33" s="27"/>
      <c r="CF33" s="27">
        <f t="shared" si="151"/>
        <v>0</v>
      </c>
      <c r="CG33" s="27">
        <f t="shared" si="152"/>
        <v>8000</v>
      </c>
      <c r="CH33" s="27"/>
      <c r="CI33" s="27"/>
      <c r="CJ33" s="27">
        <v>0</v>
      </c>
      <c r="CK33" s="27">
        <v>1213.43</v>
      </c>
      <c r="CL33" s="27">
        <f t="shared" si="153"/>
        <v>0</v>
      </c>
      <c r="CM33" s="27">
        <f t="shared" si="154"/>
        <v>1213.43</v>
      </c>
      <c r="CN33" s="27"/>
      <c r="CO33" s="27"/>
      <c r="CP33" s="27">
        <v>0</v>
      </c>
      <c r="CQ33" s="27"/>
      <c r="CR33" s="27">
        <f t="shared" si="155"/>
        <v>0</v>
      </c>
      <c r="CS33" s="27">
        <f t="shared" si="156"/>
        <v>0</v>
      </c>
      <c r="CT33" s="27"/>
      <c r="CU33" s="27"/>
      <c r="CV33" s="27">
        <v>0</v>
      </c>
      <c r="CW33" s="27"/>
      <c r="CX33" s="27">
        <f t="shared" si="157"/>
        <v>0</v>
      </c>
      <c r="CY33" s="27">
        <f t="shared" si="158"/>
        <v>0</v>
      </c>
      <c r="CZ33" s="27"/>
      <c r="DA33" s="27"/>
      <c r="DB33" s="27">
        <v>0</v>
      </c>
      <c r="DC33" s="27"/>
      <c r="DD33" s="27">
        <f t="shared" si="159"/>
        <v>0</v>
      </c>
      <c r="DE33" s="27">
        <f t="shared" si="160"/>
        <v>0</v>
      </c>
      <c r="DF33" s="27">
        <f t="shared" si="161"/>
        <v>0</v>
      </c>
      <c r="DG33" s="27">
        <f t="shared" si="162"/>
        <v>8000</v>
      </c>
      <c r="DH33" s="27">
        <f t="shared" si="163"/>
        <v>0</v>
      </c>
      <c r="DI33" s="27">
        <f t="shared" si="164"/>
        <v>1213.43</v>
      </c>
      <c r="DJ33" s="27">
        <f t="shared" si="165"/>
        <v>0</v>
      </c>
      <c r="DK33" s="27">
        <f t="shared" si="166"/>
        <v>9213.43</v>
      </c>
    </row>
    <row r="34" spans="1:115">
      <c r="A34" s="25">
        <v>26</v>
      </c>
      <c r="B34" s="26" t="s">
        <v>1162</v>
      </c>
      <c r="C34" s="26"/>
      <c r="D34" s="26" t="s">
        <v>1326</v>
      </c>
      <c r="E34" s="205" t="s">
        <v>1200</v>
      </c>
      <c r="F34" s="161">
        <f t="shared" si="119"/>
        <v>0</v>
      </c>
      <c r="G34" s="165">
        <f t="shared" si="120"/>
        <v>0</v>
      </c>
      <c r="H34" s="27"/>
      <c r="I34" s="27">
        <v>0</v>
      </c>
      <c r="J34" s="27">
        <v>0</v>
      </c>
      <c r="K34" s="127">
        <f t="shared" si="121"/>
        <v>0</v>
      </c>
      <c r="L34" s="127">
        <f t="shared" si="122"/>
        <v>0</v>
      </c>
      <c r="M34" s="127">
        <f t="shared" si="123"/>
        <v>0</v>
      </c>
      <c r="N34" s="131"/>
      <c r="O34" s="125">
        <f t="shared" si="124"/>
        <v>66500</v>
      </c>
      <c r="P34" s="27">
        <v>0</v>
      </c>
      <c r="Q34" s="27">
        <v>0</v>
      </c>
      <c r="R34" s="27">
        <f t="shared" si="125"/>
        <v>0</v>
      </c>
      <c r="S34" s="27">
        <f t="shared" si="126"/>
        <v>0</v>
      </c>
      <c r="T34" s="27"/>
      <c r="U34" s="27"/>
      <c r="V34" s="27">
        <v>4</v>
      </c>
      <c r="W34" s="27"/>
      <c r="X34" s="27">
        <f t="shared" si="127"/>
        <v>4</v>
      </c>
      <c r="Y34" s="27">
        <f t="shared" si="128"/>
        <v>0</v>
      </c>
      <c r="Z34" s="27">
        <v>4</v>
      </c>
      <c r="AA34" s="27"/>
      <c r="AB34" s="27"/>
      <c r="AC34" s="27"/>
      <c r="AD34" s="27">
        <f t="shared" si="129"/>
        <v>4</v>
      </c>
      <c r="AE34" s="27">
        <f t="shared" si="130"/>
        <v>0</v>
      </c>
      <c r="AF34" s="27">
        <f t="shared" si="131"/>
        <v>4</v>
      </c>
      <c r="AG34" s="27">
        <f t="shared" si="132"/>
        <v>0</v>
      </c>
      <c r="AH34" s="27">
        <f t="shared" si="133"/>
        <v>4</v>
      </c>
      <c r="AI34" s="27">
        <f t="shared" si="134"/>
        <v>0</v>
      </c>
      <c r="AJ34" s="27">
        <f t="shared" si="135"/>
        <v>8</v>
      </c>
      <c r="AK34" s="27">
        <f t="shared" si="136"/>
        <v>0</v>
      </c>
      <c r="AL34" s="27"/>
      <c r="AM34" s="27"/>
      <c r="AN34" s="27">
        <v>0</v>
      </c>
      <c r="AO34" s="27"/>
      <c r="AP34" s="27">
        <f t="shared" si="137"/>
        <v>0</v>
      </c>
      <c r="AQ34" s="27">
        <f t="shared" si="138"/>
        <v>0</v>
      </c>
      <c r="AR34" s="27"/>
      <c r="AS34" s="27"/>
      <c r="AT34" s="27">
        <v>0</v>
      </c>
      <c r="AU34" s="27"/>
      <c r="AV34" s="27">
        <f t="shared" si="139"/>
        <v>0</v>
      </c>
      <c r="AW34" s="27">
        <f t="shared" si="140"/>
        <v>0</v>
      </c>
      <c r="AX34" s="27"/>
      <c r="AY34" s="27"/>
      <c r="AZ34" s="27">
        <v>0</v>
      </c>
      <c r="BA34" s="27"/>
      <c r="BB34" s="27">
        <f t="shared" si="141"/>
        <v>0</v>
      </c>
      <c r="BC34" s="27">
        <f t="shared" si="142"/>
        <v>0</v>
      </c>
      <c r="BD34" s="27"/>
      <c r="BE34" s="27"/>
      <c r="BF34" s="27">
        <v>0</v>
      </c>
      <c r="BG34" s="27"/>
      <c r="BH34" s="27">
        <f t="shared" si="143"/>
        <v>0</v>
      </c>
      <c r="BI34" s="27">
        <f t="shared" si="144"/>
        <v>0</v>
      </c>
      <c r="BJ34" s="27"/>
      <c r="BK34" s="27"/>
      <c r="BL34" s="27">
        <v>0</v>
      </c>
      <c r="BM34" s="27"/>
      <c r="BN34" s="27">
        <f t="shared" si="145"/>
        <v>0</v>
      </c>
      <c r="BO34" s="27">
        <f t="shared" si="146"/>
        <v>0</v>
      </c>
      <c r="BP34" s="26"/>
      <c r="BQ34" s="26"/>
      <c r="BR34" s="27">
        <v>0</v>
      </c>
      <c r="BS34" s="27"/>
      <c r="BT34" s="27">
        <f t="shared" si="147"/>
        <v>0</v>
      </c>
      <c r="BU34" s="27">
        <f t="shared" si="148"/>
        <v>0</v>
      </c>
      <c r="BV34" s="26"/>
      <c r="BW34" s="26"/>
      <c r="BX34" s="27">
        <v>0</v>
      </c>
      <c r="BY34" s="26"/>
      <c r="BZ34" s="27">
        <f t="shared" si="149"/>
        <v>0</v>
      </c>
      <c r="CA34" s="27">
        <f t="shared" si="150"/>
        <v>0</v>
      </c>
      <c r="CB34" s="26"/>
      <c r="CC34" s="26"/>
      <c r="CD34" s="27">
        <v>0</v>
      </c>
      <c r="CE34" s="27">
        <f>6500+22500+8500+6500+22500</f>
        <v>66500</v>
      </c>
      <c r="CF34" s="27">
        <f t="shared" si="151"/>
        <v>0</v>
      </c>
      <c r="CG34" s="27">
        <f t="shared" si="152"/>
        <v>66500</v>
      </c>
      <c r="CH34" s="27"/>
      <c r="CI34" s="27"/>
      <c r="CJ34" s="27">
        <v>0</v>
      </c>
      <c r="CK34" s="27"/>
      <c r="CL34" s="27">
        <f t="shared" si="153"/>
        <v>0</v>
      </c>
      <c r="CM34" s="27">
        <f t="shared" si="154"/>
        <v>0</v>
      </c>
      <c r="CN34" s="27"/>
      <c r="CO34" s="27"/>
      <c r="CP34" s="27">
        <v>0</v>
      </c>
      <c r="CQ34" s="27"/>
      <c r="CR34" s="27">
        <f t="shared" si="155"/>
        <v>0</v>
      </c>
      <c r="CS34" s="27">
        <f t="shared" si="156"/>
        <v>0</v>
      </c>
      <c r="CT34" s="27"/>
      <c r="CU34" s="27"/>
      <c r="CV34" s="27">
        <v>0</v>
      </c>
      <c r="CW34" s="27"/>
      <c r="CX34" s="27">
        <f t="shared" si="157"/>
        <v>0</v>
      </c>
      <c r="CY34" s="27">
        <f t="shared" si="158"/>
        <v>0</v>
      </c>
      <c r="CZ34" s="27"/>
      <c r="DA34" s="27"/>
      <c r="DB34" s="27">
        <v>0</v>
      </c>
      <c r="DC34" s="27"/>
      <c r="DD34" s="27">
        <f t="shared" si="159"/>
        <v>0</v>
      </c>
      <c r="DE34" s="27">
        <f t="shared" si="160"/>
        <v>0</v>
      </c>
      <c r="DF34" s="27">
        <f t="shared" si="161"/>
        <v>0</v>
      </c>
      <c r="DG34" s="27">
        <f t="shared" si="162"/>
        <v>0</v>
      </c>
      <c r="DH34" s="27">
        <f t="shared" si="163"/>
        <v>0</v>
      </c>
      <c r="DI34" s="27">
        <f t="shared" si="164"/>
        <v>66500</v>
      </c>
      <c r="DJ34" s="27">
        <f t="shared" si="165"/>
        <v>0</v>
      </c>
      <c r="DK34" s="27">
        <f t="shared" si="166"/>
        <v>66500</v>
      </c>
    </row>
    <row r="35" spans="1:115">
      <c r="A35" s="25">
        <v>27</v>
      </c>
      <c r="B35" s="26" t="s">
        <v>1162</v>
      </c>
      <c r="C35" s="26" t="s">
        <v>1328</v>
      </c>
      <c r="D35" s="399" t="s">
        <v>1327</v>
      </c>
      <c r="E35" s="205" t="s">
        <v>1200</v>
      </c>
      <c r="F35" s="161">
        <f t="shared" si="119"/>
        <v>0</v>
      </c>
      <c r="G35" s="165">
        <f t="shared" si="120"/>
        <v>0</v>
      </c>
      <c r="H35" s="27"/>
      <c r="I35" s="27">
        <v>0</v>
      </c>
      <c r="J35" s="27">
        <v>0</v>
      </c>
      <c r="K35" s="127">
        <f t="shared" si="121"/>
        <v>0</v>
      </c>
      <c r="L35" s="127">
        <f t="shared" si="122"/>
        <v>0</v>
      </c>
      <c r="M35" s="127">
        <f t="shared" si="123"/>
        <v>0</v>
      </c>
      <c r="N35" s="131"/>
      <c r="O35" s="125">
        <f t="shared" si="124"/>
        <v>205869.45</v>
      </c>
      <c r="P35" s="27">
        <v>0</v>
      </c>
      <c r="Q35" s="27">
        <v>0</v>
      </c>
      <c r="R35" s="27">
        <f t="shared" si="125"/>
        <v>0</v>
      </c>
      <c r="S35" s="27">
        <f t="shared" si="126"/>
        <v>0</v>
      </c>
      <c r="T35" s="27"/>
      <c r="U35" s="27"/>
      <c r="V35" s="27">
        <v>5</v>
      </c>
      <c r="W35" s="27"/>
      <c r="X35" s="27">
        <f t="shared" si="127"/>
        <v>5</v>
      </c>
      <c r="Y35" s="27">
        <f t="shared" si="128"/>
        <v>0</v>
      </c>
      <c r="Z35" s="27">
        <v>5</v>
      </c>
      <c r="AA35" s="27"/>
      <c r="AB35" s="27"/>
      <c r="AC35" s="27"/>
      <c r="AD35" s="27">
        <f t="shared" si="129"/>
        <v>5</v>
      </c>
      <c r="AE35" s="27">
        <f t="shared" si="130"/>
        <v>0</v>
      </c>
      <c r="AF35" s="27">
        <f t="shared" si="131"/>
        <v>5</v>
      </c>
      <c r="AG35" s="27">
        <f t="shared" si="132"/>
        <v>0</v>
      </c>
      <c r="AH35" s="27">
        <f t="shared" si="133"/>
        <v>5</v>
      </c>
      <c r="AI35" s="27">
        <f t="shared" si="134"/>
        <v>0</v>
      </c>
      <c r="AJ35" s="27">
        <f t="shared" si="135"/>
        <v>10</v>
      </c>
      <c r="AK35" s="27">
        <f t="shared" si="136"/>
        <v>0</v>
      </c>
      <c r="AL35" s="27"/>
      <c r="AM35" s="27"/>
      <c r="AN35" s="27">
        <v>0</v>
      </c>
      <c r="AO35" s="27"/>
      <c r="AP35" s="27">
        <f t="shared" si="137"/>
        <v>0</v>
      </c>
      <c r="AQ35" s="27">
        <f t="shared" si="138"/>
        <v>0</v>
      </c>
      <c r="AR35" s="27"/>
      <c r="AS35" s="27"/>
      <c r="AT35" s="27">
        <v>0</v>
      </c>
      <c r="AU35" s="27"/>
      <c r="AV35" s="27">
        <f t="shared" si="139"/>
        <v>0</v>
      </c>
      <c r="AW35" s="27">
        <f t="shared" si="140"/>
        <v>0</v>
      </c>
      <c r="AX35" s="27"/>
      <c r="AY35" s="27"/>
      <c r="AZ35" s="27">
        <v>0</v>
      </c>
      <c r="BA35" s="27"/>
      <c r="BB35" s="27">
        <f t="shared" si="141"/>
        <v>0</v>
      </c>
      <c r="BC35" s="27">
        <f t="shared" si="142"/>
        <v>0</v>
      </c>
      <c r="BD35" s="27"/>
      <c r="BE35" s="27"/>
      <c r="BF35" s="27">
        <v>0</v>
      </c>
      <c r="BG35" s="27"/>
      <c r="BH35" s="27">
        <f t="shared" si="143"/>
        <v>0</v>
      </c>
      <c r="BI35" s="27">
        <f t="shared" si="144"/>
        <v>0</v>
      </c>
      <c r="BJ35" s="27"/>
      <c r="BK35" s="27"/>
      <c r="BL35" s="27">
        <v>0</v>
      </c>
      <c r="BM35" s="27"/>
      <c r="BN35" s="27">
        <f t="shared" si="145"/>
        <v>0</v>
      </c>
      <c r="BO35" s="27">
        <f t="shared" si="146"/>
        <v>0</v>
      </c>
      <c r="BP35" s="26"/>
      <c r="BQ35" s="26"/>
      <c r="BR35" s="27">
        <v>0</v>
      </c>
      <c r="BS35" s="27"/>
      <c r="BT35" s="27">
        <f t="shared" si="147"/>
        <v>0</v>
      </c>
      <c r="BU35" s="27">
        <f t="shared" si="148"/>
        <v>0</v>
      </c>
      <c r="BV35" s="26"/>
      <c r="BW35" s="26"/>
      <c r="BX35" s="27">
        <v>0</v>
      </c>
      <c r="BY35" s="26"/>
      <c r="BZ35" s="27">
        <f t="shared" si="149"/>
        <v>0</v>
      </c>
      <c r="CA35" s="27">
        <f t="shared" si="150"/>
        <v>0</v>
      </c>
      <c r="CB35" s="26"/>
      <c r="CC35" s="26"/>
      <c r="CD35" s="27">
        <v>0</v>
      </c>
      <c r="CE35" s="27"/>
      <c r="CF35" s="27">
        <f t="shared" si="151"/>
        <v>0</v>
      </c>
      <c r="CG35" s="27">
        <f t="shared" si="152"/>
        <v>0</v>
      </c>
      <c r="CH35" s="27"/>
      <c r="CI35" s="27">
        <v>185000</v>
      </c>
      <c r="CJ35" s="27">
        <v>0</v>
      </c>
      <c r="CK35" s="27">
        <v>20869.45</v>
      </c>
      <c r="CL35" s="27">
        <f t="shared" si="153"/>
        <v>0</v>
      </c>
      <c r="CM35" s="27">
        <f t="shared" si="154"/>
        <v>205869.45</v>
      </c>
      <c r="CN35" s="27"/>
      <c r="CO35" s="27"/>
      <c r="CP35" s="27">
        <v>0</v>
      </c>
      <c r="CQ35" s="27"/>
      <c r="CR35" s="27">
        <f t="shared" si="155"/>
        <v>0</v>
      </c>
      <c r="CS35" s="27">
        <f t="shared" si="156"/>
        <v>0</v>
      </c>
      <c r="CT35" s="27"/>
      <c r="CU35" s="27"/>
      <c r="CV35" s="27">
        <v>0</v>
      </c>
      <c r="CW35" s="27"/>
      <c r="CX35" s="27">
        <f t="shared" si="157"/>
        <v>0</v>
      </c>
      <c r="CY35" s="27">
        <f t="shared" si="158"/>
        <v>0</v>
      </c>
      <c r="CZ35" s="27"/>
      <c r="DA35" s="27"/>
      <c r="DB35" s="27">
        <v>0</v>
      </c>
      <c r="DC35" s="27"/>
      <c r="DD35" s="27">
        <f t="shared" si="159"/>
        <v>0</v>
      </c>
      <c r="DE35" s="27">
        <f t="shared" si="160"/>
        <v>0</v>
      </c>
      <c r="DF35" s="27">
        <f t="shared" si="161"/>
        <v>0</v>
      </c>
      <c r="DG35" s="27">
        <f t="shared" si="162"/>
        <v>185000</v>
      </c>
      <c r="DH35" s="27">
        <f t="shared" si="163"/>
        <v>0</v>
      </c>
      <c r="DI35" s="27">
        <f t="shared" si="164"/>
        <v>20869.45</v>
      </c>
      <c r="DJ35" s="27">
        <f t="shared" si="165"/>
        <v>0</v>
      </c>
      <c r="DK35" s="27">
        <f t="shared" si="166"/>
        <v>205869.45</v>
      </c>
    </row>
    <row r="36" spans="1:115">
      <c r="A36" s="25">
        <v>28</v>
      </c>
      <c r="B36" s="26" t="s">
        <v>1162</v>
      </c>
      <c r="C36" s="26" t="s">
        <v>1330</v>
      </c>
      <c r="D36" s="26" t="s">
        <v>1329</v>
      </c>
      <c r="E36" s="205" t="s">
        <v>1200</v>
      </c>
      <c r="F36" s="161">
        <f t="shared" si="119"/>
        <v>0</v>
      </c>
      <c r="G36" s="165">
        <f t="shared" si="120"/>
        <v>0</v>
      </c>
      <c r="H36" s="27"/>
      <c r="I36" s="27">
        <v>0</v>
      </c>
      <c r="J36" s="27">
        <v>0</v>
      </c>
      <c r="K36" s="127">
        <f t="shared" si="121"/>
        <v>0</v>
      </c>
      <c r="L36" s="127">
        <f t="shared" si="122"/>
        <v>0</v>
      </c>
      <c r="M36" s="127">
        <f t="shared" si="123"/>
        <v>0</v>
      </c>
      <c r="N36" s="131"/>
      <c r="O36" s="125">
        <f t="shared" si="124"/>
        <v>29273.200000000001</v>
      </c>
      <c r="P36" s="27">
        <v>0</v>
      </c>
      <c r="Q36" s="27">
        <v>0</v>
      </c>
      <c r="R36" s="27">
        <f t="shared" si="125"/>
        <v>0</v>
      </c>
      <c r="S36" s="27">
        <f t="shared" si="126"/>
        <v>0</v>
      </c>
      <c r="T36" s="27"/>
      <c r="U36" s="27"/>
      <c r="V36" s="27">
        <v>6</v>
      </c>
      <c r="W36" s="27"/>
      <c r="X36" s="27">
        <f t="shared" si="127"/>
        <v>6</v>
      </c>
      <c r="Y36" s="27">
        <f t="shared" si="128"/>
        <v>0</v>
      </c>
      <c r="Z36" s="27">
        <v>6</v>
      </c>
      <c r="AA36" s="27"/>
      <c r="AB36" s="27"/>
      <c r="AC36" s="27"/>
      <c r="AD36" s="27">
        <f t="shared" si="129"/>
        <v>6</v>
      </c>
      <c r="AE36" s="27">
        <f t="shared" si="130"/>
        <v>0</v>
      </c>
      <c r="AF36" s="27">
        <f t="shared" si="131"/>
        <v>6</v>
      </c>
      <c r="AG36" s="27">
        <f t="shared" si="132"/>
        <v>0</v>
      </c>
      <c r="AH36" s="27">
        <f t="shared" si="133"/>
        <v>6</v>
      </c>
      <c r="AI36" s="27">
        <f t="shared" si="134"/>
        <v>0</v>
      </c>
      <c r="AJ36" s="27">
        <f t="shared" si="135"/>
        <v>12</v>
      </c>
      <c r="AK36" s="27">
        <f t="shared" si="136"/>
        <v>0</v>
      </c>
      <c r="AL36" s="27"/>
      <c r="AM36" s="27"/>
      <c r="AN36" s="27">
        <v>0</v>
      </c>
      <c r="AO36" s="27"/>
      <c r="AP36" s="27">
        <f t="shared" si="137"/>
        <v>0</v>
      </c>
      <c r="AQ36" s="27">
        <f t="shared" si="138"/>
        <v>0</v>
      </c>
      <c r="AR36" s="27"/>
      <c r="AS36" s="27"/>
      <c r="AT36" s="27">
        <v>0</v>
      </c>
      <c r="AU36" s="27"/>
      <c r="AV36" s="27">
        <f t="shared" si="139"/>
        <v>0</v>
      </c>
      <c r="AW36" s="27">
        <f t="shared" si="140"/>
        <v>0</v>
      </c>
      <c r="AX36" s="27"/>
      <c r="AY36" s="27"/>
      <c r="AZ36" s="27">
        <v>0</v>
      </c>
      <c r="BA36" s="27"/>
      <c r="BB36" s="27">
        <f t="shared" si="141"/>
        <v>0</v>
      </c>
      <c r="BC36" s="27">
        <f t="shared" si="142"/>
        <v>0</v>
      </c>
      <c r="BD36" s="27"/>
      <c r="BE36" s="27"/>
      <c r="BF36" s="27">
        <v>0</v>
      </c>
      <c r="BG36" s="27"/>
      <c r="BH36" s="27">
        <f t="shared" si="143"/>
        <v>0</v>
      </c>
      <c r="BI36" s="27">
        <f t="shared" si="144"/>
        <v>0</v>
      </c>
      <c r="BJ36" s="27"/>
      <c r="BK36" s="27"/>
      <c r="BL36" s="27">
        <v>0</v>
      </c>
      <c r="BM36" s="27"/>
      <c r="BN36" s="27">
        <f t="shared" si="145"/>
        <v>0</v>
      </c>
      <c r="BO36" s="27">
        <f t="shared" si="146"/>
        <v>0</v>
      </c>
      <c r="BP36" s="26"/>
      <c r="BQ36" s="26"/>
      <c r="BR36" s="27">
        <v>0</v>
      </c>
      <c r="BS36" s="27"/>
      <c r="BT36" s="27">
        <f t="shared" si="147"/>
        <v>0</v>
      </c>
      <c r="BU36" s="27">
        <f t="shared" si="148"/>
        <v>0</v>
      </c>
      <c r="BV36" s="26"/>
      <c r="BW36" s="26"/>
      <c r="BX36" s="27">
        <v>0</v>
      </c>
      <c r="BY36" s="26"/>
      <c r="BZ36" s="27">
        <f t="shared" si="149"/>
        <v>0</v>
      </c>
      <c r="CA36" s="27">
        <f t="shared" si="150"/>
        <v>0</v>
      </c>
      <c r="CB36" s="26"/>
      <c r="CC36" s="26"/>
      <c r="CD36" s="27">
        <v>0</v>
      </c>
      <c r="CE36" s="27"/>
      <c r="CF36" s="27">
        <f t="shared" si="151"/>
        <v>0</v>
      </c>
      <c r="CG36" s="27">
        <f t="shared" si="152"/>
        <v>0</v>
      </c>
      <c r="CH36" s="27"/>
      <c r="CI36" s="27">
        <v>26500</v>
      </c>
      <c r="CJ36" s="27">
        <v>0</v>
      </c>
      <c r="CK36" s="27">
        <v>2773.2</v>
      </c>
      <c r="CL36" s="27">
        <f t="shared" si="153"/>
        <v>0</v>
      </c>
      <c r="CM36" s="27">
        <f t="shared" si="154"/>
        <v>29273.200000000001</v>
      </c>
      <c r="CN36" s="27"/>
      <c r="CO36" s="27"/>
      <c r="CP36" s="27">
        <v>0</v>
      </c>
      <c r="CQ36" s="27"/>
      <c r="CR36" s="27">
        <f t="shared" si="155"/>
        <v>0</v>
      </c>
      <c r="CS36" s="27">
        <f t="shared" si="156"/>
        <v>0</v>
      </c>
      <c r="CT36" s="27"/>
      <c r="CU36" s="27"/>
      <c r="CV36" s="27">
        <v>0</v>
      </c>
      <c r="CW36" s="27"/>
      <c r="CX36" s="27">
        <f t="shared" si="157"/>
        <v>0</v>
      </c>
      <c r="CY36" s="27">
        <f t="shared" si="158"/>
        <v>0</v>
      </c>
      <c r="CZ36" s="27"/>
      <c r="DA36" s="27"/>
      <c r="DB36" s="27">
        <v>0</v>
      </c>
      <c r="DC36" s="27"/>
      <c r="DD36" s="27">
        <f t="shared" si="159"/>
        <v>0</v>
      </c>
      <c r="DE36" s="27">
        <f t="shared" si="160"/>
        <v>0</v>
      </c>
      <c r="DF36" s="27">
        <f t="shared" si="161"/>
        <v>0</v>
      </c>
      <c r="DG36" s="27">
        <f t="shared" si="162"/>
        <v>26500</v>
      </c>
      <c r="DH36" s="27">
        <f t="shared" si="163"/>
        <v>0</v>
      </c>
      <c r="DI36" s="27">
        <f t="shared" si="164"/>
        <v>2773.2</v>
      </c>
      <c r="DJ36" s="27">
        <f t="shared" si="165"/>
        <v>0</v>
      </c>
      <c r="DK36" s="27">
        <f t="shared" si="166"/>
        <v>29273.200000000001</v>
      </c>
    </row>
    <row r="37" spans="1:115">
      <c r="A37" s="25">
        <v>29</v>
      </c>
      <c r="B37" s="26" t="s">
        <v>1162</v>
      </c>
      <c r="C37" s="26" t="s">
        <v>1332</v>
      </c>
      <c r="D37" s="26" t="s">
        <v>1331</v>
      </c>
      <c r="E37" s="205" t="s">
        <v>1200</v>
      </c>
      <c r="F37" s="161">
        <f t="shared" si="119"/>
        <v>0</v>
      </c>
      <c r="G37" s="165">
        <f t="shared" si="120"/>
        <v>0</v>
      </c>
      <c r="H37" s="27"/>
      <c r="I37" s="27">
        <v>0</v>
      </c>
      <c r="J37" s="27">
        <v>0</v>
      </c>
      <c r="K37" s="127">
        <f t="shared" si="121"/>
        <v>0</v>
      </c>
      <c r="L37" s="127">
        <f t="shared" si="122"/>
        <v>0</v>
      </c>
      <c r="M37" s="127">
        <f t="shared" si="123"/>
        <v>0</v>
      </c>
      <c r="N37" s="131"/>
      <c r="O37" s="125">
        <f t="shared" si="124"/>
        <v>29273.200000000001</v>
      </c>
      <c r="P37" s="27">
        <v>0</v>
      </c>
      <c r="Q37" s="27">
        <v>0</v>
      </c>
      <c r="R37" s="27">
        <f t="shared" si="125"/>
        <v>0</v>
      </c>
      <c r="S37" s="27">
        <f t="shared" si="126"/>
        <v>0</v>
      </c>
      <c r="T37" s="27"/>
      <c r="U37" s="27"/>
      <c r="V37" s="27">
        <v>7</v>
      </c>
      <c r="W37" s="27"/>
      <c r="X37" s="27">
        <f t="shared" si="127"/>
        <v>7</v>
      </c>
      <c r="Y37" s="27">
        <f t="shared" si="128"/>
        <v>0</v>
      </c>
      <c r="Z37" s="27">
        <v>7</v>
      </c>
      <c r="AA37" s="27"/>
      <c r="AB37" s="27"/>
      <c r="AC37" s="27"/>
      <c r="AD37" s="27">
        <f t="shared" si="129"/>
        <v>7</v>
      </c>
      <c r="AE37" s="27">
        <f t="shared" si="130"/>
        <v>0</v>
      </c>
      <c r="AF37" s="27">
        <f t="shared" si="131"/>
        <v>7</v>
      </c>
      <c r="AG37" s="27">
        <f t="shared" si="132"/>
        <v>0</v>
      </c>
      <c r="AH37" s="27">
        <f t="shared" si="133"/>
        <v>7</v>
      </c>
      <c r="AI37" s="27">
        <f t="shared" si="134"/>
        <v>0</v>
      </c>
      <c r="AJ37" s="27">
        <f t="shared" si="135"/>
        <v>14</v>
      </c>
      <c r="AK37" s="27">
        <f t="shared" si="136"/>
        <v>0</v>
      </c>
      <c r="AL37" s="27"/>
      <c r="AM37" s="27"/>
      <c r="AN37" s="27">
        <v>0</v>
      </c>
      <c r="AO37" s="27"/>
      <c r="AP37" s="27">
        <f t="shared" si="137"/>
        <v>0</v>
      </c>
      <c r="AQ37" s="27">
        <f t="shared" si="138"/>
        <v>0</v>
      </c>
      <c r="AR37" s="27"/>
      <c r="AS37" s="27"/>
      <c r="AT37" s="27">
        <v>0</v>
      </c>
      <c r="AU37" s="27"/>
      <c r="AV37" s="27">
        <f t="shared" si="139"/>
        <v>0</v>
      </c>
      <c r="AW37" s="27">
        <f t="shared" si="140"/>
        <v>0</v>
      </c>
      <c r="AX37" s="27"/>
      <c r="AY37" s="27"/>
      <c r="AZ37" s="27">
        <v>0</v>
      </c>
      <c r="BA37" s="27"/>
      <c r="BB37" s="27">
        <f t="shared" si="141"/>
        <v>0</v>
      </c>
      <c r="BC37" s="27">
        <f t="shared" si="142"/>
        <v>0</v>
      </c>
      <c r="BD37" s="27"/>
      <c r="BE37" s="27"/>
      <c r="BF37" s="27">
        <v>0</v>
      </c>
      <c r="BG37" s="27"/>
      <c r="BH37" s="27">
        <f t="shared" si="143"/>
        <v>0</v>
      </c>
      <c r="BI37" s="27">
        <f t="shared" si="144"/>
        <v>0</v>
      </c>
      <c r="BJ37" s="27"/>
      <c r="BK37" s="27"/>
      <c r="BL37" s="27">
        <v>0</v>
      </c>
      <c r="BM37" s="27"/>
      <c r="BN37" s="27">
        <f t="shared" si="145"/>
        <v>0</v>
      </c>
      <c r="BO37" s="27">
        <f t="shared" si="146"/>
        <v>0</v>
      </c>
      <c r="BP37" s="26"/>
      <c r="BQ37" s="26"/>
      <c r="BR37" s="27">
        <v>0</v>
      </c>
      <c r="BS37" s="27"/>
      <c r="BT37" s="27">
        <f t="shared" si="147"/>
        <v>0</v>
      </c>
      <c r="BU37" s="27">
        <f t="shared" si="148"/>
        <v>0</v>
      </c>
      <c r="BV37" s="26"/>
      <c r="BW37" s="26"/>
      <c r="BX37" s="27">
        <v>0</v>
      </c>
      <c r="BY37" s="26"/>
      <c r="BZ37" s="27">
        <f t="shared" si="149"/>
        <v>0</v>
      </c>
      <c r="CA37" s="27">
        <f t="shared" si="150"/>
        <v>0</v>
      </c>
      <c r="CB37" s="26"/>
      <c r="CC37" s="26"/>
      <c r="CD37" s="27">
        <v>0</v>
      </c>
      <c r="CE37" s="27"/>
      <c r="CF37" s="27">
        <f t="shared" si="151"/>
        <v>0</v>
      </c>
      <c r="CG37" s="27">
        <f t="shared" si="152"/>
        <v>0</v>
      </c>
      <c r="CH37" s="27"/>
      <c r="CI37" s="27">
        <v>26500</v>
      </c>
      <c r="CJ37" s="27">
        <v>0</v>
      </c>
      <c r="CK37" s="27">
        <v>2773.2</v>
      </c>
      <c r="CL37" s="27">
        <f t="shared" si="153"/>
        <v>0</v>
      </c>
      <c r="CM37" s="27">
        <f t="shared" si="154"/>
        <v>29273.200000000001</v>
      </c>
      <c r="CN37" s="27"/>
      <c r="CO37" s="27"/>
      <c r="CP37" s="27">
        <v>0</v>
      </c>
      <c r="CQ37" s="27"/>
      <c r="CR37" s="27">
        <f t="shared" si="155"/>
        <v>0</v>
      </c>
      <c r="CS37" s="27">
        <f t="shared" si="156"/>
        <v>0</v>
      </c>
      <c r="CT37" s="27"/>
      <c r="CU37" s="27"/>
      <c r="CV37" s="27">
        <v>0</v>
      </c>
      <c r="CW37" s="27"/>
      <c r="CX37" s="27">
        <f t="shared" si="157"/>
        <v>0</v>
      </c>
      <c r="CY37" s="27">
        <f t="shared" si="158"/>
        <v>0</v>
      </c>
      <c r="CZ37" s="27"/>
      <c r="DA37" s="27"/>
      <c r="DB37" s="27">
        <v>0</v>
      </c>
      <c r="DC37" s="27"/>
      <c r="DD37" s="27">
        <f t="shared" si="159"/>
        <v>0</v>
      </c>
      <c r="DE37" s="27">
        <f t="shared" si="160"/>
        <v>0</v>
      </c>
      <c r="DF37" s="27">
        <f t="shared" si="161"/>
        <v>0</v>
      </c>
      <c r="DG37" s="27">
        <f t="shared" si="162"/>
        <v>26500</v>
      </c>
      <c r="DH37" s="27">
        <f t="shared" si="163"/>
        <v>0</v>
      </c>
      <c r="DI37" s="27">
        <f t="shared" si="164"/>
        <v>2773.2</v>
      </c>
      <c r="DJ37" s="27">
        <f t="shared" si="165"/>
        <v>0</v>
      </c>
      <c r="DK37" s="27">
        <f t="shared" si="166"/>
        <v>29273.200000000001</v>
      </c>
    </row>
    <row r="38" spans="1:115">
      <c r="A38" s="25">
        <v>30</v>
      </c>
      <c r="B38" s="26" t="s">
        <v>1162</v>
      </c>
      <c r="C38" s="26" t="s">
        <v>1333</v>
      </c>
      <c r="D38" s="26" t="s">
        <v>1334</v>
      </c>
      <c r="E38" s="205" t="s">
        <v>1200</v>
      </c>
      <c r="F38" s="161">
        <f t="shared" si="119"/>
        <v>0</v>
      </c>
      <c r="G38" s="165">
        <f t="shared" si="120"/>
        <v>0</v>
      </c>
      <c r="H38" s="27"/>
      <c r="I38" s="27">
        <v>0</v>
      </c>
      <c r="J38" s="27">
        <v>0</v>
      </c>
      <c r="K38" s="127">
        <f t="shared" si="121"/>
        <v>0</v>
      </c>
      <c r="L38" s="127">
        <f t="shared" si="122"/>
        <v>0</v>
      </c>
      <c r="M38" s="127">
        <f t="shared" si="123"/>
        <v>0</v>
      </c>
      <c r="N38" s="131"/>
      <c r="O38" s="125">
        <f t="shared" si="124"/>
        <v>46302.8</v>
      </c>
      <c r="P38" s="27">
        <v>0</v>
      </c>
      <c r="Q38" s="27">
        <v>0</v>
      </c>
      <c r="R38" s="27">
        <f t="shared" si="125"/>
        <v>0</v>
      </c>
      <c r="S38" s="27">
        <f t="shared" si="126"/>
        <v>0</v>
      </c>
      <c r="T38" s="27"/>
      <c r="U38" s="27"/>
      <c r="V38" s="27">
        <v>8</v>
      </c>
      <c r="W38" s="27"/>
      <c r="X38" s="27">
        <f t="shared" si="127"/>
        <v>8</v>
      </c>
      <c r="Y38" s="27">
        <f t="shared" si="128"/>
        <v>0</v>
      </c>
      <c r="Z38" s="27">
        <v>8</v>
      </c>
      <c r="AA38" s="27"/>
      <c r="AB38" s="27"/>
      <c r="AC38" s="27"/>
      <c r="AD38" s="27">
        <f t="shared" si="129"/>
        <v>8</v>
      </c>
      <c r="AE38" s="27">
        <f t="shared" si="130"/>
        <v>0</v>
      </c>
      <c r="AF38" s="27">
        <f t="shared" si="131"/>
        <v>8</v>
      </c>
      <c r="AG38" s="27">
        <f t="shared" si="132"/>
        <v>0</v>
      </c>
      <c r="AH38" s="27">
        <f t="shared" si="133"/>
        <v>8</v>
      </c>
      <c r="AI38" s="27">
        <f t="shared" si="134"/>
        <v>0</v>
      </c>
      <c r="AJ38" s="27">
        <f t="shared" si="135"/>
        <v>16</v>
      </c>
      <c r="AK38" s="27">
        <f t="shared" si="136"/>
        <v>0</v>
      </c>
      <c r="AL38" s="27"/>
      <c r="AM38" s="27"/>
      <c r="AN38" s="27">
        <v>0</v>
      </c>
      <c r="AO38" s="27"/>
      <c r="AP38" s="27">
        <f t="shared" si="137"/>
        <v>0</v>
      </c>
      <c r="AQ38" s="27">
        <f t="shared" si="138"/>
        <v>0</v>
      </c>
      <c r="AR38" s="27"/>
      <c r="AS38" s="27"/>
      <c r="AT38" s="27">
        <v>0</v>
      </c>
      <c r="AU38" s="27"/>
      <c r="AV38" s="27">
        <f t="shared" si="139"/>
        <v>0</v>
      </c>
      <c r="AW38" s="27">
        <f t="shared" si="140"/>
        <v>0</v>
      </c>
      <c r="AX38" s="27"/>
      <c r="AY38" s="27"/>
      <c r="AZ38" s="27">
        <v>0</v>
      </c>
      <c r="BA38" s="27"/>
      <c r="BB38" s="27">
        <f t="shared" si="141"/>
        <v>0</v>
      </c>
      <c r="BC38" s="27">
        <f t="shared" si="142"/>
        <v>0</v>
      </c>
      <c r="BD38" s="27"/>
      <c r="BE38" s="27"/>
      <c r="BF38" s="27">
        <v>0</v>
      </c>
      <c r="BG38" s="27"/>
      <c r="BH38" s="27">
        <f t="shared" si="143"/>
        <v>0</v>
      </c>
      <c r="BI38" s="27">
        <f t="shared" si="144"/>
        <v>0</v>
      </c>
      <c r="BJ38" s="27"/>
      <c r="BK38" s="27"/>
      <c r="BL38" s="27">
        <v>0</v>
      </c>
      <c r="BM38" s="27"/>
      <c r="BN38" s="27">
        <f t="shared" si="145"/>
        <v>0</v>
      </c>
      <c r="BO38" s="27">
        <f t="shared" si="146"/>
        <v>0</v>
      </c>
      <c r="BP38" s="26"/>
      <c r="BQ38" s="26"/>
      <c r="BR38" s="27">
        <v>0</v>
      </c>
      <c r="BS38" s="27"/>
      <c r="BT38" s="27">
        <f t="shared" si="147"/>
        <v>0</v>
      </c>
      <c r="BU38" s="27">
        <f t="shared" si="148"/>
        <v>0</v>
      </c>
      <c r="BV38" s="26"/>
      <c r="BW38" s="26"/>
      <c r="BX38" s="27">
        <v>0</v>
      </c>
      <c r="BY38" s="26"/>
      <c r="BZ38" s="27">
        <f t="shared" si="149"/>
        <v>0</v>
      </c>
      <c r="CA38" s="27">
        <f t="shared" si="150"/>
        <v>0</v>
      </c>
      <c r="CB38" s="26"/>
      <c r="CC38" s="26"/>
      <c r="CD38" s="27">
        <v>0</v>
      </c>
      <c r="CE38" s="27"/>
      <c r="CF38" s="27">
        <f t="shared" si="151"/>
        <v>0</v>
      </c>
      <c r="CG38" s="27">
        <f t="shared" si="152"/>
        <v>0</v>
      </c>
      <c r="CH38" s="27"/>
      <c r="CI38" s="27">
        <v>42000</v>
      </c>
      <c r="CJ38" s="27">
        <v>0</v>
      </c>
      <c r="CK38" s="27">
        <v>4302.8</v>
      </c>
      <c r="CL38" s="27">
        <f t="shared" si="153"/>
        <v>0</v>
      </c>
      <c r="CM38" s="27">
        <f t="shared" si="154"/>
        <v>46302.8</v>
      </c>
      <c r="CN38" s="27"/>
      <c r="CO38" s="27"/>
      <c r="CP38" s="27">
        <v>0</v>
      </c>
      <c r="CQ38" s="27"/>
      <c r="CR38" s="27">
        <f t="shared" si="155"/>
        <v>0</v>
      </c>
      <c r="CS38" s="27">
        <f t="shared" si="156"/>
        <v>0</v>
      </c>
      <c r="CT38" s="27"/>
      <c r="CU38" s="27"/>
      <c r="CV38" s="27">
        <v>0</v>
      </c>
      <c r="CW38" s="27"/>
      <c r="CX38" s="27">
        <f t="shared" si="157"/>
        <v>0</v>
      </c>
      <c r="CY38" s="27">
        <f t="shared" si="158"/>
        <v>0</v>
      </c>
      <c r="CZ38" s="27"/>
      <c r="DA38" s="27"/>
      <c r="DB38" s="27">
        <v>0</v>
      </c>
      <c r="DC38" s="27"/>
      <c r="DD38" s="27">
        <f t="shared" si="159"/>
        <v>0</v>
      </c>
      <c r="DE38" s="27">
        <f t="shared" si="160"/>
        <v>0</v>
      </c>
      <c r="DF38" s="27">
        <f t="shared" si="161"/>
        <v>0</v>
      </c>
      <c r="DG38" s="27">
        <f t="shared" si="162"/>
        <v>42000</v>
      </c>
      <c r="DH38" s="27">
        <f t="shared" si="163"/>
        <v>0</v>
      </c>
      <c r="DI38" s="27">
        <f t="shared" si="164"/>
        <v>4302.8</v>
      </c>
      <c r="DJ38" s="27">
        <f t="shared" si="165"/>
        <v>0</v>
      </c>
      <c r="DK38" s="27">
        <f t="shared" si="166"/>
        <v>46302.8</v>
      </c>
    </row>
    <row r="39" spans="1:115">
      <c r="A39" s="25">
        <v>31</v>
      </c>
      <c r="B39" s="26" t="s">
        <v>1162</v>
      </c>
      <c r="C39" s="26" t="s">
        <v>1335</v>
      </c>
      <c r="D39" s="26" t="s">
        <v>1336</v>
      </c>
      <c r="E39" s="205" t="s">
        <v>1200</v>
      </c>
      <c r="F39" s="161">
        <f t="shared" si="119"/>
        <v>0</v>
      </c>
      <c r="G39" s="165">
        <f t="shared" si="120"/>
        <v>0</v>
      </c>
      <c r="H39" s="27"/>
      <c r="I39" s="27">
        <v>0</v>
      </c>
      <c r="J39" s="27">
        <v>0</v>
      </c>
      <c r="K39" s="127">
        <f t="shared" si="121"/>
        <v>0</v>
      </c>
      <c r="L39" s="127">
        <f t="shared" si="122"/>
        <v>0</v>
      </c>
      <c r="M39" s="127">
        <f t="shared" si="123"/>
        <v>0</v>
      </c>
      <c r="N39" s="131"/>
      <c r="O39" s="125">
        <f t="shared" si="124"/>
        <v>46302.8</v>
      </c>
      <c r="P39" s="27">
        <v>0</v>
      </c>
      <c r="Q39" s="27">
        <v>0</v>
      </c>
      <c r="R39" s="27">
        <f t="shared" si="125"/>
        <v>0</v>
      </c>
      <c r="S39" s="27">
        <f t="shared" si="126"/>
        <v>0</v>
      </c>
      <c r="T39" s="27"/>
      <c r="U39" s="27"/>
      <c r="V39" s="27">
        <v>9</v>
      </c>
      <c r="W39" s="27"/>
      <c r="X39" s="27">
        <f t="shared" si="127"/>
        <v>9</v>
      </c>
      <c r="Y39" s="27">
        <f t="shared" si="128"/>
        <v>0</v>
      </c>
      <c r="Z39" s="27">
        <v>9</v>
      </c>
      <c r="AA39" s="27"/>
      <c r="AB39" s="27"/>
      <c r="AC39" s="27"/>
      <c r="AD39" s="27">
        <f t="shared" si="129"/>
        <v>9</v>
      </c>
      <c r="AE39" s="27">
        <f t="shared" si="130"/>
        <v>0</v>
      </c>
      <c r="AF39" s="27">
        <f t="shared" si="131"/>
        <v>9</v>
      </c>
      <c r="AG39" s="27">
        <f t="shared" si="132"/>
        <v>0</v>
      </c>
      <c r="AH39" s="27">
        <f t="shared" si="133"/>
        <v>9</v>
      </c>
      <c r="AI39" s="27">
        <f t="shared" si="134"/>
        <v>0</v>
      </c>
      <c r="AJ39" s="27">
        <f t="shared" si="135"/>
        <v>18</v>
      </c>
      <c r="AK39" s="27">
        <f t="shared" si="136"/>
        <v>0</v>
      </c>
      <c r="AL39" s="27"/>
      <c r="AM39" s="27"/>
      <c r="AN39" s="27">
        <v>0</v>
      </c>
      <c r="AO39" s="27"/>
      <c r="AP39" s="27">
        <f t="shared" si="137"/>
        <v>0</v>
      </c>
      <c r="AQ39" s="27">
        <f t="shared" si="138"/>
        <v>0</v>
      </c>
      <c r="AR39" s="27"/>
      <c r="AS39" s="27"/>
      <c r="AT39" s="27">
        <v>0</v>
      </c>
      <c r="AU39" s="27"/>
      <c r="AV39" s="27">
        <f t="shared" si="139"/>
        <v>0</v>
      </c>
      <c r="AW39" s="27">
        <f t="shared" si="140"/>
        <v>0</v>
      </c>
      <c r="AX39" s="27"/>
      <c r="AY39" s="27"/>
      <c r="AZ39" s="27">
        <v>0</v>
      </c>
      <c r="BA39" s="27"/>
      <c r="BB39" s="27">
        <f t="shared" si="141"/>
        <v>0</v>
      </c>
      <c r="BC39" s="27">
        <f t="shared" si="142"/>
        <v>0</v>
      </c>
      <c r="BD39" s="27"/>
      <c r="BE39" s="27"/>
      <c r="BF39" s="27">
        <v>0</v>
      </c>
      <c r="BG39" s="27"/>
      <c r="BH39" s="27">
        <f t="shared" si="143"/>
        <v>0</v>
      </c>
      <c r="BI39" s="27">
        <f t="shared" si="144"/>
        <v>0</v>
      </c>
      <c r="BJ39" s="27"/>
      <c r="BK39" s="27"/>
      <c r="BL39" s="27">
        <v>0</v>
      </c>
      <c r="BM39" s="27"/>
      <c r="BN39" s="27">
        <f t="shared" si="145"/>
        <v>0</v>
      </c>
      <c r="BO39" s="27">
        <f t="shared" si="146"/>
        <v>0</v>
      </c>
      <c r="BP39" s="26"/>
      <c r="BQ39" s="26"/>
      <c r="BR39" s="27">
        <v>0</v>
      </c>
      <c r="BS39" s="27"/>
      <c r="BT39" s="27">
        <f t="shared" si="147"/>
        <v>0</v>
      </c>
      <c r="BU39" s="27">
        <f t="shared" si="148"/>
        <v>0</v>
      </c>
      <c r="BV39" s="26"/>
      <c r="BW39" s="26"/>
      <c r="BX39" s="27">
        <v>0</v>
      </c>
      <c r="BY39" s="26"/>
      <c r="BZ39" s="27">
        <f t="shared" si="149"/>
        <v>0</v>
      </c>
      <c r="CA39" s="27">
        <f t="shared" si="150"/>
        <v>0</v>
      </c>
      <c r="CB39" s="26"/>
      <c r="CC39" s="26"/>
      <c r="CD39" s="27">
        <v>0</v>
      </c>
      <c r="CE39" s="27"/>
      <c r="CF39" s="27">
        <f t="shared" si="151"/>
        <v>0</v>
      </c>
      <c r="CG39" s="27">
        <f t="shared" si="152"/>
        <v>0</v>
      </c>
      <c r="CH39" s="27"/>
      <c r="CI39" s="27">
        <v>42000</v>
      </c>
      <c r="CJ39" s="27">
        <v>0</v>
      </c>
      <c r="CK39" s="27">
        <v>4302.8</v>
      </c>
      <c r="CL39" s="27">
        <f t="shared" si="153"/>
        <v>0</v>
      </c>
      <c r="CM39" s="27">
        <f t="shared" si="154"/>
        <v>46302.8</v>
      </c>
      <c r="CN39" s="27"/>
      <c r="CO39" s="27"/>
      <c r="CP39" s="27">
        <v>0</v>
      </c>
      <c r="CQ39" s="27"/>
      <c r="CR39" s="27">
        <f t="shared" si="155"/>
        <v>0</v>
      </c>
      <c r="CS39" s="27">
        <f t="shared" si="156"/>
        <v>0</v>
      </c>
      <c r="CT39" s="27"/>
      <c r="CU39" s="27"/>
      <c r="CV39" s="27">
        <v>0</v>
      </c>
      <c r="CW39" s="27"/>
      <c r="CX39" s="27">
        <f t="shared" si="157"/>
        <v>0</v>
      </c>
      <c r="CY39" s="27">
        <f t="shared" si="158"/>
        <v>0</v>
      </c>
      <c r="CZ39" s="27"/>
      <c r="DA39" s="27"/>
      <c r="DB39" s="27">
        <v>0</v>
      </c>
      <c r="DC39" s="27"/>
      <c r="DD39" s="27">
        <f t="shared" si="159"/>
        <v>0</v>
      </c>
      <c r="DE39" s="27">
        <f t="shared" si="160"/>
        <v>0</v>
      </c>
      <c r="DF39" s="27">
        <f t="shared" si="161"/>
        <v>0</v>
      </c>
      <c r="DG39" s="27">
        <f t="shared" si="162"/>
        <v>42000</v>
      </c>
      <c r="DH39" s="27">
        <f t="shared" si="163"/>
        <v>0</v>
      </c>
      <c r="DI39" s="27">
        <f t="shared" si="164"/>
        <v>4302.8</v>
      </c>
      <c r="DJ39" s="27">
        <f t="shared" si="165"/>
        <v>0</v>
      </c>
      <c r="DK39" s="27">
        <f t="shared" si="166"/>
        <v>46302.8</v>
      </c>
    </row>
    <row r="40" spans="1:115">
      <c r="A40" s="25">
        <v>32</v>
      </c>
      <c r="B40" s="26" t="s">
        <v>1162</v>
      </c>
      <c r="C40" s="26"/>
      <c r="D40" s="26" t="s">
        <v>1337</v>
      </c>
      <c r="E40" s="205" t="s">
        <v>1200</v>
      </c>
      <c r="F40" s="161">
        <f t="shared" si="119"/>
        <v>0</v>
      </c>
      <c r="G40" s="165">
        <f t="shared" si="120"/>
        <v>0</v>
      </c>
      <c r="H40" s="27"/>
      <c r="I40" s="27">
        <v>0</v>
      </c>
      <c r="J40" s="27">
        <v>0</v>
      </c>
      <c r="K40" s="127">
        <f t="shared" si="121"/>
        <v>0</v>
      </c>
      <c r="L40" s="127">
        <f t="shared" si="122"/>
        <v>0</v>
      </c>
      <c r="M40" s="127">
        <f t="shared" si="123"/>
        <v>0</v>
      </c>
      <c r="N40" s="131"/>
      <c r="O40" s="125">
        <f t="shared" si="124"/>
        <v>51500</v>
      </c>
      <c r="P40" s="27">
        <v>0</v>
      </c>
      <c r="Q40" s="27">
        <v>0</v>
      </c>
      <c r="R40" s="27">
        <f t="shared" si="125"/>
        <v>0</v>
      </c>
      <c r="S40" s="27">
        <f t="shared" si="126"/>
        <v>0</v>
      </c>
      <c r="T40" s="27"/>
      <c r="U40" s="27"/>
      <c r="V40" s="27">
        <v>10</v>
      </c>
      <c r="W40" s="27"/>
      <c r="X40" s="27">
        <f t="shared" si="127"/>
        <v>10</v>
      </c>
      <c r="Y40" s="27">
        <f t="shared" si="128"/>
        <v>0</v>
      </c>
      <c r="Z40" s="27">
        <v>10</v>
      </c>
      <c r="AA40" s="27"/>
      <c r="AB40" s="27"/>
      <c r="AC40" s="27"/>
      <c r="AD40" s="27">
        <f t="shared" si="129"/>
        <v>10</v>
      </c>
      <c r="AE40" s="27">
        <f t="shared" si="130"/>
        <v>0</v>
      </c>
      <c r="AF40" s="27">
        <f t="shared" si="131"/>
        <v>10</v>
      </c>
      <c r="AG40" s="27">
        <f t="shared" si="132"/>
        <v>0</v>
      </c>
      <c r="AH40" s="27">
        <f t="shared" si="133"/>
        <v>10</v>
      </c>
      <c r="AI40" s="27">
        <f t="shared" si="134"/>
        <v>0</v>
      </c>
      <c r="AJ40" s="27">
        <f t="shared" si="135"/>
        <v>20</v>
      </c>
      <c r="AK40" s="27">
        <f t="shared" si="136"/>
        <v>0</v>
      </c>
      <c r="AL40" s="27"/>
      <c r="AM40" s="27"/>
      <c r="AN40" s="27">
        <v>0</v>
      </c>
      <c r="AO40" s="27"/>
      <c r="AP40" s="27">
        <f t="shared" si="137"/>
        <v>0</v>
      </c>
      <c r="AQ40" s="27">
        <f t="shared" si="138"/>
        <v>0</v>
      </c>
      <c r="AR40" s="27"/>
      <c r="AS40" s="27"/>
      <c r="AT40" s="27">
        <v>0</v>
      </c>
      <c r="AU40" s="27"/>
      <c r="AV40" s="27">
        <f t="shared" si="139"/>
        <v>0</v>
      </c>
      <c r="AW40" s="27">
        <f t="shared" si="140"/>
        <v>0</v>
      </c>
      <c r="AX40" s="27"/>
      <c r="AY40" s="27"/>
      <c r="AZ40" s="27">
        <v>0</v>
      </c>
      <c r="BA40" s="27"/>
      <c r="BB40" s="27">
        <f t="shared" si="141"/>
        <v>0</v>
      </c>
      <c r="BC40" s="27">
        <f t="shared" si="142"/>
        <v>0</v>
      </c>
      <c r="BD40" s="27"/>
      <c r="BE40" s="27"/>
      <c r="BF40" s="27">
        <v>0</v>
      </c>
      <c r="BG40" s="27"/>
      <c r="BH40" s="27">
        <f t="shared" si="143"/>
        <v>0</v>
      </c>
      <c r="BI40" s="27">
        <f t="shared" si="144"/>
        <v>0</v>
      </c>
      <c r="BJ40" s="27"/>
      <c r="BK40" s="27"/>
      <c r="BL40" s="27">
        <v>0</v>
      </c>
      <c r="BM40" s="27"/>
      <c r="BN40" s="27">
        <f t="shared" si="145"/>
        <v>0</v>
      </c>
      <c r="BO40" s="27">
        <f t="shared" si="146"/>
        <v>0</v>
      </c>
      <c r="BP40" s="26"/>
      <c r="BQ40" s="26"/>
      <c r="BR40" s="27">
        <v>0</v>
      </c>
      <c r="BS40" s="27"/>
      <c r="BT40" s="27">
        <f t="shared" si="147"/>
        <v>0</v>
      </c>
      <c r="BU40" s="27">
        <f t="shared" si="148"/>
        <v>0</v>
      </c>
      <c r="BV40" s="26"/>
      <c r="BW40" s="26"/>
      <c r="BX40" s="27">
        <v>0</v>
      </c>
      <c r="BY40" s="26"/>
      <c r="BZ40" s="27">
        <f t="shared" si="149"/>
        <v>0</v>
      </c>
      <c r="CA40" s="27">
        <f t="shared" si="150"/>
        <v>0</v>
      </c>
      <c r="CB40" s="26"/>
      <c r="CC40" s="26"/>
      <c r="CD40" s="27">
        <v>0</v>
      </c>
      <c r="CE40" s="27"/>
      <c r="CF40" s="27">
        <f t="shared" si="151"/>
        <v>0</v>
      </c>
      <c r="CG40" s="27">
        <f t="shared" si="152"/>
        <v>0</v>
      </c>
      <c r="CH40" s="27"/>
      <c r="CI40" s="27"/>
      <c r="CJ40" s="27">
        <v>0</v>
      </c>
      <c r="CK40" s="27">
        <f>22500+6500+22500</f>
        <v>51500</v>
      </c>
      <c r="CL40" s="27">
        <f t="shared" si="153"/>
        <v>0</v>
      </c>
      <c r="CM40" s="27">
        <f t="shared" si="154"/>
        <v>51500</v>
      </c>
      <c r="CN40" s="27"/>
      <c r="CO40" s="27"/>
      <c r="CP40" s="27">
        <v>0</v>
      </c>
      <c r="CQ40" s="27"/>
      <c r="CR40" s="27">
        <f t="shared" si="155"/>
        <v>0</v>
      </c>
      <c r="CS40" s="27">
        <f t="shared" si="156"/>
        <v>0</v>
      </c>
      <c r="CT40" s="27"/>
      <c r="CU40" s="27"/>
      <c r="CV40" s="27">
        <v>0</v>
      </c>
      <c r="CW40" s="27"/>
      <c r="CX40" s="27">
        <f t="shared" si="157"/>
        <v>0</v>
      </c>
      <c r="CY40" s="27">
        <f t="shared" si="158"/>
        <v>0</v>
      </c>
      <c r="CZ40" s="27"/>
      <c r="DA40" s="27"/>
      <c r="DB40" s="27">
        <v>0</v>
      </c>
      <c r="DC40" s="27"/>
      <c r="DD40" s="27">
        <f t="shared" si="159"/>
        <v>0</v>
      </c>
      <c r="DE40" s="27">
        <f t="shared" si="160"/>
        <v>0</v>
      </c>
      <c r="DF40" s="27">
        <f t="shared" si="161"/>
        <v>0</v>
      </c>
      <c r="DG40" s="27">
        <f t="shared" si="162"/>
        <v>0</v>
      </c>
      <c r="DH40" s="27">
        <f t="shared" si="163"/>
        <v>0</v>
      </c>
      <c r="DI40" s="27">
        <f t="shared" si="164"/>
        <v>51500</v>
      </c>
      <c r="DJ40" s="27">
        <f t="shared" si="165"/>
        <v>0</v>
      </c>
      <c r="DK40" s="27">
        <f t="shared" si="166"/>
        <v>51500</v>
      </c>
    </row>
    <row r="41" spans="1:115">
      <c r="A41" s="25">
        <v>33</v>
      </c>
      <c r="B41" s="26" t="s">
        <v>1162</v>
      </c>
      <c r="C41" s="26" t="s">
        <v>1351</v>
      </c>
      <c r="D41" s="26" t="s">
        <v>1350</v>
      </c>
      <c r="E41" s="205" t="s">
        <v>1200</v>
      </c>
      <c r="F41" s="161">
        <f t="shared" si="119"/>
        <v>0</v>
      </c>
      <c r="G41" s="165">
        <f t="shared" si="120"/>
        <v>0</v>
      </c>
      <c r="H41" s="27"/>
      <c r="I41" s="27">
        <v>0</v>
      </c>
      <c r="J41" s="27">
        <v>0</v>
      </c>
      <c r="K41" s="127">
        <f t="shared" si="121"/>
        <v>0</v>
      </c>
      <c r="L41" s="127">
        <f t="shared" si="122"/>
        <v>0</v>
      </c>
      <c r="M41" s="127">
        <f t="shared" si="123"/>
        <v>0</v>
      </c>
      <c r="N41" s="131"/>
      <c r="O41" s="125" t="str">
        <f t="shared" si="124"/>
        <v>მიმდინარეობს</v>
      </c>
      <c r="P41" s="27">
        <v>0</v>
      </c>
      <c r="Q41" s="27">
        <v>0</v>
      </c>
      <c r="R41" s="27">
        <f t="shared" si="125"/>
        <v>0</v>
      </c>
      <c r="S41" s="27">
        <f t="shared" si="126"/>
        <v>0</v>
      </c>
      <c r="T41" s="27"/>
      <c r="U41" s="27"/>
      <c r="V41" s="27">
        <v>11</v>
      </c>
      <c r="W41" s="27"/>
      <c r="X41" s="27">
        <f t="shared" si="127"/>
        <v>11</v>
      </c>
      <c r="Y41" s="27">
        <f t="shared" si="128"/>
        <v>0</v>
      </c>
      <c r="Z41" s="27">
        <v>11</v>
      </c>
      <c r="AA41" s="27"/>
      <c r="AB41" s="27"/>
      <c r="AC41" s="27"/>
      <c r="AD41" s="27">
        <f t="shared" si="129"/>
        <v>11</v>
      </c>
      <c r="AE41" s="27">
        <f t="shared" si="130"/>
        <v>0</v>
      </c>
      <c r="AF41" s="27">
        <f t="shared" si="131"/>
        <v>11</v>
      </c>
      <c r="AG41" s="27">
        <f t="shared" si="132"/>
        <v>0</v>
      </c>
      <c r="AH41" s="27">
        <f t="shared" si="133"/>
        <v>11</v>
      </c>
      <c r="AI41" s="27">
        <f t="shared" si="134"/>
        <v>0</v>
      </c>
      <c r="AJ41" s="27">
        <f t="shared" si="135"/>
        <v>22</v>
      </c>
      <c r="AK41" s="27">
        <f t="shared" si="136"/>
        <v>0</v>
      </c>
      <c r="AL41" s="27"/>
      <c r="AM41" s="27"/>
      <c r="AN41" s="27">
        <v>0</v>
      </c>
      <c r="AO41" s="27"/>
      <c r="AP41" s="27">
        <f t="shared" si="137"/>
        <v>0</v>
      </c>
      <c r="AQ41" s="27">
        <f t="shared" si="138"/>
        <v>0</v>
      </c>
      <c r="AR41" s="27"/>
      <c r="AS41" s="27"/>
      <c r="AT41" s="27">
        <v>0</v>
      </c>
      <c r="AU41" s="27"/>
      <c r="AV41" s="27">
        <f t="shared" si="139"/>
        <v>0</v>
      </c>
      <c r="AW41" s="27">
        <f t="shared" si="140"/>
        <v>0</v>
      </c>
      <c r="AX41" s="27"/>
      <c r="AY41" s="27"/>
      <c r="AZ41" s="27">
        <v>0</v>
      </c>
      <c r="BA41" s="27"/>
      <c r="BB41" s="27">
        <f t="shared" si="141"/>
        <v>0</v>
      </c>
      <c r="BC41" s="27">
        <f t="shared" si="142"/>
        <v>0</v>
      </c>
      <c r="BD41" s="27"/>
      <c r="BE41" s="27"/>
      <c r="BF41" s="27">
        <v>0</v>
      </c>
      <c r="BG41" s="27"/>
      <c r="BH41" s="27">
        <f t="shared" si="143"/>
        <v>0</v>
      </c>
      <c r="BI41" s="27">
        <f t="shared" si="144"/>
        <v>0</v>
      </c>
      <c r="BJ41" s="27"/>
      <c r="BK41" s="27"/>
      <c r="BL41" s="27">
        <v>0</v>
      </c>
      <c r="BM41" s="27"/>
      <c r="BN41" s="27">
        <f t="shared" si="145"/>
        <v>0</v>
      </c>
      <c r="BO41" s="27">
        <f t="shared" si="146"/>
        <v>0</v>
      </c>
      <c r="BP41" s="26"/>
      <c r="BQ41" s="26"/>
      <c r="BR41" s="27">
        <v>0</v>
      </c>
      <c r="BS41" s="27"/>
      <c r="BT41" s="27">
        <f t="shared" si="147"/>
        <v>0</v>
      </c>
      <c r="BU41" s="27">
        <f t="shared" si="148"/>
        <v>0</v>
      </c>
      <c r="BV41" s="26"/>
      <c r="BW41" s="26"/>
      <c r="BX41" s="27">
        <v>0</v>
      </c>
      <c r="BY41" s="26"/>
      <c r="BZ41" s="27">
        <f t="shared" si="149"/>
        <v>0</v>
      </c>
      <c r="CA41" s="27">
        <f t="shared" si="150"/>
        <v>0</v>
      </c>
      <c r="CB41" s="26"/>
      <c r="CC41" s="26"/>
      <c r="CD41" s="27">
        <v>0</v>
      </c>
      <c r="CE41" s="27"/>
      <c r="CF41" s="27">
        <f t="shared" si="151"/>
        <v>0</v>
      </c>
      <c r="CG41" s="27">
        <f t="shared" si="152"/>
        <v>0</v>
      </c>
      <c r="CH41" s="27"/>
      <c r="CI41" s="27"/>
      <c r="CJ41" s="27">
        <v>0</v>
      </c>
      <c r="CK41" s="27"/>
      <c r="CL41" s="27">
        <f t="shared" si="153"/>
        <v>0</v>
      </c>
      <c r="CM41" s="27">
        <f t="shared" si="154"/>
        <v>0</v>
      </c>
      <c r="CN41" s="27"/>
      <c r="CO41" s="27">
        <v>155000</v>
      </c>
      <c r="CP41" s="27">
        <v>0</v>
      </c>
      <c r="CQ41" s="27"/>
      <c r="CR41" s="27">
        <f t="shared" si="155"/>
        <v>0</v>
      </c>
      <c r="CS41" s="27">
        <f t="shared" si="156"/>
        <v>155000</v>
      </c>
      <c r="CT41" s="27"/>
      <c r="CU41" s="27"/>
      <c r="CV41" s="27">
        <v>0</v>
      </c>
      <c r="CW41" s="27"/>
      <c r="CX41" s="27">
        <f t="shared" si="157"/>
        <v>0</v>
      </c>
      <c r="CY41" s="27">
        <f t="shared" si="158"/>
        <v>0</v>
      </c>
      <c r="CZ41" s="27"/>
      <c r="DA41" s="27"/>
      <c r="DB41" s="27">
        <v>0</v>
      </c>
      <c r="DC41" s="27"/>
      <c r="DD41" s="27">
        <f t="shared" si="159"/>
        <v>0</v>
      </c>
      <c r="DE41" s="27">
        <f t="shared" si="160"/>
        <v>0</v>
      </c>
      <c r="DF41" s="27">
        <f t="shared" si="161"/>
        <v>0</v>
      </c>
      <c r="DG41" s="27">
        <f t="shared" si="162"/>
        <v>155000</v>
      </c>
      <c r="DH41" s="27">
        <f t="shared" si="163"/>
        <v>0</v>
      </c>
      <c r="DI41" s="27">
        <f t="shared" si="164"/>
        <v>0</v>
      </c>
      <c r="DJ41" s="27">
        <f t="shared" si="165"/>
        <v>0</v>
      </c>
      <c r="DK41" s="27">
        <f t="shared" si="166"/>
        <v>155000</v>
      </c>
    </row>
    <row r="42" spans="1:115">
      <c r="A42" s="25">
        <v>34</v>
      </c>
      <c r="B42" s="26" t="s">
        <v>1162</v>
      </c>
      <c r="C42" s="26" t="s">
        <v>1353</v>
      </c>
      <c r="D42" s="26" t="s">
        <v>1352</v>
      </c>
      <c r="E42" s="205" t="s">
        <v>1200</v>
      </c>
      <c r="F42" s="161">
        <f t="shared" si="119"/>
        <v>0</v>
      </c>
      <c r="G42" s="165">
        <f t="shared" si="120"/>
        <v>0</v>
      </c>
      <c r="H42" s="27"/>
      <c r="I42" s="27">
        <v>0</v>
      </c>
      <c r="J42" s="27">
        <v>0</v>
      </c>
      <c r="K42" s="127">
        <f t="shared" si="121"/>
        <v>0</v>
      </c>
      <c r="L42" s="127">
        <f t="shared" si="122"/>
        <v>0</v>
      </c>
      <c r="M42" s="127">
        <f t="shared" si="123"/>
        <v>0</v>
      </c>
      <c r="N42" s="131"/>
      <c r="O42" s="125">
        <f t="shared" si="124"/>
        <v>28676</v>
      </c>
      <c r="P42" s="27">
        <v>0</v>
      </c>
      <c r="Q42" s="27">
        <v>0</v>
      </c>
      <c r="R42" s="27">
        <f t="shared" si="125"/>
        <v>0</v>
      </c>
      <c r="S42" s="27">
        <f t="shared" si="126"/>
        <v>0</v>
      </c>
      <c r="T42" s="27"/>
      <c r="U42" s="27"/>
      <c r="V42" s="27">
        <v>12</v>
      </c>
      <c r="W42" s="27"/>
      <c r="X42" s="27">
        <f t="shared" si="127"/>
        <v>12</v>
      </c>
      <c r="Y42" s="27">
        <f t="shared" si="128"/>
        <v>0</v>
      </c>
      <c r="Z42" s="27">
        <v>12</v>
      </c>
      <c r="AA42" s="27"/>
      <c r="AB42" s="27"/>
      <c r="AC42" s="27"/>
      <c r="AD42" s="27">
        <f t="shared" si="129"/>
        <v>12</v>
      </c>
      <c r="AE42" s="27">
        <f t="shared" si="130"/>
        <v>0</v>
      </c>
      <c r="AF42" s="27">
        <f t="shared" si="131"/>
        <v>12</v>
      </c>
      <c r="AG42" s="27">
        <f t="shared" si="132"/>
        <v>0</v>
      </c>
      <c r="AH42" s="27">
        <f t="shared" si="133"/>
        <v>12</v>
      </c>
      <c r="AI42" s="27">
        <f t="shared" si="134"/>
        <v>0</v>
      </c>
      <c r="AJ42" s="27">
        <f t="shared" si="135"/>
        <v>24</v>
      </c>
      <c r="AK42" s="27">
        <f t="shared" si="136"/>
        <v>0</v>
      </c>
      <c r="AL42" s="27"/>
      <c r="AM42" s="27"/>
      <c r="AN42" s="27">
        <v>0</v>
      </c>
      <c r="AO42" s="27"/>
      <c r="AP42" s="27">
        <f t="shared" si="137"/>
        <v>0</v>
      </c>
      <c r="AQ42" s="27">
        <f t="shared" si="138"/>
        <v>0</v>
      </c>
      <c r="AR42" s="27"/>
      <c r="AS42" s="27"/>
      <c r="AT42" s="27">
        <v>0</v>
      </c>
      <c r="AU42" s="27"/>
      <c r="AV42" s="27">
        <f t="shared" si="139"/>
        <v>0</v>
      </c>
      <c r="AW42" s="27">
        <f t="shared" si="140"/>
        <v>0</v>
      </c>
      <c r="AX42" s="27"/>
      <c r="AY42" s="27"/>
      <c r="AZ42" s="27">
        <v>0</v>
      </c>
      <c r="BA42" s="27"/>
      <c r="BB42" s="27">
        <f t="shared" si="141"/>
        <v>0</v>
      </c>
      <c r="BC42" s="27">
        <f t="shared" si="142"/>
        <v>0</v>
      </c>
      <c r="BD42" s="27"/>
      <c r="BE42" s="27"/>
      <c r="BF42" s="27">
        <v>0</v>
      </c>
      <c r="BG42" s="27"/>
      <c r="BH42" s="27">
        <f t="shared" si="143"/>
        <v>0</v>
      </c>
      <c r="BI42" s="27">
        <f t="shared" si="144"/>
        <v>0</v>
      </c>
      <c r="BJ42" s="27"/>
      <c r="BK42" s="27"/>
      <c r="BL42" s="27">
        <v>0</v>
      </c>
      <c r="BM42" s="27"/>
      <c r="BN42" s="27">
        <f t="shared" si="145"/>
        <v>0</v>
      </c>
      <c r="BO42" s="27">
        <f t="shared" si="146"/>
        <v>0</v>
      </c>
      <c r="BP42" s="26"/>
      <c r="BQ42" s="26"/>
      <c r="BR42" s="27">
        <v>0</v>
      </c>
      <c r="BS42" s="27"/>
      <c r="BT42" s="27">
        <f t="shared" si="147"/>
        <v>0</v>
      </c>
      <c r="BU42" s="27">
        <f t="shared" si="148"/>
        <v>0</v>
      </c>
      <c r="BV42" s="26"/>
      <c r="BW42" s="26"/>
      <c r="BX42" s="27">
        <v>0</v>
      </c>
      <c r="BY42" s="26"/>
      <c r="BZ42" s="27">
        <f t="shared" si="149"/>
        <v>0</v>
      </c>
      <c r="CA42" s="27">
        <f t="shared" si="150"/>
        <v>0</v>
      </c>
      <c r="CB42" s="26"/>
      <c r="CC42" s="26"/>
      <c r="CD42" s="27">
        <v>0</v>
      </c>
      <c r="CE42" s="27"/>
      <c r="CF42" s="27">
        <f t="shared" si="151"/>
        <v>0</v>
      </c>
      <c r="CG42" s="27">
        <f t="shared" si="152"/>
        <v>0</v>
      </c>
      <c r="CH42" s="27"/>
      <c r="CI42" s="27"/>
      <c r="CJ42" s="27">
        <v>0</v>
      </c>
      <c r="CK42" s="27"/>
      <c r="CL42" s="27">
        <f t="shared" si="153"/>
        <v>0</v>
      </c>
      <c r="CM42" s="27">
        <f t="shared" si="154"/>
        <v>0</v>
      </c>
      <c r="CN42" s="27"/>
      <c r="CO42" s="27">
        <v>26500</v>
      </c>
      <c r="CP42" s="27">
        <v>0</v>
      </c>
      <c r="CQ42" s="27"/>
      <c r="CR42" s="27">
        <f t="shared" si="155"/>
        <v>0</v>
      </c>
      <c r="CS42" s="27">
        <f t="shared" si="156"/>
        <v>26500</v>
      </c>
      <c r="CT42" s="27"/>
      <c r="CU42" s="27"/>
      <c r="CV42" s="27">
        <v>0</v>
      </c>
      <c r="CW42" s="27">
        <v>2176</v>
      </c>
      <c r="CX42" s="27">
        <f t="shared" si="157"/>
        <v>0</v>
      </c>
      <c r="CY42" s="27">
        <f t="shared" si="158"/>
        <v>2176</v>
      </c>
      <c r="CZ42" s="27"/>
      <c r="DA42" s="27"/>
      <c r="DB42" s="27">
        <v>0</v>
      </c>
      <c r="DC42" s="27"/>
      <c r="DD42" s="27">
        <f t="shared" si="159"/>
        <v>0</v>
      </c>
      <c r="DE42" s="27">
        <f t="shared" si="160"/>
        <v>0</v>
      </c>
      <c r="DF42" s="27">
        <f t="shared" si="161"/>
        <v>0</v>
      </c>
      <c r="DG42" s="27">
        <f t="shared" si="162"/>
        <v>26500</v>
      </c>
      <c r="DH42" s="27">
        <f t="shared" si="163"/>
        <v>0</v>
      </c>
      <c r="DI42" s="27">
        <f t="shared" si="164"/>
        <v>2176</v>
      </c>
      <c r="DJ42" s="27">
        <f t="shared" si="165"/>
        <v>0</v>
      </c>
      <c r="DK42" s="27">
        <f t="shared" si="166"/>
        <v>28676</v>
      </c>
    </row>
    <row r="43" spans="1:115">
      <c r="A43" s="25">
        <v>35</v>
      </c>
      <c r="B43" s="26" t="s">
        <v>1162</v>
      </c>
      <c r="C43" s="26" t="s">
        <v>1354</v>
      </c>
      <c r="D43" s="26" t="s">
        <v>1355</v>
      </c>
      <c r="E43" s="205" t="s">
        <v>1200</v>
      </c>
      <c r="F43" s="161">
        <f t="shared" si="119"/>
        <v>0</v>
      </c>
      <c r="G43" s="165">
        <f t="shared" si="120"/>
        <v>0</v>
      </c>
      <c r="H43" s="27"/>
      <c r="I43" s="27">
        <v>0</v>
      </c>
      <c r="J43" s="27">
        <v>0</v>
      </c>
      <c r="K43" s="127">
        <f t="shared" si="121"/>
        <v>0</v>
      </c>
      <c r="L43" s="127">
        <f t="shared" si="122"/>
        <v>0</v>
      </c>
      <c r="M43" s="127">
        <f t="shared" si="123"/>
        <v>0</v>
      </c>
      <c r="N43" s="131"/>
      <c r="O43" s="125">
        <f t="shared" si="124"/>
        <v>28676</v>
      </c>
      <c r="P43" s="27">
        <v>0</v>
      </c>
      <c r="Q43" s="27">
        <v>0</v>
      </c>
      <c r="R43" s="27">
        <f t="shared" si="125"/>
        <v>0</v>
      </c>
      <c r="S43" s="27">
        <f t="shared" si="126"/>
        <v>0</v>
      </c>
      <c r="T43" s="27"/>
      <c r="U43" s="27"/>
      <c r="V43" s="27">
        <v>13</v>
      </c>
      <c r="W43" s="27"/>
      <c r="X43" s="27">
        <f t="shared" si="127"/>
        <v>13</v>
      </c>
      <c r="Y43" s="27">
        <f t="shared" si="128"/>
        <v>0</v>
      </c>
      <c r="Z43" s="27">
        <v>13</v>
      </c>
      <c r="AA43" s="27"/>
      <c r="AB43" s="27"/>
      <c r="AC43" s="27"/>
      <c r="AD43" s="27">
        <f t="shared" si="129"/>
        <v>13</v>
      </c>
      <c r="AE43" s="27">
        <f t="shared" si="130"/>
        <v>0</v>
      </c>
      <c r="AF43" s="27">
        <f t="shared" si="131"/>
        <v>13</v>
      </c>
      <c r="AG43" s="27">
        <f t="shared" si="132"/>
        <v>0</v>
      </c>
      <c r="AH43" s="27">
        <f t="shared" si="133"/>
        <v>13</v>
      </c>
      <c r="AI43" s="27">
        <f t="shared" si="134"/>
        <v>0</v>
      </c>
      <c r="AJ43" s="27">
        <f t="shared" si="135"/>
        <v>26</v>
      </c>
      <c r="AK43" s="27">
        <f t="shared" si="136"/>
        <v>0</v>
      </c>
      <c r="AL43" s="27"/>
      <c r="AM43" s="27"/>
      <c r="AN43" s="27">
        <v>0</v>
      </c>
      <c r="AO43" s="27"/>
      <c r="AP43" s="27">
        <f t="shared" si="137"/>
        <v>0</v>
      </c>
      <c r="AQ43" s="27">
        <f t="shared" si="138"/>
        <v>0</v>
      </c>
      <c r="AR43" s="27"/>
      <c r="AS43" s="27"/>
      <c r="AT43" s="27">
        <v>0</v>
      </c>
      <c r="AU43" s="27"/>
      <c r="AV43" s="27">
        <f t="shared" si="139"/>
        <v>0</v>
      </c>
      <c r="AW43" s="27">
        <f t="shared" si="140"/>
        <v>0</v>
      </c>
      <c r="AX43" s="27"/>
      <c r="AY43" s="27"/>
      <c r="AZ43" s="27">
        <v>0</v>
      </c>
      <c r="BA43" s="27"/>
      <c r="BB43" s="27">
        <f t="shared" si="141"/>
        <v>0</v>
      </c>
      <c r="BC43" s="27">
        <f t="shared" si="142"/>
        <v>0</v>
      </c>
      <c r="BD43" s="27"/>
      <c r="BE43" s="27"/>
      <c r="BF43" s="27">
        <v>0</v>
      </c>
      <c r="BG43" s="27"/>
      <c r="BH43" s="27">
        <f t="shared" si="143"/>
        <v>0</v>
      </c>
      <c r="BI43" s="27">
        <f t="shared" si="144"/>
        <v>0</v>
      </c>
      <c r="BJ43" s="27"/>
      <c r="BK43" s="27"/>
      <c r="BL43" s="27">
        <v>0</v>
      </c>
      <c r="BM43" s="27"/>
      <c r="BN43" s="27">
        <f t="shared" si="145"/>
        <v>0</v>
      </c>
      <c r="BO43" s="27">
        <f t="shared" si="146"/>
        <v>0</v>
      </c>
      <c r="BP43" s="26"/>
      <c r="BQ43" s="26"/>
      <c r="BR43" s="27">
        <v>0</v>
      </c>
      <c r="BS43" s="27"/>
      <c r="BT43" s="27">
        <f t="shared" si="147"/>
        <v>0</v>
      </c>
      <c r="BU43" s="27">
        <f t="shared" si="148"/>
        <v>0</v>
      </c>
      <c r="BV43" s="26"/>
      <c r="BW43" s="26"/>
      <c r="BX43" s="27">
        <v>0</v>
      </c>
      <c r="BY43" s="26"/>
      <c r="BZ43" s="27">
        <f t="shared" si="149"/>
        <v>0</v>
      </c>
      <c r="CA43" s="27">
        <f t="shared" si="150"/>
        <v>0</v>
      </c>
      <c r="CB43" s="26"/>
      <c r="CC43" s="26"/>
      <c r="CD43" s="27">
        <v>0</v>
      </c>
      <c r="CE43" s="27"/>
      <c r="CF43" s="27">
        <f t="shared" si="151"/>
        <v>0</v>
      </c>
      <c r="CG43" s="27">
        <f t="shared" si="152"/>
        <v>0</v>
      </c>
      <c r="CH43" s="27"/>
      <c r="CI43" s="27"/>
      <c r="CJ43" s="27">
        <v>0</v>
      </c>
      <c r="CK43" s="27"/>
      <c r="CL43" s="27">
        <f t="shared" si="153"/>
        <v>0</v>
      </c>
      <c r="CM43" s="27">
        <f t="shared" si="154"/>
        <v>0</v>
      </c>
      <c r="CN43" s="27"/>
      <c r="CO43" s="27">
        <v>26500</v>
      </c>
      <c r="CP43" s="27">
        <v>0</v>
      </c>
      <c r="CQ43" s="27"/>
      <c r="CR43" s="27">
        <f t="shared" si="155"/>
        <v>0</v>
      </c>
      <c r="CS43" s="27">
        <f t="shared" si="156"/>
        <v>26500</v>
      </c>
      <c r="CT43" s="27"/>
      <c r="CU43" s="27"/>
      <c r="CV43" s="27">
        <v>0</v>
      </c>
      <c r="CW43" s="27">
        <v>2176</v>
      </c>
      <c r="CX43" s="27">
        <f t="shared" si="157"/>
        <v>0</v>
      </c>
      <c r="CY43" s="27">
        <f t="shared" si="158"/>
        <v>2176</v>
      </c>
      <c r="CZ43" s="27"/>
      <c r="DA43" s="27"/>
      <c r="DB43" s="27">
        <v>0</v>
      </c>
      <c r="DC43" s="27"/>
      <c r="DD43" s="27">
        <f t="shared" si="159"/>
        <v>0</v>
      </c>
      <c r="DE43" s="27">
        <f t="shared" si="160"/>
        <v>0</v>
      </c>
      <c r="DF43" s="27">
        <f t="shared" si="161"/>
        <v>0</v>
      </c>
      <c r="DG43" s="27">
        <f t="shared" si="162"/>
        <v>26500</v>
      </c>
      <c r="DH43" s="27">
        <f t="shared" si="163"/>
        <v>0</v>
      </c>
      <c r="DI43" s="27">
        <f t="shared" si="164"/>
        <v>2176</v>
      </c>
      <c r="DJ43" s="27">
        <f t="shared" si="165"/>
        <v>0</v>
      </c>
      <c r="DK43" s="27">
        <f t="shared" si="166"/>
        <v>28676</v>
      </c>
    </row>
    <row r="44" spans="1:115">
      <c r="A44" s="25">
        <v>36</v>
      </c>
      <c r="B44" s="26" t="s">
        <v>1162</v>
      </c>
      <c r="C44" s="26" t="s">
        <v>1357</v>
      </c>
      <c r="D44" s="26" t="s">
        <v>1356</v>
      </c>
      <c r="E44" s="205" t="s">
        <v>1200</v>
      </c>
      <c r="F44" s="161">
        <f t="shared" si="119"/>
        <v>0</v>
      </c>
      <c r="G44" s="165">
        <f t="shared" si="120"/>
        <v>0</v>
      </c>
      <c r="H44" s="27"/>
      <c r="I44" s="27">
        <v>0</v>
      </c>
      <c r="J44" s="27">
        <v>0</v>
      </c>
      <c r="K44" s="127">
        <f t="shared" si="121"/>
        <v>0</v>
      </c>
      <c r="L44" s="127">
        <f t="shared" si="122"/>
        <v>0</v>
      </c>
      <c r="M44" s="127">
        <f t="shared" si="123"/>
        <v>0</v>
      </c>
      <c r="N44" s="131"/>
      <c r="O44" s="125">
        <f t="shared" si="124"/>
        <v>9006</v>
      </c>
      <c r="P44" s="27">
        <v>0</v>
      </c>
      <c r="Q44" s="27">
        <v>0</v>
      </c>
      <c r="R44" s="27">
        <f t="shared" si="125"/>
        <v>0</v>
      </c>
      <c r="S44" s="27">
        <f t="shared" si="126"/>
        <v>0</v>
      </c>
      <c r="T44" s="27"/>
      <c r="U44" s="27"/>
      <c r="V44" s="27">
        <v>14</v>
      </c>
      <c r="W44" s="27"/>
      <c r="X44" s="27">
        <f t="shared" si="127"/>
        <v>14</v>
      </c>
      <c r="Y44" s="27">
        <f t="shared" si="128"/>
        <v>0</v>
      </c>
      <c r="Z44" s="27">
        <v>14</v>
      </c>
      <c r="AA44" s="27"/>
      <c r="AB44" s="27"/>
      <c r="AC44" s="27"/>
      <c r="AD44" s="27">
        <f t="shared" si="129"/>
        <v>14</v>
      </c>
      <c r="AE44" s="27">
        <f t="shared" si="130"/>
        <v>0</v>
      </c>
      <c r="AF44" s="27">
        <f t="shared" si="131"/>
        <v>14</v>
      </c>
      <c r="AG44" s="27">
        <f t="shared" si="132"/>
        <v>0</v>
      </c>
      <c r="AH44" s="27">
        <f t="shared" si="133"/>
        <v>14</v>
      </c>
      <c r="AI44" s="27">
        <f t="shared" si="134"/>
        <v>0</v>
      </c>
      <c r="AJ44" s="27">
        <f t="shared" si="135"/>
        <v>28</v>
      </c>
      <c r="AK44" s="27">
        <f t="shared" si="136"/>
        <v>0</v>
      </c>
      <c r="AL44" s="27"/>
      <c r="AM44" s="27"/>
      <c r="AN44" s="27">
        <v>0</v>
      </c>
      <c r="AO44" s="27"/>
      <c r="AP44" s="27">
        <f t="shared" si="137"/>
        <v>0</v>
      </c>
      <c r="AQ44" s="27">
        <f t="shared" si="138"/>
        <v>0</v>
      </c>
      <c r="AR44" s="27"/>
      <c r="AS44" s="27"/>
      <c r="AT44" s="27">
        <v>0</v>
      </c>
      <c r="AU44" s="27"/>
      <c r="AV44" s="27">
        <f t="shared" si="139"/>
        <v>0</v>
      </c>
      <c r="AW44" s="27">
        <f t="shared" si="140"/>
        <v>0</v>
      </c>
      <c r="AX44" s="27"/>
      <c r="AY44" s="27"/>
      <c r="AZ44" s="27">
        <v>0</v>
      </c>
      <c r="BA44" s="27"/>
      <c r="BB44" s="27">
        <f t="shared" si="141"/>
        <v>0</v>
      </c>
      <c r="BC44" s="27">
        <f t="shared" si="142"/>
        <v>0</v>
      </c>
      <c r="BD44" s="27"/>
      <c r="BE44" s="27"/>
      <c r="BF44" s="27">
        <v>0</v>
      </c>
      <c r="BG44" s="27"/>
      <c r="BH44" s="27">
        <f t="shared" si="143"/>
        <v>0</v>
      </c>
      <c r="BI44" s="27">
        <f t="shared" si="144"/>
        <v>0</v>
      </c>
      <c r="BJ44" s="27"/>
      <c r="BK44" s="27"/>
      <c r="BL44" s="27">
        <v>0</v>
      </c>
      <c r="BM44" s="27"/>
      <c r="BN44" s="27">
        <f t="shared" si="145"/>
        <v>0</v>
      </c>
      <c r="BO44" s="27">
        <f t="shared" si="146"/>
        <v>0</v>
      </c>
      <c r="BP44" s="26"/>
      <c r="BQ44" s="26"/>
      <c r="BR44" s="27">
        <v>0</v>
      </c>
      <c r="BS44" s="27"/>
      <c r="BT44" s="27">
        <f t="shared" si="147"/>
        <v>0</v>
      </c>
      <c r="BU44" s="27">
        <f t="shared" si="148"/>
        <v>0</v>
      </c>
      <c r="BV44" s="26"/>
      <c r="BW44" s="26"/>
      <c r="BX44" s="27">
        <v>0</v>
      </c>
      <c r="BY44" s="26"/>
      <c r="BZ44" s="27">
        <f t="shared" si="149"/>
        <v>0</v>
      </c>
      <c r="CA44" s="27">
        <f t="shared" si="150"/>
        <v>0</v>
      </c>
      <c r="CB44" s="26"/>
      <c r="CC44" s="26"/>
      <c r="CD44" s="27">
        <v>0</v>
      </c>
      <c r="CE44" s="26"/>
      <c r="CF44" s="27">
        <f t="shared" si="151"/>
        <v>0</v>
      </c>
      <c r="CG44" s="27">
        <f t="shared" si="152"/>
        <v>0</v>
      </c>
      <c r="CH44" s="27"/>
      <c r="CI44" s="27"/>
      <c r="CJ44" s="27">
        <v>0</v>
      </c>
      <c r="CK44" s="27"/>
      <c r="CL44" s="27">
        <f t="shared" si="153"/>
        <v>0</v>
      </c>
      <c r="CM44" s="27">
        <f t="shared" si="154"/>
        <v>0</v>
      </c>
      <c r="CN44" s="27"/>
      <c r="CO44" s="27">
        <v>8000</v>
      </c>
      <c r="CP44" s="27">
        <v>0</v>
      </c>
      <c r="CQ44" s="27"/>
      <c r="CR44" s="27">
        <f t="shared" si="155"/>
        <v>0</v>
      </c>
      <c r="CS44" s="27">
        <f t="shared" si="156"/>
        <v>8000</v>
      </c>
      <c r="CT44" s="27"/>
      <c r="CU44" s="27"/>
      <c r="CV44" s="27">
        <v>0</v>
      </c>
      <c r="CW44" s="27">
        <v>1006</v>
      </c>
      <c r="CX44" s="27">
        <f t="shared" si="157"/>
        <v>0</v>
      </c>
      <c r="CY44" s="27">
        <f t="shared" si="158"/>
        <v>1006</v>
      </c>
      <c r="CZ44" s="27"/>
      <c r="DA44" s="27"/>
      <c r="DB44" s="27">
        <v>0</v>
      </c>
      <c r="DC44" s="27"/>
      <c r="DD44" s="27">
        <f t="shared" si="159"/>
        <v>0</v>
      </c>
      <c r="DE44" s="27">
        <f t="shared" si="160"/>
        <v>0</v>
      </c>
      <c r="DF44" s="27">
        <f t="shared" si="161"/>
        <v>0</v>
      </c>
      <c r="DG44" s="27">
        <f t="shared" si="162"/>
        <v>8000</v>
      </c>
      <c r="DH44" s="27">
        <f t="shared" si="163"/>
        <v>0</v>
      </c>
      <c r="DI44" s="27">
        <f t="shared" si="164"/>
        <v>1006</v>
      </c>
      <c r="DJ44" s="27">
        <f t="shared" si="165"/>
        <v>0</v>
      </c>
      <c r="DK44" s="27">
        <f t="shared" si="166"/>
        <v>9006</v>
      </c>
    </row>
    <row r="45" spans="1:115">
      <c r="A45" s="25">
        <v>37</v>
      </c>
      <c r="B45" s="26" t="s">
        <v>1162</v>
      </c>
      <c r="C45" s="26" t="s">
        <v>1364</v>
      </c>
      <c r="D45" s="26" t="s">
        <v>1363</v>
      </c>
      <c r="E45" s="205" t="s">
        <v>1200</v>
      </c>
      <c r="F45" s="161">
        <f t="shared" si="119"/>
        <v>0</v>
      </c>
      <c r="G45" s="165">
        <f t="shared" si="120"/>
        <v>0</v>
      </c>
      <c r="H45" s="27"/>
      <c r="I45" s="27">
        <v>0</v>
      </c>
      <c r="J45" s="27">
        <v>0</v>
      </c>
      <c r="K45" s="127">
        <f t="shared" si="121"/>
        <v>0</v>
      </c>
      <c r="L45" s="127">
        <f t="shared" si="122"/>
        <v>0</v>
      </c>
      <c r="M45" s="127">
        <f t="shared" si="123"/>
        <v>0</v>
      </c>
      <c r="N45" s="131"/>
      <c r="O45" s="125" t="str">
        <f t="shared" si="124"/>
        <v>მიმდინარეობს</v>
      </c>
      <c r="P45" s="27">
        <v>0</v>
      </c>
      <c r="Q45" s="27">
        <v>0</v>
      </c>
      <c r="R45" s="27">
        <f t="shared" si="125"/>
        <v>0</v>
      </c>
      <c r="S45" s="27">
        <f t="shared" si="126"/>
        <v>0</v>
      </c>
      <c r="T45" s="27"/>
      <c r="U45" s="27"/>
      <c r="V45" s="27">
        <v>15</v>
      </c>
      <c r="W45" s="27"/>
      <c r="X45" s="27">
        <f t="shared" si="127"/>
        <v>15</v>
      </c>
      <c r="Y45" s="27">
        <f t="shared" si="128"/>
        <v>0</v>
      </c>
      <c r="Z45" s="27">
        <v>15</v>
      </c>
      <c r="AA45" s="27"/>
      <c r="AB45" s="27"/>
      <c r="AC45" s="27"/>
      <c r="AD45" s="27">
        <f t="shared" si="129"/>
        <v>15</v>
      </c>
      <c r="AE45" s="27">
        <f t="shared" si="130"/>
        <v>0</v>
      </c>
      <c r="AF45" s="27">
        <f t="shared" si="131"/>
        <v>15</v>
      </c>
      <c r="AG45" s="27">
        <f t="shared" si="132"/>
        <v>0</v>
      </c>
      <c r="AH45" s="27">
        <f t="shared" si="133"/>
        <v>15</v>
      </c>
      <c r="AI45" s="27">
        <f t="shared" si="134"/>
        <v>0</v>
      </c>
      <c r="AJ45" s="27">
        <f t="shared" si="135"/>
        <v>30</v>
      </c>
      <c r="AK45" s="27">
        <f t="shared" si="136"/>
        <v>0</v>
      </c>
      <c r="AL45" s="27"/>
      <c r="AM45" s="27"/>
      <c r="AN45" s="27">
        <v>0</v>
      </c>
      <c r="AO45" s="27"/>
      <c r="AP45" s="27">
        <f t="shared" si="137"/>
        <v>0</v>
      </c>
      <c r="AQ45" s="27">
        <f t="shared" si="138"/>
        <v>0</v>
      </c>
      <c r="AR45" s="27"/>
      <c r="AS45" s="27"/>
      <c r="AT45" s="27">
        <v>0</v>
      </c>
      <c r="AU45" s="27"/>
      <c r="AV45" s="27">
        <f t="shared" si="139"/>
        <v>0</v>
      </c>
      <c r="AW45" s="27">
        <f t="shared" si="140"/>
        <v>0</v>
      </c>
      <c r="AX45" s="27"/>
      <c r="AY45" s="27"/>
      <c r="AZ45" s="27">
        <v>0</v>
      </c>
      <c r="BA45" s="27"/>
      <c r="BB45" s="27">
        <f t="shared" si="141"/>
        <v>0</v>
      </c>
      <c r="BC45" s="27">
        <f t="shared" si="142"/>
        <v>0</v>
      </c>
      <c r="BD45" s="27"/>
      <c r="BE45" s="27"/>
      <c r="BF45" s="27">
        <v>0</v>
      </c>
      <c r="BG45" s="27"/>
      <c r="BH45" s="27">
        <f t="shared" si="143"/>
        <v>0</v>
      </c>
      <c r="BI45" s="27">
        <f t="shared" si="144"/>
        <v>0</v>
      </c>
      <c r="BJ45" s="27"/>
      <c r="BK45" s="27"/>
      <c r="BL45" s="27">
        <v>0</v>
      </c>
      <c r="BM45" s="27"/>
      <c r="BN45" s="27">
        <f t="shared" si="145"/>
        <v>0</v>
      </c>
      <c r="BO45" s="27">
        <f t="shared" si="146"/>
        <v>0</v>
      </c>
      <c r="BP45" s="26"/>
      <c r="BQ45" s="26"/>
      <c r="BR45" s="27">
        <v>0</v>
      </c>
      <c r="BS45" s="27"/>
      <c r="BT45" s="27">
        <f t="shared" si="147"/>
        <v>0</v>
      </c>
      <c r="BU45" s="27">
        <f t="shared" si="148"/>
        <v>0</v>
      </c>
      <c r="BV45" s="26"/>
      <c r="BW45" s="26"/>
      <c r="BX45" s="27">
        <v>0</v>
      </c>
      <c r="BY45" s="26"/>
      <c r="BZ45" s="27">
        <f t="shared" si="149"/>
        <v>0</v>
      </c>
      <c r="CA45" s="27">
        <f t="shared" si="150"/>
        <v>0</v>
      </c>
      <c r="CB45" s="26"/>
      <c r="CC45" s="26"/>
      <c r="CD45" s="27">
        <v>0</v>
      </c>
      <c r="CE45" s="26"/>
      <c r="CF45" s="27">
        <f t="shared" si="151"/>
        <v>0</v>
      </c>
      <c r="CG45" s="27">
        <f t="shared" si="152"/>
        <v>0</v>
      </c>
      <c r="CH45" s="27"/>
      <c r="CI45" s="27"/>
      <c r="CJ45" s="27">
        <v>0</v>
      </c>
      <c r="CK45" s="27"/>
      <c r="CL45" s="27">
        <f t="shared" si="153"/>
        <v>0</v>
      </c>
      <c r="CM45" s="27">
        <f t="shared" si="154"/>
        <v>0</v>
      </c>
      <c r="CN45" s="27"/>
      <c r="CO45" s="27"/>
      <c r="CP45" s="27">
        <v>0</v>
      </c>
      <c r="CQ45" s="27"/>
      <c r="CR45" s="27">
        <f t="shared" si="155"/>
        <v>0</v>
      </c>
      <c r="CS45" s="27">
        <f t="shared" si="156"/>
        <v>0</v>
      </c>
      <c r="CT45" s="27"/>
      <c r="CU45" s="27">
        <v>155000</v>
      </c>
      <c r="CV45" s="27">
        <v>0</v>
      </c>
      <c r="CW45" s="27"/>
      <c r="CX45" s="27">
        <f t="shared" si="157"/>
        <v>0</v>
      </c>
      <c r="CY45" s="27">
        <f t="shared" si="158"/>
        <v>155000</v>
      </c>
      <c r="CZ45" s="27"/>
      <c r="DA45" s="27"/>
      <c r="DB45" s="27">
        <v>0</v>
      </c>
      <c r="DC45" s="27"/>
      <c r="DD45" s="27">
        <f t="shared" si="159"/>
        <v>0</v>
      </c>
      <c r="DE45" s="27">
        <f t="shared" si="160"/>
        <v>0</v>
      </c>
      <c r="DF45" s="27">
        <f t="shared" si="161"/>
        <v>0</v>
      </c>
      <c r="DG45" s="27">
        <f t="shared" si="162"/>
        <v>155000</v>
      </c>
      <c r="DH45" s="27">
        <f t="shared" si="163"/>
        <v>0</v>
      </c>
      <c r="DI45" s="27">
        <f t="shared" si="164"/>
        <v>0</v>
      </c>
      <c r="DJ45" s="27">
        <f t="shared" si="165"/>
        <v>0</v>
      </c>
      <c r="DK45" s="27">
        <f t="shared" si="166"/>
        <v>155000</v>
      </c>
    </row>
    <row r="46" spans="1:115">
      <c r="A46" s="25">
        <v>38</v>
      </c>
      <c r="B46" s="26" t="s">
        <v>1162</v>
      </c>
      <c r="C46" s="26"/>
      <c r="D46" s="26" t="s">
        <v>1365</v>
      </c>
      <c r="E46" s="205" t="s">
        <v>1200</v>
      </c>
      <c r="F46" s="161">
        <f t="shared" si="119"/>
        <v>0</v>
      </c>
      <c r="G46" s="165">
        <f t="shared" si="120"/>
        <v>0</v>
      </c>
      <c r="H46" s="27"/>
      <c r="I46" s="27">
        <v>0</v>
      </c>
      <c r="J46" s="27">
        <v>0</v>
      </c>
      <c r="K46" s="127">
        <f t="shared" si="121"/>
        <v>0</v>
      </c>
      <c r="L46" s="127">
        <f t="shared" si="122"/>
        <v>0</v>
      </c>
      <c r="M46" s="127">
        <f t="shared" si="123"/>
        <v>0</v>
      </c>
      <c r="N46" s="131"/>
      <c r="O46" s="125">
        <f t="shared" si="124"/>
        <v>66500</v>
      </c>
      <c r="P46" s="27">
        <v>0</v>
      </c>
      <c r="Q46" s="27">
        <v>0</v>
      </c>
      <c r="R46" s="27">
        <f t="shared" si="125"/>
        <v>0</v>
      </c>
      <c r="S46" s="27">
        <f t="shared" si="126"/>
        <v>0</v>
      </c>
      <c r="T46" s="27"/>
      <c r="U46" s="27"/>
      <c r="V46" s="27">
        <v>16</v>
      </c>
      <c r="W46" s="27"/>
      <c r="X46" s="27">
        <f t="shared" si="127"/>
        <v>16</v>
      </c>
      <c r="Y46" s="27">
        <f t="shared" si="128"/>
        <v>0</v>
      </c>
      <c r="Z46" s="27">
        <v>16</v>
      </c>
      <c r="AA46" s="27"/>
      <c r="AB46" s="27"/>
      <c r="AC46" s="27"/>
      <c r="AD46" s="27">
        <f t="shared" si="129"/>
        <v>16</v>
      </c>
      <c r="AE46" s="27">
        <f t="shared" si="130"/>
        <v>0</v>
      </c>
      <c r="AF46" s="27">
        <f t="shared" si="131"/>
        <v>16</v>
      </c>
      <c r="AG46" s="27">
        <f t="shared" si="132"/>
        <v>0</v>
      </c>
      <c r="AH46" s="27">
        <f t="shared" si="133"/>
        <v>16</v>
      </c>
      <c r="AI46" s="27">
        <f t="shared" si="134"/>
        <v>0</v>
      </c>
      <c r="AJ46" s="27">
        <f t="shared" si="135"/>
        <v>32</v>
      </c>
      <c r="AK46" s="27">
        <f t="shared" si="136"/>
        <v>0</v>
      </c>
      <c r="AL46" s="27"/>
      <c r="AM46" s="27"/>
      <c r="AN46" s="27">
        <v>0</v>
      </c>
      <c r="AO46" s="27"/>
      <c r="AP46" s="27">
        <f t="shared" si="137"/>
        <v>0</v>
      </c>
      <c r="AQ46" s="27">
        <f t="shared" si="138"/>
        <v>0</v>
      </c>
      <c r="AR46" s="27"/>
      <c r="AS46" s="27"/>
      <c r="AT46" s="27">
        <v>0</v>
      </c>
      <c r="AU46" s="27"/>
      <c r="AV46" s="27">
        <f t="shared" si="139"/>
        <v>0</v>
      </c>
      <c r="AW46" s="27">
        <f t="shared" si="140"/>
        <v>0</v>
      </c>
      <c r="AX46" s="27"/>
      <c r="AY46" s="27"/>
      <c r="AZ46" s="27">
        <v>0</v>
      </c>
      <c r="BA46" s="27"/>
      <c r="BB46" s="27">
        <f t="shared" si="141"/>
        <v>0</v>
      </c>
      <c r="BC46" s="27">
        <f t="shared" si="142"/>
        <v>0</v>
      </c>
      <c r="BD46" s="27"/>
      <c r="BE46" s="27"/>
      <c r="BF46" s="27">
        <v>0</v>
      </c>
      <c r="BG46" s="27"/>
      <c r="BH46" s="27">
        <f t="shared" si="143"/>
        <v>0</v>
      </c>
      <c r="BI46" s="27">
        <f t="shared" si="144"/>
        <v>0</v>
      </c>
      <c r="BJ46" s="27"/>
      <c r="BK46" s="27"/>
      <c r="BL46" s="27">
        <v>0</v>
      </c>
      <c r="BM46" s="27"/>
      <c r="BN46" s="27">
        <f t="shared" si="145"/>
        <v>0</v>
      </c>
      <c r="BO46" s="27">
        <f t="shared" si="146"/>
        <v>0</v>
      </c>
      <c r="BP46" s="26"/>
      <c r="BQ46" s="26"/>
      <c r="BR46" s="27">
        <v>0</v>
      </c>
      <c r="BS46" s="27"/>
      <c r="BT46" s="27">
        <f t="shared" si="147"/>
        <v>0</v>
      </c>
      <c r="BU46" s="27">
        <f t="shared" si="148"/>
        <v>0</v>
      </c>
      <c r="BV46" s="26"/>
      <c r="BW46" s="26"/>
      <c r="BX46" s="27">
        <v>0</v>
      </c>
      <c r="BY46" s="26"/>
      <c r="BZ46" s="27">
        <f t="shared" si="149"/>
        <v>0</v>
      </c>
      <c r="CA46" s="27">
        <f t="shared" si="150"/>
        <v>0</v>
      </c>
      <c r="CB46" s="26"/>
      <c r="CC46" s="26"/>
      <c r="CD46" s="27">
        <v>0</v>
      </c>
      <c r="CE46" s="26"/>
      <c r="CF46" s="27">
        <f t="shared" si="151"/>
        <v>0</v>
      </c>
      <c r="CG46" s="27">
        <f t="shared" si="152"/>
        <v>0</v>
      </c>
      <c r="CH46" s="27"/>
      <c r="CI46" s="27"/>
      <c r="CJ46" s="27">
        <v>0</v>
      </c>
      <c r="CK46" s="27"/>
      <c r="CL46" s="27">
        <f t="shared" si="153"/>
        <v>0</v>
      </c>
      <c r="CM46" s="27">
        <f t="shared" si="154"/>
        <v>0</v>
      </c>
      <c r="CN46" s="27"/>
      <c r="CO46" s="27"/>
      <c r="CP46" s="27">
        <v>0</v>
      </c>
      <c r="CQ46" s="27"/>
      <c r="CR46" s="27">
        <f t="shared" si="155"/>
        <v>0</v>
      </c>
      <c r="CS46" s="27">
        <f t="shared" si="156"/>
        <v>0</v>
      </c>
      <c r="CT46" s="27"/>
      <c r="CU46" s="27"/>
      <c r="CV46" s="27">
        <v>0</v>
      </c>
      <c r="CW46" s="27">
        <f>6500+22500+8500+6500+22500</f>
        <v>66500</v>
      </c>
      <c r="CX46" s="27">
        <f t="shared" si="157"/>
        <v>0</v>
      </c>
      <c r="CY46" s="27">
        <f t="shared" si="158"/>
        <v>66500</v>
      </c>
      <c r="CZ46" s="27"/>
      <c r="DA46" s="27"/>
      <c r="DB46" s="27">
        <v>0</v>
      </c>
      <c r="DC46" s="27"/>
      <c r="DD46" s="27">
        <f t="shared" si="159"/>
        <v>0</v>
      </c>
      <c r="DE46" s="27">
        <f t="shared" si="160"/>
        <v>0</v>
      </c>
      <c r="DF46" s="27">
        <f t="shared" si="161"/>
        <v>0</v>
      </c>
      <c r="DG46" s="27">
        <f t="shared" si="162"/>
        <v>0</v>
      </c>
      <c r="DH46" s="27">
        <f t="shared" si="163"/>
        <v>0</v>
      </c>
      <c r="DI46" s="27">
        <f t="shared" si="164"/>
        <v>66500</v>
      </c>
      <c r="DJ46" s="27">
        <f t="shared" si="165"/>
        <v>0</v>
      </c>
      <c r="DK46" s="27">
        <f t="shared" si="166"/>
        <v>66500</v>
      </c>
    </row>
    <row r="47" spans="1:115">
      <c r="A47" s="25">
        <v>39</v>
      </c>
      <c r="B47" s="26" t="s">
        <v>1162</v>
      </c>
      <c r="C47" s="26" t="s">
        <v>886</v>
      </c>
      <c r="D47" s="26" t="s">
        <v>1381</v>
      </c>
      <c r="E47" s="205" t="s">
        <v>1200</v>
      </c>
      <c r="F47" s="161">
        <f t="shared" si="119"/>
        <v>0</v>
      </c>
      <c r="G47" s="165">
        <f t="shared" si="120"/>
        <v>0</v>
      </c>
      <c r="H47" s="27"/>
      <c r="I47" s="27">
        <v>0</v>
      </c>
      <c r="J47" s="27">
        <v>0</v>
      </c>
      <c r="K47" s="127">
        <f t="shared" si="121"/>
        <v>0</v>
      </c>
      <c r="L47" s="127">
        <f t="shared" si="122"/>
        <v>0</v>
      </c>
      <c r="M47" s="127">
        <f t="shared" si="123"/>
        <v>0</v>
      </c>
      <c r="N47" s="131"/>
      <c r="O47" s="125" t="str">
        <f t="shared" si="124"/>
        <v>მიმდინარეობს</v>
      </c>
      <c r="P47" s="27">
        <v>0</v>
      </c>
      <c r="Q47" s="27">
        <v>0</v>
      </c>
      <c r="R47" s="27">
        <f t="shared" si="125"/>
        <v>0</v>
      </c>
      <c r="S47" s="27">
        <f t="shared" si="126"/>
        <v>0</v>
      </c>
      <c r="T47" s="27"/>
      <c r="U47" s="27"/>
      <c r="V47" s="27">
        <v>17</v>
      </c>
      <c r="W47" s="27"/>
      <c r="X47" s="27">
        <f t="shared" si="127"/>
        <v>17</v>
      </c>
      <c r="Y47" s="27">
        <f t="shared" si="128"/>
        <v>0</v>
      </c>
      <c r="Z47" s="27">
        <v>17</v>
      </c>
      <c r="AA47" s="27"/>
      <c r="AB47" s="27"/>
      <c r="AC47" s="27"/>
      <c r="AD47" s="27">
        <f t="shared" si="129"/>
        <v>17</v>
      </c>
      <c r="AE47" s="27">
        <f t="shared" si="130"/>
        <v>0</v>
      </c>
      <c r="AF47" s="27">
        <f t="shared" si="131"/>
        <v>17</v>
      </c>
      <c r="AG47" s="27">
        <f t="shared" si="132"/>
        <v>0</v>
      </c>
      <c r="AH47" s="27">
        <f t="shared" si="133"/>
        <v>17</v>
      </c>
      <c r="AI47" s="27">
        <f t="shared" si="134"/>
        <v>0</v>
      </c>
      <c r="AJ47" s="27">
        <f t="shared" si="135"/>
        <v>34</v>
      </c>
      <c r="AK47" s="27">
        <f t="shared" si="136"/>
        <v>0</v>
      </c>
      <c r="AL47" s="27"/>
      <c r="AM47" s="27"/>
      <c r="AN47" s="27">
        <v>0</v>
      </c>
      <c r="AO47" s="27"/>
      <c r="AP47" s="27">
        <f t="shared" si="137"/>
        <v>0</v>
      </c>
      <c r="AQ47" s="27">
        <f t="shared" si="138"/>
        <v>0</v>
      </c>
      <c r="AR47" s="27"/>
      <c r="AS47" s="27"/>
      <c r="AT47" s="27">
        <v>0</v>
      </c>
      <c r="AU47" s="27"/>
      <c r="AV47" s="27">
        <f t="shared" si="139"/>
        <v>0</v>
      </c>
      <c r="AW47" s="27">
        <f t="shared" si="140"/>
        <v>0</v>
      </c>
      <c r="AX47" s="27"/>
      <c r="AY47" s="27"/>
      <c r="AZ47" s="27">
        <v>0</v>
      </c>
      <c r="BA47" s="27"/>
      <c r="BB47" s="27">
        <f t="shared" si="141"/>
        <v>0</v>
      </c>
      <c r="BC47" s="27">
        <f t="shared" si="142"/>
        <v>0</v>
      </c>
      <c r="BD47" s="27"/>
      <c r="BE47" s="27"/>
      <c r="BF47" s="27">
        <v>0</v>
      </c>
      <c r="BG47" s="27"/>
      <c r="BH47" s="27">
        <f t="shared" si="143"/>
        <v>0</v>
      </c>
      <c r="BI47" s="27">
        <f t="shared" si="144"/>
        <v>0</v>
      </c>
      <c r="BJ47" s="27"/>
      <c r="BK47" s="27"/>
      <c r="BL47" s="27">
        <v>0</v>
      </c>
      <c r="BM47" s="27"/>
      <c r="BN47" s="27">
        <f t="shared" si="145"/>
        <v>0</v>
      </c>
      <c r="BO47" s="27">
        <f t="shared" si="146"/>
        <v>0</v>
      </c>
      <c r="BP47" s="26"/>
      <c r="BQ47" s="26"/>
      <c r="BR47" s="27">
        <v>0</v>
      </c>
      <c r="BS47" s="27"/>
      <c r="BT47" s="27">
        <f t="shared" si="147"/>
        <v>0</v>
      </c>
      <c r="BU47" s="27">
        <f t="shared" si="148"/>
        <v>0</v>
      </c>
      <c r="BV47" s="26"/>
      <c r="BW47" s="26"/>
      <c r="BX47" s="27">
        <v>0</v>
      </c>
      <c r="BY47" s="26"/>
      <c r="BZ47" s="27">
        <f t="shared" si="149"/>
        <v>0</v>
      </c>
      <c r="CA47" s="27">
        <f t="shared" si="150"/>
        <v>0</v>
      </c>
      <c r="CB47" s="26"/>
      <c r="CC47" s="26"/>
      <c r="CD47" s="27">
        <v>0</v>
      </c>
      <c r="CE47" s="26"/>
      <c r="CF47" s="27">
        <f t="shared" si="151"/>
        <v>0</v>
      </c>
      <c r="CG47" s="27">
        <f t="shared" si="152"/>
        <v>0</v>
      </c>
      <c r="CH47" s="27"/>
      <c r="CI47" s="27"/>
      <c r="CJ47" s="27">
        <v>0</v>
      </c>
      <c r="CK47" s="27"/>
      <c r="CL47" s="27">
        <f t="shared" si="153"/>
        <v>0</v>
      </c>
      <c r="CM47" s="27">
        <f t="shared" si="154"/>
        <v>0</v>
      </c>
      <c r="CN47" s="27"/>
      <c r="CO47" s="27"/>
      <c r="CP47" s="27">
        <v>0</v>
      </c>
      <c r="CQ47" s="27"/>
      <c r="CR47" s="27">
        <f t="shared" si="155"/>
        <v>0</v>
      </c>
      <c r="CS47" s="27">
        <f t="shared" si="156"/>
        <v>0</v>
      </c>
      <c r="CT47" s="27"/>
      <c r="CU47" s="27">
        <v>22000</v>
      </c>
      <c r="CV47" s="27">
        <v>0</v>
      </c>
      <c r="CW47" s="27"/>
      <c r="CX47" s="27">
        <f t="shared" si="157"/>
        <v>0</v>
      </c>
      <c r="CY47" s="27">
        <f t="shared" si="158"/>
        <v>22000</v>
      </c>
      <c r="CZ47" s="27"/>
      <c r="DA47" s="27"/>
      <c r="DB47" s="27">
        <v>0</v>
      </c>
      <c r="DC47" s="27"/>
      <c r="DD47" s="27">
        <f t="shared" si="159"/>
        <v>0</v>
      </c>
      <c r="DE47" s="27">
        <f t="shared" si="160"/>
        <v>0</v>
      </c>
      <c r="DF47" s="27">
        <f t="shared" si="161"/>
        <v>0</v>
      </c>
      <c r="DG47" s="27">
        <f t="shared" si="162"/>
        <v>22000</v>
      </c>
      <c r="DH47" s="27">
        <f t="shared" si="163"/>
        <v>0</v>
      </c>
      <c r="DI47" s="27">
        <f t="shared" si="164"/>
        <v>0</v>
      </c>
      <c r="DJ47" s="27">
        <f t="shared" si="165"/>
        <v>0</v>
      </c>
      <c r="DK47" s="27">
        <f t="shared" si="166"/>
        <v>22000</v>
      </c>
    </row>
    <row r="48" spans="1:115">
      <c r="A48" s="25">
        <v>40</v>
      </c>
      <c r="B48" s="26" t="s">
        <v>1162</v>
      </c>
      <c r="C48" s="26" t="s">
        <v>886</v>
      </c>
      <c r="D48" s="26" t="s">
        <v>1382</v>
      </c>
      <c r="E48" s="205" t="s">
        <v>1200</v>
      </c>
      <c r="F48" s="161">
        <f t="shared" si="119"/>
        <v>0</v>
      </c>
      <c r="G48" s="165">
        <f t="shared" si="120"/>
        <v>0</v>
      </c>
      <c r="H48" s="27"/>
      <c r="I48" s="27">
        <v>0</v>
      </c>
      <c r="J48" s="27">
        <v>0</v>
      </c>
      <c r="K48" s="127">
        <f t="shared" si="121"/>
        <v>0</v>
      </c>
      <c r="L48" s="127">
        <f t="shared" si="122"/>
        <v>0</v>
      </c>
      <c r="M48" s="127">
        <f t="shared" si="123"/>
        <v>0</v>
      </c>
      <c r="N48" s="131"/>
      <c r="O48" s="125" t="str">
        <f t="shared" si="124"/>
        <v>მიმდინარეობს</v>
      </c>
      <c r="P48" s="27">
        <v>0</v>
      </c>
      <c r="Q48" s="27">
        <v>0</v>
      </c>
      <c r="R48" s="27">
        <f t="shared" si="125"/>
        <v>0</v>
      </c>
      <c r="S48" s="27">
        <f t="shared" si="126"/>
        <v>0</v>
      </c>
      <c r="T48" s="27"/>
      <c r="U48" s="27"/>
      <c r="V48" s="27">
        <v>18</v>
      </c>
      <c r="W48" s="27"/>
      <c r="X48" s="27">
        <f t="shared" si="127"/>
        <v>18</v>
      </c>
      <c r="Y48" s="27">
        <f t="shared" si="128"/>
        <v>0</v>
      </c>
      <c r="Z48" s="27">
        <v>18</v>
      </c>
      <c r="AA48" s="27"/>
      <c r="AB48" s="27"/>
      <c r="AC48" s="27"/>
      <c r="AD48" s="27">
        <f t="shared" si="129"/>
        <v>18</v>
      </c>
      <c r="AE48" s="27">
        <f t="shared" si="130"/>
        <v>0</v>
      </c>
      <c r="AF48" s="27">
        <f t="shared" si="131"/>
        <v>18</v>
      </c>
      <c r="AG48" s="27">
        <f t="shared" si="132"/>
        <v>0</v>
      </c>
      <c r="AH48" s="27">
        <f t="shared" si="133"/>
        <v>18</v>
      </c>
      <c r="AI48" s="27">
        <f t="shared" si="134"/>
        <v>0</v>
      </c>
      <c r="AJ48" s="27">
        <f t="shared" si="135"/>
        <v>36</v>
      </c>
      <c r="AK48" s="27">
        <f t="shared" si="136"/>
        <v>0</v>
      </c>
      <c r="AL48" s="27"/>
      <c r="AM48" s="27"/>
      <c r="AN48" s="27">
        <v>0</v>
      </c>
      <c r="AO48" s="27"/>
      <c r="AP48" s="27">
        <f t="shared" si="137"/>
        <v>0</v>
      </c>
      <c r="AQ48" s="27">
        <f t="shared" si="138"/>
        <v>0</v>
      </c>
      <c r="AR48" s="27"/>
      <c r="AS48" s="27"/>
      <c r="AT48" s="27">
        <v>0</v>
      </c>
      <c r="AU48" s="27"/>
      <c r="AV48" s="27">
        <f t="shared" si="139"/>
        <v>0</v>
      </c>
      <c r="AW48" s="27">
        <f t="shared" si="140"/>
        <v>0</v>
      </c>
      <c r="AX48" s="27"/>
      <c r="AY48" s="27"/>
      <c r="AZ48" s="27">
        <v>0</v>
      </c>
      <c r="BA48" s="27"/>
      <c r="BB48" s="27">
        <f t="shared" si="141"/>
        <v>0</v>
      </c>
      <c r="BC48" s="27">
        <f t="shared" si="142"/>
        <v>0</v>
      </c>
      <c r="BD48" s="27"/>
      <c r="BE48" s="27"/>
      <c r="BF48" s="27">
        <v>0</v>
      </c>
      <c r="BG48" s="27"/>
      <c r="BH48" s="27">
        <f t="shared" si="143"/>
        <v>0</v>
      </c>
      <c r="BI48" s="27">
        <f t="shared" si="144"/>
        <v>0</v>
      </c>
      <c r="BJ48" s="27"/>
      <c r="BK48" s="27"/>
      <c r="BL48" s="27">
        <v>0</v>
      </c>
      <c r="BM48" s="27"/>
      <c r="BN48" s="27">
        <f t="shared" si="145"/>
        <v>0</v>
      </c>
      <c r="BO48" s="27">
        <f t="shared" si="146"/>
        <v>0</v>
      </c>
      <c r="BP48" s="26"/>
      <c r="BQ48" s="26"/>
      <c r="BR48" s="27">
        <v>0</v>
      </c>
      <c r="BS48" s="27"/>
      <c r="BT48" s="27">
        <f t="shared" si="147"/>
        <v>0</v>
      </c>
      <c r="BU48" s="27">
        <f t="shared" si="148"/>
        <v>0</v>
      </c>
      <c r="BV48" s="26"/>
      <c r="BW48" s="26"/>
      <c r="BX48" s="27">
        <v>0</v>
      </c>
      <c r="BY48" s="26"/>
      <c r="BZ48" s="27">
        <f t="shared" si="149"/>
        <v>0</v>
      </c>
      <c r="CA48" s="27">
        <f t="shared" si="150"/>
        <v>0</v>
      </c>
      <c r="CB48" s="26"/>
      <c r="CC48" s="26"/>
      <c r="CD48" s="27">
        <v>0</v>
      </c>
      <c r="CE48" s="26"/>
      <c r="CF48" s="27">
        <f t="shared" si="151"/>
        <v>0</v>
      </c>
      <c r="CG48" s="27">
        <f t="shared" si="152"/>
        <v>0</v>
      </c>
      <c r="CH48" s="27"/>
      <c r="CI48" s="27"/>
      <c r="CJ48" s="27">
        <v>0</v>
      </c>
      <c r="CK48" s="27"/>
      <c r="CL48" s="27">
        <f t="shared" si="153"/>
        <v>0</v>
      </c>
      <c r="CM48" s="27">
        <f t="shared" si="154"/>
        <v>0</v>
      </c>
      <c r="CN48" s="27"/>
      <c r="CO48" s="27"/>
      <c r="CP48" s="27">
        <v>0</v>
      </c>
      <c r="CQ48" s="27"/>
      <c r="CR48" s="27">
        <f t="shared" si="155"/>
        <v>0</v>
      </c>
      <c r="CS48" s="27">
        <f t="shared" si="156"/>
        <v>0</v>
      </c>
      <c r="CT48" s="27"/>
      <c r="CU48" s="27">
        <v>8000</v>
      </c>
      <c r="CV48" s="27">
        <v>0</v>
      </c>
      <c r="CW48" s="27"/>
      <c r="CX48" s="27">
        <f t="shared" si="157"/>
        <v>0</v>
      </c>
      <c r="CY48" s="27">
        <f t="shared" si="158"/>
        <v>8000</v>
      </c>
      <c r="CZ48" s="27"/>
      <c r="DA48" s="27"/>
      <c r="DB48" s="27">
        <v>0</v>
      </c>
      <c r="DC48" s="27"/>
      <c r="DD48" s="27">
        <f t="shared" si="159"/>
        <v>0</v>
      </c>
      <c r="DE48" s="27">
        <f t="shared" si="160"/>
        <v>0</v>
      </c>
      <c r="DF48" s="27">
        <f t="shared" si="161"/>
        <v>0</v>
      </c>
      <c r="DG48" s="27">
        <f t="shared" si="162"/>
        <v>8000</v>
      </c>
      <c r="DH48" s="27">
        <f t="shared" si="163"/>
        <v>0</v>
      </c>
      <c r="DI48" s="27">
        <f t="shared" si="164"/>
        <v>0</v>
      </c>
      <c r="DJ48" s="27">
        <f t="shared" si="165"/>
        <v>0</v>
      </c>
      <c r="DK48" s="27">
        <f t="shared" si="166"/>
        <v>8000</v>
      </c>
    </row>
    <row r="49" spans="1:115">
      <c r="A49" s="25">
        <v>41</v>
      </c>
      <c r="B49" s="26" t="s">
        <v>1162</v>
      </c>
      <c r="C49" s="26" t="s">
        <v>886</v>
      </c>
      <c r="D49" s="26" t="s">
        <v>1383</v>
      </c>
      <c r="E49" s="205" t="s">
        <v>1200</v>
      </c>
      <c r="F49" s="161">
        <f t="shared" si="119"/>
        <v>0</v>
      </c>
      <c r="G49" s="165">
        <f t="shared" si="120"/>
        <v>0</v>
      </c>
      <c r="H49" s="27"/>
      <c r="I49" s="27">
        <v>0</v>
      </c>
      <c r="J49" s="27">
        <v>0</v>
      </c>
      <c r="K49" s="127">
        <f t="shared" si="121"/>
        <v>0</v>
      </c>
      <c r="L49" s="127">
        <f t="shared" si="122"/>
        <v>0</v>
      </c>
      <c r="M49" s="127">
        <f t="shared" si="123"/>
        <v>0</v>
      </c>
      <c r="N49" s="131"/>
      <c r="O49" s="125" t="str">
        <f t="shared" si="124"/>
        <v>მიმდინარეობს</v>
      </c>
      <c r="P49" s="27">
        <v>0</v>
      </c>
      <c r="Q49" s="27">
        <v>0</v>
      </c>
      <c r="R49" s="27">
        <f t="shared" si="125"/>
        <v>0</v>
      </c>
      <c r="S49" s="27">
        <f t="shared" si="126"/>
        <v>0</v>
      </c>
      <c r="T49" s="27"/>
      <c r="U49" s="27"/>
      <c r="V49" s="27">
        <v>19</v>
      </c>
      <c r="W49" s="27"/>
      <c r="X49" s="27">
        <f t="shared" si="127"/>
        <v>19</v>
      </c>
      <c r="Y49" s="27">
        <f t="shared" si="128"/>
        <v>0</v>
      </c>
      <c r="Z49" s="27">
        <v>19</v>
      </c>
      <c r="AA49" s="27"/>
      <c r="AB49" s="27"/>
      <c r="AC49" s="27"/>
      <c r="AD49" s="27">
        <f t="shared" si="129"/>
        <v>19</v>
      </c>
      <c r="AE49" s="27">
        <f t="shared" si="130"/>
        <v>0</v>
      </c>
      <c r="AF49" s="27">
        <f t="shared" si="131"/>
        <v>19</v>
      </c>
      <c r="AG49" s="27">
        <f t="shared" si="132"/>
        <v>0</v>
      </c>
      <c r="AH49" s="27">
        <f t="shared" si="133"/>
        <v>19</v>
      </c>
      <c r="AI49" s="27">
        <f t="shared" si="134"/>
        <v>0</v>
      </c>
      <c r="AJ49" s="27">
        <f t="shared" si="135"/>
        <v>38</v>
      </c>
      <c r="AK49" s="27">
        <f t="shared" si="136"/>
        <v>0</v>
      </c>
      <c r="AL49" s="27"/>
      <c r="AM49" s="27"/>
      <c r="AN49" s="27">
        <v>0</v>
      </c>
      <c r="AO49" s="27"/>
      <c r="AP49" s="27">
        <f t="shared" si="137"/>
        <v>0</v>
      </c>
      <c r="AQ49" s="27">
        <f t="shared" si="138"/>
        <v>0</v>
      </c>
      <c r="AR49" s="27"/>
      <c r="AS49" s="27"/>
      <c r="AT49" s="27">
        <v>0</v>
      </c>
      <c r="AU49" s="27"/>
      <c r="AV49" s="27">
        <f t="shared" si="139"/>
        <v>0</v>
      </c>
      <c r="AW49" s="27">
        <f t="shared" si="140"/>
        <v>0</v>
      </c>
      <c r="AX49" s="27"/>
      <c r="AY49" s="27"/>
      <c r="AZ49" s="27">
        <v>0</v>
      </c>
      <c r="BA49" s="27"/>
      <c r="BB49" s="27">
        <f t="shared" si="141"/>
        <v>0</v>
      </c>
      <c r="BC49" s="27">
        <f t="shared" si="142"/>
        <v>0</v>
      </c>
      <c r="BD49" s="27"/>
      <c r="BE49" s="27"/>
      <c r="BF49" s="27">
        <v>0</v>
      </c>
      <c r="BG49" s="27"/>
      <c r="BH49" s="27">
        <f t="shared" si="143"/>
        <v>0</v>
      </c>
      <c r="BI49" s="27">
        <f t="shared" si="144"/>
        <v>0</v>
      </c>
      <c r="BJ49" s="27"/>
      <c r="BK49" s="27"/>
      <c r="BL49" s="27">
        <v>0</v>
      </c>
      <c r="BM49" s="27"/>
      <c r="BN49" s="27">
        <f t="shared" si="145"/>
        <v>0</v>
      </c>
      <c r="BO49" s="27">
        <f t="shared" si="146"/>
        <v>0</v>
      </c>
      <c r="BP49" s="26"/>
      <c r="BQ49" s="26"/>
      <c r="BR49" s="27">
        <v>0</v>
      </c>
      <c r="BS49" s="27"/>
      <c r="BT49" s="27">
        <f t="shared" si="147"/>
        <v>0</v>
      </c>
      <c r="BU49" s="27">
        <f t="shared" si="148"/>
        <v>0</v>
      </c>
      <c r="BV49" s="26"/>
      <c r="BW49" s="26"/>
      <c r="BX49" s="27">
        <v>0</v>
      </c>
      <c r="BY49" s="26"/>
      <c r="BZ49" s="27">
        <f t="shared" si="149"/>
        <v>0</v>
      </c>
      <c r="CA49" s="27">
        <f t="shared" si="150"/>
        <v>0</v>
      </c>
      <c r="CB49" s="26"/>
      <c r="CC49" s="26"/>
      <c r="CD49" s="27">
        <v>0</v>
      </c>
      <c r="CE49" s="26"/>
      <c r="CF49" s="27">
        <f t="shared" si="151"/>
        <v>0</v>
      </c>
      <c r="CG49" s="27">
        <f t="shared" si="152"/>
        <v>0</v>
      </c>
      <c r="CH49" s="27"/>
      <c r="CI49" s="27"/>
      <c r="CJ49" s="27">
        <v>0</v>
      </c>
      <c r="CK49" s="27"/>
      <c r="CL49" s="27">
        <f t="shared" si="153"/>
        <v>0</v>
      </c>
      <c r="CM49" s="27">
        <f t="shared" si="154"/>
        <v>0</v>
      </c>
      <c r="CN49" s="27"/>
      <c r="CO49" s="27"/>
      <c r="CP49" s="27">
        <v>0</v>
      </c>
      <c r="CQ49" s="27"/>
      <c r="CR49" s="27">
        <f t="shared" si="155"/>
        <v>0</v>
      </c>
      <c r="CS49" s="27">
        <f t="shared" si="156"/>
        <v>0</v>
      </c>
      <c r="CT49" s="27"/>
      <c r="CU49" s="27">
        <v>6000</v>
      </c>
      <c r="CV49" s="27">
        <v>0</v>
      </c>
      <c r="CW49" s="27"/>
      <c r="CX49" s="27">
        <f t="shared" si="157"/>
        <v>0</v>
      </c>
      <c r="CY49" s="27">
        <f t="shared" si="158"/>
        <v>6000</v>
      </c>
      <c r="CZ49" s="27"/>
      <c r="DA49" s="27"/>
      <c r="DB49" s="27">
        <v>0</v>
      </c>
      <c r="DC49" s="27"/>
      <c r="DD49" s="27">
        <f t="shared" si="159"/>
        <v>0</v>
      </c>
      <c r="DE49" s="27">
        <f t="shared" si="160"/>
        <v>0</v>
      </c>
      <c r="DF49" s="27">
        <f t="shared" si="161"/>
        <v>0</v>
      </c>
      <c r="DG49" s="27">
        <f t="shared" si="162"/>
        <v>6000</v>
      </c>
      <c r="DH49" s="27">
        <f t="shared" si="163"/>
        <v>0</v>
      </c>
      <c r="DI49" s="27">
        <f t="shared" si="164"/>
        <v>0</v>
      </c>
      <c r="DJ49" s="27">
        <f t="shared" si="165"/>
        <v>0</v>
      </c>
      <c r="DK49" s="27">
        <f t="shared" si="166"/>
        <v>6000</v>
      </c>
    </row>
    <row r="50" spans="1:115">
      <c r="A50" s="25">
        <v>42</v>
      </c>
      <c r="B50" s="26" t="s">
        <v>1162</v>
      </c>
      <c r="C50" s="26" t="s">
        <v>886</v>
      </c>
      <c r="D50" s="26" t="s">
        <v>1384</v>
      </c>
      <c r="E50" s="205" t="s">
        <v>1200</v>
      </c>
      <c r="F50" s="161">
        <f t="shared" si="119"/>
        <v>0</v>
      </c>
      <c r="G50" s="165">
        <f t="shared" si="120"/>
        <v>0</v>
      </c>
      <c r="H50" s="27"/>
      <c r="I50" s="27">
        <v>0</v>
      </c>
      <c r="J50" s="27">
        <v>0</v>
      </c>
      <c r="K50" s="127">
        <f t="shared" si="121"/>
        <v>0</v>
      </c>
      <c r="L50" s="127">
        <f t="shared" si="122"/>
        <v>0</v>
      </c>
      <c r="M50" s="127">
        <f t="shared" si="123"/>
        <v>0</v>
      </c>
      <c r="N50" s="131"/>
      <c r="O50" s="125" t="str">
        <f t="shared" si="124"/>
        <v>მიმდინარეობს</v>
      </c>
      <c r="P50" s="27">
        <v>0</v>
      </c>
      <c r="Q50" s="27">
        <v>0</v>
      </c>
      <c r="R50" s="27">
        <f t="shared" si="125"/>
        <v>0</v>
      </c>
      <c r="S50" s="27">
        <f t="shared" si="126"/>
        <v>0</v>
      </c>
      <c r="T50" s="27"/>
      <c r="U50" s="27"/>
      <c r="V50" s="27">
        <v>20</v>
      </c>
      <c r="W50" s="27"/>
      <c r="X50" s="27">
        <f t="shared" si="127"/>
        <v>20</v>
      </c>
      <c r="Y50" s="27">
        <f t="shared" si="128"/>
        <v>0</v>
      </c>
      <c r="Z50" s="27">
        <v>20</v>
      </c>
      <c r="AA50" s="27"/>
      <c r="AB50" s="27"/>
      <c r="AC50" s="27"/>
      <c r="AD50" s="27">
        <f t="shared" si="129"/>
        <v>20</v>
      </c>
      <c r="AE50" s="27">
        <f t="shared" si="130"/>
        <v>0</v>
      </c>
      <c r="AF50" s="27">
        <f t="shared" si="131"/>
        <v>20</v>
      </c>
      <c r="AG50" s="27">
        <f t="shared" si="132"/>
        <v>0</v>
      </c>
      <c r="AH50" s="27">
        <f t="shared" si="133"/>
        <v>20</v>
      </c>
      <c r="AI50" s="27">
        <f t="shared" si="134"/>
        <v>0</v>
      </c>
      <c r="AJ50" s="27">
        <f t="shared" si="135"/>
        <v>40</v>
      </c>
      <c r="AK50" s="27">
        <f t="shared" si="136"/>
        <v>0</v>
      </c>
      <c r="AL50" s="27"/>
      <c r="AM50" s="27"/>
      <c r="AN50" s="27">
        <v>0</v>
      </c>
      <c r="AO50" s="27"/>
      <c r="AP50" s="27">
        <f t="shared" si="137"/>
        <v>0</v>
      </c>
      <c r="AQ50" s="27">
        <f t="shared" si="138"/>
        <v>0</v>
      </c>
      <c r="AR50" s="27"/>
      <c r="AS50" s="27"/>
      <c r="AT50" s="27">
        <v>0</v>
      </c>
      <c r="AU50" s="27"/>
      <c r="AV50" s="27">
        <f t="shared" si="139"/>
        <v>0</v>
      </c>
      <c r="AW50" s="27">
        <f t="shared" si="140"/>
        <v>0</v>
      </c>
      <c r="AX50" s="27"/>
      <c r="AY50" s="27"/>
      <c r="AZ50" s="27">
        <v>0</v>
      </c>
      <c r="BA50" s="27"/>
      <c r="BB50" s="27">
        <f t="shared" si="141"/>
        <v>0</v>
      </c>
      <c r="BC50" s="27">
        <f t="shared" si="142"/>
        <v>0</v>
      </c>
      <c r="BD50" s="27"/>
      <c r="BE50" s="27"/>
      <c r="BF50" s="27">
        <v>0</v>
      </c>
      <c r="BG50" s="27"/>
      <c r="BH50" s="27">
        <f t="shared" si="143"/>
        <v>0</v>
      </c>
      <c r="BI50" s="27">
        <f t="shared" si="144"/>
        <v>0</v>
      </c>
      <c r="BJ50" s="27"/>
      <c r="BK50" s="27"/>
      <c r="BL50" s="27">
        <v>0</v>
      </c>
      <c r="BM50" s="27"/>
      <c r="BN50" s="27">
        <f t="shared" si="145"/>
        <v>0</v>
      </c>
      <c r="BO50" s="27">
        <f t="shared" si="146"/>
        <v>0</v>
      </c>
      <c r="BP50" s="26"/>
      <c r="BQ50" s="26"/>
      <c r="BR50" s="27">
        <v>0</v>
      </c>
      <c r="BS50" s="27"/>
      <c r="BT50" s="27">
        <f t="shared" si="147"/>
        <v>0</v>
      </c>
      <c r="BU50" s="27">
        <f t="shared" si="148"/>
        <v>0</v>
      </c>
      <c r="BV50" s="26"/>
      <c r="BW50" s="26"/>
      <c r="BX50" s="27">
        <v>0</v>
      </c>
      <c r="BY50" s="26"/>
      <c r="BZ50" s="27">
        <f t="shared" si="149"/>
        <v>0</v>
      </c>
      <c r="CA50" s="27">
        <f t="shared" si="150"/>
        <v>0</v>
      </c>
      <c r="CB50" s="26"/>
      <c r="CC50" s="26"/>
      <c r="CD50" s="27">
        <v>0</v>
      </c>
      <c r="CE50" s="26"/>
      <c r="CF50" s="27">
        <f t="shared" si="151"/>
        <v>0</v>
      </c>
      <c r="CG50" s="27">
        <f t="shared" si="152"/>
        <v>0</v>
      </c>
      <c r="CH50" s="27"/>
      <c r="CI50" s="27"/>
      <c r="CJ50" s="27">
        <v>0</v>
      </c>
      <c r="CK50" s="27"/>
      <c r="CL50" s="27">
        <f t="shared" si="153"/>
        <v>0</v>
      </c>
      <c r="CM50" s="27">
        <f t="shared" si="154"/>
        <v>0</v>
      </c>
      <c r="CN50" s="27"/>
      <c r="CO50" s="27"/>
      <c r="CP50" s="27">
        <v>0</v>
      </c>
      <c r="CQ50" s="27"/>
      <c r="CR50" s="27">
        <f t="shared" si="155"/>
        <v>0</v>
      </c>
      <c r="CS50" s="27">
        <f t="shared" si="156"/>
        <v>0</v>
      </c>
      <c r="CT50" s="27"/>
      <c r="CU50" s="27">
        <v>6000</v>
      </c>
      <c r="CV50" s="27">
        <v>0</v>
      </c>
      <c r="CW50" s="27"/>
      <c r="CX50" s="27">
        <f t="shared" si="157"/>
        <v>0</v>
      </c>
      <c r="CY50" s="27">
        <f t="shared" si="158"/>
        <v>6000</v>
      </c>
      <c r="CZ50" s="27"/>
      <c r="DA50" s="27"/>
      <c r="DB50" s="27">
        <v>0</v>
      </c>
      <c r="DC50" s="27"/>
      <c r="DD50" s="27">
        <f t="shared" si="159"/>
        <v>0</v>
      </c>
      <c r="DE50" s="27">
        <f t="shared" si="160"/>
        <v>0</v>
      </c>
      <c r="DF50" s="27">
        <f t="shared" si="161"/>
        <v>0</v>
      </c>
      <c r="DG50" s="27">
        <f t="shared" si="162"/>
        <v>6000</v>
      </c>
      <c r="DH50" s="27">
        <f t="shared" si="163"/>
        <v>0</v>
      </c>
      <c r="DI50" s="27">
        <f t="shared" si="164"/>
        <v>0</v>
      </c>
      <c r="DJ50" s="27">
        <f t="shared" si="165"/>
        <v>0</v>
      </c>
      <c r="DK50" s="27">
        <f t="shared" si="166"/>
        <v>6000</v>
      </c>
    </row>
    <row r="51" spans="1:115">
      <c r="A51" s="25">
        <v>43</v>
      </c>
      <c r="B51" s="26" t="s">
        <v>1162</v>
      </c>
      <c r="C51" s="26" t="s">
        <v>886</v>
      </c>
      <c r="D51" s="26" t="s">
        <v>1385</v>
      </c>
      <c r="E51" s="205" t="s">
        <v>1200</v>
      </c>
      <c r="F51" s="161">
        <f t="shared" si="119"/>
        <v>0</v>
      </c>
      <c r="G51" s="165">
        <f t="shared" si="120"/>
        <v>0</v>
      </c>
      <c r="H51" s="27"/>
      <c r="I51" s="27">
        <v>0</v>
      </c>
      <c r="J51" s="27">
        <v>0</v>
      </c>
      <c r="K51" s="127">
        <f t="shared" si="121"/>
        <v>0</v>
      </c>
      <c r="L51" s="127">
        <f t="shared" si="122"/>
        <v>0</v>
      </c>
      <c r="M51" s="127">
        <f t="shared" si="123"/>
        <v>0</v>
      </c>
      <c r="N51" s="131"/>
      <c r="O51" s="125" t="str">
        <f t="shared" si="124"/>
        <v>მიმდინარეობს</v>
      </c>
      <c r="P51" s="27">
        <v>0</v>
      </c>
      <c r="Q51" s="27">
        <v>0</v>
      </c>
      <c r="R51" s="27">
        <f t="shared" si="125"/>
        <v>0</v>
      </c>
      <c r="S51" s="27">
        <f t="shared" si="126"/>
        <v>0</v>
      </c>
      <c r="T51" s="27"/>
      <c r="U51" s="27"/>
      <c r="V51" s="27">
        <v>21</v>
      </c>
      <c r="W51" s="27"/>
      <c r="X51" s="27">
        <f t="shared" si="127"/>
        <v>21</v>
      </c>
      <c r="Y51" s="27">
        <f t="shared" si="128"/>
        <v>0</v>
      </c>
      <c r="Z51" s="27">
        <v>21</v>
      </c>
      <c r="AA51" s="27"/>
      <c r="AB51" s="27"/>
      <c r="AC51" s="27"/>
      <c r="AD51" s="27">
        <f t="shared" si="129"/>
        <v>21</v>
      </c>
      <c r="AE51" s="27">
        <f t="shared" si="130"/>
        <v>0</v>
      </c>
      <c r="AF51" s="27">
        <f t="shared" si="131"/>
        <v>21</v>
      </c>
      <c r="AG51" s="27">
        <f t="shared" si="132"/>
        <v>0</v>
      </c>
      <c r="AH51" s="27">
        <f t="shared" si="133"/>
        <v>21</v>
      </c>
      <c r="AI51" s="27">
        <f t="shared" si="134"/>
        <v>0</v>
      </c>
      <c r="AJ51" s="27">
        <f t="shared" si="135"/>
        <v>42</v>
      </c>
      <c r="AK51" s="27">
        <f t="shared" si="136"/>
        <v>0</v>
      </c>
      <c r="AL51" s="27"/>
      <c r="AM51" s="27"/>
      <c r="AN51" s="27">
        <v>0</v>
      </c>
      <c r="AO51" s="27"/>
      <c r="AP51" s="27">
        <f t="shared" si="137"/>
        <v>0</v>
      </c>
      <c r="AQ51" s="27">
        <f t="shared" si="138"/>
        <v>0</v>
      </c>
      <c r="AR51" s="27"/>
      <c r="AS51" s="27"/>
      <c r="AT51" s="27">
        <v>0</v>
      </c>
      <c r="AU51" s="27"/>
      <c r="AV51" s="27">
        <f t="shared" si="139"/>
        <v>0</v>
      </c>
      <c r="AW51" s="27">
        <f t="shared" si="140"/>
        <v>0</v>
      </c>
      <c r="AX51" s="27"/>
      <c r="AY51" s="27"/>
      <c r="AZ51" s="27">
        <v>0</v>
      </c>
      <c r="BA51" s="27"/>
      <c r="BB51" s="27">
        <f t="shared" si="141"/>
        <v>0</v>
      </c>
      <c r="BC51" s="27">
        <f t="shared" si="142"/>
        <v>0</v>
      </c>
      <c r="BD51" s="27"/>
      <c r="BE51" s="27"/>
      <c r="BF51" s="27">
        <v>0</v>
      </c>
      <c r="BG51" s="27"/>
      <c r="BH51" s="27">
        <f t="shared" si="143"/>
        <v>0</v>
      </c>
      <c r="BI51" s="27">
        <f t="shared" si="144"/>
        <v>0</v>
      </c>
      <c r="BJ51" s="27"/>
      <c r="BK51" s="27"/>
      <c r="BL51" s="27">
        <v>0</v>
      </c>
      <c r="BM51" s="27"/>
      <c r="BN51" s="27">
        <f t="shared" si="145"/>
        <v>0</v>
      </c>
      <c r="BO51" s="27">
        <f t="shared" si="146"/>
        <v>0</v>
      </c>
      <c r="BP51" s="26"/>
      <c r="BQ51" s="26"/>
      <c r="BR51" s="27">
        <v>0</v>
      </c>
      <c r="BS51" s="27"/>
      <c r="BT51" s="27">
        <f t="shared" si="147"/>
        <v>0</v>
      </c>
      <c r="BU51" s="27">
        <f t="shared" si="148"/>
        <v>0</v>
      </c>
      <c r="BV51" s="26"/>
      <c r="BW51" s="26"/>
      <c r="BX51" s="27">
        <v>0</v>
      </c>
      <c r="BY51" s="26"/>
      <c r="BZ51" s="27">
        <f t="shared" si="149"/>
        <v>0</v>
      </c>
      <c r="CA51" s="27">
        <f t="shared" si="150"/>
        <v>0</v>
      </c>
      <c r="CB51" s="26"/>
      <c r="CC51" s="26"/>
      <c r="CD51" s="27">
        <v>0</v>
      </c>
      <c r="CE51" s="26"/>
      <c r="CF51" s="27">
        <f t="shared" si="151"/>
        <v>0</v>
      </c>
      <c r="CG51" s="27">
        <f t="shared" si="152"/>
        <v>0</v>
      </c>
      <c r="CH51" s="27"/>
      <c r="CI51" s="27"/>
      <c r="CJ51" s="27">
        <v>0</v>
      </c>
      <c r="CK51" s="27"/>
      <c r="CL51" s="27">
        <f t="shared" si="153"/>
        <v>0</v>
      </c>
      <c r="CM51" s="27">
        <f t="shared" si="154"/>
        <v>0</v>
      </c>
      <c r="CN51" s="27"/>
      <c r="CO51" s="27"/>
      <c r="CP51" s="27">
        <v>0</v>
      </c>
      <c r="CQ51" s="27"/>
      <c r="CR51" s="27">
        <f t="shared" si="155"/>
        <v>0</v>
      </c>
      <c r="CS51" s="27">
        <f t="shared" si="156"/>
        <v>0</v>
      </c>
      <c r="CT51" s="27"/>
      <c r="CU51" s="27">
        <v>6000</v>
      </c>
      <c r="CV51" s="27">
        <v>0</v>
      </c>
      <c r="CW51" s="27"/>
      <c r="CX51" s="27">
        <f t="shared" si="157"/>
        <v>0</v>
      </c>
      <c r="CY51" s="27">
        <f t="shared" si="158"/>
        <v>6000</v>
      </c>
      <c r="CZ51" s="27"/>
      <c r="DA51" s="27"/>
      <c r="DB51" s="27">
        <v>0</v>
      </c>
      <c r="DC51" s="27"/>
      <c r="DD51" s="27">
        <f t="shared" si="159"/>
        <v>0</v>
      </c>
      <c r="DE51" s="27">
        <f t="shared" si="160"/>
        <v>0</v>
      </c>
      <c r="DF51" s="27">
        <f t="shared" si="161"/>
        <v>0</v>
      </c>
      <c r="DG51" s="27">
        <f t="shared" si="162"/>
        <v>6000</v>
      </c>
      <c r="DH51" s="27">
        <f t="shared" si="163"/>
        <v>0</v>
      </c>
      <c r="DI51" s="27">
        <f t="shared" si="164"/>
        <v>0</v>
      </c>
      <c r="DJ51" s="27">
        <f t="shared" si="165"/>
        <v>0</v>
      </c>
      <c r="DK51" s="27">
        <f t="shared" si="166"/>
        <v>6000</v>
      </c>
    </row>
    <row r="52" spans="1:115">
      <c r="A52" s="25">
        <v>44</v>
      </c>
      <c r="B52" s="26" t="s">
        <v>1162</v>
      </c>
      <c r="C52" s="26" t="s">
        <v>886</v>
      </c>
      <c r="D52" s="26" t="s">
        <v>1386</v>
      </c>
      <c r="E52" s="205" t="s">
        <v>1200</v>
      </c>
      <c r="F52" s="161">
        <f t="shared" si="119"/>
        <v>0</v>
      </c>
      <c r="G52" s="165">
        <f t="shared" si="120"/>
        <v>0</v>
      </c>
      <c r="H52" s="27"/>
      <c r="I52" s="27">
        <v>0</v>
      </c>
      <c r="J52" s="27">
        <v>0</v>
      </c>
      <c r="K52" s="127">
        <f t="shared" si="121"/>
        <v>0</v>
      </c>
      <c r="L52" s="127">
        <f t="shared" si="122"/>
        <v>0</v>
      </c>
      <c r="M52" s="127">
        <f t="shared" si="123"/>
        <v>0</v>
      </c>
      <c r="N52" s="131"/>
      <c r="O52" s="125" t="str">
        <f t="shared" si="124"/>
        <v>მიმდინარეობს</v>
      </c>
      <c r="P52" s="27">
        <v>0</v>
      </c>
      <c r="Q52" s="27">
        <v>0</v>
      </c>
      <c r="R52" s="27">
        <f t="shared" si="125"/>
        <v>0</v>
      </c>
      <c r="S52" s="27">
        <f t="shared" si="126"/>
        <v>0</v>
      </c>
      <c r="T52" s="27"/>
      <c r="U52" s="27"/>
      <c r="V52" s="27">
        <v>22</v>
      </c>
      <c r="W52" s="27"/>
      <c r="X52" s="27">
        <f t="shared" si="127"/>
        <v>22</v>
      </c>
      <c r="Y52" s="27">
        <f t="shared" si="128"/>
        <v>0</v>
      </c>
      <c r="Z52" s="27">
        <v>22</v>
      </c>
      <c r="AA52" s="27"/>
      <c r="AB52" s="27"/>
      <c r="AC52" s="27"/>
      <c r="AD52" s="27">
        <f t="shared" si="129"/>
        <v>22</v>
      </c>
      <c r="AE52" s="27">
        <f t="shared" si="130"/>
        <v>0</v>
      </c>
      <c r="AF52" s="27">
        <f t="shared" si="131"/>
        <v>22</v>
      </c>
      <c r="AG52" s="27">
        <f t="shared" si="132"/>
        <v>0</v>
      </c>
      <c r="AH52" s="27">
        <f t="shared" si="133"/>
        <v>22</v>
      </c>
      <c r="AI52" s="27">
        <f t="shared" si="134"/>
        <v>0</v>
      </c>
      <c r="AJ52" s="27">
        <f t="shared" si="135"/>
        <v>44</v>
      </c>
      <c r="AK52" s="27">
        <f t="shared" si="136"/>
        <v>0</v>
      </c>
      <c r="AL52" s="27"/>
      <c r="AM52" s="27"/>
      <c r="AN52" s="27">
        <v>0</v>
      </c>
      <c r="AO52" s="27"/>
      <c r="AP52" s="27">
        <f t="shared" si="137"/>
        <v>0</v>
      </c>
      <c r="AQ52" s="27">
        <f t="shared" si="138"/>
        <v>0</v>
      </c>
      <c r="AR52" s="27"/>
      <c r="AS52" s="27"/>
      <c r="AT52" s="27">
        <v>0</v>
      </c>
      <c r="AU52" s="27"/>
      <c r="AV52" s="27">
        <f t="shared" si="139"/>
        <v>0</v>
      </c>
      <c r="AW52" s="27">
        <f t="shared" si="140"/>
        <v>0</v>
      </c>
      <c r="AX52" s="27"/>
      <c r="AY52" s="27"/>
      <c r="AZ52" s="27">
        <v>0</v>
      </c>
      <c r="BA52" s="27"/>
      <c r="BB52" s="27">
        <f t="shared" si="141"/>
        <v>0</v>
      </c>
      <c r="BC52" s="27">
        <f t="shared" si="142"/>
        <v>0</v>
      </c>
      <c r="BD52" s="27"/>
      <c r="BE52" s="27"/>
      <c r="BF52" s="27">
        <v>0</v>
      </c>
      <c r="BG52" s="27"/>
      <c r="BH52" s="27">
        <f t="shared" si="143"/>
        <v>0</v>
      </c>
      <c r="BI52" s="27">
        <f t="shared" si="144"/>
        <v>0</v>
      </c>
      <c r="BJ52" s="27"/>
      <c r="BK52" s="27"/>
      <c r="BL52" s="27">
        <v>0</v>
      </c>
      <c r="BM52" s="27"/>
      <c r="BN52" s="27">
        <f t="shared" si="145"/>
        <v>0</v>
      </c>
      <c r="BO52" s="27">
        <f t="shared" si="146"/>
        <v>0</v>
      </c>
      <c r="BP52" s="26"/>
      <c r="BQ52" s="26"/>
      <c r="BR52" s="27">
        <v>0</v>
      </c>
      <c r="BS52" s="27"/>
      <c r="BT52" s="27">
        <f t="shared" si="147"/>
        <v>0</v>
      </c>
      <c r="BU52" s="27">
        <f t="shared" si="148"/>
        <v>0</v>
      </c>
      <c r="BV52" s="26"/>
      <c r="BW52" s="26"/>
      <c r="BX52" s="27">
        <v>0</v>
      </c>
      <c r="BY52" s="26"/>
      <c r="BZ52" s="27">
        <f t="shared" si="149"/>
        <v>0</v>
      </c>
      <c r="CA52" s="27">
        <f t="shared" si="150"/>
        <v>0</v>
      </c>
      <c r="CB52" s="26"/>
      <c r="CC52" s="26"/>
      <c r="CD52" s="27">
        <v>0</v>
      </c>
      <c r="CE52" s="26"/>
      <c r="CF52" s="27">
        <f t="shared" si="151"/>
        <v>0</v>
      </c>
      <c r="CG52" s="27">
        <f t="shared" si="152"/>
        <v>0</v>
      </c>
      <c r="CH52" s="27"/>
      <c r="CI52" s="27"/>
      <c r="CJ52" s="27">
        <v>0</v>
      </c>
      <c r="CK52" s="27"/>
      <c r="CL52" s="27">
        <f t="shared" si="153"/>
        <v>0</v>
      </c>
      <c r="CM52" s="27">
        <f t="shared" si="154"/>
        <v>0</v>
      </c>
      <c r="CN52" s="27"/>
      <c r="CO52" s="27"/>
      <c r="CP52" s="27">
        <v>0</v>
      </c>
      <c r="CQ52" s="27"/>
      <c r="CR52" s="27">
        <f t="shared" si="155"/>
        <v>0</v>
      </c>
      <c r="CS52" s="27">
        <f t="shared" si="156"/>
        <v>0</v>
      </c>
      <c r="CT52" s="27"/>
      <c r="CU52" s="27">
        <v>6000</v>
      </c>
      <c r="CV52" s="27">
        <v>0</v>
      </c>
      <c r="CW52" s="27"/>
      <c r="CX52" s="27">
        <f t="shared" si="157"/>
        <v>0</v>
      </c>
      <c r="CY52" s="27">
        <f t="shared" si="158"/>
        <v>6000</v>
      </c>
      <c r="CZ52" s="27"/>
      <c r="DA52" s="27"/>
      <c r="DB52" s="27">
        <v>0</v>
      </c>
      <c r="DC52" s="27"/>
      <c r="DD52" s="27">
        <f t="shared" si="159"/>
        <v>0</v>
      </c>
      <c r="DE52" s="27">
        <f t="shared" si="160"/>
        <v>0</v>
      </c>
      <c r="DF52" s="27">
        <f t="shared" si="161"/>
        <v>0</v>
      </c>
      <c r="DG52" s="27">
        <f t="shared" si="162"/>
        <v>6000</v>
      </c>
      <c r="DH52" s="27">
        <f t="shared" si="163"/>
        <v>0</v>
      </c>
      <c r="DI52" s="27">
        <f t="shared" si="164"/>
        <v>0</v>
      </c>
      <c r="DJ52" s="27">
        <f t="shared" si="165"/>
        <v>0</v>
      </c>
      <c r="DK52" s="27">
        <f t="shared" si="166"/>
        <v>6000</v>
      </c>
    </row>
    <row r="53" spans="1:115">
      <c r="A53" s="25">
        <v>45</v>
      </c>
      <c r="B53" s="26" t="s">
        <v>1162</v>
      </c>
      <c r="C53" s="26" t="s">
        <v>1389</v>
      </c>
      <c r="D53" s="26" t="s">
        <v>1388</v>
      </c>
      <c r="E53" s="205" t="s">
        <v>1200</v>
      </c>
      <c r="F53" s="161">
        <f t="shared" ref="F53:F116" si="167">SUM(DJ53)</f>
        <v>0</v>
      </c>
      <c r="G53" s="165">
        <f t="shared" ref="G53:G116" si="168">I53+AK53+DJ53</f>
        <v>0</v>
      </c>
      <c r="H53" s="27"/>
      <c r="I53" s="27">
        <v>0</v>
      </c>
      <c r="J53" s="27">
        <v>0</v>
      </c>
      <c r="K53" s="131">
        <f t="shared" ref="K53:K116" si="169">AK53</f>
        <v>0</v>
      </c>
      <c r="L53" s="131">
        <f t="shared" ref="L53:L116" si="170">IF(AI53&gt;0,I53+AK53-J53,0)</f>
        <v>0</v>
      </c>
      <c r="M53" s="127">
        <f t="shared" ref="M53:M116" si="171">I53+K53</f>
        <v>0</v>
      </c>
      <c r="N53" s="131"/>
      <c r="O53" s="125" t="str">
        <f t="shared" ref="O53:O116" si="172">IF(AND(AI53&gt;0,DI53&gt;0),"შეცდომაა! ერთზე მეტი ბოლო ჩაბარება!",IF(OR(AI53&gt;0,DI53&gt;0,),IF(AI53&gt;0,I53+AK53,I53+AK53+DK53),IF(AND(I53=0,K53=0,DK53=0),"ნულოვანი შესრულება","მიმდინარეობს")))</f>
        <v>მიმდინარეობს</v>
      </c>
      <c r="P53" s="27">
        <v>0</v>
      </c>
      <c r="Q53" s="27">
        <v>0</v>
      </c>
      <c r="R53" s="27">
        <f t="shared" ref="R53:R116" si="173">I53+P53</f>
        <v>0</v>
      </c>
      <c r="S53" s="27">
        <f t="shared" ref="S53:S116" si="174">Q53</f>
        <v>0</v>
      </c>
      <c r="T53" s="27"/>
      <c r="U53" s="27"/>
      <c r="V53" s="27">
        <v>23</v>
      </c>
      <c r="W53" s="27"/>
      <c r="X53" s="27">
        <f t="shared" ref="X53:X116" si="175">T53+V53</f>
        <v>23</v>
      </c>
      <c r="Y53" s="27">
        <f t="shared" ref="Y53:Y116" si="176">U53+W53</f>
        <v>0</v>
      </c>
      <c r="Z53" s="27">
        <v>23</v>
      </c>
      <c r="AA53" s="27"/>
      <c r="AB53" s="27"/>
      <c r="AC53" s="27"/>
      <c r="AD53" s="27">
        <f t="shared" ref="AD53:AD116" si="177">Z53+AB53</f>
        <v>23</v>
      </c>
      <c r="AE53" s="27">
        <f t="shared" ref="AE53:AE116" si="178">AA53+AC53</f>
        <v>0</v>
      </c>
      <c r="AF53" s="27">
        <f t="shared" ref="AF53:AF116" si="179">P53+T53+Z53</f>
        <v>23</v>
      </c>
      <c r="AG53" s="27">
        <f t="shared" ref="AG53:AG116" si="180">P53+U53+AA53</f>
        <v>0</v>
      </c>
      <c r="AH53" s="27">
        <f t="shared" ref="AH53:AH116" si="181">Q53+V53+AB53</f>
        <v>23</v>
      </c>
      <c r="AI53" s="27">
        <f t="shared" ref="AI53:AI116" si="182">Q53+W53+AC53</f>
        <v>0</v>
      </c>
      <c r="AJ53" s="27">
        <f t="shared" ref="AJ53:AJ116" si="183">AF53+AH53</f>
        <v>46</v>
      </c>
      <c r="AK53" s="27">
        <f t="shared" ref="AK53:AK116" si="184">AG53+AI53</f>
        <v>0</v>
      </c>
      <c r="AL53" s="27"/>
      <c r="AM53" s="27"/>
      <c r="AN53" s="27">
        <v>0</v>
      </c>
      <c r="AO53" s="27"/>
      <c r="AP53" s="27">
        <f t="shared" ref="AP53:AP116" si="185">AL53+AN53</f>
        <v>0</v>
      </c>
      <c r="AQ53" s="27">
        <f t="shared" ref="AQ53:AQ116" si="186">AM53+AO53</f>
        <v>0</v>
      </c>
      <c r="AR53" s="27"/>
      <c r="AS53" s="27"/>
      <c r="AT53" s="27">
        <v>0</v>
      </c>
      <c r="AU53" s="27"/>
      <c r="AV53" s="27">
        <f t="shared" ref="AV53:AV116" si="187">AR53+AT53</f>
        <v>0</v>
      </c>
      <c r="AW53" s="27">
        <f t="shared" ref="AW53:AW116" si="188">AS53+AU53</f>
        <v>0</v>
      </c>
      <c r="AX53" s="27"/>
      <c r="AY53" s="27"/>
      <c r="AZ53" s="27">
        <v>0</v>
      </c>
      <c r="BA53" s="27"/>
      <c r="BB53" s="27">
        <f t="shared" ref="BB53:BB116" si="189">AX53+AZ53</f>
        <v>0</v>
      </c>
      <c r="BC53" s="27">
        <f t="shared" ref="BC53:BC116" si="190">AY53+BA53</f>
        <v>0</v>
      </c>
      <c r="BD53" s="27"/>
      <c r="BE53" s="27"/>
      <c r="BF53" s="27">
        <v>0</v>
      </c>
      <c r="BG53" s="27"/>
      <c r="BH53" s="27">
        <f t="shared" ref="BH53:BH116" si="191">BD53+BF53</f>
        <v>0</v>
      </c>
      <c r="BI53" s="27">
        <f t="shared" ref="BI53:BI116" si="192">BE53+BG53</f>
        <v>0</v>
      </c>
      <c r="BJ53" s="27"/>
      <c r="BK53" s="27"/>
      <c r="BL53" s="27">
        <v>0</v>
      </c>
      <c r="BM53" s="27"/>
      <c r="BN53" s="27">
        <f t="shared" ref="BN53:BN116" si="193">BJ53+BL53</f>
        <v>0</v>
      </c>
      <c r="BO53" s="27">
        <f t="shared" ref="BO53:BO116" si="194">BK53+BM53</f>
        <v>0</v>
      </c>
      <c r="BP53" s="26"/>
      <c r="BQ53" s="26"/>
      <c r="BR53" s="27">
        <v>0</v>
      </c>
      <c r="BS53" s="27"/>
      <c r="BT53" s="27">
        <f t="shared" ref="BT53:BT116" si="195">BP53+BR53</f>
        <v>0</v>
      </c>
      <c r="BU53" s="27">
        <f t="shared" ref="BU53:BU116" si="196">BQ53+BS53</f>
        <v>0</v>
      </c>
      <c r="BV53" s="26"/>
      <c r="BW53" s="26"/>
      <c r="BX53" s="27">
        <v>0</v>
      </c>
      <c r="BY53" s="26"/>
      <c r="BZ53" s="27">
        <f t="shared" ref="BZ53:BZ116" si="197">BV53+BX53</f>
        <v>0</v>
      </c>
      <c r="CA53" s="27">
        <f t="shared" ref="CA53:CA116" si="198">BW53+BY53</f>
        <v>0</v>
      </c>
      <c r="CB53" s="26"/>
      <c r="CC53" s="26"/>
      <c r="CD53" s="27">
        <v>0</v>
      </c>
      <c r="CE53" s="26"/>
      <c r="CF53" s="27">
        <f t="shared" ref="CF53:CF116" si="199">CB53+CD53</f>
        <v>0</v>
      </c>
      <c r="CG53" s="27">
        <f t="shared" ref="CG53:CG116" si="200">CC53+CE53</f>
        <v>0</v>
      </c>
      <c r="CH53" s="27"/>
      <c r="CI53" s="27"/>
      <c r="CJ53" s="27">
        <v>0</v>
      </c>
      <c r="CK53" s="27"/>
      <c r="CL53" s="27">
        <f t="shared" ref="CL53:CL116" si="201">CH53+CJ53</f>
        <v>0</v>
      </c>
      <c r="CM53" s="27">
        <f t="shared" ref="CM53:CM116" si="202">CI53+CK53</f>
        <v>0</v>
      </c>
      <c r="CN53" s="27"/>
      <c r="CO53" s="27"/>
      <c r="CP53" s="27">
        <v>0</v>
      </c>
      <c r="CQ53" s="27"/>
      <c r="CR53" s="27">
        <f t="shared" ref="CR53:CR116" si="203">CN53+CP53</f>
        <v>0</v>
      </c>
      <c r="CS53" s="27">
        <f t="shared" ref="CS53:CS116" si="204">CO53+CQ53</f>
        <v>0</v>
      </c>
      <c r="CT53" s="27"/>
      <c r="CU53" s="27">
        <v>115000</v>
      </c>
      <c r="CV53" s="27">
        <v>0</v>
      </c>
      <c r="CW53" s="27"/>
      <c r="CX53" s="27">
        <f t="shared" ref="CX53:CX116" si="205">CT53+CV53</f>
        <v>0</v>
      </c>
      <c r="CY53" s="27">
        <f t="shared" ref="CY53:CY116" si="206">CU53+CW53</f>
        <v>115000</v>
      </c>
      <c r="CZ53" s="27"/>
      <c r="DA53" s="27"/>
      <c r="DB53" s="27">
        <v>0</v>
      </c>
      <c r="DC53" s="27"/>
      <c r="DD53" s="27">
        <f t="shared" ref="DD53:DD116" si="207">CZ53+DB53</f>
        <v>0</v>
      </c>
      <c r="DE53" s="27">
        <f t="shared" ref="DE53:DE116" si="208">DA53+DC53</f>
        <v>0</v>
      </c>
      <c r="DF53" s="27">
        <f t="shared" ref="DF53:DF116" si="209">AL53+AR53+AX53+BD53+BJ53+BP53+BV53+CB53+CH53+CN53+CT53+CZ53</f>
        <v>0</v>
      </c>
      <c r="DG53" s="27">
        <f t="shared" ref="DG53:DG116" si="210">AM53+AS53+AY53+BE53+BK53+BQ53+BW53+CC53+CI53+CO53+CU53+DA53</f>
        <v>115000</v>
      </c>
      <c r="DH53" s="27">
        <f t="shared" ref="DH53:DH116" si="211">AN53+AT53+AZ53+BF53+BL53+BR53+BX53+CD53+CJ53+CP53+CV53+DB53</f>
        <v>0</v>
      </c>
      <c r="DI53" s="27">
        <f t="shared" ref="DI53:DI116" si="212">AO53+AU53+BA53+BG53+BM53+BS53+BY53+CE53+CK53+CQ53+CW53+DC53</f>
        <v>0</v>
      </c>
      <c r="DJ53" s="27">
        <f t="shared" ref="DJ53:DJ116" si="213">DF53+DH53</f>
        <v>0</v>
      </c>
      <c r="DK53" s="27">
        <f t="shared" ref="DK53:DK116" si="214">DG53+DI53</f>
        <v>115000</v>
      </c>
    </row>
    <row r="54" spans="1:115">
      <c r="A54" s="25">
        <v>46</v>
      </c>
      <c r="B54" s="26" t="s">
        <v>1162</v>
      </c>
      <c r="C54" s="26" t="s">
        <v>1390</v>
      </c>
      <c r="D54" s="26" t="s">
        <v>1391</v>
      </c>
      <c r="E54" s="205" t="s">
        <v>1200</v>
      </c>
      <c r="F54" s="161">
        <f t="shared" si="167"/>
        <v>0</v>
      </c>
      <c r="G54" s="165">
        <f t="shared" si="168"/>
        <v>0</v>
      </c>
      <c r="H54" s="27"/>
      <c r="I54" s="27">
        <v>0</v>
      </c>
      <c r="J54" s="27">
        <v>0</v>
      </c>
      <c r="K54" s="127">
        <f t="shared" si="169"/>
        <v>0</v>
      </c>
      <c r="L54" s="127">
        <f t="shared" si="170"/>
        <v>0</v>
      </c>
      <c r="M54" s="127">
        <f t="shared" si="171"/>
        <v>0</v>
      </c>
      <c r="N54" s="131"/>
      <c r="O54" s="125" t="str">
        <f t="shared" si="172"/>
        <v>მიმდინარეობს</v>
      </c>
      <c r="P54" s="27">
        <v>0</v>
      </c>
      <c r="Q54" s="27">
        <v>0</v>
      </c>
      <c r="R54" s="27">
        <f t="shared" si="173"/>
        <v>0</v>
      </c>
      <c r="S54" s="27">
        <f t="shared" si="174"/>
        <v>0</v>
      </c>
      <c r="T54" s="27"/>
      <c r="U54" s="27"/>
      <c r="V54" s="27">
        <v>24</v>
      </c>
      <c r="W54" s="27"/>
      <c r="X54" s="27">
        <f t="shared" si="175"/>
        <v>24</v>
      </c>
      <c r="Y54" s="27">
        <f t="shared" si="176"/>
        <v>0</v>
      </c>
      <c r="Z54" s="27">
        <v>24</v>
      </c>
      <c r="AA54" s="27"/>
      <c r="AB54" s="27"/>
      <c r="AC54" s="27"/>
      <c r="AD54" s="27">
        <f t="shared" si="177"/>
        <v>24</v>
      </c>
      <c r="AE54" s="27">
        <f t="shared" si="178"/>
        <v>0</v>
      </c>
      <c r="AF54" s="27">
        <f t="shared" si="179"/>
        <v>24</v>
      </c>
      <c r="AG54" s="27">
        <f t="shared" si="180"/>
        <v>0</v>
      </c>
      <c r="AH54" s="27">
        <f t="shared" si="181"/>
        <v>24</v>
      </c>
      <c r="AI54" s="27">
        <f t="shared" si="182"/>
        <v>0</v>
      </c>
      <c r="AJ54" s="27">
        <f t="shared" si="183"/>
        <v>48</v>
      </c>
      <c r="AK54" s="27">
        <f t="shared" si="184"/>
        <v>0</v>
      </c>
      <c r="AL54" s="27"/>
      <c r="AM54" s="27"/>
      <c r="AN54" s="27">
        <v>0</v>
      </c>
      <c r="AO54" s="27"/>
      <c r="AP54" s="27">
        <f t="shared" si="185"/>
        <v>0</v>
      </c>
      <c r="AQ54" s="27">
        <f t="shared" si="186"/>
        <v>0</v>
      </c>
      <c r="AR54" s="27"/>
      <c r="AS54" s="27"/>
      <c r="AT54" s="27">
        <v>0</v>
      </c>
      <c r="AU54" s="27"/>
      <c r="AV54" s="27">
        <f t="shared" si="187"/>
        <v>0</v>
      </c>
      <c r="AW54" s="27">
        <f t="shared" si="188"/>
        <v>0</v>
      </c>
      <c r="AX54" s="27"/>
      <c r="AY54" s="27"/>
      <c r="AZ54" s="27">
        <v>0</v>
      </c>
      <c r="BA54" s="27"/>
      <c r="BB54" s="27">
        <f t="shared" si="189"/>
        <v>0</v>
      </c>
      <c r="BC54" s="27">
        <f t="shared" si="190"/>
        <v>0</v>
      </c>
      <c r="BD54" s="27"/>
      <c r="BE54" s="27"/>
      <c r="BF54" s="27">
        <v>0</v>
      </c>
      <c r="BG54" s="27"/>
      <c r="BH54" s="27">
        <f t="shared" si="191"/>
        <v>0</v>
      </c>
      <c r="BI54" s="27">
        <f t="shared" si="192"/>
        <v>0</v>
      </c>
      <c r="BJ54" s="27"/>
      <c r="BK54" s="27"/>
      <c r="BL54" s="27">
        <v>0</v>
      </c>
      <c r="BM54" s="27"/>
      <c r="BN54" s="27">
        <f t="shared" si="193"/>
        <v>0</v>
      </c>
      <c r="BO54" s="27">
        <f t="shared" si="194"/>
        <v>0</v>
      </c>
      <c r="BP54" s="26"/>
      <c r="BQ54" s="26"/>
      <c r="BR54" s="27">
        <v>0</v>
      </c>
      <c r="BS54" s="27"/>
      <c r="BT54" s="27">
        <f t="shared" si="195"/>
        <v>0</v>
      </c>
      <c r="BU54" s="27">
        <f t="shared" si="196"/>
        <v>0</v>
      </c>
      <c r="BV54" s="26"/>
      <c r="BW54" s="26"/>
      <c r="BX54" s="27">
        <v>0</v>
      </c>
      <c r="BY54" s="26"/>
      <c r="BZ54" s="27">
        <f t="shared" si="197"/>
        <v>0</v>
      </c>
      <c r="CA54" s="27">
        <f t="shared" si="198"/>
        <v>0</v>
      </c>
      <c r="CB54" s="26"/>
      <c r="CC54" s="26"/>
      <c r="CD54" s="27">
        <v>0</v>
      </c>
      <c r="CE54" s="26"/>
      <c r="CF54" s="27">
        <f t="shared" si="199"/>
        <v>0</v>
      </c>
      <c r="CG54" s="27">
        <f t="shared" si="200"/>
        <v>0</v>
      </c>
      <c r="CH54" s="27"/>
      <c r="CI54" s="27"/>
      <c r="CJ54" s="27">
        <v>0</v>
      </c>
      <c r="CK54" s="27"/>
      <c r="CL54" s="27">
        <f t="shared" si="201"/>
        <v>0</v>
      </c>
      <c r="CM54" s="27">
        <f t="shared" si="202"/>
        <v>0</v>
      </c>
      <c r="CN54" s="27"/>
      <c r="CO54" s="27"/>
      <c r="CP54" s="27">
        <v>0</v>
      </c>
      <c r="CQ54" s="27"/>
      <c r="CR54" s="27">
        <f t="shared" si="203"/>
        <v>0</v>
      </c>
      <c r="CS54" s="27">
        <f t="shared" si="204"/>
        <v>0</v>
      </c>
      <c r="CT54" s="27"/>
      <c r="CU54" s="27">
        <v>185000</v>
      </c>
      <c r="CV54" s="27">
        <v>0</v>
      </c>
      <c r="CW54" s="27"/>
      <c r="CX54" s="27">
        <f t="shared" si="205"/>
        <v>0</v>
      </c>
      <c r="CY54" s="27">
        <f t="shared" si="206"/>
        <v>185000</v>
      </c>
      <c r="CZ54" s="27"/>
      <c r="DA54" s="27"/>
      <c r="DB54" s="27">
        <v>0</v>
      </c>
      <c r="DC54" s="27"/>
      <c r="DD54" s="27">
        <f t="shared" si="207"/>
        <v>0</v>
      </c>
      <c r="DE54" s="27">
        <f t="shared" si="208"/>
        <v>0</v>
      </c>
      <c r="DF54" s="27">
        <f t="shared" si="209"/>
        <v>0</v>
      </c>
      <c r="DG54" s="27">
        <f t="shared" si="210"/>
        <v>185000</v>
      </c>
      <c r="DH54" s="27">
        <f t="shared" si="211"/>
        <v>0</v>
      </c>
      <c r="DI54" s="27">
        <f t="shared" si="212"/>
        <v>0</v>
      </c>
      <c r="DJ54" s="27">
        <f t="shared" si="213"/>
        <v>0</v>
      </c>
      <c r="DK54" s="27">
        <f t="shared" si="214"/>
        <v>185000</v>
      </c>
    </row>
    <row r="55" spans="1:115">
      <c r="A55" s="25">
        <v>47</v>
      </c>
      <c r="B55" s="26" t="s">
        <v>1162</v>
      </c>
      <c r="C55" s="26"/>
      <c r="D55" s="26"/>
      <c r="E55" s="205" t="s">
        <v>1200</v>
      </c>
      <c r="F55" s="161">
        <f t="shared" si="167"/>
        <v>0</v>
      </c>
      <c r="G55" s="165">
        <f t="shared" si="168"/>
        <v>0</v>
      </c>
      <c r="H55" s="27"/>
      <c r="I55" s="27">
        <v>0</v>
      </c>
      <c r="J55" s="27">
        <v>0</v>
      </c>
      <c r="K55" s="127">
        <f t="shared" si="169"/>
        <v>0</v>
      </c>
      <c r="L55" s="127">
        <f t="shared" si="170"/>
        <v>0</v>
      </c>
      <c r="M55" s="127">
        <f t="shared" si="171"/>
        <v>0</v>
      </c>
      <c r="N55" s="131"/>
      <c r="O55" s="125" t="str">
        <f t="shared" si="172"/>
        <v>ნულოვანი შესრულება</v>
      </c>
      <c r="P55" s="27">
        <v>0</v>
      </c>
      <c r="Q55" s="27">
        <v>0</v>
      </c>
      <c r="R55" s="27">
        <f t="shared" si="173"/>
        <v>0</v>
      </c>
      <c r="S55" s="27">
        <f t="shared" si="174"/>
        <v>0</v>
      </c>
      <c r="T55" s="27"/>
      <c r="U55" s="27"/>
      <c r="V55" s="27">
        <v>25</v>
      </c>
      <c r="W55" s="27"/>
      <c r="X55" s="27">
        <f t="shared" si="175"/>
        <v>25</v>
      </c>
      <c r="Y55" s="27">
        <f t="shared" si="176"/>
        <v>0</v>
      </c>
      <c r="Z55" s="27">
        <v>25</v>
      </c>
      <c r="AA55" s="27"/>
      <c r="AB55" s="27"/>
      <c r="AC55" s="27"/>
      <c r="AD55" s="27">
        <f t="shared" si="177"/>
        <v>25</v>
      </c>
      <c r="AE55" s="27">
        <f t="shared" si="178"/>
        <v>0</v>
      </c>
      <c r="AF55" s="27">
        <f t="shared" si="179"/>
        <v>25</v>
      </c>
      <c r="AG55" s="27">
        <f t="shared" si="180"/>
        <v>0</v>
      </c>
      <c r="AH55" s="27">
        <f t="shared" si="181"/>
        <v>25</v>
      </c>
      <c r="AI55" s="27">
        <f t="shared" si="182"/>
        <v>0</v>
      </c>
      <c r="AJ55" s="27">
        <f t="shared" si="183"/>
        <v>50</v>
      </c>
      <c r="AK55" s="27">
        <f t="shared" si="184"/>
        <v>0</v>
      </c>
      <c r="AL55" s="27"/>
      <c r="AM55" s="27"/>
      <c r="AN55" s="27">
        <v>0</v>
      </c>
      <c r="AO55" s="27"/>
      <c r="AP55" s="27">
        <f t="shared" si="185"/>
        <v>0</v>
      </c>
      <c r="AQ55" s="27">
        <f t="shared" si="186"/>
        <v>0</v>
      </c>
      <c r="AR55" s="27"/>
      <c r="AS55" s="27"/>
      <c r="AT55" s="27">
        <v>0</v>
      </c>
      <c r="AU55" s="27"/>
      <c r="AV55" s="27">
        <f t="shared" si="187"/>
        <v>0</v>
      </c>
      <c r="AW55" s="27">
        <f t="shared" si="188"/>
        <v>0</v>
      </c>
      <c r="AX55" s="27"/>
      <c r="AY55" s="27"/>
      <c r="AZ55" s="27">
        <v>0</v>
      </c>
      <c r="BA55" s="27"/>
      <c r="BB55" s="27">
        <f t="shared" si="189"/>
        <v>0</v>
      </c>
      <c r="BC55" s="27">
        <f t="shared" si="190"/>
        <v>0</v>
      </c>
      <c r="BD55" s="27"/>
      <c r="BE55" s="27"/>
      <c r="BF55" s="27">
        <v>0</v>
      </c>
      <c r="BG55" s="27"/>
      <c r="BH55" s="27">
        <f t="shared" si="191"/>
        <v>0</v>
      </c>
      <c r="BI55" s="27">
        <f t="shared" si="192"/>
        <v>0</v>
      </c>
      <c r="BJ55" s="27"/>
      <c r="BK55" s="27"/>
      <c r="BL55" s="27">
        <v>0</v>
      </c>
      <c r="BM55" s="27"/>
      <c r="BN55" s="27">
        <f t="shared" si="193"/>
        <v>0</v>
      </c>
      <c r="BO55" s="27">
        <f t="shared" si="194"/>
        <v>0</v>
      </c>
      <c r="BP55" s="26"/>
      <c r="BQ55" s="26"/>
      <c r="BR55" s="27">
        <v>0</v>
      </c>
      <c r="BS55" s="27"/>
      <c r="BT55" s="27">
        <f t="shared" si="195"/>
        <v>0</v>
      </c>
      <c r="BU55" s="27">
        <f t="shared" si="196"/>
        <v>0</v>
      </c>
      <c r="BV55" s="26"/>
      <c r="BW55" s="26"/>
      <c r="BX55" s="27">
        <v>0</v>
      </c>
      <c r="BY55" s="26"/>
      <c r="BZ55" s="27">
        <f t="shared" si="197"/>
        <v>0</v>
      </c>
      <c r="CA55" s="27">
        <f t="shared" si="198"/>
        <v>0</v>
      </c>
      <c r="CB55" s="26"/>
      <c r="CC55" s="26"/>
      <c r="CD55" s="27">
        <v>0</v>
      </c>
      <c r="CE55" s="26"/>
      <c r="CF55" s="27">
        <f t="shared" si="199"/>
        <v>0</v>
      </c>
      <c r="CG55" s="27">
        <f t="shared" si="200"/>
        <v>0</v>
      </c>
      <c r="CH55" s="27"/>
      <c r="CI55" s="27"/>
      <c r="CJ55" s="27">
        <v>0</v>
      </c>
      <c r="CK55" s="27"/>
      <c r="CL55" s="27">
        <f t="shared" si="201"/>
        <v>0</v>
      </c>
      <c r="CM55" s="27">
        <f t="shared" si="202"/>
        <v>0</v>
      </c>
      <c r="CN55" s="27"/>
      <c r="CO55" s="27"/>
      <c r="CP55" s="27">
        <v>0</v>
      </c>
      <c r="CQ55" s="27"/>
      <c r="CR55" s="27">
        <f t="shared" si="203"/>
        <v>0</v>
      </c>
      <c r="CS55" s="27">
        <f t="shared" si="204"/>
        <v>0</v>
      </c>
      <c r="CT55" s="27"/>
      <c r="CU55" s="27"/>
      <c r="CV55" s="27">
        <v>0</v>
      </c>
      <c r="CW55" s="27"/>
      <c r="CX55" s="27">
        <f t="shared" si="205"/>
        <v>0</v>
      </c>
      <c r="CY55" s="27">
        <f t="shared" si="206"/>
        <v>0</v>
      </c>
      <c r="CZ55" s="27"/>
      <c r="DA55" s="27"/>
      <c r="DB55" s="27">
        <v>0</v>
      </c>
      <c r="DC55" s="27"/>
      <c r="DD55" s="27">
        <f t="shared" si="207"/>
        <v>0</v>
      </c>
      <c r="DE55" s="27">
        <f t="shared" si="208"/>
        <v>0</v>
      </c>
      <c r="DF55" s="27">
        <f t="shared" si="209"/>
        <v>0</v>
      </c>
      <c r="DG55" s="27">
        <f t="shared" si="210"/>
        <v>0</v>
      </c>
      <c r="DH55" s="27">
        <f t="shared" si="211"/>
        <v>0</v>
      </c>
      <c r="DI55" s="27">
        <f t="shared" si="212"/>
        <v>0</v>
      </c>
      <c r="DJ55" s="27">
        <f t="shared" si="213"/>
        <v>0</v>
      </c>
      <c r="DK55" s="27">
        <f t="shared" si="214"/>
        <v>0</v>
      </c>
    </row>
    <row r="56" spans="1:115">
      <c r="A56" s="25">
        <v>48</v>
      </c>
      <c r="B56" s="26" t="s">
        <v>1162</v>
      </c>
      <c r="C56" s="26"/>
      <c r="D56" s="26"/>
      <c r="E56" s="205" t="s">
        <v>1200</v>
      </c>
      <c r="F56" s="161">
        <f t="shared" si="167"/>
        <v>0</v>
      </c>
      <c r="G56" s="165">
        <f t="shared" si="168"/>
        <v>0</v>
      </c>
      <c r="H56" s="27"/>
      <c r="I56" s="27">
        <v>0</v>
      </c>
      <c r="J56" s="27">
        <v>0</v>
      </c>
      <c r="K56" s="127">
        <f t="shared" si="169"/>
        <v>0</v>
      </c>
      <c r="L56" s="127">
        <f t="shared" si="170"/>
        <v>0</v>
      </c>
      <c r="M56" s="127">
        <f t="shared" si="171"/>
        <v>0</v>
      </c>
      <c r="N56" s="131"/>
      <c r="O56" s="125" t="str">
        <f t="shared" si="172"/>
        <v>ნულოვანი შესრულება</v>
      </c>
      <c r="P56" s="27">
        <v>0</v>
      </c>
      <c r="Q56" s="27">
        <v>0</v>
      </c>
      <c r="R56" s="27">
        <f t="shared" si="173"/>
        <v>0</v>
      </c>
      <c r="S56" s="27">
        <f t="shared" si="174"/>
        <v>0</v>
      </c>
      <c r="T56" s="27"/>
      <c r="U56" s="27"/>
      <c r="V56" s="27">
        <v>26</v>
      </c>
      <c r="W56" s="27"/>
      <c r="X56" s="27">
        <f t="shared" si="175"/>
        <v>26</v>
      </c>
      <c r="Y56" s="27">
        <f t="shared" si="176"/>
        <v>0</v>
      </c>
      <c r="Z56" s="27">
        <v>26</v>
      </c>
      <c r="AA56" s="27"/>
      <c r="AB56" s="27"/>
      <c r="AC56" s="27"/>
      <c r="AD56" s="27">
        <f t="shared" si="177"/>
        <v>26</v>
      </c>
      <c r="AE56" s="27">
        <f t="shared" si="178"/>
        <v>0</v>
      </c>
      <c r="AF56" s="27">
        <f t="shared" si="179"/>
        <v>26</v>
      </c>
      <c r="AG56" s="27">
        <f t="shared" si="180"/>
        <v>0</v>
      </c>
      <c r="AH56" s="27">
        <f t="shared" si="181"/>
        <v>26</v>
      </c>
      <c r="AI56" s="27">
        <f t="shared" si="182"/>
        <v>0</v>
      </c>
      <c r="AJ56" s="27">
        <f t="shared" si="183"/>
        <v>52</v>
      </c>
      <c r="AK56" s="27">
        <f t="shared" si="184"/>
        <v>0</v>
      </c>
      <c r="AL56" s="27"/>
      <c r="AM56" s="27"/>
      <c r="AN56" s="27">
        <v>0</v>
      </c>
      <c r="AO56" s="27"/>
      <c r="AP56" s="27">
        <f t="shared" si="185"/>
        <v>0</v>
      </c>
      <c r="AQ56" s="27">
        <f t="shared" si="186"/>
        <v>0</v>
      </c>
      <c r="AR56" s="27"/>
      <c r="AS56" s="27"/>
      <c r="AT56" s="27">
        <v>0</v>
      </c>
      <c r="AU56" s="27"/>
      <c r="AV56" s="27">
        <f t="shared" si="187"/>
        <v>0</v>
      </c>
      <c r="AW56" s="27">
        <f t="shared" si="188"/>
        <v>0</v>
      </c>
      <c r="AX56" s="27"/>
      <c r="AY56" s="27"/>
      <c r="AZ56" s="27">
        <v>0</v>
      </c>
      <c r="BA56" s="27"/>
      <c r="BB56" s="27">
        <f t="shared" si="189"/>
        <v>0</v>
      </c>
      <c r="BC56" s="27">
        <f t="shared" si="190"/>
        <v>0</v>
      </c>
      <c r="BD56" s="27"/>
      <c r="BE56" s="27"/>
      <c r="BF56" s="27">
        <v>0</v>
      </c>
      <c r="BG56" s="27"/>
      <c r="BH56" s="27">
        <f t="shared" si="191"/>
        <v>0</v>
      </c>
      <c r="BI56" s="27">
        <f t="shared" si="192"/>
        <v>0</v>
      </c>
      <c r="BJ56" s="27"/>
      <c r="BK56" s="27"/>
      <c r="BL56" s="27">
        <v>0</v>
      </c>
      <c r="BM56" s="27"/>
      <c r="BN56" s="27">
        <f t="shared" si="193"/>
        <v>0</v>
      </c>
      <c r="BO56" s="27">
        <f t="shared" si="194"/>
        <v>0</v>
      </c>
      <c r="BP56" s="26"/>
      <c r="BQ56" s="26"/>
      <c r="BR56" s="27">
        <v>0</v>
      </c>
      <c r="BS56" s="27"/>
      <c r="BT56" s="27">
        <f t="shared" si="195"/>
        <v>0</v>
      </c>
      <c r="BU56" s="27">
        <f t="shared" si="196"/>
        <v>0</v>
      </c>
      <c r="BV56" s="26"/>
      <c r="BW56" s="26"/>
      <c r="BX56" s="27">
        <v>0</v>
      </c>
      <c r="BY56" s="26"/>
      <c r="BZ56" s="27">
        <f t="shared" si="197"/>
        <v>0</v>
      </c>
      <c r="CA56" s="27">
        <f t="shared" si="198"/>
        <v>0</v>
      </c>
      <c r="CB56" s="26"/>
      <c r="CC56" s="26"/>
      <c r="CD56" s="27">
        <v>0</v>
      </c>
      <c r="CE56" s="26"/>
      <c r="CF56" s="27">
        <f t="shared" si="199"/>
        <v>0</v>
      </c>
      <c r="CG56" s="27">
        <f t="shared" si="200"/>
        <v>0</v>
      </c>
      <c r="CH56" s="27"/>
      <c r="CI56" s="27"/>
      <c r="CJ56" s="27">
        <v>0</v>
      </c>
      <c r="CK56" s="27"/>
      <c r="CL56" s="27">
        <f t="shared" si="201"/>
        <v>0</v>
      </c>
      <c r="CM56" s="27">
        <f t="shared" si="202"/>
        <v>0</v>
      </c>
      <c r="CN56" s="27"/>
      <c r="CO56" s="27"/>
      <c r="CP56" s="27">
        <v>0</v>
      </c>
      <c r="CQ56" s="27"/>
      <c r="CR56" s="27">
        <f t="shared" si="203"/>
        <v>0</v>
      </c>
      <c r="CS56" s="27">
        <f t="shared" si="204"/>
        <v>0</v>
      </c>
      <c r="CT56" s="27"/>
      <c r="CU56" s="27"/>
      <c r="CV56" s="27">
        <v>0</v>
      </c>
      <c r="CW56" s="27"/>
      <c r="CX56" s="27">
        <f t="shared" si="205"/>
        <v>0</v>
      </c>
      <c r="CY56" s="27">
        <f t="shared" si="206"/>
        <v>0</v>
      </c>
      <c r="CZ56" s="27"/>
      <c r="DA56" s="27"/>
      <c r="DB56" s="27">
        <v>0</v>
      </c>
      <c r="DC56" s="27"/>
      <c r="DD56" s="27">
        <f t="shared" si="207"/>
        <v>0</v>
      </c>
      <c r="DE56" s="27">
        <f t="shared" si="208"/>
        <v>0</v>
      </c>
      <c r="DF56" s="27">
        <f t="shared" si="209"/>
        <v>0</v>
      </c>
      <c r="DG56" s="27">
        <f t="shared" si="210"/>
        <v>0</v>
      </c>
      <c r="DH56" s="27">
        <f t="shared" si="211"/>
        <v>0</v>
      </c>
      <c r="DI56" s="27">
        <f t="shared" si="212"/>
        <v>0</v>
      </c>
      <c r="DJ56" s="27">
        <f t="shared" si="213"/>
        <v>0</v>
      </c>
      <c r="DK56" s="27">
        <f t="shared" si="214"/>
        <v>0</v>
      </c>
    </row>
    <row r="57" spans="1:115">
      <c r="A57" s="25">
        <v>49</v>
      </c>
      <c r="B57" s="26" t="s">
        <v>1162</v>
      </c>
      <c r="C57" s="26"/>
      <c r="D57" s="26"/>
      <c r="E57" s="205" t="s">
        <v>1200</v>
      </c>
      <c r="F57" s="161">
        <f t="shared" si="167"/>
        <v>0</v>
      </c>
      <c r="G57" s="165">
        <f t="shared" si="168"/>
        <v>0</v>
      </c>
      <c r="H57" s="27"/>
      <c r="I57" s="27">
        <v>0</v>
      </c>
      <c r="J57" s="27">
        <v>0</v>
      </c>
      <c r="K57" s="127">
        <f t="shared" si="169"/>
        <v>0</v>
      </c>
      <c r="L57" s="127">
        <f t="shared" si="170"/>
        <v>0</v>
      </c>
      <c r="M57" s="127">
        <f t="shared" si="171"/>
        <v>0</v>
      </c>
      <c r="N57" s="131"/>
      <c r="O57" s="125" t="str">
        <f t="shared" si="172"/>
        <v>ნულოვანი შესრულება</v>
      </c>
      <c r="P57" s="27">
        <v>0</v>
      </c>
      <c r="Q57" s="27">
        <v>0</v>
      </c>
      <c r="R57" s="27">
        <f t="shared" si="173"/>
        <v>0</v>
      </c>
      <c r="S57" s="27">
        <f t="shared" si="174"/>
        <v>0</v>
      </c>
      <c r="T57" s="27"/>
      <c r="U57" s="27"/>
      <c r="V57" s="27">
        <v>27</v>
      </c>
      <c r="W57" s="27"/>
      <c r="X57" s="27">
        <f t="shared" si="175"/>
        <v>27</v>
      </c>
      <c r="Y57" s="27">
        <f t="shared" si="176"/>
        <v>0</v>
      </c>
      <c r="Z57" s="27">
        <v>27</v>
      </c>
      <c r="AA57" s="27"/>
      <c r="AB57" s="27"/>
      <c r="AC57" s="27"/>
      <c r="AD57" s="27">
        <f t="shared" si="177"/>
        <v>27</v>
      </c>
      <c r="AE57" s="27">
        <f t="shared" si="178"/>
        <v>0</v>
      </c>
      <c r="AF57" s="27">
        <f t="shared" si="179"/>
        <v>27</v>
      </c>
      <c r="AG57" s="27">
        <f t="shared" si="180"/>
        <v>0</v>
      </c>
      <c r="AH57" s="27">
        <f t="shared" si="181"/>
        <v>27</v>
      </c>
      <c r="AI57" s="27">
        <f t="shared" si="182"/>
        <v>0</v>
      </c>
      <c r="AJ57" s="27">
        <f t="shared" si="183"/>
        <v>54</v>
      </c>
      <c r="AK57" s="27">
        <f t="shared" si="184"/>
        <v>0</v>
      </c>
      <c r="AL57" s="27"/>
      <c r="AM57" s="27"/>
      <c r="AN57" s="27">
        <v>0</v>
      </c>
      <c r="AO57" s="27"/>
      <c r="AP57" s="27">
        <f t="shared" si="185"/>
        <v>0</v>
      </c>
      <c r="AQ57" s="27">
        <f t="shared" si="186"/>
        <v>0</v>
      </c>
      <c r="AR57" s="27"/>
      <c r="AS57" s="27"/>
      <c r="AT57" s="27">
        <v>0</v>
      </c>
      <c r="AU57" s="27"/>
      <c r="AV57" s="27">
        <f t="shared" si="187"/>
        <v>0</v>
      </c>
      <c r="AW57" s="27">
        <f t="shared" si="188"/>
        <v>0</v>
      </c>
      <c r="AX57" s="27"/>
      <c r="AY57" s="27"/>
      <c r="AZ57" s="27">
        <v>0</v>
      </c>
      <c r="BA57" s="27"/>
      <c r="BB57" s="27">
        <f t="shared" si="189"/>
        <v>0</v>
      </c>
      <c r="BC57" s="27">
        <f t="shared" si="190"/>
        <v>0</v>
      </c>
      <c r="BD57" s="27"/>
      <c r="BE57" s="27"/>
      <c r="BF57" s="27">
        <v>0</v>
      </c>
      <c r="BG57" s="27"/>
      <c r="BH57" s="27">
        <f t="shared" si="191"/>
        <v>0</v>
      </c>
      <c r="BI57" s="27">
        <f t="shared" si="192"/>
        <v>0</v>
      </c>
      <c r="BJ57" s="27"/>
      <c r="BK57" s="27"/>
      <c r="BL57" s="27">
        <v>0</v>
      </c>
      <c r="BM57" s="27"/>
      <c r="BN57" s="27">
        <f t="shared" si="193"/>
        <v>0</v>
      </c>
      <c r="BO57" s="27">
        <f t="shared" si="194"/>
        <v>0</v>
      </c>
      <c r="BP57" s="26"/>
      <c r="BQ57" s="26"/>
      <c r="BR57" s="27">
        <v>0</v>
      </c>
      <c r="BS57" s="27"/>
      <c r="BT57" s="27">
        <f t="shared" si="195"/>
        <v>0</v>
      </c>
      <c r="BU57" s="27">
        <f t="shared" si="196"/>
        <v>0</v>
      </c>
      <c r="BV57" s="26"/>
      <c r="BW57" s="26"/>
      <c r="BX57" s="27">
        <v>0</v>
      </c>
      <c r="BY57" s="26"/>
      <c r="BZ57" s="27">
        <f t="shared" si="197"/>
        <v>0</v>
      </c>
      <c r="CA57" s="27">
        <f t="shared" si="198"/>
        <v>0</v>
      </c>
      <c r="CB57" s="26"/>
      <c r="CC57" s="26"/>
      <c r="CD57" s="27">
        <v>0</v>
      </c>
      <c r="CE57" s="26"/>
      <c r="CF57" s="27">
        <f t="shared" si="199"/>
        <v>0</v>
      </c>
      <c r="CG57" s="27">
        <f t="shared" si="200"/>
        <v>0</v>
      </c>
      <c r="CH57" s="27"/>
      <c r="CI57" s="27"/>
      <c r="CJ57" s="27">
        <v>0</v>
      </c>
      <c r="CK57" s="27"/>
      <c r="CL57" s="27">
        <f t="shared" si="201"/>
        <v>0</v>
      </c>
      <c r="CM57" s="27">
        <f t="shared" si="202"/>
        <v>0</v>
      </c>
      <c r="CN57" s="27"/>
      <c r="CO57" s="27"/>
      <c r="CP57" s="27">
        <v>0</v>
      </c>
      <c r="CQ57" s="27"/>
      <c r="CR57" s="27">
        <f t="shared" si="203"/>
        <v>0</v>
      </c>
      <c r="CS57" s="27">
        <f t="shared" si="204"/>
        <v>0</v>
      </c>
      <c r="CT57" s="27"/>
      <c r="CU57" s="27"/>
      <c r="CV57" s="27">
        <v>0</v>
      </c>
      <c r="CW57" s="27"/>
      <c r="CX57" s="27">
        <f t="shared" si="205"/>
        <v>0</v>
      </c>
      <c r="CY57" s="27">
        <f t="shared" si="206"/>
        <v>0</v>
      </c>
      <c r="CZ57" s="27"/>
      <c r="DA57" s="27"/>
      <c r="DB57" s="27">
        <v>0</v>
      </c>
      <c r="DC57" s="27"/>
      <c r="DD57" s="27">
        <f t="shared" si="207"/>
        <v>0</v>
      </c>
      <c r="DE57" s="27">
        <f t="shared" si="208"/>
        <v>0</v>
      </c>
      <c r="DF57" s="27">
        <f t="shared" si="209"/>
        <v>0</v>
      </c>
      <c r="DG57" s="27">
        <f t="shared" si="210"/>
        <v>0</v>
      </c>
      <c r="DH57" s="27">
        <f t="shared" si="211"/>
        <v>0</v>
      </c>
      <c r="DI57" s="27">
        <f t="shared" si="212"/>
        <v>0</v>
      </c>
      <c r="DJ57" s="27">
        <f t="shared" si="213"/>
        <v>0</v>
      </c>
      <c r="DK57" s="27">
        <f t="shared" si="214"/>
        <v>0</v>
      </c>
    </row>
    <row r="58" spans="1:115">
      <c r="A58" s="25">
        <v>50</v>
      </c>
      <c r="B58" s="26" t="s">
        <v>1162</v>
      </c>
      <c r="C58" s="26"/>
      <c r="D58" s="26"/>
      <c r="E58" s="205" t="s">
        <v>1200</v>
      </c>
      <c r="F58" s="161">
        <f t="shared" si="167"/>
        <v>0</v>
      </c>
      <c r="G58" s="165">
        <f t="shared" si="168"/>
        <v>0</v>
      </c>
      <c r="H58" s="27"/>
      <c r="I58" s="27">
        <v>0</v>
      </c>
      <c r="J58" s="27">
        <v>0</v>
      </c>
      <c r="K58" s="127">
        <f t="shared" si="169"/>
        <v>0</v>
      </c>
      <c r="L58" s="127">
        <f t="shared" si="170"/>
        <v>0</v>
      </c>
      <c r="M58" s="127">
        <f t="shared" si="171"/>
        <v>0</v>
      </c>
      <c r="N58" s="131"/>
      <c r="O58" s="125" t="str">
        <f t="shared" si="172"/>
        <v>ნულოვანი შესრულება</v>
      </c>
      <c r="P58" s="27">
        <v>0</v>
      </c>
      <c r="Q58" s="27">
        <v>0</v>
      </c>
      <c r="R58" s="27">
        <f t="shared" si="173"/>
        <v>0</v>
      </c>
      <c r="S58" s="27">
        <f t="shared" si="174"/>
        <v>0</v>
      </c>
      <c r="T58" s="27"/>
      <c r="U58" s="27"/>
      <c r="V58" s="27">
        <v>28</v>
      </c>
      <c r="W58" s="27"/>
      <c r="X58" s="27">
        <f t="shared" si="175"/>
        <v>28</v>
      </c>
      <c r="Y58" s="27">
        <f t="shared" si="176"/>
        <v>0</v>
      </c>
      <c r="Z58" s="27">
        <v>28</v>
      </c>
      <c r="AA58" s="27"/>
      <c r="AB58" s="27"/>
      <c r="AC58" s="27"/>
      <c r="AD58" s="27">
        <f t="shared" si="177"/>
        <v>28</v>
      </c>
      <c r="AE58" s="27">
        <f t="shared" si="178"/>
        <v>0</v>
      </c>
      <c r="AF58" s="27">
        <f t="shared" si="179"/>
        <v>28</v>
      </c>
      <c r="AG58" s="27">
        <f t="shared" si="180"/>
        <v>0</v>
      </c>
      <c r="AH58" s="27">
        <f t="shared" si="181"/>
        <v>28</v>
      </c>
      <c r="AI58" s="27">
        <f t="shared" si="182"/>
        <v>0</v>
      </c>
      <c r="AJ58" s="27">
        <f t="shared" si="183"/>
        <v>56</v>
      </c>
      <c r="AK58" s="27">
        <f t="shared" si="184"/>
        <v>0</v>
      </c>
      <c r="AL58" s="27"/>
      <c r="AM58" s="27"/>
      <c r="AN58" s="27">
        <v>0</v>
      </c>
      <c r="AO58" s="27"/>
      <c r="AP58" s="27">
        <f t="shared" si="185"/>
        <v>0</v>
      </c>
      <c r="AQ58" s="27">
        <f t="shared" si="186"/>
        <v>0</v>
      </c>
      <c r="AR58" s="27"/>
      <c r="AS58" s="27"/>
      <c r="AT58" s="27">
        <v>0</v>
      </c>
      <c r="AU58" s="27"/>
      <c r="AV58" s="27">
        <f t="shared" si="187"/>
        <v>0</v>
      </c>
      <c r="AW58" s="27">
        <f t="shared" si="188"/>
        <v>0</v>
      </c>
      <c r="AX58" s="27"/>
      <c r="AY58" s="27"/>
      <c r="AZ58" s="27">
        <v>0</v>
      </c>
      <c r="BA58" s="27"/>
      <c r="BB58" s="27">
        <f t="shared" si="189"/>
        <v>0</v>
      </c>
      <c r="BC58" s="27">
        <f t="shared" si="190"/>
        <v>0</v>
      </c>
      <c r="BD58" s="27"/>
      <c r="BE58" s="27"/>
      <c r="BF58" s="27">
        <v>0</v>
      </c>
      <c r="BG58" s="27"/>
      <c r="BH58" s="27">
        <f t="shared" si="191"/>
        <v>0</v>
      </c>
      <c r="BI58" s="27">
        <f t="shared" si="192"/>
        <v>0</v>
      </c>
      <c r="BJ58" s="27"/>
      <c r="BK58" s="27"/>
      <c r="BL58" s="27">
        <v>0</v>
      </c>
      <c r="BM58" s="27"/>
      <c r="BN58" s="27">
        <f t="shared" si="193"/>
        <v>0</v>
      </c>
      <c r="BO58" s="27">
        <f t="shared" si="194"/>
        <v>0</v>
      </c>
      <c r="BP58" s="26"/>
      <c r="BQ58" s="26"/>
      <c r="BR58" s="27">
        <v>0</v>
      </c>
      <c r="BS58" s="27"/>
      <c r="BT58" s="27">
        <f t="shared" si="195"/>
        <v>0</v>
      </c>
      <c r="BU58" s="27">
        <f t="shared" si="196"/>
        <v>0</v>
      </c>
      <c r="BV58" s="26"/>
      <c r="BW58" s="26"/>
      <c r="BX58" s="27">
        <v>0</v>
      </c>
      <c r="BY58" s="26"/>
      <c r="BZ58" s="27">
        <f t="shared" si="197"/>
        <v>0</v>
      </c>
      <c r="CA58" s="27">
        <f t="shared" si="198"/>
        <v>0</v>
      </c>
      <c r="CB58" s="26"/>
      <c r="CC58" s="26"/>
      <c r="CD58" s="27">
        <v>0</v>
      </c>
      <c r="CE58" s="26"/>
      <c r="CF58" s="27">
        <f t="shared" si="199"/>
        <v>0</v>
      </c>
      <c r="CG58" s="27">
        <f t="shared" si="200"/>
        <v>0</v>
      </c>
      <c r="CH58" s="27"/>
      <c r="CI58" s="27"/>
      <c r="CJ58" s="27">
        <v>0</v>
      </c>
      <c r="CK58" s="27"/>
      <c r="CL58" s="27">
        <f t="shared" si="201"/>
        <v>0</v>
      </c>
      <c r="CM58" s="27">
        <f t="shared" si="202"/>
        <v>0</v>
      </c>
      <c r="CN58" s="27"/>
      <c r="CO58" s="27"/>
      <c r="CP58" s="27">
        <v>0</v>
      </c>
      <c r="CQ58" s="27"/>
      <c r="CR58" s="27">
        <f t="shared" si="203"/>
        <v>0</v>
      </c>
      <c r="CS58" s="27">
        <f t="shared" si="204"/>
        <v>0</v>
      </c>
      <c r="CT58" s="27"/>
      <c r="CU58" s="27"/>
      <c r="CV58" s="27">
        <v>0</v>
      </c>
      <c r="CW58" s="27"/>
      <c r="CX58" s="27">
        <f t="shared" si="205"/>
        <v>0</v>
      </c>
      <c r="CY58" s="27">
        <f t="shared" si="206"/>
        <v>0</v>
      </c>
      <c r="CZ58" s="27"/>
      <c r="DA58" s="27"/>
      <c r="DB58" s="27">
        <v>0</v>
      </c>
      <c r="DC58" s="27"/>
      <c r="DD58" s="27">
        <f t="shared" si="207"/>
        <v>0</v>
      </c>
      <c r="DE58" s="27">
        <f t="shared" si="208"/>
        <v>0</v>
      </c>
      <c r="DF58" s="27">
        <f t="shared" si="209"/>
        <v>0</v>
      </c>
      <c r="DG58" s="27">
        <f t="shared" si="210"/>
        <v>0</v>
      </c>
      <c r="DH58" s="27">
        <f t="shared" si="211"/>
        <v>0</v>
      </c>
      <c r="DI58" s="27">
        <f t="shared" si="212"/>
        <v>0</v>
      </c>
      <c r="DJ58" s="27">
        <f t="shared" si="213"/>
        <v>0</v>
      </c>
      <c r="DK58" s="27">
        <f t="shared" si="214"/>
        <v>0</v>
      </c>
    </row>
    <row r="59" spans="1:115">
      <c r="A59" s="25">
        <v>51</v>
      </c>
      <c r="B59" s="26" t="s">
        <v>1162</v>
      </c>
      <c r="C59" s="26"/>
      <c r="D59" s="26"/>
      <c r="E59" s="205" t="s">
        <v>1200</v>
      </c>
      <c r="F59" s="161">
        <f t="shared" si="167"/>
        <v>0</v>
      </c>
      <c r="G59" s="165">
        <f t="shared" si="168"/>
        <v>0</v>
      </c>
      <c r="H59" s="27"/>
      <c r="I59" s="27">
        <v>0</v>
      </c>
      <c r="J59" s="27">
        <v>0</v>
      </c>
      <c r="K59" s="127">
        <f t="shared" si="169"/>
        <v>0</v>
      </c>
      <c r="L59" s="127">
        <f t="shared" si="170"/>
        <v>0</v>
      </c>
      <c r="M59" s="127">
        <f t="shared" si="171"/>
        <v>0</v>
      </c>
      <c r="N59" s="131"/>
      <c r="O59" s="125" t="str">
        <f t="shared" si="172"/>
        <v>ნულოვანი შესრულება</v>
      </c>
      <c r="P59" s="27">
        <v>0</v>
      </c>
      <c r="Q59" s="27">
        <v>0</v>
      </c>
      <c r="R59" s="27">
        <f t="shared" si="173"/>
        <v>0</v>
      </c>
      <c r="S59" s="27">
        <f t="shared" si="174"/>
        <v>0</v>
      </c>
      <c r="T59" s="27"/>
      <c r="U59" s="27"/>
      <c r="V59" s="27">
        <v>29</v>
      </c>
      <c r="W59" s="27"/>
      <c r="X59" s="27">
        <f t="shared" si="175"/>
        <v>29</v>
      </c>
      <c r="Y59" s="27">
        <f t="shared" si="176"/>
        <v>0</v>
      </c>
      <c r="Z59" s="27">
        <v>29</v>
      </c>
      <c r="AA59" s="27"/>
      <c r="AB59" s="27"/>
      <c r="AC59" s="27"/>
      <c r="AD59" s="27">
        <f t="shared" si="177"/>
        <v>29</v>
      </c>
      <c r="AE59" s="27">
        <f t="shared" si="178"/>
        <v>0</v>
      </c>
      <c r="AF59" s="27">
        <f t="shared" si="179"/>
        <v>29</v>
      </c>
      <c r="AG59" s="27">
        <f t="shared" si="180"/>
        <v>0</v>
      </c>
      <c r="AH59" s="27">
        <f t="shared" si="181"/>
        <v>29</v>
      </c>
      <c r="AI59" s="27">
        <f t="shared" si="182"/>
        <v>0</v>
      </c>
      <c r="AJ59" s="27">
        <f t="shared" si="183"/>
        <v>58</v>
      </c>
      <c r="AK59" s="27">
        <f t="shared" si="184"/>
        <v>0</v>
      </c>
      <c r="AL59" s="27"/>
      <c r="AM59" s="27"/>
      <c r="AN59" s="27">
        <v>0</v>
      </c>
      <c r="AO59" s="27"/>
      <c r="AP59" s="27">
        <f t="shared" si="185"/>
        <v>0</v>
      </c>
      <c r="AQ59" s="27">
        <f t="shared" si="186"/>
        <v>0</v>
      </c>
      <c r="AR59" s="27"/>
      <c r="AS59" s="27"/>
      <c r="AT59" s="27">
        <v>0</v>
      </c>
      <c r="AU59" s="27"/>
      <c r="AV59" s="27">
        <f t="shared" si="187"/>
        <v>0</v>
      </c>
      <c r="AW59" s="27">
        <f t="shared" si="188"/>
        <v>0</v>
      </c>
      <c r="AX59" s="27"/>
      <c r="AY59" s="27"/>
      <c r="AZ59" s="27">
        <v>0</v>
      </c>
      <c r="BA59" s="27"/>
      <c r="BB59" s="27">
        <f t="shared" si="189"/>
        <v>0</v>
      </c>
      <c r="BC59" s="27">
        <f t="shared" si="190"/>
        <v>0</v>
      </c>
      <c r="BD59" s="27"/>
      <c r="BE59" s="27"/>
      <c r="BF59" s="27">
        <v>0</v>
      </c>
      <c r="BG59" s="27"/>
      <c r="BH59" s="27">
        <f t="shared" si="191"/>
        <v>0</v>
      </c>
      <c r="BI59" s="27">
        <f t="shared" si="192"/>
        <v>0</v>
      </c>
      <c r="BJ59" s="27"/>
      <c r="BK59" s="27"/>
      <c r="BL59" s="27">
        <v>0</v>
      </c>
      <c r="BM59" s="27"/>
      <c r="BN59" s="27">
        <f t="shared" si="193"/>
        <v>0</v>
      </c>
      <c r="BO59" s="27">
        <f t="shared" si="194"/>
        <v>0</v>
      </c>
      <c r="BP59" s="26"/>
      <c r="BQ59" s="26"/>
      <c r="BR59" s="27">
        <v>0</v>
      </c>
      <c r="BS59" s="27"/>
      <c r="BT59" s="27">
        <f t="shared" si="195"/>
        <v>0</v>
      </c>
      <c r="BU59" s="27">
        <f t="shared" si="196"/>
        <v>0</v>
      </c>
      <c r="BV59" s="26"/>
      <c r="BW59" s="26"/>
      <c r="BX59" s="27">
        <v>0</v>
      </c>
      <c r="BY59" s="26"/>
      <c r="BZ59" s="27">
        <f t="shared" si="197"/>
        <v>0</v>
      </c>
      <c r="CA59" s="27">
        <f t="shared" si="198"/>
        <v>0</v>
      </c>
      <c r="CB59" s="26"/>
      <c r="CC59" s="26"/>
      <c r="CD59" s="27">
        <v>0</v>
      </c>
      <c r="CE59" s="26"/>
      <c r="CF59" s="27">
        <f t="shared" si="199"/>
        <v>0</v>
      </c>
      <c r="CG59" s="27">
        <f t="shared" si="200"/>
        <v>0</v>
      </c>
      <c r="CH59" s="27"/>
      <c r="CI59" s="27"/>
      <c r="CJ59" s="27">
        <v>0</v>
      </c>
      <c r="CK59" s="27"/>
      <c r="CL59" s="27">
        <f t="shared" si="201"/>
        <v>0</v>
      </c>
      <c r="CM59" s="27">
        <f t="shared" si="202"/>
        <v>0</v>
      </c>
      <c r="CN59" s="27"/>
      <c r="CO59" s="27"/>
      <c r="CP59" s="27">
        <v>0</v>
      </c>
      <c r="CQ59" s="27"/>
      <c r="CR59" s="27">
        <f t="shared" si="203"/>
        <v>0</v>
      </c>
      <c r="CS59" s="27">
        <f t="shared" si="204"/>
        <v>0</v>
      </c>
      <c r="CT59" s="27"/>
      <c r="CU59" s="27"/>
      <c r="CV59" s="27">
        <v>0</v>
      </c>
      <c r="CW59" s="27"/>
      <c r="CX59" s="27">
        <f t="shared" si="205"/>
        <v>0</v>
      </c>
      <c r="CY59" s="27">
        <f t="shared" si="206"/>
        <v>0</v>
      </c>
      <c r="CZ59" s="27"/>
      <c r="DA59" s="27"/>
      <c r="DB59" s="27">
        <v>0</v>
      </c>
      <c r="DC59" s="27"/>
      <c r="DD59" s="27">
        <f t="shared" si="207"/>
        <v>0</v>
      </c>
      <c r="DE59" s="27">
        <f t="shared" si="208"/>
        <v>0</v>
      </c>
      <c r="DF59" s="27">
        <f t="shared" si="209"/>
        <v>0</v>
      </c>
      <c r="DG59" s="27">
        <f t="shared" si="210"/>
        <v>0</v>
      </c>
      <c r="DH59" s="27">
        <f t="shared" si="211"/>
        <v>0</v>
      </c>
      <c r="DI59" s="27">
        <f t="shared" si="212"/>
        <v>0</v>
      </c>
      <c r="DJ59" s="27">
        <f t="shared" si="213"/>
        <v>0</v>
      </c>
      <c r="DK59" s="27">
        <f t="shared" si="214"/>
        <v>0</v>
      </c>
    </row>
    <row r="60" spans="1:115">
      <c r="A60" s="25">
        <v>52</v>
      </c>
      <c r="B60" s="26" t="s">
        <v>1162</v>
      </c>
      <c r="C60" s="26"/>
      <c r="D60" s="26"/>
      <c r="E60" s="205" t="s">
        <v>1200</v>
      </c>
      <c r="F60" s="161">
        <f t="shared" si="167"/>
        <v>0</v>
      </c>
      <c r="G60" s="165">
        <f t="shared" si="168"/>
        <v>0</v>
      </c>
      <c r="H60" s="27"/>
      <c r="I60" s="27">
        <v>0</v>
      </c>
      <c r="J60" s="27">
        <v>0</v>
      </c>
      <c r="K60" s="127">
        <f t="shared" si="169"/>
        <v>0</v>
      </c>
      <c r="L60" s="127">
        <f t="shared" si="170"/>
        <v>0</v>
      </c>
      <c r="M60" s="127">
        <f t="shared" si="171"/>
        <v>0</v>
      </c>
      <c r="N60" s="131"/>
      <c r="O60" s="125" t="str">
        <f t="shared" si="172"/>
        <v>ნულოვანი შესრულება</v>
      </c>
      <c r="P60" s="27">
        <v>0</v>
      </c>
      <c r="Q60" s="27">
        <v>0</v>
      </c>
      <c r="R60" s="27">
        <f t="shared" si="173"/>
        <v>0</v>
      </c>
      <c r="S60" s="27">
        <f t="shared" si="174"/>
        <v>0</v>
      </c>
      <c r="T60" s="27"/>
      <c r="U60" s="27"/>
      <c r="V60" s="27">
        <v>30</v>
      </c>
      <c r="W60" s="27"/>
      <c r="X60" s="27">
        <f t="shared" si="175"/>
        <v>30</v>
      </c>
      <c r="Y60" s="27">
        <f t="shared" si="176"/>
        <v>0</v>
      </c>
      <c r="Z60" s="27">
        <v>30</v>
      </c>
      <c r="AA60" s="27"/>
      <c r="AB60" s="27"/>
      <c r="AC60" s="27"/>
      <c r="AD60" s="27">
        <f t="shared" si="177"/>
        <v>30</v>
      </c>
      <c r="AE60" s="27">
        <f t="shared" si="178"/>
        <v>0</v>
      </c>
      <c r="AF60" s="27">
        <f t="shared" si="179"/>
        <v>30</v>
      </c>
      <c r="AG60" s="27">
        <f t="shared" si="180"/>
        <v>0</v>
      </c>
      <c r="AH60" s="27">
        <f t="shared" si="181"/>
        <v>30</v>
      </c>
      <c r="AI60" s="27">
        <f t="shared" si="182"/>
        <v>0</v>
      </c>
      <c r="AJ60" s="27">
        <f t="shared" si="183"/>
        <v>60</v>
      </c>
      <c r="AK60" s="27">
        <f t="shared" si="184"/>
        <v>0</v>
      </c>
      <c r="AL60" s="27"/>
      <c r="AM60" s="27"/>
      <c r="AN60" s="27">
        <v>0</v>
      </c>
      <c r="AO60" s="27"/>
      <c r="AP60" s="27">
        <f t="shared" si="185"/>
        <v>0</v>
      </c>
      <c r="AQ60" s="27">
        <f t="shared" si="186"/>
        <v>0</v>
      </c>
      <c r="AR60" s="27"/>
      <c r="AS60" s="27"/>
      <c r="AT60" s="27">
        <v>0</v>
      </c>
      <c r="AU60" s="27"/>
      <c r="AV60" s="27">
        <f t="shared" si="187"/>
        <v>0</v>
      </c>
      <c r="AW60" s="27">
        <f t="shared" si="188"/>
        <v>0</v>
      </c>
      <c r="AX60" s="27"/>
      <c r="AY60" s="27"/>
      <c r="AZ60" s="27">
        <v>0</v>
      </c>
      <c r="BA60" s="27"/>
      <c r="BB60" s="27">
        <f t="shared" si="189"/>
        <v>0</v>
      </c>
      <c r="BC60" s="27">
        <f t="shared" si="190"/>
        <v>0</v>
      </c>
      <c r="BD60" s="27"/>
      <c r="BE60" s="27"/>
      <c r="BF60" s="27">
        <v>0</v>
      </c>
      <c r="BG60" s="27"/>
      <c r="BH60" s="27">
        <f t="shared" si="191"/>
        <v>0</v>
      </c>
      <c r="BI60" s="27">
        <f t="shared" si="192"/>
        <v>0</v>
      </c>
      <c r="BJ60" s="27"/>
      <c r="BK60" s="27"/>
      <c r="BL60" s="27">
        <v>0</v>
      </c>
      <c r="BM60" s="27"/>
      <c r="BN60" s="27">
        <f t="shared" si="193"/>
        <v>0</v>
      </c>
      <c r="BO60" s="27">
        <f t="shared" si="194"/>
        <v>0</v>
      </c>
      <c r="BP60" s="26"/>
      <c r="BQ60" s="26"/>
      <c r="BR60" s="27">
        <v>0</v>
      </c>
      <c r="BS60" s="27"/>
      <c r="BT60" s="27">
        <f t="shared" si="195"/>
        <v>0</v>
      </c>
      <c r="BU60" s="27">
        <f t="shared" si="196"/>
        <v>0</v>
      </c>
      <c r="BV60" s="26"/>
      <c r="BW60" s="26"/>
      <c r="BX60" s="27">
        <v>0</v>
      </c>
      <c r="BY60" s="26"/>
      <c r="BZ60" s="27">
        <f t="shared" si="197"/>
        <v>0</v>
      </c>
      <c r="CA60" s="27">
        <f t="shared" si="198"/>
        <v>0</v>
      </c>
      <c r="CB60" s="26"/>
      <c r="CC60" s="26"/>
      <c r="CD60" s="27">
        <v>0</v>
      </c>
      <c r="CE60" s="26"/>
      <c r="CF60" s="27">
        <f t="shared" si="199"/>
        <v>0</v>
      </c>
      <c r="CG60" s="27">
        <f t="shared" si="200"/>
        <v>0</v>
      </c>
      <c r="CH60" s="27"/>
      <c r="CI60" s="27"/>
      <c r="CJ60" s="27">
        <v>0</v>
      </c>
      <c r="CK60" s="27"/>
      <c r="CL60" s="27">
        <f t="shared" si="201"/>
        <v>0</v>
      </c>
      <c r="CM60" s="27">
        <f t="shared" si="202"/>
        <v>0</v>
      </c>
      <c r="CN60" s="27"/>
      <c r="CO60" s="27"/>
      <c r="CP60" s="27">
        <v>0</v>
      </c>
      <c r="CQ60" s="27"/>
      <c r="CR60" s="27">
        <f t="shared" si="203"/>
        <v>0</v>
      </c>
      <c r="CS60" s="27">
        <f t="shared" si="204"/>
        <v>0</v>
      </c>
      <c r="CT60" s="27"/>
      <c r="CU60" s="27"/>
      <c r="CV60" s="27">
        <v>0</v>
      </c>
      <c r="CW60" s="27"/>
      <c r="CX60" s="27">
        <f t="shared" si="205"/>
        <v>0</v>
      </c>
      <c r="CY60" s="27">
        <f t="shared" si="206"/>
        <v>0</v>
      </c>
      <c r="CZ60" s="27"/>
      <c r="DA60" s="27"/>
      <c r="DB60" s="27">
        <v>0</v>
      </c>
      <c r="DC60" s="27"/>
      <c r="DD60" s="27">
        <f t="shared" si="207"/>
        <v>0</v>
      </c>
      <c r="DE60" s="27">
        <f t="shared" si="208"/>
        <v>0</v>
      </c>
      <c r="DF60" s="27">
        <f t="shared" si="209"/>
        <v>0</v>
      </c>
      <c r="DG60" s="27">
        <f t="shared" si="210"/>
        <v>0</v>
      </c>
      <c r="DH60" s="27">
        <f t="shared" si="211"/>
        <v>0</v>
      </c>
      <c r="DI60" s="27">
        <f t="shared" si="212"/>
        <v>0</v>
      </c>
      <c r="DJ60" s="27">
        <f t="shared" si="213"/>
        <v>0</v>
      </c>
      <c r="DK60" s="27">
        <f t="shared" si="214"/>
        <v>0</v>
      </c>
    </row>
    <row r="61" spans="1:115">
      <c r="A61" s="25">
        <v>53</v>
      </c>
      <c r="B61" s="26" t="s">
        <v>1162</v>
      </c>
      <c r="C61" s="26"/>
      <c r="D61" s="26"/>
      <c r="E61" s="205" t="s">
        <v>1200</v>
      </c>
      <c r="F61" s="161">
        <f t="shared" si="167"/>
        <v>0</v>
      </c>
      <c r="G61" s="165">
        <f t="shared" si="168"/>
        <v>0</v>
      </c>
      <c r="H61" s="27"/>
      <c r="I61" s="27">
        <v>0</v>
      </c>
      <c r="J61" s="27">
        <v>0</v>
      </c>
      <c r="K61" s="127">
        <f t="shared" si="169"/>
        <v>0</v>
      </c>
      <c r="L61" s="127">
        <f t="shared" si="170"/>
        <v>0</v>
      </c>
      <c r="M61" s="127">
        <f t="shared" si="171"/>
        <v>0</v>
      </c>
      <c r="N61" s="131"/>
      <c r="O61" s="125" t="str">
        <f t="shared" si="172"/>
        <v>ნულოვანი შესრულება</v>
      </c>
      <c r="P61" s="27">
        <v>0</v>
      </c>
      <c r="Q61" s="27">
        <v>0</v>
      </c>
      <c r="R61" s="27">
        <f t="shared" si="173"/>
        <v>0</v>
      </c>
      <c r="S61" s="27">
        <f t="shared" si="174"/>
        <v>0</v>
      </c>
      <c r="T61" s="27"/>
      <c r="U61" s="27"/>
      <c r="V61" s="27">
        <v>31</v>
      </c>
      <c r="W61" s="27"/>
      <c r="X61" s="27">
        <f t="shared" si="175"/>
        <v>31</v>
      </c>
      <c r="Y61" s="27">
        <f t="shared" si="176"/>
        <v>0</v>
      </c>
      <c r="Z61" s="27">
        <v>31</v>
      </c>
      <c r="AA61" s="27"/>
      <c r="AB61" s="27"/>
      <c r="AC61" s="27"/>
      <c r="AD61" s="27">
        <f t="shared" si="177"/>
        <v>31</v>
      </c>
      <c r="AE61" s="27">
        <f t="shared" si="178"/>
        <v>0</v>
      </c>
      <c r="AF61" s="27">
        <f t="shared" si="179"/>
        <v>31</v>
      </c>
      <c r="AG61" s="27">
        <f t="shared" si="180"/>
        <v>0</v>
      </c>
      <c r="AH61" s="27">
        <f t="shared" si="181"/>
        <v>31</v>
      </c>
      <c r="AI61" s="27">
        <f t="shared" si="182"/>
        <v>0</v>
      </c>
      <c r="AJ61" s="27">
        <f t="shared" si="183"/>
        <v>62</v>
      </c>
      <c r="AK61" s="27">
        <f t="shared" si="184"/>
        <v>0</v>
      </c>
      <c r="AL61" s="27"/>
      <c r="AM61" s="27"/>
      <c r="AN61" s="27">
        <v>0</v>
      </c>
      <c r="AO61" s="27"/>
      <c r="AP61" s="27">
        <f t="shared" si="185"/>
        <v>0</v>
      </c>
      <c r="AQ61" s="27">
        <f t="shared" si="186"/>
        <v>0</v>
      </c>
      <c r="AR61" s="27"/>
      <c r="AS61" s="27"/>
      <c r="AT61" s="27">
        <v>0</v>
      </c>
      <c r="AU61" s="27"/>
      <c r="AV61" s="27">
        <f t="shared" si="187"/>
        <v>0</v>
      </c>
      <c r="AW61" s="27">
        <f t="shared" si="188"/>
        <v>0</v>
      </c>
      <c r="AX61" s="27"/>
      <c r="AY61" s="27"/>
      <c r="AZ61" s="27">
        <v>0</v>
      </c>
      <c r="BA61" s="27"/>
      <c r="BB61" s="27">
        <f t="shared" si="189"/>
        <v>0</v>
      </c>
      <c r="BC61" s="27">
        <f t="shared" si="190"/>
        <v>0</v>
      </c>
      <c r="BD61" s="27"/>
      <c r="BE61" s="27"/>
      <c r="BF61" s="27">
        <v>0</v>
      </c>
      <c r="BG61" s="27"/>
      <c r="BH61" s="27">
        <f t="shared" si="191"/>
        <v>0</v>
      </c>
      <c r="BI61" s="27">
        <f t="shared" si="192"/>
        <v>0</v>
      </c>
      <c r="BJ61" s="27"/>
      <c r="BK61" s="27"/>
      <c r="BL61" s="27">
        <v>0</v>
      </c>
      <c r="BM61" s="27"/>
      <c r="BN61" s="27">
        <f t="shared" si="193"/>
        <v>0</v>
      </c>
      <c r="BO61" s="27">
        <f t="shared" si="194"/>
        <v>0</v>
      </c>
      <c r="BP61" s="26"/>
      <c r="BQ61" s="26"/>
      <c r="BR61" s="27">
        <v>0</v>
      </c>
      <c r="BS61" s="27"/>
      <c r="BT61" s="27">
        <f t="shared" si="195"/>
        <v>0</v>
      </c>
      <c r="BU61" s="27">
        <f t="shared" si="196"/>
        <v>0</v>
      </c>
      <c r="BV61" s="26"/>
      <c r="BW61" s="26"/>
      <c r="BX61" s="27">
        <v>0</v>
      </c>
      <c r="BY61" s="26"/>
      <c r="BZ61" s="27">
        <f t="shared" si="197"/>
        <v>0</v>
      </c>
      <c r="CA61" s="27">
        <f t="shared" si="198"/>
        <v>0</v>
      </c>
      <c r="CB61" s="26"/>
      <c r="CC61" s="26"/>
      <c r="CD61" s="27">
        <v>0</v>
      </c>
      <c r="CE61" s="26"/>
      <c r="CF61" s="27">
        <f t="shared" si="199"/>
        <v>0</v>
      </c>
      <c r="CG61" s="27">
        <f t="shared" si="200"/>
        <v>0</v>
      </c>
      <c r="CH61" s="27"/>
      <c r="CI61" s="27"/>
      <c r="CJ61" s="27">
        <v>0</v>
      </c>
      <c r="CK61" s="27"/>
      <c r="CL61" s="27">
        <f t="shared" si="201"/>
        <v>0</v>
      </c>
      <c r="CM61" s="27">
        <f t="shared" si="202"/>
        <v>0</v>
      </c>
      <c r="CN61" s="27"/>
      <c r="CO61" s="27"/>
      <c r="CP61" s="27">
        <v>0</v>
      </c>
      <c r="CQ61" s="27"/>
      <c r="CR61" s="27">
        <f t="shared" si="203"/>
        <v>0</v>
      </c>
      <c r="CS61" s="27">
        <f t="shared" si="204"/>
        <v>0</v>
      </c>
      <c r="CT61" s="27"/>
      <c r="CU61" s="27"/>
      <c r="CV61" s="27">
        <v>0</v>
      </c>
      <c r="CW61" s="27"/>
      <c r="CX61" s="27">
        <f t="shared" si="205"/>
        <v>0</v>
      </c>
      <c r="CY61" s="27">
        <f t="shared" si="206"/>
        <v>0</v>
      </c>
      <c r="CZ61" s="27"/>
      <c r="DA61" s="27"/>
      <c r="DB61" s="27">
        <v>0</v>
      </c>
      <c r="DC61" s="27"/>
      <c r="DD61" s="27">
        <f t="shared" si="207"/>
        <v>0</v>
      </c>
      <c r="DE61" s="27">
        <f t="shared" si="208"/>
        <v>0</v>
      </c>
      <c r="DF61" s="27">
        <f t="shared" si="209"/>
        <v>0</v>
      </c>
      <c r="DG61" s="27">
        <f t="shared" si="210"/>
        <v>0</v>
      </c>
      <c r="DH61" s="27">
        <f t="shared" si="211"/>
        <v>0</v>
      </c>
      <c r="DI61" s="27">
        <f t="shared" si="212"/>
        <v>0</v>
      </c>
      <c r="DJ61" s="27">
        <f t="shared" si="213"/>
        <v>0</v>
      </c>
      <c r="DK61" s="27">
        <f t="shared" si="214"/>
        <v>0</v>
      </c>
    </row>
    <row r="62" spans="1:115">
      <c r="A62" s="25">
        <v>54</v>
      </c>
      <c r="B62" s="26" t="s">
        <v>1162</v>
      </c>
      <c r="C62" s="26"/>
      <c r="D62" s="26"/>
      <c r="E62" s="205" t="s">
        <v>1200</v>
      </c>
      <c r="F62" s="161">
        <f t="shared" si="167"/>
        <v>0</v>
      </c>
      <c r="G62" s="165">
        <f t="shared" si="168"/>
        <v>0</v>
      </c>
      <c r="H62" s="27"/>
      <c r="I62" s="27">
        <v>0</v>
      </c>
      <c r="J62" s="27">
        <v>0</v>
      </c>
      <c r="K62" s="127">
        <f t="shared" si="169"/>
        <v>0</v>
      </c>
      <c r="L62" s="127">
        <f t="shared" si="170"/>
        <v>0</v>
      </c>
      <c r="M62" s="127">
        <f t="shared" si="171"/>
        <v>0</v>
      </c>
      <c r="N62" s="131"/>
      <c r="O62" s="125" t="str">
        <f t="shared" si="172"/>
        <v>ნულოვანი შესრულება</v>
      </c>
      <c r="P62" s="27">
        <v>0</v>
      </c>
      <c r="Q62" s="27">
        <v>0</v>
      </c>
      <c r="R62" s="27">
        <f t="shared" si="173"/>
        <v>0</v>
      </c>
      <c r="S62" s="27">
        <f t="shared" si="174"/>
        <v>0</v>
      </c>
      <c r="T62" s="27"/>
      <c r="U62" s="27"/>
      <c r="V62" s="27">
        <v>32</v>
      </c>
      <c r="W62" s="27"/>
      <c r="X62" s="27">
        <f t="shared" si="175"/>
        <v>32</v>
      </c>
      <c r="Y62" s="27">
        <f t="shared" si="176"/>
        <v>0</v>
      </c>
      <c r="Z62" s="27">
        <v>32</v>
      </c>
      <c r="AA62" s="27"/>
      <c r="AB62" s="27"/>
      <c r="AC62" s="27"/>
      <c r="AD62" s="27">
        <f t="shared" si="177"/>
        <v>32</v>
      </c>
      <c r="AE62" s="27">
        <f t="shared" si="178"/>
        <v>0</v>
      </c>
      <c r="AF62" s="27">
        <f t="shared" si="179"/>
        <v>32</v>
      </c>
      <c r="AG62" s="27">
        <f t="shared" si="180"/>
        <v>0</v>
      </c>
      <c r="AH62" s="27">
        <f t="shared" si="181"/>
        <v>32</v>
      </c>
      <c r="AI62" s="27">
        <f t="shared" si="182"/>
        <v>0</v>
      </c>
      <c r="AJ62" s="27">
        <f t="shared" si="183"/>
        <v>64</v>
      </c>
      <c r="AK62" s="27">
        <f t="shared" si="184"/>
        <v>0</v>
      </c>
      <c r="AL62" s="27"/>
      <c r="AM62" s="27"/>
      <c r="AN62" s="27">
        <v>0</v>
      </c>
      <c r="AO62" s="27"/>
      <c r="AP62" s="27">
        <f t="shared" si="185"/>
        <v>0</v>
      </c>
      <c r="AQ62" s="27">
        <f t="shared" si="186"/>
        <v>0</v>
      </c>
      <c r="AR62" s="27"/>
      <c r="AS62" s="27"/>
      <c r="AT62" s="27">
        <v>0</v>
      </c>
      <c r="AU62" s="27"/>
      <c r="AV62" s="27">
        <f t="shared" si="187"/>
        <v>0</v>
      </c>
      <c r="AW62" s="27">
        <f t="shared" si="188"/>
        <v>0</v>
      </c>
      <c r="AX62" s="27"/>
      <c r="AY62" s="27"/>
      <c r="AZ62" s="27">
        <v>0</v>
      </c>
      <c r="BA62" s="27"/>
      <c r="BB62" s="27">
        <f t="shared" si="189"/>
        <v>0</v>
      </c>
      <c r="BC62" s="27">
        <f t="shared" si="190"/>
        <v>0</v>
      </c>
      <c r="BD62" s="27"/>
      <c r="BE62" s="27"/>
      <c r="BF62" s="27">
        <v>0</v>
      </c>
      <c r="BG62" s="27"/>
      <c r="BH62" s="27">
        <f t="shared" si="191"/>
        <v>0</v>
      </c>
      <c r="BI62" s="27">
        <f t="shared" si="192"/>
        <v>0</v>
      </c>
      <c r="BJ62" s="27"/>
      <c r="BK62" s="27"/>
      <c r="BL62" s="27">
        <v>0</v>
      </c>
      <c r="BM62" s="27"/>
      <c r="BN62" s="27">
        <f t="shared" si="193"/>
        <v>0</v>
      </c>
      <c r="BO62" s="27">
        <f t="shared" si="194"/>
        <v>0</v>
      </c>
      <c r="BP62" s="26"/>
      <c r="BQ62" s="26"/>
      <c r="BR62" s="27">
        <v>0</v>
      </c>
      <c r="BS62" s="27"/>
      <c r="BT62" s="27">
        <f t="shared" si="195"/>
        <v>0</v>
      </c>
      <c r="BU62" s="27">
        <f t="shared" si="196"/>
        <v>0</v>
      </c>
      <c r="BV62" s="26"/>
      <c r="BW62" s="26"/>
      <c r="BX62" s="27">
        <v>0</v>
      </c>
      <c r="BY62" s="26"/>
      <c r="BZ62" s="27">
        <f t="shared" si="197"/>
        <v>0</v>
      </c>
      <c r="CA62" s="27">
        <f t="shared" si="198"/>
        <v>0</v>
      </c>
      <c r="CB62" s="26"/>
      <c r="CC62" s="26"/>
      <c r="CD62" s="27">
        <v>0</v>
      </c>
      <c r="CE62" s="26"/>
      <c r="CF62" s="27">
        <f t="shared" si="199"/>
        <v>0</v>
      </c>
      <c r="CG62" s="27">
        <f t="shared" si="200"/>
        <v>0</v>
      </c>
      <c r="CH62" s="27"/>
      <c r="CI62" s="27"/>
      <c r="CJ62" s="27">
        <v>0</v>
      </c>
      <c r="CK62" s="27"/>
      <c r="CL62" s="27">
        <f t="shared" si="201"/>
        <v>0</v>
      </c>
      <c r="CM62" s="27">
        <f t="shared" si="202"/>
        <v>0</v>
      </c>
      <c r="CN62" s="27"/>
      <c r="CO62" s="27"/>
      <c r="CP62" s="27">
        <v>0</v>
      </c>
      <c r="CQ62" s="27"/>
      <c r="CR62" s="27">
        <f t="shared" si="203"/>
        <v>0</v>
      </c>
      <c r="CS62" s="27">
        <f t="shared" si="204"/>
        <v>0</v>
      </c>
      <c r="CT62" s="27"/>
      <c r="CU62" s="27"/>
      <c r="CV62" s="27">
        <v>0</v>
      </c>
      <c r="CW62" s="27"/>
      <c r="CX62" s="27">
        <f t="shared" si="205"/>
        <v>0</v>
      </c>
      <c r="CY62" s="27">
        <f t="shared" si="206"/>
        <v>0</v>
      </c>
      <c r="CZ62" s="27"/>
      <c r="DA62" s="27"/>
      <c r="DB62" s="27">
        <v>0</v>
      </c>
      <c r="DC62" s="27"/>
      <c r="DD62" s="27">
        <f t="shared" si="207"/>
        <v>0</v>
      </c>
      <c r="DE62" s="27">
        <f t="shared" si="208"/>
        <v>0</v>
      </c>
      <c r="DF62" s="27">
        <f t="shared" si="209"/>
        <v>0</v>
      </c>
      <c r="DG62" s="27">
        <f t="shared" si="210"/>
        <v>0</v>
      </c>
      <c r="DH62" s="27">
        <f t="shared" si="211"/>
        <v>0</v>
      </c>
      <c r="DI62" s="27">
        <f t="shared" si="212"/>
        <v>0</v>
      </c>
      <c r="DJ62" s="27">
        <f t="shared" si="213"/>
        <v>0</v>
      </c>
      <c r="DK62" s="27">
        <f t="shared" si="214"/>
        <v>0</v>
      </c>
    </row>
    <row r="63" spans="1:115">
      <c r="A63" s="25">
        <v>55</v>
      </c>
      <c r="B63" s="26" t="s">
        <v>1162</v>
      </c>
      <c r="C63" s="26"/>
      <c r="D63" s="26"/>
      <c r="E63" s="205" t="s">
        <v>1200</v>
      </c>
      <c r="F63" s="161">
        <f t="shared" si="167"/>
        <v>0</v>
      </c>
      <c r="G63" s="165">
        <f t="shared" si="168"/>
        <v>0</v>
      </c>
      <c r="H63" s="27"/>
      <c r="I63" s="27">
        <v>0</v>
      </c>
      <c r="J63" s="27">
        <v>0</v>
      </c>
      <c r="K63" s="127">
        <f t="shared" si="169"/>
        <v>0</v>
      </c>
      <c r="L63" s="127">
        <f t="shared" si="170"/>
        <v>0</v>
      </c>
      <c r="M63" s="127">
        <f t="shared" si="171"/>
        <v>0</v>
      </c>
      <c r="N63" s="131"/>
      <c r="O63" s="125" t="str">
        <f t="shared" si="172"/>
        <v>ნულოვანი შესრულება</v>
      </c>
      <c r="P63" s="27">
        <v>0</v>
      </c>
      <c r="Q63" s="27">
        <v>0</v>
      </c>
      <c r="R63" s="27">
        <f t="shared" si="173"/>
        <v>0</v>
      </c>
      <c r="S63" s="27">
        <f t="shared" si="174"/>
        <v>0</v>
      </c>
      <c r="T63" s="27"/>
      <c r="U63" s="27"/>
      <c r="V63" s="27">
        <v>33</v>
      </c>
      <c r="W63" s="27"/>
      <c r="X63" s="27">
        <f t="shared" si="175"/>
        <v>33</v>
      </c>
      <c r="Y63" s="27">
        <f t="shared" si="176"/>
        <v>0</v>
      </c>
      <c r="Z63" s="27">
        <v>33</v>
      </c>
      <c r="AA63" s="27"/>
      <c r="AB63" s="27"/>
      <c r="AC63" s="27"/>
      <c r="AD63" s="27">
        <f t="shared" si="177"/>
        <v>33</v>
      </c>
      <c r="AE63" s="27">
        <f t="shared" si="178"/>
        <v>0</v>
      </c>
      <c r="AF63" s="27">
        <f t="shared" si="179"/>
        <v>33</v>
      </c>
      <c r="AG63" s="27">
        <f t="shared" si="180"/>
        <v>0</v>
      </c>
      <c r="AH63" s="27">
        <f t="shared" si="181"/>
        <v>33</v>
      </c>
      <c r="AI63" s="27">
        <f t="shared" si="182"/>
        <v>0</v>
      </c>
      <c r="AJ63" s="27">
        <f t="shared" si="183"/>
        <v>66</v>
      </c>
      <c r="AK63" s="27">
        <f t="shared" si="184"/>
        <v>0</v>
      </c>
      <c r="AL63" s="27"/>
      <c r="AM63" s="27"/>
      <c r="AN63" s="27">
        <v>0</v>
      </c>
      <c r="AO63" s="27"/>
      <c r="AP63" s="27">
        <f t="shared" si="185"/>
        <v>0</v>
      </c>
      <c r="AQ63" s="27">
        <f t="shared" si="186"/>
        <v>0</v>
      </c>
      <c r="AR63" s="27"/>
      <c r="AS63" s="27"/>
      <c r="AT63" s="27">
        <v>0</v>
      </c>
      <c r="AU63" s="27"/>
      <c r="AV63" s="27">
        <f t="shared" si="187"/>
        <v>0</v>
      </c>
      <c r="AW63" s="27">
        <f t="shared" si="188"/>
        <v>0</v>
      </c>
      <c r="AX63" s="27"/>
      <c r="AY63" s="27"/>
      <c r="AZ63" s="27">
        <v>0</v>
      </c>
      <c r="BA63" s="27"/>
      <c r="BB63" s="27">
        <f t="shared" si="189"/>
        <v>0</v>
      </c>
      <c r="BC63" s="27">
        <f t="shared" si="190"/>
        <v>0</v>
      </c>
      <c r="BD63" s="27"/>
      <c r="BE63" s="27"/>
      <c r="BF63" s="27">
        <v>0</v>
      </c>
      <c r="BG63" s="27"/>
      <c r="BH63" s="27">
        <f t="shared" si="191"/>
        <v>0</v>
      </c>
      <c r="BI63" s="27">
        <f t="shared" si="192"/>
        <v>0</v>
      </c>
      <c r="BJ63" s="27"/>
      <c r="BK63" s="27"/>
      <c r="BL63" s="27">
        <v>0</v>
      </c>
      <c r="BM63" s="27"/>
      <c r="BN63" s="27">
        <f t="shared" si="193"/>
        <v>0</v>
      </c>
      <c r="BO63" s="27">
        <f t="shared" si="194"/>
        <v>0</v>
      </c>
      <c r="BP63" s="26"/>
      <c r="BQ63" s="26"/>
      <c r="BR63" s="27">
        <v>0</v>
      </c>
      <c r="BS63" s="27"/>
      <c r="BT63" s="27">
        <f t="shared" si="195"/>
        <v>0</v>
      </c>
      <c r="BU63" s="27">
        <f t="shared" si="196"/>
        <v>0</v>
      </c>
      <c r="BV63" s="26"/>
      <c r="BW63" s="26"/>
      <c r="BX63" s="27">
        <v>0</v>
      </c>
      <c r="BY63" s="26"/>
      <c r="BZ63" s="27">
        <f t="shared" si="197"/>
        <v>0</v>
      </c>
      <c r="CA63" s="27">
        <f t="shared" si="198"/>
        <v>0</v>
      </c>
      <c r="CB63" s="26"/>
      <c r="CC63" s="26"/>
      <c r="CD63" s="27">
        <v>0</v>
      </c>
      <c r="CE63" s="26"/>
      <c r="CF63" s="27">
        <f t="shared" si="199"/>
        <v>0</v>
      </c>
      <c r="CG63" s="27">
        <f t="shared" si="200"/>
        <v>0</v>
      </c>
      <c r="CH63" s="27"/>
      <c r="CI63" s="27"/>
      <c r="CJ63" s="27">
        <v>0</v>
      </c>
      <c r="CK63" s="27"/>
      <c r="CL63" s="27">
        <f t="shared" si="201"/>
        <v>0</v>
      </c>
      <c r="CM63" s="27">
        <f t="shared" si="202"/>
        <v>0</v>
      </c>
      <c r="CN63" s="27"/>
      <c r="CO63" s="27"/>
      <c r="CP63" s="27">
        <v>0</v>
      </c>
      <c r="CQ63" s="27"/>
      <c r="CR63" s="27">
        <f t="shared" si="203"/>
        <v>0</v>
      </c>
      <c r="CS63" s="27">
        <f t="shared" si="204"/>
        <v>0</v>
      </c>
      <c r="CT63" s="27"/>
      <c r="CU63" s="27"/>
      <c r="CV63" s="27">
        <v>0</v>
      </c>
      <c r="CW63" s="27"/>
      <c r="CX63" s="27">
        <f t="shared" si="205"/>
        <v>0</v>
      </c>
      <c r="CY63" s="27">
        <f t="shared" si="206"/>
        <v>0</v>
      </c>
      <c r="CZ63" s="27"/>
      <c r="DA63" s="27"/>
      <c r="DB63" s="27">
        <v>0</v>
      </c>
      <c r="DC63" s="27"/>
      <c r="DD63" s="27">
        <f t="shared" si="207"/>
        <v>0</v>
      </c>
      <c r="DE63" s="27">
        <f t="shared" si="208"/>
        <v>0</v>
      </c>
      <c r="DF63" s="27">
        <f t="shared" si="209"/>
        <v>0</v>
      </c>
      <c r="DG63" s="27">
        <f t="shared" si="210"/>
        <v>0</v>
      </c>
      <c r="DH63" s="27">
        <f t="shared" si="211"/>
        <v>0</v>
      </c>
      <c r="DI63" s="27">
        <f t="shared" si="212"/>
        <v>0</v>
      </c>
      <c r="DJ63" s="27">
        <f t="shared" si="213"/>
        <v>0</v>
      </c>
      <c r="DK63" s="27">
        <f t="shared" si="214"/>
        <v>0</v>
      </c>
    </row>
    <row r="64" spans="1:115">
      <c r="A64" s="25">
        <v>56</v>
      </c>
      <c r="B64" s="26" t="s">
        <v>1162</v>
      </c>
      <c r="C64" s="26"/>
      <c r="D64" s="26"/>
      <c r="E64" s="205" t="s">
        <v>1200</v>
      </c>
      <c r="F64" s="161">
        <f t="shared" si="167"/>
        <v>0</v>
      </c>
      <c r="G64" s="165">
        <f t="shared" si="168"/>
        <v>0</v>
      </c>
      <c r="H64" s="27"/>
      <c r="I64" s="27">
        <v>0</v>
      </c>
      <c r="J64" s="27">
        <v>0</v>
      </c>
      <c r="K64" s="127">
        <f t="shared" si="169"/>
        <v>0</v>
      </c>
      <c r="L64" s="127">
        <f t="shared" si="170"/>
        <v>0</v>
      </c>
      <c r="M64" s="127">
        <f t="shared" si="171"/>
        <v>0</v>
      </c>
      <c r="N64" s="131"/>
      <c r="O64" s="125" t="str">
        <f t="shared" si="172"/>
        <v>ნულოვანი შესრულება</v>
      </c>
      <c r="P64" s="27">
        <v>0</v>
      </c>
      <c r="Q64" s="27">
        <v>0</v>
      </c>
      <c r="R64" s="27">
        <f t="shared" si="173"/>
        <v>0</v>
      </c>
      <c r="S64" s="27">
        <f t="shared" si="174"/>
        <v>0</v>
      </c>
      <c r="T64" s="27"/>
      <c r="U64" s="27"/>
      <c r="V64" s="27">
        <v>34</v>
      </c>
      <c r="W64" s="27"/>
      <c r="X64" s="27">
        <f t="shared" si="175"/>
        <v>34</v>
      </c>
      <c r="Y64" s="27">
        <f t="shared" si="176"/>
        <v>0</v>
      </c>
      <c r="Z64" s="27">
        <v>34</v>
      </c>
      <c r="AA64" s="27"/>
      <c r="AB64" s="27"/>
      <c r="AC64" s="27"/>
      <c r="AD64" s="27">
        <f t="shared" si="177"/>
        <v>34</v>
      </c>
      <c r="AE64" s="27">
        <f t="shared" si="178"/>
        <v>0</v>
      </c>
      <c r="AF64" s="27">
        <f t="shared" si="179"/>
        <v>34</v>
      </c>
      <c r="AG64" s="27">
        <f t="shared" si="180"/>
        <v>0</v>
      </c>
      <c r="AH64" s="27">
        <f t="shared" si="181"/>
        <v>34</v>
      </c>
      <c r="AI64" s="27">
        <f t="shared" si="182"/>
        <v>0</v>
      </c>
      <c r="AJ64" s="27">
        <f t="shared" si="183"/>
        <v>68</v>
      </c>
      <c r="AK64" s="27">
        <f t="shared" si="184"/>
        <v>0</v>
      </c>
      <c r="AL64" s="27"/>
      <c r="AM64" s="27"/>
      <c r="AN64" s="27">
        <v>0</v>
      </c>
      <c r="AO64" s="27"/>
      <c r="AP64" s="27">
        <f t="shared" si="185"/>
        <v>0</v>
      </c>
      <c r="AQ64" s="27">
        <f t="shared" si="186"/>
        <v>0</v>
      </c>
      <c r="AR64" s="27"/>
      <c r="AS64" s="27"/>
      <c r="AT64" s="27">
        <v>0</v>
      </c>
      <c r="AU64" s="27"/>
      <c r="AV64" s="27">
        <f t="shared" si="187"/>
        <v>0</v>
      </c>
      <c r="AW64" s="27">
        <f t="shared" si="188"/>
        <v>0</v>
      </c>
      <c r="AX64" s="27"/>
      <c r="AY64" s="27"/>
      <c r="AZ64" s="27">
        <v>0</v>
      </c>
      <c r="BA64" s="27"/>
      <c r="BB64" s="27">
        <f t="shared" si="189"/>
        <v>0</v>
      </c>
      <c r="BC64" s="27">
        <f t="shared" si="190"/>
        <v>0</v>
      </c>
      <c r="BD64" s="27"/>
      <c r="BE64" s="27"/>
      <c r="BF64" s="27">
        <v>0</v>
      </c>
      <c r="BG64" s="27"/>
      <c r="BH64" s="27">
        <f t="shared" si="191"/>
        <v>0</v>
      </c>
      <c r="BI64" s="27">
        <f t="shared" si="192"/>
        <v>0</v>
      </c>
      <c r="BJ64" s="27"/>
      <c r="BK64" s="27"/>
      <c r="BL64" s="27">
        <v>0</v>
      </c>
      <c r="BM64" s="27"/>
      <c r="BN64" s="27">
        <f t="shared" si="193"/>
        <v>0</v>
      </c>
      <c r="BO64" s="27">
        <f t="shared" si="194"/>
        <v>0</v>
      </c>
      <c r="BP64" s="26"/>
      <c r="BQ64" s="26"/>
      <c r="BR64" s="27">
        <v>0</v>
      </c>
      <c r="BS64" s="27"/>
      <c r="BT64" s="27">
        <f t="shared" si="195"/>
        <v>0</v>
      </c>
      <c r="BU64" s="27">
        <f t="shared" si="196"/>
        <v>0</v>
      </c>
      <c r="BV64" s="26"/>
      <c r="BW64" s="26"/>
      <c r="BX64" s="27">
        <v>0</v>
      </c>
      <c r="BY64" s="26"/>
      <c r="BZ64" s="27">
        <f t="shared" si="197"/>
        <v>0</v>
      </c>
      <c r="CA64" s="27">
        <f t="shared" si="198"/>
        <v>0</v>
      </c>
      <c r="CB64" s="26"/>
      <c r="CC64" s="26"/>
      <c r="CD64" s="27">
        <v>0</v>
      </c>
      <c r="CE64" s="26"/>
      <c r="CF64" s="27">
        <f t="shared" si="199"/>
        <v>0</v>
      </c>
      <c r="CG64" s="27">
        <f t="shared" si="200"/>
        <v>0</v>
      </c>
      <c r="CH64" s="27"/>
      <c r="CI64" s="27"/>
      <c r="CJ64" s="27">
        <v>0</v>
      </c>
      <c r="CK64" s="27"/>
      <c r="CL64" s="27">
        <f t="shared" si="201"/>
        <v>0</v>
      </c>
      <c r="CM64" s="27">
        <f t="shared" si="202"/>
        <v>0</v>
      </c>
      <c r="CN64" s="27"/>
      <c r="CO64" s="27"/>
      <c r="CP64" s="27">
        <v>0</v>
      </c>
      <c r="CQ64" s="27"/>
      <c r="CR64" s="27">
        <f t="shared" si="203"/>
        <v>0</v>
      </c>
      <c r="CS64" s="27">
        <f t="shared" si="204"/>
        <v>0</v>
      </c>
      <c r="CT64" s="27"/>
      <c r="CU64" s="27"/>
      <c r="CV64" s="27">
        <v>0</v>
      </c>
      <c r="CW64" s="27"/>
      <c r="CX64" s="27">
        <f t="shared" si="205"/>
        <v>0</v>
      </c>
      <c r="CY64" s="27">
        <f t="shared" si="206"/>
        <v>0</v>
      </c>
      <c r="CZ64" s="27"/>
      <c r="DA64" s="27"/>
      <c r="DB64" s="27">
        <v>0</v>
      </c>
      <c r="DC64" s="27"/>
      <c r="DD64" s="27">
        <f t="shared" si="207"/>
        <v>0</v>
      </c>
      <c r="DE64" s="27">
        <f t="shared" si="208"/>
        <v>0</v>
      </c>
      <c r="DF64" s="27">
        <f t="shared" si="209"/>
        <v>0</v>
      </c>
      <c r="DG64" s="27">
        <f t="shared" si="210"/>
        <v>0</v>
      </c>
      <c r="DH64" s="27">
        <f t="shared" si="211"/>
        <v>0</v>
      </c>
      <c r="DI64" s="27">
        <f t="shared" si="212"/>
        <v>0</v>
      </c>
      <c r="DJ64" s="27">
        <f t="shared" si="213"/>
        <v>0</v>
      </c>
      <c r="DK64" s="27">
        <f t="shared" si="214"/>
        <v>0</v>
      </c>
    </row>
    <row r="65" spans="1:115">
      <c r="A65" s="25">
        <v>57</v>
      </c>
      <c r="B65" s="26" t="s">
        <v>1162</v>
      </c>
      <c r="C65" s="26"/>
      <c r="D65" s="26"/>
      <c r="E65" s="205" t="s">
        <v>1200</v>
      </c>
      <c r="F65" s="161">
        <f t="shared" si="167"/>
        <v>0</v>
      </c>
      <c r="G65" s="165">
        <f t="shared" si="168"/>
        <v>0</v>
      </c>
      <c r="H65" s="27"/>
      <c r="I65" s="27">
        <v>0</v>
      </c>
      <c r="J65" s="27">
        <v>0</v>
      </c>
      <c r="K65" s="127">
        <f t="shared" si="169"/>
        <v>0</v>
      </c>
      <c r="L65" s="127">
        <f t="shared" si="170"/>
        <v>0</v>
      </c>
      <c r="M65" s="127">
        <f t="shared" si="171"/>
        <v>0</v>
      </c>
      <c r="N65" s="131"/>
      <c r="O65" s="125" t="str">
        <f t="shared" si="172"/>
        <v>ნულოვანი შესრულება</v>
      </c>
      <c r="P65" s="27">
        <v>0</v>
      </c>
      <c r="Q65" s="27">
        <v>0</v>
      </c>
      <c r="R65" s="27">
        <f t="shared" si="173"/>
        <v>0</v>
      </c>
      <c r="S65" s="27">
        <f t="shared" si="174"/>
        <v>0</v>
      </c>
      <c r="T65" s="27"/>
      <c r="U65" s="27"/>
      <c r="V65" s="27">
        <v>35</v>
      </c>
      <c r="W65" s="27"/>
      <c r="X65" s="27">
        <f t="shared" si="175"/>
        <v>35</v>
      </c>
      <c r="Y65" s="27">
        <f t="shared" si="176"/>
        <v>0</v>
      </c>
      <c r="Z65" s="27">
        <v>35</v>
      </c>
      <c r="AA65" s="27"/>
      <c r="AB65" s="27"/>
      <c r="AC65" s="27"/>
      <c r="AD65" s="27">
        <f t="shared" si="177"/>
        <v>35</v>
      </c>
      <c r="AE65" s="27">
        <f t="shared" si="178"/>
        <v>0</v>
      </c>
      <c r="AF65" s="27">
        <f t="shared" si="179"/>
        <v>35</v>
      </c>
      <c r="AG65" s="27">
        <f t="shared" si="180"/>
        <v>0</v>
      </c>
      <c r="AH65" s="27">
        <f t="shared" si="181"/>
        <v>35</v>
      </c>
      <c r="AI65" s="27">
        <f t="shared" si="182"/>
        <v>0</v>
      </c>
      <c r="AJ65" s="27">
        <f t="shared" si="183"/>
        <v>70</v>
      </c>
      <c r="AK65" s="27">
        <f t="shared" si="184"/>
        <v>0</v>
      </c>
      <c r="AL65" s="27"/>
      <c r="AM65" s="27"/>
      <c r="AN65" s="27">
        <v>0</v>
      </c>
      <c r="AO65" s="27"/>
      <c r="AP65" s="27">
        <f t="shared" si="185"/>
        <v>0</v>
      </c>
      <c r="AQ65" s="27">
        <f t="shared" si="186"/>
        <v>0</v>
      </c>
      <c r="AR65" s="27"/>
      <c r="AS65" s="27"/>
      <c r="AT65" s="27">
        <v>0</v>
      </c>
      <c r="AU65" s="27"/>
      <c r="AV65" s="27">
        <f t="shared" si="187"/>
        <v>0</v>
      </c>
      <c r="AW65" s="27">
        <f t="shared" si="188"/>
        <v>0</v>
      </c>
      <c r="AX65" s="27"/>
      <c r="AY65" s="27"/>
      <c r="AZ65" s="27">
        <v>0</v>
      </c>
      <c r="BA65" s="27"/>
      <c r="BB65" s="27">
        <f t="shared" si="189"/>
        <v>0</v>
      </c>
      <c r="BC65" s="27">
        <f t="shared" si="190"/>
        <v>0</v>
      </c>
      <c r="BD65" s="27"/>
      <c r="BE65" s="27"/>
      <c r="BF65" s="27">
        <v>0</v>
      </c>
      <c r="BG65" s="27"/>
      <c r="BH65" s="27">
        <f t="shared" si="191"/>
        <v>0</v>
      </c>
      <c r="BI65" s="27">
        <f t="shared" si="192"/>
        <v>0</v>
      </c>
      <c r="BJ65" s="27"/>
      <c r="BK65" s="27"/>
      <c r="BL65" s="27">
        <v>0</v>
      </c>
      <c r="BM65" s="27"/>
      <c r="BN65" s="27">
        <f t="shared" si="193"/>
        <v>0</v>
      </c>
      <c r="BO65" s="27">
        <f t="shared" si="194"/>
        <v>0</v>
      </c>
      <c r="BP65" s="26"/>
      <c r="BQ65" s="26"/>
      <c r="BR65" s="27">
        <v>0</v>
      </c>
      <c r="BS65" s="27"/>
      <c r="BT65" s="27">
        <f t="shared" si="195"/>
        <v>0</v>
      </c>
      <c r="BU65" s="27">
        <f t="shared" si="196"/>
        <v>0</v>
      </c>
      <c r="BV65" s="26"/>
      <c r="BW65" s="26"/>
      <c r="BX65" s="27">
        <v>0</v>
      </c>
      <c r="BY65" s="26"/>
      <c r="BZ65" s="27">
        <f t="shared" si="197"/>
        <v>0</v>
      </c>
      <c r="CA65" s="27">
        <f t="shared" si="198"/>
        <v>0</v>
      </c>
      <c r="CB65" s="26"/>
      <c r="CC65" s="26"/>
      <c r="CD65" s="27">
        <v>0</v>
      </c>
      <c r="CE65" s="26"/>
      <c r="CF65" s="27">
        <f t="shared" si="199"/>
        <v>0</v>
      </c>
      <c r="CG65" s="27">
        <f t="shared" si="200"/>
        <v>0</v>
      </c>
      <c r="CH65" s="27"/>
      <c r="CI65" s="27"/>
      <c r="CJ65" s="27">
        <v>0</v>
      </c>
      <c r="CK65" s="27"/>
      <c r="CL65" s="27">
        <f t="shared" si="201"/>
        <v>0</v>
      </c>
      <c r="CM65" s="27">
        <f t="shared" si="202"/>
        <v>0</v>
      </c>
      <c r="CN65" s="27"/>
      <c r="CO65" s="27"/>
      <c r="CP65" s="27">
        <v>0</v>
      </c>
      <c r="CQ65" s="27"/>
      <c r="CR65" s="27">
        <f t="shared" si="203"/>
        <v>0</v>
      </c>
      <c r="CS65" s="27">
        <f t="shared" si="204"/>
        <v>0</v>
      </c>
      <c r="CT65" s="27"/>
      <c r="CU65" s="27"/>
      <c r="CV65" s="27">
        <v>0</v>
      </c>
      <c r="CW65" s="27"/>
      <c r="CX65" s="27">
        <f t="shared" si="205"/>
        <v>0</v>
      </c>
      <c r="CY65" s="27">
        <f t="shared" si="206"/>
        <v>0</v>
      </c>
      <c r="CZ65" s="27"/>
      <c r="DA65" s="27"/>
      <c r="DB65" s="27">
        <v>0</v>
      </c>
      <c r="DC65" s="27"/>
      <c r="DD65" s="27">
        <f t="shared" si="207"/>
        <v>0</v>
      </c>
      <c r="DE65" s="27">
        <f t="shared" si="208"/>
        <v>0</v>
      </c>
      <c r="DF65" s="27">
        <f t="shared" si="209"/>
        <v>0</v>
      </c>
      <c r="DG65" s="27">
        <f t="shared" si="210"/>
        <v>0</v>
      </c>
      <c r="DH65" s="27">
        <f t="shared" si="211"/>
        <v>0</v>
      </c>
      <c r="DI65" s="27">
        <f t="shared" si="212"/>
        <v>0</v>
      </c>
      <c r="DJ65" s="27">
        <f t="shared" si="213"/>
        <v>0</v>
      </c>
      <c r="DK65" s="27">
        <f t="shared" si="214"/>
        <v>0</v>
      </c>
    </row>
    <row r="66" spans="1:115">
      <c r="A66" s="25">
        <v>58</v>
      </c>
      <c r="B66" s="26" t="s">
        <v>1162</v>
      </c>
      <c r="C66" s="26"/>
      <c r="D66" s="26"/>
      <c r="E66" s="205" t="s">
        <v>1200</v>
      </c>
      <c r="F66" s="161">
        <f t="shared" si="167"/>
        <v>0</v>
      </c>
      <c r="G66" s="165">
        <f t="shared" si="168"/>
        <v>0</v>
      </c>
      <c r="H66" s="27"/>
      <c r="I66" s="27">
        <v>0</v>
      </c>
      <c r="J66" s="27">
        <v>0</v>
      </c>
      <c r="K66" s="127">
        <f t="shared" si="169"/>
        <v>0</v>
      </c>
      <c r="L66" s="127">
        <f t="shared" si="170"/>
        <v>0</v>
      </c>
      <c r="M66" s="127">
        <f t="shared" si="171"/>
        <v>0</v>
      </c>
      <c r="N66" s="131"/>
      <c r="O66" s="125" t="str">
        <f t="shared" si="172"/>
        <v>ნულოვანი შესრულება</v>
      </c>
      <c r="P66" s="27">
        <v>0</v>
      </c>
      <c r="Q66" s="27">
        <v>0</v>
      </c>
      <c r="R66" s="27">
        <f t="shared" si="173"/>
        <v>0</v>
      </c>
      <c r="S66" s="27">
        <f t="shared" si="174"/>
        <v>0</v>
      </c>
      <c r="T66" s="27"/>
      <c r="U66" s="27"/>
      <c r="V66" s="27">
        <v>36</v>
      </c>
      <c r="W66" s="27"/>
      <c r="X66" s="27">
        <f t="shared" si="175"/>
        <v>36</v>
      </c>
      <c r="Y66" s="27">
        <f t="shared" si="176"/>
        <v>0</v>
      </c>
      <c r="Z66" s="27">
        <v>36</v>
      </c>
      <c r="AA66" s="27"/>
      <c r="AB66" s="27"/>
      <c r="AC66" s="27"/>
      <c r="AD66" s="27">
        <f t="shared" si="177"/>
        <v>36</v>
      </c>
      <c r="AE66" s="27">
        <f t="shared" si="178"/>
        <v>0</v>
      </c>
      <c r="AF66" s="27">
        <f t="shared" si="179"/>
        <v>36</v>
      </c>
      <c r="AG66" s="27">
        <f t="shared" si="180"/>
        <v>0</v>
      </c>
      <c r="AH66" s="27">
        <f t="shared" si="181"/>
        <v>36</v>
      </c>
      <c r="AI66" s="27">
        <f t="shared" si="182"/>
        <v>0</v>
      </c>
      <c r="AJ66" s="27">
        <f t="shared" si="183"/>
        <v>72</v>
      </c>
      <c r="AK66" s="27">
        <f t="shared" si="184"/>
        <v>0</v>
      </c>
      <c r="AL66" s="27"/>
      <c r="AM66" s="27"/>
      <c r="AN66" s="27">
        <v>0</v>
      </c>
      <c r="AO66" s="27"/>
      <c r="AP66" s="27">
        <f t="shared" si="185"/>
        <v>0</v>
      </c>
      <c r="AQ66" s="27">
        <f t="shared" si="186"/>
        <v>0</v>
      </c>
      <c r="AR66" s="27"/>
      <c r="AS66" s="27"/>
      <c r="AT66" s="27">
        <v>0</v>
      </c>
      <c r="AU66" s="27"/>
      <c r="AV66" s="27">
        <f t="shared" si="187"/>
        <v>0</v>
      </c>
      <c r="AW66" s="27">
        <f t="shared" si="188"/>
        <v>0</v>
      </c>
      <c r="AX66" s="27"/>
      <c r="AY66" s="27"/>
      <c r="AZ66" s="27">
        <v>0</v>
      </c>
      <c r="BA66" s="27"/>
      <c r="BB66" s="27">
        <f t="shared" si="189"/>
        <v>0</v>
      </c>
      <c r="BC66" s="27">
        <f t="shared" si="190"/>
        <v>0</v>
      </c>
      <c r="BD66" s="27"/>
      <c r="BE66" s="27"/>
      <c r="BF66" s="27">
        <v>0</v>
      </c>
      <c r="BG66" s="27"/>
      <c r="BH66" s="27">
        <f t="shared" si="191"/>
        <v>0</v>
      </c>
      <c r="BI66" s="27">
        <f t="shared" si="192"/>
        <v>0</v>
      </c>
      <c r="BJ66" s="27"/>
      <c r="BK66" s="27"/>
      <c r="BL66" s="27">
        <v>0</v>
      </c>
      <c r="BM66" s="27"/>
      <c r="BN66" s="27">
        <f t="shared" si="193"/>
        <v>0</v>
      </c>
      <c r="BO66" s="27">
        <f t="shared" si="194"/>
        <v>0</v>
      </c>
      <c r="BP66" s="26"/>
      <c r="BQ66" s="26"/>
      <c r="BR66" s="27">
        <v>0</v>
      </c>
      <c r="BS66" s="27"/>
      <c r="BT66" s="27">
        <f t="shared" si="195"/>
        <v>0</v>
      </c>
      <c r="BU66" s="27">
        <f t="shared" si="196"/>
        <v>0</v>
      </c>
      <c r="BV66" s="26"/>
      <c r="BW66" s="26"/>
      <c r="BX66" s="27">
        <v>0</v>
      </c>
      <c r="BY66" s="26"/>
      <c r="BZ66" s="27">
        <f t="shared" si="197"/>
        <v>0</v>
      </c>
      <c r="CA66" s="27">
        <f t="shared" si="198"/>
        <v>0</v>
      </c>
      <c r="CB66" s="26"/>
      <c r="CC66" s="26"/>
      <c r="CD66" s="27">
        <v>0</v>
      </c>
      <c r="CE66" s="26"/>
      <c r="CF66" s="27">
        <f t="shared" si="199"/>
        <v>0</v>
      </c>
      <c r="CG66" s="27">
        <f t="shared" si="200"/>
        <v>0</v>
      </c>
      <c r="CH66" s="27"/>
      <c r="CI66" s="27"/>
      <c r="CJ66" s="27">
        <v>0</v>
      </c>
      <c r="CK66" s="27"/>
      <c r="CL66" s="27">
        <f t="shared" si="201"/>
        <v>0</v>
      </c>
      <c r="CM66" s="27">
        <f t="shared" si="202"/>
        <v>0</v>
      </c>
      <c r="CN66" s="27"/>
      <c r="CO66" s="27"/>
      <c r="CP66" s="27">
        <v>0</v>
      </c>
      <c r="CQ66" s="27"/>
      <c r="CR66" s="27">
        <f t="shared" si="203"/>
        <v>0</v>
      </c>
      <c r="CS66" s="27">
        <f t="shared" si="204"/>
        <v>0</v>
      </c>
      <c r="CT66" s="27"/>
      <c r="CU66" s="27"/>
      <c r="CV66" s="27">
        <v>0</v>
      </c>
      <c r="CW66" s="27"/>
      <c r="CX66" s="27">
        <f t="shared" si="205"/>
        <v>0</v>
      </c>
      <c r="CY66" s="27">
        <f t="shared" si="206"/>
        <v>0</v>
      </c>
      <c r="CZ66" s="27"/>
      <c r="DA66" s="27"/>
      <c r="DB66" s="27">
        <v>0</v>
      </c>
      <c r="DC66" s="27"/>
      <c r="DD66" s="27">
        <f t="shared" si="207"/>
        <v>0</v>
      </c>
      <c r="DE66" s="27">
        <f t="shared" si="208"/>
        <v>0</v>
      </c>
      <c r="DF66" s="27">
        <f t="shared" si="209"/>
        <v>0</v>
      </c>
      <c r="DG66" s="27">
        <f t="shared" si="210"/>
        <v>0</v>
      </c>
      <c r="DH66" s="27">
        <f t="shared" si="211"/>
        <v>0</v>
      </c>
      <c r="DI66" s="27">
        <f t="shared" si="212"/>
        <v>0</v>
      </c>
      <c r="DJ66" s="27">
        <f t="shared" si="213"/>
        <v>0</v>
      </c>
      <c r="DK66" s="27">
        <f t="shared" si="214"/>
        <v>0</v>
      </c>
    </row>
    <row r="67" spans="1:115">
      <c r="A67" s="25">
        <v>59</v>
      </c>
      <c r="B67" s="26" t="s">
        <v>1162</v>
      </c>
      <c r="C67" s="26"/>
      <c r="D67" s="26"/>
      <c r="E67" s="205" t="s">
        <v>1200</v>
      </c>
      <c r="F67" s="161">
        <f t="shared" si="167"/>
        <v>0</v>
      </c>
      <c r="G67" s="165">
        <f t="shared" si="168"/>
        <v>0</v>
      </c>
      <c r="H67" s="27"/>
      <c r="I67" s="27">
        <v>0</v>
      </c>
      <c r="J67" s="27">
        <v>0</v>
      </c>
      <c r="K67" s="127">
        <f t="shared" si="169"/>
        <v>0</v>
      </c>
      <c r="L67" s="127">
        <f t="shared" si="170"/>
        <v>0</v>
      </c>
      <c r="M67" s="127">
        <f t="shared" si="171"/>
        <v>0</v>
      </c>
      <c r="N67" s="131"/>
      <c r="O67" s="125" t="str">
        <f t="shared" si="172"/>
        <v>ნულოვანი შესრულება</v>
      </c>
      <c r="P67" s="27">
        <v>0</v>
      </c>
      <c r="Q67" s="27">
        <v>0</v>
      </c>
      <c r="R67" s="27">
        <f t="shared" si="173"/>
        <v>0</v>
      </c>
      <c r="S67" s="27">
        <f t="shared" si="174"/>
        <v>0</v>
      </c>
      <c r="T67" s="27"/>
      <c r="U67" s="27"/>
      <c r="V67" s="27">
        <v>37</v>
      </c>
      <c r="W67" s="27"/>
      <c r="X67" s="27">
        <f t="shared" si="175"/>
        <v>37</v>
      </c>
      <c r="Y67" s="27">
        <f t="shared" si="176"/>
        <v>0</v>
      </c>
      <c r="Z67" s="27">
        <v>37</v>
      </c>
      <c r="AA67" s="27"/>
      <c r="AB67" s="27"/>
      <c r="AC67" s="27"/>
      <c r="AD67" s="27">
        <f t="shared" si="177"/>
        <v>37</v>
      </c>
      <c r="AE67" s="27">
        <f t="shared" si="178"/>
        <v>0</v>
      </c>
      <c r="AF67" s="27">
        <f t="shared" si="179"/>
        <v>37</v>
      </c>
      <c r="AG67" s="27">
        <f t="shared" si="180"/>
        <v>0</v>
      </c>
      <c r="AH67" s="27">
        <f t="shared" si="181"/>
        <v>37</v>
      </c>
      <c r="AI67" s="27">
        <f t="shared" si="182"/>
        <v>0</v>
      </c>
      <c r="AJ67" s="27">
        <f t="shared" si="183"/>
        <v>74</v>
      </c>
      <c r="AK67" s="27">
        <f t="shared" si="184"/>
        <v>0</v>
      </c>
      <c r="AL67" s="27"/>
      <c r="AM67" s="27"/>
      <c r="AN67" s="27">
        <v>0</v>
      </c>
      <c r="AO67" s="27"/>
      <c r="AP67" s="27">
        <f t="shared" si="185"/>
        <v>0</v>
      </c>
      <c r="AQ67" s="27">
        <f t="shared" si="186"/>
        <v>0</v>
      </c>
      <c r="AR67" s="27"/>
      <c r="AS67" s="27"/>
      <c r="AT67" s="27">
        <v>0</v>
      </c>
      <c r="AU67" s="27"/>
      <c r="AV67" s="27">
        <f t="shared" si="187"/>
        <v>0</v>
      </c>
      <c r="AW67" s="27">
        <f t="shared" si="188"/>
        <v>0</v>
      </c>
      <c r="AX67" s="27"/>
      <c r="AY67" s="27"/>
      <c r="AZ67" s="27">
        <v>0</v>
      </c>
      <c r="BA67" s="27"/>
      <c r="BB67" s="27">
        <f t="shared" si="189"/>
        <v>0</v>
      </c>
      <c r="BC67" s="27">
        <f t="shared" si="190"/>
        <v>0</v>
      </c>
      <c r="BD67" s="27"/>
      <c r="BE67" s="27"/>
      <c r="BF67" s="27">
        <v>0</v>
      </c>
      <c r="BG67" s="27"/>
      <c r="BH67" s="27">
        <f t="shared" si="191"/>
        <v>0</v>
      </c>
      <c r="BI67" s="27">
        <f t="shared" si="192"/>
        <v>0</v>
      </c>
      <c r="BJ67" s="27"/>
      <c r="BK67" s="27"/>
      <c r="BL67" s="27">
        <v>0</v>
      </c>
      <c r="BM67" s="27"/>
      <c r="BN67" s="27">
        <f t="shared" si="193"/>
        <v>0</v>
      </c>
      <c r="BO67" s="27">
        <f t="shared" si="194"/>
        <v>0</v>
      </c>
      <c r="BP67" s="26"/>
      <c r="BQ67" s="26"/>
      <c r="BR67" s="27">
        <v>0</v>
      </c>
      <c r="BS67" s="27"/>
      <c r="BT67" s="27">
        <f t="shared" si="195"/>
        <v>0</v>
      </c>
      <c r="BU67" s="27">
        <f t="shared" si="196"/>
        <v>0</v>
      </c>
      <c r="BV67" s="26"/>
      <c r="BW67" s="26"/>
      <c r="BX67" s="27">
        <v>0</v>
      </c>
      <c r="BY67" s="26"/>
      <c r="BZ67" s="27">
        <f t="shared" si="197"/>
        <v>0</v>
      </c>
      <c r="CA67" s="27">
        <f t="shared" si="198"/>
        <v>0</v>
      </c>
      <c r="CB67" s="26"/>
      <c r="CC67" s="26"/>
      <c r="CD67" s="27">
        <v>0</v>
      </c>
      <c r="CE67" s="26"/>
      <c r="CF67" s="27">
        <f t="shared" si="199"/>
        <v>0</v>
      </c>
      <c r="CG67" s="27">
        <f t="shared" si="200"/>
        <v>0</v>
      </c>
      <c r="CH67" s="27"/>
      <c r="CI67" s="27"/>
      <c r="CJ67" s="27">
        <v>0</v>
      </c>
      <c r="CK67" s="27"/>
      <c r="CL67" s="27">
        <f t="shared" si="201"/>
        <v>0</v>
      </c>
      <c r="CM67" s="27">
        <f t="shared" si="202"/>
        <v>0</v>
      </c>
      <c r="CN67" s="27"/>
      <c r="CO67" s="27"/>
      <c r="CP67" s="27">
        <v>0</v>
      </c>
      <c r="CQ67" s="27"/>
      <c r="CR67" s="27">
        <f t="shared" si="203"/>
        <v>0</v>
      </c>
      <c r="CS67" s="27">
        <f t="shared" si="204"/>
        <v>0</v>
      </c>
      <c r="CT67" s="27"/>
      <c r="CU67" s="27"/>
      <c r="CV67" s="27">
        <v>0</v>
      </c>
      <c r="CW67" s="27"/>
      <c r="CX67" s="27">
        <f t="shared" si="205"/>
        <v>0</v>
      </c>
      <c r="CY67" s="27">
        <f t="shared" si="206"/>
        <v>0</v>
      </c>
      <c r="CZ67" s="27"/>
      <c r="DA67" s="27"/>
      <c r="DB67" s="27">
        <v>0</v>
      </c>
      <c r="DC67" s="27"/>
      <c r="DD67" s="27">
        <f t="shared" si="207"/>
        <v>0</v>
      </c>
      <c r="DE67" s="27">
        <f t="shared" si="208"/>
        <v>0</v>
      </c>
      <c r="DF67" s="27">
        <f t="shared" si="209"/>
        <v>0</v>
      </c>
      <c r="DG67" s="27">
        <f t="shared" si="210"/>
        <v>0</v>
      </c>
      <c r="DH67" s="27">
        <f t="shared" si="211"/>
        <v>0</v>
      </c>
      <c r="DI67" s="27">
        <f t="shared" si="212"/>
        <v>0</v>
      </c>
      <c r="DJ67" s="27">
        <f t="shared" si="213"/>
        <v>0</v>
      </c>
      <c r="DK67" s="27">
        <f t="shared" si="214"/>
        <v>0</v>
      </c>
    </row>
    <row r="68" spans="1:115">
      <c r="A68" s="25">
        <v>60</v>
      </c>
      <c r="B68" s="26" t="s">
        <v>1162</v>
      </c>
      <c r="C68" s="26"/>
      <c r="D68" s="26"/>
      <c r="E68" s="205" t="s">
        <v>1200</v>
      </c>
      <c r="F68" s="161">
        <f t="shared" si="167"/>
        <v>0</v>
      </c>
      <c r="G68" s="165">
        <f t="shared" si="168"/>
        <v>0</v>
      </c>
      <c r="H68" s="27"/>
      <c r="I68" s="27">
        <v>0</v>
      </c>
      <c r="J68" s="27">
        <v>0</v>
      </c>
      <c r="K68" s="127">
        <f t="shared" si="169"/>
        <v>0</v>
      </c>
      <c r="L68" s="127">
        <f t="shared" si="170"/>
        <v>0</v>
      </c>
      <c r="M68" s="127">
        <f t="shared" si="171"/>
        <v>0</v>
      </c>
      <c r="N68" s="131"/>
      <c r="O68" s="125" t="str">
        <f t="shared" si="172"/>
        <v>ნულოვანი შესრულება</v>
      </c>
      <c r="P68" s="27">
        <v>0</v>
      </c>
      <c r="Q68" s="27">
        <v>0</v>
      </c>
      <c r="R68" s="27">
        <f t="shared" si="173"/>
        <v>0</v>
      </c>
      <c r="S68" s="27">
        <f t="shared" si="174"/>
        <v>0</v>
      </c>
      <c r="T68" s="27"/>
      <c r="U68" s="27"/>
      <c r="V68" s="27">
        <v>38</v>
      </c>
      <c r="W68" s="27"/>
      <c r="X68" s="27">
        <f t="shared" si="175"/>
        <v>38</v>
      </c>
      <c r="Y68" s="27">
        <f t="shared" si="176"/>
        <v>0</v>
      </c>
      <c r="Z68" s="27">
        <v>38</v>
      </c>
      <c r="AA68" s="27"/>
      <c r="AB68" s="27"/>
      <c r="AC68" s="27"/>
      <c r="AD68" s="27">
        <f t="shared" si="177"/>
        <v>38</v>
      </c>
      <c r="AE68" s="27">
        <f t="shared" si="178"/>
        <v>0</v>
      </c>
      <c r="AF68" s="27">
        <f t="shared" si="179"/>
        <v>38</v>
      </c>
      <c r="AG68" s="27">
        <f t="shared" si="180"/>
        <v>0</v>
      </c>
      <c r="AH68" s="27">
        <f t="shared" si="181"/>
        <v>38</v>
      </c>
      <c r="AI68" s="27">
        <f t="shared" si="182"/>
        <v>0</v>
      </c>
      <c r="AJ68" s="27">
        <f t="shared" si="183"/>
        <v>76</v>
      </c>
      <c r="AK68" s="27">
        <f t="shared" si="184"/>
        <v>0</v>
      </c>
      <c r="AL68" s="27"/>
      <c r="AM68" s="27"/>
      <c r="AN68" s="27">
        <v>0</v>
      </c>
      <c r="AO68" s="27"/>
      <c r="AP68" s="27">
        <f t="shared" si="185"/>
        <v>0</v>
      </c>
      <c r="AQ68" s="27">
        <f t="shared" si="186"/>
        <v>0</v>
      </c>
      <c r="AR68" s="27"/>
      <c r="AS68" s="27"/>
      <c r="AT68" s="27">
        <v>0</v>
      </c>
      <c r="AU68" s="27"/>
      <c r="AV68" s="27">
        <f t="shared" si="187"/>
        <v>0</v>
      </c>
      <c r="AW68" s="27">
        <f t="shared" si="188"/>
        <v>0</v>
      </c>
      <c r="AX68" s="27"/>
      <c r="AY68" s="27"/>
      <c r="AZ68" s="27">
        <v>0</v>
      </c>
      <c r="BA68" s="27"/>
      <c r="BB68" s="27">
        <f t="shared" si="189"/>
        <v>0</v>
      </c>
      <c r="BC68" s="27">
        <f t="shared" si="190"/>
        <v>0</v>
      </c>
      <c r="BD68" s="27"/>
      <c r="BE68" s="27"/>
      <c r="BF68" s="27">
        <v>0</v>
      </c>
      <c r="BG68" s="27"/>
      <c r="BH68" s="27">
        <f t="shared" si="191"/>
        <v>0</v>
      </c>
      <c r="BI68" s="27">
        <f t="shared" si="192"/>
        <v>0</v>
      </c>
      <c r="BJ68" s="27"/>
      <c r="BK68" s="27"/>
      <c r="BL68" s="27">
        <v>0</v>
      </c>
      <c r="BM68" s="27"/>
      <c r="BN68" s="27">
        <f t="shared" si="193"/>
        <v>0</v>
      </c>
      <c r="BO68" s="27">
        <f t="shared" si="194"/>
        <v>0</v>
      </c>
      <c r="BP68" s="26"/>
      <c r="BQ68" s="26"/>
      <c r="BR68" s="27">
        <v>0</v>
      </c>
      <c r="BS68" s="27"/>
      <c r="BT68" s="27">
        <f t="shared" si="195"/>
        <v>0</v>
      </c>
      <c r="BU68" s="27">
        <f t="shared" si="196"/>
        <v>0</v>
      </c>
      <c r="BV68" s="26"/>
      <c r="BW68" s="26"/>
      <c r="BX68" s="27">
        <v>0</v>
      </c>
      <c r="BY68" s="26"/>
      <c r="BZ68" s="27">
        <f t="shared" si="197"/>
        <v>0</v>
      </c>
      <c r="CA68" s="27">
        <f t="shared" si="198"/>
        <v>0</v>
      </c>
      <c r="CB68" s="26"/>
      <c r="CC68" s="26"/>
      <c r="CD68" s="27">
        <v>0</v>
      </c>
      <c r="CE68" s="26"/>
      <c r="CF68" s="27">
        <f t="shared" si="199"/>
        <v>0</v>
      </c>
      <c r="CG68" s="27">
        <f t="shared" si="200"/>
        <v>0</v>
      </c>
      <c r="CH68" s="27"/>
      <c r="CI68" s="27"/>
      <c r="CJ68" s="27">
        <v>0</v>
      </c>
      <c r="CK68" s="27"/>
      <c r="CL68" s="27">
        <f t="shared" si="201"/>
        <v>0</v>
      </c>
      <c r="CM68" s="27">
        <f t="shared" si="202"/>
        <v>0</v>
      </c>
      <c r="CN68" s="27"/>
      <c r="CO68" s="27"/>
      <c r="CP68" s="27">
        <v>0</v>
      </c>
      <c r="CQ68" s="27"/>
      <c r="CR68" s="27">
        <f t="shared" si="203"/>
        <v>0</v>
      </c>
      <c r="CS68" s="27">
        <f t="shared" si="204"/>
        <v>0</v>
      </c>
      <c r="CT68" s="27"/>
      <c r="CU68" s="27"/>
      <c r="CV68" s="27">
        <v>0</v>
      </c>
      <c r="CW68" s="27"/>
      <c r="CX68" s="27">
        <f t="shared" si="205"/>
        <v>0</v>
      </c>
      <c r="CY68" s="27">
        <f t="shared" si="206"/>
        <v>0</v>
      </c>
      <c r="CZ68" s="27"/>
      <c r="DA68" s="27"/>
      <c r="DB68" s="27">
        <v>0</v>
      </c>
      <c r="DC68" s="27"/>
      <c r="DD68" s="27">
        <f t="shared" si="207"/>
        <v>0</v>
      </c>
      <c r="DE68" s="27">
        <f t="shared" si="208"/>
        <v>0</v>
      </c>
      <c r="DF68" s="27">
        <f t="shared" si="209"/>
        <v>0</v>
      </c>
      <c r="DG68" s="27">
        <f t="shared" si="210"/>
        <v>0</v>
      </c>
      <c r="DH68" s="27">
        <f t="shared" si="211"/>
        <v>0</v>
      </c>
      <c r="DI68" s="27">
        <f t="shared" si="212"/>
        <v>0</v>
      </c>
      <c r="DJ68" s="27">
        <f t="shared" si="213"/>
        <v>0</v>
      </c>
      <c r="DK68" s="27">
        <f t="shared" si="214"/>
        <v>0</v>
      </c>
    </row>
    <row r="69" spans="1:115">
      <c r="A69" s="25">
        <v>61</v>
      </c>
      <c r="B69" s="26" t="s">
        <v>1162</v>
      </c>
      <c r="C69" s="26"/>
      <c r="D69" s="26"/>
      <c r="E69" s="205" t="s">
        <v>1200</v>
      </c>
      <c r="F69" s="161">
        <f t="shared" si="167"/>
        <v>0</v>
      </c>
      <c r="G69" s="165">
        <f t="shared" si="168"/>
        <v>0</v>
      </c>
      <c r="H69" s="27"/>
      <c r="I69" s="27">
        <v>0</v>
      </c>
      <c r="J69" s="27">
        <v>0</v>
      </c>
      <c r="K69" s="127">
        <f t="shared" si="169"/>
        <v>0</v>
      </c>
      <c r="L69" s="127">
        <f t="shared" si="170"/>
        <v>0</v>
      </c>
      <c r="M69" s="127">
        <f t="shared" si="171"/>
        <v>0</v>
      </c>
      <c r="N69" s="131"/>
      <c r="O69" s="125" t="str">
        <f t="shared" si="172"/>
        <v>ნულოვანი შესრულება</v>
      </c>
      <c r="P69" s="27">
        <v>0</v>
      </c>
      <c r="Q69" s="27">
        <v>0</v>
      </c>
      <c r="R69" s="27">
        <f t="shared" si="173"/>
        <v>0</v>
      </c>
      <c r="S69" s="27">
        <f t="shared" si="174"/>
        <v>0</v>
      </c>
      <c r="T69" s="27"/>
      <c r="U69" s="27"/>
      <c r="V69" s="27">
        <v>39</v>
      </c>
      <c r="W69" s="27"/>
      <c r="X69" s="27">
        <f t="shared" si="175"/>
        <v>39</v>
      </c>
      <c r="Y69" s="27">
        <f t="shared" si="176"/>
        <v>0</v>
      </c>
      <c r="Z69" s="27">
        <v>39</v>
      </c>
      <c r="AA69" s="27"/>
      <c r="AB69" s="27"/>
      <c r="AC69" s="27"/>
      <c r="AD69" s="27">
        <f t="shared" si="177"/>
        <v>39</v>
      </c>
      <c r="AE69" s="27">
        <f t="shared" si="178"/>
        <v>0</v>
      </c>
      <c r="AF69" s="27">
        <f t="shared" si="179"/>
        <v>39</v>
      </c>
      <c r="AG69" s="27">
        <f t="shared" si="180"/>
        <v>0</v>
      </c>
      <c r="AH69" s="27">
        <f t="shared" si="181"/>
        <v>39</v>
      </c>
      <c r="AI69" s="27">
        <f t="shared" si="182"/>
        <v>0</v>
      </c>
      <c r="AJ69" s="27">
        <f t="shared" si="183"/>
        <v>78</v>
      </c>
      <c r="AK69" s="27">
        <f t="shared" si="184"/>
        <v>0</v>
      </c>
      <c r="AL69" s="27"/>
      <c r="AM69" s="27"/>
      <c r="AN69" s="27">
        <v>0</v>
      </c>
      <c r="AO69" s="27"/>
      <c r="AP69" s="27">
        <f t="shared" si="185"/>
        <v>0</v>
      </c>
      <c r="AQ69" s="27">
        <f t="shared" si="186"/>
        <v>0</v>
      </c>
      <c r="AR69" s="27"/>
      <c r="AS69" s="27"/>
      <c r="AT69" s="27">
        <v>0</v>
      </c>
      <c r="AU69" s="27"/>
      <c r="AV69" s="27">
        <f t="shared" si="187"/>
        <v>0</v>
      </c>
      <c r="AW69" s="27">
        <f t="shared" si="188"/>
        <v>0</v>
      </c>
      <c r="AX69" s="27"/>
      <c r="AY69" s="27"/>
      <c r="AZ69" s="27">
        <v>0</v>
      </c>
      <c r="BA69" s="27"/>
      <c r="BB69" s="27">
        <f t="shared" si="189"/>
        <v>0</v>
      </c>
      <c r="BC69" s="27">
        <f t="shared" si="190"/>
        <v>0</v>
      </c>
      <c r="BD69" s="27"/>
      <c r="BE69" s="27"/>
      <c r="BF69" s="27">
        <v>0</v>
      </c>
      <c r="BG69" s="27"/>
      <c r="BH69" s="27">
        <f t="shared" si="191"/>
        <v>0</v>
      </c>
      <c r="BI69" s="27">
        <f t="shared" si="192"/>
        <v>0</v>
      </c>
      <c r="BJ69" s="27"/>
      <c r="BK69" s="27"/>
      <c r="BL69" s="27">
        <v>0</v>
      </c>
      <c r="BM69" s="27"/>
      <c r="BN69" s="27">
        <f t="shared" si="193"/>
        <v>0</v>
      </c>
      <c r="BO69" s="27">
        <f t="shared" si="194"/>
        <v>0</v>
      </c>
      <c r="BP69" s="26"/>
      <c r="BQ69" s="26"/>
      <c r="BR69" s="27">
        <v>0</v>
      </c>
      <c r="BS69" s="27"/>
      <c r="BT69" s="27">
        <f t="shared" si="195"/>
        <v>0</v>
      </c>
      <c r="BU69" s="27">
        <f t="shared" si="196"/>
        <v>0</v>
      </c>
      <c r="BV69" s="26"/>
      <c r="BW69" s="26"/>
      <c r="BX69" s="27">
        <v>0</v>
      </c>
      <c r="BY69" s="26"/>
      <c r="BZ69" s="27">
        <f t="shared" si="197"/>
        <v>0</v>
      </c>
      <c r="CA69" s="27">
        <f t="shared" si="198"/>
        <v>0</v>
      </c>
      <c r="CB69" s="26"/>
      <c r="CC69" s="26"/>
      <c r="CD69" s="27">
        <v>0</v>
      </c>
      <c r="CE69" s="26"/>
      <c r="CF69" s="27">
        <f t="shared" si="199"/>
        <v>0</v>
      </c>
      <c r="CG69" s="27">
        <f t="shared" si="200"/>
        <v>0</v>
      </c>
      <c r="CH69" s="27"/>
      <c r="CI69" s="27"/>
      <c r="CJ69" s="27">
        <v>0</v>
      </c>
      <c r="CK69" s="27"/>
      <c r="CL69" s="27">
        <f t="shared" si="201"/>
        <v>0</v>
      </c>
      <c r="CM69" s="27">
        <f t="shared" si="202"/>
        <v>0</v>
      </c>
      <c r="CN69" s="27"/>
      <c r="CO69" s="27"/>
      <c r="CP69" s="27">
        <v>0</v>
      </c>
      <c r="CQ69" s="27"/>
      <c r="CR69" s="27">
        <f t="shared" si="203"/>
        <v>0</v>
      </c>
      <c r="CS69" s="27">
        <f t="shared" si="204"/>
        <v>0</v>
      </c>
      <c r="CT69" s="27"/>
      <c r="CU69" s="27"/>
      <c r="CV69" s="27">
        <v>0</v>
      </c>
      <c r="CW69" s="27"/>
      <c r="CX69" s="27">
        <f t="shared" si="205"/>
        <v>0</v>
      </c>
      <c r="CY69" s="27">
        <f t="shared" si="206"/>
        <v>0</v>
      </c>
      <c r="CZ69" s="27"/>
      <c r="DA69" s="27"/>
      <c r="DB69" s="27">
        <v>0</v>
      </c>
      <c r="DC69" s="27"/>
      <c r="DD69" s="27">
        <f t="shared" si="207"/>
        <v>0</v>
      </c>
      <c r="DE69" s="27">
        <f t="shared" si="208"/>
        <v>0</v>
      </c>
      <c r="DF69" s="27">
        <f t="shared" si="209"/>
        <v>0</v>
      </c>
      <c r="DG69" s="27">
        <f t="shared" si="210"/>
        <v>0</v>
      </c>
      <c r="DH69" s="27">
        <f t="shared" si="211"/>
        <v>0</v>
      </c>
      <c r="DI69" s="27">
        <f t="shared" si="212"/>
        <v>0</v>
      </c>
      <c r="DJ69" s="27">
        <f t="shared" si="213"/>
        <v>0</v>
      </c>
      <c r="DK69" s="27">
        <f t="shared" si="214"/>
        <v>0</v>
      </c>
    </row>
    <row r="70" spans="1:115">
      <c r="A70" s="25">
        <v>62</v>
      </c>
      <c r="B70" s="26" t="s">
        <v>1162</v>
      </c>
      <c r="C70" s="26"/>
      <c r="D70" s="26"/>
      <c r="E70" s="205" t="s">
        <v>1200</v>
      </c>
      <c r="F70" s="161">
        <f t="shared" si="167"/>
        <v>0</v>
      </c>
      <c r="G70" s="165">
        <f t="shared" si="168"/>
        <v>0</v>
      </c>
      <c r="H70" s="27"/>
      <c r="I70" s="27">
        <v>0</v>
      </c>
      <c r="J70" s="27">
        <v>0</v>
      </c>
      <c r="K70" s="127">
        <f t="shared" si="169"/>
        <v>0</v>
      </c>
      <c r="L70" s="127">
        <f t="shared" si="170"/>
        <v>0</v>
      </c>
      <c r="M70" s="127">
        <f t="shared" si="171"/>
        <v>0</v>
      </c>
      <c r="N70" s="131"/>
      <c r="O70" s="125" t="str">
        <f t="shared" si="172"/>
        <v>ნულოვანი შესრულება</v>
      </c>
      <c r="P70" s="27">
        <v>0</v>
      </c>
      <c r="Q70" s="27">
        <v>0</v>
      </c>
      <c r="R70" s="27">
        <f t="shared" si="173"/>
        <v>0</v>
      </c>
      <c r="S70" s="27">
        <f t="shared" si="174"/>
        <v>0</v>
      </c>
      <c r="T70" s="27"/>
      <c r="U70" s="27"/>
      <c r="V70" s="27">
        <v>40</v>
      </c>
      <c r="W70" s="27"/>
      <c r="X70" s="27">
        <f t="shared" si="175"/>
        <v>40</v>
      </c>
      <c r="Y70" s="27">
        <f t="shared" si="176"/>
        <v>0</v>
      </c>
      <c r="Z70" s="27">
        <v>40</v>
      </c>
      <c r="AA70" s="27"/>
      <c r="AB70" s="27"/>
      <c r="AC70" s="27"/>
      <c r="AD70" s="27">
        <f t="shared" si="177"/>
        <v>40</v>
      </c>
      <c r="AE70" s="27">
        <f t="shared" si="178"/>
        <v>0</v>
      </c>
      <c r="AF70" s="27">
        <f t="shared" si="179"/>
        <v>40</v>
      </c>
      <c r="AG70" s="27">
        <f t="shared" si="180"/>
        <v>0</v>
      </c>
      <c r="AH70" s="27">
        <f t="shared" si="181"/>
        <v>40</v>
      </c>
      <c r="AI70" s="27">
        <f t="shared" si="182"/>
        <v>0</v>
      </c>
      <c r="AJ70" s="27">
        <f t="shared" si="183"/>
        <v>80</v>
      </c>
      <c r="AK70" s="27">
        <f t="shared" si="184"/>
        <v>0</v>
      </c>
      <c r="AL70" s="27"/>
      <c r="AM70" s="27"/>
      <c r="AN70" s="27">
        <v>0</v>
      </c>
      <c r="AO70" s="27"/>
      <c r="AP70" s="27">
        <f t="shared" si="185"/>
        <v>0</v>
      </c>
      <c r="AQ70" s="27">
        <f t="shared" si="186"/>
        <v>0</v>
      </c>
      <c r="AR70" s="27"/>
      <c r="AS70" s="27"/>
      <c r="AT70" s="27">
        <v>0</v>
      </c>
      <c r="AU70" s="27"/>
      <c r="AV70" s="27">
        <f t="shared" si="187"/>
        <v>0</v>
      </c>
      <c r="AW70" s="27">
        <f t="shared" si="188"/>
        <v>0</v>
      </c>
      <c r="AX70" s="27"/>
      <c r="AY70" s="27"/>
      <c r="AZ70" s="27">
        <v>0</v>
      </c>
      <c r="BA70" s="27"/>
      <c r="BB70" s="27">
        <f t="shared" si="189"/>
        <v>0</v>
      </c>
      <c r="BC70" s="27">
        <f t="shared" si="190"/>
        <v>0</v>
      </c>
      <c r="BD70" s="27"/>
      <c r="BE70" s="27"/>
      <c r="BF70" s="27">
        <v>0</v>
      </c>
      <c r="BG70" s="27"/>
      <c r="BH70" s="27">
        <f t="shared" si="191"/>
        <v>0</v>
      </c>
      <c r="BI70" s="27">
        <f t="shared" si="192"/>
        <v>0</v>
      </c>
      <c r="BJ70" s="27"/>
      <c r="BK70" s="27"/>
      <c r="BL70" s="27">
        <v>0</v>
      </c>
      <c r="BM70" s="27"/>
      <c r="BN70" s="27">
        <f t="shared" si="193"/>
        <v>0</v>
      </c>
      <c r="BO70" s="27">
        <f t="shared" si="194"/>
        <v>0</v>
      </c>
      <c r="BP70" s="26"/>
      <c r="BQ70" s="26"/>
      <c r="BR70" s="27">
        <v>0</v>
      </c>
      <c r="BS70" s="27"/>
      <c r="BT70" s="27">
        <f t="shared" si="195"/>
        <v>0</v>
      </c>
      <c r="BU70" s="27">
        <f t="shared" si="196"/>
        <v>0</v>
      </c>
      <c r="BV70" s="26"/>
      <c r="BW70" s="26"/>
      <c r="BX70" s="27">
        <v>0</v>
      </c>
      <c r="BY70" s="26"/>
      <c r="BZ70" s="27">
        <f t="shared" si="197"/>
        <v>0</v>
      </c>
      <c r="CA70" s="27">
        <f t="shared" si="198"/>
        <v>0</v>
      </c>
      <c r="CB70" s="26"/>
      <c r="CC70" s="26"/>
      <c r="CD70" s="27">
        <v>0</v>
      </c>
      <c r="CE70" s="26"/>
      <c r="CF70" s="27">
        <f t="shared" si="199"/>
        <v>0</v>
      </c>
      <c r="CG70" s="27">
        <f t="shared" si="200"/>
        <v>0</v>
      </c>
      <c r="CH70" s="27"/>
      <c r="CI70" s="27"/>
      <c r="CJ70" s="27">
        <v>0</v>
      </c>
      <c r="CK70" s="27"/>
      <c r="CL70" s="27">
        <f t="shared" si="201"/>
        <v>0</v>
      </c>
      <c r="CM70" s="27">
        <f t="shared" si="202"/>
        <v>0</v>
      </c>
      <c r="CN70" s="27"/>
      <c r="CO70" s="27"/>
      <c r="CP70" s="27">
        <v>0</v>
      </c>
      <c r="CQ70" s="27"/>
      <c r="CR70" s="27">
        <f t="shared" si="203"/>
        <v>0</v>
      </c>
      <c r="CS70" s="27">
        <f t="shared" si="204"/>
        <v>0</v>
      </c>
      <c r="CT70" s="27"/>
      <c r="CU70" s="27"/>
      <c r="CV70" s="27">
        <v>0</v>
      </c>
      <c r="CW70" s="27"/>
      <c r="CX70" s="27">
        <f t="shared" si="205"/>
        <v>0</v>
      </c>
      <c r="CY70" s="27">
        <f t="shared" si="206"/>
        <v>0</v>
      </c>
      <c r="CZ70" s="27"/>
      <c r="DA70" s="27"/>
      <c r="DB70" s="27">
        <v>0</v>
      </c>
      <c r="DC70" s="27"/>
      <c r="DD70" s="27">
        <f t="shared" si="207"/>
        <v>0</v>
      </c>
      <c r="DE70" s="27">
        <f t="shared" si="208"/>
        <v>0</v>
      </c>
      <c r="DF70" s="27">
        <f t="shared" si="209"/>
        <v>0</v>
      </c>
      <c r="DG70" s="27">
        <f t="shared" si="210"/>
        <v>0</v>
      </c>
      <c r="DH70" s="27">
        <f t="shared" si="211"/>
        <v>0</v>
      </c>
      <c r="DI70" s="27">
        <f t="shared" si="212"/>
        <v>0</v>
      </c>
      <c r="DJ70" s="27">
        <f t="shared" si="213"/>
        <v>0</v>
      </c>
      <c r="DK70" s="27">
        <f t="shared" si="214"/>
        <v>0</v>
      </c>
    </row>
    <row r="71" spans="1:115">
      <c r="A71" s="25">
        <v>63</v>
      </c>
      <c r="B71" s="26" t="s">
        <v>1162</v>
      </c>
      <c r="C71" s="26"/>
      <c r="D71" s="26"/>
      <c r="E71" s="205" t="s">
        <v>1200</v>
      </c>
      <c r="F71" s="161">
        <f t="shared" si="167"/>
        <v>0</v>
      </c>
      <c r="G71" s="165">
        <f t="shared" si="168"/>
        <v>0</v>
      </c>
      <c r="H71" s="27"/>
      <c r="I71" s="27">
        <v>0</v>
      </c>
      <c r="J71" s="27">
        <v>0</v>
      </c>
      <c r="K71" s="127">
        <f t="shared" si="169"/>
        <v>0</v>
      </c>
      <c r="L71" s="127">
        <f t="shared" si="170"/>
        <v>0</v>
      </c>
      <c r="M71" s="127">
        <f t="shared" si="171"/>
        <v>0</v>
      </c>
      <c r="N71" s="131"/>
      <c r="O71" s="125" t="str">
        <f t="shared" si="172"/>
        <v>ნულოვანი შესრულება</v>
      </c>
      <c r="P71" s="27">
        <v>0</v>
      </c>
      <c r="Q71" s="27">
        <v>0</v>
      </c>
      <c r="R71" s="27">
        <f t="shared" si="173"/>
        <v>0</v>
      </c>
      <c r="S71" s="27">
        <f t="shared" si="174"/>
        <v>0</v>
      </c>
      <c r="T71" s="27"/>
      <c r="U71" s="27"/>
      <c r="V71" s="27">
        <v>41</v>
      </c>
      <c r="W71" s="27"/>
      <c r="X71" s="27">
        <f t="shared" si="175"/>
        <v>41</v>
      </c>
      <c r="Y71" s="27">
        <f t="shared" si="176"/>
        <v>0</v>
      </c>
      <c r="Z71" s="27">
        <v>41</v>
      </c>
      <c r="AA71" s="27"/>
      <c r="AB71" s="27"/>
      <c r="AC71" s="27"/>
      <c r="AD71" s="27">
        <f t="shared" si="177"/>
        <v>41</v>
      </c>
      <c r="AE71" s="27">
        <f t="shared" si="178"/>
        <v>0</v>
      </c>
      <c r="AF71" s="27">
        <f t="shared" si="179"/>
        <v>41</v>
      </c>
      <c r="AG71" s="27">
        <f t="shared" si="180"/>
        <v>0</v>
      </c>
      <c r="AH71" s="27">
        <f t="shared" si="181"/>
        <v>41</v>
      </c>
      <c r="AI71" s="27">
        <f t="shared" si="182"/>
        <v>0</v>
      </c>
      <c r="AJ71" s="27">
        <f t="shared" si="183"/>
        <v>82</v>
      </c>
      <c r="AK71" s="27">
        <f t="shared" si="184"/>
        <v>0</v>
      </c>
      <c r="AL71" s="27"/>
      <c r="AM71" s="27"/>
      <c r="AN71" s="27">
        <v>0</v>
      </c>
      <c r="AO71" s="27"/>
      <c r="AP71" s="27">
        <f t="shared" si="185"/>
        <v>0</v>
      </c>
      <c r="AQ71" s="27">
        <f t="shared" si="186"/>
        <v>0</v>
      </c>
      <c r="AR71" s="27"/>
      <c r="AS71" s="27"/>
      <c r="AT71" s="27">
        <v>0</v>
      </c>
      <c r="AU71" s="27"/>
      <c r="AV71" s="27">
        <f t="shared" si="187"/>
        <v>0</v>
      </c>
      <c r="AW71" s="27">
        <f t="shared" si="188"/>
        <v>0</v>
      </c>
      <c r="AX71" s="27"/>
      <c r="AY71" s="27"/>
      <c r="AZ71" s="27">
        <v>0</v>
      </c>
      <c r="BA71" s="27"/>
      <c r="BB71" s="27">
        <f t="shared" si="189"/>
        <v>0</v>
      </c>
      <c r="BC71" s="27">
        <f t="shared" si="190"/>
        <v>0</v>
      </c>
      <c r="BD71" s="27"/>
      <c r="BE71" s="27"/>
      <c r="BF71" s="27">
        <v>0</v>
      </c>
      <c r="BG71" s="27"/>
      <c r="BH71" s="27">
        <f t="shared" si="191"/>
        <v>0</v>
      </c>
      <c r="BI71" s="27">
        <f t="shared" si="192"/>
        <v>0</v>
      </c>
      <c r="BJ71" s="27"/>
      <c r="BK71" s="27"/>
      <c r="BL71" s="27">
        <v>0</v>
      </c>
      <c r="BM71" s="27"/>
      <c r="BN71" s="27">
        <f t="shared" si="193"/>
        <v>0</v>
      </c>
      <c r="BO71" s="27">
        <f t="shared" si="194"/>
        <v>0</v>
      </c>
      <c r="BP71" s="26"/>
      <c r="BQ71" s="26"/>
      <c r="BR71" s="27">
        <v>0</v>
      </c>
      <c r="BS71" s="27"/>
      <c r="BT71" s="27">
        <f t="shared" si="195"/>
        <v>0</v>
      </c>
      <c r="BU71" s="27">
        <f t="shared" si="196"/>
        <v>0</v>
      </c>
      <c r="BV71" s="26"/>
      <c r="BW71" s="26"/>
      <c r="BX71" s="27">
        <v>0</v>
      </c>
      <c r="BY71" s="26"/>
      <c r="BZ71" s="27">
        <f t="shared" si="197"/>
        <v>0</v>
      </c>
      <c r="CA71" s="27">
        <f t="shared" si="198"/>
        <v>0</v>
      </c>
      <c r="CB71" s="26"/>
      <c r="CC71" s="26"/>
      <c r="CD71" s="27">
        <v>0</v>
      </c>
      <c r="CE71" s="26"/>
      <c r="CF71" s="27">
        <f t="shared" si="199"/>
        <v>0</v>
      </c>
      <c r="CG71" s="27">
        <f t="shared" si="200"/>
        <v>0</v>
      </c>
      <c r="CH71" s="27"/>
      <c r="CI71" s="27"/>
      <c r="CJ71" s="27">
        <v>0</v>
      </c>
      <c r="CK71" s="27"/>
      <c r="CL71" s="27">
        <f t="shared" si="201"/>
        <v>0</v>
      </c>
      <c r="CM71" s="27">
        <f t="shared" si="202"/>
        <v>0</v>
      </c>
      <c r="CN71" s="27"/>
      <c r="CO71" s="27"/>
      <c r="CP71" s="27">
        <v>0</v>
      </c>
      <c r="CQ71" s="27"/>
      <c r="CR71" s="27">
        <f t="shared" si="203"/>
        <v>0</v>
      </c>
      <c r="CS71" s="27">
        <f t="shared" si="204"/>
        <v>0</v>
      </c>
      <c r="CT71" s="27"/>
      <c r="CU71" s="27"/>
      <c r="CV71" s="27">
        <v>0</v>
      </c>
      <c r="CW71" s="27"/>
      <c r="CX71" s="27">
        <f t="shared" si="205"/>
        <v>0</v>
      </c>
      <c r="CY71" s="27">
        <f t="shared" si="206"/>
        <v>0</v>
      </c>
      <c r="CZ71" s="27"/>
      <c r="DA71" s="27"/>
      <c r="DB71" s="27">
        <v>0</v>
      </c>
      <c r="DC71" s="27"/>
      <c r="DD71" s="27">
        <f t="shared" si="207"/>
        <v>0</v>
      </c>
      <c r="DE71" s="27">
        <f t="shared" si="208"/>
        <v>0</v>
      </c>
      <c r="DF71" s="27">
        <f t="shared" si="209"/>
        <v>0</v>
      </c>
      <c r="DG71" s="27">
        <f t="shared" si="210"/>
        <v>0</v>
      </c>
      <c r="DH71" s="27">
        <f t="shared" si="211"/>
        <v>0</v>
      </c>
      <c r="DI71" s="27">
        <f t="shared" si="212"/>
        <v>0</v>
      </c>
      <c r="DJ71" s="27">
        <f t="shared" si="213"/>
        <v>0</v>
      </c>
      <c r="DK71" s="27">
        <f t="shared" si="214"/>
        <v>0</v>
      </c>
    </row>
    <row r="72" spans="1:115">
      <c r="A72" s="25">
        <v>64</v>
      </c>
      <c r="B72" s="26" t="s">
        <v>1162</v>
      </c>
      <c r="C72" s="26"/>
      <c r="D72" s="26"/>
      <c r="E72" s="205" t="s">
        <v>1200</v>
      </c>
      <c r="F72" s="161">
        <f t="shared" si="167"/>
        <v>0</v>
      </c>
      <c r="G72" s="165">
        <f t="shared" si="168"/>
        <v>0</v>
      </c>
      <c r="H72" s="27"/>
      <c r="I72" s="27">
        <v>0</v>
      </c>
      <c r="J72" s="27">
        <v>0</v>
      </c>
      <c r="K72" s="127">
        <f t="shared" si="169"/>
        <v>0</v>
      </c>
      <c r="L72" s="127">
        <f t="shared" si="170"/>
        <v>0</v>
      </c>
      <c r="M72" s="127">
        <f t="shared" si="171"/>
        <v>0</v>
      </c>
      <c r="N72" s="131"/>
      <c r="O72" s="125" t="str">
        <f t="shared" si="172"/>
        <v>ნულოვანი შესრულება</v>
      </c>
      <c r="P72" s="27">
        <v>0</v>
      </c>
      <c r="Q72" s="27">
        <v>0</v>
      </c>
      <c r="R72" s="27">
        <f t="shared" si="173"/>
        <v>0</v>
      </c>
      <c r="S72" s="27">
        <f t="shared" si="174"/>
        <v>0</v>
      </c>
      <c r="T72" s="27"/>
      <c r="U72" s="27"/>
      <c r="V72" s="27">
        <v>42</v>
      </c>
      <c r="W72" s="27"/>
      <c r="X72" s="27">
        <f t="shared" si="175"/>
        <v>42</v>
      </c>
      <c r="Y72" s="27">
        <f t="shared" si="176"/>
        <v>0</v>
      </c>
      <c r="Z72" s="27">
        <v>42</v>
      </c>
      <c r="AA72" s="27"/>
      <c r="AB72" s="27"/>
      <c r="AC72" s="27"/>
      <c r="AD72" s="27">
        <f t="shared" si="177"/>
        <v>42</v>
      </c>
      <c r="AE72" s="27">
        <f t="shared" si="178"/>
        <v>0</v>
      </c>
      <c r="AF72" s="27">
        <f t="shared" si="179"/>
        <v>42</v>
      </c>
      <c r="AG72" s="27">
        <f t="shared" si="180"/>
        <v>0</v>
      </c>
      <c r="AH72" s="27">
        <f t="shared" si="181"/>
        <v>42</v>
      </c>
      <c r="AI72" s="27">
        <f t="shared" si="182"/>
        <v>0</v>
      </c>
      <c r="AJ72" s="27">
        <f t="shared" si="183"/>
        <v>84</v>
      </c>
      <c r="AK72" s="27">
        <f t="shared" si="184"/>
        <v>0</v>
      </c>
      <c r="AL72" s="27"/>
      <c r="AM72" s="27"/>
      <c r="AN72" s="27">
        <v>0</v>
      </c>
      <c r="AO72" s="27"/>
      <c r="AP72" s="27">
        <f t="shared" si="185"/>
        <v>0</v>
      </c>
      <c r="AQ72" s="27">
        <f t="shared" si="186"/>
        <v>0</v>
      </c>
      <c r="AR72" s="27"/>
      <c r="AS72" s="27"/>
      <c r="AT72" s="27">
        <v>0</v>
      </c>
      <c r="AU72" s="27"/>
      <c r="AV72" s="27">
        <f t="shared" si="187"/>
        <v>0</v>
      </c>
      <c r="AW72" s="27">
        <f t="shared" si="188"/>
        <v>0</v>
      </c>
      <c r="AX72" s="27"/>
      <c r="AY72" s="27"/>
      <c r="AZ72" s="27">
        <v>0</v>
      </c>
      <c r="BA72" s="27"/>
      <c r="BB72" s="27">
        <f t="shared" si="189"/>
        <v>0</v>
      </c>
      <c r="BC72" s="27">
        <f t="shared" si="190"/>
        <v>0</v>
      </c>
      <c r="BD72" s="27"/>
      <c r="BE72" s="27"/>
      <c r="BF72" s="27">
        <v>0</v>
      </c>
      <c r="BG72" s="27"/>
      <c r="BH72" s="27">
        <f t="shared" si="191"/>
        <v>0</v>
      </c>
      <c r="BI72" s="27">
        <f t="shared" si="192"/>
        <v>0</v>
      </c>
      <c r="BJ72" s="27"/>
      <c r="BK72" s="27"/>
      <c r="BL72" s="27">
        <v>0</v>
      </c>
      <c r="BM72" s="27"/>
      <c r="BN72" s="27">
        <f t="shared" si="193"/>
        <v>0</v>
      </c>
      <c r="BO72" s="27">
        <f t="shared" si="194"/>
        <v>0</v>
      </c>
      <c r="BP72" s="26"/>
      <c r="BQ72" s="26"/>
      <c r="BR72" s="27">
        <v>0</v>
      </c>
      <c r="BS72" s="27"/>
      <c r="BT72" s="27">
        <f t="shared" si="195"/>
        <v>0</v>
      </c>
      <c r="BU72" s="27">
        <f t="shared" si="196"/>
        <v>0</v>
      </c>
      <c r="BV72" s="26"/>
      <c r="BW72" s="26"/>
      <c r="BX72" s="27">
        <v>0</v>
      </c>
      <c r="BY72" s="26"/>
      <c r="BZ72" s="27">
        <f t="shared" si="197"/>
        <v>0</v>
      </c>
      <c r="CA72" s="27">
        <f t="shared" si="198"/>
        <v>0</v>
      </c>
      <c r="CB72" s="26"/>
      <c r="CC72" s="26"/>
      <c r="CD72" s="27">
        <v>0</v>
      </c>
      <c r="CE72" s="26"/>
      <c r="CF72" s="27">
        <f t="shared" si="199"/>
        <v>0</v>
      </c>
      <c r="CG72" s="27">
        <f t="shared" si="200"/>
        <v>0</v>
      </c>
      <c r="CH72" s="27"/>
      <c r="CI72" s="27"/>
      <c r="CJ72" s="27">
        <v>0</v>
      </c>
      <c r="CK72" s="27"/>
      <c r="CL72" s="27">
        <f t="shared" si="201"/>
        <v>0</v>
      </c>
      <c r="CM72" s="27">
        <f t="shared" si="202"/>
        <v>0</v>
      </c>
      <c r="CN72" s="27"/>
      <c r="CO72" s="27"/>
      <c r="CP72" s="27">
        <v>0</v>
      </c>
      <c r="CQ72" s="27"/>
      <c r="CR72" s="27">
        <f t="shared" si="203"/>
        <v>0</v>
      </c>
      <c r="CS72" s="27">
        <f t="shared" si="204"/>
        <v>0</v>
      </c>
      <c r="CT72" s="27"/>
      <c r="CU72" s="27"/>
      <c r="CV72" s="27">
        <v>0</v>
      </c>
      <c r="CW72" s="27"/>
      <c r="CX72" s="27">
        <f t="shared" si="205"/>
        <v>0</v>
      </c>
      <c r="CY72" s="27">
        <f t="shared" si="206"/>
        <v>0</v>
      </c>
      <c r="CZ72" s="27"/>
      <c r="DA72" s="27"/>
      <c r="DB72" s="27">
        <v>0</v>
      </c>
      <c r="DC72" s="27"/>
      <c r="DD72" s="27">
        <f t="shared" si="207"/>
        <v>0</v>
      </c>
      <c r="DE72" s="27">
        <f t="shared" si="208"/>
        <v>0</v>
      </c>
      <c r="DF72" s="27">
        <f t="shared" si="209"/>
        <v>0</v>
      </c>
      <c r="DG72" s="27">
        <f t="shared" si="210"/>
        <v>0</v>
      </c>
      <c r="DH72" s="27">
        <f t="shared" si="211"/>
        <v>0</v>
      </c>
      <c r="DI72" s="27">
        <f t="shared" si="212"/>
        <v>0</v>
      </c>
      <c r="DJ72" s="27">
        <f t="shared" si="213"/>
        <v>0</v>
      </c>
      <c r="DK72" s="27">
        <f t="shared" si="214"/>
        <v>0</v>
      </c>
    </row>
    <row r="73" spans="1:115">
      <c r="A73" s="25">
        <v>65</v>
      </c>
      <c r="B73" s="26" t="s">
        <v>1162</v>
      </c>
      <c r="C73" s="26"/>
      <c r="D73" s="26"/>
      <c r="E73" s="205" t="s">
        <v>1200</v>
      </c>
      <c r="F73" s="161">
        <f t="shared" si="167"/>
        <v>0</v>
      </c>
      <c r="G73" s="165">
        <f t="shared" si="168"/>
        <v>0</v>
      </c>
      <c r="H73" s="27"/>
      <c r="I73" s="27">
        <v>0</v>
      </c>
      <c r="J73" s="27">
        <v>0</v>
      </c>
      <c r="K73" s="127">
        <f t="shared" si="169"/>
        <v>0</v>
      </c>
      <c r="L73" s="127">
        <f t="shared" si="170"/>
        <v>0</v>
      </c>
      <c r="M73" s="127">
        <f t="shared" si="171"/>
        <v>0</v>
      </c>
      <c r="N73" s="131"/>
      <c r="O73" s="125" t="str">
        <f t="shared" si="172"/>
        <v>ნულოვანი შესრულება</v>
      </c>
      <c r="P73" s="27">
        <v>0</v>
      </c>
      <c r="Q73" s="27">
        <v>0</v>
      </c>
      <c r="R73" s="27">
        <f t="shared" si="173"/>
        <v>0</v>
      </c>
      <c r="S73" s="27">
        <f t="shared" si="174"/>
        <v>0</v>
      </c>
      <c r="T73" s="27"/>
      <c r="U73" s="27"/>
      <c r="V73" s="27">
        <v>43</v>
      </c>
      <c r="W73" s="27"/>
      <c r="X73" s="27">
        <f t="shared" si="175"/>
        <v>43</v>
      </c>
      <c r="Y73" s="27">
        <f t="shared" si="176"/>
        <v>0</v>
      </c>
      <c r="Z73" s="27">
        <v>43</v>
      </c>
      <c r="AA73" s="27"/>
      <c r="AB73" s="27"/>
      <c r="AC73" s="27"/>
      <c r="AD73" s="27">
        <f t="shared" si="177"/>
        <v>43</v>
      </c>
      <c r="AE73" s="27">
        <f t="shared" si="178"/>
        <v>0</v>
      </c>
      <c r="AF73" s="27">
        <f t="shared" si="179"/>
        <v>43</v>
      </c>
      <c r="AG73" s="27">
        <f t="shared" si="180"/>
        <v>0</v>
      </c>
      <c r="AH73" s="27">
        <f t="shared" si="181"/>
        <v>43</v>
      </c>
      <c r="AI73" s="27">
        <f t="shared" si="182"/>
        <v>0</v>
      </c>
      <c r="AJ73" s="27">
        <f t="shared" si="183"/>
        <v>86</v>
      </c>
      <c r="AK73" s="27">
        <f t="shared" si="184"/>
        <v>0</v>
      </c>
      <c r="AL73" s="27"/>
      <c r="AM73" s="27"/>
      <c r="AN73" s="27">
        <v>0</v>
      </c>
      <c r="AO73" s="27"/>
      <c r="AP73" s="27">
        <f t="shared" si="185"/>
        <v>0</v>
      </c>
      <c r="AQ73" s="27">
        <f t="shared" si="186"/>
        <v>0</v>
      </c>
      <c r="AR73" s="27"/>
      <c r="AS73" s="27"/>
      <c r="AT73" s="27">
        <v>0</v>
      </c>
      <c r="AU73" s="27"/>
      <c r="AV73" s="27">
        <f t="shared" si="187"/>
        <v>0</v>
      </c>
      <c r="AW73" s="27">
        <f t="shared" si="188"/>
        <v>0</v>
      </c>
      <c r="AX73" s="27"/>
      <c r="AY73" s="27"/>
      <c r="AZ73" s="27">
        <v>0</v>
      </c>
      <c r="BA73" s="27"/>
      <c r="BB73" s="27">
        <f t="shared" si="189"/>
        <v>0</v>
      </c>
      <c r="BC73" s="27">
        <f t="shared" si="190"/>
        <v>0</v>
      </c>
      <c r="BD73" s="27"/>
      <c r="BE73" s="27"/>
      <c r="BF73" s="27">
        <v>0</v>
      </c>
      <c r="BG73" s="27"/>
      <c r="BH73" s="27">
        <f t="shared" si="191"/>
        <v>0</v>
      </c>
      <c r="BI73" s="27">
        <f t="shared" si="192"/>
        <v>0</v>
      </c>
      <c r="BJ73" s="27"/>
      <c r="BK73" s="27"/>
      <c r="BL73" s="27">
        <v>0</v>
      </c>
      <c r="BM73" s="27"/>
      <c r="BN73" s="27">
        <f t="shared" si="193"/>
        <v>0</v>
      </c>
      <c r="BO73" s="27">
        <f t="shared" si="194"/>
        <v>0</v>
      </c>
      <c r="BP73" s="26"/>
      <c r="BQ73" s="26"/>
      <c r="BR73" s="27">
        <v>0</v>
      </c>
      <c r="BS73" s="27"/>
      <c r="BT73" s="27">
        <f t="shared" si="195"/>
        <v>0</v>
      </c>
      <c r="BU73" s="27">
        <f t="shared" si="196"/>
        <v>0</v>
      </c>
      <c r="BV73" s="26"/>
      <c r="BW73" s="26"/>
      <c r="BX73" s="27">
        <v>0</v>
      </c>
      <c r="BY73" s="26"/>
      <c r="BZ73" s="27">
        <f t="shared" si="197"/>
        <v>0</v>
      </c>
      <c r="CA73" s="27">
        <f t="shared" si="198"/>
        <v>0</v>
      </c>
      <c r="CB73" s="26"/>
      <c r="CC73" s="26"/>
      <c r="CD73" s="27">
        <v>0</v>
      </c>
      <c r="CE73" s="26"/>
      <c r="CF73" s="27">
        <f t="shared" si="199"/>
        <v>0</v>
      </c>
      <c r="CG73" s="27">
        <f t="shared" si="200"/>
        <v>0</v>
      </c>
      <c r="CH73" s="27"/>
      <c r="CI73" s="27"/>
      <c r="CJ73" s="27">
        <v>0</v>
      </c>
      <c r="CK73" s="27"/>
      <c r="CL73" s="27">
        <f t="shared" si="201"/>
        <v>0</v>
      </c>
      <c r="CM73" s="27">
        <f t="shared" si="202"/>
        <v>0</v>
      </c>
      <c r="CN73" s="27"/>
      <c r="CO73" s="27"/>
      <c r="CP73" s="27">
        <v>0</v>
      </c>
      <c r="CQ73" s="27"/>
      <c r="CR73" s="27">
        <f t="shared" si="203"/>
        <v>0</v>
      </c>
      <c r="CS73" s="27">
        <f t="shared" si="204"/>
        <v>0</v>
      </c>
      <c r="CT73" s="27"/>
      <c r="CU73" s="27"/>
      <c r="CV73" s="27">
        <v>0</v>
      </c>
      <c r="CW73" s="27"/>
      <c r="CX73" s="27">
        <f t="shared" si="205"/>
        <v>0</v>
      </c>
      <c r="CY73" s="27">
        <f t="shared" si="206"/>
        <v>0</v>
      </c>
      <c r="CZ73" s="27"/>
      <c r="DA73" s="27"/>
      <c r="DB73" s="27">
        <v>0</v>
      </c>
      <c r="DC73" s="27"/>
      <c r="DD73" s="27">
        <f t="shared" si="207"/>
        <v>0</v>
      </c>
      <c r="DE73" s="27">
        <f t="shared" si="208"/>
        <v>0</v>
      </c>
      <c r="DF73" s="27">
        <f t="shared" si="209"/>
        <v>0</v>
      </c>
      <c r="DG73" s="27">
        <f t="shared" si="210"/>
        <v>0</v>
      </c>
      <c r="DH73" s="27">
        <f t="shared" si="211"/>
        <v>0</v>
      </c>
      <c r="DI73" s="27">
        <f t="shared" si="212"/>
        <v>0</v>
      </c>
      <c r="DJ73" s="27">
        <f t="shared" si="213"/>
        <v>0</v>
      </c>
      <c r="DK73" s="27">
        <f t="shared" si="214"/>
        <v>0</v>
      </c>
    </row>
    <row r="74" spans="1:115">
      <c r="A74" s="25">
        <v>66</v>
      </c>
      <c r="B74" s="26" t="s">
        <v>1162</v>
      </c>
      <c r="C74" s="26"/>
      <c r="D74" s="26"/>
      <c r="E74" s="205" t="s">
        <v>1200</v>
      </c>
      <c r="F74" s="161">
        <f t="shared" si="167"/>
        <v>0</v>
      </c>
      <c r="G74" s="165">
        <f t="shared" si="168"/>
        <v>0</v>
      </c>
      <c r="H74" s="27"/>
      <c r="I74" s="27">
        <v>0</v>
      </c>
      <c r="J74" s="27">
        <v>0</v>
      </c>
      <c r="K74" s="127">
        <f t="shared" si="169"/>
        <v>0</v>
      </c>
      <c r="L74" s="127">
        <f t="shared" si="170"/>
        <v>0</v>
      </c>
      <c r="M74" s="127">
        <f t="shared" si="171"/>
        <v>0</v>
      </c>
      <c r="N74" s="131"/>
      <c r="O74" s="125" t="str">
        <f t="shared" si="172"/>
        <v>ნულოვანი შესრულება</v>
      </c>
      <c r="P74" s="27">
        <v>0</v>
      </c>
      <c r="Q74" s="27">
        <v>0</v>
      </c>
      <c r="R74" s="27">
        <f t="shared" si="173"/>
        <v>0</v>
      </c>
      <c r="S74" s="27">
        <f t="shared" si="174"/>
        <v>0</v>
      </c>
      <c r="T74" s="27"/>
      <c r="U74" s="27"/>
      <c r="V74" s="27">
        <v>44</v>
      </c>
      <c r="W74" s="27"/>
      <c r="X74" s="27">
        <f t="shared" si="175"/>
        <v>44</v>
      </c>
      <c r="Y74" s="27">
        <f t="shared" si="176"/>
        <v>0</v>
      </c>
      <c r="Z74" s="27">
        <v>44</v>
      </c>
      <c r="AA74" s="27"/>
      <c r="AB74" s="27"/>
      <c r="AC74" s="27"/>
      <c r="AD74" s="27">
        <f t="shared" si="177"/>
        <v>44</v>
      </c>
      <c r="AE74" s="27">
        <f t="shared" si="178"/>
        <v>0</v>
      </c>
      <c r="AF74" s="27">
        <f t="shared" si="179"/>
        <v>44</v>
      </c>
      <c r="AG74" s="27">
        <f t="shared" si="180"/>
        <v>0</v>
      </c>
      <c r="AH74" s="27">
        <f t="shared" si="181"/>
        <v>44</v>
      </c>
      <c r="AI74" s="27">
        <f t="shared" si="182"/>
        <v>0</v>
      </c>
      <c r="AJ74" s="27">
        <f t="shared" si="183"/>
        <v>88</v>
      </c>
      <c r="AK74" s="27">
        <f t="shared" si="184"/>
        <v>0</v>
      </c>
      <c r="AL74" s="27"/>
      <c r="AM74" s="27"/>
      <c r="AN74" s="27">
        <v>0</v>
      </c>
      <c r="AO74" s="27"/>
      <c r="AP74" s="27">
        <f t="shared" si="185"/>
        <v>0</v>
      </c>
      <c r="AQ74" s="27">
        <f t="shared" si="186"/>
        <v>0</v>
      </c>
      <c r="AR74" s="27"/>
      <c r="AS74" s="27"/>
      <c r="AT74" s="27">
        <v>0</v>
      </c>
      <c r="AU74" s="27"/>
      <c r="AV74" s="27">
        <f t="shared" si="187"/>
        <v>0</v>
      </c>
      <c r="AW74" s="27">
        <f t="shared" si="188"/>
        <v>0</v>
      </c>
      <c r="AX74" s="27"/>
      <c r="AY74" s="27"/>
      <c r="AZ74" s="27">
        <v>0</v>
      </c>
      <c r="BA74" s="27"/>
      <c r="BB74" s="27">
        <f t="shared" si="189"/>
        <v>0</v>
      </c>
      <c r="BC74" s="27">
        <f t="shared" si="190"/>
        <v>0</v>
      </c>
      <c r="BD74" s="27"/>
      <c r="BE74" s="27"/>
      <c r="BF74" s="27">
        <v>0</v>
      </c>
      <c r="BG74" s="27"/>
      <c r="BH74" s="27">
        <f t="shared" si="191"/>
        <v>0</v>
      </c>
      <c r="BI74" s="27">
        <f t="shared" si="192"/>
        <v>0</v>
      </c>
      <c r="BJ74" s="27"/>
      <c r="BK74" s="27"/>
      <c r="BL74" s="27">
        <v>0</v>
      </c>
      <c r="BM74" s="27"/>
      <c r="BN74" s="27">
        <f t="shared" si="193"/>
        <v>0</v>
      </c>
      <c r="BO74" s="27">
        <f t="shared" si="194"/>
        <v>0</v>
      </c>
      <c r="BP74" s="26"/>
      <c r="BQ74" s="26"/>
      <c r="BR74" s="27">
        <v>0</v>
      </c>
      <c r="BS74" s="27"/>
      <c r="BT74" s="27">
        <f t="shared" si="195"/>
        <v>0</v>
      </c>
      <c r="BU74" s="27">
        <f t="shared" si="196"/>
        <v>0</v>
      </c>
      <c r="BV74" s="26"/>
      <c r="BW74" s="26"/>
      <c r="BX74" s="27">
        <v>0</v>
      </c>
      <c r="BY74" s="26"/>
      <c r="BZ74" s="27">
        <f t="shared" si="197"/>
        <v>0</v>
      </c>
      <c r="CA74" s="27">
        <f t="shared" si="198"/>
        <v>0</v>
      </c>
      <c r="CB74" s="26"/>
      <c r="CC74" s="26"/>
      <c r="CD74" s="27">
        <v>0</v>
      </c>
      <c r="CE74" s="26"/>
      <c r="CF74" s="27">
        <f t="shared" si="199"/>
        <v>0</v>
      </c>
      <c r="CG74" s="27">
        <f t="shared" si="200"/>
        <v>0</v>
      </c>
      <c r="CH74" s="27"/>
      <c r="CI74" s="27"/>
      <c r="CJ74" s="27">
        <v>0</v>
      </c>
      <c r="CK74" s="27"/>
      <c r="CL74" s="27">
        <f t="shared" si="201"/>
        <v>0</v>
      </c>
      <c r="CM74" s="27">
        <f t="shared" si="202"/>
        <v>0</v>
      </c>
      <c r="CN74" s="27"/>
      <c r="CO74" s="27"/>
      <c r="CP74" s="27">
        <v>0</v>
      </c>
      <c r="CQ74" s="27"/>
      <c r="CR74" s="27">
        <f t="shared" si="203"/>
        <v>0</v>
      </c>
      <c r="CS74" s="27">
        <f t="shared" si="204"/>
        <v>0</v>
      </c>
      <c r="CT74" s="27"/>
      <c r="CU74" s="27"/>
      <c r="CV74" s="27">
        <v>0</v>
      </c>
      <c r="CW74" s="27"/>
      <c r="CX74" s="27">
        <f t="shared" si="205"/>
        <v>0</v>
      </c>
      <c r="CY74" s="27">
        <f t="shared" si="206"/>
        <v>0</v>
      </c>
      <c r="CZ74" s="27"/>
      <c r="DA74" s="27"/>
      <c r="DB74" s="27">
        <v>0</v>
      </c>
      <c r="DC74" s="27"/>
      <c r="DD74" s="27">
        <f t="shared" si="207"/>
        <v>0</v>
      </c>
      <c r="DE74" s="27">
        <f t="shared" si="208"/>
        <v>0</v>
      </c>
      <c r="DF74" s="27">
        <f t="shared" si="209"/>
        <v>0</v>
      </c>
      <c r="DG74" s="27">
        <f t="shared" si="210"/>
        <v>0</v>
      </c>
      <c r="DH74" s="27">
        <f t="shared" si="211"/>
        <v>0</v>
      </c>
      <c r="DI74" s="27">
        <f t="shared" si="212"/>
        <v>0</v>
      </c>
      <c r="DJ74" s="27">
        <f t="shared" si="213"/>
        <v>0</v>
      </c>
      <c r="DK74" s="27">
        <f t="shared" si="214"/>
        <v>0</v>
      </c>
    </row>
    <row r="75" spans="1:115">
      <c r="A75" s="25">
        <v>67</v>
      </c>
      <c r="B75" s="26" t="s">
        <v>1162</v>
      </c>
      <c r="C75" s="26"/>
      <c r="D75" s="26"/>
      <c r="E75" s="205" t="s">
        <v>1200</v>
      </c>
      <c r="F75" s="161">
        <f t="shared" si="167"/>
        <v>0</v>
      </c>
      <c r="G75" s="165">
        <f t="shared" si="168"/>
        <v>0</v>
      </c>
      <c r="H75" s="27"/>
      <c r="I75" s="27">
        <v>0</v>
      </c>
      <c r="J75" s="27">
        <v>0</v>
      </c>
      <c r="K75" s="127">
        <f t="shared" si="169"/>
        <v>0</v>
      </c>
      <c r="L75" s="127">
        <f t="shared" si="170"/>
        <v>0</v>
      </c>
      <c r="M75" s="127">
        <f t="shared" si="171"/>
        <v>0</v>
      </c>
      <c r="N75" s="131"/>
      <c r="O75" s="125" t="str">
        <f t="shared" si="172"/>
        <v>ნულოვანი შესრულება</v>
      </c>
      <c r="P75" s="27">
        <v>0</v>
      </c>
      <c r="Q75" s="27">
        <v>0</v>
      </c>
      <c r="R75" s="27">
        <f t="shared" si="173"/>
        <v>0</v>
      </c>
      <c r="S75" s="27">
        <f t="shared" si="174"/>
        <v>0</v>
      </c>
      <c r="T75" s="27"/>
      <c r="U75" s="27"/>
      <c r="V75" s="27">
        <v>45</v>
      </c>
      <c r="W75" s="27"/>
      <c r="X75" s="27">
        <f t="shared" si="175"/>
        <v>45</v>
      </c>
      <c r="Y75" s="27">
        <f t="shared" si="176"/>
        <v>0</v>
      </c>
      <c r="Z75" s="27">
        <v>45</v>
      </c>
      <c r="AA75" s="27"/>
      <c r="AB75" s="27"/>
      <c r="AC75" s="27"/>
      <c r="AD75" s="27">
        <f t="shared" si="177"/>
        <v>45</v>
      </c>
      <c r="AE75" s="27">
        <f t="shared" si="178"/>
        <v>0</v>
      </c>
      <c r="AF75" s="27">
        <f t="shared" si="179"/>
        <v>45</v>
      </c>
      <c r="AG75" s="27">
        <f t="shared" si="180"/>
        <v>0</v>
      </c>
      <c r="AH75" s="27">
        <f t="shared" si="181"/>
        <v>45</v>
      </c>
      <c r="AI75" s="27">
        <f t="shared" si="182"/>
        <v>0</v>
      </c>
      <c r="AJ75" s="27">
        <f t="shared" si="183"/>
        <v>90</v>
      </c>
      <c r="AK75" s="27">
        <f t="shared" si="184"/>
        <v>0</v>
      </c>
      <c r="AL75" s="27"/>
      <c r="AM75" s="27"/>
      <c r="AN75" s="27">
        <v>0</v>
      </c>
      <c r="AO75" s="27"/>
      <c r="AP75" s="27">
        <f t="shared" si="185"/>
        <v>0</v>
      </c>
      <c r="AQ75" s="27">
        <f t="shared" si="186"/>
        <v>0</v>
      </c>
      <c r="AR75" s="27"/>
      <c r="AS75" s="27"/>
      <c r="AT75" s="27">
        <v>0</v>
      </c>
      <c r="AU75" s="27"/>
      <c r="AV75" s="27">
        <f t="shared" si="187"/>
        <v>0</v>
      </c>
      <c r="AW75" s="27">
        <f t="shared" si="188"/>
        <v>0</v>
      </c>
      <c r="AX75" s="27"/>
      <c r="AY75" s="27"/>
      <c r="AZ75" s="27">
        <v>0</v>
      </c>
      <c r="BA75" s="27"/>
      <c r="BB75" s="27">
        <f t="shared" si="189"/>
        <v>0</v>
      </c>
      <c r="BC75" s="27">
        <f t="shared" si="190"/>
        <v>0</v>
      </c>
      <c r="BD75" s="27"/>
      <c r="BE75" s="27"/>
      <c r="BF75" s="27">
        <v>0</v>
      </c>
      <c r="BG75" s="27"/>
      <c r="BH75" s="27">
        <f t="shared" si="191"/>
        <v>0</v>
      </c>
      <c r="BI75" s="27">
        <f t="shared" si="192"/>
        <v>0</v>
      </c>
      <c r="BJ75" s="27"/>
      <c r="BK75" s="27"/>
      <c r="BL75" s="27">
        <v>0</v>
      </c>
      <c r="BM75" s="27"/>
      <c r="BN75" s="27">
        <f t="shared" si="193"/>
        <v>0</v>
      </c>
      <c r="BO75" s="27">
        <f t="shared" si="194"/>
        <v>0</v>
      </c>
      <c r="BP75" s="26"/>
      <c r="BQ75" s="26"/>
      <c r="BR75" s="27">
        <v>0</v>
      </c>
      <c r="BS75" s="27"/>
      <c r="BT75" s="27">
        <f t="shared" si="195"/>
        <v>0</v>
      </c>
      <c r="BU75" s="27">
        <f t="shared" si="196"/>
        <v>0</v>
      </c>
      <c r="BV75" s="26"/>
      <c r="BW75" s="26"/>
      <c r="BX75" s="27">
        <v>0</v>
      </c>
      <c r="BY75" s="26"/>
      <c r="BZ75" s="27">
        <f t="shared" si="197"/>
        <v>0</v>
      </c>
      <c r="CA75" s="27">
        <f t="shared" si="198"/>
        <v>0</v>
      </c>
      <c r="CB75" s="26"/>
      <c r="CC75" s="26"/>
      <c r="CD75" s="27">
        <v>0</v>
      </c>
      <c r="CE75" s="26"/>
      <c r="CF75" s="27">
        <f t="shared" si="199"/>
        <v>0</v>
      </c>
      <c r="CG75" s="27">
        <f t="shared" si="200"/>
        <v>0</v>
      </c>
      <c r="CH75" s="27"/>
      <c r="CI75" s="27"/>
      <c r="CJ75" s="27">
        <v>0</v>
      </c>
      <c r="CK75" s="27"/>
      <c r="CL75" s="27">
        <f t="shared" si="201"/>
        <v>0</v>
      </c>
      <c r="CM75" s="27">
        <f t="shared" si="202"/>
        <v>0</v>
      </c>
      <c r="CN75" s="27"/>
      <c r="CO75" s="27"/>
      <c r="CP75" s="27">
        <v>0</v>
      </c>
      <c r="CQ75" s="27"/>
      <c r="CR75" s="27">
        <f t="shared" si="203"/>
        <v>0</v>
      </c>
      <c r="CS75" s="27">
        <f t="shared" si="204"/>
        <v>0</v>
      </c>
      <c r="CT75" s="27"/>
      <c r="CU75" s="27"/>
      <c r="CV75" s="27">
        <v>0</v>
      </c>
      <c r="CW75" s="27"/>
      <c r="CX75" s="27">
        <f t="shared" si="205"/>
        <v>0</v>
      </c>
      <c r="CY75" s="27">
        <f t="shared" si="206"/>
        <v>0</v>
      </c>
      <c r="CZ75" s="27"/>
      <c r="DA75" s="27"/>
      <c r="DB75" s="27">
        <v>0</v>
      </c>
      <c r="DC75" s="27"/>
      <c r="DD75" s="27">
        <f t="shared" si="207"/>
        <v>0</v>
      </c>
      <c r="DE75" s="27">
        <f t="shared" si="208"/>
        <v>0</v>
      </c>
      <c r="DF75" s="27">
        <f t="shared" si="209"/>
        <v>0</v>
      </c>
      <c r="DG75" s="27">
        <f t="shared" si="210"/>
        <v>0</v>
      </c>
      <c r="DH75" s="27">
        <f t="shared" si="211"/>
        <v>0</v>
      </c>
      <c r="DI75" s="27">
        <f t="shared" si="212"/>
        <v>0</v>
      </c>
      <c r="DJ75" s="27">
        <f t="shared" si="213"/>
        <v>0</v>
      </c>
      <c r="DK75" s="27">
        <f t="shared" si="214"/>
        <v>0</v>
      </c>
    </row>
    <row r="76" spans="1:115">
      <c r="A76" s="25">
        <v>68</v>
      </c>
      <c r="B76" s="26" t="s">
        <v>1162</v>
      </c>
      <c r="C76" s="26"/>
      <c r="D76" s="26"/>
      <c r="E76" s="205" t="s">
        <v>1200</v>
      </c>
      <c r="F76" s="161">
        <f t="shared" si="167"/>
        <v>0</v>
      </c>
      <c r="G76" s="165">
        <f t="shared" si="168"/>
        <v>0</v>
      </c>
      <c r="H76" s="27"/>
      <c r="I76" s="27">
        <v>0</v>
      </c>
      <c r="J76" s="27">
        <v>0</v>
      </c>
      <c r="K76" s="127">
        <f t="shared" si="169"/>
        <v>0</v>
      </c>
      <c r="L76" s="127">
        <f t="shared" si="170"/>
        <v>0</v>
      </c>
      <c r="M76" s="127">
        <f t="shared" si="171"/>
        <v>0</v>
      </c>
      <c r="N76" s="131"/>
      <c r="O76" s="125" t="str">
        <f t="shared" si="172"/>
        <v>ნულოვანი შესრულება</v>
      </c>
      <c r="P76" s="27">
        <v>0</v>
      </c>
      <c r="Q76" s="27">
        <v>0</v>
      </c>
      <c r="R76" s="27">
        <f t="shared" si="173"/>
        <v>0</v>
      </c>
      <c r="S76" s="27">
        <f t="shared" si="174"/>
        <v>0</v>
      </c>
      <c r="T76" s="27"/>
      <c r="U76" s="27"/>
      <c r="V76" s="27">
        <v>46</v>
      </c>
      <c r="W76" s="27"/>
      <c r="X76" s="27">
        <f t="shared" si="175"/>
        <v>46</v>
      </c>
      <c r="Y76" s="27">
        <f t="shared" si="176"/>
        <v>0</v>
      </c>
      <c r="Z76" s="27">
        <v>46</v>
      </c>
      <c r="AA76" s="27"/>
      <c r="AB76" s="27"/>
      <c r="AC76" s="27"/>
      <c r="AD76" s="27">
        <f t="shared" si="177"/>
        <v>46</v>
      </c>
      <c r="AE76" s="27">
        <f t="shared" si="178"/>
        <v>0</v>
      </c>
      <c r="AF76" s="27">
        <f t="shared" si="179"/>
        <v>46</v>
      </c>
      <c r="AG76" s="27">
        <f t="shared" si="180"/>
        <v>0</v>
      </c>
      <c r="AH76" s="27">
        <f t="shared" si="181"/>
        <v>46</v>
      </c>
      <c r="AI76" s="27">
        <f t="shared" si="182"/>
        <v>0</v>
      </c>
      <c r="AJ76" s="27">
        <f t="shared" si="183"/>
        <v>92</v>
      </c>
      <c r="AK76" s="27">
        <f t="shared" si="184"/>
        <v>0</v>
      </c>
      <c r="AL76" s="27"/>
      <c r="AM76" s="27"/>
      <c r="AN76" s="27">
        <v>0</v>
      </c>
      <c r="AO76" s="27"/>
      <c r="AP76" s="27">
        <f t="shared" si="185"/>
        <v>0</v>
      </c>
      <c r="AQ76" s="27">
        <f t="shared" si="186"/>
        <v>0</v>
      </c>
      <c r="AR76" s="27"/>
      <c r="AS76" s="27"/>
      <c r="AT76" s="27">
        <v>0</v>
      </c>
      <c r="AU76" s="27"/>
      <c r="AV76" s="27">
        <f t="shared" si="187"/>
        <v>0</v>
      </c>
      <c r="AW76" s="27">
        <f t="shared" si="188"/>
        <v>0</v>
      </c>
      <c r="AX76" s="27"/>
      <c r="AY76" s="27"/>
      <c r="AZ76" s="27">
        <v>0</v>
      </c>
      <c r="BA76" s="27"/>
      <c r="BB76" s="27">
        <f t="shared" si="189"/>
        <v>0</v>
      </c>
      <c r="BC76" s="27">
        <f t="shared" si="190"/>
        <v>0</v>
      </c>
      <c r="BD76" s="27"/>
      <c r="BE76" s="27"/>
      <c r="BF76" s="27">
        <v>0</v>
      </c>
      <c r="BG76" s="27"/>
      <c r="BH76" s="27">
        <f t="shared" si="191"/>
        <v>0</v>
      </c>
      <c r="BI76" s="27">
        <f t="shared" si="192"/>
        <v>0</v>
      </c>
      <c r="BJ76" s="27"/>
      <c r="BK76" s="27"/>
      <c r="BL76" s="27">
        <v>0</v>
      </c>
      <c r="BM76" s="27"/>
      <c r="BN76" s="27">
        <f t="shared" si="193"/>
        <v>0</v>
      </c>
      <c r="BO76" s="27">
        <f t="shared" si="194"/>
        <v>0</v>
      </c>
      <c r="BP76" s="26"/>
      <c r="BQ76" s="26"/>
      <c r="BR76" s="27">
        <v>0</v>
      </c>
      <c r="BS76" s="27"/>
      <c r="BT76" s="27">
        <f t="shared" si="195"/>
        <v>0</v>
      </c>
      <c r="BU76" s="27">
        <f t="shared" si="196"/>
        <v>0</v>
      </c>
      <c r="BV76" s="26"/>
      <c r="BW76" s="26"/>
      <c r="BX76" s="27">
        <v>0</v>
      </c>
      <c r="BY76" s="26"/>
      <c r="BZ76" s="27">
        <f t="shared" si="197"/>
        <v>0</v>
      </c>
      <c r="CA76" s="27">
        <f t="shared" si="198"/>
        <v>0</v>
      </c>
      <c r="CB76" s="26"/>
      <c r="CC76" s="26"/>
      <c r="CD76" s="27">
        <v>0</v>
      </c>
      <c r="CE76" s="26"/>
      <c r="CF76" s="27">
        <f t="shared" si="199"/>
        <v>0</v>
      </c>
      <c r="CG76" s="27">
        <f t="shared" si="200"/>
        <v>0</v>
      </c>
      <c r="CH76" s="27"/>
      <c r="CI76" s="27"/>
      <c r="CJ76" s="27">
        <v>0</v>
      </c>
      <c r="CK76" s="27"/>
      <c r="CL76" s="27">
        <f t="shared" si="201"/>
        <v>0</v>
      </c>
      <c r="CM76" s="27">
        <f t="shared" si="202"/>
        <v>0</v>
      </c>
      <c r="CN76" s="27"/>
      <c r="CO76" s="27"/>
      <c r="CP76" s="27">
        <v>0</v>
      </c>
      <c r="CQ76" s="27"/>
      <c r="CR76" s="27">
        <f t="shared" si="203"/>
        <v>0</v>
      </c>
      <c r="CS76" s="27">
        <f t="shared" si="204"/>
        <v>0</v>
      </c>
      <c r="CT76" s="27"/>
      <c r="CU76" s="27"/>
      <c r="CV76" s="27">
        <v>0</v>
      </c>
      <c r="CW76" s="27"/>
      <c r="CX76" s="27">
        <f t="shared" si="205"/>
        <v>0</v>
      </c>
      <c r="CY76" s="27">
        <f t="shared" si="206"/>
        <v>0</v>
      </c>
      <c r="CZ76" s="27"/>
      <c r="DA76" s="27"/>
      <c r="DB76" s="27">
        <v>0</v>
      </c>
      <c r="DC76" s="27"/>
      <c r="DD76" s="27">
        <f t="shared" si="207"/>
        <v>0</v>
      </c>
      <c r="DE76" s="27">
        <f t="shared" si="208"/>
        <v>0</v>
      </c>
      <c r="DF76" s="27">
        <f t="shared" si="209"/>
        <v>0</v>
      </c>
      <c r="DG76" s="27">
        <f t="shared" si="210"/>
        <v>0</v>
      </c>
      <c r="DH76" s="27">
        <f t="shared" si="211"/>
        <v>0</v>
      </c>
      <c r="DI76" s="27">
        <f t="shared" si="212"/>
        <v>0</v>
      </c>
      <c r="DJ76" s="27">
        <f t="shared" si="213"/>
        <v>0</v>
      </c>
      <c r="DK76" s="27">
        <f t="shared" si="214"/>
        <v>0</v>
      </c>
    </row>
    <row r="77" spans="1:115">
      <c r="A77" s="25">
        <v>69</v>
      </c>
      <c r="B77" s="26" t="s">
        <v>1162</v>
      </c>
      <c r="C77" s="26"/>
      <c r="D77" s="26"/>
      <c r="E77" s="205" t="s">
        <v>1200</v>
      </c>
      <c r="F77" s="161">
        <f t="shared" si="167"/>
        <v>0</v>
      </c>
      <c r="G77" s="165">
        <f t="shared" si="168"/>
        <v>0</v>
      </c>
      <c r="H77" s="27"/>
      <c r="I77" s="27">
        <v>0</v>
      </c>
      <c r="J77" s="27">
        <v>0</v>
      </c>
      <c r="K77" s="127">
        <f t="shared" si="169"/>
        <v>0</v>
      </c>
      <c r="L77" s="127">
        <f t="shared" si="170"/>
        <v>0</v>
      </c>
      <c r="M77" s="127">
        <f t="shared" si="171"/>
        <v>0</v>
      </c>
      <c r="N77" s="131"/>
      <c r="O77" s="125" t="str">
        <f t="shared" si="172"/>
        <v>ნულოვანი შესრულება</v>
      </c>
      <c r="P77" s="27">
        <v>0</v>
      </c>
      <c r="Q77" s="27">
        <v>0</v>
      </c>
      <c r="R77" s="27">
        <f t="shared" si="173"/>
        <v>0</v>
      </c>
      <c r="S77" s="27">
        <f t="shared" si="174"/>
        <v>0</v>
      </c>
      <c r="T77" s="27"/>
      <c r="U77" s="27"/>
      <c r="V77" s="27">
        <v>47</v>
      </c>
      <c r="W77" s="27"/>
      <c r="X77" s="27">
        <f t="shared" si="175"/>
        <v>47</v>
      </c>
      <c r="Y77" s="27">
        <f t="shared" si="176"/>
        <v>0</v>
      </c>
      <c r="Z77" s="27">
        <v>47</v>
      </c>
      <c r="AA77" s="27"/>
      <c r="AB77" s="27"/>
      <c r="AC77" s="27"/>
      <c r="AD77" s="27">
        <f t="shared" si="177"/>
        <v>47</v>
      </c>
      <c r="AE77" s="27">
        <f t="shared" si="178"/>
        <v>0</v>
      </c>
      <c r="AF77" s="27">
        <f t="shared" si="179"/>
        <v>47</v>
      </c>
      <c r="AG77" s="27">
        <f t="shared" si="180"/>
        <v>0</v>
      </c>
      <c r="AH77" s="27">
        <f t="shared" si="181"/>
        <v>47</v>
      </c>
      <c r="AI77" s="27">
        <f t="shared" si="182"/>
        <v>0</v>
      </c>
      <c r="AJ77" s="27">
        <f t="shared" si="183"/>
        <v>94</v>
      </c>
      <c r="AK77" s="27">
        <f t="shared" si="184"/>
        <v>0</v>
      </c>
      <c r="AL77" s="27"/>
      <c r="AM77" s="27"/>
      <c r="AN77" s="27">
        <v>0</v>
      </c>
      <c r="AO77" s="27"/>
      <c r="AP77" s="27">
        <f t="shared" si="185"/>
        <v>0</v>
      </c>
      <c r="AQ77" s="27">
        <f t="shared" si="186"/>
        <v>0</v>
      </c>
      <c r="AR77" s="27"/>
      <c r="AS77" s="27"/>
      <c r="AT77" s="27">
        <v>0</v>
      </c>
      <c r="AU77" s="27"/>
      <c r="AV77" s="27">
        <f t="shared" si="187"/>
        <v>0</v>
      </c>
      <c r="AW77" s="27">
        <f t="shared" si="188"/>
        <v>0</v>
      </c>
      <c r="AX77" s="27"/>
      <c r="AY77" s="27"/>
      <c r="AZ77" s="27">
        <v>0</v>
      </c>
      <c r="BA77" s="27"/>
      <c r="BB77" s="27">
        <f t="shared" si="189"/>
        <v>0</v>
      </c>
      <c r="BC77" s="27">
        <f t="shared" si="190"/>
        <v>0</v>
      </c>
      <c r="BD77" s="27"/>
      <c r="BE77" s="27"/>
      <c r="BF77" s="27">
        <v>0</v>
      </c>
      <c r="BG77" s="27"/>
      <c r="BH77" s="27">
        <f t="shared" si="191"/>
        <v>0</v>
      </c>
      <c r="BI77" s="27">
        <f t="shared" si="192"/>
        <v>0</v>
      </c>
      <c r="BJ77" s="27"/>
      <c r="BK77" s="27"/>
      <c r="BL77" s="27">
        <v>0</v>
      </c>
      <c r="BM77" s="27"/>
      <c r="BN77" s="27">
        <f t="shared" si="193"/>
        <v>0</v>
      </c>
      <c r="BO77" s="27">
        <f t="shared" si="194"/>
        <v>0</v>
      </c>
      <c r="BP77" s="26"/>
      <c r="BQ77" s="26"/>
      <c r="BR77" s="27">
        <v>0</v>
      </c>
      <c r="BS77" s="27"/>
      <c r="BT77" s="27">
        <f t="shared" si="195"/>
        <v>0</v>
      </c>
      <c r="BU77" s="27">
        <f t="shared" si="196"/>
        <v>0</v>
      </c>
      <c r="BV77" s="26"/>
      <c r="BW77" s="26"/>
      <c r="BX77" s="27">
        <v>0</v>
      </c>
      <c r="BY77" s="26"/>
      <c r="BZ77" s="27">
        <f t="shared" si="197"/>
        <v>0</v>
      </c>
      <c r="CA77" s="27">
        <f t="shared" si="198"/>
        <v>0</v>
      </c>
      <c r="CB77" s="26"/>
      <c r="CC77" s="26"/>
      <c r="CD77" s="27">
        <v>0</v>
      </c>
      <c r="CE77" s="26"/>
      <c r="CF77" s="27">
        <f t="shared" si="199"/>
        <v>0</v>
      </c>
      <c r="CG77" s="27">
        <f t="shared" si="200"/>
        <v>0</v>
      </c>
      <c r="CH77" s="27"/>
      <c r="CI77" s="27"/>
      <c r="CJ77" s="27">
        <v>0</v>
      </c>
      <c r="CK77" s="27"/>
      <c r="CL77" s="27">
        <f t="shared" si="201"/>
        <v>0</v>
      </c>
      <c r="CM77" s="27">
        <f t="shared" si="202"/>
        <v>0</v>
      </c>
      <c r="CN77" s="27"/>
      <c r="CO77" s="27"/>
      <c r="CP77" s="27">
        <v>0</v>
      </c>
      <c r="CQ77" s="27"/>
      <c r="CR77" s="27">
        <f t="shared" si="203"/>
        <v>0</v>
      </c>
      <c r="CS77" s="27">
        <f t="shared" si="204"/>
        <v>0</v>
      </c>
      <c r="CT77" s="27"/>
      <c r="CU77" s="27"/>
      <c r="CV77" s="27">
        <v>0</v>
      </c>
      <c r="CW77" s="27"/>
      <c r="CX77" s="27">
        <f t="shared" si="205"/>
        <v>0</v>
      </c>
      <c r="CY77" s="27">
        <f t="shared" si="206"/>
        <v>0</v>
      </c>
      <c r="CZ77" s="27"/>
      <c r="DA77" s="27"/>
      <c r="DB77" s="27">
        <v>0</v>
      </c>
      <c r="DC77" s="27"/>
      <c r="DD77" s="27">
        <f t="shared" si="207"/>
        <v>0</v>
      </c>
      <c r="DE77" s="27">
        <f t="shared" si="208"/>
        <v>0</v>
      </c>
      <c r="DF77" s="27">
        <f t="shared" si="209"/>
        <v>0</v>
      </c>
      <c r="DG77" s="27">
        <f t="shared" si="210"/>
        <v>0</v>
      </c>
      <c r="DH77" s="27">
        <f t="shared" si="211"/>
        <v>0</v>
      </c>
      <c r="DI77" s="27">
        <f t="shared" si="212"/>
        <v>0</v>
      </c>
      <c r="DJ77" s="27">
        <f t="shared" si="213"/>
        <v>0</v>
      </c>
      <c r="DK77" s="27">
        <f t="shared" si="214"/>
        <v>0</v>
      </c>
    </row>
    <row r="78" spans="1:115">
      <c r="A78" s="25">
        <v>70</v>
      </c>
      <c r="B78" s="26" t="s">
        <v>1162</v>
      </c>
      <c r="C78" s="26"/>
      <c r="D78" s="26"/>
      <c r="E78" s="205" t="s">
        <v>1200</v>
      </c>
      <c r="F78" s="161">
        <f t="shared" si="167"/>
        <v>0</v>
      </c>
      <c r="G78" s="165">
        <f t="shared" si="168"/>
        <v>0</v>
      </c>
      <c r="H78" s="27"/>
      <c r="I78" s="27">
        <v>0</v>
      </c>
      <c r="J78" s="27">
        <v>0</v>
      </c>
      <c r="K78" s="127">
        <f t="shared" si="169"/>
        <v>0</v>
      </c>
      <c r="L78" s="127">
        <f t="shared" si="170"/>
        <v>0</v>
      </c>
      <c r="M78" s="127">
        <f t="shared" si="171"/>
        <v>0</v>
      </c>
      <c r="N78" s="131"/>
      <c r="O78" s="125" t="str">
        <f t="shared" si="172"/>
        <v>ნულოვანი შესრულება</v>
      </c>
      <c r="P78" s="27">
        <v>0</v>
      </c>
      <c r="Q78" s="27">
        <v>0</v>
      </c>
      <c r="R78" s="27">
        <f t="shared" si="173"/>
        <v>0</v>
      </c>
      <c r="S78" s="27">
        <f t="shared" si="174"/>
        <v>0</v>
      </c>
      <c r="T78" s="27"/>
      <c r="U78" s="27"/>
      <c r="V78" s="27">
        <v>48</v>
      </c>
      <c r="W78" s="27"/>
      <c r="X78" s="27">
        <f t="shared" si="175"/>
        <v>48</v>
      </c>
      <c r="Y78" s="27">
        <f t="shared" si="176"/>
        <v>0</v>
      </c>
      <c r="Z78" s="27">
        <v>48</v>
      </c>
      <c r="AA78" s="27"/>
      <c r="AB78" s="27"/>
      <c r="AC78" s="27"/>
      <c r="AD78" s="27">
        <f t="shared" si="177"/>
        <v>48</v>
      </c>
      <c r="AE78" s="27">
        <f t="shared" si="178"/>
        <v>0</v>
      </c>
      <c r="AF78" s="27">
        <f t="shared" si="179"/>
        <v>48</v>
      </c>
      <c r="AG78" s="27">
        <f t="shared" si="180"/>
        <v>0</v>
      </c>
      <c r="AH78" s="27">
        <f t="shared" si="181"/>
        <v>48</v>
      </c>
      <c r="AI78" s="27">
        <f t="shared" si="182"/>
        <v>0</v>
      </c>
      <c r="AJ78" s="27">
        <f t="shared" si="183"/>
        <v>96</v>
      </c>
      <c r="AK78" s="27">
        <f t="shared" si="184"/>
        <v>0</v>
      </c>
      <c r="AL78" s="27"/>
      <c r="AM78" s="27"/>
      <c r="AN78" s="27">
        <v>0</v>
      </c>
      <c r="AO78" s="27"/>
      <c r="AP78" s="27">
        <f t="shared" si="185"/>
        <v>0</v>
      </c>
      <c r="AQ78" s="27">
        <f t="shared" si="186"/>
        <v>0</v>
      </c>
      <c r="AR78" s="27"/>
      <c r="AS78" s="27"/>
      <c r="AT78" s="27">
        <v>0</v>
      </c>
      <c r="AU78" s="27"/>
      <c r="AV78" s="27">
        <f t="shared" si="187"/>
        <v>0</v>
      </c>
      <c r="AW78" s="27">
        <f t="shared" si="188"/>
        <v>0</v>
      </c>
      <c r="AX78" s="27"/>
      <c r="AY78" s="27"/>
      <c r="AZ78" s="27">
        <v>0</v>
      </c>
      <c r="BA78" s="27"/>
      <c r="BB78" s="27">
        <f t="shared" si="189"/>
        <v>0</v>
      </c>
      <c r="BC78" s="27">
        <f t="shared" si="190"/>
        <v>0</v>
      </c>
      <c r="BD78" s="27"/>
      <c r="BE78" s="27"/>
      <c r="BF78" s="27">
        <v>0</v>
      </c>
      <c r="BG78" s="27"/>
      <c r="BH78" s="27">
        <f t="shared" si="191"/>
        <v>0</v>
      </c>
      <c r="BI78" s="27">
        <f t="shared" si="192"/>
        <v>0</v>
      </c>
      <c r="BJ78" s="27"/>
      <c r="BK78" s="27"/>
      <c r="BL78" s="27">
        <v>0</v>
      </c>
      <c r="BM78" s="27"/>
      <c r="BN78" s="27">
        <f t="shared" si="193"/>
        <v>0</v>
      </c>
      <c r="BO78" s="27">
        <f t="shared" si="194"/>
        <v>0</v>
      </c>
      <c r="BP78" s="26"/>
      <c r="BQ78" s="26"/>
      <c r="BR78" s="27">
        <v>0</v>
      </c>
      <c r="BS78" s="27"/>
      <c r="BT78" s="27">
        <f t="shared" si="195"/>
        <v>0</v>
      </c>
      <c r="BU78" s="27">
        <f t="shared" si="196"/>
        <v>0</v>
      </c>
      <c r="BV78" s="26"/>
      <c r="BW78" s="26"/>
      <c r="BX78" s="27">
        <v>0</v>
      </c>
      <c r="BY78" s="26"/>
      <c r="BZ78" s="27">
        <f t="shared" si="197"/>
        <v>0</v>
      </c>
      <c r="CA78" s="27">
        <f t="shared" si="198"/>
        <v>0</v>
      </c>
      <c r="CB78" s="26"/>
      <c r="CC78" s="26"/>
      <c r="CD78" s="27">
        <v>0</v>
      </c>
      <c r="CE78" s="26"/>
      <c r="CF78" s="27">
        <f t="shared" si="199"/>
        <v>0</v>
      </c>
      <c r="CG78" s="27">
        <f t="shared" si="200"/>
        <v>0</v>
      </c>
      <c r="CH78" s="27"/>
      <c r="CI78" s="27"/>
      <c r="CJ78" s="27">
        <v>0</v>
      </c>
      <c r="CK78" s="27"/>
      <c r="CL78" s="27">
        <f t="shared" si="201"/>
        <v>0</v>
      </c>
      <c r="CM78" s="27">
        <f t="shared" si="202"/>
        <v>0</v>
      </c>
      <c r="CN78" s="27"/>
      <c r="CO78" s="27"/>
      <c r="CP78" s="27">
        <v>0</v>
      </c>
      <c r="CQ78" s="27"/>
      <c r="CR78" s="27">
        <f t="shared" si="203"/>
        <v>0</v>
      </c>
      <c r="CS78" s="27">
        <f t="shared" si="204"/>
        <v>0</v>
      </c>
      <c r="CT78" s="27"/>
      <c r="CU78" s="27"/>
      <c r="CV78" s="27">
        <v>0</v>
      </c>
      <c r="CW78" s="27"/>
      <c r="CX78" s="27">
        <f t="shared" si="205"/>
        <v>0</v>
      </c>
      <c r="CY78" s="27">
        <f t="shared" si="206"/>
        <v>0</v>
      </c>
      <c r="CZ78" s="27"/>
      <c r="DA78" s="27"/>
      <c r="DB78" s="27">
        <v>0</v>
      </c>
      <c r="DC78" s="27"/>
      <c r="DD78" s="27">
        <f t="shared" si="207"/>
        <v>0</v>
      </c>
      <c r="DE78" s="27">
        <f t="shared" si="208"/>
        <v>0</v>
      </c>
      <c r="DF78" s="27">
        <f t="shared" si="209"/>
        <v>0</v>
      </c>
      <c r="DG78" s="27">
        <f t="shared" si="210"/>
        <v>0</v>
      </c>
      <c r="DH78" s="27">
        <f t="shared" si="211"/>
        <v>0</v>
      </c>
      <c r="DI78" s="27">
        <f t="shared" si="212"/>
        <v>0</v>
      </c>
      <c r="DJ78" s="27">
        <f t="shared" si="213"/>
        <v>0</v>
      </c>
      <c r="DK78" s="27">
        <f t="shared" si="214"/>
        <v>0</v>
      </c>
    </row>
    <row r="79" spans="1:115">
      <c r="A79" s="25">
        <v>71</v>
      </c>
      <c r="B79" s="26" t="s">
        <v>1162</v>
      </c>
      <c r="C79" s="26"/>
      <c r="D79" s="26"/>
      <c r="E79" s="205" t="s">
        <v>1200</v>
      </c>
      <c r="F79" s="161">
        <f t="shared" si="167"/>
        <v>0</v>
      </c>
      <c r="G79" s="165">
        <f t="shared" si="168"/>
        <v>0</v>
      </c>
      <c r="H79" s="27"/>
      <c r="I79" s="27">
        <v>0</v>
      </c>
      <c r="J79" s="27">
        <v>0</v>
      </c>
      <c r="K79" s="127">
        <f t="shared" si="169"/>
        <v>0</v>
      </c>
      <c r="L79" s="127">
        <f t="shared" si="170"/>
        <v>0</v>
      </c>
      <c r="M79" s="127">
        <f t="shared" si="171"/>
        <v>0</v>
      </c>
      <c r="N79" s="131"/>
      <c r="O79" s="125" t="str">
        <f t="shared" si="172"/>
        <v>ნულოვანი შესრულება</v>
      </c>
      <c r="P79" s="27">
        <v>0</v>
      </c>
      <c r="Q79" s="27">
        <v>0</v>
      </c>
      <c r="R79" s="27">
        <f t="shared" si="173"/>
        <v>0</v>
      </c>
      <c r="S79" s="27">
        <f t="shared" si="174"/>
        <v>0</v>
      </c>
      <c r="T79" s="27"/>
      <c r="U79" s="27"/>
      <c r="V79" s="27">
        <v>49</v>
      </c>
      <c r="W79" s="27"/>
      <c r="X79" s="27">
        <f t="shared" si="175"/>
        <v>49</v>
      </c>
      <c r="Y79" s="27">
        <f t="shared" si="176"/>
        <v>0</v>
      </c>
      <c r="Z79" s="27">
        <v>49</v>
      </c>
      <c r="AA79" s="27"/>
      <c r="AB79" s="27"/>
      <c r="AC79" s="27"/>
      <c r="AD79" s="27">
        <f t="shared" si="177"/>
        <v>49</v>
      </c>
      <c r="AE79" s="27">
        <f t="shared" si="178"/>
        <v>0</v>
      </c>
      <c r="AF79" s="27">
        <f t="shared" si="179"/>
        <v>49</v>
      </c>
      <c r="AG79" s="27">
        <f t="shared" si="180"/>
        <v>0</v>
      </c>
      <c r="AH79" s="27">
        <f t="shared" si="181"/>
        <v>49</v>
      </c>
      <c r="AI79" s="27">
        <f t="shared" si="182"/>
        <v>0</v>
      </c>
      <c r="AJ79" s="27">
        <f t="shared" si="183"/>
        <v>98</v>
      </c>
      <c r="AK79" s="27">
        <f t="shared" si="184"/>
        <v>0</v>
      </c>
      <c r="AL79" s="27"/>
      <c r="AM79" s="27"/>
      <c r="AN79" s="27">
        <v>0</v>
      </c>
      <c r="AO79" s="27"/>
      <c r="AP79" s="27">
        <f t="shared" si="185"/>
        <v>0</v>
      </c>
      <c r="AQ79" s="27">
        <f t="shared" si="186"/>
        <v>0</v>
      </c>
      <c r="AR79" s="27"/>
      <c r="AS79" s="27"/>
      <c r="AT79" s="27">
        <v>0</v>
      </c>
      <c r="AU79" s="27"/>
      <c r="AV79" s="27">
        <f t="shared" si="187"/>
        <v>0</v>
      </c>
      <c r="AW79" s="27">
        <f t="shared" si="188"/>
        <v>0</v>
      </c>
      <c r="AX79" s="27"/>
      <c r="AY79" s="27"/>
      <c r="AZ79" s="27">
        <v>0</v>
      </c>
      <c r="BA79" s="27"/>
      <c r="BB79" s="27">
        <f t="shared" si="189"/>
        <v>0</v>
      </c>
      <c r="BC79" s="27">
        <f t="shared" si="190"/>
        <v>0</v>
      </c>
      <c r="BD79" s="27"/>
      <c r="BE79" s="27"/>
      <c r="BF79" s="27">
        <v>0</v>
      </c>
      <c r="BG79" s="27"/>
      <c r="BH79" s="27">
        <f t="shared" si="191"/>
        <v>0</v>
      </c>
      <c r="BI79" s="27">
        <f t="shared" si="192"/>
        <v>0</v>
      </c>
      <c r="BJ79" s="27"/>
      <c r="BK79" s="27"/>
      <c r="BL79" s="27">
        <v>0</v>
      </c>
      <c r="BM79" s="27"/>
      <c r="BN79" s="27">
        <f t="shared" si="193"/>
        <v>0</v>
      </c>
      <c r="BO79" s="27">
        <f t="shared" si="194"/>
        <v>0</v>
      </c>
      <c r="BP79" s="26"/>
      <c r="BQ79" s="26"/>
      <c r="BR79" s="27">
        <v>0</v>
      </c>
      <c r="BS79" s="27"/>
      <c r="BT79" s="27">
        <f t="shared" si="195"/>
        <v>0</v>
      </c>
      <c r="BU79" s="27">
        <f t="shared" si="196"/>
        <v>0</v>
      </c>
      <c r="BV79" s="26"/>
      <c r="BW79" s="26"/>
      <c r="BX79" s="27">
        <v>0</v>
      </c>
      <c r="BY79" s="26"/>
      <c r="BZ79" s="27">
        <f t="shared" si="197"/>
        <v>0</v>
      </c>
      <c r="CA79" s="27">
        <f t="shared" si="198"/>
        <v>0</v>
      </c>
      <c r="CB79" s="26"/>
      <c r="CC79" s="26"/>
      <c r="CD79" s="27">
        <v>0</v>
      </c>
      <c r="CE79" s="26"/>
      <c r="CF79" s="27">
        <f t="shared" si="199"/>
        <v>0</v>
      </c>
      <c r="CG79" s="27">
        <f t="shared" si="200"/>
        <v>0</v>
      </c>
      <c r="CH79" s="27"/>
      <c r="CI79" s="27"/>
      <c r="CJ79" s="27">
        <v>0</v>
      </c>
      <c r="CK79" s="27"/>
      <c r="CL79" s="27">
        <f t="shared" si="201"/>
        <v>0</v>
      </c>
      <c r="CM79" s="27">
        <f t="shared" si="202"/>
        <v>0</v>
      </c>
      <c r="CN79" s="27"/>
      <c r="CO79" s="27"/>
      <c r="CP79" s="27">
        <v>0</v>
      </c>
      <c r="CQ79" s="27"/>
      <c r="CR79" s="27">
        <f t="shared" si="203"/>
        <v>0</v>
      </c>
      <c r="CS79" s="27">
        <f t="shared" si="204"/>
        <v>0</v>
      </c>
      <c r="CT79" s="27"/>
      <c r="CU79" s="27"/>
      <c r="CV79" s="27">
        <v>0</v>
      </c>
      <c r="CW79" s="27"/>
      <c r="CX79" s="27">
        <f t="shared" si="205"/>
        <v>0</v>
      </c>
      <c r="CY79" s="27">
        <f t="shared" si="206"/>
        <v>0</v>
      </c>
      <c r="CZ79" s="27"/>
      <c r="DA79" s="27"/>
      <c r="DB79" s="27">
        <v>0</v>
      </c>
      <c r="DC79" s="27"/>
      <c r="DD79" s="27">
        <f t="shared" si="207"/>
        <v>0</v>
      </c>
      <c r="DE79" s="27">
        <f t="shared" si="208"/>
        <v>0</v>
      </c>
      <c r="DF79" s="27">
        <f t="shared" si="209"/>
        <v>0</v>
      </c>
      <c r="DG79" s="27">
        <f t="shared" si="210"/>
        <v>0</v>
      </c>
      <c r="DH79" s="27">
        <f t="shared" si="211"/>
        <v>0</v>
      </c>
      <c r="DI79" s="27">
        <f t="shared" si="212"/>
        <v>0</v>
      </c>
      <c r="DJ79" s="27">
        <f t="shared" si="213"/>
        <v>0</v>
      </c>
      <c r="DK79" s="27">
        <f t="shared" si="214"/>
        <v>0</v>
      </c>
    </row>
    <row r="80" spans="1:115">
      <c r="A80" s="25">
        <v>72</v>
      </c>
      <c r="B80" s="26" t="s">
        <v>1162</v>
      </c>
      <c r="C80" s="26"/>
      <c r="D80" s="26"/>
      <c r="E80" s="205" t="s">
        <v>1200</v>
      </c>
      <c r="F80" s="161">
        <f t="shared" si="167"/>
        <v>0</v>
      </c>
      <c r="G80" s="165">
        <f t="shared" si="168"/>
        <v>0</v>
      </c>
      <c r="H80" s="27"/>
      <c r="I80" s="27">
        <v>0</v>
      </c>
      <c r="J80" s="27">
        <v>0</v>
      </c>
      <c r="K80" s="127">
        <f t="shared" si="169"/>
        <v>0</v>
      </c>
      <c r="L80" s="127">
        <f t="shared" si="170"/>
        <v>0</v>
      </c>
      <c r="M80" s="127">
        <f t="shared" si="171"/>
        <v>0</v>
      </c>
      <c r="N80" s="131"/>
      <c r="O80" s="125" t="str">
        <f t="shared" si="172"/>
        <v>ნულოვანი შესრულება</v>
      </c>
      <c r="P80" s="27">
        <v>0</v>
      </c>
      <c r="Q80" s="27">
        <v>0</v>
      </c>
      <c r="R80" s="27">
        <f t="shared" si="173"/>
        <v>0</v>
      </c>
      <c r="S80" s="27">
        <f t="shared" si="174"/>
        <v>0</v>
      </c>
      <c r="T80" s="27"/>
      <c r="U80" s="27"/>
      <c r="V80" s="27">
        <v>50</v>
      </c>
      <c r="W80" s="27"/>
      <c r="X80" s="27">
        <f t="shared" si="175"/>
        <v>50</v>
      </c>
      <c r="Y80" s="27">
        <f t="shared" si="176"/>
        <v>0</v>
      </c>
      <c r="Z80" s="27">
        <v>50</v>
      </c>
      <c r="AA80" s="27"/>
      <c r="AB80" s="27"/>
      <c r="AC80" s="27"/>
      <c r="AD80" s="27">
        <f t="shared" si="177"/>
        <v>50</v>
      </c>
      <c r="AE80" s="27">
        <f t="shared" si="178"/>
        <v>0</v>
      </c>
      <c r="AF80" s="27">
        <f t="shared" si="179"/>
        <v>50</v>
      </c>
      <c r="AG80" s="27">
        <f t="shared" si="180"/>
        <v>0</v>
      </c>
      <c r="AH80" s="27">
        <f t="shared" si="181"/>
        <v>50</v>
      </c>
      <c r="AI80" s="27">
        <f t="shared" si="182"/>
        <v>0</v>
      </c>
      <c r="AJ80" s="27">
        <f t="shared" si="183"/>
        <v>100</v>
      </c>
      <c r="AK80" s="27">
        <f t="shared" si="184"/>
        <v>0</v>
      </c>
      <c r="AL80" s="27"/>
      <c r="AM80" s="27"/>
      <c r="AN80" s="27">
        <v>0</v>
      </c>
      <c r="AO80" s="27"/>
      <c r="AP80" s="27">
        <f t="shared" si="185"/>
        <v>0</v>
      </c>
      <c r="AQ80" s="27">
        <f t="shared" si="186"/>
        <v>0</v>
      </c>
      <c r="AR80" s="27"/>
      <c r="AS80" s="27"/>
      <c r="AT80" s="27">
        <v>0</v>
      </c>
      <c r="AU80" s="27"/>
      <c r="AV80" s="27">
        <f t="shared" si="187"/>
        <v>0</v>
      </c>
      <c r="AW80" s="27">
        <f t="shared" si="188"/>
        <v>0</v>
      </c>
      <c r="AX80" s="27"/>
      <c r="AY80" s="27"/>
      <c r="AZ80" s="27">
        <v>0</v>
      </c>
      <c r="BA80" s="27"/>
      <c r="BB80" s="27">
        <f t="shared" si="189"/>
        <v>0</v>
      </c>
      <c r="BC80" s="27">
        <f t="shared" si="190"/>
        <v>0</v>
      </c>
      <c r="BD80" s="27"/>
      <c r="BE80" s="27"/>
      <c r="BF80" s="27">
        <v>0</v>
      </c>
      <c r="BG80" s="27"/>
      <c r="BH80" s="27">
        <f t="shared" si="191"/>
        <v>0</v>
      </c>
      <c r="BI80" s="27">
        <f t="shared" si="192"/>
        <v>0</v>
      </c>
      <c r="BJ80" s="27"/>
      <c r="BK80" s="27"/>
      <c r="BL80" s="27">
        <v>0</v>
      </c>
      <c r="BM80" s="27"/>
      <c r="BN80" s="27">
        <f t="shared" si="193"/>
        <v>0</v>
      </c>
      <c r="BO80" s="27">
        <f t="shared" si="194"/>
        <v>0</v>
      </c>
      <c r="BP80" s="26"/>
      <c r="BQ80" s="26"/>
      <c r="BR80" s="27">
        <v>0</v>
      </c>
      <c r="BS80" s="27"/>
      <c r="BT80" s="27">
        <f t="shared" si="195"/>
        <v>0</v>
      </c>
      <c r="BU80" s="27">
        <f t="shared" si="196"/>
        <v>0</v>
      </c>
      <c r="BV80" s="26"/>
      <c r="BW80" s="26"/>
      <c r="BX80" s="27">
        <v>0</v>
      </c>
      <c r="BY80" s="26"/>
      <c r="BZ80" s="27">
        <f t="shared" si="197"/>
        <v>0</v>
      </c>
      <c r="CA80" s="27">
        <f t="shared" si="198"/>
        <v>0</v>
      </c>
      <c r="CB80" s="26"/>
      <c r="CC80" s="26"/>
      <c r="CD80" s="27">
        <v>0</v>
      </c>
      <c r="CE80" s="26"/>
      <c r="CF80" s="27">
        <f t="shared" si="199"/>
        <v>0</v>
      </c>
      <c r="CG80" s="27">
        <f t="shared" si="200"/>
        <v>0</v>
      </c>
      <c r="CH80" s="27"/>
      <c r="CI80" s="27"/>
      <c r="CJ80" s="27">
        <v>0</v>
      </c>
      <c r="CK80" s="27"/>
      <c r="CL80" s="27">
        <f t="shared" si="201"/>
        <v>0</v>
      </c>
      <c r="CM80" s="27">
        <f t="shared" si="202"/>
        <v>0</v>
      </c>
      <c r="CN80" s="27"/>
      <c r="CO80" s="27"/>
      <c r="CP80" s="27">
        <v>0</v>
      </c>
      <c r="CQ80" s="27"/>
      <c r="CR80" s="27">
        <f t="shared" si="203"/>
        <v>0</v>
      </c>
      <c r="CS80" s="27">
        <f t="shared" si="204"/>
        <v>0</v>
      </c>
      <c r="CT80" s="27"/>
      <c r="CU80" s="27"/>
      <c r="CV80" s="27">
        <v>0</v>
      </c>
      <c r="CW80" s="27"/>
      <c r="CX80" s="27">
        <f t="shared" si="205"/>
        <v>0</v>
      </c>
      <c r="CY80" s="27">
        <f t="shared" si="206"/>
        <v>0</v>
      </c>
      <c r="CZ80" s="27"/>
      <c r="DA80" s="27"/>
      <c r="DB80" s="27">
        <v>0</v>
      </c>
      <c r="DC80" s="27"/>
      <c r="DD80" s="27">
        <f t="shared" si="207"/>
        <v>0</v>
      </c>
      <c r="DE80" s="27">
        <f t="shared" si="208"/>
        <v>0</v>
      </c>
      <c r="DF80" s="27">
        <f t="shared" si="209"/>
        <v>0</v>
      </c>
      <c r="DG80" s="27">
        <f t="shared" si="210"/>
        <v>0</v>
      </c>
      <c r="DH80" s="27">
        <f t="shared" si="211"/>
        <v>0</v>
      </c>
      <c r="DI80" s="27">
        <f t="shared" si="212"/>
        <v>0</v>
      </c>
      <c r="DJ80" s="27">
        <f t="shared" si="213"/>
        <v>0</v>
      </c>
      <c r="DK80" s="27">
        <f t="shared" si="214"/>
        <v>0</v>
      </c>
    </row>
    <row r="81" spans="1:115">
      <c r="A81" s="25">
        <v>73</v>
      </c>
      <c r="B81" s="26" t="s">
        <v>1162</v>
      </c>
      <c r="C81" s="26"/>
      <c r="D81" s="26"/>
      <c r="E81" s="205" t="s">
        <v>1200</v>
      </c>
      <c r="F81" s="161">
        <f t="shared" si="167"/>
        <v>0</v>
      </c>
      <c r="G81" s="165">
        <f t="shared" si="168"/>
        <v>0</v>
      </c>
      <c r="H81" s="27"/>
      <c r="I81" s="27">
        <v>0</v>
      </c>
      <c r="J81" s="27">
        <v>0</v>
      </c>
      <c r="K81" s="127">
        <f t="shared" si="169"/>
        <v>0</v>
      </c>
      <c r="L81" s="127">
        <f t="shared" si="170"/>
        <v>0</v>
      </c>
      <c r="M81" s="127">
        <f t="shared" si="171"/>
        <v>0</v>
      </c>
      <c r="N81" s="131"/>
      <c r="O81" s="125" t="str">
        <f t="shared" si="172"/>
        <v>ნულოვანი შესრულება</v>
      </c>
      <c r="P81" s="27">
        <v>0</v>
      </c>
      <c r="Q81" s="27">
        <v>0</v>
      </c>
      <c r="R81" s="27">
        <f t="shared" si="173"/>
        <v>0</v>
      </c>
      <c r="S81" s="27">
        <f t="shared" si="174"/>
        <v>0</v>
      </c>
      <c r="T81" s="27"/>
      <c r="U81" s="27"/>
      <c r="V81" s="27">
        <v>51</v>
      </c>
      <c r="W81" s="27"/>
      <c r="X81" s="27">
        <f t="shared" si="175"/>
        <v>51</v>
      </c>
      <c r="Y81" s="27">
        <f t="shared" si="176"/>
        <v>0</v>
      </c>
      <c r="Z81" s="27">
        <v>51</v>
      </c>
      <c r="AA81" s="27"/>
      <c r="AB81" s="27"/>
      <c r="AC81" s="27"/>
      <c r="AD81" s="27">
        <f t="shared" si="177"/>
        <v>51</v>
      </c>
      <c r="AE81" s="27">
        <f t="shared" si="178"/>
        <v>0</v>
      </c>
      <c r="AF81" s="27">
        <f t="shared" si="179"/>
        <v>51</v>
      </c>
      <c r="AG81" s="27">
        <f t="shared" si="180"/>
        <v>0</v>
      </c>
      <c r="AH81" s="27">
        <f t="shared" si="181"/>
        <v>51</v>
      </c>
      <c r="AI81" s="27">
        <f t="shared" si="182"/>
        <v>0</v>
      </c>
      <c r="AJ81" s="27">
        <f t="shared" si="183"/>
        <v>102</v>
      </c>
      <c r="AK81" s="27">
        <f t="shared" si="184"/>
        <v>0</v>
      </c>
      <c r="AL81" s="27"/>
      <c r="AM81" s="27"/>
      <c r="AN81" s="27">
        <v>0</v>
      </c>
      <c r="AO81" s="27"/>
      <c r="AP81" s="27">
        <f t="shared" si="185"/>
        <v>0</v>
      </c>
      <c r="AQ81" s="27">
        <f t="shared" si="186"/>
        <v>0</v>
      </c>
      <c r="AR81" s="27"/>
      <c r="AS81" s="27"/>
      <c r="AT81" s="27">
        <v>0</v>
      </c>
      <c r="AU81" s="27"/>
      <c r="AV81" s="27">
        <f t="shared" si="187"/>
        <v>0</v>
      </c>
      <c r="AW81" s="27">
        <f t="shared" si="188"/>
        <v>0</v>
      </c>
      <c r="AX81" s="27"/>
      <c r="AY81" s="27"/>
      <c r="AZ81" s="27">
        <v>0</v>
      </c>
      <c r="BA81" s="27"/>
      <c r="BB81" s="27">
        <f t="shared" si="189"/>
        <v>0</v>
      </c>
      <c r="BC81" s="27">
        <f t="shared" si="190"/>
        <v>0</v>
      </c>
      <c r="BD81" s="27"/>
      <c r="BE81" s="27"/>
      <c r="BF81" s="27">
        <v>0</v>
      </c>
      <c r="BG81" s="27"/>
      <c r="BH81" s="27">
        <f t="shared" si="191"/>
        <v>0</v>
      </c>
      <c r="BI81" s="27">
        <f t="shared" si="192"/>
        <v>0</v>
      </c>
      <c r="BJ81" s="27"/>
      <c r="BK81" s="27"/>
      <c r="BL81" s="27">
        <v>0</v>
      </c>
      <c r="BM81" s="27"/>
      <c r="BN81" s="27">
        <f t="shared" si="193"/>
        <v>0</v>
      </c>
      <c r="BO81" s="27">
        <f t="shared" si="194"/>
        <v>0</v>
      </c>
      <c r="BP81" s="26"/>
      <c r="BQ81" s="26"/>
      <c r="BR81" s="27">
        <v>0</v>
      </c>
      <c r="BS81" s="27"/>
      <c r="BT81" s="27">
        <f t="shared" si="195"/>
        <v>0</v>
      </c>
      <c r="BU81" s="27">
        <f t="shared" si="196"/>
        <v>0</v>
      </c>
      <c r="BV81" s="26"/>
      <c r="BW81" s="26"/>
      <c r="BX81" s="27">
        <v>0</v>
      </c>
      <c r="BY81" s="26"/>
      <c r="BZ81" s="27">
        <f t="shared" si="197"/>
        <v>0</v>
      </c>
      <c r="CA81" s="27">
        <f t="shared" si="198"/>
        <v>0</v>
      </c>
      <c r="CB81" s="26"/>
      <c r="CC81" s="26"/>
      <c r="CD81" s="27">
        <v>0</v>
      </c>
      <c r="CE81" s="26"/>
      <c r="CF81" s="27">
        <f t="shared" si="199"/>
        <v>0</v>
      </c>
      <c r="CG81" s="27">
        <f t="shared" si="200"/>
        <v>0</v>
      </c>
      <c r="CH81" s="27"/>
      <c r="CI81" s="27"/>
      <c r="CJ81" s="27">
        <v>0</v>
      </c>
      <c r="CK81" s="27"/>
      <c r="CL81" s="27">
        <f t="shared" si="201"/>
        <v>0</v>
      </c>
      <c r="CM81" s="27">
        <f t="shared" si="202"/>
        <v>0</v>
      </c>
      <c r="CN81" s="27"/>
      <c r="CO81" s="27"/>
      <c r="CP81" s="27">
        <v>0</v>
      </c>
      <c r="CQ81" s="27"/>
      <c r="CR81" s="27">
        <f t="shared" si="203"/>
        <v>0</v>
      </c>
      <c r="CS81" s="27">
        <f t="shared" si="204"/>
        <v>0</v>
      </c>
      <c r="CT81" s="27"/>
      <c r="CU81" s="27"/>
      <c r="CV81" s="27">
        <v>0</v>
      </c>
      <c r="CW81" s="27"/>
      <c r="CX81" s="27">
        <f t="shared" si="205"/>
        <v>0</v>
      </c>
      <c r="CY81" s="27">
        <f t="shared" si="206"/>
        <v>0</v>
      </c>
      <c r="CZ81" s="27"/>
      <c r="DA81" s="27"/>
      <c r="DB81" s="27">
        <v>0</v>
      </c>
      <c r="DC81" s="27"/>
      <c r="DD81" s="27">
        <f t="shared" si="207"/>
        <v>0</v>
      </c>
      <c r="DE81" s="27">
        <f t="shared" si="208"/>
        <v>0</v>
      </c>
      <c r="DF81" s="27">
        <f t="shared" si="209"/>
        <v>0</v>
      </c>
      <c r="DG81" s="27">
        <f t="shared" si="210"/>
        <v>0</v>
      </c>
      <c r="DH81" s="27">
        <f t="shared" si="211"/>
        <v>0</v>
      </c>
      <c r="DI81" s="27">
        <f t="shared" si="212"/>
        <v>0</v>
      </c>
      <c r="DJ81" s="27">
        <f t="shared" si="213"/>
        <v>0</v>
      </c>
      <c r="DK81" s="27">
        <f t="shared" si="214"/>
        <v>0</v>
      </c>
    </row>
    <row r="82" spans="1:115">
      <c r="A82" s="25">
        <v>74</v>
      </c>
      <c r="B82" s="26" t="s">
        <v>1162</v>
      </c>
      <c r="C82" s="26"/>
      <c r="D82" s="26"/>
      <c r="E82" s="205" t="s">
        <v>1200</v>
      </c>
      <c r="F82" s="161">
        <f t="shared" si="167"/>
        <v>0</v>
      </c>
      <c r="G82" s="165">
        <f t="shared" si="168"/>
        <v>0</v>
      </c>
      <c r="H82" s="27"/>
      <c r="I82" s="27">
        <v>0</v>
      </c>
      <c r="J82" s="27">
        <v>0</v>
      </c>
      <c r="K82" s="127">
        <f t="shared" si="169"/>
        <v>0</v>
      </c>
      <c r="L82" s="127">
        <f t="shared" si="170"/>
        <v>0</v>
      </c>
      <c r="M82" s="127">
        <f t="shared" si="171"/>
        <v>0</v>
      </c>
      <c r="N82" s="131"/>
      <c r="O82" s="125" t="str">
        <f t="shared" si="172"/>
        <v>ნულოვანი შესრულება</v>
      </c>
      <c r="P82" s="27">
        <v>0</v>
      </c>
      <c r="Q82" s="27">
        <v>0</v>
      </c>
      <c r="R82" s="27">
        <f t="shared" si="173"/>
        <v>0</v>
      </c>
      <c r="S82" s="27">
        <f t="shared" si="174"/>
        <v>0</v>
      </c>
      <c r="T82" s="27"/>
      <c r="U82" s="27"/>
      <c r="V82" s="27">
        <v>52</v>
      </c>
      <c r="W82" s="27"/>
      <c r="X82" s="27">
        <f t="shared" si="175"/>
        <v>52</v>
      </c>
      <c r="Y82" s="27">
        <f t="shared" si="176"/>
        <v>0</v>
      </c>
      <c r="Z82" s="27">
        <v>52</v>
      </c>
      <c r="AA82" s="27"/>
      <c r="AB82" s="27"/>
      <c r="AC82" s="27"/>
      <c r="AD82" s="27">
        <f t="shared" si="177"/>
        <v>52</v>
      </c>
      <c r="AE82" s="27">
        <f t="shared" si="178"/>
        <v>0</v>
      </c>
      <c r="AF82" s="27">
        <f t="shared" si="179"/>
        <v>52</v>
      </c>
      <c r="AG82" s="27">
        <f t="shared" si="180"/>
        <v>0</v>
      </c>
      <c r="AH82" s="27">
        <f t="shared" si="181"/>
        <v>52</v>
      </c>
      <c r="AI82" s="27">
        <f t="shared" si="182"/>
        <v>0</v>
      </c>
      <c r="AJ82" s="27">
        <f t="shared" si="183"/>
        <v>104</v>
      </c>
      <c r="AK82" s="27">
        <f t="shared" si="184"/>
        <v>0</v>
      </c>
      <c r="AL82" s="27"/>
      <c r="AM82" s="27"/>
      <c r="AN82" s="27">
        <v>0</v>
      </c>
      <c r="AO82" s="27"/>
      <c r="AP82" s="27">
        <f t="shared" si="185"/>
        <v>0</v>
      </c>
      <c r="AQ82" s="27">
        <f t="shared" si="186"/>
        <v>0</v>
      </c>
      <c r="AR82" s="27"/>
      <c r="AS82" s="27"/>
      <c r="AT82" s="27">
        <v>0</v>
      </c>
      <c r="AU82" s="27"/>
      <c r="AV82" s="27">
        <f t="shared" si="187"/>
        <v>0</v>
      </c>
      <c r="AW82" s="27">
        <f t="shared" si="188"/>
        <v>0</v>
      </c>
      <c r="AX82" s="27"/>
      <c r="AY82" s="27"/>
      <c r="AZ82" s="27">
        <v>0</v>
      </c>
      <c r="BA82" s="27"/>
      <c r="BB82" s="27">
        <f t="shared" si="189"/>
        <v>0</v>
      </c>
      <c r="BC82" s="27">
        <f t="shared" si="190"/>
        <v>0</v>
      </c>
      <c r="BD82" s="27"/>
      <c r="BE82" s="27"/>
      <c r="BF82" s="27">
        <v>0</v>
      </c>
      <c r="BG82" s="27"/>
      <c r="BH82" s="27">
        <f t="shared" si="191"/>
        <v>0</v>
      </c>
      <c r="BI82" s="27">
        <f t="shared" si="192"/>
        <v>0</v>
      </c>
      <c r="BJ82" s="27"/>
      <c r="BK82" s="27"/>
      <c r="BL82" s="27">
        <v>0</v>
      </c>
      <c r="BM82" s="27"/>
      <c r="BN82" s="27">
        <f t="shared" si="193"/>
        <v>0</v>
      </c>
      <c r="BO82" s="27">
        <f t="shared" si="194"/>
        <v>0</v>
      </c>
      <c r="BP82" s="26"/>
      <c r="BQ82" s="26"/>
      <c r="BR82" s="27">
        <v>0</v>
      </c>
      <c r="BS82" s="27"/>
      <c r="BT82" s="27">
        <f t="shared" si="195"/>
        <v>0</v>
      </c>
      <c r="BU82" s="27">
        <f t="shared" si="196"/>
        <v>0</v>
      </c>
      <c r="BV82" s="26"/>
      <c r="BW82" s="26"/>
      <c r="BX82" s="27">
        <v>0</v>
      </c>
      <c r="BY82" s="26"/>
      <c r="BZ82" s="27">
        <f t="shared" si="197"/>
        <v>0</v>
      </c>
      <c r="CA82" s="27">
        <f t="shared" si="198"/>
        <v>0</v>
      </c>
      <c r="CB82" s="26"/>
      <c r="CC82" s="26"/>
      <c r="CD82" s="27">
        <v>0</v>
      </c>
      <c r="CE82" s="26"/>
      <c r="CF82" s="27">
        <f t="shared" si="199"/>
        <v>0</v>
      </c>
      <c r="CG82" s="27">
        <f t="shared" si="200"/>
        <v>0</v>
      </c>
      <c r="CH82" s="27"/>
      <c r="CI82" s="27"/>
      <c r="CJ82" s="27">
        <v>0</v>
      </c>
      <c r="CK82" s="27"/>
      <c r="CL82" s="27">
        <f t="shared" si="201"/>
        <v>0</v>
      </c>
      <c r="CM82" s="27">
        <f t="shared" si="202"/>
        <v>0</v>
      </c>
      <c r="CN82" s="27"/>
      <c r="CO82" s="27"/>
      <c r="CP82" s="27">
        <v>0</v>
      </c>
      <c r="CQ82" s="27"/>
      <c r="CR82" s="27">
        <f t="shared" si="203"/>
        <v>0</v>
      </c>
      <c r="CS82" s="27">
        <f t="shared" si="204"/>
        <v>0</v>
      </c>
      <c r="CT82" s="27"/>
      <c r="CU82" s="27"/>
      <c r="CV82" s="27">
        <v>0</v>
      </c>
      <c r="CW82" s="27"/>
      <c r="CX82" s="27">
        <f t="shared" si="205"/>
        <v>0</v>
      </c>
      <c r="CY82" s="27">
        <f t="shared" si="206"/>
        <v>0</v>
      </c>
      <c r="CZ82" s="27"/>
      <c r="DA82" s="27"/>
      <c r="DB82" s="27">
        <v>0</v>
      </c>
      <c r="DC82" s="27"/>
      <c r="DD82" s="27">
        <f t="shared" si="207"/>
        <v>0</v>
      </c>
      <c r="DE82" s="27">
        <f t="shared" si="208"/>
        <v>0</v>
      </c>
      <c r="DF82" s="27">
        <f t="shared" si="209"/>
        <v>0</v>
      </c>
      <c r="DG82" s="27">
        <f t="shared" si="210"/>
        <v>0</v>
      </c>
      <c r="DH82" s="27">
        <f t="shared" si="211"/>
        <v>0</v>
      </c>
      <c r="DI82" s="27">
        <f t="shared" si="212"/>
        <v>0</v>
      </c>
      <c r="DJ82" s="27">
        <f t="shared" si="213"/>
        <v>0</v>
      </c>
      <c r="DK82" s="27">
        <f t="shared" si="214"/>
        <v>0</v>
      </c>
    </row>
    <row r="83" spans="1:115">
      <c r="A83" s="25">
        <v>75</v>
      </c>
      <c r="B83" s="26" t="s">
        <v>1162</v>
      </c>
      <c r="C83" s="26"/>
      <c r="D83" s="26"/>
      <c r="E83" s="205" t="s">
        <v>1200</v>
      </c>
      <c r="F83" s="161">
        <f t="shared" si="167"/>
        <v>0</v>
      </c>
      <c r="G83" s="165">
        <f t="shared" si="168"/>
        <v>0</v>
      </c>
      <c r="H83" s="27"/>
      <c r="I83" s="27">
        <v>0</v>
      </c>
      <c r="J83" s="27">
        <v>0</v>
      </c>
      <c r="K83" s="127">
        <f t="shared" si="169"/>
        <v>0</v>
      </c>
      <c r="L83" s="127">
        <f t="shared" si="170"/>
        <v>0</v>
      </c>
      <c r="M83" s="127">
        <f t="shared" si="171"/>
        <v>0</v>
      </c>
      <c r="N83" s="131"/>
      <c r="O83" s="125" t="str">
        <f t="shared" si="172"/>
        <v>ნულოვანი შესრულება</v>
      </c>
      <c r="P83" s="27">
        <v>0</v>
      </c>
      <c r="Q83" s="27">
        <v>0</v>
      </c>
      <c r="R83" s="27">
        <f t="shared" si="173"/>
        <v>0</v>
      </c>
      <c r="S83" s="27">
        <f t="shared" si="174"/>
        <v>0</v>
      </c>
      <c r="T83" s="27"/>
      <c r="U83" s="27"/>
      <c r="V83" s="27">
        <v>53</v>
      </c>
      <c r="W83" s="27"/>
      <c r="X83" s="27">
        <f t="shared" si="175"/>
        <v>53</v>
      </c>
      <c r="Y83" s="27">
        <f t="shared" si="176"/>
        <v>0</v>
      </c>
      <c r="Z83" s="27">
        <v>53</v>
      </c>
      <c r="AA83" s="27"/>
      <c r="AB83" s="27"/>
      <c r="AC83" s="27"/>
      <c r="AD83" s="27">
        <f t="shared" si="177"/>
        <v>53</v>
      </c>
      <c r="AE83" s="27">
        <f t="shared" si="178"/>
        <v>0</v>
      </c>
      <c r="AF83" s="27">
        <f t="shared" si="179"/>
        <v>53</v>
      </c>
      <c r="AG83" s="27">
        <f t="shared" si="180"/>
        <v>0</v>
      </c>
      <c r="AH83" s="27">
        <f t="shared" si="181"/>
        <v>53</v>
      </c>
      <c r="AI83" s="27">
        <f t="shared" si="182"/>
        <v>0</v>
      </c>
      <c r="AJ83" s="27">
        <f t="shared" si="183"/>
        <v>106</v>
      </c>
      <c r="AK83" s="27">
        <f t="shared" si="184"/>
        <v>0</v>
      </c>
      <c r="AL83" s="27"/>
      <c r="AM83" s="27"/>
      <c r="AN83" s="27">
        <v>0</v>
      </c>
      <c r="AO83" s="27"/>
      <c r="AP83" s="27">
        <f t="shared" si="185"/>
        <v>0</v>
      </c>
      <c r="AQ83" s="27">
        <f t="shared" si="186"/>
        <v>0</v>
      </c>
      <c r="AR83" s="27"/>
      <c r="AS83" s="27"/>
      <c r="AT83" s="27">
        <v>0</v>
      </c>
      <c r="AU83" s="27"/>
      <c r="AV83" s="27">
        <f t="shared" si="187"/>
        <v>0</v>
      </c>
      <c r="AW83" s="27">
        <f t="shared" si="188"/>
        <v>0</v>
      </c>
      <c r="AX83" s="27"/>
      <c r="AY83" s="27"/>
      <c r="AZ83" s="27">
        <v>0</v>
      </c>
      <c r="BA83" s="27"/>
      <c r="BB83" s="27">
        <f t="shared" si="189"/>
        <v>0</v>
      </c>
      <c r="BC83" s="27">
        <f t="shared" si="190"/>
        <v>0</v>
      </c>
      <c r="BD83" s="27"/>
      <c r="BE83" s="27"/>
      <c r="BF83" s="27">
        <v>0</v>
      </c>
      <c r="BG83" s="27"/>
      <c r="BH83" s="27">
        <f t="shared" si="191"/>
        <v>0</v>
      </c>
      <c r="BI83" s="27">
        <f t="shared" si="192"/>
        <v>0</v>
      </c>
      <c r="BJ83" s="27"/>
      <c r="BK83" s="27"/>
      <c r="BL83" s="27">
        <v>0</v>
      </c>
      <c r="BM83" s="27"/>
      <c r="BN83" s="27">
        <f t="shared" si="193"/>
        <v>0</v>
      </c>
      <c r="BO83" s="27">
        <f t="shared" si="194"/>
        <v>0</v>
      </c>
      <c r="BP83" s="26"/>
      <c r="BQ83" s="26"/>
      <c r="BR83" s="27">
        <v>0</v>
      </c>
      <c r="BS83" s="27"/>
      <c r="BT83" s="27">
        <f t="shared" si="195"/>
        <v>0</v>
      </c>
      <c r="BU83" s="27">
        <f t="shared" si="196"/>
        <v>0</v>
      </c>
      <c r="BV83" s="26"/>
      <c r="BW83" s="26"/>
      <c r="BX83" s="27">
        <v>0</v>
      </c>
      <c r="BY83" s="26"/>
      <c r="BZ83" s="27">
        <f t="shared" si="197"/>
        <v>0</v>
      </c>
      <c r="CA83" s="27">
        <f t="shared" si="198"/>
        <v>0</v>
      </c>
      <c r="CB83" s="26"/>
      <c r="CC83" s="26"/>
      <c r="CD83" s="27">
        <v>0</v>
      </c>
      <c r="CE83" s="26"/>
      <c r="CF83" s="27">
        <f t="shared" si="199"/>
        <v>0</v>
      </c>
      <c r="CG83" s="27">
        <f t="shared" si="200"/>
        <v>0</v>
      </c>
      <c r="CH83" s="27"/>
      <c r="CI83" s="27"/>
      <c r="CJ83" s="27">
        <v>0</v>
      </c>
      <c r="CK83" s="27"/>
      <c r="CL83" s="27">
        <f t="shared" si="201"/>
        <v>0</v>
      </c>
      <c r="CM83" s="27">
        <f t="shared" si="202"/>
        <v>0</v>
      </c>
      <c r="CN83" s="27"/>
      <c r="CO83" s="27"/>
      <c r="CP83" s="27">
        <v>0</v>
      </c>
      <c r="CQ83" s="27"/>
      <c r="CR83" s="27">
        <f t="shared" si="203"/>
        <v>0</v>
      </c>
      <c r="CS83" s="27">
        <f t="shared" si="204"/>
        <v>0</v>
      </c>
      <c r="CT83" s="27"/>
      <c r="CU83" s="27"/>
      <c r="CV83" s="27">
        <v>0</v>
      </c>
      <c r="CW83" s="27"/>
      <c r="CX83" s="27">
        <f t="shared" si="205"/>
        <v>0</v>
      </c>
      <c r="CY83" s="27">
        <f t="shared" si="206"/>
        <v>0</v>
      </c>
      <c r="CZ83" s="27"/>
      <c r="DA83" s="27"/>
      <c r="DB83" s="27">
        <v>0</v>
      </c>
      <c r="DC83" s="27"/>
      <c r="DD83" s="27">
        <f t="shared" si="207"/>
        <v>0</v>
      </c>
      <c r="DE83" s="27">
        <f t="shared" si="208"/>
        <v>0</v>
      </c>
      <c r="DF83" s="27">
        <f t="shared" si="209"/>
        <v>0</v>
      </c>
      <c r="DG83" s="27">
        <f t="shared" si="210"/>
        <v>0</v>
      </c>
      <c r="DH83" s="27">
        <f t="shared" si="211"/>
        <v>0</v>
      </c>
      <c r="DI83" s="27">
        <f t="shared" si="212"/>
        <v>0</v>
      </c>
      <c r="DJ83" s="27">
        <f t="shared" si="213"/>
        <v>0</v>
      </c>
      <c r="DK83" s="27">
        <f t="shared" si="214"/>
        <v>0</v>
      </c>
    </row>
    <row r="84" spans="1:115">
      <c r="A84" s="25">
        <v>76</v>
      </c>
      <c r="B84" s="26" t="s">
        <v>1162</v>
      </c>
      <c r="C84" s="26"/>
      <c r="D84" s="26"/>
      <c r="E84" s="205" t="s">
        <v>1200</v>
      </c>
      <c r="F84" s="161">
        <f t="shared" si="167"/>
        <v>0</v>
      </c>
      <c r="G84" s="165">
        <f t="shared" si="168"/>
        <v>0</v>
      </c>
      <c r="H84" s="27"/>
      <c r="I84" s="27">
        <v>0</v>
      </c>
      <c r="J84" s="27">
        <v>0</v>
      </c>
      <c r="K84" s="127">
        <f t="shared" si="169"/>
        <v>0</v>
      </c>
      <c r="L84" s="127">
        <f t="shared" si="170"/>
        <v>0</v>
      </c>
      <c r="M84" s="127">
        <f t="shared" si="171"/>
        <v>0</v>
      </c>
      <c r="N84" s="131"/>
      <c r="O84" s="125" t="str">
        <f t="shared" si="172"/>
        <v>ნულოვანი შესრულება</v>
      </c>
      <c r="P84" s="27">
        <v>0</v>
      </c>
      <c r="Q84" s="27">
        <v>0</v>
      </c>
      <c r="R84" s="27">
        <f t="shared" si="173"/>
        <v>0</v>
      </c>
      <c r="S84" s="27">
        <f t="shared" si="174"/>
        <v>0</v>
      </c>
      <c r="T84" s="27"/>
      <c r="U84" s="27"/>
      <c r="V84" s="27">
        <v>54</v>
      </c>
      <c r="W84" s="27"/>
      <c r="X84" s="27">
        <f t="shared" si="175"/>
        <v>54</v>
      </c>
      <c r="Y84" s="27">
        <f t="shared" si="176"/>
        <v>0</v>
      </c>
      <c r="Z84" s="27">
        <v>54</v>
      </c>
      <c r="AA84" s="27"/>
      <c r="AB84" s="27"/>
      <c r="AC84" s="27"/>
      <c r="AD84" s="27">
        <f t="shared" si="177"/>
        <v>54</v>
      </c>
      <c r="AE84" s="27">
        <f t="shared" si="178"/>
        <v>0</v>
      </c>
      <c r="AF84" s="27">
        <f t="shared" si="179"/>
        <v>54</v>
      </c>
      <c r="AG84" s="27">
        <f t="shared" si="180"/>
        <v>0</v>
      </c>
      <c r="AH84" s="27">
        <f t="shared" si="181"/>
        <v>54</v>
      </c>
      <c r="AI84" s="27">
        <f t="shared" si="182"/>
        <v>0</v>
      </c>
      <c r="AJ84" s="27">
        <f t="shared" si="183"/>
        <v>108</v>
      </c>
      <c r="AK84" s="27">
        <f t="shared" si="184"/>
        <v>0</v>
      </c>
      <c r="AL84" s="27"/>
      <c r="AM84" s="27"/>
      <c r="AN84" s="27">
        <v>0</v>
      </c>
      <c r="AO84" s="27"/>
      <c r="AP84" s="27">
        <f t="shared" si="185"/>
        <v>0</v>
      </c>
      <c r="AQ84" s="27">
        <f t="shared" si="186"/>
        <v>0</v>
      </c>
      <c r="AR84" s="27"/>
      <c r="AS84" s="27"/>
      <c r="AT84" s="27">
        <v>0</v>
      </c>
      <c r="AU84" s="27"/>
      <c r="AV84" s="27">
        <f t="shared" si="187"/>
        <v>0</v>
      </c>
      <c r="AW84" s="27">
        <f t="shared" si="188"/>
        <v>0</v>
      </c>
      <c r="AX84" s="27"/>
      <c r="AY84" s="27"/>
      <c r="AZ84" s="27">
        <v>0</v>
      </c>
      <c r="BA84" s="27"/>
      <c r="BB84" s="27">
        <f t="shared" si="189"/>
        <v>0</v>
      </c>
      <c r="BC84" s="27">
        <f t="shared" si="190"/>
        <v>0</v>
      </c>
      <c r="BD84" s="27"/>
      <c r="BE84" s="27"/>
      <c r="BF84" s="27">
        <v>0</v>
      </c>
      <c r="BG84" s="27"/>
      <c r="BH84" s="27">
        <f t="shared" si="191"/>
        <v>0</v>
      </c>
      <c r="BI84" s="27">
        <f t="shared" si="192"/>
        <v>0</v>
      </c>
      <c r="BJ84" s="27"/>
      <c r="BK84" s="27"/>
      <c r="BL84" s="27">
        <v>0</v>
      </c>
      <c r="BM84" s="27"/>
      <c r="BN84" s="27">
        <f t="shared" si="193"/>
        <v>0</v>
      </c>
      <c r="BO84" s="27">
        <f t="shared" si="194"/>
        <v>0</v>
      </c>
      <c r="BP84" s="26"/>
      <c r="BQ84" s="26"/>
      <c r="BR84" s="27">
        <v>0</v>
      </c>
      <c r="BS84" s="27"/>
      <c r="BT84" s="27">
        <f t="shared" si="195"/>
        <v>0</v>
      </c>
      <c r="BU84" s="27">
        <f t="shared" si="196"/>
        <v>0</v>
      </c>
      <c r="BV84" s="26"/>
      <c r="BW84" s="26"/>
      <c r="BX84" s="27">
        <v>0</v>
      </c>
      <c r="BY84" s="26"/>
      <c r="BZ84" s="27">
        <f t="shared" si="197"/>
        <v>0</v>
      </c>
      <c r="CA84" s="27">
        <f t="shared" si="198"/>
        <v>0</v>
      </c>
      <c r="CB84" s="26"/>
      <c r="CC84" s="26"/>
      <c r="CD84" s="27">
        <v>0</v>
      </c>
      <c r="CE84" s="26"/>
      <c r="CF84" s="27">
        <f t="shared" si="199"/>
        <v>0</v>
      </c>
      <c r="CG84" s="27">
        <f t="shared" si="200"/>
        <v>0</v>
      </c>
      <c r="CH84" s="27"/>
      <c r="CI84" s="27"/>
      <c r="CJ84" s="27">
        <v>0</v>
      </c>
      <c r="CK84" s="27"/>
      <c r="CL84" s="27">
        <f t="shared" si="201"/>
        <v>0</v>
      </c>
      <c r="CM84" s="27">
        <f t="shared" si="202"/>
        <v>0</v>
      </c>
      <c r="CN84" s="27"/>
      <c r="CO84" s="27"/>
      <c r="CP84" s="27">
        <v>0</v>
      </c>
      <c r="CQ84" s="27"/>
      <c r="CR84" s="27">
        <f t="shared" si="203"/>
        <v>0</v>
      </c>
      <c r="CS84" s="27">
        <f t="shared" si="204"/>
        <v>0</v>
      </c>
      <c r="CT84" s="27"/>
      <c r="CU84" s="27"/>
      <c r="CV84" s="27">
        <v>0</v>
      </c>
      <c r="CW84" s="27"/>
      <c r="CX84" s="27">
        <f t="shared" si="205"/>
        <v>0</v>
      </c>
      <c r="CY84" s="27">
        <f t="shared" si="206"/>
        <v>0</v>
      </c>
      <c r="CZ84" s="27"/>
      <c r="DA84" s="27"/>
      <c r="DB84" s="27">
        <v>0</v>
      </c>
      <c r="DC84" s="27"/>
      <c r="DD84" s="27">
        <f t="shared" si="207"/>
        <v>0</v>
      </c>
      <c r="DE84" s="27">
        <f t="shared" si="208"/>
        <v>0</v>
      </c>
      <c r="DF84" s="27">
        <f t="shared" si="209"/>
        <v>0</v>
      </c>
      <c r="DG84" s="27">
        <f t="shared" si="210"/>
        <v>0</v>
      </c>
      <c r="DH84" s="27">
        <f t="shared" si="211"/>
        <v>0</v>
      </c>
      <c r="DI84" s="27">
        <f t="shared" si="212"/>
        <v>0</v>
      </c>
      <c r="DJ84" s="27">
        <f t="shared" si="213"/>
        <v>0</v>
      </c>
      <c r="DK84" s="27">
        <f t="shared" si="214"/>
        <v>0</v>
      </c>
    </row>
    <row r="85" spans="1:115">
      <c r="A85" s="25">
        <v>77</v>
      </c>
      <c r="B85" s="26" t="s">
        <v>1162</v>
      </c>
      <c r="C85" s="26"/>
      <c r="D85" s="26"/>
      <c r="E85" s="205" t="s">
        <v>1200</v>
      </c>
      <c r="F85" s="161">
        <f t="shared" si="167"/>
        <v>0</v>
      </c>
      <c r="G85" s="165">
        <f t="shared" si="168"/>
        <v>0</v>
      </c>
      <c r="H85" s="27"/>
      <c r="I85" s="27">
        <v>0</v>
      </c>
      <c r="J85" s="27">
        <v>0</v>
      </c>
      <c r="K85" s="127">
        <f t="shared" si="169"/>
        <v>0</v>
      </c>
      <c r="L85" s="127">
        <f t="shared" si="170"/>
        <v>0</v>
      </c>
      <c r="M85" s="127">
        <f t="shared" si="171"/>
        <v>0</v>
      </c>
      <c r="N85" s="131"/>
      <c r="O85" s="125" t="str">
        <f t="shared" si="172"/>
        <v>ნულოვანი შესრულება</v>
      </c>
      <c r="P85" s="27">
        <v>0</v>
      </c>
      <c r="Q85" s="27">
        <v>0</v>
      </c>
      <c r="R85" s="27">
        <f t="shared" si="173"/>
        <v>0</v>
      </c>
      <c r="S85" s="27">
        <f t="shared" si="174"/>
        <v>0</v>
      </c>
      <c r="T85" s="27"/>
      <c r="U85" s="27"/>
      <c r="V85" s="27">
        <v>55</v>
      </c>
      <c r="W85" s="27"/>
      <c r="X85" s="27">
        <f t="shared" si="175"/>
        <v>55</v>
      </c>
      <c r="Y85" s="27">
        <f t="shared" si="176"/>
        <v>0</v>
      </c>
      <c r="Z85" s="27">
        <v>55</v>
      </c>
      <c r="AA85" s="27"/>
      <c r="AB85" s="27"/>
      <c r="AC85" s="27"/>
      <c r="AD85" s="27">
        <f t="shared" si="177"/>
        <v>55</v>
      </c>
      <c r="AE85" s="27">
        <f t="shared" si="178"/>
        <v>0</v>
      </c>
      <c r="AF85" s="27">
        <f t="shared" si="179"/>
        <v>55</v>
      </c>
      <c r="AG85" s="27">
        <f t="shared" si="180"/>
        <v>0</v>
      </c>
      <c r="AH85" s="27">
        <f t="shared" si="181"/>
        <v>55</v>
      </c>
      <c r="AI85" s="27">
        <f t="shared" si="182"/>
        <v>0</v>
      </c>
      <c r="AJ85" s="27">
        <f t="shared" si="183"/>
        <v>110</v>
      </c>
      <c r="AK85" s="27">
        <f t="shared" si="184"/>
        <v>0</v>
      </c>
      <c r="AL85" s="27"/>
      <c r="AM85" s="27"/>
      <c r="AN85" s="27">
        <v>0</v>
      </c>
      <c r="AO85" s="27"/>
      <c r="AP85" s="27">
        <f t="shared" si="185"/>
        <v>0</v>
      </c>
      <c r="AQ85" s="27">
        <f t="shared" si="186"/>
        <v>0</v>
      </c>
      <c r="AR85" s="27"/>
      <c r="AS85" s="27"/>
      <c r="AT85" s="27">
        <v>0</v>
      </c>
      <c r="AU85" s="27"/>
      <c r="AV85" s="27">
        <f t="shared" si="187"/>
        <v>0</v>
      </c>
      <c r="AW85" s="27">
        <f t="shared" si="188"/>
        <v>0</v>
      </c>
      <c r="AX85" s="27"/>
      <c r="AY85" s="27"/>
      <c r="AZ85" s="27">
        <v>0</v>
      </c>
      <c r="BA85" s="27"/>
      <c r="BB85" s="27">
        <f t="shared" si="189"/>
        <v>0</v>
      </c>
      <c r="BC85" s="27">
        <f t="shared" si="190"/>
        <v>0</v>
      </c>
      <c r="BD85" s="27"/>
      <c r="BE85" s="27"/>
      <c r="BF85" s="27">
        <v>0</v>
      </c>
      <c r="BG85" s="27"/>
      <c r="BH85" s="27">
        <f t="shared" si="191"/>
        <v>0</v>
      </c>
      <c r="BI85" s="27">
        <f t="shared" si="192"/>
        <v>0</v>
      </c>
      <c r="BJ85" s="27"/>
      <c r="BK85" s="27"/>
      <c r="BL85" s="27">
        <v>0</v>
      </c>
      <c r="BM85" s="27"/>
      <c r="BN85" s="27">
        <f t="shared" si="193"/>
        <v>0</v>
      </c>
      <c r="BO85" s="27">
        <f t="shared" si="194"/>
        <v>0</v>
      </c>
      <c r="BP85" s="26"/>
      <c r="BQ85" s="26"/>
      <c r="BR85" s="27">
        <v>0</v>
      </c>
      <c r="BS85" s="27"/>
      <c r="BT85" s="27">
        <f t="shared" si="195"/>
        <v>0</v>
      </c>
      <c r="BU85" s="27">
        <f t="shared" si="196"/>
        <v>0</v>
      </c>
      <c r="BV85" s="26"/>
      <c r="BW85" s="26"/>
      <c r="BX85" s="27">
        <v>0</v>
      </c>
      <c r="BY85" s="26"/>
      <c r="BZ85" s="27">
        <f t="shared" si="197"/>
        <v>0</v>
      </c>
      <c r="CA85" s="27">
        <f t="shared" si="198"/>
        <v>0</v>
      </c>
      <c r="CB85" s="26"/>
      <c r="CC85" s="26"/>
      <c r="CD85" s="27">
        <v>0</v>
      </c>
      <c r="CE85" s="26"/>
      <c r="CF85" s="27">
        <f t="shared" si="199"/>
        <v>0</v>
      </c>
      <c r="CG85" s="27">
        <f t="shared" si="200"/>
        <v>0</v>
      </c>
      <c r="CH85" s="27"/>
      <c r="CI85" s="27"/>
      <c r="CJ85" s="27">
        <v>0</v>
      </c>
      <c r="CK85" s="27"/>
      <c r="CL85" s="27">
        <f t="shared" si="201"/>
        <v>0</v>
      </c>
      <c r="CM85" s="27">
        <f t="shared" si="202"/>
        <v>0</v>
      </c>
      <c r="CN85" s="27"/>
      <c r="CO85" s="27"/>
      <c r="CP85" s="27">
        <v>0</v>
      </c>
      <c r="CQ85" s="27"/>
      <c r="CR85" s="27">
        <f t="shared" si="203"/>
        <v>0</v>
      </c>
      <c r="CS85" s="27">
        <f t="shared" si="204"/>
        <v>0</v>
      </c>
      <c r="CT85" s="27"/>
      <c r="CU85" s="27"/>
      <c r="CV85" s="27">
        <v>0</v>
      </c>
      <c r="CW85" s="27"/>
      <c r="CX85" s="27">
        <f t="shared" si="205"/>
        <v>0</v>
      </c>
      <c r="CY85" s="27">
        <f t="shared" si="206"/>
        <v>0</v>
      </c>
      <c r="CZ85" s="27"/>
      <c r="DA85" s="27"/>
      <c r="DB85" s="27">
        <v>0</v>
      </c>
      <c r="DC85" s="27"/>
      <c r="DD85" s="27">
        <f t="shared" si="207"/>
        <v>0</v>
      </c>
      <c r="DE85" s="27">
        <f t="shared" si="208"/>
        <v>0</v>
      </c>
      <c r="DF85" s="27">
        <f t="shared" si="209"/>
        <v>0</v>
      </c>
      <c r="DG85" s="27">
        <f t="shared" si="210"/>
        <v>0</v>
      </c>
      <c r="DH85" s="27">
        <f t="shared" si="211"/>
        <v>0</v>
      </c>
      <c r="DI85" s="27">
        <f t="shared" si="212"/>
        <v>0</v>
      </c>
      <c r="DJ85" s="27">
        <f t="shared" si="213"/>
        <v>0</v>
      </c>
      <c r="DK85" s="27">
        <f t="shared" si="214"/>
        <v>0</v>
      </c>
    </row>
    <row r="86" spans="1:115">
      <c r="A86" s="25">
        <v>78</v>
      </c>
      <c r="B86" s="26" t="s">
        <v>1162</v>
      </c>
      <c r="C86" s="26"/>
      <c r="D86" s="26"/>
      <c r="E86" s="205" t="s">
        <v>1200</v>
      </c>
      <c r="F86" s="161">
        <f t="shared" si="167"/>
        <v>0</v>
      </c>
      <c r="G86" s="165">
        <f t="shared" si="168"/>
        <v>0</v>
      </c>
      <c r="H86" s="27"/>
      <c r="I86" s="27">
        <v>0</v>
      </c>
      <c r="J86" s="27">
        <v>0</v>
      </c>
      <c r="K86" s="127">
        <f t="shared" si="169"/>
        <v>0</v>
      </c>
      <c r="L86" s="127">
        <f t="shared" si="170"/>
        <v>0</v>
      </c>
      <c r="M86" s="127">
        <f t="shared" si="171"/>
        <v>0</v>
      </c>
      <c r="N86" s="131"/>
      <c r="O86" s="125" t="str">
        <f t="shared" si="172"/>
        <v>ნულოვანი შესრულება</v>
      </c>
      <c r="P86" s="27">
        <v>0</v>
      </c>
      <c r="Q86" s="27">
        <v>0</v>
      </c>
      <c r="R86" s="27">
        <f t="shared" si="173"/>
        <v>0</v>
      </c>
      <c r="S86" s="27">
        <f t="shared" si="174"/>
        <v>0</v>
      </c>
      <c r="T86" s="27"/>
      <c r="U86" s="27"/>
      <c r="V86" s="27">
        <v>56</v>
      </c>
      <c r="W86" s="27"/>
      <c r="X86" s="27">
        <f t="shared" si="175"/>
        <v>56</v>
      </c>
      <c r="Y86" s="27">
        <f t="shared" si="176"/>
        <v>0</v>
      </c>
      <c r="Z86" s="27">
        <v>56</v>
      </c>
      <c r="AA86" s="27"/>
      <c r="AB86" s="27"/>
      <c r="AC86" s="27"/>
      <c r="AD86" s="27">
        <f t="shared" si="177"/>
        <v>56</v>
      </c>
      <c r="AE86" s="27">
        <f t="shared" si="178"/>
        <v>0</v>
      </c>
      <c r="AF86" s="27">
        <f t="shared" si="179"/>
        <v>56</v>
      </c>
      <c r="AG86" s="27">
        <f t="shared" si="180"/>
        <v>0</v>
      </c>
      <c r="AH86" s="27">
        <f t="shared" si="181"/>
        <v>56</v>
      </c>
      <c r="AI86" s="27">
        <f t="shared" si="182"/>
        <v>0</v>
      </c>
      <c r="AJ86" s="27">
        <f t="shared" si="183"/>
        <v>112</v>
      </c>
      <c r="AK86" s="27">
        <f t="shared" si="184"/>
        <v>0</v>
      </c>
      <c r="AL86" s="27"/>
      <c r="AM86" s="27"/>
      <c r="AN86" s="27">
        <v>0</v>
      </c>
      <c r="AO86" s="27"/>
      <c r="AP86" s="27">
        <f t="shared" si="185"/>
        <v>0</v>
      </c>
      <c r="AQ86" s="27">
        <f t="shared" si="186"/>
        <v>0</v>
      </c>
      <c r="AR86" s="27"/>
      <c r="AS86" s="27"/>
      <c r="AT86" s="27">
        <v>0</v>
      </c>
      <c r="AU86" s="27"/>
      <c r="AV86" s="27">
        <f t="shared" si="187"/>
        <v>0</v>
      </c>
      <c r="AW86" s="27">
        <f t="shared" si="188"/>
        <v>0</v>
      </c>
      <c r="AX86" s="27"/>
      <c r="AY86" s="27"/>
      <c r="AZ86" s="27">
        <v>0</v>
      </c>
      <c r="BA86" s="27"/>
      <c r="BB86" s="27">
        <f t="shared" si="189"/>
        <v>0</v>
      </c>
      <c r="BC86" s="27">
        <f t="shared" si="190"/>
        <v>0</v>
      </c>
      <c r="BD86" s="27"/>
      <c r="BE86" s="27"/>
      <c r="BF86" s="27">
        <v>0</v>
      </c>
      <c r="BG86" s="27"/>
      <c r="BH86" s="27">
        <f t="shared" si="191"/>
        <v>0</v>
      </c>
      <c r="BI86" s="27">
        <f t="shared" si="192"/>
        <v>0</v>
      </c>
      <c r="BJ86" s="27"/>
      <c r="BK86" s="27"/>
      <c r="BL86" s="27">
        <v>0</v>
      </c>
      <c r="BM86" s="27"/>
      <c r="BN86" s="27">
        <f t="shared" si="193"/>
        <v>0</v>
      </c>
      <c r="BO86" s="27">
        <f t="shared" si="194"/>
        <v>0</v>
      </c>
      <c r="BP86" s="26"/>
      <c r="BQ86" s="26"/>
      <c r="BR86" s="27">
        <v>0</v>
      </c>
      <c r="BS86" s="27"/>
      <c r="BT86" s="27">
        <f t="shared" si="195"/>
        <v>0</v>
      </c>
      <c r="BU86" s="27">
        <f t="shared" si="196"/>
        <v>0</v>
      </c>
      <c r="BV86" s="26"/>
      <c r="BW86" s="26"/>
      <c r="BX86" s="27">
        <v>0</v>
      </c>
      <c r="BY86" s="26"/>
      <c r="BZ86" s="27">
        <f t="shared" si="197"/>
        <v>0</v>
      </c>
      <c r="CA86" s="27">
        <f t="shared" si="198"/>
        <v>0</v>
      </c>
      <c r="CB86" s="26"/>
      <c r="CC86" s="26"/>
      <c r="CD86" s="27">
        <v>0</v>
      </c>
      <c r="CE86" s="26"/>
      <c r="CF86" s="27">
        <f t="shared" si="199"/>
        <v>0</v>
      </c>
      <c r="CG86" s="27">
        <f t="shared" si="200"/>
        <v>0</v>
      </c>
      <c r="CH86" s="27"/>
      <c r="CI86" s="27"/>
      <c r="CJ86" s="27">
        <v>0</v>
      </c>
      <c r="CK86" s="27"/>
      <c r="CL86" s="27">
        <f t="shared" si="201"/>
        <v>0</v>
      </c>
      <c r="CM86" s="27">
        <f t="shared" si="202"/>
        <v>0</v>
      </c>
      <c r="CN86" s="27"/>
      <c r="CO86" s="27"/>
      <c r="CP86" s="27">
        <v>0</v>
      </c>
      <c r="CQ86" s="27"/>
      <c r="CR86" s="27">
        <f t="shared" si="203"/>
        <v>0</v>
      </c>
      <c r="CS86" s="27">
        <f t="shared" si="204"/>
        <v>0</v>
      </c>
      <c r="CT86" s="27"/>
      <c r="CU86" s="27"/>
      <c r="CV86" s="27">
        <v>0</v>
      </c>
      <c r="CW86" s="27"/>
      <c r="CX86" s="27">
        <f t="shared" si="205"/>
        <v>0</v>
      </c>
      <c r="CY86" s="27">
        <f t="shared" si="206"/>
        <v>0</v>
      </c>
      <c r="CZ86" s="27"/>
      <c r="DA86" s="27"/>
      <c r="DB86" s="27">
        <v>0</v>
      </c>
      <c r="DC86" s="27"/>
      <c r="DD86" s="27">
        <f t="shared" si="207"/>
        <v>0</v>
      </c>
      <c r="DE86" s="27">
        <f t="shared" si="208"/>
        <v>0</v>
      </c>
      <c r="DF86" s="27">
        <f t="shared" si="209"/>
        <v>0</v>
      </c>
      <c r="DG86" s="27">
        <f t="shared" si="210"/>
        <v>0</v>
      </c>
      <c r="DH86" s="27">
        <f t="shared" si="211"/>
        <v>0</v>
      </c>
      <c r="DI86" s="27">
        <f t="shared" si="212"/>
        <v>0</v>
      </c>
      <c r="DJ86" s="27">
        <f t="shared" si="213"/>
        <v>0</v>
      </c>
      <c r="DK86" s="27">
        <f t="shared" si="214"/>
        <v>0</v>
      </c>
    </row>
    <row r="87" spans="1:115">
      <c r="A87" s="25">
        <v>79</v>
      </c>
      <c r="B87" s="26" t="s">
        <v>1162</v>
      </c>
      <c r="C87" s="26"/>
      <c r="D87" s="26"/>
      <c r="E87" s="205" t="s">
        <v>1200</v>
      </c>
      <c r="F87" s="161">
        <f t="shared" si="167"/>
        <v>0</v>
      </c>
      <c r="G87" s="165">
        <f t="shared" si="168"/>
        <v>0</v>
      </c>
      <c r="H87" s="27"/>
      <c r="I87" s="27">
        <v>0</v>
      </c>
      <c r="J87" s="27">
        <v>0</v>
      </c>
      <c r="K87" s="127">
        <f t="shared" si="169"/>
        <v>0</v>
      </c>
      <c r="L87" s="127">
        <f t="shared" si="170"/>
        <v>0</v>
      </c>
      <c r="M87" s="127">
        <f t="shared" si="171"/>
        <v>0</v>
      </c>
      <c r="N87" s="131"/>
      <c r="O87" s="125" t="str">
        <f t="shared" si="172"/>
        <v>ნულოვანი შესრულება</v>
      </c>
      <c r="P87" s="27">
        <v>0</v>
      </c>
      <c r="Q87" s="27">
        <v>0</v>
      </c>
      <c r="R87" s="27">
        <f t="shared" si="173"/>
        <v>0</v>
      </c>
      <c r="S87" s="27">
        <f t="shared" si="174"/>
        <v>0</v>
      </c>
      <c r="T87" s="27"/>
      <c r="U87" s="27"/>
      <c r="V87" s="27">
        <v>57</v>
      </c>
      <c r="W87" s="27"/>
      <c r="X87" s="27">
        <f t="shared" si="175"/>
        <v>57</v>
      </c>
      <c r="Y87" s="27">
        <f t="shared" si="176"/>
        <v>0</v>
      </c>
      <c r="Z87" s="27">
        <v>57</v>
      </c>
      <c r="AA87" s="27"/>
      <c r="AB87" s="27"/>
      <c r="AC87" s="27"/>
      <c r="AD87" s="27">
        <f t="shared" si="177"/>
        <v>57</v>
      </c>
      <c r="AE87" s="27">
        <f t="shared" si="178"/>
        <v>0</v>
      </c>
      <c r="AF87" s="27">
        <f t="shared" si="179"/>
        <v>57</v>
      </c>
      <c r="AG87" s="27">
        <f t="shared" si="180"/>
        <v>0</v>
      </c>
      <c r="AH87" s="27">
        <f t="shared" si="181"/>
        <v>57</v>
      </c>
      <c r="AI87" s="27">
        <f t="shared" si="182"/>
        <v>0</v>
      </c>
      <c r="AJ87" s="27">
        <f t="shared" si="183"/>
        <v>114</v>
      </c>
      <c r="AK87" s="27">
        <f t="shared" si="184"/>
        <v>0</v>
      </c>
      <c r="AL87" s="27"/>
      <c r="AM87" s="27"/>
      <c r="AN87" s="27">
        <v>0</v>
      </c>
      <c r="AO87" s="27"/>
      <c r="AP87" s="27">
        <f t="shared" si="185"/>
        <v>0</v>
      </c>
      <c r="AQ87" s="27">
        <f t="shared" si="186"/>
        <v>0</v>
      </c>
      <c r="AR87" s="27"/>
      <c r="AS87" s="27"/>
      <c r="AT87" s="27">
        <v>0</v>
      </c>
      <c r="AU87" s="27"/>
      <c r="AV87" s="27">
        <f t="shared" si="187"/>
        <v>0</v>
      </c>
      <c r="AW87" s="27">
        <f t="shared" si="188"/>
        <v>0</v>
      </c>
      <c r="AX87" s="27"/>
      <c r="AY87" s="27"/>
      <c r="AZ87" s="27">
        <v>0</v>
      </c>
      <c r="BA87" s="27"/>
      <c r="BB87" s="27">
        <f t="shared" si="189"/>
        <v>0</v>
      </c>
      <c r="BC87" s="27">
        <f t="shared" si="190"/>
        <v>0</v>
      </c>
      <c r="BD87" s="27"/>
      <c r="BE87" s="27"/>
      <c r="BF87" s="27">
        <v>0</v>
      </c>
      <c r="BG87" s="27"/>
      <c r="BH87" s="27">
        <f t="shared" si="191"/>
        <v>0</v>
      </c>
      <c r="BI87" s="27">
        <f t="shared" si="192"/>
        <v>0</v>
      </c>
      <c r="BJ87" s="27"/>
      <c r="BK87" s="27"/>
      <c r="BL87" s="27">
        <v>0</v>
      </c>
      <c r="BM87" s="27"/>
      <c r="BN87" s="27">
        <f t="shared" si="193"/>
        <v>0</v>
      </c>
      <c r="BO87" s="27">
        <f t="shared" si="194"/>
        <v>0</v>
      </c>
      <c r="BP87" s="26"/>
      <c r="BQ87" s="26"/>
      <c r="BR87" s="27">
        <v>0</v>
      </c>
      <c r="BS87" s="27"/>
      <c r="BT87" s="27">
        <f t="shared" si="195"/>
        <v>0</v>
      </c>
      <c r="BU87" s="27">
        <f t="shared" si="196"/>
        <v>0</v>
      </c>
      <c r="BV87" s="26"/>
      <c r="BW87" s="26"/>
      <c r="BX87" s="27">
        <v>0</v>
      </c>
      <c r="BY87" s="26"/>
      <c r="BZ87" s="27">
        <f t="shared" si="197"/>
        <v>0</v>
      </c>
      <c r="CA87" s="27">
        <f t="shared" si="198"/>
        <v>0</v>
      </c>
      <c r="CB87" s="26"/>
      <c r="CC87" s="26"/>
      <c r="CD87" s="27">
        <v>0</v>
      </c>
      <c r="CE87" s="26"/>
      <c r="CF87" s="27">
        <f t="shared" si="199"/>
        <v>0</v>
      </c>
      <c r="CG87" s="27">
        <f t="shared" si="200"/>
        <v>0</v>
      </c>
      <c r="CH87" s="27"/>
      <c r="CI87" s="27"/>
      <c r="CJ87" s="27">
        <v>0</v>
      </c>
      <c r="CK87" s="27"/>
      <c r="CL87" s="27">
        <f t="shared" si="201"/>
        <v>0</v>
      </c>
      <c r="CM87" s="27">
        <f t="shared" si="202"/>
        <v>0</v>
      </c>
      <c r="CN87" s="27"/>
      <c r="CO87" s="27"/>
      <c r="CP87" s="27">
        <v>0</v>
      </c>
      <c r="CQ87" s="27"/>
      <c r="CR87" s="27">
        <f t="shared" si="203"/>
        <v>0</v>
      </c>
      <c r="CS87" s="27">
        <f t="shared" si="204"/>
        <v>0</v>
      </c>
      <c r="CT87" s="27"/>
      <c r="CU87" s="27"/>
      <c r="CV87" s="27">
        <v>0</v>
      </c>
      <c r="CW87" s="27"/>
      <c r="CX87" s="27">
        <f t="shared" si="205"/>
        <v>0</v>
      </c>
      <c r="CY87" s="27">
        <f t="shared" si="206"/>
        <v>0</v>
      </c>
      <c r="CZ87" s="27"/>
      <c r="DA87" s="27"/>
      <c r="DB87" s="27">
        <v>0</v>
      </c>
      <c r="DC87" s="27"/>
      <c r="DD87" s="27">
        <f t="shared" si="207"/>
        <v>0</v>
      </c>
      <c r="DE87" s="27">
        <f t="shared" si="208"/>
        <v>0</v>
      </c>
      <c r="DF87" s="27">
        <f t="shared" si="209"/>
        <v>0</v>
      </c>
      <c r="DG87" s="27">
        <f t="shared" si="210"/>
        <v>0</v>
      </c>
      <c r="DH87" s="27">
        <f t="shared" si="211"/>
        <v>0</v>
      </c>
      <c r="DI87" s="27">
        <f t="shared" si="212"/>
        <v>0</v>
      </c>
      <c r="DJ87" s="27">
        <f t="shared" si="213"/>
        <v>0</v>
      </c>
      <c r="DK87" s="27">
        <f t="shared" si="214"/>
        <v>0</v>
      </c>
    </row>
    <row r="88" spans="1:115">
      <c r="A88" s="25">
        <v>80</v>
      </c>
      <c r="B88" s="26" t="s">
        <v>1162</v>
      </c>
      <c r="C88" s="26"/>
      <c r="D88" s="26"/>
      <c r="E88" s="205" t="s">
        <v>1200</v>
      </c>
      <c r="F88" s="161">
        <f t="shared" si="167"/>
        <v>0</v>
      </c>
      <c r="G88" s="165">
        <f t="shared" si="168"/>
        <v>0</v>
      </c>
      <c r="H88" s="27"/>
      <c r="I88" s="27">
        <v>0</v>
      </c>
      <c r="J88" s="27">
        <v>0</v>
      </c>
      <c r="K88" s="127">
        <f t="shared" si="169"/>
        <v>0</v>
      </c>
      <c r="L88" s="127">
        <f t="shared" si="170"/>
        <v>0</v>
      </c>
      <c r="M88" s="127">
        <f t="shared" si="171"/>
        <v>0</v>
      </c>
      <c r="N88" s="131"/>
      <c r="O88" s="125" t="str">
        <f t="shared" si="172"/>
        <v>ნულოვანი შესრულება</v>
      </c>
      <c r="P88" s="27">
        <v>0</v>
      </c>
      <c r="Q88" s="27">
        <v>0</v>
      </c>
      <c r="R88" s="27">
        <f t="shared" si="173"/>
        <v>0</v>
      </c>
      <c r="S88" s="27">
        <f t="shared" si="174"/>
        <v>0</v>
      </c>
      <c r="T88" s="27"/>
      <c r="U88" s="27"/>
      <c r="V88" s="27">
        <v>58</v>
      </c>
      <c r="W88" s="27"/>
      <c r="X88" s="27">
        <f t="shared" si="175"/>
        <v>58</v>
      </c>
      <c r="Y88" s="27">
        <f t="shared" si="176"/>
        <v>0</v>
      </c>
      <c r="Z88" s="27">
        <v>58</v>
      </c>
      <c r="AA88" s="27"/>
      <c r="AB88" s="27"/>
      <c r="AC88" s="27"/>
      <c r="AD88" s="27">
        <f t="shared" si="177"/>
        <v>58</v>
      </c>
      <c r="AE88" s="27">
        <f t="shared" si="178"/>
        <v>0</v>
      </c>
      <c r="AF88" s="27">
        <f t="shared" si="179"/>
        <v>58</v>
      </c>
      <c r="AG88" s="27">
        <f t="shared" si="180"/>
        <v>0</v>
      </c>
      <c r="AH88" s="27">
        <f t="shared" si="181"/>
        <v>58</v>
      </c>
      <c r="AI88" s="27">
        <f t="shared" si="182"/>
        <v>0</v>
      </c>
      <c r="AJ88" s="27">
        <f t="shared" si="183"/>
        <v>116</v>
      </c>
      <c r="AK88" s="27">
        <f t="shared" si="184"/>
        <v>0</v>
      </c>
      <c r="AL88" s="27"/>
      <c r="AM88" s="27"/>
      <c r="AN88" s="27">
        <v>0</v>
      </c>
      <c r="AO88" s="27"/>
      <c r="AP88" s="27">
        <f t="shared" si="185"/>
        <v>0</v>
      </c>
      <c r="AQ88" s="27">
        <f t="shared" si="186"/>
        <v>0</v>
      </c>
      <c r="AR88" s="27"/>
      <c r="AS88" s="27"/>
      <c r="AT88" s="27">
        <v>0</v>
      </c>
      <c r="AU88" s="27"/>
      <c r="AV88" s="27">
        <f t="shared" si="187"/>
        <v>0</v>
      </c>
      <c r="AW88" s="27">
        <f t="shared" si="188"/>
        <v>0</v>
      </c>
      <c r="AX88" s="27"/>
      <c r="AY88" s="27"/>
      <c r="AZ88" s="27">
        <v>0</v>
      </c>
      <c r="BA88" s="27"/>
      <c r="BB88" s="27">
        <f t="shared" si="189"/>
        <v>0</v>
      </c>
      <c r="BC88" s="27">
        <f t="shared" si="190"/>
        <v>0</v>
      </c>
      <c r="BD88" s="27"/>
      <c r="BE88" s="27"/>
      <c r="BF88" s="27">
        <v>0</v>
      </c>
      <c r="BG88" s="27"/>
      <c r="BH88" s="27">
        <f t="shared" si="191"/>
        <v>0</v>
      </c>
      <c r="BI88" s="27">
        <f t="shared" si="192"/>
        <v>0</v>
      </c>
      <c r="BJ88" s="27"/>
      <c r="BK88" s="27"/>
      <c r="BL88" s="27">
        <v>0</v>
      </c>
      <c r="BM88" s="27"/>
      <c r="BN88" s="27">
        <f t="shared" si="193"/>
        <v>0</v>
      </c>
      <c r="BO88" s="27">
        <f t="shared" si="194"/>
        <v>0</v>
      </c>
      <c r="BP88" s="26"/>
      <c r="BQ88" s="26"/>
      <c r="BR88" s="27">
        <v>0</v>
      </c>
      <c r="BS88" s="27"/>
      <c r="BT88" s="27">
        <f t="shared" si="195"/>
        <v>0</v>
      </c>
      <c r="BU88" s="27">
        <f t="shared" si="196"/>
        <v>0</v>
      </c>
      <c r="BV88" s="26"/>
      <c r="BW88" s="26"/>
      <c r="BX88" s="27">
        <v>0</v>
      </c>
      <c r="BY88" s="26"/>
      <c r="BZ88" s="27">
        <f t="shared" si="197"/>
        <v>0</v>
      </c>
      <c r="CA88" s="27">
        <f t="shared" si="198"/>
        <v>0</v>
      </c>
      <c r="CB88" s="26"/>
      <c r="CC88" s="26"/>
      <c r="CD88" s="27">
        <v>0</v>
      </c>
      <c r="CE88" s="26"/>
      <c r="CF88" s="27">
        <f t="shared" si="199"/>
        <v>0</v>
      </c>
      <c r="CG88" s="27">
        <f t="shared" si="200"/>
        <v>0</v>
      </c>
      <c r="CH88" s="27"/>
      <c r="CI88" s="27"/>
      <c r="CJ88" s="27">
        <v>0</v>
      </c>
      <c r="CK88" s="27"/>
      <c r="CL88" s="27">
        <f t="shared" si="201"/>
        <v>0</v>
      </c>
      <c r="CM88" s="27">
        <f t="shared" si="202"/>
        <v>0</v>
      </c>
      <c r="CN88" s="27"/>
      <c r="CO88" s="27"/>
      <c r="CP88" s="27">
        <v>0</v>
      </c>
      <c r="CQ88" s="27"/>
      <c r="CR88" s="27">
        <f t="shared" si="203"/>
        <v>0</v>
      </c>
      <c r="CS88" s="27">
        <f t="shared" si="204"/>
        <v>0</v>
      </c>
      <c r="CT88" s="27"/>
      <c r="CU88" s="27"/>
      <c r="CV88" s="27">
        <v>0</v>
      </c>
      <c r="CW88" s="27"/>
      <c r="CX88" s="27">
        <f t="shared" si="205"/>
        <v>0</v>
      </c>
      <c r="CY88" s="27">
        <f t="shared" si="206"/>
        <v>0</v>
      </c>
      <c r="CZ88" s="27"/>
      <c r="DA88" s="27"/>
      <c r="DB88" s="27">
        <v>0</v>
      </c>
      <c r="DC88" s="27"/>
      <c r="DD88" s="27">
        <f t="shared" si="207"/>
        <v>0</v>
      </c>
      <c r="DE88" s="27">
        <f t="shared" si="208"/>
        <v>0</v>
      </c>
      <c r="DF88" s="27">
        <f t="shared" si="209"/>
        <v>0</v>
      </c>
      <c r="DG88" s="27">
        <f t="shared" si="210"/>
        <v>0</v>
      </c>
      <c r="DH88" s="27">
        <f t="shared" si="211"/>
        <v>0</v>
      </c>
      <c r="DI88" s="27">
        <f t="shared" si="212"/>
        <v>0</v>
      </c>
      <c r="DJ88" s="27">
        <f t="shared" si="213"/>
        <v>0</v>
      </c>
      <c r="DK88" s="27">
        <f t="shared" si="214"/>
        <v>0</v>
      </c>
    </row>
    <row r="89" spans="1:115">
      <c r="A89" s="25">
        <v>81</v>
      </c>
      <c r="B89" s="26" t="s">
        <v>1162</v>
      </c>
      <c r="C89" s="26"/>
      <c r="D89" s="26"/>
      <c r="E89" s="205" t="s">
        <v>1200</v>
      </c>
      <c r="F89" s="161">
        <f t="shared" si="167"/>
        <v>0</v>
      </c>
      <c r="G89" s="165">
        <f t="shared" si="168"/>
        <v>0</v>
      </c>
      <c r="H89" s="27"/>
      <c r="I89" s="27">
        <v>0</v>
      </c>
      <c r="J89" s="27">
        <v>0</v>
      </c>
      <c r="K89" s="127">
        <f t="shared" si="169"/>
        <v>0</v>
      </c>
      <c r="L89" s="127">
        <f t="shared" si="170"/>
        <v>0</v>
      </c>
      <c r="M89" s="127">
        <f t="shared" si="171"/>
        <v>0</v>
      </c>
      <c r="N89" s="131"/>
      <c r="O89" s="125" t="str">
        <f t="shared" si="172"/>
        <v>ნულოვანი შესრულება</v>
      </c>
      <c r="P89" s="27">
        <v>0</v>
      </c>
      <c r="Q89" s="27">
        <v>0</v>
      </c>
      <c r="R89" s="27">
        <f t="shared" si="173"/>
        <v>0</v>
      </c>
      <c r="S89" s="27">
        <f t="shared" si="174"/>
        <v>0</v>
      </c>
      <c r="T89" s="27"/>
      <c r="U89" s="27"/>
      <c r="V89" s="27">
        <v>59</v>
      </c>
      <c r="W89" s="27"/>
      <c r="X89" s="27">
        <f t="shared" si="175"/>
        <v>59</v>
      </c>
      <c r="Y89" s="27">
        <f t="shared" si="176"/>
        <v>0</v>
      </c>
      <c r="Z89" s="27">
        <v>59</v>
      </c>
      <c r="AA89" s="27"/>
      <c r="AB89" s="27"/>
      <c r="AC89" s="27"/>
      <c r="AD89" s="27">
        <f t="shared" si="177"/>
        <v>59</v>
      </c>
      <c r="AE89" s="27">
        <f t="shared" si="178"/>
        <v>0</v>
      </c>
      <c r="AF89" s="27">
        <f t="shared" si="179"/>
        <v>59</v>
      </c>
      <c r="AG89" s="27">
        <f t="shared" si="180"/>
        <v>0</v>
      </c>
      <c r="AH89" s="27">
        <f t="shared" si="181"/>
        <v>59</v>
      </c>
      <c r="AI89" s="27">
        <f t="shared" si="182"/>
        <v>0</v>
      </c>
      <c r="AJ89" s="27">
        <f t="shared" si="183"/>
        <v>118</v>
      </c>
      <c r="AK89" s="27">
        <f t="shared" si="184"/>
        <v>0</v>
      </c>
      <c r="AL89" s="27"/>
      <c r="AM89" s="27"/>
      <c r="AN89" s="27">
        <v>0</v>
      </c>
      <c r="AO89" s="27"/>
      <c r="AP89" s="27">
        <f t="shared" si="185"/>
        <v>0</v>
      </c>
      <c r="AQ89" s="27">
        <f t="shared" si="186"/>
        <v>0</v>
      </c>
      <c r="AR89" s="27"/>
      <c r="AS89" s="27"/>
      <c r="AT89" s="27">
        <v>0</v>
      </c>
      <c r="AU89" s="27"/>
      <c r="AV89" s="27">
        <f t="shared" si="187"/>
        <v>0</v>
      </c>
      <c r="AW89" s="27">
        <f t="shared" si="188"/>
        <v>0</v>
      </c>
      <c r="AX89" s="27"/>
      <c r="AY89" s="27"/>
      <c r="AZ89" s="27">
        <v>0</v>
      </c>
      <c r="BA89" s="27"/>
      <c r="BB89" s="27">
        <f t="shared" si="189"/>
        <v>0</v>
      </c>
      <c r="BC89" s="27">
        <f t="shared" si="190"/>
        <v>0</v>
      </c>
      <c r="BD89" s="27"/>
      <c r="BE89" s="27"/>
      <c r="BF89" s="27">
        <v>0</v>
      </c>
      <c r="BG89" s="27"/>
      <c r="BH89" s="27">
        <f t="shared" si="191"/>
        <v>0</v>
      </c>
      <c r="BI89" s="27">
        <f t="shared" si="192"/>
        <v>0</v>
      </c>
      <c r="BJ89" s="27"/>
      <c r="BK89" s="27"/>
      <c r="BL89" s="27">
        <v>0</v>
      </c>
      <c r="BM89" s="27"/>
      <c r="BN89" s="27">
        <f t="shared" si="193"/>
        <v>0</v>
      </c>
      <c r="BO89" s="27">
        <f t="shared" si="194"/>
        <v>0</v>
      </c>
      <c r="BP89" s="26"/>
      <c r="BQ89" s="26"/>
      <c r="BR89" s="27">
        <v>0</v>
      </c>
      <c r="BS89" s="27"/>
      <c r="BT89" s="27">
        <f t="shared" si="195"/>
        <v>0</v>
      </c>
      <c r="BU89" s="27">
        <f t="shared" si="196"/>
        <v>0</v>
      </c>
      <c r="BV89" s="26"/>
      <c r="BW89" s="26"/>
      <c r="BX89" s="27">
        <v>0</v>
      </c>
      <c r="BY89" s="26"/>
      <c r="BZ89" s="27">
        <f t="shared" si="197"/>
        <v>0</v>
      </c>
      <c r="CA89" s="27">
        <f t="shared" si="198"/>
        <v>0</v>
      </c>
      <c r="CB89" s="26"/>
      <c r="CC89" s="26"/>
      <c r="CD89" s="27">
        <v>0</v>
      </c>
      <c r="CE89" s="26"/>
      <c r="CF89" s="27">
        <f t="shared" si="199"/>
        <v>0</v>
      </c>
      <c r="CG89" s="27">
        <f t="shared" si="200"/>
        <v>0</v>
      </c>
      <c r="CH89" s="27"/>
      <c r="CI89" s="27"/>
      <c r="CJ89" s="27">
        <v>0</v>
      </c>
      <c r="CK89" s="27"/>
      <c r="CL89" s="27">
        <f t="shared" si="201"/>
        <v>0</v>
      </c>
      <c r="CM89" s="27">
        <f t="shared" si="202"/>
        <v>0</v>
      </c>
      <c r="CN89" s="27"/>
      <c r="CO89" s="27"/>
      <c r="CP89" s="27">
        <v>0</v>
      </c>
      <c r="CQ89" s="27"/>
      <c r="CR89" s="27">
        <f t="shared" si="203"/>
        <v>0</v>
      </c>
      <c r="CS89" s="27">
        <f t="shared" si="204"/>
        <v>0</v>
      </c>
      <c r="CT89" s="27"/>
      <c r="CU89" s="27"/>
      <c r="CV89" s="27">
        <v>0</v>
      </c>
      <c r="CW89" s="27"/>
      <c r="CX89" s="27">
        <f t="shared" si="205"/>
        <v>0</v>
      </c>
      <c r="CY89" s="27">
        <f t="shared" si="206"/>
        <v>0</v>
      </c>
      <c r="CZ89" s="27"/>
      <c r="DA89" s="27"/>
      <c r="DB89" s="27">
        <v>0</v>
      </c>
      <c r="DC89" s="27"/>
      <c r="DD89" s="27">
        <f t="shared" si="207"/>
        <v>0</v>
      </c>
      <c r="DE89" s="27">
        <f t="shared" si="208"/>
        <v>0</v>
      </c>
      <c r="DF89" s="27">
        <f t="shared" si="209"/>
        <v>0</v>
      </c>
      <c r="DG89" s="27">
        <f t="shared" si="210"/>
        <v>0</v>
      </c>
      <c r="DH89" s="27">
        <f t="shared" si="211"/>
        <v>0</v>
      </c>
      <c r="DI89" s="27">
        <f t="shared" si="212"/>
        <v>0</v>
      </c>
      <c r="DJ89" s="27">
        <f t="shared" si="213"/>
        <v>0</v>
      </c>
      <c r="DK89" s="27">
        <f t="shared" si="214"/>
        <v>0</v>
      </c>
    </row>
    <row r="90" spans="1:115">
      <c r="A90" s="25">
        <v>82</v>
      </c>
      <c r="B90" s="26" t="s">
        <v>1162</v>
      </c>
      <c r="C90" s="26"/>
      <c r="D90" s="26"/>
      <c r="E90" s="205" t="s">
        <v>1200</v>
      </c>
      <c r="F90" s="161">
        <f t="shared" si="167"/>
        <v>0</v>
      </c>
      <c r="G90" s="165">
        <f t="shared" si="168"/>
        <v>0</v>
      </c>
      <c r="H90" s="27"/>
      <c r="I90" s="27">
        <v>0</v>
      </c>
      <c r="J90" s="27">
        <v>0</v>
      </c>
      <c r="K90" s="127">
        <f t="shared" si="169"/>
        <v>0</v>
      </c>
      <c r="L90" s="127">
        <f t="shared" si="170"/>
        <v>0</v>
      </c>
      <c r="M90" s="127">
        <f t="shared" si="171"/>
        <v>0</v>
      </c>
      <c r="N90" s="131"/>
      <c r="O90" s="125" t="str">
        <f t="shared" si="172"/>
        <v>ნულოვანი შესრულება</v>
      </c>
      <c r="P90" s="27">
        <v>0</v>
      </c>
      <c r="Q90" s="27">
        <v>0</v>
      </c>
      <c r="R90" s="27">
        <f t="shared" si="173"/>
        <v>0</v>
      </c>
      <c r="S90" s="27">
        <f t="shared" si="174"/>
        <v>0</v>
      </c>
      <c r="T90" s="27"/>
      <c r="U90" s="27"/>
      <c r="V90" s="27">
        <v>60</v>
      </c>
      <c r="W90" s="27"/>
      <c r="X90" s="27">
        <f t="shared" si="175"/>
        <v>60</v>
      </c>
      <c r="Y90" s="27">
        <f t="shared" si="176"/>
        <v>0</v>
      </c>
      <c r="Z90" s="27">
        <v>60</v>
      </c>
      <c r="AA90" s="27"/>
      <c r="AB90" s="27"/>
      <c r="AC90" s="27"/>
      <c r="AD90" s="27">
        <f t="shared" si="177"/>
        <v>60</v>
      </c>
      <c r="AE90" s="27">
        <f t="shared" si="178"/>
        <v>0</v>
      </c>
      <c r="AF90" s="27">
        <f t="shared" si="179"/>
        <v>60</v>
      </c>
      <c r="AG90" s="27">
        <f t="shared" si="180"/>
        <v>0</v>
      </c>
      <c r="AH90" s="27">
        <f t="shared" si="181"/>
        <v>60</v>
      </c>
      <c r="AI90" s="27">
        <f t="shared" si="182"/>
        <v>0</v>
      </c>
      <c r="AJ90" s="27">
        <f t="shared" si="183"/>
        <v>120</v>
      </c>
      <c r="AK90" s="27">
        <f t="shared" si="184"/>
        <v>0</v>
      </c>
      <c r="AL90" s="27"/>
      <c r="AM90" s="27"/>
      <c r="AN90" s="27">
        <v>0</v>
      </c>
      <c r="AO90" s="27"/>
      <c r="AP90" s="27">
        <f t="shared" si="185"/>
        <v>0</v>
      </c>
      <c r="AQ90" s="27">
        <f t="shared" si="186"/>
        <v>0</v>
      </c>
      <c r="AR90" s="27"/>
      <c r="AS90" s="27"/>
      <c r="AT90" s="27">
        <v>0</v>
      </c>
      <c r="AU90" s="27"/>
      <c r="AV90" s="27">
        <f t="shared" si="187"/>
        <v>0</v>
      </c>
      <c r="AW90" s="27">
        <f t="shared" si="188"/>
        <v>0</v>
      </c>
      <c r="AX90" s="27"/>
      <c r="AY90" s="27"/>
      <c r="AZ90" s="27">
        <v>0</v>
      </c>
      <c r="BA90" s="27"/>
      <c r="BB90" s="27">
        <f t="shared" si="189"/>
        <v>0</v>
      </c>
      <c r="BC90" s="27">
        <f t="shared" si="190"/>
        <v>0</v>
      </c>
      <c r="BD90" s="27"/>
      <c r="BE90" s="27"/>
      <c r="BF90" s="27">
        <v>0</v>
      </c>
      <c r="BG90" s="27"/>
      <c r="BH90" s="27">
        <f t="shared" si="191"/>
        <v>0</v>
      </c>
      <c r="BI90" s="27">
        <f t="shared" si="192"/>
        <v>0</v>
      </c>
      <c r="BJ90" s="27"/>
      <c r="BK90" s="27"/>
      <c r="BL90" s="27">
        <v>0</v>
      </c>
      <c r="BM90" s="27"/>
      <c r="BN90" s="27">
        <f t="shared" si="193"/>
        <v>0</v>
      </c>
      <c r="BO90" s="27">
        <f t="shared" si="194"/>
        <v>0</v>
      </c>
      <c r="BP90" s="26"/>
      <c r="BQ90" s="26"/>
      <c r="BR90" s="27">
        <v>0</v>
      </c>
      <c r="BS90" s="27"/>
      <c r="BT90" s="27">
        <f t="shared" si="195"/>
        <v>0</v>
      </c>
      <c r="BU90" s="27">
        <f t="shared" si="196"/>
        <v>0</v>
      </c>
      <c r="BV90" s="26"/>
      <c r="BW90" s="26"/>
      <c r="BX90" s="27">
        <v>0</v>
      </c>
      <c r="BY90" s="26"/>
      <c r="BZ90" s="27">
        <f t="shared" si="197"/>
        <v>0</v>
      </c>
      <c r="CA90" s="27">
        <f t="shared" si="198"/>
        <v>0</v>
      </c>
      <c r="CB90" s="26"/>
      <c r="CC90" s="26"/>
      <c r="CD90" s="27">
        <v>0</v>
      </c>
      <c r="CE90" s="26"/>
      <c r="CF90" s="27">
        <f t="shared" si="199"/>
        <v>0</v>
      </c>
      <c r="CG90" s="27">
        <f t="shared" si="200"/>
        <v>0</v>
      </c>
      <c r="CH90" s="27"/>
      <c r="CI90" s="27"/>
      <c r="CJ90" s="27">
        <v>0</v>
      </c>
      <c r="CK90" s="27"/>
      <c r="CL90" s="27">
        <f t="shared" si="201"/>
        <v>0</v>
      </c>
      <c r="CM90" s="27">
        <f t="shared" si="202"/>
        <v>0</v>
      </c>
      <c r="CN90" s="27"/>
      <c r="CO90" s="27"/>
      <c r="CP90" s="27">
        <v>0</v>
      </c>
      <c r="CQ90" s="27"/>
      <c r="CR90" s="27">
        <f t="shared" si="203"/>
        <v>0</v>
      </c>
      <c r="CS90" s="27">
        <f t="shared" si="204"/>
        <v>0</v>
      </c>
      <c r="CT90" s="27"/>
      <c r="CU90" s="27"/>
      <c r="CV90" s="27">
        <v>0</v>
      </c>
      <c r="CW90" s="27"/>
      <c r="CX90" s="27">
        <f t="shared" si="205"/>
        <v>0</v>
      </c>
      <c r="CY90" s="27">
        <f t="shared" si="206"/>
        <v>0</v>
      </c>
      <c r="CZ90" s="27"/>
      <c r="DA90" s="27"/>
      <c r="DB90" s="27">
        <v>0</v>
      </c>
      <c r="DC90" s="27"/>
      <c r="DD90" s="27">
        <f t="shared" si="207"/>
        <v>0</v>
      </c>
      <c r="DE90" s="27">
        <f t="shared" si="208"/>
        <v>0</v>
      </c>
      <c r="DF90" s="27">
        <f t="shared" si="209"/>
        <v>0</v>
      </c>
      <c r="DG90" s="27">
        <f t="shared" si="210"/>
        <v>0</v>
      </c>
      <c r="DH90" s="27">
        <f t="shared" si="211"/>
        <v>0</v>
      </c>
      <c r="DI90" s="27">
        <f t="shared" si="212"/>
        <v>0</v>
      </c>
      <c r="DJ90" s="27">
        <f t="shared" si="213"/>
        <v>0</v>
      </c>
      <c r="DK90" s="27">
        <f t="shared" si="214"/>
        <v>0</v>
      </c>
    </row>
    <row r="91" spans="1:115">
      <c r="A91" s="25">
        <v>83</v>
      </c>
      <c r="B91" s="26" t="s">
        <v>1162</v>
      </c>
      <c r="C91" s="26"/>
      <c r="D91" s="26"/>
      <c r="E91" s="205" t="s">
        <v>1200</v>
      </c>
      <c r="F91" s="161">
        <f t="shared" si="167"/>
        <v>0</v>
      </c>
      <c r="G91" s="165">
        <f t="shared" si="168"/>
        <v>0</v>
      </c>
      <c r="H91" s="27"/>
      <c r="I91" s="27">
        <v>0</v>
      </c>
      <c r="J91" s="27">
        <v>0</v>
      </c>
      <c r="K91" s="127">
        <f t="shared" si="169"/>
        <v>0</v>
      </c>
      <c r="L91" s="127">
        <f t="shared" si="170"/>
        <v>0</v>
      </c>
      <c r="M91" s="127">
        <f t="shared" si="171"/>
        <v>0</v>
      </c>
      <c r="N91" s="131"/>
      <c r="O91" s="125" t="str">
        <f t="shared" si="172"/>
        <v>ნულოვანი შესრულება</v>
      </c>
      <c r="P91" s="27">
        <v>0</v>
      </c>
      <c r="Q91" s="27">
        <v>0</v>
      </c>
      <c r="R91" s="27">
        <f t="shared" si="173"/>
        <v>0</v>
      </c>
      <c r="S91" s="27">
        <f t="shared" si="174"/>
        <v>0</v>
      </c>
      <c r="T91" s="27"/>
      <c r="U91" s="27"/>
      <c r="V91" s="27">
        <v>61</v>
      </c>
      <c r="W91" s="27"/>
      <c r="X91" s="27">
        <f t="shared" si="175"/>
        <v>61</v>
      </c>
      <c r="Y91" s="27">
        <f t="shared" si="176"/>
        <v>0</v>
      </c>
      <c r="Z91" s="27">
        <v>61</v>
      </c>
      <c r="AA91" s="27"/>
      <c r="AB91" s="27"/>
      <c r="AC91" s="27"/>
      <c r="AD91" s="27">
        <f t="shared" si="177"/>
        <v>61</v>
      </c>
      <c r="AE91" s="27">
        <f t="shared" si="178"/>
        <v>0</v>
      </c>
      <c r="AF91" s="27">
        <f t="shared" si="179"/>
        <v>61</v>
      </c>
      <c r="AG91" s="27">
        <f t="shared" si="180"/>
        <v>0</v>
      </c>
      <c r="AH91" s="27">
        <f t="shared" si="181"/>
        <v>61</v>
      </c>
      <c r="AI91" s="27">
        <f t="shared" si="182"/>
        <v>0</v>
      </c>
      <c r="AJ91" s="27">
        <f t="shared" si="183"/>
        <v>122</v>
      </c>
      <c r="AK91" s="27">
        <f t="shared" si="184"/>
        <v>0</v>
      </c>
      <c r="AL91" s="27"/>
      <c r="AM91" s="27"/>
      <c r="AN91" s="27">
        <v>0</v>
      </c>
      <c r="AO91" s="27"/>
      <c r="AP91" s="27">
        <f t="shared" si="185"/>
        <v>0</v>
      </c>
      <c r="AQ91" s="27">
        <f t="shared" si="186"/>
        <v>0</v>
      </c>
      <c r="AR91" s="27"/>
      <c r="AS91" s="27"/>
      <c r="AT91" s="27">
        <v>0</v>
      </c>
      <c r="AU91" s="27"/>
      <c r="AV91" s="27">
        <f t="shared" si="187"/>
        <v>0</v>
      </c>
      <c r="AW91" s="27">
        <f t="shared" si="188"/>
        <v>0</v>
      </c>
      <c r="AX91" s="27"/>
      <c r="AY91" s="27"/>
      <c r="AZ91" s="27">
        <v>0</v>
      </c>
      <c r="BA91" s="27"/>
      <c r="BB91" s="27">
        <f t="shared" si="189"/>
        <v>0</v>
      </c>
      <c r="BC91" s="27">
        <f t="shared" si="190"/>
        <v>0</v>
      </c>
      <c r="BD91" s="27"/>
      <c r="BE91" s="27"/>
      <c r="BF91" s="27">
        <v>0</v>
      </c>
      <c r="BG91" s="27"/>
      <c r="BH91" s="27">
        <f t="shared" si="191"/>
        <v>0</v>
      </c>
      <c r="BI91" s="27">
        <f t="shared" si="192"/>
        <v>0</v>
      </c>
      <c r="BJ91" s="27"/>
      <c r="BK91" s="27"/>
      <c r="BL91" s="27">
        <v>0</v>
      </c>
      <c r="BM91" s="27"/>
      <c r="BN91" s="27">
        <f t="shared" si="193"/>
        <v>0</v>
      </c>
      <c r="BO91" s="27">
        <f t="shared" si="194"/>
        <v>0</v>
      </c>
      <c r="BP91" s="26"/>
      <c r="BQ91" s="26"/>
      <c r="BR91" s="27">
        <v>0</v>
      </c>
      <c r="BS91" s="27"/>
      <c r="BT91" s="27">
        <f t="shared" si="195"/>
        <v>0</v>
      </c>
      <c r="BU91" s="27">
        <f t="shared" si="196"/>
        <v>0</v>
      </c>
      <c r="BV91" s="26"/>
      <c r="BW91" s="26"/>
      <c r="BX91" s="27">
        <v>0</v>
      </c>
      <c r="BY91" s="26"/>
      <c r="BZ91" s="27">
        <f t="shared" si="197"/>
        <v>0</v>
      </c>
      <c r="CA91" s="27">
        <f t="shared" si="198"/>
        <v>0</v>
      </c>
      <c r="CB91" s="26"/>
      <c r="CC91" s="26"/>
      <c r="CD91" s="27">
        <v>0</v>
      </c>
      <c r="CE91" s="26"/>
      <c r="CF91" s="27">
        <f t="shared" si="199"/>
        <v>0</v>
      </c>
      <c r="CG91" s="27">
        <f t="shared" si="200"/>
        <v>0</v>
      </c>
      <c r="CH91" s="27"/>
      <c r="CI91" s="27"/>
      <c r="CJ91" s="27">
        <v>0</v>
      </c>
      <c r="CK91" s="27"/>
      <c r="CL91" s="27">
        <f t="shared" si="201"/>
        <v>0</v>
      </c>
      <c r="CM91" s="27">
        <f t="shared" si="202"/>
        <v>0</v>
      </c>
      <c r="CN91" s="27"/>
      <c r="CO91" s="27"/>
      <c r="CP91" s="27">
        <v>0</v>
      </c>
      <c r="CQ91" s="27"/>
      <c r="CR91" s="27">
        <f t="shared" si="203"/>
        <v>0</v>
      </c>
      <c r="CS91" s="27">
        <f t="shared" si="204"/>
        <v>0</v>
      </c>
      <c r="CT91" s="27"/>
      <c r="CU91" s="27"/>
      <c r="CV91" s="27">
        <v>0</v>
      </c>
      <c r="CW91" s="27"/>
      <c r="CX91" s="27">
        <f t="shared" si="205"/>
        <v>0</v>
      </c>
      <c r="CY91" s="27">
        <f t="shared" si="206"/>
        <v>0</v>
      </c>
      <c r="CZ91" s="27"/>
      <c r="DA91" s="27"/>
      <c r="DB91" s="27">
        <v>0</v>
      </c>
      <c r="DC91" s="27"/>
      <c r="DD91" s="27">
        <f t="shared" si="207"/>
        <v>0</v>
      </c>
      <c r="DE91" s="27">
        <f t="shared" si="208"/>
        <v>0</v>
      </c>
      <c r="DF91" s="27">
        <f t="shared" si="209"/>
        <v>0</v>
      </c>
      <c r="DG91" s="27">
        <f t="shared" si="210"/>
        <v>0</v>
      </c>
      <c r="DH91" s="27">
        <f t="shared" si="211"/>
        <v>0</v>
      </c>
      <c r="DI91" s="27">
        <f t="shared" si="212"/>
        <v>0</v>
      </c>
      <c r="DJ91" s="27">
        <f t="shared" si="213"/>
        <v>0</v>
      </c>
      <c r="DK91" s="27">
        <f t="shared" si="214"/>
        <v>0</v>
      </c>
    </row>
    <row r="92" spans="1:115">
      <c r="A92" s="25">
        <v>84</v>
      </c>
      <c r="B92" s="26" t="s">
        <v>1162</v>
      </c>
      <c r="C92" s="26"/>
      <c r="D92" s="26"/>
      <c r="E92" s="205" t="s">
        <v>1200</v>
      </c>
      <c r="F92" s="161">
        <f t="shared" si="167"/>
        <v>0</v>
      </c>
      <c r="G92" s="165">
        <f t="shared" si="168"/>
        <v>0</v>
      </c>
      <c r="H92" s="27"/>
      <c r="I92" s="27">
        <v>0</v>
      </c>
      <c r="J92" s="27">
        <v>0</v>
      </c>
      <c r="K92" s="127">
        <f t="shared" si="169"/>
        <v>0</v>
      </c>
      <c r="L92" s="127">
        <f t="shared" si="170"/>
        <v>0</v>
      </c>
      <c r="M92" s="127">
        <f t="shared" si="171"/>
        <v>0</v>
      </c>
      <c r="N92" s="131"/>
      <c r="O92" s="125" t="str">
        <f t="shared" si="172"/>
        <v>ნულოვანი შესრულება</v>
      </c>
      <c r="P92" s="27">
        <v>0</v>
      </c>
      <c r="Q92" s="27">
        <v>0</v>
      </c>
      <c r="R92" s="27">
        <f t="shared" si="173"/>
        <v>0</v>
      </c>
      <c r="S92" s="27">
        <f t="shared" si="174"/>
        <v>0</v>
      </c>
      <c r="T92" s="27"/>
      <c r="U92" s="27"/>
      <c r="V92" s="27">
        <v>62</v>
      </c>
      <c r="W92" s="27"/>
      <c r="X92" s="27">
        <f t="shared" si="175"/>
        <v>62</v>
      </c>
      <c r="Y92" s="27">
        <f t="shared" si="176"/>
        <v>0</v>
      </c>
      <c r="Z92" s="27">
        <v>62</v>
      </c>
      <c r="AA92" s="27"/>
      <c r="AB92" s="27"/>
      <c r="AC92" s="27"/>
      <c r="AD92" s="27">
        <f t="shared" si="177"/>
        <v>62</v>
      </c>
      <c r="AE92" s="27">
        <f t="shared" si="178"/>
        <v>0</v>
      </c>
      <c r="AF92" s="27">
        <f t="shared" si="179"/>
        <v>62</v>
      </c>
      <c r="AG92" s="27">
        <f t="shared" si="180"/>
        <v>0</v>
      </c>
      <c r="AH92" s="27">
        <f t="shared" si="181"/>
        <v>62</v>
      </c>
      <c r="AI92" s="27">
        <f t="shared" si="182"/>
        <v>0</v>
      </c>
      <c r="AJ92" s="27">
        <f t="shared" si="183"/>
        <v>124</v>
      </c>
      <c r="AK92" s="27">
        <f t="shared" si="184"/>
        <v>0</v>
      </c>
      <c r="AL92" s="27"/>
      <c r="AM92" s="27"/>
      <c r="AN92" s="27">
        <v>0</v>
      </c>
      <c r="AO92" s="27"/>
      <c r="AP92" s="27">
        <f t="shared" si="185"/>
        <v>0</v>
      </c>
      <c r="AQ92" s="27">
        <f t="shared" si="186"/>
        <v>0</v>
      </c>
      <c r="AR92" s="27"/>
      <c r="AS92" s="27"/>
      <c r="AT92" s="27">
        <v>0</v>
      </c>
      <c r="AU92" s="27"/>
      <c r="AV92" s="27">
        <f t="shared" si="187"/>
        <v>0</v>
      </c>
      <c r="AW92" s="27">
        <f t="shared" si="188"/>
        <v>0</v>
      </c>
      <c r="AX92" s="27"/>
      <c r="AY92" s="27"/>
      <c r="AZ92" s="27">
        <v>0</v>
      </c>
      <c r="BA92" s="27"/>
      <c r="BB92" s="27">
        <f t="shared" si="189"/>
        <v>0</v>
      </c>
      <c r="BC92" s="27">
        <f t="shared" si="190"/>
        <v>0</v>
      </c>
      <c r="BD92" s="27"/>
      <c r="BE92" s="27"/>
      <c r="BF92" s="27">
        <v>0</v>
      </c>
      <c r="BG92" s="27"/>
      <c r="BH92" s="27">
        <f t="shared" si="191"/>
        <v>0</v>
      </c>
      <c r="BI92" s="27">
        <f t="shared" si="192"/>
        <v>0</v>
      </c>
      <c r="BJ92" s="27"/>
      <c r="BK92" s="27"/>
      <c r="BL92" s="27">
        <v>0</v>
      </c>
      <c r="BM92" s="27"/>
      <c r="BN92" s="27">
        <f t="shared" si="193"/>
        <v>0</v>
      </c>
      <c r="BO92" s="27">
        <f t="shared" si="194"/>
        <v>0</v>
      </c>
      <c r="BP92" s="26"/>
      <c r="BQ92" s="26"/>
      <c r="BR92" s="27">
        <v>0</v>
      </c>
      <c r="BS92" s="27"/>
      <c r="BT92" s="27">
        <f t="shared" si="195"/>
        <v>0</v>
      </c>
      <c r="BU92" s="27">
        <f t="shared" si="196"/>
        <v>0</v>
      </c>
      <c r="BV92" s="26"/>
      <c r="BW92" s="26"/>
      <c r="BX92" s="27">
        <v>0</v>
      </c>
      <c r="BY92" s="26"/>
      <c r="BZ92" s="27">
        <f t="shared" si="197"/>
        <v>0</v>
      </c>
      <c r="CA92" s="27">
        <f t="shared" si="198"/>
        <v>0</v>
      </c>
      <c r="CB92" s="26"/>
      <c r="CC92" s="26"/>
      <c r="CD92" s="27">
        <v>0</v>
      </c>
      <c r="CE92" s="26"/>
      <c r="CF92" s="27">
        <f t="shared" si="199"/>
        <v>0</v>
      </c>
      <c r="CG92" s="27">
        <f t="shared" si="200"/>
        <v>0</v>
      </c>
      <c r="CH92" s="27"/>
      <c r="CI92" s="27"/>
      <c r="CJ92" s="27">
        <v>0</v>
      </c>
      <c r="CK92" s="27"/>
      <c r="CL92" s="27">
        <f t="shared" si="201"/>
        <v>0</v>
      </c>
      <c r="CM92" s="27">
        <f t="shared" si="202"/>
        <v>0</v>
      </c>
      <c r="CN92" s="27"/>
      <c r="CO92" s="27"/>
      <c r="CP92" s="27">
        <v>0</v>
      </c>
      <c r="CQ92" s="27"/>
      <c r="CR92" s="27">
        <f t="shared" si="203"/>
        <v>0</v>
      </c>
      <c r="CS92" s="27">
        <f t="shared" si="204"/>
        <v>0</v>
      </c>
      <c r="CT92" s="27"/>
      <c r="CU92" s="27"/>
      <c r="CV92" s="27">
        <v>0</v>
      </c>
      <c r="CW92" s="27"/>
      <c r="CX92" s="27">
        <f t="shared" si="205"/>
        <v>0</v>
      </c>
      <c r="CY92" s="27">
        <f t="shared" si="206"/>
        <v>0</v>
      </c>
      <c r="CZ92" s="27"/>
      <c r="DA92" s="27"/>
      <c r="DB92" s="27">
        <v>0</v>
      </c>
      <c r="DC92" s="27"/>
      <c r="DD92" s="27">
        <f t="shared" si="207"/>
        <v>0</v>
      </c>
      <c r="DE92" s="27">
        <f t="shared" si="208"/>
        <v>0</v>
      </c>
      <c r="DF92" s="27">
        <f t="shared" si="209"/>
        <v>0</v>
      </c>
      <c r="DG92" s="27">
        <f t="shared" si="210"/>
        <v>0</v>
      </c>
      <c r="DH92" s="27">
        <f t="shared" si="211"/>
        <v>0</v>
      </c>
      <c r="DI92" s="27">
        <f t="shared" si="212"/>
        <v>0</v>
      </c>
      <c r="DJ92" s="27">
        <f t="shared" si="213"/>
        <v>0</v>
      </c>
      <c r="DK92" s="27">
        <f t="shared" si="214"/>
        <v>0</v>
      </c>
    </row>
    <row r="93" spans="1:115">
      <c r="A93" s="25">
        <v>85</v>
      </c>
      <c r="B93" s="26" t="s">
        <v>1162</v>
      </c>
      <c r="C93" s="26"/>
      <c r="D93" s="26"/>
      <c r="E93" s="205" t="s">
        <v>1200</v>
      </c>
      <c r="F93" s="161">
        <f t="shared" si="167"/>
        <v>0</v>
      </c>
      <c r="G93" s="165">
        <f t="shared" si="168"/>
        <v>0</v>
      </c>
      <c r="H93" s="27"/>
      <c r="I93" s="27">
        <v>0</v>
      </c>
      <c r="J93" s="27">
        <v>0</v>
      </c>
      <c r="K93" s="127">
        <f t="shared" si="169"/>
        <v>0</v>
      </c>
      <c r="L93" s="127">
        <f t="shared" si="170"/>
        <v>0</v>
      </c>
      <c r="M93" s="127">
        <f t="shared" si="171"/>
        <v>0</v>
      </c>
      <c r="N93" s="131"/>
      <c r="O93" s="125" t="str">
        <f t="shared" si="172"/>
        <v>ნულოვანი შესრულება</v>
      </c>
      <c r="P93" s="27">
        <v>0</v>
      </c>
      <c r="Q93" s="27">
        <v>0</v>
      </c>
      <c r="R93" s="27">
        <f t="shared" si="173"/>
        <v>0</v>
      </c>
      <c r="S93" s="27">
        <f t="shared" si="174"/>
        <v>0</v>
      </c>
      <c r="T93" s="27"/>
      <c r="U93" s="27"/>
      <c r="V93" s="27">
        <v>63</v>
      </c>
      <c r="W93" s="27"/>
      <c r="X93" s="27">
        <f t="shared" si="175"/>
        <v>63</v>
      </c>
      <c r="Y93" s="27">
        <f t="shared" si="176"/>
        <v>0</v>
      </c>
      <c r="Z93" s="27">
        <v>63</v>
      </c>
      <c r="AA93" s="27"/>
      <c r="AB93" s="27"/>
      <c r="AC93" s="27"/>
      <c r="AD93" s="27">
        <f t="shared" si="177"/>
        <v>63</v>
      </c>
      <c r="AE93" s="27">
        <f t="shared" si="178"/>
        <v>0</v>
      </c>
      <c r="AF93" s="27">
        <f t="shared" si="179"/>
        <v>63</v>
      </c>
      <c r="AG93" s="27">
        <f t="shared" si="180"/>
        <v>0</v>
      </c>
      <c r="AH93" s="27">
        <f t="shared" si="181"/>
        <v>63</v>
      </c>
      <c r="AI93" s="27">
        <f t="shared" si="182"/>
        <v>0</v>
      </c>
      <c r="AJ93" s="27">
        <f t="shared" si="183"/>
        <v>126</v>
      </c>
      <c r="AK93" s="27">
        <f t="shared" si="184"/>
        <v>0</v>
      </c>
      <c r="AL93" s="27"/>
      <c r="AM93" s="27"/>
      <c r="AN93" s="27">
        <v>0</v>
      </c>
      <c r="AO93" s="27"/>
      <c r="AP93" s="27">
        <f t="shared" si="185"/>
        <v>0</v>
      </c>
      <c r="AQ93" s="27">
        <f t="shared" si="186"/>
        <v>0</v>
      </c>
      <c r="AR93" s="27"/>
      <c r="AS93" s="27"/>
      <c r="AT93" s="27">
        <v>0</v>
      </c>
      <c r="AU93" s="27"/>
      <c r="AV93" s="27">
        <f t="shared" si="187"/>
        <v>0</v>
      </c>
      <c r="AW93" s="27">
        <f t="shared" si="188"/>
        <v>0</v>
      </c>
      <c r="AX93" s="27"/>
      <c r="AY93" s="27"/>
      <c r="AZ93" s="27">
        <v>0</v>
      </c>
      <c r="BA93" s="27"/>
      <c r="BB93" s="27">
        <f t="shared" si="189"/>
        <v>0</v>
      </c>
      <c r="BC93" s="27">
        <f t="shared" si="190"/>
        <v>0</v>
      </c>
      <c r="BD93" s="27"/>
      <c r="BE93" s="27"/>
      <c r="BF93" s="27">
        <v>0</v>
      </c>
      <c r="BG93" s="27"/>
      <c r="BH93" s="27">
        <f t="shared" si="191"/>
        <v>0</v>
      </c>
      <c r="BI93" s="27">
        <f t="shared" si="192"/>
        <v>0</v>
      </c>
      <c r="BJ93" s="27"/>
      <c r="BK93" s="27"/>
      <c r="BL93" s="27">
        <v>0</v>
      </c>
      <c r="BM93" s="27"/>
      <c r="BN93" s="27">
        <f t="shared" si="193"/>
        <v>0</v>
      </c>
      <c r="BO93" s="27">
        <f t="shared" si="194"/>
        <v>0</v>
      </c>
      <c r="BP93" s="26"/>
      <c r="BQ93" s="26"/>
      <c r="BR93" s="27">
        <v>0</v>
      </c>
      <c r="BS93" s="27"/>
      <c r="BT93" s="27">
        <f t="shared" si="195"/>
        <v>0</v>
      </c>
      <c r="BU93" s="27">
        <f t="shared" si="196"/>
        <v>0</v>
      </c>
      <c r="BV93" s="26"/>
      <c r="BW93" s="26"/>
      <c r="BX93" s="27">
        <v>0</v>
      </c>
      <c r="BY93" s="26"/>
      <c r="BZ93" s="27">
        <f t="shared" si="197"/>
        <v>0</v>
      </c>
      <c r="CA93" s="27">
        <f t="shared" si="198"/>
        <v>0</v>
      </c>
      <c r="CB93" s="26"/>
      <c r="CC93" s="26"/>
      <c r="CD93" s="27">
        <v>0</v>
      </c>
      <c r="CE93" s="26"/>
      <c r="CF93" s="27">
        <f t="shared" si="199"/>
        <v>0</v>
      </c>
      <c r="CG93" s="27">
        <f t="shared" si="200"/>
        <v>0</v>
      </c>
      <c r="CH93" s="27"/>
      <c r="CI93" s="27"/>
      <c r="CJ93" s="27">
        <v>0</v>
      </c>
      <c r="CK93" s="27"/>
      <c r="CL93" s="27">
        <f t="shared" si="201"/>
        <v>0</v>
      </c>
      <c r="CM93" s="27">
        <f t="shared" si="202"/>
        <v>0</v>
      </c>
      <c r="CN93" s="27"/>
      <c r="CO93" s="27"/>
      <c r="CP93" s="27">
        <v>0</v>
      </c>
      <c r="CQ93" s="27"/>
      <c r="CR93" s="27">
        <f t="shared" si="203"/>
        <v>0</v>
      </c>
      <c r="CS93" s="27">
        <f t="shared" si="204"/>
        <v>0</v>
      </c>
      <c r="CT93" s="27"/>
      <c r="CU93" s="27"/>
      <c r="CV93" s="27">
        <v>0</v>
      </c>
      <c r="CW93" s="27"/>
      <c r="CX93" s="27">
        <f t="shared" si="205"/>
        <v>0</v>
      </c>
      <c r="CY93" s="27">
        <f t="shared" si="206"/>
        <v>0</v>
      </c>
      <c r="CZ93" s="27"/>
      <c r="DA93" s="27"/>
      <c r="DB93" s="27">
        <v>0</v>
      </c>
      <c r="DC93" s="27"/>
      <c r="DD93" s="27">
        <f t="shared" si="207"/>
        <v>0</v>
      </c>
      <c r="DE93" s="27">
        <f t="shared" si="208"/>
        <v>0</v>
      </c>
      <c r="DF93" s="27">
        <f t="shared" si="209"/>
        <v>0</v>
      </c>
      <c r="DG93" s="27">
        <f t="shared" si="210"/>
        <v>0</v>
      </c>
      <c r="DH93" s="27">
        <f t="shared" si="211"/>
        <v>0</v>
      </c>
      <c r="DI93" s="27">
        <f t="shared" si="212"/>
        <v>0</v>
      </c>
      <c r="DJ93" s="27">
        <f t="shared" si="213"/>
        <v>0</v>
      </c>
      <c r="DK93" s="27">
        <f t="shared" si="214"/>
        <v>0</v>
      </c>
    </row>
    <row r="94" spans="1:115">
      <c r="A94" s="25">
        <v>86</v>
      </c>
      <c r="B94" s="26" t="s">
        <v>1162</v>
      </c>
      <c r="C94" s="26"/>
      <c r="D94" s="26"/>
      <c r="E94" s="205" t="s">
        <v>1200</v>
      </c>
      <c r="F94" s="161">
        <f t="shared" si="167"/>
        <v>0</v>
      </c>
      <c r="G94" s="165">
        <f t="shared" si="168"/>
        <v>0</v>
      </c>
      <c r="H94" s="27"/>
      <c r="I94" s="27">
        <v>0</v>
      </c>
      <c r="J94" s="27">
        <v>0</v>
      </c>
      <c r="K94" s="127">
        <f t="shared" si="169"/>
        <v>0</v>
      </c>
      <c r="L94" s="127">
        <f t="shared" si="170"/>
        <v>0</v>
      </c>
      <c r="M94" s="127">
        <f t="shared" si="171"/>
        <v>0</v>
      </c>
      <c r="N94" s="131"/>
      <c r="O94" s="125" t="str">
        <f t="shared" si="172"/>
        <v>ნულოვანი შესრულება</v>
      </c>
      <c r="P94" s="27">
        <v>0</v>
      </c>
      <c r="Q94" s="27">
        <v>0</v>
      </c>
      <c r="R94" s="27">
        <f t="shared" si="173"/>
        <v>0</v>
      </c>
      <c r="S94" s="27">
        <f t="shared" si="174"/>
        <v>0</v>
      </c>
      <c r="T94" s="27"/>
      <c r="U94" s="27"/>
      <c r="V94" s="27">
        <v>64</v>
      </c>
      <c r="W94" s="27"/>
      <c r="X94" s="27">
        <f t="shared" si="175"/>
        <v>64</v>
      </c>
      <c r="Y94" s="27">
        <f t="shared" si="176"/>
        <v>0</v>
      </c>
      <c r="Z94" s="27">
        <v>64</v>
      </c>
      <c r="AA94" s="27"/>
      <c r="AB94" s="27"/>
      <c r="AC94" s="27"/>
      <c r="AD94" s="27">
        <f t="shared" si="177"/>
        <v>64</v>
      </c>
      <c r="AE94" s="27">
        <f t="shared" si="178"/>
        <v>0</v>
      </c>
      <c r="AF94" s="27">
        <f t="shared" si="179"/>
        <v>64</v>
      </c>
      <c r="AG94" s="27">
        <f t="shared" si="180"/>
        <v>0</v>
      </c>
      <c r="AH94" s="27">
        <f t="shared" si="181"/>
        <v>64</v>
      </c>
      <c r="AI94" s="27">
        <f t="shared" si="182"/>
        <v>0</v>
      </c>
      <c r="AJ94" s="27">
        <f t="shared" si="183"/>
        <v>128</v>
      </c>
      <c r="AK94" s="27">
        <f t="shared" si="184"/>
        <v>0</v>
      </c>
      <c r="AL94" s="27"/>
      <c r="AM94" s="27"/>
      <c r="AN94" s="27">
        <v>0</v>
      </c>
      <c r="AO94" s="27"/>
      <c r="AP94" s="27">
        <f t="shared" si="185"/>
        <v>0</v>
      </c>
      <c r="AQ94" s="27">
        <f t="shared" si="186"/>
        <v>0</v>
      </c>
      <c r="AR94" s="27"/>
      <c r="AS94" s="27"/>
      <c r="AT94" s="27">
        <v>0</v>
      </c>
      <c r="AU94" s="27"/>
      <c r="AV94" s="27">
        <f t="shared" si="187"/>
        <v>0</v>
      </c>
      <c r="AW94" s="27">
        <f t="shared" si="188"/>
        <v>0</v>
      </c>
      <c r="AX94" s="27"/>
      <c r="AY94" s="27"/>
      <c r="AZ94" s="27">
        <v>0</v>
      </c>
      <c r="BA94" s="27"/>
      <c r="BB94" s="27">
        <f t="shared" si="189"/>
        <v>0</v>
      </c>
      <c r="BC94" s="27">
        <f t="shared" si="190"/>
        <v>0</v>
      </c>
      <c r="BD94" s="27"/>
      <c r="BE94" s="27"/>
      <c r="BF94" s="27">
        <v>0</v>
      </c>
      <c r="BG94" s="27"/>
      <c r="BH94" s="27">
        <f t="shared" si="191"/>
        <v>0</v>
      </c>
      <c r="BI94" s="27">
        <f t="shared" si="192"/>
        <v>0</v>
      </c>
      <c r="BJ94" s="27"/>
      <c r="BK94" s="27"/>
      <c r="BL94" s="27">
        <v>0</v>
      </c>
      <c r="BM94" s="27"/>
      <c r="BN94" s="27">
        <f t="shared" si="193"/>
        <v>0</v>
      </c>
      <c r="BO94" s="27">
        <f t="shared" si="194"/>
        <v>0</v>
      </c>
      <c r="BP94" s="26"/>
      <c r="BQ94" s="26"/>
      <c r="BR94" s="27">
        <v>0</v>
      </c>
      <c r="BS94" s="27"/>
      <c r="BT94" s="27">
        <f t="shared" si="195"/>
        <v>0</v>
      </c>
      <c r="BU94" s="27">
        <f t="shared" si="196"/>
        <v>0</v>
      </c>
      <c r="BV94" s="26"/>
      <c r="BW94" s="26"/>
      <c r="BX94" s="27">
        <v>0</v>
      </c>
      <c r="BY94" s="26"/>
      <c r="BZ94" s="27">
        <f t="shared" si="197"/>
        <v>0</v>
      </c>
      <c r="CA94" s="27">
        <f t="shared" si="198"/>
        <v>0</v>
      </c>
      <c r="CB94" s="26"/>
      <c r="CC94" s="26"/>
      <c r="CD94" s="27">
        <v>0</v>
      </c>
      <c r="CE94" s="26"/>
      <c r="CF94" s="27">
        <f t="shared" si="199"/>
        <v>0</v>
      </c>
      <c r="CG94" s="27">
        <f t="shared" si="200"/>
        <v>0</v>
      </c>
      <c r="CH94" s="27"/>
      <c r="CI94" s="27"/>
      <c r="CJ94" s="27">
        <v>0</v>
      </c>
      <c r="CK94" s="27"/>
      <c r="CL94" s="27">
        <f t="shared" si="201"/>
        <v>0</v>
      </c>
      <c r="CM94" s="27">
        <f t="shared" si="202"/>
        <v>0</v>
      </c>
      <c r="CN94" s="27"/>
      <c r="CO94" s="27"/>
      <c r="CP94" s="27">
        <v>0</v>
      </c>
      <c r="CQ94" s="27"/>
      <c r="CR94" s="27">
        <f t="shared" si="203"/>
        <v>0</v>
      </c>
      <c r="CS94" s="27">
        <f t="shared" si="204"/>
        <v>0</v>
      </c>
      <c r="CT94" s="27"/>
      <c r="CU94" s="27"/>
      <c r="CV94" s="27">
        <v>0</v>
      </c>
      <c r="CW94" s="27"/>
      <c r="CX94" s="27">
        <f t="shared" si="205"/>
        <v>0</v>
      </c>
      <c r="CY94" s="27">
        <f t="shared" si="206"/>
        <v>0</v>
      </c>
      <c r="CZ94" s="27"/>
      <c r="DA94" s="27"/>
      <c r="DB94" s="27">
        <v>0</v>
      </c>
      <c r="DC94" s="27"/>
      <c r="DD94" s="27">
        <f t="shared" si="207"/>
        <v>0</v>
      </c>
      <c r="DE94" s="27">
        <f t="shared" si="208"/>
        <v>0</v>
      </c>
      <c r="DF94" s="27">
        <f t="shared" si="209"/>
        <v>0</v>
      </c>
      <c r="DG94" s="27">
        <f t="shared" si="210"/>
        <v>0</v>
      </c>
      <c r="DH94" s="27">
        <f t="shared" si="211"/>
        <v>0</v>
      </c>
      <c r="DI94" s="27">
        <f t="shared" si="212"/>
        <v>0</v>
      </c>
      <c r="DJ94" s="27">
        <f t="shared" si="213"/>
        <v>0</v>
      </c>
      <c r="DK94" s="27">
        <f t="shared" si="214"/>
        <v>0</v>
      </c>
    </row>
    <row r="95" spans="1:115">
      <c r="A95" s="25">
        <v>87</v>
      </c>
      <c r="B95" s="26" t="s">
        <v>1162</v>
      </c>
      <c r="C95" s="26"/>
      <c r="D95" s="26"/>
      <c r="E95" s="205" t="s">
        <v>1200</v>
      </c>
      <c r="F95" s="161">
        <f t="shared" si="167"/>
        <v>0</v>
      </c>
      <c r="G95" s="165">
        <f t="shared" si="168"/>
        <v>0</v>
      </c>
      <c r="H95" s="27"/>
      <c r="I95" s="27">
        <v>0</v>
      </c>
      <c r="J95" s="27">
        <v>0</v>
      </c>
      <c r="K95" s="127">
        <f t="shared" si="169"/>
        <v>0</v>
      </c>
      <c r="L95" s="127">
        <f t="shared" si="170"/>
        <v>0</v>
      </c>
      <c r="M95" s="127">
        <f t="shared" si="171"/>
        <v>0</v>
      </c>
      <c r="N95" s="131"/>
      <c r="O95" s="125" t="str">
        <f t="shared" si="172"/>
        <v>ნულოვანი შესრულება</v>
      </c>
      <c r="P95" s="27">
        <v>0</v>
      </c>
      <c r="Q95" s="27">
        <v>0</v>
      </c>
      <c r="R95" s="27">
        <f t="shared" si="173"/>
        <v>0</v>
      </c>
      <c r="S95" s="27">
        <f t="shared" si="174"/>
        <v>0</v>
      </c>
      <c r="T95" s="27"/>
      <c r="U95" s="27"/>
      <c r="V95" s="27">
        <v>65</v>
      </c>
      <c r="W95" s="27"/>
      <c r="X95" s="27">
        <f t="shared" si="175"/>
        <v>65</v>
      </c>
      <c r="Y95" s="27">
        <f t="shared" si="176"/>
        <v>0</v>
      </c>
      <c r="Z95" s="27">
        <v>65</v>
      </c>
      <c r="AA95" s="27"/>
      <c r="AB95" s="27"/>
      <c r="AC95" s="27"/>
      <c r="AD95" s="27">
        <f t="shared" si="177"/>
        <v>65</v>
      </c>
      <c r="AE95" s="27">
        <f t="shared" si="178"/>
        <v>0</v>
      </c>
      <c r="AF95" s="27">
        <f t="shared" si="179"/>
        <v>65</v>
      </c>
      <c r="AG95" s="27">
        <f t="shared" si="180"/>
        <v>0</v>
      </c>
      <c r="AH95" s="27">
        <f t="shared" si="181"/>
        <v>65</v>
      </c>
      <c r="AI95" s="27">
        <f t="shared" si="182"/>
        <v>0</v>
      </c>
      <c r="AJ95" s="27">
        <f t="shared" si="183"/>
        <v>130</v>
      </c>
      <c r="AK95" s="27">
        <f t="shared" si="184"/>
        <v>0</v>
      </c>
      <c r="AL95" s="27"/>
      <c r="AM95" s="27"/>
      <c r="AN95" s="27">
        <v>0</v>
      </c>
      <c r="AO95" s="27"/>
      <c r="AP95" s="27">
        <f t="shared" si="185"/>
        <v>0</v>
      </c>
      <c r="AQ95" s="27">
        <f t="shared" si="186"/>
        <v>0</v>
      </c>
      <c r="AR95" s="27"/>
      <c r="AS95" s="27"/>
      <c r="AT95" s="27">
        <v>0</v>
      </c>
      <c r="AU95" s="27"/>
      <c r="AV95" s="27">
        <f t="shared" si="187"/>
        <v>0</v>
      </c>
      <c r="AW95" s="27">
        <f t="shared" si="188"/>
        <v>0</v>
      </c>
      <c r="AX95" s="27"/>
      <c r="AY95" s="27"/>
      <c r="AZ95" s="27">
        <v>0</v>
      </c>
      <c r="BA95" s="27"/>
      <c r="BB95" s="27">
        <f t="shared" si="189"/>
        <v>0</v>
      </c>
      <c r="BC95" s="27">
        <f t="shared" si="190"/>
        <v>0</v>
      </c>
      <c r="BD95" s="27"/>
      <c r="BE95" s="27"/>
      <c r="BF95" s="27">
        <v>0</v>
      </c>
      <c r="BG95" s="27"/>
      <c r="BH95" s="27">
        <f t="shared" si="191"/>
        <v>0</v>
      </c>
      <c r="BI95" s="27">
        <f t="shared" si="192"/>
        <v>0</v>
      </c>
      <c r="BJ95" s="27"/>
      <c r="BK95" s="27"/>
      <c r="BL95" s="27">
        <v>0</v>
      </c>
      <c r="BM95" s="27"/>
      <c r="BN95" s="27">
        <f t="shared" si="193"/>
        <v>0</v>
      </c>
      <c r="BO95" s="27">
        <f t="shared" si="194"/>
        <v>0</v>
      </c>
      <c r="BP95" s="26"/>
      <c r="BQ95" s="26"/>
      <c r="BR95" s="27">
        <v>0</v>
      </c>
      <c r="BS95" s="27"/>
      <c r="BT95" s="27">
        <f t="shared" si="195"/>
        <v>0</v>
      </c>
      <c r="BU95" s="27">
        <f t="shared" si="196"/>
        <v>0</v>
      </c>
      <c r="BV95" s="26"/>
      <c r="BW95" s="26"/>
      <c r="BX95" s="27">
        <v>0</v>
      </c>
      <c r="BY95" s="26"/>
      <c r="BZ95" s="27">
        <f t="shared" si="197"/>
        <v>0</v>
      </c>
      <c r="CA95" s="27">
        <f t="shared" si="198"/>
        <v>0</v>
      </c>
      <c r="CB95" s="26"/>
      <c r="CC95" s="26"/>
      <c r="CD95" s="27">
        <v>0</v>
      </c>
      <c r="CE95" s="26"/>
      <c r="CF95" s="27">
        <f t="shared" si="199"/>
        <v>0</v>
      </c>
      <c r="CG95" s="27">
        <f t="shared" si="200"/>
        <v>0</v>
      </c>
      <c r="CH95" s="27"/>
      <c r="CI95" s="27"/>
      <c r="CJ95" s="27">
        <v>0</v>
      </c>
      <c r="CK95" s="27"/>
      <c r="CL95" s="27">
        <f t="shared" si="201"/>
        <v>0</v>
      </c>
      <c r="CM95" s="27">
        <f t="shared" si="202"/>
        <v>0</v>
      </c>
      <c r="CN95" s="27"/>
      <c r="CO95" s="27"/>
      <c r="CP95" s="27">
        <v>0</v>
      </c>
      <c r="CQ95" s="27"/>
      <c r="CR95" s="27">
        <f t="shared" si="203"/>
        <v>0</v>
      </c>
      <c r="CS95" s="27">
        <f t="shared" si="204"/>
        <v>0</v>
      </c>
      <c r="CT95" s="27"/>
      <c r="CU95" s="27"/>
      <c r="CV95" s="27">
        <v>0</v>
      </c>
      <c r="CW95" s="27"/>
      <c r="CX95" s="27">
        <f t="shared" si="205"/>
        <v>0</v>
      </c>
      <c r="CY95" s="27">
        <f t="shared" si="206"/>
        <v>0</v>
      </c>
      <c r="CZ95" s="27"/>
      <c r="DA95" s="27"/>
      <c r="DB95" s="27">
        <v>0</v>
      </c>
      <c r="DC95" s="27"/>
      <c r="DD95" s="27">
        <f t="shared" si="207"/>
        <v>0</v>
      </c>
      <c r="DE95" s="27">
        <f t="shared" si="208"/>
        <v>0</v>
      </c>
      <c r="DF95" s="27">
        <f t="shared" si="209"/>
        <v>0</v>
      </c>
      <c r="DG95" s="27">
        <f t="shared" si="210"/>
        <v>0</v>
      </c>
      <c r="DH95" s="27">
        <f t="shared" si="211"/>
        <v>0</v>
      </c>
      <c r="DI95" s="27">
        <f t="shared" si="212"/>
        <v>0</v>
      </c>
      <c r="DJ95" s="27">
        <f t="shared" si="213"/>
        <v>0</v>
      </c>
      <c r="DK95" s="27">
        <f t="shared" si="214"/>
        <v>0</v>
      </c>
    </row>
    <row r="96" spans="1:115">
      <c r="A96" s="25">
        <v>88</v>
      </c>
      <c r="B96" s="26" t="s">
        <v>1162</v>
      </c>
      <c r="C96" s="26"/>
      <c r="D96" s="26"/>
      <c r="E96" s="205" t="s">
        <v>1200</v>
      </c>
      <c r="F96" s="161">
        <f t="shared" si="167"/>
        <v>0</v>
      </c>
      <c r="G96" s="165">
        <f t="shared" si="168"/>
        <v>0</v>
      </c>
      <c r="H96" s="27"/>
      <c r="I96" s="27">
        <v>0</v>
      </c>
      <c r="J96" s="27">
        <v>0</v>
      </c>
      <c r="K96" s="127">
        <f t="shared" si="169"/>
        <v>0</v>
      </c>
      <c r="L96" s="127">
        <f t="shared" si="170"/>
        <v>0</v>
      </c>
      <c r="M96" s="127">
        <f t="shared" si="171"/>
        <v>0</v>
      </c>
      <c r="N96" s="131"/>
      <c r="O96" s="125" t="str">
        <f t="shared" si="172"/>
        <v>ნულოვანი შესრულება</v>
      </c>
      <c r="P96" s="27">
        <v>0</v>
      </c>
      <c r="Q96" s="27">
        <v>0</v>
      </c>
      <c r="R96" s="27">
        <f t="shared" si="173"/>
        <v>0</v>
      </c>
      <c r="S96" s="27">
        <f t="shared" si="174"/>
        <v>0</v>
      </c>
      <c r="T96" s="27"/>
      <c r="U96" s="27"/>
      <c r="V96" s="27">
        <v>66</v>
      </c>
      <c r="W96" s="27"/>
      <c r="X96" s="27">
        <f t="shared" si="175"/>
        <v>66</v>
      </c>
      <c r="Y96" s="27">
        <f t="shared" si="176"/>
        <v>0</v>
      </c>
      <c r="Z96" s="27">
        <v>66</v>
      </c>
      <c r="AA96" s="27"/>
      <c r="AB96" s="27"/>
      <c r="AC96" s="27"/>
      <c r="AD96" s="27">
        <f t="shared" si="177"/>
        <v>66</v>
      </c>
      <c r="AE96" s="27">
        <f t="shared" si="178"/>
        <v>0</v>
      </c>
      <c r="AF96" s="27">
        <f t="shared" si="179"/>
        <v>66</v>
      </c>
      <c r="AG96" s="27">
        <f t="shared" si="180"/>
        <v>0</v>
      </c>
      <c r="AH96" s="27">
        <f t="shared" si="181"/>
        <v>66</v>
      </c>
      <c r="AI96" s="27">
        <f t="shared" si="182"/>
        <v>0</v>
      </c>
      <c r="AJ96" s="27">
        <f t="shared" si="183"/>
        <v>132</v>
      </c>
      <c r="AK96" s="27">
        <f t="shared" si="184"/>
        <v>0</v>
      </c>
      <c r="AL96" s="27"/>
      <c r="AM96" s="27"/>
      <c r="AN96" s="27">
        <v>0</v>
      </c>
      <c r="AO96" s="27"/>
      <c r="AP96" s="27">
        <f t="shared" si="185"/>
        <v>0</v>
      </c>
      <c r="AQ96" s="27">
        <f t="shared" si="186"/>
        <v>0</v>
      </c>
      <c r="AR96" s="27"/>
      <c r="AS96" s="27"/>
      <c r="AT96" s="27">
        <v>0</v>
      </c>
      <c r="AU96" s="27"/>
      <c r="AV96" s="27">
        <f t="shared" si="187"/>
        <v>0</v>
      </c>
      <c r="AW96" s="27">
        <f t="shared" si="188"/>
        <v>0</v>
      </c>
      <c r="AX96" s="27"/>
      <c r="AY96" s="27"/>
      <c r="AZ96" s="27">
        <v>0</v>
      </c>
      <c r="BA96" s="27"/>
      <c r="BB96" s="27">
        <f t="shared" si="189"/>
        <v>0</v>
      </c>
      <c r="BC96" s="27">
        <f t="shared" si="190"/>
        <v>0</v>
      </c>
      <c r="BD96" s="27"/>
      <c r="BE96" s="27"/>
      <c r="BF96" s="27">
        <v>0</v>
      </c>
      <c r="BG96" s="27"/>
      <c r="BH96" s="27">
        <f t="shared" si="191"/>
        <v>0</v>
      </c>
      <c r="BI96" s="27">
        <f t="shared" si="192"/>
        <v>0</v>
      </c>
      <c r="BJ96" s="27"/>
      <c r="BK96" s="27"/>
      <c r="BL96" s="27">
        <v>0</v>
      </c>
      <c r="BM96" s="27"/>
      <c r="BN96" s="27">
        <f t="shared" si="193"/>
        <v>0</v>
      </c>
      <c r="BO96" s="27">
        <f t="shared" si="194"/>
        <v>0</v>
      </c>
      <c r="BP96" s="26"/>
      <c r="BQ96" s="26"/>
      <c r="BR96" s="27">
        <v>0</v>
      </c>
      <c r="BS96" s="27"/>
      <c r="BT96" s="27">
        <f t="shared" si="195"/>
        <v>0</v>
      </c>
      <c r="BU96" s="27">
        <f t="shared" si="196"/>
        <v>0</v>
      </c>
      <c r="BV96" s="26"/>
      <c r="BW96" s="26"/>
      <c r="BX96" s="27">
        <v>0</v>
      </c>
      <c r="BY96" s="26"/>
      <c r="BZ96" s="27">
        <f t="shared" si="197"/>
        <v>0</v>
      </c>
      <c r="CA96" s="27">
        <f t="shared" si="198"/>
        <v>0</v>
      </c>
      <c r="CB96" s="26"/>
      <c r="CC96" s="26"/>
      <c r="CD96" s="27">
        <v>0</v>
      </c>
      <c r="CE96" s="26"/>
      <c r="CF96" s="27">
        <f t="shared" si="199"/>
        <v>0</v>
      </c>
      <c r="CG96" s="27">
        <f t="shared" si="200"/>
        <v>0</v>
      </c>
      <c r="CH96" s="27"/>
      <c r="CI96" s="27"/>
      <c r="CJ96" s="27">
        <v>0</v>
      </c>
      <c r="CK96" s="27"/>
      <c r="CL96" s="27">
        <f t="shared" si="201"/>
        <v>0</v>
      </c>
      <c r="CM96" s="27">
        <f t="shared" si="202"/>
        <v>0</v>
      </c>
      <c r="CN96" s="27"/>
      <c r="CO96" s="27"/>
      <c r="CP96" s="27">
        <v>0</v>
      </c>
      <c r="CQ96" s="27"/>
      <c r="CR96" s="27">
        <f t="shared" si="203"/>
        <v>0</v>
      </c>
      <c r="CS96" s="27">
        <f t="shared" si="204"/>
        <v>0</v>
      </c>
      <c r="CT96" s="27"/>
      <c r="CU96" s="27"/>
      <c r="CV96" s="27">
        <v>0</v>
      </c>
      <c r="CW96" s="27"/>
      <c r="CX96" s="27">
        <f t="shared" si="205"/>
        <v>0</v>
      </c>
      <c r="CY96" s="27">
        <f t="shared" si="206"/>
        <v>0</v>
      </c>
      <c r="CZ96" s="27"/>
      <c r="DA96" s="27"/>
      <c r="DB96" s="27">
        <v>0</v>
      </c>
      <c r="DC96" s="27"/>
      <c r="DD96" s="27">
        <f t="shared" si="207"/>
        <v>0</v>
      </c>
      <c r="DE96" s="27">
        <f t="shared" si="208"/>
        <v>0</v>
      </c>
      <c r="DF96" s="27">
        <f t="shared" si="209"/>
        <v>0</v>
      </c>
      <c r="DG96" s="27">
        <f t="shared" si="210"/>
        <v>0</v>
      </c>
      <c r="DH96" s="27">
        <f t="shared" si="211"/>
        <v>0</v>
      </c>
      <c r="DI96" s="27">
        <f t="shared" si="212"/>
        <v>0</v>
      </c>
      <c r="DJ96" s="27">
        <f t="shared" si="213"/>
        <v>0</v>
      </c>
      <c r="DK96" s="27">
        <f t="shared" si="214"/>
        <v>0</v>
      </c>
    </row>
    <row r="97" spans="1:115">
      <c r="A97" s="25">
        <v>89</v>
      </c>
      <c r="B97" s="26" t="s">
        <v>1162</v>
      </c>
      <c r="C97" s="26"/>
      <c r="D97" s="26"/>
      <c r="E97" s="205" t="s">
        <v>1200</v>
      </c>
      <c r="F97" s="161">
        <f t="shared" si="167"/>
        <v>0</v>
      </c>
      <c r="G97" s="165">
        <f t="shared" si="168"/>
        <v>0</v>
      </c>
      <c r="H97" s="27"/>
      <c r="I97" s="27">
        <v>0</v>
      </c>
      <c r="J97" s="27">
        <v>0</v>
      </c>
      <c r="K97" s="127">
        <f t="shared" si="169"/>
        <v>0</v>
      </c>
      <c r="L97" s="127">
        <f t="shared" si="170"/>
        <v>0</v>
      </c>
      <c r="M97" s="127">
        <f t="shared" si="171"/>
        <v>0</v>
      </c>
      <c r="N97" s="131"/>
      <c r="O97" s="125" t="str">
        <f t="shared" si="172"/>
        <v>ნულოვანი შესრულება</v>
      </c>
      <c r="P97" s="27">
        <v>0</v>
      </c>
      <c r="Q97" s="27">
        <v>0</v>
      </c>
      <c r="R97" s="27">
        <f t="shared" si="173"/>
        <v>0</v>
      </c>
      <c r="S97" s="27">
        <f t="shared" si="174"/>
        <v>0</v>
      </c>
      <c r="T97" s="27"/>
      <c r="U97" s="27"/>
      <c r="V97" s="27">
        <v>67</v>
      </c>
      <c r="W97" s="27"/>
      <c r="X97" s="27">
        <f t="shared" si="175"/>
        <v>67</v>
      </c>
      <c r="Y97" s="27">
        <f t="shared" si="176"/>
        <v>0</v>
      </c>
      <c r="Z97" s="27">
        <v>67</v>
      </c>
      <c r="AA97" s="27"/>
      <c r="AB97" s="27"/>
      <c r="AC97" s="27"/>
      <c r="AD97" s="27">
        <f t="shared" si="177"/>
        <v>67</v>
      </c>
      <c r="AE97" s="27">
        <f t="shared" si="178"/>
        <v>0</v>
      </c>
      <c r="AF97" s="27">
        <f t="shared" si="179"/>
        <v>67</v>
      </c>
      <c r="AG97" s="27">
        <f t="shared" si="180"/>
        <v>0</v>
      </c>
      <c r="AH97" s="27">
        <f t="shared" si="181"/>
        <v>67</v>
      </c>
      <c r="AI97" s="27">
        <f t="shared" si="182"/>
        <v>0</v>
      </c>
      <c r="AJ97" s="27">
        <f t="shared" si="183"/>
        <v>134</v>
      </c>
      <c r="AK97" s="27">
        <f t="shared" si="184"/>
        <v>0</v>
      </c>
      <c r="AL97" s="27"/>
      <c r="AM97" s="27"/>
      <c r="AN97" s="27">
        <v>0</v>
      </c>
      <c r="AO97" s="27"/>
      <c r="AP97" s="27">
        <f t="shared" si="185"/>
        <v>0</v>
      </c>
      <c r="AQ97" s="27">
        <f t="shared" si="186"/>
        <v>0</v>
      </c>
      <c r="AR97" s="27"/>
      <c r="AS97" s="27"/>
      <c r="AT97" s="27">
        <v>0</v>
      </c>
      <c r="AU97" s="27"/>
      <c r="AV97" s="27">
        <f t="shared" si="187"/>
        <v>0</v>
      </c>
      <c r="AW97" s="27">
        <f t="shared" si="188"/>
        <v>0</v>
      </c>
      <c r="AX97" s="27"/>
      <c r="AY97" s="27"/>
      <c r="AZ97" s="27">
        <v>0</v>
      </c>
      <c r="BA97" s="27"/>
      <c r="BB97" s="27">
        <f t="shared" si="189"/>
        <v>0</v>
      </c>
      <c r="BC97" s="27">
        <f t="shared" si="190"/>
        <v>0</v>
      </c>
      <c r="BD97" s="27"/>
      <c r="BE97" s="27"/>
      <c r="BF97" s="27">
        <v>0</v>
      </c>
      <c r="BG97" s="27"/>
      <c r="BH97" s="27">
        <f t="shared" si="191"/>
        <v>0</v>
      </c>
      <c r="BI97" s="27">
        <f t="shared" si="192"/>
        <v>0</v>
      </c>
      <c r="BJ97" s="27"/>
      <c r="BK97" s="27"/>
      <c r="BL97" s="27">
        <v>0</v>
      </c>
      <c r="BM97" s="27"/>
      <c r="BN97" s="27">
        <f t="shared" si="193"/>
        <v>0</v>
      </c>
      <c r="BO97" s="27">
        <f t="shared" si="194"/>
        <v>0</v>
      </c>
      <c r="BP97" s="26"/>
      <c r="BQ97" s="26"/>
      <c r="BR97" s="27">
        <v>0</v>
      </c>
      <c r="BS97" s="27"/>
      <c r="BT97" s="27">
        <f t="shared" si="195"/>
        <v>0</v>
      </c>
      <c r="BU97" s="27">
        <f t="shared" si="196"/>
        <v>0</v>
      </c>
      <c r="BV97" s="26"/>
      <c r="BW97" s="26"/>
      <c r="BX97" s="27">
        <v>0</v>
      </c>
      <c r="BY97" s="26"/>
      <c r="BZ97" s="27">
        <f t="shared" si="197"/>
        <v>0</v>
      </c>
      <c r="CA97" s="27">
        <f t="shared" si="198"/>
        <v>0</v>
      </c>
      <c r="CB97" s="26"/>
      <c r="CC97" s="26"/>
      <c r="CD97" s="27">
        <v>0</v>
      </c>
      <c r="CE97" s="26"/>
      <c r="CF97" s="27">
        <f t="shared" si="199"/>
        <v>0</v>
      </c>
      <c r="CG97" s="27">
        <f t="shared" si="200"/>
        <v>0</v>
      </c>
      <c r="CH97" s="27"/>
      <c r="CI97" s="27"/>
      <c r="CJ97" s="27">
        <v>0</v>
      </c>
      <c r="CK97" s="27"/>
      <c r="CL97" s="27">
        <f t="shared" si="201"/>
        <v>0</v>
      </c>
      <c r="CM97" s="27">
        <f t="shared" si="202"/>
        <v>0</v>
      </c>
      <c r="CN97" s="27"/>
      <c r="CO97" s="27"/>
      <c r="CP97" s="27">
        <v>0</v>
      </c>
      <c r="CQ97" s="27"/>
      <c r="CR97" s="27">
        <f t="shared" si="203"/>
        <v>0</v>
      </c>
      <c r="CS97" s="27">
        <f t="shared" si="204"/>
        <v>0</v>
      </c>
      <c r="CT97" s="27"/>
      <c r="CU97" s="27"/>
      <c r="CV97" s="27">
        <v>0</v>
      </c>
      <c r="CW97" s="27"/>
      <c r="CX97" s="27">
        <f t="shared" si="205"/>
        <v>0</v>
      </c>
      <c r="CY97" s="27">
        <f t="shared" si="206"/>
        <v>0</v>
      </c>
      <c r="CZ97" s="27"/>
      <c r="DA97" s="27"/>
      <c r="DB97" s="27">
        <v>0</v>
      </c>
      <c r="DC97" s="27"/>
      <c r="DD97" s="27">
        <f t="shared" si="207"/>
        <v>0</v>
      </c>
      <c r="DE97" s="27">
        <f t="shared" si="208"/>
        <v>0</v>
      </c>
      <c r="DF97" s="27">
        <f t="shared" si="209"/>
        <v>0</v>
      </c>
      <c r="DG97" s="27">
        <f t="shared" si="210"/>
        <v>0</v>
      </c>
      <c r="DH97" s="27">
        <f t="shared" si="211"/>
        <v>0</v>
      </c>
      <c r="DI97" s="27">
        <f t="shared" si="212"/>
        <v>0</v>
      </c>
      <c r="DJ97" s="27">
        <f t="shared" si="213"/>
        <v>0</v>
      </c>
      <c r="DK97" s="27">
        <f t="shared" si="214"/>
        <v>0</v>
      </c>
    </row>
    <row r="98" spans="1:115">
      <c r="A98" s="25">
        <v>90</v>
      </c>
      <c r="B98" s="26" t="s">
        <v>1162</v>
      </c>
      <c r="C98" s="26"/>
      <c r="D98" s="26"/>
      <c r="E98" s="205" t="s">
        <v>1200</v>
      </c>
      <c r="F98" s="161">
        <f t="shared" si="167"/>
        <v>0</v>
      </c>
      <c r="G98" s="165">
        <f t="shared" si="168"/>
        <v>0</v>
      </c>
      <c r="H98" s="27"/>
      <c r="I98" s="27">
        <v>0</v>
      </c>
      <c r="J98" s="27">
        <v>0</v>
      </c>
      <c r="K98" s="127">
        <f t="shared" si="169"/>
        <v>0</v>
      </c>
      <c r="L98" s="127">
        <f t="shared" si="170"/>
        <v>0</v>
      </c>
      <c r="M98" s="127">
        <f t="shared" si="171"/>
        <v>0</v>
      </c>
      <c r="N98" s="131"/>
      <c r="O98" s="125" t="str">
        <f t="shared" si="172"/>
        <v>ნულოვანი შესრულება</v>
      </c>
      <c r="P98" s="27">
        <v>0</v>
      </c>
      <c r="Q98" s="27">
        <v>0</v>
      </c>
      <c r="R98" s="27">
        <f t="shared" si="173"/>
        <v>0</v>
      </c>
      <c r="S98" s="27">
        <f t="shared" si="174"/>
        <v>0</v>
      </c>
      <c r="T98" s="27"/>
      <c r="U98" s="27"/>
      <c r="V98" s="27">
        <v>68</v>
      </c>
      <c r="W98" s="27"/>
      <c r="X98" s="27">
        <f t="shared" si="175"/>
        <v>68</v>
      </c>
      <c r="Y98" s="27">
        <f t="shared" si="176"/>
        <v>0</v>
      </c>
      <c r="Z98" s="27">
        <v>68</v>
      </c>
      <c r="AA98" s="27"/>
      <c r="AB98" s="27"/>
      <c r="AC98" s="27"/>
      <c r="AD98" s="27">
        <f t="shared" si="177"/>
        <v>68</v>
      </c>
      <c r="AE98" s="27">
        <f t="shared" si="178"/>
        <v>0</v>
      </c>
      <c r="AF98" s="27">
        <f t="shared" si="179"/>
        <v>68</v>
      </c>
      <c r="AG98" s="27">
        <f t="shared" si="180"/>
        <v>0</v>
      </c>
      <c r="AH98" s="27">
        <f t="shared" si="181"/>
        <v>68</v>
      </c>
      <c r="AI98" s="27">
        <f t="shared" si="182"/>
        <v>0</v>
      </c>
      <c r="AJ98" s="27">
        <f t="shared" si="183"/>
        <v>136</v>
      </c>
      <c r="AK98" s="27">
        <f t="shared" si="184"/>
        <v>0</v>
      </c>
      <c r="AL98" s="27"/>
      <c r="AM98" s="27"/>
      <c r="AN98" s="27">
        <v>0</v>
      </c>
      <c r="AO98" s="27"/>
      <c r="AP98" s="27">
        <f t="shared" si="185"/>
        <v>0</v>
      </c>
      <c r="AQ98" s="27">
        <f t="shared" si="186"/>
        <v>0</v>
      </c>
      <c r="AR98" s="27"/>
      <c r="AS98" s="27"/>
      <c r="AT98" s="27">
        <v>0</v>
      </c>
      <c r="AU98" s="27"/>
      <c r="AV98" s="27">
        <f t="shared" si="187"/>
        <v>0</v>
      </c>
      <c r="AW98" s="27">
        <f t="shared" si="188"/>
        <v>0</v>
      </c>
      <c r="AX98" s="27"/>
      <c r="AY98" s="27"/>
      <c r="AZ98" s="27">
        <v>0</v>
      </c>
      <c r="BA98" s="27"/>
      <c r="BB98" s="27">
        <f t="shared" si="189"/>
        <v>0</v>
      </c>
      <c r="BC98" s="27">
        <f t="shared" si="190"/>
        <v>0</v>
      </c>
      <c r="BD98" s="27"/>
      <c r="BE98" s="27"/>
      <c r="BF98" s="27">
        <v>0</v>
      </c>
      <c r="BG98" s="27"/>
      <c r="BH98" s="27">
        <f t="shared" si="191"/>
        <v>0</v>
      </c>
      <c r="BI98" s="27">
        <f t="shared" si="192"/>
        <v>0</v>
      </c>
      <c r="BJ98" s="27"/>
      <c r="BK98" s="27"/>
      <c r="BL98" s="27">
        <v>0</v>
      </c>
      <c r="BM98" s="27"/>
      <c r="BN98" s="27">
        <f t="shared" si="193"/>
        <v>0</v>
      </c>
      <c r="BO98" s="27">
        <f t="shared" si="194"/>
        <v>0</v>
      </c>
      <c r="BP98" s="26"/>
      <c r="BQ98" s="26"/>
      <c r="BR98" s="27">
        <v>0</v>
      </c>
      <c r="BS98" s="27"/>
      <c r="BT98" s="27">
        <f t="shared" si="195"/>
        <v>0</v>
      </c>
      <c r="BU98" s="27">
        <f t="shared" si="196"/>
        <v>0</v>
      </c>
      <c r="BV98" s="26"/>
      <c r="BW98" s="26"/>
      <c r="BX98" s="27">
        <v>0</v>
      </c>
      <c r="BY98" s="26"/>
      <c r="BZ98" s="27">
        <f t="shared" si="197"/>
        <v>0</v>
      </c>
      <c r="CA98" s="27">
        <f t="shared" si="198"/>
        <v>0</v>
      </c>
      <c r="CB98" s="26"/>
      <c r="CC98" s="26"/>
      <c r="CD98" s="27">
        <v>0</v>
      </c>
      <c r="CE98" s="26"/>
      <c r="CF98" s="27">
        <f t="shared" si="199"/>
        <v>0</v>
      </c>
      <c r="CG98" s="27">
        <f t="shared" si="200"/>
        <v>0</v>
      </c>
      <c r="CH98" s="27"/>
      <c r="CI98" s="27"/>
      <c r="CJ98" s="27">
        <v>0</v>
      </c>
      <c r="CK98" s="27"/>
      <c r="CL98" s="27">
        <f t="shared" si="201"/>
        <v>0</v>
      </c>
      <c r="CM98" s="27">
        <f t="shared" si="202"/>
        <v>0</v>
      </c>
      <c r="CN98" s="27"/>
      <c r="CO98" s="27"/>
      <c r="CP98" s="27">
        <v>0</v>
      </c>
      <c r="CQ98" s="27"/>
      <c r="CR98" s="27">
        <f t="shared" si="203"/>
        <v>0</v>
      </c>
      <c r="CS98" s="27">
        <f t="shared" si="204"/>
        <v>0</v>
      </c>
      <c r="CT98" s="27"/>
      <c r="CU98" s="27"/>
      <c r="CV98" s="27">
        <v>0</v>
      </c>
      <c r="CW98" s="27"/>
      <c r="CX98" s="27">
        <f t="shared" si="205"/>
        <v>0</v>
      </c>
      <c r="CY98" s="27">
        <f t="shared" si="206"/>
        <v>0</v>
      </c>
      <c r="CZ98" s="27"/>
      <c r="DA98" s="27"/>
      <c r="DB98" s="27">
        <v>0</v>
      </c>
      <c r="DC98" s="27"/>
      <c r="DD98" s="27">
        <f t="shared" si="207"/>
        <v>0</v>
      </c>
      <c r="DE98" s="27">
        <f t="shared" si="208"/>
        <v>0</v>
      </c>
      <c r="DF98" s="27">
        <f t="shared" si="209"/>
        <v>0</v>
      </c>
      <c r="DG98" s="27">
        <f t="shared" si="210"/>
        <v>0</v>
      </c>
      <c r="DH98" s="27">
        <f t="shared" si="211"/>
        <v>0</v>
      </c>
      <c r="DI98" s="27">
        <f t="shared" si="212"/>
        <v>0</v>
      </c>
      <c r="DJ98" s="27">
        <f t="shared" si="213"/>
        <v>0</v>
      </c>
      <c r="DK98" s="27">
        <f t="shared" si="214"/>
        <v>0</v>
      </c>
    </row>
    <row r="99" spans="1:115">
      <c r="A99" s="25">
        <v>91</v>
      </c>
      <c r="B99" s="26" t="s">
        <v>1162</v>
      </c>
      <c r="C99" s="26"/>
      <c r="D99" s="26"/>
      <c r="E99" s="205" t="s">
        <v>1200</v>
      </c>
      <c r="F99" s="161">
        <f t="shared" si="167"/>
        <v>0</v>
      </c>
      <c r="G99" s="165">
        <f t="shared" si="168"/>
        <v>0</v>
      </c>
      <c r="H99" s="27"/>
      <c r="I99" s="27">
        <v>0</v>
      </c>
      <c r="J99" s="27">
        <v>0</v>
      </c>
      <c r="K99" s="127">
        <f t="shared" si="169"/>
        <v>0</v>
      </c>
      <c r="L99" s="127">
        <f t="shared" si="170"/>
        <v>0</v>
      </c>
      <c r="M99" s="127">
        <f t="shared" si="171"/>
        <v>0</v>
      </c>
      <c r="N99" s="131"/>
      <c r="O99" s="125" t="str">
        <f t="shared" si="172"/>
        <v>ნულოვანი შესრულება</v>
      </c>
      <c r="P99" s="27">
        <v>0</v>
      </c>
      <c r="Q99" s="27">
        <v>0</v>
      </c>
      <c r="R99" s="27">
        <f t="shared" si="173"/>
        <v>0</v>
      </c>
      <c r="S99" s="27">
        <f t="shared" si="174"/>
        <v>0</v>
      </c>
      <c r="T99" s="27"/>
      <c r="U99" s="27"/>
      <c r="V99" s="27">
        <v>69</v>
      </c>
      <c r="W99" s="27"/>
      <c r="X99" s="27">
        <f t="shared" si="175"/>
        <v>69</v>
      </c>
      <c r="Y99" s="27">
        <f t="shared" si="176"/>
        <v>0</v>
      </c>
      <c r="Z99" s="27">
        <v>69</v>
      </c>
      <c r="AA99" s="27"/>
      <c r="AB99" s="27"/>
      <c r="AC99" s="27"/>
      <c r="AD99" s="27">
        <f t="shared" si="177"/>
        <v>69</v>
      </c>
      <c r="AE99" s="27">
        <f t="shared" si="178"/>
        <v>0</v>
      </c>
      <c r="AF99" s="27">
        <f t="shared" si="179"/>
        <v>69</v>
      </c>
      <c r="AG99" s="27">
        <f t="shared" si="180"/>
        <v>0</v>
      </c>
      <c r="AH99" s="27">
        <f t="shared" si="181"/>
        <v>69</v>
      </c>
      <c r="AI99" s="27">
        <f t="shared" si="182"/>
        <v>0</v>
      </c>
      <c r="AJ99" s="27">
        <f t="shared" si="183"/>
        <v>138</v>
      </c>
      <c r="AK99" s="27">
        <f t="shared" si="184"/>
        <v>0</v>
      </c>
      <c r="AL99" s="27"/>
      <c r="AM99" s="27"/>
      <c r="AN99" s="27">
        <v>0</v>
      </c>
      <c r="AO99" s="27"/>
      <c r="AP99" s="27">
        <f t="shared" si="185"/>
        <v>0</v>
      </c>
      <c r="AQ99" s="27">
        <f t="shared" si="186"/>
        <v>0</v>
      </c>
      <c r="AR99" s="27"/>
      <c r="AS99" s="27"/>
      <c r="AT99" s="27">
        <v>0</v>
      </c>
      <c r="AU99" s="27"/>
      <c r="AV99" s="27">
        <f t="shared" si="187"/>
        <v>0</v>
      </c>
      <c r="AW99" s="27">
        <f t="shared" si="188"/>
        <v>0</v>
      </c>
      <c r="AX99" s="27"/>
      <c r="AY99" s="27"/>
      <c r="AZ99" s="27">
        <v>0</v>
      </c>
      <c r="BA99" s="27"/>
      <c r="BB99" s="27">
        <f t="shared" si="189"/>
        <v>0</v>
      </c>
      <c r="BC99" s="27">
        <f t="shared" si="190"/>
        <v>0</v>
      </c>
      <c r="BD99" s="27"/>
      <c r="BE99" s="27"/>
      <c r="BF99" s="27">
        <v>0</v>
      </c>
      <c r="BG99" s="27"/>
      <c r="BH99" s="27">
        <f t="shared" si="191"/>
        <v>0</v>
      </c>
      <c r="BI99" s="27">
        <f t="shared" si="192"/>
        <v>0</v>
      </c>
      <c r="BJ99" s="27"/>
      <c r="BK99" s="27"/>
      <c r="BL99" s="27">
        <v>0</v>
      </c>
      <c r="BM99" s="27"/>
      <c r="BN99" s="27">
        <f t="shared" si="193"/>
        <v>0</v>
      </c>
      <c r="BO99" s="27">
        <f t="shared" si="194"/>
        <v>0</v>
      </c>
      <c r="BP99" s="26"/>
      <c r="BQ99" s="26"/>
      <c r="BR99" s="27">
        <v>0</v>
      </c>
      <c r="BS99" s="27"/>
      <c r="BT99" s="27">
        <f t="shared" si="195"/>
        <v>0</v>
      </c>
      <c r="BU99" s="27">
        <f t="shared" si="196"/>
        <v>0</v>
      </c>
      <c r="BV99" s="26"/>
      <c r="BW99" s="26"/>
      <c r="BX99" s="27">
        <v>0</v>
      </c>
      <c r="BY99" s="26"/>
      <c r="BZ99" s="27">
        <f t="shared" si="197"/>
        <v>0</v>
      </c>
      <c r="CA99" s="27">
        <f t="shared" si="198"/>
        <v>0</v>
      </c>
      <c r="CB99" s="26"/>
      <c r="CC99" s="26"/>
      <c r="CD99" s="27">
        <v>0</v>
      </c>
      <c r="CE99" s="26"/>
      <c r="CF99" s="27">
        <f t="shared" si="199"/>
        <v>0</v>
      </c>
      <c r="CG99" s="27">
        <f t="shared" si="200"/>
        <v>0</v>
      </c>
      <c r="CH99" s="27"/>
      <c r="CI99" s="27"/>
      <c r="CJ99" s="27">
        <v>0</v>
      </c>
      <c r="CK99" s="27"/>
      <c r="CL99" s="27">
        <f t="shared" si="201"/>
        <v>0</v>
      </c>
      <c r="CM99" s="27">
        <f t="shared" si="202"/>
        <v>0</v>
      </c>
      <c r="CN99" s="27"/>
      <c r="CO99" s="27"/>
      <c r="CP99" s="27">
        <v>0</v>
      </c>
      <c r="CQ99" s="27"/>
      <c r="CR99" s="27">
        <f t="shared" si="203"/>
        <v>0</v>
      </c>
      <c r="CS99" s="27">
        <f t="shared" si="204"/>
        <v>0</v>
      </c>
      <c r="CT99" s="27"/>
      <c r="CU99" s="27"/>
      <c r="CV99" s="27">
        <v>0</v>
      </c>
      <c r="CW99" s="27"/>
      <c r="CX99" s="27">
        <f t="shared" si="205"/>
        <v>0</v>
      </c>
      <c r="CY99" s="27">
        <f t="shared" si="206"/>
        <v>0</v>
      </c>
      <c r="CZ99" s="27"/>
      <c r="DA99" s="27"/>
      <c r="DB99" s="27">
        <v>0</v>
      </c>
      <c r="DC99" s="27"/>
      <c r="DD99" s="27">
        <f t="shared" si="207"/>
        <v>0</v>
      </c>
      <c r="DE99" s="27">
        <f t="shared" si="208"/>
        <v>0</v>
      </c>
      <c r="DF99" s="27">
        <f t="shared" si="209"/>
        <v>0</v>
      </c>
      <c r="DG99" s="27">
        <f t="shared" si="210"/>
        <v>0</v>
      </c>
      <c r="DH99" s="27">
        <f t="shared" si="211"/>
        <v>0</v>
      </c>
      <c r="DI99" s="27">
        <f t="shared" si="212"/>
        <v>0</v>
      </c>
      <c r="DJ99" s="27">
        <f t="shared" si="213"/>
        <v>0</v>
      </c>
      <c r="DK99" s="27">
        <f t="shared" si="214"/>
        <v>0</v>
      </c>
    </row>
    <row r="100" spans="1:115">
      <c r="A100" s="25">
        <v>92</v>
      </c>
      <c r="B100" s="26" t="s">
        <v>1162</v>
      </c>
      <c r="C100" s="26"/>
      <c r="D100" s="26"/>
      <c r="E100" s="205" t="s">
        <v>1200</v>
      </c>
      <c r="F100" s="161">
        <f t="shared" si="167"/>
        <v>0</v>
      </c>
      <c r="G100" s="165">
        <f t="shared" si="168"/>
        <v>0</v>
      </c>
      <c r="H100" s="27"/>
      <c r="I100" s="27">
        <v>0</v>
      </c>
      <c r="J100" s="27">
        <v>0</v>
      </c>
      <c r="K100" s="127">
        <f t="shared" si="169"/>
        <v>0</v>
      </c>
      <c r="L100" s="127">
        <f t="shared" si="170"/>
        <v>0</v>
      </c>
      <c r="M100" s="127">
        <f t="shared" si="171"/>
        <v>0</v>
      </c>
      <c r="N100" s="131"/>
      <c r="O100" s="125" t="str">
        <f t="shared" si="172"/>
        <v>ნულოვანი შესრულება</v>
      </c>
      <c r="P100" s="27">
        <v>0</v>
      </c>
      <c r="Q100" s="27">
        <v>0</v>
      </c>
      <c r="R100" s="27">
        <f t="shared" si="173"/>
        <v>0</v>
      </c>
      <c r="S100" s="27">
        <f t="shared" si="174"/>
        <v>0</v>
      </c>
      <c r="T100" s="27"/>
      <c r="U100" s="27"/>
      <c r="V100" s="27">
        <v>70</v>
      </c>
      <c r="W100" s="27"/>
      <c r="X100" s="27">
        <f t="shared" si="175"/>
        <v>70</v>
      </c>
      <c r="Y100" s="27">
        <f t="shared" si="176"/>
        <v>0</v>
      </c>
      <c r="Z100" s="27">
        <v>70</v>
      </c>
      <c r="AA100" s="27"/>
      <c r="AB100" s="27"/>
      <c r="AC100" s="27"/>
      <c r="AD100" s="27">
        <f t="shared" si="177"/>
        <v>70</v>
      </c>
      <c r="AE100" s="27">
        <f t="shared" si="178"/>
        <v>0</v>
      </c>
      <c r="AF100" s="27">
        <f t="shared" si="179"/>
        <v>70</v>
      </c>
      <c r="AG100" s="27">
        <f t="shared" si="180"/>
        <v>0</v>
      </c>
      <c r="AH100" s="27">
        <f t="shared" si="181"/>
        <v>70</v>
      </c>
      <c r="AI100" s="27">
        <f t="shared" si="182"/>
        <v>0</v>
      </c>
      <c r="AJ100" s="27">
        <f t="shared" si="183"/>
        <v>140</v>
      </c>
      <c r="AK100" s="27">
        <f t="shared" si="184"/>
        <v>0</v>
      </c>
      <c r="AL100" s="27"/>
      <c r="AM100" s="27"/>
      <c r="AN100" s="27">
        <v>0</v>
      </c>
      <c r="AO100" s="27"/>
      <c r="AP100" s="27">
        <f t="shared" si="185"/>
        <v>0</v>
      </c>
      <c r="AQ100" s="27">
        <f t="shared" si="186"/>
        <v>0</v>
      </c>
      <c r="AR100" s="27"/>
      <c r="AS100" s="27"/>
      <c r="AT100" s="27">
        <v>0</v>
      </c>
      <c r="AU100" s="27"/>
      <c r="AV100" s="27">
        <f t="shared" si="187"/>
        <v>0</v>
      </c>
      <c r="AW100" s="27">
        <f t="shared" si="188"/>
        <v>0</v>
      </c>
      <c r="AX100" s="27"/>
      <c r="AY100" s="27"/>
      <c r="AZ100" s="27">
        <v>0</v>
      </c>
      <c r="BA100" s="27"/>
      <c r="BB100" s="27">
        <f t="shared" si="189"/>
        <v>0</v>
      </c>
      <c r="BC100" s="27">
        <f t="shared" si="190"/>
        <v>0</v>
      </c>
      <c r="BD100" s="27"/>
      <c r="BE100" s="27"/>
      <c r="BF100" s="27">
        <v>0</v>
      </c>
      <c r="BG100" s="27"/>
      <c r="BH100" s="27">
        <f t="shared" si="191"/>
        <v>0</v>
      </c>
      <c r="BI100" s="27">
        <f t="shared" si="192"/>
        <v>0</v>
      </c>
      <c r="BJ100" s="27"/>
      <c r="BK100" s="27"/>
      <c r="BL100" s="27">
        <v>0</v>
      </c>
      <c r="BM100" s="27"/>
      <c r="BN100" s="27">
        <f t="shared" si="193"/>
        <v>0</v>
      </c>
      <c r="BO100" s="27">
        <f t="shared" si="194"/>
        <v>0</v>
      </c>
      <c r="BP100" s="26"/>
      <c r="BQ100" s="26"/>
      <c r="BR100" s="27">
        <v>0</v>
      </c>
      <c r="BS100" s="27"/>
      <c r="BT100" s="27">
        <f t="shared" si="195"/>
        <v>0</v>
      </c>
      <c r="BU100" s="27">
        <f t="shared" si="196"/>
        <v>0</v>
      </c>
      <c r="BV100" s="26"/>
      <c r="BW100" s="26"/>
      <c r="BX100" s="27">
        <v>0</v>
      </c>
      <c r="BY100" s="26"/>
      <c r="BZ100" s="27">
        <f t="shared" si="197"/>
        <v>0</v>
      </c>
      <c r="CA100" s="27">
        <f t="shared" si="198"/>
        <v>0</v>
      </c>
      <c r="CB100" s="26"/>
      <c r="CC100" s="26"/>
      <c r="CD100" s="27">
        <v>0</v>
      </c>
      <c r="CE100" s="26"/>
      <c r="CF100" s="27">
        <f t="shared" si="199"/>
        <v>0</v>
      </c>
      <c r="CG100" s="27">
        <f t="shared" si="200"/>
        <v>0</v>
      </c>
      <c r="CH100" s="27"/>
      <c r="CI100" s="27"/>
      <c r="CJ100" s="27">
        <v>0</v>
      </c>
      <c r="CK100" s="27"/>
      <c r="CL100" s="27">
        <f t="shared" si="201"/>
        <v>0</v>
      </c>
      <c r="CM100" s="27">
        <f t="shared" si="202"/>
        <v>0</v>
      </c>
      <c r="CN100" s="27"/>
      <c r="CO100" s="27"/>
      <c r="CP100" s="27">
        <v>0</v>
      </c>
      <c r="CQ100" s="27"/>
      <c r="CR100" s="27">
        <f t="shared" si="203"/>
        <v>0</v>
      </c>
      <c r="CS100" s="27">
        <f t="shared" si="204"/>
        <v>0</v>
      </c>
      <c r="CT100" s="27"/>
      <c r="CU100" s="27"/>
      <c r="CV100" s="27">
        <v>0</v>
      </c>
      <c r="CW100" s="27"/>
      <c r="CX100" s="27">
        <f t="shared" si="205"/>
        <v>0</v>
      </c>
      <c r="CY100" s="27">
        <f t="shared" si="206"/>
        <v>0</v>
      </c>
      <c r="CZ100" s="27"/>
      <c r="DA100" s="27"/>
      <c r="DB100" s="27">
        <v>0</v>
      </c>
      <c r="DC100" s="27"/>
      <c r="DD100" s="27">
        <f t="shared" si="207"/>
        <v>0</v>
      </c>
      <c r="DE100" s="27">
        <f t="shared" si="208"/>
        <v>0</v>
      </c>
      <c r="DF100" s="27">
        <f t="shared" si="209"/>
        <v>0</v>
      </c>
      <c r="DG100" s="27">
        <f t="shared" si="210"/>
        <v>0</v>
      </c>
      <c r="DH100" s="27">
        <f t="shared" si="211"/>
        <v>0</v>
      </c>
      <c r="DI100" s="27">
        <f t="shared" si="212"/>
        <v>0</v>
      </c>
      <c r="DJ100" s="27">
        <f t="shared" si="213"/>
        <v>0</v>
      </c>
      <c r="DK100" s="27">
        <f t="shared" si="214"/>
        <v>0</v>
      </c>
    </row>
    <row r="101" spans="1:115">
      <c r="A101" s="25">
        <v>93</v>
      </c>
      <c r="B101" s="26" t="s">
        <v>1162</v>
      </c>
      <c r="C101" s="26"/>
      <c r="D101" s="26"/>
      <c r="E101" s="205" t="s">
        <v>1200</v>
      </c>
      <c r="F101" s="161">
        <f t="shared" si="167"/>
        <v>0</v>
      </c>
      <c r="G101" s="165">
        <f t="shared" si="168"/>
        <v>0</v>
      </c>
      <c r="H101" s="27"/>
      <c r="I101" s="27">
        <v>0</v>
      </c>
      <c r="J101" s="27">
        <v>0</v>
      </c>
      <c r="K101" s="127">
        <f t="shared" si="169"/>
        <v>0</v>
      </c>
      <c r="L101" s="127">
        <f t="shared" si="170"/>
        <v>0</v>
      </c>
      <c r="M101" s="127">
        <f t="shared" si="171"/>
        <v>0</v>
      </c>
      <c r="N101" s="131"/>
      <c r="O101" s="125" t="str">
        <f t="shared" si="172"/>
        <v>ნულოვანი შესრულება</v>
      </c>
      <c r="P101" s="27">
        <v>0</v>
      </c>
      <c r="Q101" s="27">
        <v>0</v>
      </c>
      <c r="R101" s="27">
        <f t="shared" si="173"/>
        <v>0</v>
      </c>
      <c r="S101" s="27">
        <f t="shared" si="174"/>
        <v>0</v>
      </c>
      <c r="T101" s="27"/>
      <c r="U101" s="27"/>
      <c r="V101" s="27">
        <v>71</v>
      </c>
      <c r="W101" s="27"/>
      <c r="X101" s="27">
        <f t="shared" si="175"/>
        <v>71</v>
      </c>
      <c r="Y101" s="27">
        <f t="shared" si="176"/>
        <v>0</v>
      </c>
      <c r="Z101" s="27">
        <v>71</v>
      </c>
      <c r="AA101" s="27"/>
      <c r="AB101" s="27"/>
      <c r="AC101" s="27"/>
      <c r="AD101" s="27">
        <f t="shared" si="177"/>
        <v>71</v>
      </c>
      <c r="AE101" s="27">
        <f t="shared" si="178"/>
        <v>0</v>
      </c>
      <c r="AF101" s="27">
        <f t="shared" si="179"/>
        <v>71</v>
      </c>
      <c r="AG101" s="27">
        <f t="shared" si="180"/>
        <v>0</v>
      </c>
      <c r="AH101" s="27">
        <f t="shared" si="181"/>
        <v>71</v>
      </c>
      <c r="AI101" s="27">
        <f t="shared" si="182"/>
        <v>0</v>
      </c>
      <c r="AJ101" s="27">
        <f t="shared" si="183"/>
        <v>142</v>
      </c>
      <c r="AK101" s="27">
        <f t="shared" si="184"/>
        <v>0</v>
      </c>
      <c r="AL101" s="27"/>
      <c r="AM101" s="27"/>
      <c r="AN101" s="27">
        <v>0</v>
      </c>
      <c r="AO101" s="27"/>
      <c r="AP101" s="27">
        <f t="shared" si="185"/>
        <v>0</v>
      </c>
      <c r="AQ101" s="27">
        <f t="shared" si="186"/>
        <v>0</v>
      </c>
      <c r="AR101" s="27"/>
      <c r="AS101" s="27"/>
      <c r="AT101" s="27">
        <v>0</v>
      </c>
      <c r="AU101" s="27"/>
      <c r="AV101" s="27">
        <f t="shared" si="187"/>
        <v>0</v>
      </c>
      <c r="AW101" s="27">
        <f t="shared" si="188"/>
        <v>0</v>
      </c>
      <c r="AX101" s="27"/>
      <c r="AY101" s="27"/>
      <c r="AZ101" s="27">
        <v>0</v>
      </c>
      <c r="BA101" s="27"/>
      <c r="BB101" s="27">
        <f t="shared" si="189"/>
        <v>0</v>
      </c>
      <c r="BC101" s="27">
        <f t="shared" si="190"/>
        <v>0</v>
      </c>
      <c r="BD101" s="27"/>
      <c r="BE101" s="27"/>
      <c r="BF101" s="27">
        <v>0</v>
      </c>
      <c r="BG101" s="27"/>
      <c r="BH101" s="27">
        <f t="shared" si="191"/>
        <v>0</v>
      </c>
      <c r="BI101" s="27">
        <f t="shared" si="192"/>
        <v>0</v>
      </c>
      <c r="BJ101" s="27"/>
      <c r="BK101" s="27"/>
      <c r="BL101" s="27">
        <v>0</v>
      </c>
      <c r="BM101" s="27"/>
      <c r="BN101" s="27">
        <f t="shared" si="193"/>
        <v>0</v>
      </c>
      <c r="BO101" s="27">
        <f t="shared" si="194"/>
        <v>0</v>
      </c>
      <c r="BP101" s="26"/>
      <c r="BQ101" s="26"/>
      <c r="BR101" s="27">
        <v>0</v>
      </c>
      <c r="BS101" s="27"/>
      <c r="BT101" s="27">
        <f t="shared" si="195"/>
        <v>0</v>
      </c>
      <c r="BU101" s="27">
        <f t="shared" si="196"/>
        <v>0</v>
      </c>
      <c r="BV101" s="26"/>
      <c r="BW101" s="26"/>
      <c r="BX101" s="27">
        <v>0</v>
      </c>
      <c r="BY101" s="26"/>
      <c r="BZ101" s="27">
        <f t="shared" si="197"/>
        <v>0</v>
      </c>
      <c r="CA101" s="27">
        <f t="shared" si="198"/>
        <v>0</v>
      </c>
      <c r="CB101" s="26"/>
      <c r="CC101" s="26"/>
      <c r="CD101" s="27">
        <v>0</v>
      </c>
      <c r="CE101" s="26"/>
      <c r="CF101" s="27">
        <f t="shared" si="199"/>
        <v>0</v>
      </c>
      <c r="CG101" s="27">
        <f t="shared" si="200"/>
        <v>0</v>
      </c>
      <c r="CH101" s="27"/>
      <c r="CI101" s="27"/>
      <c r="CJ101" s="27">
        <v>0</v>
      </c>
      <c r="CK101" s="27"/>
      <c r="CL101" s="27">
        <f t="shared" si="201"/>
        <v>0</v>
      </c>
      <c r="CM101" s="27">
        <f t="shared" si="202"/>
        <v>0</v>
      </c>
      <c r="CN101" s="27"/>
      <c r="CO101" s="27"/>
      <c r="CP101" s="27">
        <v>0</v>
      </c>
      <c r="CQ101" s="27"/>
      <c r="CR101" s="27">
        <f t="shared" si="203"/>
        <v>0</v>
      </c>
      <c r="CS101" s="27">
        <f t="shared" si="204"/>
        <v>0</v>
      </c>
      <c r="CT101" s="27"/>
      <c r="CU101" s="27"/>
      <c r="CV101" s="27">
        <v>0</v>
      </c>
      <c r="CW101" s="27"/>
      <c r="CX101" s="27">
        <f t="shared" si="205"/>
        <v>0</v>
      </c>
      <c r="CY101" s="27">
        <f t="shared" si="206"/>
        <v>0</v>
      </c>
      <c r="CZ101" s="27"/>
      <c r="DA101" s="27"/>
      <c r="DB101" s="27">
        <v>0</v>
      </c>
      <c r="DC101" s="27"/>
      <c r="DD101" s="27">
        <f t="shared" si="207"/>
        <v>0</v>
      </c>
      <c r="DE101" s="27">
        <f t="shared" si="208"/>
        <v>0</v>
      </c>
      <c r="DF101" s="27">
        <f t="shared" si="209"/>
        <v>0</v>
      </c>
      <c r="DG101" s="27">
        <f t="shared" si="210"/>
        <v>0</v>
      </c>
      <c r="DH101" s="27">
        <f t="shared" si="211"/>
        <v>0</v>
      </c>
      <c r="DI101" s="27">
        <f t="shared" si="212"/>
        <v>0</v>
      </c>
      <c r="DJ101" s="27">
        <f t="shared" si="213"/>
        <v>0</v>
      </c>
      <c r="DK101" s="27">
        <f t="shared" si="214"/>
        <v>0</v>
      </c>
    </row>
    <row r="102" spans="1:115">
      <c r="A102" s="25">
        <v>94</v>
      </c>
      <c r="B102" s="26" t="s">
        <v>1162</v>
      </c>
      <c r="C102" s="26"/>
      <c r="D102" s="26"/>
      <c r="E102" s="205" t="s">
        <v>1200</v>
      </c>
      <c r="F102" s="161">
        <f t="shared" si="167"/>
        <v>0</v>
      </c>
      <c r="G102" s="165">
        <f t="shared" si="168"/>
        <v>0</v>
      </c>
      <c r="H102" s="27"/>
      <c r="I102" s="27">
        <v>0</v>
      </c>
      <c r="J102" s="27">
        <v>0</v>
      </c>
      <c r="K102" s="127">
        <f t="shared" si="169"/>
        <v>0</v>
      </c>
      <c r="L102" s="127">
        <f t="shared" si="170"/>
        <v>0</v>
      </c>
      <c r="M102" s="127">
        <f t="shared" si="171"/>
        <v>0</v>
      </c>
      <c r="N102" s="131"/>
      <c r="O102" s="125" t="str">
        <f t="shared" si="172"/>
        <v>ნულოვანი შესრულება</v>
      </c>
      <c r="P102" s="27">
        <v>0</v>
      </c>
      <c r="Q102" s="27">
        <v>0</v>
      </c>
      <c r="R102" s="27">
        <f t="shared" si="173"/>
        <v>0</v>
      </c>
      <c r="S102" s="27">
        <f t="shared" si="174"/>
        <v>0</v>
      </c>
      <c r="T102" s="27"/>
      <c r="U102" s="27"/>
      <c r="V102" s="27">
        <v>72</v>
      </c>
      <c r="W102" s="27"/>
      <c r="X102" s="27">
        <f t="shared" si="175"/>
        <v>72</v>
      </c>
      <c r="Y102" s="27">
        <f t="shared" si="176"/>
        <v>0</v>
      </c>
      <c r="Z102" s="27">
        <v>72</v>
      </c>
      <c r="AA102" s="27"/>
      <c r="AB102" s="27"/>
      <c r="AC102" s="27"/>
      <c r="AD102" s="27">
        <f t="shared" si="177"/>
        <v>72</v>
      </c>
      <c r="AE102" s="27">
        <f t="shared" si="178"/>
        <v>0</v>
      </c>
      <c r="AF102" s="27">
        <f t="shared" si="179"/>
        <v>72</v>
      </c>
      <c r="AG102" s="27">
        <f t="shared" si="180"/>
        <v>0</v>
      </c>
      <c r="AH102" s="27">
        <f t="shared" si="181"/>
        <v>72</v>
      </c>
      <c r="AI102" s="27">
        <f t="shared" si="182"/>
        <v>0</v>
      </c>
      <c r="AJ102" s="27">
        <f t="shared" si="183"/>
        <v>144</v>
      </c>
      <c r="AK102" s="27">
        <f t="shared" si="184"/>
        <v>0</v>
      </c>
      <c r="AL102" s="27"/>
      <c r="AM102" s="27"/>
      <c r="AN102" s="27">
        <v>0</v>
      </c>
      <c r="AO102" s="27"/>
      <c r="AP102" s="27">
        <f t="shared" si="185"/>
        <v>0</v>
      </c>
      <c r="AQ102" s="27">
        <f t="shared" si="186"/>
        <v>0</v>
      </c>
      <c r="AR102" s="27"/>
      <c r="AS102" s="27"/>
      <c r="AT102" s="27">
        <v>0</v>
      </c>
      <c r="AU102" s="27"/>
      <c r="AV102" s="27">
        <f t="shared" si="187"/>
        <v>0</v>
      </c>
      <c r="AW102" s="27">
        <f t="shared" si="188"/>
        <v>0</v>
      </c>
      <c r="AX102" s="27"/>
      <c r="AY102" s="27"/>
      <c r="AZ102" s="27">
        <v>0</v>
      </c>
      <c r="BA102" s="27"/>
      <c r="BB102" s="27">
        <f t="shared" si="189"/>
        <v>0</v>
      </c>
      <c r="BC102" s="27">
        <f t="shared" si="190"/>
        <v>0</v>
      </c>
      <c r="BD102" s="27"/>
      <c r="BE102" s="27"/>
      <c r="BF102" s="27">
        <v>0</v>
      </c>
      <c r="BG102" s="27"/>
      <c r="BH102" s="27">
        <f t="shared" si="191"/>
        <v>0</v>
      </c>
      <c r="BI102" s="27">
        <f t="shared" si="192"/>
        <v>0</v>
      </c>
      <c r="BJ102" s="27"/>
      <c r="BK102" s="27"/>
      <c r="BL102" s="27">
        <v>0</v>
      </c>
      <c r="BM102" s="27"/>
      <c r="BN102" s="27">
        <f t="shared" si="193"/>
        <v>0</v>
      </c>
      <c r="BO102" s="27">
        <f t="shared" si="194"/>
        <v>0</v>
      </c>
      <c r="BP102" s="26"/>
      <c r="BQ102" s="26"/>
      <c r="BR102" s="27">
        <v>0</v>
      </c>
      <c r="BS102" s="27"/>
      <c r="BT102" s="27">
        <f t="shared" si="195"/>
        <v>0</v>
      </c>
      <c r="BU102" s="27">
        <f t="shared" si="196"/>
        <v>0</v>
      </c>
      <c r="BV102" s="26"/>
      <c r="BW102" s="26"/>
      <c r="BX102" s="27">
        <v>0</v>
      </c>
      <c r="BY102" s="26"/>
      <c r="BZ102" s="27">
        <f t="shared" si="197"/>
        <v>0</v>
      </c>
      <c r="CA102" s="27">
        <f t="shared" si="198"/>
        <v>0</v>
      </c>
      <c r="CB102" s="26"/>
      <c r="CC102" s="26"/>
      <c r="CD102" s="27">
        <v>0</v>
      </c>
      <c r="CE102" s="26"/>
      <c r="CF102" s="27">
        <f t="shared" si="199"/>
        <v>0</v>
      </c>
      <c r="CG102" s="27">
        <f t="shared" si="200"/>
        <v>0</v>
      </c>
      <c r="CH102" s="27"/>
      <c r="CI102" s="27"/>
      <c r="CJ102" s="27">
        <v>0</v>
      </c>
      <c r="CK102" s="27"/>
      <c r="CL102" s="27">
        <f t="shared" si="201"/>
        <v>0</v>
      </c>
      <c r="CM102" s="27">
        <f t="shared" si="202"/>
        <v>0</v>
      </c>
      <c r="CN102" s="27"/>
      <c r="CO102" s="27"/>
      <c r="CP102" s="27">
        <v>0</v>
      </c>
      <c r="CQ102" s="27"/>
      <c r="CR102" s="27">
        <f t="shared" si="203"/>
        <v>0</v>
      </c>
      <c r="CS102" s="27">
        <f t="shared" si="204"/>
        <v>0</v>
      </c>
      <c r="CT102" s="27"/>
      <c r="CU102" s="27"/>
      <c r="CV102" s="27">
        <v>0</v>
      </c>
      <c r="CW102" s="27"/>
      <c r="CX102" s="27">
        <f t="shared" si="205"/>
        <v>0</v>
      </c>
      <c r="CY102" s="27">
        <f t="shared" si="206"/>
        <v>0</v>
      </c>
      <c r="CZ102" s="27"/>
      <c r="DA102" s="27"/>
      <c r="DB102" s="27">
        <v>0</v>
      </c>
      <c r="DC102" s="27"/>
      <c r="DD102" s="27">
        <f t="shared" si="207"/>
        <v>0</v>
      </c>
      <c r="DE102" s="27">
        <f t="shared" si="208"/>
        <v>0</v>
      </c>
      <c r="DF102" s="27">
        <f t="shared" si="209"/>
        <v>0</v>
      </c>
      <c r="DG102" s="27">
        <f t="shared" si="210"/>
        <v>0</v>
      </c>
      <c r="DH102" s="27">
        <f t="shared" si="211"/>
        <v>0</v>
      </c>
      <c r="DI102" s="27">
        <f t="shared" si="212"/>
        <v>0</v>
      </c>
      <c r="DJ102" s="27">
        <f t="shared" si="213"/>
        <v>0</v>
      </c>
      <c r="DK102" s="27">
        <f t="shared" si="214"/>
        <v>0</v>
      </c>
    </row>
    <row r="103" spans="1:115">
      <c r="A103" s="25">
        <v>95</v>
      </c>
      <c r="B103" s="26" t="s">
        <v>1162</v>
      </c>
      <c r="C103" s="26"/>
      <c r="D103" s="26"/>
      <c r="E103" s="205" t="s">
        <v>1200</v>
      </c>
      <c r="F103" s="161">
        <f t="shared" si="167"/>
        <v>0</v>
      </c>
      <c r="G103" s="165">
        <f t="shared" si="168"/>
        <v>0</v>
      </c>
      <c r="H103" s="27"/>
      <c r="I103" s="27">
        <v>0</v>
      </c>
      <c r="J103" s="27">
        <v>0</v>
      </c>
      <c r="K103" s="127">
        <f t="shared" si="169"/>
        <v>0</v>
      </c>
      <c r="L103" s="127">
        <f t="shared" si="170"/>
        <v>0</v>
      </c>
      <c r="M103" s="127">
        <f t="shared" si="171"/>
        <v>0</v>
      </c>
      <c r="N103" s="131"/>
      <c r="O103" s="125" t="str">
        <f t="shared" si="172"/>
        <v>ნულოვანი შესრულება</v>
      </c>
      <c r="P103" s="27">
        <v>0</v>
      </c>
      <c r="Q103" s="27">
        <v>0</v>
      </c>
      <c r="R103" s="27">
        <f t="shared" si="173"/>
        <v>0</v>
      </c>
      <c r="S103" s="27">
        <f t="shared" si="174"/>
        <v>0</v>
      </c>
      <c r="T103" s="27"/>
      <c r="U103" s="27"/>
      <c r="V103" s="27">
        <v>73</v>
      </c>
      <c r="W103" s="27"/>
      <c r="X103" s="27">
        <f t="shared" si="175"/>
        <v>73</v>
      </c>
      <c r="Y103" s="27">
        <f t="shared" si="176"/>
        <v>0</v>
      </c>
      <c r="Z103" s="27">
        <v>73</v>
      </c>
      <c r="AA103" s="27"/>
      <c r="AB103" s="27"/>
      <c r="AC103" s="27"/>
      <c r="AD103" s="27">
        <f t="shared" si="177"/>
        <v>73</v>
      </c>
      <c r="AE103" s="27">
        <f t="shared" si="178"/>
        <v>0</v>
      </c>
      <c r="AF103" s="27">
        <f t="shared" si="179"/>
        <v>73</v>
      </c>
      <c r="AG103" s="27">
        <f t="shared" si="180"/>
        <v>0</v>
      </c>
      <c r="AH103" s="27">
        <f t="shared" si="181"/>
        <v>73</v>
      </c>
      <c r="AI103" s="27">
        <f t="shared" si="182"/>
        <v>0</v>
      </c>
      <c r="AJ103" s="27">
        <f t="shared" si="183"/>
        <v>146</v>
      </c>
      <c r="AK103" s="27">
        <f t="shared" si="184"/>
        <v>0</v>
      </c>
      <c r="AL103" s="27"/>
      <c r="AM103" s="27"/>
      <c r="AN103" s="27">
        <v>0</v>
      </c>
      <c r="AO103" s="27"/>
      <c r="AP103" s="27">
        <f t="shared" si="185"/>
        <v>0</v>
      </c>
      <c r="AQ103" s="27">
        <f t="shared" si="186"/>
        <v>0</v>
      </c>
      <c r="AR103" s="27"/>
      <c r="AS103" s="27"/>
      <c r="AT103" s="27">
        <v>0</v>
      </c>
      <c r="AU103" s="27"/>
      <c r="AV103" s="27">
        <f t="shared" si="187"/>
        <v>0</v>
      </c>
      <c r="AW103" s="27">
        <f t="shared" si="188"/>
        <v>0</v>
      </c>
      <c r="AX103" s="27"/>
      <c r="AY103" s="27"/>
      <c r="AZ103" s="27">
        <v>0</v>
      </c>
      <c r="BA103" s="27"/>
      <c r="BB103" s="27">
        <f t="shared" si="189"/>
        <v>0</v>
      </c>
      <c r="BC103" s="27">
        <f t="shared" si="190"/>
        <v>0</v>
      </c>
      <c r="BD103" s="27"/>
      <c r="BE103" s="27"/>
      <c r="BF103" s="27">
        <v>0</v>
      </c>
      <c r="BG103" s="27"/>
      <c r="BH103" s="27">
        <f t="shared" si="191"/>
        <v>0</v>
      </c>
      <c r="BI103" s="27">
        <f t="shared" si="192"/>
        <v>0</v>
      </c>
      <c r="BJ103" s="27"/>
      <c r="BK103" s="27"/>
      <c r="BL103" s="27">
        <v>0</v>
      </c>
      <c r="BM103" s="27"/>
      <c r="BN103" s="27">
        <f t="shared" si="193"/>
        <v>0</v>
      </c>
      <c r="BO103" s="27">
        <f t="shared" si="194"/>
        <v>0</v>
      </c>
      <c r="BP103" s="26"/>
      <c r="BQ103" s="26"/>
      <c r="BR103" s="27">
        <v>0</v>
      </c>
      <c r="BS103" s="27"/>
      <c r="BT103" s="27">
        <f t="shared" si="195"/>
        <v>0</v>
      </c>
      <c r="BU103" s="27">
        <f t="shared" si="196"/>
        <v>0</v>
      </c>
      <c r="BV103" s="26"/>
      <c r="BW103" s="26"/>
      <c r="BX103" s="27">
        <v>0</v>
      </c>
      <c r="BY103" s="26"/>
      <c r="BZ103" s="27">
        <f t="shared" si="197"/>
        <v>0</v>
      </c>
      <c r="CA103" s="27">
        <f t="shared" si="198"/>
        <v>0</v>
      </c>
      <c r="CB103" s="26"/>
      <c r="CC103" s="26"/>
      <c r="CD103" s="27">
        <v>0</v>
      </c>
      <c r="CE103" s="26"/>
      <c r="CF103" s="27">
        <f t="shared" si="199"/>
        <v>0</v>
      </c>
      <c r="CG103" s="27">
        <f t="shared" si="200"/>
        <v>0</v>
      </c>
      <c r="CH103" s="27"/>
      <c r="CI103" s="27"/>
      <c r="CJ103" s="27">
        <v>0</v>
      </c>
      <c r="CK103" s="27"/>
      <c r="CL103" s="27">
        <f t="shared" si="201"/>
        <v>0</v>
      </c>
      <c r="CM103" s="27">
        <f t="shared" si="202"/>
        <v>0</v>
      </c>
      <c r="CN103" s="27"/>
      <c r="CO103" s="27"/>
      <c r="CP103" s="27">
        <v>0</v>
      </c>
      <c r="CQ103" s="27"/>
      <c r="CR103" s="27">
        <f t="shared" si="203"/>
        <v>0</v>
      </c>
      <c r="CS103" s="27">
        <f t="shared" si="204"/>
        <v>0</v>
      </c>
      <c r="CT103" s="27"/>
      <c r="CU103" s="27"/>
      <c r="CV103" s="27">
        <v>0</v>
      </c>
      <c r="CW103" s="27"/>
      <c r="CX103" s="27">
        <f t="shared" si="205"/>
        <v>0</v>
      </c>
      <c r="CY103" s="27">
        <f t="shared" si="206"/>
        <v>0</v>
      </c>
      <c r="CZ103" s="27"/>
      <c r="DA103" s="27"/>
      <c r="DB103" s="27">
        <v>0</v>
      </c>
      <c r="DC103" s="27"/>
      <c r="DD103" s="27">
        <f t="shared" si="207"/>
        <v>0</v>
      </c>
      <c r="DE103" s="27">
        <f t="shared" si="208"/>
        <v>0</v>
      </c>
      <c r="DF103" s="27">
        <f t="shared" si="209"/>
        <v>0</v>
      </c>
      <c r="DG103" s="27">
        <f t="shared" si="210"/>
        <v>0</v>
      </c>
      <c r="DH103" s="27">
        <f t="shared" si="211"/>
        <v>0</v>
      </c>
      <c r="DI103" s="27">
        <f t="shared" si="212"/>
        <v>0</v>
      </c>
      <c r="DJ103" s="27">
        <f t="shared" si="213"/>
        <v>0</v>
      </c>
      <c r="DK103" s="27">
        <f t="shared" si="214"/>
        <v>0</v>
      </c>
    </row>
    <row r="104" spans="1:115">
      <c r="A104" s="25">
        <v>96</v>
      </c>
      <c r="B104" s="26" t="s">
        <v>1162</v>
      </c>
      <c r="C104" s="26"/>
      <c r="D104" s="26"/>
      <c r="E104" s="205" t="s">
        <v>1200</v>
      </c>
      <c r="F104" s="161">
        <f t="shared" si="167"/>
        <v>0</v>
      </c>
      <c r="G104" s="165">
        <f t="shared" si="168"/>
        <v>0</v>
      </c>
      <c r="H104" s="27"/>
      <c r="I104" s="27">
        <v>0</v>
      </c>
      <c r="J104" s="27">
        <v>0</v>
      </c>
      <c r="K104" s="127">
        <f t="shared" si="169"/>
        <v>0</v>
      </c>
      <c r="L104" s="127">
        <f t="shared" si="170"/>
        <v>0</v>
      </c>
      <c r="M104" s="127">
        <f t="shared" si="171"/>
        <v>0</v>
      </c>
      <c r="N104" s="131"/>
      <c r="O104" s="125" t="str">
        <f t="shared" si="172"/>
        <v>ნულოვანი შესრულება</v>
      </c>
      <c r="P104" s="27">
        <v>0</v>
      </c>
      <c r="Q104" s="27">
        <v>0</v>
      </c>
      <c r="R104" s="27">
        <f t="shared" si="173"/>
        <v>0</v>
      </c>
      <c r="S104" s="27">
        <f t="shared" si="174"/>
        <v>0</v>
      </c>
      <c r="T104" s="27"/>
      <c r="U104" s="27"/>
      <c r="V104" s="27">
        <v>74</v>
      </c>
      <c r="W104" s="27"/>
      <c r="X104" s="27">
        <f t="shared" si="175"/>
        <v>74</v>
      </c>
      <c r="Y104" s="27">
        <f t="shared" si="176"/>
        <v>0</v>
      </c>
      <c r="Z104" s="27">
        <v>74</v>
      </c>
      <c r="AA104" s="27"/>
      <c r="AB104" s="27"/>
      <c r="AC104" s="27"/>
      <c r="AD104" s="27">
        <f t="shared" si="177"/>
        <v>74</v>
      </c>
      <c r="AE104" s="27">
        <f t="shared" si="178"/>
        <v>0</v>
      </c>
      <c r="AF104" s="27">
        <f t="shared" si="179"/>
        <v>74</v>
      </c>
      <c r="AG104" s="27">
        <f t="shared" si="180"/>
        <v>0</v>
      </c>
      <c r="AH104" s="27">
        <f t="shared" si="181"/>
        <v>74</v>
      </c>
      <c r="AI104" s="27">
        <f t="shared" si="182"/>
        <v>0</v>
      </c>
      <c r="AJ104" s="27">
        <f t="shared" si="183"/>
        <v>148</v>
      </c>
      <c r="AK104" s="27">
        <f t="shared" si="184"/>
        <v>0</v>
      </c>
      <c r="AL104" s="27"/>
      <c r="AM104" s="27"/>
      <c r="AN104" s="27">
        <v>0</v>
      </c>
      <c r="AO104" s="27"/>
      <c r="AP104" s="27">
        <f t="shared" si="185"/>
        <v>0</v>
      </c>
      <c r="AQ104" s="27">
        <f t="shared" si="186"/>
        <v>0</v>
      </c>
      <c r="AR104" s="27"/>
      <c r="AS104" s="27"/>
      <c r="AT104" s="27">
        <v>0</v>
      </c>
      <c r="AU104" s="27"/>
      <c r="AV104" s="27">
        <f t="shared" si="187"/>
        <v>0</v>
      </c>
      <c r="AW104" s="27">
        <f t="shared" si="188"/>
        <v>0</v>
      </c>
      <c r="AX104" s="27"/>
      <c r="AY104" s="27"/>
      <c r="AZ104" s="27">
        <v>0</v>
      </c>
      <c r="BA104" s="27"/>
      <c r="BB104" s="27">
        <f t="shared" si="189"/>
        <v>0</v>
      </c>
      <c r="BC104" s="27">
        <f t="shared" si="190"/>
        <v>0</v>
      </c>
      <c r="BD104" s="27"/>
      <c r="BE104" s="27"/>
      <c r="BF104" s="27">
        <v>0</v>
      </c>
      <c r="BG104" s="27"/>
      <c r="BH104" s="27">
        <f t="shared" si="191"/>
        <v>0</v>
      </c>
      <c r="BI104" s="27">
        <f t="shared" si="192"/>
        <v>0</v>
      </c>
      <c r="BJ104" s="27"/>
      <c r="BK104" s="27"/>
      <c r="BL104" s="27">
        <v>0</v>
      </c>
      <c r="BM104" s="27"/>
      <c r="BN104" s="27">
        <f t="shared" si="193"/>
        <v>0</v>
      </c>
      <c r="BO104" s="27">
        <f t="shared" si="194"/>
        <v>0</v>
      </c>
      <c r="BP104" s="26"/>
      <c r="BQ104" s="26"/>
      <c r="BR104" s="27">
        <v>0</v>
      </c>
      <c r="BS104" s="27"/>
      <c r="BT104" s="27">
        <f t="shared" si="195"/>
        <v>0</v>
      </c>
      <c r="BU104" s="27">
        <f t="shared" si="196"/>
        <v>0</v>
      </c>
      <c r="BV104" s="26"/>
      <c r="BW104" s="26"/>
      <c r="BX104" s="27">
        <v>0</v>
      </c>
      <c r="BY104" s="26"/>
      <c r="BZ104" s="27">
        <f t="shared" si="197"/>
        <v>0</v>
      </c>
      <c r="CA104" s="27">
        <f t="shared" si="198"/>
        <v>0</v>
      </c>
      <c r="CB104" s="26"/>
      <c r="CC104" s="26"/>
      <c r="CD104" s="27">
        <v>0</v>
      </c>
      <c r="CE104" s="26"/>
      <c r="CF104" s="27">
        <f t="shared" si="199"/>
        <v>0</v>
      </c>
      <c r="CG104" s="27">
        <f t="shared" si="200"/>
        <v>0</v>
      </c>
      <c r="CH104" s="27"/>
      <c r="CI104" s="27"/>
      <c r="CJ104" s="27">
        <v>0</v>
      </c>
      <c r="CK104" s="27"/>
      <c r="CL104" s="27">
        <f t="shared" si="201"/>
        <v>0</v>
      </c>
      <c r="CM104" s="27">
        <f t="shared" si="202"/>
        <v>0</v>
      </c>
      <c r="CN104" s="27"/>
      <c r="CO104" s="27"/>
      <c r="CP104" s="27">
        <v>0</v>
      </c>
      <c r="CQ104" s="27"/>
      <c r="CR104" s="27">
        <f t="shared" si="203"/>
        <v>0</v>
      </c>
      <c r="CS104" s="27">
        <f t="shared" si="204"/>
        <v>0</v>
      </c>
      <c r="CT104" s="27"/>
      <c r="CU104" s="27"/>
      <c r="CV104" s="27">
        <v>0</v>
      </c>
      <c r="CW104" s="27"/>
      <c r="CX104" s="27">
        <f t="shared" si="205"/>
        <v>0</v>
      </c>
      <c r="CY104" s="27">
        <f t="shared" si="206"/>
        <v>0</v>
      </c>
      <c r="CZ104" s="27"/>
      <c r="DA104" s="27"/>
      <c r="DB104" s="27">
        <v>0</v>
      </c>
      <c r="DC104" s="27"/>
      <c r="DD104" s="27">
        <f t="shared" si="207"/>
        <v>0</v>
      </c>
      <c r="DE104" s="27">
        <f t="shared" si="208"/>
        <v>0</v>
      </c>
      <c r="DF104" s="27">
        <f t="shared" si="209"/>
        <v>0</v>
      </c>
      <c r="DG104" s="27">
        <f t="shared" si="210"/>
        <v>0</v>
      </c>
      <c r="DH104" s="27">
        <f t="shared" si="211"/>
        <v>0</v>
      </c>
      <c r="DI104" s="27">
        <f t="shared" si="212"/>
        <v>0</v>
      </c>
      <c r="DJ104" s="27">
        <f t="shared" si="213"/>
        <v>0</v>
      </c>
      <c r="DK104" s="27">
        <f t="shared" si="214"/>
        <v>0</v>
      </c>
    </row>
    <row r="105" spans="1:115">
      <c r="A105" s="25">
        <v>97</v>
      </c>
      <c r="B105" s="26" t="s">
        <v>1162</v>
      </c>
      <c r="C105" s="26"/>
      <c r="D105" s="26"/>
      <c r="E105" s="205" t="s">
        <v>1200</v>
      </c>
      <c r="F105" s="161">
        <f t="shared" si="167"/>
        <v>0</v>
      </c>
      <c r="G105" s="165">
        <f t="shared" si="168"/>
        <v>0</v>
      </c>
      <c r="H105" s="27"/>
      <c r="I105" s="27">
        <v>0</v>
      </c>
      <c r="J105" s="27">
        <v>0</v>
      </c>
      <c r="K105" s="127">
        <f t="shared" si="169"/>
        <v>0</v>
      </c>
      <c r="L105" s="127">
        <f t="shared" si="170"/>
        <v>0</v>
      </c>
      <c r="M105" s="127">
        <f t="shared" si="171"/>
        <v>0</v>
      </c>
      <c r="N105" s="131"/>
      <c r="O105" s="125" t="str">
        <f t="shared" si="172"/>
        <v>ნულოვანი შესრულება</v>
      </c>
      <c r="P105" s="27">
        <v>0</v>
      </c>
      <c r="Q105" s="27">
        <v>0</v>
      </c>
      <c r="R105" s="27">
        <f t="shared" si="173"/>
        <v>0</v>
      </c>
      <c r="S105" s="27">
        <f t="shared" si="174"/>
        <v>0</v>
      </c>
      <c r="T105" s="27"/>
      <c r="U105" s="27"/>
      <c r="V105" s="27">
        <v>75</v>
      </c>
      <c r="W105" s="27"/>
      <c r="X105" s="27">
        <f t="shared" si="175"/>
        <v>75</v>
      </c>
      <c r="Y105" s="27">
        <f t="shared" si="176"/>
        <v>0</v>
      </c>
      <c r="Z105" s="27">
        <v>75</v>
      </c>
      <c r="AA105" s="27"/>
      <c r="AB105" s="27"/>
      <c r="AC105" s="27"/>
      <c r="AD105" s="27">
        <f t="shared" si="177"/>
        <v>75</v>
      </c>
      <c r="AE105" s="27">
        <f t="shared" si="178"/>
        <v>0</v>
      </c>
      <c r="AF105" s="27">
        <f t="shared" si="179"/>
        <v>75</v>
      </c>
      <c r="AG105" s="27">
        <f t="shared" si="180"/>
        <v>0</v>
      </c>
      <c r="AH105" s="27">
        <f t="shared" si="181"/>
        <v>75</v>
      </c>
      <c r="AI105" s="27">
        <f t="shared" si="182"/>
        <v>0</v>
      </c>
      <c r="AJ105" s="27">
        <f t="shared" si="183"/>
        <v>150</v>
      </c>
      <c r="AK105" s="27">
        <f t="shared" si="184"/>
        <v>0</v>
      </c>
      <c r="AL105" s="27"/>
      <c r="AM105" s="27"/>
      <c r="AN105" s="27">
        <v>0</v>
      </c>
      <c r="AO105" s="27"/>
      <c r="AP105" s="27">
        <f t="shared" si="185"/>
        <v>0</v>
      </c>
      <c r="AQ105" s="27">
        <f t="shared" si="186"/>
        <v>0</v>
      </c>
      <c r="AR105" s="27"/>
      <c r="AS105" s="27"/>
      <c r="AT105" s="27">
        <v>0</v>
      </c>
      <c r="AU105" s="27"/>
      <c r="AV105" s="27">
        <f t="shared" si="187"/>
        <v>0</v>
      </c>
      <c r="AW105" s="27">
        <f t="shared" si="188"/>
        <v>0</v>
      </c>
      <c r="AX105" s="27"/>
      <c r="AY105" s="27"/>
      <c r="AZ105" s="27">
        <v>0</v>
      </c>
      <c r="BA105" s="27"/>
      <c r="BB105" s="27">
        <f t="shared" si="189"/>
        <v>0</v>
      </c>
      <c r="BC105" s="27">
        <f t="shared" si="190"/>
        <v>0</v>
      </c>
      <c r="BD105" s="27"/>
      <c r="BE105" s="27"/>
      <c r="BF105" s="27">
        <v>0</v>
      </c>
      <c r="BG105" s="27"/>
      <c r="BH105" s="27">
        <f t="shared" si="191"/>
        <v>0</v>
      </c>
      <c r="BI105" s="27">
        <f t="shared" si="192"/>
        <v>0</v>
      </c>
      <c r="BJ105" s="27"/>
      <c r="BK105" s="27"/>
      <c r="BL105" s="27">
        <v>0</v>
      </c>
      <c r="BM105" s="27"/>
      <c r="BN105" s="27">
        <f t="shared" si="193"/>
        <v>0</v>
      </c>
      <c r="BO105" s="27">
        <f t="shared" si="194"/>
        <v>0</v>
      </c>
      <c r="BP105" s="26"/>
      <c r="BQ105" s="26"/>
      <c r="BR105" s="27">
        <v>0</v>
      </c>
      <c r="BS105" s="27"/>
      <c r="BT105" s="27">
        <f t="shared" si="195"/>
        <v>0</v>
      </c>
      <c r="BU105" s="27">
        <f t="shared" si="196"/>
        <v>0</v>
      </c>
      <c r="BV105" s="26"/>
      <c r="BW105" s="26"/>
      <c r="BX105" s="27">
        <v>0</v>
      </c>
      <c r="BY105" s="26"/>
      <c r="BZ105" s="27">
        <f t="shared" si="197"/>
        <v>0</v>
      </c>
      <c r="CA105" s="27">
        <f t="shared" si="198"/>
        <v>0</v>
      </c>
      <c r="CB105" s="26"/>
      <c r="CC105" s="26"/>
      <c r="CD105" s="27">
        <v>0</v>
      </c>
      <c r="CE105" s="26"/>
      <c r="CF105" s="27">
        <f t="shared" si="199"/>
        <v>0</v>
      </c>
      <c r="CG105" s="27">
        <f t="shared" si="200"/>
        <v>0</v>
      </c>
      <c r="CH105" s="27"/>
      <c r="CI105" s="27"/>
      <c r="CJ105" s="27">
        <v>0</v>
      </c>
      <c r="CK105" s="27"/>
      <c r="CL105" s="27">
        <f t="shared" si="201"/>
        <v>0</v>
      </c>
      <c r="CM105" s="27">
        <f t="shared" si="202"/>
        <v>0</v>
      </c>
      <c r="CN105" s="27"/>
      <c r="CO105" s="27"/>
      <c r="CP105" s="27">
        <v>0</v>
      </c>
      <c r="CQ105" s="27"/>
      <c r="CR105" s="27">
        <f t="shared" si="203"/>
        <v>0</v>
      </c>
      <c r="CS105" s="27">
        <f t="shared" si="204"/>
        <v>0</v>
      </c>
      <c r="CT105" s="27"/>
      <c r="CU105" s="27"/>
      <c r="CV105" s="27">
        <v>0</v>
      </c>
      <c r="CW105" s="27"/>
      <c r="CX105" s="27">
        <f t="shared" si="205"/>
        <v>0</v>
      </c>
      <c r="CY105" s="27">
        <f t="shared" si="206"/>
        <v>0</v>
      </c>
      <c r="CZ105" s="27"/>
      <c r="DA105" s="27"/>
      <c r="DB105" s="27">
        <v>0</v>
      </c>
      <c r="DC105" s="27"/>
      <c r="DD105" s="27">
        <f t="shared" si="207"/>
        <v>0</v>
      </c>
      <c r="DE105" s="27">
        <f t="shared" si="208"/>
        <v>0</v>
      </c>
      <c r="DF105" s="27">
        <f t="shared" si="209"/>
        <v>0</v>
      </c>
      <c r="DG105" s="27">
        <f t="shared" si="210"/>
        <v>0</v>
      </c>
      <c r="DH105" s="27">
        <f t="shared" si="211"/>
        <v>0</v>
      </c>
      <c r="DI105" s="27">
        <f t="shared" si="212"/>
        <v>0</v>
      </c>
      <c r="DJ105" s="27">
        <f t="shared" si="213"/>
        <v>0</v>
      </c>
      <c r="DK105" s="27">
        <f t="shared" si="214"/>
        <v>0</v>
      </c>
    </row>
    <row r="106" spans="1:115">
      <c r="A106" s="25">
        <v>98</v>
      </c>
      <c r="B106" s="26" t="s">
        <v>1162</v>
      </c>
      <c r="C106" s="26"/>
      <c r="D106" s="26"/>
      <c r="E106" s="205" t="s">
        <v>1200</v>
      </c>
      <c r="F106" s="161">
        <f t="shared" si="167"/>
        <v>0</v>
      </c>
      <c r="G106" s="165">
        <f t="shared" si="168"/>
        <v>0</v>
      </c>
      <c r="H106" s="27"/>
      <c r="I106" s="27">
        <v>0</v>
      </c>
      <c r="J106" s="27">
        <v>0</v>
      </c>
      <c r="K106" s="127">
        <f t="shared" si="169"/>
        <v>0</v>
      </c>
      <c r="L106" s="127">
        <f t="shared" si="170"/>
        <v>0</v>
      </c>
      <c r="M106" s="127">
        <f t="shared" si="171"/>
        <v>0</v>
      </c>
      <c r="N106" s="131"/>
      <c r="O106" s="125" t="str">
        <f t="shared" si="172"/>
        <v>ნულოვანი შესრულება</v>
      </c>
      <c r="P106" s="27">
        <v>0</v>
      </c>
      <c r="Q106" s="27">
        <v>0</v>
      </c>
      <c r="R106" s="27">
        <f t="shared" si="173"/>
        <v>0</v>
      </c>
      <c r="S106" s="27">
        <f t="shared" si="174"/>
        <v>0</v>
      </c>
      <c r="T106" s="27"/>
      <c r="U106" s="27"/>
      <c r="V106" s="27">
        <v>76</v>
      </c>
      <c r="W106" s="27"/>
      <c r="X106" s="27">
        <f t="shared" si="175"/>
        <v>76</v>
      </c>
      <c r="Y106" s="27">
        <f t="shared" si="176"/>
        <v>0</v>
      </c>
      <c r="Z106" s="27">
        <v>76</v>
      </c>
      <c r="AA106" s="27"/>
      <c r="AB106" s="27"/>
      <c r="AC106" s="27"/>
      <c r="AD106" s="27">
        <f t="shared" si="177"/>
        <v>76</v>
      </c>
      <c r="AE106" s="27">
        <f t="shared" si="178"/>
        <v>0</v>
      </c>
      <c r="AF106" s="27">
        <f t="shared" si="179"/>
        <v>76</v>
      </c>
      <c r="AG106" s="27">
        <f t="shared" si="180"/>
        <v>0</v>
      </c>
      <c r="AH106" s="27">
        <f t="shared" si="181"/>
        <v>76</v>
      </c>
      <c r="AI106" s="27">
        <f t="shared" si="182"/>
        <v>0</v>
      </c>
      <c r="AJ106" s="27">
        <f t="shared" si="183"/>
        <v>152</v>
      </c>
      <c r="AK106" s="27">
        <f t="shared" si="184"/>
        <v>0</v>
      </c>
      <c r="AL106" s="27"/>
      <c r="AM106" s="27"/>
      <c r="AN106" s="27">
        <v>0</v>
      </c>
      <c r="AO106" s="27"/>
      <c r="AP106" s="27">
        <f t="shared" si="185"/>
        <v>0</v>
      </c>
      <c r="AQ106" s="27">
        <f t="shared" si="186"/>
        <v>0</v>
      </c>
      <c r="AR106" s="27"/>
      <c r="AS106" s="27"/>
      <c r="AT106" s="27">
        <v>0</v>
      </c>
      <c r="AU106" s="27"/>
      <c r="AV106" s="27">
        <f t="shared" si="187"/>
        <v>0</v>
      </c>
      <c r="AW106" s="27">
        <f t="shared" si="188"/>
        <v>0</v>
      </c>
      <c r="AX106" s="27"/>
      <c r="AY106" s="27"/>
      <c r="AZ106" s="27">
        <v>0</v>
      </c>
      <c r="BA106" s="27"/>
      <c r="BB106" s="27">
        <f t="shared" si="189"/>
        <v>0</v>
      </c>
      <c r="BC106" s="27">
        <f t="shared" si="190"/>
        <v>0</v>
      </c>
      <c r="BD106" s="27"/>
      <c r="BE106" s="27"/>
      <c r="BF106" s="27">
        <v>0</v>
      </c>
      <c r="BG106" s="27"/>
      <c r="BH106" s="27">
        <f t="shared" si="191"/>
        <v>0</v>
      </c>
      <c r="BI106" s="27">
        <f t="shared" si="192"/>
        <v>0</v>
      </c>
      <c r="BJ106" s="27"/>
      <c r="BK106" s="27"/>
      <c r="BL106" s="27">
        <v>0</v>
      </c>
      <c r="BM106" s="27"/>
      <c r="BN106" s="27">
        <f t="shared" si="193"/>
        <v>0</v>
      </c>
      <c r="BO106" s="27">
        <f t="shared" si="194"/>
        <v>0</v>
      </c>
      <c r="BP106" s="26"/>
      <c r="BQ106" s="26"/>
      <c r="BR106" s="27">
        <v>0</v>
      </c>
      <c r="BS106" s="27"/>
      <c r="BT106" s="27">
        <f t="shared" si="195"/>
        <v>0</v>
      </c>
      <c r="BU106" s="27">
        <f t="shared" si="196"/>
        <v>0</v>
      </c>
      <c r="BV106" s="26"/>
      <c r="BW106" s="26"/>
      <c r="BX106" s="27">
        <v>0</v>
      </c>
      <c r="BY106" s="26"/>
      <c r="BZ106" s="27">
        <f t="shared" si="197"/>
        <v>0</v>
      </c>
      <c r="CA106" s="27">
        <f t="shared" si="198"/>
        <v>0</v>
      </c>
      <c r="CB106" s="26"/>
      <c r="CC106" s="26"/>
      <c r="CD106" s="27">
        <v>0</v>
      </c>
      <c r="CE106" s="26"/>
      <c r="CF106" s="27">
        <f t="shared" si="199"/>
        <v>0</v>
      </c>
      <c r="CG106" s="27">
        <f t="shared" si="200"/>
        <v>0</v>
      </c>
      <c r="CH106" s="27"/>
      <c r="CI106" s="27"/>
      <c r="CJ106" s="27">
        <v>0</v>
      </c>
      <c r="CK106" s="27"/>
      <c r="CL106" s="27">
        <f t="shared" si="201"/>
        <v>0</v>
      </c>
      <c r="CM106" s="27">
        <f t="shared" si="202"/>
        <v>0</v>
      </c>
      <c r="CN106" s="27"/>
      <c r="CO106" s="27"/>
      <c r="CP106" s="27">
        <v>0</v>
      </c>
      <c r="CQ106" s="27"/>
      <c r="CR106" s="27">
        <f t="shared" si="203"/>
        <v>0</v>
      </c>
      <c r="CS106" s="27">
        <f t="shared" si="204"/>
        <v>0</v>
      </c>
      <c r="CT106" s="27"/>
      <c r="CU106" s="27"/>
      <c r="CV106" s="27">
        <v>0</v>
      </c>
      <c r="CW106" s="27"/>
      <c r="CX106" s="27">
        <f t="shared" si="205"/>
        <v>0</v>
      </c>
      <c r="CY106" s="27">
        <f t="shared" si="206"/>
        <v>0</v>
      </c>
      <c r="CZ106" s="27"/>
      <c r="DA106" s="27"/>
      <c r="DB106" s="27">
        <v>0</v>
      </c>
      <c r="DC106" s="27"/>
      <c r="DD106" s="27">
        <f t="shared" si="207"/>
        <v>0</v>
      </c>
      <c r="DE106" s="27">
        <f t="shared" si="208"/>
        <v>0</v>
      </c>
      <c r="DF106" s="27">
        <f t="shared" si="209"/>
        <v>0</v>
      </c>
      <c r="DG106" s="27">
        <f t="shared" si="210"/>
        <v>0</v>
      </c>
      <c r="DH106" s="27">
        <f t="shared" si="211"/>
        <v>0</v>
      </c>
      <c r="DI106" s="27">
        <f t="shared" si="212"/>
        <v>0</v>
      </c>
      <c r="DJ106" s="27">
        <f t="shared" si="213"/>
        <v>0</v>
      </c>
      <c r="DK106" s="27">
        <f t="shared" si="214"/>
        <v>0</v>
      </c>
    </row>
    <row r="107" spans="1:115">
      <c r="A107" s="25">
        <v>99</v>
      </c>
      <c r="B107" s="26" t="s">
        <v>1162</v>
      </c>
      <c r="C107" s="26"/>
      <c r="D107" s="26"/>
      <c r="E107" s="205" t="s">
        <v>1200</v>
      </c>
      <c r="F107" s="161">
        <f t="shared" si="167"/>
        <v>0</v>
      </c>
      <c r="G107" s="165">
        <f t="shared" si="168"/>
        <v>0</v>
      </c>
      <c r="H107" s="27"/>
      <c r="I107" s="27">
        <v>0</v>
      </c>
      <c r="J107" s="27">
        <v>0</v>
      </c>
      <c r="K107" s="127">
        <f t="shared" si="169"/>
        <v>0</v>
      </c>
      <c r="L107" s="127">
        <f t="shared" si="170"/>
        <v>0</v>
      </c>
      <c r="M107" s="127">
        <f t="shared" si="171"/>
        <v>0</v>
      </c>
      <c r="N107" s="131"/>
      <c r="O107" s="125" t="str">
        <f t="shared" si="172"/>
        <v>ნულოვანი შესრულება</v>
      </c>
      <c r="P107" s="27">
        <v>0</v>
      </c>
      <c r="Q107" s="27">
        <v>0</v>
      </c>
      <c r="R107" s="27">
        <f t="shared" si="173"/>
        <v>0</v>
      </c>
      <c r="S107" s="27">
        <f t="shared" si="174"/>
        <v>0</v>
      </c>
      <c r="T107" s="27"/>
      <c r="U107" s="27"/>
      <c r="V107" s="27">
        <v>77</v>
      </c>
      <c r="W107" s="27"/>
      <c r="X107" s="27">
        <f t="shared" si="175"/>
        <v>77</v>
      </c>
      <c r="Y107" s="27">
        <f t="shared" si="176"/>
        <v>0</v>
      </c>
      <c r="Z107" s="27">
        <v>77</v>
      </c>
      <c r="AA107" s="27"/>
      <c r="AB107" s="27"/>
      <c r="AC107" s="27"/>
      <c r="AD107" s="27">
        <f t="shared" si="177"/>
        <v>77</v>
      </c>
      <c r="AE107" s="27">
        <f t="shared" si="178"/>
        <v>0</v>
      </c>
      <c r="AF107" s="27">
        <f t="shared" si="179"/>
        <v>77</v>
      </c>
      <c r="AG107" s="27">
        <f t="shared" si="180"/>
        <v>0</v>
      </c>
      <c r="AH107" s="27">
        <f t="shared" si="181"/>
        <v>77</v>
      </c>
      <c r="AI107" s="27">
        <f t="shared" si="182"/>
        <v>0</v>
      </c>
      <c r="AJ107" s="27">
        <f t="shared" si="183"/>
        <v>154</v>
      </c>
      <c r="AK107" s="27">
        <f t="shared" si="184"/>
        <v>0</v>
      </c>
      <c r="AL107" s="27"/>
      <c r="AM107" s="27"/>
      <c r="AN107" s="27">
        <v>0</v>
      </c>
      <c r="AO107" s="27"/>
      <c r="AP107" s="27">
        <f t="shared" si="185"/>
        <v>0</v>
      </c>
      <c r="AQ107" s="27">
        <f t="shared" si="186"/>
        <v>0</v>
      </c>
      <c r="AR107" s="27"/>
      <c r="AS107" s="27"/>
      <c r="AT107" s="27">
        <v>0</v>
      </c>
      <c r="AU107" s="27"/>
      <c r="AV107" s="27">
        <f t="shared" si="187"/>
        <v>0</v>
      </c>
      <c r="AW107" s="27">
        <f t="shared" si="188"/>
        <v>0</v>
      </c>
      <c r="AX107" s="27"/>
      <c r="AY107" s="27"/>
      <c r="AZ107" s="27">
        <v>0</v>
      </c>
      <c r="BA107" s="27"/>
      <c r="BB107" s="27">
        <f t="shared" si="189"/>
        <v>0</v>
      </c>
      <c r="BC107" s="27">
        <f t="shared" si="190"/>
        <v>0</v>
      </c>
      <c r="BD107" s="27"/>
      <c r="BE107" s="27"/>
      <c r="BF107" s="27">
        <v>0</v>
      </c>
      <c r="BG107" s="27"/>
      <c r="BH107" s="27">
        <f t="shared" si="191"/>
        <v>0</v>
      </c>
      <c r="BI107" s="27">
        <f t="shared" si="192"/>
        <v>0</v>
      </c>
      <c r="BJ107" s="27"/>
      <c r="BK107" s="27"/>
      <c r="BL107" s="27">
        <v>0</v>
      </c>
      <c r="BM107" s="27"/>
      <c r="BN107" s="27">
        <f t="shared" si="193"/>
        <v>0</v>
      </c>
      <c r="BO107" s="27">
        <f t="shared" si="194"/>
        <v>0</v>
      </c>
      <c r="BP107" s="26"/>
      <c r="BQ107" s="26"/>
      <c r="BR107" s="27">
        <v>0</v>
      </c>
      <c r="BS107" s="27"/>
      <c r="BT107" s="27">
        <f t="shared" si="195"/>
        <v>0</v>
      </c>
      <c r="BU107" s="27">
        <f t="shared" si="196"/>
        <v>0</v>
      </c>
      <c r="BV107" s="26"/>
      <c r="BW107" s="26"/>
      <c r="BX107" s="27">
        <v>0</v>
      </c>
      <c r="BY107" s="26"/>
      <c r="BZ107" s="27">
        <f t="shared" si="197"/>
        <v>0</v>
      </c>
      <c r="CA107" s="27">
        <f t="shared" si="198"/>
        <v>0</v>
      </c>
      <c r="CB107" s="26"/>
      <c r="CC107" s="26"/>
      <c r="CD107" s="27">
        <v>0</v>
      </c>
      <c r="CE107" s="26"/>
      <c r="CF107" s="27">
        <f t="shared" si="199"/>
        <v>0</v>
      </c>
      <c r="CG107" s="27">
        <f t="shared" si="200"/>
        <v>0</v>
      </c>
      <c r="CH107" s="27"/>
      <c r="CI107" s="27"/>
      <c r="CJ107" s="27">
        <v>0</v>
      </c>
      <c r="CK107" s="27"/>
      <c r="CL107" s="27">
        <f t="shared" si="201"/>
        <v>0</v>
      </c>
      <c r="CM107" s="27">
        <f t="shared" si="202"/>
        <v>0</v>
      </c>
      <c r="CN107" s="27"/>
      <c r="CO107" s="27"/>
      <c r="CP107" s="27">
        <v>0</v>
      </c>
      <c r="CQ107" s="27"/>
      <c r="CR107" s="27">
        <f t="shared" si="203"/>
        <v>0</v>
      </c>
      <c r="CS107" s="27">
        <f t="shared" si="204"/>
        <v>0</v>
      </c>
      <c r="CT107" s="27"/>
      <c r="CU107" s="27"/>
      <c r="CV107" s="27">
        <v>0</v>
      </c>
      <c r="CW107" s="27"/>
      <c r="CX107" s="27">
        <f t="shared" si="205"/>
        <v>0</v>
      </c>
      <c r="CY107" s="27">
        <f t="shared" si="206"/>
        <v>0</v>
      </c>
      <c r="CZ107" s="27"/>
      <c r="DA107" s="27"/>
      <c r="DB107" s="27">
        <v>0</v>
      </c>
      <c r="DC107" s="27"/>
      <c r="DD107" s="27">
        <f t="shared" si="207"/>
        <v>0</v>
      </c>
      <c r="DE107" s="27">
        <f t="shared" si="208"/>
        <v>0</v>
      </c>
      <c r="DF107" s="27">
        <f t="shared" si="209"/>
        <v>0</v>
      </c>
      <c r="DG107" s="27">
        <f t="shared" si="210"/>
        <v>0</v>
      </c>
      <c r="DH107" s="27">
        <f t="shared" si="211"/>
        <v>0</v>
      </c>
      <c r="DI107" s="27">
        <f t="shared" si="212"/>
        <v>0</v>
      </c>
      <c r="DJ107" s="27">
        <f t="shared" si="213"/>
        <v>0</v>
      </c>
      <c r="DK107" s="27">
        <f t="shared" si="214"/>
        <v>0</v>
      </c>
    </row>
    <row r="108" spans="1:115">
      <c r="A108" s="25">
        <v>100</v>
      </c>
      <c r="B108" s="26" t="s">
        <v>1162</v>
      </c>
      <c r="C108" s="26"/>
      <c r="D108" s="26"/>
      <c r="E108" s="205" t="s">
        <v>1200</v>
      </c>
      <c r="F108" s="161">
        <f t="shared" si="167"/>
        <v>0</v>
      </c>
      <c r="G108" s="165">
        <f t="shared" si="168"/>
        <v>0</v>
      </c>
      <c r="H108" s="27"/>
      <c r="I108" s="27">
        <v>0</v>
      </c>
      <c r="J108" s="27">
        <v>0</v>
      </c>
      <c r="K108" s="127">
        <f t="shared" si="169"/>
        <v>0</v>
      </c>
      <c r="L108" s="127">
        <f t="shared" si="170"/>
        <v>0</v>
      </c>
      <c r="M108" s="127">
        <f t="shared" si="171"/>
        <v>0</v>
      </c>
      <c r="N108" s="131"/>
      <c r="O108" s="125" t="str">
        <f t="shared" si="172"/>
        <v>ნულოვანი შესრულება</v>
      </c>
      <c r="P108" s="27">
        <v>0</v>
      </c>
      <c r="Q108" s="27">
        <v>0</v>
      </c>
      <c r="R108" s="27">
        <f t="shared" si="173"/>
        <v>0</v>
      </c>
      <c r="S108" s="27">
        <f t="shared" si="174"/>
        <v>0</v>
      </c>
      <c r="T108" s="27"/>
      <c r="U108" s="27"/>
      <c r="V108" s="27">
        <v>78</v>
      </c>
      <c r="W108" s="27"/>
      <c r="X108" s="27">
        <f t="shared" si="175"/>
        <v>78</v>
      </c>
      <c r="Y108" s="27">
        <f t="shared" si="176"/>
        <v>0</v>
      </c>
      <c r="Z108" s="27">
        <v>78</v>
      </c>
      <c r="AA108" s="27"/>
      <c r="AB108" s="27"/>
      <c r="AC108" s="27"/>
      <c r="AD108" s="27">
        <f t="shared" si="177"/>
        <v>78</v>
      </c>
      <c r="AE108" s="27">
        <f t="shared" si="178"/>
        <v>0</v>
      </c>
      <c r="AF108" s="27">
        <f t="shared" si="179"/>
        <v>78</v>
      </c>
      <c r="AG108" s="27">
        <f t="shared" si="180"/>
        <v>0</v>
      </c>
      <c r="AH108" s="27">
        <f t="shared" si="181"/>
        <v>78</v>
      </c>
      <c r="AI108" s="27">
        <f t="shared" si="182"/>
        <v>0</v>
      </c>
      <c r="AJ108" s="27">
        <f t="shared" si="183"/>
        <v>156</v>
      </c>
      <c r="AK108" s="27">
        <f t="shared" si="184"/>
        <v>0</v>
      </c>
      <c r="AL108" s="27"/>
      <c r="AM108" s="27"/>
      <c r="AN108" s="27">
        <v>0</v>
      </c>
      <c r="AO108" s="27"/>
      <c r="AP108" s="27">
        <f t="shared" si="185"/>
        <v>0</v>
      </c>
      <c r="AQ108" s="27">
        <f t="shared" si="186"/>
        <v>0</v>
      </c>
      <c r="AR108" s="27"/>
      <c r="AS108" s="27"/>
      <c r="AT108" s="27">
        <v>0</v>
      </c>
      <c r="AU108" s="27"/>
      <c r="AV108" s="27">
        <f t="shared" si="187"/>
        <v>0</v>
      </c>
      <c r="AW108" s="27">
        <f t="shared" si="188"/>
        <v>0</v>
      </c>
      <c r="AX108" s="27"/>
      <c r="AY108" s="27"/>
      <c r="AZ108" s="27">
        <v>0</v>
      </c>
      <c r="BA108" s="27"/>
      <c r="BB108" s="27">
        <f t="shared" si="189"/>
        <v>0</v>
      </c>
      <c r="BC108" s="27">
        <f t="shared" si="190"/>
        <v>0</v>
      </c>
      <c r="BD108" s="27"/>
      <c r="BE108" s="27"/>
      <c r="BF108" s="27">
        <v>0</v>
      </c>
      <c r="BG108" s="27"/>
      <c r="BH108" s="27">
        <f t="shared" si="191"/>
        <v>0</v>
      </c>
      <c r="BI108" s="27">
        <f t="shared" si="192"/>
        <v>0</v>
      </c>
      <c r="BJ108" s="27"/>
      <c r="BK108" s="27"/>
      <c r="BL108" s="27">
        <v>0</v>
      </c>
      <c r="BM108" s="27"/>
      <c r="BN108" s="27">
        <f t="shared" si="193"/>
        <v>0</v>
      </c>
      <c r="BO108" s="27">
        <f t="shared" si="194"/>
        <v>0</v>
      </c>
      <c r="BP108" s="26"/>
      <c r="BQ108" s="26"/>
      <c r="BR108" s="27">
        <v>0</v>
      </c>
      <c r="BS108" s="27"/>
      <c r="BT108" s="27">
        <f t="shared" si="195"/>
        <v>0</v>
      </c>
      <c r="BU108" s="27">
        <f t="shared" si="196"/>
        <v>0</v>
      </c>
      <c r="BV108" s="26"/>
      <c r="BW108" s="26"/>
      <c r="BX108" s="27">
        <v>0</v>
      </c>
      <c r="BY108" s="26"/>
      <c r="BZ108" s="27">
        <f t="shared" si="197"/>
        <v>0</v>
      </c>
      <c r="CA108" s="27">
        <f t="shared" si="198"/>
        <v>0</v>
      </c>
      <c r="CB108" s="26"/>
      <c r="CC108" s="26"/>
      <c r="CD108" s="27">
        <v>0</v>
      </c>
      <c r="CE108" s="26"/>
      <c r="CF108" s="27">
        <f t="shared" si="199"/>
        <v>0</v>
      </c>
      <c r="CG108" s="27">
        <f t="shared" si="200"/>
        <v>0</v>
      </c>
      <c r="CH108" s="27"/>
      <c r="CI108" s="27"/>
      <c r="CJ108" s="27">
        <v>0</v>
      </c>
      <c r="CK108" s="27"/>
      <c r="CL108" s="27">
        <f t="shared" si="201"/>
        <v>0</v>
      </c>
      <c r="CM108" s="27">
        <f t="shared" si="202"/>
        <v>0</v>
      </c>
      <c r="CN108" s="27"/>
      <c r="CO108" s="27"/>
      <c r="CP108" s="27">
        <v>0</v>
      </c>
      <c r="CQ108" s="27"/>
      <c r="CR108" s="27">
        <f t="shared" si="203"/>
        <v>0</v>
      </c>
      <c r="CS108" s="27">
        <f t="shared" si="204"/>
        <v>0</v>
      </c>
      <c r="CT108" s="27"/>
      <c r="CU108" s="27"/>
      <c r="CV108" s="27">
        <v>0</v>
      </c>
      <c r="CW108" s="27"/>
      <c r="CX108" s="27">
        <f t="shared" si="205"/>
        <v>0</v>
      </c>
      <c r="CY108" s="27">
        <f t="shared" si="206"/>
        <v>0</v>
      </c>
      <c r="CZ108" s="27"/>
      <c r="DA108" s="27"/>
      <c r="DB108" s="27">
        <v>0</v>
      </c>
      <c r="DC108" s="27"/>
      <c r="DD108" s="27">
        <f t="shared" si="207"/>
        <v>0</v>
      </c>
      <c r="DE108" s="27">
        <f t="shared" si="208"/>
        <v>0</v>
      </c>
      <c r="DF108" s="27">
        <f t="shared" si="209"/>
        <v>0</v>
      </c>
      <c r="DG108" s="27">
        <f t="shared" si="210"/>
        <v>0</v>
      </c>
      <c r="DH108" s="27">
        <f t="shared" si="211"/>
        <v>0</v>
      </c>
      <c r="DI108" s="27">
        <f t="shared" si="212"/>
        <v>0</v>
      </c>
      <c r="DJ108" s="27">
        <f t="shared" si="213"/>
        <v>0</v>
      </c>
      <c r="DK108" s="27">
        <f t="shared" si="214"/>
        <v>0</v>
      </c>
    </row>
    <row r="109" spans="1:115">
      <c r="A109" s="25">
        <v>101</v>
      </c>
      <c r="B109" s="26" t="s">
        <v>1162</v>
      </c>
      <c r="C109" s="26"/>
      <c r="D109" s="26"/>
      <c r="E109" s="205" t="s">
        <v>1200</v>
      </c>
      <c r="F109" s="161">
        <f t="shared" si="167"/>
        <v>0</v>
      </c>
      <c r="G109" s="165">
        <f t="shared" si="168"/>
        <v>0</v>
      </c>
      <c r="H109" s="27"/>
      <c r="I109" s="27">
        <v>0</v>
      </c>
      <c r="J109" s="27">
        <v>0</v>
      </c>
      <c r="K109" s="127">
        <f t="shared" si="169"/>
        <v>0</v>
      </c>
      <c r="L109" s="127">
        <f t="shared" si="170"/>
        <v>0</v>
      </c>
      <c r="M109" s="127">
        <f t="shared" si="171"/>
        <v>0</v>
      </c>
      <c r="N109" s="131"/>
      <c r="O109" s="125" t="str">
        <f t="shared" si="172"/>
        <v>ნულოვანი შესრულება</v>
      </c>
      <c r="P109" s="27">
        <v>0</v>
      </c>
      <c r="Q109" s="27">
        <v>0</v>
      </c>
      <c r="R109" s="27">
        <f t="shared" si="173"/>
        <v>0</v>
      </c>
      <c r="S109" s="27">
        <f t="shared" si="174"/>
        <v>0</v>
      </c>
      <c r="T109" s="27"/>
      <c r="U109" s="27"/>
      <c r="V109" s="27">
        <v>79</v>
      </c>
      <c r="W109" s="27"/>
      <c r="X109" s="27">
        <f t="shared" si="175"/>
        <v>79</v>
      </c>
      <c r="Y109" s="27">
        <f t="shared" si="176"/>
        <v>0</v>
      </c>
      <c r="Z109" s="27">
        <v>79</v>
      </c>
      <c r="AA109" s="27"/>
      <c r="AB109" s="27"/>
      <c r="AC109" s="27"/>
      <c r="AD109" s="27">
        <f t="shared" si="177"/>
        <v>79</v>
      </c>
      <c r="AE109" s="27">
        <f t="shared" si="178"/>
        <v>0</v>
      </c>
      <c r="AF109" s="27">
        <f t="shared" si="179"/>
        <v>79</v>
      </c>
      <c r="AG109" s="27">
        <f t="shared" si="180"/>
        <v>0</v>
      </c>
      <c r="AH109" s="27">
        <f t="shared" si="181"/>
        <v>79</v>
      </c>
      <c r="AI109" s="27">
        <f t="shared" si="182"/>
        <v>0</v>
      </c>
      <c r="AJ109" s="27">
        <f t="shared" si="183"/>
        <v>158</v>
      </c>
      <c r="AK109" s="27">
        <f t="shared" si="184"/>
        <v>0</v>
      </c>
      <c r="AL109" s="27"/>
      <c r="AM109" s="27"/>
      <c r="AN109" s="27">
        <v>0</v>
      </c>
      <c r="AO109" s="27"/>
      <c r="AP109" s="27">
        <f t="shared" si="185"/>
        <v>0</v>
      </c>
      <c r="AQ109" s="27">
        <f t="shared" si="186"/>
        <v>0</v>
      </c>
      <c r="AR109" s="27"/>
      <c r="AS109" s="27"/>
      <c r="AT109" s="27">
        <v>0</v>
      </c>
      <c r="AU109" s="27"/>
      <c r="AV109" s="27">
        <f t="shared" si="187"/>
        <v>0</v>
      </c>
      <c r="AW109" s="27">
        <f t="shared" si="188"/>
        <v>0</v>
      </c>
      <c r="AX109" s="27"/>
      <c r="AY109" s="27"/>
      <c r="AZ109" s="27">
        <v>0</v>
      </c>
      <c r="BA109" s="27"/>
      <c r="BB109" s="27">
        <f t="shared" si="189"/>
        <v>0</v>
      </c>
      <c r="BC109" s="27">
        <f t="shared" si="190"/>
        <v>0</v>
      </c>
      <c r="BD109" s="27"/>
      <c r="BE109" s="27"/>
      <c r="BF109" s="27">
        <v>0</v>
      </c>
      <c r="BG109" s="27"/>
      <c r="BH109" s="27">
        <f t="shared" si="191"/>
        <v>0</v>
      </c>
      <c r="BI109" s="27">
        <f t="shared" si="192"/>
        <v>0</v>
      </c>
      <c r="BJ109" s="27"/>
      <c r="BK109" s="27"/>
      <c r="BL109" s="27">
        <v>0</v>
      </c>
      <c r="BM109" s="27"/>
      <c r="BN109" s="27">
        <f t="shared" si="193"/>
        <v>0</v>
      </c>
      <c r="BO109" s="27">
        <f t="shared" si="194"/>
        <v>0</v>
      </c>
      <c r="BP109" s="26"/>
      <c r="BQ109" s="26"/>
      <c r="BR109" s="27">
        <v>0</v>
      </c>
      <c r="BS109" s="27"/>
      <c r="BT109" s="27">
        <f t="shared" si="195"/>
        <v>0</v>
      </c>
      <c r="BU109" s="27">
        <f t="shared" si="196"/>
        <v>0</v>
      </c>
      <c r="BV109" s="26"/>
      <c r="BW109" s="26"/>
      <c r="BX109" s="27">
        <v>0</v>
      </c>
      <c r="BY109" s="26"/>
      <c r="BZ109" s="27">
        <f t="shared" si="197"/>
        <v>0</v>
      </c>
      <c r="CA109" s="27">
        <f t="shared" si="198"/>
        <v>0</v>
      </c>
      <c r="CB109" s="26"/>
      <c r="CC109" s="26"/>
      <c r="CD109" s="27">
        <v>0</v>
      </c>
      <c r="CE109" s="26"/>
      <c r="CF109" s="27">
        <f t="shared" si="199"/>
        <v>0</v>
      </c>
      <c r="CG109" s="27">
        <f t="shared" si="200"/>
        <v>0</v>
      </c>
      <c r="CH109" s="27"/>
      <c r="CI109" s="27"/>
      <c r="CJ109" s="27">
        <v>0</v>
      </c>
      <c r="CK109" s="27"/>
      <c r="CL109" s="27">
        <f t="shared" si="201"/>
        <v>0</v>
      </c>
      <c r="CM109" s="27">
        <f t="shared" si="202"/>
        <v>0</v>
      </c>
      <c r="CN109" s="27"/>
      <c r="CO109" s="27"/>
      <c r="CP109" s="27">
        <v>0</v>
      </c>
      <c r="CQ109" s="27"/>
      <c r="CR109" s="27">
        <f t="shared" si="203"/>
        <v>0</v>
      </c>
      <c r="CS109" s="27">
        <f t="shared" si="204"/>
        <v>0</v>
      </c>
      <c r="CT109" s="27"/>
      <c r="CU109" s="27"/>
      <c r="CV109" s="27">
        <v>0</v>
      </c>
      <c r="CW109" s="27"/>
      <c r="CX109" s="27">
        <f t="shared" si="205"/>
        <v>0</v>
      </c>
      <c r="CY109" s="27">
        <f t="shared" si="206"/>
        <v>0</v>
      </c>
      <c r="CZ109" s="27"/>
      <c r="DA109" s="27"/>
      <c r="DB109" s="27">
        <v>0</v>
      </c>
      <c r="DC109" s="27"/>
      <c r="DD109" s="27">
        <f t="shared" si="207"/>
        <v>0</v>
      </c>
      <c r="DE109" s="27">
        <f t="shared" si="208"/>
        <v>0</v>
      </c>
      <c r="DF109" s="27">
        <f t="shared" si="209"/>
        <v>0</v>
      </c>
      <c r="DG109" s="27">
        <f t="shared" si="210"/>
        <v>0</v>
      </c>
      <c r="DH109" s="27">
        <f t="shared" si="211"/>
        <v>0</v>
      </c>
      <c r="DI109" s="27">
        <f t="shared" si="212"/>
        <v>0</v>
      </c>
      <c r="DJ109" s="27">
        <f t="shared" si="213"/>
        <v>0</v>
      </c>
      <c r="DK109" s="27">
        <f t="shared" si="214"/>
        <v>0</v>
      </c>
    </row>
    <row r="110" spans="1:115">
      <c r="A110" s="25">
        <v>102</v>
      </c>
      <c r="B110" s="26" t="s">
        <v>1162</v>
      </c>
      <c r="C110" s="26"/>
      <c r="D110" s="26"/>
      <c r="E110" s="205" t="s">
        <v>1200</v>
      </c>
      <c r="F110" s="161">
        <f t="shared" si="167"/>
        <v>0</v>
      </c>
      <c r="G110" s="165">
        <f t="shared" si="168"/>
        <v>0</v>
      </c>
      <c r="H110" s="27"/>
      <c r="I110" s="27">
        <v>0</v>
      </c>
      <c r="J110" s="27">
        <v>0</v>
      </c>
      <c r="K110" s="127">
        <f t="shared" si="169"/>
        <v>0</v>
      </c>
      <c r="L110" s="127">
        <f t="shared" si="170"/>
        <v>0</v>
      </c>
      <c r="M110" s="127">
        <f t="shared" si="171"/>
        <v>0</v>
      </c>
      <c r="N110" s="131"/>
      <c r="O110" s="125" t="str">
        <f t="shared" si="172"/>
        <v>ნულოვანი შესრულება</v>
      </c>
      <c r="P110" s="27">
        <v>0</v>
      </c>
      <c r="Q110" s="27">
        <v>0</v>
      </c>
      <c r="R110" s="27">
        <f t="shared" si="173"/>
        <v>0</v>
      </c>
      <c r="S110" s="27">
        <f t="shared" si="174"/>
        <v>0</v>
      </c>
      <c r="T110" s="27"/>
      <c r="U110" s="27"/>
      <c r="V110" s="27">
        <v>80</v>
      </c>
      <c r="W110" s="27"/>
      <c r="X110" s="27">
        <f t="shared" si="175"/>
        <v>80</v>
      </c>
      <c r="Y110" s="27">
        <f t="shared" si="176"/>
        <v>0</v>
      </c>
      <c r="Z110" s="27">
        <v>80</v>
      </c>
      <c r="AA110" s="27"/>
      <c r="AB110" s="27"/>
      <c r="AC110" s="27"/>
      <c r="AD110" s="27">
        <f t="shared" si="177"/>
        <v>80</v>
      </c>
      <c r="AE110" s="27">
        <f t="shared" si="178"/>
        <v>0</v>
      </c>
      <c r="AF110" s="27">
        <f t="shared" si="179"/>
        <v>80</v>
      </c>
      <c r="AG110" s="27">
        <f t="shared" si="180"/>
        <v>0</v>
      </c>
      <c r="AH110" s="27">
        <f t="shared" si="181"/>
        <v>80</v>
      </c>
      <c r="AI110" s="27">
        <f t="shared" si="182"/>
        <v>0</v>
      </c>
      <c r="AJ110" s="27">
        <f t="shared" si="183"/>
        <v>160</v>
      </c>
      <c r="AK110" s="27">
        <f t="shared" si="184"/>
        <v>0</v>
      </c>
      <c r="AL110" s="27"/>
      <c r="AM110" s="27"/>
      <c r="AN110" s="27">
        <v>0</v>
      </c>
      <c r="AO110" s="27"/>
      <c r="AP110" s="27">
        <f t="shared" si="185"/>
        <v>0</v>
      </c>
      <c r="AQ110" s="27">
        <f t="shared" si="186"/>
        <v>0</v>
      </c>
      <c r="AR110" s="27"/>
      <c r="AS110" s="27"/>
      <c r="AT110" s="27">
        <v>0</v>
      </c>
      <c r="AU110" s="27"/>
      <c r="AV110" s="27">
        <f t="shared" si="187"/>
        <v>0</v>
      </c>
      <c r="AW110" s="27">
        <f t="shared" si="188"/>
        <v>0</v>
      </c>
      <c r="AX110" s="27"/>
      <c r="AY110" s="27"/>
      <c r="AZ110" s="27">
        <v>0</v>
      </c>
      <c r="BA110" s="27"/>
      <c r="BB110" s="27">
        <f t="shared" si="189"/>
        <v>0</v>
      </c>
      <c r="BC110" s="27">
        <f t="shared" si="190"/>
        <v>0</v>
      </c>
      <c r="BD110" s="27"/>
      <c r="BE110" s="27"/>
      <c r="BF110" s="27">
        <v>0</v>
      </c>
      <c r="BG110" s="27"/>
      <c r="BH110" s="27">
        <f t="shared" si="191"/>
        <v>0</v>
      </c>
      <c r="BI110" s="27">
        <f t="shared" si="192"/>
        <v>0</v>
      </c>
      <c r="BJ110" s="27"/>
      <c r="BK110" s="27"/>
      <c r="BL110" s="27">
        <v>0</v>
      </c>
      <c r="BM110" s="27"/>
      <c r="BN110" s="27">
        <f t="shared" si="193"/>
        <v>0</v>
      </c>
      <c r="BO110" s="27">
        <f t="shared" si="194"/>
        <v>0</v>
      </c>
      <c r="BP110" s="26"/>
      <c r="BQ110" s="26"/>
      <c r="BR110" s="27">
        <v>0</v>
      </c>
      <c r="BS110" s="27"/>
      <c r="BT110" s="27">
        <f t="shared" si="195"/>
        <v>0</v>
      </c>
      <c r="BU110" s="27">
        <f t="shared" si="196"/>
        <v>0</v>
      </c>
      <c r="BV110" s="26"/>
      <c r="BW110" s="26"/>
      <c r="BX110" s="27">
        <v>0</v>
      </c>
      <c r="BY110" s="26"/>
      <c r="BZ110" s="27">
        <f t="shared" si="197"/>
        <v>0</v>
      </c>
      <c r="CA110" s="27">
        <f t="shared" si="198"/>
        <v>0</v>
      </c>
      <c r="CB110" s="26"/>
      <c r="CC110" s="26"/>
      <c r="CD110" s="27">
        <v>0</v>
      </c>
      <c r="CE110" s="26"/>
      <c r="CF110" s="27">
        <f t="shared" si="199"/>
        <v>0</v>
      </c>
      <c r="CG110" s="27">
        <f t="shared" si="200"/>
        <v>0</v>
      </c>
      <c r="CH110" s="27"/>
      <c r="CI110" s="27"/>
      <c r="CJ110" s="27">
        <v>0</v>
      </c>
      <c r="CK110" s="27"/>
      <c r="CL110" s="27">
        <f t="shared" si="201"/>
        <v>0</v>
      </c>
      <c r="CM110" s="27">
        <f t="shared" si="202"/>
        <v>0</v>
      </c>
      <c r="CN110" s="27"/>
      <c r="CO110" s="27"/>
      <c r="CP110" s="27">
        <v>0</v>
      </c>
      <c r="CQ110" s="27"/>
      <c r="CR110" s="27">
        <f t="shared" si="203"/>
        <v>0</v>
      </c>
      <c r="CS110" s="27">
        <f t="shared" si="204"/>
        <v>0</v>
      </c>
      <c r="CT110" s="27"/>
      <c r="CU110" s="27"/>
      <c r="CV110" s="27">
        <v>0</v>
      </c>
      <c r="CW110" s="27"/>
      <c r="CX110" s="27">
        <f t="shared" si="205"/>
        <v>0</v>
      </c>
      <c r="CY110" s="27">
        <f t="shared" si="206"/>
        <v>0</v>
      </c>
      <c r="CZ110" s="27"/>
      <c r="DA110" s="27"/>
      <c r="DB110" s="27">
        <v>0</v>
      </c>
      <c r="DC110" s="27"/>
      <c r="DD110" s="27">
        <f t="shared" si="207"/>
        <v>0</v>
      </c>
      <c r="DE110" s="27">
        <f t="shared" si="208"/>
        <v>0</v>
      </c>
      <c r="DF110" s="27">
        <f t="shared" si="209"/>
        <v>0</v>
      </c>
      <c r="DG110" s="27">
        <f t="shared" si="210"/>
        <v>0</v>
      </c>
      <c r="DH110" s="27">
        <f t="shared" si="211"/>
        <v>0</v>
      </c>
      <c r="DI110" s="27">
        <f t="shared" si="212"/>
        <v>0</v>
      </c>
      <c r="DJ110" s="27">
        <f t="shared" si="213"/>
        <v>0</v>
      </c>
      <c r="DK110" s="27">
        <f t="shared" si="214"/>
        <v>0</v>
      </c>
    </row>
    <row r="111" spans="1:115">
      <c r="A111" s="25">
        <v>103</v>
      </c>
      <c r="B111" s="26" t="s">
        <v>1162</v>
      </c>
      <c r="C111" s="26"/>
      <c r="D111" s="26"/>
      <c r="E111" s="205" t="s">
        <v>1200</v>
      </c>
      <c r="F111" s="161">
        <f t="shared" si="167"/>
        <v>0</v>
      </c>
      <c r="G111" s="165">
        <f t="shared" si="168"/>
        <v>0</v>
      </c>
      <c r="H111" s="27"/>
      <c r="I111" s="27">
        <v>0</v>
      </c>
      <c r="J111" s="27">
        <v>0</v>
      </c>
      <c r="K111" s="127">
        <f t="shared" si="169"/>
        <v>0</v>
      </c>
      <c r="L111" s="127">
        <f t="shared" si="170"/>
        <v>0</v>
      </c>
      <c r="M111" s="127">
        <f t="shared" si="171"/>
        <v>0</v>
      </c>
      <c r="N111" s="131"/>
      <c r="O111" s="125" t="str">
        <f t="shared" si="172"/>
        <v>ნულოვანი შესრულება</v>
      </c>
      <c r="P111" s="27">
        <v>0</v>
      </c>
      <c r="Q111" s="27">
        <v>0</v>
      </c>
      <c r="R111" s="27">
        <f t="shared" si="173"/>
        <v>0</v>
      </c>
      <c r="S111" s="27">
        <f t="shared" si="174"/>
        <v>0</v>
      </c>
      <c r="T111" s="27"/>
      <c r="U111" s="27"/>
      <c r="V111" s="27">
        <v>81</v>
      </c>
      <c r="W111" s="27"/>
      <c r="X111" s="27">
        <f t="shared" si="175"/>
        <v>81</v>
      </c>
      <c r="Y111" s="27">
        <f t="shared" si="176"/>
        <v>0</v>
      </c>
      <c r="Z111" s="27">
        <v>81</v>
      </c>
      <c r="AA111" s="27"/>
      <c r="AB111" s="27"/>
      <c r="AC111" s="27"/>
      <c r="AD111" s="27">
        <f t="shared" si="177"/>
        <v>81</v>
      </c>
      <c r="AE111" s="27">
        <f t="shared" si="178"/>
        <v>0</v>
      </c>
      <c r="AF111" s="27">
        <f t="shared" si="179"/>
        <v>81</v>
      </c>
      <c r="AG111" s="27">
        <f t="shared" si="180"/>
        <v>0</v>
      </c>
      <c r="AH111" s="27">
        <f t="shared" si="181"/>
        <v>81</v>
      </c>
      <c r="AI111" s="27">
        <f t="shared" si="182"/>
        <v>0</v>
      </c>
      <c r="AJ111" s="27">
        <f t="shared" si="183"/>
        <v>162</v>
      </c>
      <c r="AK111" s="27">
        <f t="shared" si="184"/>
        <v>0</v>
      </c>
      <c r="AL111" s="27"/>
      <c r="AM111" s="27"/>
      <c r="AN111" s="27">
        <v>0</v>
      </c>
      <c r="AO111" s="27"/>
      <c r="AP111" s="27">
        <f t="shared" si="185"/>
        <v>0</v>
      </c>
      <c r="AQ111" s="27">
        <f t="shared" si="186"/>
        <v>0</v>
      </c>
      <c r="AR111" s="27"/>
      <c r="AS111" s="27"/>
      <c r="AT111" s="27">
        <v>0</v>
      </c>
      <c r="AU111" s="27"/>
      <c r="AV111" s="27">
        <f t="shared" si="187"/>
        <v>0</v>
      </c>
      <c r="AW111" s="27">
        <f t="shared" si="188"/>
        <v>0</v>
      </c>
      <c r="AX111" s="27"/>
      <c r="AY111" s="27"/>
      <c r="AZ111" s="27">
        <v>0</v>
      </c>
      <c r="BA111" s="27"/>
      <c r="BB111" s="27">
        <f t="shared" si="189"/>
        <v>0</v>
      </c>
      <c r="BC111" s="27">
        <f t="shared" si="190"/>
        <v>0</v>
      </c>
      <c r="BD111" s="27"/>
      <c r="BE111" s="27"/>
      <c r="BF111" s="27">
        <v>0</v>
      </c>
      <c r="BG111" s="27"/>
      <c r="BH111" s="27">
        <f t="shared" si="191"/>
        <v>0</v>
      </c>
      <c r="BI111" s="27">
        <f t="shared" si="192"/>
        <v>0</v>
      </c>
      <c r="BJ111" s="27"/>
      <c r="BK111" s="27"/>
      <c r="BL111" s="27">
        <v>0</v>
      </c>
      <c r="BM111" s="27"/>
      <c r="BN111" s="27">
        <f t="shared" si="193"/>
        <v>0</v>
      </c>
      <c r="BO111" s="27">
        <f t="shared" si="194"/>
        <v>0</v>
      </c>
      <c r="BP111" s="26"/>
      <c r="BQ111" s="26"/>
      <c r="BR111" s="27">
        <v>0</v>
      </c>
      <c r="BS111" s="27"/>
      <c r="BT111" s="27">
        <f t="shared" si="195"/>
        <v>0</v>
      </c>
      <c r="BU111" s="27">
        <f t="shared" si="196"/>
        <v>0</v>
      </c>
      <c r="BV111" s="26"/>
      <c r="BW111" s="26"/>
      <c r="BX111" s="27">
        <v>0</v>
      </c>
      <c r="BY111" s="26"/>
      <c r="BZ111" s="27">
        <f t="shared" si="197"/>
        <v>0</v>
      </c>
      <c r="CA111" s="27">
        <f t="shared" si="198"/>
        <v>0</v>
      </c>
      <c r="CB111" s="26"/>
      <c r="CC111" s="26"/>
      <c r="CD111" s="27">
        <v>0</v>
      </c>
      <c r="CE111" s="26"/>
      <c r="CF111" s="27">
        <f t="shared" si="199"/>
        <v>0</v>
      </c>
      <c r="CG111" s="27">
        <f t="shared" si="200"/>
        <v>0</v>
      </c>
      <c r="CH111" s="27"/>
      <c r="CI111" s="27"/>
      <c r="CJ111" s="27">
        <v>0</v>
      </c>
      <c r="CK111" s="27"/>
      <c r="CL111" s="27">
        <f t="shared" si="201"/>
        <v>0</v>
      </c>
      <c r="CM111" s="27">
        <f t="shared" si="202"/>
        <v>0</v>
      </c>
      <c r="CN111" s="27"/>
      <c r="CO111" s="27"/>
      <c r="CP111" s="27">
        <v>0</v>
      </c>
      <c r="CQ111" s="27"/>
      <c r="CR111" s="27">
        <f t="shared" si="203"/>
        <v>0</v>
      </c>
      <c r="CS111" s="27">
        <f t="shared" si="204"/>
        <v>0</v>
      </c>
      <c r="CT111" s="27"/>
      <c r="CU111" s="27"/>
      <c r="CV111" s="27">
        <v>0</v>
      </c>
      <c r="CW111" s="27"/>
      <c r="CX111" s="27">
        <f t="shared" si="205"/>
        <v>0</v>
      </c>
      <c r="CY111" s="27">
        <f t="shared" si="206"/>
        <v>0</v>
      </c>
      <c r="CZ111" s="27"/>
      <c r="DA111" s="27"/>
      <c r="DB111" s="27">
        <v>0</v>
      </c>
      <c r="DC111" s="27"/>
      <c r="DD111" s="27">
        <f t="shared" si="207"/>
        <v>0</v>
      </c>
      <c r="DE111" s="27">
        <f t="shared" si="208"/>
        <v>0</v>
      </c>
      <c r="DF111" s="27">
        <f t="shared" si="209"/>
        <v>0</v>
      </c>
      <c r="DG111" s="27">
        <f t="shared" si="210"/>
        <v>0</v>
      </c>
      <c r="DH111" s="27">
        <f t="shared" si="211"/>
        <v>0</v>
      </c>
      <c r="DI111" s="27">
        <f t="shared" si="212"/>
        <v>0</v>
      </c>
      <c r="DJ111" s="27">
        <f t="shared" si="213"/>
        <v>0</v>
      </c>
      <c r="DK111" s="27">
        <f t="shared" si="214"/>
        <v>0</v>
      </c>
    </row>
    <row r="112" spans="1:115">
      <c r="A112" s="25">
        <v>104</v>
      </c>
      <c r="B112" s="26" t="s">
        <v>1162</v>
      </c>
      <c r="C112" s="26"/>
      <c r="D112" s="26"/>
      <c r="E112" s="205" t="s">
        <v>1200</v>
      </c>
      <c r="F112" s="161">
        <f t="shared" si="167"/>
        <v>0</v>
      </c>
      <c r="G112" s="165">
        <f t="shared" si="168"/>
        <v>0</v>
      </c>
      <c r="H112" s="27"/>
      <c r="I112" s="27">
        <v>0</v>
      </c>
      <c r="J112" s="27">
        <v>0</v>
      </c>
      <c r="K112" s="127">
        <f t="shared" si="169"/>
        <v>0</v>
      </c>
      <c r="L112" s="127">
        <f t="shared" si="170"/>
        <v>0</v>
      </c>
      <c r="M112" s="127">
        <f t="shared" si="171"/>
        <v>0</v>
      </c>
      <c r="N112" s="131"/>
      <c r="O112" s="125" t="str">
        <f t="shared" si="172"/>
        <v>ნულოვანი შესრულება</v>
      </c>
      <c r="P112" s="27">
        <v>0</v>
      </c>
      <c r="Q112" s="27">
        <v>0</v>
      </c>
      <c r="R112" s="27">
        <f t="shared" si="173"/>
        <v>0</v>
      </c>
      <c r="S112" s="27">
        <f t="shared" si="174"/>
        <v>0</v>
      </c>
      <c r="T112" s="27"/>
      <c r="U112" s="27"/>
      <c r="V112" s="27">
        <v>82</v>
      </c>
      <c r="W112" s="27"/>
      <c r="X112" s="27">
        <f t="shared" si="175"/>
        <v>82</v>
      </c>
      <c r="Y112" s="27">
        <f t="shared" si="176"/>
        <v>0</v>
      </c>
      <c r="Z112" s="27">
        <v>82</v>
      </c>
      <c r="AA112" s="27"/>
      <c r="AB112" s="27"/>
      <c r="AC112" s="27"/>
      <c r="AD112" s="27">
        <f t="shared" si="177"/>
        <v>82</v>
      </c>
      <c r="AE112" s="27">
        <f t="shared" si="178"/>
        <v>0</v>
      </c>
      <c r="AF112" s="27">
        <f t="shared" si="179"/>
        <v>82</v>
      </c>
      <c r="AG112" s="27">
        <f t="shared" si="180"/>
        <v>0</v>
      </c>
      <c r="AH112" s="27">
        <f t="shared" si="181"/>
        <v>82</v>
      </c>
      <c r="AI112" s="27">
        <f t="shared" si="182"/>
        <v>0</v>
      </c>
      <c r="AJ112" s="27">
        <f t="shared" si="183"/>
        <v>164</v>
      </c>
      <c r="AK112" s="27">
        <f t="shared" si="184"/>
        <v>0</v>
      </c>
      <c r="AL112" s="27"/>
      <c r="AM112" s="27"/>
      <c r="AN112" s="27">
        <v>0</v>
      </c>
      <c r="AO112" s="27"/>
      <c r="AP112" s="27">
        <f t="shared" si="185"/>
        <v>0</v>
      </c>
      <c r="AQ112" s="27">
        <f t="shared" si="186"/>
        <v>0</v>
      </c>
      <c r="AR112" s="27"/>
      <c r="AS112" s="27"/>
      <c r="AT112" s="27">
        <v>0</v>
      </c>
      <c r="AU112" s="27"/>
      <c r="AV112" s="27">
        <f t="shared" si="187"/>
        <v>0</v>
      </c>
      <c r="AW112" s="27">
        <f t="shared" si="188"/>
        <v>0</v>
      </c>
      <c r="AX112" s="27"/>
      <c r="AY112" s="27"/>
      <c r="AZ112" s="27">
        <v>0</v>
      </c>
      <c r="BA112" s="27"/>
      <c r="BB112" s="27">
        <f t="shared" si="189"/>
        <v>0</v>
      </c>
      <c r="BC112" s="27">
        <f t="shared" si="190"/>
        <v>0</v>
      </c>
      <c r="BD112" s="27"/>
      <c r="BE112" s="27"/>
      <c r="BF112" s="27">
        <v>0</v>
      </c>
      <c r="BG112" s="27"/>
      <c r="BH112" s="27">
        <f t="shared" si="191"/>
        <v>0</v>
      </c>
      <c r="BI112" s="27">
        <f t="shared" si="192"/>
        <v>0</v>
      </c>
      <c r="BJ112" s="27"/>
      <c r="BK112" s="27"/>
      <c r="BL112" s="27">
        <v>0</v>
      </c>
      <c r="BM112" s="27"/>
      <c r="BN112" s="27">
        <f t="shared" si="193"/>
        <v>0</v>
      </c>
      <c r="BO112" s="27">
        <f t="shared" si="194"/>
        <v>0</v>
      </c>
      <c r="BP112" s="26"/>
      <c r="BQ112" s="26"/>
      <c r="BR112" s="27">
        <v>0</v>
      </c>
      <c r="BS112" s="27"/>
      <c r="BT112" s="27">
        <f t="shared" si="195"/>
        <v>0</v>
      </c>
      <c r="BU112" s="27">
        <f t="shared" si="196"/>
        <v>0</v>
      </c>
      <c r="BV112" s="26"/>
      <c r="BW112" s="26"/>
      <c r="BX112" s="27">
        <v>0</v>
      </c>
      <c r="BY112" s="26"/>
      <c r="BZ112" s="27">
        <f t="shared" si="197"/>
        <v>0</v>
      </c>
      <c r="CA112" s="27">
        <f t="shared" si="198"/>
        <v>0</v>
      </c>
      <c r="CB112" s="26"/>
      <c r="CC112" s="26"/>
      <c r="CD112" s="27">
        <v>0</v>
      </c>
      <c r="CE112" s="26"/>
      <c r="CF112" s="27">
        <f t="shared" si="199"/>
        <v>0</v>
      </c>
      <c r="CG112" s="27">
        <f t="shared" si="200"/>
        <v>0</v>
      </c>
      <c r="CH112" s="27"/>
      <c r="CI112" s="27"/>
      <c r="CJ112" s="27">
        <v>0</v>
      </c>
      <c r="CK112" s="27"/>
      <c r="CL112" s="27">
        <f t="shared" si="201"/>
        <v>0</v>
      </c>
      <c r="CM112" s="27">
        <f t="shared" si="202"/>
        <v>0</v>
      </c>
      <c r="CN112" s="27"/>
      <c r="CO112" s="27"/>
      <c r="CP112" s="27">
        <v>0</v>
      </c>
      <c r="CQ112" s="27"/>
      <c r="CR112" s="27">
        <f t="shared" si="203"/>
        <v>0</v>
      </c>
      <c r="CS112" s="27">
        <f t="shared" si="204"/>
        <v>0</v>
      </c>
      <c r="CT112" s="27"/>
      <c r="CU112" s="27"/>
      <c r="CV112" s="27">
        <v>0</v>
      </c>
      <c r="CW112" s="27"/>
      <c r="CX112" s="27">
        <f t="shared" si="205"/>
        <v>0</v>
      </c>
      <c r="CY112" s="27">
        <f t="shared" si="206"/>
        <v>0</v>
      </c>
      <c r="CZ112" s="27"/>
      <c r="DA112" s="27"/>
      <c r="DB112" s="27">
        <v>0</v>
      </c>
      <c r="DC112" s="27"/>
      <c r="DD112" s="27">
        <f t="shared" si="207"/>
        <v>0</v>
      </c>
      <c r="DE112" s="27">
        <f t="shared" si="208"/>
        <v>0</v>
      </c>
      <c r="DF112" s="27">
        <f t="shared" si="209"/>
        <v>0</v>
      </c>
      <c r="DG112" s="27">
        <f t="shared" si="210"/>
        <v>0</v>
      </c>
      <c r="DH112" s="27">
        <f t="shared" si="211"/>
        <v>0</v>
      </c>
      <c r="DI112" s="27">
        <f t="shared" si="212"/>
        <v>0</v>
      </c>
      <c r="DJ112" s="27">
        <f t="shared" si="213"/>
        <v>0</v>
      </c>
      <c r="DK112" s="27">
        <f t="shared" si="214"/>
        <v>0</v>
      </c>
    </row>
    <row r="113" spans="1:115">
      <c r="A113" s="25">
        <v>105</v>
      </c>
      <c r="B113" s="26" t="s">
        <v>1162</v>
      </c>
      <c r="C113" s="26"/>
      <c r="D113" s="26"/>
      <c r="E113" s="205" t="s">
        <v>1200</v>
      </c>
      <c r="F113" s="161">
        <f t="shared" si="167"/>
        <v>0</v>
      </c>
      <c r="G113" s="165">
        <f t="shared" si="168"/>
        <v>0</v>
      </c>
      <c r="H113" s="27"/>
      <c r="I113" s="27">
        <v>0</v>
      </c>
      <c r="J113" s="27">
        <v>0</v>
      </c>
      <c r="K113" s="127">
        <f t="shared" si="169"/>
        <v>0</v>
      </c>
      <c r="L113" s="127">
        <f t="shared" si="170"/>
        <v>0</v>
      </c>
      <c r="M113" s="127">
        <f t="shared" si="171"/>
        <v>0</v>
      </c>
      <c r="N113" s="131"/>
      <c r="O113" s="125" t="str">
        <f t="shared" si="172"/>
        <v>ნულოვანი შესრულება</v>
      </c>
      <c r="P113" s="27">
        <v>0</v>
      </c>
      <c r="Q113" s="27">
        <v>0</v>
      </c>
      <c r="R113" s="27">
        <f t="shared" si="173"/>
        <v>0</v>
      </c>
      <c r="S113" s="27">
        <f t="shared" si="174"/>
        <v>0</v>
      </c>
      <c r="T113" s="27"/>
      <c r="U113" s="27"/>
      <c r="V113" s="27">
        <v>83</v>
      </c>
      <c r="W113" s="27"/>
      <c r="X113" s="27">
        <f t="shared" si="175"/>
        <v>83</v>
      </c>
      <c r="Y113" s="27">
        <f t="shared" si="176"/>
        <v>0</v>
      </c>
      <c r="Z113" s="27">
        <v>83</v>
      </c>
      <c r="AA113" s="27"/>
      <c r="AB113" s="27"/>
      <c r="AC113" s="27"/>
      <c r="AD113" s="27">
        <f t="shared" si="177"/>
        <v>83</v>
      </c>
      <c r="AE113" s="27">
        <f t="shared" si="178"/>
        <v>0</v>
      </c>
      <c r="AF113" s="27">
        <f t="shared" si="179"/>
        <v>83</v>
      </c>
      <c r="AG113" s="27">
        <f t="shared" si="180"/>
        <v>0</v>
      </c>
      <c r="AH113" s="27">
        <f t="shared" si="181"/>
        <v>83</v>
      </c>
      <c r="AI113" s="27">
        <f t="shared" si="182"/>
        <v>0</v>
      </c>
      <c r="AJ113" s="27">
        <f t="shared" si="183"/>
        <v>166</v>
      </c>
      <c r="AK113" s="27">
        <f t="shared" si="184"/>
        <v>0</v>
      </c>
      <c r="AL113" s="27"/>
      <c r="AM113" s="27"/>
      <c r="AN113" s="27">
        <v>0</v>
      </c>
      <c r="AO113" s="27"/>
      <c r="AP113" s="27">
        <f t="shared" si="185"/>
        <v>0</v>
      </c>
      <c r="AQ113" s="27">
        <f t="shared" si="186"/>
        <v>0</v>
      </c>
      <c r="AR113" s="27"/>
      <c r="AS113" s="27"/>
      <c r="AT113" s="27">
        <v>0</v>
      </c>
      <c r="AU113" s="27"/>
      <c r="AV113" s="27">
        <f t="shared" si="187"/>
        <v>0</v>
      </c>
      <c r="AW113" s="27">
        <f t="shared" si="188"/>
        <v>0</v>
      </c>
      <c r="AX113" s="27"/>
      <c r="AY113" s="27"/>
      <c r="AZ113" s="27">
        <v>0</v>
      </c>
      <c r="BA113" s="27"/>
      <c r="BB113" s="27">
        <f t="shared" si="189"/>
        <v>0</v>
      </c>
      <c r="BC113" s="27">
        <f t="shared" si="190"/>
        <v>0</v>
      </c>
      <c r="BD113" s="27"/>
      <c r="BE113" s="27"/>
      <c r="BF113" s="27">
        <v>0</v>
      </c>
      <c r="BG113" s="27"/>
      <c r="BH113" s="27">
        <f t="shared" si="191"/>
        <v>0</v>
      </c>
      <c r="BI113" s="27">
        <f t="shared" si="192"/>
        <v>0</v>
      </c>
      <c r="BJ113" s="27"/>
      <c r="BK113" s="27"/>
      <c r="BL113" s="27">
        <v>0</v>
      </c>
      <c r="BM113" s="27"/>
      <c r="BN113" s="27">
        <f t="shared" si="193"/>
        <v>0</v>
      </c>
      <c r="BO113" s="27">
        <f t="shared" si="194"/>
        <v>0</v>
      </c>
      <c r="BP113" s="26"/>
      <c r="BQ113" s="26"/>
      <c r="BR113" s="27">
        <v>0</v>
      </c>
      <c r="BS113" s="27"/>
      <c r="BT113" s="27">
        <f t="shared" si="195"/>
        <v>0</v>
      </c>
      <c r="BU113" s="27">
        <f t="shared" si="196"/>
        <v>0</v>
      </c>
      <c r="BV113" s="26"/>
      <c r="BW113" s="26"/>
      <c r="BX113" s="27">
        <v>0</v>
      </c>
      <c r="BY113" s="26"/>
      <c r="BZ113" s="27">
        <f t="shared" si="197"/>
        <v>0</v>
      </c>
      <c r="CA113" s="27">
        <f t="shared" si="198"/>
        <v>0</v>
      </c>
      <c r="CB113" s="26"/>
      <c r="CC113" s="26"/>
      <c r="CD113" s="27">
        <v>0</v>
      </c>
      <c r="CE113" s="26"/>
      <c r="CF113" s="27">
        <f t="shared" si="199"/>
        <v>0</v>
      </c>
      <c r="CG113" s="27">
        <f t="shared" si="200"/>
        <v>0</v>
      </c>
      <c r="CH113" s="27"/>
      <c r="CI113" s="27"/>
      <c r="CJ113" s="27">
        <v>0</v>
      </c>
      <c r="CK113" s="27"/>
      <c r="CL113" s="27">
        <f t="shared" si="201"/>
        <v>0</v>
      </c>
      <c r="CM113" s="27">
        <f t="shared" si="202"/>
        <v>0</v>
      </c>
      <c r="CN113" s="27"/>
      <c r="CO113" s="27"/>
      <c r="CP113" s="27">
        <v>0</v>
      </c>
      <c r="CQ113" s="27"/>
      <c r="CR113" s="27">
        <f t="shared" si="203"/>
        <v>0</v>
      </c>
      <c r="CS113" s="27">
        <f t="shared" si="204"/>
        <v>0</v>
      </c>
      <c r="CT113" s="27"/>
      <c r="CU113" s="27"/>
      <c r="CV113" s="27">
        <v>0</v>
      </c>
      <c r="CW113" s="27"/>
      <c r="CX113" s="27">
        <f t="shared" si="205"/>
        <v>0</v>
      </c>
      <c r="CY113" s="27">
        <f t="shared" si="206"/>
        <v>0</v>
      </c>
      <c r="CZ113" s="27"/>
      <c r="DA113" s="27"/>
      <c r="DB113" s="27">
        <v>0</v>
      </c>
      <c r="DC113" s="27"/>
      <c r="DD113" s="27">
        <f t="shared" si="207"/>
        <v>0</v>
      </c>
      <c r="DE113" s="27">
        <f t="shared" si="208"/>
        <v>0</v>
      </c>
      <c r="DF113" s="27">
        <f t="shared" si="209"/>
        <v>0</v>
      </c>
      <c r="DG113" s="27">
        <f t="shared" si="210"/>
        <v>0</v>
      </c>
      <c r="DH113" s="27">
        <f t="shared" si="211"/>
        <v>0</v>
      </c>
      <c r="DI113" s="27">
        <f t="shared" si="212"/>
        <v>0</v>
      </c>
      <c r="DJ113" s="27">
        <f t="shared" si="213"/>
        <v>0</v>
      </c>
      <c r="DK113" s="27">
        <f t="shared" si="214"/>
        <v>0</v>
      </c>
    </row>
    <row r="114" spans="1:115">
      <c r="A114" s="25">
        <v>106</v>
      </c>
      <c r="B114" s="26" t="s">
        <v>1162</v>
      </c>
      <c r="C114" s="26"/>
      <c r="D114" s="26"/>
      <c r="E114" s="205" t="s">
        <v>1200</v>
      </c>
      <c r="F114" s="161">
        <f t="shared" si="167"/>
        <v>0</v>
      </c>
      <c r="G114" s="165">
        <f t="shared" si="168"/>
        <v>0</v>
      </c>
      <c r="H114" s="27"/>
      <c r="I114" s="27">
        <v>0</v>
      </c>
      <c r="J114" s="27">
        <v>0</v>
      </c>
      <c r="K114" s="127">
        <f t="shared" si="169"/>
        <v>0</v>
      </c>
      <c r="L114" s="127">
        <f t="shared" si="170"/>
        <v>0</v>
      </c>
      <c r="M114" s="127">
        <f t="shared" si="171"/>
        <v>0</v>
      </c>
      <c r="N114" s="131"/>
      <c r="O114" s="125" t="str">
        <f t="shared" si="172"/>
        <v>ნულოვანი შესრულება</v>
      </c>
      <c r="P114" s="27">
        <v>0</v>
      </c>
      <c r="Q114" s="27">
        <v>0</v>
      </c>
      <c r="R114" s="27">
        <f t="shared" si="173"/>
        <v>0</v>
      </c>
      <c r="S114" s="27">
        <f t="shared" si="174"/>
        <v>0</v>
      </c>
      <c r="T114" s="27"/>
      <c r="U114" s="27"/>
      <c r="V114" s="27">
        <v>84</v>
      </c>
      <c r="W114" s="27"/>
      <c r="X114" s="27">
        <f t="shared" si="175"/>
        <v>84</v>
      </c>
      <c r="Y114" s="27">
        <f t="shared" si="176"/>
        <v>0</v>
      </c>
      <c r="Z114" s="27">
        <v>84</v>
      </c>
      <c r="AA114" s="27"/>
      <c r="AB114" s="27"/>
      <c r="AC114" s="27"/>
      <c r="AD114" s="27">
        <f t="shared" si="177"/>
        <v>84</v>
      </c>
      <c r="AE114" s="27">
        <f t="shared" si="178"/>
        <v>0</v>
      </c>
      <c r="AF114" s="27">
        <f t="shared" si="179"/>
        <v>84</v>
      </c>
      <c r="AG114" s="27">
        <f t="shared" si="180"/>
        <v>0</v>
      </c>
      <c r="AH114" s="27">
        <f t="shared" si="181"/>
        <v>84</v>
      </c>
      <c r="AI114" s="27">
        <f t="shared" si="182"/>
        <v>0</v>
      </c>
      <c r="AJ114" s="27">
        <f t="shared" si="183"/>
        <v>168</v>
      </c>
      <c r="AK114" s="27">
        <f t="shared" si="184"/>
        <v>0</v>
      </c>
      <c r="AL114" s="27"/>
      <c r="AM114" s="27"/>
      <c r="AN114" s="27">
        <v>0</v>
      </c>
      <c r="AO114" s="27"/>
      <c r="AP114" s="27">
        <f t="shared" si="185"/>
        <v>0</v>
      </c>
      <c r="AQ114" s="27">
        <f t="shared" si="186"/>
        <v>0</v>
      </c>
      <c r="AR114" s="27"/>
      <c r="AS114" s="27"/>
      <c r="AT114" s="27">
        <v>0</v>
      </c>
      <c r="AU114" s="27"/>
      <c r="AV114" s="27">
        <f t="shared" si="187"/>
        <v>0</v>
      </c>
      <c r="AW114" s="27">
        <f t="shared" si="188"/>
        <v>0</v>
      </c>
      <c r="AX114" s="27"/>
      <c r="AY114" s="27"/>
      <c r="AZ114" s="27">
        <v>0</v>
      </c>
      <c r="BA114" s="27"/>
      <c r="BB114" s="27">
        <f t="shared" si="189"/>
        <v>0</v>
      </c>
      <c r="BC114" s="27">
        <f t="shared" si="190"/>
        <v>0</v>
      </c>
      <c r="BD114" s="27"/>
      <c r="BE114" s="27"/>
      <c r="BF114" s="27">
        <v>0</v>
      </c>
      <c r="BG114" s="27"/>
      <c r="BH114" s="27">
        <f t="shared" si="191"/>
        <v>0</v>
      </c>
      <c r="BI114" s="27">
        <f t="shared" si="192"/>
        <v>0</v>
      </c>
      <c r="BJ114" s="27"/>
      <c r="BK114" s="27"/>
      <c r="BL114" s="27">
        <v>0</v>
      </c>
      <c r="BM114" s="27"/>
      <c r="BN114" s="27">
        <f t="shared" si="193"/>
        <v>0</v>
      </c>
      <c r="BO114" s="27">
        <f t="shared" si="194"/>
        <v>0</v>
      </c>
      <c r="BP114" s="26"/>
      <c r="BQ114" s="26"/>
      <c r="BR114" s="27">
        <v>0</v>
      </c>
      <c r="BS114" s="27"/>
      <c r="BT114" s="27">
        <f t="shared" si="195"/>
        <v>0</v>
      </c>
      <c r="BU114" s="27">
        <f t="shared" si="196"/>
        <v>0</v>
      </c>
      <c r="BV114" s="26"/>
      <c r="BW114" s="26"/>
      <c r="BX114" s="27">
        <v>0</v>
      </c>
      <c r="BY114" s="26"/>
      <c r="BZ114" s="27">
        <f t="shared" si="197"/>
        <v>0</v>
      </c>
      <c r="CA114" s="27">
        <f t="shared" si="198"/>
        <v>0</v>
      </c>
      <c r="CB114" s="26"/>
      <c r="CC114" s="26"/>
      <c r="CD114" s="27">
        <v>0</v>
      </c>
      <c r="CE114" s="26"/>
      <c r="CF114" s="27">
        <f t="shared" si="199"/>
        <v>0</v>
      </c>
      <c r="CG114" s="27">
        <f t="shared" si="200"/>
        <v>0</v>
      </c>
      <c r="CH114" s="27"/>
      <c r="CI114" s="27"/>
      <c r="CJ114" s="27">
        <v>0</v>
      </c>
      <c r="CK114" s="27"/>
      <c r="CL114" s="27">
        <f t="shared" si="201"/>
        <v>0</v>
      </c>
      <c r="CM114" s="27">
        <f t="shared" si="202"/>
        <v>0</v>
      </c>
      <c r="CN114" s="27"/>
      <c r="CO114" s="27"/>
      <c r="CP114" s="27">
        <v>0</v>
      </c>
      <c r="CQ114" s="27"/>
      <c r="CR114" s="27">
        <f t="shared" si="203"/>
        <v>0</v>
      </c>
      <c r="CS114" s="27">
        <f t="shared" si="204"/>
        <v>0</v>
      </c>
      <c r="CT114" s="27"/>
      <c r="CU114" s="27"/>
      <c r="CV114" s="27">
        <v>0</v>
      </c>
      <c r="CW114" s="27"/>
      <c r="CX114" s="27">
        <f t="shared" si="205"/>
        <v>0</v>
      </c>
      <c r="CY114" s="27">
        <f t="shared" si="206"/>
        <v>0</v>
      </c>
      <c r="CZ114" s="27"/>
      <c r="DA114" s="27"/>
      <c r="DB114" s="27">
        <v>0</v>
      </c>
      <c r="DC114" s="27"/>
      <c r="DD114" s="27">
        <f t="shared" si="207"/>
        <v>0</v>
      </c>
      <c r="DE114" s="27">
        <f t="shared" si="208"/>
        <v>0</v>
      </c>
      <c r="DF114" s="27">
        <f t="shared" si="209"/>
        <v>0</v>
      </c>
      <c r="DG114" s="27">
        <f t="shared" si="210"/>
        <v>0</v>
      </c>
      <c r="DH114" s="27">
        <f t="shared" si="211"/>
        <v>0</v>
      </c>
      <c r="DI114" s="27">
        <f t="shared" si="212"/>
        <v>0</v>
      </c>
      <c r="DJ114" s="27">
        <f t="shared" si="213"/>
        <v>0</v>
      </c>
      <c r="DK114" s="27">
        <f t="shared" si="214"/>
        <v>0</v>
      </c>
    </row>
    <row r="115" spans="1:115">
      <c r="A115" s="25">
        <v>107</v>
      </c>
      <c r="B115" s="26" t="s">
        <v>1162</v>
      </c>
      <c r="C115" s="26"/>
      <c r="D115" s="26"/>
      <c r="E115" s="205" t="s">
        <v>1200</v>
      </c>
      <c r="F115" s="161">
        <f t="shared" si="167"/>
        <v>0</v>
      </c>
      <c r="G115" s="165">
        <f t="shared" si="168"/>
        <v>0</v>
      </c>
      <c r="H115" s="27"/>
      <c r="I115" s="27">
        <v>0</v>
      </c>
      <c r="J115" s="27">
        <v>0</v>
      </c>
      <c r="K115" s="127">
        <f t="shared" si="169"/>
        <v>0</v>
      </c>
      <c r="L115" s="127">
        <f t="shared" si="170"/>
        <v>0</v>
      </c>
      <c r="M115" s="127">
        <f t="shared" si="171"/>
        <v>0</v>
      </c>
      <c r="N115" s="131"/>
      <c r="O115" s="125" t="str">
        <f t="shared" si="172"/>
        <v>ნულოვანი შესრულება</v>
      </c>
      <c r="P115" s="27">
        <v>0</v>
      </c>
      <c r="Q115" s="27">
        <v>0</v>
      </c>
      <c r="R115" s="27">
        <f t="shared" si="173"/>
        <v>0</v>
      </c>
      <c r="S115" s="27">
        <f t="shared" si="174"/>
        <v>0</v>
      </c>
      <c r="T115" s="27"/>
      <c r="U115" s="27"/>
      <c r="V115" s="27">
        <v>85</v>
      </c>
      <c r="W115" s="27"/>
      <c r="X115" s="27">
        <f t="shared" si="175"/>
        <v>85</v>
      </c>
      <c r="Y115" s="27">
        <f t="shared" si="176"/>
        <v>0</v>
      </c>
      <c r="Z115" s="27">
        <v>85</v>
      </c>
      <c r="AA115" s="27"/>
      <c r="AB115" s="27"/>
      <c r="AC115" s="27"/>
      <c r="AD115" s="27">
        <f t="shared" si="177"/>
        <v>85</v>
      </c>
      <c r="AE115" s="27">
        <f t="shared" si="178"/>
        <v>0</v>
      </c>
      <c r="AF115" s="27">
        <f t="shared" si="179"/>
        <v>85</v>
      </c>
      <c r="AG115" s="27">
        <f t="shared" si="180"/>
        <v>0</v>
      </c>
      <c r="AH115" s="27">
        <f t="shared" si="181"/>
        <v>85</v>
      </c>
      <c r="AI115" s="27">
        <f t="shared" si="182"/>
        <v>0</v>
      </c>
      <c r="AJ115" s="27">
        <f t="shared" si="183"/>
        <v>170</v>
      </c>
      <c r="AK115" s="27">
        <f t="shared" si="184"/>
        <v>0</v>
      </c>
      <c r="AL115" s="27"/>
      <c r="AM115" s="27"/>
      <c r="AN115" s="27">
        <v>0</v>
      </c>
      <c r="AO115" s="27"/>
      <c r="AP115" s="27">
        <f t="shared" si="185"/>
        <v>0</v>
      </c>
      <c r="AQ115" s="27">
        <f t="shared" si="186"/>
        <v>0</v>
      </c>
      <c r="AR115" s="27"/>
      <c r="AS115" s="27"/>
      <c r="AT115" s="27">
        <v>0</v>
      </c>
      <c r="AU115" s="27"/>
      <c r="AV115" s="27">
        <f t="shared" si="187"/>
        <v>0</v>
      </c>
      <c r="AW115" s="27">
        <f t="shared" si="188"/>
        <v>0</v>
      </c>
      <c r="AX115" s="27"/>
      <c r="AY115" s="27"/>
      <c r="AZ115" s="27">
        <v>0</v>
      </c>
      <c r="BA115" s="27"/>
      <c r="BB115" s="27">
        <f t="shared" si="189"/>
        <v>0</v>
      </c>
      <c r="BC115" s="27">
        <f t="shared" si="190"/>
        <v>0</v>
      </c>
      <c r="BD115" s="27"/>
      <c r="BE115" s="27"/>
      <c r="BF115" s="27">
        <v>0</v>
      </c>
      <c r="BG115" s="27"/>
      <c r="BH115" s="27">
        <f t="shared" si="191"/>
        <v>0</v>
      </c>
      <c r="BI115" s="27">
        <f t="shared" si="192"/>
        <v>0</v>
      </c>
      <c r="BJ115" s="27"/>
      <c r="BK115" s="27"/>
      <c r="BL115" s="27">
        <v>0</v>
      </c>
      <c r="BM115" s="27"/>
      <c r="BN115" s="27">
        <f t="shared" si="193"/>
        <v>0</v>
      </c>
      <c r="BO115" s="27">
        <f t="shared" si="194"/>
        <v>0</v>
      </c>
      <c r="BP115" s="26"/>
      <c r="BQ115" s="26"/>
      <c r="BR115" s="27">
        <v>0</v>
      </c>
      <c r="BS115" s="27"/>
      <c r="BT115" s="27">
        <f t="shared" si="195"/>
        <v>0</v>
      </c>
      <c r="BU115" s="27">
        <f t="shared" si="196"/>
        <v>0</v>
      </c>
      <c r="BV115" s="26"/>
      <c r="BW115" s="26"/>
      <c r="BX115" s="27">
        <v>0</v>
      </c>
      <c r="BY115" s="26"/>
      <c r="BZ115" s="27">
        <f t="shared" si="197"/>
        <v>0</v>
      </c>
      <c r="CA115" s="27">
        <f t="shared" si="198"/>
        <v>0</v>
      </c>
      <c r="CB115" s="26"/>
      <c r="CC115" s="26"/>
      <c r="CD115" s="27">
        <v>0</v>
      </c>
      <c r="CE115" s="26"/>
      <c r="CF115" s="27">
        <f t="shared" si="199"/>
        <v>0</v>
      </c>
      <c r="CG115" s="27">
        <f t="shared" si="200"/>
        <v>0</v>
      </c>
      <c r="CH115" s="27"/>
      <c r="CI115" s="27"/>
      <c r="CJ115" s="27">
        <v>0</v>
      </c>
      <c r="CK115" s="27"/>
      <c r="CL115" s="27">
        <f t="shared" si="201"/>
        <v>0</v>
      </c>
      <c r="CM115" s="27">
        <f t="shared" si="202"/>
        <v>0</v>
      </c>
      <c r="CN115" s="27"/>
      <c r="CO115" s="27"/>
      <c r="CP115" s="27">
        <v>0</v>
      </c>
      <c r="CQ115" s="27"/>
      <c r="CR115" s="27">
        <f t="shared" si="203"/>
        <v>0</v>
      </c>
      <c r="CS115" s="27">
        <f t="shared" si="204"/>
        <v>0</v>
      </c>
      <c r="CT115" s="27"/>
      <c r="CU115" s="27"/>
      <c r="CV115" s="27">
        <v>0</v>
      </c>
      <c r="CW115" s="27"/>
      <c r="CX115" s="27">
        <f t="shared" si="205"/>
        <v>0</v>
      </c>
      <c r="CY115" s="27">
        <f t="shared" si="206"/>
        <v>0</v>
      </c>
      <c r="CZ115" s="27"/>
      <c r="DA115" s="27"/>
      <c r="DB115" s="27">
        <v>0</v>
      </c>
      <c r="DC115" s="27"/>
      <c r="DD115" s="27">
        <f t="shared" si="207"/>
        <v>0</v>
      </c>
      <c r="DE115" s="27">
        <f t="shared" si="208"/>
        <v>0</v>
      </c>
      <c r="DF115" s="27">
        <f t="shared" si="209"/>
        <v>0</v>
      </c>
      <c r="DG115" s="27">
        <f t="shared" si="210"/>
        <v>0</v>
      </c>
      <c r="DH115" s="27">
        <f t="shared" si="211"/>
        <v>0</v>
      </c>
      <c r="DI115" s="27">
        <f t="shared" si="212"/>
        <v>0</v>
      </c>
      <c r="DJ115" s="27">
        <f t="shared" si="213"/>
        <v>0</v>
      </c>
      <c r="DK115" s="27">
        <f t="shared" si="214"/>
        <v>0</v>
      </c>
    </row>
    <row r="116" spans="1:115">
      <c r="A116" s="25">
        <v>108</v>
      </c>
      <c r="B116" s="26" t="s">
        <v>1162</v>
      </c>
      <c r="C116" s="26"/>
      <c r="D116" s="26"/>
      <c r="E116" s="205" t="s">
        <v>1200</v>
      </c>
      <c r="F116" s="161">
        <f t="shared" si="167"/>
        <v>0</v>
      </c>
      <c r="G116" s="165">
        <f t="shared" si="168"/>
        <v>0</v>
      </c>
      <c r="H116" s="27"/>
      <c r="I116" s="27">
        <v>0</v>
      </c>
      <c r="J116" s="27">
        <v>0</v>
      </c>
      <c r="K116" s="127">
        <f t="shared" si="169"/>
        <v>0</v>
      </c>
      <c r="L116" s="127">
        <f t="shared" si="170"/>
        <v>0</v>
      </c>
      <c r="M116" s="127">
        <f t="shared" si="171"/>
        <v>0</v>
      </c>
      <c r="N116" s="131"/>
      <c r="O116" s="125" t="str">
        <f t="shared" si="172"/>
        <v>ნულოვანი შესრულება</v>
      </c>
      <c r="P116" s="27">
        <v>0</v>
      </c>
      <c r="Q116" s="27">
        <v>0</v>
      </c>
      <c r="R116" s="27">
        <f t="shared" si="173"/>
        <v>0</v>
      </c>
      <c r="S116" s="27">
        <f t="shared" si="174"/>
        <v>0</v>
      </c>
      <c r="T116" s="27"/>
      <c r="U116" s="27"/>
      <c r="V116" s="27">
        <v>86</v>
      </c>
      <c r="W116" s="27"/>
      <c r="X116" s="27">
        <f t="shared" si="175"/>
        <v>86</v>
      </c>
      <c r="Y116" s="27">
        <f t="shared" si="176"/>
        <v>0</v>
      </c>
      <c r="Z116" s="27">
        <v>86</v>
      </c>
      <c r="AA116" s="27"/>
      <c r="AB116" s="27"/>
      <c r="AC116" s="27"/>
      <c r="AD116" s="27">
        <f t="shared" si="177"/>
        <v>86</v>
      </c>
      <c r="AE116" s="27">
        <f t="shared" si="178"/>
        <v>0</v>
      </c>
      <c r="AF116" s="27">
        <f t="shared" si="179"/>
        <v>86</v>
      </c>
      <c r="AG116" s="27">
        <f t="shared" si="180"/>
        <v>0</v>
      </c>
      <c r="AH116" s="27">
        <f t="shared" si="181"/>
        <v>86</v>
      </c>
      <c r="AI116" s="27">
        <f t="shared" si="182"/>
        <v>0</v>
      </c>
      <c r="AJ116" s="27">
        <f t="shared" si="183"/>
        <v>172</v>
      </c>
      <c r="AK116" s="27">
        <f t="shared" si="184"/>
        <v>0</v>
      </c>
      <c r="AL116" s="27"/>
      <c r="AM116" s="27"/>
      <c r="AN116" s="27">
        <v>0</v>
      </c>
      <c r="AO116" s="27"/>
      <c r="AP116" s="27">
        <f t="shared" si="185"/>
        <v>0</v>
      </c>
      <c r="AQ116" s="27">
        <f t="shared" si="186"/>
        <v>0</v>
      </c>
      <c r="AR116" s="27"/>
      <c r="AS116" s="27"/>
      <c r="AT116" s="27">
        <v>0</v>
      </c>
      <c r="AU116" s="27"/>
      <c r="AV116" s="27">
        <f t="shared" si="187"/>
        <v>0</v>
      </c>
      <c r="AW116" s="27">
        <f t="shared" si="188"/>
        <v>0</v>
      </c>
      <c r="AX116" s="27"/>
      <c r="AY116" s="27"/>
      <c r="AZ116" s="27">
        <v>0</v>
      </c>
      <c r="BA116" s="27"/>
      <c r="BB116" s="27">
        <f t="shared" si="189"/>
        <v>0</v>
      </c>
      <c r="BC116" s="27">
        <f t="shared" si="190"/>
        <v>0</v>
      </c>
      <c r="BD116" s="27"/>
      <c r="BE116" s="27"/>
      <c r="BF116" s="27">
        <v>0</v>
      </c>
      <c r="BG116" s="27"/>
      <c r="BH116" s="27">
        <f t="shared" si="191"/>
        <v>0</v>
      </c>
      <c r="BI116" s="27">
        <f t="shared" si="192"/>
        <v>0</v>
      </c>
      <c r="BJ116" s="27"/>
      <c r="BK116" s="27"/>
      <c r="BL116" s="27">
        <v>0</v>
      </c>
      <c r="BM116" s="27"/>
      <c r="BN116" s="27">
        <f t="shared" si="193"/>
        <v>0</v>
      </c>
      <c r="BO116" s="27">
        <f t="shared" si="194"/>
        <v>0</v>
      </c>
      <c r="BP116" s="26"/>
      <c r="BQ116" s="26"/>
      <c r="BR116" s="27">
        <v>0</v>
      </c>
      <c r="BS116" s="27"/>
      <c r="BT116" s="27">
        <f t="shared" si="195"/>
        <v>0</v>
      </c>
      <c r="BU116" s="27">
        <f t="shared" si="196"/>
        <v>0</v>
      </c>
      <c r="BV116" s="26"/>
      <c r="BW116" s="26"/>
      <c r="BX116" s="27">
        <v>0</v>
      </c>
      <c r="BY116" s="26"/>
      <c r="BZ116" s="27">
        <f t="shared" si="197"/>
        <v>0</v>
      </c>
      <c r="CA116" s="27">
        <f t="shared" si="198"/>
        <v>0</v>
      </c>
      <c r="CB116" s="26"/>
      <c r="CC116" s="26"/>
      <c r="CD116" s="27">
        <v>0</v>
      </c>
      <c r="CE116" s="26"/>
      <c r="CF116" s="27">
        <f t="shared" si="199"/>
        <v>0</v>
      </c>
      <c r="CG116" s="27">
        <f t="shared" si="200"/>
        <v>0</v>
      </c>
      <c r="CH116" s="27"/>
      <c r="CI116" s="27"/>
      <c r="CJ116" s="27">
        <v>0</v>
      </c>
      <c r="CK116" s="27"/>
      <c r="CL116" s="27">
        <f t="shared" si="201"/>
        <v>0</v>
      </c>
      <c r="CM116" s="27">
        <f t="shared" si="202"/>
        <v>0</v>
      </c>
      <c r="CN116" s="27"/>
      <c r="CO116" s="27"/>
      <c r="CP116" s="27">
        <v>0</v>
      </c>
      <c r="CQ116" s="27"/>
      <c r="CR116" s="27">
        <f t="shared" si="203"/>
        <v>0</v>
      </c>
      <c r="CS116" s="27">
        <f t="shared" si="204"/>
        <v>0</v>
      </c>
      <c r="CT116" s="27"/>
      <c r="CU116" s="27"/>
      <c r="CV116" s="27">
        <v>0</v>
      </c>
      <c r="CW116" s="27"/>
      <c r="CX116" s="27">
        <f t="shared" si="205"/>
        <v>0</v>
      </c>
      <c r="CY116" s="27">
        <f t="shared" si="206"/>
        <v>0</v>
      </c>
      <c r="CZ116" s="27"/>
      <c r="DA116" s="27"/>
      <c r="DB116" s="27">
        <v>0</v>
      </c>
      <c r="DC116" s="27"/>
      <c r="DD116" s="27">
        <f t="shared" si="207"/>
        <v>0</v>
      </c>
      <c r="DE116" s="27">
        <f t="shared" si="208"/>
        <v>0</v>
      </c>
      <c r="DF116" s="27">
        <f t="shared" si="209"/>
        <v>0</v>
      </c>
      <c r="DG116" s="27">
        <f t="shared" si="210"/>
        <v>0</v>
      </c>
      <c r="DH116" s="27">
        <f t="shared" si="211"/>
        <v>0</v>
      </c>
      <c r="DI116" s="27">
        <f t="shared" si="212"/>
        <v>0</v>
      </c>
      <c r="DJ116" s="27">
        <f t="shared" si="213"/>
        <v>0</v>
      </c>
      <c r="DK116" s="27">
        <f t="shared" si="214"/>
        <v>0</v>
      </c>
    </row>
    <row r="117" spans="1:115">
      <c r="A117" s="25">
        <v>109</v>
      </c>
      <c r="B117" s="26" t="s">
        <v>1162</v>
      </c>
      <c r="C117" s="26"/>
      <c r="D117" s="26"/>
      <c r="E117" s="205" t="s">
        <v>1200</v>
      </c>
      <c r="F117" s="161">
        <f t="shared" ref="F117:F146" si="215">SUM(DJ117)</f>
        <v>0</v>
      </c>
      <c r="G117" s="165">
        <f t="shared" ref="G117:G146" si="216">I117+AK117+DJ117</f>
        <v>0</v>
      </c>
      <c r="H117" s="27"/>
      <c r="I117" s="27">
        <v>0</v>
      </c>
      <c r="J117" s="27">
        <v>0</v>
      </c>
      <c r="K117" s="127">
        <f t="shared" ref="K117:K146" si="217">AK117</f>
        <v>0</v>
      </c>
      <c r="L117" s="127">
        <f t="shared" ref="L117:L146" si="218">IF(AI117&gt;0,I117+AK117-J117,0)</f>
        <v>0</v>
      </c>
      <c r="M117" s="127">
        <f t="shared" ref="M117:M146" si="219">I117+K117</f>
        <v>0</v>
      </c>
      <c r="N117" s="131"/>
      <c r="O117" s="125" t="str">
        <f t="shared" ref="O117:O146" si="220">IF(AND(AI117&gt;0,DI117&gt;0),"შეცდომაა! ერთზე მეტი ბოლო ჩაბარება!",IF(OR(AI117&gt;0,DI117&gt;0,),IF(AI117&gt;0,I117+AK117,I117+AK117+DK117),IF(AND(I117=0,K117=0,DK117=0),"ნულოვანი შესრულება","მიმდინარეობს")))</f>
        <v>ნულოვანი შესრულება</v>
      </c>
      <c r="P117" s="27">
        <v>0</v>
      </c>
      <c r="Q117" s="27">
        <v>0</v>
      </c>
      <c r="R117" s="27">
        <f t="shared" ref="R117:R146" si="221">I117+P117</f>
        <v>0</v>
      </c>
      <c r="S117" s="27">
        <f t="shared" ref="S117:S146" si="222">Q117</f>
        <v>0</v>
      </c>
      <c r="T117" s="27"/>
      <c r="U117" s="27"/>
      <c r="V117" s="27">
        <v>87</v>
      </c>
      <c r="W117" s="27"/>
      <c r="X117" s="27">
        <f t="shared" ref="X117:X146" si="223">T117+V117</f>
        <v>87</v>
      </c>
      <c r="Y117" s="27">
        <f t="shared" ref="Y117:Y146" si="224">U117+W117</f>
        <v>0</v>
      </c>
      <c r="Z117" s="27">
        <v>87</v>
      </c>
      <c r="AA117" s="27"/>
      <c r="AB117" s="27"/>
      <c r="AC117" s="27"/>
      <c r="AD117" s="27">
        <f t="shared" ref="AD117:AD146" si="225">Z117+AB117</f>
        <v>87</v>
      </c>
      <c r="AE117" s="27">
        <f t="shared" ref="AE117:AE146" si="226">AA117+AC117</f>
        <v>0</v>
      </c>
      <c r="AF117" s="27">
        <f t="shared" ref="AF117:AF146" si="227">P117+T117+Z117</f>
        <v>87</v>
      </c>
      <c r="AG117" s="27">
        <f t="shared" ref="AG117:AG146" si="228">P117+U117+AA117</f>
        <v>0</v>
      </c>
      <c r="AH117" s="27">
        <f t="shared" ref="AH117:AH146" si="229">Q117+V117+AB117</f>
        <v>87</v>
      </c>
      <c r="AI117" s="27">
        <f t="shared" ref="AI117:AI146" si="230">Q117+W117+AC117</f>
        <v>0</v>
      </c>
      <c r="AJ117" s="27">
        <f t="shared" ref="AJ117:AJ146" si="231">AF117+AH117</f>
        <v>174</v>
      </c>
      <c r="AK117" s="27">
        <f t="shared" ref="AK117:AK146" si="232">AG117+AI117</f>
        <v>0</v>
      </c>
      <c r="AL117" s="27"/>
      <c r="AM117" s="27"/>
      <c r="AN117" s="27">
        <v>0</v>
      </c>
      <c r="AO117" s="27"/>
      <c r="AP117" s="27">
        <f t="shared" ref="AP117:AP146" si="233">AL117+AN117</f>
        <v>0</v>
      </c>
      <c r="AQ117" s="27">
        <f t="shared" ref="AQ117:AQ146" si="234">AM117+AO117</f>
        <v>0</v>
      </c>
      <c r="AR117" s="27"/>
      <c r="AS117" s="27"/>
      <c r="AT117" s="27">
        <v>0</v>
      </c>
      <c r="AU117" s="27"/>
      <c r="AV117" s="27">
        <f t="shared" ref="AV117:AV146" si="235">AR117+AT117</f>
        <v>0</v>
      </c>
      <c r="AW117" s="27">
        <f t="shared" ref="AW117:AW146" si="236">AS117+AU117</f>
        <v>0</v>
      </c>
      <c r="AX117" s="27"/>
      <c r="AY117" s="27"/>
      <c r="AZ117" s="27">
        <v>0</v>
      </c>
      <c r="BA117" s="27"/>
      <c r="BB117" s="27">
        <f t="shared" ref="BB117:BB146" si="237">AX117+AZ117</f>
        <v>0</v>
      </c>
      <c r="BC117" s="27">
        <f t="shared" ref="BC117:BC146" si="238">AY117+BA117</f>
        <v>0</v>
      </c>
      <c r="BD117" s="27"/>
      <c r="BE117" s="27"/>
      <c r="BF117" s="27">
        <v>0</v>
      </c>
      <c r="BG117" s="27"/>
      <c r="BH117" s="27">
        <f t="shared" ref="BH117:BH146" si="239">BD117+BF117</f>
        <v>0</v>
      </c>
      <c r="BI117" s="27">
        <f t="shared" ref="BI117:BI146" si="240">BE117+BG117</f>
        <v>0</v>
      </c>
      <c r="BJ117" s="27"/>
      <c r="BK117" s="27"/>
      <c r="BL117" s="27">
        <v>0</v>
      </c>
      <c r="BM117" s="27"/>
      <c r="BN117" s="27">
        <f t="shared" ref="BN117:BN146" si="241">BJ117+BL117</f>
        <v>0</v>
      </c>
      <c r="BO117" s="27">
        <f t="shared" ref="BO117:BO146" si="242">BK117+BM117</f>
        <v>0</v>
      </c>
      <c r="BP117" s="26"/>
      <c r="BQ117" s="26"/>
      <c r="BR117" s="27">
        <v>0</v>
      </c>
      <c r="BS117" s="27"/>
      <c r="BT117" s="27">
        <f t="shared" ref="BT117:BT146" si="243">BP117+BR117</f>
        <v>0</v>
      </c>
      <c r="BU117" s="27">
        <f t="shared" ref="BU117:BU146" si="244">BQ117+BS117</f>
        <v>0</v>
      </c>
      <c r="BV117" s="26"/>
      <c r="BW117" s="26"/>
      <c r="BX117" s="27">
        <v>0</v>
      </c>
      <c r="BY117" s="26"/>
      <c r="BZ117" s="27">
        <f t="shared" ref="BZ117:BZ146" si="245">BV117+BX117</f>
        <v>0</v>
      </c>
      <c r="CA117" s="27">
        <f t="shared" ref="CA117:CA146" si="246">BW117+BY117</f>
        <v>0</v>
      </c>
      <c r="CB117" s="26"/>
      <c r="CC117" s="26"/>
      <c r="CD117" s="27">
        <v>0</v>
      </c>
      <c r="CE117" s="26"/>
      <c r="CF117" s="27">
        <f t="shared" ref="CF117:CF146" si="247">CB117+CD117</f>
        <v>0</v>
      </c>
      <c r="CG117" s="27">
        <f t="shared" ref="CG117:CG146" si="248">CC117+CE117</f>
        <v>0</v>
      </c>
      <c r="CH117" s="27"/>
      <c r="CI117" s="27"/>
      <c r="CJ117" s="27">
        <v>0</v>
      </c>
      <c r="CK117" s="27"/>
      <c r="CL117" s="27">
        <f t="shared" ref="CL117:CL146" si="249">CH117+CJ117</f>
        <v>0</v>
      </c>
      <c r="CM117" s="27">
        <f t="shared" ref="CM117:CM146" si="250">CI117+CK117</f>
        <v>0</v>
      </c>
      <c r="CN117" s="27"/>
      <c r="CO117" s="27"/>
      <c r="CP117" s="27">
        <v>0</v>
      </c>
      <c r="CQ117" s="27"/>
      <c r="CR117" s="27">
        <f t="shared" ref="CR117:CR146" si="251">CN117+CP117</f>
        <v>0</v>
      </c>
      <c r="CS117" s="27">
        <f t="shared" ref="CS117:CS146" si="252">CO117+CQ117</f>
        <v>0</v>
      </c>
      <c r="CT117" s="27"/>
      <c r="CU117" s="27"/>
      <c r="CV117" s="27">
        <v>0</v>
      </c>
      <c r="CW117" s="27"/>
      <c r="CX117" s="27">
        <f t="shared" ref="CX117:CX146" si="253">CT117+CV117</f>
        <v>0</v>
      </c>
      <c r="CY117" s="27">
        <f t="shared" ref="CY117:CY146" si="254">CU117+CW117</f>
        <v>0</v>
      </c>
      <c r="CZ117" s="27"/>
      <c r="DA117" s="27"/>
      <c r="DB117" s="27">
        <v>0</v>
      </c>
      <c r="DC117" s="27"/>
      <c r="DD117" s="27">
        <f t="shared" ref="DD117:DD146" si="255">CZ117+DB117</f>
        <v>0</v>
      </c>
      <c r="DE117" s="27">
        <f t="shared" ref="DE117:DE146" si="256">DA117+DC117</f>
        <v>0</v>
      </c>
      <c r="DF117" s="27">
        <f t="shared" ref="DF117:DF146" si="257">AL117+AR117+AX117+BD117+BJ117+BP117+BV117+CB117+CH117+CN117+CT117+CZ117</f>
        <v>0</v>
      </c>
      <c r="DG117" s="27">
        <f t="shared" ref="DG117:DG146" si="258">AM117+AS117+AY117+BE117+BK117+BQ117+BW117+CC117+CI117+CO117+CU117+DA117</f>
        <v>0</v>
      </c>
      <c r="DH117" s="27">
        <f t="shared" ref="DH117:DH146" si="259">AN117+AT117+AZ117+BF117+BL117+BR117+BX117+CD117+CJ117+CP117+CV117+DB117</f>
        <v>0</v>
      </c>
      <c r="DI117" s="27">
        <f t="shared" ref="DI117:DI146" si="260">AO117+AU117+BA117+BG117+BM117+BS117+BY117+CE117+CK117+CQ117+CW117+DC117</f>
        <v>0</v>
      </c>
      <c r="DJ117" s="27">
        <f t="shared" ref="DJ117:DJ146" si="261">DF117+DH117</f>
        <v>0</v>
      </c>
      <c r="DK117" s="27">
        <f t="shared" ref="DK117:DK146" si="262">DG117+DI117</f>
        <v>0</v>
      </c>
    </row>
    <row r="118" spans="1:115">
      <c r="A118" s="25">
        <v>110</v>
      </c>
      <c r="B118" s="26" t="s">
        <v>1162</v>
      </c>
      <c r="C118" s="26"/>
      <c r="D118" s="26"/>
      <c r="E118" s="205" t="s">
        <v>1200</v>
      </c>
      <c r="F118" s="161">
        <f t="shared" si="215"/>
        <v>0</v>
      </c>
      <c r="G118" s="165">
        <f t="shared" si="216"/>
        <v>0</v>
      </c>
      <c r="H118" s="27"/>
      <c r="I118" s="27">
        <v>0</v>
      </c>
      <c r="J118" s="27">
        <v>0</v>
      </c>
      <c r="K118" s="127">
        <f t="shared" si="217"/>
        <v>0</v>
      </c>
      <c r="L118" s="127">
        <f t="shared" si="218"/>
        <v>0</v>
      </c>
      <c r="M118" s="127">
        <f t="shared" si="219"/>
        <v>0</v>
      </c>
      <c r="N118" s="131"/>
      <c r="O118" s="125" t="str">
        <f t="shared" si="220"/>
        <v>ნულოვანი შესრულება</v>
      </c>
      <c r="P118" s="27">
        <v>0</v>
      </c>
      <c r="Q118" s="27">
        <v>0</v>
      </c>
      <c r="R118" s="27">
        <f t="shared" si="221"/>
        <v>0</v>
      </c>
      <c r="S118" s="27">
        <f t="shared" si="222"/>
        <v>0</v>
      </c>
      <c r="T118" s="27"/>
      <c r="U118" s="27"/>
      <c r="V118" s="27">
        <v>88</v>
      </c>
      <c r="W118" s="27"/>
      <c r="X118" s="27">
        <f t="shared" si="223"/>
        <v>88</v>
      </c>
      <c r="Y118" s="27">
        <f t="shared" si="224"/>
        <v>0</v>
      </c>
      <c r="Z118" s="27">
        <v>88</v>
      </c>
      <c r="AA118" s="27"/>
      <c r="AB118" s="27"/>
      <c r="AC118" s="27"/>
      <c r="AD118" s="27">
        <f t="shared" si="225"/>
        <v>88</v>
      </c>
      <c r="AE118" s="27">
        <f t="shared" si="226"/>
        <v>0</v>
      </c>
      <c r="AF118" s="27">
        <f t="shared" si="227"/>
        <v>88</v>
      </c>
      <c r="AG118" s="27">
        <f t="shared" si="228"/>
        <v>0</v>
      </c>
      <c r="AH118" s="27">
        <f t="shared" si="229"/>
        <v>88</v>
      </c>
      <c r="AI118" s="27">
        <f t="shared" si="230"/>
        <v>0</v>
      </c>
      <c r="AJ118" s="27">
        <f t="shared" si="231"/>
        <v>176</v>
      </c>
      <c r="AK118" s="27">
        <f t="shared" si="232"/>
        <v>0</v>
      </c>
      <c r="AL118" s="27"/>
      <c r="AM118" s="27"/>
      <c r="AN118" s="27">
        <v>0</v>
      </c>
      <c r="AO118" s="27"/>
      <c r="AP118" s="27">
        <f t="shared" si="233"/>
        <v>0</v>
      </c>
      <c r="AQ118" s="27">
        <f t="shared" si="234"/>
        <v>0</v>
      </c>
      <c r="AR118" s="27"/>
      <c r="AS118" s="27"/>
      <c r="AT118" s="27">
        <v>0</v>
      </c>
      <c r="AU118" s="27"/>
      <c r="AV118" s="27">
        <f t="shared" si="235"/>
        <v>0</v>
      </c>
      <c r="AW118" s="27">
        <f t="shared" si="236"/>
        <v>0</v>
      </c>
      <c r="AX118" s="27"/>
      <c r="AY118" s="27"/>
      <c r="AZ118" s="27">
        <v>0</v>
      </c>
      <c r="BA118" s="27"/>
      <c r="BB118" s="27">
        <f t="shared" si="237"/>
        <v>0</v>
      </c>
      <c r="BC118" s="27">
        <f t="shared" si="238"/>
        <v>0</v>
      </c>
      <c r="BD118" s="27"/>
      <c r="BE118" s="27"/>
      <c r="BF118" s="27">
        <v>0</v>
      </c>
      <c r="BG118" s="27"/>
      <c r="BH118" s="27">
        <f t="shared" si="239"/>
        <v>0</v>
      </c>
      <c r="BI118" s="27">
        <f t="shared" si="240"/>
        <v>0</v>
      </c>
      <c r="BJ118" s="27"/>
      <c r="BK118" s="27"/>
      <c r="BL118" s="27">
        <v>0</v>
      </c>
      <c r="BM118" s="27"/>
      <c r="BN118" s="27">
        <f t="shared" si="241"/>
        <v>0</v>
      </c>
      <c r="BO118" s="27">
        <f t="shared" si="242"/>
        <v>0</v>
      </c>
      <c r="BP118" s="26"/>
      <c r="BQ118" s="26"/>
      <c r="BR118" s="27">
        <v>0</v>
      </c>
      <c r="BS118" s="27"/>
      <c r="BT118" s="27">
        <f t="shared" si="243"/>
        <v>0</v>
      </c>
      <c r="BU118" s="27">
        <f t="shared" si="244"/>
        <v>0</v>
      </c>
      <c r="BV118" s="26"/>
      <c r="BW118" s="26"/>
      <c r="BX118" s="27">
        <v>0</v>
      </c>
      <c r="BY118" s="26"/>
      <c r="BZ118" s="27">
        <f t="shared" si="245"/>
        <v>0</v>
      </c>
      <c r="CA118" s="27">
        <f t="shared" si="246"/>
        <v>0</v>
      </c>
      <c r="CB118" s="26"/>
      <c r="CC118" s="26"/>
      <c r="CD118" s="27">
        <v>0</v>
      </c>
      <c r="CE118" s="26"/>
      <c r="CF118" s="27">
        <f t="shared" si="247"/>
        <v>0</v>
      </c>
      <c r="CG118" s="27">
        <f t="shared" si="248"/>
        <v>0</v>
      </c>
      <c r="CH118" s="27"/>
      <c r="CI118" s="27"/>
      <c r="CJ118" s="27">
        <v>0</v>
      </c>
      <c r="CK118" s="27"/>
      <c r="CL118" s="27">
        <f t="shared" si="249"/>
        <v>0</v>
      </c>
      <c r="CM118" s="27">
        <f t="shared" si="250"/>
        <v>0</v>
      </c>
      <c r="CN118" s="27"/>
      <c r="CO118" s="27"/>
      <c r="CP118" s="27">
        <v>0</v>
      </c>
      <c r="CQ118" s="27"/>
      <c r="CR118" s="27">
        <f t="shared" si="251"/>
        <v>0</v>
      </c>
      <c r="CS118" s="27">
        <f t="shared" si="252"/>
        <v>0</v>
      </c>
      <c r="CT118" s="27"/>
      <c r="CU118" s="27"/>
      <c r="CV118" s="27">
        <v>0</v>
      </c>
      <c r="CW118" s="27"/>
      <c r="CX118" s="27">
        <f t="shared" si="253"/>
        <v>0</v>
      </c>
      <c r="CY118" s="27">
        <f t="shared" si="254"/>
        <v>0</v>
      </c>
      <c r="CZ118" s="27"/>
      <c r="DA118" s="27"/>
      <c r="DB118" s="27">
        <v>0</v>
      </c>
      <c r="DC118" s="27"/>
      <c r="DD118" s="27">
        <f t="shared" si="255"/>
        <v>0</v>
      </c>
      <c r="DE118" s="27">
        <f t="shared" si="256"/>
        <v>0</v>
      </c>
      <c r="DF118" s="27">
        <f t="shared" si="257"/>
        <v>0</v>
      </c>
      <c r="DG118" s="27">
        <f t="shared" si="258"/>
        <v>0</v>
      </c>
      <c r="DH118" s="27">
        <f t="shared" si="259"/>
        <v>0</v>
      </c>
      <c r="DI118" s="27">
        <f t="shared" si="260"/>
        <v>0</v>
      </c>
      <c r="DJ118" s="27">
        <f t="shared" si="261"/>
        <v>0</v>
      </c>
      <c r="DK118" s="27">
        <f t="shared" si="262"/>
        <v>0</v>
      </c>
    </row>
    <row r="119" spans="1:115">
      <c r="A119" s="25">
        <v>111</v>
      </c>
      <c r="B119" s="26" t="s">
        <v>1162</v>
      </c>
      <c r="C119" s="26"/>
      <c r="D119" s="26"/>
      <c r="E119" s="205" t="s">
        <v>1200</v>
      </c>
      <c r="F119" s="161">
        <f t="shared" si="215"/>
        <v>0</v>
      </c>
      <c r="G119" s="165">
        <f t="shared" si="216"/>
        <v>0</v>
      </c>
      <c r="H119" s="27"/>
      <c r="I119" s="27">
        <v>0</v>
      </c>
      <c r="J119" s="27">
        <v>0</v>
      </c>
      <c r="K119" s="127">
        <f t="shared" si="217"/>
        <v>0</v>
      </c>
      <c r="L119" s="127">
        <f t="shared" si="218"/>
        <v>0</v>
      </c>
      <c r="M119" s="127">
        <f t="shared" si="219"/>
        <v>0</v>
      </c>
      <c r="N119" s="131"/>
      <c r="O119" s="125" t="str">
        <f t="shared" si="220"/>
        <v>ნულოვანი შესრულება</v>
      </c>
      <c r="P119" s="27">
        <v>0</v>
      </c>
      <c r="Q119" s="27">
        <v>0</v>
      </c>
      <c r="R119" s="27">
        <f t="shared" si="221"/>
        <v>0</v>
      </c>
      <c r="S119" s="27">
        <f t="shared" si="222"/>
        <v>0</v>
      </c>
      <c r="T119" s="27"/>
      <c r="U119" s="27"/>
      <c r="V119" s="27">
        <v>89</v>
      </c>
      <c r="W119" s="27"/>
      <c r="X119" s="27">
        <f t="shared" si="223"/>
        <v>89</v>
      </c>
      <c r="Y119" s="27">
        <f t="shared" si="224"/>
        <v>0</v>
      </c>
      <c r="Z119" s="27">
        <v>89</v>
      </c>
      <c r="AA119" s="27"/>
      <c r="AB119" s="27"/>
      <c r="AC119" s="27"/>
      <c r="AD119" s="27">
        <f t="shared" si="225"/>
        <v>89</v>
      </c>
      <c r="AE119" s="27">
        <f t="shared" si="226"/>
        <v>0</v>
      </c>
      <c r="AF119" s="27">
        <f t="shared" si="227"/>
        <v>89</v>
      </c>
      <c r="AG119" s="27">
        <f t="shared" si="228"/>
        <v>0</v>
      </c>
      <c r="AH119" s="27">
        <f t="shared" si="229"/>
        <v>89</v>
      </c>
      <c r="AI119" s="27">
        <f t="shared" si="230"/>
        <v>0</v>
      </c>
      <c r="AJ119" s="27">
        <f t="shared" si="231"/>
        <v>178</v>
      </c>
      <c r="AK119" s="27">
        <f t="shared" si="232"/>
        <v>0</v>
      </c>
      <c r="AL119" s="27"/>
      <c r="AM119" s="27"/>
      <c r="AN119" s="27">
        <v>0</v>
      </c>
      <c r="AO119" s="27"/>
      <c r="AP119" s="27">
        <f t="shared" si="233"/>
        <v>0</v>
      </c>
      <c r="AQ119" s="27">
        <f t="shared" si="234"/>
        <v>0</v>
      </c>
      <c r="AR119" s="27"/>
      <c r="AS119" s="27"/>
      <c r="AT119" s="27">
        <v>0</v>
      </c>
      <c r="AU119" s="27"/>
      <c r="AV119" s="27">
        <f t="shared" si="235"/>
        <v>0</v>
      </c>
      <c r="AW119" s="27">
        <f t="shared" si="236"/>
        <v>0</v>
      </c>
      <c r="AX119" s="27"/>
      <c r="AY119" s="27"/>
      <c r="AZ119" s="27">
        <v>0</v>
      </c>
      <c r="BA119" s="27"/>
      <c r="BB119" s="27">
        <f t="shared" si="237"/>
        <v>0</v>
      </c>
      <c r="BC119" s="27">
        <f t="shared" si="238"/>
        <v>0</v>
      </c>
      <c r="BD119" s="27"/>
      <c r="BE119" s="27"/>
      <c r="BF119" s="27">
        <v>0</v>
      </c>
      <c r="BG119" s="27"/>
      <c r="BH119" s="27">
        <f t="shared" si="239"/>
        <v>0</v>
      </c>
      <c r="BI119" s="27">
        <f t="shared" si="240"/>
        <v>0</v>
      </c>
      <c r="BJ119" s="27"/>
      <c r="BK119" s="27"/>
      <c r="BL119" s="27">
        <v>0</v>
      </c>
      <c r="BM119" s="27"/>
      <c r="BN119" s="27">
        <f t="shared" si="241"/>
        <v>0</v>
      </c>
      <c r="BO119" s="27">
        <f t="shared" si="242"/>
        <v>0</v>
      </c>
      <c r="BP119" s="26"/>
      <c r="BQ119" s="26"/>
      <c r="BR119" s="27">
        <v>0</v>
      </c>
      <c r="BS119" s="27"/>
      <c r="BT119" s="27">
        <f t="shared" si="243"/>
        <v>0</v>
      </c>
      <c r="BU119" s="27">
        <f t="shared" si="244"/>
        <v>0</v>
      </c>
      <c r="BV119" s="26"/>
      <c r="BW119" s="26"/>
      <c r="BX119" s="27">
        <v>0</v>
      </c>
      <c r="BY119" s="26"/>
      <c r="BZ119" s="27">
        <f t="shared" si="245"/>
        <v>0</v>
      </c>
      <c r="CA119" s="27">
        <f t="shared" si="246"/>
        <v>0</v>
      </c>
      <c r="CB119" s="26"/>
      <c r="CC119" s="26"/>
      <c r="CD119" s="27">
        <v>0</v>
      </c>
      <c r="CE119" s="26"/>
      <c r="CF119" s="27">
        <f t="shared" si="247"/>
        <v>0</v>
      </c>
      <c r="CG119" s="27">
        <f t="shared" si="248"/>
        <v>0</v>
      </c>
      <c r="CH119" s="27"/>
      <c r="CI119" s="27"/>
      <c r="CJ119" s="27">
        <v>0</v>
      </c>
      <c r="CK119" s="27"/>
      <c r="CL119" s="27">
        <f t="shared" si="249"/>
        <v>0</v>
      </c>
      <c r="CM119" s="27">
        <f t="shared" si="250"/>
        <v>0</v>
      </c>
      <c r="CN119" s="27"/>
      <c r="CO119" s="27"/>
      <c r="CP119" s="27">
        <v>0</v>
      </c>
      <c r="CQ119" s="27"/>
      <c r="CR119" s="27">
        <f t="shared" si="251"/>
        <v>0</v>
      </c>
      <c r="CS119" s="27">
        <f t="shared" si="252"/>
        <v>0</v>
      </c>
      <c r="CT119" s="27"/>
      <c r="CU119" s="27"/>
      <c r="CV119" s="27">
        <v>0</v>
      </c>
      <c r="CW119" s="27"/>
      <c r="CX119" s="27">
        <f t="shared" si="253"/>
        <v>0</v>
      </c>
      <c r="CY119" s="27">
        <f t="shared" si="254"/>
        <v>0</v>
      </c>
      <c r="CZ119" s="27"/>
      <c r="DA119" s="27"/>
      <c r="DB119" s="27">
        <v>0</v>
      </c>
      <c r="DC119" s="27"/>
      <c r="DD119" s="27">
        <f t="shared" si="255"/>
        <v>0</v>
      </c>
      <c r="DE119" s="27">
        <f t="shared" si="256"/>
        <v>0</v>
      </c>
      <c r="DF119" s="27">
        <f t="shared" si="257"/>
        <v>0</v>
      </c>
      <c r="DG119" s="27">
        <f t="shared" si="258"/>
        <v>0</v>
      </c>
      <c r="DH119" s="27">
        <f t="shared" si="259"/>
        <v>0</v>
      </c>
      <c r="DI119" s="27">
        <f t="shared" si="260"/>
        <v>0</v>
      </c>
      <c r="DJ119" s="27">
        <f t="shared" si="261"/>
        <v>0</v>
      </c>
      <c r="DK119" s="27">
        <f t="shared" si="262"/>
        <v>0</v>
      </c>
    </row>
    <row r="120" spans="1:115">
      <c r="A120" s="25">
        <v>112</v>
      </c>
      <c r="B120" s="26" t="s">
        <v>1162</v>
      </c>
      <c r="C120" s="26"/>
      <c r="D120" s="26"/>
      <c r="E120" s="205" t="s">
        <v>1200</v>
      </c>
      <c r="F120" s="161">
        <f t="shared" si="215"/>
        <v>0</v>
      </c>
      <c r="G120" s="165">
        <f t="shared" si="216"/>
        <v>0</v>
      </c>
      <c r="H120" s="27"/>
      <c r="I120" s="27">
        <v>0</v>
      </c>
      <c r="J120" s="27">
        <v>0</v>
      </c>
      <c r="K120" s="127">
        <f t="shared" si="217"/>
        <v>0</v>
      </c>
      <c r="L120" s="127">
        <f t="shared" si="218"/>
        <v>0</v>
      </c>
      <c r="M120" s="127">
        <f t="shared" si="219"/>
        <v>0</v>
      </c>
      <c r="N120" s="131"/>
      <c r="O120" s="125" t="str">
        <f t="shared" si="220"/>
        <v>ნულოვანი შესრულება</v>
      </c>
      <c r="P120" s="27">
        <v>0</v>
      </c>
      <c r="Q120" s="27">
        <v>0</v>
      </c>
      <c r="R120" s="27">
        <f t="shared" si="221"/>
        <v>0</v>
      </c>
      <c r="S120" s="27">
        <f t="shared" si="222"/>
        <v>0</v>
      </c>
      <c r="T120" s="27"/>
      <c r="U120" s="27"/>
      <c r="V120" s="27">
        <v>90</v>
      </c>
      <c r="W120" s="27"/>
      <c r="X120" s="27">
        <f t="shared" si="223"/>
        <v>90</v>
      </c>
      <c r="Y120" s="27">
        <f t="shared" si="224"/>
        <v>0</v>
      </c>
      <c r="Z120" s="27">
        <v>90</v>
      </c>
      <c r="AA120" s="27"/>
      <c r="AB120" s="27"/>
      <c r="AC120" s="27"/>
      <c r="AD120" s="27">
        <f t="shared" si="225"/>
        <v>90</v>
      </c>
      <c r="AE120" s="27">
        <f t="shared" si="226"/>
        <v>0</v>
      </c>
      <c r="AF120" s="27">
        <f t="shared" si="227"/>
        <v>90</v>
      </c>
      <c r="AG120" s="27">
        <f t="shared" si="228"/>
        <v>0</v>
      </c>
      <c r="AH120" s="27">
        <f t="shared" si="229"/>
        <v>90</v>
      </c>
      <c r="AI120" s="27">
        <f t="shared" si="230"/>
        <v>0</v>
      </c>
      <c r="AJ120" s="27">
        <f t="shared" si="231"/>
        <v>180</v>
      </c>
      <c r="AK120" s="27">
        <f t="shared" si="232"/>
        <v>0</v>
      </c>
      <c r="AL120" s="27"/>
      <c r="AM120" s="27"/>
      <c r="AN120" s="27">
        <v>0</v>
      </c>
      <c r="AO120" s="27"/>
      <c r="AP120" s="27">
        <f t="shared" si="233"/>
        <v>0</v>
      </c>
      <c r="AQ120" s="27">
        <f t="shared" si="234"/>
        <v>0</v>
      </c>
      <c r="AR120" s="27"/>
      <c r="AS120" s="27"/>
      <c r="AT120" s="27">
        <v>0</v>
      </c>
      <c r="AU120" s="27"/>
      <c r="AV120" s="27">
        <f t="shared" si="235"/>
        <v>0</v>
      </c>
      <c r="AW120" s="27">
        <f t="shared" si="236"/>
        <v>0</v>
      </c>
      <c r="AX120" s="27"/>
      <c r="AY120" s="27"/>
      <c r="AZ120" s="27">
        <v>0</v>
      </c>
      <c r="BA120" s="27"/>
      <c r="BB120" s="27">
        <f t="shared" si="237"/>
        <v>0</v>
      </c>
      <c r="BC120" s="27">
        <f t="shared" si="238"/>
        <v>0</v>
      </c>
      <c r="BD120" s="27"/>
      <c r="BE120" s="27"/>
      <c r="BF120" s="27">
        <v>0</v>
      </c>
      <c r="BG120" s="27"/>
      <c r="BH120" s="27">
        <f t="shared" si="239"/>
        <v>0</v>
      </c>
      <c r="BI120" s="27">
        <f t="shared" si="240"/>
        <v>0</v>
      </c>
      <c r="BJ120" s="27"/>
      <c r="BK120" s="27"/>
      <c r="BL120" s="27">
        <v>0</v>
      </c>
      <c r="BM120" s="27"/>
      <c r="BN120" s="27">
        <f t="shared" si="241"/>
        <v>0</v>
      </c>
      <c r="BO120" s="27">
        <f t="shared" si="242"/>
        <v>0</v>
      </c>
      <c r="BP120" s="26"/>
      <c r="BQ120" s="26"/>
      <c r="BR120" s="27">
        <v>0</v>
      </c>
      <c r="BS120" s="27"/>
      <c r="BT120" s="27">
        <f t="shared" si="243"/>
        <v>0</v>
      </c>
      <c r="BU120" s="27">
        <f t="shared" si="244"/>
        <v>0</v>
      </c>
      <c r="BV120" s="26"/>
      <c r="BW120" s="26"/>
      <c r="BX120" s="27">
        <v>0</v>
      </c>
      <c r="BY120" s="26"/>
      <c r="BZ120" s="27">
        <f t="shared" si="245"/>
        <v>0</v>
      </c>
      <c r="CA120" s="27">
        <f t="shared" si="246"/>
        <v>0</v>
      </c>
      <c r="CB120" s="26"/>
      <c r="CC120" s="26"/>
      <c r="CD120" s="27">
        <v>0</v>
      </c>
      <c r="CE120" s="26"/>
      <c r="CF120" s="27">
        <f t="shared" si="247"/>
        <v>0</v>
      </c>
      <c r="CG120" s="27">
        <f t="shared" si="248"/>
        <v>0</v>
      </c>
      <c r="CH120" s="27"/>
      <c r="CI120" s="27"/>
      <c r="CJ120" s="27">
        <v>0</v>
      </c>
      <c r="CK120" s="27"/>
      <c r="CL120" s="27">
        <f t="shared" si="249"/>
        <v>0</v>
      </c>
      <c r="CM120" s="27">
        <f t="shared" si="250"/>
        <v>0</v>
      </c>
      <c r="CN120" s="27"/>
      <c r="CO120" s="27"/>
      <c r="CP120" s="27">
        <v>0</v>
      </c>
      <c r="CQ120" s="27"/>
      <c r="CR120" s="27">
        <f t="shared" si="251"/>
        <v>0</v>
      </c>
      <c r="CS120" s="27">
        <f t="shared" si="252"/>
        <v>0</v>
      </c>
      <c r="CT120" s="27"/>
      <c r="CU120" s="27"/>
      <c r="CV120" s="27">
        <v>0</v>
      </c>
      <c r="CW120" s="27"/>
      <c r="CX120" s="27">
        <f t="shared" si="253"/>
        <v>0</v>
      </c>
      <c r="CY120" s="27">
        <f t="shared" si="254"/>
        <v>0</v>
      </c>
      <c r="CZ120" s="27"/>
      <c r="DA120" s="27"/>
      <c r="DB120" s="27">
        <v>0</v>
      </c>
      <c r="DC120" s="27"/>
      <c r="DD120" s="27">
        <f t="shared" si="255"/>
        <v>0</v>
      </c>
      <c r="DE120" s="27">
        <f t="shared" si="256"/>
        <v>0</v>
      </c>
      <c r="DF120" s="27">
        <f t="shared" si="257"/>
        <v>0</v>
      </c>
      <c r="DG120" s="27">
        <f t="shared" si="258"/>
        <v>0</v>
      </c>
      <c r="DH120" s="27">
        <f t="shared" si="259"/>
        <v>0</v>
      </c>
      <c r="DI120" s="27">
        <f t="shared" si="260"/>
        <v>0</v>
      </c>
      <c r="DJ120" s="27">
        <f t="shared" si="261"/>
        <v>0</v>
      </c>
      <c r="DK120" s="27">
        <f t="shared" si="262"/>
        <v>0</v>
      </c>
    </row>
    <row r="121" spans="1:115">
      <c r="A121" s="25">
        <v>113</v>
      </c>
      <c r="B121" s="26" t="s">
        <v>1162</v>
      </c>
      <c r="C121" s="26"/>
      <c r="D121" s="26"/>
      <c r="E121" s="205" t="s">
        <v>1200</v>
      </c>
      <c r="F121" s="161">
        <f t="shared" si="215"/>
        <v>0</v>
      </c>
      <c r="G121" s="165">
        <f t="shared" si="216"/>
        <v>0</v>
      </c>
      <c r="H121" s="27"/>
      <c r="I121" s="27">
        <v>0</v>
      </c>
      <c r="J121" s="27">
        <v>0</v>
      </c>
      <c r="K121" s="127">
        <f t="shared" si="217"/>
        <v>0</v>
      </c>
      <c r="L121" s="127">
        <f t="shared" si="218"/>
        <v>0</v>
      </c>
      <c r="M121" s="127">
        <f t="shared" si="219"/>
        <v>0</v>
      </c>
      <c r="N121" s="131"/>
      <c r="O121" s="125" t="str">
        <f t="shared" si="220"/>
        <v>ნულოვანი შესრულება</v>
      </c>
      <c r="P121" s="27">
        <v>0</v>
      </c>
      <c r="Q121" s="27">
        <v>0</v>
      </c>
      <c r="R121" s="27">
        <f t="shared" si="221"/>
        <v>0</v>
      </c>
      <c r="S121" s="27">
        <f t="shared" si="222"/>
        <v>0</v>
      </c>
      <c r="T121" s="27"/>
      <c r="U121" s="27"/>
      <c r="V121" s="27">
        <v>91</v>
      </c>
      <c r="W121" s="27"/>
      <c r="X121" s="27">
        <f t="shared" si="223"/>
        <v>91</v>
      </c>
      <c r="Y121" s="27">
        <f t="shared" si="224"/>
        <v>0</v>
      </c>
      <c r="Z121" s="27">
        <v>91</v>
      </c>
      <c r="AA121" s="27"/>
      <c r="AB121" s="27"/>
      <c r="AC121" s="27"/>
      <c r="AD121" s="27">
        <f t="shared" si="225"/>
        <v>91</v>
      </c>
      <c r="AE121" s="27">
        <f t="shared" si="226"/>
        <v>0</v>
      </c>
      <c r="AF121" s="27">
        <f t="shared" si="227"/>
        <v>91</v>
      </c>
      <c r="AG121" s="27">
        <f t="shared" si="228"/>
        <v>0</v>
      </c>
      <c r="AH121" s="27">
        <f t="shared" si="229"/>
        <v>91</v>
      </c>
      <c r="AI121" s="27">
        <f t="shared" si="230"/>
        <v>0</v>
      </c>
      <c r="AJ121" s="27">
        <f t="shared" si="231"/>
        <v>182</v>
      </c>
      <c r="AK121" s="27">
        <f t="shared" si="232"/>
        <v>0</v>
      </c>
      <c r="AL121" s="27"/>
      <c r="AM121" s="27"/>
      <c r="AN121" s="27">
        <v>0</v>
      </c>
      <c r="AO121" s="27"/>
      <c r="AP121" s="27">
        <f t="shared" si="233"/>
        <v>0</v>
      </c>
      <c r="AQ121" s="27">
        <f t="shared" si="234"/>
        <v>0</v>
      </c>
      <c r="AR121" s="27"/>
      <c r="AS121" s="27"/>
      <c r="AT121" s="27">
        <v>0</v>
      </c>
      <c r="AU121" s="27"/>
      <c r="AV121" s="27">
        <f t="shared" si="235"/>
        <v>0</v>
      </c>
      <c r="AW121" s="27">
        <f t="shared" si="236"/>
        <v>0</v>
      </c>
      <c r="AX121" s="27"/>
      <c r="AY121" s="27"/>
      <c r="AZ121" s="27">
        <v>0</v>
      </c>
      <c r="BA121" s="27"/>
      <c r="BB121" s="27">
        <f t="shared" si="237"/>
        <v>0</v>
      </c>
      <c r="BC121" s="27">
        <f t="shared" si="238"/>
        <v>0</v>
      </c>
      <c r="BD121" s="27"/>
      <c r="BE121" s="27"/>
      <c r="BF121" s="27">
        <v>0</v>
      </c>
      <c r="BG121" s="27"/>
      <c r="BH121" s="27">
        <f t="shared" si="239"/>
        <v>0</v>
      </c>
      <c r="BI121" s="27">
        <f t="shared" si="240"/>
        <v>0</v>
      </c>
      <c r="BJ121" s="27"/>
      <c r="BK121" s="27"/>
      <c r="BL121" s="27">
        <v>0</v>
      </c>
      <c r="BM121" s="27"/>
      <c r="BN121" s="27">
        <f t="shared" si="241"/>
        <v>0</v>
      </c>
      <c r="BO121" s="27">
        <f t="shared" si="242"/>
        <v>0</v>
      </c>
      <c r="BP121" s="26"/>
      <c r="BQ121" s="26"/>
      <c r="BR121" s="27">
        <v>0</v>
      </c>
      <c r="BS121" s="27"/>
      <c r="BT121" s="27">
        <f t="shared" si="243"/>
        <v>0</v>
      </c>
      <c r="BU121" s="27">
        <f t="shared" si="244"/>
        <v>0</v>
      </c>
      <c r="BV121" s="26"/>
      <c r="BW121" s="26"/>
      <c r="BX121" s="27">
        <v>0</v>
      </c>
      <c r="BY121" s="26"/>
      <c r="BZ121" s="27">
        <f t="shared" si="245"/>
        <v>0</v>
      </c>
      <c r="CA121" s="27">
        <f t="shared" si="246"/>
        <v>0</v>
      </c>
      <c r="CB121" s="26"/>
      <c r="CC121" s="26"/>
      <c r="CD121" s="27">
        <v>0</v>
      </c>
      <c r="CE121" s="26"/>
      <c r="CF121" s="27">
        <f t="shared" si="247"/>
        <v>0</v>
      </c>
      <c r="CG121" s="27">
        <f t="shared" si="248"/>
        <v>0</v>
      </c>
      <c r="CH121" s="27"/>
      <c r="CI121" s="27"/>
      <c r="CJ121" s="27">
        <v>0</v>
      </c>
      <c r="CK121" s="27"/>
      <c r="CL121" s="27">
        <f t="shared" si="249"/>
        <v>0</v>
      </c>
      <c r="CM121" s="27">
        <f t="shared" si="250"/>
        <v>0</v>
      </c>
      <c r="CN121" s="27"/>
      <c r="CO121" s="27"/>
      <c r="CP121" s="27">
        <v>0</v>
      </c>
      <c r="CQ121" s="27"/>
      <c r="CR121" s="27">
        <f t="shared" si="251"/>
        <v>0</v>
      </c>
      <c r="CS121" s="27">
        <f t="shared" si="252"/>
        <v>0</v>
      </c>
      <c r="CT121" s="27"/>
      <c r="CU121" s="27"/>
      <c r="CV121" s="27">
        <v>0</v>
      </c>
      <c r="CW121" s="27"/>
      <c r="CX121" s="27">
        <f t="shared" si="253"/>
        <v>0</v>
      </c>
      <c r="CY121" s="27">
        <f t="shared" si="254"/>
        <v>0</v>
      </c>
      <c r="CZ121" s="27"/>
      <c r="DA121" s="27"/>
      <c r="DB121" s="27">
        <v>0</v>
      </c>
      <c r="DC121" s="27"/>
      <c r="DD121" s="27">
        <f t="shared" si="255"/>
        <v>0</v>
      </c>
      <c r="DE121" s="27">
        <f t="shared" si="256"/>
        <v>0</v>
      </c>
      <c r="DF121" s="27">
        <f t="shared" si="257"/>
        <v>0</v>
      </c>
      <c r="DG121" s="27">
        <f t="shared" si="258"/>
        <v>0</v>
      </c>
      <c r="DH121" s="27">
        <f t="shared" si="259"/>
        <v>0</v>
      </c>
      <c r="DI121" s="27">
        <f t="shared" si="260"/>
        <v>0</v>
      </c>
      <c r="DJ121" s="27">
        <f t="shared" si="261"/>
        <v>0</v>
      </c>
      <c r="DK121" s="27">
        <f t="shared" si="262"/>
        <v>0</v>
      </c>
    </row>
    <row r="122" spans="1:115">
      <c r="A122" s="25">
        <v>114</v>
      </c>
      <c r="B122" s="26" t="s">
        <v>1162</v>
      </c>
      <c r="C122" s="26"/>
      <c r="D122" s="26"/>
      <c r="E122" s="205" t="s">
        <v>1200</v>
      </c>
      <c r="F122" s="161">
        <f t="shared" si="215"/>
        <v>0</v>
      </c>
      <c r="G122" s="165">
        <f t="shared" si="216"/>
        <v>0</v>
      </c>
      <c r="H122" s="27"/>
      <c r="I122" s="27">
        <v>0</v>
      </c>
      <c r="J122" s="27">
        <v>0</v>
      </c>
      <c r="K122" s="127">
        <f t="shared" si="217"/>
        <v>0</v>
      </c>
      <c r="L122" s="127">
        <f t="shared" si="218"/>
        <v>0</v>
      </c>
      <c r="M122" s="127">
        <f t="shared" si="219"/>
        <v>0</v>
      </c>
      <c r="N122" s="131"/>
      <c r="O122" s="125" t="str">
        <f t="shared" si="220"/>
        <v>ნულოვანი შესრულება</v>
      </c>
      <c r="P122" s="27">
        <v>0</v>
      </c>
      <c r="Q122" s="27">
        <v>0</v>
      </c>
      <c r="R122" s="27">
        <f t="shared" si="221"/>
        <v>0</v>
      </c>
      <c r="S122" s="27">
        <f t="shared" si="222"/>
        <v>0</v>
      </c>
      <c r="T122" s="27"/>
      <c r="U122" s="27"/>
      <c r="V122" s="27">
        <v>92</v>
      </c>
      <c r="W122" s="27"/>
      <c r="X122" s="27">
        <f t="shared" si="223"/>
        <v>92</v>
      </c>
      <c r="Y122" s="27">
        <f t="shared" si="224"/>
        <v>0</v>
      </c>
      <c r="Z122" s="27">
        <v>92</v>
      </c>
      <c r="AA122" s="27"/>
      <c r="AB122" s="27"/>
      <c r="AC122" s="27"/>
      <c r="AD122" s="27">
        <f t="shared" si="225"/>
        <v>92</v>
      </c>
      <c r="AE122" s="27">
        <f t="shared" si="226"/>
        <v>0</v>
      </c>
      <c r="AF122" s="27">
        <f t="shared" si="227"/>
        <v>92</v>
      </c>
      <c r="AG122" s="27">
        <f t="shared" si="228"/>
        <v>0</v>
      </c>
      <c r="AH122" s="27">
        <f t="shared" si="229"/>
        <v>92</v>
      </c>
      <c r="AI122" s="27">
        <f t="shared" si="230"/>
        <v>0</v>
      </c>
      <c r="AJ122" s="27">
        <f t="shared" si="231"/>
        <v>184</v>
      </c>
      <c r="AK122" s="27">
        <f t="shared" si="232"/>
        <v>0</v>
      </c>
      <c r="AL122" s="27"/>
      <c r="AM122" s="27"/>
      <c r="AN122" s="27">
        <v>0</v>
      </c>
      <c r="AO122" s="27"/>
      <c r="AP122" s="27">
        <f t="shared" si="233"/>
        <v>0</v>
      </c>
      <c r="AQ122" s="27">
        <f t="shared" si="234"/>
        <v>0</v>
      </c>
      <c r="AR122" s="27"/>
      <c r="AS122" s="27"/>
      <c r="AT122" s="27">
        <v>0</v>
      </c>
      <c r="AU122" s="27"/>
      <c r="AV122" s="27">
        <f t="shared" si="235"/>
        <v>0</v>
      </c>
      <c r="AW122" s="27">
        <f t="shared" si="236"/>
        <v>0</v>
      </c>
      <c r="AX122" s="27"/>
      <c r="AY122" s="27"/>
      <c r="AZ122" s="27">
        <v>0</v>
      </c>
      <c r="BA122" s="27"/>
      <c r="BB122" s="27">
        <f t="shared" si="237"/>
        <v>0</v>
      </c>
      <c r="BC122" s="27">
        <f t="shared" si="238"/>
        <v>0</v>
      </c>
      <c r="BD122" s="27"/>
      <c r="BE122" s="27"/>
      <c r="BF122" s="27">
        <v>0</v>
      </c>
      <c r="BG122" s="27"/>
      <c r="BH122" s="27">
        <f t="shared" si="239"/>
        <v>0</v>
      </c>
      <c r="BI122" s="27">
        <f t="shared" si="240"/>
        <v>0</v>
      </c>
      <c r="BJ122" s="27"/>
      <c r="BK122" s="27"/>
      <c r="BL122" s="27">
        <v>0</v>
      </c>
      <c r="BM122" s="27"/>
      <c r="BN122" s="27">
        <f t="shared" si="241"/>
        <v>0</v>
      </c>
      <c r="BO122" s="27">
        <f t="shared" si="242"/>
        <v>0</v>
      </c>
      <c r="BP122" s="26"/>
      <c r="BQ122" s="26"/>
      <c r="BR122" s="27">
        <v>0</v>
      </c>
      <c r="BS122" s="27"/>
      <c r="BT122" s="27">
        <f t="shared" si="243"/>
        <v>0</v>
      </c>
      <c r="BU122" s="27">
        <f t="shared" si="244"/>
        <v>0</v>
      </c>
      <c r="BV122" s="26"/>
      <c r="BW122" s="26"/>
      <c r="BX122" s="27">
        <v>0</v>
      </c>
      <c r="BY122" s="26"/>
      <c r="BZ122" s="27">
        <f t="shared" si="245"/>
        <v>0</v>
      </c>
      <c r="CA122" s="27">
        <f t="shared" si="246"/>
        <v>0</v>
      </c>
      <c r="CB122" s="26"/>
      <c r="CC122" s="26"/>
      <c r="CD122" s="27">
        <v>0</v>
      </c>
      <c r="CE122" s="26"/>
      <c r="CF122" s="27">
        <f t="shared" si="247"/>
        <v>0</v>
      </c>
      <c r="CG122" s="27">
        <f t="shared" si="248"/>
        <v>0</v>
      </c>
      <c r="CH122" s="27"/>
      <c r="CI122" s="27"/>
      <c r="CJ122" s="27">
        <v>0</v>
      </c>
      <c r="CK122" s="27"/>
      <c r="CL122" s="27">
        <f t="shared" si="249"/>
        <v>0</v>
      </c>
      <c r="CM122" s="27">
        <f t="shared" si="250"/>
        <v>0</v>
      </c>
      <c r="CN122" s="27"/>
      <c r="CO122" s="27"/>
      <c r="CP122" s="27">
        <v>0</v>
      </c>
      <c r="CQ122" s="27"/>
      <c r="CR122" s="27">
        <f t="shared" si="251"/>
        <v>0</v>
      </c>
      <c r="CS122" s="27">
        <f t="shared" si="252"/>
        <v>0</v>
      </c>
      <c r="CT122" s="27"/>
      <c r="CU122" s="27"/>
      <c r="CV122" s="27">
        <v>0</v>
      </c>
      <c r="CW122" s="27"/>
      <c r="CX122" s="27">
        <f t="shared" si="253"/>
        <v>0</v>
      </c>
      <c r="CY122" s="27">
        <f t="shared" si="254"/>
        <v>0</v>
      </c>
      <c r="CZ122" s="27"/>
      <c r="DA122" s="27"/>
      <c r="DB122" s="27">
        <v>0</v>
      </c>
      <c r="DC122" s="27"/>
      <c r="DD122" s="27">
        <f t="shared" si="255"/>
        <v>0</v>
      </c>
      <c r="DE122" s="27">
        <f t="shared" si="256"/>
        <v>0</v>
      </c>
      <c r="DF122" s="27">
        <f t="shared" si="257"/>
        <v>0</v>
      </c>
      <c r="DG122" s="27">
        <f t="shared" si="258"/>
        <v>0</v>
      </c>
      <c r="DH122" s="27">
        <f t="shared" si="259"/>
        <v>0</v>
      </c>
      <c r="DI122" s="27">
        <f t="shared" si="260"/>
        <v>0</v>
      </c>
      <c r="DJ122" s="27">
        <f t="shared" si="261"/>
        <v>0</v>
      </c>
      <c r="DK122" s="27">
        <f t="shared" si="262"/>
        <v>0</v>
      </c>
    </row>
    <row r="123" spans="1:115">
      <c r="A123" s="25">
        <v>115</v>
      </c>
      <c r="B123" s="26" t="s">
        <v>1162</v>
      </c>
      <c r="C123" s="26"/>
      <c r="D123" s="26"/>
      <c r="E123" s="205" t="s">
        <v>1200</v>
      </c>
      <c r="F123" s="161">
        <f t="shared" si="215"/>
        <v>0</v>
      </c>
      <c r="G123" s="165">
        <f t="shared" si="216"/>
        <v>0</v>
      </c>
      <c r="H123" s="27"/>
      <c r="I123" s="27">
        <v>0</v>
      </c>
      <c r="J123" s="27">
        <v>0</v>
      </c>
      <c r="K123" s="127">
        <f t="shared" si="217"/>
        <v>0</v>
      </c>
      <c r="L123" s="127">
        <f t="shared" si="218"/>
        <v>0</v>
      </c>
      <c r="M123" s="127">
        <f t="shared" si="219"/>
        <v>0</v>
      </c>
      <c r="N123" s="131"/>
      <c r="O123" s="125" t="str">
        <f t="shared" si="220"/>
        <v>ნულოვანი შესრულება</v>
      </c>
      <c r="P123" s="27">
        <v>0</v>
      </c>
      <c r="Q123" s="27">
        <v>0</v>
      </c>
      <c r="R123" s="27">
        <f t="shared" si="221"/>
        <v>0</v>
      </c>
      <c r="S123" s="27">
        <f t="shared" si="222"/>
        <v>0</v>
      </c>
      <c r="T123" s="27"/>
      <c r="U123" s="27"/>
      <c r="V123" s="27">
        <v>93</v>
      </c>
      <c r="W123" s="27"/>
      <c r="X123" s="27">
        <f t="shared" si="223"/>
        <v>93</v>
      </c>
      <c r="Y123" s="27">
        <f t="shared" si="224"/>
        <v>0</v>
      </c>
      <c r="Z123" s="27">
        <v>93</v>
      </c>
      <c r="AA123" s="27"/>
      <c r="AB123" s="27"/>
      <c r="AC123" s="27"/>
      <c r="AD123" s="27">
        <f t="shared" si="225"/>
        <v>93</v>
      </c>
      <c r="AE123" s="27">
        <f t="shared" si="226"/>
        <v>0</v>
      </c>
      <c r="AF123" s="27">
        <f t="shared" si="227"/>
        <v>93</v>
      </c>
      <c r="AG123" s="27">
        <f t="shared" si="228"/>
        <v>0</v>
      </c>
      <c r="AH123" s="27">
        <f t="shared" si="229"/>
        <v>93</v>
      </c>
      <c r="AI123" s="27">
        <f t="shared" si="230"/>
        <v>0</v>
      </c>
      <c r="AJ123" s="27">
        <f t="shared" si="231"/>
        <v>186</v>
      </c>
      <c r="AK123" s="27">
        <f t="shared" si="232"/>
        <v>0</v>
      </c>
      <c r="AL123" s="27"/>
      <c r="AM123" s="27"/>
      <c r="AN123" s="27">
        <v>0</v>
      </c>
      <c r="AO123" s="27"/>
      <c r="AP123" s="27">
        <f t="shared" si="233"/>
        <v>0</v>
      </c>
      <c r="AQ123" s="27">
        <f t="shared" si="234"/>
        <v>0</v>
      </c>
      <c r="AR123" s="27"/>
      <c r="AS123" s="27"/>
      <c r="AT123" s="27">
        <v>0</v>
      </c>
      <c r="AU123" s="27"/>
      <c r="AV123" s="27">
        <f t="shared" si="235"/>
        <v>0</v>
      </c>
      <c r="AW123" s="27">
        <f t="shared" si="236"/>
        <v>0</v>
      </c>
      <c r="AX123" s="27"/>
      <c r="AY123" s="27"/>
      <c r="AZ123" s="27">
        <v>0</v>
      </c>
      <c r="BA123" s="27"/>
      <c r="BB123" s="27">
        <f t="shared" si="237"/>
        <v>0</v>
      </c>
      <c r="BC123" s="27">
        <f t="shared" si="238"/>
        <v>0</v>
      </c>
      <c r="BD123" s="27"/>
      <c r="BE123" s="27"/>
      <c r="BF123" s="27">
        <v>0</v>
      </c>
      <c r="BG123" s="27"/>
      <c r="BH123" s="27">
        <f t="shared" si="239"/>
        <v>0</v>
      </c>
      <c r="BI123" s="27">
        <f t="shared" si="240"/>
        <v>0</v>
      </c>
      <c r="BJ123" s="27"/>
      <c r="BK123" s="27"/>
      <c r="BL123" s="27">
        <v>0</v>
      </c>
      <c r="BM123" s="27"/>
      <c r="BN123" s="27">
        <f t="shared" si="241"/>
        <v>0</v>
      </c>
      <c r="BO123" s="27">
        <f t="shared" si="242"/>
        <v>0</v>
      </c>
      <c r="BP123" s="26"/>
      <c r="BQ123" s="26"/>
      <c r="BR123" s="27">
        <v>0</v>
      </c>
      <c r="BS123" s="27"/>
      <c r="BT123" s="27">
        <f t="shared" si="243"/>
        <v>0</v>
      </c>
      <c r="BU123" s="27">
        <f t="shared" si="244"/>
        <v>0</v>
      </c>
      <c r="BV123" s="26"/>
      <c r="BW123" s="26"/>
      <c r="BX123" s="27">
        <v>0</v>
      </c>
      <c r="BY123" s="26"/>
      <c r="BZ123" s="27">
        <f t="shared" si="245"/>
        <v>0</v>
      </c>
      <c r="CA123" s="27">
        <f t="shared" si="246"/>
        <v>0</v>
      </c>
      <c r="CB123" s="26"/>
      <c r="CC123" s="26"/>
      <c r="CD123" s="27">
        <v>0</v>
      </c>
      <c r="CE123" s="26"/>
      <c r="CF123" s="27">
        <f t="shared" si="247"/>
        <v>0</v>
      </c>
      <c r="CG123" s="27">
        <f t="shared" si="248"/>
        <v>0</v>
      </c>
      <c r="CH123" s="27"/>
      <c r="CI123" s="27"/>
      <c r="CJ123" s="27">
        <v>0</v>
      </c>
      <c r="CK123" s="27"/>
      <c r="CL123" s="27">
        <f t="shared" si="249"/>
        <v>0</v>
      </c>
      <c r="CM123" s="27">
        <f t="shared" si="250"/>
        <v>0</v>
      </c>
      <c r="CN123" s="27"/>
      <c r="CO123" s="27"/>
      <c r="CP123" s="27">
        <v>0</v>
      </c>
      <c r="CQ123" s="27"/>
      <c r="CR123" s="27">
        <f t="shared" si="251"/>
        <v>0</v>
      </c>
      <c r="CS123" s="27">
        <f t="shared" si="252"/>
        <v>0</v>
      </c>
      <c r="CT123" s="27"/>
      <c r="CU123" s="27"/>
      <c r="CV123" s="27">
        <v>0</v>
      </c>
      <c r="CW123" s="27"/>
      <c r="CX123" s="27">
        <f t="shared" si="253"/>
        <v>0</v>
      </c>
      <c r="CY123" s="27">
        <f t="shared" si="254"/>
        <v>0</v>
      </c>
      <c r="CZ123" s="27"/>
      <c r="DA123" s="27"/>
      <c r="DB123" s="27">
        <v>0</v>
      </c>
      <c r="DC123" s="27"/>
      <c r="DD123" s="27">
        <f t="shared" si="255"/>
        <v>0</v>
      </c>
      <c r="DE123" s="27">
        <f t="shared" si="256"/>
        <v>0</v>
      </c>
      <c r="DF123" s="27">
        <f t="shared" si="257"/>
        <v>0</v>
      </c>
      <c r="DG123" s="27">
        <f t="shared" si="258"/>
        <v>0</v>
      </c>
      <c r="DH123" s="27">
        <f t="shared" si="259"/>
        <v>0</v>
      </c>
      <c r="DI123" s="27">
        <f t="shared" si="260"/>
        <v>0</v>
      </c>
      <c r="DJ123" s="27">
        <f t="shared" si="261"/>
        <v>0</v>
      </c>
      <c r="DK123" s="27">
        <f t="shared" si="262"/>
        <v>0</v>
      </c>
    </row>
    <row r="124" spans="1:115">
      <c r="A124" s="25">
        <v>116</v>
      </c>
      <c r="B124" s="26" t="s">
        <v>1162</v>
      </c>
      <c r="C124" s="26"/>
      <c r="D124" s="26"/>
      <c r="E124" s="205" t="s">
        <v>1200</v>
      </c>
      <c r="F124" s="161">
        <f t="shared" si="215"/>
        <v>0</v>
      </c>
      <c r="G124" s="165">
        <f t="shared" si="216"/>
        <v>0</v>
      </c>
      <c r="H124" s="27"/>
      <c r="I124" s="27">
        <v>0</v>
      </c>
      <c r="J124" s="27">
        <v>0</v>
      </c>
      <c r="K124" s="127">
        <f t="shared" si="217"/>
        <v>0</v>
      </c>
      <c r="L124" s="127">
        <f t="shared" si="218"/>
        <v>0</v>
      </c>
      <c r="M124" s="127">
        <f t="shared" si="219"/>
        <v>0</v>
      </c>
      <c r="N124" s="131"/>
      <c r="O124" s="125" t="str">
        <f t="shared" si="220"/>
        <v>ნულოვანი შესრულება</v>
      </c>
      <c r="P124" s="27">
        <v>0</v>
      </c>
      <c r="Q124" s="27">
        <v>0</v>
      </c>
      <c r="R124" s="27">
        <f t="shared" si="221"/>
        <v>0</v>
      </c>
      <c r="S124" s="27">
        <f t="shared" si="222"/>
        <v>0</v>
      </c>
      <c r="T124" s="27"/>
      <c r="U124" s="27"/>
      <c r="V124" s="27">
        <v>94</v>
      </c>
      <c r="W124" s="27"/>
      <c r="X124" s="27">
        <f t="shared" si="223"/>
        <v>94</v>
      </c>
      <c r="Y124" s="27">
        <f t="shared" si="224"/>
        <v>0</v>
      </c>
      <c r="Z124" s="27">
        <v>94</v>
      </c>
      <c r="AA124" s="27"/>
      <c r="AB124" s="27"/>
      <c r="AC124" s="27"/>
      <c r="AD124" s="27">
        <f t="shared" si="225"/>
        <v>94</v>
      </c>
      <c r="AE124" s="27">
        <f t="shared" si="226"/>
        <v>0</v>
      </c>
      <c r="AF124" s="27">
        <f t="shared" si="227"/>
        <v>94</v>
      </c>
      <c r="AG124" s="27">
        <f t="shared" si="228"/>
        <v>0</v>
      </c>
      <c r="AH124" s="27">
        <f t="shared" si="229"/>
        <v>94</v>
      </c>
      <c r="AI124" s="27">
        <f t="shared" si="230"/>
        <v>0</v>
      </c>
      <c r="AJ124" s="27">
        <f t="shared" si="231"/>
        <v>188</v>
      </c>
      <c r="AK124" s="27">
        <f t="shared" si="232"/>
        <v>0</v>
      </c>
      <c r="AL124" s="27"/>
      <c r="AM124" s="27"/>
      <c r="AN124" s="27">
        <v>0</v>
      </c>
      <c r="AO124" s="27"/>
      <c r="AP124" s="27">
        <f t="shared" si="233"/>
        <v>0</v>
      </c>
      <c r="AQ124" s="27">
        <f t="shared" si="234"/>
        <v>0</v>
      </c>
      <c r="AR124" s="27"/>
      <c r="AS124" s="27"/>
      <c r="AT124" s="27">
        <v>0</v>
      </c>
      <c r="AU124" s="27"/>
      <c r="AV124" s="27">
        <f t="shared" si="235"/>
        <v>0</v>
      </c>
      <c r="AW124" s="27">
        <f t="shared" si="236"/>
        <v>0</v>
      </c>
      <c r="AX124" s="27"/>
      <c r="AY124" s="27"/>
      <c r="AZ124" s="27">
        <v>0</v>
      </c>
      <c r="BA124" s="27"/>
      <c r="BB124" s="27">
        <f t="shared" si="237"/>
        <v>0</v>
      </c>
      <c r="BC124" s="27">
        <f t="shared" si="238"/>
        <v>0</v>
      </c>
      <c r="BD124" s="27"/>
      <c r="BE124" s="27"/>
      <c r="BF124" s="27">
        <v>0</v>
      </c>
      <c r="BG124" s="27"/>
      <c r="BH124" s="27">
        <f t="shared" si="239"/>
        <v>0</v>
      </c>
      <c r="BI124" s="27">
        <f t="shared" si="240"/>
        <v>0</v>
      </c>
      <c r="BJ124" s="27"/>
      <c r="BK124" s="27"/>
      <c r="BL124" s="27">
        <v>0</v>
      </c>
      <c r="BM124" s="27"/>
      <c r="BN124" s="27">
        <f t="shared" si="241"/>
        <v>0</v>
      </c>
      <c r="BO124" s="27">
        <f t="shared" si="242"/>
        <v>0</v>
      </c>
      <c r="BP124" s="26"/>
      <c r="BQ124" s="26"/>
      <c r="BR124" s="27">
        <v>0</v>
      </c>
      <c r="BS124" s="27"/>
      <c r="BT124" s="27">
        <f t="shared" si="243"/>
        <v>0</v>
      </c>
      <c r="BU124" s="27">
        <f t="shared" si="244"/>
        <v>0</v>
      </c>
      <c r="BV124" s="26"/>
      <c r="BW124" s="26"/>
      <c r="BX124" s="27">
        <v>0</v>
      </c>
      <c r="BY124" s="26"/>
      <c r="BZ124" s="27">
        <f t="shared" si="245"/>
        <v>0</v>
      </c>
      <c r="CA124" s="27">
        <f t="shared" si="246"/>
        <v>0</v>
      </c>
      <c r="CB124" s="26"/>
      <c r="CC124" s="26"/>
      <c r="CD124" s="27">
        <v>0</v>
      </c>
      <c r="CE124" s="26"/>
      <c r="CF124" s="27">
        <f t="shared" si="247"/>
        <v>0</v>
      </c>
      <c r="CG124" s="27">
        <f t="shared" si="248"/>
        <v>0</v>
      </c>
      <c r="CH124" s="27"/>
      <c r="CI124" s="27"/>
      <c r="CJ124" s="27">
        <v>0</v>
      </c>
      <c r="CK124" s="27"/>
      <c r="CL124" s="27">
        <f t="shared" si="249"/>
        <v>0</v>
      </c>
      <c r="CM124" s="27">
        <f t="shared" si="250"/>
        <v>0</v>
      </c>
      <c r="CN124" s="27"/>
      <c r="CO124" s="27"/>
      <c r="CP124" s="27">
        <v>0</v>
      </c>
      <c r="CQ124" s="27"/>
      <c r="CR124" s="27">
        <f t="shared" si="251"/>
        <v>0</v>
      </c>
      <c r="CS124" s="27">
        <f t="shared" si="252"/>
        <v>0</v>
      </c>
      <c r="CT124" s="27"/>
      <c r="CU124" s="27"/>
      <c r="CV124" s="27">
        <v>0</v>
      </c>
      <c r="CW124" s="27"/>
      <c r="CX124" s="27">
        <f t="shared" si="253"/>
        <v>0</v>
      </c>
      <c r="CY124" s="27">
        <f t="shared" si="254"/>
        <v>0</v>
      </c>
      <c r="CZ124" s="27"/>
      <c r="DA124" s="27"/>
      <c r="DB124" s="27">
        <v>0</v>
      </c>
      <c r="DC124" s="27"/>
      <c r="DD124" s="27">
        <f t="shared" si="255"/>
        <v>0</v>
      </c>
      <c r="DE124" s="27">
        <f t="shared" si="256"/>
        <v>0</v>
      </c>
      <c r="DF124" s="27">
        <f t="shared" si="257"/>
        <v>0</v>
      </c>
      <c r="DG124" s="27">
        <f t="shared" si="258"/>
        <v>0</v>
      </c>
      <c r="DH124" s="27">
        <f t="shared" si="259"/>
        <v>0</v>
      </c>
      <c r="DI124" s="27">
        <f t="shared" si="260"/>
        <v>0</v>
      </c>
      <c r="DJ124" s="27">
        <f t="shared" si="261"/>
        <v>0</v>
      </c>
      <c r="DK124" s="27">
        <f t="shared" si="262"/>
        <v>0</v>
      </c>
    </row>
    <row r="125" spans="1:115">
      <c r="A125" s="25">
        <v>117</v>
      </c>
      <c r="B125" s="26" t="s">
        <v>1162</v>
      </c>
      <c r="C125" s="26"/>
      <c r="D125" s="26"/>
      <c r="E125" s="205" t="s">
        <v>1200</v>
      </c>
      <c r="F125" s="161">
        <f t="shared" si="215"/>
        <v>0</v>
      </c>
      <c r="G125" s="165">
        <f t="shared" si="216"/>
        <v>0</v>
      </c>
      <c r="H125" s="27"/>
      <c r="I125" s="27">
        <v>0</v>
      </c>
      <c r="J125" s="27">
        <v>0</v>
      </c>
      <c r="K125" s="127">
        <f t="shared" si="217"/>
        <v>0</v>
      </c>
      <c r="L125" s="127">
        <f t="shared" si="218"/>
        <v>0</v>
      </c>
      <c r="M125" s="127">
        <f t="shared" si="219"/>
        <v>0</v>
      </c>
      <c r="N125" s="131"/>
      <c r="O125" s="125" t="str">
        <f t="shared" si="220"/>
        <v>ნულოვანი შესრულება</v>
      </c>
      <c r="P125" s="27">
        <v>0</v>
      </c>
      <c r="Q125" s="27">
        <v>0</v>
      </c>
      <c r="R125" s="27">
        <f t="shared" si="221"/>
        <v>0</v>
      </c>
      <c r="S125" s="27">
        <f t="shared" si="222"/>
        <v>0</v>
      </c>
      <c r="T125" s="27"/>
      <c r="U125" s="27"/>
      <c r="V125" s="27">
        <v>95</v>
      </c>
      <c r="W125" s="27"/>
      <c r="X125" s="27">
        <f t="shared" si="223"/>
        <v>95</v>
      </c>
      <c r="Y125" s="27">
        <f t="shared" si="224"/>
        <v>0</v>
      </c>
      <c r="Z125" s="27">
        <v>95</v>
      </c>
      <c r="AA125" s="27"/>
      <c r="AB125" s="27"/>
      <c r="AC125" s="27"/>
      <c r="AD125" s="27">
        <f t="shared" si="225"/>
        <v>95</v>
      </c>
      <c r="AE125" s="27">
        <f t="shared" si="226"/>
        <v>0</v>
      </c>
      <c r="AF125" s="27">
        <f t="shared" si="227"/>
        <v>95</v>
      </c>
      <c r="AG125" s="27">
        <f t="shared" si="228"/>
        <v>0</v>
      </c>
      <c r="AH125" s="27">
        <f t="shared" si="229"/>
        <v>95</v>
      </c>
      <c r="AI125" s="27">
        <f t="shared" si="230"/>
        <v>0</v>
      </c>
      <c r="AJ125" s="27">
        <f t="shared" si="231"/>
        <v>190</v>
      </c>
      <c r="AK125" s="27">
        <f t="shared" si="232"/>
        <v>0</v>
      </c>
      <c r="AL125" s="27"/>
      <c r="AM125" s="27"/>
      <c r="AN125" s="27">
        <v>0</v>
      </c>
      <c r="AO125" s="27"/>
      <c r="AP125" s="27">
        <f t="shared" si="233"/>
        <v>0</v>
      </c>
      <c r="AQ125" s="27">
        <f t="shared" si="234"/>
        <v>0</v>
      </c>
      <c r="AR125" s="27"/>
      <c r="AS125" s="27"/>
      <c r="AT125" s="27">
        <v>0</v>
      </c>
      <c r="AU125" s="27"/>
      <c r="AV125" s="27">
        <f t="shared" si="235"/>
        <v>0</v>
      </c>
      <c r="AW125" s="27">
        <f t="shared" si="236"/>
        <v>0</v>
      </c>
      <c r="AX125" s="27"/>
      <c r="AY125" s="27"/>
      <c r="AZ125" s="27">
        <v>0</v>
      </c>
      <c r="BA125" s="27"/>
      <c r="BB125" s="27">
        <f t="shared" si="237"/>
        <v>0</v>
      </c>
      <c r="BC125" s="27">
        <f t="shared" si="238"/>
        <v>0</v>
      </c>
      <c r="BD125" s="27"/>
      <c r="BE125" s="27"/>
      <c r="BF125" s="27">
        <v>0</v>
      </c>
      <c r="BG125" s="27"/>
      <c r="BH125" s="27">
        <f t="shared" si="239"/>
        <v>0</v>
      </c>
      <c r="BI125" s="27">
        <f t="shared" si="240"/>
        <v>0</v>
      </c>
      <c r="BJ125" s="27"/>
      <c r="BK125" s="27"/>
      <c r="BL125" s="27">
        <v>0</v>
      </c>
      <c r="BM125" s="27"/>
      <c r="BN125" s="27">
        <f t="shared" si="241"/>
        <v>0</v>
      </c>
      <c r="BO125" s="27">
        <f t="shared" si="242"/>
        <v>0</v>
      </c>
      <c r="BP125" s="26"/>
      <c r="BQ125" s="26"/>
      <c r="BR125" s="27">
        <v>0</v>
      </c>
      <c r="BS125" s="27"/>
      <c r="BT125" s="27">
        <f t="shared" si="243"/>
        <v>0</v>
      </c>
      <c r="BU125" s="27">
        <f t="shared" si="244"/>
        <v>0</v>
      </c>
      <c r="BV125" s="26"/>
      <c r="BW125" s="26"/>
      <c r="BX125" s="27">
        <v>0</v>
      </c>
      <c r="BY125" s="26"/>
      <c r="BZ125" s="27">
        <f t="shared" si="245"/>
        <v>0</v>
      </c>
      <c r="CA125" s="27">
        <f t="shared" si="246"/>
        <v>0</v>
      </c>
      <c r="CB125" s="26"/>
      <c r="CC125" s="26"/>
      <c r="CD125" s="27">
        <v>0</v>
      </c>
      <c r="CE125" s="26"/>
      <c r="CF125" s="27">
        <f t="shared" si="247"/>
        <v>0</v>
      </c>
      <c r="CG125" s="27">
        <f t="shared" si="248"/>
        <v>0</v>
      </c>
      <c r="CH125" s="27"/>
      <c r="CI125" s="27"/>
      <c r="CJ125" s="27">
        <v>0</v>
      </c>
      <c r="CK125" s="27"/>
      <c r="CL125" s="27">
        <f t="shared" si="249"/>
        <v>0</v>
      </c>
      <c r="CM125" s="27">
        <f t="shared" si="250"/>
        <v>0</v>
      </c>
      <c r="CN125" s="27"/>
      <c r="CO125" s="27"/>
      <c r="CP125" s="27">
        <v>0</v>
      </c>
      <c r="CQ125" s="27"/>
      <c r="CR125" s="27">
        <f t="shared" si="251"/>
        <v>0</v>
      </c>
      <c r="CS125" s="27">
        <f t="shared" si="252"/>
        <v>0</v>
      </c>
      <c r="CT125" s="27"/>
      <c r="CU125" s="27"/>
      <c r="CV125" s="27">
        <v>0</v>
      </c>
      <c r="CW125" s="27"/>
      <c r="CX125" s="27">
        <f t="shared" si="253"/>
        <v>0</v>
      </c>
      <c r="CY125" s="27">
        <f t="shared" si="254"/>
        <v>0</v>
      </c>
      <c r="CZ125" s="27"/>
      <c r="DA125" s="27"/>
      <c r="DB125" s="27">
        <v>0</v>
      </c>
      <c r="DC125" s="27"/>
      <c r="DD125" s="27">
        <f t="shared" si="255"/>
        <v>0</v>
      </c>
      <c r="DE125" s="27">
        <f t="shared" si="256"/>
        <v>0</v>
      </c>
      <c r="DF125" s="27">
        <f t="shared" si="257"/>
        <v>0</v>
      </c>
      <c r="DG125" s="27">
        <f t="shared" si="258"/>
        <v>0</v>
      </c>
      <c r="DH125" s="27">
        <f t="shared" si="259"/>
        <v>0</v>
      </c>
      <c r="DI125" s="27">
        <f t="shared" si="260"/>
        <v>0</v>
      </c>
      <c r="DJ125" s="27">
        <f t="shared" si="261"/>
        <v>0</v>
      </c>
      <c r="DK125" s="27">
        <f t="shared" si="262"/>
        <v>0</v>
      </c>
    </row>
    <row r="126" spans="1:115">
      <c r="A126" s="25">
        <v>118</v>
      </c>
      <c r="B126" s="26" t="s">
        <v>1162</v>
      </c>
      <c r="C126" s="26"/>
      <c r="D126" s="26"/>
      <c r="E126" s="205" t="s">
        <v>1200</v>
      </c>
      <c r="F126" s="161">
        <f t="shared" si="215"/>
        <v>0</v>
      </c>
      <c r="G126" s="165">
        <f t="shared" si="216"/>
        <v>0</v>
      </c>
      <c r="H126" s="27"/>
      <c r="I126" s="27">
        <v>0</v>
      </c>
      <c r="J126" s="27">
        <v>0</v>
      </c>
      <c r="K126" s="127">
        <f t="shared" si="217"/>
        <v>0</v>
      </c>
      <c r="L126" s="127">
        <f t="shared" si="218"/>
        <v>0</v>
      </c>
      <c r="M126" s="127">
        <f t="shared" si="219"/>
        <v>0</v>
      </c>
      <c r="N126" s="131"/>
      <c r="O126" s="125" t="str">
        <f t="shared" si="220"/>
        <v>ნულოვანი შესრულება</v>
      </c>
      <c r="P126" s="27">
        <v>0</v>
      </c>
      <c r="Q126" s="27">
        <v>0</v>
      </c>
      <c r="R126" s="27">
        <f t="shared" si="221"/>
        <v>0</v>
      </c>
      <c r="S126" s="27">
        <f t="shared" si="222"/>
        <v>0</v>
      </c>
      <c r="T126" s="27"/>
      <c r="U126" s="27"/>
      <c r="V126" s="27">
        <v>96</v>
      </c>
      <c r="W126" s="27"/>
      <c r="X126" s="27">
        <f t="shared" si="223"/>
        <v>96</v>
      </c>
      <c r="Y126" s="27">
        <f t="shared" si="224"/>
        <v>0</v>
      </c>
      <c r="Z126" s="27">
        <v>96</v>
      </c>
      <c r="AA126" s="27"/>
      <c r="AB126" s="27"/>
      <c r="AC126" s="27"/>
      <c r="AD126" s="27">
        <f t="shared" si="225"/>
        <v>96</v>
      </c>
      <c r="AE126" s="27">
        <f t="shared" si="226"/>
        <v>0</v>
      </c>
      <c r="AF126" s="27">
        <f t="shared" si="227"/>
        <v>96</v>
      </c>
      <c r="AG126" s="27">
        <f t="shared" si="228"/>
        <v>0</v>
      </c>
      <c r="AH126" s="27">
        <f t="shared" si="229"/>
        <v>96</v>
      </c>
      <c r="AI126" s="27">
        <f t="shared" si="230"/>
        <v>0</v>
      </c>
      <c r="AJ126" s="27">
        <f t="shared" si="231"/>
        <v>192</v>
      </c>
      <c r="AK126" s="27">
        <f t="shared" si="232"/>
        <v>0</v>
      </c>
      <c r="AL126" s="27"/>
      <c r="AM126" s="27"/>
      <c r="AN126" s="27">
        <v>0</v>
      </c>
      <c r="AO126" s="27"/>
      <c r="AP126" s="27">
        <f t="shared" si="233"/>
        <v>0</v>
      </c>
      <c r="AQ126" s="27">
        <f t="shared" si="234"/>
        <v>0</v>
      </c>
      <c r="AR126" s="27"/>
      <c r="AS126" s="27"/>
      <c r="AT126" s="27">
        <v>0</v>
      </c>
      <c r="AU126" s="27"/>
      <c r="AV126" s="27">
        <f t="shared" si="235"/>
        <v>0</v>
      </c>
      <c r="AW126" s="27">
        <f t="shared" si="236"/>
        <v>0</v>
      </c>
      <c r="AX126" s="27"/>
      <c r="AY126" s="27"/>
      <c r="AZ126" s="27">
        <v>0</v>
      </c>
      <c r="BA126" s="27"/>
      <c r="BB126" s="27">
        <f t="shared" si="237"/>
        <v>0</v>
      </c>
      <c r="BC126" s="27">
        <f t="shared" si="238"/>
        <v>0</v>
      </c>
      <c r="BD126" s="27"/>
      <c r="BE126" s="27"/>
      <c r="BF126" s="27">
        <v>0</v>
      </c>
      <c r="BG126" s="27"/>
      <c r="BH126" s="27">
        <f t="shared" si="239"/>
        <v>0</v>
      </c>
      <c r="BI126" s="27">
        <f t="shared" si="240"/>
        <v>0</v>
      </c>
      <c r="BJ126" s="27"/>
      <c r="BK126" s="27"/>
      <c r="BL126" s="27">
        <v>0</v>
      </c>
      <c r="BM126" s="27"/>
      <c r="BN126" s="27">
        <f t="shared" si="241"/>
        <v>0</v>
      </c>
      <c r="BO126" s="27">
        <f t="shared" si="242"/>
        <v>0</v>
      </c>
      <c r="BP126" s="26"/>
      <c r="BQ126" s="26"/>
      <c r="BR126" s="27">
        <v>0</v>
      </c>
      <c r="BS126" s="27"/>
      <c r="BT126" s="27">
        <f t="shared" si="243"/>
        <v>0</v>
      </c>
      <c r="BU126" s="27">
        <f t="shared" si="244"/>
        <v>0</v>
      </c>
      <c r="BV126" s="26"/>
      <c r="BW126" s="26"/>
      <c r="BX126" s="27">
        <v>0</v>
      </c>
      <c r="BY126" s="26"/>
      <c r="BZ126" s="27">
        <f t="shared" si="245"/>
        <v>0</v>
      </c>
      <c r="CA126" s="27">
        <f t="shared" si="246"/>
        <v>0</v>
      </c>
      <c r="CB126" s="26"/>
      <c r="CC126" s="26"/>
      <c r="CD126" s="27">
        <v>0</v>
      </c>
      <c r="CE126" s="26"/>
      <c r="CF126" s="27">
        <f t="shared" si="247"/>
        <v>0</v>
      </c>
      <c r="CG126" s="27">
        <f t="shared" si="248"/>
        <v>0</v>
      </c>
      <c r="CH126" s="27"/>
      <c r="CI126" s="27"/>
      <c r="CJ126" s="27">
        <v>0</v>
      </c>
      <c r="CK126" s="27"/>
      <c r="CL126" s="27">
        <f t="shared" si="249"/>
        <v>0</v>
      </c>
      <c r="CM126" s="27">
        <f t="shared" si="250"/>
        <v>0</v>
      </c>
      <c r="CN126" s="27"/>
      <c r="CO126" s="27"/>
      <c r="CP126" s="27">
        <v>0</v>
      </c>
      <c r="CQ126" s="27"/>
      <c r="CR126" s="27">
        <f t="shared" si="251"/>
        <v>0</v>
      </c>
      <c r="CS126" s="27">
        <f t="shared" si="252"/>
        <v>0</v>
      </c>
      <c r="CT126" s="27"/>
      <c r="CU126" s="27"/>
      <c r="CV126" s="27">
        <v>0</v>
      </c>
      <c r="CW126" s="27"/>
      <c r="CX126" s="27">
        <f t="shared" si="253"/>
        <v>0</v>
      </c>
      <c r="CY126" s="27">
        <f t="shared" si="254"/>
        <v>0</v>
      </c>
      <c r="CZ126" s="27"/>
      <c r="DA126" s="27"/>
      <c r="DB126" s="27">
        <v>0</v>
      </c>
      <c r="DC126" s="27"/>
      <c r="DD126" s="27">
        <f t="shared" si="255"/>
        <v>0</v>
      </c>
      <c r="DE126" s="27">
        <f t="shared" si="256"/>
        <v>0</v>
      </c>
      <c r="DF126" s="27">
        <f t="shared" si="257"/>
        <v>0</v>
      </c>
      <c r="DG126" s="27">
        <f t="shared" si="258"/>
        <v>0</v>
      </c>
      <c r="DH126" s="27">
        <f t="shared" si="259"/>
        <v>0</v>
      </c>
      <c r="DI126" s="27">
        <f t="shared" si="260"/>
        <v>0</v>
      </c>
      <c r="DJ126" s="27">
        <f t="shared" si="261"/>
        <v>0</v>
      </c>
      <c r="DK126" s="27">
        <f t="shared" si="262"/>
        <v>0</v>
      </c>
    </row>
    <row r="127" spans="1:115">
      <c r="A127" s="25">
        <v>119</v>
      </c>
      <c r="B127" s="26" t="s">
        <v>1162</v>
      </c>
      <c r="C127" s="26"/>
      <c r="D127" s="26"/>
      <c r="E127" s="205" t="s">
        <v>1200</v>
      </c>
      <c r="F127" s="161">
        <f t="shared" si="215"/>
        <v>0</v>
      </c>
      <c r="G127" s="165">
        <f t="shared" si="216"/>
        <v>0</v>
      </c>
      <c r="H127" s="27"/>
      <c r="I127" s="27">
        <v>0</v>
      </c>
      <c r="J127" s="27">
        <v>0</v>
      </c>
      <c r="K127" s="127">
        <f t="shared" si="217"/>
        <v>0</v>
      </c>
      <c r="L127" s="127">
        <f t="shared" si="218"/>
        <v>0</v>
      </c>
      <c r="M127" s="127">
        <f t="shared" si="219"/>
        <v>0</v>
      </c>
      <c r="N127" s="131"/>
      <c r="O127" s="125" t="str">
        <f t="shared" si="220"/>
        <v>ნულოვანი შესრულება</v>
      </c>
      <c r="P127" s="27">
        <v>0</v>
      </c>
      <c r="Q127" s="27">
        <v>0</v>
      </c>
      <c r="R127" s="27">
        <f t="shared" si="221"/>
        <v>0</v>
      </c>
      <c r="S127" s="27">
        <f t="shared" si="222"/>
        <v>0</v>
      </c>
      <c r="T127" s="27"/>
      <c r="U127" s="27"/>
      <c r="V127" s="27">
        <v>97</v>
      </c>
      <c r="W127" s="27"/>
      <c r="X127" s="27">
        <f t="shared" si="223"/>
        <v>97</v>
      </c>
      <c r="Y127" s="27">
        <f t="shared" si="224"/>
        <v>0</v>
      </c>
      <c r="Z127" s="27">
        <v>97</v>
      </c>
      <c r="AA127" s="27"/>
      <c r="AB127" s="27"/>
      <c r="AC127" s="27"/>
      <c r="AD127" s="27">
        <f t="shared" si="225"/>
        <v>97</v>
      </c>
      <c r="AE127" s="27">
        <f t="shared" si="226"/>
        <v>0</v>
      </c>
      <c r="AF127" s="27">
        <f t="shared" si="227"/>
        <v>97</v>
      </c>
      <c r="AG127" s="27">
        <f t="shared" si="228"/>
        <v>0</v>
      </c>
      <c r="AH127" s="27">
        <f t="shared" si="229"/>
        <v>97</v>
      </c>
      <c r="AI127" s="27">
        <f t="shared" si="230"/>
        <v>0</v>
      </c>
      <c r="AJ127" s="27">
        <f t="shared" si="231"/>
        <v>194</v>
      </c>
      <c r="AK127" s="27">
        <f t="shared" si="232"/>
        <v>0</v>
      </c>
      <c r="AL127" s="27"/>
      <c r="AM127" s="27"/>
      <c r="AN127" s="27">
        <v>0</v>
      </c>
      <c r="AO127" s="27"/>
      <c r="AP127" s="27">
        <f t="shared" si="233"/>
        <v>0</v>
      </c>
      <c r="AQ127" s="27">
        <f t="shared" si="234"/>
        <v>0</v>
      </c>
      <c r="AR127" s="27"/>
      <c r="AS127" s="27"/>
      <c r="AT127" s="27">
        <v>0</v>
      </c>
      <c r="AU127" s="27"/>
      <c r="AV127" s="27">
        <f t="shared" si="235"/>
        <v>0</v>
      </c>
      <c r="AW127" s="27">
        <f t="shared" si="236"/>
        <v>0</v>
      </c>
      <c r="AX127" s="27"/>
      <c r="AY127" s="27"/>
      <c r="AZ127" s="27">
        <v>0</v>
      </c>
      <c r="BA127" s="27"/>
      <c r="BB127" s="27">
        <f t="shared" si="237"/>
        <v>0</v>
      </c>
      <c r="BC127" s="27">
        <f t="shared" si="238"/>
        <v>0</v>
      </c>
      <c r="BD127" s="27"/>
      <c r="BE127" s="27"/>
      <c r="BF127" s="27">
        <v>0</v>
      </c>
      <c r="BG127" s="27"/>
      <c r="BH127" s="27">
        <f t="shared" si="239"/>
        <v>0</v>
      </c>
      <c r="BI127" s="27">
        <f t="shared" si="240"/>
        <v>0</v>
      </c>
      <c r="BJ127" s="27"/>
      <c r="BK127" s="27"/>
      <c r="BL127" s="27">
        <v>0</v>
      </c>
      <c r="BM127" s="27"/>
      <c r="BN127" s="27">
        <f t="shared" si="241"/>
        <v>0</v>
      </c>
      <c r="BO127" s="27">
        <f t="shared" si="242"/>
        <v>0</v>
      </c>
      <c r="BP127" s="26"/>
      <c r="BQ127" s="26"/>
      <c r="BR127" s="27">
        <v>0</v>
      </c>
      <c r="BS127" s="27"/>
      <c r="BT127" s="27">
        <f t="shared" si="243"/>
        <v>0</v>
      </c>
      <c r="BU127" s="27">
        <f t="shared" si="244"/>
        <v>0</v>
      </c>
      <c r="BV127" s="26"/>
      <c r="BW127" s="26"/>
      <c r="BX127" s="27">
        <v>0</v>
      </c>
      <c r="BY127" s="26"/>
      <c r="BZ127" s="27">
        <f t="shared" si="245"/>
        <v>0</v>
      </c>
      <c r="CA127" s="27">
        <f t="shared" si="246"/>
        <v>0</v>
      </c>
      <c r="CB127" s="26"/>
      <c r="CC127" s="26"/>
      <c r="CD127" s="27">
        <v>0</v>
      </c>
      <c r="CE127" s="26"/>
      <c r="CF127" s="27">
        <f t="shared" si="247"/>
        <v>0</v>
      </c>
      <c r="CG127" s="27">
        <f t="shared" si="248"/>
        <v>0</v>
      </c>
      <c r="CH127" s="27"/>
      <c r="CI127" s="27"/>
      <c r="CJ127" s="27">
        <v>0</v>
      </c>
      <c r="CK127" s="27"/>
      <c r="CL127" s="27">
        <f t="shared" si="249"/>
        <v>0</v>
      </c>
      <c r="CM127" s="27">
        <f t="shared" si="250"/>
        <v>0</v>
      </c>
      <c r="CN127" s="27"/>
      <c r="CO127" s="27"/>
      <c r="CP127" s="27">
        <v>0</v>
      </c>
      <c r="CQ127" s="27"/>
      <c r="CR127" s="27">
        <f t="shared" si="251"/>
        <v>0</v>
      </c>
      <c r="CS127" s="27">
        <f t="shared" si="252"/>
        <v>0</v>
      </c>
      <c r="CT127" s="27"/>
      <c r="CU127" s="27"/>
      <c r="CV127" s="27">
        <v>0</v>
      </c>
      <c r="CW127" s="27"/>
      <c r="CX127" s="27">
        <f t="shared" si="253"/>
        <v>0</v>
      </c>
      <c r="CY127" s="27">
        <f t="shared" si="254"/>
        <v>0</v>
      </c>
      <c r="CZ127" s="27"/>
      <c r="DA127" s="27"/>
      <c r="DB127" s="27">
        <v>0</v>
      </c>
      <c r="DC127" s="27"/>
      <c r="DD127" s="27">
        <f t="shared" si="255"/>
        <v>0</v>
      </c>
      <c r="DE127" s="27">
        <f t="shared" si="256"/>
        <v>0</v>
      </c>
      <c r="DF127" s="27">
        <f t="shared" si="257"/>
        <v>0</v>
      </c>
      <c r="DG127" s="27">
        <f t="shared" si="258"/>
        <v>0</v>
      </c>
      <c r="DH127" s="27">
        <f t="shared" si="259"/>
        <v>0</v>
      </c>
      <c r="DI127" s="27">
        <f t="shared" si="260"/>
        <v>0</v>
      </c>
      <c r="DJ127" s="27">
        <f t="shared" si="261"/>
        <v>0</v>
      </c>
      <c r="DK127" s="27">
        <f t="shared" si="262"/>
        <v>0</v>
      </c>
    </row>
    <row r="128" spans="1:115">
      <c r="A128" s="25">
        <v>120</v>
      </c>
      <c r="B128" s="26" t="s">
        <v>1162</v>
      </c>
      <c r="C128" s="26"/>
      <c r="D128" s="26"/>
      <c r="E128" s="205" t="s">
        <v>1200</v>
      </c>
      <c r="F128" s="161">
        <f t="shared" si="215"/>
        <v>0</v>
      </c>
      <c r="G128" s="165">
        <f t="shared" si="216"/>
        <v>0</v>
      </c>
      <c r="H128" s="27"/>
      <c r="I128" s="27">
        <v>0</v>
      </c>
      <c r="J128" s="27">
        <v>0</v>
      </c>
      <c r="K128" s="127">
        <f t="shared" si="217"/>
        <v>0</v>
      </c>
      <c r="L128" s="127">
        <f t="shared" si="218"/>
        <v>0</v>
      </c>
      <c r="M128" s="127">
        <f t="shared" si="219"/>
        <v>0</v>
      </c>
      <c r="N128" s="131"/>
      <c r="O128" s="125" t="str">
        <f t="shared" si="220"/>
        <v>ნულოვანი შესრულება</v>
      </c>
      <c r="P128" s="27">
        <v>0</v>
      </c>
      <c r="Q128" s="27">
        <v>0</v>
      </c>
      <c r="R128" s="27">
        <f t="shared" si="221"/>
        <v>0</v>
      </c>
      <c r="S128" s="27">
        <f t="shared" si="222"/>
        <v>0</v>
      </c>
      <c r="T128" s="27"/>
      <c r="U128" s="27"/>
      <c r="V128" s="27">
        <v>98</v>
      </c>
      <c r="W128" s="27"/>
      <c r="X128" s="27">
        <f t="shared" si="223"/>
        <v>98</v>
      </c>
      <c r="Y128" s="27">
        <f t="shared" si="224"/>
        <v>0</v>
      </c>
      <c r="Z128" s="27">
        <v>98</v>
      </c>
      <c r="AA128" s="27"/>
      <c r="AB128" s="27"/>
      <c r="AC128" s="27"/>
      <c r="AD128" s="27">
        <f t="shared" si="225"/>
        <v>98</v>
      </c>
      <c r="AE128" s="27">
        <f t="shared" si="226"/>
        <v>0</v>
      </c>
      <c r="AF128" s="27">
        <f t="shared" si="227"/>
        <v>98</v>
      </c>
      <c r="AG128" s="27">
        <f t="shared" si="228"/>
        <v>0</v>
      </c>
      <c r="AH128" s="27">
        <f t="shared" si="229"/>
        <v>98</v>
      </c>
      <c r="AI128" s="27">
        <f t="shared" si="230"/>
        <v>0</v>
      </c>
      <c r="AJ128" s="27">
        <f t="shared" si="231"/>
        <v>196</v>
      </c>
      <c r="AK128" s="27">
        <f t="shared" si="232"/>
        <v>0</v>
      </c>
      <c r="AL128" s="27"/>
      <c r="AM128" s="27"/>
      <c r="AN128" s="27">
        <v>0</v>
      </c>
      <c r="AO128" s="27"/>
      <c r="AP128" s="27">
        <f t="shared" si="233"/>
        <v>0</v>
      </c>
      <c r="AQ128" s="27">
        <f t="shared" si="234"/>
        <v>0</v>
      </c>
      <c r="AR128" s="27"/>
      <c r="AS128" s="27"/>
      <c r="AT128" s="27">
        <v>0</v>
      </c>
      <c r="AU128" s="27"/>
      <c r="AV128" s="27">
        <f t="shared" si="235"/>
        <v>0</v>
      </c>
      <c r="AW128" s="27">
        <f t="shared" si="236"/>
        <v>0</v>
      </c>
      <c r="AX128" s="27"/>
      <c r="AY128" s="27"/>
      <c r="AZ128" s="27">
        <v>0</v>
      </c>
      <c r="BA128" s="27"/>
      <c r="BB128" s="27">
        <f t="shared" si="237"/>
        <v>0</v>
      </c>
      <c r="BC128" s="27">
        <f t="shared" si="238"/>
        <v>0</v>
      </c>
      <c r="BD128" s="27"/>
      <c r="BE128" s="27"/>
      <c r="BF128" s="27">
        <v>0</v>
      </c>
      <c r="BG128" s="27"/>
      <c r="BH128" s="27">
        <f t="shared" si="239"/>
        <v>0</v>
      </c>
      <c r="BI128" s="27">
        <f t="shared" si="240"/>
        <v>0</v>
      </c>
      <c r="BJ128" s="27"/>
      <c r="BK128" s="27"/>
      <c r="BL128" s="27">
        <v>0</v>
      </c>
      <c r="BM128" s="27"/>
      <c r="BN128" s="27">
        <f t="shared" si="241"/>
        <v>0</v>
      </c>
      <c r="BO128" s="27">
        <f t="shared" si="242"/>
        <v>0</v>
      </c>
      <c r="BP128" s="26"/>
      <c r="BQ128" s="26"/>
      <c r="BR128" s="27">
        <v>0</v>
      </c>
      <c r="BS128" s="27"/>
      <c r="BT128" s="27">
        <f t="shared" si="243"/>
        <v>0</v>
      </c>
      <c r="BU128" s="27">
        <f t="shared" si="244"/>
        <v>0</v>
      </c>
      <c r="BV128" s="26"/>
      <c r="BW128" s="26"/>
      <c r="BX128" s="27">
        <v>0</v>
      </c>
      <c r="BY128" s="26"/>
      <c r="BZ128" s="27">
        <f t="shared" si="245"/>
        <v>0</v>
      </c>
      <c r="CA128" s="27">
        <f t="shared" si="246"/>
        <v>0</v>
      </c>
      <c r="CB128" s="26"/>
      <c r="CC128" s="26"/>
      <c r="CD128" s="27">
        <v>0</v>
      </c>
      <c r="CE128" s="26"/>
      <c r="CF128" s="27">
        <f t="shared" si="247"/>
        <v>0</v>
      </c>
      <c r="CG128" s="27">
        <f t="shared" si="248"/>
        <v>0</v>
      </c>
      <c r="CH128" s="27"/>
      <c r="CI128" s="27"/>
      <c r="CJ128" s="27">
        <v>0</v>
      </c>
      <c r="CK128" s="27"/>
      <c r="CL128" s="27">
        <f t="shared" si="249"/>
        <v>0</v>
      </c>
      <c r="CM128" s="27">
        <f t="shared" si="250"/>
        <v>0</v>
      </c>
      <c r="CN128" s="27"/>
      <c r="CO128" s="27"/>
      <c r="CP128" s="27">
        <v>0</v>
      </c>
      <c r="CQ128" s="27"/>
      <c r="CR128" s="27">
        <f t="shared" si="251"/>
        <v>0</v>
      </c>
      <c r="CS128" s="27">
        <f t="shared" si="252"/>
        <v>0</v>
      </c>
      <c r="CT128" s="27"/>
      <c r="CU128" s="27"/>
      <c r="CV128" s="27">
        <v>0</v>
      </c>
      <c r="CW128" s="27"/>
      <c r="CX128" s="27">
        <f t="shared" si="253"/>
        <v>0</v>
      </c>
      <c r="CY128" s="27">
        <f t="shared" si="254"/>
        <v>0</v>
      </c>
      <c r="CZ128" s="27"/>
      <c r="DA128" s="27"/>
      <c r="DB128" s="27">
        <v>0</v>
      </c>
      <c r="DC128" s="27"/>
      <c r="DD128" s="27">
        <f t="shared" si="255"/>
        <v>0</v>
      </c>
      <c r="DE128" s="27">
        <f t="shared" si="256"/>
        <v>0</v>
      </c>
      <c r="DF128" s="27">
        <f t="shared" si="257"/>
        <v>0</v>
      </c>
      <c r="DG128" s="27">
        <f t="shared" si="258"/>
        <v>0</v>
      </c>
      <c r="DH128" s="27">
        <f t="shared" si="259"/>
        <v>0</v>
      </c>
      <c r="DI128" s="27">
        <f t="shared" si="260"/>
        <v>0</v>
      </c>
      <c r="DJ128" s="27">
        <f t="shared" si="261"/>
        <v>0</v>
      </c>
      <c r="DK128" s="27">
        <f t="shared" si="262"/>
        <v>0</v>
      </c>
    </row>
    <row r="129" spans="1:115">
      <c r="A129" s="25">
        <v>121</v>
      </c>
      <c r="B129" s="26" t="s">
        <v>1162</v>
      </c>
      <c r="C129" s="26"/>
      <c r="D129" s="26"/>
      <c r="E129" s="205" t="s">
        <v>1200</v>
      </c>
      <c r="F129" s="161">
        <f t="shared" si="215"/>
        <v>0</v>
      </c>
      <c r="G129" s="165">
        <f t="shared" si="216"/>
        <v>0</v>
      </c>
      <c r="H129" s="27"/>
      <c r="I129" s="27">
        <v>0</v>
      </c>
      <c r="J129" s="27">
        <v>0</v>
      </c>
      <c r="K129" s="127">
        <f t="shared" si="217"/>
        <v>0</v>
      </c>
      <c r="L129" s="127">
        <f t="shared" si="218"/>
        <v>0</v>
      </c>
      <c r="M129" s="127">
        <f t="shared" si="219"/>
        <v>0</v>
      </c>
      <c r="N129" s="131"/>
      <c r="O129" s="125" t="str">
        <f t="shared" si="220"/>
        <v>ნულოვანი შესრულება</v>
      </c>
      <c r="P129" s="27">
        <v>0</v>
      </c>
      <c r="Q129" s="27">
        <v>0</v>
      </c>
      <c r="R129" s="27">
        <f t="shared" si="221"/>
        <v>0</v>
      </c>
      <c r="S129" s="27">
        <f t="shared" si="222"/>
        <v>0</v>
      </c>
      <c r="T129" s="27"/>
      <c r="U129" s="27"/>
      <c r="V129" s="27">
        <v>99</v>
      </c>
      <c r="W129" s="27"/>
      <c r="X129" s="27">
        <f t="shared" si="223"/>
        <v>99</v>
      </c>
      <c r="Y129" s="27">
        <f t="shared" si="224"/>
        <v>0</v>
      </c>
      <c r="Z129" s="27">
        <v>99</v>
      </c>
      <c r="AA129" s="27"/>
      <c r="AB129" s="27"/>
      <c r="AC129" s="27"/>
      <c r="AD129" s="27">
        <f t="shared" si="225"/>
        <v>99</v>
      </c>
      <c r="AE129" s="27">
        <f t="shared" si="226"/>
        <v>0</v>
      </c>
      <c r="AF129" s="27">
        <f t="shared" si="227"/>
        <v>99</v>
      </c>
      <c r="AG129" s="27">
        <f t="shared" si="228"/>
        <v>0</v>
      </c>
      <c r="AH129" s="27">
        <f t="shared" si="229"/>
        <v>99</v>
      </c>
      <c r="AI129" s="27">
        <f t="shared" si="230"/>
        <v>0</v>
      </c>
      <c r="AJ129" s="27">
        <f t="shared" si="231"/>
        <v>198</v>
      </c>
      <c r="AK129" s="27">
        <f t="shared" si="232"/>
        <v>0</v>
      </c>
      <c r="AL129" s="27"/>
      <c r="AM129" s="27"/>
      <c r="AN129" s="27">
        <v>0</v>
      </c>
      <c r="AO129" s="27"/>
      <c r="AP129" s="27">
        <f t="shared" si="233"/>
        <v>0</v>
      </c>
      <c r="AQ129" s="27">
        <f t="shared" si="234"/>
        <v>0</v>
      </c>
      <c r="AR129" s="27"/>
      <c r="AS129" s="27"/>
      <c r="AT129" s="27">
        <v>0</v>
      </c>
      <c r="AU129" s="27"/>
      <c r="AV129" s="27">
        <f t="shared" si="235"/>
        <v>0</v>
      </c>
      <c r="AW129" s="27">
        <f t="shared" si="236"/>
        <v>0</v>
      </c>
      <c r="AX129" s="27"/>
      <c r="AY129" s="27"/>
      <c r="AZ129" s="27">
        <v>0</v>
      </c>
      <c r="BA129" s="27"/>
      <c r="BB129" s="27">
        <f t="shared" si="237"/>
        <v>0</v>
      </c>
      <c r="BC129" s="27">
        <f t="shared" si="238"/>
        <v>0</v>
      </c>
      <c r="BD129" s="27"/>
      <c r="BE129" s="27"/>
      <c r="BF129" s="27">
        <v>0</v>
      </c>
      <c r="BG129" s="27"/>
      <c r="BH129" s="27">
        <f t="shared" si="239"/>
        <v>0</v>
      </c>
      <c r="BI129" s="27">
        <f t="shared" si="240"/>
        <v>0</v>
      </c>
      <c r="BJ129" s="27"/>
      <c r="BK129" s="27"/>
      <c r="BL129" s="27">
        <v>0</v>
      </c>
      <c r="BM129" s="27"/>
      <c r="BN129" s="27">
        <f t="shared" si="241"/>
        <v>0</v>
      </c>
      <c r="BO129" s="27">
        <f t="shared" si="242"/>
        <v>0</v>
      </c>
      <c r="BP129" s="26"/>
      <c r="BQ129" s="26"/>
      <c r="BR129" s="27">
        <v>0</v>
      </c>
      <c r="BS129" s="27"/>
      <c r="BT129" s="27">
        <f t="shared" si="243"/>
        <v>0</v>
      </c>
      <c r="BU129" s="27">
        <f t="shared" si="244"/>
        <v>0</v>
      </c>
      <c r="BV129" s="26"/>
      <c r="BW129" s="26"/>
      <c r="BX129" s="27">
        <v>0</v>
      </c>
      <c r="BY129" s="26"/>
      <c r="BZ129" s="27">
        <f t="shared" si="245"/>
        <v>0</v>
      </c>
      <c r="CA129" s="27">
        <f t="shared" si="246"/>
        <v>0</v>
      </c>
      <c r="CB129" s="26"/>
      <c r="CC129" s="26"/>
      <c r="CD129" s="27">
        <v>0</v>
      </c>
      <c r="CE129" s="26"/>
      <c r="CF129" s="27">
        <f t="shared" si="247"/>
        <v>0</v>
      </c>
      <c r="CG129" s="27">
        <f t="shared" si="248"/>
        <v>0</v>
      </c>
      <c r="CH129" s="27"/>
      <c r="CI129" s="27"/>
      <c r="CJ129" s="27">
        <v>0</v>
      </c>
      <c r="CK129" s="27"/>
      <c r="CL129" s="27">
        <f t="shared" si="249"/>
        <v>0</v>
      </c>
      <c r="CM129" s="27">
        <f t="shared" si="250"/>
        <v>0</v>
      </c>
      <c r="CN129" s="27"/>
      <c r="CO129" s="27"/>
      <c r="CP129" s="27">
        <v>0</v>
      </c>
      <c r="CQ129" s="27"/>
      <c r="CR129" s="27">
        <f t="shared" si="251"/>
        <v>0</v>
      </c>
      <c r="CS129" s="27">
        <f t="shared" si="252"/>
        <v>0</v>
      </c>
      <c r="CT129" s="27"/>
      <c r="CU129" s="27"/>
      <c r="CV129" s="27">
        <v>0</v>
      </c>
      <c r="CW129" s="27"/>
      <c r="CX129" s="27">
        <f t="shared" si="253"/>
        <v>0</v>
      </c>
      <c r="CY129" s="27">
        <f t="shared" si="254"/>
        <v>0</v>
      </c>
      <c r="CZ129" s="27"/>
      <c r="DA129" s="27"/>
      <c r="DB129" s="27">
        <v>0</v>
      </c>
      <c r="DC129" s="27"/>
      <c r="DD129" s="27">
        <f t="shared" si="255"/>
        <v>0</v>
      </c>
      <c r="DE129" s="27">
        <f t="shared" si="256"/>
        <v>0</v>
      </c>
      <c r="DF129" s="27">
        <f t="shared" si="257"/>
        <v>0</v>
      </c>
      <c r="DG129" s="27">
        <f t="shared" si="258"/>
        <v>0</v>
      </c>
      <c r="DH129" s="27">
        <f t="shared" si="259"/>
        <v>0</v>
      </c>
      <c r="DI129" s="27">
        <f t="shared" si="260"/>
        <v>0</v>
      </c>
      <c r="DJ129" s="27">
        <f t="shared" si="261"/>
        <v>0</v>
      </c>
      <c r="DK129" s="27">
        <f t="shared" si="262"/>
        <v>0</v>
      </c>
    </row>
    <row r="130" spans="1:115">
      <c r="A130" s="25">
        <v>122</v>
      </c>
      <c r="B130" s="26" t="s">
        <v>1162</v>
      </c>
      <c r="C130" s="26"/>
      <c r="D130" s="26"/>
      <c r="E130" s="205" t="s">
        <v>1200</v>
      </c>
      <c r="F130" s="161">
        <f t="shared" si="215"/>
        <v>0</v>
      </c>
      <c r="G130" s="165">
        <f t="shared" si="216"/>
        <v>0</v>
      </c>
      <c r="H130" s="27"/>
      <c r="I130" s="27">
        <v>0</v>
      </c>
      <c r="J130" s="27">
        <v>0</v>
      </c>
      <c r="K130" s="127">
        <f t="shared" si="217"/>
        <v>0</v>
      </c>
      <c r="L130" s="127">
        <f t="shared" si="218"/>
        <v>0</v>
      </c>
      <c r="M130" s="127">
        <f t="shared" si="219"/>
        <v>0</v>
      </c>
      <c r="N130" s="131"/>
      <c r="O130" s="125" t="str">
        <f t="shared" si="220"/>
        <v>ნულოვანი შესრულება</v>
      </c>
      <c r="P130" s="27">
        <v>0</v>
      </c>
      <c r="Q130" s="27">
        <v>0</v>
      </c>
      <c r="R130" s="27">
        <f t="shared" si="221"/>
        <v>0</v>
      </c>
      <c r="S130" s="27">
        <f t="shared" si="222"/>
        <v>0</v>
      </c>
      <c r="T130" s="27"/>
      <c r="U130" s="27"/>
      <c r="V130" s="27">
        <v>100</v>
      </c>
      <c r="W130" s="27"/>
      <c r="X130" s="27">
        <f t="shared" si="223"/>
        <v>100</v>
      </c>
      <c r="Y130" s="27">
        <f t="shared" si="224"/>
        <v>0</v>
      </c>
      <c r="Z130" s="27">
        <v>100</v>
      </c>
      <c r="AA130" s="27"/>
      <c r="AB130" s="27"/>
      <c r="AC130" s="27"/>
      <c r="AD130" s="27">
        <f t="shared" si="225"/>
        <v>100</v>
      </c>
      <c r="AE130" s="27">
        <f t="shared" si="226"/>
        <v>0</v>
      </c>
      <c r="AF130" s="27">
        <f t="shared" si="227"/>
        <v>100</v>
      </c>
      <c r="AG130" s="27">
        <f t="shared" si="228"/>
        <v>0</v>
      </c>
      <c r="AH130" s="27">
        <f t="shared" si="229"/>
        <v>100</v>
      </c>
      <c r="AI130" s="27">
        <f t="shared" si="230"/>
        <v>0</v>
      </c>
      <c r="AJ130" s="27">
        <f t="shared" si="231"/>
        <v>200</v>
      </c>
      <c r="AK130" s="27">
        <f t="shared" si="232"/>
        <v>0</v>
      </c>
      <c r="AL130" s="27"/>
      <c r="AM130" s="27"/>
      <c r="AN130" s="27">
        <v>0</v>
      </c>
      <c r="AO130" s="27"/>
      <c r="AP130" s="27">
        <f t="shared" si="233"/>
        <v>0</v>
      </c>
      <c r="AQ130" s="27">
        <f t="shared" si="234"/>
        <v>0</v>
      </c>
      <c r="AR130" s="27"/>
      <c r="AS130" s="27"/>
      <c r="AT130" s="27">
        <v>0</v>
      </c>
      <c r="AU130" s="27"/>
      <c r="AV130" s="27">
        <f t="shared" si="235"/>
        <v>0</v>
      </c>
      <c r="AW130" s="27">
        <f t="shared" si="236"/>
        <v>0</v>
      </c>
      <c r="AX130" s="27"/>
      <c r="AY130" s="27"/>
      <c r="AZ130" s="27">
        <v>0</v>
      </c>
      <c r="BA130" s="27"/>
      <c r="BB130" s="27">
        <f t="shared" si="237"/>
        <v>0</v>
      </c>
      <c r="BC130" s="27">
        <f t="shared" si="238"/>
        <v>0</v>
      </c>
      <c r="BD130" s="27"/>
      <c r="BE130" s="27"/>
      <c r="BF130" s="27">
        <v>0</v>
      </c>
      <c r="BG130" s="27"/>
      <c r="BH130" s="27">
        <f t="shared" si="239"/>
        <v>0</v>
      </c>
      <c r="BI130" s="27">
        <f t="shared" si="240"/>
        <v>0</v>
      </c>
      <c r="BJ130" s="27"/>
      <c r="BK130" s="27"/>
      <c r="BL130" s="27">
        <v>0</v>
      </c>
      <c r="BM130" s="27"/>
      <c r="BN130" s="27">
        <f t="shared" si="241"/>
        <v>0</v>
      </c>
      <c r="BO130" s="27">
        <f t="shared" si="242"/>
        <v>0</v>
      </c>
      <c r="BP130" s="26"/>
      <c r="BQ130" s="26"/>
      <c r="BR130" s="27">
        <v>0</v>
      </c>
      <c r="BS130" s="27"/>
      <c r="BT130" s="27">
        <f t="shared" si="243"/>
        <v>0</v>
      </c>
      <c r="BU130" s="27">
        <f t="shared" si="244"/>
        <v>0</v>
      </c>
      <c r="BV130" s="26"/>
      <c r="BW130" s="26"/>
      <c r="BX130" s="27">
        <v>0</v>
      </c>
      <c r="BY130" s="26"/>
      <c r="BZ130" s="27">
        <f t="shared" si="245"/>
        <v>0</v>
      </c>
      <c r="CA130" s="27">
        <f t="shared" si="246"/>
        <v>0</v>
      </c>
      <c r="CB130" s="26"/>
      <c r="CC130" s="26"/>
      <c r="CD130" s="27">
        <v>0</v>
      </c>
      <c r="CE130" s="26"/>
      <c r="CF130" s="27">
        <f t="shared" si="247"/>
        <v>0</v>
      </c>
      <c r="CG130" s="27">
        <f t="shared" si="248"/>
        <v>0</v>
      </c>
      <c r="CH130" s="27"/>
      <c r="CI130" s="27"/>
      <c r="CJ130" s="27">
        <v>0</v>
      </c>
      <c r="CK130" s="27"/>
      <c r="CL130" s="27">
        <f t="shared" si="249"/>
        <v>0</v>
      </c>
      <c r="CM130" s="27">
        <f t="shared" si="250"/>
        <v>0</v>
      </c>
      <c r="CN130" s="27"/>
      <c r="CO130" s="27"/>
      <c r="CP130" s="27">
        <v>0</v>
      </c>
      <c r="CQ130" s="27"/>
      <c r="CR130" s="27">
        <f t="shared" si="251"/>
        <v>0</v>
      </c>
      <c r="CS130" s="27">
        <f t="shared" si="252"/>
        <v>0</v>
      </c>
      <c r="CT130" s="27"/>
      <c r="CU130" s="27"/>
      <c r="CV130" s="27">
        <v>0</v>
      </c>
      <c r="CW130" s="27"/>
      <c r="CX130" s="27">
        <f t="shared" si="253"/>
        <v>0</v>
      </c>
      <c r="CY130" s="27">
        <f t="shared" si="254"/>
        <v>0</v>
      </c>
      <c r="CZ130" s="27"/>
      <c r="DA130" s="27"/>
      <c r="DB130" s="27">
        <v>0</v>
      </c>
      <c r="DC130" s="27"/>
      <c r="DD130" s="27">
        <f t="shared" si="255"/>
        <v>0</v>
      </c>
      <c r="DE130" s="27">
        <f t="shared" si="256"/>
        <v>0</v>
      </c>
      <c r="DF130" s="27">
        <f t="shared" si="257"/>
        <v>0</v>
      </c>
      <c r="DG130" s="27">
        <f t="shared" si="258"/>
        <v>0</v>
      </c>
      <c r="DH130" s="27">
        <f t="shared" si="259"/>
        <v>0</v>
      </c>
      <c r="DI130" s="27">
        <f t="shared" si="260"/>
        <v>0</v>
      </c>
      <c r="DJ130" s="27">
        <f t="shared" si="261"/>
        <v>0</v>
      </c>
      <c r="DK130" s="27">
        <f t="shared" si="262"/>
        <v>0</v>
      </c>
    </row>
    <row r="131" spans="1:115">
      <c r="A131" s="25">
        <v>123</v>
      </c>
      <c r="B131" s="26" t="s">
        <v>1162</v>
      </c>
      <c r="C131" s="26"/>
      <c r="D131" s="26"/>
      <c r="E131" s="205" t="s">
        <v>1200</v>
      </c>
      <c r="F131" s="161">
        <f t="shared" si="215"/>
        <v>0</v>
      </c>
      <c r="G131" s="165">
        <f t="shared" si="216"/>
        <v>0</v>
      </c>
      <c r="H131" s="27"/>
      <c r="I131" s="27">
        <v>0</v>
      </c>
      <c r="J131" s="27">
        <v>0</v>
      </c>
      <c r="K131" s="127">
        <f t="shared" si="217"/>
        <v>0</v>
      </c>
      <c r="L131" s="127">
        <f t="shared" si="218"/>
        <v>0</v>
      </c>
      <c r="M131" s="127">
        <f t="shared" si="219"/>
        <v>0</v>
      </c>
      <c r="N131" s="131"/>
      <c r="O131" s="125" t="str">
        <f t="shared" si="220"/>
        <v>ნულოვანი შესრულება</v>
      </c>
      <c r="P131" s="27">
        <v>0</v>
      </c>
      <c r="Q131" s="27">
        <v>0</v>
      </c>
      <c r="R131" s="27">
        <f t="shared" si="221"/>
        <v>0</v>
      </c>
      <c r="S131" s="27">
        <f t="shared" si="222"/>
        <v>0</v>
      </c>
      <c r="T131" s="27"/>
      <c r="U131" s="27"/>
      <c r="V131" s="27">
        <v>101</v>
      </c>
      <c r="W131" s="27"/>
      <c r="X131" s="27">
        <f t="shared" si="223"/>
        <v>101</v>
      </c>
      <c r="Y131" s="27">
        <f t="shared" si="224"/>
        <v>0</v>
      </c>
      <c r="Z131" s="27">
        <v>101</v>
      </c>
      <c r="AA131" s="27"/>
      <c r="AB131" s="27"/>
      <c r="AC131" s="27"/>
      <c r="AD131" s="27">
        <f t="shared" si="225"/>
        <v>101</v>
      </c>
      <c r="AE131" s="27">
        <f t="shared" si="226"/>
        <v>0</v>
      </c>
      <c r="AF131" s="27">
        <f t="shared" si="227"/>
        <v>101</v>
      </c>
      <c r="AG131" s="27">
        <f t="shared" si="228"/>
        <v>0</v>
      </c>
      <c r="AH131" s="27">
        <f t="shared" si="229"/>
        <v>101</v>
      </c>
      <c r="AI131" s="27">
        <f t="shared" si="230"/>
        <v>0</v>
      </c>
      <c r="AJ131" s="27">
        <f t="shared" si="231"/>
        <v>202</v>
      </c>
      <c r="AK131" s="27">
        <f t="shared" si="232"/>
        <v>0</v>
      </c>
      <c r="AL131" s="27"/>
      <c r="AM131" s="27"/>
      <c r="AN131" s="27">
        <v>0</v>
      </c>
      <c r="AO131" s="27"/>
      <c r="AP131" s="27">
        <f t="shared" si="233"/>
        <v>0</v>
      </c>
      <c r="AQ131" s="27">
        <f t="shared" si="234"/>
        <v>0</v>
      </c>
      <c r="AR131" s="27"/>
      <c r="AS131" s="27"/>
      <c r="AT131" s="27">
        <v>0</v>
      </c>
      <c r="AU131" s="27"/>
      <c r="AV131" s="27">
        <f t="shared" si="235"/>
        <v>0</v>
      </c>
      <c r="AW131" s="27">
        <f t="shared" si="236"/>
        <v>0</v>
      </c>
      <c r="AX131" s="27"/>
      <c r="AY131" s="27"/>
      <c r="AZ131" s="27">
        <v>0</v>
      </c>
      <c r="BA131" s="27"/>
      <c r="BB131" s="27">
        <f t="shared" si="237"/>
        <v>0</v>
      </c>
      <c r="BC131" s="27">
        <f t="shared" si="238"/>
        <v>0</v>
      </c>
      <c r="BD131" s="27"/>
      <c r="BE131" s="27"/>
      <c r="BF131" s="27">
        <v>0</v>
      </c>
      <c r="BG131" s="27"/>
      <c r="BH131" s="27">
        <f t="shared" si="239"/>
        <v>0</v>
      </c>
      <c r="BI131" s="27">
        <f t="shared" si="240"/>
        <v>0</v>
      </c>
      <c r="BJ131" s="27"/>
      <c r="BK131" s="27"/>
      <c r="BL131" s="27">
        <v>0</v>
      </c>
      <c r="BM131" s="27"/>
      <c r="BN131" s="27">
        <f t="shared" si="241"/>
        <v>0</v>
      </c>
      <c r="BO131" s="27">
        <f t="shared" si="242"/>
        <v>0</v>
      </c>
      <c r="BP131" s="26"/>
      <c r="BQ131" s="26"/>
      <c r="BR131" s="27">
        <v>0</v>
      </c>
      <c r="BS131" s="27"/>
      <c r="BT131" s="27">
        <f t="shared" si="243"/>
        <v>0</v>
      </c>
      <c r="BU131" s="27">
        <f t="shared" si="244"/>
        <v>0</v>
      </c>
      <c r="BV131" s="26"/>
      <c r="BW131" s="26"/>
      <c r="BX131" s="27">
        <v>0</v>
      </c>
      <c r="BY131" s="26"/>
      <c r="BZ131" s="27">
        <f t="shared" si="245"/>
        <v>0</v>
      </c>
      <c r="CA131" s="27">
        <f t="shared" si="246"/>
        <v>0</v>
      </c>
      <c r="CB131" s="26"/>
      <c r="CC131" s="26"/>
      <c r="CD131" s="27">
        <v>0</v>
      </c>
      <c r="CE131" s="26"/>
      <c r="CF131" s="27">
        <f t="shared" si="247"/>
        <v>0</v>
      </c>
      <c r="CG131" s="27">
        <f t="shared" si="248"/>
        <v>0</v>
      </c>
      <c r="CH131" s="27"/>
      <c r="CI131" s="27"/>
      <c r="CJ131" s="27">
        <v>0</v>
      </c>
      <c r="CK131" s="27"/>
      <c r="CL131" s="27">
        <f t="shared" si="249"/>
        <v>0</v>
      </c>
      <c r="CM131" s="27">
        <f t="shared" si="250"/>
        <v>0</v>
      </c>
      <c r="CN131" s="27"/>
      <c r="CO131" s="27"/>
      <c r="CP131" s="27">
        <v>0</v>
      </c>
      <c r="CQ131" s="27"/>
      <c r="CR131" s="27">
        <f t="shared" si="251"/>
        <v>0</v>
      </c>
      <c r="CS131" s="27">
        <f t="shared" si="252"/>
        <v>0</v>
      </c>
      <c r="CT131" s="27"/>
      <c r="CU131" s="27"/>
      <c r="CV131" s="27">
        <v>0</v>
      </c>
      <c r="CW131" s="27"/>
      <c r="CX131" s="27">
        <f t="shared" si="253"/>
        <v>0</v>
      </c>
      <c r="CY131" s="27">
        <f t="shared" si="254"/>
        <v>0</v>
      </c>
      <c r="CZ131" s="27"/>
      <c r="DA131" s="27"/>
      <c r="DB131" s="27">
        <v>0</v>
      </c>
      <c r="DC131" s="27"/>
      <c r="DD131" s="27">
        <f t="shared" si="255"/>
        <v>0</v>
      </c>
      <c r="DE131" s="27">
        <f t="shared" si="256"/>
        <v>0</v>
      </c>
      <c r="DF131" s="27">
        <f t="shared" si="257"/>
        <v>0</v>
      </c>
      <c r="DG131" s="27">
        <f t="shared" si="258"/>
        <v>0</v>
      </c>
      <c r="DH131" s="27">
        <f t="shared" si="259"/>
        <v>0</v>
      </c>
      <c r="DI131" s="27">
        <f t="shared" si="260"/>
        <v>0</v>
      </c>
      <c r="DJ131" s="27">
        <f t="shared" si="261"/>
        <v>0</v>
      </c>
      <c r="DK131" s="27">
        <f t="shared" si="262"/>
        <v>0</v>
      </c>
    </row>
    <row r="132" spans="1:115">
      <c r="A132" s="25">
        <v>124</v>
      </c>
      <c r="B132" s="26" t="s">
        <v>1162</v>
      </c>
      <c r="C132" s="26"/>
      <c r="D132" s="26"/>
      <c r="E132" s="205" t="s">
        <v>1200</v>
      </c>
      <c r="F132" s="161">
        <f t="shared" si="215"/>
        <v>0</v>
      </c>
      <c r="G132" s="165">
        <f t="shared" si="216"/>
        <v>0</v>
      </c>
      <c r="H132" s="27"/>
      <c r="I132" s="27">
        <v>0</v>
      </c>
      <c r="J132" s="27">
        <v>0</v>
      </c>
      <c r="K132" s="127">
        <f t="shared" si="217"/>
        <v>0</v>
      </c>
      <c r="L132" s="127">
        <f t="shared" si="218"/>
        <v>0</v>
      </c>
      <c r="M132" s="127">
        <f t="shared" si="219"/>
        <v>0</v>
      </c>
      <c r="N132" s="131"/>
      <c r="O132" s="125" t="str">
        <f t="shared" si="220"/>
        <v>ნულოვანი შესრულება</v>
      </c>
      <c r="P132" s="27">
        <v>0</v>
      </c>
      <c r="Q132" s="27">
        <v>0</v>
      </c>
      <c r="R132" s="27">
        <f t="shared" si="221"/>
        <v>0</v>
      </c>
      <c r="S132" s="27">
        <f t="shared" si="222"/>
        <v>0</v>
      </c>
      <c r="T132" s="27"/>
      <c r="U132" s="27"/>
      <c r="V132" s="27">
        <v>102</v>
      </c>
      <c r="W132" s="27"/>
      <c r="X132" s="27">
        <f t="shared" si="223"/>
        <v>102</v>
      </c>
      <c r="Y132" s="27">
        <f t="shared" si="224"/>
        <v>0</v>
      </c>
      <c r="Z132" s="27">
        <v>102</v>
      </c>
      <c r="AA132" s="27"/>
      <c r="AB132" s="27"/>
      <c r="AC132" s="27"/>
      <c r="AD132" s="27">
        <f t="shared" si="225"/>
        <v>102</v>
      </c>
      <c r="AE132" s="27">
        <f t="shared" si="226"/>
        <v>0</v>
      </c>
      <c r="AF132" s="27">
        <f t="shared" si="227"/>
        <v>102</v>
      </c>
      <c r="AG132" s="27">
        <f t="shared" si="228"/>
        <v>0</v>
      </c>
      <c r="AH132" s="27">
        <f t="shared" si="229"/>
        <v>102</v>
      </c>
      <c r="AI132" s="27">
        <f t="shared" si="230"/>
        <v>0</v>
      </c>
      <c r="AJ132" s="27">
        <f t="shared" si="231"/>
        <v>204</v>
      </c>
      <c r="AK132" s="27">
        <f t="shared" si="232"/>
        <v>0</v>
      </c>
      <c r="AL132" s="27"/>
      <c r="AM132" s="27"/>
      <c r="AN132" s="27">
        <v>0</v>
      </c>
      <c r="AO132" s="27"/>
      <c r="AP132" s="27">
        <f t="shared" si="233"/>
        <v>0</v>
      </c>
      <c r="AQ132" s="27">
        <f t="shared" si="234"/>
        <v>0</v>
      </c>
      <c r="AR132" s="27"/>
      <c r="AS132" s="27"/>
      <c r="AT132" s="27">
        <v>0</v>
      </c>
      <c r="AU132" s="27"/>
      <c r="AV132" s="27">
        <f t="shared" si="235"/>
        <v>0</v>
      </c>
      <c r="AW132" s="27">
        <f t="shared" si="236"/>
        <v>0</v>
      </c>
      <c r="AX132" s="27"/>
      <c r="AY132" s="27"/>
      <c r="AZ132" s="27">
        <v>0</v>
      </c>
      <c r="BA132" s="27"/>
      <c r="BB132" s="27">
        <f t="shared" si="237"/>
        <v>0</v>
      </c>
      <c r="BC132" s="27">
        <f t="shared" si="238"/>
        <v>0</v>
      </c>
      <c r="BD132" s="27"/>
      <c r="BE132" s="27"/>
      <c r="BF132" s="27">
        <v>0</v>
      </c>
      <c r="BG132" s="27"/>
      <c r="BH132" s="27">
        <f t="shared" si="239"/>
        <v>0</v>
      </c>
      <c r="BI132" s="27">
        <f t="shared" si="240"/>
        <v>0</v>
      </c>
      <c r="BJ132" s="27"/>
      <c r="BK132" s="27"/>
      <c r="BL132" s="27">
        <v>0</v>
      </c>
      <c r="BM132" s="27"/>
      <c r="BN132" s="27">
        <f t="shared" si="241"/>
        <v>0</v>
      </c>
      <c r="BO132" s="27">
        <f t="shared" si="242"/>
        <v>0</v>
      </c>
      <c r="BP132" s="26"/>
      <c r="BQ132" s="26"/>
      <c r="BR132" s="27">
        <v>0</v>
      </c>
      <c r="BS132" s="27"/>
      <c r="BT132" s="27">
        <f t="shared" si="243"/>
        <v>0</v>
      </c>
      <c r="BU132" s="27">
        <f t="shared" si="244"/>
        <v>0</v>
      </c>
      <c r="BV132" s="26"/>
      <c r="BW132" s="26"/>
      <c r="BX132" s="27">
        <v>0</v>
      </c>
      <c r="BY132" s="26"/>
      <c r="BZ132" s="27">
        <f t="shared" si="245"/>
        <v>0</v>
      </c>
      <c r="CA132" s="27">
        <f t="shared" si="246"/>
        <v>0</v>
      </c>
      <c r="CB132" s="26"/>
      <c r="CC132" s="26"/>
      <c r="CD132" s="27">
        <v>0</v>
      </c>
      <c r="CE132" s="26"/>
      <c r="CF132" s="27">
        <f t="shared" si="247"/>
        <v>0</v>
      </c>
      <c r="CG132" s="27">
        <f t="shared" si="248"/>
        <v>0</v>
      </c>
      <c r="CH132" s="27"/>
      <c r="CI132" s="27"/>
      <c r="CJ132" s="27">
        <v>0</v>
      </c>
      <c r="CK132" s="27"/>
      <c r="CL132" s="27">
        <f t="shared" si="249"/>
        <v>0</v>
      </c>
      <c r="CM132" s="27">
        <f t="shared" si="250"/>
        <v>0</v>
      </c>
      <c r="CN132" s="27"/>
      <c r="CO132" s="27"/>
      <c r="CP132" s="27">
        <v>0</v>
      </c>
      <c r="CQ132" s="27"/>
      <c r="CR132" s="27">
        <f t="shared" si="251"/>
        <v>0</v>
      </c>
      <c r="CS132" s="27">
        <f t="shared" si="252"/>
        <v>0</v>
      </c>
      <c r="CT132" s="27"/>
      <c r="CU132" s="27"/>
      <c r="CV132" s="27">
        <v>0</v>
      </c>
      <c r="CW132" s="27"/>
      <c r="CX132" s="27">
        <f t="shared" si="253"/>
        <v>0</v>
      </c>
      <c r="CY132" s="27">
        <f t="shared" si="254"/>
        <v>0</v>
      </c>
      <c r="CZ132" s="27"/>
      <c r="DA132" s="27"/>
      <c r="DB132" s="27">
        <v>0</v>
      </c>
      <c r="DC132" s="27"/>
      <c r="DD132" s="27">
        <f t="shared" si="255"/>
        <v>0</v>
      </c>
      <c r="DE132" s="27">
        <f t="shared" si="256"/>
        <v>0</v>
      </c>
      <c r="DF132" s="27">
        <f t="shared" si="257"/>
        <v>0</v>
      </c>
      <c r="DG132" s="27">
        <f t="shared" si="258"/>
        <v>0</v>
      </c>
      <c r="DH132" s="27">
        <f t="shared" si="259"/>
        <v>0</v>
      </c>
      <c r="DI132" s="27">
        <f t="shared" si="260"/>
        <v>0</v>
      </c>
      <c r="DJ132" s="27">
        <f t="shared" si="261"/>
        <v>0</v>
      </c>
      <c r="DK132" s="27">
        <f t="shared" si="262"/>
        <v>0</v>
      </c>
    </row>
    <row r="133" spans="1:115">
      <c r="A133" s="25">
        <v>125</v>
      </c>
      <c r="B133" s="26" t="s">
        <v>1162</v>
      </c>
      <c r="C133" s="26"/>
      <c r="D133" s="26"/>
      <c r="E133" s="205" t="s">
        <v>1200</v>
      </c>
      <c r="F133" s="161">
        <f t="shared" si="215"/>
        <v>0</v>
      </c>
      <c r="G133" s="165">
        <f t="shared" si="216"/>
        <v>0</v>
      </c>
      <c r="H133" s="27"/>
      <c r="I133" s="27">
        <v>0</v>
      </c>
      <c r="J133" s="27">
        <v>0</v>
      </c>
      <c r="K133" s="127">
        <f t="shared" si="217"/>
        <v>0</v>
      </c>
      <c r="L133" s="127">
        <f t="shared" si="218"/>
        <v>0</v>
      </c>
      <c r="M133" s="127">
        <f t="shared" si="219"/>
        <v>0</v>
      </c>
      <c r="N133" s="131"/>
      <c r="O133" s="125" t="str">
        <f t="shared" si="220"/>
        <v>ნულოვანი შესრულება</v>
      </c>
      <c r="P133" s="27">
        <v>0</v>
      </c>
      <c r="Q133" s="27">
        <v>0</v>
      </c>
      <c r="R133" s="27">
        <f t="shared" si="221"/>
        <v>0</v>
      </c>
      <c r="S133" s="27">
        <f t="shared" si="222"/>
        <v>0</v>
      </c>
      <c r="T133" s="27"/>
      <c r="U133" s="27"/>
      <c r="V133" s="27">
        <v>103</v>
      </c>
      <c r="W133" s="27"/>
      <c r="X133" s="27">
        <f t="shared" si="223"/>
        <v>103</v>
      </c>
      <c r="Y133" s="27">
        <f t="shared" si="224"/>
        <v>0</v>
      </c>
      <c r="Z133" s="27">
        <v>103</v>
      </c>
      <c r="AA133" s="27"/>
      <c r="AB133" s="27"/>
      <c r="AC133" s="27"/>
      <c r="AD133" s="27">
        <f t="shared" si="225"/>
        <v>103</v>
      </c>
      <c r="AE133" s="27">
        <f t="shared" si="226"/>
        <v>0</v>
      </c>
      <c r="AF133" s="27">
        <f t="shared" si="227"/>
        <v>103</v>
      </c>
      <c r="AG133" s="27">
        <f t="shared" si="228"/>
        <v>0</v>
      </c>
      <c r="AH133" s="27">
        <f t="shared" si="229"/>
        <v>103</v>
      </c>
      <c r="AI133" s="27">
        <f t="shared" si="230"/>
        <v>0</v>
      </c>
      <c r="AJ133" s="27">
        <f t="shared" si="231"/>
        <v>206</v>
      </c>
      <c r="AK133" s="27">
        <f t="shared" si="232"/>
        <v>0</v>
      </c>
      <c r="AL133" s="27"/>
      <c r="AM133" s="27"/>
      <c r="AN133" s="27">
        <v>0</v>
      </c>
      <c r="AO133" s="27"/>
      <c r="AP133" s="27">
        <f t="shared" si="233"/>
        <v>0</v>
      </c>
      <c r="AQ133" s="27">
        <f t="shared" si="234"/>
        <v>0</v>
      </c>
      <c r="AR133" s="27"/>
      <c r="AS133" s="27"/>
      <c r="AT133" s="27">
        <v>0</v>
      </c>
      <c r="AU133" s="27"/>
      <c r="AV133" s="27">
        <f t="shared" si="235"/>
        <v>0</v>
      </c>
      <c r="AW133" s="27">
        <f t="shared" si="236"/>
        <v>0</v>
      </c>
      <c r="AX133" s="27"/>
      <c r="AY133" s="27"/>
      <c r="AZ133" s="27">
        <v>0</v>
      </c>
      <c r="BA133" s="27"/>
      <c r="BB133" s="27">
        <f t="shared" si="237"/>
        <v>0</v>
      </c>
      <c r="BC133" s="27">
        <f t="shared" si="238"/>
        <v>0</v>
      </c>
      <c r="BD133" s="27"/>
      <c r="BE133" s="27"/>
      <c r="BF133" s="27">
        <v>0</v>
      </c>
      <c r="BG133" s="27"/>
      <c r="BH133" s="27">
        <f t="shared" si="239"/>
        <v>0</v>
      </c>
      <c r="BI133" s="27">
        <f t="shared" si="240"/>
        <v>0</v>
      </c>
      <c r="BJ133" s="27"/>
      <c r="BK133" s="27"/>
      <c r="BL133" s="27">
        <v>0</v>
      </c>
      <c r="BM133" s="27"/>
      <c r="BN133" s="27">
        <f t="shared" si="241"/>
        <v>0</v>
      </c>
      <c r="BO133" s="27">
        <f t="shared" si="242"/>
        <v>0</v>
      </c>
      <c r="BP133" s="26"/>
      <c r="BQ133" s="26"/>
      <c r="BR133" s="27">
        <v>0</v>
      </c>
      <c r="BS133" s="27"/>
      <c r="BT133" s="27">
        <f t="shared" si="243"/>
        <v>0</v>
      </c>
      <c r="BU133" s="27">
        <f t="shared" si="244"/>
        <v>0</v>
      </c>
      <c r="BV133" s="26"/>
      <c r="BW133" s="26"/>
      <c r="BX133" s="27">
        <v>0</v>
      </c>
      <c r="BY133" s="26"/>
      <c r="BZ133" s="27">
        <f t="shared" si="245"/>
        <v>0</v>
      </c>
      <c r="CA133" s="27">
        <f t="shared" si="246"/>
        <v>0</v>
      </c>
      <c r="CB133" s="26"/>
      <c r="CC133" s="26"/>
      <c r="CD133" s="27">
        <v>0</v>
      </c>
      <c r="CE133" s="26"/>
      <c r="CF133" s="27">
        <f t="shared" si="247"/>
        <v>0</v>
      </c>
      <c r="CG133" s="27">
        <f t="shared" si="248"/>
        <v>0</v>
      </c>
      <c r="CH133" s="27"/>
      <c r="CI133" s="27"/>
      <c r="CJ133" s="27">
        <v>0</v>
      </c>
      <c r="CK133" s="27"/>
      <c r="CL133" s="27">
        <f t="shared" si="249"/>
        <v>0</v>
      </c>
      <c r="CM133" s="27">
        <f t="shared" si="250"/>
        <v>0</v>
      </c>
      <c r="CN133" s="27"/>
      <c r="CO133" s="27"/>
      <c r="CP133" s="27">
        <v>0</v>
      </c>
      <c r="CQ133" s="27"/>
      <c r="CR133" s="27">
        <f t="shared" si="251"/>
        <v>0</v>
      </c>
      <c r="CS133" s="27">
        <f t="shared" si="252"/>
        <v>0</v>
      </c>
      <c r="CT133" s="27"/>
      <c r="CU133" s="27"/>
      <c r="CV133" s="27">
        <v>0</v>
      </c>
      <c r="CW133" s="27"/>
      <c r="CX133" s="27">
        <f t="shared" si="253"/>
        <v>0</v>
      </c>
      <c r="CY133" s="27">
        <f t="shared" si="254"/>
        <v>0</v>
      </c>
      <c r="CZ133" s="27"/>
      <c r="DA133" s="27"/>
      <c r="DB133" s="27">
        <v>0</v>
      </c>
      <c r="DC133" s="27"/>
      <c r="DD133" s="27">
        <f t="shared" si="255"/>
        <v>0</v>
      </c>
      <c r="DE133" s="27">
        <f t="shared" si="256"/>
        <v>0</v>
      </c>
      <c r="DF133" s="27">
        <f t="shared" si="257"/>
        <v>0</v>
      </c>
      <c r="DG133" s="27">
        <f t="shared" si="258"/>
        <v>0</v>
      </c>
      <c r="DH133" s="27">
        <f t="shared" si="259"/>
        <v>0</v>
      </c>
      <c r="DI133" s="27">
        <f t="shared" si="260"/>
        <v>0</v>
      </c>
      <c r="DJ133" s="27">
        <f t="shared" si="261"/>
        <v>0</v>
      </c>
      <c r="DK133" s="27">
        <f t="shared" si="262"/>
        <v>0</v>
      </c>
    </row>
    <row r="134" spans="1:115">
      <c r="A134" s="25">
        <v>126</v>
      </c>
      <c r="B134" s="26" t="s">
        <v>1162</v>
      </c>
      <c r="C134" s="26"/>
      <c r="D134" s="26"/>
      <c r="E134" s="205" t="s">
        <v>1200</v>
      </c>
      <c r="F134" s="161">
        <f t="shared" si="215"/>
        <v>0</v>
      </c>
      <c r="G134" s="165">
        <f t="shared" si="216"/>
        <v>0</v>
      </c>
      <c r="H134" s="27"/>
      <c r="I134" s="27">
        <v>0</v>
      </c>
      <c r="J134" s="27">
        <v>0</v>
      </c>
      <c r="K134" s="127">
        <f t="shared" si="217"/>
        <v>0</v>
      </c>
      <c r="L134" s="127">
        <f t="shared" si="218"/>
        <v>0</v>
      </c>
      <c r="M134" s="127">
        <f t="shared" si="219"/>
        <v>0</v>
      </c>
      <c r="N134" s="131"/>
      <c r="O134" s="125" t="str">
        <f t="shared" si="220"/>
        <v>ნულოვანი შესრულება</v>
      </c>
      <c r="P134" s="27">
        <v>0</v>
      </c>
      <c r="Q134" s="27">
        <v>0</v>
      </c>
      <c r="R134" s="27">
        <f t="shared" si="221"/>
        <v>0</v>
      </c>
      <c r="S134" s="27">
        <f t="shared" si="222"/>
        <v>0</v>
      </c>
      <c r="T134" s="27"/>
      <c r="U134" s="27"/>
      <c r="V134" s="27">
        <v>104</v>
      </c>
      <c r="W134" s="27"/>
      <c r="X134" s="27">
        <f t="shared" si="223"/>
        <v>104</v>
      </c>
      <c r="Y134" s="27">
        <f t="shared" si="224"/>
        <v>0</v>
      </c>
      <c r="Z134" s="27">
        <v>104</v>
      </c>
      <c r="AA134" s="27"/>
      <c r="AB134" s="27"/>
      <c r="AC134" s="27"/>
      <c r="AD134" s="27">
        <f t="shared" si="225"/>
        <v>104</v>
      </c>
      <c r="AE134" s="27">
        <f t="shared" si="226"/>
        <v>0</v>
      </c>
      <c r="AF134" s="27">
        <f t="shared" si="227"/>
        <v>104</v>
      </c>
      <c r="AG134" s="27">
        <f t="shared" si="228"/>
        <v>0</v>
      </c>
      <c r="AH134" s="27">
        <f t="shared" si="229"/>
        <v>104</v>
      </c>
      <c r="AI134" s="27">
        <f t="shared" si="230"/>
        <v>0</v>
      </c>
      <c r="AJ134" s="27">
        <f t="shared" si="231"/>
        <v>208</v>
      </c>
      <c r="AK134" s="27">
        <f t="shared" si="232"/>
        <v>0</v>
      </c>
      <c r="AL134" s="27"/>
      <c r="AM134" s="27"/>
      <c r="AN134" s="27">
        <v>0</v>
      </c>
      <c r="AO134" s="27"/>
      <c r="AP134" s="27">
        <f t="shared" si="233"/>
        <v>0</v>
      </c>
      <c r="AQ134" s="27">
        <f t="shared" si="234"/>
        <v>0</v>
      </c>
      <c r="AR134" s="27"/>
      <c r="AS134" s="27"/>
      <c r="AT134" s="27">
        <v>0</v>
      </c>
      <c r="AU134" s="27"/>
      <c r="AV134" s="27">
        <f t="shared" si="235"/>
        <v>0</v>
      </c>
      <c r="AW134" s="27">
        <f t="shared" si="236"/>
        <v>0</v>
      </c>
      <c r="AX134" s="27"/>
      <c r="AY134" s="27"/>
      <c r="AZ134" s="27">
        <v>0</v>
      </c>
      <c r="BA134" s="27"/>
      <c r="BB134" s="27">
        <f t="shared" si="237"/>
        <v>0</v>
      </c>
      <c r="BC134" s="27">
        <f t="shared" si="238"/>
        <v>0</v>
      </c>
      <c r="BD134" s="27"/>
      <c r="BE134" s="27"/>
      <c r="BF134" s="27">
        <v>0</v>
      </c>
      <c r="BG134" s="27"/>
      <c r="BH134" s="27">
        <f t="shared" si="239"/>
        <v>0</v>
      </c>
      <c r="BI134" s="27">
        <f t="shared" si="240"/>
        <v>0</v>
      </c>
      <c r="BJ134" s="27"/>
      <c r="BK134" s="27"/>
      <c r="BL134" s="27">
        <v>0</v>
      </c>
      <c r="BM134" s="27"/>
      <c r="BN134" s="27">
        <f t="shared" si="241"/>
        <v>0</v>
      </c>
      <c r="BO134" s="27">
        <f t="shared" si="242"/>
        <v>0</v>
      </c>
      <c r="BP134" s="26"/>
      <c r="BQ134" s="26"/>
      <c r="BR134" s="27">
        <v>0</v>
      </c>
      <c r="BS134" s="27"/>
      <c r="BT134" s="27">
        <f t="shared" si="243"/>
        <v>0</v>
      </c>
      <c r="BU134" s="27">
        <f t="shared" si="244"/>
        <v>0</v>
      </c>
      <c r="BV134" s="26"/>
      <c r="BW134" s="26"/>
      <c r="BX134" s="27">
        <v>0</v>
      </c>
      <c r="BY134" s="26"/>
      <c r="BZ134" s="27">
        <f t="shared" si="245"/>
        <v>0</v>
      </c>
      <c r="CA134" s="27">
        <f t="shared" si="246"/>
        <v>0</v>
      </c>
      <c r="CB134" s="26"/>
      <c r="CC134" s="26"/>
      <c r="CD134" s="27">
        <v>0</v>
      </c>
      <c r="CE134" s="26"/>
      <c r="CF134" s="27">
        <f t="shared" si="247"/>
        <v>0</v>
      </c>
      <c r="CG134" s="27">
        <f t="shared" si="248"/>
        <v>0</v>
      </c>
      <c r="CH134" s="27"/>
      <c r="CI134" s="27"/>
      <c r="CJ134" s="27">
        <v>0</v>
      </c>
      <c r="CK134" s="27"/>
      <c r="CL134" s="27">
        <f t="shared" si="249"/>
        <v>0</v>
      </c>
      <c r="CM134" s="27">
        <f t="shared" si="250"/>
        <v>0</v>
      </c>
      <c r="CN134" s="27"/>
      <c r="CO134" s="27"/>
      <c r="CP134" s="27">
        <v>0</v>
      </c>
      <c r="CQ134" s="27"/>
      <c r="CR134" s="27">
        <f t="shared" si="251"/>
        <v>0</v>
      </c>
      <c r="CS134" s="27">
        <f t="shared" si="252"/>
        <v>0</v>
      </c>
      <c r="CT134" s="27"/>
      <c r="CU134" s="27"/>
      <c r="CV134" s="27">
        <v>0</v>
      </c>
      <c r="CW134" s="27"/>
      <c r="CX134" s="27">
        <f t="shared" si="253"/>
        <v>0</v>
      </c>
      <c r="CY134" s="27">
        <f t="shared" si="254"/>
        <v>0</v>
      </c>
      <c r="CZ134" s="27"/>
      <c r="DA134" s="27"/>
      <c r="DB134" s="27">
        <v>0</v>
      </c>
      <c r="DC134" s="27"/>
      <c r="DD134" s="27">
        <f t="shared" si="255"/>
        <v>0</v>
      </c>
      <c r="DE134" s="27">
        <f t="shared" si="256"/>
        <v>0</v>
      </c>
      <c r="DF134" s="27">
        <f t="shared" si="257"/>
        <v>0</v>
      </c>
      <c r="DG134" s="27">
        <f t="shared" si="258"/>
        <v>0</v>
      </c>
      <c r="DH134" s="27">
        <f t="shared" si="259"/>
        <v>0</v>
      </c>
      <c r="DI134" s="27">
        <f t="shared" si="260"/>
        <v>0</v>
      </c>
      <c r="DJ134" s="27">
        <f t="shared" si="261"/>
        <v>0</v>
      </c>
      <c r="DK134" s="27">
        <f t="shared" si="262"/>
        <v>0</v>
      </c>
    </row>
    <row r="135" spans="1:115">
      <c r="A135" s="25">
        <v>127</v>
      </c>
      <c r="B135" s="26" t="s">
        <v>1162</v>
      </c>
      <c r="C135" s="26"/>
      <c r="D135" s="26"/>
      <c r="E135" s="205" t="s">
        <v>1200</v>
      </c>
      <c r="F135" s="161">
        <f t="shared" si="215"/>
        <v>0</v>
      </c>
      <c r="G135" s="165">
        <f t="shared" si="216"/>
        <v>0</v>
      </c>
      <c r="H135" s="27"/>
      <c r="I135" s="27">
        <v>0</v>
      </c>
      <c r="J135" s="27">
        <v>0</v>
      </c>
      <c r="K135" s="127">
        <f t="shared" si="217"/>
        <v>0</v>
      </c>
      <c r="L135" s="127">
        <f t="shared" si="218"/>
        <v>0</v>
      </c>
      <c r="M135" s="127">
        <f t="shared" si="219"/>
        <v>0</v>
      </c>
      <c r="N135" s="131"/>
      <c r="O135" s="125" t="str">
        <f t="shared" si="220"/>
        <v>ნულოვანი შესრულება</v>
      </c>
      <c r="P135" s="27">
        <v>0</v>
      </c>
      <c r="Q135" s="27">
        <v>0</v>
      </c>
      <c r="R135" s="27">
        <f t="shared" si="221"/>
        <v>0</v>
      </c>
      <c r="S135" s="27">
        <f t="shared" si="222"/>
        <v>0</v>
      </c>
      <c r="T135" s="27"/>
      <c r="U135" s="27"/>
      <c r="V135" s="27">
        <v>105</v>
      </c>
      <c r="W135" s="27"/>
      <c r="X135" s="27">
        <f t="shared" si="223"/>
        <v>105</v>
      </c>
      <c r="Y135" s="27">
        <f t="shared" si="224"/>
        <v>0</v>
      </c>
      <c r="Z135" s="27">
        <v>105</v>
      </c>
      <c r="AA135" s="27"/>
      <c r="AB135" s="27"/>
      <c r="AC135" s="27"/>
      <c r="AD135" s="27">
        <f t="shared" si="225"/>
        <v>105</v>
      </c>
      <c r="AE135" s="27">
        <f t="shared" si="226"/>
        <v>0</v>
      </c>
      <c r="AF135" s="27">
        <f t="shared" si="227"/>
        <v>105</v>
      </c>
      <c r="AG135" s="27">
        <f t="shared" si="228"/>
        <v>0</v>
      </c>
      <c r="AH135" s="27">
        <f t="shared" si="229"/>
        <v>105</v>
      </c>
      <c r="AI135" s="27">
        <f t="shared" si="230"/>
        <v>0</v>
      </c>
      <c r="AJ135" s="27">
        <f t="shared" si="231"/>
        <v>210</v>
      </c>
      <c r="AK135" s="27">
        <f t="shared" si="232"/>
        <v>0</v>
      </c>
      <c r="AL135" s="27"/>
      <c r="AM135" s="27"/>
      <c r="AN135" s="27">
        <v>0</v>
      </c>
      <c r="AO135" s="27"/>
      <c r="AP135" s="27">
        <f t="shared" si="233"/>
        <v>0</v>
      </c>
      <c r="AQ135" s="27">
        <f t="shared" si="234"/>
        <v>0</v>
      </c>
      <c r="AR135" s="27"/>
      <c r="AS135" s="27"/>
      <c r="AT135" s="27">
        <v>0</v>
      </c>
      <c r="AU135" s="27"/>
      <c r="AV135" s="27">
        <f t="shared" si="235"/>
        <v>0</v>
      </c>
      <c r="AW135" s="27">
        <f t="shared" si="236"/>
        <v>0</v>
      </c>
      <c r="AX135" s="27"/>
      <c r="AY135" s="27"/>
      <c r="AZ135" s="27">
        <v>0</v>
      </c>
      <c r="BA135" s="27"/>
      <c r="BB135" s="27">
        <f t="shared" si="237"/>
        <v>0</v>
      </c>
      <c r="BC135" s="27">
        <f t="shared" si="238"/>
        <v>0</v>
      </c>
      <c r="BD135" s="27"/>
      <c r="BE135" s="27"/>
      <c r="BF135" s="27">
        <v>0</v>
      </c>
      <c r="BG135" s="27"/>
      <c r="BH135" s="27">
        <f t="shared" si="239"/>
        <v>0</v>
      </c>
      <c r="BI135" s="27">
        <f t="shared" si="240"/>
        <v>0</v>
      </c>
      <c r="BJ135" s="27"/>
      <c r="BK135" s="27"/>
      <c r="BL135" s="27">
        <v>0</v>
      </c>
      <c r="BM135" s="27"/>
      <c r="BN135" s="27">
        <f t="shared" si="241"/>
        <v>0</v>
      </c>
      <c r="BO135" s="27">
        <f t="shared" si="242"/>
        <v>0</v>
      </c>
      <c r="BP135" s="26"/>
      <c r="BQ135" s="26"/>
      <c r="BR135" s="27">
        <v>0</v>
      </c>
      <c r="BS135" s="27"/>
      <c r="BT135" s="27">
        <f t="shared" si="243"/>
        <v>0</v>
      </c>
      <c r="BU135" s="27">
        <f t="shared" si="244"/>
        <v>0</v>
      </c>
      <c r="BV135" s="26"/>
      <c r="BW135" s="26"/>
      <c r="BX135" s="27">
        <v>0</v>
      </c>
      <c r="BY135" s="26"/>
      <c r="BZ135" s="27">
        <f t="shared" si="245"/>
        <v>0</v>
      </c>
      <c r="CA135" s="27">
        <f t="shared" si="246"/>
        <v>0</v>
      </c>
      <c r="CB135" s="26"/>
      <c r="CC135" s="26"/>
      <c r="CD135" s="27">
        <v>0</v>
      </c>
      <c r="CE135" s="26"/>
      <c r="CF135" s="27">
        <f t="shared" si="247"/>
        <v>0</v>
      </c>
      <c r="CG135" s="27">
        <f t="shared" si="248"/>
        <v>0</v>
      </c>
      <c r="CH135" s="27"/>
      <c r="CI135" s="27"/>
      <c r="CJ135" s="27">
        <v>0</v>
      </c>
      <c r="CK135" s="27"/>
      <c r="CL135" s="27">
        <f t="shared" si="249"/>
        <v>0</v>
      </c>
      <c r="CM135" s="27">
        <f t="shared" si="250"/>
        <v>0</v>
      </c>
      <c r="CN135" s="27"/>
      <c r="CO135" s="27"/>
      <c r="CP135" s="27">
        <v>0</v>
      </c>
      <c r="CQ135" s="27"/>
      <c r="CR135" s="27">
        <f t="shared" si="251"/>
        <v>0</v>
      </c>
      <c r="CS135" s="27">
        <f t="shared" si="252"/>
        <v>0</v>
      </c>
      <c r="CT135" s="27"/>
      <c r="CU135" s="27"/>
      <c r="CV135" s="27">
        <v>0</v>
      </c>
      <c r="CW135" s="27"/>
      <c r="CX135" s="27">
        <f t="shared" si="253"/>
        <v>0</v>
      </c>
      <c r="CY135" s="27">
        <f t="shared" si="254"/>
        <v>0</v>
      </c>
      <c r="CZ135" s="27"/>
      <c r="DA135" s="27"/>
      <c r="DB135" s="27">
        <v>0</v>
      </c>
      <c r="DC135" s="27"/>
      <c r="DD135" s="27">
        <f t="shared" si="255"/>
        <v>0</v>
      </c>
      <c r="DE135" s="27">
        <f t="shared" si="256"/>
        <v>0</v>
      </c>
      <c r="DF135" s="27">
        <f t="shared" si="257"/>
        <v>0</v>
      </c>
      <c r="DG135" s="27">
        <f t="shared" si="258"/>
        <v>0</v>
      </c>
      <c r="DH135" s="27">
        <f t="shared" si="259"/>
        <v>0</v>
      </c>
      <c r="DI135" s="27">
        <f t="shared" si="260"/>
        <v>0</v>
      </c>
      <c r="DJ135" s="27">
        <f t="shared" si="261"/>
        <v>0</v>
      </c>
      <c r="DK135" s="27">
        <f t="shared" si="262"/>
        <v>0</v>
      </c>
    </row>
    <row r="136" spans="1:115">
      <c r="A136" s="25">
        <v>128</v>
      </c>
      <c r="B136" s="26" t="s">
        <v>1162</v>
      </c>
      <c r="C136" s="26"/>
      <c r="D136" s="26"/>
      <c r="E136" s="205" t="s">
        <v>1200</v>
      </c>
      <c r="F136" s="161">
        <f t="shared" si="215"/>
        <v>0</v>
      </c>
      <c r="G136" s="165">
        <f t="shared" si="216"/>
        <v>0</v>
      </c>
      <c r="H136" s="27"/>
      <c r="I136" s="27">
        <v>0</v>
      </c>
      <c r="J136" s="27">
        <v>0</v>
      </c>
      <c r="K136" s="127">
        <f t="shared" si="217"/>
        <v>0</v>
      </c>
      <c r="L136" s="127">
        <f t="shared" si="218"/>
        <v>0</v>
      </c>
      <c r="M136" s="127">
        <f t="shared" si="219"/>
        <v>0</v>
      </c>
      <c r="N136" s="131"/>
      <c r="O136" s="125" t="str">
        <f t="shared" si="220"/>
        <v>ნულოვანი შესრულება</v>
      </c>
      <c r="P136" s="27">
        <v>0</v>
      </c>
      <c r="Q136" s="27">
        <v>0</v>
      </c>
      <c r="R136" s="27">
        <f t="shared" si="221"/>
        <v>0</v>
      </c>
      <c r="S136" s="27">
        <f t="shared" si="222"/>
        <v>0</v>
      </c>
      <c r="T136" s="27"/>
      <c r="U136" s="27"/>
      <c r="V136" s="27">
        <v>106</v>
      </c>
      <c r="W136" s="27"/>
      <c r="X136" s="27">
        <f t="shared" si="223"/>
        <v>106</v>
      </c>
      <c r="Y136" s="27">
        <f t="shared" si="224"/>
        <v>0</v>
      </c>
      <c r="Z136" s="27">
        <v>106</v>
      </c>
      <c r="AA136" s="27"/>
      <c r="AB136" s="27"/>
      <c r="AC136" s="27"/>
      <c r="AD136" s="27">
        <f t="shared" si="225"/>
        <v>106</v>
      </c>
      <c r="AE136" s="27">
        <f t="shared" si="226"/>
        <v>0</v>
      </c>
      <c r="AF136" s="27">
        <f t="shared" si="227"/>
        <v>106</v>
      </c>
      <c r="AG136" s="27">
        <f t="shared" si="228"/>
        <v>0</v>
      </c>
      <c r="AH136" s="27">
        <f t="shared" si="229"/>
        <v>106</v>
      </c>
      <c r="AI136" s="27">
        <f t="shared" si="230"/>
        <v>0</v>
      </c>
      <c r="AJ136" s="27">
        <f t="shared" si="231"/>
        <v>212</v>
      </c>
      <c r="AK136" s="27">
        <f t="shared" si="232"/>
        <v>0</v>
      </c>
      <c r="AL136" s="27"/>
      <c r="AM136" s="27"/>
      <c r="AN136" s="27">
        <v>0</v>
      </c>
      <c r="AO136" s="27"/>
      <c r="AP136" s="27">
        <f t="shared" si="233"/>
        <v>0</v>
      </c>
      <c r="AQ136" s="27">
        <f t="shared" si="234"/>
        <v>0</v>
      </c>
      <c r="AR136" s="27"/>
      <c r="AS136" s="27"/>
      <c r="AT136" s="27">
        <v>0</v>
      </c>
      <c r="AU136" s="27"/>
      <c r="AV136" s="27">
        <f t="shared" si="235"/>
        <v>0</v>
      </c>
      <c r="AW136" s="27">
        <f t="shared" si="236"/>
        <v>0</v>
      </c>
      <c r="AX136" s="27"/>
      <c r="AY136" s="27"/>
      <c r="AZ136" s="27">
        <v>0</v>
      </c>
      <c r="BA136" s="27"/>
      <c r="BB136" s="27">
        <f t="shared" si="237"/>
        <v>0</v>
      </c>
      <c r="BC136" s="27">
        <f t="shared" si="238"/>
        <v>0</v>
      </c>
      <c r="BD136" s="27"/>
      <c r="BE136" s="27"/>
      <c r="BF136" s="27">
        <v>0</v>
      </c>
      <c r="BG136" s="27"/>
      <c r="BH136" s="27">
        <f t="shared" si="239"/>
        <v>0</v>
      </c>
      <c r="BI136" s="27">
        <f t="shared" si="240"/>
        <v>0</v>
      </c>
      <c r="BJ136" s="27"/>
      <c r="BK136" s="27"/>
      <c r="BL136" s="27">
        <v>0</v>
      </c>
      <c r="BM136" s="27"/>
      <c r="BN136" s="27">
        <f t="shared" si="241"/>
        <v>0</v>
      </c>
      <c r="BO136" s="27">
        <f t="shared" si="242"/>
        <v>0</v>
      </c>
      <c r="BP136" s="26"/>
      <c r="BQ136" s="26"/>
      <c r="BR136" s="27">
        <v>0</v>
      </c>
      <c r="BS136" s="27"/>
      <c r="BT136" s="27">
        <f t="shared" si="243"/>
        <v>0</v>
      </c>
      <c r="BU136" s="27">
        <f t="shared" si="244"/>
        <v>0</v>
      </c>
      <c r="BV136" s="26"/>
      <c r="BW136" s="26"/>
      <c r="BX136" s="27">
        <v>0</v>
      </c>
      <c r="BY136" s="26"/>
      <c r="BZ136" s="27">
        <f t="shared" si="245"/>
        <v>0</v>
      </c>
      <c r="CA136" s="27">
        <f t="shared" si="246"/>
        <v>0</v>
      </c>
      <c r="CB136" s="26"/>
      <c r="CC136" s="26"/>
      <c r="CD136" s="27">
        <v>0</v>
      </c>
      <c r="CE136" s="26"/>
      <c r="CF136" s="27">
        <f t="shared" si="247"/>
        <v>0</v>
      </c>
      <c r="CG136" s="27">
        <f t="shared" si="248"/>
        <v>0</v>
      </c>
      <c r="CH136" s="27"/>
      <c r="CI136" s="27"/>
      <c r="CJ136" s="27">
        <v>0</v>
      </c>
      <c r="CK136" s="27"/>
      <c r="CL136" s="27">
        <f t="shared" si="249"/>
        <v>0</v>
      </c>
      <c r="CM136" s="27">
        <f t="shared" si="250"/>
        <v>0</v>
      </c>
      <c r="CN136" s="27"/>
      <c r="CO136" s="27"/>
      <c r="CP136" s="27">
        <v>0</v>
      </c>
      <c r="CQ136" s="27"/>
      <c r="CR136" s="27">
        <f t="shared" si="251"/>
        <v>0</v>
      </c>
      <c r="CS136" s="27">
        <f t="shared" si="252"/>
        <v>0</v>
      </c>
      <c r="CT136" s="27"/>
      <c r="CU136" s="27"/>
      <c r="CV136" s="27">
        <v>0</v>
      </c>
      <c r="CW136" s="27"/>
      <c r="CX136" s="27">
        <f t="shared" si="253"/>
        <v>0</v>
      </c>
      <c r="CY136" s="27">
        <f t="shared" si="254"/>
        <v>0</v>
      </c>
      <c r="CZ136" s="27"/>
      <c r="DA136" s="27"/>
      <c r="DB136" s="27">
        <v>0</v>
      </c>
      <c r="DC136" s="27"/>
      <c r="DD136" s="27">
        <f t="shared" si="255"/>
        <v>0</v>
      </c>
      <c r="DE136" s="27">
        <f t="shared" si="256"/>
        <v>0</v>
      </c>
      <c r="DF136" s="27">
        <f t="shared" si="257"/>
        <v>0</v>
      </c>
      <c r="DG136" s="27">
        <f t="shared" si="258"/>
        <v>0</v>
      </c>
      <c r="DH136" s="27">
        <f t="shared" si="259"/>
        <v>0</v>
      </c>
      <c r="DI136" s="27">
        <f t="shared" si="260"/>
        <v>0</v>
      </c>
      <c r="DJ136" s="27">
        <f t="shared" si="261"/>
        <v>0</v>
      </c>
      <c r="DK136" s="27">
        <f t="shared" si="262"/>
        <v>0</v>
      </c>
    </row>
    <row r="137" spans="1:115">
      <c r="A137" s="25">
        <v>129</v>
      </c>
      <c r="B137" s="26" t="s">
        <v>1162</v>
      </c>
      <c r="C137" s="26"/>
      <c r="D137" s="26"/>
      <c r="E137" s="205" t="s">
        <v>1200</v>
      </c>
      <c r="F137" s="161">
        <f t="shared" si="215"/>
        <v>0</v>
      </c>
      <c r="G137" s="165">
        <f t="shared" si="216"/>
        <v>0</v>
      </c>
      <c r="H137" s="27"/>
      <c r="I137" s="27">
        <v>0</v>
      </c>
      <c r="J137" s="27">
        <v>0</v>
      </c>
      <c r="K137" s="127">
        <f t="shared" si="217"/>
        <v>0</v>
      </c>
      <c r="L137" s="127">
        <f t="shared" si="218"/>
        <v>0</v>
      </c>
      <c r="M137" s="127">
        <f t="shared" si="219"/>
        <v>0</v>
      </c>
      <c r="N137" s="131"/>
      <c r="O137" s="125" t="str">
        <f t="shared" si="220"/>
        <v>ნულოვანი შესრულება</v>
      </c>
      <c r="P137" s="27">
        <v>0</v>
      </c>
      <c r="Q137" s="27">
        <v>0</v>
      </c>
      <c r="R137" s="27">
        <f t="shared" si="221"/>
        <v>0</v>
      </c>
      <c r="S137" s="27">
        <f t="shared" si="222"/>
        <v>0</v>
      </c>
      <c r="T137" s="27"/>
      <c r="U137" s="27"/>
      <c r="V137" s="27">
        <v>107</v>
      </c>
      <c r="W137" s="27"/>
      <c r="X137" s="27">
        <f t="shared" si="223"/>
        <v>107</v>
      </c>
      <c r="Y137" s="27">
        <f t="shared" si="224"/>
        <v>0</v>
      </c>
      <c r="Z137" s="27">
        <v>107</v>
      </c>
      <c r="AA137" s="27"/>
      <c r="AB137" s="27"/>
      <c r="AC137" s="27"/>
      <c r="AD137" s="27">
        <f t="shared" si="225"/>
        <v>107</v>
      </c>
      <c r="AE137" s="27">
        <f t="shared" si="226"/>
        <v>0</v>
      </c>
      <c r="AF137" s="27">
        <f t="shared" si="227"/>
        <v>107</v>
      </c>
      <c r="AG137" s="27">
        <f t="shared" si="228"/>
        <v>0</v>
      </c>
      <c r="AH137" s="27">
        <f t="shared" si="229"/>
        <v>107</v>
      </c>
      <c r="AI137" s="27">
        <f t="shared" si="230"/>
        <v>0</v>
      </c>
      <c r="AJ137" s="27">
        <f t="shared" si="231"/>
        <v>214</v>
      </c>
      <c r="AK137" s="27">
        <f t="shared" si="232"/>
        <v>0</v>
      </c>
      <c r="AL137" s="27"/>
      <c r="AM137" s="27"/>
      <c r="AN137" s="27">
        <v>0</v>
      </c>
      <c r="AO137" s="27"/>
      <c r="AP137" s="27">
        <f t="shared" si="233"/>
        <v>0</v>
      </c>
      <c r="AQ137" s="27">
        <f t="shared" si="234"/>
        <v>0</v>
      </c>
      <c r="AR137" s="27"/>
      <c r="AS137" s="27"/>
      <c r="AT137" s="27">
        <v>0</v>
      </c>
      <c r="AU137" s="27"/>
      <c r="AV137" s="27">
        <f t="shared" si="235"/>
        <v>0</v>
      </c>
      <c r="AW137" s="27">
        <f t="shared" si="236"/>
        <v>0</v>
      </c>
      <c r="AX137" s="27"/>
      <c r="AY137" s="27"/>
      <c r="AZ137" s="27">
        <v>0</v>
      </c>
      <c r="BA137" s="27"/>
      <c r="BB137" s="27">
        <f t="shared" si="237"/>
        <v>0</v>
      </c>
      <c r="BC137" s="27">
        <f t="shared" si="238"/>
        <v>0</v>
      </c>
      <c r="BD137" s="27"/>
      <c r="BE137" s="27"/>
      <c r="BF137" s="27">
        <v>0</v>
      </c>
      <c r="BG137" s="27"/>
      <c r="BH137" s="27">
        <f t="shared" si="239"/>
        <v>0</v>
      </c>
      <c r="BI137" s="27">
        <f t="shared" si="240"/>
        <v>0</v>
      </c>
      <c r="BJ137" s="27"/>
      <c r="BK137" s="27"/>
      <c r="BL137" s="27">
        <v>0</v>
      </c>
      <c r="BM137" s="27"/>
      <c r="BN137" s="27">
        <f t="shared" si="241"/>
        <v>0</v>
      </c>
      <c r="BO137" s="27">
        <f t="shared" si="242"/>
        <v>0</v>
      </c>
      <c r="BP137" s="26"/>
      <c r="BQ137" s="26"/>
      <c r="BR137" s="27">
        <v>0</v>
      </c>
      <c r="BS137" s="27"/>
      <c r="BT137" s="27">
        <f t="shared" si="243"/>
        <v>0</v>
      </c>
      <c r="BU137" s="27">
        <f t="shared" si="244"/>
        <v>0</v>
      </c>
      <c r="BV137" s="26"/>
      <c r="BW137" s="26"/>
      <c r="BX137" s="27">
        <v>0</v>
      </c>
      <c r="BY137" s="26"/>
      <c r="BZ137" s="27">
        <f t="shared" si="245"/>
        <v>0</v>
      </c>
      <c r="CA137" s="27">
        <f t="shared" si="246"/>
        <v>0</v>
      </c>
      <c r="CB137" s="26"/>
      <c r="CC137" s="26"/>
      <c r="CD137" s="27">
        <v>0</v>
      </c>
      <c r="CE137" s="26"/>
      <c r="CF137" s="27">
        <f t="shared" si="247"/>
        <v>0</v>
      </c>
      <c r="CG137" s="27">
        <f t="shared" si="248"/>
        <v>0</v>
      </c>
      <c r="CH137" s="27"/>
      <c r="CI137" s="27"/>
      <c r="CJ137" s="27">
        <v>0</v>
      </c>
      <c r="CK137" s="27"/>
      <c r="CL137" s="27">
        <f t="shared" si="249"/>
        <v>0</v>
      </c>
      <c r="CM137" s="27">
        <f t="shared" si="250"/>
        <v>0</v>
      </c>
      <c r="CN137" s="27"/>
      <c r="CO137" s="27"/>
      <c r="CP137" s="27">
        <v>0</v>
      </c>
      <c r="CQ137" s="27"/>
      <c r="CR137" s="27">
        <f t="shared" si="251"/>
        <v>0</v>
      </c>
      <c r="CS137" s="27">
        <f t="shared" si="252"/>
        <v>0</v>
      </c>
      <c r="CT137" s="27"/>
      <c r="CU137" s="27"/>
      <c r="CV137" s="27">
        <v>0</v>
      </c>
      <c r="CW137" s="27"/>
      <c r="CX137" s="27">
        <f t="shared" si="253"/>
        <v>0</v>
      </c>
      <c r="CY137" s="27">
        <f t="shared" si="254"/>
        <v>0</v>
      </c>
      <c r="CZ137" s="27"/>
      <c r="DA137" s="27"/>
      <c r="DB137" s="27">
        <v>0</v>
      </c>
      <c r="DC137" s="27"/>
      <c r="DD137" s="27">
        <f t="shared" si="255"/>
        <v>0</v>
      </c>
      <c r="DE137" s="27">
        <f t="shared" si="256"/>
        <v>0</v>
      </c>
      <c r="DF137" s="27">
        <f t="shared" si="257"/>
        <v>0</v>
      </c>
      <c r="DG137" s="27">
        <f t="shared" si="258"/>
        <v>0</v>
      </c>
      <c r="DH137" s="27">
        <f t="shared" si="259"/>
        <v>0</v>
      </c>
      <c r="DI137" s="27">
        <f t="shared" si="260"/>
        <v>0</v>
      </c>
      <c r="DJ137" s="27">
        <f t="shared" si="261"/>
        <v>0</v>
      </c>
      <c r="DK137" s="27">
        <f t="shared" si="262"/>
        <v>0</v>
      </c>
    </row>
    <row r="138" spans="1:115">
      <c r="A138" s="25">
        <v>130</v>
      </c>
      <c r="B138" s="26" t="s">
        <v>1162</v>
      </c>
      <c r="C138" s="26"/>
      <c r="D138" s="26"/>
      <c r="E138" s="205" t="s">
        <v>1200</v>
      </c>
      <c r="F138" s="161">
        <f t="shared" si="215"/>
        <v>0</v>
      </c>
      <c r="G138" s="165">
        <f t="shared" si="216"/>
        <v>0</v>
      </c>
      <c r="H138" s="27"/>
      <c r="I138" s="27">
        <v>0</v>
      </c>
      <c r="J138" s="27">
        <v>0</v>
      </c>
      <c r="K138" s="127">
        <f t="shared" si="217"/>
        <v>0</v>
      </c>
      <c r="L138" s="127">
        <f t="shared" si="218"/>
        <v>0</v>
      </c>
      <c r="M138" s="127">
        <f t="shared" si="219"/>
        <v>0</v>
      </c>
      <c r="N138" s="131"/>
      <c r="O138" s="125" t="str">
        <f t="shared" si="220"/>
        <v>ნულოვანი შესრულება</v>
      </c>
      <c r="P138" s="27">
        <v>0</v>
      </c>
      <c r="Q138" s="27">
        <v>0</v>
      </c>
      <c r="R138" s="27">
        <f t="shared" si="221"/>
        <v>0</v>
      </c>
      <c r="S138" s="27">
        <f t="shared" si="222"/>
        <v>0</v>
      </c>
      <c r="T138" s="27"/>
      <c r="U138" s="27"/>
      <c r="V138" s="27">
        <v>108</v>
      </c>
      <c r="W138" s="27"/>
      <c r="X138" s="27">
        <f t="shared" si="223"/>
        <v>108</v>
      </c>
      <c r="Y138" s="27">
        <f t="shared" si="224"/>
        <v>0</v>
      </c>
      <c r="Z138" s="27">
        <v>108</v>
      </c>
      <c r="AA138" s="27"/>
      <c r="AB138" s="27"/>
      <c r="AC138" s="27"/>
      <c r="AD138" s="27">
        <f t="shared" si="225"/>
        <v>108</v>
      </c>
      <c r="AE138" s="27">
        <f t="shared" si="226"/>
        <v>0</v>
      </c>
      <c r="AF138" s="27">
        <f t="shared" si="227"/>
        <v>108</v>
      </c>
      <c r="AG138" s="27">
        <f t="shared" si="228"/>
        <v>0</v>
      </c>
      <c r="AH138" s="27">
        <f t="shared" si="229"/>
        <v>108</v>
      </c>
      <c r="AI138" s="27">
        <f t="shared" si="230"/>
        <v>0</v>
      </c>
      <c r="AJ138" s="27">
        <f t="shared" si="231"/>
        <v>216</v>
      </c>
      <c r="AK138" s="27">
        <f t="shared" si="232"/>
        <v>0</v>
      </c>
      <c r="AL138" s="27"/>
      <c r="AM138" s="27"/>
      <c r="AN138" s="27">
        <v>0</v>
      </c>
      <c r="AO138" s="27"/>
      <c r="AP138" s="27">
        <f t="shared" si="233"/>
        <v>0</v>
      </c>
      <c r="AQ138" s="27">
        <f t="shared" si="234"/>
        <v>0</v>
      </c>
      <c r="AR138" s="27"/>
      <c r="AS138" s="27"/>
      <c r="AT138" s="27">
        <v>0</v>
      </c>
      <c r="AU138" s="27"/>
      <c r="AV138" s="27">
        <f t="shared" si="235"/>
        <v>0</v>
      </c>
      <c r="AW138" s="27">
        <f t="shared" si="236"/>
        <v>0</v>
      </c>
      <c r="AX138" s="27"/>
      <c r="AY138" s="27"/>
      <c r="AZ138" s="27">
        <v>0</v>
      </c>
      <c r="BA138" s="27"/>
      <c r="BB138" s="27">
        <f t="shared" si="237"/>
        <v>0</v>
      </c>
      <c r="BC138" s="27">
        <f t="shared" si="238"/>
        <v>0</v>
      </c>
      <c r="BD138" s="27"/>
      <c r="BE138" s="27"/>
      <c r="BF138" s="27">
        <v>0</v>
      </c>
      <c r="BG138" s="27"/>
      <c r="BH138" s="27">
        <f t="shared" si="239"/>
        <v>0</v>
      </c>
      <c r="BI138" s="27">
        <f t="shared" si="240"/>
        <v>0</v>
      </c>
      <c r="BJ138" s="27"/>
      <c r="BK138" s="27"/>
      <c r="BL138" s="27">
        <v>0</v>
      </c>
      <c r="BM138" s="27"/>
      <c r="BN138" s="27">
        <f t="shared" si="241"/>
        <v>0</v>
      </c>
      <c r="BO138" s="27">
        <f t="shared" si="242"/>
        <v>0</v>
      </c>
      <c r="BP138" s="26"/>
      <c r="BQ138" s="26"/>
      <c r="BR138" s="27">
        <v>0</v>
      </c>
      <c r="BS138" s="27"/>
      <c r="BT138" s="27">
        <f t="shared" si="243"/>
        <v>0</v>
      </c>
      <c r="BU138" s="27">
        <f t="shared" si="244"/>
        <v>0</v>
      </c>
      <c r="BV138" s="26"/>
      <c r="BW138" s="26"/>
      <c r="BX138" s="27">
        <v>0</v>
      </c>
      <c r="BY138" s="26"/>
      <c r="BZ138" s="27">
        <f t="shared" si="245"/>
        <v>0</v>
      </c>
      <c r="CA138" s="27">
        <f t="shared" si="246"/>
        <v>0</v>
      </c>
      <c r="CB138" s="26"/>
      <c r="CC138" s="26"/>
      <c r="CD138" s="27">
        <v>0</v>
      </c>
      <c r="CE138" s="26"/>
      <c r="CF138" s="27">
        <f t="shared" si="247"/>
        <v>0</v>
      </c>
      <c r="CG138" s="27">
        <f t="shared" si="248"/>
        <v>0</v>
      </c>
      <c r="CH138" s="27"/>
      <c r="CI138" s="27"/>
      <c r="CJ138" s="27">
        <v>0</v>
      </c>
      <c r="CK138" s="27"/>
      <c r="CL138" s="27">
        <f t="shared" si="249"/>
        <v>0</v>
      </c>
      <c r="CM138" s="27">
        <f t="shared" si="250"/>
        <v>0</v>
      </c>
      <c r="CN138" s="27"/>
      <c r="CO138" s="27"/>
      <c r="CP138" s="27">
        <v>0</v>
      </c>
      <c r="CQ138" s="27"/>
      <c r="CR138" s="27">
        <f t="shared" si="251"/>
        <v>0</v>
      </c>
      <c r="CS138" s="27">
        <f t="shared" si="252"/>
        <v>0</v>
      </c>
      <c r="CT138" s="27"/>
      <c r="CU138" s="27"/>
      <c r="CV138" s="27">
        <v>0</v>
      </c>
      <c r="CW138" s="27"/>
      <c r="CX138" s="27">
        <f t="shared" si="253"/>
        <v>0</v>
      </c>
      <c r="CY138" s="27">
        <f t="shared" si="254"/>
        <v>0</v>
      </c>
      <c r="CZ138" s="27"/>
      <c r="DA138" s="27"/>
      <c r="DB138" s="27">
        <v>0</v>
      </c>
      <c r="DC138" s="27"/>
      <c r="DD138" s="27">
        <f t="shared" si="255"/>
        <v>0</v>
      </c>
      <c r="DE138" s="27">
        <f t="shared" si="256"/>
        <v>0</v>
      </c>
      <c r="DF138" s="27">
        <f t="shared" si="257"/>
        <v>0</v>
      </c>
      <c r="DG138" s="27">
        <f t="shared" si="258"/>
        <v>0</v>
      </c>
      <c r="DH138" s="27">
        <f t="shared" si="259"/>
        <v>0</v>
      </c>
      <c r="DI138" s="27">
        <f t="shared" si="260"/>
        <v>0</v>
      </c>
      <c r="DJ138" s="27">
        <f t="shared" si="261"/>
        <v>0</v>
      </c>
      <c r="DK138" s="27">
        <f t="shared" si="262"/>
        <v>0</v>
      </c>
    </row>
    <row r="139" spans="1:115">
      <c r="A139" s="25">
        <v>131</v>
      </c>
      <c r="B139" s="26" t="s">
        <v>1162</v>
      </c>
      <c r="C139" s="26"/>
      <c r="D139" s="26"/>
      <c r="E139" s="205" t="s">
        <v>1200</v>
      </c>
      <c r="F139" s="161">
        <f t="shared" si="215"/>
        <v>0</v>
      </c>
      <c r="G139" s="165">
        <f t="shared" si="216"/>
        <v>0</v>
      </c>
      <c r="H139" s="27"/>
      <c r="I139" s="27">
        <v>0</v>
      </c>
      <c r="J139" s="27">
        <v>0</v>
      </c>
      <c r="K139" s="127">
        <f t="shared" si="217"/>
        <v>0</v>
      </c>
      <c r="L139" s="127">
        <f t="shared" si="218"/>
        <v>0</v>
      </c>
      <c r="M139" s="127">
        <f t="shared" si="219"/>
        <v>0</v>
      </c>
      <c r="N139" s="131"/>
      <c r="O139" s="125" t="str">
        <f t="shared" si="220"/>
        <v>ნულოვანი შესრულება</v>
      </c>
      <c r="P139" s="27">
        <v>0</v>
      </c>
      <c r="Q139" s="27">
        <v>0</v>
      </c>
      <c r="R139" s="27">
        <f t="shared" si="221"/>
        <v>0</v>
      </c>
      <c r="S139" s="27">
        <f t="shared" si="222"/>
        <v>0</v>
      </c>
      <c r="T139" s="27"/>
      <c r="U139" s="27"/>
      <c r="V139" s="27">
        <v>109</v>
      </c>
      <c r="W139" s="27"/>
      <c r="X139" s="27">
        <f t="shared" si="223"/>
        <v>109</v>
      </c>
      <c r="Y139" s="27">
        <f t="shared" si="224"/>
        <v>0</v>
      </c>
      <c r="Z139" s="27">
        <v>109</v>
      </c>
      <c r="AA139" s="27"/>
      <c r="AB139" s="27"/>
      <c r="AC139" s="27"/>
      <c r="AD139" s="27">
        <f t="shared" si="225"/>
        <v>109</v>
      </c>
      <c r="AE139" s="27">
        <f t="shared" si="226"/>
        <v>0</v>
      </c>
      <c r="AF139" s="27">
        <f t="shared" si="227"/>
        <v>109</v>
      </c>
      <c r="AG139" s="27">
        <f t="shared" si="228"/>
        <v>0</v>
      </c>
      <c r="AH139" s="27">
        <f t="shared" si="229"/>
        <v>109</v>
      </c>
      <c r="AI139" s="27">
        <f t="shared" si="230"/>
        <v>0</v>
      </c>
      <c r="AJ139" s="27">
        <f t="shared" si="231"/>
        <v>218</v>
      </c>
      <c r="AK139" s="27">
        <f t="shared" si="232"/>
        <v>0</v>
      </c>
      <c r="AL139" s="27"/>
      <c r="AM139" s="27"/>
      <c r="AN139" s="27">
        <v>0</v>
      </c>
      <c r="AO139" s="27"/>
      <c r="AP139" s="27">
        <f t="shared" si="233"/>
        <v>0</v>
      </c>
      <c r="AQ139" s="27">
        <f t="shared" si="234"/>
        <v>0</v>
      </c>
      <c r="AR139" s="27"/>
      <c r="AS139" s="27"/>
      <c r="AT139" s="27">
        <v>0</v>
      </c>
      <c r="AU139" s="27"/>
      <c r="AV139" s="27">
        <f t="shared" si="235"/>
        <v>0</v>
      </c>
      <c r="AW139" s="27">
        <f t="shared" si="236"/>
        <v>0</v>
      </c>
      <c r="AX139" s="27"/>
      <c r="AY139" s="27"/>
      <c r="AZ139" s="27">
        <v>0</v>
      </c>
      <c r="BA139" s="27"/>
      <c r="BB139" s="27">
        <f t="shared" si="237"/>
        <v>0</v>
      </c>
      <c r="BC139" s="27">
        <f t="shared" si="238"/>
        <v>0</v>
      </c>
      <c r="BD139" s="27"/>
      <c r="BE139" s="27"/>
      <c r="BF139" s="27">
        <v>0</v>
      </c>
      <c r="BG139" s="27"/>
      <c r="BH139" s="27">
        <f t="shared" si="239"/>
        <v>0</v>
      </c>
      <c r="BI139" s="27">
        <f t="shared" si="240"/>
        <v>0</v>
      </c>
      <c r="BJ139" s="27"/>
      <c r="BK139" s="27"/>
      <c r="BL139" s="27">
        <v>0</v>
      </c>
      <c r="BM139" s="27"/>
      <c r="BN139" s="27">
        <f t="shared" si="241"/>
        <v>0</v>
      </c>
      <c r="BO139" s="27">
        <f t="shared" si="242"/>
        <v>0</v>
      </c>
      <c r="BP139" s="26"/>
      <c r="BQ139" s="26"/>
      <c r="BR139" s="27">
        <v>0</v>
      </c>
      <c r="BS139" s="27"/>
      <c r="BT139" s="27">
        <f t="shared" si="243"/>
        <v>0</v>
      </c>
      <c r="BU139" s="27">
        <f t="shared" si="244"/>
        <v>0</v>
      </c>
      <c r="BV139" s="26"/>
      <c r="BW139" s="26"/>
      <c r="BX139" s="27">
        <v>0</v>
      </c>
      <c r="BY139" s="26"/>
      <c r="BZ139" s="27">
        <f t="shared" si="245"/>
        <v>0</v>
      </c>
      <c r="CA139" s="27">
        <f t="shared" si="246"/>
        <v>0</v>
      </c>
      <c r="CB139" s="26"/>
      <c r="CC139" s="26"/>
      <c r="CD139" s="27">
        <v>0</v>
      </c>
      <c r="CE139" s="26"/>
      <c r="CF139" s="27">
        <f t="shared" si="247"/>
        <v>0</v>
      </c>
      <c r="CG139" s="27">
        <f t="shared" si="248"/>
        <v>0</v>
      </c>
      <c r="CH139" s="27"/>
      <c r="CI139" s="27"/>
      <c r="CJ139" s="27">
        <v>0</v>
      </c>
      <c r="CK139" s="27"/>
      <c r="CL139" s="27">
        <f t="shared" si="249"/>
        <v>0</v>
      </c>
      <c r="CM139" s="27">
        <f t="shared" si="250"/>
        <v>0</v>
      </c>
      <c r="CN139" s="27"/>
      <c r="CO139" s="27"/>
      <c r="CP139" s="27">
        <v>0</v>
      </c>
      <c r="CQ139" s="27"/>
      <c r="CR139" s="27">
        <f t="shared" si="251"/>
        <v>0</v>
      </c>
      <c r="CS139" s="27">
        <f t="shared" si="252"/>
        <v>0</v>
      </c>
      <c r="CT139" s="27"/>
      <c r="CU139" s="27"/>
      <c r="CV139" s="27">
        <v>0</v>
      </c>
      <c r="CW139" s="27"/>
      <c r="CX139" s="27">
        <f t="shared" si="253"/>
        <v>0</v>
      </c>
      <c r="CY139" s="27">
        <f t="shared" si="254"/>
        <v>0</v>
      </c>
      <c r="CZ139" s="27"/>
      <c r="DA139" s="27"/>
      <c r="DB139" s="27">
        <v>0</v>
      </c>
      <c r="DC139" s="27"/>
      <c r="DD139" s="27">
        <f t="shared" si="255"/>
        <v>0</v>
      </c>
      <c r="DE139" s="27">
        <f t="shared" si="256"/>
        <v>0</v>
      </c>
      <c r="DF139" s="27">
        <f t="shared" si="257"/>
        <v>0</v>
      </c>
      <c r="DG139" s="27">
        <f t="shared" si="258"/>
        <v>0</v>
      </c>
      <c r="DH139" s="27">
        <f t="shared" si="259"/>
        <v>0</v>
      </c>
      <c r="DI139" s="27">
        <f t="shared" si="260"/>
        <v>0</v>
      </c>
      <c r="DJ139" s="27">
        <f t="shared" si="261"/>
        <v>0</v>
      </c>
      <c r="DK139" s="27">
        <f t="shared" si="262"/>
        <v>0</v>
      </c>
    </row>
    <row r="140" spans="1:115">
      <c r="A140" s="25">
        <v>132</v>
      </c>
      <c r="B140" s="26" t="s">
        <v>1162</v>
      </c>
      <c r="C140" s="26"/>
      <c r="D140" s="26"/>
      <c r="E140" s="205" t="s">
        <v>1200</v>
      </c>
      <c r="F140" s="161">
        <f t="shared" si="215"/>
        <v>0</v>
      </c>
      <c r="G140" s="165">
        <f t="shared" si="216"/>
        <v>0</v>
      </c>
      <c r="H140" s="27"/>
      <c r="I140" s="27">
        <v>0</v>
      </c>
      <c r="J140" s="27">
        <v>0</v>
      </c>
      <c r="K140" s="127">
        <f t="shared" si="217"/>
        <v>0</v>
      </c>
      <c r="L140" s="127">
        <f t="shared" si="218"/>
        <v>0</v>
      </c>
      <c r="M140" s="127">
        <f t="shared" si="219"/>
        <v>0</v>
      </c>
      <c r="N140" s="131"/>
      <c r="O140" s="125" t="str">
        <f t="shared" si="220"/>
        <v>ნულოვანი შესრულება</v>
      </c>
      <c r="P140" s="27">
        <v>0</v>
      </c>
      <c r="Q140" s="27">
        <v>0</v>
      </c>
      <c r="R140" s="27">
        <f t="shared" si="221"/>
        <v>0</v>
      </c>
      <c r="S140" s="27">
        <f t="shared" si="222"/>
        <v>0</v>
      </c>
      <c r="T140" s="27"/>
      <c r="U140" s="27"/>
      <c r="V140" s="27">
        <v>110</v>
      </c>
      <c r="W140" s="27"/>
      <c r="X140" s="27">
        <f t="shared" si="223"/>
        <v>110</v>
      </c>
      <c r="Y140" s="27">
        <f t="shared" si="224"/>
        <v>0</v>
      </c>
      <c r="Z140" s="27">
        <v>110</v>
      </c>
      <c r="AA140" s="27"/>
      <c r="AB140" s="27"/>
      <c r="AC140" s="27"/>
      <c r="AD140" s="27">
        <f t="shared" si="225"/>
        <v>110</v>
      </c>
      <c r="AE140" s="27">
        <f t="shared" si="226"/>
        <v>0</v>
      </c>
      <c r="AF140" s="27">
        <f t="shared" si="227"/>
        <v>110</v>
      </c>
      <c r="AG140" s="27">
        <f t="shared" si="228"/>
        <v>0</v>
      </c>
      <c r="AH140" s="27">
        <f t="shared" si="229"/>
        <v>110</v>
      </c>
      <c r="AI140" s="27">
        <f t="shared" si="230"/>
        <v>0</v>
      </c>
      <c r="AJ140" s="27">
        <f t="shared" si="231"/>
        <v>220</v>
      </c>
      <c r="AK140" s="27">
        <f t="shared" si="232"/>
        <v>0</v>
      </c>
      <c r="AL140" s="27"/>
      <c r="AM140" s="27"/>
      <c r="AN140" s="27">
        <v>0</v>
      </c>
      <c r="AO140" s="27"/>
      <c r="AP140" s="27">
        <f t="shared" si="233"/>
        <v>0</v>
      </c>
      <c r="AQ140" s="27">
        <f t="shared" si="234"/>
        <v>0</v>
      </c>
      <c r="AR140" s="27"/>
      <c r="AS140" s="27"/>
      <c r="AT140" s="27">
        <v>0</v>
      </c>
      <c r="AU140" s="27"/>
      <c r="AV140" s="27">
        <f t="shared" si="235"/>
        <v>0</v>
      </c>
      <c r="AW140" s="27">
        <f t="shared" si="236"/>
        <v>0</v>
      </c>
      <c r="AX140" s="27"/>
      <c r="AY140" s="27"/>
      <c r="AZ140" s="27">
        <v>0</v>
      </c>
      <c r="BA140" s="27"/>
      <c r="BB140" s="27">
        <f t="shared" si="237"/>
        <v>0</v>
      </c>
      <c r="BC140" s="27">
        <f t="shared" si="238"/>
        <v>0</v>
      </c>
      <c r="BD140" s="27"/>
      <c r="BE140" s="27"/>
      <c r="BF140" s="27">
        <v>0</v>
      </c>
      <c r="BG140" s="27"/>
      <c r="BH140" s="27">
        <f t="shared" si="239"/>
        <v>0</v>
      </c>
      <c r="BI140" s="27">
        <f t="shared" si="240"/>
        <v>0</v>
      </c>
      <c r="BJ140" s="27"/>
      <c r="BK140" s="27"/>
      <c r="BL140" s="27">
        <v>0</v>
      </c>
      <c r="BM140" s="27"/>
      <c r="BN140" s="27">
        <f t="shared" si="241"/>
        <v>0</v>
      </c>
      <c r="BO140" s="27">
        <f t="shared" si="242"/>
        <v>0</v>
      </c>
      <c r="BP140" s="26"/>
      <c r="BQ140" s="26"/>
      <c r="BR140" s="27">
        <v>0</v>
      </c>
      <c r="BS140" s="27"/>
      <c r="BT140" s="27">
        <f t="shared" si="243"/>
        <v>0</v>
      </c>
      <c r="BU140" s="27">
        <f t="shared" si="244"/>
        <v>0</v>
      </c>
      <c r="BV140" s="26"/>
      <c r="BW140" s="26"/>
      <c r="BX140" s="27">
        <v>0</v>
      </c>
      <c r="BY140" s="26"/>
      <c r="BZ140" s="27">
        <f t="shared" si="245"/>
        <v>0</v>
      </c>
      <c r="CA140" s="27">
        <f t="shared" si="246"/>
        <v>0</v>
      </c>
      <c r="CB140" s="26"/>
      <c r="CC140" s="26"/>
      <c r="CD140" s="27">
        <v>0</v>
      </c>
      <c r="CE140" s="26"/>
      <c r="CF140" s="27">
        <f t="shared" si="247"/>
        <v>0</v>
      </c>
      <c r="CG140" s="27">
        <f t="shared" si="248"/>
        <v>0</v>
      </c>
      <c r="CH140" s="27"/>
      <c r="CI140" s="27"/>
      <c r="CJ140" s="27">
        <v>0</v>
      </c>
      <c r="CK140" s="27"/>
      <c r="CL140" s="27">
        <f t="shared" si="249"/>
        <v>0</v>
      </c>
      <c r="CM140" s="27">
        <f t="shared" si="250"/>
        <v>0</v>
      </c>
      <c r="CN140" s="27"/>
      <c r="CO140" s="27"/>
      <c r="CP140" s="27">
        <v>0</v>
      </c>
      <c r="CQ140" s="27"/>
      <c r="CR140" s="27">
        <f t="shared" si="251"/>
        <v>0</v>
      </c>
      <c r="CS140" s="27">
        <f t="shared" si="252"/>
        <v>0</v>
      </c>
      <c r="CT140" s="27"/>
      <c r="CU140" s="27"/>
      <c r="CV140" s="27">
        <v>0</v>
      </c>
      <c r="CW140" s="27"/>
      <c r="CX140" s="27">
        <f t="shared" si="253"/>
        <v>0</v>
      </c>
      <c r="CY140" s="27">
        <f t="shared" si="254"/>
        <v>0</v>
      </c>
      <c r="CZ140" s="27"/>
      <c r="DA140" s="27"/>
      <c r="DB140" s="27">
        <v>0</v>
      </c>
      <c r="DC140" s="27"/>
      <c r="DD140" s="27">
        <f t="shared" si="255"/>
        <v>0</v>
      </c>
      <c r="DE140" s="27">
        <f t="shared" si="256"/>
        <v>0</v>
      </c>
      <c r="DF140" s="27">
        <f t="shared" si="257"/>
        <v>0</v>
      </c>
      <c r="DG140" s="27">
        <f t="shared" si="258"/>
        <v>0</v>
      </c>
      <c r="DH140" s="27">
        <f t="shared" si="259"/>
        <v>0</v>
      </c>
      <c r="DI140" s="27">
        <f t="shared" si="260"/>
        <v>0</v>
      </c>
      <c r="DJ140" s="27">
        <f t="shared" si="261"/>
        <v>0</v>
      </c>
      <c r="DK140" s="27">
        <f t="shared" si="262"/>
        <v>0</v>
      </c>
    </row>
    <row r="141" spans="1:115">
      <c r="A141" s="25">
        <v>133</v>
      </c>
      <c r="B141" s="26" t="s">
        <v>1162</v>
      </c>
      <c r="C141" s="26"/>
      <c r="D141" s="26"/>
      <c r="E141" s="205" t="s">
        <v>1200</v>
      </c>
      <c r="F141" s="161">
        <f t="shared" si="215"/>
        <v>0</v>
      </c>
      <c r="G141" s="165">
        <f t="shared" si="216"/>
        <v>0</v>
      </c>
      <c r="H141" s="27"/>
      <c r="I141" s="27">
        <v>0</v>
      </c>
      <c r="J141" s="27">
        <v>0</v>
      </c>
      <c r="K141" s="127">
        <f t="shared" si="217"/>
        <v>0</v>
      </c>
      <c r="L141" s="127">
        <f t="shared" si="218"/>
        <v>0</v>
      </c>
      <c r="M141" s="127">
        <f t="shared" si="219"/>
        <v>0</v>
      </c>
      <c r="N141" s="131"/>
      <c r="O141" s="125" t="str">
        <f t="shared" si="220"/>
        <v>ნულოვანი შესრულება</v>
      </c>
      <c r="P141" s="27">
        <v>0</v>
      </c>
      <c r="Q141" s="27">
        <v>0</v>
      </c>
      <c r="R141" s="27">
        <f t="shared" si="221"/>
        <v>0</v>
      </c>
      <c r="S141" s="27">
        <f t="shared" si="222"/>
        <v>0</v>
      </c>
      <c r="T141" s="27"/>
      <c r="U141" s="27"/>
      <c r="V141" s="27">
        <v>111</v>
      </c>
      <c r="W141" s="27"/>
      <c r="X141" s="27">
        <f t="shared" si="223"/>
        <v>111</v>
      </c>
      <c r="Y141" s="27">
        <f t="shared" si="224"/>
        <v>0</v>
      </c>
      <c r="Z141" s="27">
        <v>111</v>
      </c>
      <c r="AA141" s="27"/>
      <c r="AB141" s="27"/>
      <c r="AC141" s="27"/>
      <c r="AD141" s="27">
        <f t="shared" si="225"/>
        <v>111</v>
      </c>
      <c r="AE141" s="27">
        <f t="shared" si="226"/>
        <v>0</v>
      </c>
      <c r="AF141" s="27">
        <f t="shared" si="227"/>
        <v>111</v>
      </c>
      <c r="AG141" s="27">
        <f t="shared" si="228"/>
        <v>0</v>
      </c>
      <c r="AH141" s="27">
        <f t="shared" si="229"/>
        <v>111</v>
      </c>
      <c r="AI141" s="27">
        <f t="shared" si="230"/>
        <v>0</v>
      </c>
      <c r="AJ141" s="27">
        <f t="shared" si="231"/>
        <v>222</v>
      </c>
      <c r="AK141" s="27">
        <f t="shared" si="232"/>
        <v>0</v>
      </c>
      <c r="AL141" s="27"/>
      <c r="AM141" s="27"/>
      <c r="AN141" s="27">
        <v>0</v>
      </c>
      <c r="AO141" s="27"/>
      <c r="AP141" s="27">
        <f t="shared" si="233"/>
        <v>0</v>
      </c>
      <c r="AQ141" s="27">
        <f t="shared" si="234"/>
        <v>0</v>
      </c>
      <c r="AR141" s="27"/>
      <c r="AS141" s="27"/>
      <c r="AT141" s="27">
        <v>0</v>
      </c>
      <c r="AU141" s="27"/>
      <c r="AV141" s="27">
        <f t="shared" si="235"/>
        <v>0</v>
      </c>
      <c r="AW141" s="27">
        <f t="shared" si="236"/>
        <v>0</v>
      </c>
      <c r="AX141" s="27"/>
      <c r="AY141" s="27"/>
      <c r="AZ141" s="27">
        <v>0</v>
      </c>
      <c r="BA141" s="27"/>
      <c r="BB141" s="27">
        <f t="shared" si="237"/>
        <v>0</v>
      </c>
      <c r="BC141" s="27">
        <f t="shared" si="238"/>
        <v>0</v>
      </c>
      <c r="BD141" s="27"/>
      <c r="BE141" s="27"/>
      <c r="BF141" s="27">
        <v>0</v>
      </c>
      <c r="BG141" s="27"/>
      <c r="BH141" s="27">
        <f t="shared" si="239"/>
        <v>0</v>
      </c>
      <c r="BI141" s="27">
        <f t="shared" si="240"/>
        <v>0</v>
      </c>
      <c r="BJ141" s="27"/>
      <c r="BK141" s="27"/>
      <c r="BL141" s="27">
        <v>0</v>
      </c>
      <c r="BM141" s="27"/>
      <c r="BN141" s="27">
        <f t="shared" si="241"/>
        <v>0</v>
      </c>
      <c r="BO141" s="27">
        <f t="shared" si="242"/>
        <v>0</v>
      </c>
      <c r="BP141" s="26"/>
      <c r="BQ141" s="26"/>
      <c r="BR141" s="27">
        <v>0</v>
      </c>
      <c r="BS141" s="27"/>
      <c r="BT141" s="27">
        <f t="shared" si="243"/>
        <v>0</v>
      </c>
      <c r="BU141" s="27">
        <f t="shared" si="244"/>
        <v>0</v>
      </c>
      <c r="BV141" s="26"/>
      <c r="BW141" s="26"/>
      <c r="BX141" s="27">
        <v>0</v>
      </c>
      <c r="BY141" s="26"/>
      <c r="BZ141" s="27">
        <f t="shared" si="245"/>
        <v>0</v>
      </c>
      <c r="CA141" s="27">
        <f t="shared" si="246"/>
        <v>0</v>
      </c>
      <c r="CB141" s="26"/>
      <c r="CC141" s="26"/>
      <c r="CD141" s="27">
        <v>0</v>
      </c>
      <c r="CE141" s="26"/>
      <c r="CF141" s="27">
        <f t="shared" si="247"/>
        <v>0</v>
      </c>
      <c r="CG141" s="27">
        <f t="shared" si="248"/>
        <v>0</v>
      </c>
      <c r="CH141" s="27"/>
      <c r="CI141" s="27"/>
      <c r="CJ141" s="27">
        <v>0</v>
      </c>
      <c r="CK141" s="27"/>
      <c r="CL141" s="27">
        <f t="shared" si="249"/>
        <v>0</v>
      </c>
      <c r="CM141" s="27">
        <f t="shared" si="250"/>
        <v>0</v>
      </c>
      <c r="CN141" s="27"/>
      <c r="CO141" s="27"/>
      <c r="CP141" s="27">
        <v>0</v>
      </c>
      <c r="CQ141" s="27"/>
      <c r="CR141" s="27">
        <f t="shared" si="251"/>
        <v>0</v>
      </c>
      <c r="CS141" s="27">
        <f t="shared" si="252"/>
        <v>0</v>
      </c>
      <c r="CT141" s="27"/>
      <c r="CU141" s="27"/>
      <c r="CV141" s="27">
        <v>0</v>
      </c>
      <c r="CW141" s="27"/>
      <c r="CX141" s="27">
        <f t="shared" si="253"/>
        <v>0</v>
      </c>
      <c r="CY141" s="27">
        <f t="shared" si="254"/>
        <v>0</v>
      </c>
      <c r="CZ141" s="27"/>
      <c r="DA141" s="27"/>
      <c r="DB141" s="27">
        <v>0</v>
      </c>
      <c r="DC141" s="27"/>
      <c r="DD141" s="27">
        <f t="shared" si="255"/>
        <v>0</v>
      </c>
      <c r="DE141" s="27">
        <f t="shared" si="256"/>
        <v>0</v>
      </c>
      <c r="DF141" s="27">
        <f t="shared" si="257"/>
        <v>0</v>
      </c>
      <c r="DG141" s="27">
        <f t="shared" si="258"/>
        <v>0</v>
      </c>
      <c r="DH141" s="27">
        <f t="shared" si="259"/>
        <v>0</v>
      </c>
      <c r="DI141" s="27">
        <f t="shared" si="260"/>
        <v>0</v>
      </c>
      <c r="DJ141" s="27">
        <f t="shared" si="261"/>
        <v>0</v>
      </c>
      <c r="DK141" s="27">
        <f t="shared" si="262"/>
        <v>0</v>
      </c>
    </row>
    <row r="142" spans="1:115">
      <c r="A142" s="25">
        <v>134</v>
      </c>
      <c r="B142" s="26" t="s">
        <v>1162</v>
      </c>
      <c r="C142" s="26"/>
      <c r="D142" s="26"/>
      <c r="E142" s="205" t="s">
        <v>1200</v>
      </c>
      <c r="F142" s="161">
        <f t="shared" si="215"/>
        <v>0</v>
      </c>
      <c r="G142" s="165">
        <f t="shared" si="216"/>
        <v>0</v>
      </c>
      <c r="H142" s="27"/>
      <c r="I142" s="27">
        <v>0</v>
      </c>
      <c r="J142" s="27">
        <v>0</v>
      </c>
      <c r="K142" s="127">
        <f t="shared" si="217"/>
        <v>0</v>
      </c>
      <c r="L142" s="127">
        <f t="shared" si="218"/>
        <v>0</v>
      </c>
      <c r="M142" s="127">
        <f t="shared" si="219"/>
        <v>0</v>
      </c>
      <c r="N142" s="131"/>
      <c r="O142" s="125" t="str">
        <f t="shared" si="220"/>
        <v>ნულოვანი შესრულება</v>
      </c>
      <c r="P142" s="27">
        <v>0</v>
      </c>
      <c r="Q142" s="27">
        <v>0</v>
      </c>
      <c r="R142" s="27">
        <f t="shared" si="221"/>
        <v>0</v>
      </c>
      <c r="S142" s="27">
        <f t="shared" si="222"/>
        <v>0</v>
      </c>
      <c r="T142" s="27"/>
      <c r="U142" s="27"/>
      <c r="V142" s="27">
        <v>112</v>
      </c>
      <c r="W142" s="27"/>
      <c r="X142" s="27">
        <f t="shared" si="223"/>
        <v>112</v>
      </c>
      <c r="Y142" s="27">
        <f t="shared" si="224"/>
        <v>0</v>
      </c>
      <c r="Z142" s="27">
        <v>112</v>
      </c>
      <c r="AA142" s="27"/>
      <c r="AB142" s="27"/>
      <c r="AC142" s="27"/>
      <c r="AD142" s="27">
        <f t="shared" si="225"/>
        <v>112</v>
      </c>
      <c r="AE142" s="27">
        <f t="shared" si="226"/>
        <v>0</v>
      </c>
      <c r="AF142" s="27">
        <f t="shared" si="227"/>
        <v>112</v>
      </c>
      <c r="AG142" s="27">
        <f t="shared" si="228"/>
        <v>0</v>
      </c>
      <c r="AH142" s="27">
        <f t="shared" si="229"/>
        <v>112</v>
      </c>
      <c r="AI142" s="27">
        <f t="shared" si="230"/>
        <v>0</v>
      </c>
      <c r="AJ142" s="27">
        <f t="shared" si="231"/>
        <v>224</v>
      </c>
      <c r="AK142" s="27">
        <f t="shared" si="232"/>
        <v>0</v>
      </c>
      <c r="AL142" s="27"/>
      <c r="AM142" s="27"/>
      <c r="AN142" s="27">
        <v>0</v>
      </c>
      <c r="AO142" s="27"/>
      <c r="AP142" s="27">
        <f t="shared" si="233"/>
        <v>0</v>
      </c>
      <c r="AQ142" s="27">
        <f t="shared" si="234"/>
        <v>0</v>
      </c>
      <c r="AR142" s="27"/>
      <c r="AS142" s="27"/>
      <c r="AT142" s="27">
        <v>0</v>
      </c>
      <c r="AU142" s="27"/>
      <c r="AV142" s="27">
        <f t="shared" si="235"/>
        <v>0</v>
      </c>
      <c r="AW142" s="27">
        <f t="shared" si="236"/>
        <v>0</v>
      </c>
      <c r="AX142" s="27"/>
      <c r="AY142" s="27"/>
      <c r="AZ142" s="27">
        <v>0</v>
      </c>
      <c r="BA142" s="27"/>
      <c r="BB142" s="27">
        <f t="shared" si="237"/>
        <v>0</v>
      </c>
      <c r="BC142" s="27">
        <f t="shared" si="238"/>
        <v>0</v>
      </c>
      <c r="BD142" s="27"/>
      <c r="BE142" s="27"/>
      <c r="BF142" s="27">
        <v>0</v>
      </c>
      <c r="BG142" s="27"/>
      <c r="BH142" s="27">
        <f t="shared" si="239"/>
        <v>0</v>
      </c>
      <c r="BI142" s="27">
        <f t="shared" si="240"/>
        <v>0</v>
      </c>
      <c r="BJ142" s="27"/>
      <c r="BK142" s="27"/>
      <c r="BL142" s="27">
        <v>0</v>
      </c>
      <c r="BM142" s="27"/>
      <c r="BN142" s="27">
        <f t="shared" si="241"/>
        <v>0</v>
      </c>
      <c r="BO142" s="27">
        <f t="shared" si="242"/>
        <v>0</v>
      </c>
      <c r="BP142" s="26"/>
      <c r="BQ142" s="26"/>
      <c r="BR142" s="27">
        <v>0</v>
      </c>
      <c r="BS142" s="27"/>
      <c r="BT142" s="27">
        <f t="shared" si="243"/>
        <v>0</v>
      </c>
      <c r="BU142" s="27">
        <f t="shared" si="244"/>
        <v>0</v>
      </c>
      <c r="BV142" s="26"/>
      <c r="BW142" s="26"/>
      <c r="BX142" s="27">
        <v>0</v>
      </c>
      <c r="BY142" s="26"/>
      <c r="BZ142" s="27">
        <f t="shared" si="245"/>
        <v>0</v>
      </c>
      <c r="CA142" s="27">
        <f t="shared" si="246"/>
        <v>0</v>
      </c>
      <c r="CB142" s="26"/>
      <c r="CC142" s="26"/>
      <c r="CD142" s="27">
        <v>0</v>
      </c>
      <c r="CE142" s="26"/>
      <c r="CF142" s="27">
        <f t="shared" si="247"/>
        <v>0</v>
      </c>
      <c r="CG142" s="27">
        <f t="shared" si="248"/>
        <v>0</v>
      </c>
      <c r="CH142" s="27"/>
      <c r="CI142" s="27"/>
      <c r="CJ142" s="27">
        <v>0</v>
      </c>
      <c r="CK142" s="27"/>
      <c r="CL142" s="27">
        <f t="shared" si="249"/>
        <v>0</v>
      </c>
      <c r="CM142" s="27">
        <f t="shared" si="250"/>
        <v>0</v>
      </c>
      <c r="CN142" s="27"/>
      <c r="CO142" s="27"/>
      <c r="CP142" s="27">
        <v>0</v>
      </c>
      <c r="CQ142" s="27"/>
      <c r="CR142" s="27">
        <f t="shared" si="251"/>
        <v>0</v>
      </c>
      <c r="CS142" s="27">
        <f t="shared" si="252"/>
        <v>0</v>
      </c>
      <c r="CT142" s="27"/>
      <c r="CU142" s="27"/>
      <c r="CV142" s="27">
        <v>0</v>
      </c>
      <c r="CW142" s="27"/>
      <c r="CX142" s="27">
        <f t="shared" si="253"/>
        <v>0</v>
      </c>
      <c r="CY142" s="27">
        <f t="shared" si="254"/>
        <v>0</v>
      </c>
      <c r="CZ142" s="27"/>
      <c r="DA142" s="27"/>
      <c r="DB142" s="27">
        <v>0</v>
      </c>
      <c r="DC142" s="27"/>
      <c r="DD142" s="27">
        <f t="shared" si="255"/>
        <v>0</v>
      </c>
      <c r="DE142" s="27">
        <f t="shared" si="256"/>
        <v>0</v>
      </c>
      <c r="DF142" s="27">
        <f t="shared" si="257"/>
        <v>0</v>
      </c>
      <c r="DG142" s="27">
        <f t="shared" si="258"/>
        <v>0</v>
      </c>
      <c r="DH142" s="27">
        <f t="shared" si="259"/>
        <v>0</v>
      </c>
      <c r="DI142" s="27">
        <f t="shared" si="260"/>
        <v>0</v>
      </c>
      <c r="DJ142" s="27">
        <f t="shared" si="261"/>
        <v>0</v>
      </c>
      <c r="DK142" s="27">
        <f t="shared" si="262"/>
        <v>0</v>
      </c>
    </row>
    <row r="143" spans="1:115">
      <c r="A143" s="25">
        <v>135</v>
      </c>
      <c r="B143" s="26" t="s">
        <v>1162</v>
      </c>
      <c r="C143" s="26"/>
      <c r="D143" s="26"/>
      <c r="E143" s="205" t="s">
        <v>1200</v>
      </c>
      <c r="F143" s="161">
        <f t="shared" si="215"/>
        <v>0</v>
      </c>
      <c r="G143" s="165">
        <f t="shared" si="216"/>
        <v>0</v>
      </c>
      <c r="H143" s="27"/>
      <c r="I143" s="27">
        <v>0</v>
      </c>
      <c r="J143" s="27">
        <v>0</v>
      </c>
      <c r="K143" s="127">
        <f t="shared" si="217"/>
        <v>0</v>
      </c>
      <c r="L143" s="127">
        <f t="shared" si="218"/>
        <v>0</v>
      </c>
      <c r="M143" s="127">
        <f t="shared" si="219"/>
        <v>0</v>
      </c>
      <c r="N143" s="131"/>
      <c r="O143" s="125" t="str">
        <f t="shared" si="220"/>
        <v>ნულოვანი შესრულება</v>
      </c>
      <c r="P143" s="27">
        <v>0</v>
      </c>
      <c r="Q143" s="27">
        <v>0</v>
      </c>
      <c r="R143" s="27">
        <f t="shared" si="221"/>
        <v>0</v>
      </c>
      <c r="S143" s="27">
        <f t="shared" si="222"/>
        <v>0</v>
      </c>
      <c r="T143" s="27"/>
      <c r="U143" s="27"/>
      <c r="V143" s="27">
        <v>113</v>
      </c>
      <c r="W143" s="27"/>
      <c r="X143" s="27">
        <f t="shared" si="223"/>
        <v>113</v>
      </c>
      <c r="Y143" s="27">
        <f t="shared" si="224"/>
        <v>0</v>
      </c>
      <c r="Z143" s="27">
        <v>113</v>
      </c>
      <c r="AA143" s="27"/>
      <c r="AB143" s="27"/>
      <c r="AC143" s="27"/>
      <c r="AD143" s="27">
        <f t="shared" si="225"/>
        <v>113</v>
      </c>
      <c r="AE143" s="27">
        <f t="shared" si="226"/>
        <v>0</v>
      </c>
      <c r="AF143" s="27">
        <f t="shared" si="227"/>
        <v>113</v>
      </c>
      <c r="AG143" s="27">
        <f t="shared" si="228"/>
        <v>0</v>
      </c>
      <c r="AH143" s="27">
        <f t="shared" si="229"/>
        <v>113</v>
      </c>
      <c r="AI143" s="27">
        <f t="shared" si="230"/>
        <v>0</v>
      </c>
      <c r="AJ143" s="27">
        <f t="shared" si="231"/>
        <v>226</v>
      </c>
      <c r="AK143" s="27">
        <f t="shared" si="232"/>
        <v>0</v>
      </c>
      <c r="AL143" s="27"/>
      <c r="AM143" s="27"/>
      <c r="AN143" s="27">
        <v>0</v>
      </c>
      <c r="AO143" s="27"/>
      <c r="AP143" s="27">
        <f t="shared" si="233"/>
        <v>0</v>
      </c>
      <c r="AQ143" s="27">
        <f t="shared" si="234"/>
        <v>0</v>
      </c>
      <c r="AR143" s="27"/>
      <c r="AS143" s="27"/>
      <c r="AT143" s="27">
        <v>0</v>
      </c>
      <c r="AU143" s="27"/>
      <c r="AV143" s="27">
        <f t="shared" si="235"/>
        <v>0</v>
      </c>
      <c r="AW143" s="27">
        <f t="shared" si="236"/>
        <v>0</v>
      </c>
      <c r="AX143" s="27"/>
      <c r="AY143" s="27"/>
      <c r="AZ143" s="27">
        <v>0</v>
      </c>
      <c r="BA143" s="27"/>
      <c r="BB143" s="27">
        <f t="shared" si="237"/>
        <v>0</v>
      </c>
      <c r="BC143" s="27">
        <f t="shared" si="238"/>
        <v>0</v>
      </c>
      <c r="BD143" s="27"/>
      <c r="BE143" s="27"/>
      <c r="BF143" s="27">
        <v>0</v>
      </c>
      <c r="BG143" s="27"/>
      <c r="BH143" s="27">
        <f t="shared" si="239"/>
        <v>0</v>
      </c>
      <c r="BI143" s="27">
        <f t="shared" si="240"/>
        <v>0</v>
      </c>
      <c r="BJ143" s="27"/>
      <c r="BK143" s="27"/>
      <c r="BL143" s="27">
        <v>0</v>
      </c>
      <c r="BM143" s="27"/>
      <c r="BN143" s="27">
        <f t="shared" si="241"/>
        <v>0</v>
      </c>
      <c r="BO143" s="27">
        <f t="shared" si="242"/>
        <v>0</v>
      </c>
      <c r="BP143" s="26"/>
      <c r="BQ143" s="26"/>
      <c r="BR143" s="27">
        <v>0</v>
      </c>
      <c r="BS143" s="27"/>
      <c r="BT143" s="27">
        <f t="shared" si="243"/>
        <v>0</v>
      </c>
      <c r="BU143" s="27">
        <f t="shared" si="244"/>
        <v>0</v>
      </c>
      <c r="BV143" s="26"/>
      <c r="BW143" s="26"/>
      <c r="BX143" s="27">
        <v>0</v>
      </c>
      <c r="BY143" s="26"/>
      <c r="BZ143" s="27">
        <f t="shared" si="245"/>
        <v>0</v>
      </c>
      <c r="CA143" s="27">
        <f t="shared" si="246"/>
        <v>0</v>
      </c>
      <c r="CB143" s="26"/>
      <c r="CC143" s="26"/>
      <c r="CD143" s="27">
        <v>0</v>
      </c>
      <c r="CE143" s="26"/>
      <c r="CF143" s="27">
        <f t="shared" si="247"/>
        <v>0</v>
      </c>
      <c r="CG143" s="27">
        <f t="shared" si="248"/>
        <v>0</v>
      </c>
      <c r="CH143" s="27"/>
      <c r="CI143" s="27"/>
      <c r="CJ143" s="27">
        <v>0</v>
      </c>
      <c r="CK143" s="27"/>
      <c r="CL143" s="27">
        <f t="shared" si="249"/>
        <v>0</v>
      </c>
      <c r="CM143" s="27">
        <f t="shared" si="250"/>
        <v>0</v>
      </c>
      <c r="CN143" s="27"/>
      <c r="CO143" s="27"/>
      <c r="CP143" s="27">
        <v>0</v>
      </c>
      <c r="CQ143" s="27"/>
      <c r="CR143" s="27">
        <f t="shared" si="251"/>
        <v>0</v>
      </c>
      <c r="CS143" s="27">
        <f t="shared" si="252"/>
        <v>0</v>
      </c>
      <c r="CT143" s="27"/>
      <c r="CU143" s="27"/>
      <c r="CV143" s="27">
        <v>0</v>
      </c>
      <c r="CW143" s="27"/>
      <c r="CX143" s="27">
        <f t="shared" si="253"/>
        <v>0</v>
      </c>
      <c r="CY143" s="27">
        <f t="shared" si="254"/>
        <v>0</v>
      </c>
      <c r="CZ143" s="27"/>
      <c r="DA143" s="27"/>
      <c r="DB143" s="27">
        <v>0</v>
      </c>
      <c r="DC143" s="27"/>
      <c r="DD143" s="27">
        <f t="shared" si="255"/>
        <v>0</v>
      </c>
      <c r="DE143" s="27">
        <f t="shared" si="256"/>
        <v>0</v>
      </c>
      <c r="DF143" s="27">
        <f t="shared" si="257"/>
        <v>0</v>
      </c>
      <c r="DG143" s="27">
        <f t="shared" si="258"/>
        <v>0</v>
      </c>
      <c r="DH143" s="27">
        <f t="shared" si="259"/>
        <v>0</v>
      </c>
      <c r="DI143" s="27">
        <f t="shared" si="260"/>
        <v>0</v>
      </c>
      <c r="DJ143" s="27">
        <f t="shared" si="261"/>
        <v>0</v>
      </c>
      <c r="DK143" s="27">
        <f t="shared" si="262"/>
        <v>0</v>
      </c>
    </row>
    <row r="144" spans="1:115">
      <c r="A144" s="25">
        <v>136</v>
      </c>
      <c r="B144" s="26" t="s">
        <v>1162</v>
      </c>
      <c r="C144" s="26"/>
      <c r="D144" s="26"/>
      <c r="E144" s="205" t="s">
        <v>1200</v>
      </c>
      <c r="F144" s="161">
        <f t="shared" si="215"/>
        <v>0</v>
      </c>
      <c r="G144" s="165">
        <f t="shared" si="216"/>
        <v>0</v>
      </c>
      <c r="H144" s="27"/>
      <c r="I144" s="27">
        <v>0</v>
      </c>
      <c r="J144" s="27">
        <v>0</v>
      </c>
      <c r="K144" s="127">
        <f t="shared" si="217"/>
        <v>0</v>
      </c>
      <c r="L144" s="127">
        <f t="shared" si="218"/>
        <v>0</v>
      </c>
      <c r="M144" s="127">
        <f t="shared" si="219"/>
        <v>0</v>
      </c>
      <c r="N144" s="131"/>
      <c r="O144" s="125" t="str">
        <f t="shared" si="220"/>
        <v>ნულოვანი შესრულება</v>
      </c>
      <c r="P144" s="27">
        <v>0</v>
      </c>
      <c r="Q144" s="27">
        <v>0</v>
      </c>
      <c r="R144" s="27">
        <f t="shared" si="221"/>
        <v>0</v>
      </c>
      <c r="S144" s="27">
        <f t="shared" si="222"/>
        <v>0</v>
      </c>
      <c r="T144" s="27"/>
      <c r="U144" s="27"/>
      <c r="V144" s="27">
        <v>114</v>
      </c>
      <c r="W144" s="27"/>
      <c r="X144" s="27">
        <f t="shared" si="223"/>
        <v>114</v>
      </c>
      <c r="Y144" s="27">
        <f t="shared" si="224"/>
        <v>0</v>
      </c>
      <c r="Z144" s="27">
        <v>114</v>
      </c>
      <c r="AA144" s="27"/>
      <c r="AB144" s="27"/>
      <c r="AC144" s="27"/>
      <c r="AD144" s="27">
        <f t="shared" si="225"/>
        <v>114</v>
      </c>
      <c r="AE144" s="27">
        <f t="shared" si="226"/>
        <v>0</v>
      </c>
      <c r="AF144" s="27">
        <f t="shared" si="227"/>
        <v>114</v>
      </c>
      <c r="AG144" s="27">
        <f t="shared" si="228"/>
        <v>0</v>
      </c>
      <c r="AH144" s="27">
        <f t="shared" si="229"/>
        <v>114</v>
      </c>
      <c r="AI144" s="27">
        <f t="shared" si="230"/>
        <v>0</v>
      </c>
      <c r="AJ144" s="27">
        <f t="shared" si="231"/>
        <v>228</v>
      </c>
      <c r="AK144" s="27">
        <f t="shared" si="232"/>
        <v>0</v>
      </c>
      <c r="AL144" s="27"/>
      <c r="AM144" s="27"/>
      <c r="AN144" s="27">
        <v>0</v>
      </c>
      <c r="AO144" s="27"/>
      <c r="AP144" s="27">
        <f t="shared" si="233"/>
        <v>0</v>
      </c>
      <c r="AQ144" s="27">
        <f t="shared" si="234"/>
        <v>0</v>
      </c>
      <c r="AR144" s="27"/>
      <c r="AS144" s="27"/>
      <c r="AT144" s="27">
        <v>0</v>
      </c>
      <c r="AU144" s="27"/>
      <c r="AV144" s="27">
        <f t="shared" si="235"/>
        <v>0</v>
      </c>
      <c r="AW144" s="27">
        <f t="shared" si="236"/>
        <v>0</v>
      </c>
      <c r="AX144" s="27"/>
      <c r="AY144" s="27"/>
      <c r="AZ144" s="27">
        <v>0</v>
      </c>
      <c r="BA144" s="27"/>
      <c r="BB144" s="27">
        <f t="shared" si="237"/>
        <v>0</v>
      </c>
      <c r="BC144" s="27">
        <f t="shared" si="238"/>
        <v>0</v>
      </c>
      <c r="BD144" s="27"/>
      <c r="BE144" s="27"/>
      <c r="BF144" s="27">
        <v>0</v>
      </c>
      <c r="BG144" s="27"/>
      <c r="BH144" s="27">
        <f t="shared" si="239"/>
        <v>0</v>
      </c>
      <c r="BI144" s="27">
        <f t="shared" si="240"/>
        <v>0</v>
      </c>
      <c r="BJ144" s="27"/>
      <c r="BK144" s="27"/>
      <c r="BL144" s="27">
        <v>0</v>
      </c>
      <c r="BM144" s="27"/>
      <c r="BN144" s="27">
        <f t="shared" si="241"/>
        <v>0</v>
      </c>
      <c r="BO144" s="27">
        <f t="shared" si="242"/>
        <v>0</v>
      </c>
      <c r="BP144" s="26"/>
      <c r="BQ144" s="26"/>
      <c r="BR144" s="27">
        <v>0</v>
      </c>
      <c r="BS144" s="27"/>
      <c r="BT144" s="27">
        <f t="shared" si="243"/>
        <v>0</v>
      </c>
      <c r="BU144" s="27">
        <f t="shared" si="244"/>
        <v>0</v>
      </c>
      <c r="BV144" s="26"/>
      <c r="BW144" s="26"/>
      <c r="BX144" s="27">
        <v>0</v>
      </c>
      <c r="BY144" s="26"/>
      <c r="BZ144" s="27">
        <f t="shared" si="245"/>
        <v>0</v>
      </c>
      <c r="CA144" s="27">
        <f t="shared" si="246"/>
        <v>0</v>
      </c>
      <c r="CB144" s="26"/>
      <c r="CC144" s="26"/>
      <c r="CD144" s="27">
        <v>0</v>
      </c>
      <c r="CE144" s="26"/>
      <c r="CF144" s="27">
        <f t="shared" si="247"/>
        <v>0</v>
      </c>
      <c r="CG144" s="27">
        <f t="shared" si="248"/>
        <v>0</v>
      </c>
      <c r="CH144" s="27"/>
      <c r="CI144" s="27"/>
      <c r="CJ144" s="27">
        <v>0</v>
      </c>
      <c r="CK144" s="27"/>
      <c r="CL144" s="27">
        <f t="shared" si="249"/>
        <v>0</v>
      </c>
      <c r="CM144" s="27">
        <f t="shared" si="250"/>
        <v>0</v>
      </c>
      <c r="CN144" s="27"/>
      <c r="CO144" s="27"/>
      <c r="CP144" s="27">
        <v>0</v>
      </c>
      <c r="CQ144" s="27"/>
      <c r="CR144" s="27">
        <f t="shared" si="251"/>
        <v>0</v>
      </c>
      <c r="CS144" s="27">
        <f t="shared" si="252"/>
        <v>0</v>
      </c>
      <c r="CT144" s="27"/>
      <c r="CU144" s="27"/>
      <c r="CV144" s="27">
        <v>0</v>
      </c>
      <c r="CW144" s="27"/>
      <c r="CX144" s="27">
        <f t="shared" si="253"/>
        <v>0</v>
      </c>
      <c r="CY144" s="27">
        <f t="shared" si="254"/>
        <v>0</v>
      </c>
      <c r="CZ144" s="27"/>
      <c r="DA144" s="27"/>
      <c r="DB144" s="27">
        <v>0</v>
      </c>
      <c r="DC144" s="27"/>
      <c r="DD144" s="27">
        <f t="shared" si="255"/>
        <v>0</v>
      </c>
      <c r="DE144" s="27">
        <f t="shared" si="256"/>
        <v>0</v>
      </c>
      <c r="DF144" s="27">
        <f t="shared" si="257"/>
        <v>0</v>
      </c>
      <c r="DG144" s="27">
        <f t="shared" si="258"/>
        <v>0</v>
      </c>
      <c r="DH144" s="27">
        <f t="shared" si="259"/>
        <v>0</v>
      </c>
      <c r="DI144" s="27">
        <f t="shared" si="260"/>
        <v>0</v>
      </c>
      <c r="DJ144" s="27">
        <f t="shared" si="261"/>
        <v>0</v>
      </c>
      <c r="DK144" s="27">
        <f t="shared" si="262"/>
        <v>0</v>
      </c>
    </row>
    <row r="145" spans="1:115">
      <c r="A145" s="25">
        <v>137</v>
      </c>
      <c r="B145" s="26" t="s">
        <v>1162</v>
      </c>
      <c r="C145" s="26"/>
      <c r="D145" s="26"/>
      <c r="E145" s="205" t="s">
        <v>1200</v>
      </c>
      <c r="F145" s="161">
        <f t="shared" si="215"/>
        <v>0</v>
      </c>
      <c r="G145" s="165">
        <f t="shared" si="216"/>
        <v>0</v>
      </c>
      <c r="H145" s="27"/>
      <c r="I145" s="27">
        <v>0</v>
      </c>
      <c r="J145" s="27">
        <v>0</v>
      </c>
      <c r="K145" s="127">
        <f t="shared" si="217"/>
        <v>0</v>
      </c>
      <c r="L145" s="127">
        <f t="shared" si="218"/>
        <v>0</v>
      </c>
      <c r="M145" s="127">
        <f t="shared" si="219"/>
        <v>0</v>
      </c>
      <c r="N145" s="131"/>
      <c r="O145" s="125" t="str">
        <f t="shared" si="220"/>
        <v>ნულოვანი შესრულება</v>
      </c>
      <c r="P145" s="27">
        <v>0</v>
      </c>
      <c r="Q145" s="27">
        <v>0</v>
      </c>
      <c r="R145" s="27">
        <f t="shared" si="221"/>
        <v>0</v>
      </c>
      <c r="S145" s="27">
        <f t="shared" si="222"/>
        <v>0</v>
      </c>
      <c r="T145" s="27"/>
      <c r="U145" s="27"/>
      <c r="V145" s="27">
        <v>115</v>
      </c>
      <c r="W145" s="27"/>
      <c r="X145" s="27">
        <f t="shared" si="223"/>
        <v>115</v>
      </c>
      <c r="Y145" s="27">
        <f t="shared" si="224"/>
        <v>0</v>
      </c>
      <c r="Z145" s="27">
        <v>115</v>
      </c>
      <c r="AA145" s="27"/>
      <c r="AB145" s="27"/>
      <c r="AC145" s="27"/>
      <c r="AD145" s="27">
        <f t="shared" si="225"/>
        <v>115</v>
      </c>
      <c r="AE145" s="27">
        <f t="shared" si="226"/>
        <v>0</v>
      </c>
      <c r="AF145" s="27">
        <f t="shared" si="227"/>
        <v>115</v>
      </c>
      <c r="AG145" s="27">
        <f t="shared" si="228"/>
        <v>0</v>
      </c>
      <c r="AH145" s="27">
        <f t="shared" si="229"/>
        <v>115</v>
      </c>
      <c r="AI145" s="27">
        <f t="shared" si="230"/>
        <v>0</v>
      </c>
      <c r="AJ145" s="27">
        <f t="shared" si="231"/>
        <v>230</v>
      </c>
      <c r="AK145" s="27">
        <f t="shared" si="232"/>
        <v>0</v>
      </c>
      <c r="AL145" s="27"/>
      <c r="AM145" s="27"/>
      <c r="AN145" s="27">
        <v>0</v>
      </c>
      <c r="AO145" s="27"/>
      <c r="AP145" s="27">
        <f t="shared" si="233"/>
        <v>0</v>
      </c>
      <c r="AQ145" s="27">
        <f t="shared" si="234"/>
        <v>0</v>
      </c>
      <c r="AR145" s="27"/>
      <c r="AS145" s="27"/>
      <c r="AT145" s="27">
        <v>0</v>
      </c>
      <c r="AU145" s="27"/>
      <c r="AV145" s="27">
        <f t="shared" si="235"/>
        <v>0</v>
      </c>
      <c r="AW145" s="27">
        <f t="shared" si="236"/>
        <v>0</v>
      </c>
      <c r="AX145" s="27"/>
      <c r="AY145" s="27"/>
      <c r="AZ145" s="27">
        <v>0</v>
      </c>
      <c r="BA145" s="27"/>
      <c r="BB145" s="27">
        <f t="shared" si="237"/>
        <v>0</v>
      </c>
      <c r="BC145" s="27">
        <f t="shared" si="238"/>
        <v>0</v>
      </c>
      <c r="BD145" s="27"/>
      <c r="BE145" s="27"/>
      <c r="BF145" s="27">
        <v>0</v>
      </c>
      <c r="BG145" s="27"/>
      <c r="BH145" s="27">
        <f t="shared" si="239"/>
        <v>0</v>
      </c>
      <c r="BI145" s="27">
        <f t="shared" si="240"/>
        <v>0</v>
      </c>
      <c r="BJ145" s="27"/>
      <c r="BK145" s="27"/>
      <c r="BL145" s="27">
        <v>0</v>
      </c>
      <c r="BM145" s="27"/>
      <c r="BN145" s="27">
        <f t="shared" si="241"/>
        <v>0</v>
      </c>
      <c r="BO145" s="27">
        <f t="shared" si="242"/>
        <v>0</v>
      </c>
      <c r="BP145" s="26"/>
      <c r="BQ145" s="26"/>
      <c r="BR145" s="27">
        <v>0</v>
      </c>
      <c r="BS145" s="27"/>
      <c r="BT145" s="27">
        <f t="shared" si="243"/>
        <v>0</v>
      </c>
      <c r="BU145" s="27">
        <f t="shared" si="244"/>
        <v>0</v>
      </c>
      <c r="BV145" s="26"/>
      <c r="BW145" s="26"/>
      <c r="BX145" s="27">
        <v>0</v>
      </c>
      <c r="BY145" s="26"/>
      <c r="BZ145" s="27">
        <f t="shared" si="245"/>
        <v>0</v>
      </c>
      <c r="CA145" s="27">
        <f t="shared" si="246"/>
        <v>0</v>
      </c>
      <c r="CB145" s="26"/>
      <c r="CC145" s="26"/>
      <c r="CD145" s="27">
        <v>0</v>
      </c>
      <c r="CE145" s="26"/>
      <c r="CF145" s="27">
        <f t="shared" si="247"/>
        <v>0</v>
      </c>
      <c r="CG145" s="27">
        <f t="shared" si="248"/>
        <v>0</v>
      </c>
      <c r="CH145" s="27"/>
      <c r="CI145" s="27"/>
      <c r="CJ145" s="27">
        <v>0</v>
      </c>
      <c r="CK145" s="27"/>
      <c r="CL145" s="27">
        <f t="shared" si="249"/>
        <v>0</v>
      </c>
      <c r="CM145" s="27">
        <f t="shared" si="250"/>
        <v>0</v>
      </c>
      <c r="CN145" s="27"/>
      <c r="CO145" s="27"/>
      <c r="CP145" s="27">
        <v>0</v>
      </c>
      <c r="CQ145" s="27"/>
      <c r="CR145" s="27">
        <f t="shared" si="251"/>
        <v>0</v>
      </c>
      <c r="CS145" s="27">
        <f t="shared" si="252"/>
        <v>0</v>
      </c>
      <c r="CT145" s="27"/>
      <c r="CU145" s="27"/>
      <c r="CV145" s="27">
        <v>0</v>
      </c>
      <c r="CW145" s="27"/>
      <c r="CX145" s="27">
        <f t="shared" si="253"/>
        <v>0</v>
      </c>
      <c r="CY145" s="27">
        <f t="shared" si="254"/>
        <v>0</v>
      </c>
      <c r="CZ145" s="27"/>
      <c r="DA145" s="27"/>
      <c r="DB145" s="27">
        <v>0</v>
      </c>
      <c r="DC145" s="27"/>
      <c r="DD145" s="27">
        <f t="shared" si="255"/>
        <v>0</v>
      </c>
      <c r="DE145" s="27">
        <f t="shared" si="256"/>
        <v>0</v>
      </c>
      <c r="DF145" s="27">
        <f t="shared" si="257"/>
        <v>0</v>
      </c>
      <c r="DG145" s="27">
        <f t="shared" si="258"/>
        <v>0</v>
      </c>
      <c r="DH145" s="27">
        <f t="shared" si="259"/>
        <v>0</v>
      </c>
      <c r="DI145" s="27">
        <f t="shared" si="260"/>
        <v>0</v>
      </c>
      <c r="DJ145" s="27">
        <f t="shared" si="261"/>
        <v>0</v>
      </c>
      <c r="DK145" s="27">
        <f t="shared" si="262"/>
        <v>0</v>
      </c>
    </row>
    <row r="146" spans="1:115">
      <c r="A146" s="25">
        <v>138</v>
      </c>
      <c r="B146" s="26" t="s">
        <v>1162</v>
      </c>
      <c r="C146" s="26"/>
      <c r="D146" s="26"/>
      <c r="E146" s="205" t="s">
        <v>1200</v>
      </c>
      <c r="F146" s="161">
        <f t="shared" si="215"/>
        <v>0</v>
      </c>
      <c r="G146" s="165">
        <f t="shared" si="216"/>
        <v>0</v>
      </c>
      <c r="H146" s="27"/>
      <c r="I146" s="27">
        <v>0</v>
      </c>
      <c r="J146" s="27">
        <v>0</v>
      </c>
      <c r="K146" s="127">
        <f t="shared" si="217"/>
        <v>0</v>
      </c>
      <c r="L146" s="127">
        <f t="shared" si="218"/>
        <v>0</v>
      </c>
      <c r="M146" s="127">
        <f t="shared" si="219"/>
        <v>0</v>
      </c>
      <c r="N146" s="131"/>
      <c r="O146" s="125" t="str">
        <f t="shared" si="220"/>
        <v>ნულოვანი შესრულება</v>
      </c>
      <c r="P146" s="27">
        <v>0</v>
      </c>
      <c r="Q146" s="27">
        <v>0</v>
      </c>
      <c r="R146" s="27">
        <f t="shared" si="221"/>
        <v>0</v>
      </c>
      <c r="S146" s="27">
        <f t="shared" si="222"/>
        <v>0</v>
      </c>
      <c r="T146" s="27"/>
      <c r="U146" s="27"/>
      <c r="V146" s="27">
        <v>116</v>
      </c>
      <c r="W146" s="27"/>
      <c r="X146" s="27">
        <f t="shared" si="223"/>
        <v>116</v>
      </c>
      <c r="Y146" s="27">
        <f t="shared" si="224"/>
        <v>0</v>
      </c>
      <c r="Z146" s="27">
        <v>116</v>
      </c>
      <c r="AA146" s="27"/>
      <c r="AB146" s="27"/>
      <c r="AC146" s="27"/>
      <c r="AD146" s="27">
        <f t="shared" si="225"/>
        <v>116</v>
      </c>
      <c r="AE146" s="27">
        <f t="shared" si="226"/>
        <v>0</v>
      </c>
      <c r="AF146" s="27">
        <f t="shared" si="227"/>
        <v>116</v>
      </c>
      <c r="AG146" s="27">
        <f t="shared" si="228"/>
        <v>0</v>
      </c>
      <c r="AH146" s="27">
        <f t="shared" si="229"/>
        <v>116</v>
      </c>
      <c r="AI146" s="27">
        <f t="shared" si="230"/>
        <v>0</v>
      </c>
      <c r="AJ146" s="27">
        <f t="shared" si="231"/>
        <v>232</v>
      </c>
      <c r="AK146" s="27">
        <f t="shared" si="232"/>
        <v>0</v>
      </c>
      <c r="AL146" s="27"/>
      <c r="AM146" s="27"/>
      <c r="AN146" s="27">
        <v>0</v>
      </c>
      <c r="AO146" s="27"/>
      <c r="AP146" s="27">
        <f t="shared" si="233"/>
        <v>0</v>
      </c>
      <c r="AQ146" s="27">
        <f t="shared" si="234"/>
        <v>0</v>
      </c>
      <c r="AR146" s="27"/>
      <c r="AS146" s="27"/>
      <c r="AT146" s="27">
        <v>0</v>
      </c>
      <c r="AU146" s="27"/>
      <c r="AV146" s="27">
        <f t="shared" si="235"/>
        <v>0</v>
      </c>
      <c r="AW146" s="27">
        <f t="shared" si="236"/>
        <v>0</v>
      </c>
      <c r="AX146" s="27"/>
      <c r="AY146" s="27"/>
      <c r="AZ146" s="27">
        <v>0</v>
      </c>
      <c r="BA146" s="27"/>
      <c r="BB146" s="27">
        <f t="shared" si="237"/>
        <v>0</v>
      </c>
      <c r="BC146" s="27">
        <f t="shared" si="238"/>
        <v>0</v>
      </c>
      <c r="BD146" s="27"/>
      <c r="BE146" s="27"/>
      <c r="BF146" s="27">
        <v>0</v>
      </c>
      <c r="BG146" s="27"/>
      <c r="BH146" s="27">
        <f t="shared" si="239"/>
        <v>0</v>
      </c>
      <c r="BI146" s="27">
        <f t="shared" si="240"/>
        <v>0</v>
      </c>
      <c r="BJ146" s="27"/>
      <c r="BK146" s="27"/>
      <c r="BL146" s="27">
        <v>0</v>
      </c>
      <c r="BM146" s="27"/>
      <c r="BN146" s="27">
        <f t="shared" si="241"/>
        <v>0</v>
      </c>
      <c r="BO146" s="27">
        <f t="shared" si="242"/>
        <v>0</v>
      </c>
      <c r="BP146" s="26"/>
      <c r="BQ146" s="26"/>
      <c r="BR146" s="27">
        <v>0</v>
      </c>
      <c r="BS146" s="27"/>
      <c r="BT146" s="27">
        <f t="shared" si="243"/>
        <v>0</v>
      </c>
      <c r="BU146" s="27">
        <f t="shared" si="244"/>
        <v>0</v>
      </c>
      <c r="BV146" s="26"/>
      <c r="BW146" s="26"/>
      <c r="BX146" s="27">
        <v>0</v>
      </c>
      <c r="BY146" s="26"/>
      <c r="BZ146" s="27">
        <f t="shared" si="245"/>
        <v>0</v>
      </c>
      <c r="CA146" s="27">
        <f t="shared" si="246"/>
        <v>0</v>
      </c>
      <c r="CB146" s="26"/>
      <c r="CC146" s="26"/>
      <c r="CD146" s="27">
        <v>0</v>
      </c>
      <c r="CE146" s="26"/>
      <c r="CF146" s="27">
        <f t="shared" si="247"/>
        <v>0</v>
      </c>
      <c r="CG146" s="27">
        <f t="shared" si="248"/>
        <v>0</v>
      </c>
      <c r="CH146" s="27"/>
      <c r="CI146" s="27"/>
      <c r="CJ146" s="27">
        <v>0</v>
      </c>
      <c r="CK146" s="27"/>
      <c r="CL146" s="27">
        <f t="shared" si="249"/>
        <v>0</v>
      </c>
      <c r="CM146" s="27">
        <f t="shared" si="250"/>
        <v>0</v>
      </c>
      <c r="CN146" s="27"/>
      <c r="CO146" s="27"/>
      <c r="CP146" s="27">
        <v>0</v>
      </c>
      <c r="CQ146" s="27"/>
      <c r="CR146" s="27">
        <f t="shared" si="251"/>
        <v>0</v>
      </c>
      <c r="CS146" s="27">
        <f t="shared" si="252"/>
        <v>0</v>
      </c>
      <c r="CT146" s="27"/>
      <c r="CU146" s="27"/>
      <c r="CV146" s="27">
        <v>0</v>
      </c>
      <c r="CW146" s="27"/>
      <c r="CX146" s="27">
        <f t="shared" si="253"/>
        <v>0</v>
      </c>
      <c r="CY146" s="27">
        <f t="shared" si="254"/>
        <v>0</v>
      </c>
      <c r="CZ146" s="27"/>
      <c r="DA146" s="27"/>
      <c r="DB146" s="27">
        <v>0</v>
      </c>
      <c r="DC146" s="27"/>
      <c r="DD146" s="27">
        <f t="shared" si="255"/>
        <v>0</v>
      </c>
      <c r="DE146" s="27">
        <f t="shared" si="256"/>
        <v>0</v>
      </c>
      <c r="DF146" s="27">
        <f t="shared" si="257"/>
        <v>0</v>
      </c>
      <c r="DG146" s="27">
        <f t="shared" si="258"/>
        <v>0</v>
      </c>
      <c r="DH146" s="27">
        <f t="shared" si="259"/>
        <v>0</v>
      </c>
      <c r="DI146" s="27">
        <f t="shared" si="260"/>
        <v>0</v>
      </c>
      <c r="DJ146" s="27">
        <f t="shared" si="261"/>
        <v>0</v>
      </c>
      <c r="DK146" s="27">
        <f t="shared" si="262"/>
        <v>0</v>
      </c>
    </row>
  </sheetData>
  <mergeCells count="88">
    <mergeCell ref="I5:I6"/>
    <mergeCell ref="E3:E6"/>
    <mergeCell ref="F3:F6"/>
    <mergeCell ref="G3:G6"/>
    <mergeCell ref="I3:J4"/>
    <mergeCell ref="A3:A6"/>
    <mergeCell ref="B3:B6"/>
    <mergeCell ref="C3:C6"/>
    <mergeCell ref="D3:D6"/>
    <mergeCell ref="H3:H6"/>
    <mergeCell ref="P3:Q4"/>
    <mergeCell ref="R3:S4"/>
    <mergeCell ref="T3:AK3"/>
    <mergeCell ref="AL3:DK3"/>
    <mergeCell ref="T4:Y4"/>
    <mergeCell ref="Z4:AE4"/>
    <mergeCell ref="AF4:AK4"/>
    <mergeCell ref="AL4:AQ4"/>
    <mergeCell ref="AR4:AW4"/>
    <mergeCell ref="AX4:BC4"/>
    <mergeCell ref="CN4:CS4"/>
    <mergeCell ref="CT4:CY4"/>
    <mergeCell ref="CZ4:DE4"/>
    <mergeCell ref="DF4:DK4"/>
    <mergeCell ref="BD4:BI4"/>
    <mergeCell ref="BJ4:BO4"/>
    <mergeCell ref="P5:P6"/>
    <mergeCell ref="Q5:Q6"/>
    <mergeCell ref="R5:R6"/>
    <mergeCell ref="S5:S6"/>
    <mergeCell ref="T5:U5"/>
    <mergeCell ref="BP4:BU4"/>
    <mergeCell ref="BV4:CA4"/>
    <mergeCell ref="CB4:CG4"/>
    <mergeCell ref="CH4:CM4"/>
    <mergeCell ref="AR5:AS5"/>
    <mergeCell ref="BR5:BS5"/>
    <mergeCell ref="BT5:BU5"/>
    <mergeCell ref="BV5:BW5"/>
    <mergeCell ref="BX5:BY5"/>
    <mergeCell ref="BZ5:CA5"/>
    <mergeCell ref="CB5:CC5"/>
    <mergeCell ref="V5:W5"/>
    <mergeCell ref="X5:Y5"/>
    <mergeCell ref="Z5:AA5"/>
    <mergeCell ref="AB5:AC5"/>
    <mergeCell ref="AD5:AE5"/>
    <mergeCell ref="AF5:AG5"/>
    <mergeCell ref="AH5:AI5"/>
    <mergeCell ref="AJ5:AK5"/>
    <mergeCell ref="AL5:AM5"/>
    <mergeCell ref="AN5:AO5"/>
    <mergeCell ref="AP5:AQ5"/>
    <mergeCell ref="BP5:BQ5"/>
    <mergeCell ref="AT5:AU5"/>
    <mergeCell ref="AV5:AW5"/>
    <mergeCell ref="AX5:AY5"/>
    <mergeCell ref="AZ5:BA5"/>
    <mergeCell ref="BB5:BC5"/>
    <mergeCell ref="BD5:BE5"/>
    <mergeCell ref="BF5:BG5"/>
    <mergeCell ref="BH5:BI5"/>
    <mergeCell ref="BJ5:BK5"/>
    <mergeCell ref="BL5:BM5"/>
    <mergeCell ref="BN5:BO5"/>
    <mergeCell ref="CX5:CY5"/>
    <mergeCell ref="CZ5:DA5"/>
    <mergeCell ref="CD5:CE5"/>
    <mergeCell ref="CF5:CG5"/>
    <mergeCell ref="CH5:CI5"/>
    <mergeCell ref="CJ5:CK5"/>
    <mergeCell ref="CL5:CM5"/>
    <mergeCell ref="CN5:CO5"/>
    <mergeCell ref="CP5:CQ5"/>
    <mergeCell ref="CR5:CS5"/>
    <mergeCell ref="CT5:CU5"/>
    <mergeCell ref="CV5:CW5"/>
    <mergeCell ref="DB5:DC5"/>
    <mergeCell ref="DD5:DE5"/>
    <mergeCell ref="DF5:DG5"/>
    <mergeCell ref="DH5:DI5"/>
    <mergeCell ref="DJ5:DK5"/>
    <mergeCell ref="K3:L4"/>
    <mergeCell ref="M3:M6"/>
    <mergeCell ref="O3:O6"/>
    <mergeCell ref="J5:J6"/>
    <mergeCell ref="K5:K6"/>
    <mergeCell ref="L5:L6"/>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DK176"/>
  <sheetViews>
    <sheetView zoomScaleNormal="100" workbookViewId="0">
      <pane xSplit="37" ySplit="8" topLeftCell="BX33" activePane="bottomRight" state="frozen"/>
      <selection pane="topRight" activeCell="AL1" sqref="AL1"/>
      <selection pane="bottomLeft" activeCell="A9" sqref="A9"/>
      <selection pane="bottomRight" activeCell="CW43" sqref="CW43"/>
    </sheetView>
  </sheetViews>
  <sheetFormatPr defaultColWidth="10.42578125" defaultRowHeight="15"/>
  <cols>
    <col min="1" max="1" width="6.85546875" style="14" bestFit="1" customWidth="1"/>
    <col min="2" max="2" width="20.42578125" style="14" customWidth="1"/>
    <col min="3" max="3" width="11.28515625" style="14" customWidth="1"/>
    <col min="4" max="4" width="33.5703125" style="14" customWidth="1"/>
    <col min="5" max="5" width="15.5703125" style="14" bestFit="1" customWidth="1"/>
    <col min="6" max="6" width="13.85546875" style="14" bestFit="1" customWidth="1"/>
    <col min="7" max="7" width="14" style="14" bestFit="1" customWidth="1"/>
    <col min="8" max="8" width="11.42578125" style="17" customWidth="1"/>
    <col min="9" max="9" width="10" style="14" hidden="1" customWidth="1"/>
    <col min="10" max="10" width="13.140625" style="14" hidden="1" customWidth="1"/>
    <col min="11" max="12" width="10.85546875" style="14" hidden="1" customWidth="1"/>
    <col min="13" max="13" width="10.85546875" style="14" bestFit="1" customWidth="1"/>
    <col min="14" max="14" width="13.42578125" style="14" bestFit="1" customWidth="1"/>
    <col min="15" max="15" width="12.5703125" style="14" customWidth="1"/>
    <col min="16" max="16" width="16.85546875" style="14" hidden="1" customWidth="1"/>
    <col min="17" max="17" width="13.5703125" style="14" hidden="1" customWidth="1"/>
    <col min="18" max="18" width="14.140625" style="14" hidden="1" customWidth="1"/>
    <col min="19" max="19" width="13.5703125" style="14" hidden="1" customWidth="1"/>
    <col min="20" max="20" width="7.5703125" style="14" hidden="1" customWidth="1"/>
    <col min="21" max="21" width="8.42578125" style="14" hidden="1" customWidth="1"/>
    <col min="22" max="28" width="7.5703125" style="14" hidden="1" customWidth="1"/>
    <col min="29" max="29" width="10.85546875" style="14" hidden="1" customWidth="1"/>
    <col min="30" max="30" width="7.5703125" style="14" hidden="1" customWidth="1"/>
    <col min="31" max="31" width="10.85546875" style="14" hidden="1" customWidth="1"/>
    <col min="32" max="34" width="7.5703125" style="14" hidden="1" customWidth="1"/>
    <col min="35" max="35" width="10.85546875" style="14" hidden="1" customWidth="1"/>
    <col min="36" max="36" width="7.5703125" style="14" hidden="1" customWidth="1"/>
    <col min="37" max="37" width="10.85546875" style="14" hidden="1" customWidth="1"/>
    <col min="38" max="39" width="7.5703125" style="14" bestFit="1" customWidth="1"/>
    <col min="40" max="40" width="12" style="14" bestFit="1" customWidth="1"/>
    <col min="41" max="41" width="7.5703125" style="14" bestFit="1" customWidth="1"/>
    <col min="42" max="42" width="12" style="14" bestFit="1" customWidth="1"/>
    <col min="43" max="45" width="7.5703125" style="14" bestFit="1" customWidth="1"/>
    <col min="46" max="49" width="12" style="14" bestFit="1" customWidth="1"/>
    <col min="50" max="51" width="7.5703125" style="14" bestFit="1" customWidth="1"/>
    <col min="52" max="55" width="12" style="14" bestFit="1" customWidth="1"/>
    <col min="56" max="56" width="7.5703125" style="14" bestFit="1" customWidth="1"/>
    <col min="57" max="58" width="12" style="14" bestFit="1" customWidth="1"/>
    <col min="59" max="59" width="10.85546875" style="14" bestFit="1" customWidth="1"/>
    <col min="60" max="61" width="12" style="14" bestFit="1" customWidth="1"/>
    <col min="62" max="62" width="7.5703125" style="14" bestFit="1" customWidth="1"/>
    <col min="63" max="67" width="12" style="14" bestFit="1" customWidth="1"/>
    <col min="68" max="68" width="7.5703125" style="14" bestFit="1" customWidth="1"/>
    <col min="69" max="70" width="12" style="14" bestFit="1" customWidth="1"/>
    <col min="71" max="71" width="10.85546875" style="14" bestFit="1" customWidth="1"/>
    <col min="72" max="73" width="12" style="14" bestFit="1" customWidth="1"/>
    <col min="74" max="74" width="7.5703125" style="14" bestFit="1" customWidth="1"/>
    <col min="75" max="76" width="12" style="14" bestFit="1" customWidth="1"/>
    <col min="77" max="77" width="10.85546875" style="14" bestFit="1" customWidth="1"/>
    <col min="78" max="79" width="12" style="14" bestFit="1" customWidth="1"/>
    <col min="80" max="80" width="7.5703125" style="14" bestFit="1" customWidth="1"/>
    <col min="81" max="85" width="12" style="14" bestFit="1" customWidth="1"/>
    <col min="86" max="87" width="7.5703125" style="14" bestFit="1" customWidth="1"/>
    <col min="88" max="88" width="12" style="14" bestFit="1" customWidth="1"/>
    <col min="89" max="89" width="10.85546875" style="14" bestFit="1" customWidth="1"/>
    <col min="90" max="90" width="12" style="14" bestFit="1" customWidth="1"/>
    <col min="91" max="91" width="10.85546875" style="14" bestFit="1" customWidth="1"/>
    <col min="92" max="92" width="7.5703125" style="14" bestFit="1" customWidth="1"/>
    <col min="93" max="94" width="12" style="14" bestFit="1" customWidth="1"/>
    <col min="95" max="95" width="7.5703125" style="14" bestFit="1" customWidth="1"/>
    <col min="96" max="97" width="12" style="14" bestFit="1" customWidth="1"/>
    <col min="98" max="98" width="7.5703125" style="14" bestFit="1" customWidth="1"/>
    <col min="99" max="99" width="10.85546875" style="14" bestFit="1" customWidth="1"/>
    <col min="100" max="100" width="12" style="14" bestFit="1" customWidth="1"/>
    <col min="101" max="101" width="10.85546875" style="14" bestFit="1" customWidth="1"/>
    <col min="102" max="102" width="12" style="14" bestFit="1" customWidth="1"/>
    <col min="103" max="103" width="10.85546875" style="14" bestFit="1" customWidth="1"/>
    <col min="104" max="105" width="7.5703125" style="14" bestFit="1" customWidth="1"/>
    <col min="106" max="106" width="12" style="14" bestFit="1" customWidth="1"/>
    <col min="107" max="107" width="7.5703125" style="14" bestFit="1" customWidth="1"/>
    <col min="108" max="108" width="12" style="14" bestFit="1" customWidth="1"/>
    <col min="109" max="110" width="7.5703125" style="14" bestFit="1" customWidth="1"/>
    <col min="111" max="111" width="12" style="14" bestFit="1" customWidth="1"/>
    <col min="112" max="112" width="13.85546875" style="14" bestFit="1" customWidth="1"/>
    <col min="113" max="113" width="12" style="14" bestFit="1" customWidth="1"/>
    <col min="114" max="114" width="13.85546875" style="14" bestFit="1" customWidth="1"/>
    <col min="115" max="115" width="12" style="14" bestFit="1" customWidth="1"/>
    <col min="116" max="16384" width="10.42578125" style="14"/>
  </cols>
  <sheetData>
    <row r="1" spans="1:115" ht="15.75">
      <c r="B1" s="16" t="s">
        <v>1161</v>
      </c>
    </row>
    <row r="2" spans="1:115" ht="15.75" thickBot="1">
      <c r="AW2" s="279">
        <f>AW7-AV7</f>
        <v>4800</v>
      </c>
    </row>
    <row r="3" spans="1:115" ht="19.5" thickBot="1">
      <c r="A3" s="513" t="s">
        <v>1</v>
      </c>
      <c r="B3" s="475" t="s">
        <v>2</v>
      </c>
      <c r="C3" s="475" t="s">
        <v>3</v>
      </c>
      <c r="D3" s="475" t="s">
        <v>4</v>
      </c>
      <c r="E3" s="516" t="s">
        <v>1176</v>
      </c>
      <c r="F3" s="516" t="s">
        <v>1170</v>
      </c>
      <c r="G3" s="510" t="s">
        <v>1178</v>
      </c>
      <c r="H3" s="540" t="s">
        <v>5</v>
      </c>
      <c r="I3" s="488" t="s">
        <v>6</v>
      </c>
      <c r="J3" s="489"/>
      <c r="K3" s="492" t="s">
        <v>9</v>
      </c>
      <c r="L3" s="493"/>
      <c r="M3" s="469" t="s">
        <v>1197</v>
      </c>
      <c r="N3" s="273"/>
      <c r="O3" s="485" t="s">
        <v>1196</v>
      </c>
      <c r="P3" s="478" t="s">
        <v>7</v>
      </c>
      <c r="Q3" s="479"/>
      <c r="R3" s="478" t="s">
        <v>8</v>
      </c>
      <c r="S3" s="479"/>
      <c r="T3" s="482" t="s">
        <v>9</v>
      </c>
      <c r="U3" s="483"/>
      <c r="V3" s="483"/>
      <c r="W3" s="483"/>
      <c r="X3" s="483"/>
      <c r="Y3" s="483"/>
      <c r="Z3" s="483"/>
      <c r="AA3" s="483"/>
      <c r="AB3" s="483"/>
      <c r="AC3" s="483"/>
      <c r="AD3" s="483"/>
      <c r="AE3" s="483"/>
      <c r="AF3" s="483"/>
      <c r="AG3" s="483"/>
      <c r="AH3" s="483"/>
      <c r="AI3" s="483"/>
      <c r="AJ3" s="483"/>
      <c r="AK3" s="484"/>
      <c r="AL3" s="499">
        <v>2025</v>
      </c>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3"/>
      <c r="DK3" s="484"/>
    </row>
    <row r="4" spans="1:115" ht="80.25" customHeight="1" thickBot="1">
      <c r="A4" s="514"/>
      <c r="B4" s="476"/>
      <c r="C4" s="476"/>
      <c r="D4" s="476"/>
      <c r="E4" s="517"/>
      <c r="F4" s="517"/>
      <c r="G4" s="511"/>
      <c r="H4" s="541"/>
      <c r="I4" s="490"/>
      <c r="J4" s="491"/>
      <c r="K4" s="494"/>
      <c r="L4" s="495"/>
      <c r="M4" s="496"/>
      <c r="N4" s="271" t="s">
        <v>1234</v>
      </c>
      <c r="O4" s="486"/>
      <c r="P4" s="480"/>
      <c r="Q4" s="481"/>
      <c r="R4" s="480"/>
      <c r="S4" s="481"/>
      <c r="T4" s="500" t="s">
        <v>10</v>
      </c>
      <c r="U4" s="501"/>
      <c r="V4" s="501"/>
      <c r="W4" s="501"/>
      <c r="X4" s="501"/>
      <c r="Y4" s="502"/>
      <c r="Z4" s="500" t="s">
        <v>11</v>
      </c>
      <c r="AA4" s="501"/>
      <c r="AB4" s="501"/>
      <c r="AC4" s="501"/>
      <c r="AD4" s="501"/>
      <c r="AE4" s="502"/>
      <c r="AF4" s="503" t="s">
        <v>9</v>
      </c>
      <c r="AG4" s="504"/>
      <c r="AH4" s="504"/>
      <c r="AI4" s="504"/>
      <c r="AJ4" s="504"/>
      <c r="AK4" s="505"/>
      <c r="AL4" s="500" t="s">
        <v>12</v>
      </c>
      <c r="AM4" s="501"/>
      <c r="AN4" s="501"/>
      <c r="AO4" s="501"/>
      <c r="AP4" s="501"/>
      <c r="AQ4" s="502"/>
      <c r="AR4" s="500" t="s">
        <v>13</v>
      </c>
      <c r="AS4" s="501"/>
      <c r="AT4" s="501"/>
      <c r="AU4" s="501"/>
      <c r="AV4" s="501"/>
      <c r="AW4" s="502"/>
      <c r="AX4" s="500" t="s">
        <v>14</v>
      </c>
      <c r="AY4" s="501"/>
      <c r="AZ4" s="501"/>
      <c r="BA4" s="501"/>
      <c r="BB4" s="501"/>
      <c r="BC4" s="502"/>
      <c r="BD4" s="500" t="s">
        <v>15</v>
      </c>
      <c r="BE4" s="501"/>
      <c r="BF4" s="501"/>
      <c r="BG4" s="501"/>
      <c r="BH4" s="501"/>
      <c r="BI4" s="502"/>
      <c r="BJ4" s="500" t="s">
        <v>16</v>
      </c>
      <c r="BK4" s="501"/>
      <c r="BL4" s="501"/>
      <c r="BM4" s="501"/>
      <c r="BN4" s="501"/>
      <c r="BO4" s="502"/>
      <c r="BP4" s="500" t="s">
        <v>17</v>
      </c>
      <c r="BQ4" s="501"/>
      <c r="BR4" s="501"/>
      <c r="BS4" s="501"/>
      <c r="BT4" s="501"/>
      <c r="BU4" s="502"/>
      <c r="BV4" s="500" t="s">
        <v>18</v>
      </c>
      <c r="BW4" s="501"/>
      <c r="BX4" s="501"/>
      <c r="BY4" s="501"/>
      <c r="BZ4" s="501"/>
      <c r="CA4" s="502"/>
      <c r="CB4" s="500" t="s">
        <v>19</v>
      </c>
      <c r="CC4" s="501"/>
      <c r="CD4" s="501"/>
      <c r="CE4" s="501"/>
      <c r="CF4" s="501"/>
      <c r="CG4" s="502"/>
      <c r="CH4" s="500" t="s">
        <v>20</v>
      </c>
      <c r="CI4" s="501"/>
      <c r="CJ4" s="501"/>
      <c r="CK4" s="501"/>
      <c r="CL4" s="501"/>
      <c r="CM4" s="502"/>
      <c r="CN4" s="500" t="s">
        <v>21</v>
      </c>
      <c r="CO4" s="501"/>
      <c r="CP4" s="501"/>
      <c r="CQ4" s="501"/>
      <c r="CR4" s="501"/>
      <c r="CS4" s="502"/>
      <c r="CT4" s="466" t="s">
        <v>22</v>
      </c>
      <c r="CU4" s="467"/>
      <c r="CV4" s="467"/>
      <c r="CW4" s="467"/>
      <c r="CX4" s="467"/>
      <c r="CY4" s="525"/>
      <c r="CZ4" s="500" t="s">
        <v>23</v>
      </c>
      <c r="DA4" s="501"/>
      <c r="DB4" s="501"/>
      <c r="DC4" s="501"/>
      <c r="DD4" s="501"/>
      <c r="DE4" s="502"/>
      <c r="DF4" s="506" t="s">
        <v>24</v>
      </c>
      <c r="DG4" s="507"/>
      <c r="DH4" s="507"/>
      <c r="DI4" s="507"/>
      <c r="DJ4" s="507"/>
      <c r="DK4" s="508"/>
    </row>
    <row r="5" spans="1:115">
      <c r="A5" s="514"/>
      <c r="B5" s="476"/>
      <c r="C5" s="476"/>
      <c r="D5" s="476"/>
      <c r="E5" s="517"/>
      <c r="F5" s="517"/>
      <c r="G5" s="511"/>
      <c r="H5" s="541"/>
      <c r="I5" s="469" t="s">
        <v>1169</v>
      </c>
      <c r="J5" s="469" t="s">
        <v>1199</v>
      </c>
      <c r="K5" s="469" t="s">
        <v>1174</v>
      </c>
      <c r="L5" s="469" t="s">
        <v>1201</v>
      </c>
      <c r="M5" s="496"/>
      <c r="N5" s="274"/>
      <c r="O5" s="486"/>
      <c r="P5" s="471" t="s">
        <v>1169</v>
      </c>
      <c r="Q5" s="473" t="s">
        <v>1168</v>
      </c>
      <c r="R5" s="471" t="s">
        <v>1169</v>
      </c>
      <c r="S5" s="473" t="s">
        <v>1168</v>
      </c>
      <c r="T5" s="464" t="s">
        <v>1167</v>
      </c>
      <c r="U5" s="460"/>
      <c r="V5" s="460" t="s">
        <v>1166</v>
      </c>
      <c r="W5" s="461"/>
      <c r="X5" s="462" t="s">
        <v>25</v>
      </c>
      <c r="Y5" s="463"/>
      <c r="Z5" s="464" t="s">
        <v>1167</v>
      </c>
      <c r="AA5" s="460"/>
      <c r="AB5" s="460" t="s">
        <v>1166</v>
      </c>
      <c r="AC5" s="461"/>
      <c r="AD5" s="462" t="s">
        <v>25</v>
      </c>
      <c r="AE5" s="463"/>
      <c r="AF5" s="464" t="s">
        <v>1167</v>
      </c>
      <c r="AG5" s="460"/>
      <c r="AH5" s="460" t="s">
        <v>1166</v>
      </c>
      <c r="AI5" s="461"/>
      <c r="AJ5" s="462" t="s">
        <v>25</v>
      </c>
      <c r="AK5" s="463"/>
      <c r="AL5" s="464" t="s">
        <v>1167</v>
      </c>
      <c r="AM5" s="460"/>
      <c r="AN5" s="460" t="s">
        <v>1166</v>
      </c>
      <c r="AO5" s="461"/>
      <c r="AP5" s="462" t="s">
        <v>25</v>
      </c>
      <c r="AQ5" s="463"/>
      <c r="AR5" s="464" t="s">
        <v>1167</v>
      </c>
      <c r="AS5" s="460"/>
      <c r="AT5" s="460" t="s">
        <v>1166</v>
      </c>
      <c r="AU5" s="461"/>
      <c r="AV5" s="462" t="s">
        <v>25</v>
      </c>
      <c r="AW5" s="463"/>
      <c r="AX5" s="464" t="s">
        <v>1167</v>
      </c>
      <c r="AY5" s="460"/>
      <c r="AZ5" s="460" t="s">
        <v>1166</v>
      </c>
      <c r="BA5" s="461"/>
      <c r="BB5" s="462" t="s">
        <v>25</v>
      </c>
      <c r="BC5" s="463"/>
      <c r="BD5" s="464" t="s">
        <v>1167</v>
      </c>
      <c r="BE5" s="460"/>
      <c r="BF5" s="460" t="s">
        <v>1166</v>
      </c>
      <c r="BG5" s="461"/>
      <c r="BH5" s="462" t="s">
        <v>25</v>
      </c>
      <c r="BI5" s="463"/>
      <c r="BJ5" s="464" t="s">
        <v>1167</v>
      </c>
      <c r="BK5" s="460"/>
      <c r="BL5" s="460" t="s">
        <v>1166</v>
      </c>
      <c r="BM5" s="461"/>
      <c r="BN5" s="462" t="s">
        <v>25</v>
      </c>
      <c r="BO5" s="463"/>
      <c r="BP5" s="464" t="s">
        <v>1167</v>
      </c>
      <c r="BQ5" s="460"/>
      <c r="BR5" s="460" t="s">
        <v>1166</v>
      </c>
      <c r="BS5" s="461"/>
      <c r="BT5" s="462" t="s">
        <v>25</v>
      </c>
      <c r="BU5" s="463"/>
      <c r="BV5" s="464" t="s">
        <v>1167</v>
      </c>
      <c r="BW5" s="460"/>
      <c r="BX5" s="460" t="s">
        <v>1166</v>
      </c>
      <c r="BY5" s="461"/>
      <c r="BZ5" s="462" t="s">
        <v>25</v>
      </c>
      <c r="CA5" s="463"/>
      <c r="CB5" s="464" t="s">
        <v>1167</v>
      </c>
      <c r="CC5" s="460"/>
      <c r="CD5" s="460" t="s">
        <v>1166</v>
      </c>
      <c r="CE5" s="461"/>
      <c r="CF5" s="462" t="s">
        <v>25</v>
      </c>
      <c r="CG5" s="463"/>
      <c r="CH5" s="464" t="s">
        <v>1167</v>
      </c>
      <c r="CI5" s="460"/>
      <c r="CJ5" s="460" t="s">
        <v>1166</v>
      </c>
      <c r="CK5" s="461"/>
      <c r="CL5" s="462" t="s">
        <v>25</v>
      </c>
      <c r="CM5" s="463"/>
      <c r="CN5" s="464" t="s">
        <v>1167</v>
      </c>
      <c r="CO5" s="460"/>
      <c r="CP5" s="460" t="s">
        <v>1166</v>
      </c>
      <c r="CQ5" s="461"/>
      <c r="CR5" s="462" t="s">
        <v>25</v>
      </c>
      <c r="CS5" s="463"/>
      <c r="CT5" s="464" t="s">
        <v>1167</v>
      </c>
      <c r="CU5" s="460"/>
      <c r="CV5" s="460" t="s">
        <v>1166</v>
      </c>
      <c r="CW5" s="461"/>
      <c r="CX5" s="462" t="s">
        <v>25</v>
      </c>
      <c r="CY5" s="463"/>
      <c r="CZ5" s="464" t="s">
        <v>1167</v>
      </c>
      <c r="DA5" s="460"/>
      <c r="DB5" s="460" t="s">
        <v>1166</v>
      </c>
      <c r="DC5" s="461"/>
      <c r="DD5" s="462" t="s">
        <v>25</v>
      </c>
      <c r="DE5" s="463"/>
      <c r="DF5" s="464" t="s">
        <v>1167</v>
      </c>
      <c r="DG5" s="460"/>
      <c r="DH5" s="460" t="s">
        <v>1166</v>
      </c>
      <c r="DI5" s="461"/>
      <c r="DJ5" s="462" t="s">
        <v>25</v>
      </c>
      <c r="DK5" s="463"/>
    </row>
    <row r="6" spans="1:115" ht="15.75" thickBot="1">
      <c r="A6" s="538"/>
      <c r="B6" s="539"/>
      <c r="C6" s="539"/>
      <c r="D6" s="539"/>
      <c r="E6" s="518"/>
      <c r="F6" s="518"/>
      <c r="G6" s="512"/>
      <c r="H6" s="542"/>
      <c r="I6" s="470"/>
      <c r="J6" s="497"/>
      <c r="K6" s="497"/>
      <c r="L6" s="497"/>
      <c r="M6" s="470"/>
      <c r="N6" s="275"/>
      <c r="O6" s="487"/>
      <c r="P6" s="472"/>
      <c r="Q6" s="474"/>
      <c r="R6" s="472"/>
      <c r="S6" s="474"/>
      <c r="T6" s="2" t="s">
        <v>26</v>
      </c>
      <c r="U6" s="3" t="s">
        <v>27</v>
      </c>
      <c r="V6" s="3" t="s">
        <v>26</v>
      </c>
      <c r="W6" s="4" t="s">
        <v>27</v>
      </c>
      <c r="X6" s="5" t="s">
        <v>26</v>
      </c>
      <c r="Y6" s="6" t="s">
        <v>27</v>
      </c>
      <c r="Z6" s="2" t="s">
        <v>26</v>
      </c>
      <c r="AA6" s="3" t="s">
        <v>27</v>
      </c>
      <c r="AB6" s="3" t="s">
        <v>26</v>
      </c>
      <c r="AC6" s="4" t="s">
        <v>27</v>
      </c>
      <c r="AD6" s="5" t="s">
        <v>26</v>
      </c>
      <c r="AE6" s="6" t="s">
        <v>27</v>
      </c>
      <c r="AF6" s="2" t="s">
        <v>26</v>
      </c>
      <c r="AG6" s="3" t="s">
        <v>27</v>
      </c>
      <c r="AH6" s="3" t="s">
        <v>26</v>
      </c>
      <c r="AI6" s="4" t="s">
        <v>27</v>
      </c>
      <c r="AJ6" s="5" t="s">
        <v>26</v>
      </c>
      <c r="AK6" s="6" t="s">
        <v>27</v>
      </c>
      <c r="AL6" s="2" t="s">
        <v>26</v>
      </c>
      <c r="AM6" s="3" t="s">
        <v>27</v>
      </c>
      <c r="AN6" s="3" t="s">
        <v>26</v>
      </c>
      <c r="AO6" s="4" t="s">
        <v>27</v>
      </c>
      <c r="AP6" s="5" t="s">
        <v>26</v>
      </c>
      <c r="AQ6" s="6" t="s">
        <v>27</v>
      </c>
      <c r="AR6" s="2" t="s">
        <v>26</v>
      </c>
      <c r="AS6" s="3" t="s">
        <v>27</v>
      </c>
      <c r="AT6" s="3" t="s">
        <v>26</v>
      </c>
      <c r="AU6" s="4" t="s">
        <v>27</v>
      </c>
      <c r="AV6" s="5" t="s">
        <v>26</v>
      </c>
      <c r="AW6" s="6" t="s">
        <v>27</v>
      </c>
      <c r="AX6" s="2" t="s">
        <v>26</v>
      </c>
      <c r="AY6" s="3" t="s">
        <v>27</v>
      </c>
      <c r="AZ6" s="3" t="s">
        <v>26</v>
      </c>
      <c r="BA6" s="4" t="s">
        <v>27</v>
      </c>
      <c r="BB6" s="5" t="s">
        <v>26</v>
      </c>
      <c r="BC6" s="6" t="s">
        <v>27</v>
      </c>
      <c r="BD6" s="2" t="s">
        <v>26</v>
      </c>
      <c r="BE6" s="3" t="s">
        <v>27</v>
      </c>
      <c r="BF6" s="3" t="s">
        <v>26</v>
      </c>
      <c r="BG6" s="4" t="s">
        <v>27</v>
      </c>
      <c r="BH6" s="5" t="s">
        <v>26</v>
      </c>
      <c r="BI6" s="6" t="s">
        <v>27</v>
      </c>
      <c r="BJ6" s="2" t="s">
        <v>26</v>
      </c>
      <c r="BK6" s="3" t="s">
        <v>27</v>
      </c>
      <c r="BL6" s="3" t="s">
        <v>26</v>
      </c>
      <c r="BM6" s="4" t="s">
        <v>27</v>
      </c>
      <c r="BN6" s="5" t="s">
        <v>26</v>
      </c>
      <c r="BO6" s="6" t="s">
        <v>27</v>
      </c>
      <c r="BP6" s="2" t="s">
        <v>26</v>
      </c>
      <c r="BQ6" s="3" t="s">
        <v>27</v>
      </c>
      <c r="BR6" s="3" t="s">
        <v>26</v>
      </c>
      <c r="BS6" s="4" t="s">
        <v>27</v>
      </c>
      <c r="BT6" s="5" t="s">
        <v>26</v>
      </c>
      <c r="BU6" s="6" t="s">
        <v>27</v>
      </c>
      <c r="BV6" s="2" t="s">
        <v>26</v>
      </c>
      <c r="BW6" s="3" t="s">
        <v>27</v>
      </c>
      <c r="BX6" s="3" t="s">
        <v>26</v>
      </c>
      <c r="BY6" s="4" t="s">
        <v>27</v>
      </c>
      <c r="BZ6" s="5" t="s">
        <v>26</v>
      </c>
      <c r="CA6" s="6" t="s">
        <v>27</v>
      </c>
      <c r="CB6" s="2" t="s">
        <v>26</v>
      </c>
      <c r="CC6" s="3" t="s">
        <v>27</v>
      </c>
      <c r="CD6" s="3" t="s">
        <v>26</v>
      </c>
      <c r="CE6" s="4" t="s">
        <v>27</v>
      </c>
      <c r="CF6" s="5" t="s">
        <v>26</v>
      </c>
      <c r="CG6" s="6" t="s">
        <v>27</v>
      </c>
      <c r="CH6" s="2" t="s">
        <v>26</v>
      </c>
      <c r="CI6" s="3" t="s">
        <v>27</v>
      </c>
      <c r="CJ6" s="3" t="s">
        <v>26</v>
      </c>
      <c r="CK6" s="4" t="s">
        <v>27</v>
      </c>
      <c r="CL6" s="5" t="s">
        <v>26</v>
      </c>
      <c r="CM6" s="6" t="s">
        <v>27</v>
      </c>
      <c r="CN6" s="2" t="s">
        <v>26</v>
      </c>
      <c r="CO6" s="3" t="s">
        <v>27</v>
      </c>
      <c r="CP6" s="3" t="s">
        <v>26</v>
      </c>
      <c r="CQ6" s="4" t="s">
        <v>27</v>
      </c>
      <c r="CR6" s="5" t="s">
        <v>26</v>
      </c>
      <c r="CS6" s="6" t="s">
        <v>27</v>
      </c>
      <c r="CT6" s="2" t="s">
        <v>26</v>
      </c>
      <c r="CU6" s="3" t="s">
        <v>27</v>
      </c>
      <c r="CV6" s="3" t="s">
        <v>26</v>
      </c>
      <c r="CW6" s="4" t="s">
        <v>27</v>
      </c>
      <c r="CX6" s="5" t="s">
        <v>26</v>
      </c>
      <c r="CY6" s="6" t="s">
        <v>27</v>
      </c>
      <c r="CZ6" s="2" t="s">
        <v>26</v>
      </c>
      <c r="DA6" s="3" t="s">
        <v>27</v>
      </c>
      <c r="DB6" s="3" t="s">
        <v>26</v>
      </c>
      <c r="DC6" s="4" t="s">
        <v>27</v>
      </c>
      <c r="DD6" s="5" t="s">
        <v>26</v>
      </c>
      <c r="DE6" s="6" t="s">
        <v>27</v>
      </c>
      <c r="DF6" s="2" t="s">
        <v>26</v>
      </c>
      <c r="DG6" s="3" t="s">
        <v>27</v>
      </c>
      <c r="DH6" s="3" t="s">
        <v>26</v>
      </c>
      <c r="DI6" s="4" t="s">
        <v>27</v>
      </c>
      <c r="DJ6" s="5" t="s">
        <v>26</v>
      </c>
      <c r="DK6" s="6" t="s">
        <v>27</v>
      </c>
    </row>
    <row r="7" spans="1:115" ht="15.75">
      <c r="A7" s="121">
        <f t="shared" ref="A7:D7" si="0">SUBTOTAL(3,A9:A30)</f>
        <v>22</v>
      </c>
      <c r="B7" s="121">
        <f t="shared" si="0"/>
        <v>22</v>
      </c>
      <c r="C7" s="121">
        <f t="shared" si="0"/>
        <v>16</v>
      </c>
      <c r="D7" s="121">
        <f t="shared" si="0"/>
        <v>21</v>
      </c>
      <c r="E7" s="121">
        <f>SUBTOTAL(3,E9:E30)</f>
        <v>22</v>
      </c>
      <c r="F7" s="121">
        <f t="shared" ref="F7:BI7" si="1">SUBTOTAL(9,F9:F30)</f>
        <v>2750000</v>
      </c>
      <c r="G7" s="121">
        <f t="shared" si="1"/>
        <v>2777000</v>
      </c>
      <c r="H7" s="121">
        <f t="shared" si="1"/>
        <v>0</v>
      </c>
      <c r="I7" s="121">
        <f t="shared" si="1"/>
        <v>0</v>
      </c>
      <c r="J7" s="121">
        <f t="shared" si="1"/>
        <v>0</v>
      </c>
      <c r="K7" s="121">
        <f t="shared" si="1"/>
        <v>27000</v>
      </c>
      <c r="L7" s="121">
        <f t="shared" si="1"/>
        <v>27000</v>
      </c>
      <c r="M7" s="121">
        <f t="shared" si="1"/>
        <v>27000</v>
      </c>
      <c r="N7" s="121">
        <f t="shared" si="1"/>
        <v>2750000</v>
      </c>
      <c r="O7" s="121">
        <f t="shared" si="1"/>
        <v>836192.68000000017</v>
      </c>
      <c r="P7" s="121">
        <f t="shared" si="1"/>
        <v>0</v>
      </c>
      <c r="Q7" s="121">
        <f t="shared" si="1"/>
        <v>0</v>
      </c>
      <c r="R7" s="121">
        <f t="shared" si="1"/>
        <v>0</v>
      </c>
      <c r="S7" s="121">
        <f t="shared" si="1"/>
        <v>0</v>
      </c>
      <c r="T7" s="121">
        <f t="shared" si="1"/>
        <v>0</v>
      </c>
      <c r="U7" s="121">
        <f t="shared" si="1"/>
        <v>0</v>
      </c>
      <c r="V7" s="121">
        <f t="shared" si="1"/>
        <v>0</v>
      </c>
      <c r="W7" s="121">
        <f t="shared" si="1"/>
        <v>0</v>
      </c>
      <c r="X7" s="121">
        <f t="shared" si="1"/>
        <v>0</v>
      </c>
      <c r="Y7" s="121">
        <f t="shared" si="1"/>
        <v>0</v>
      </c>
      <c r="Z7" s="121">
        <f t="shared" si="1"/>
        <v>0</v>
      </c>
      <c r="AA7" s="121">
        <f t="shared" si="1"/>
        <v>0</v>
      </c>
      <c r="AB7" s="121">
        <f t="shared" si="1"/>
        <v>0</v>
      </c>
      <c r="AC7" s="121">
        <f t="shared" si="1"/>
        <v>27000</v>
      </c>
      <c r="AD7" s="121">
        <f t="shared" si="1"/>
        <v>0</v>
      </c>
      <c r="AE7" s="121">
        <f t="shared" si="1"/>
        <v>27000</v>
      </c>
      <c r="AF7" s="121">
        <f t="shared" si="1"/>
        <v>0</v>
      </c>
      <c r="AG7" s="121">
        <f t="shared" si="1"/>
        <v>0</v>
      </c>
      <c r="AH7" s="121">
        <f t="shared" si="1"/>
        <v>0</v>
      </c>
      <c r="AI7" s="121">
        <f t="shared" si="1"/>
        <v>27000</v>
      </c>
      <c r="AJ7" s="121">
        <f t="shared" si="1"/>
        <v>0</v>
      </c>
      <c r="AK7" s="121">
        <f t="shared" si="1"/>
        <v>27000</v>
      </c>
      <c r="AL7" s="121">
        <f t="shared" si="1"/>
        <v>0</v>
      </c>
      <c r="AM7" s="121">
        <f t="shared" si="1"/>
        <v>0</v>
      </c>
      <c r="AN7" s="121">
        <f t="shared" si="1"/>
        <v>0</v>
      </c>
      <c r="AO7" s="121">
        <f t="shared" si="1"/>
        <v>0</v>
      </c>
      <c r="AP7" s="121">
        <f t="shared" si="1"/>
        <v>0</v>
      </c>
      <c r="AQ7" s="121">
        <f t="shared" si="1"/>
        <v>0</v>
      </c>
      <c r="AR7" s="121">
        <f t="shared" si="1"/>
        <v>0</v>
      </c>
      <c r="AS7" s="121">
        <f t="shared" si="1"/>
        <v>0</v>
      </c>
      <c r="AT7" s="121">
        <f t="shared" si="1"/>
        <v>250000</v>
      </c>
      <c r="AU7" s="121">
        <f t="shared" si="1"/>
        <v>254800</v>
      </c>
      <c r="AV7" s="121">
        <f t="shared" si="1"/>
        <v>250000</v>
      </c>
      <c r="AW7" s="121">
        <f t="shared" si="1"/>
        <v>254800</v>
      </c>
      <c r="AX7" s="121">
        <f t="shared" si="1"/>
        <v>0</v>
      </c>
      <c r="AY7" s="121">
        <f t="shared" si="1"/>
        <v>0</v>
      </c>
      <c r="AZ7" s="121">
        <f t="shared" si="1"/>
        <v>250000</v>
      </c>
      <c r="BA7" s="385">
        <f t="shared" si="1"/>
        <v>256200</v>
      </c>
      <c r="BB7" s="121">
        <f t="shared" si="1"/>
        <v>250000</v>
      </c>
      <c r="BC7" s="121">
        <f t="shared" si="1"/>
        <v>256200</v>
      </c>
      <c r="BD7" s="121">
        <f t="shared" si="1"/>
        <v>0</v>
      </c>
      <c r="BE7" s="121">
        <f t="shared" si="1"/>
        <v>234000</v>
      </c>
      <c r="BF7" s="121">
        <f t="shared" si="1"/>
        <v>250000</v>
      </c>
      <c r="BG7" s="121">
        <f t="shared" si="1"/>
        <v>22500</v>
      </c>
      <c r="BH7" s="121">
        <f t="shared" si="1"/>
        <v>250000</v>
      </c>
      <c r="BI7" s="121">
        <f t="shared" si="1"/>
        <v>256500</v>
      </c>
      <c r="BJ7" s="121">
        <f t="shared" ref="BJ7:DK7" si="2">SUBTOTAL(9,BJ9:BJ176)</f>
        <v>0</v>
      </c>
      <c r="BK7" s="121">
        <f t="shared" si="2"/>
        <v>185000</v>
      </c>
      <c r="BL7" s="121">
        <f t="shared" si="2"/>
        <v>250000</v>
      </c>
      <c r="BM7" s="121">
        <f t="shared" si="2"/>
        <v>64192.680000000008</v>
      </c>
      <c r="BN7" s="121">
        <f t="shared" si="2"/>
        <v>250000</v>
      </c>
      <c r="BO7" s="121">
        <f t="shared" si="2"/>
        <v>249192.68</v>
      </c>
      <c r="BP7" s="121">
        <f t="shared" si="2"/>
        <v>0</v>
      </c>
      <c r="BQ7" s="121">
        <f t="shared" si="2"/>
        <v>265000</v>
      </c>
      <c r="BR7" s="121">
        <f t="shared" si="2"/>
        <v>250000</v>
      </c>
      <c r="BS7" s="121">
        <f t="shared" si="2"/>
        <v>43546.62999999999</v>
      </c>
      <c r="BT7" s="121">
        <f t="shared" si="2"/>
        <v>250000</v>
      </c>
      <c r="BU7" s="121">
        <f t="shared" si="2"/>
        <v>308546.63</v>
      </c>
      <c r="BV7" s="121">
        <f t="shared" si="2"/>
        <v>0</v>
      </c>
      <c r="BW7" s="121">
        <f t="shared" si="2"/>
        <v>360000</v>
      </c>
      <c r="BX7" s="121">
        <f t="shared" si="2"/>
        <v>250000</v>
      </c>
      <c r="BY7" s="121">
        <f t="shared" si="2"/>
        <v>25897.4</v>
      </c>
      <c r="BZ7" s="121">
        <f t="shared" si="2"/>
        <v>250000</v>
      </c>
      <c r="CA7" s="121">
        <f t="shared" si="2"/>
        <v>385897.4</v>
      </c>
      <c r="CB7" s="121">
        <f t="shared" si="2"/>
        <v>0</v>
      </c>
      <c r="CC7" s="121">
        <f t="shared" si="2"/>
        <v>280000</v>
      </c>
      <c r="CD7" s="121">
        <f t="shared" si="2"/>
        <v>250000</v>
      </c>
      <c r="CE7" s="121">
        <f t="shared" si="2"/>
        <v>105604.1</v>
      </c>
      <c r="CF7" s="121">
        <f t="shared" si="2"/>
        <v>250000</v>
      </c>
      <c r="CG7" s="121">
        <f t="shared" si="2"/>
        <v>385604.1</v>
      </c>
      <c r="CH7" s="121">
        <f t="shared" si="2"/>
        <v>0</v>
      </c>
      <c r="CI7" s="121">
        <f t="shared" si="2"/>
        <v>0</v>
      </c>
      <c r="CJ7" s="121">
        <f t="shared" si="2"/>
        <v>250000</v>
      </c>
      <c r="CK7" s="121">
        <f t="shared" si="2"/>
        <v>45000</v>
      </c>
      <c r="CL7" s="121">
        <f t="shared" si="2"/>
        <v>250000</v>
      </c>
      <c r="CM7" s="121">
        <f t="shared" si="2"/>
        <v>45000</v>
      </c>
      <c r="CN7" s="121">
        <f t="shared" si="2"/>
        <v>0</v>
      </c>
      <c r="CO7" s="121">
        <f t="shared" si="2"/>
        <v>285000</v>
      </c>
      <c r="CP7" s="121">
        <f t="shared" si="2"/>
        <v>250000</v>
      </c>
      <c r="CQ7" s="121">
        <f t="shared" si="2"/>
        <v>0</v>
      </c>
      <c r="CR7" s="121">
        <f t="shared" si="2"/>
        <v>250000</v>
      </c>
      <c r="CS7" s="121">
        <f t="shared" si="2"/>
        <v>285000</v>
      </c>
      <c r="CT7" s="121">
        <f t="shared" si="2"/>
        <v>0</v>
      </c>
      <c r="CU7" s="121">
        <f t="shared" si="2"/>
        <v>40000</v>
      </c>
      <c r="CV7" s="121">
        <f t="shared" si="2"/>
        <v>250000</v>
      </c>
      <c r="CW7" s="121">
        <f t="shared" si="2"/>
        <v>27697</v>
      </c>
      <c r="CX7" s="121">
        <f t="shared" si="2"/>
        <v>250000</v>
      </c>
      <c r="CY7" s="121">
        <f t="shared" si="2"/>
        <v>67697</v>
      </c>
      <c r="CZ7" s="121">
        <f t="shared" si="2"/>
        <v>0</v>
      </c>
      <c r="DA7" s="121">
        <f t="shared" si="2"/>
        <v>0</v>
      </c>
      <c r="DB7" s="121">
        <f t="shared" si="2"/>
        <v>250000</v>
      </c>
      <c r="DC7" s="121">
        <f t="shared" si="2"/>
        <v>0</v>
      </c>
      <c r="DD7" s="121">
        <f t="shared" si="2"/>
        <v>250000</v>
      </c>
      <c r="DE7" s="121">
        <f t="shared" si="2"/>
        <v>0</v>
      </c>
      <c r="DF7" s="121">
        <f t="shared" si="2"/>
        <v>0</v>
      </c>
      <c r="DG7" s="121">
        <f t="shared" si="2"/>
        <v>1649000</v>
      </c>
      <c r="DH7" s="121">
        <f t="shared" si="2"/>
        <v>2750000</v>
      </c>
      <c r="DI7" s="121">
        <f t="shared" si="2"/>
        <v>845437.81000000029</v>
      </c>
      <c r="DJ7" s="121">
        <f t="shared" si="2"/>
        <v>2750000</v>
      </c>
      <c r="DK7" s="121">
        <f t="shared" si="2"/>
        <v>2494437.8099999996</v>
      </c>
    </row>
    <row r="8" spans="1:115" ht="7.5" customHeight="1">
      <c r="A8" s="21"/>
      <c r="B8" s="22"/>
      <c r="C8" s="22"/>
      <c r="D8" s="22"/>
      <c r="E8" s="22"/>
      <c r="F8" s="22"/>
      <c r="G8" s="22"/>
      <c r="H8" s="23"/>
      <c r="I8" s="24"/>
      <c r="J8" s="24"/>
      <c r="K8" s="24"/>
      <c r="L8" s="24"/>
      <c r="M8" s="24"/>
      <c r="N8" s="175"/>
      <c r="O8" s="24"/>
      <c r="P8" s="24"/>
      <c r="Q8" s="24"/>
      <c r="R8" s="24"/>
      <c r="S8" s="24"/>
      <c r="T8" s="24"/>
      <c r="U8" s="24"/>
      <c r="V8" s="24"/>
      <c r="W8" s="24"/>
      <c r="X8" s="24"/>
      <c r="Y8" s="24"/>
      <c r="Z8" s="24"/>
      <c r="AA8" s="24"/>
      <c r="AB8" s="24"/>
      <c r="AC8" s="24"/>
      <c r="AD8" s="24"/>
      <c r="AE8" s="24"/>
      <c r="AF8" s="24"/>
      <c r="AG8" s="24"/>
      <c r="AH8" s="24"/>
      <c r="AI8" s="24"/>
      <c r="AJ8" s="24"/>
      <c r="AK8" s="24"/>
      <c r="AL8" s="23"/>
      <c r="AM8" s="23"/>
      <c r="AN8" s="23"/>
      <c r="AO8" s="23"/>
      <c r="AP8" s="23"/>
      <c r="AQ8" s="23"/>
      <c r="AR8" s="24"/>
      <c r="AS8" s="24"/>
      <c r="AT8" s="24"/>
      <c r="AU8" s="24"/>
      <c r="AV8" s="24"/>
      <c r="AW8" s="24"/>
      <c r="AX8" s="24"/>
      <c r="AY8" s="24"/>
      <c r="AZ8" s="24"/>
      <c r="BA8" s="175"/>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row>
    <row r="9" spans="1:115">
      <c r="A9" s="25">
        <v>1</v>
      </c>
      <c r="B9" s="26" t="s">
        <v>1161</v>
      </c>
      <c r="C9" s="26"/>
      <c r="D9" s="26"/>
      <c r="E9" s="205" t="s">
        <v>1200</v>
      </c>
      <c r="F9" s="161">
        <f>SUM(DJ9)</f>
        <v>2750000</v>
      </c>
      <c r="G9" s="165">
        <f>I9+AK9+DJ9</f>
        <v>2777000</v>
      </c>
      <c r="H9" s="27"/>
      <c r="I9" s="27">
        <v>0</v>
      </c>
      <c r="J9" s="27">
        <v>0</v>
      </c>
      <c r="K9" s="127">
        <f t="shared" ref="K9:K30" si="3">AK9</f>
        <v>27000</v>
      </c>
      <c r="L9" s="127">
        <f t="shared" ref="L9:L30" si="4">IF(AI9&gt;0,I9+AK9-J9,0)</f>
        <v>27000</v>
      </c>
      <c r="M9" s="127">
        <f t="shared" ref="M9:M30" si="5">I9+K9</f>
        <v>27000</v>
      </c>
      <c r="N9" s="131">
        <f>G9-M9</f>
        <v>2750000</v>
      </c>
      <c r="O9" s="125">
        <f>IF(AND(AI9&gt;0,DI9&gt;0),"შეცდომაა! ერთზე მეტი ბოლო ჩაბარება!",IF(OR(AI9&gt;0,DI9&gt;0,),IF(AI9&gt;0,I9+AK9,I9+AK9+DK9),IF(AND(I9=0,K9=0,DK9=0),"ნულოვანი შესრულება","მიმდინარეობს")))</f>
        <v>27000</v>
      </c>
      <c r="P9" s="27"/>
      <c r="Q9" s="27">
        <v>0</v>
      </c>
      <c r="R9" s="27">
        <f t="shared" ref="R9:R11" si="6">I9+P9</f>
        <v>0</v>
      </c>
      <c r="S9" s="27">
        <f t="shared" ref="S9:S30" si="7">Q9</f>
        <v>0</v>
      </c>
      <c r="T9" s="27"/>
      <c r="U9" s="27"/>
      <c r="V9" s="27">
        <v>0</v>
      </c>
      <c r="W9" s="27"/>
      <c r="X9" s="27">
        <f t="shared" ref="X9:Y24" si="8">T9+V9</f>
        <v>0</v>
      </c>
      <c r="Y9" s="27">
        <f t="shared" si="8"/>
        <v>0</v>
      </c>
      <c r="Z9" s="27">
        <v>0</v>
      </c>
      <c r="AA9" s="27"/>
      <c r="AB9" s="27"/>
      <c r="AC9" s="27">
        <v>27000</v>
      </c>
      <c r="AD9" s="27">
        <f t="shared" ref="AD9:AE24" si="9">Z9+AB9</f>
        <v>0</v>
      </c>
      <c r="AE9" s="27">
        <f t="shared" si="9"/>
        <v>27000</v>
      </c>
      <c r="AF9" s="27">
        <f t="shared" ref="AF9:AF30" si="10">P9+T9+Z9</f>
        <v>0</v>
      </c>
      <c r="AG9" s="27">
        <f t="shared" ref="AG9:AH24" si="11">P9+U9+AA9</f>
        <v>0</v>
      </c>
      <c r="AH9" s="27">
        <f t="shared" si="11"/>
        <v>0</v>
      </c>
      <c r="AI9" s="27">
        <f t="shared" ref="AI9:AI30" si="12">Q9+W9+AC9</f>
        <v>27000</v>
      </c>
      <c r="AJ9" s="27">
        <f t="shared" ref="AJ9:AK24" si="13">AF9+AH9</f>
        <v>0</v>
      </c>
      <c r="AK9" s="27">
        <f t="shared" si="13"/>
        <v>27000</v>
      </c>
      <c r="AL9" s="27"/>
      <c r="AM9" s="27"/>
      <c r="AN9" s="27">
        <v>0</v>
      </c>
      <c r="AO9" s="27"/>
      <c r="AP9" s="27">
        <f t="shared" ref="AP9:AQ24" si="14">AL9+AN9</f>
        <v>0</v>
      </c>
      <c r="AQ9" s="27">
        <f t="shared" si="14"/>
        <v>0</v>
      </c>
      <c r="AR9" s="27"/>
      <c r="AS9" s="27"/>
      <c r="AT9" s="27">
        <v>250000</v>
      </c>
      <c r="AU9" s="27"/>
      <c r="AV9" s="27">
        <f t="shared" ref="AV9:AW24" si="15">AR9+AT9</f>
        <v>250000</v>
      </c>
      <c r="AW9" s="27">
        <f t="shared" si="15"/>
        <v>0</v>
      </c>
      <c r="AX9" s="27"/>
      <c r="AY9" s="27"/>
      <c r="AZ9" s="27">
        <v>250000</v>
      </c>
      <c r="BA9" s="27"/>
      <c r="BB9" s="27">
        <f t="shared" ref="BB9:BC24" si="16">AX9+AZ9</f>
        <v>250000</v>
      </c>
      <c r="BC9" s="27">
        <f t="shared" si="16"/>
        <v>0</v>
      </c>
      <c r="BD9" s="27"/>
      <c r="BE9" s="27"/>
      <c r="BF9" s="27">
        <v>250000</v>
      </c>
      <c r="BG9" s="27"/>
      <c r="BH9" s="27">
        <f t="shared" ref="BH9:BI24" si="17">BD9+BF9</f>
        <v>250000</v>
      </c>
      <c r="BI9" s="27">
        <f t="shared" si="17"/>
        <v>0</v>
      </c>
      <c r="BJ9" s="27"/>
      <c r="BK9" s="27"/>
      <c r="BL9" s="27">
        <v>250000</v>
      </c>
      <c r="BM9" s="27"/>
      <c r="BN9" s="27">
        <f t="shared" ref="BN9:BO24" si="18">BJ9+BL9</f>
        <v>250000</v>
      </c>
      <c r="BO9" s="27">
        <f t="shared" si="18"/>
        <v>0</v>
      </c>
      <c r="BP9" s="26"/>
      <c r="BQ9" s="27"/>
      <c r="BR9" s="27">
        <v>250000</v>
      </c>
      <c r="BS9" s="27"/>
      <c r="BT9" s="27">
        <f t="shared" ref="BT9:BU24" si="19">BP9+BR9</f>
        <v>250000</v>
      </c>
      <c r="BU9" s="27">
        <f t="shared" si="19"/>
        <v>0</v>
      </c>
      <c r="BV9" s="26"/>
      <c r="BW9" s="27"/>
      <c r="BX9" s="27">
        <v>250000</v>
      </c>
      <c r="BY9" s="27"/>
      <c r="BZ9" s="27">
        <f t="shared" ref="BZ9:CA24" si="20">BV9+BX9</f>
        <v>250000</v>
      </c>
      <c r="CA9" s="27">
        <f t="shared" si="20"/>
        <v>0</v>
      </c>
      <c r="CB9" s="26"/>
      <c r="CC9" s="27"/>
      <c r="CD9" s="27">
        <v>250000</v>
      </c>
      <c r="CE9" s="27"/>
      <c r="CF9" s="27">
        <f t="shared" ref="CF9:CG24" si="21">CB9+CD9</f>
        <v>250000</v>
      </c>
      <c r="CG9" s="27">
        <f t="shared" si="21"/>
        <v>0</v>
      </c>
      <c r="CH9" s="26"/>
      <c r="CI9" s="27"/>
      <c r="CJ9" s="27">
        <v>250000</v>
      </c>
      <c r="CK9" s="27"/>
      <c r="CL9" s="27">
        <f t="shared" ref="CL9:CM24" si="22">CH9+CJ9</f>
        <v>250000</v>
      </c>
      <c r="CM9" s="27">
        <f t="shared" si="22"/>
        <v>0</v>
      </c>
      <c r="CN9" s="26"/>
      <c r="CO9" s="27"/>
      <c r="CP9" s="27">
        <v>250000</v>
      </c>
      <c r="CQ9" s="27"/>
      <c r="CR9" s="27">
        <f t="shared" ref="CR9:CS24" si="23">CN9+CP9</f>
        <v>250000</v>
      </c>
      <c r="CS9" s="27">
        <f t="shared" si="23"/>
        <v>0</v>
      </c>
      <c r="CT9" s="26"/>
      <c r="CU9" s="27"/>
      <c r="CV9" s="27">
        <v>250000</v>
      </c>
      <c r="CW9" s="27"/>
      <c r="CX9" s="27">
        <f t="shared" ref="CX9:CY24" si="24">CT9+CV9</f>
        <v>250000</v>
      </c>
      <c r="CY9" s="27">
        <f t="shared" si="24"/>
        <v>0</v>
      </c>
      <c r="CZ9" s="26"/>
      <c r="DA9" s="27"/>
      <c r="DB9" s="27">
        <v>250000</v>
      </c>
      <c r="DC9" s="27"/>
      <c r="DD9" s="27">
        <f t="shared" ref="DD9:DE24" si="25">CZ9+DB9</f>
        <v>250000</v>
      </c>
      <c r="DE9" s="27">
        <f t="shared" si="25"/>
        <v>0</v>
      </c>
      <c r="DF9" s="28">
        <f t="shared" ref="DF9:DI24" si="26">AL9+AR9+AX9+BD9+BJ9+BP9+BV9+CB9+CH9+CN9+CT9+CZ9</f>
        <v>0</v>
      </c>
      <c r="DG9" s="28">
        <f t="shared" si="26"/>
        <v>0</v>
      </c>
      <c r="DH9" s="28">
        <f t="shared" si="26"/>
        <v>2750000</v>
      </c>
      <c r="DI9" s="28">
        <f t="shared" si="26"/>
        <v>0</v>
      </c>
      <c r="DJ9" s="27">
        <f t="shared" ref="DJ9:DK24" si="27">DF9+DH9</f>
        <v>2750000</v>
      </c>
      <c r="DK9" s="27">
        <f t="shared" si="27"/>
        <v>0</v>
      </c>
    </row>
    <row r="10" spans="1:115">
      <c r="A10" s="25">
        <v>1</v>
      </c>
      <c r="B10" s="26" t="s">
        <v>1161</v>
      </c>
      <c r="C10" s="26" t="s">
        <v>1239</v>
      </c>
      <c r="D10" s="26" t="s">
        <v>1237</v>
      </c>
      <c r="E10" s="205" t="s">
        <v>1200</v>
      </c>
      <c r="F10" s="161">
        <f t="shared" ref="F10:F30" si="28">SUM(DJ10)</f>
        <v>0</v>
      </c>
      <c r="G10" s="165">
        <f t="shared" ref="G10:G30" si="29">I10+AK10+DJ10</f>
        <v>0</v>
      </c>
      <c r="H10" s="27"/>
      <c r="I10" s="27">
        <v>0</v>
      </c>
      <c r="J10" s="27">
        <v>0</v>
      </c>
      <c r="K10" s="127">
        <f t="shared" si="3"/>
        <v>0</v>
      </c>
      <c r="L10" s="127">
        <f t="shared" si="4"/>
        <v>0</v>
      </c>
      <c r="M10" s="127">
        <f t="shared" si="5"/>
        <v>0</v>
      </c>
      <c r="N10" s="131"/>
      <c r="O10" s="125">
        <f t="shared" ref="O10:O30" si="30">IF(AND(AI10&gt;0,DI10&gt;0),"შეცდომაა! ერთზე მეტი ბოლო ჩაბარება!",IF(OR(AI10&gt;0,DI10&gt;0,),IF(AI10&gt;0,I10+AK10,I10+AK10+DK10),IF(AND(I10=0,K10=0,DK10=0),"ნულოვანი შესრულება","მიმდინარეობს")))</f>
        <v>42700</v>
      </c>
      <c r="P10" s="27"/>
      <c r="Q10" s="27">
        <v>0</v>
      </c>
      <c r="R10" s="27">
        <f t="shared" si="6"/>
        <v>0</v>
      </c>
      <c r="S10" s="27">
        <f t="shared" si="7"/>
        <v>0</v>
      </c>
      <c r="T10" s="27"/>
      <c r="U10" s="27"/>
      <c r="V10" s="27">
        <v>0</v>
      </c>
      <c r="W10" s="27"/>
      <c r="X10" s="27">
        <f t="shared" si="8"/>
        <v>0</v>
      </c>
      <c r="Y10" s="27">
        <f t="shared" si="8"/>
        <v>0</v>
      </c>
      <c r="Z10" s="27">
        <v>0</v>
      </c>
      <c r="AA10" s="27"/>
      <c r="AB10" s="27"/>
      <c r="AC10" s="27"/>
      <c r="AD10" s="27">
        <f t="shared" si="9"/>
        <v>0</v>
      </c>
      <c r="AE10" s="27">
        <f t="shared" si="9"/>
        <v>0</v>
      </c>
      <c r="AF10" s="27">
        <f t="shared" si="10"/>
        <v>0</v>
      </c>
      <c r="AG10" s="27">
        <f t="shared" si="11"/>
        <v>0</v>
      </c>
      <c r="AH10" s="27">
        <f t="shared" si="11"/>
        <v>0</v>
      </c>
      <c r="AI10" s="27">
        <f t="shared" si="12"/>
        <v>0</v>
      </c>
      <c r="AJ10" s="27">
        <f t="shared" si="13"/>
        <v>0</v>
      </c>
      <c r="AK10" s="27">
        <f t="shared" si="13"/>
        <v>0</v>
      </c>
      <c r="AL10" s="27"/>
      <c r="AM10" s="27"/>
      <c r="AN10" s="27">
        <v>0</v>
      </c>
      <c r="AO10" s="27"/>
      <c r="AP10" s="27">
        <f t="shared" si="14"/>
        <v>0</v>
      </c>
      <c r="AQ10" s="27">
        <f t="shared" si="14"/>
        <v>0</v>
      </c>
      <c r="AR10" s="27"/>
      <c r="AS10" s="27"/>
      <c r="AT10" s="27">
        <v>0</v>
      </c>
      <c r="AU10" s="27">
        <v>42700</v>
      </c>
      <c r="AV10" s="27">
        <f t="shared" si="15"/>
        <v>0</v>
      </c>
      <c r="AW10" s="27">
        <f t="shared" si="15"/>
        <v>42700</v>
      </c>
      <c r="AX10" s="27"/>
      <c r="AY10" s="27"/>
      <c r="AZ10" s="27">
        <v>0</v>
      </c>
      <c r="BA10" s="27"/>
      <c r="BB10" s="27">
        <f t="shared" si="16"/>
        <v>0</v>
      </c>
      <c r="BC10" s="27">
        <f t="shared" si="16"/>
        <v>0</v>
      </c>
      <c r="BD10" s="27"/>
      <c r="BE10" s="27"/>
      <c r="BF10" s="27">
        <v>0</v>
      </c>
      <c r="BG10" s="27"/>
      <c r="BH10" s="27">
        <f t="shared" si="17"/>
        <v>0</v>
      </c>
      <c r="BI10" s="27">
        <f t="shared" si="17"/>
        <v>0</v>
      </c>
      <c r="BJ10" s="27"/>
      <c r="BK10" s="27"/>
      <c r="BL10" s="27">
        <v>0</v>
      </c>
      <c r="BM10" s="27"/>
      <c r="BN10" s="27">
        <f t="shared" si="18"/>
        <v>0</v>
      </c>
      <c r="BO10" s="27">
        <f t="shared" si="18"/>
        <v>0</v>
      </c>
      <c r="BP10" s="26"/>
      <c r="BQ10" s="27"/>
      <c r="BR10" s="27">
        <v>0</v>
      </c>
      <c r="BS10" s="27"/>
      <c r="BT10" s="27">
        <f t="shared" si="19"/>
        <v>0</v>
      </c>
      <c r="BU10" s="27">
        <f t="shared" si="19"/>
        <v>0</v>
      </c>
      <c r="BV10" s="26"/>
      <c r="BW10" s="27"/>
      <c r="BX10" s="27">
        <v>0</v>
      </c>
      <c r="BY10" s="27"/>
      <c r="BZ10" s="27">
        <f t="shared" si="20"/>
        <v>0</v>
      </c>
      <c r="CA10" s="27">
        <f t="shared" si="20"/>
        <v>0</v>
      </c>
      <c r="CB10" s="26"/>
      <c r="CC10" s="27"/>
      <c r="CD10" s="27">
        <v>0</v>
      </c>
      <c r="CE10" s="27"/>
      <c r="CF10" s="27">
        <f t="shared" si="21"/>
        <v>0</v>
      </c>
      <c r="CG10" s="27">
        <f t="shared" si="21"/>
        <v>0</v>
      </c>
      <c r="CH10" s="26"/>
      <c r="CI10" s="27"/>
      <c r="CJ10" s="27">
        <v>0</v>
      </c>
      <c r="CK10" s="27"/>
      <c r="CL10" s="27">
        <f t="shared" si="22"/>
        <v>0</v>
      </c>
      <c r="CM10" s="27">
        <f t="shared" si="22"/>
        <v>0</v>
      </c>
      <c r="CN10" s="26"/>
      <c r="CO10" s="27"/>
      <c r="CP10" s="27">
        <v>0</v>
      </c>
      <c r="CQ10" s="27"/>
      <c r="CR10" s="27">
        <f t="shared" si="23"/>
        <v>0</v>
      </c>
      <c r="CS10" s="27">
        <f t="shared" si="23"/>
        <v>0</v>
      </c>
      <c r="CT10" s="26"/>
      <c r="CU10" s="27"/>
      <c r="CV10" s="27">
        <v>0</v>
      </c>
      <c r="CW10" s="27"/>
      <c r="CX10" s="27">
        <f t="shared" si="24"/>
        <v>0</v>
      </c>
      <c r="CY10" s="27">
        <f t="shared" si="24"/>
        <v>0</v>
      </c>
      <c r="CZ10" s="26"/>
      <c r="DA10" s="27"/>
      <c r="DB10" s="27">
        <v>0</v>
      </c>
      <c r="DC10" s="27"/>
      <c r="DD10" s="27">
        <f t="shared" si="25"/>
        <v>0</v>
      </c>
      <c r="DE10" s="27">
        <f t="shared" si="25"/>
        <v>0</v>
      </c>
      <c r="DF10" s="28">
        <f t="shared" si="26"/>
        <v>0</v>
      </c>
      <c r="DG10" s="28">
        <f t="shared" si="26"/>
        <v>0</v>
      </c>
      <c r="DH10" s="28">
        <f t="shared" si="26"/>
        <v>0</v>
      </c>
      <c r="DI10" s="28">
        <f t="shared" si="26"/>
        <v>42700</v>
      </c>
      <c r="DJ10" s="27">
        <f t="shared" si="27"/>
        <v>0</v>
      </c>
      <c r="DK10" s="27">
        <f t="shared" si="27"/>
        <v>42700</v>
      </c>
    </row>
    <row r="11" spans="1:115">
      <c r="A11" s="25">
        <v>3</v>
      </c>
      <c r="B11" s="26" t="s">
        <v>1161</v>
      </c>
      <c r="C11" s="26" t="s">
        <v>1240</v>
      </c>
      <c r="D11" s="26" t="s">
        <v>1238</v>
      </c>
      <c r="E11" s="205" t="s">
        <v>1200</v>
      </c>
      <c r="F11" s="161">
        <f t="shared" si="28"/>
        <v>0</v>
      </c>
      <c r="G11" s="165">
        <f t="shared" si="29"/>
        <v>0</v>
      </c>
      <c r="H11" s="27"/>
      <c r="I11" s="27">
        <v>0</v>
      </c>
      <c r="J11" s="27">
        <v>0</v>
      </c>
      <c r="K11" s="127">
        <f t="shared" si="3"/>
        <v>0</v>
      </c>
      <c r="L11" s="127">
        <f t="shared" si="4"/>
        <v>0</v>
      </c>
      <c r="M11" s="127">
        <f t="shared" si="5"/>
        <v>0</v>
      </c>
      <c r="N11" s="131"/>
      <c r="O11" s="125">
        <f t="shared" si="30"/>
        <v>27000</v>
      </c>
      <c r="P11" s="27">
        <v>0</v>
      </c>
      <c r="Q11" s="27">
        <v>0</v>
      </c>
      <c r="R11" s="27">
        <f t="shared" si="6"/>
        <v>0</v>
      </c>
      <c r="S11" s="27">
        <f t="shared" si="7"/>
        <v>0</v>
      </c>
      <c r="T11" s="27"/>
      <c r="U11" s="27"/>
      <c r="V11" s="27">
        <v>0</v>
      </c>
      <c r="W11" s="27"/>
      <c r="X11" s="27">
        <f t="shared" si="8"/>
        <v>0</v>
      </c>
      <c r="Y11" s="27">
        <f t="shared" si="8"/>
        <v>0</v>
      </c>
      <c r="Z11" s="27">
        <v>0</v>
      </c>
      <c r="AA11" s="27"/>
      <c r="AB11" s="27"/>
      <c r="AC11" s="27"/>
      <c r="AD11" s="27">
        <f t="shared" si="9"/>
        <v>0</v>
      </c>
      <c r="AE11" s="27">
        <f t="shared" si="9"/>
        <v>0</v>
      </c>
      <c r="AF11" s="27">
        <f t="shared" si="10"/>
        <v>0</v>
      </c>
      <c r="AG11" s="27">
        <f t="shared" si="11"/>
        <v>0</v>
      </c>
      <c r="AH11" s="27">
        <f t="shared" si="11"/>
        <v>0</v>
      </c>
      <c r="AI11" s="27">
        <f t="shared" si="12"/>
        <v>0</v>
      </c>
      <c r="AJ11" s="27">
        <f t="shared" si="13"/>
        <v>0</v>
      </c>
      <c r="AK11" s="27">
        <f t="shared" si="13"/>
        <v>0</v>
      </c>
      <c r="AL11" s="27"/>
      <c r="AM11" s="27"/>
      <c r="AN11" s="27">
        <v>0</v>
      </c>
      <c r="AO11" s="27"/>
      <c r="AP11" s="27">
        <f t="shared" si="14"/>
        <v>0</v>
      </c>
      <c r="AQ11" s="27">
        <f t="shared" si="14"/>
        <v>0</v>
      </c>
      <c r="AR11" s="27"/>
      <c r="AS11" s="27"/>
      <c r="AT11" s="27">
        <v>0</v>
      </c>
      <c r="AU11" s="27">
        <v>27000</v>
      </c>
      <c r="AV11" s="27">
        <f t="shared" si="15"/>
        <v>0</v>
      </c>
      <c r="AW11" s="27">
        <f t="shared" si="15"/>
        <v>27000</v>
      </c>
      <c r="AX11" s="27"/>
      <c r="AY11" s="27"/>
      <c r="AZ11" s="27">
        <v>0</v>
      </c>
      <c r="BA11" s="27"/>
      <c r="BB11" s="27">
        <f t="shared" si="16"/>
        <v>0</v>
      </c>
      <c r="BC11" s="27">
        <f t="shared" si="16"/>
        <v>0</v>
      </c>
      <c r="BD11" s="27"/>
      <c r="BE11" s="27"/>
      <c r="BF11" s="27">
        <v>0</v>
      </c>
      <c r="BG11" s="27"/>
      <c r="BH11" s="27">
        <f t="shared" si="17"/>
        <v>0</v>
      </c>
      <c r="BI11" s="27">
        <f t="shared" si="17"/>
        <v>0</v>
      </c>
      <c r="BJ11" s="27"/>
      <c r="BK11" s="27"/>
      <c r="BL11" s="27">
        <v>0</v>
      </c>
      <c r="BM11" s="27"/>
      <c r="BN11" s="27">
        <f t="shared" si="18"/>
        <v>0</v>
      </c>
      <c r="BO11" s="27">
        <f t="shared" si="18"/>
        <v>0</v>
      </c>
      <c r="BP11" s="26"/>
      <c r="BQ11" s="27"/>
      <c r="BR11" s="27">
        <v>0</v>
      </c>
      <c r="BS11" s="27"/>
      <c r="BT11" s="27">
        <f t="shared" si="19"/>
        <v>0</v>
      </c>
      <c r="BU11" s="27">
        <f t="shared" si="19"/>
        <v>0</v>
      </c>
      <c r="BV11" s="26"/>
      <c r="BW11" s="27"/>
      <c r="BX11" s="27">
        <v>0</v>
      </c>
      <c r="BY11" s="27"/>
      <c r="BZ11" s="27">
        <f t="shared" si="20"/>
        <v>0</v>
      </c>
      <c r="CA11" s="27">
        <f t="shared" si="20"/>
        <v>0</v>
      </c>
      <c r="CB11" s="26"/>
      <c r="CC11" s="27"/>
      <c r="CD11" s="27">
        <v>0</v>
      </c>
      <c r="CE11" s="27"/>
      <c r="CF11" s="27">
        <f t="shared" si="21"/>
        <v>0</v>
      </c>
      <c r="CG11" s="27">
        <f t="shared" si="21"/>
        <v>0</v>
      </c>
      <c r="CH11" s="26"/>
      <c r="CI11" s="27"/>
      <c r="CJ11" s="27">
        <v>0</v>
      </c>
      <c r="CK11" s="27"/>
      <c r="CL11" s="27">
        <f t="shared" si="22"/>
        <v>0</v>
      </c>
      <c r="CM11" s="27">
        <f t="shared" si="22"/>
        <v>0</v>
      </c>
      <c r="CN11" s="26"/>
      <c r="CO11" s="27"/>
      <c r="CP11" s="27">
        <v>0</v>
      </c>
      <c r="CQ11" s="27"/>
      <c r="CR11" s="27">
        <f t="shared" si="23"/>
        <v>0</v>
      </c>
      <c r="CS11" s="27">
        <f t="shared" si="23"/>
        <v>0</v>
      </c>
      <c r="CT11" s="26"/>
      <c r="CU11" s="27"/>
      <c r="CV11" s="27">
        <v>0</v>
      </c>
      <c r="CW11" s="27"/>
      <c r="CX11" s="27">
        <f t="shared" si="24"/>
        <v>0</v>
      </c>
      <c r="CY11" s="27">
        <f t="shared" si="24"/>
        <v>0</v>
      </c>
      <c r="CZ11" s="26"/>
      <c r="DA11" s="27"/>
      <c r="DB11" s="27">
        <v>0</v>
      </c>
      <c r="DC11" s="27"/>
      <c r="DD11" s="27">
        <f t="shared" si="25"/>
        <v>0</v>
      </c>
      <c r="DE11" s="27">
        <f t="shared" si="25"/>
        <v>0</v>
      </c>
      <c r="DF11" s="28">
        <f t="shared" si="26"/>
        <v>0</v>
      </c>
      <c r="DG11" s="28">
        <f t="shared" si="26"/>
        <v>0</v>
      </c>
      <c r="DH11" s="28">
        <f t="shared" si="26"/>
        <v>0</v>
      </c>
      <c r="DI11" s="28">
        <f t="shared" si="26"/>
        <v>27000</v>
      </c>
      <c r="DJ11" s="27">
        <f t="shared" si="27"/>
        <v>0</v>
      </c>
      <c r="DK11" s="27">
        <f t="shared" si="27"/>
        <v>27000</v>
      </c>
    </row>
    <row r="12" spans="1:115">
      <c r="A12" s="25">
        <v>4</v>
      </c>
      <c r="B12" s="26" t="s">
        <v>1161</v>
      </c>
      <c r="C12" s="26"/>
      <c r="D12" s="26" t="s">
        <v>1246</v>
      </c>
      <c r="E12" s="205" t="s">
        <v>1200</v>
      </c>
      <c r="F12" s="161">
        <f t="shared" si="28"/>
        <v>0</v>
      </c>
      <c r="G12" s="165">
        <f t="shared" si="29"/>
        <v>0</v>
      </c>
      <c r="H12" s="27"/>
      <c r="I12" s="27">
        <v>0</v>
      </c>
      <c r="J12" s="27">
        <v>0</v>
      </c>
      <c r="K12" s="127">
        <f t="shared" si="3"/>
        <v>0</v>
      </c>
      <c r="L12" s="127">
        <f t="shared" si="4"/>
        <v>0</v>
      </c>
      <c r="M12" s="127">
        <f t="shared" si="5"/>
        <v>0</v>
      </c>
      <c r="N12" s="131"/>
      <c r="O12" s="125">
        <f t="shared" si="30"/>
        <v>57000</v>
      </c>
      <c r="P12" s="27">
        <v>0</v>
      </c>
      <c r="Q12" s="27">
        <v>0</v>
      </c>
      <c r="R12" s="27">
        <f t="shared" ref="R12:R30" si="31">I12+P12</f>
        <v>0</v>
      </c>
      <c r="S12" s="27">
        <f t="shared" si="7"/>
        <v>0</v>
      </c>
      <c r="T12" s="27"/>
      <c r="U12" s="27"/>
      <c r="V12" s="27">
        <v>0</v>
      </c>
      <c r="W12" s="27"/>
      <c r="X12" s="27">
        <f t="shared" si="8"/>
        <v>0</v>
      </c>
      <c r="Y12" s="27">
        <f t="shared" si="8"/>
        <v>0</v>
      </c>
      <c r="Z12" s="27">
        <v>0</v>
      </c>
      <c r="AA12" s="27"/>
      <c r="AB12" s="27"/>
      <c r="AC12" s="27"/>
      <c r="AD12" s="27">
        <f t="shared" si="9"/>
        <v>0</v>
      </c>
      <c r="AE12" s="27">
        <f t="shared" si="9"/>
        <v>0</v>
      </c>
      <c r="AF12" s="27">
        <f t="shared" si="10"/>
        <v>0</v>
      </c>
      <c r="AG12" s="27">
        <f t="shared" si="11"/>
        <v>0</v>
      </c>
      <c r="AH12" s="27">
        <f t="shared" si="11"/>
        <v>0</v>
      </c>
      <c r="AI12" s="27">
        <f t="shared" si="12"/>
        <v>0</v>
      </c>
      <c r="AJ12" s="27">
        <f t="shared" si="13"/>
        <v>0</v>
      </c>
      <c r="AK12" s="27">
        <f t="shared" si="13"/>
        <v>0</v>
      </c>
      <c r="AL12" s="27"/>
      <c r="AM12" s="27"/>
      <c r="AN12" s="27">
        <v>0</v>
      </c>
      <c r="AO12" s="27"/>
      <c r="AP12" s="27">
        <f t="shared" si="14"/>
        <v>0</v>
      </c>
      <c r="AQ12" s="27">
        <f t="shared" si="14"/>
        <v>0</v>
      </c>
      <c r="AR12" s="27"/>
      <c r="AS12" s="27"/>
      <c r="AT12" s="27">
        <v>0</v>
      </c>
      <c r="AU12" s="27">
        <f>27000+13000+8500+8500</f>
        <v>57000</v>
      </c>
      <c r="AV12" s="27">
        <f t="shared" si="15"/>
        <v>0</v>
      </c>
      <c r="AW12" s="27">
        <f t="shared" si="15"/>
        <v>57000</v>
      </c>
      <c r="AX12" s="27"/>
      <c r="AY12" s="27"/>
      <c r="AZ12" s="27">
        <v>0</v>
      </c>
      <c r="BA12" s="27"/>
      <c r="BB12" s="27">
        <f t="shared" si="16"/>
        <v>0</v>
      </c>
      <c r="BC12" s="27">
        <f t="shared" si="16"/>
        <v>0</v>
      </c>
      <c r="BD12" s="27"/>
      <c r="BE12" s="27"/>
      <c r="BF12" s="27">
        <v>0</v>
      </c>
      <c r="BG12" s="27"/>
      <c r="BH12" s="27">
        <f t="shared" si="17"/>
        <v>0</v>
      </c>
      <c r="BI12" s="27">
        <f t="shared" si="17"/>
        <v>0</v>
      </c>
      <c r="BJ12" s="27"/>
      <c r="BK12" s="27"/>
      <c r="BL12" s="27">
        <v>0</v>
      </c>
      <c r="BM12" s="27"/>
      <c r="BN12" s="27">
        <f t="shared" si="18"/>
        <v>0</v>
      </c>
      <c r="BO12" s="27">
        <f t="shared" si="18"/>
        <v>0</v>
      </c>
      <c r="BP12" s="26"/>
      <c r="BQ12" s="27"/>
      <c r="BR12" s="27">
        <v>0</v>
      </c>
      <c r="BS12" s="27"/>
      <c r="BT12" s="27">
        <f t="shared" si="19"/>
        <v>0</v>
      </c>
      <c r="BU12" s="27">
        <f t="shared" si="19"/>
        <v>0</v>
      </c>
      <c r="BV12" s="26"/>
      <c r="BW12" s="27"/>
      <c r="BX12" s="27">
        <v>0</v>
      </c>
      <c r="BY12" s="27"/>
      <c r="BZ12" s="27">
        <f t="shared" si="20"/>
        <v>0</v>
      </c>
      <c r="CA12" s="27">
        <f t="shared" si="20"/>
        <v>0</v>
      </c>
      <c r="CB12" s="26"/>
      <c r="CC12" s="27"/>
      <c r="CD12" s="27">
        <v>0</v>
      </c>
      <c r="CE12" s="27"/>
      <c r="CF12" s="27">
        <f t="shared" si="21"/>
        <v>0</v>
      </c>
      <c r="CG12" s="27">
        <f t="shared" si="21"/>
        <v>0</v>
      </c>
      <c r="CH12" s="26"/>
      <c r="CI12" s="27"/>
      <c r="CJ12" s="27">
        <v>0</v>
      </c>
      <c r="CK12" s="27"/>
      <c r="CL12" s="27">
        <f t="shared" si="22"/>
        <v>0</v>
      </c>
      <c r="CM12" s="27">
        <f t="shared" si="22"/>
        <v>0</v>
      </c>
      <c r="CN12" s="26"/>
      <c r="CO12" s="27"/>
      <c r="CP12" s="27">
        <v>0</v>
      </c>
      <c r="CQ12" s="27"/>
      <c r="CR12" s="27">
        <f t="shared" si="23"/>
        <v>0</v>
      </c>
      <c r="CS12" s="27">
        <f t="shared" si="23"/>
        <v>0</v>
      </c>
      <c r="CT12" s="26"/>
      <c r="CU12" s="27"/>
      <c r="CV12" s="27">
        <v>0</v>
      </c>
      <c r="CW12" s="27"/>
      <c r="CX12" s="27">
        <f t="shared" si="24"/>
        <v>0</v>
      </c>
      <c r="CY12" s="27">
        <f t="shared" si="24"/>
        <v>0</v>
      </c>
      <c r="CZ12" s="26"/>
      <c r="DA12" s="27"/>
      <c r="DB12" s="27">
        <v>0</v>
      </c>
      <c r="DC12" s="27"/>
      <c r="DD12" s="27">
        <f t="shared" si="25"/>
        <v>0</v>
      </c>
      <c r="DE12" s="27">
        <f t="shared" si="25"/>
        <v>0</v>
      </c>
      <c r="DF12" s="28">
        <f t="shared" si="26"/>
        <v>0</v>
      </c>
      <c r="DG12" s="28">
        <f t="shared" si="26"/>
        <v>0</v>
      </c>
      <c r="DH12" s="28">
        <f t="shared" si="26"/>
        <v>0</v>
      </c>
      <c r="DI12" s="28">
        <f t="shared" si="26"/>
        <v>57000</v>
      </c>
      <c r="DJ12" s="27">
        <f t="shared" si="27"/>
        <v>0</v>
      </c>
      <c r="DK12" s="27">
        <f t="shared" si="27"/>
        <v>57000</v>
      </c>
    </row>
    <row r="13" spans="1:115">
      <c r="A13" s="25">
        <v>5</v>
      </c>
      <c r="B13" s="26" t="s">
        <v>1161</v>
      </c>
      <c r="C13" s="26"/>
      <c r="D13" s="26" t="s">
        <v>1249</v>
      </c>
      <c r="E13" s="205" t="s">
        <v>1200</v>
      </c>
      <c r="F13" s="161">
        <f t="shared" si="28"/>
        <v>0</v>
      </c>
      <c r="G13" s="165">
        <f t="shared" si="29"/>
        <v>0</v>
      </c>
      <c r="H13" s="27"/>
      <c r="I13" s="27">
        <v>0</v>
      </c>
      <c r="J13" s="27">
        <v>0</v>
      </c>
      <c r="K13" s="127">
        <f t="shared" si="3"/>
        <v>0</v>
      </c>
      <c r="L13" s="127">
        <f t="shared" si="4"/>
        <v>0</v>
      </c>
      <c r="M13" s="127">
        <f t="shared" si="5"/>
        <v>0</v>
      </c>
      <c r="N13" s="131"/>
      <c r="O13" s="125">
        <f t="shared" si="30"/>
        <v>42700</v>
      </c>
      <c r="P13" s="27">
        <v>0</v>
      </c>
      <c r="Q13" s="27">
        <v>0</v>
      </c>
      <c r="R13" s="27">
        <f t="shared" si="31"/>
        <v>0</v>
      </c>
      <c r="S13" s="27">
        <f t="shared" si="7"/>
        <v>0</v>
      </c>
      <c r="T13" s="27"/>
      <c r="U13" s="27"/>
      <c r="V13" s="27">
        <v>0</v>
      </c>
      <c r="W13" s="27"/>
      <c r="X13" s="27">
        <f t="shared" si="8"/>
        <v>0</v>
      </c>
      <c r="Y13" s="27">
        <f t="shared" si="8"/>
        <v>0</v>
      </c>
      <c r="Z13" s="27">
        <v>0</v>
      </c>
      <c r="AA13" s="27"/>
      <c r="AB13" s="27"/>
      <c r="AC13" s="27"/>
      <c r="AD13" s="27">
        <f t="shared" si="9"/>
        <v>0</v>
      </c>
      <c r="AE13" s="27">
        <f t="shared" si="9"/>
        <v>0</v>
      </c>
      <c r="AF13" s="27">
        <f t="shared" si="10"/>
        <v>0</v>
      </c>
      <c r="AG13" s="27">
        <f t="shared" si="11"/>
        <v>0</v>
      </c>
      <c r="AH13" s="27">
        <f t="shared" si="11"/>
        <v>0</v>
      </c>
      <c r="AI13" s="27">
        <f t="shared" si="12"/>
        <v>0</v>
      </c>
      <c r="AJ13" s="27">
        <f t="shared" si="13"/>
        <v>0</v>
      </c>
      <c r="AK13" s="27">
        <f t="shared" si="13"/>
        <v>0</v>
      </c>
      <c r="AL13" s="27"/>
      <c r="AM13" s="27"/>
      <c r="AN13" s="27">
        <v>0</v>
      </c>
      <c r="AO13" s="27"/>
      <c r="AP13" s="27">
        <f t="shared" si="14"/>
        <v>0</v>
      </c>
      <c r="AQ13" s="27">
        <f t="shared" si="14"/>
        <v>0</v>
      </c>
      <c r="AR13" s="27"/>
      <c r="AS13" s="27"/>
      <c r="AT13" s="27">
        <v>0</v>
      </c>
      <c r="AU13" s="357">
        <v>42700</v>
      </c>
      <c r="AV13" s="27">
        <f t="shared" si="15"/>
        <v>0</v>
      </c>
      <c r="AW13" s="27">
        <f t="shared" si="15"/>
        <v>42700</v>
      </c>
      <c r="AX13" s="27"/>
      <c r="AY13" s="27"/>
      <c r="AZ13" s="27">
        <v>0</v>
      </c>
      <c r="BA13" s="27"/>
      <c r="BB13" s="27">
        <f t="shared" si="16"/>
        <v>0</v>
      </c>
      <c r="BC13" s="27">
        <f t="shared" si="16"/>
        <v>0</v>
      </c>
      <c r="BD13" s="27"/>
      <c r="BE13" s="27"/>
      <c r="BF13" s="27">
        <v>0</v>
      </c>
      <c r="BG13" s="27"/>
      <c r="BH13" s="27">
        <f t="shared" si="17"/>
        <v>0</v>
      </c>
      <c r="BI13" s="27">
        <f t="shared" si="17"/>
        <v>0</v>
      </c>
      <c r="BJ13" s="27"/>
      <c r="BK13" s="27"/>
      <c r="BL13" s="27">
        <v>0</v>
      </c>
      <c r="BM13" s="27"/>
      <c r="BN13" s="27">
        <f t="shared" si="18"/>
        <v>0</v>
      </c>
      <c r="BO13" s="27">
        <f t="shared" si="18"/>
        <v>0</v>
      </c>
      <c r="BP13" s="26"/>
      <c r="BQ13" s="27"/>
      <c r="BR13" s="27">
        <v>0</v>
      </c>
      <c r="BS13" s="27"/>
      <c r="BT13" s="27">
        <f t="shared" si="19"/>
        <v>0</v>
      </c>
      <c r="BU13" s="27">
        <f t="shared" si="19"/>
        <v>0</v>
      </c>
      <c r="BV13" s="26"/>
      <c r="BW13" s="27"/>
      <c r="BX13" s="27">
        <v>0</v>
      </c>
      <c r="BY13" s="27"/>
      <c r="BZ13" s="27">
        <f t="shared" si="20"/>
        <v>0</v>
      </c>
      <c r="CA13" s="27">
        <f t="shared" si="20"/>
        <v>0</v>
      </c>
      <c r="CB13" s="26"/>
      <c r="CC13" s="27"/>
      <c r="CD13" s="27">
        <v>0</v>
      </c>
      <c r="CE13" s="27"/>
      <c r="CF13" s="27">
        <f t="shared" si="21"/>
        <v>0</v>
      </c>
      <c r="CG13" s="27">
        <f t="shared" si="21"/>
        <v>0</v>
      </c>
      <c r="CH13" s="26"/>
      <c r="CI13" s="27"/>
      <c r="CJ13" s="27">
        <v>0</v>
      </c>
      <c r="CK13" s="27"/>
      <c r="CL13" s="27">
        <f t="shared" si="22"/>
        <v>0</v>
      </c>
      <c r="CM13" s="27">
        <f t="shared" si="22"/>
        <v>0</v>
      </c>
      <c r="CN13" s="26"/>
      <c r="CO13" s="27"/>
      <c r="CP13" s="27">
        <v>0</v>
      </c>
      <c r="CQ13" s="27"/>
      <c r="CR13" s="27">
        <f t="shared" si="23"/>
        <v>0</v>
      </c>
      <c r="CS13" s="27">
        <f t="shared" si="23"/>
        <v>0</v>
      </c>
      <c r="CT13" s="26"/>
      <c r="CU13" s="27"/>
      <c r="CV13" s="27">
        <v>0</v>
      </c>
      <c r="CW13" s="27"/>
      <c r="CX13" s="27">
        <f t="shared" si="24"/>
        <v>0</v>
      </c>
      <c r="CY13" s="27">
        <f t="shared" si="24"/>
        <v>0</v>
      </c>
      <c r="CZ13" s="26"/>
      <c r="DA13" s="27"/>
      <c r="DB13" s="27">
        <v>0</v>
      </c>
      <c r="DC13" s="27"/>
      <c r="DD13" s="27">
        <f t="shared" si="25"/>
        <v>0</v>
      </c>
      <c r="DE13" s="27">
        <f t="shared" si="25"/>
        <v>0</v>
      </c>
      <c r="DF13" s="28">
        <f t="shared" si="26"/>
        <v>0</v>
      </c>
      <c r="DG13" s="28">
        <f t="shared" si="26"/>
        <v>0</v>
      </c>
      <c r="DH13" s="28">
        <f t="shared" si="26"/>
        <v>0</v>
      </c>
      <c r="DI13" s="28">
        <f t="shared" si="26"/>
        <v>42700</v>
      </c>
      <c r="DJ13" s="27">
        <f t="shared" si="27"/>
        <v>0</v>
      </c>
      <c r="DK13" s="27">
        <f t="shared" si="27"/>
        <v>42700</v>
      </c>
    </row>
    <row r="14" spans="1:115">
      <c r="A14" s="25">
        <v>6</v>
      </c>
      <c r="B14" s="26" t="s">
        <v>1161</v>
      </c>
      <c r="C14" s="26"/>
      <c r="D14" s="26" t="s">
        <v>1250</v>
      </c>
      <c r="E14" s="205" t="s">
        <v>1200</v>
      </c>
      <c r="F14" s="161">
        <f t="shared" si="28"/>
        <v>0</v>
      </c>
      <c r="G14" s="165">
        <f t="shared" si="29"/>
        <v>0</v>
      </c>
      <c r="H14" s="27"/>
      <c r="I14" s="27">
        <v>0</v>
      </c>
      <c r="J14" s="27">
        <v>0</v>
      </c>
      <c r="K14" s="127">
        <f t="shared" si="3"/>
        <v>0</v>
      </c>
      <c r="L14" s="127">
        <f t="shared" si="4"/>
        <v>0</v>
      </c>
      <c r="M14" s="127">
        <f t="shared" si="5"/>
        <v>0</v>
      </c>
      <c r="N14" s="131"/>
      <c r="O14" s="125">
        <f t="shared" si="30"/>
        <v>42700</v>
      </c>
      <c r="P14" s="27">
        <v>0</v>
      </c>
      <c r="Q14" s="27">
        <v>0</v>
      </c>
      <c r="R14" s="27">
        <f t="shared" si="31"/>
        <v>0</v>
      </c>
      <c r="S14" s="27">
        <f t="shared" si="7"/>
        <v>0</v>
      </c>
      <c r="T14" s="27"/>
      <c r="U14" s="27"/>
      <c r="V14" s="27">
        <v>0</v>
      </c>
      <c r="W14" s="27"/>
      <c r="X14" s="27">
        <f t="shared" si="8"/>
        <v>0</v>
      </c>
      <c r="Y14" s="27">
        <f t="shared" si="8"/>
        <v>0</v>
      </c>
      <c r="Z14" s="27">
        <v>0</v>
      </c>
      <c r="AA14" s="27"/>
      <c r="AB14" s="27"/>
      <c r="AC14" s="27"/>
      <c r="AD14" s="27">
        <f t="shared" si="9"/>
        <v>0</v>
      </c>
      <c r="AE14" s="27">
        <f t="shared" si="9"/>
        <v>0</v>
      </c>
      <c r="AF14" s="27">
        <f t="shared" si="10"/>
        <v>0</v>
      </c>
      <c r="AG14" s="27">
        <f t="shared" si="11"/>
        <v>0</v>
      </c>
      <c r="AH14" s="27">
        <f t="shared" si="11"/>
        <v>0</v>
      </c>
      <c r="AI14" s="27">
        <f t="shared" si="12"/>
        <v>0</v>
      </c>
      <c r="AJ14" s="27">
        <f t="shared" si="13"/>
        <v>0</v>
      </c>
      <c r="AK14" s="27">
        <f t="shared" si="13"/>
        <v>0</v>
      </c>
      <c r="AL14" s="27"/>
      <c r="AM14" s="27"/>
      <c r="AN14" s="27">
        <v>0</v>
      </c>
      <c r="AO14" s="27"/>
      <c r="AP14" s="27">
        <f t="shared" si="14"/>
        <v>0</v>
      </c>
      <c r="AQ14" s="27">
        <f t="shared" si="14"/>
        <v>0</v>
      </c>
      <c r="AR14" s="27"/>
      <c r="AS14" s="27"/>
      <c r="AT14" s="27">
        <v>0</v>
      </c>
      <c r="AU14" s="357">
        <v>42700</v>
      </c>
      <c r="AV14" s="27">
        <f t="shared" si="15"/>
        <v>0</v>
      </c>
      <c r="AW14" s="27">
        <f t="shared" si="15"/>
        <v>42700</v>
      </c>
      <c r="AX14" s="27"/>
      <c r="AY14" s="27"/>
      <c r="AZ14" s="27">
        <v>0</v>
      </c>
      <c r="BA14" s="27"/>
      <c r="BB14" s="27">
        <f t="shared" si="16"/>
        <v>0</v>
      </c>
      <c r="BC14" s="27">
        <f t="shared" si="16"/>
        <v>0</v>
      </c>
      <c r="BD14" s="27"/>
      <c r="BE14" s="27"/>
      <c r="BF14" s="27">
        <v>0</v>
      </c>
      <c r="BG14" s="27"/>
      <c r="BH14" s="27">
        <f t="shared" si="17"/>
        <v>0</v>
      </c>
      <c r="BI14" s="27">
        <f t="shared" si="17"/>
        <v>0</v>
      </c>
      <c r="BJ14" s="27"/>
      <c r="BK14" s="27"/>
      <c r="BL14" s="27">
        <v>0</v>
      </c>
      <c r="BM14" s="27"/>
      <c r="BN14" s="27">
        <f t="shared" si="18"/>
        <v>0</v>
      </c>
      <c r="BO14" s="27">
        <f t="shared" si="18"/>
        <v>0</v>
      </c>
      <c r="BP14" s="26"/>
      <c r="BQ14" s="27"/>
      <c r="BR14" s="27">
        <v>0</v>
      </c>
      <c r="BS14" s="27"/>
      <c r="BT14" s="27">
        <f t="shared" si="19"/>
        <v>0</v>
      </c>
      <c r="BU14" s="27">
        <f t="shared" si="19"/>
        <v>0</v>
      </c>
      <c r="BV14" s="26"/>
      <c r="BW14" s="27"/>
      <c r="BX14" s="27">
        <v>0</v>
      </c>
      <c r="BY14" s="27"/>
      <c r="BZ14" s="27">
        <f t="shared" si="20"/>
        <v>0</v>
      </c>
      <c r="CA14" s="27">
        <f t="shared" si="20"/>
        <v>0</v>
      </c>
      <c r="CB14" s="26"/>
      <c r="CC14" s="27"/>
      <c r="CD14" s="27">
        <v>0</v>
      </c>
      <c r="CE14" s="27"/>
      <c r="CF14" s="27">
        <f t="shared" si="21"/>
        <v>0</v>
      </c>
      <c r="CG14" s="27">
        <f t="shared" si="21"/>
        <v>0</v>
      </c>
      <c r="CH14" s="26"/>
      <c r="CI14" s="27"/>
      <c r="CJ14" s="27">
        <v>0</v>
      </c>
      <c r="CK14" s="27"/>
      <c r="CL14" s="27">
        <f t="shared" si="22"/>
        <v>0</v>
      </c>
      <c r="CM14" s="27">
        <f t="shared" si="22"/>
        <v>0</v>
      </c>
      <c r="CN14" s="26"/>
      <c r="CO14" s="27"/>
      <c r="CP14" s="27">
        <v>0</v>
      </c>
      <c r="CQ14" s="27"/>
      <c r="CR14" s="27">
        <f t="shared" si="23"/>
        <v>0</v>
      </c>
      <c r="CS14" s="27">
        <f t="shared" si="23"/>
        <v>0</v>
      </c>
      <c r="CT14" s="26"/>
      <c r="CU14" s="27"/>
      <c r="CV14" s="27">
        <v>0</v>
      </c>
      <c r="CW14" s="27"/>
      <c r="CX14" s="27">
        <f t="shared" si="24"/>
        <v>0</v>
      </c>
      <c r="CY14" s="27">
        <f t="shared" si="24"/>
        <v>0</v>
      </c>
      <c r="CZ14" s="26"/>
      <c r="DA14" s="27"/>
      <c r="DB14" s="27">
        <v>0</v>
      </c>
      <c r="DC14" s="27"/>
      <c r="DD14" s="27">
        <f t="shared" si="25"/>
        <v>0</v>
      </c>
      <c r="DE14" s="27">
        <f t="shared" si="25"/>
        <v>0</v>
      </c>
      <c r="DF14" s="28">
        <f t="shared" si="26"/>
        <v>0</v>
      </c>
      <c r="DG14" s="28">
        <f t="shared" si="26"/>
        <v>0</v>
      </c>
      <c r="DH14" s="28">
        <f t="shared" si="26"/>
        <v>0</v>
      </c>
      <c r="DI14" s="28">
        <f t="shared" si="26"/>
        <v>42700</v>
      </c>
      <c r="DJ14" s="27">
        <f t="shared" si="27"/>
        <v>0</v>
      </c>
      <c r="DK14" s="27">
        <f t="shared" si="27"/>
        <v>42700</v>
      </c>
    </row>
    <row r="15" spans="1:115">
      <c r="A15" s="25">
        <v>7</v>
      </c>
      <c r="B15" s="26" t="s">
        <v>1161</v>
      </c>
      <c r="C15" s="26"/>
      <c r="D15" s="26" t="s">
        <v>1251</v>
      </c>
      <c r="E15" s="205" t="s">
        <v>1200</v>
      </c>
      <c r="F15" s="161">
        <f t="shared" si="28"/>
        <v>0</v>
      </c>
      <c r="G15" s="165">
        <f t="shared" si="29"/>
        <v>0</v>
      </c>
      <c r="H15" s="27"/>
      <c r="I15" s="27">
        <v>0</v>
      </c>
      <c r="J15" s="27">
        <v>0</v>
      </c>
      <c r="K15" s="127">
        <f t="shared" si="3"/>
        <v>0</v>
      </c>
      <c r="L15" s="127">
        <f t="shared" si="4"/>
        <v>0</v>
      </c>
      <c r="M15" s="127">
        <f t="shared" si="5"/>
        <v>0</v>
      </c>
      <c r="N15" s="131"/>
      <c r="O15" s="125">
        <f t="shared" si="30"/>
        <v>42700</v>
      </c>
      <c r="P15" s="27">
        <v>0</v>
      </c>
      <c r="Q15" s="27">
        <v>0</v>
      </c>
      <c r="R15" s="27">
        <f t="shared" si="31"/>
        <v>0</v>
      </c>
      <c r="S15" s="27">
        <f t="shared" si="7"/>
        <v>0</v>
      </c>
      <c r="T15" s="27"/>
      <c r="U15" s="27"/>
      <c r="V15" s="27">
        <v>0</v>
      </c>
      <c r="W15" s="27"/>
      <c r="X15" s="27">
        <f t="shared" si="8"/>
        <v>0</v>
      </c>
      <c r="Y15" s="27">
        <f t="shared" si="8"/>
        <v>0</v>
      </c>
      <c r="Z15" s="27">
        <v>0</v>
      </c>
      <c r="AA15" s="27"/>
      <c r="AB15" s="27"/>
      <c r="AC15" s="27"/>
      <c r="AD15" s="27">
        <f t="shared" si="9"/>
        <v>0</v>
      </c>
      <c r="AE15" s="27">
        <f t="shared" si="9"/>
        <v>0</v>
      </c>
      <c r="AF15" s="27">
        <f t="shared" si="10"/>
        <v>0</v>
      </c>
      <c r="AG15" s="27">
        <f t="shared" si="11"/>
        <v>0</v>
      </c>
      <c r="AH15" s="27">
        <f t="shared" si="11"/>
        <v>0</v>
      </c>
      <c r="AI15" s="27">
        <f t="shared" si="12"/>
        <v>0</v>
      </c>
      <c r="AJ15" s="27">
        <f t="shared" si="13"/>
        <v>0</v>
      </c>
      <c r="AK15" s="27">
        <f t="shared" si="13"/>
        <v>0</v>
      </c>
      <c r="AL15" s="27"/>
      <c r="AM15" s="27"/>
      <c r="AN15" s="27">
        <v>0</v>
      </c>
      <c r="AO15" s="27"/>
      <c r="AP15" s="27">
        <f t="shared" si="14"/>
        <v>0</v>
      </c>
      <c r="AQ15" s="27">
        <f t="shared" si="14"/>
        <v>0</v>
      </c>
      <c r="AR15" s="27"/>
      <c r="AS15" s="27"/>
      <c r="AT15" s="27">
        <v>0</v>
      </c>
      <c r="AU15" s="357">
        <v>42700</v>
      </c>
      <c r="AV15" s="27">
        <f t="shared" si="15"/>
        <v>0</v>
      </c>
      <c r="AW15" s="27">
        <f t="shared" si="15"/>
        <v>42700</v>
      </c>
      <c r="AX15" s="27"/>
      <c r="AY15" s="27"/>
      <c r="AZ15" s="27">
        <v>0</v>
      </c>
      <c r="BA15" s="27"/>
      <c r="BB15" s="27">
        <f t="shared" si="16"/>
        <v>0</v>
      </c>
      <c r="BC15" s="27">
        <f t="shared" si="16"/>
        <v>0</v>
      </c>
      <c r="BD15" s="27"/>
      <c r="BE15" s="27"/>
      <c r="BF15" s="27">
        <v>0</v>
      </c>
      <c r="BG15" s="27"/>
      <c r="BH15" s="27">
        <f t="shared" si="17"/>
        <v>0</v>
      </c>
      <c r="BI15" s="27">
        <f t="shared" si="17"/>
        <v>0</v>
      </c>
      <c r="BJ15" s="27"/>
      <c r="BK15" s="27"/>
      <c r="BL15" s="27">
        <v>0</v>
      </c>
      <c r="BM15" s="27"/>
      <c r="BN15" s="27">
        <f t="shared" si="18"/>
        <v>0</v>
      </c>
      <c r="BO15" s="27">
        <f t="shared" si="18"/>
        <v>0</v>
      </c>
      <c r="BP15" s="26"/>
      <c r="BQ15" s="27"/>
      <c r="BR15" s="27">
        <v>0</v>
      </c>
      <c r="BS15" s="27"/>
      <c r="BT15" s="27">
        <f t="shared" si="19"/>
        <v>0</v>
      </c>
      <c r="BU15" s="27">
        <f t="shared" si="19"/>
        <v>0</v>
      </c>
      <c r="BV15" s="26"/>
      <c r="BW15" s="27"/>
      <c r="BX15" s="27">
        <v>0</v>
      </c>
      <c r="BY15" s="27"/>
      <c r="BZ15" s="27">
        <f t="shared" si="20"/>
        <v>0</v>
      </c>
      <c r="CA15" s="27">
        <f t="shared" si="20"/>
        <v>0</v>
      </c>
      <c r="CB15" s="26"/>
      <c r="CC15" s="27"/>
      <c r="CD15" s="27">
        <v>0</v>
      </c>
      <c r="CE15" s="27"/>
      <c r="CF15" s="27">
        <f t="shared" si="21"/>
        <v>0</v>
      </c>
      <c r="CG15" s="27">
        <f t="shared" si="21"/>
        <v>0</v>
      </c>
      <c r="CH15" s="26"/>
      <c r="CI15" s="27"/>
      <c r="CJ15" s="27">
        <v>0</v>
      </c>
      <c r="CK15" s="27"/>
      <c r="CL15" s="27">
        <f t="shared" si="22"/>
        <v>0</v>
      </c>
      <c r="CM15" s="27">
        <f t="shared" si="22"/>
        <v>0</v>
      </c>
      <c r="CN15" s="26"/>
      <c r="CO15" s="27"/>
      <c r="CP15" s="27">
        <v>0</v>
      </c>
      <c r="CQ15" s="27"/>
      <c r="CR15" s="27">
        <f t="shared" si="23"/>
        <v>0</v>
      </c>
      <c r="CS15" s="27">
        <f t="shared" si="23"/>
        <v>0</v>
      </c>
      <c r="CT15" s="26"/>
      <c r="CU15" s="27"/>
      <c r="CV15" s="27">
        <v>0</v>
      </c>
      <c r="CW15" s="27"/>
      <c r="CX15" s="27">
        <f t="shared" si="24"/>
        <v>0</v>
      </c>
      <c r="CY15" s="27">
        <f t="shared" si="24"/>
        <v>0</v>
      </c>
      <c r="CZ15" s="26"/>
      <c r="DA15" s="27"/>
      <c r="DB15" s="27">
        <v>0</v>
      </c>
      <c r="DC15" s="27"/>
      <c r="DD15" s="27">
        <f t="shared" si="25"/>
        <v>0</v>
      </c>
      <c r="DE15" s="27">
        <f t="shared" si="25"/>
        <v>0</v>
      </c>
      <c r="DF15" s="28">
        <f t="shared" si="26"/>
        <v>0</v>
      </c>
      <c r="DG15" s="28">
        <f t="shared" si="26"/>
        <v>0</v>
      </c>
      <c r="DH15" s="28">
        <f t="shared" si="26"/>
        <v>0</v>
      </c>
      <c r="DI15" s="28">
        <f t="shared" si="26"/>
        <v>42700</v>
      </c>
      <c r="DJ15" s="27">
        <f t="shared" si="27"/>
        <v>0</v>
      </c>
      <c r="DK15" s="27">
        <f t="shared" si="27"/>
        <v>42700</v>
      </c>
    </row>
    <row r="16" spans="1:115">
      <c r="A16" s="25">
        <v>8</v>
      </c>
      <c r="B16" s="26" t="s">
        <v>1161</v>
      </c>
      <c r="C16" s="26" t="s">
        <v>1267</v>
      </c>
      <c r="D16" s="26" t="s">
        <v>1266</v>
      </c>
      <c r="E16" s="205" t="s">
        <v>1200</v>
      </c>
      <c r="F16" s="161">
        <f t="shared" si="28"/>
        <v>0</v>
      </c>
      <c r="G16" s="165">
        <f t="shared" si="29"/>
        <v>0</v>
      </c>
      <c r="H16" s="27"/>
      <c r="I16" s="27">
        <v>0</v>
      </c>
      <c r="J16" s="27">
        <v>0</v>
      </c>
      <c r="K16" s="127">
        <f t="shared" si="3"/>
        <v>0</v>
      </c>
      <c r="L16" s="127">
        <f t="shared" si="4"/>
        <v>0</v>
      </c>
      <c r="M16" s="127">
        <f t="shared" si="5"/>
        <v>0</v>
      </c>
      <c r="N16" s="131"/>
      <c r="O16" s="125">
        <f t="shared" si="30"/>
        <v>22500</v>
      </c>
      <c r="P16" s="27">
        <v>0</v>
      </c>
      <c r="Q16" s="27">
        <v>0</v>
      </c>
      <c r="R16" s="27">
        <f t="shared" si="31"/>
        <v>0</v>
      </c>
      <c r="S16" s="27">
        <f t="shared" si="7"/>
        <v>0</v>
      </c>
      <c r="T16" s="27"/>
      <c r="U16" s="27"/>
      <c r="V16" s="27">
        <v>0</v>
      </c>
      <c r="W16" s="27"/>
      <c r="X16" s="27">
        <f t="shared" si="8"/>
        <v>0</v>
      </c>
      <c r="Y16" s="27">
        <f t="shared" si="8"/>
        <v>0</v>
      </c>
      <c r="Z16" s="27">
        <v>0</v>
      </c>
      <c r="AA16" s="27"/>
      <c r="AB16" s="27"/>
      <c r="AC16" s="27"/>
      <c r="AD16" s="27">
        <f t="shared" si="9"/>
        <v>0</v>
      </c>
      <c r="AE16" s="27">
        <f t="shared" si="9"/>
        <v>0</v>
      </c>
      <c r="AF16" s="27">
        <f t="shared" si="10"/>
        <v>0</v>
      </c>
      <c r="AG16" s="27">
        <f t="shared" si="11"/>
        <v>0</v>
      </c>
      <c r="AH16" s="27">
        <f t="shared" si="11"/>
        <v>0</v>
      </c>
      <c r="AI16" s="27">
        <f t="shared" si="12"/>
        <v>0</v>
      </c>
      <c r="AJ16" s="27">
        <f t="shared" si="13"/>
        <v>0</v>
      </c>
      <c r="AK16" s="27">
        <f t="shared" si="13"/>
        <v>0</v>
      </c>
      <c r="AL16" s="27"/>
      <c r="AM16" s="27"/>
      <c r="AN16" s="27">
        <v>0</v>
      </c>
      <c r="AO16" s="27"/>
      <c r="AP16" s="27">
        <f t="shared" si="14"/>
        <v>0</v>
      </c>
      <c r="AQ16" s="27">
        <f t="shared" si="14"/>
        <v>0</v>
      </c>
      <c r="AR16" s="27"/>
      <c r="AS16" s="27"/>
      <c r="AT16" s="27">
        <v>0</v>
      </c>
      <c r="AU16" s="27"/>
      <c r="AV16" s="27">
        <f t="shared" si="15"/>
        <v>0</v>
      </c>
      <c r="AW16" s="27">
        <f t="shared" si="15"/>
        <v>0</v>
      </c>
      <c r="AX16" s="27"/>
      <c r="AY16" s="27"/>
      <c r="AZ16" s="27">
        <v>0</v>
      </c>
      <c r="BA16" s="27">
        <v>22500</v>
      </c>
      <c r="BB16" s="27">
        <f t="shared" si="16"/>
        <v>0</v>
      </c>
      <c r="BC16" s="27">
        <f t="shared" si="16"/>
        <v>22500</v>
      </c>
      <c r="BD16" s="27"/>
      <c r="BE16" s="27"/>
      <c r="BF16" s="27">
        <v>0</v>
      </c>
      <c r="BG16" s="27"/>
      <c r="BH16" s="27">
        <f t="shared" si="17"/>
        <v>0</v>
      </c>
      <c r="BI16" s="27">
        <f t="shared" si="17"/>
        <v>0</v>
      </c>
      <c r="BJ16" s="27"/>
      <c r="BK16" s="27"/>
      <c r="BL16" s="27">
        <v>0</v>
      </c>
      <c r="BM16" s="27"/>
      <c r="BN16" s="27">
        <f t="shared" si="18"/>
        <v>0</v>
      </c>
      <c r="BO16" s="27">
        <f t="shared" si="18"/>
        <v>0</v>
      </c>
      <c r="BP16" s="26"/>
      <c r="BQ16" s="27"/>
      <c r="BR16" s="27">
        <v>0</v>
      </c>
      <c r="BS16" s="27"/>
      <c r="BT16" s="27">
        <f t="shared" si="19"/>
        <v>0</v>
      </c>
      <c r="BU16" s="27">
        <f t="shared" si="19"/>
        <v>0</v>
      </c>
      <c r="BV16" s="26"/>
      <c r="BW16" s="27"/>
      <c r="BX16" s="27">
        <v>0</v>
      </c>
      <c r="BY16" s="27"/>
      <c r="BZ16" s="27">
        <f t="shared" si="20"/>
        <v>0</v>
      </c>
      <c r="CA16" s="27">
        <f t="shared" si="20"/>
        <v>0</v>
      </c>
      <c r="CB16" s="26"/>
      <c r="CC16" s="27"/>
      <c r="CD16" s="27">
        <v>0</v>
      </c>
      <c r="CE16" s="27"/>
      <c r="CF16" s="27">
        <f t="shared" si="21"/>
        <v>0</v>
      </c>
      <c r="CG16" s="27">
        <f t="shared" si="21"/>
        <v>0</v>
      </c>
      <c r="CH16" s="26"/>
      <c r="CI16" s="27"/>
      <c r="CJ16" s="27">
        <v>0</v>
      </c>
      <c r="CK16" s="27"/>
      <c r="CL16" s="27">
        <f t="shared" si="22"/>
        <v>0</v>
      </c>
      <c r="CM16" s="27">
        <f t="shared" si="22"/>
        <v>0</v>
      </c>
      <c r="CN16" s="26"/>
      <c r="CO16" s="27"/>
      <c r="CP16" s="27">
        <v>0</v>
      </c>
      <c r="CQ16" s="27"/>
      <c r="CR16" s="27">
        <f t="shared" si="23"/>
        <v>0</v>
      </c>
      <c r="CS16" s="27">
        <f t="shared" si="23"/>
        <v>0</v>
      </c>
      <c r="CT16" s="26"/>
      <c r="CU16" s="27"/>
      <c r="CV16" s="27">
        <v>0</v>
      </c>
      <c r="CW16" s="27"/>
      <c r="CX16" s="27">
        <f t="shared" si="24"/>
        <v>0</v>
      </c>
      <c r="CY16" s="27">
        <f t="shared" si="24"/>
        <v>0</v>
      </c>
      <c r="CZ16" s="26"/>
      <c r="DA16" s="27"/>
      <c r="DB16" s="27">
        <v>0</v>
      </c>
      <c r="DC16" s="27"/>
      <c r="DD16" s="27">
        <f t="shared" si="25"/>
        <v>0</v>
      </c>
      <c r="DE16" s="27">
        <f t="shared" si="25"/>
        <v>0</v>
      </c>
      <c r="DF16" s="28">
        <f t="shared" si="26"/>
        <v>0</v>
      </c>
      <c r="DG16" s="28">
        <f t="shared" si="26"/>
        <v>0</v>
      </c>
      <c r="DH16" s="28">
        <f t="shared" si="26"/>
        <v>0</v>
      </c>
      <c r="DI16" s="28">
        <f t="shared" si="26"/>
        <v>22500</v>
      </c>
      <c r="DJ16" s="27">
        <f t="shared" si="27"/>
        <v>0</v>
      </c>
      <c r="DK16" s="27">
        <f t="shared" si="27"/>
        <v>22500</v>
      </c>
    </row>
    <row r="17" spans="1:115">
      <c r="A17" s="25">
        <v>9</v>
      </c>
      <c r="B17" s="26" t="s">
        <v>1161</v>
      </c>
      <c r="C17" s="26" t="s">
        <v>726</v>
      </c>
      <c r="D17" s="26" t="s">
        <v>1268</v>
      </c>
      <c r="E17" s="205" t="s">
        <v>1200</v>
      </c>
      <c r="F17" s="161">
        <f t="shared" si="28"/>
        <v>0</v>
      </c>
      <c r="G17" s="165">
        <f t="shared" si="29"/>
        <v>0</v>
      </c>
      <c r="H17" s="27"/>
      <c r="I17" s="27">
        <v>0</v>
      </c>
      <c r="J17" s="27">
        <v>0</v>
      </c>
      <c r="K17" s="127">
        <f t="shared" si="3"/>
        <v>0</v>
      </c>
      <c r="L17" s="127">
        <f t="shared" si="4"/>
        <v>0</v>
      </c>
      <c r="M17" s="127">
        <f t="shared" si="5"/>
        <v>0</v>
      </c>
      <c r="N17" s="131"/>
      <c r="O17" s="125">
        <f t="shared" si="30"/>
        <v>59000</v>
      </c>
      <c r="P17" s="27">
        <v>0</v>
      </c>
      <c r="Q17" s="27">
        <v>0</v>
      </c>
      <c r="R17" s="27">
        <f t="shared" si="31"/>
        <v>0</v>
      </c>
      <c r="S17" s="27">
        <f t="shared" si="7"/>
        <v>0</v>
      </c>
      <c r="T17" s="27"/>
      <c r="U17" s="27"/>
      <c r="V17" s="27">
        <v>0</v>
      </c>
      <c r="W17" s="27"/>
      <c r="X17" s="27">
        <f t="shared" si="8"/>
        <v>0</v>
      </c>
      <c r="Y17" s="27">
        <f t="shared" si="8"/>
        <v>0</v>
      </c>
      <c r="Z17" s="27">
        <v>0</v>
      </c>
      <c r="AA17" s="27"/>
      <c r="AB17" s="27"/>
      <c r="AC17" s="27"/>
      <c r="AD17" s="27">
        <f t="shared" si="9"/>
        <v>0</v>
      </c>
      <c r="AE17" s="27">
        <f t="shared" si="9"/>
        <v>0</v>
      </c>
      <c r="AF17" s="27">
        <f t="shared" si="10"/>
        <v>0</v>
      </c>
      <c r="AG17" s="27">
        <f t="shared" si="11"/>
        <v>0</v>
      </c>
      <c r="AH17" s="27">
        <f t="shared" si="11"/>
        <v>0</v>
      </c>
      <c r="AI17" s="27">
        <f t="shared" si="12"/>
        <v>0</v>
      </c>
      <c r="AJ17" s="27">
        <f t="shared" si="13"/>
        <v>0</v>
      </c>
      <c r="AK17" s="27">
        <f t="shared" si="13"/>
        <v>0</v>
      </c>
      <c r="AL17" s="27"/>
      <c r="AM17" s="27"/>
      <c r="AN17" s="27">
        <v>0</v>
      </c>
      <c r="AO17" s="27"/>
      <c r="AP17" s="27">
        <f t="shared" si="14"/>
        <v>0</v>
      </c>
      <c r="AQ17" s="27">
        <f t="shared" si="14"/>
        <v>0</v>
      </c>
      <c r="AR17" s="27"/>
      <c r="AS17" s="27"/>
      <c r="AT17" s="27">
        <v>0</v>
      </c>
      <c r="AU17" s="27"/>
      <c r="AV17" s="27">
        <f t="shared" si="15"/>
        <v>0</v>
      </c>
      <c r="AW17" s="27">
        <f t="shared" si="15"/>
        <v>0</v>
      </c>
      <c r="AX17" s="27"/>
      <c r="AY17" s="27"/>
      <c r="AZ17" s="27">
        <v>0</v>
      </c>
      <c r="BA17" s="27">
        <v>59000</v>
      </c>
      <c r="BB17" s="27">
        <f t="shared" si="16"/>
        <v>0</v>
      </c>
      <c r="BC17" s="27">
        <f t="shared" si="16"/>
        <v>59000</v>
      </c>
      <c r="BD17" s="27"/>
      <c r="BE17" s="27"/>
      <c r="BF17" s="27">
        <v>0</v>
      </c>
      <c r="BG17" s="27"/>
      <c r="BH17" s="27">
        <f t="shared" si="17"/>
        <v>0</v>
      </c>
      <c r="BI17" s="27">
        <f t="shared" si="17"/>
        <v>0</v>
      </c>
      <c r="BJ17" s="27"/>
      <c r="BK17" s="27"/>
      <c r="BL17" s="27">
        <v>0</v>
      </c>
      <c r="BM17" s="27"/>
      <c r="BN17" s="27">
        <f t="shared" si="18"/>
        <v>0</v>
      </c>
      <c r="BO17" s="27">
        <f t="shared" si="18"/>
        <v>0</v>
      </c>
      <c r="BP17" s="26"/>
      <c r="BQ17" s="27"/>
      <c r="BR17" s="27">
        <v>0</v>
      </c>
      <c r="BS17" s="27"/>
      <c r="BT17" s="27">
        <f t="shared" si="19"/>
        <v>0</v>
      </c>
      <c r="BU17" s="27">
        <f t="shared" si="19"/>
        <v>0</v>
      </c>
      <c r="BV17" s="26"/>
      <c r="BW17" s="27"/>
      <c r="BX17" s="27">
        <v>0</v>
      </c>
      <c r="BY17" s="27"/>
      <c r="BZ17" s="27">
        <f t="shared" si="20"/>
        <v>0</v>
      </c>
      <c r="CA17" s="27">
        <f t="shared" si="20"/>
        <v>0</v>
      </c>
      <c r="CB17" s="26"/>
      <c r="CC17" s="27"/>
      <c r="CD17" s="27">
        <v>0</v>
      </c>
      <c r="CE17" s="27"/>
      <c r="CF17" s="27">
        <f t="shared" si="21"/>
        <v>0</v>
      </c>
      <c r="CG17" s="27">
        <f t="shared" si="21"/>
        <v>0</v>
      </c>
      <c r="CH17" s="26"/>
      <c r="CI17" s="27"/>
      <c r="CJ17" s="27">
        <v>0</v>
      </c>
      <c r="CK17" s="27"/>
      <c r="CL17" s="27">
        <f t="shared" si="22"/>
        <v>0</v>
      </c>
      <c r="CM17" s="27">
        <f t="shared" si="22"/>
        <v>0</v>
      </c>
      <c r="CN17" s="26"/>
      <c r="CO17" s="27"/>
      <c r="CP17" s="27">
        <v>0</v>
      </c>
      <c r="CQ17" s="27"/>
      <c r="CR17" s="27">
        <f t="shared" si="23"/>
        <v>0</v>
      </c>
      <c r="CS17" s="27">
        <f t="shared" si="23"/>
        <v>0</v>
      </c>
      <c r="CT17" s="26"/>
      <c r="CU17" s="27"/>
      <c r="CV17" s="27">
        <v>0</v>
      </c>
      <c r="CW17" s="27"/>
      <c r="CX17" s="27">
        <f t="shared" si="24"/>
        <v>0</v>
      </c>
      <c r="CY17" s="27">
        <f t="shared" si="24"/>
        <v>0</v>
      </c>
      <c r="CZ17" s="26"/>
      <c r="DA17" s="27"/>
      <c r="DB17" s="27">
        <v>0</v>
      </c>
      <c r="DC17" s="27"/>
      <c r="DD17" s="27">
        <f t="shared" si="25"/>
        <v>0</v>
      </c>
      <c r="DE17" s="27">
        <f t="shared" si="25"/>
        <v>0</v>
      </c>
      <c r="DF17" s="28">
        <f t="shared" si="26"/>
        <v>0</v>
      </c>
      <c r="DG17" s="28">
        <f t="shared" si="26"/>
        <v>0</v>
      </c>
      <c r="DH17" s="28">
        <f t="shared" si="26"/>
        <v>0</v>
      </c>
      <c r="DI17" s="28">
        <f t="shared" si="26"/>
        <v>59000</v>
      </c>
      <c r="DJ17" s="27">
        <f t="shared" si="27"/>
        <v>0</v>
      </c>
      <c r="DK17" s="27">
        <f t="shared" si="27"/>
        <v>59000</v>
      </c>
    </row>
    <row r="18" spans="1:115">
      <c r="A18" s="25">
        <v>10</v>
      </c>
      <c r="B18" s="26" t="s">
        <v>1161</v>
      </c>
      <c r="C18" s="26" t="s">
        <v>726</v>
      </c>
      <c r="D18" s="26" t="s">
        <v>1269</v>
      </c>
      <c r="E18" s="205" t="s">
        <v>1200</v>
      </c>
      <c r="F18" s="161">
        <f t="shared" si="28"/>
        <v>0</v>
      </c>
      <c r="G18" s="165">
        <f t="shared" si="29"/>
        <v>0</v>
      </c>
      <c r="H18" s="27"/>
      <c r="I18" s="27">
        <v>0</v>
      </c>
      <c r="J18" s="27">
        <v>0</v>
      </c>
      <c r="K18" s="127">
        <f t="shared" si="3"/>
        <v>0</v>
      </c>
      <c r="L18" s="127">
        <f t="shared" si="4"/>
        <v>0</v>
      </c>
      <c r="M18" s="127">
        <f t="shared" si="5"/>
        <v>0</v>
      </c>
      <c r="N18" s="131"/>
      <c r="O18" s="125">
        <f t="shared" si="30"/>
        <v>105000</v>
      </c>
      <c r="P18" s="27">
        <v>0</v>
      </c>
      <c r="Q18" s="27">
        <v>0</v>
      </c>
      <c r="R18" s="27">
        <f t="shared" si="31"/>
        <v>0</v>
      </c>
      <c r="S18" s="27">
        <f t="shared" si="7"/>
        <v>0</v>
      </c>
      <c r="T18" s="27"/>
      <c r="U18" s="27"/>
      <c r="V18" s="27">
        <v>0</v>
      </c>
      <c r="W18" s="27"/>
      <c r="X18" s="27">
        <f t="shared" si="8"/>
        <v>0</v>
      </c>
      <c r="Y18" s="27">
        <f t="shared" si="8"/>
        <v>0</v>
      </c>
      <c r="Z18" s="27">
        <v>0</v>
      </c>
      <c r="AA18" s="27"/>
      <c r="AB18" s="27"/>
      <c r="AC18" s="27"/>
      <c r="AD18" s="27">
        <f t="shared" si="9"/>
        <v>0</v>
      </c>
      <c r="AE18" s="27">
        <f t="shared" si="9"/>
        <v>0</v>
      </c>
      <c r="AF18" s="27">
        <f t="shared" si="10"/>
        <v>0</v>
      </c>
      <c r="AG18" s="27">
        <f t="shared" si="11"/>
        <v>0</v>
      </c>
      <c r="AH18" s="27">
        <f t="shared" si="11"/>
        <v>0</v>
      </c>
      <c r="AI18" s="27">
        <f t="shared" si="12"/>
        <v>0</v>
      </c>
      <c r="AJ18" s="27">
        <f t="shared" si="13"/>
        <v>0</v>
      </c>
      <c r="AK18" s="27">
        <f t="shared" si="13"/>
        <v>0</v>
      </c>
      <c r="AL18" s="27"/>
      <c r="AM18" s="27"/>
      <c r="AN18" s="27">
        <v>0</v>
      </c>
      <c r="AO18" s="27"/>
      <c r="AP18" s="27">
        <f t="shared" si="14"/>
        <v>0</v>
      </c>
      <c r="AQ18" s="27">
        <f t="shared" si="14"/>
        <v>0</v>
      </c>
      <c r="AR18" s="27"/>
      <c r="AS18" s="27"/>
      <c r="AT18" s="27">
        <v>0</v>
      </c>
      <c r="AU18" s="27"/>
      <c r="AV18" s="27">
        <f t="shared" si="15"/>
        <v>0</v>
      </c>
      <c r="AW18" s="27">
        <f t="shared" si="15"/>
        <v>0</v>
      </c>
      <c r="AX18" s="27"/>
      <c r="AY18" s="27"/>
      <c r="AZ18" s="27">
        <v>0</v>
      </c>
      <c r="BA18" s="27">
        <v>105000</v>
      </c>
      <c r="BB18" s="27">
        <f t="shared" si="16"/>
        <v>0</v>
      </c>
      <c r="BC18" s="27">
        <f t="shared" si="16"/>
        <v>105000</v>
      </c>
      <c r="BD18" s="27"/>
      <c r="BE18" s="27"/>
      <c r="BF18" s="27">
        <v>0</v>
      </c>
      <c r="BG18" s="27"/>
      <c r="BH18" s="27">
        <f t="shared" si="17"/>
        <v>0</v>
      </c>
      <c r="BI18" s="27">
        <f t="shared" si="17"/>
        <v>0</v>
      </c>
      <c r="BJ18" s="27"/>
      <c r="BK18" s="27"/>
      <c r="BL18" s="27">
        <v>0</v>
      </c>
      <c r="BM18" s="27"/>
      <c r="BN18" s="27">
        <f t="shared" si="18"/>
        <v>0</v>
      </c>
      <c r="BO18" s="27">
        <f t="shared" si="18"/>
        <v>0</v>
      </c>
      <c r="BP18" s="26"/>
      <c r="BQ18" s="27"/>
      <c r="BR18" s="27">
        <v>0</v>
      </c>
      <c r="BS18" s="27"/>
      <c r="BT18" s="27">
        <f t="shared" si="19"/>
        <v>0</v>
      </c>
      <c r="BU18" s="27">
        <f t="shared" si="19"/>
        <v>0</v>
      </c>
      <c r="BV18" s="26"/>
      <c r="BW18" s="27"/>
      <c r="BX18" s="27">
        <v>0</v>
      </c>
      <c r="BY18" s="27"/>
      <c r="BZ18" s="27">
        <f t="shared" si="20"/>
        <v>0</v>
      </c>
      <c r="CA18" s="27">
        <f t="shared" si="20"/>
        <v>0</v>
      </c>
      <c r="CB18" s="26"/>
      <c r="CC18" s="27"/>
      <c r="CD18" s="27">
        <v>0</v>
      </c>
      <c r="CE18" s="27"/>
      <c r="CF18" s="27">
        <f t="shared" si="21"/>
        <v>0</v>
      </c>
      <c r="CG18" s="27">
        <f t="shared" si="21"/>
        <v>0</v>
      </c>
      <c r="CH18" s="26"/>
      <c r="CI18" s="27"/>
      <c r="CJ18" s="27">
        <v>0</v>
      </c>
      <c r="CK18" s="27"/>
      <c r="CL18" s="27">
        <f t="shared" si="22"/>
        <v>0</v>
      </c>
      <c r="CM18" s="27">
        <f t="shared" si="22"/>
        <v>0</v>
      </c>
      <c r="CN18" s="26"/>
      <c r="CO18" s="27"/>
      <c r="CP18" s="27">
        <v>0</v>
      </c>
      <c r="CQ18" s="27"/>
      <c r="CR18" s="27">
        <f t="shared" si="23"/>
        <v>0</v>
      </c>
      <c r="CS18" s="27">
        <f t="shared" si="23"/>
        <v>0</v>
      </c>
      <c r="CT18" s="26"/>
      <c r="CU18" s="27"/>
      <c r="CV18" s="27">
        <v>0</v>
      </c>
      <c r="CW18" s="27"/>
      <c r="CX18" s="27">
        <f t="shared" si="24"/>
        <v>0</v>
      </c>
      <c r="CY18" s="27">
        <f t="shared" si="24"/>
        <v>0</v>
      </c>
      <c r="CZ18" s="26"/>
      <c r="DA18" s="27"/>
      <c r="DB18" s="27">
        <v>0</v>
      </c>
      <c r="DC18" s="27"/>
      <c r="DD18" s="27">
        <f t="shared" si="25"/>
        <v>0</v>
      </c>
      <c r="DE18" s="27">
        <f t="shared" si="25"/>
        <v>0</v>
      </c>
      <c r="DF18" s="28">
        <f t="shared" si="26"/>
        <v>0</v>
      </c>
      <c r="DG18" s="28">
        <f t="shared" si="26"/>
        <v>0</v>
      </c>
      <c r="DH18" s="28">
        <f t="shared" si="26"/>
        <v>0</v>
      </c>
      <c r="DI18" s="28">
        <f t="shared" si="26"/>
        <v>105000</v>
      </c>
      <c r="DJ18" s="27">
        <f t="shared" si="27"/>
        <v>0</v>
      </c>
      <c r="DK18" s="27">
        <f t="shared" si="27"/>
        <v>105000</v>
      </c>
    </row>
    <row r="19" spans="1:115">
      <c r="A19" s="25">
        <v>11</v>
      </c>
      <c r="B19" s="26" t="s">
        <v>1161</v>
      </c>
      <c r="C19" s="26" t="s">
        <v>723</v>
      </c>
      <c r="D19" s="26" t="s">
        <v>1270</v>
      </c>
      <c r="E19" s="205" t="s">
        <v>1200</v>
      </c>
      <c r="F19" s="161">
        <f t="shared" si="28"/>
        <v>0</v>
      </c>
      <c r="G19" s="165">
        <f t="shared" si="29"/>
        <v>0</v>
      </c>
      <c r="H19" s="27"/>
      <c r="I19" s="27">
        <v>0</v>
      </c>
      <c r="J19" s="27">
        <v>0</v>
      </c>
      <c r="K19" s="127">
        <f t="shared" si="3"/>
        <v>0</v>
      </c>
      <c r="L19" s="127">
        <f t="shared" si="4"/>
        <v>0</v>
      </c>
      <c r="M19" s="127">
        <f t="shared" si="5"/>
        <v>0</v>
      </c>
      <c r="N19" s="131"/>
      <c r="O19" s="125">
        <f t="shared" si="30"/>
        <v>27000</v>
      </c>
      <c r="P19" s="27">
        <v>0</v>
      </c>
      <c r="Q19" s="27">
        <v>0</v>
      </c>
      <c r="R19" s="27">
        <f t="shared" si="31"/>
        <v>0</v>
      </c>
      <c r="S19" s="27">
        <f t="shared" si="7"/>
        <v>0</v>
      </c>
      <c r="T19" s="27"/>
      <c r="U19" s="27"/>
      <c r="V19" s="27">
        <v>0</v>
      </c>
      <c r="W19" s="27"/>
      <c r="X19" s="27">
        <f t="shared" si="8"/>
        <v>0</v>
      </c>
      <c r="Y19" s="27">
        <f t="shared" si="8"/>
        <v>0</v>
      </c>
      <c r="Z19" s="27">
        <v>0</v>
      </c>
      <c r="AA19" s="27"/>
      <c r="AB19" s="27"/>
      <c r="AC19" s="27"/>
      <c r="AD19" s="27">
        <f t="shared" si="9"/>
        <v>0</v>
      </c>
      <c r="AE19" s="27">
        <f t="shared" si="9"/>
        <v>0</v>
      </c>
      <c r="AF19" s="27">
        <f t="shared" si="10"/>
        <v>0</v>
      </c>
      <c r="AG19" s="27">
        <f t="shared" si="11"/>
        <v>0</v>
      </c>
      <c r="AH19" s="27">
        <f t="shared" si="11"/>
        <v>0</v>
      </c>
      <c r="AI19" s="27">
        <f t="shared" si="12"/>
        <v>0</v>
      </c>
      <c r="AJ19" s="27">
        <f t="shared" si="13"/>
        <v>0</v>
      </c>
      <c r="AK19" s="27">
        <f t="shared" si="13"/>
        <v>0</v>
      </c>
      <c r="AL19" s="27"/>
      <c r="AM19" s="27"/>
      <c r="AN19" s="27">
        <v>0</v>
      </c>
      <c r="AO19" s="27"/>
      <c r="AP19" s="27">
        <f t="shared" si="14"/>
        <v>0</v>
      </c>
      <c r="AQ19" s="27">
        <f t="shared" si="14"/>
        <v>0</v>
      </c>
      <c r="AR19" s="27"/>
      <c r="AS19" s="27"/>
      <c r="AT19" s="27">
        <v>0</v>
      </c>
      <c r="AU19" s="27"/>
      <c r="AV19" s="27">
        <f t="shared" si="15"/>
        <v>0</v>
      </c>
      <c r="AW19" s="27">
        <f t="shared" si="15"/>
        <v>0</v>
      </c>
      <c r="AX19" s="27"/>
      <c r="AY19" s="27"/>
      <c r="AZ19" s="27">
        <v>0</v>
      </c>
      <c r="BA19" s="27">
        <v>27000</v>
      </c>
      <c r="BB19" s="27">
        <f t="shared" si="16"/>
        <v>0</v>
      </c>
      <c r="BC19" s="27">
        <f t="shared" si="16"/>
        <v>27000</v>
      </c>
      <c r="BD19" s="27"/>
      <c r="BE19" s="27"/>
      <c r="BF19" s="27">
        <v>0</v>
      </c>
      <c r="BG19" s="27"/>
      <c r="BH19" s="27">
        <f t="shared" si="17"/>
        <v>0</v>
      </c>
      <c r="BI19" s="27">
        <f t="shared" si="17"/>
        <v>0</v>
      </c>
      <c r="BJ19" s="27"/>
      <c r="BK19" s="27"/>
      <c r="BL19" s="27">
        <v>0</v>
      </c>
      <c r="BM19" s="27"/>
      <c r="BN19" s="27">
        <f t="shared" si="18"/>
        <v>0</v>
      </c>
      <c r="BO19" s="27">
        <f t="shared" si="18"/>
        <v>0</v>
      </c>
      <c r="BP19" s="26"/>
      <c r="BQ19" s="27"/>
      <c r="BR19" s="27">
        <v>0</v>
      </c>
      <c r="BS19" s="27"/>
      <c r="BT19" s="27">
        <f t="shared" si="19"/>
        <v>0</v>
      </c>
      <c r="BU19" s="27">
        <f t="shared" si="19"/>
        <v>0</v>
      </c>
      <c r="BV19" s="26"/>
      <c r="BW19" s="27"/>
      <c r="BX19" s="27">
        <v>0</v>
      </c>
      <c r="BY19" s="27"/>
      <c r="BZ19" s="27">
        <f t="shared" si="20"/>
        <v>0</v>
      </c>
      <c r="CA19" s="27">
        <f t="shared" si="20"/>
        <v>0</v>
      </c>
      <c r="CB19" s="26"/>
      <c r="CC19" s="27"/>
      <c r="CD19" s="27">
        <v>0</v>
      </c>
      <c r="CE19" s="27"/>
      <c r="CF19" s="27">
        <f t="shared" si="21"/>
        <v>0</v>
      </c>
      <c r="CG19" s="27">
        <f t="shared" si="21"/>
        <v>0</v>
      </c>
      <c r="CH19" s="26"/>
      <c r="CI19" s="27"/>
      <c r="CJ19" s="27">
        <v>0</v>
      </c>
      <c r="CK19" s="27"/>
      <c r="CL19" s="27">
        <f t="shared" si="22"/>
        <v>0</v>
      </c>
      <c r="CM19" s="27">
        <f t="shared" si="22"/>
        <v>0</v>
      </c>
      <c r="CN19" s="26"/>
      <c r="CO19" s="27"/>
      <c r="CP19" s="27">
        <v>0</v>
      </c>
      <c r="CQ19" s="27"/>
      <c r="CR19" s="27">
        <f t="shared" si="23"/>
        <v>0</v>
      </c>
      <c r="CS19" s="27">
        <f t="shared" si="23"/>
        <v>0</v>
      </c>
      <c r="CT19" s="26"/>
      <c r="CU19" s="27"/>
      <c r="CV19" s="27">
        <v>0</v>
      </c>
      <c r="CW19" s="27"/>
      <c r="CX19" s="27">
        <f t="shared" si="24"/>
        <v>0</v>
      </c>
      <c r="CY19" s="27">
        <f t="shared" si="24"/>
        <v>0</v>
      </c>
      <c r="CZ19" s="26"/>
      <c r="DA19" s="27"/>
      <c r="DB19" s="27">
        <v>0</v>
      </c>
      <c r="DC19" s="27"/>
      <c r="DD19" s="27">
        <f t="shared" si="25"/>
        <v>0</v>
      </c>
      <c r="DE19" s="27">
        <f t="shared" si="25"/>
        <v>0</v>
      </c>
      <c r="DF19" s="28">
        <f t="shared" si="26"/>
        <v>0</v>
      </c>
      <c r="DG19" s="28">
        <f t="shared" si="26"/>
        <v>0</v>
      </c>
      <c r="DH19" s="28">
        <f t="shared" si="26"/>
        <v>0</v>
      </c>
      <c r="DI19" s="28">
        <f t="shared" si="26"/>
        <v>27000</v>
      </c>
      <c r="DJ19" s="27">
        <f t="shared" si="27"/>
        <v>0</v>
      </c>
      <c r="DK19" s="27">
        <f t="shared" si="27"/>
        <v>27000</v>
      </c>
    </row>
    <row r="20" spans="1:115">
      <c r="A20" s="25">
        <v>12</v>
      </c>
      <c r="B20" s="26" t="s">
        <v>1161</v>
      </c>
      <c r="C20" s="26" t="s">
        <v>723</v>
      </c>
      <c r="D20" s="26" t="s">
        <v>1271</v>
      </c>
      <c r="E20" s="205" t="s">
        <v>1200</v>
      </c>
      <c r="F20" s="161">
        <f t="shared" si="28"/>
        <v>0</v>
      </c>
      <c r="G20" s="165">
        <f t="shared" si="29"/>
        <v>0</v>
      </c>
      <c r="H20" s="27"/>
      <c r="I20" s="27">
        <v>0</v>
      </c>
      <c r="J20" s="27">
        <v>0</v>
      </c>
      <c r="K20" s="127">
        <f t="shared" si="3"/>
        <v>0</v>
      </c>
      <c r="L20" s="127">
        <f t="shared" si="4"/>
        <v>0</v>
      </c>
      <c r="M20" s="127">
        <f t="shared" si="5"/>
        <v>0</v>
      </c>
      <c r="N20" s="131"/>
      <c r="O20" s="125">
        <f t="shared" si="30"/>
        <v>42700</v>
      </c>
      <c r="P20" s="27">
        <v>0</v>
      </c>
      <c r="Q20" s="27">
        <v>0</v>
      </c>
      <c r="R20" s="27">
        <f t="shared" si="31"/>
        <v>0</v>
      </c>
      <c r="S20" s="27">
        <f t="shared" si="7"/>
        <v>0</v>
      </c>
      <c r="T20" s="27"/>
      <c r="U20" s="27"/>
      <c r="V20" s="27">
        <v>0</v>
      </c>
      <c r="W20" s="27"/>
      <c r="X20" s="27">
        <f t="shared" si="8"/>
        <v>0</v>
      </c>
      <c r="Y20" s="27">
        <f t="shared" si="8"/>
        <v>0</v>
      </c>
      <c r="Z20" s="27">
        <v>0</v>
      </c>
      <c r="AA20" s="27"/>
      <c r="AB20" s="27"/>
      <c r="AC20" s="27"/>
      <c r="AD20" s="27">
        <f t="shared" si="9"/>
        <v>0</v>
      </c>
      <c r="AE20" s="27">
        <f t="shared" si="9"/>
        <v>0</v>
      </c>
      <c r="AF20" s="27">
        <f t="shared" si="10"/>
        <v>0</v>
      </c>
      <c r="AG20" s="27">
        <f t="shared" si="11"/>
        <v>0</v>
      </c>
      <c r="AH20" s="27">
        <f t="shared" si="11"/>
        <v>0</v>
      </c>
      <c r="AI20" s="27">
        <f t="shared" si="12"/>
        <v>0</v>
      </c>
      <c r="AJ20" s="27">
        <f t="shared" si="13"/>
        <v>0</v>
      </c>
      <c r="AK20" s="27">
        <f t="shared" si="13"/>
        <v>0</v>
      </c>
      <c r="AL20" s="27"/>
      <c r="AM20" s="27"/>
      <c r="AN20" s="27">
        <v>0</v>
      </c>
      <c r="AO20" s="27"/>
      <c r="AP20" s="27">
        <f t="shared" si="14"/>
        <v>0</v>
      </c>
      <c r="AQ20" s="27">
        <f t="shared" si="14"/>
        <v>0</v>
      </c>
      <c r="AR20" s="27"/>
      <c r="AS20" s="27"/>
      <c r="AT20" s="27">
        <v>0</v>
      </c>
      <c r="AU20" s="27"/>
      <c r="AV20" s="27">
        <f t="shared" si="15"/>
        <v>0</v>
      </c>
      <c r="AW20" s="27">
        <f t="shared" si="15"/>
        <v>0</v>
      </c>
      <c r="AX20" s="27"/>
      <c r="AY20" s="27"/>
      <c r="AZ20" s="27">
        <v>0</v>
      </c>
      <c r="BA20" s="27">
        <v>42700</v>
      </c>
      <c r="BB20" s="27">
        <f t="shared" si="16"/>
        <v>0</v>
      </c>
      <c r="BC20" s="27">
        <f t="shared" si="16"/>
        <v>42700</v>
      </c>
      <c r="BD20" s="27"/>
      <c r="BE20" s="27"/>
      <c r="BF20" s="27">
        <v>0</v>
      </c>
      <c r="BG20" s="27"/>
      <c r="BH20" s="27">
        <f t="shared" si="17"/>
        <v>0</v>
      </c>
      <c r="BI20" s="27">
        <f t="shared" si="17"/>
        <v>0</v>
      </c>
      <c r="BJ20" s="27"/>
      <c r="BK20" s="27"/>
      <c r="BL20" s="27">
        <v>0</v>
      </c>
      <c r="BM20" s="27"/>
      <c r="BN20" s="27">
        <f t="shared" si="18"/>
        <v>0</v>
      </c>
      <c r="BO20" s="27">
        <f t="shared" si="18"/>
        <v>0</v>
      </c>
      <c r="BP20" s="26"/>
      <c r="BQ20" s="27"/>
      <c r="BR20" s="27">
        <v>0</v>
      </c>
      <c r="BS20" s="27"/>
      <c r="BT20" s="27">
        <f t="shared" si="19"/>
        <v>0</v>
      </c>
      <c r="BU20" s="27">
        <f t="shared" si="19"/>
        <v>0</v>
      </c>
      <c r="BV20" s="26"/>
      <c r="BW20" s="27"/>
      <c r="BX20" s="27">
        <v>0</v>
      </c>
      <c r="BY20" s="27"/>
      <c r="BZ20" s="27">
        <f t="shared" si="20"/>
        <v>0</v>
      </c>
      <c r="CA20" s="27">
        <f t="shared" si="20"/>
        <v>0</v>
      </c>
      <c r="CB20" s="26"/>
      <c r="CC20" s="27"/>
      <c r="CD20" s="27">
        <v>0</v>
      </c>
      <c r="CE20" s="27"/>
      <c r="CF20" s="27">
        <f t="shared" si="21"/>
        <v>0</v>
      </c>
      <c r="CG20" s="27">
        <f t="shared" si="21"/>
        <v>0</v>
      </c>
      <c r="CH20" s="26"/>
      <c r="CI20" s="27"/>
      <c r="CJ20" s="27">
        <v>0</v>
      </c>
      <c r="CK20" s="27"/>
      <c r="CL20" s="27">
        <f t="shared" si="22"/>
        <v>0</v>
      </c>
      <c r="CM20" s="27">
        <f t="shared" si="22"/>
        <v>0</v>
      </c>
      <c r="CN20" s="26"/>
      <c r="CO20" s="27"/>
      <c r="CP20" s="27">
        <v>0</v>
      </c>
      <c r="CQ20" s="27"/>
      <c r="CR20" s="27">
        <f t="shared" si="23"/>
        <v>0</v>
      </c>
      <c r="CS20" s="27">
        <f t="shared" si="23"/>
        <v>0</v>
      </c>
      <c r="CT20" s="26"/>
      <c r="CU20" s="27"/>
      <c r="CV20" s="27">
        <v>0</v>
      </c>
      <c r="CW20" s="27"/>
      <c r="CX20" s="27">
        <f t="shared" si="24"/>
        <v>0</v>
      </c>
      <c r="CY20" s="27">
        <f t="shared" si="24"/>
        <v>0</v>
      </c>
      <c r="CZ20" s="26"/>
      <c r="DA20" s="27"/>
      <c r="DB20" s="27">
        <v>0</v>
      </c>
      <c r="DC20" s="27"/>
      <c r="DD20" s="27">
        <f t="shared" si="25"/>
        <v>0</v>
      </c>
      <c r="DE20" s="27">
        <f t="shared" si="25"/>
        <v>0</v>
      </c>
      <c r="DF20" s="28">
        <f t="shared" si="26"/>
        <v>0</v>
      </c>
      <c r="DG20" s="28">
        <f t="shared" si="26"/>
        <v>0</v>
      </c>
      <c r="DH20" s="28">
        <f t="shared" si="26"/>
        <v>0</v>
      </c>
      <c r="DI20" s="28">
        <f t="shared" si="26"/>
        <v>42700</v>
      </c>
      <c r="DJ20" s="27">
        <f t="shared" si="27"/>
        <v>0</v>
      </c>
      <c r="DK20" s="27">
        <f t="shared" si="27"/>
        <v>42700</v>
      </c>
    </row>
    <row r="21" spans="1:115">
      <c r="A21" s="25">
        <v>13</v>
      </c>
      <c r="B21" s="26" t="s">
        <v>1161</v>
      </c>
      <c r="C21" s="26"/>
      <c r="D21" s="26" t="s">
        <v>1276</v>
      </c>
      <c r="E21" s="205" t="s">
        <v>1200</v>
      </c>
      <c r="F21" s="161">
        <f t="shared" si="28"/>
        <v>0</v>
      </c>
      <c r="G21" s="165">
        <f t="shared" si="29"/>
        <v>0</v>
      </c>
      <c r="H21" s="27"/>
      <c r="I21" s="27">
        <v>0</v>
      </c>
      <c r="J21" s="27">
        <v>0</v>
      </c>
      <c r="K21" s="127">
        <f t="shared" si="3"/>
        <v>0</v>
      </c>
      <c r="L21" s="127">
        <f t="shared" si="4"/>
        <v>0</v>
      </c>
      <c r="M21" s="127">
        <f t="shared" si="5"/>
        <v>0</v>
      </c>
      <c r="N21" s="131"/>
      <c r="O21" s="125">
        <f t="shared" si="30"/>
        <v>22500</v>
      </c>
      <c r="P21" s="27">
        <v>0</v>
      </c>
      <c r="Q21" s="27">
        <v>0</v>
      </c>
      <c r="R21" s="27">
        <f t="shared" si="31"/>
        <v>0</v>
      </c>
      <c r="S21" s="27">
        <f t="shared" si="7"/>
        <v>0</v>
      </c>
      <c r="T21" s="27"/>
      <c r="U21" s="27"/>
      <c r="V21" s="27">
        <v>0</v>
      </c>
      <c r="W21" s="27"/>
      <c r="X21" s="27">
        <f t="shared" si="8"/>
        <v>0</v>
      </c>
      <c r="Y21" s="27">
        <f t="shared" si="8"/>
        <v>0</v>
      </c>
      <c r="Z21" s="27">
        <v>0</v>
      </c>
      <c r="AA21" s="27"/>
      <c r="AB21" s="27"/>
      <c r="AC21" s="27"/>
      <c r="AD21" s="27">
        <f t="shared" si="9"/>
        <v>0</v>
      </c>
      <c r="AE21" s="27">
        <f t="shared" si="9"/>
        <v>0</v>
      </c>
      <c r="AF21" s="27">
        <f t="shared" si="10"/>
        <v>0</v>
      </c>
      <c r="AG21" s="27">
        <f t="shared" si="11"/>
        <v>0</v>
      </c>
      <c r="AH21" s="27">
        <f t="shared" si="11"/>
        <v>0</v>
      </c>
      <c r="AI21" s="27">
        <f t="shared" si="12"/>
        <v>0</v>
      </c>
      <c r="AJ21" s="27">
        <f t="shared" si="13"/>
        <v>0</v>
      </c>
      <c r="AK21" s="27">
        <f t="shared" si="13"/>
        <v>0</v>
      </c>
      <c r="AL21" s="27"/>
      <c r="AM21" s="27"/>
      <c r="AN21" s="27">
        <v>0</v>
      </c>
      <c r="AO21" s="27"/>
      <c r="AP21" s="27">
        <f t="shared" si="14"/>
        <v>0</v>
      </c>
      <c r="AQ21" s="27">
        <f t="shared" si="14"/>
        <v>0</v>
      </c>
      <c r="AR21" s="27"/>
      <c r="AS21" s="27"/>
      <c r="AT21" s="27">
        <v>0</v>
      </c>
      <c r="AU21" s="27"/>
      <c r="AV21" s="27">
        <f t="shared" si="15"/>
        <v>0</v>
      </c>
      <c r="AW21" s="27">
        <f t="shared" si="15"/>
        <v>0</v>
      </c>
      <c r="AX21" s="27"/>
      <c r="AY21" s="27"/>
      <c r="AZ21" s="27">
        <v>0</v>
      </c>
      <c r="BA21" s="27"/>
      <c r="BB21" s="27">
        <f t="shared" si="16"/>
        <v>0</v>
      </c>
      <c r="BC21" s="27">
        <f t="shared" si="16"/>
        <v>0</v>
      </c>
      <c r="BD21" s="27"/>
      <c r="BE21" s="27"/>
      <c r="BF21" s="27">
        <v>0</v>
      </c>
      <c r="BG21" s="27">
        <v>22500</v>
      </c>
      <c r="BH21" s="27">
        <f t="shared" si="17"/>
        <v>0</v>
      </c>
      <c r="BI21" s="27">
        <f t="shared" si="17"/>
        <v>22500</v>
      </c>
      <c r="BJ21" s="27"/>
      <c r="BK21" s="27"/>
      <c r="BL21" s="27">
        <v>0</v>
      </c>
      <c r="BM21" s="27"/>
      <c r="BN21" s="27">
        <f t="shared" si="18"/>
        <v>0</v>
      </c>
      <c r="BO21" s="27">
        <f t="shared" si="18"/>
        <v>0</v>
      </c>
      <c r="BP21" s="26"/>
      <c r="BQ21" s="27"/>
      <c r="BR21" s="27">
        <v>0</v>
      </c>
      <c r="BS21" s="27"/>
      <c r="BT21" s="27">
        <f t="shared" si="19"/>
        <v>0</v>
      </c>
      <c r="BU21" s="27">
        <f t="shared" si="19"/>
        <v>0</v>
      </c>
      <c r="BV21" s="26"/>
      <c r="BW21" s="27"/>
      <c r="BX21" s="27">
        <v>0</v>
      </c>
      <c r="BY21" s="27"/>
      <c r="BZ21" s="27">
        <f t="shared" si="20"/>
        <v>0</v>
      </c>
      <c r="CA21" s="27">
        <f t="shared" si="20"/>
        <v>0</v>
      </c>
      <c r="CB21" s="26"/>
      <c r="CC21" s="27"/>
      <c r="CD21" s="27">
        <v>0</v>
      </c>
      <c r="CE21" s="27"/>
      <c r="CF21" s="27">
        <f t="shared" si="21"/>
        <v>0</v>
      </c>
      <c r="CG21" s="27">
        <f t="shared" si="21"/>
        <v>0</v>
      </c>
      <c r="CH21" s="26"/>
      <c r="CI21" s="27"/>
      <c r="CJ21" s="27">
        <v>0</v>
      </c>
      <c r="CK21" s="27"/>
      <c r="CL21" s="27">
        <f t="shared" si="22"/>
        <v>0</v>
      </c>
      <c r="CM21" s="27">
        <f t="shared" si="22"/>
        <v>0</v>
      </c>
      <c r="CN21" s="26"/>
      <c r="CO21" s="27"/>
      <c r="CP21" s="27">
        <v>0</v>
      </c>
      <c r="CQ21" s="27"/>
      <c r="CR21" s="27">
        <f t="shared" si="23"/>
        <v>0</v>
      </c>
      <c r="CS21" s="27">
        <f t="shared" si="23"/>
        <v>0</v>
      </c>
      <c r="CT21" s="26"/>
      <c r="CU21" s="27"/>
      <c r="CV21" s="27">
        <v>0</v>
      </c>
      <c r="CW21" s="27"/>
      <c r="CX21" s="27">
        <f t="shared" si="24"/>
        <v>0</v>
      </c>
      <c r="CY21" s="27">
        <f t="shared" si="24"/>
        <v>0</v>
      </c>
      <c r="CZ21" s="26"/>
      <c r="DA21" s="27"/>
      <c r="DB21" s="27">
        <v>0</v>
      </c>
      <c r="DC21" s="27"/>
      <c r="DD21" s="27">
        <f t="shared" si="25"/>
        <v>0</v>
      </c>
      <c r="DE21" s="27">
        <f t="shared" si="25"/>
        <v>0</v>
      </c>
      <c r="DF21" s="28">
        <f t="shared" si="26"/>
        <v>0</v>
      </c>
      <c r="DG21" s="28">
        <f t="shared" si="26"/>
        <v>0</v>
      </c>
      <c r="DH21" s="28">
        <f t="shared" si="26"/>
        <v>0</v>
      </c>
      <c r="DI21" s="28">
        <f t="shared" si="26"/>
        <v>22500</v>
      </c>
      <c r="DJ21" s="27">
        <f t="shared" si="27"/>
        <v>0</v>
      </c>
      <c r="DK21" s="27">
        <f t="shared" si="27"/>
        <v>22500</v>
      </c>
    </row>
    <row r="22" spans="1:115">
      <c r="A22" s="25">
        <v>14</v>
      </c>
      <c r="B22" s="26" t="s">
        <v>1161</v>
      </c>
      <c r="C22" s="26" t="s">
        <v>1278</v>
      </c>
      <c r="D22" s="26" t="s">
        <v>1277</v>
      </c>
      <c r="E22" s="205" t="s">
        <v>1200</v>
      </c>
      <c r="F22" s="161">
        <f t="shared" si="28"/>
        <v>0</v>
      </c>
      <c r="G22" s="165">
        <f t="shared" si="29"/>
        <v>0</v>
      </c>
      <c r="H22" s="27"/>
      <c r="I22" s="27">
        <v>0</v>
      </c>
      <c r="J22" s="27">
        <v>0</v>
      </c>
      <c r="K22" s="127">
        <f t="shared" si="3"/>
        <v>0</v>
      </c>
      <c r="L22" s="127">
        <f t="shared" si="4"/>
        <v>0</v>
      </c>
      <c r="M22" s="127">
        <f t="shared" si="5"/>
        <v>0</v>
      </c>
      <c r="N22" s="131"/>
      <c r="O22" s="125">
        <f t="shared" si="30"/>
        <v>30632.52</v>
      </c>
      <c r="P22" s="27">
        <v>0</v>
      </c>
      <c r="Q22" s="27">
        <v>0</v>
      </c>
      <c r="R22" s="27">
        <f t="shared" si="31"/>
        <v>0</v>
      </c>
      <c r="S22" s="27">
        <f t="shared" si="7"/>
        <v>0</v>
      </c>
      <c r="T22" s="27"/>
      <c r="U22" s="27"/>
      <c r="V22" s="27">
        <v>0</v>
      </c>
      <c r="W22" s="27"/>
      <c r="X22" s="27">
        <f t="shared" si="8"/>
        <v>0</v>
      </c>
      <c r="Y22" s="27">
        <f t="shared" si="8"/>
        <v>0</v>
      </c>
      <c r="Z22" s="27">
        <v>0</v>
      </c>
      <c r="AA22" s="27"/>
      <c r="AB22" s="27"/>
      <c r="AC22" s="27"/>
      <c r="AD22" s="27">
        <f t="shared" si="9"/>
        <v>0</v>
      </c>
      <c r="AE22" s="27">
        <f t="shared" si="9"/>
        <v>0</v>
      </c>
      <c r="AF22" s="27">
        <f t="shared" si="10"/>
        <v>0</v>
      </c>
      <c r="AG22" s="27">
        <f t="shared" si="11"/>
        <v>0</v>
      </c>
      <c r="AH22" s="27">
        <f t="shared" si="11"/>
        <v>0</v>
      </c>
      <c r="AI22" s="27">
        <f t="shared" si="12"/>
        <v>0</v>
      </c>
      <c r="AJ22" s="27">
        <f t="shared" si="13"/>
        <v>0</v>
      </c>
      <c r="AK22" s="27">
        <f t="shared" si="13"/>
        <v>0</v>
      </c>
      <c r="AL22" s="27"/>
      <c r="AM22" s="27"/>
      <c r="AN22" s="27">
        <v>0</v>
      </c>
      <c r="AO22" s="27"/>
      <c r="AP22" s="27">
        <f t="shared" si="14"/>
        <v>0</v>
      </c>
      <c r="AQ22" s="27">
        <f t="shared" si="14"/>
        <v>0</v>
      </c>
      <c r="AR22" s="27"/>
      <c r="AS22" s="27"/>
      <c r="AT22" s="27">
        <v>0</v>
      </c>
      <c r="AU22" s="27"/>
      <c r="AV22" s="27">
        <f t="shared" si="15"/>
        <v>0</v>
      </c>
      <c r="AW22" s="27">
        <f t="shared" si="15"/>
        <v>0</v>
      </c>
      <c r="AX22" s="27"/>
      <c r="AY22" s="27"/>
      <c r="AZ22" s="27">
        <v>0</v>
      </c>
      <c r="BA22" s="27"/>
      <c r="BB22" s="27">
        <f t="shared" si="16"/>
        <v>0</v>
      </c>
      <c r="BC22" s="27">
        <f t="shared" si="16"/>
        <v>0</v>
      </c>
      <c r="BD22" s="27"/>
      <c r="BE22" s="27">
        <v>26000</v>
      </c>
      <c r="BF22" s="27">
        <v>0</v>
      </c>
      <c r="BG22" s="27"/>
      <c r="BH22" s="27">
        <f t="shared" si="17"/>
        <v>0</v>
      </c>
      <c r="BI22" s="27">
        <f t="shared" si="17"/>
        <v>26000</v>
      </c>
      <c r="BJ22" s="27"/>
      <c r="BK22" s="27"/>
      <c r="BL22" s="27">
        <v>0</v>
      </c>
      <c r="BM22" s="27">
        <v>4632.5200000000004</v>
      </c>
      <c r="BN22" s="27">
        <f t="shared" si="18"/>
        <v>0</v>
      </c>
      <c r="BO22" s="27">
        <f t="shared" si="18"/>
        <v>4632.5200000000004</v>
      </c>
      <c r="BP22" s="26"/>
      <c r="BQ22" s="27"/>
      <c r="BR22" s="27">
        <v>0</v>
      </c>
      <c r="BS22" s="27"/>
      <c r="BT22" s="27">
        <f t="shared" si="19"/>
        <v>0</v>
      </c>
      <c r="BU22" s="27">
        <f t="shared" si="19"/>
        <v>0</v>
      </c>
      <c r="BV22" s="26"/>
      <c r="BW22" s="27"/>
      <c r="BX22" s="27">
        <v>0</v>
      </c>
      <c r="BY22" s="27"/>
      <c r="BZ22" s="27">
        <f t="shared" si="20"/>
        <v>0</v>
      </c>
      <c r="CA22" s="27">
        <f t="shared" si="20"/>
        <v>0</v>
      </c>
      <c r="CB22" s="26"/>
      <c r="CC22" s="27"/>
      <c r="CD22" s="27">
        <v>0</v>
      </c>
      <c r="CE22" s="27"/>
      <c r="CF22" s="27">
        <f t="shared" si="21"/>
        <v>0</v>
      </c>
      <c r="CG22" s="27">
        <f t="shared" si="21"/>
        <v>0</v>
      </c>
      <c r="CH22" s="26"/>
      <c r="CI22" s="27"/>
      <c r="CJ22" s="27">
        <v>0</v>
      </c>
      <c r="CK22" s="27"/>
      <c r="CL22" s="27">
        <f t="shared" si="22"/>
        <v>0</v>
      </c>
      <c r="CM22" s="27">
        <f t="shared" si="22"/>
        <v>0</v>
      </c>
      <c r="CN22" s="26"/>
      <c r="CO22" s="27"/>
      <c r="CP22" s="27">
        <v>0</v>
      </c>
      <c r="CQ22" s="27"/>
      <c r="CR22" s="27">
        <f t="shared" si="23"/>
        <v>0</v>
      </c>
      <c r="CS22" s="27">
        <f t="shared" si="23"/>
        <v>0</v>
      </c>
      <c r="CT22" s="26"/>
      <c r="CU22" s="27"/>
      <c r="CV22" s="27">
        <v>0</v>
      </c>
      <c r="CW22" s="27"/>
      <c r="CX22" s="27">
        <f t="shared" si="24"/>
        <v>0</v>
      </c>
      <c r="CY22" s="27">
        <f t="shared" si="24"/>
        <v>0</v>
      </c>
      <c r="CZ22" s="26"/>
      <c r="DA22" s="27"/>
      <c r="DB22" s="27">
        <v>0</v>
      </c>
      <c r="DC22" s="27"/>
      <c r="DD22" s="27">
        <f t="shared" si="25"/>
        <v>0</v>
      </c>
      <c r="DE22" s="27">
        <f t="shared" si="25"/>
        <v>0</v>
      </c>
      <c r="DF22" s="28">
        <f t="shared" si="26"/>
        <v>0</v>
      </c>
      <c r="DG22" s="28">
        <f t="shared" si="26"/>
        <v>26000</v>
      </c>
      <c r="DH22" s="28">
        <f t="shared" si="26"/>
        <v>0</v>
      </c>
      <c r="DI22" s="28">
        <f t="shared" si="26"/>
        <v>4632.5200000000004</v>
      </c>
      <c r="DJ22" s="27">
        <f t="shared" si="27"/>
        <v>0</v>
      </c>
      <c r="DK22" s="27">
        <f t="shared" si="27"/>
        <v>30632.52</v>
      </c>
    </row>
    <row r="23" spans="1:115">
      <c r="A23" s="25">
        <v>15</v>
      </c>
      <c r="B23" s="26" t="s">
        <v>1161</v>
      </c>
      <c r="C23" s="26" t="s">
        <v>1279</v>
      </c>
      <c r="D23" s="26" t="s">
        <v>1280</v>
      </c>
      <c r="E23" s="205" t="s">
        <v>1200</v>
      </c>
      <c r="F23" s="161">
        <f t="shared" si="28"/>
        <v>0</v>
      </c>
      <c r="G23" s="165">
        <f t="shared" si="29"/>
        <v>0</v>
      </c>
      <c r="H23" s="27"/>
      <c r="I23" s="27">
        <v>0</v>
      </c>
      <c r="J23" s="27">
        <v>0</v>
      </c>
      <c r="K23" s="127">
        <f t="shared" si="3"/>
        <v>0</v>
      </c>
      <c r="L23" s="127">
        <f t="shared" si="4"/>
        <v>0</v>
      </c>
      <c r="M23" s="127">
        <f t="shared" si="5"/>
        <v>0</v>
      </c>
      <c r="N23" s="131"/>
      <c r="O23" s="125">
        <f t="shared" si="30"/>
        <v>30632.52</v>
      </c>
      <c r="P23" s="27">
        <v>0</v>
      </c>
      <c r="Q23" s="27">
        <v>0</v>
      </c>
      <c r="R23" s="27">
        <f t="shared" si="31"/>
        <v>0</v>
      </c>
      <c r="S23" s="27">
        <f t="shared" si="7"/>
        <v>0</v>
      </c>
      <c r="T23" s="27"/>
      <c r="U23" s="27"/>
      <c r="V23" s="27">
        <v>0</v>
      </c>
      <c r="W23" s="27"/>
      <c r="X23" s="27">
        <f t="shared" si="8"/>
        <v>0</v>
      </c>
      <c r="Y23" s="27">
        <f t="shared" si="8"/>
        <v>0</v>
      </c>
      <c r="Z23" s="27">
        <v>0</v>
      </c>
      <c r="AA23" s="27"/>
      <c r="AB23" s="27"/>
      <c r="AC23" s="27"/>
      <c r="AD23" s="27">
        <f t="shared" si="9"/>
        <v>0</v>
      </c>
      <c r="AE23" s="27">
        <f t="shared" si="9"/>
        <v>0</v>
      </c>
      <c r="AF23" s="27">
        <f t="shared" si="10"/>
        <v>0</v>
      </c>
      <c r="AG23" s="27">
        <f t="shared" si="11"/>
        <v>0</v>
      </c>
      <c r="AH23" s="27">
        <f t="shared" si="11"/>
        <v>0</v>
      </c>
      <c r="AI23" s="27">
        <f t="shared" si="12"/>
        <v>0</v>
      </c>
      <c r="AJ23" s="27">
        <f t="shared" si="13"/>
        <v>0</v>
      </c>
      <c r="AK23" s="27">
        <f t="shared" si="13"/>
        <v>0</v>
      </c>
      <c r="AL23" s="27"/>
      <c r="AM23" s="27"/>
      <c r="AN23" s="27">
        <v>0</v>
      </c>
      <c r="AO23" s="27"/>
      <c r="AP23" s="27">
        <f t="shared" si="14"/>
        <v>0</v>
      </c>
      <c r="AQ23" s="27">
        <f t="shared" si="14"/>
        <v>0</v>
      </c>
      <c r="AR23" s="27"/>
      <c r="AS23" s="27"/>
      <c r="AT23" s="27">
        <v>0</v>
      </c>
      <c r="AU23" s="27"/>
      <c r="AV23" s="27">
        <f t="shared" si="15"/>
        <v>0</v>
      </c>
      <c r="AW23" s="27">
        <f t="shared" si="15"/>
        <v>0</v>
      </c>
      <c r="AX23" s="27"/>
      <c r="AY23" s="27"/>
      <c r="AZ23" s="27">
        <v>0</v>
      </c>
      <c r="BA23" s="27"/>
      <c r="BB23" s="27">
        <f t="shared" si="16"/>
        <v>0</v>
      </c>
      <c r="BC23" s="27">
        <f t="shared" si="16"/>
        <v>0</v>
      </c>
      <c r="BD23" s="27"/>
      <c r="BE23" s="27">
        <v>26000</v>
      </c>
      <c r="BF23" s="27">
        <v>0</v>
      </c>
      <c r="BG23" s="27"/>
      <c r="BH23" s="27">
        <f t="shared" si="17"/>
        <v>0</v>
      </c>
      <c r="BI23" s="27">
        <f t="shared" si="17"/>
        <v>26000</v>
      </c>
      <c r="BJ23" s="27"/>
      <c r="BK23" s="27"/>
      <c r="BL23" s="27">
        <v>0</v>
      </c>
      <c r="BM23" s="27">
        <v>4632.5200000000004</v>
      </c>
      <c r="BN23" s="27">
        <f t="shared" si="18"/>
        <v>0</v>
      </c>
      <c r="BO23" s="27">
        <f t="shared" si="18"/>
        <v>4632.5200000000004</v>
      </c>
      <c r="BP23" s="26"/>
      <c r="BQ23" s="27"/>
      <c r="BR23" s="27">
        <v>0</v>
      </c>
      <c r="BS23" s="27"/>
      <c r="BT23" s="27">
        <f t="shared" si="19"/>
        <v>0</v>
      </c>
      <c r="BU23" s="27">
        <f t="shared" si="19"/>
        <v>0</v>
      </c>
      <c r="BV23" s="26"/>
      <c r="BW23" s="27"/>
      <c r="BX23" s="27">
        <v>0</v>
      </c>
      <c r="BY23" s="27"/>
      <c r="BZ23" s="27">
        <f t="shared" si="20"/>
        <v>0</v>
      </c>
      <c r="CA23" s="27">
        <f t="shared" si="20"/>
        <v>0</v>
      </c>
      <c r="CB23" s="26"/>
      <c r="CC23" s="27"/>
      <c r="CD23" s="27">
        <v>0</v>
      </c>
      <c r="CE23" s="27"/>
      <c r="CF23" s="27">
        <f t="shared" si="21"/>
        <v>0</v>
      </c>
      <c r="CG23" s="27">
        <f t="shared" si="21"/>
        <v>0</v>
      </c>
      <c r="CH23" s="26"/>
      <c r="CI23" s="27"/>
      <c r="CJ23" s="27">
        <v>0</v>
      </c>
      <c r="CK23" s="27"/>
      <c r="CL23" s="27">
        <f t="shared" si="22"/>
        <v>0</v>
      </c>
      <c r="CM23" s="27">
        <f t="shared" si="22"/>
        <v>0</v>
      </c>
      <c r="CN23" s="26"/>
      <c r="CO23" s="27"/>
      <c r="CP23" s="27">
        <v>0</v>
      </c>
      <c r="CQ23" s="27"/>
      <c r="CR23" s="27">
        <f t="shared" si="23"/>
        <v>0</v>
      </c>
      <c r="CS23" s="27">
        <f t="shared" si="23"/>
        <v>0</v>
      </c>
      <c r="CT23" s="26"/>
      <c r="CU23" s="27"/>
      <c r="CV23" s="27">
        <v>0</v>
      </c>
      <c r="CW23" s="27"/>
      <c r="CX23" s="27">
        <f t="shared" si="24"/>
        <v>0</v>
      </c>
      <c r="CY23" s="27">
        <f t="shared" si="24"/>
        <v>0</v>
      </c>
      <c r="CZ23" s="26"/>
      <c r="DA23" s="27"/>
      <c r="DB23" s="27">
        <v>0</v>
      </c>
      <c r="DC23" s="27"/>
      <c r="DD23" s="27">
        <f t="shared" si="25"/>
        <v>0</v>
      </c>
      <c r="DE23" s="27">
        <f t="shared" si="25"/>
        <v>0</v>
      </c>
      <c r="DF23" s="28">
        <f t="shared" si="26"/>
        <v>0</v>
      </c>
      <c r="DG23" s="28">
        <f t="shared" si="26"/>
        <v>26000</v>
      </c>
      <c r="DH23" s="28">
        <f t="shared" si="26"/>
        <v>0</v>
      </c>
      <c r="DI23" s="28">
        <f t="shared" si="26"/>
        <v>4632.5200000000004</v>
      </c>
      <c r="DJ23" s="27">
        <f t="shared" si="27"/>
        <v>0</v>
      </c>
      <c r="DK23" s="27">
        <f t="shared" si="27"/>
        <v>30632.52</v>
      </c>
    </row>
    <row r="24" spans="1:115">
      <c r="A24" s="25">
        <v>16</v>
      </c>
      <c r="B24" s="26" t="s">
        <v>1161</v>
      </c>
      <c r="C24" s="26" t="s">
        <v>1282</v>
      </c>
      <c r="D24" s="26" t="s">
        <v>1281</v>
      </c>
      <c r="E24" s="205" t="s">
        <v>1200</v>
      </c>
      <c r="F24" s="161">
        <f t="shared" si="28"/>
        <v>0</v>
      </c>
      <c r="G24" s="165">
        <f t="shared" si="29"/>
        <v>0</v>
      </c>
      <c r="H24" s="27"/>
      <c r="I24" s="27">
        <v>0</v>
      </c>
      <c r="J24" s="27">
        <v>0</v>
      </c>
      <c r="K24" s="127">
        <f t="shared" si="3"/>
        <v>0</v>
      </c>
      <c r="L24" s="127">
        <f t="shared" si="4"/>
        <v>0</v>
      </c>
      <c r="M24" s="127">
        <f t="shared" si="5"/>
        <v>0</v>
      </c>
      <c r="N24" s="131"/>
      <c r="O24" s="125">
        <f t="shared" si="30"/>
        <v>30632.52</v>
      </c>
      <c r="P24" s="27">
        <v>0</v>
      </c>
      <c r="Q24" s="27">
        <v>0</v>
      </c>
      <c r="R24" s="27">
        <f t="shared" si="31"/>
        <v>0</v>
      </c>
      <c r="S24" s="27">
        <f t="shared" si="7"/>
        <v>0</v>
      </c>
      <c r="T24" s="27"/>
      <c r="U24" s="27"/>
      <c r="V24" s="27">
        <v>0</v>
      </c>
      <c r="W24" s="27"/>
      <c r="X24" s="27">
        <f t="shared" si="8"/>
        <v>0</v>
      </c>
      <c r="Y24" s="27">
        <f t="shared" si="8"/>
        <v>0</v>
      </c>
      <c r="Z24" s="27">
        <v>0</v>
      </c>
      <c r="AA24" s="27"/>
      <c r="AB24" s="27"/>
      <c r="AC24" s="27"/>
      <c r="AD24" s="27">
        <f t="shared" si="9"/>
        <v>0</v>
      </c>
      <c r="AE24" s="27">
        <f t="shared" si="9"/>
        <v>0</v>
      </c>
      <c r="AF24" s="27">
        <f t="shared" si="10"/>
        <v>0</v>
      </c>
      <c r="AG24" s="27">
        <f t="shared" si="11"/>
        <v>0</v>
      </c>
      <c r="AH24" s="27">
        <f t="shared" si="11"/>
        <v>0</v>
      </c>
      <c r="AI24" s="27">
        <f t="shared" si="12"/>
        <v>0</v>
      </c>
      <c r="AJ24" s="27">
        <f t="shared" si="13"/>
        <v>0</v>
      </c>
      <c r="AK24" s="27">
        <f t="shared" si="13"/>
        <v>0</v>
      </c>
      <c r="AL24" s="27"/>
      <c r="AM24" s="27"/>
      <c r="AN24" s="27">
        <v>0</v>
      </c>
      <c r="AO24" s="27"/>
      <c r="AP24" s="27">
        <f t="shared" si="14"/>
        <v>0</v>
      </c>
      <c r="AQ24" s="27">
        <f t="shared" si="14"/>
        <v>0</v>
      </c>
      <c r="AR24" s="27"/>
      <c r="AS24" s="27"/>
      <c r="AT24" s="27">
        <v>0</v>
      </c>
      <c r="AU24" s="27"/>
      <c r="AV24" s="27">
        <f t="shared" si="15"/>
        <v>0</v>
      </c>
      <c r="AW24" s="27">
        <f t="shared" si="15"/>
        <v>0</v>
      </c>
      <c r="AX24" s="27"/>
      <c r="AY24" s="27"/>
      <c r="AZ24" s="27">
        <v>0</v>
      </c>
      <c r="BA24" s="27"/>
      <c r="BB24" s="27">
        <f t="shared" si="16"/>
        <v>0</v>
      </c>
      <c r="BC24" s="27">
        <f t="shared" si="16"/>
        <v>0</v>
      </c>
      <c r="BD24" s="27"/>
      <c r="BE24" s="27">
        <v>26000</v>
      </c>
      <c r="BF24" s="27">
        <v>0</v>
      </c>
      <c r="BG24" s="27"/>
      <c r="BH24" s="27">
        <f t="shared" si="17"/>
        <v>0</v>
      </c>
      <c r="BI24" s="27">
        <f t="shared" si="17"/>
        <v>26000</v>
      </c>
      <c r="BJ24" s="27"/>
      <c r="BK24" s="27"/>
      <c r="BL24" s="27">
        <v>0</v>
      </c>
      <c r="BM24" s="27">
        <v>4632.5200000000004</v>
      </c>
      <c r="BN24" s="27">
        <f t="shared" si="18"/>
        <v>0</v>
      </c>
      <c r="BO24" s="27">
        <f t="shared" si="18"/>
        <v>4632.5200000000004</v>
      </c>
      <c r="BP24" s="26"/>
      <c r="BQ24" s="27"/>
      <c r="BR24" s="27">
        <v>0</v>
      </c>
      <c r="BS24" s="27"/>
      <c r="BT24" s="27">
        <f t="shared" si="19"/>
        <v>0</v>
      </c>
      <c r="BU24" s="27">
        <f t="shared" si="19"/>
        <v>0</v>
      </c>
      <c r="BV24" s="26"/>
      <c r="BW24" s="27"/>
      <c r="BX24" s="27">
        <v>0</v>
      </c>
      <c r="BY24" s="27"/>
      <c r="BZ24" s="27">
        <f t="shared" si="20"/>
        <v>0</v>
      </c>
      <c r="CA24" s="27">
        <f t="shared" si="20"/>
        <v>0</v>
      </c>
      <c r="CB24" s="26"/>
      <c r="CC24" s="27"/>
      <c r="CD24" s="27">
        <v>0</v>
      </c>
      <c r="CE24" s="27"/>
      <c r="CF24" s="27">
        <f t="shared" si="21"/>
        <v>0</v>
      </c>
      <c r="CG24" s="27">
        <f t="shared" si="21"/>
        <v>0</v>
      </c>
      <c r="CH24" s="26"/>
      <c r="CI24" s="27"/>
      <c r="CJ24" s="27">
        <v>0</v>
      </c>
      <c r="CK24" s="27"/>
      <c r="CL24" s="27">
        <f t="shared" si="22"/>
        <v>0</v>
      </c>
      <c r="CM24" s="27">
        <f t="shared" si="22"/>
        <v>0</v>
      </c>
      <c r="CN24" s="26"/>
      <c r="CO24" s="27"/>
      <c r="CP24" s="27">
        <v>0</v>
      </c>
      <c r="CQ24" s="27"/>
      <c r="CR24" s="27">
        <f t="shared" si="23"/>
        <v>0</v>
      </c>
      <c r="CS24" s="27">
        <f t="shared" si="23"/>
        <v>0</v>
      </c>
      <c r="CT24" s="26"/>
      <c r="CU24" s="27"/>
      <c r="CV24" s="27">
        <v>0</v>
      </c>
      <c r="CW24" s="27"/>
      <c r="CX24" s="27">
        <f t="shared" si="24"/>
        <v>0</v>
      </c>
      <c r="CY24" s="27">
        <f t="shared" si="24"/>
        <v>0</v>
      </c>
      <c r="CZ24" s="26"/>
      <c r="DA24" s="27"/>
      <c r="DB24" s="27">
        <v>0</v>
      </c>
      <c r="DC24" s="27"/>
      <c r="DD24" s="27">
        <f t="shared" si="25"/>
        <v>0</v>
      </c>
      <c r="DE24" s="27">
        <f t="shared" si="25"/>
        <v>0</v>
      </c>
      <c r="DF24" s="28">
        <f t="shared" si="26"/>
        <v>0</v>
      </c>
      <c r="DG24" s="28">
        <f t="shared" si="26"/>
        <v>26000</v>
      </c>
      <c r="DH24" s="28">
        <f t="shared" si="26"/>
        <v>0</v>
      </c>
      <c r="DI24" s="28">
        <f t="shared" si="26"/>
        <v>4632.5200000000004</v>
      </c>
      <c r="DJ24" s="27">
        <f t="shared" si="27"/>
        <v>0</v>
      </c>
      <c r="DK24" s="27">
        <f t="shared" si="27"/>
        <v>30632.52</v>
      </c>
    </row>
    <row r="25" spans="1:115">
      <c r="A25" s="25">
        <v>17</v>
      </c>
      <c r="B25" s="26" t="s">
        <v>1161</v>
      </c>
      <c r="C25" s="26" t="s">
        <v>1284</v>
      </c>
      <c r="D25" s="26" t="s">
        <v>1283</v>
      </c>
      <c r="E25" s="205" t="s">
        <v>1200</v>
      </c>
      <c r="F25" s="161">
        <f t="shared" si="28"/>
        <v>0</v>
      </c>
      <c r="G25" s="165">
        <f t="shared" si="29"/>
        <v>0</v>
      </c>
      <c r="H25" s="27"/>
      <c r="I25" s="27">
        <v>0</v>
      </c>
      <c r="J25" s="27">
        <v>0</v>
      </c>
      <c r="K25" s="127">
        <f t="shared" si="3"/>
        <v>0</v>
      </c>
      <c r="L25" s="127">
        <f t="shared" si="4"/>
        <v>0</v>
      </c>
      <c r="M25" s="127">
        <f t="shared" si="5"/>
        <v>0</v>
      </c>
      <c r="N25" s="131"/>
      <c r="O25" s="125">
        <f t="shared" si="30"/>
        <v>30632.52</v>
      </c>
      <c r="P25" s="27">
        <v>0</v>
      </c>
      <c r="Q25" s="27">
        <v>0</v>
      </c>
      <c r="R25" s="27">
        <f t="shared" si="31"/>
        <v>0</v>
      </c>
      <c r="S25" s="27">
        <f t="shared" si="7"/>
        <v>0</v>
      </c>
      <c r="T25" s="27"/>
      <c r="U25" s="27"/>
      <c r="V25" s="27">
        <v>0</v>
      </c>
      <c r="W25" s="27"/>
      <c r="X25" s="27">
        <f t="shared" ref="X25:Y30" si="32">T25+V25</f>
        <v>0</v>
      </c>
      <c r="Y25" s="27">
        <f t="shared" si="32"/>
        <v>0</v>
      </c>
      <c r="Z25" s="27">
        <v>0</v>
      </c>
      <c r="AA25" s="27"/>
      <c r="AB25" s="27"/>
      <c r="AC25" s="27"/>
      <c r="AD25" s="27">
        <f t="shared" ref="AD25:AE30" si="33">Z25+AB25</f>
        <v>0</v>
      </c>
      <c r="AE25" s="27">
        <f t="shared" si="33"/>
        <v>0</v>
      </c>
      <c r="AF25" s="27">
        <f t="shared" si="10"/>
        <v>0</v>
      </c>
      <c r="AG25" s="27">
        <f t="shared" ref="AG25:AH30" si="34">P25+U25+AA25</f>
        <v>0</v>
      </c>
      <c r="AH25" s="27">
        <f t="shared" si="34"/>
        <v>0</v>
      </c>
      <c r="AI25" s="27">
        <f t="shared" si="12"/>
        <v>0</v>
      </c>
      <c r="AJ25" s="27">
        <f t="shared" ref="AJ25:AK30" si="35">AF25+AH25</f>
        <v>0</v>
      </c>
      <c r="AK25" s="27">
        <f t="shared" si="35"/>
        <v>0</v>
      </c>
      <c r="AL25" s="27"/>
      <c r="AM25" s="27"/>
      <c r="AN25" s="27">
        <v>0</v>
      </c>
      <c r="AO25" s="27"/>
      <c r="AP25" s="27">
        <f t="shared" ref="AP25:AQ30" si="36">AL25+AN25</f>
        <v>0</v>
      </c>
      <c r="AQ25" s="27">
        <f t="shared" si="36"/>
        <v>0</v>
      </c>
      <c r="AR25" s="27"/>
      <c r="AS25" s="27"/>
      <c r="AT25" s="27">
        <v>0</v>
      </c>
      <c r="AU25" s="27"/>
      <c r="AV25" s="27">
        <f t="shared" ref="AV25:AW30" si="37">AR25+AT25</f>
        <v>0</v>
      </c>
      <c r="AW25" s="27">
        <f t="shared" si="37"/>
        <v>0</v>
      </c>
      <c r="AX25" s="27"/>
      <c r="AY25" s="27"/>
      <c r="AZ25" s="27">
        <v>0</v>
      </c>
      <c r="BA25" s="27"/>
      <c r="BB25" s="27">
        <f t="shared" ref="BB25:BC30" si="38">AX25+AZ25</f>
        <v>0</v>
      </c>
      <c r="BC25" s="27">
        <f t="shared" si="38"/>
        <v>0</v>
      </c>
      <c r="BD25" s="27"/>
      <c r="BE25" s="27">
        <v>26000</v>
      </c>
      <c r="BF25" s="27">
        <v>0</v>
      </c>
      <c r="BG25" s="27"/>
      <c r="BH25" s="27">
        <f t="shared" ref="BH25:BI30" si="39">BD25+BF25</f>
        <v>0</v>
      </c>
      <c r="BI25" s="27">
        <f t="shared" si="39"/>
        <v>26000</v>
      </c>
      <c r="BJ25" s="27"/>
      <c r="BK25" s="27"/>
      <c r="BL25" s="27">
        <v>0</v>
      </c>
      <c r="BM25" s="27">
        <v>4632.5200000000004</v>
      </c>
      <c r="BN25" s="27">
        <f t="shared" ref="BN25:BO30" si="40">BJ25+BL25</f>
        <v>0</v>
      </c>
      <c r="BO25" s="27">
        <f t="shared" si="40"/>
        <v>4632.5200000000004</v>
      </c>
      <c r="BP25" s="26"/>
      <c r="BQ25" s="27"/>
      <c r="BR25" s="27">
        <v>0</v>
      </c>
      <c r="BS25" s="27"/>
      <c r="BT25" s="27">
        <f t="shared" ref="BT25:BU30" si="41">BP25+BR25</f>
        <v>0</v>
      </c>
      <c r="BU25" s="27">
        <f t="shared" si="41"/>
        <v>0</v>
      </c>
      <c r="BV25" s="26"/>
      <c r="BW25" s="27"/>
      <c r="BX25" s="27">
        <v>0</v>
      </c>
      <c r="BY25" s="27"/>
      <c r="BZ25" s="27">
        <f t="shared" ref="BZ25:CA30" si="42">BV25+BX25</f>
        <v>0</v>
      </c>
      <c r="CA25" s="27">
        <f t="shared" si="42"/>
        <v>0</v>
      </c>
      <c r="CB25" s="26"/>
      <c r="CC25" s="27"/>
      <c r="CD25" s="27">
        <v>0</v>
      </c>
      <c r="CE25" s="27"/>
      <c r="CF25" s="27">
        <f t="shared" ref="CF25:CG30" si="43">CB25+CD25</f>
        <v>0</v>
      </c>
      <c r="CG25" s="27">
        <f t="shared" si="43"/>
        <v>0</v>
      </c>
      <c r="CH25" s="26"/>
      <c r="CI25" s="27"/>
      <c r="CJ25" s="27">
        <v>0</v>
      </c>
      <c r="CK25" s="27"/>
      <c r="CL25" s="27">
        <f t="shared" ref="CL25:CM30" si="44">CH25+CJ25</f>
        <v>0</v>
      </c>
      <c r="CM25" s="27">
        <f t="shared" si="44"/>
        <v>0</v>
      </c>
      <c r="CN25" s="26"/>
      <c r="CO25" s="27"/>
      <c r="CP25" s="27">
        <v>0</v>
      </c>
      <c r="CQ25" s="27"/>
      <c r="CR25" s="27">
        <f t="shared" ref="CR25:CS30" si="45">CN25+CP25</f>
        <v>0</v>
      </c>
      <c r="CS25" s="27">
        <f t="shared" si="45"/>
        <v>0</v>
      </c>
      <c r="CT25" s="26"/>
      <c r="CU25" s="27"/>
      <c r="CV25" s="27">
        <v>0</v>
      </c>
      <c r="CW25" s="27"/>
      <c r="CX25" s="27">
        <f t="shared" ref="CX25:CY30" si="46">CT25+CV25</f>
        <v>0</v>
      </c>
      <c r="CY25" s="27">
        <f t="shared" si="46"/>
        <v>0</v>
      </c>
      <c r="CZ25" s="26"/>
      <c r="DA25" s="27"/>
      <c r="DB25" s="27">
        <v>0</v>
      </c>
      <c r="DC25" s="27"/>
      <c r="DD25" s="27">
        <f t="shared" ref="DD25:DE30" si="47">CZ25+DB25</f>
        <v>0</v>
      </c>
      <c r="DE25" s="27">
        <f t="shared" si="47"/>
        <v>0</v>
      </c>
      <c r="DF25" s="28">
        <f t="shared" ref="DF25:DI30" si="48">AL25+AR25+AX25+BD25+BJ25+BP25+BV25+CB25+CH25+CN25+CT25+CZ25</f>
        <v>0</v>
      </c>
      <c r="DG25" s="28">
        <f t="shared" si="48"/>
        <v>26000</v>
      </c>
      <c r="DH25" s="28">
        <f t="shared" si="48"/>
        <v>0</v>
      </c>
      <c r="DI25" s="28">
        <f t="shared" si="48"/>
        <v>4632.5200000000004</v>
      </c>
      <c r="DJ25" s="27">
        <f t="shared" ref="DJ25:DK30" si="49">DF25+DH25</f>
        <v>0</v>
      </c>
      <c r="DK25" s="27">
        <f t="shared" si="49"/>
        <v>30632.52</v>
      </c>
    </row>
    <row r="26" spans="1:115">
      <c r="A26" s="25">
        <v>18</v>
      </c>
      <c r="B26" s="26" t="s">
        <v>1161</v>
      </c>
      <c r="C26" s="26" t="s">
        <v>1286</v>
      </c>
      <c r="D26" s="26" t="s">
        <v>1285</v>
      </c>
      <c r="E26" s="205" t="s">
        <v>1200</v>
      </c>
      <c r="F26" s="161">
        <f t="shared" si="28"/>
        <v>0</v>
      </c>
      <c r="G26" s="165">
        <f t="shared" si="29"/>
        <v>0</v>
      </c>
      <c r="H26" s="27"/>
      <c r="I26" s="27">
        <v>0</v>
      </c>
      <c r="J26" s="27">
        <v>0</v>
      </c>
      <c r="K26" s="127">
        <f t="shared" si="3"/>
        <v>0</v>
      </c>
      <c r="L26" s="127">
        <f t="shared" si="4"/>
        <v>0</v>
      </c>
      <c r="M26" s="127">
        <f t="shared" si="5"/>
        <v>0</v>
      </c>
      <c r="N26" s="131"/>
      <c r="O26" s="125">
        <f t="shared" si="30"/>
        <v>30632.52</v>
      </c>
      <c r="P26" s="27">
        <v>0</v>
      </c>
      <c r="Q26" s="27">
        <v>0</v>
      </c>
      <c r="R26" s="27">
        <f t="shared" si="31"/>
        <v>0</v>
      </c>
      <c r="S26" s="27">
        <f t="shared" si="7"/>
        <v>0</v>
      </c>
      <c r="T26" s="27"/>
      <c r="U26" s="27"/>
      <c r="V26" s="27">
        <v>0</v>
      </c>
      <c r="W26" s="27"/>
      <c r="X26" s="27">
        <f t="shared" si="32"/>
        <v>0</v>
      </c>
      <c r="Y26" s="27">
        <f t="shared" si="32"/>
        <v>0</v>
      </c>
      <c r="Z26" s="27">
        <v>0</v>
      </c>
      <c r="AA26" s="27"/>
      <c r="AB26" s="27"/>
      <c r="AC26" s="27"/>
      <c r="AD26" s="27">
        <f t="shared" si="33"/>
        <v>0</v>
      </c>
      <c r="AE26" s="27">
        <f t="shared" si="33"/>
        <v>0</v>
      </c>
      <c r="AF26" s="27">
        <f t="shared" si="10"/>
        <v>0</v>
      </c>
      <c r="AG26" s="27">
        <f t="shared" si="34"/>
        <v>0</v>
      </c>
      <c r="AH26" s="27">
        <f t="shared" si="34"/>
        <v>0</v>
      </c>
      <c r="AI26" s="27">
        <f t="shared" si="12"/>
        <v>0</v>
      </c>
      <c r="AJ26" s="27">
        <f t="shared" si="35"/>
        <v>0</v>
      </c>
      <c r="AK26" s="27">
        <f t="shared" si="35"/>
        <v>0</v>
      </c>
      <c r="AL26" s="27"/>
      <c r="AM26" s="27"/>
      <c r="AN26" s="27">
        <v>0</v>
      </c>
      <c r="AO26" s="27"/>
      <c r="AP26" s="27">
        <f t="shared" si="36"/>
        <v>0</v>
      </c>
      <c r="AQ26" s="27">
        <f t="shared" si="36"/>
        <v>0</v>
      </c>
      <c r="AR26" s="27"/>
      <c r="AS26" s="27"/>
      <c r="AT26" s="27">
        <v>0</v>
      </c>
      <c r="AU26" s="27"/>
      <c r="AV26" s="27">
        <f t="shared" si="37"/>
        <v>0</v>
      </c>
      <c r="AW26" s="27">
        <f t="shared" si="37"/>
        <v>0</v>
      </c>
      <c r="AX26" s="27"/>
      <c r="AY26" s="27"/>
      <c r="AZ26" s="27">
        <v>0</v>
      </c>
      <c r="BA26" s="27"/>
      <c r="BB26" s="27">
        <f t="shared" si="38"/>
        <v>0</v>
      </c>
      <c r="BC26" s="27">
        <f t="shared" si="38"/>
        <v>0</v>
      </c>
      <c r="BD26" s="27"/>
      <c r="BE26" s="27">
        <v>26000</v>
      </c>
      <c r="BF26" s="27">
        <v>0</v>
      </c>
      <c r="BG26" s="27"/>
      <c r="BH26" s="27">
        <f t="shared" si="39"/>
        <v>0</v>
      </c>
      <c r="BI26" s="27">
        <f t="shared" si="39"/>
        <v>26000</v>
      </c>
      <c r="BJ26" s="27"/>
      <c r="BK26" s="27"/>
      <c r="BL26" s="27">
        <v>0</v>
      </c>
      <c r="BM26" s="27">
        <v>4632.5200000000004</v>
      </c>
      <c r="BN26" s="27">
        <f t="shared" si="40"/>
        <v>0</v>
      </c>
      <c r="BO26" s="27">
        <f t="shared" si="40"/>
        <v>4632.5200000000004</v>
      </c>
      <c r="BP26" s="26"/>
      <c r="BQ26" s="27"/>
      <c r="BR26" s="27">
        <v>0</v>
      </c>
      <c r="BS26" s="27"/>
      <c r="BT26" s="27">
        <f t="shared" si="41"/>
        <v>0</v>
      </c>
      <c r="BU26" s="27">
        <f t="shared" si="41"/>
        <v>0</v>
      </c>
      <c r="BV26" s="26"/>
      <c r="BW26" s="27"/>
      <c r="BX26" s="27">
        <v>0</v>
      </c>
      <c r="BY26" s="27"/>
      <c r="BZ26" s="27">
        <f t="shared" si="42"/>
        <v>0</v>
      </c>
      <c r="CA26" s="27">
        <f t="shared" si="42"/>
        <v>0</v>
      </c>
      <c r="CB26" s="26"/>
      <c r="CC26" s="27"/>
      <c r="CD26" s="27">
        <v>0</v>
      </c>
      <c r="CE26" s="27"/>
      <c r="CF26" s="27">
        <f t="shared" si="43"/>
        <v>0</v>
      </c>
      <c r="CG26" s="27">
        <f t="shared" si="43"/>
        <v>0</v>
      </c>
      <c r="CH26" s="26"/>
      <c r="CI26" s="27"/>
      <c r="CJ26" s="27">
        <v>0</v>
      </c>
      <c r="CK26" s="27"/>
      <c r="CL26" s="27">
        <f t="shared" si="44"/>
        <v>0</v>
      </c>
      <c r="CM26" s="27">
        <f t="shared" si="44"/>
        <v>0</v>
      </c>
      <c r="CN26" s="26"/>
      <c r="CO26" s="27"/>
      <c r="CP26" s="27">
        <v>0</v>
      </c>
      <c r="CQ26" s="27"/>
      <c r="CR26" s="27">
        <f t="shared" si="45"/>
        <v>0</v>
      </c>
      <c r="CS26" s="27">
        <f t="shared" si="45"/>
        <v>0</v>
      </c>
      <c r="CT26" s="26"/>
      <c r="CU26" s="27"/>
      <c r="CV26" s="27">
        <v>0</v>
      </c>
      <c r="CW26" s="27"/>
      <c r="CX26" s="27">
        <f t="shared" si="46"/>
        <v>0</v>
      </c>
      <c r="CY26" s="27">
        <f t="shared" si="46"/>
        <v>0</v>
      </c>
      <c r="CZ26" s="26"/>
      <c r="DA26" s="27"/>
      <c r="DB26" s="27">
        <v>0</v>
      </c>
      <c r="DC26" s="27"/>
      <c r="DD26" s="27">
        <f t="shared" si="47"/>
        <v>0</v>
      </c>
      <c r="DE26" s="27">
        <f t="shared" si="47"/>
        <v>0</v>
      </c>
      <c r="DF26" s="28">
        <f t="shared" si="48"/>
        <v>0</v>
      </c>
      <c r="DG26" s="28">
        <f t="shared" si="48"/>
        <v>26000</v>
      </c>
      <c r="DH26" s="28">
        <f t="shared" si="48"/>
        <v>0</v>
      </c>
      <c r="DI26" s="28">
        <f t="shared" si="48"/>
        <v>4632.5200000000004</v>
      </c>
      <c r="DJ26" s="27">
        <f t="shared" si="49"/>
        <v>0</v>
      </c>
      <c r="DK26" s="27">
        <f t="shared" si="49"/>
        <v>30632.52</v>
      </c>
    </row>
    <row r="27" spans="1:115">
      <c r="A27" s="25">
        <v>19</v>
      </c>
      <c r="B27" s="26" t="s">
        <v>1161</v>
      </c>
      <c r="C27" s="26" t="s">
        <v>1288</v>
      </c>
      <c r="D27" s="26" t="s">
        <v>1287</v>
      </c>
      <c r="E27" s="205" t="s">
        <v>1200</v>
      </c>
      <c r="F27" s="161">
        <f t="shared" si="28"/>
        <v>0</v>
      </c>
      <c r="G27" s="165">
        <f t="shared" si="29"/>
        <v>0</v>
      </c>
      <c r="H27" s="27"/>
      <c r="I27" s="27">
        <v>0</v>
      </c>
      <c r="J27" s="27">
        <v>0</v>
      </c>
      <c r="K27" s="127">
        <f t="shared" si="3"/>
        <v>0</v>
      </c>
      <c r="L27" s="127">
        <f t="shared" si="4"/>
        <v>0</v>
      </c>
      <c r="M27" s="127">
        <f t="shared" si="5"/>
        <v>0</v>
      </c>
      <c r="N27" s="131"/>
      <c r="O27" s="125">
        <f t="shared" si="30"/>
        <v>30632.52</v>
      </c>
      <c r="P27" s="27">
        <v>0</v>
      </c>
      <c r="Q27" s="27">
        <v>0</v>
      </c>
      <c r="R27" s="27">
        <f t="shared" si="31"/>
        <v>0</v>
      </c>
      <c r="S27" s="27">
        <f t="shared" si="7"/>
        <v>0</v>
      </c>
      <c r="T27" s="27"/>
      <c r="U27" s="27"/>
      <c r="V27" s="27">
        <v>0</v>
      </c>
      <c r="W27" s="27"/>
      <c r="X27" s="27">
        <f t="shared" si="32"/>
        <v>0</v>
      </c>
      <c r="Y27" s="27">
        <f t="shared" si="32"/>
        <v>0</v>
      </c>
      <c r="Z27" s="27">
        <v>0</v>
      </c>
      <c r="AA27" s="27"/>
      <c r="AB27" s="27"/>
      <c r="AC27" s="27"/>
      <c r="AD27" s="27">
        <f t="shared" si="33"/>
        <v>0</v>
      </c>
      <c r="AE27" s="27">
        <f t="shared" si="33"/>
        <v>0</v>
      </c>
      <c r="AF27" s="27">
        <f t="shared" si="10"/>
        <v>0</v>
      </c>
      <c r="AG27" s="27">
        <f t="shared" si="34"/>
        <v>0</v>
      </c>
      <c r="AH27" s="27">
        <f t="shared" si="34"/>
        <v>0</v>
      </c>
      <c r="AI27" s="27">
        <f t="shared" si="12"/>
        <v>0</v>
      </c>
      <c r="AJ27" s="27">
        <f t="shared" si="35"/>
        <v>0</v>
      </c>
      <c r="AK27" s="27">
        <f t="shared" si="35"/>
        <v>0</v>
      </c>
      <c r="AL27" s="27"/>
      <c r="AM27" s="27"/>
      <c r="AN27" s="27">
        <v>0</v>
      </c>
      <c r="AO27" s="27"/>
      <c r="AP27" s="27">
        <f t="shared" si="36"/>
        <v>0</v>
      </c>
      <c r="AQ27" s="27">
        <f t="shared" si="36"/>
        <v>0</v>
      </c>
      <c r="AR27" s="27"/>
      <c r="AS27" s="27"/>
      <c r="AT27" s="27">
        <v>0</v>
      </c>
      <c r="AU27" s="27"/>
      <c r="AV27" s="27">
        <f t="shared" si="37"/>
        <v>0</v>
      </c>
      <c r="AW27" s="27">
        <f t="shared" si="37"/>
        <v>0</v>
      </c>
      <c r="AX27" s="27"/>
      <c r="AY27" s="27"/>
      <c r="AZ27" s="27">
        <v>0</v>
      </c>
      <c r="BA27" s="27"/>
      <c r="BB27" s="27">
        <f t="shared" si="38"/>
        <v>0</v>
      </c>
      <c r="BC27" s="27">
        <f t="shared" si="38"/>
        <v>0</v>
      </c>
      <c r="BD27" s="27"/>
      <c r="BE27" s="27">
        <v>26000</v>
      </c>
      <c r="BF27" s="27">
        <v>0</v>
      </c>
      <c r="BG27" s="27"/>
      <c r="BH27" s="27">
        <f t="shared" si="39"/>
        <v>0</v>
      </c>
      <c r="BI27" s="27">
        <f t="shared" si="39"/>
        <v>26000</v>
      </c>
      <c r="BJ27" s="27"/>
      <c r="BK27" s="27"/>
      <c r="BL27" s="27">
        <v>0</v>
      </c>
      <c r="BM27" s="27">
        <v>4632.5200000000004</v>
      </c>
      <c r="BN27" s="27">
        <f t="shared" si="40"/>
        <v>0</v>
      </c>
      <c r="BO27" s="27">
        <f t="shared" si="40"/>
        <v>4632.5200000000004</v>
      </c>
      <c r="BP27" s="26"/>
      <c r="BQ27" s="27"/>
      <c r="BR27" s="27">
        <v>0</v>
      </c>
      <c r="BS27" s="27"/>
      <c r="BT27" s="27">
        <f t="shared" si="41"/>
        <v>0</v>
      </c>
      <c r="BU27" s="27">
        <f t="shared" si="41"/>
        <v>0</v>
      </c>
      <c r="BV27" s="26"/>
      <c r="BW27" s="27"/>
      <c r="BX27" s="27">
        <v>0</v>
      </c>
      <c r="BY27" s="27"/>
      <c r="BZ27" s="27">
        <f t="shared" si="42"/>
        <v>0</v>
      </c>
      <c r="CA27" s="27">
        <f t="shared" si="42"/>
        <v>0</v>
      </c>
      <c r="CB27" s="26"/>
      <c r="CC27" s="27"/>
      <c r="CD27" s="27">
        <v>0</v>
      </c>
      <c r="CE27" s="27"/>
      <c r="CF27" s="27">
        <f t="shared" si="43"/>
        <v>0</v>
      </c>
      <c r="CG27" s="27">
        <f t="shared" si="43"/>
        <v>0</v>
      </c>
      <c r="CH27" s="26"/>
      <c r="CI27" s="27"/>
      <c r="CJ27" s="27">
        <v>0</v>
      </c>
      <c r="CK27" s="27"/>
      <c r="CL27" s="27">
        <f t="shared" si="44"/>
        <v>0</v>
      </c>
      <c r="CM27" s="27">
        <f t="shared" si="44"/>
        <v>0</v>
      </c>
      <c r="CN27" s="26"/>
      <c r="CO27" s="27"/>
      <c r="CP27" s="27">
        <v>0</v>
      </c>
      <c r="CQ27" s="27"/>
      <c r="CR27" s="27">
        <f t="shared" si="45"/>
        <v>0</v>
      </c>
      <c r="CS27" s="27">
        <f t="shared" si="45"/>
        <v>0</v>
      </c>
      <c r="CT27" s="26"/>
      <c r="CU27" s="27"/>
      <c r="CV27" s="27">
        <v>0</v>
      </c>
      <c r="CW27" s="27"/>
      <c r="CX27" s="27">
        <f t="shared" si="46"/>
        <v>0</v>
      </c>
      <c r="CY27" s="27">
        <f t="shared" si="46"/>
        <v>0</v>
      </c>
      <c r="CZ27" s="26"/>
      <c r="DA27" s="27"/>
      <c r="DB27" s="27">
        <v>0</v>
      </c>
      <c r="DC27" s="27"/>
      <c r="DD27" s="27">
        <f t="shared" si="47"/>
        <v>0</v>
      </c>
      <c r="DE27" s="27">
        <f t="shared" si="47"/>
        <v>0</v>
      </c>
      <c r="DF27" s="28">
        <f t="shared" si="48"/>
        <v>0</v>
      </c>
      <c r="DG27" s="28">
        <f t="shared" si="48"/>
        <v>26000</v>
      </c>
      <c r="DH27" s="28">
        <f t="shared" si="48"/>
        <v>0</v>
      </c>
      <c r="DI27" s="28">
        <f t="shared" si="48"/>
        <v>4632.5200000000004</v>
      </c>
      <c r="DJ27" s="27">
        <f t="shared" si="49"/>
        <v>0</v>
      </c>
      <c r="DK27" s="27">
        <f t="shared" si="49"/>
        <v>30632.52</v>
      </c>
    </row>
    <row r="28" spans="1:115">
      <c r="A28" s="25">
        <v>20</v>
      </c>
      <c r="B28" s="26" t="s">
        <v>1161</v>
      </c>
      <c r="C28" s="26" t="s">
        <v>1292</v>
      </c>
      <c r="D28" s="26" t="s">
        <v>1291</v>
      </c>
      <c r="E28" s="205" t="s">
        <v>1200</v>
      </c>
      <c r="F28" s="161">
        <f t="shared" si="28"/>
        <v>0</v>
      </c>
      <c r="G28" s="165">
        <f t="shared" si="29"/>
        <v>0</v>
      </c>
      <c r="H28" s="27"/>
      <c r="I28" s="27">
        <v>0</v>
      </c>
      <c r="J28" s="27">
        <v>0</v>
      </c>
      <c r="K28" s="127">
        <f t="shared" si="3"/>
        <v>0</v>
      </c>
      <c r="L28" s="127">
        <f t="shared" si="4"/>
        <v>0</v>
      </c>
      <c r="M28" s="127">
        <f t="shared" si="5"/>
        <v>0</v>
      </c>
      <c r="N28" s="131"/>
      <c r="O28" s="125">
        <f t="shared" si="30"/>
        <v>30632.52</v>
      </c>
      <c r="P28" s="27">
        <v>0</v>
      </c>
      <c r="Q28" s="27">
        <v>0</v>
      </c>
      <c r="R28" s="27">
        <f t="shared" si="31"/>
        <v>0</v>
      </c>
      <c r="S28" s="27">
        <f t="shared" si="7"/>
        <v>0</v>
      </c>
      <c r="T28" s="27"/>
      <c r="U28" s="27"/>
      <c r="V28" s="27">
        <v>0</v>
      </c>
      <c r="W28" s="27"/>
      <c r="X28" s="27">
        <f t="shared" si="32"/>
        <v>0</v>
      </c>
      <c r="Y28" s="27">
        <f t="shared" si="32"/>
        <v>0</v>
      </c>
      <c r="Z28" s="27">
        <v>0</v>
      </c>
      <c r="AA28" s="27"/>
      <c r="AB28" s="27"/>
      <c r="AC28" s="27"/>
      <c r="AD28" s="27">
        <f t="shared" si="33"/>
        <v>0</v>
      </c>
      <c r="AE28" s="27">
        <f t="shared" si="33"/>
        <v>0</v>
      </c>
      <c r="AF28" s="27">
        <f t="shared" si="10"/>
        <v>0</v>
      </c>
      <c r="AG28" s="27">
        <f t="shared" si="34"/>
        <v>0</v>
      </c>
      <c r="AH28" s="27">
        <f t="shared" si="34"/>
        <v>0</v>
      </c>
      <c r="AI28" s="27">
        <f t="shared" si="12"/>
        <v>0</v>
      </c>
      <c r="AJ28" s="27">
        <f t="shared" si="35"/>
        <v>0</v>
      </c>
      <c r="AK28" s="27">
        <f t="shared" si="35"/>
        <v>0</v>
      </c>
      <c r="AL28" s="27"/>
      <c r="AM28" s="27"/>
      <c r="AN28" s="27">
        <v>0</v>
      </c>
      <c r="AO28" s="27"/>
      <c r="AP28" s="27">
        <f t="shared" si="36"/>
        <v>0</v>
      </c>
      <c r="AQ28" s="27">
        <f t="shared" si="36"/>
        <v>0</v>
      </c>
      <c r="AR28" s="27"/>
      <c r="AS28" s="27"/>
      <c r="AT28" s="27">
        <v>0</v>
      </c>
      <c r="AU28" s="27"/>
      <c r="AV28" s="27">
        <f t="shared" si="37"/>
        <v>0</v>
      </c>
      <c r="AW28" s="27">
        <f t="shared" si="37"/>
        <v>0</v>
      </c>
      <c r="AX28" s="27"/>
      <c r="AY28" s="27"/>
      <c r="AZ28" s="27">
        <v>0</v>
      </c>
      <c r="BA28" s="27"/>
      <c r="BB28" s="27">
        <f t="shared" si="38"/>
        <v>0</v>
      </c>
      <c r="BC28" s="27">
        <f t="shared" si="38"/>
        <v>0</v>
      </c>
      <c r="BD28" s="27"/>
      <c r="BE28" s="27">
        <v>26000</v>
      </c>
      <c r="BF28" s="27">
        <v>0</v>
      </c>
      <c r="BG28" s="27"/>
      <c r="BH28" s="27">
        <f t="shared" si="39"/>
        <v>0</v>
      </c>
      <c r="BI28" s="27">
        <f t="shared" si="39"/>
        <v>26000</v>
      </c>
      <c r="BJ28" s="27"/>
      <c r="BK28" s="27"/>
      <c r="BL28" s="27">
        <v>0</v>
      </c>
      <c r="BM28" s="27">
        <v>4632.5200000000004</v>
      </c>
      <c r="BN28" s="27">
        <f t="shared" si="40"/>
        <v>0</v>
      </c>
      <c r="BO28" s="27">
        <f t="shared" si="40"/>
        <v>4632.5200000000004</v>
      </c>
      <c r="BP28" s="26"/>
      <c r="BQ28" s="27"/>
      <c r="BR28" s="27">
        <v>0</v>
      </c>
      <c r="BS28" s="27"/>
      <c r="BT28" s="27">
        <f t="shared" si="41"/>
        <v>0</v>
      </c>
      <c r="BU28" s="27">
        <f t="shared" si="41"/>
        <v>0</v>
      </c>
      <c r="BV28" s="26"/>
      <c r="BW28" s="27"/>
      <c r="BX28" s="27">
        <v>0</v>
      </c>
      <c r="BY28" s="27"/>
      <c r="BZ28" s="27">
        <f t="shared" si="42"/>
        <v>0</v>
      </c>
      <c r="CA28" s="27">
        <f t="shared" si="42"/>
        <v>0</v>
      </c>
      <c r="CB28" s="26"/>
      <c r="CC28" s="27"/>
      <c r="CD28" s="27">
        <v>0</v>
      </c>
      <c r="CE28" s="27"/>
      <c r="CF28" s="27">
        <f t="shared" si="43"/>
        <v>0</v>
      </c>
      <c r="CG28" s="27">
        <f t="shared" si="43"/>
        <v>0</v>
      </c>
      <c r="CH28" s="26"/>
      <c r="CI28" s="27"/>
      <c r="CJ28" s="27">
        <v>0</v>
      </c>
      <c r="CK28" s="27"/>
      <c r="CL28" s="27">
        <f t="shared" si="44"/>
        <v>0</v>
      </c>
      <c r="CM28" s="27">
        <f t="shared" si="44"/>
        <v>0</v>
      </c>
      <c r="CN28" s="26"/>
      <c r="CO28" s="27"/>
      <c r="CP28" s="27">
        <v>0</v>
      </c>
      <c r="CQ28" s="27"/>
      <c r="CR28" s="27">
        <f t="shared" si="45"/>
        <v>0</v>
      </c>
      <c r="CS28" s="27">
        <f t="shared" si="45"/>
        <v>0</v>
      </c>
      <c r="CT28" s="26"/>
      <c r="CU28" s="27"/>
      <c r="CV28" s="27">
        <v>0</v>
      </c>
      <c r="CW28" s="27"/>
      <c r="CX28" s="27">
        <f t="shared" si="46"/>
        <v>0</v>
      </c>
      <c r="CY28" s="27">
        <f t="shared" si="46"/>
        <v>0</v>
      </c>
      <c r="CZ28" s="26"/>
      <c r="DA28" s="27"/>
      <c r="DB28" s="27">
        <v>0</v>
      </c>
      <c r="DC28" s="27"/>
      <c r="DD28" s="27">
        <f t="shared" si="47"/>
        <v>0</v>
      </c>
      <c r="DE28" s="27">
        <f t="shared" si="47"/>
        <v>0</v>
      </c>
      <c r="DF28" s="28">
        <f t="shared" si="48"/>
        <v>0</v>
      </c>
      <c r="DG28" s="28">
        <f t="shared" si="48"/>
        <v>26000</v>
      </c>
      <c r="DH28" s="28">
        <f t="shared" si="48"/>
        <v>0</v>
      </c>
      <c r="DI28" s="28">
        <f t="shared" si="48"/>
        <v>4632.5200000000004</v>
      </c>
      <c r="DJ28" s="27">
        <f t="shared" si="49"/>
        <v>0</v>
      </c>
      <c r="DK28" s="27">
        <f t="shared" si="49"/>
        <v>30632.52</v>
      </c>
    </row>
    <row r="29" spans="1:115">
      <c r="A29" s="25">
        <v>21</v>
      </c>
      <c r="B29" s="26" t="s">
        <v>1161</v>
      </c>
      <c r="C29" s="26" t="s">
        <v>1294</v>
      </c>
      <c r="D29" s="26" t="s">
        <v>1293</v>
      </c>
      <c r="E29" s="205" t="s">
        <v>1200</v>
      </c>
      <c r="F29" s="161">
        <f t="shared" si="28"/>
        <v>0</v>
      </c>
      <c r="G29" s="165">
        <f t="shared" si="29"/>
        <v>0</v>
      </c>
      <c r="H29" s="27"/>
      <c r="I29" s="27">
        <v>0</v>
      </c>
      <c r="J29" s="27">
        <v>0</v>
      </c>
      <c r="K29" s="127">
        <f t="shared" si="3"/>
        <v>0</v>
      </c>
      <c r="L29" s="127">
        <f t="shared" si="4"/>
        <v>0</v>
      </c>
      <c r="M29" s="127">
        <f t="shared" si="5"/>
        <v>0</v>
      </c>
      <c r="N29" s="131"/>
      <c r="O29" s="125">
        <f t="shared" si="30"/>
        <v>30632.52</v>
      </c>
      <c r="P29" s="27">
        <v>0</v>
      </c>
      <c r="Q29" s="27">
        <v>0</v>
      </c>
      <c r="R29" s="27">
        <f t="shared" si="31"/>
        <v>0</v>
      </c>
      <c r="S29" s="27">
        <f t="shared" si="7"/>
        <v>0</v>
      </c>
      <c r="T29" s="27"/>
      <c r="U29" s="27"/>
      <c r="V29" s="27">
        <v>0</v>
      </c>
      <c r="W29" s="27"/>
      <c r="X29" s="27">
        <f t="shared" si="32"/>
        <v>0</v>
      </c>
      <c r="Y29" s="27">
        <f t="shared" si="32"/>
        <v>0</v>
      </c>
      <c r="Z29" s="27">
        <v>0</v>
      </c>
      <c r="AA29" s="27"/>
      <c r="AB29" s="27"/>
      <c r="AC29" s="27"/>
      <c r="AD29" s="27">
        <f t="shared" si="33"/>
        <v>0</v>
      </c>
      <c r="AE29" s="27">
        <f t="shared" si="33"/>
        <v>0</v>
      </c>
      <c r="AF29" s="27">
        <f t="shared" si="10"/>
        <v>0</v>
      </c>
      <c r="AG29" s="27">
        <f t="shared" si="34"/>
        <v>0</v>
      </c>
      <c r="AH29" s="27">
        <f t="shared" si="34"/>
        <v>0</v>
      </c>
      <c r="AI29" s="27">
        <f t="shared" si="12"/>
        <v>0</v>
      </c>
      <c r="AJ29" s="27">
        <f t="shared" si="35"/>
        <v>0</v>
      </c>
      <c r="AK29" s="27">
        <f t="shared" si="35"/>
        <v>0</v>
      </c>
      <c r="AL29" s="27"/>
      <c r="AM29" s="27"/>
      <c r="AN29" s="27">
        <v>0</v>
      </c>
      <c r="AO29" s="27"/>
      <c r="AP29" s="27">
        <f t="shared" si="36"/>
        <v>0</v>
      </c>
      <c r="AQ29" s="27">
        <f t="shared" si="36"/>
        <v>0</v>
      </c>
      <c r="AR29" s="27"/>
      <c r="AS29" s="27"/>
      <c r="AT29" s="27">
        <v>0</v>
      </c>
      <c r="AU29" s="27"/>
      <c r="AV29" s="27">
        <f t="shared" si="37"/>
        <v>0</v>
      </c>
      <c r="AW29" s="27">
        <f t="shared" si="37"/>
        <v>0</v>
      </c>
      <c r="AX29" s="27"/>
      <c r="AY29" s="27"/>
      <c r="AZ29" s="27">
        <v>0</v>
      </c>
      <c r="BA29" s="27"/>
      <c r="BB29" s="27">
        <f t="shared" si="38"/>
        <v>0</v>
      </c>
      <c r="BC29" s="27">
        <f t="shared" si="38"/>
        <v>0</v>
      </c>
      <c r="BD29" s="27"/>
      <c r="BE29" s="27">
        <v>26000</v>
      </c>
      <c r="BF29" s="27">
        <v>0</v>
      </c>
      <c r="BG29" s="27"/>
      <c r="BH29" s="27">
        <f t="shared" si="39"/>
        <v>0</v>
      </c>
      <c r="BI29" s="27">
        <f t="shared" si="39"/>
        <v>26000</v>
      </c>
      <c r="BJ29" s="27"/>
      <c r="BK29" s="27"/>
      <c r="BL29" s="27">
        <v>0</v>
      </c>
      <c r="BM29" s="27">
        <v>4632.5200000000004</v>
      </c>
      <c r="BN29" s="27">
        <f t="shared" si="40"/>
        <v>0</v>
      </c>
      <c r="BO29" s="27">
        <f t="shared" si="40"/>
        <v>4632.5200000000004</v>
      </c>
      <c r="BP29" s="26"/>
      <c r="BQ29" s="27"/>
      <c r="BR29" s="27">
        <v>0</v>
      </c>
      <c r="BS29" s="27"/>
      <c r="BT29" s="27">
        <f t="shared" si="41"/>
        <v>0</v>
      </c>
      <c r="BU29" s="27">
        <f t="shared" si="41"/>
        <v>0</v>
      </c>
      <c r="BV29" s="26"/>
      <c r="BW29" s="27"/>
      <c r="BX29" s="27">
        <v>0</v>
      </c>
      <c r="BY29" s="27"/>
      <c r="BZ29" s="27">
        <f t="shared" si="42"/>
        <v>0</v>
      </c>
      <c r="CA29" s="27">
        <f t="shared" si="42"/>
        <v>0</v>
      </c>
      <c r="CB29" s="26"/>
      <c r="CC29" s="27"/>
      <c r="CD29" s="27">
        <v>0</v>
      </c>
      <c r="CE29" s="27"/>
      <c r="CF29" s="27">
        <f t="shared" si="43"/>
        <v>0</v>
      </c>
      <c r="CG29" s="27">
        <f t="shared" si="43"/>
        <v>0</v>
      </c>
      <c r="CH29" s="26"/>
      <c r="CI29" s="27"/>
      <c r="CJ29" s="27">
        <v>0</v>
      </c>
      <c r="CK29" s="27"/>
      <c r="CL29" s="27">
        <f t="shared" si="44"/>
        <v>0</v>
      </c>
      <c r="CM29" s="27">
        <f t="shared" si="44"/>
        <v>0</v>
      </c>
      <c r="CN29" s="26"/>
      <c r="CO29" s="27"/>
      <c r="CP29" s="27">
        <v>0</v>
      </c>
      <c r="CQ29" s="27"/>
      <c r="CR29" s="27">
        <f t="shared" si="45"/>
        <v>0</v>
      </c>
      <c r="CS29" s="27">
        <f t="shared" si="45"/>
        <v>0</v>
      </c>
      <c r="CT29" s="26"/>
      <c r="CU29" s="27"/>
      <c r="CV29" s="27">
        <v>0</v>
      </c>
      <c r="CW29" s="27"/>
      <c r="CX29" s="27">
        <f t="shared" si="46"/>
        <v>0</v>
      </c>
      <c r="CY29" s="27">
        <f t="shared" si="46"/>
        <v>0</v>
      </c>
      <c r="CZ29" s="26"/>
      <c r="DA29" s="27"/>
      <c r="DB29" s="27">
        <v>0</v>
      </c>
      <c r="DC29" s="27"/>
      <c r="DD29" s="27">
        <f t="shared" si="47"/>
        <v>0</v>
      </c>
      <c r="DE29" s="27">
        <f t="shared" si="47"/>
        <v>0</v>
      </c>
      <c r="DF29" s="28">
        <f t="shared" si="48"/>
        <v>0</v>
      </c>
      <c r="DG29" s="28">
        <f t="shared" si="48"/>
        <v>26000</v>
      </c>
      <c r="DH29" s="28">
        <f t="shared" si="48"/>
        <v>0</v>
      </c>
      <c r="DI29" s="28">
        <f t="shared" si="48"/>
        <v>4632.5200000000004</v>
      </c>
      <c r="DJ29" s="27">
        <f t="shared" si="49"/>
        <v>0</v>
      </c>
      <c r="DK29" s="27">
        <f t="shared" si="49"/>
        <v>30632.52</v>
      </c>
    </row>
    <row r="30" spans="1:115">
      <c r="A30" s="25">
        <v>22</v>
      </c>
      <c r="B30" s="26" t="s">
        <v>1161</v>
      </c>
      <c r="C30" s="26" t="s">
        <v>1290</v>
      </c>
      <c r="D30" s="26" t="s">
        <v>1289</v>
      </c>
      <c r="E30" s="205" t="s">
        <v>1200</v>
      </c>
      <c r="F30" s="161">
        <f t="shared" si="28"/>
        <v>0</v>
      </c>
      <c r="G30" s="165">
        <f t="shared" si="29"/>
        <v>0</v>
      </c>
      <c r="H30" s="27"/>
      <c r="I30" s="27">
        <v>0</v>
      </c>
      <c r="J30" s="27">
        <v>0</v>
      </c>
      <c r="K30" s="127">
        <f t="shared" si="3"/>
        <v>0</v>
      </c>
      <c r="L30" s="127">
        <f t="shared" si="4"/>
        <v>0</v>
      </c>
      <c r="M30" s="127">
        <f t="shared" si="5"/>
        <v>0</v>
      </c>
      <c r="N30" s="131"/>
      <c r="O30" s="125">
        <f t="shared" si="30"/>
        <v>30632.52</v>
      </c>
      <c r="P30" s="27">
        <v>0</v>
      </c>
      <c r="Q30" s="27">
        <v>0</v>
      </c>
      <c r="R30" s="27">
        <f t="shared" si="31"/>
        <v>0</v>
      </c>
      <c r="S30" s="27">
        <f t="shared" si="7"/>
        <v>0</v>
      </c>
      <c r="T30" s="27"/>
      <c r="U30" s="27"/>
      <c r="V30" s="27">
        <v>0</v>
      </c>
      <c r="W30" s="27"/>
      <c r="X30" s="27">
        <f t="shared" si="32"/>
        <v>0</v>
      </c>
      <c r="Y30" s="27">
        <f t="shared" si="32"/>
        <v>0</v>
      </c>
      <c r="Z30" s="27">
        <v>0</v>
      </c>
      <c r="AA30" s="27"/>
      <c r="AB30" s="27"/>
      <c r="AC30" s="27"/>
      <c r="AD30" s="27">
        <f t="shared" si="33"/>
        <v>0</v>
      </c>
      <c r="AE30" s="27">
        <f t="shared" si="33"/>
        <v>0</v>
      </c>
      <c r="AF30" s="27">
        <f t="shared" si="10"/>
        <v>0</v>
      </c>
      <c r="AG30" s="27">
        <f t="shared" si="34"/>
        <v>0</v>
      </c>
      <c r="AH30" s="27">
        <f t="shared" si="34"/>
        <v>0</v>
      </c>
      <c r="AI30" s="27">
        <f t="shared" si="12"/>
        <v>0</v>
      </c>
      <c r="AJ30" s="27">
        <f t="shared" si="35"/>
        <v>0</v>
      </c>
      <c r="AK30" s="27">
        <f t="shared" si="35"/>
        <v>0</v>
      </c>
      <c r="AL30" s="27"/>
      <c r="AM30" s="27"/>
      <c r="AN30" s="27">
        <v>0</v>
      </c>
      <c r="AO30" s="27"/>
      <c r="AP30" s="27">
        <f t="shared" si="36"/>
        <v>0</v>
      </c>
      <c r="AQ30" s="27">
        <f t="shared" si="36"/>
        <v>0</v>
      </c>
      <c r="AR30" s="27"/>
      <c r="AS30" s="27"/>
      <c r="AT30" s="27">
        <v>0</v>
      </c>
      <c r="AU30" s="27"/>
      <c r="AV30" s="27">
        <f t="shared" si="37"/>
        <v>0</v>
      </c>
      <c r="AW30" s="27">
        <f t="shared" si="37"/>
        <v>0</v>
      </c>
      <c r="AX30" s="27"/>
      <c r="AY30" s="27"/>
      <c r="AZ30" s="27">
        <v>0</v>
      </c>
      <c r="BA30" s="27"/>
      <c r="BB30" s="27">
        <f t="shared" si="38"/>
        <v>0</v>
      </c>
      <c r="BC30" s="27">
        <f t="shared" si="38"/>
        <v>0</v>
      </c>
      <c r="BD30" s="27"/>
      <c r="BE30" s="27">
        <v>26000</v>
      </c>
      <c r="BF30" s="27">
        <v>0</v>
      </c>
      <c r="BG30" s="27"/>
      <c r="BH30" s="27">
        <f t="shared" si="39"/>
        <v>0</v>
      </c>
      <c r="BI30" s="27">
        <f t="shared" si="39"/>
        <v>26000</v>
      </c>
      <c r="BJ30" s="27"/>
      <c r="BK30" s="27"/>
      <c r="BL30" s="27">
        <v>0</v>
      </c>
      <c r="BM30" s="27">
        <v>4632.5200000000004</v>
      </c>
      <c r="BN30" s="27">
        <f t="shared" si="40"/>
        <v>0</v>
      </c>
      <c r="BO30" s="27">
        <f t="shared" si="40"/>
        <v>4632.5200000000004</v>
      </c>
      <c r="BP30" s="26"/>
      <c r="BQ30" s="27"/>
      <c r="BR30" s="27">
        <v>0</v>
      </c>
      <c r="BS30" s="27"/>
      <c r="BT30" s="27">
        <f t="shared" si="41"/>
        <v>0</v>
      </c>
      <c r="BU30" s="27">
        <f t="shared" si="41"/>
        <v>0</v>
      </c>
      <c r="BV30" s="26"/>
      <c r="BW30" s="27"/>
      <c r="BX30" s="27">
        <v>0</v>
      </c>
      <c r="BY30" s="27"/>
      <c r="BZ30" s="27">
        <f t="shared" si="42"/>
        <v>0</v>
      </c>
      <c r="CA30" s="27">
        <f t="shared" si="42"/>
        <v>0</v>
      </c>
      <c r="CB30" s="26"/>
      <c r="CC30" s="27"/>
      <c r="CD30" s="27">
        <v>0</v>
      </c>
      <c r="CE30" s="27"/>
      <c r="CF30" s="27">
        <f t="shared" si="43"/>
        <v>0</v>
      </c>
      <c r="CG30" s="27">
        <f t="shared" si="43"/>
        <v>0</v>
      </c>
      <c r="CH30" s="26"/>
      <c r="CI30" s="27"/>
      <c r="CJ30" s="27">
        <v>0</v>
      </c>
      <c r="CK30" s="27"/>
      <c r="CL30" s="27">
        <f t="shared" si="44"/>
        <v>0</v>
      </c>
      <c r="CM30" s="27">
        <f t="shared" si="44"/>
        <v>0</v>
      </c>
      <c r="CN30" s="26"/>
      <c r="CO30" s="27"/>
      <c r="CP30" s="27">
        <v>0</v>
      </c>
      <c r="CQ30" s="27"/>
      <c r="CR30" s="27">
        <f t="shared" si="45"/>
        <v>0</v>
      </c>
      <c r="CS30" s="27">
        <f t="shared" si="45"/>
        <v>0</v>
      </c>
      <c r="CT30" s="26"/>
      <c r="CU30" s="27"/>
      <c r="CV30" s="27">
        <v>0</v>
      </c>
      <c r="CW30" s="27"/>
      <c r="CX30" s="27">
        <f t="shared" si="46"/>
        <v>0</v>
      </c>
      <c r="CY30" s="27">
        <f t="shared" si="46"/>
        <v>0</v>
      </c>
      <c r="CZ30" s="26"/>
      <c r="DA30" s="27"/>
      <c r="DB30" s="27">
        <v>0</v>
      </c>
      <c r="DC30" s="27"/>
      <c r="DD30" s="27">
        <f t="shared" si="47"/>
        <v>0</v>
      </c>
      <c r="DE30" s="27">
        <f t="shared" si="47"/>
        <v>0</v>
      </c>
      <c r="DF30" s="28">
        <f t="shared" si="48"/>
        <v>0</v>
      </c>
      <c r="DG30" s="28">
        <f t="shared" si="48"/>
        <v>26000</v>
      </c>
      <c r="DH30" s="28">
        <f t="shared" si="48"/>
        <v>0</v>
      </c>
      <c r="DI30" s="28">
        <f t="shared" si="48"/>
        <v>4632.5200000000004</v>
      </c>
      <c r="DJ30" s="27">
        <f t="shared" si="49"/>
        <v>0</v>
      </c>
      <c r="DK30" s="27">
        <f t="shared" si="49"/>
        <v>30632.52</v>
      </c>
    </row>
    <row r="31" spans="1:115">
      <c r="A31" s="25">
        <v>23</v>
      </c>
      <c r="B31" s="26" t="s">
        <v>1161</v>
      </c>
      <c r="C31" s="26"/>
      <c r="D31" s="26" t="s">
        <v>1296</v>
      </c>
      <c r="E31" s="205" t="s">
        <v>1200</v>
      </c>
      <c r="F31" s="161">
        <f t="shared" ref="F31:F94" si="50">SUM(DJ31)</f>
        <v>0</v>
      </c>
      <c r="G31" s="165">
        <f t="shared" ref="G31:G94" si="51">I31+AK31+DJ31</f>
        <v>0</v>
      </c>
      <c r="H31" s="27"/>
      <c r="I31" s="27">
        <v>0</v>
      </c>
      <c r="J31" s="27">
        <v>0</v>
      </c>
      <c r="K31" s="127">
        <f t="shared" ref="K31:K94" si="52">AK31</f>
        <v>0</v>
      </c>
      <c r="L31" s="127">
        <f t="shared" ref="L31:L94" si="53">IF(AI31&gt;0,I31+AK31-J31,0)</f>
        <v>0</v>
      </c>
      <c r="M31" s="127">
        <f t="shared" ref="M31:M94" si="54">I31+K31</f>
        <v>0</v>
      </c>
      <c r="N31" s="131"/>
      <c r="O31" s="125">
        <f t="shared" ref="O31:O94" si="55">IF(AND(AI31&gt;0,DI31&gt;0),"შეცდომაა! ერთზე მეტი ბოლო ჩაბარება!",IF(OR(AI31&gt;0,DI31&gt;0,),IF(AI31&gt;0,I31+AK31,I31+AK31+DK31),IF(AND(I31=0,K31=0,DK31=0),"ნულოვანი შესრულება","მიმდინარეობს")))</f>
        <v>22500</v>
      </c>
      <c r="P31" s="27">
        <v>0</v>
      </c>
      <c r="Q31" s="27">
        <v>0</v>
      </c>
      <c r="R31" s="27">
        <f t="shared" ref="R31:R94" si="56">I31+P31</f>
        <v>0</v>
      </c>
      <c r="S31" s="27">
        <f t="shared" ref="S31:S94" si="57">Q31</f>
        <v>0</v>
      </c>
      <c r="T31" s="27"/>
      <c r="U31" s="27"/>
      <c r="V31" s="27">
        <v>0</v>
      </c>
      <c r="W31" s="27"/>
      <c r="X31" s="27">
        <f t="shared" ref="X31:X94" si="58">T31+V31</f>
        <v>0</v>
      </c>
      <c r="Y31" s="27">
        <f t="shared" ref="Y31:Y94" si="59">U31+W31</f>
        <v>0</v>
      </c>
      <c r="Z31" s="27">
        <v>0</v>
      </c>
      <c r="AA31" s="27"/>
      <c r="AB31" s="27"/>
      <c r="AC31" s="27"/>
      <c r="AD31" s="27">
        <f t="shared" ref="AD31:AD94" si="60">Z31+AB31</f>
        <v>0</v>
      </c>
      <c r="AE31" s="27">
        <f t="shared" ref="AE31:AE94" si="61">AA31+AC31</f>
        <v>0</v>
      </c>
      <c r="AF31" s="27">
        <f t="shared" ref="AF31:AF94" si="62">P31+T31+Z31</f>
        <v>0</v>
      </c>
      <c r="AG31" s="27">
        <f t="shared" ref="AG31:AG94" si="63">P31+U31+AA31</f>
        <v>0</v>
      </c>
      <c r="AH31" s="27">
        <f t="shared" ref="AH31:AH94" si="64">Q31+V31+AB31</f>
        <v>0</v>
      </c>
      <c r="AI31" s="27">
        <f t="shared" ref="AI31:AI94" si="65">Q31+W31+AC31</f>
        <v>0</v>
      </c>
      <c r="AJ31" s="27">
        <f t="shared" ref="AJ31:AJ94" si="66">AF31+AH31</f>
        <v>0</v>
      </c>
      <c r="AK31" s="27">
        <f t="shared" ref="AK31:AK94" si="67">AG31+AI31</f>
        <v>0</v>
      </c>
      <c r="AL31" s="27"/>
      <c r="AM31" s="27"/>
      <c r="AN31" s="27">
        <v>0</v>
      </c>
      <c r="AO31" s="27"/>
      <c r="AP31" s="27">
        <f t="shared" ref="AP31:AP94" si="68">AL31+AN31</f>
        <v>0</v>
      </c>
      <c r="AQ31" s="27">
        <f t="shared" ref="AQ31:AQ94" si="69">AM31+AO31</f>
        <v>0</v>
      </c>
      <c r="AR31" s="27"/>
      <c r="AS31" s="27"/>
      <c r="AT31" s="27">
        <v>0</v>
      </c>
      <c r="AU31" s="27"/>
      <c r="AV31" s="27">
        <f t="shared" ref="AV31:AV94" si="70">AR31+AT31</f>
        <v>0</v>
      </c>
      <c r="AW31" s="27">
        <f t="shared" ref="AW31:AW94" si="71">AS31+AU31</f>
        <v>0</v>
      </c>
      <c r="AX31" s="27"/>
      <c r="AY31" s="27"/>
      <c r="AZ31" s="27">
        <v>0</v>
      </c>
      <c r="BA31" s="27"/>
      <c r="BB31" s="27">
        <f t="shared" ref="BB31:BB94" si="72">AX31+AZ31</f>
        <v>0</v>
      </c>
      <c r="BC31" s="27">
        <f t="shared" ref="BC31:BC94" si="73">AY31+BA31</f>
        <v>0</v>
      </c>
      <c r="BD31" s="27"/>
      <c r="BE31" s="27"/>
      <c r="BF31" s="27">
        <v>0</v>
      </c>
      <c r="BG31" s="27"/>
      <c r="BH31" s="27">
        <f t="shared" ref="BH31:BH94" si="74">BD31+BF31</f>
        <v>0</v>
      </c>
      <c r="BI31" s="27">
        <f t="shared" ref="BI31:BI94" si="75">BE31+BG31</f>
        <v>0</v>
      </c>
      <c r="BJ31" s="27"/>
      <c r="BK31" s="27"/>
      <c r="BL31" s="27">
        <v>0</v>
      </c>
      <c r="BM31" s="27">
        <v>22500</v>
      </c>
      <c r="BN31" s="27">
        <f t="shared" ref="BN31:BN94" si="76">BJ31+BL31</f>
        <v>0</v>
      </c>
      <c r="BO31" s="27">
        <f t="shared" ref="BO31:BO94" si="77">BK31+BM31</f>
        <v>22500</v>
      </c>
      <c r="BP31" s="26"/>
      <c r="BQ31" s="27"/>
      <c r="BR31" s="27">
        <v>0</v>
      </c>
      <c r="BS31" s="27"/>
      <c r="BT31" s="27">
        <f t="shared" ref="BT31:BT94" si="78">BP31+BR31</f>
        <v>0</v>
      </c>
      <c r="BU31" s="27">
        <f t="shared" ref="BU31:BU94" si="79">BQ31+BS31</f>
        <v>0</v>
      </c>
      <c r="BV31" s="26"/>
      <c r="BW31" s="27"/>
      <c r="BX31" s="27">
        <v>0</v>
      </c>
      <c r="BY31" s="27"/>
      <c r="BZ31" s="27">
        <f t="shared" ref="BZ31:BZ94" si="80">BV31+BX31</f>
        <v>0</v>
      </c>
      <c r="CA31" s="27">
        <f t="shared" ref="CA31:CA94" si="81">BW31+BY31</f>
        <v>0</v>
      </c>
      <c r="CB31" s="26"/>
      <c r="CC31" s="27"/>
      <c r="CD31" s="27">
        <v>0</v>
      </c>
      <c r="CE31" s="27"/>
      <c r="CF31" s="27">
        <f t="shared" ref="CF31:CF94" si="82">CB31+CD31</f>
        <v>0</v>
      </c>
      <c r="CG31" s="27">
        <f t="shared" ref="CG31:CG94" si="83">CC31+CE31</f>
        <v>0</v>
      </c>
      <c r="CH31" s="26"/>
      <c r="CI31" s="27"/>
      <c r="CJ31" s="27">
        <v>0</v>
      </c>
      <c r="CK31" s="27"/>
      <c r="CL31" s="27">
        <f t="shared" ref="CL31:CL94" si="84">CH31+CJ31</f>
        <v>0</v>
      </c>
      <c r="CM31" s="27">
        <f t="shared" ref="CM31:CM94" si="85">CI31+CK31</f>
        <v>0</v>
      </c>
      <c r="CN31" s="26"/>
      <c r="CO31" s="27"/>
      <c r="CP31" s="27">
        <v>0</v>
      </c>
      <c r="CQ31" s="27"/>
      <c r="CR31" s="27">
        <f t="shared" ref="CR31:CR94" si="86">CN31+CP31</f>
        <v>0</v>
      </c>
      <c r="CS31" s="27">
        <f t="shared" ref="CS31:CS94" si="87">CO31+CQ31</f>
        <v>0</v>
      </c>
      <c r="CT31" s="26"/>
      <c r="CU31" s="27"/>
      <c r="CV31" s="27">
        <v>0</v>
      </c>
      <c r="CW31" s="27"/>
      <c r="CX31" s="27">
        <f t="shared" ref="CX31:CX94" si="88">CT31+CV31</f>
        <v>0</v>
      </c>
      <c r="CY31" s="27">
        <f t="shared" ref="CY31:CY94" si="89">CU31+CW31</f>
        <v>0</v>
      </c>
      <c r="CZ31" s="26"/>
      <c r="DA31" s="27"/>
      <c r="DB31" s="27">
        <v>0</v>
      </c>
      <c r="DC31" s="27"/>
      <c r="DD31" s="27">
        <f t="shared" ref="DD31:DD94" si="90">CZ31+DB31</f>
        <v>0</v>
      </c>
      <c r="DE31" s="27">
        <f t="shared" ref="DE31:DE94" si="91">DA31+DC31</f>
        <v>0</v>
      </c>
      <c r="DF31" s="28">
        <f t="shared" ref="DF31:DF94" si="92">AL31+AR31+AX31+BD31+BJ31+BP31+BV31+CB31+CH31+CN31+CT31+CZ31</f>
        <v>0</v>
      </c>
      <c r="DG31" s="28">
        <f t="shared" ref="DG31:DG94" si="93">AM31+AS31+AY31+BE31+BK31+BQ31+BW31+CC31+CI31+CO31+CU31+DA31</f>
        <v>0</v>
      </c>
      <c r="DH31" s="28">
        <f t="shared" ref="DH31:DH94" si="94">AN31+AT31+AZ31+BF31+BL31+BR31+BX31+CD31+CJ31+CP31+CV31+DB31</f>
        <v>0</v>
      </c>
      <c r="DI31" s="28">
        <f t="shared" ref="DI31:DI94" si="95">AO31+AU31+BA31+BG31+BM31+BS31+BY31+CE31+CK31+CQ31+CW31+DC31</f>
        <v>22500</v>
      </c>
      <c r="DJ31" s="27">
        <f t="shared" ref="DJ31:DJ94" si="96">DF31+DH31</f>
        <v>0</v>
      </c>
      <c r="DK31" s="27">
        <f t="shared" ref="DK31:DK94" si="97">DG31+DI31</f>
        <v>22500</v>
      </c>
    </row>
    <row r="32" spans="1:115">
      <c r="A32" s="25">
        <v>24</v>
      </c>
      <c r="B32" s="26" t="s">
        <v>1161</v>
      </c>
      <c r="C32" s="26" t="s">
        <v>1303</v>
      </c>
      <c r="D32" s="26" t="s">
        <v>1302</v>
      </c>
      <c r="E32" s="205" t="s">
        <v>1200</v>
      </c>
      <c r="F32" s="161">
        <f t="shared" si="50"/>
        <v>0</v>
      </c>
      <c r="G32" s="165">
        <f t="shared" si="51"/>
        <v>0</v>
      </c>
      <c r="H32" s="27"/>
      <c r="I32" s="27">
        <v>0</v>
      </c>
      <c r="J32" s="27">
        <v>0</v>
      </c>
      <c r="K32" s="127">
        <f t="shared" si="52"/>
        <v>0</v>
      </c>
      <c r="L32" s="127">
        <f t="shared" si="53"/>
        <v>0</v>
      </c>
      <c r="M32" s="127">
        <f t="shared" si="54"/>
        <v>0</v>
      </c>
      <c r="N32" s="131"/>
      <c r="O32" s="125">
        <f t="shared" si="55"/>
        <v>213804.16999999998</v>
      </c>
      <c r="P32" s="27">
        <v>0</v>
      </c>
      <c r="Q32" s="27">
        <v>0</v>
      </c>
      <c r="R32" s="27">
        <f t="shared" si="56"/>
        <v>0</v>
      </c>
      <c r="S32" s="27">
        <f t="shared" si="57"/>
        <v>0</v>
      </c>
      <c r="T32" s="27"/>
      <c r="U32" s="27"/>
      <c r="V32" s="27">
        <v>0</v>
      </c>
      <c r="W32" s="27"/>
      <c r="X32" s="27">
        <f t="shared" si="58"/>
        <v>0</v>
      </c>
      <c r="Y32" s="27">
        <f t="shared" si="59"/>
        <v>0</v>
      </c>
      <c r="Z32" s="27">
        <v>0</v>
      </c>
      <c r="AA32" s="27"/>
      <c r="AB32" s="27"/>
      <c r="AC32" s="27"/>
      <c r="AD32" s="27">
        <f t="shared" si="60"/>
        <v>0</v>
      </c>
      <c r="AE32" s="27">
        <f t="shared" si="61"/>
        <v>0</v>
      </c>
      <c r="AF32" s="27">
        <f t="shared" si="62"/>
        <v>0</v>
      </c>
      <c r="AG32" s="27">
        <f t="shared" si="63"/>
        <v>0</v>
      </c>
      <c r="AH32" s="27">
        <f t="shared" si="64"/>
        <v>0</v>
      </c>
      <c r="AI32" s="27">
        <f t="shared" si="65"/>
        <v>0</v>
      </c>
      <c r="AJ32" s="27">
        <f t="shared" si="66"/>
        <v>0</v>
      </c>
      <c r="AK32" s="27">
        <f t="shared" si="67"/>
        <v>0</v>
      </c>
      <c r="AL32" s="27"/>
      <c r="AM32" s="27"/>
      <c r="AN32" s="27">
        <v>0</v>
      </c>
      <c r="AO32" s="27"/>
      <c r="AP32" s="27">
        <f t="shared" si="68"/>
        <v>0</v>
      </c>
      <c r="AQ32" s="27">
        <f t="shared" si="69"/>
        <v>0</v>
      </c>
      <c r="AR32" s="27"/>
      <c r="AS32" s="27"/>
      <c r="AT32" s="27">
        <v>0</v>
      </c>
      <c r="AU32" s="27"/>
      <c r="AV32" s="27">
        <f t="shared" si="70"/>
        <v>0</v>
      </c>
      <c r="AW32" s="27">
        <f t="shared" si="71"/>
        <v>0</v>
      </c>
      <c r="AX32" s="27"/>
      <c r="AY32" s="27"/>
      <c r="AZ32" s="27">
        <v>0</v>
      </c>
      <c r="BA32" s="27"/>
      <c r="BB32" s="27">
        <f t="shared" si="72"/>
        <v>0</v>
      </c>
      <c r="BC32" s="27">
        <f t="shared" si="73"/>
        <v>0</v>
      </c>
      <c r="BD32" s="27"/>
      <c r="BE32" s="27"/>
      <c r="BF32" s="27">
        <v>0</v>
      </c>
      <c r="BG32" s="27"/>
      <c r="BH32" s="27">
        <f t="shared" si="74"/>
        <v>0</v>
      </c>
      <c r="BI32" s="27">
        <f t="shared" si="75"/>
        <v>0</v>
      </c>
      <c r="BJ32" s="27"/>
      <c r="BK32" s="27">
        <v>185000</v>
      </c>
      <c r="BL32" s="27">
        <v>0</v>
      </c>
      <c r="BM32" s="27"/>
      <c r="BN32" s="27">
        <f t="shared" si="76"/>
        <v>0</v>
      </c>
      <c r="BO32" s="27">
        <f t="shared" si="77"/>
        <v>185000</v>
      </c>
      <c r="BP32" s="26"/>
      <c r="BQ32" s="27"/>
      <c r="BR32" s="27">
        <v>0</v>
      </c>
      <c r="BS32" s="27">
        <v>28804.17</v>
      </c>
      <c r="BT32" s="27">
        <f t="shared" si="78"/>
        <v>0</v>
      </c>
      <c r="BU32" s="27">
        <f t="shared" si="79"/>
        <v>28804.17</v>
      </c>
      <c r="BV32" s="26"/>
      <c r="BW32" s="27"/>
      <c r="BX32" s="27">
        <v>0</v>
      </c>
      <c r="BY32" s="27"/>
      <c r="BZ32" s="27">
        <f t="shared" si="80"/>
        <v>0</v>
      </c>
      <c r="CA32" s="27">
        <f t="shared" si="81"/>
        <v>0</v>
      </c>
      <c r="CB32" s="26"/>
      <c r="CC32" s="27"/>
      <c r="CD32" s="27">
        <v>0</v>
      </c>
      <c r="CE32" s="27"/>
      <c r="CF32" s="27">
        <f t="shared" si="82"/>
        <v>0</v>
      </c>
      <c r="CG32" s="27">
        <f t="shared" si="83"/>
        <v>0</v>
      </c>
      <c r="CH32" s="26"/>
      <c r="CI32" s="27"/>
      <c r="CJ32" s="27">
        <v>0</v>
      </c>
      <c r="CK32" s="27"/>
      <c r="CL32" s="27">
        <f t="shared" si="84"/>
        <v>0</v>
      </c>
      <c r="CM32" s="27">
        <f t="shared" si="85"/>
        <v>0</v>
      </c>
      <c r="CN32" s="26"/>
      <c r="CO32" s="27"/>
      <c r="CP32" s="27">
        <v>0</v>
      </c>
      <c r="CQ32" s="27"/>
      <c r="CR32" s="27">
        <f t="shared" si="86"/>
        <v>0</v>
      </c>
      <c r="CS32" s="27">
        <f t="shared" si="87"/>
        <v>0</v>
      </c>
      <c r="CT32" s="26"/>
      <c r="CU32" s="27"/>
      <c r="CV32" s="27">
        <v>0</v>
      </c>
      <c r="CW32" s="27"/>
      <c r="CX32" s="27">
        <f t="shared" si="88"/>
        <v>0</v>
      </c>
      <c r="CY32" s="27">
        <f t="shared" si="89"/>
        <v>0</v>
      </c>
      <c r="CZ32" s="26"/>
      <c r="DA32" s="27"/>
      <c r="DB32" s="27">
        <v>0</v>
      </c>
      <c r="DC32" s="27"/>
      <c r="DD32" s="27">
        <f t="shared" si="90"/>
        <v>0</v>
      </c>
      <c r="DE32" s="27">
        <f t="shared" si="91"/>
        <v>0</v>
      </c>
      <c r="DF32" s="28">
        <f t="shared" si="92"/>
        <v>0</v>
      </c>
      <c r="DG32" s="28">
        <f t="shared" si="93"/>
        <v>185000</v>
      </c>
      <c r="DH32" s="28">
        <f t="shared" si="94"/>
        <v>0</v>
      </c>
      <c r="DI32" s="28">
        <f t="shared" si="95"/>
        <v>28804.17</v>
      </c>
      <c r="DJ32" s="27">
        <f t="shared" si="96"/>
        <v>0</v>
      </c>
      <c r="DK32" s="27">
        <f t="shared" si="97"/>
        <v>213804.16999999998</v>
      </c>
    </row>
    <row r="33" spans="1:115">
      <c r="A33" s="25">
        <v>25</v>
      </c>
      <c r="B33" s="26" t="s">
        <v>1161</v>
      </c>
      <c r="C33" s="26" t="s">
        <v>1309</v>
      </c>
      <c r="D33" s="26" t="s">
        <v>1308</v>
      </c>
      <c r="E33" s="205" t="s">
        <v>1200</v>
      </c>
      <c r="F33" s="161">
        <f t="shared" si="50"/>
        <v>0</v>
      </c>
      <c r="G33" s="165">
        <f t="shared" si="51"/>
        <v>0</v>
      </c>
      <c r="H33" s="27"/>
      <c r="I33" s="27">
        <v>0</v>
      </c>
      <c r="J33" s="27">
        <v>0</v>
      </c>
      <c r="K33" s="127">
        <f t="shared" si="52"/>
        <v>0</v>
      </c>
      <c r="L33" s="127">
        <f t="shared" si="53"/>
        <v>0</v>
      </c>
      <c r="M33" s="127">
        <f t="shared" si="54"/>
        <v>0</v>
      </c>
      <c r="N33" s="131"/>
      <c r="O33" s="125">
        <f t="shared" si="55"/>
        <v>47371.229999999996</v>
      </c>
      <c r="P33" s="27">
        <v>0</v>
      </c>
      <c r="Q33" s="27">
        <v>0</v>
      </c>
      <c r="R33" s="27">
        <f t="shared" si="56"/>
        <v>0</v>
      </c>
      <c r="S33" s="27">
        <f t="shared" si="57"/>
        <v>0</v>
      </c>
      <c r="T33" s="27"/>
      <c r="U33" s="27"/>
      <c r="V33" s="27">
        <v>0</v>
      </c>
      <c r="W33" s="27"/>
      <c r="X33" s="27">
        <f t="shared" si="58"/>
        <v>0</v>
      </c>
      <c r="Y33" s="27">
        <f t="shared" si="59"/>
        <v>0</v>
      </c>
      <c r="Z33" s="27">
        <v>0</v>
      </c>
      <c r="AA33" s="27"/>
      <c r="AB33" s="27"/>
      <c r="AC33" s="27"/>
      <c r="AD33" s="27">
        <f t="shared" si="60"/>
        <v>0</v>
      </c>
      <c r="AE33" s="27">
        <f t="shared" si="61"/>
        <v>0</v>
      </c>
      <c r="AF33" s="27">
        <f t="shared" si="62"/>
        <v>0</v>
      </c>
      <c r="AG33" s="27">
        <f t="shared" si="63"/>
        <v>0</v>
      </c>
      <c r="AH33" s="27">
        <f t="shared" si="64"/>
        <v>0</v>
      </c>
      <c r="AI33" s="27">
        <f t="shared" si="65"/>
        <v>0</v>
      </c>
      <c r="AJ33" s="27">
        <f t="shared" si="66"/>
        <v>0</v>
      </c>
      <c r="AK33" s="27">
        <f t="shared" si="67"/>
        <v>0</v>
      </c>
      <c r="AL33" s="27"/>
      <c r="AM33" s="27"/>
      <c r="AN33" s="27">
        <v>0</v>
      </c>
      <c r="AO33" s="27"/>
      <c r="AP33" s="27">
        <f t="shared" si="68"/>
        <v>0</v>
      </c>
      <c r="AQ33" s="27">
        <f t="shared" si="69"/>
        <v>0</v>
      </c>
      <c r="AR33" s="27"/>
      <c r="AS33" s="27"/>
      <c r="AT33" s="27">
        <v>0</v>
      </c>
      <c r="AU33" s="27"/>
      <c r="AV33" s="27">
        <f t="shared" si="70"/>
        <v>0</v>
      </c>
      <c r="AW33" s="27">
        <f t="shared" si="71"/>
        <v>0</v>
      </c>
      <c r="AX33" s="27"/>
      <c r="AY33" s="27"/>
      <c r="AZ33" s="27">
        <v>0</v>
      </c>
      <c r="BA33" s="27"/>
      <c r="BB33" s="27">
        <f t="shared" si="72"/>
        <v>0</v>
      </c>
      <c r="BC33" s="27">
        <f t="shared" si="73"/>
        <v>0</v>
      </c>
      <c r="BD33" s="27"/>
      <c r="BE33" s="27"/>
      <c r="BF33" s="27">
        <v>0</v>
      </c>
      <c r="BG33" s="27"/>
      <c r="BH33" s="27">
        <f t="shared" si="74"/>
        <v>0</v>
      </c>
      <c r="BI33" s="27">
        <f t="shared" si="75"/>
        <v>0</v>
      </c>
      <c r="BJ33" s="27"/>
      <c r="BK33" s="27"/>
      <c r="BL33" s="27">
        <v>0</v>
      </c>
      <c r="BM33" s="27"/>
      <c r="BN33" s="27">
        <f t="shared" si="76"/>
        <v>0</v>
      </c>
      <c r="BO33" s="27">
        <f t="shared" si="77"/>
        <v>0</v>
      </c>
      <c r="BP33" s="26"/>
      <c r="BQ33" s="27">
        <v>40000</v>
      </c>
      <c r="BR33" s="27">
        <v>0</v>
      </c>
      <c r="BS33" s="27">
        <v>7371.23</v>
      </c>
      <c r="BT33" s="27">
        <f t="shared" si="78"/>
        <v>0</v>
      </c>
      <c r="BU33" s="27">
        <f t="shared" si="79"/>
        <v>47371.229999999996</v>
      </c>
      <c r="BV33" s="26"/>
      <c r="BW33" s="27"/>
      <c r="BX33" s="27">
        <v>0</v>
      </c>
      <c r="BY33" s="27"/>
      <c r="BZ33" s="27">
        <f t="shared" si="80"/>
        <v>0</v>
      </c>
      <c r="CA33" s="27">
        <f t="shared" si="81"/>
        <v>0</v>
      </c>
      <c r="CB33" s="26"/>
      <c r="CC33" s="27"/>
      <c r="CD33" s="27">
        <v>0</v>
      </c>
      <c r="CE33" s="27"/>
      <c r="CF33" s="27">
        <f t="shared" si="82"/>
        <v>0</v>
      </c>
      <c r="CG33" s="27">
        <f t="shared" si="83"/>
        <v>0</v>
      </c>
      <c r="CH33" s="26"/>
      <c r="CI33" s="27"/>
      <c r="CJ33" s="27">
        <v>0</v>
      </c>
      <c r="CK33" s="27"/>
      <c r="CL33" s="27">
        <f t="shared" si="84"/>
        <v>0</v>
      </c>
      <c r="CM33" s="27">
        <f t="shared" si="85"/>
        <v>0</v>
      </c>
      <c r="CN33" s="26"/>
      <c r="CO33" s="27"/>
      <c r="CP33" s="27">
        <v>0</v>
      </c>
      <c r="CQ33" s="27"/>
      <c r="CR33" s="27">
        <f t="shared" si="86"/>
        <v>0</v>
      </c>
      <c r="CS33" s="27">
        <f t="shared" si="87"/>
        <v>0</v>
      </c>
      <c r="CT33" s="26"/>
      <c r="CU33" s="27"/>
      <c r="CV33" s="27">
        <v>0</v>
      </c>
      <c r="CW33" s="27"/>
      <c r="CX33" s="27">
        <f t="shared" si="88"/>
        <v>0</v>
      </c>
      <c r="CY33" s="27">
        <f t="shared" si="89"/>
        <v>0</v>
      </c>
      <c r="CZ33" s="26"/>
      <c r="DA33" s="27"/>
      <c r="DB33" s="27">
        <v>0</v>
      </c>
      <c r="DC33" s="27"/>
      <c r="DD33" s="27">
        <f t="shared" si="90"/>
        <v>0</v>
      </c>
      <c r="DE33" s="27">
        <f t="shared" si="91"/>
        <v>0</v>
      </c>
      <c r="DF33" s="28">
        <f t="shared" si="92"/>
        <v>0</v>
      </c>
      <c r="DG33" s="28">
        <f t="shared" si="93"/>
        <v>40000</v>
      </c>
      <c r="DH33" s="28">
        <f t="shared" si="94"/>
        <v>0</v>
      </c>
      <c r="DI33" s="28">
        <f t="shared" si="95"/>
        <v>7371.23</v>
      </c>
      <c r="DJ33" s="27">
        <f t="shared" si="96"/>
        <v>0</v>
      </c>
      <c r="DK33" s="27">
        <f t="shared" si="97"/>
        <v>47371.229999999996</v>
      </c>
    </row>
    <row r="34" spans="1:115">
      <c r="A34" s="25">
        <v>26</v>
      </c>
      <c r="B34" s="26" t="s">
        <v>1161</v>
      </c>
      <c r="C34" s="26" t="s">
        <v>1311</v>
      </c>
      <c r="D34" s="26" t="s">
        <v>1310</v>
      </c>
      <c r="E34" s="205" t="s">
        <v>1200</v>
      </c>
      <c r="F34" s="161">
        <f t="shared" si="50"/>
        <v>0</v>
      </c>
      <c r="G34" s="165">
        <f t="shared" si="51"/>
        <v>0</v>
      </c>
      <c r="H34" s="27"/>
      <c r="I34" s="27">
        <v>0</v>
      </c>
      <c r="J34" s="27">
        <v>0</v>
      </c>
      <c r="K34" s="127">
        <f t="shared" si="52"/>
        <v>0</v>
      </c>
      <c r="L34" s="127">
        <f t="shared" si="53"/>
        <v>0</v>
      </c>
      <c r="M34" s="127">
        <f t="shared" si="54"/>
        <v>0</v>
      </c>
      <c r="N34" s="131"/>
      <c r="O34" s="125">
        <f t="shared" si="55"/>
        <v>47371.229999999996</v>
      </c>
      <c r="P34" s="27">
        <v>0</v>
      </c>
      <c r="Q34" s="27">
        <v>0</v>
      </c>
      <c r="R34" s="27">
        <f t="shared" si="56"/>
        <v>0</v>
      </c>
      <c r="S34" s="27">
        <f t="shared" si="57"/>
        <v>0</v>
      </c>
      <c r="T34" s="27"/>
      <c r="U34" s="27"/>
      <c r="V34" s="27">
        <v>0</v>
      </c>
      <c r="W34" s="27"/>
      <c r="X34" s="27">
        <f t="shared" si="58"/>
        <v>0</v>
      </c>
      <c r="Y34" s="27">
        <f t="shared" si="59"/>
        <v>0</v>
      </c>
      <c r="Z34" s="27">
        <v>0</v>
      </c>
      <c r="AA34" s="27"/>
      <c r="AB34" s="27"/>
      <c r="AC34" s="27"/>
      <c r="AD34" s="27">
        <f t="shared" si="60"/>
        <v>0</v>
      </c>
      <c r="AE34" s="27">
        <f t="shared" si="61"/>
        <v>0</v>
      </c>
      <c r="AF34" s="27">
        <f t="shared" si="62"/>
        <v>0</v>
      </c>
      <c r="AG34" s="27">
        <f t="shared" si="63"/>
        <v>0</v>
      </c>
      <c r="AH34" s="27">
        <f t="shared" si="64"/>
        <v>0</v>
      </c>
      <c r="AI34" s="27">
        <f t="shared" si="65"/>
        <v>0</v>
      </c>
      <c r="AJ34" s="27">
        <f t="shared" si="66"/>
        <v>0</v>
      </c>
      <c r="AK34" s="27">
        <f t="shared" si="67"/>
        <v>0</v>
      </c>
      <c r="AL34" s="27"/>
      <c r="AM34" s="27"/>
      <c r="AN34" s="27">
        <v>0</v>
      </c>
      <c r="AO34" s="27"/>
      <c r="AP34" s="27">
        <f t="shared" si="68"/>
        <v>0</v>
      </c>
      <c r="AQ34" s="27">
        <f t="shared" si="69"/>
        <v>0</v>
      </c>
      <c r="AR34" s="27"/>
      <c r="AS34" s="27"/>
      <c r="AT34" s="27">
        <v>0</v>
      </c>
      <c r="AU34" s="27"/>
      <c r="AV34" s="27">
        <f t="shared" si="70"/>
        <v>0</v>
      </c>
      <c r="AW34" s="27">
        <f t="shared" si="71"/>
        <v>0</v>
      </c>
      <c r="AX34" s="27"/>
      <c r="AY34" s="27"/>
      <c r="AZ34" s="27">
        <v>0</v>
      </c>
      <c r="BA34" s="27"/>
      <c r="BB34" s="27">
        <f t="shared" si="72"/>
        <v>0</v>
      </c>
      <c r="BC34" s="27">
        <f t="shared" si="73"/>
        <v>0</v>
      </c>
      <c r="BD34" s="27"/>
      <c r="BE34" s="27"/>
      <c r="BF34" s="27">
        <v>0</v>
      </c>
      <c r="BG34" s="27"/>
      <c r="BH34" s="27">
        <f t="shared" si="74"/>
        <v>0</v>
      </c>
      <c r="BI34" s="27">
        <f t="shared" si="75"/>
        <v>0</v>
      </c>
      <c r="BJ34" s="27"/>
      <c r="BK34" s="27"/>
      <c r="BL34" s="27">
        <v>0</v>
      </c>
      <c r="BM34" s="27"/>
      <c r="BN34" s="27">
        <f t="shared" si="76"/>
        <v>0</v>
      </c>
      <c r="BO34" s="27">
        <f t="shared" si="77"/>
        <v>0</v>
      </c>
      <c r="BP34" s="26"/>
      <c r="BQ34" s="27">
        <v>40000</v>
      </c>
      <c r="BR34" s="27">
        <v>0</v>
      </c>
      <c r="BS34" s="27">
        <v>7371.23</v>
      </c>
      <c r="BT34" s="27">
        <f t="shared" si="78"/>
        <v>0</v>
      </c>
      <c r="BU34" s="27">
        <f t="shared" si="79"/>
        <v>47371.229999999996</v>
      </c>
      <c r="BV34" s="26"/>
      <c r="BW34" s="27"/>
      <c r="BX34" s="27">
        <v>0</v>
      </c>
      <c r="BY34" s="27"/>
      <c r="BZ34" s="27">
        <f t="shared" si="80"/>
        <v>0</v>
      </c>
      <c r="CA34" s="27">
        <f t="shared" si="81"/>
        <v>0</v>
      </c>
      <c r="CB34" s="26"/>
      <c r="CC34" s="27"/>
      <c r="CD34" s="27">
        <v>0</v>
      </c>
      <c r="CE34" s="27"/>
      <c r="CF34" s="27">
        <f t="shared" si="82"/>
        <v>0</v>
      </c>
      <c r="CG34" s="27">
        <f t="shared" si="83"/>
        <v>0</v>
      </c>
      <c r="CH34" s="26"/>
      <c r="CI34" s="27"/>
      <c r="CJ34" s="27">
        <v>0</v>
      </c>
      <c r="CK34" s="27"/>
      <c r="CL34" s="27">
        <f t="shared" si="84"/>
        <v>0</v>
      </c>
      <c r="CM34" s="27">
        <f t="shared" si="85"/>
        <v>0</v>
      </c>
      <c r="CN34" s="26"/>
      <c r="CO34" s="27"/>
      <c r="CP34" s="27">
        <v>0</v>
      </c>
      <c r="CQ34" s="27"/>
      <c r="CR34" s="27">
        <f t="shared" si="86"/>
        <v>0</v>
      </c>
      <c r="CS34" s="27">
        <f t="shared" si="87"/>
        <v>0</v>
      </c>
      <c r="CT34" s="26"/>
      <c r="CU34" s="27"/>
      <c r="CV34" s="27">
        <v>0</v>
      </c>
      <c r="CW34" s="27"/>
      <c r="CX34" s="27">
        <f t="shared" si="88"/>
        <v>0</v>
      </c>
      <c r="CY34" s="27">
        <f t="shared" si="89"/>
        <v>0</v>
      </c>
      <c r="CZ34" s="26"/>
      <c r="DA34" s="27"/>
      <c r="DB34" s="27">
        <v>0</v>
      </c>
      <c r="DC34" s="27"/>
      <c r="DD34" s="27">
        <f t="shared" si="90"/>
        <v>0</v>
      </c>
      <c r="DE34" s="27">
        <f t="shared" si="91"/>
        <v>0</v>
      </c>
      <c r="DF34" s="28">
        <f t="shared" si="92"/>
        <v>0</v>
      </c>
      <c r="DG34" s="28">
        <f t="shared" si="93"/>
        <v>40000</v>
      </c>
      <c r="DH34" s="28">
        <f t="shared" si="94"/>
        <v>0</v>
      </c>
      <c r="DI34" s="28">
        <f t="shared" si="95"/>
        <v>7371.23</v>
      </c>
      <c r="DJ34" s="27">
        <f t="shared" si="96"/>
        <v>0</v>
      </c>
      <c r="DK34" s="27">
        <f t="shared" si="97"/>
        <v>47371.229999999996</v>
      </c>
    </row>
    <row r="35" spans="1:115">
      <c r="A35" s="25">
        <v>27</v>
      </c>
      <c r="B35" s="26" t="s">
        <v>1161</v>
      </c>
      <c r="C35" s="26" t="s">
        <v>1313</v>
      </c>
      <c r="D35" s="26" t="s">
        <v>1312</v>
      </c>
      <c r="E35" s="205" t="s">
        <v>1200</v>
      </c>
      <c r="F35" s="161">
        <f t="shared" si="50"/>
        <v>0</v>
      </c>
      <c r="G35" s="165">
        <f t="shared" si="51"/>
        <v>0</v>
      </c>
      <c r="H35" s="27"/>
      <c r="I35" s="27">
        <v>0</v>
      </c>
      <c r="J35" s="27">
        <v>0</v>
      </c>
      <c r="K35" s="127">
        <f t="shared" si="52"/>
        <v>0</v>
      </c>
      <c r="L35" s="127">
        <f t="shared" si="53"/>
        <v>0</v>
      </c>
      <c r="M35" s="127">
        <f t="shared" si="54"/>
        <v>0</v>
      </c>
      <c r="N35" s="131"/>
      <c r="O35" s="125" t="str">
        <f t="shared" si="55"/>
        <v>მიმდინარეობს</v>
      </c>
      <c r="P35" s="27">
        <v>0</v>
      </c>
      <c r="Q35" s="27">
        <v>0</v>
      </c>
      <c r="R35" s="27">
        <f t="shared" si="56"/>
        <v>0</v>
      </c>
      <c r="S35" s="27">
        <f t="shared" si="57"/>
        <v>0</v>
      </c>
      <c r="T35" s="27"/>
      <c r="U35" s="27"/>
      <c r="V35" s="27">
        <v>0</v>
      </c>
      <c r="W35" s="27"/>
      <c r="X35" s="27">
        <f t="shared" si="58"/>
        <v>0</v>
      </c>
      <c r="Y35" s="27">
        <f t="shared" si="59"/>
        <v>0</v>
      </c>
      <c r="Z35" s="27">
        <v>0</v>
      </c>
      <c r="AA35" s="27"/>
      <c r="AB35" s="27"/>
      <c r="AC35" s="27"/>
      <c r="AD35" s="27">
        <f t="shared" si="60"/>
        <v>0</v>
      </c>
      <c r="AE35" s="27">
        <f t="shared" si="61"/>
        <v>0</v>
      </c>
      <c r="AF35" s="27">
        <f t="shared" si="62"/>
        <v>0</v>
      </c>
      <c r="AG35" s="27">
        <f t="shared" si="63"/>
        <v>0</v>
      </c>
      <c r="AH35" s="27">
        <f t="shared" si="64"/>
        <v>0</v>
      </c>
      <c r="AI35" s="27">
        <f t="shared" si="65"/>
        <v>0</v>
      </c>
      <c r="AJ35" s="27">
        <f t="shared" si="66"/>
        <v>0</v>
      </c>
      <c r="AK35" s="27">
        <f t="shared" si="67"/>
        <v>0</v>
      </c>
      <c r="AL35" s="27"/>
      <c r="AM35" s="27"/>
      <c r="AN35" s="27">
        <v>0</v>
      </c>
      <c r="AO35" s="27"/>
      <c r="AP35" s="27">
        <f t="shared" si="68"/>
        <v>0</v>
      </c>
      <c r="AQ35" s="27">
        <f t="shared" si="69"/>
        <v>0</v>
      </c>
      <c r="AR35" s="27"/>
      <c r="AS35" s="27"/>
      <c r="AT35" s="27">
        <v>0</v>
      </c>
      <c r="AU35" s="27"/>
      <c r="AV35" s="27">
        <f t="shared" si="70"/>
        <v>0</v>
      </c>
      <c r="AW35" s="27">
        <f t="shared" si="71"/>
        <v>0</v>
      </c>
      <c r="AX35" s="27"/>
      <c r="AY35" s="27"/>
      <c r="AZ35" s="27">
        <v>0</v>
      </c>
      <c r="BA35" s="27"/>
      <c r="BB35" s="27">
        <f t="shared" si="72"/>
        <v>0</v>
      </c>
      <c r="BC35" s="27">
        <f t="shared" si="73"/>
        <v>0</v>
      </c>
      <c r="BD35" s="27"/>
      <c r="BE35" s="27"/>
      <c r="BF35" s="27">
        <v>0</v>
      </c>
      <c r="BG35" s="27"/>
      <c r="BH35" s="27">
        <f t="shared" si="74"/>
        <v>0</v>
      </c>
      <c r="BI35" s="27">
        <f t="shared" si="75"/>
        <v>0</v>
      </c>
      <c r="BJ35" s="27"/>
      <c r="BK35" s="27"/>
      <c r="BL35" s="27">
        <v>0</v>
      </c>
      <c r="BM35" s="27"/>
      <c r="BN35" s="27">
        <f t="shared" si="76"/>
        <v>0</v>
      </c>
      <c r="BO35" s="27">
        <f t="shared" si="77"/>
        <v>0</v>
      </c>
      <c r="BP35" s="26"/>
      <c r="BQ35" s="27">
        <v>185000</v>
      </c>
      <c r="BR35" s="27">
        <v>0</v>
      </c>
      <c r="BS35" s="27"/>
      <c r="BT35" s="27">
        <f t="shared" si="78"/>
        <v>0</v>
      </c>
      <c r="BU35" s="27">
        <f t="shared" si="79"/>
        <v>185000</v>
      </c>
      <c r="BV35" s="26"/>
      <c r="BW35" s="27"/>
      <c r="BX35" s="27">
        <v>0</v>
      </c>
      <c r="BY35" s="27"/>
      <c r="BZ35" s="27">
        <f t="shared" si="80"/>
        <v>0</v>
      </c>
      <c r="CA35" s="27">
        <f t="shared" si="81"/>
        <v>0</v>
      </c>
      <c r="CB35" s="26"/>
      <c r="CC35" s="27"/>
      <c r="CD35" s="27">
        <v>0</v>
      </c>
      <c r="CE35" s="27"/>
      <c r="CF35" s="27">
        <f t="shared" si="82"/>
        <v>0</v>
      </c>
      <c r="CG35" s="27">
        <f t="shared" si="83"/>
        <v>0</v>
      </c>
      <c r="CH35" s="26"/>
      <c r="CI35" s="27"/>
      <c r="CJ35" s="27">
        <v>0</v>
      </c>
      <c r="CK35" s="27"/>
      <c r="CL35" s="27">
        <f t="shared" si="84"/>
        <v>0</v>
      </c>
      <c r="CM35" s="27">
        <f t="shared" si="85"/>
        <v>0</v>
      </c>
      <c r="CN35" s="26"/>
      <c r="CO35" s="27"/>
      <c r="CP35" s="27">
        <v>0</v>
      </c>
      <c r="CQ35" s="27"/>
      <c r="CR35" s="27">
        <f t="shared" si="86"/>
        <v>0</v>
      </c>
      <c r="CS35" s="27">
        <f t="shared" si="87"/>
        <v>0</v>
      </c>
      <c r="CT35" s="26"/>
      <c r="CU35" s="27"/>
      <c r="CV35" s="27">
        <v>0</v>
      </c>
      <c r="CW35" s="27"/>
      <c r="CX35" s="27">
        <f t="shared" si="88"/>
        <v>0</v>
      </c>
      <c r="CY35" s="27">
        <f t="shared" si="89"/>
        <v>0</v>
      </c>
      <c r="CZ35" s="26"/>
      <c r="DA35" s="27"/>
      <c r="DB35" s="27">
        <v>0</v>
      </c>
      <c r="DC35" s="27"/>
      <c r="DD35" s="27">
        <f t="shared" si="90"/>
        <v>0</v>
      </c>
      <c r="DE35" s="27">
        <f t="shared" si="91"/>
        <v>0</v>
      </c>
      <c r="DF35" s="28">
        <f t="shared" si="92"/>
        <v>0</v>
      </c>
      <c r="DG35" s="28">
        <f t="shared" si="93"/>
        <v>185000</v>
      </c>
      <c r="DH35" s="28">
        <f t="shared" si="94"/>
        <v>0</v>
      </c>
      <c r="DI35" s="28">
        <f t="shared" si="95"/>
        <v>0</v>
      </c>
      <c r="DJ35" s="27">
        <f t="shared" si="96"/>
        <v>0</v>
      </c>
      <c r="DK35" s="27">
        <f t="shared" si="97"/>
        <v>185000</v>
      </c>
    </row>
    <row r="36" spans="1:115">
      <c r="A36" s="25">
        <v>28</v>
      </c>
      <c r="B36" s="26" t="s">
        <v>1161</v>
      </c>
      <c r="C36" s="26" t="s">
        <v>1313</v>
      </c>
      <c r="D36" s="26" t="s">
        <v>1312</v>
      </c>
      <c r="E36" s="205" t="s">
        <v>1200</v>
      </c>
      <c r="F36" s="161">
        <f t="shared" si="50"/>
        <v>0</v>
      </c>
      <c r="G36" s="165">
        <f t="shared" si="51"/>
        <v>0</v>
      </c>
      <c r="H36" s="27"/>
      <c r="I36" s="27">
        <v>0</v>
      </c>
      <c r="J36" s="27">
        <v>0</v>
      </c>
      <c r="K36" s="127">
        <f t="shared" si="52"/>
        <v>0</v>
      </c>
      <c r="L36" s="127">
        <f t="shared" si="53"/>
        <v>0</v>
      </c>
      <c r="M36" s="127">
        <f t="shared" si="54"/>
        <v>0</v>
      </c>
      <c r="N36" s="131"/>
      <c r="O36" s="125">
        <f t="shared" si="55"/>
        <v>25897.4</v>
      </c>
      <c r="P36" s="27">
        <v>0</v>
      </c>
      <c r="Q36" s="27">
        <v>0</v>
      </c>
      <c r="R36" s="27">
        <f t="shared" si="56"/>
        <v>0</v>
      </c>
      <c r="S36" s="27">
        <f t="shared" si="57"/>
        <v>0</v>
      </c>
      <c r="T36" s="27"/>
      <c r="U36" s="27"/>
      <c r="V36" s="27">
        <v>0</v>
      </c>
      <c r="W36" s="27"/>
      <c r="X36" s="27">
        <f t="shared" si="58"/>
        <v>0</v>
      </c>
      <c r="Y36" s="27">
        <f t="shared" si="59"/>
        <v>0</v>
      </c>
      <c r="Z36" s="27">
        <v>0</v>
      </c>
      <c r="AA36" s="27"/>
      <c r="AB36" s="27"/>
      <c r="AC36" s="27"/>
      <c r="AD36" s="27">
        <f t="shared" si="60"/>
        <v>0</v>
      </c>
      <c r="AE36" s="27">
        <f t="shared" si="61"/>
        <v>0</v>
      </c>
      <c r="AF36" s="27">
        <f t="shared" si="62"/>
        <v>0</v>
      </c>
      <c r="AG36" s="27">
        <f t="shared" si="63"/>
        <v>0</v>
      </c>
      <c r="AH36" s="27">
        <f t="shared" si="64"/>
        <v>0</v>
      </c>
      <c r="AI36" s="27">
        <f t="shared" si="65"/>
        <v>0</v>
      </c>
      <c r="AJ36" s="27">
        <f t="shared" si="66"/>
        <v>0</v>
      </c>
      <c r="AK36" s="27">
        <f t="shared" si="67"/>
        <v>0</v>
      </c>
      <c r="AL36" s="27"/>
      <c r="AM36" s="27"/>
      <c r="AN36" s="27">
        <v>0</v>
      </c>
      <c r="AO36" s="27"/>
      <c r="AP36" s="27">
        <f t="shared" si="68"/>
        <v>0</v>
      </c>
      <c r="AQ36" s="27">
        <f t="shared" si="69"/>
        <v>0</v>
      </c>
      <c r="AR36" s="27"/>
      <c r="AS36" s="27"/>
      <c r="AT36" s="27">
        <v>0</v>
      </c>
      <c r="AU36" s="27"/>
      <c r="AV36" s="27">
        <f t="shared" si="70"/>
        <v>0</v>
      </c>
      <c r="AW36" s="27">
        <f t="shared" si="71"/>
        <v>0</v>
      </c>
      <c r="AX36" s="27"/>
      <c r="AY36" s="27"/>
      <c r="AZ36" s="27">
        <v>0</v>
      </c>
      <c r="BA36" s="27"/>
      <c r="BB36" s="27">
        <f t="shared" si="72"/>
        <v>0</v>
      </c>
      <c r="BC36" s="27">
        <f t="shared" si="73"/>
        <v>0</v>
      </c>
      <c r="BD36" s="27"/>
      <c r="BE36" s="27"/>
      <c r="BF36" s="27">
        <v>0</v>
      </c>
      <c r="BG36" s="27"/>
      <c r="BH36" s="27">
        <f t="shared" si="74"/>
        <v>0</v>
      </c>
      <c r="BI36" s="27">
        <f t="shared" si="75"/>
        <v>0</v>
      </c>
      <c r="BJ36" s="27"/>
      <c r="BK36" s="27"/>
      <c r="BL36" s="27">
        <v>0</v>
      </c>
      <c r="BM36" s="27"/>
      <c r="BN36" s="27">
        <f t="shared" si="76"/>
        <v>0</v>
      </c>
      <c r="BO36" s="27">
        <f t="shared" si="77"/>
        <v>0</v>
      </c>
      <c r="BP36" s="26"/>
      <c r="BQ36" s="27"/>
      <c r="BR36" s="27">
        <v>0</v>
      </c>
      <c r="BS36" s="27"/>
      <c r="BT36" s="27">
        <f t="shared" si="78"/>
        <v>0</v>
      </c>
      <c r="BU36" s="27">
        <f t="shared" si="79"/>
        <v>0</v>
      </c>
      <c r="BV36" s="26"/>
      <c r="BW36" s="27"/>
      <c r="BX36" s="27">
        <v>0</v>
      </c>
      <c r="BY36" s="27">
        <v>25897.4</v>
      </c>
      <c r="BZ36" s="27">
        <f t="shared" si="80"/>
        <v>0</v>
      </c>
      <c r="CA36" s="27">
        <f t="shared" si="81"/>
        <v>25897.4</v>
      </c>
      <c r="CB36" s="26"/>
      <c r="CC36" s="27"/>
      <c r="CD36" s="27">
        <v>0</v>
      </c>
      <c r="CE36" s="27"/>
      <c r="CF36" s="27">
        <f t="shared" si="82"/>
        <v>0</v>
      </c>
      <c r="CG36" s="27">
        <f t="shared" si="83"/>
        <v>0</v>
      </c>
      <c r="CH36" s="26"/>
      <c r="CI36" s="27"/>
      <c r="CJ36" s="27">
        <v>0</v>
      </c>
      <c r="CK36" s="27"/>
      <c r="CL36" s="27">
        <f t="shared" si="84"/>
        <v>0</v>
      </c>
      <c r="CM36" s="27">
        <f t="shared" si="85"/>
        <v>0</v>
      </c>
      <c r="CN36" s="26"/>
      <c r="CO36" s="27"/>
      <c r="CP36" s="27">
        <v>0</v>
      </c>
      <c r="CQ36" s="27"/>
      <c r="CR36" s="27">
        <f t="shared" si="86"/>
        <v>0</v>
      </c>
      <c r="CS36" s="27">
        <f t="shared" si="87"/>
        <v>0</v>
      </c>
      <c r="CT36" s="26"/>
      <c r="CU36" s="27"/>
      <c r="CV36" s="27">
        <v>0</v>
      </c>
      <c r="CW36" s="27"/>
      <c r="CX36" s="27">
        <f t="shared" si="88"/>
        <v>0</v>
      </c>
      <c r="CY36" s="27">
        <f t="shared" si="89"/>
        <v>0</v>
      </c>
      <c r="CZ36" s="26"/>
      <c r="DA36" s="27"/>
      <c r="DB36" s="27">
        <v>0</v>
      </c>
      <c r="DC36" s="27"/>
      <c r="DD36" s="27">
        <f t="shared" si="90"/>
        <v>0</v>
      </c>
      <c r="DE36" s="27">
        <f t="shared" si="91"/>
        <v>0</v>
      </c>
      <c r="DF36" s="28">
        <f t="shared" si="92"/>
        <v>0</v>
      </c>
      <c r="DG36" s="28">
        <f t="shared" si="93"/>
        <v>0</v>
      </c>
      <c r="DH36" s="28">
        <f t="shared" si="94"/>
        <v>0</v>
      </c>
      <c r="DI36" s="28">
        <f t="shared" si="95"/>
        <v>25897.4</v>
      </c>
      <c r="DJ36" s="27">
        <f t="shared" si="96"/>
        <v>0</v>
      </c>
      <c r="DK36" s="27">
        <f t="shared" si="97"/>
        <v>25897.4</v>
      </c>
    </row>
    <row r="37" spans="1:115">
      <c r="A37" s="25">
        <v>29</v>
      </c>
      <c r="B37" s="26" t="s">
        <v>1161</v>
      </c>
      <c r="C37" s="26" t="s">
        <v>1317</v>
      </c>
      <c r="D37" s="26" t="s">
        <v>1316</v>
      </c>
      <c r="E37" s="205" t="s">
        <v>1200</v>
      </c>
      <c r="F37" s="161">
        <f t="shared" si="50"/>
        <v>0</v>
      </c>
      <c r="G37" s="165">
        <f t="shared" si="51"/>
        <v>0</v>
      </c>
      <c r="H37" s="27"/>
      <c r="I37" s="27">
        <v>0</v>
      </c>
      <c r="J37" s="27">
        <v>0</v>
      </c>
      <c r="K37" s="127">
        <f t="shared" si="52"/>
        <v>0</v>
      </c>
      <c r="L37" s="127">
        <f t="shared" si="53"/>
        <v>0</v>
      </c>
      <c r="M37" s="127">
        <f t="shared" si="54"/>
        <v>0</v>
      </c>
      <c r="N37" s="131"/>
      <c r="O37" s="125">
        <f t="shared" si="55"/>
        <v>407301.92</v>
      </c>
      <c r="P37" s="27">
        <v>0</v>
      </c>
      <c r="Q37" s="27">
        <v>0</v>
      </c>
      <c r="R37" s="27">
        <f t="shared" si="56"/>
        <v>0</v>
      </c>
      <c r="S37" s="27">
        <f t="shared" si="57"/>
        <v>0</v>
      </c>
      <c r="T37" s="27"/>
      <c r="U37" s="27"/>
      <c r="V37" s="27">
        <v>0</v>
      </c>
      <c r="W37" s="27"/>
      <c r="X37" s="27">
        <f t="shared" si="58"/>
        <v>0</v>
      </c>
      <c r="Y37" s="27">
        <f t="shared" si="59"/>
        <v>0</v>
      </c>
      <c r="Z37" s="27">
        <v>0</v>
      </c>
      <c r="AA37" s="27"/>
      <c r="AB37" s="27"/>
      <c r="AC37" s="27"/>
      <c r="AD37" s="27">
        <f t="shared" si="60"/>
        <v>0</v>
      </c>
      <c r="AE37" s="27">
        <f t="shared" si="61"/>
        <v>0</v>
      </c>
      <c r="AF37" s="27">
        <f t="shared" si="62"/>
        <v>0</v>
      </c>
      <c r="AG37" s="27">
        <f t="shared" si="63"/>
        <v>0</v>
      </c>
      <c r="AH37" s="27">
        <f t="shared" si="64"/>
        <v>0</v>
      </c>
      <c r="AI37" s="27">
        <f t="shared" si="65"/>
        <v>0</v>
      </c>
      <c r="AJ37" s="27">
        <f t="shared" si="66"/>
        <v>0</v>
      </c>
      <c r="AK37" s="27">
        <f t="shared" si="67"/>
        <v>0</v>
      </c>
      <c r="AL37" s="27"/>
      <c r="AM37" s="27"/>
      <c r="AN37" s="27">
        <v>0</v>
      </c>
      <c r="AO37" s="27"/>
      <c r="AP37" s="27">
        <f t="shared" si="68"/>
        <v>0</v>
      </c>
      <c r="AQ37" s="27">
        <f t="shared" si="69"/>
        <v>0</v>
      </c>
      <c r="AR37" s="27"/>
      <c r="AS37" s="27"/>
      <c r="AT37" s="27">
        <v>0</v>
      </c>
      <c r="AU37" s="27"/>
      <c r="AV37" s="27">
        <f t="shared" si="70"/>
        <v>0</v>
      </c>
      <c r="AW37" s="27">
        <f t="shared" si="71"/>
        <v>0</v>
      </c>
      <c r="AX37" s="27"/>
      <c r="AY37" s="27"/>
      <c r="AZ37" s="27">
        <v>0</v>
      </c>
      <c r="BA37" s="27"/>
      <c r="BB37" s="27">
        <f t="shared" si="72"/>
        <v>0</v>
      </c>
      <c r="BC37" s="27">
        <f t="shared" si="73"/>
        <v>0</v>
      </c>
      <c r="BD37" s="27"/>
      <c r="BE37" s="27"/>
      <c r="BF37" s="27">
        <v>0</v>
      </c>
      <c r="BG37" s="27"/>
      <c r="BH37" s="27">
        <f t="shared" si="74"/>
        <v>0</v>
      </c>
      <c r="BI37" s="27">
        <f t="shared" si="75"/>
        <v>0</v>
      </c>
      <c r="BJ37" s="27"/>
      <c r="BK37" s="27"/>
      <c r="BL37" s="27">
        <v>0</v>
      </c>
      <c r="BM37" s="27"/>
      <c r="BN37" s="27">
        <f t="shared" si="76"/>
        <v>0</v>
      </c>
      <c r="BO37" s="27">
        <f t="shared" si="77"/>
        <v>0</v>
      </c>
      <c r="BP37" s="26"/>
      <c r="BQ37" s="27"/>
      <c r="BR37" s="27">
        <v>0</v>
      </c>
      <c r="BS37" s="27"/>
      <c r="BT37" s="27">
        <f t="shared" si="78"/>
        <v>0</v>
      </c>
      <c r="BU37" s="27">
        <f t="shared" si="79"/>
        <v>0</v>
      </c>
      <c r="BV37" s="26"/>
      <c r="BW37" s="27">
        <v>360000</v>
      </c>
      <c r="BX37" s="27">
        <v>0</v>
      </c>
      <c r="BY37" s="27"/>
      <c r="BZ37" s="27">
        <f t="shared" si="80"/>
        <v>0</v>
      </c>
      <c r="CA37" s="27">
        <f t="shared" si="81"/>
        <v>360000</v>
      </c>
      <c r="CB37" s="26"/>
      <c r="CC37" s="27"/>
      <c r="CD37" s="27">
        <v>0</v>
      </c>
      <c r="CE37" s="27">
        <v>47301.919999999998</v>
      </c>
      <c r="CF37" s="27">
        <f t="shared" si="82"/>
        <v>0</v>
      </c>
      <c r="CG37" s="27">
        <f t="shared" si="83"/>
        <v>47301.919999999998</v>
      </c>
      <c r="CH37" s="26"/>
      <c r="CI37" s="27"/>
      <c r="CJ37" s="27">
        <v>0</v>
      </c>
      <c r="CK37" s="27"/>
      <c r="CL37" s="27">
        <f t="shared" si="84"/>
        <v>0</v>
      </c>
      <c r="CM37" s="27">
        <f t="shared" si="85"/>
        <v>0</v>
      </c>
      <c r="CN37" s="26"/>
      <c r="CO37" s="27"/>
      <c r="CP37" s="27">
        <v>0</v>
      </c>
      <c r="CQ37" s="27"/>
      <c r="CR37" s="27">
        <f t="shared" si="86"/>
        <v>0</v>
      </c>
      <c r="CS37" s="27">
        <f t="shared" si="87"/>
        <v>0</v>
      </c>
      <c r="CT37" s="26"/>
      <c r="CU37" s="27"/>
      <c r="CV37" s="27">
        <v>0</v>
      </c>
      <c r="CW37" s="27"/>
      <c r="CX37" s="27">
        <f t="shared" si="88"/>
        <v>0</v>
      </c>
      <c r="CY37" s="27">
        <f t="shared" si="89"/>
        <v>0</v>
      </c>
      <c r="CZ37" s="26"/>
      <c r="DA37" s="27"/>
      <c r="DB37" s="27">
        <v>0</v>
      </c>
      <c r="DC37" s="27"/>
      <c r="DD37" s="27">
        <f t="shared" si="90"/>
        <v>0</v>
      </c>
      <c r="DE37" s="27">
        <f t="shared" si="91"/>
        <v>0</v>
      </c>
      <c r="DF37" s="28">
        <f t="shared" si="92"/>
        <v>0</v>
      </c>
      <c r="DG37" s="28">
        <f t="shared" si="93"/>
        <v>360000</v>
      </c>
      <c r="DH37" s="28">
        <f t="shared" si="94"/>
        <v>0</v>
      </c>
      <c r="DI37" s="28">
        <f t="shared" si="95"/>
        <v>47301.919999999998</v>
      </c>
      <c r="DJ37" s="27">
        <f t="shared" si="96"/>
        <v>0</v>
      </c>
      <c r="DK37" s="27">
        <f t="shared" si="97"/>
        <v>407301.92</v>
      </c>
    </row>
    <row r="38" spans="1:115">
      <c r="A38" s="25">
        <v>30</v>
      </c>
      <c r="B38" s="26" t="s">
        <v>1161</v>
      </c>
      <c r="C38" s="26" t="s">
        <v>1321</v>
      </c>
      <c r="D38" s="26" t="s">
        <v>1320</v>
      </c>
      <c r="E38" s="205" t="s">
        <v>1200</v>
      </c>
      <c r="F38" s="161">
        <f t="shared" si="50"/>
        <v>0</v>
      </c>
      <c r="G38" s="165">
        <f t="shared" si="51"/>
        <v>0</v>
      </c>
      <c r="H38" s="27"/>
      <c r="I38" s="27">
        <v>0</v>
      </c>
      <c r="J38" s="27">
        <v>0</v>
      </c>
      <c r="K38" s="127">
        <f t="shared" si="52"/>
        <v>0</v>
      </c>
      <c r="L38" s="127">
        <f t="shared" si="53"/>
        <v>0</v>
      </c>
      <c r="M38" s="127">
        <f t="shared" si="54"/>
        <v>0</v>
      </c>
      <c r="N38" s="131"/>
      <c r="O38" s="125">
        <f t="shared" si="55"/>
        <v>315802.18</v>
      </c>
      <c r="P38" s="27">
        <v>0</v>
      </c>
      <c r="Q38" s="27">
        <v>0</v>
      </c>
      <c r="R38" s="27">
        <f t="shared" si="56"/>
        <v>0</v>
      </c>
      <c r="S38" s="27">
        <f t="shared" si="57"/>
        <v>0</v>
      </c>
      <c r="T38" s="27"/>
      <c r="U38" s="27"/>
      <c r="V38" s="27">
        <v>0</v>
      </c>
      <c r="W38" s="27"/>
      <c r="X38" s="27">
        <f t="shared" si="58"/>
        <v>0</v>
      </c>
      <c r="Y38" s="27">
        <f t="shared" si="59"/>
        <v>0</v>
      </c>
      <c r="Z38" s="27">
        <v>0</v>
      </c>
      <c r="AA38" s="27"/>
      <c r="AB38" s="27"/>
      <c r="AC38" s="27"/>
      <c r="AD38" s="27">
        <f t="shared" si="60"/>
        <v>0</v>
      </c>
      <c r="AE38" s="27">
        <f t="shared" si="61"/>
        <v>0</v>
      </c>
      <c r="AF38" s="27">
        <f t="shared" si="62"/>
        <v>0</v>
      </c>
      <c r="AG38" s="27">
        <f t="shared" si="63"/>
        <v>0</v>
      </c>
      <c r="AH38" s="27">
        <f t="shared" si="64"/>
        <v>0</v>
      </c>
      <c r="AI38" s="27">
        <f t="shared" si="65"/>
        <v>0</v>
      </c>
      <c r="AJ38" s="27">
        <f t="shared" si="66"/>
        <v>0</v>
      </c>
      <c r="AK38" s="27">
        <f t="shared" si="67"/>
        <v>0</v>
      </c>
      <c r="AL38" s="27"/>
      <c r="AM38" s="27"/>
      <c r="AN38" s="27">
        <v>0</v>
      </c>
      <c r="AO38" s="27"/>
      <c r="AP38" s="27">
        <f t="shared" si="68"/>
        <v>0</v>
      </c>
      <c r="AQ38" s="27">
        <f t="shared" si="69"/>
        <v>0</v>
      </c>
      <c r="AR38" s="27"/>
      <c r="AS38" s="27"/>
      <c r="AT38" s="27">
        <v>0</v>
      </c>
      <c r="AU38" s="27"/>
      <c r="AV38" s="27">
        <f t="shared" si="70"/>
        <v>0</v>
      </c>
      <c r="AW38" s="27">
        <f t="shared" si="71"/>
        <v>0</v>
      </c>
      <c r="AX38" s="27"/>
      <c r="AY38" s="27"/>
      <c r="AZ38" s="27">
        <v>0</v>
      </c>
      <c r="BA38" s="27"/>
      <c r="BB38" s="27">
        <f t="shared" si="72"/>
        <v>0</v>
      </c>
      <c r="BC38" s="27">
        <f t="shared" si="73"/>
        <v>0</v>
      </c>
      <c r="BD38" s="27"/>
      <c r="BE38" s="27"/>
      <c r="BF38" s="27">
        <v>0</v>
      </c>
      <c r="BG38" s="27"/>
      <c r="BH38" s="27">
        <f t="shared" si="74"/>
        <v>0</v>
      </c>
      <c r="BI38" s="27">
        <f t="shared" si="75"/>
        <v>0</v>
      </c>
      <c r="BJ38" s="27"/>
      <c r="BK38" s="27"/>
      <c r="BL38" s="27">
        <v>0</v>
      </c>
      <c r="BM38" s="27"/>
      <c r="BN38" s="27">
        <f t="shared" si="76"/>
        <v>0</v>
      </c>
      <c r="BO38" s="27">
        <f t="shared" si="77"/>
        <v>0</v>
      </c>
      <c r="BP38" s="26"/>
      <c r="BQ38" s="27"/>
      <c r="BR38" s="27">
        <v>0</v>
      </c>
      <c r="BS38" s="27"/>
      <c r="BT38" s="27">
        <f t="shared" si="78"/>
        <v>0</v>
      </c>
      <c r="BU38" s="27">
        <f t="shared" si="79"/>
        <v>0</v>
      </c>
      <c r="BV38" s="26"/>
      <c r="BW38" s="27"/>
      <c r="BX38" s="27">
        <v>0</v>
      </c>
      <c r="BY38" s="27"/>
      <c r="BZ38" s="27">
        <f t="shared" si="80"/>
        <v>0</v>
      </c>
      <c r="CA38" s="27">
        <f t="shared" si="81"/>
        <v>0</v>
      </c>
      <c r="CB38" s="26"/>
      <c r="CC38" s="27">
        <v>280000</v>
      </c>
      <c r="CD38" s="27">
        <v>0</v>
      </c>
      <c r="CE38" s="27">
        <v>35802.18</v>
      </c>
      <c r="CF38" s="27">
        <f t="shared" si="82"/>
        <v>0</v>
      </c>
      <c r="CG38" s="27">
        <f t="shared" si="83"/>
        <v>315802.18</v>
      </c>
      <c r="CH38" s="26"/>
      <c r="CI38" s="27"/>
      <c r="CJ38" s="27">
        <v>0</v>
      </c>
      <c r="CK38" s="27"/>
      <c r="CL38" s="27">
        <f t="shared" si="84"/>
        <v>0</v>
      </c>
      <c r="CM38" s="27">
        <f t="shared" si="85"/>
        <v>0</v>
      </c>
      <c r="CN38" s="26"/>
      <c r="CO38" s="27"/>
      <c r="CP38" s="27">
        <v>0</v>
      </c>
      <c r="CQ38" s="27"/>
      <c r="CR38" s="27">
        <f t="shared" si="86"/>
        <v>0</v>
      </c>
      <c r="CS38" s="27">
        <f t="shared" si="87"/>
        <v>0</v>
      </c>
      <c r="CT38" s="26"/>
      <c r="CU38" s="27"/>
      <c r="CV38" s="27">
        <v>0</v>
      </c>
      <c r="CW38" s="27"/>
      <c r="CX38" s="27">
        <f t="shared" si="88"/>
        <v>0</v>
      </c>
      <c r="CY38" s="27">
        <f t="shared" si="89"/>
        <v>0</v>
      </c>
      <c r="CZ38" s="26"/>
      <c r="DA38" s="27"/>
      <c r="DB38" s="27">
        <v>0</v>
      </c>
      <c r="DC38" s="27"/>
      <c r="DD38" s="27">
        <f t="shared" si="90"/>
        <v>0</v>
      </c>
      <c r="DE38" s="27">
        <f t="shared" si="91"/>
        <v>0</v>
      </c>
      <c r="DF38" s="28">
        <f t="shared" si="92"/>
        <v>0</v>
      </c>
      <c r="DG38" s="28">
        <f t="shared" si="93"/>
        <v>280000</v>
      </c>
      <c r="DH38" s="28">
        <f t="shared" si="94"/>
        <v>0</v>
      </c>
      <c r="DI38" s="28">
        <f t="shared" si="95"/>
        <v>35802.18</v>
      </c>
      <c r="DJ38" s="27">
        <f t="shared" si="96"/>
        <v>0</v>
      </c>
      <c r="DK38" s="27">
        <f t="shared" si="97"/>
        <v>315802.18</v>
      </c>
    </row>
    <row r="39" spans="1:115">
      <c r="A39" s="25">
        <v>31</v>
      </c>
      <c r="B39" s="26" t="s">
        <v>1161</v>
      </c>
      <c r="C39" s="26"/>
      <c r="D39" s="26" t="s">
        <v>1326</v>
      </c>
      <c r="E39" s="205" t="s">
        <v>1200</v>
      </c>
      <c r="F39" s="161">
        <f t="shared" si="50"/>
        <v>0</v>
      </c>
      <c r="G39" s="165">
        <f t="shared" si="51"/>
        <v>0</v>
      </c>
      <c r="H39" s="27"/>
      <c r="I39" s="27">
        <v>0</v>
      </c>
      <c r="J39" s="27">
        <v>0</v>
      </c>
      <c r="K39" s="127">
        <f t="shared" si="52"/>
        <v>0</v>
      </c>
      <c r="L39" s="127">
        <f t="shared" si="53"/>
        <v>0</v>
      </c>
      <c r="M39" s="127">
        <f t="shared" si="54"/>
        <v>0</v>
      </c>
      <c r="N39" s="131"/>
      <c r="O39" s="125">
        <f t="shared" si="55"/>
        <v>22500</v>
      </c>
      <c r="P39" s="27">
        <v>0</v>
      </c>
      <c r="Q39" s="27">
        <v>0</v>
      </c>
      <c r="R39" s="27">
        <f t="shared" si="56"/>
        <v>0</v>
      </c>
      <c r="S39" s="27">
        <f t="shared" si="57"/>
        <v>0</v>
      </c>
      <c r="T39" s="27"/>
      <c r="U39" s="27"/>
      <c r="V39" s="27">
        <v>0</v>
      </c>
      <c r="W39" s="27"/>
      <c r="X39" s="27">
        <f t="shared" si="58"/>
        <v>0</v>
      </c>
      <c r="Y39" s="27">
        <f t="shared" si="59"/>
        <v>0</v>
      </c>
      <c r="Z39" s="27">
        <v>0</v>
      </c>
      <c r="AA39" s="27"/>
      <c r="AB39" s="27"/>
      <c r="AC39" s="27"/>
      <c r="AD39" s="27">
        <f t="shared" si="60"/>
        <v>0</v>
      </c>
      <c r="AE39" s="27">
        <f t="shared" si="61"/>
        <v>0</v>
      </c>
      <c r="AF39" s="27">
        <f t="shared" si="62"/>
        <v>0</v>
      </c>
      <c r="AG39" s="27">
        <f t="shared" si="63"/>
        <v>0</v>
      </c>
      <c r="AH39" s="27">
        <f t="shared" si="64"/>
        <v>0</v>
      </c>
      <c r="AI39" s="27">
        <f t="shared" si="65"/>
        <v>0</v>
      </c>
      <c r="AJ39" s="27">
        <f t="shared" si="66"/>
        <v>0</v>
      </c>
      <c r="AK39" s="27">
        <f t="shared" si="67"/>
        <v>0</v>
      </c>
      <c r="AL39" s="27"/>
      <c r="AM39" s="27"/>
      <c r="AN39" s="27">
        <v>0</v>
      </c>
      <c r="AO39" s="27"/>
      <c r="AP39" s="27">
        <f t="shared" si="68"/>
        <v>0</v>
      </c>
      <c r="AQ39" s="27">
        <f t="shared" si="69"/>
        <v>0</v>
      </c>
      <c r="AR39" s="27"/>
      <c r="AS39" s="27"/>
      <c r="AT39" s="27">
        <v>0</v>
      </c>
      <c r="AU39" s="27"/>
      <c r="AV39" s="27">
        <f t="shared" si="70"/>
        <v>0</v>
      </c>
      <c r="AW39" s="27">
        <f t="shared" si="71"/>
        <v>0</v>
      </c>
      <c r="AX39" s="27"/>
      <c r="AY39" s="27"/>
      <c r="AZ39" s="27">
        <v>0</v>
      </c>
      <c r="BA39" s="27"/>
      <c r="BB39" s="27">
        <f t="shared" si="72"/>
        <v>0</v>
      </c>
      <c r="BC39" s="27">
        <f t="shared" si="73"/>
        <v>0</v>
      </c>
      <c r="BD39" s="27"/>
      <c r="BE39" s="27"/>
      <c r="BF39" s="27">
        <v>0</v>
      </c>
      <c r="BG39" s="27"/>
      <c r="BH39" s="27">
        <f t="shared" si="74"/>
        <v>0</v>
      </c>
      <c r="BI39" s="27">
        <f t="shared" si="75"/>
        <v>0</v>
      </c>
      <c r="BJ39" s="27"/>
      <c r="BK39" s="27"/>
      <c r="BL39" s="27">
        <v>0</v>
      </c>
      <c r="BM39" s="27"/>
      <c r="BN39" s="27">
        <f t="shared" si="76"/>
        <v>0</v>
      </c>
      <c r="BO39" s="27">
        <f t="shared" si="77"/>
        <v>0</v>
      </c>
      <c r="BP39" s="26"/>
      <c r="BQ39" s="27"/>
      <c r="BR39" s="27">
        <v>0</v>
      </c>
      <c r="BS39" s="27"/>
      <c r="BT39" s="27">
        <f t="shared" si="78"/>
        <v>0</v>
      </c>
      <c r="BU39" s="27">
        <f t="shared" si="79"/>
        <v>0</v>
      </c>
      <c r="BV39" s="26"/>
      <c r="BW39" s="27"/>
      <c r="BX39" s="27">
        <v>0</v>
      </c>
      <c r="BY39" s="27"/>
      <c r="BZ39" s="27">
        <f t="shared" si="80"/>
        <v>0</v>
      </c>
      <c r="CA39" s="27">
        <f t="shared" si="81"/>
        <v>0</v>
      </c>
      <c r="CB39" s="26"/>
      <c r="CC39" s="27"/>
      <c r="CD39" s="27">
        <v>0</v>
      </c>
      <c r="CE39" s="27">
        <v>22500</v>
      </c>
      <c r="CF39" s="27">
        <f t="shared" si="82"/>
        <v>0</v>
      </c>
      <c r="CG39" s="27">
        <f t="shared" si="83"/>
        <v>22500</v>
      </c>
      <c r="CH39" s="26"/>
      <c r="CI39" s="27"/>
      <c r="CJ39" s="27">
        <v>0</v>
      </c>
      <c r="CK39" s="27"/>
      <c r="CL39" s="27">
        <f t="shared" si="84"/>
        <v>0</v>
      </c>
      <c r="CM39" s="27">
        <f t="shared" si="85"/>
        <v>0</v>
      </c>
      <c r="CN39" s="26"/>
      <c r="CO39" s="27"/>
      <c r="CP39" s="27">
        <v>0</v>
      </c>
      <c r="CQ39" s="27"/>
      <c r="CR39" s="27">
        <f t="shared" si="86"/>
        <v>0</v>
      </c>
      <c r="CS39" s="27">
        <f t="shared" si="87"/>
        <v>0</v>
      </c>
      <c r="CT39" s="26"/>
      <c r="CU39" s="27"/>
      <c r="CV39" s="27">
        <v>0</v>
      </c>
      <c r="CW39" s="27"/>
      <c r="CX39" s="27">
        <f t="shared" si="88"/>
        <v>0</v>
      </c>
      <c r="CY39" s="27">
        <f t="shared" si="89"/>
        <v>0</v>
      </c>
      <c r="CZ39" s="26"/>
      <c r="DA39" s="27"/>
      <c r="DB39" s="27">
        <v>0</v>
      </c>
      <c r="DC39" s="27"/>
      <c r="DD39" s="27">
        <f t="shared" si="90"/>
        <v>0</v>
      </c>
      <c r="DE39" s="27">
        <f t="shared" si="91"/>
        <v>0</v>
      </c>
      <c r="DF39" s="28">
        <f t="shared" si="92"/>
        <v>0</v>
      </c>
      <c r="DG39" s="28">
        <f t="shared" si="93"/>
        <v>0</v>
      </c>
      <c r="DH39" s="28">
        <f t="shared" si="94"/>
        <v>0</v>
      </c>
      <c r="DI39" s="28">
        <f t="shared" si="95"/>
        <v>22500</v>
      </c>
      <c r="DJ39" s="27">
        <f t="shared" si="96"/>
        <v>0</v>
      </c>
      <c r="DK39" s="27">
        <f t="shared" si="97"/>
        <v>22500</v>
      </c>
    </row>
    <row r="40" spans="1:115">
      <c r="A40" s="25">
        <v>32</v>
      </c>
      <c r="B40" s="26" t="s">
        <v>1161</v>
      </c>
      <c r="C40" s="26"/>
      <c r="D40" s="26" t="s">
        <v>1337</v>
      </c>
      <c r="E40" s="205" t="s">
        <v>1200</v>
      </c>
      <c r="F40" s="161">
        <f t="shared" si="50"/>
        <v>0</v>
      </c>
      <c r="G40" s="165">
        <f t="shared" si="51"/>
        <v>0</v>
      </c>
      <c r="H40" s="27"/>
      <c r="I40" s="27">
        <v>0</v>
      </c>
      <c r="J40" s="27">
        <v>0</v>
      </c>
      <c r="K40" s="127">
        <f t="shared" si="52"/>
        <v>0</v>
      </c>
      <c r="L40" s="127">
        <f t="shared" si="53"/>
        <v>0</v>
      </c>
      <c r="M40" s="127">
        <f t="shared" si="54"/>
        <v>0</v>
      </c>
      <c r="N40" s="131"/>
      <c r="O40" s="125">
        <f t="shared" si="55"/>
        <v>45000</v>
      </c>
      <c r="P40" s="27">
        <v>0</v>
      </c>
      <c r="Q40" s="27">
        <v>0</v>
      </c>
      <c r="R40" s="27">
        <f t="shared" si="56"/>
        <v>0</v>
      </c>
      <c r="S40" s="27">
        <f t="shared" si="57"/>
        <v>0</v>
      </c>
      <c r="T40" s="27"/>
      <c r="U40" s="27"/>
      <c r="V40" s="27">
        <v>0</v>
      </c>
      <c r="W40" s="27"/>
      <c r="X40" s="27">
        <f t="shared" si="58"/>
        <v>0</v>
      </c>
      <c r="Y40" s="27">
        <f t="shared" si="59"/>
        <v>0</v>
      </c>
      <c r="Z40" s="27">
        <v>0</v>
      </c>
      <c r="AA40" s="27"/>
      <c r="AB40" s="27"/>
      <c r="AC40" s="27"/>
      <c r="AD40" s="27">
        <f t="shared" si="60"/>
        <v>0</v>
      </c>
      <c r="AE40" s="27">
        <f t="shared" si="61"/>
        <v>0</v>
      </c>
      <c r="AF40" s="27">
        <f t="shared" si="62"/>
        <v>0</v>
      </c>
      <c r="AG40" s="27">
        <f t="shared" si="63"/>
        <v>0</v>
      </c>
      <c r="AH40" s="27">
        <f t="shared" si="64"/>
        <v>0</v>
      </c>
      <c r="AI40" s="27">
        <f t="shared" si="65"/>
        <v>0</v>
      </c>
      <c r="AJ40" s="27">
        <f t="shared" si="66"/>
        <v>0</v>
      </c>
      <c r="AK40" s="27">
        <f t="shared" si="67"/>
        <v>0</v>
      </c>
      <c r="AL40" s="27"/>
      <c r="AM40" s="27"/>
      <c r="AN40" s="27">
        <v>0</v>
      </c>
      <c r="AO40" s="27"/>
      <c r="AP40" s="27">
        <f t="shared" si="68"/>
        <v>0</v>
      </c>
      <c r="AQ40" s="27">
        <f t="shared" si="69"/>
        <v>0</v>
      </c>
      <c r="AR40" s="27"/>
      <c r="AS40" s="27"/>
      <c r="AT40" s="27">
        <v>0</v>
      </c>
      <c r="AU40" s="27"/>
      <c r="AV40" s="27">
        <f t="shared" si="70"/>
        <v>0</v>
      </c>
      <c r="AW40" s="27">
        <f t="shared" si="71"/>
        <v>0</v>
      </c>
      <c r="AX40" s="27"/>
      <c r="AY40" s="27"/>
      <c r="AZ40" s="27">
        <v>0</v>
      </c>
      <c r="BA40" s="27"/>
      <c r="BB40" s="27">
        <f t="shared" si="72"/>
        <v>0</v>
      </c>
      <c r="BC40" s="27">
        <f t="shared" si="73"/>
        <v>0</v>
      </c>
      <c r="BD40" s="27"/>
      <c r="BE40" s="27"/>
      <c r="BF40" s="27">
        <v>0</v>
      </c>
      <c r="BG40" s="27"/>
      <c r="BH40" s="27">
        <f t="shared" si="74"/>
        <v>0</v>
      </c>
      <c r="BI40" s="27">
        <f t="shared" si="75"/>
        <v>0</v>
      </c>
      <c r="BJ40" s="27"/>
      <c r="BK40" s="27"/>
      <c r="BL40" s="27">
        <v>0</v>
      </c>
      <c r="BM40" s="27"/>
      <c r="BN40" s="27">
        <f t="shared" si="76"/>
        <v>0</v>
      </c>
      <c r="BO40" s="27">
        <f t="shared" si="77"/>
        <v>0</v>
      </c>
      <c r="BP40" s="26"/>
      <c r="BQ40" s="27"/>
      <c r="BR40" s="27">
        <v>0</v>
      </c>
      <c r="BS40" s="27"/>
      <c r="BT40" s="27">
        <f t="shared" si="78"/>
        <v>0</v>
      </c>
      <c r="BU40" s="27">
        <f t="shared" si="79"/>
        <v>0</v>
      </c>
      <c r="BV40" s="26"/>
      <c r="BW40" s="27"/>
      <c r="BX40" s="27">
        <v>0</v>
      </c>
      <c r="BY40" s="27"/>
      <c r="BZ40" s="27">
        <f t="shared" si="80"/>
        <v>0</v>
      </c>
      <c r="CA40" s="27">
        <f t="shared" si="81"/>
        <v>0</v>
      </c>
      <c r="CB40" s="26"/>
      <c r="CC40" s="27"/>
      <c r="CD40" s="27">
        <v>0</v>
      </c>
      <c r="CE40" s="27"/>
      <c r="CF40" s="27">
        <f t="shared" si="82"/>
        <v>0</v>
      </c>
      <c r="CG40" s="27">
        <f t="shared" si="83"/>
        <v>0</v>
      </c>
      <c r="CH40" s="26"/>
      <c r="CI40" s="27"/>
      <c r="CJ40" s="27">
        <v>0</v>
      </c>
      <c r="CK40" s="27">
        <f>22500+22500</f>
        <v>45000</v>
      </c>
      <c r="CL40" s="27">
        <f t="shared" si="84"/>
        <v>0</v>
      </c>
      <c r="CM40" s="27">
        <f t="shared" si="85"/>
        <v>45000</v>
      </c>
      <c r="CN40" s="26"/>
      <c r="CO40" s="27"/>
      <c r="CP40" s="27">
        <v>0</v>
      </c>
      <c r="CQ40" s="27"/>
      <c r="CR40" s="27">
        <f t="shared" si="86"/>
        <v>0</v>
      </c>
      <c r="CS40" s="27">
        <f t="shared" si="87"/>
        <v>0</v>
      </c>
      <c r="CT40" s="26"/>
      <c r="CU40" s="27"/>
      <c r="CV40" s="27">
        <v>0</v>
      </c>
      <c r="CW40" s="27"/>
      <c r="CX40" s="27">
        <f t="shared" si="88"/>
        <v>0</v>
      </c>
      <c r="CY40" s="27">
        <f t="shared" si="89"/>
        <v>0</v>
      </c>
      <c r="CZ40" s="26"/>
      <c r="DA40" s="27"/>
      <c r="DB40" s="27">
        <v>0</v>
      </c>
      <c r="DC40" s="27"/>
      <c r="DD40" s="27">
        <f t="shared" si="90"/>
        <v>0</v>
      </c>
      <c r="DE40" s="27">
        <f t="shared" si="91"/>
        <v>0</v>
      </c>
      <c r="DF40" s="28">
        <f t="shared" si="92"/>
        <v>0</v>
      </c>
      <c r="DG40" s="28">
        <f t="shared" si="93"/>
        <v>0</v>
      </c>
      <c r="DH40" s="28">
        <f t="shared" si="94"/>
        <v>0</v>
      </c>
      <c r="DI40" s="28">
        <f t="shared" si="95"/>
        <v>45000</v>
      </c>
      <c r="DJ40" s="27">
        <f t="shared" si="96"/>
        <v>0</v>
      </c>
      <c r="DK40" s="27">
        <f t="shared" si="97"/>
        <v>45000</v>
      </c>
    </row>
    <row r="41" spans="1:115">
      <c r="A41" s="25">
        <v>33</v>
      </c>
      <c r="B41" s="26" t="s">
        <v>1161</v>
      </c>
      <c r="C41" s="26" t="s">
        <v>1345</v>
      </c>
      <c r="D41" s="26" t="s">
        <v>1344</v>
      </c>
      <c r="E41" s="205" t="s">
        <v>1200</v>
      </c>
      <c r="F41" s="161">
        <f t="shared" si="50"/>
        <v>0</v>
      </c>
      <c r="G41" s="165">
        <f t="shared" si="51"/>
        <v>0</v>
      </c>
      <c r="H41" s="27"/>
      <c r="I41" s="27">
        <v>0</v>
      </c>
      <c r="J41" s="27">
        <v>0</v>
      </c>
      <c r="K41" s="127">
        <f t="shared" si="52"/>
        <v>0</v>
      </c>
      <c r="L41" s="127">
        <f t="shared" si="53"/>
        <v>0</v>
      </c>
      <c r="M41" s="127">
        <f t="shared" si="54"/>
        <v>0</v>
      </c>
      <c r="N41" s="131"/>
      <c r="O41" s="125" t="str">
        <f t="shared" si="55"/>
        <v>მიმდინარეობს</v>
      </c>
      <c r="P41" s="27">
        <v>0</v>
      </c>
      <c r="Q41" s="27">
        <v>0</v>
      </c>
      <c r="R41" s="27">
        <f t="shared" si="56"/>
        <v>0</v>
      </c>
      <c r="S41" s="27">
        <f t="shared" si="57"/>
        <v>0</v>
      </c>
      <c r="T41" s="27"/>
      <c r="U41" s="27"/>
      <c r="V41" s="27">
        <v>0</v>
      </c>
      <c r="W41" s="27"/>
      <c r="X41" s="27">
        <f t="shared" si="58"/>
        <v>0</v>
      </c>
      <c r="Y41" s="27">
        <f t="shared" si="59"/>
        <v>0</v>
      </c>
      <c r="Z41" s="27">
        <v>0</v>
      </c>
      <c r="AA41" s="27"/>
      <c r="AB41" s="27"/>
      <c r="AC41" s="27"/>
      <c r="AD41" s="27">
        <f t="shared" si="60"/>
        <v>0</v>
      </c>
      <c r="AE41" s="27">
        <f t="shared" si="61"/>
        <v>0</v>
      </c>
      <c r="AF41" s="27">
        <f t="shared" si="62"/>
        <v>0</v>
      </c>
      <c r="AG41" s="27">
        <f t="shared" si="63"/>
        <v>0</v>
      </c>
      <c r="AH41" s="27">
        <f t="shared" si="64"/>
        <v>0</v>
      </c>
      <c r="AI41" s="27">
        <f t="shared" si="65"/>
        <v>0</v>
      </c>
      <c r="AJ41" s="27">
        <f t="shared" si="66"/>
        <v>0</v>
      </c>
      <c r="AK41" s="27">
        <f t="shared" si="67"/>
        <v>0</v>
      </c>
      <c r="AL41" s="27"/>
      <c r="AM41" s="27"/>
      <c r="AN41" s="27">
        <v>0</v>
      </c>
      <c r="AO41" s="27"/>
      <c r="AP41" s="27">
        <f t="shared" si="68"/>
        <v>0</v>
      </c>
      <c r="AQ41" s="27">
        <f t="shared" si="69"/>
        <v>0</v>
      </c>
      <c r="AR41" s="27"/>
      <c r="AS41" s="27"/>
      <c r="AT41" s="27">
        <v>0</v>
      </c>
      <c r="AU41" s="27"/>
      <c r="AV41" s="27">
        <f t="shared" si="70"/>
        <v>0</v>
      </c>
      <c r="AW41" s="27">
        <f t="shared" si="71"/>
        <v>0</v>
      </c>
      <c r="AX41" s="27"/>
      <c r="AY41" s="27"/>
      <c r="AZ41" s="27">
        <v>0</v>
      </c>
      <c r="BA41" s="27"/>
      <c r="BB41" s="27">
        <f t="shared" si="72"/>
        <v>0</v>
      </c>
      <c r="BC41" s="27">
        <f t="shared" si="73"/>
        <v>0</v>
      </c>
      <c r="BD41" s="27"/>
      <c r="BE41" s="27"/>
      <c r="BF41" s="27">
        <v>0</v>
      </c>
      <c r="BG41" s="27"/>
      <c r="BH41" s="27">
        <f t="shared" si="74"/>
        <v>0</v>
      </c>
      <c r="BI41" s="27">
        <f t="shared" si="75"/>
        <v>0</v>
      </c>
      <c r="BJ41" s="27"/>
      <c r="BK41" s="27"/>
      <c r="BL41" s="27">
        <v>0</v>
      </c>
      <c r="BM41" s="27"/>
      <c r="BN41" s="27">
        <f t="shared" si="76"/>
        <v>0</v>
      </c>
      <c r="BO41" s="27">
        <f t="shared" si="77"/>
        <v>0</v>
      </c>
      <c r="BP41" s="26"/>
      <c r="BQ41" s="27"/>
      <c r="BR41" s="27">
        <v>0</v>
      </c>
      <c r="BS41" s="27"/>
      <c r="BT41" s="27">
        <f t="shared" si="78"/>
        <v>0</v>
      </c>
      <c r="BU41" s="27">
        <f t="shared" si="79"/>
        <v>0</v>
      </c>
      <c r="BV41" s="26"/>
      <c r="BW41" s="27"/>
      <c r="BX41" s="27">
        <v>0</v>
      </c>
      <c r="BY41" s="27"/>
      <c r="BZ41" s="27">
        <f t="shared" si="80"/>
        <v>0</v>
      </c>
      <c r="CA41" s="27">
        <f t="shared" si="81"/>
        <v>0</v>
      </c>
      <c r="CB41" s="26"/>
      <c r="CC41" s="27"/>
      <c r="CD41" s="27">
        <v>0</v>
      </c>
      <c r="CE41" s="27"/>
      <c r="CF41" s="27">
        <f t="shared" si="82"/>
        <v>0</v>
      </c>
      <c r="CG41" s="27">
        <f t="shared" si="83"/>
        <v>0</v>
      </c>
      <c r="CH41" s="26"/>
      <c r="CI41" s="27"/>
      <c r="CJ41" s="27">
        <v>0</v>
      </c>
      <c r="CK41" s="27"/>
      <c r="CL41" s="27">
        <f t="shared" si="84"/>
        <v>0</v>
      </c>
      <c r="CM41" s="27">
        <f t="shared" si="85"/>
        <v>0</v>
      </c>
      <c r="CN41" s="26"/>
      <c r="CO41" s="27">
        <v>285000</v>
      </c>
      <c r="CP41" s="27">
        <v>0</v>
      </c>
      <c r="CQ41" s="27"/>
      <c r="CR41" s="27">
        <f t="shared" si="86"/>
        <v>0</v>
      </c>
      <c r="CS41" s="27">
        <f t="shared" si="87"/>
        <v>285000</v>
      </c>
      <c r="CT41" s="26"/>
      <c r="CU41" s="27"/>
      <c r="CV41" s="27">
        <v>0</v>
      </c>
      <c r="CW41" s="27"/>
      <c r="CX41" s="27">
        <f t="shared" si="88"/>
        <v>0</v>
      </c>
      <c r="CY41" s="27">
        <f t="shared" si="89"/>
        <v>0</v>
      </c>
      <c r="CZ41" s="26"/>
      <c r="DA41" s="27"/>
      <c r="DB41" s="27">
        <v>0</v>
      </c>
      <c r="DC41" s="27"/>
      <c r="DD41" s="27">
        <f t="shared" si="90"/>
        <v>0</v>
      </c>
      <c r="DE41" s="27">
        <f t="shared" si="91"/>
        <v>0</v>
      </c>
      <c r="DF41" s="28">
        <f t="shared" si="92"/>
        <v>0</v>
      </c>
      <c r="DG41" s="28">
        <f t="shared" si="93"/>
        <v>285000</v>
      </c>
      <c r="DH41" s="28">
        <f t="shared" si="94"/>
        <v>0</v>
      </c>
      <c r="DI41" s="28">
        <f t="shared" si="95"/>
        <v>0</v>
      </c>
      <c r="DJ41" s="27">
        <f t="shared" si="96"/>
        <v>0</v>
      </c>
      <c r="DK41" s="27">
        <f t="shared" si="97"/>
        <v>285000</v>
      </c>
    </row>
    <row r="42" spans="1:115">
      <c r="A42" s="25">
        <v>34</v>
      </c>
      <c r="B42" s="26" t="s">
        <v>1161</v>
      </c>
      <c r="C42" s="26"/>
      <c r="D42" s="26" t="s">
        <v>1365</v>
      </c>
      <c r="E42" s="205" t="s">
        <v>1200</v>
      </c>
      <c r="F42" s="161">
        <f t="shared" si="50"/>
        <v>0</v>
      </c>
      <c r="G42" s="165">
        <f t="shared" si="51"/>
        <v>0</v>
      </c>
      <c r="H42" s="27"/>
      <c r="I42" s="27">
        <v>0</v>
      </c>
      <c r="J42" s="27">
        <v>0</v>
      </c>
      <c r="K42" s="127">
        <f t="shared" si="52"/>
        <v>0</v>
      </c>
      <c r="L42" s="127">
        <f t="shared" si="53"/>
        <v>0</v>
      </c>
      <c r="M42" s="127">
        <f t="shared" si="54"/>
        <v>0</v>
      </c>
      <c r="N42" s="131"/>
      <c r="O42" s="125">
        <f t="shared" si="55"/>
        <v>22500</v>
      </c>
      <c r="P42" s="27">
        <v>0</v>
      </c>
      <c r="Q42" s="27">
        <v>0</v>
      </c>
      <c r="R42" s="27">
        <f t="shared" si="56"/>
        <v>0</v>
      </c>
      <c r="S42" s="27">
        <f t="shared" si="57"/>
        <v>0</v>
      </c>
      <c r="T42" s="27"/>
      <c r="U42" s="27"/>
      <c r="V42" s="27">
        <v>0</v>
      </c>
      <c r="W42" s="27"/>
      <c r="X42" s="27">
        <f t="shared" si="58"/>
        <v>0</v>
      </c>
      <c r="Y42" s="27">
        <f t="shared" si="59"/>
        <v>0</v>
      </c>
      <c r="Z42" s="27">
        <v>0</v>
      </c>
      <c r="AA42" s="27"/>
      <c r="AB42" s="27"/>
      <c r="AC42" s="27"/>
      <c r="AD42" s="27">
        <f t="shared" si="60"/>
        <v>0</v>
      </c>
      <c r="AE42" s="27">
        <f t="shared" si="61"/>
        <v>0</v>
      </c>
      <c r="AF42" s="27">
        <f t="shared" si="62"/>
        <v>0</v>
      </c>
      <c r="AG42" s="27">
        <f t="shared" si="63"/>
        <v>0</v>
      </c>
      <c r="AH42" s="27">
        <f t="shared" si="64"/>
        <v>0</v>
      </c>
      <c r="AI42" s="27">
        <f t="shared" si="65"/>
        <v>0</v>
      </c>
      <c r="AJ42" s="27">
        <f t="shared" si="66"/>
        <v>0</v>
      </c>
      <c r="AK42" s="27">
        <f t="shared" si="67"/>
        <v>0</v>
      </c>
      <c r="AL42" s="27"/>
      <c r="AM42" s="27"/>
      <c r="AN42" s="27">
        <v>0</v>
      </c>
      <c r="AO42" s="27"/>
      <c r="AP42" s="27">
        <f t="shared" si="68"/>
        <v>0</v>
      </c>
      <c r="AQ42" s="27">
        <f t="shared" si="69"/>
        <v>0</v>
      </c>
      <c r="AR42" s="27"/>
      <c r="AS42" s="27"/>
      <c r="AT42" s="27">
        <v>0</v>
      </c>
      <c r="AU42" s="27"/>
      <c r="AV42" s="27">
        <f t="shared" si="70"/>
        <v>0</v>
      </c>
      <c r="AW42" s="27">
        <f t="shared" si="71"/>
        <v>0</v>
      </c>
      <c r="AX42" s="27"/>
      <c r="AY42" s="27"/>
      <c r="AZ42" s="27">
        <v>0</v>
      </c>
      <c r="BA42" s="27"/>
      <c r="BB42" s="27">
        <f t="shared" si="72"/>
        <v>0</v>
      </c>
      <c r="BC42" s="27">
        <f t="shared" si="73"/>
        <v>0</v>
      </c>
      <c r="BD42" s="27"/>
      <c r="BE42" s="27"/>
      <c r="BF42" s="27">
        <v>0</v>
      </c>
      <c r="BG42" s="27"/>
      <c r="BH42" s="27">
        <f t="shared" si="74"/>
        <v>0</v>
      </c>
      <c r="BI42" s="27">
        <f t="shared" si="75"/>
        <v>0</v>
      </c>
      <c r="BJ42" s="27"/>
      <c r="BK42" s="27"/>
      <c r="BL42" s="27">
        <v>0</v>
      </c>
      <c r="BM42" s="27"/>
      <c r="BN42" s="27">
        <f t="shared" si="76"/>
        <v>0</v>
      </c>
      <c r="BO42" s="27">
        <f t="shared" si="77"/>
        <v>0</v>
      </c>
      <c r="BP42" s="26"/>
      <c r="BQ42" s="27"/>
      <c r="BR42" s="27">
        <v>0</v>
      </c>
      <c r="BS42" s="27"/>
      <c r="BT42" s="27">
        <f t="shared" si="78"/>
        <v>0</v>
      </c>
      <c r="BU42" s="27">
        <f t="shared" si="79"/>
        <v>0</v>
      </c>
      <c r="BV42" s="26"/>
      <c r="BW42" s="27"/>
      <c r="BX42" s="27">
        <v>0</v>
      </c>
      <c r="BY42" s="27"/>
      <c r="BZ42" s="27">
        <f t="shared" si="80"/>
        <v>0</v>
      </c>
      <c r="CA42" s="27">
        <f t="shared" si="81"/>
        <v>0</v>
      </c>
      <c r="CB42" s="26"/>
      <c r="CC42" s="27"/>
      <c r="CD42" s="27">
        <v>0</v>
      </c>
      <c r="CE42" s="27"/>
      <c r="CF42" s="27">
        <f t="shared" si="82"/>
        <v>0</v>
      </c>
      <c r="CG42" s="27">
        <f t="shared" si="83"/>
        <v>0</v>
      </c>
      <c r="CH42" s="26"/>
      <c r="CI42" s="27"/>
      <c r="CJ42" s="27">
        <v>0</v>
      </c>
      <c r="CK42" s="27"/>
      <c r="CL42" s="27">
        <f t="shared" si="84"/>
        <v>0</v>
      </c>
      <c r="CM42" s="27">
        <f t="shared" si="85"/>
        <v>0</v>
      </c>
      <c r="CN42" s="26"/>
      <c r="CO42" s="27"/>
      <c r="CP42" s="27">
        <v>0</v>
      </c>
      <c r="CQ42" s="27"/>
      <c r="CR42" s="27">
        <f t="shared" si="86"/>
        <v>0</v>
      </c>
      <c r="CS42" s="27">
        <f t="shared" si="87"/>
        <v>0</v>
      </c>
      <c r="CT42" s="26"/>
      <c r="CU42" s="27"/>
      <c r="CV42" s="27">
        <v>0</v>
      </c>
      <c r="CW42" s="27">
        <v>22500</v>
      </c>
      <c r="CX42" s="27">
        <f t="shared" si="88"/>
        <v>0</v>
      </c>
      <c r="CY42" s="27">
        <f t="shared" si="89"/>
        <v>22500</v>
      </c>
      <c r="CZ42" s="26"/>
      <c r="DA42" s="27"/>
      <c r="DB42" s="27">
        <v>0</v>
      </c>
      <c r="DC42" s="27"/>
      <c r="DD42" s="27">
        <f t="shared" si="90"/>
        <v>0</v>
      </c>
      <c r="DE42" s="27">
        <f t="shared" si="91"/>
        <v>0</v>
      </c>
      <c r="DF42" s="28">
        <f t="shared" si="92"/>
        <v>0</v>
      </c>
      <c r="DG42" s="28">
        <f t="shared" si="93"/>
        <v>0</v>
      </c>
      <c r="DH42" s="28">
        <f t="shared" si="94"/>
        <v>0</v>
      </c>
      <c r="DI42" s="28">
        <f t="shared" si="95"/>
        <v>22500</v>
      </c>
      <c r="DJ42" s="27">
        <f t="shared" si="96"/>
        <v>0</v>
      </c>
      <c r="DK42" s="27">
        <f t="shared" si="97"/>
        <v>22500</v>
      </c>
    </row>
    <row r="43" spans="1:115">
      <c r="A43" s="25">
        <v>35</v>
      </c>
      <c r="B43" s="26" t="s">
        <v>1161</v>
      </c>
      <c r="C43" s="26" t="s">
        <v>1367</v>
      </c>
      <c r="D43" s="26" t="s">
        <v>1366</v>
      </c>
      <c r="E43" s="205" t="s">
        <v>1200</v>
      </c>
      <c r="F43" s="161">
        <f t="shared" si="50"/>
        <v>0</v>
      </c>
      <c r="G43" s="165">
        <f t="shared" si="51"/>
        <v>0</v>
      </c>
      <c r="H43" s="27"/>
      <c r="I43" s="27">
        <v>0</v>
      </c>
      <c r="J43" s="27">
        <v>0</v>
      </c>
      <c r="K43" s="127">
        <f t="shared" si="52"/>
        <v>0</v>
      </c>
      <c r="L43" s="127">
        <f t="shared" si="53"/>
        <v>0</v>
      </c>
      <c r="M43" s="127">
        <f t="shared" si="54"/>
        <v>0</v>
      </c>
      <c r="N43" s="131"/>
      <c r="O43" s="125">
        <f t="shared" si="55"/>
        <v>45197</v>
      </c>
      <c r="P43" s="27">
        <v>0</v>
      </c>
      <c r="Q43" s="27">
        <v>0</v>
      </c>
      <c r="R43" s="27">
        <f t="shared" si="56"/>
        <v>0</v>
      </c>
      <c r="S43" s="27">
        <f t="shared" si="57"/>
        <v>0</v>
      </c>
      <c r="T43" s="27"/>
      <c r="U43" s="27"/>
      <c r="V43" s="27">
        <v>0</v>
      </c>
      <c r="W43" s="27"/>
      <c r="X43" s="27">
        <f t="shared" si="58"/>
        <v>0</v>
      </c>
      <c r="Y43" s="27">
        <f t="shared" si="59"/>
        <v>0</v>
      </c>
      <c r="Z43" s="27">
        <v>0</v>
      </c>
      <c r="AA43" s="27"/>
      <c r="AB43" s="27"/>
      <c r="AC43" s="27"/>
      <c r="AD43" s="27">
        <f t="shared" si="60"/>
        <v>0</v>
      </c>
      <c r="AE43" s="27">
        <f t="shared" si="61"/>
        <v>0</v>
      </c>
      <c r="AF43" s="27">
        <f t="shared" si="62"/>
        <v>0</v>
      </c>
      <c r="AG43" s="27">
        <f t="shared" si="63"/>
        <v>0</v>
      </c>
      <c r="AH43" s="27">
        <f t="shared" si="64"/>
        <v>0</v>
      </c>
      <c r="AI43" s="27">
        <f t="shared" si="65"/>
        <v>0</v>
      </c>
      <c r="AJ43" s="27">
        <f t="shared" si="66"/>
        <v>0</v>
      </c>
      <c r="AK43" s="27">
        <f t="shared" si="67"/>
        <v>0</v>
      </c>
      <c r="AL43" s="27"/>
      <c r="AM43" s="27"/>
      <c r="AN43" s="27">
        <v>0</v>
      </c>
      <c r="AO43" s="27"/>
      <c r="AP43" s="27">
        <f t="shared" si="68"/>
        <v>0</v>
      </c>
      <c r="AQ43" s="27">
        <f t="shared" si="69"/>
        <v>0</v>
      </c>
      <c r="AR43" s="27"/>
      <c r="AS43" s="27"/>
      <c r="AT43" s="27">
        <v>0</v>
      </c>
      <c r="AU43" s="27"/>
      <c r="AV43" s="27">
        <f t="shared" si="70"/>
        <v>0</v>
      </c>
      <c r="AW43" s="27">
        <f t="shared" si="71"/>
        <v>0</v>
      </c>
      <c r="AX43" s="27"/>
      <c r="AY43" s="27"/>
      <c r="AZ43" s="27">
        <v>0</v>
      </c>
      <c r="BA43" s="27"/>
      <c r="BB43" s="27">
        <f t="shared" si="72"/>
        <v>0</v>
      </c>
      <c r="BC43" s="27">
        <f t="shared" si="73"/>
        <v>0</v>
      </c>
      <c r="BD43" s="27"/>
      <c r="BE43" s="27"/>
      <c r="BF43" s="27">
        <v>0</v>
      </c>
      <c r="BG43" s="27"/>
      <c r="BH43" s="27">
        <f t="shared" si="74"/>
        <v>0</v>
      </c>
      <c r="BI43" s="27">
        <f t="shared" si="75"/>
        <v>0</v>
      </c>
      <c r="BJ43" s="27"/>
      <c r="BK43" s="27"/>
      <c r="BL43" s="27">
        <v>0</v>
      </c>
      <c r="BM43" s="27"/>
      <c r="BN43" s="27">
        <f t="shared" si="76"/>
        <v>0</v>
      </c>
      <c r="BO43" s="27">
        <f t="shared" si="77"/>
        <v>0</v>
      </c>
      <c r="BP43" s="26"/>
      <c r="BQ43" s="27"/>
      <c r="BR43" s="27">
        <v>0</v>
      </c>
      <c r="BS43" s="27"/>
      <c r="BT43" s="27">
        <f t="shared" si="78"/>
        <v>0</v>
      </c>
      <c r="BU43" s="27">
        <f t="shared" si="79"/>
        <v>0</v>
      </c>
      <c r="BV43" s="26"/>
      <c r="BW43" s="27"/>
      <c r="BX43" s="27">
        <v>0</v>
      </c>
      <c r="BY43" s="27"/>
      <c r="BZ43" s="27">
        <f t="shared" si="80"/>
        <v>0</v>
      </c>
      <c r="CA43" s="27">
        <f t="shared" si="81"/>
        <v>0</v>
      </c>
      <c r="CB43" s="26"/>
      <c r="CC43" s="27"/>
      <c r="CD43" s="27">
        <v>0</v>
      </c>
      <c r="CE43" s="27"/>
      <c r="CF43" s="27">
        <f t="shared" si="82"/>
        <v>0</v>
      </c>
      <c r="CG43" s="27">
        <f t="shared" si="83"/>
        <v>0</v>
      </c>
      <c r="CH43" s="26"/>
      <c r="CI43" s="27"/>
      <c r="CJ43" s="27">
        <v>0</v>
      </c>
      <c r="CK43" s="27"/>
      <c r="CL43" s="27">
        <f t="shared" si="84"/>
        <v>0</v>
      </c>
      <c r="CM43" s="27">
        <f t="shared" si="85"/>
        <v>0</v>
      </c>
      <c r="CN43" s="26"/>
      <c r="CO43" s="27"/>
      <c r="CP43" s="27">
        <v>0</v>
      </c>
      <c r="CQ43" s="27"/>
      <c r="CR43" s="27">
        <f t="shared" si="86"/>
        <v>0</v>
      </c>
      <c r="CS43" s="27">
        <f t="shared" si="87"/>
        <v>0</v>
      </c>
      <c r="CT43" s="26"/>
      <c r="CU43" s="27">
        <v>40000</v>
      </c>
      <c r="CV43" s="27">
        <v>0</v>
      </c>
      <c r="CW43" s="27">
        <v>5197</v>
      </c>
      <c r="CX43" s="27">
        <f t="shared" si="88"/>
        <v>0</v>
      </c>
      <c r="CY43" s="27">
        <f t="shared" si="89"/>
        <v>45197</v>
      </c>
      <c r="CZ43" s="26"/>
      <c r="DA43" s="27"/>
      <c r="DB43" s="27">
        <v>0</v>
      </c>
      <c r="DC43" s="27"/>
      <c r="DD43" s="27">
        <f t="shared" si="90"/>
        <v>0</v>
      </c>
      <c r="DE43" s="27">
        <f t="shared" si="91"/>
        <v>0</v>
      </c>
      <c r="DF43" s="28">
        <f t="shared" si="92"/>
        <v>0</v>
      </c>
      <c r="DG43" s="28">
        <f t="shared" si="93"/>
        <v>40000</v>
      </c>
      <c r="DH43" s="28">
        <f t="shared" si="94"/>
        <v>0</v>
      </c>
      <c r="DI43" s="28">
        <f t="shared" si="95"/>
        <v>5197</v>
      </c>
      <c r="DJ43" s="27">
        <f t="shared" si="96"/>
        <v>0</v>
      </c>
      <c r="DK43" s="27">
        <f t="shared" si="97"/>
        <v>45197</v>
      </c>
    </row>
    <row r="44" spans="1:115">
      <c r="A44" s="25">
        <v>36</v>
      </c>
      <c r="B44" s="26" t="s">
        <v>1161</v>
      </c>
      <c r="C44" s="26"/>
      <c r="D44" s="26"/>
      <c r="E44" s="205" t="s">
        <v>1200</v>
      </c>
      <c r="F44" s="161">
        <f t="shared" si="50"/>
        <v>0</v>
      </c>
      <c r="G44" s="165">
        <f t="shared" si="51"/>
        <v>0</v>
      </c>
      <c r="H44" s="27"/>
      <c r="I44" s="27">
        <v>0</v>
      </c>
      <c r="J44" s="27">
        <v>0</v>
      </c>
      <c r="K44" s="127">
        <f t="shared" si="52"/>
        <v>0</v>
      </c>
      <c r="L44" s="127">
        <f t="shared" si="53"/>
        <v>0</v>
      </c>
      <c r="M44" s="127">
        <f t="shared" si="54"/>
        <v>0</v>
      </c>
      <c r="N44" s="131"/>
      <c r="O44" s="125" t="str">
        <f t="shared" si="55"/>
        <v>ნულოვანი შესრულება</v>
      </c>
      <c r="P44" s="27">
        <v>0</v>
      </c>
      <c r="Q44" s="27">
        <v>0</v>
      </c>
      <c r="R44" s="27">
        <f t="shared" si="56"/>
        <v>0</v>
      </c>
      <c r="S44" s="27">
        <f t="shared" si="57"/>
        <v>0</v>
      </c>
      <c r="T44" s="27"/>
      <c r="U44" s="27"/>
      <c r="V44" s="27">
        <v>0</v>
      </c>
      <c r="W44" s="27"/>
      <c r="X44" s="27">
        <f t="shared" si="58"/>
        <v>0</v>
      </c>
      <c r="Y44" s="27">
        <f t="shared" si="59"/>
        <v>0</v>
      </c>
      <c r="Z44" s="27">
        <v>0</v>
      </c>
      <c r="AA44" s="27"/>
      <c r="AB44" s="27"/>
      <c r="AC44" s="27"/>
      <c r="AD44" s="27">
        <f t="shared" si="60"/>
        <v>0</v>
      </c>
      <c r="AE44" s="27">
        <f t="shared" si="61"/>
        <v>0</v>
      </c>
      <c r="AF44" s="27">
        <f t="shared" si="62"/>
        <v>0</v>
      </c>
      <c r="AG44" s="27">
        <f t="shared" si="63"/>
        <v>0</v>
      </c>
      <c r="AH44" s="27">
        <f t="shared" si="64"/>
        <v>0</v>
      </c>
      <c r="AI44" s="27">
        <f t="shared" si="65"/>
        <v>0</v>
      </c>
      <c r="AJ44" s="27">
        <f t="shared" si="66"/>
        <v>0</v>
      </c>
      <c r="AK44" s="27">
        <f t="shared" si="67"/>
        <v>0</v>
      </c>
      <c r="AL44" s="27"/>
      <c r="AM44" s="27"/>
      <c r="AN44" s="27">
        <v>0</v>
      </c>
      <c r="AO44" s="27"/>
      <c r="AP44" s="27">
        <f t="shared" si="68"/>
        <v>0</v>
      </c>
      <c r="AQ44" s="27">
        <f t="shared" si="69"/>
        <v>0</v>
      </c>
      <c r="AR44" s="27"/>
      <c r="AS44" s="27"/>
      <c r="AT44" s="27">
        <v>0</v>
      </c>
      <c r="AU44" s="27"/>
      <c r="AV44" s="27">
        <f t="shared" si="70"/>
        <v>0</v>
      </c>
      <c r="AW44" s="27">
        <f t="shared" si="71"/>
        <v>0</v>
      </c>
      <c r="AX44" s="27"/>
      <c r="AY44" s="27"/>
      <c r="AZ44" s="27">
        <v>0</v>
      </c>
      <c r="BA44" s="27"/>
      <c r="BB44" s="27">
        <f t="shared" si="72"/>
        <v>0</v>
      </c>
      <c r="BC44" s="27">
        <f t="shared" si="73"/>
        <v>0</v>
      </c>
      <c r="BD44" s="27"/>
      <c r="BE44" s="27"/>
      <c r="BF44" s="27">
        <v>0</v>
      </c>
      <c r="BG44" s="27"/>
      <c r="BH44" s="27">
        <f t="shared" si="74"/>
        <v>0</v>
      </c>
      <c r="BI44" s="27">
        <f t="shared" si="75"/>
        <v>0</v>
      </c>
      <c r="BJ44" s="27"/>
      <c r="BK44" s="27"/>
      <c r="BL44" s="27">
        <v>0</v>
      </c>
      <c r="BM44" s="27"/>
      <c r="BN44" s="27">
        <f t="shared" si="76"/>
        <v>0</v>
      </c>
      <c r="BO44" s="27">
        <f t="shared" si="77"/>
        <v>0</v>
      </c>
      <c r="BP44" s="26"/>
      <c r="BQ44" s="27"/>
      <c r="BR44" s="27">
        <v>0</v>
      </c>
      <c r="BS44" s="27"/>
      <c r="BT44" s="27">
        <f t="shared" si="78"/>
        <v>0</v>
      </c>
      <c r="BU44" s="27">
        <f t="shared" si="79"/>
        <v>0</v>
      </c>
      <c r="BV44" s="26"/>
      <c r="BW44" s="27"/>
      <c r="BX44" s="27">
        <v>0</v>
      </c>
      <c r="BY44" s="27"/>
      <c r="BZ44" s="27">
        <f t="shared" si="80"/>
        <v>0</v>
      </c>
      <c r="CA44" s="27">
        <f t="shared" si="81"/>
        <v>0</v>
      </c>
      <c r="CB44" s="26"/>
      <c r="CC44" s="27"/>
      <c r="CD44" s="27">
        <v>0</v>
      </c>
      <c r="CE44" s="27"/>
      <c r="CF44" s="27">
        <f t="shared" si="82"/>
        <v>0</v>
      </c>
      <c r="CG44" s="27">
        <f t="shared" si="83"/>
        <v>0</v>
      </c>
      <c r="CH44" s="26"/>
      <c r="CI44" s="27"/>
      <c r="CJ44" s="27">
        <v>0</v>
      </c>
      <c r="CK44" s="27"/>
      <c r="CL44" s="27">
        <f t="shared" si="84"/>
        <v>0</v>
      </c>
      <c r="CM44" s="27">
        <f t="shared" si="85"/>
        <v>0</v>
      </c>
      <c r="CN44" s="26"/>
      <c r="CO44" s="27"/>
      <c r="CP44" s="27">
        <v>0</v>
      </c>
      <c r="CQ44" s="27"/>
      <c r="CR44" s="27">
        <f t="shared" si="86"/>
        <v>0</v>
      </c>
      <c r="CS44" s="27">
        <f t="shared" si="87"/>
        <v>0</v>
      </c>
      <c r="CT44" s="26"/>
      <c r="CU44" s="27"/>
      <c r="CV44" s="27">
        <v>0</v>
      </c>
      <c r="CW44" s="27"/>
      <c r="CX44" s="27">
        <f t="shared" si="88"/>
        <v>0</v>
      </c>
      <c r="CY44" s="27">
        <f t="shared" si="89"/>
        <v>0</v>
      </c>
      <c r="CZ44" s="26"/>
      <c r="DA44" s="27"/>
      <c r="DB44" s="27">
        <v>0</v>
      </c>
      <c r="DC44" s="27"/>
      <c r="DD44" s="27">
        <f t="shared" si="90"/>
        <v>0</v>
      </c>
      <c r="DE44" s="27">
        <f t="shared" si="91"/>
        <v>0</v>
      </c>
      <c r="DF44" s="28">
        <f t="shared" si="92"/>
        <v>0</v>
      </c>
      <c r="DG44" s="28">
        <f t="shared" si="93"/>
        <v>0</v>
      </c>
      <c r="DH44" s="28">
        <f t="shared" si="94"/>
        <v>0</v>
      </c>
      <c r="DI44" s="28">
        <f t="shared" si="95"/>
        <v>0</v>
      </c>
      <c r="DJ44" s="27">
        <f t="shared" si="96"/>
        <v>0</v>
      </c>
      <c r="DK44" s="27">
        <f t="shared" si="97"/>
        <v>0</v>
      </c>
    </row>
    <row r="45" spans="1:115">
      <c r="A45" s="25">
        <v>37</v>
      </c>
      <c r="B45" s="26" t="s">
        <v>1161</v>
      </c>
      <c r="C45" s="26"/>
      <c r="D45" s="26"/>
      <c r="E45" s="205" t="s">
        <v>1200</v>
      </c>
      <c r="F45" s="161">
        <f t="shared" si="50"/>
        <v>0</v>
      </c>
      <c r="G45" s="165">
        <f t="shared" si="51"/>
        <v>0</v>
      </c>
      <c r="H45" s="27"/>
      <c r="I45" s="27">
        <v>0</v>
      </c>
      <c r="J45" s="27">
        <v>0</v>
      </c>
      <c r="K45" s="127">
        <f t="shared" si="52"/>
        <v>0</v>
      </c>
      <c r="L45" s="127">
        <f t="shared" si="53"/>
        <v>0</v>
      </c>
      <c r="M45" s="127">
        <f t="shared" si="54"/>
        <v>0</v>
      </c>
      <c r="N45" s="131"/>
      <c r="O45" s="125" t="str">
        <f t="shared" si="55"/>
        <v>ნულოვანი შესრულება</v>
      </c>
      <c r="P45" s="27">
        <v>0</v>
      </c>
      <c r="Q45" s="27">
        <v>0</v>
      </c>
      <c r="R45" s="27">
        <f t="shared" si="56"/>
        <v>0</v>
      </c>
      <c r="S45" s="27">
        <f t="shared" si="57"/>
        <v>0</v>
      </c>
      <c r="T45" s="27"/>
      <c r="U45" s="27"/>
      <c r="V45" s="27">
        <v>0</v>
      </c>
      <c r="W45" s="27"/>
      <c r="X45" s="27">
        <f t="shared" si="58"/>
        <v>0</v>
      </c>
      <c r="Y45" s="27">
        <f t="shared" si="59"/>
        <v>0</v>
      </c>
      <c r="Z45" s="27">
        <v>0</v>
      </c>
      <c r="AA45" s="27"/>
      <c r="AB45" s="27"/>
      <c r="AC45" s="27"/>
      <c r="AD45" s="27">
        <f t="shared" si="60"/>
        <v>0</v>
      </c>
      <c r="AE45" s="27">
        <f t="shared" si="61"/>
        <v>0</v>
      </c>
      <c r="AF45" s="27">
        <f t="shared" si="62"/>
        <v>0</v>
      </c>
      <c r="AG45" s="27">
        <f t="shared" si="63"/>
        <v>0</v>
      </c>
      <c r="AH45" s="27">
        <f t="shared" si="64"/>
        <v>0</v>
      </c>
      <c r="AI45" s="27">
        <f t="shared" si="65"/>
        <v>0</v>
      </c>
      <c r="AJ45" s="27">
        <f t="shared" si="66"/>
        <v>0</v>
      </c>
      <c r="AK45" s="27">
        <f t="shared" si="67"/>
        <v>0</v>
      </c>
      <c r="AL45" s="27"/>
      <c r="AM45" s="27"/>
      <c r="AN45" s="27">
        <v>0</v>
      </c>
      <c r="AO45" s="27"/>
      <c r="AP45" s="27">
        <f t="shared" si="68"/>
        <v>0</v>
      </c>
      <c r="AQ45" s="27">
        <f t="shared" si="69"/>
        <v>0</v>
      </c>
      <c r="AR45" s="27"/>
      <c r="AS45" s="27"/>
      <c r="AT45" s="27">
        <v>0</v>
      </c>
      <c r="AU45" s="27"/>
      <c r="AV45" s="27">
        <f t="shared" si="70"/>
        <v>0</v>
      </c>
      <c r="AW45" s="27">
        <f t="shared" si="71"/>
        <v>0</v>
      </c>
      <c r="AX45" s="27"/>
      <c r="AY45" s="27"/>
      <c r="AZ45" s="27">
        <v>0</v>
      </c>
      <c r="BA45" s="27"/>
      <c r="BB45" s="27">
        <f t="shared" si="72"/>
        <v>0</v>
      </c>
      <c r="BC45" s="27">
        <f t="shared" si="73"/>
        <v>0</v>
      </c>
      <c r="BD45" s="27"/>
      <c r="BE45" s="27"/>
      <c r="BF45" s="27">
        <v>0</v>
      </c>
      <c r="BG45" s="27"/>
      <c r="BH45" s="27">
        <f t="shared" si="74"/>
        <v>0</v>
      </c>
      <c r="BI45" s="27">
        <f t="shared" si="75"/>
        <v>0</v>
      </c>
      <c r="BJ45" s="27"/>
      <c r="BK45" s="27"/>
      <c r="BL45" s="27">
        <v>0</v>
      </c>
      <c r="BM45" s="27"/>
      <c r="BN45" s="27">
        <f t="shared" si="76"/>
        <v>0</v>
      </c>
      <c r="BO45" s="27">
        <f t="shared" si="77"/>
        <v>0</v>
      </c>
      <c r="BP45" s="26"/>
      <c r="BQ45" s="27"/>
      <c r="BR45" s="27">
        <v>0</v>
      </c>
      <c r="BS45" s="27"/>
      <c r="BT45" s="27">
        <f t="shared" si="78"/>
        <v>0</v>
      </c>
      <c r="BU45" s="27">
        <f t="shared" si="79"/>
        <v>0</v>
      </c>
      <c r="BV45" s="26"/>
      <c r="BW45" s="27"/>
      <c r="BX45" s="27">
        <v>0</v>
      </c>
      <c r="BY45" s="27"/>
      <c r="BZ45" s="27">
        <f t="shared" si="80"/>
        <v>0</v>
      </c>
      <c r="CA45" s="27">
        <f t="shared" si="81"/>
        <v>0</v>
      </c>
      <c r="CB45" s="26"/>
      <c r="CC45" s="27"/>
      <c r="CD45" s="27">
        <v>0</v>
      </c>
      <c r="CE45" s="27"/>
      <c r="CF45" s="27">
        <f t="shared" si="82"/>
        <v>0</v>
      </c>
      <c r="CG45" s="27">
        <f t="shared" si="83"/>
        <v>0</v>
      </c>
      <c r="CH45" s="26"/>
      <c r="CI45" s="27"/>
      <c r="CJ45" s="27">
        <v>0</v>
      </c>
      <c r="CK45" s="27"/>
      <c r="CL45" s="27">
        <f t="shared" si="84"/>
        <v>0</v>
      </c>
      <c r="CM45" s="27">
        <f t="shared" si="85"/>
        <v>0</v>
      </c>
      <c r="CN45" s="26"/>
      <c r="CO45" s="27"/>
      <c r="CP45" s="27">
        <v>0</v>
      </c>
      <c r="CQ45" s="27"/>
      <c r="CR45" s="27">
        <f t="shared" si="86"/>
        <v>0</v>
      </c>
      <c r="CS45" s="27">
        <f t="shared" si="87"/>
        <v>0</v>
      </c>
      <c r="CT45" s="26"/>
      <c r="CU45" s="27"/>
      <c r="CV45" s="27">
        <v>0</v>
      </c>
      <c r="CW45" s="27"/>
      <c r="CX45" s="27">
        <f t="shared" si="88"/>
        <v>0</v>
      </c>
      <c r="CY45" s="27">
        <f t="shared" si="89"/>
        <v>0</v>
      </c>
      <c r="CZ45" s="26"/>
      <c r="DA45" s="27"/>
      <c r="DB45" s="27">
        <v>0</v>
      </c>
      <c r="DC45" s="27"/>
      <c r="DD45" s="27">
        <f t="shared" si="90"/>
        <v>0</v>
      </c>
      <c r="DE45" s="27">
        <f t="shared" si="91"/>
        <v>0</v>
      </c>
      <c r="DF45" s="28">
        <f t="shared" si="92"/>
        <v>0</v>
      </c>
      <c r="DG45" s="28">
        <f t="shared" si="93"/>
        <v>0</v>
      </c>
      <c r="DH45" s="28">
        <f t="shared" si="94"/>
        <v>0</v>
      </c>
      <c r="DI45" s="28">
        <f t="shared" si="95"/>
        <v>0</v>
      </c>
      <c r="DJ45" s="27">
        <f t="shared" si="96"/>
        <v>0</v>
      </c>
      <c r="DK45" s="27">
        <f t="shared" si="97"/>
        <v>0</v>
      </c>
    </row>
    <row r="46" spans="1:115">
      <c r="A46" s="25">
        <v>38</v>
      </c>
      <c r="B46" s="26" t="s">
        <v>1161</v>
      </c>
      <c r="C46" s="26"/>
      <c r="D46" s="26"/>
      <c r="E46" s="205" t="s">
        <v>1200</v>
      </c>
      <c r="F46" s="161">
        <f t="shared" si="50"/>
        <v>0</v>
      </c>
      <c r="G46" s="165">
        <f t="shared" si="51"/>
        <v>0</v>
      </c>
      <c r="H46" s="27"/>
      <c r="I46" s="27">
        <v>0</v>
      </c>
      <c r="J46" s="27">
        <v>0</v>
      </c>
      <c r="K46" s="127">
        <f t="shared" si="52"/>
        <v>0</v>
      </c>
      <c r="L46" s="127">
        <f t="shared" si="53"/>
        <v>0</v>
      </c>
      <c r="M46" s="127">
        <f t="shared" si="54"/>
        <v>0</v>
      </c>
      <c r="N46" s="131"/>
      <c r="O46" s="125" t="str">
        <f t="shared" si="55"/>
        <v>ნულოვანი შესრულება</v>
      </c>
      <c r="P46" s="27">
        <v>0</v>
      </c>
      <c r="Q46" s="27">
        <v>0</v>
      </c>
      <c r="R46" s="27">
        <f t="shared" si="56"/>
        <v>0</v>
      </c>
      <c r="S46" s="27">
        <f t="shared" si="57"/>
        <v>0</v>
      </c>
      <c r="T46" s="27"/>
      <c r="U46" s="27"/>
      <c r="V46" s="27">
        <v>0</v>
      </c>
      <c r="W46" s="27"/>
      <c r="X46" s="27">
        <f t="shared" si="58"/>
        <v>0</v>
      </c>
      <c r="Y46" s="27">
        <f t="shared" si="59"/>
        <v>0</v>
      </c>
      <c r="Z46" s="27">
        <v>0</v>
      </c>
      <c r="AA46" s="27"/>
      <c r="AB46" s="27"/>
      <c r="AC46" s="27"/>
      <c r="AD46" s="27">
        <f t="shared" si="60"/>
        <v>0</v>
      </c>
      <c r="AE46" s="27">
        <f t="shared" si="61"/>
        <v>0</v>
      </c>
      <c r="AF46" s="27">
        <f t="shared" si="62"/>
        <v>0</v>
      </c>
      <c r="AG46" s="27">
        <f t="shared" si="63"/>
        <v>0</v>
      </c>
      <c r="AH46" s="27">
        <f t="shared" si="64"/>
        <v>0</v>
      </c>
      <c r="AI46" s="27">
        <f t="shared" si="65"/>
        <v>0</v>
      </c>
      <c r="AJ46" s="27">
        <f t="shared" si="66"/>
        <v>0</v>
      </c>
      <c r="AK46" s="27">
        <f t="shared" si="67"/>
        <v>0</v>
      </c>
      <c r="AL46" s="27"/>
      <c r="AM46" s="27"/>
      <c r="AN46" s="27">
        <v>0</v>
      </c>
      <c r="AO46" s="27"/>
      <c r="AP46" s="27">
        <f t="shared" si="68"/>
        <v>0</v>
      </c>
      <c r="AQ46" s="27">
        <f t="shared" si="69"/>
        <v>0</v>
      </c>
      <c r="AR46" s="27"/>
      <c r="AS46" s="27"/>
      <c r="AT46" s="27">
        <v>0</v>
      </c>
      <c r="AU46" s="27"/>
      <c r="AV46" s="27">
        <f t="shared" si="70"/>
        <v>0</v>
      </c>
      <c r="AW46" s="27">
        <f t="shared" si="71"/>
        <v>0</v>
      </c>
      <c r="AX46" s="27"/>
      <c r="AY46" s="27"/>
      <c r="AZ46" s="27">
        <v>0</v>
      </c>
      <c r="BA46" s="27"/>
      <c r="BB46" s="27">
        <f t="shared" si="72"/>
        <v>0</v>
      </c>
      <c r="BC46" s="27">
        <f t="shared" si="73"/>
        <v>0</v>
      </c>
      <c r="BD46" s="27"/>
      <c r="BE46" s="27"/>
      <c r="BF46" s="27">
        <v>0</v>
      </c>
      <c r="BG46" s="27"/>
      <c r="BH46" s="27">
        <f t="shared" si="74"/>
        <v>0</v>
      </c>
      <c r="BI46" s="27">
        <f t="shared" si="75"/>
        <v>0</v>
      </c>
      <c r="BJ46" s="27"/>
      <c r="BK46" s="27"/>
      <c r="BL46" s="27">
        <v>0</v>
      </c>
      <c r="BM46" s="27"/>
      <c r="BN46" s="27">
        <f t="shared" si="76"/>
        <v>0</v>
      </c>
      <c r="BO46" s="27">
        <f t="shared" si="77"/>
        <v>0</v>
      </c>
      <c r="BP46" s="26"/>
      <c r="BQ46" s="27"/>
      <c r="BR46" s="27">
        <v>0</v>
      </c>
      <c r="BS46" s="27"/>
      <c r="BT46" s="27">
        <f t="shared" si="78"/>
        <v>0</v>
      </c>
      <c r="BU46" s="27">
        <f t="shared" si="79"/>
        <v>0</v>
      </c>
      <c r="BV46" s="26"/>
      <c r="BW46" s="27"/>
      <c r="BX46" s="27">
        <v>0</v>
      </c>
      <c r="BY46" s="27"/>
      <c r="BZ46" s="27">
        <f t="shared" si="80"/>
        <v>0</v>
      </c>
      <c r="CA46" s="27">
        <f t="shared" si="81"/>
        <v>0</v>
      </c>
      <c r="CB46" s="26"/>
      <c r="CC46" s="27"/>
      <c r="CD46" s="27">
        <v>0</v>
      </c>
      <c r="CE46" s="27"/>
      <c r="CF46" s="27">
        <f t="shared" si="82"/>
        <v>0</v>
      </c>
      <c r="CG46" s="27">
        <f t="shared" si="83"/>
        <v>0</v>
      </c>
      <c r="CH46" s="26"/>
      <c r="CI46" s="27"/>
      <c r="CJ46" s="27">
        <v>0</v>
      </c>
      <c r="CK46" s="27"/>
      <c r="CL46" s="27">
        <f t="shared" si="84"/>
        <v>0</v>
      </c>
      <c r="CM46" s="27">
        <f t="shared" si="85"/>
        <v>0</v>
      </c>
      <c r="CN46" s="26"/>
      <c r="CO46" s="27"/>
      <c r="CP46" s="27">
        <v>0</v>
      </c>
      <c r="CQ46" s="27"/>
      <c r="CR46" s="27">
        <f t="shared" si="86"/>
        <v>0</v>
      </c>
      <c r="CS46" s="27">
        <f t="shared" si="87"/>
        <v>0</v>
      </c>
      <c r="CT46" s="26"/>
      <c r="CU46" s="27"/>
      <c r="CV46" s="27">
        <v>0</v>
      </c>
      <c r="CW46" s="27"/>
      <c r="CX46" s="27">
        <f t="shared" si="88"/>
        <v>0</v>
      </c>
      <c r="CY46" s="27">
        <f t="shared" si="89"/>
        <v>0</v>
      </c>
      <c r="CZ46" s="26"/>
      <c r="DA46" s="27"/>
      <c r="DB46" s="27">
        <v>0</v>
      </c>
      <c r="DC46" s="27"/>
      <c r="DD46" s="27">
        <f t="shared" si="90"/>
        <v>0</v>
      </c>
      <c r="DE46" s="27">
        <f t="shared" si="91"/>
        <v>0</v>
      </c>
      <c r="DF46" s="28">
        <f t="shared" si="92"/>
        <v>0</v>
      </c>
      <c r="DG46" s="28">
        <f t="shared" si="93"/>
        <v>0</v>
      </c>
      <c r="DH46" s="28">
        <f t="shared" si="94"/>
        <v>0</v>
      </c>
      <c r="DI46" s="28">
        <f t="shared" si="95"/>
        <v>0</v>
      </c>
      <c r="DJ46" s="27">
        <f t="shared" si="96"/>
        <v>0</v>
      </c>
      <c r="DK46" s="27">
        <f t="shared" si="97"/>
        <v>0</v>
      </c>
    </row>
    <row r="47" spans="1:115">
      <c r="A47" s="25">
        <v>39</v>
      </c>
      <c r="B47" s="26" t="s">
        <v>1161</v>
      </c>
      <c r="C47" s="26"/>
      <c r="D47" s="26"/>
      <c r="E47" s="205" t="s">
        <v>1200</v>
      </c>
      <c r="F47" s="161">
        <f t="shared" si="50"/>
        <v>0</v>
      </c>
      <c r="G47" s="165">
        <f t="shared" si="51"/>
        <v>0</v>
      </c>
      <c r="H47" s="27"/>
      <c r="I47" s="27">
        <v>0</v>
      </c>
      <c r="J47" s="27">
        <v>0</v>
      </c>
      <c r="K47" s="127">
        <f t="shared" si="52"/>
        <v>0</v>
      </c>
      <c r="L47" s="127">
        <f t="shared" si="53"/>
        <v>0</v>
      </c>
      <c r="M47" s="127">
        <f t="shared" si="54"/>
        <v>0</v>
      </c>
      <c r="N47" s="131"/>
      <c r="O47" s="125" t="str">
        <f t="shared" si="55"/>
        <v>ნულოვანი შესრულება</v>
      </c>
      <c r="P47" s="27">
        <v>0</v>
      </c>
      <c r="Q47" s="27">
        <v>0</v>
      </c>
      <c r="R47" s="27">
        <f t="shared" si="56"/>
        <v>0</v>
      </c>
      <c r="S47" s="27">
        <f t="shared" si="57"/>
        <v>0</v>
      </c>
      <c r="T47" s="27"/>
      <c r="U47" s="27"/>
      <c r="V47" s="27">
        <v>0</v>
      </c>
      <c r="W47" s="27"/>
      <c r="X47" s="27">
        <f t="shared" si="58"/>
        <v>0</v>
      </c>
      <c r="Y47" s="27">
        <f t="shared" si="59"/>
        <v>0</v>
      </c>
      <c r="Z47" s="27">
        <v>0</v>
      </c>
      <c r="AA47" s="27"/>
      <c r="AB47" s="27"/>
      <c r="AC47" s="27"/>
      <c r="AD47" s="27">
        <f t="shared" si="60"/>
        <v>0</v>
      </c>
      <c r="AE47" s="27">
        <f t="shared" si="61"/>
        <v>0</v>
      </c>
      <c r="AF47" s="27">
        <f t="shared" si="62"/>
        <v>0</v>
      </c>
      <c r="AG47" s="27">
        <f t="shared" si="63"/>
        <v>0</v>
      </c>
      <c r="AH47" s="27">
        <f t="shared" si="64"/>
        <v>0</v>
      </c>
      <c r="AI47" s="27">
        <f t="shared" si="65"/>
        <v>0</v>
      </c>
      <c r="AJ47" s="27">
        <f t="shared" si="66"/>
        <v>0</v>
      </c>
      <c r="AK47" s="27">
        <f t="shared" si="67"/>
        <v>0</v>
      </c>
      <c r="AL47" s="27"/>
      <c r="AM47" s="27"/>
      <c r="AN47" s="27">
        <v>0</v>
      </c>
      <c r="AO47" s="27"/>
      <c r="AP47" s="27">
        <f t="shared" si="68"/>
        <v>0</v>
      </c>
      <c r="AQ47" s="27">
        <f t="shared" si="69"/>
        <v>0</v>
      </c>
      <c r="AR47" s="27"/>
      <c r="AS47" s="27"/>
      <c r="AT47" s="27">
        <v>0</v>
      </c>
      <c r="AU47" s="27"/>
      <c r="AV47" s="27">
        <f t="shared" si="70"/>
        <v>0</v>
      </c>
      <c r="AW47" s="27">
        <f t="shared" si="71"/>
        <v>0</v>
      </c>
      <c r="AX47" s="27"/>
      <c r="AY47" s="27"/>
      <c r="AZ47" s="27">
        <v>0</v>
      </c>
      <c r="BA47" s="27"/>
      <c r="BB47" s="27">
        <f t="shared" si="72"/>
        <v>0</v>
      </c>
      <c r="BC47" s="27">
        <f t="shared" si="73"/>
        <v>0</v>
      </c>
      <c r="BD47" s="27"/>
      <c r="BE47" s="27"/>
      <c r="BF47" s="27">
        <v>0</v>
      </c>
      <c r="BG47" s="27"/>
      <c r="BH47" s="27">
        <f t="shared" si="74"/>
        <v>0</v>
      </c>
      <c r="BI47" s="27">
        <f t="shared" si="75"/>
        <v>0</v>
      </c>
      <c r="BJ47" s="27"/>
      <c r="BK47" s="27"/>
      <c r="BL47" s="27">
        <v>0</v>
      </c>
      <c r="BM47" s="27"/>
      <c r="BN47" s="27">
        <f t="shared" si="76"/>
        <v>0</v>
      </c>
      <c r="BO47" s="27">
        <f t="shared" si="77"/>
        <v>0</v>
      </c>
      <c r="BP47" s="26"/>
      <c r="BQ47" s="27"/>
      <c r="BR47" s="27">
        <v>0</v>
      </c>
      <c r="BS47" s="27"/>
      <c r="BT47" s="27">
        <f t="shared" si="78"/>
        <v>0</v>
      </c>
      <c r="BU47" s="27">
        <f t="shared" si="79"/>
        <v>0</v>
      </c>
      <c r="BV47" s="26"/>
      <c r="BW47" s="27"/>
      <c r="BX47" s="27">
        <v>0</v>
      </c>
      <c r="BY47" s="27"/>
      <c r="BZ47" s="27">
        <f t="shared" si="80"/>
        <v>0</v>
      </c>
      <c r="CA47" s="27">
        <f t="shared" si="81"/>
        <v>0</v>
      </c>
      <c r="CB47" s="26"/>
      <c r="CC47" s="27"/>
      <c r="CD47" s="27">
        <v>0</v>
      </c>
      <c r="CE47" s="27"/>
      <c r="CF47" s="27">
        <f t="shared" si="82"/>
        <v>0</v>
      </c>
      <c r="CG47" s="27">
        <f t="shared" si="83"/>
        <v>0</v>
      </c>
      <c r="CH47" s="26"/>
      <c r="CI47" s="27"/>
      <c r="CJ47" s="27">
        <v>0</v>
      </c>
      <c r="CK47" s="27"/>
      <c r="CL47" s="27">
        <f t="shared" si="84"/>
        <v>0</v>
      </c>
      <c r="CM47" s="27">
        <f t="shared" si="85"/>
        <v>0</v>
      </c>
      <c r="CN47" s="26"/>
      <c r="CO47" s="27"/>
      <c r="CP47" s="27">
        <v>0</v>
      </c>
      <c r="CQ47" s="27"/>
      <c r="CR47" s="27">
        <f t="shared" si="86"/>
        <v>0</v>
      </c>
      <c r="CS47" s="27">
        <f t="shared" si="87"/>
        <v>0</v>
      </c>
      <c r="CT47" s="26"/>
      <c r="CU47" s="27"/>
      <c r="CV47" s="27">
        <v>0</v>
      </c>
      <c r="CW47" s="27"/>
      <c r="CX47" s="27">
        <f t="shared" si="88"/>
        <v>0</v>
      </c>
      <c r="CY47" s="27">
        <f t="shared" si="89"/>
        <v>0</v>
      </c>
      <c r="CZ47" s="26"/>
      <c r="DA47" s="27"/>
      <c r="DB47" s="27">
        <v>0</v>
      </c>
      <c r="DC47" s="27"/>
      <c r="DD47" s="27">
        <f t="shared" si="90"/>
        <v>0</v>
      </c>
      <c r="DE47" s="27">
        <f t="shared" si="91"/>
        <v>0</v>
      </c>
      <c r="DF47" s="28">
        <f t="shared" si="92"/>
        <v>0</v>
      </c>
      <c r="DG47" s="28">
        <f t="shared" si="93"/>
        <v>0</v>
      </c>
      <c r="DH47" s="28">
        <f t="shared" si="94"/>
        <v>0</v>
      </c>
      <c r="DI47" s="28">
        <f t="shared" si="95"/>
        <v>0</v>
      </c>
      <c r="DJ47" s="27">
        <f t="shared" si="96"/>
        <v>0</v>
      </c>
      <c r="DK47" s="27">
        <f t="shared" si="97"/>
        <v>0</v>
      </c>
    </row>
    <row r="48" spans="1:115">
      <c r="A48" s="25">
        <v>40</v>
      </c>
      <c r="B48" s="26" t="s">
        <v>1161</v>
      </c>
      <c r="C48" s="26"/>
      <c r="D48" s="26"/>
      <c r="E48" s="205" t="s">
        <v>1200</v>
      </c>
      <c r="F48" s="161">
        <f t="shared" si="50"/>
        <v>0</v>
      </c>
      <c r="G48" s="165">
        <f t="shared" si="51"/>
        <v>0</v>
      </c>
      <c r="H48" s="27"/>
      <c r="I48" s="27">
        <v>0</v>
      </c>
      <c r="J48" s="27">
        <v>0</v>
      </c>
      <c r="K48" s="127">
        <f t="shared" si="52"/>
        <v>0</v>
      </c>
      <c r="L48" s="127">
        <f t="shared" si="53"/>
        <v>0</v>
      </c>
      <c r="M48" s="127">
        <f t="shared" si="54"/>
        <v>0</v>
      </c>
      <c r="N48" s="131"/>
      <c r="O48" s="125" t="str">
        <f t="shared" si="55"/>
        <v>ნულოვანი შესრულება</v>
      </c>
      <c r="P48" s="27">
        <v>0</v>
      </c>
      <c r="Q48" s="27">
        <v>0</v>
      </c>
      <c r="R48" s="27">
        <f t="shared" si="56"/>
        <v>0</v>
      </c>
      <c r="S48" s="27">
        <f t="shared" si="57"/>
        <v>0</v>
      </c>
      <c r="T48" s="27"/>
      <c r="U48" s="27"/>
      <c r="V48" s="27">
        <v>0</v>
      </c>
      <c r="W48" s="27"/>
      <c r="X48" s="27">
        <f t="shared" si="58"/>
        <v>0</v>
      </c>
      <c r="Y48" s="27">
        <f t="shared" si="59"/>
        <v>0</v>
      </c>
      <c r="Z48" s="27">
        <v>0</v>
      </c>
      <c r="AA48" s="27"/>
      <c r="AB48" s="27"/>
      <c r="AC48" s="27"/>
      <c r="AD48" s="27">
        <f t="shared" si="60"/>
        <v>0</v>
      </c>
      <c r="AE48" s="27">
        <f t="shared" si="61"/>
        <v>0</v>
      </c>
      <c r="AF48" s="27">
        <f t="shared" si="62"/>
        <v>0</v>
      </c>
      <c r="AG48" s="27">
        <f t="shared" si="63"/>
        <v>0</v>
      </c>
      <c r="AH48" s="27">
        <f t="shared" si="64"/>
        <v>0</v>
      </c>
      <c r="AI48" s="27">
        <f t="shared" si="65"/>
        <v>0</v>
      </c>
      <c r="AJ48" s="27">
        <f t="shared" si="66"/>
        <v>0</v>
      </c>
      <c r="AK48" s="27">
        <f t="shared" si="67"/>
        <v>0</v>
      </c>
      <c r="AL48" s="27"/>
      <c r="AM48" s="27"/>
      <c r="AN48" s="27">
        <v>0</v>
      </c>
      <c r="AO48" s="27"/>
      <c r="AP48" s="27">
        <f t="shared" si="68"/>
        <v>0</v>
      </c>
      <c r="AQ48" s="27">
        <f t="shared" si="69"/>
        <v>0</v>
      </c>
      <c r="AR48" s="27"/>
      <c r="AS48" s="27"/>
      <c r="AT48" s="27">
        <v>0</v>
      </c>
      <c r="AU48" s="27"/>
      <c r="AV48" s="27">
        <f t="shared" si="70"/>
        <v>0</v>
      </c>
      <c r="AW48" s="27">
        <f t="shared" si="71"/>
        <v>0</v>
      </c>
      <c r="AX48" s="27"/>
      <c r="AY48" s="27"/>
      <c r="AZ48" s="27">
        <v>0</v>
      </c>
      <c r="BA48" s="27"/>
      <c r="BB48" s="27">
        <f t="shared" si="72"/>
        <v>0</v>
      </c>
      <c r="BC48" s="27">
        <f t="shared" si="73"/>
        <v>0</v>
      </c>
      <c r="BD48" s="27"/>
      <c r="BE48" s="27"/>
      <c r="BF48" s="27">
        <v>0</v>
      </c>
      <c r="BG48" s="27"/>
      <c r="BH48" s="27">
        <f t="shared" si="74"/>
        <v>0</v>
      </c>
      <c r="BI48" s="27">
        <f t="shared" si="75"/>
        <v>0</v>
      </c>
      <c r="BJ48" s="27"/>
      <c r="BK48" s="27"/>
      <c r="BL48" s="27">
        <v>0</v>
      </c>
      <c r="BM48" s="27"/>
      <c r="BN48" s="27">
        <f t="shared" si="76"/>
        <v>0</v>
      </c>
      <c r="BO48" s="27">
        <f t="shared" si="77"/>
        <v>0</v>
      </c>
      <c r="BP48" s="26"/>
      <c r="BQ48" s="27"/>
      <c r="BR48" s="27">
        <v>0</v>
      </c>
      <c r="BS48" s="27"/>
      <c r="BT48" s="27">
        <f t="shared" si="78"/>
        <v>0</v>
      </c>
      <c r="BU48" s="27">
        <f t="shared" si="79"/>
        <v>0</v>
      </c>
      <c r="BV48" s="26"/>
      <c r="BW48" s="27"/>
      <c r="BX48" s="27">
        <v>0</v>
      </c>
      <c r="BY48" s="27"/>
      <c r="BZ48" s="27">
        <f t="shared" si="80"/>
        <v>0</v>
      </c>
      <c r="CA48" s="27">
        <f t="shared" si="81"/>
        <v>0</v>
      </c>
      <c r="CB48" s="26"/>
      <c r="CC48" s="27"/>
      <c r="CD48" s="27">
        <v>0</v>
      </c>
      <c r="CE48" s="27"/>
      <c r="CF48" s="27">
        <f t="shared" si="82"/>
        <v>0</v>
      </c>
      <c r="CG48" s="27">
        <f t="shared" si="83"/>
        <v>0</v>
      </c>
      <c r="CH48" s="26"/>
      <c r="CI48" s="27"/>
      <c r="CJ48" s="27">
        <v>0</v>
      </c>
      <c r="CK48" s="27"/>
      <c r="CL48" s="27">
        <f t="shared" si="84"/>
        <v>0</v>
      </c>
      <c r="CM48" s="27">
        <f t="shared" si="85"/>
        <v>0</v>
      </c>
      <c r="CN48" s="26"/>
      <c r="CO48" s="27"/>
      <c r="CP48" s="27">
        <v>0</v>
      </c>
      <c r="CQ48" s="27"/>
      <c r="CR48" s="27">
        <f t="shared" si="86"/>
        <v>0</v>
      </c>
      <c r="CS48" s="27">
        <f t="shared" si="87"/>
        <v>0</v>
      </c>
      <c r="CT48" s="26"/>
      <c r="CU48" s="27"/>
      <c r="CV48" s="27">
        <v>0</v>
      </c>
      <c r="CW48" s="27"/>
      <c r="CX48" s="27">
        <f t="shared" si="88"/>
        <v>0</v>
      </c>
      <c r="CY48" s="27">
        <f t="shared" si="89"/>
        <v>0</v>
      </c>
      <c r="CZ48" s="26"/>
      <c r="DA48" s="27"/>
      <c r="DB48" s="27">
        <v>0</v>
      </c>
      <c r="DC48" s="27"/>
      <c r="DD48" s="27">
        <f t="shared" si="90"/>
        <v>0</v>
      </c>
      <c r="DE48" s="27">
        <f t="shared" si="91"/>
        <v>0</v>
      </c>
      <c r="DF48" s="28">
        <f t="shared" si="92"/>
        <v>0</v>
      </c>
      <c r="DG48" s="28">
        <f t="shared" si="93"/>
        <v>0</v>
      </c>
      <c r="DH48" s="28">
        <f t="shared" si="94"/>
        <v>0</v>
      </c>
      <c r="DI48" s="28">
        <f t="shared" si="95"/>
        <v>0</v>
      </c>
      <c r="DJ48" s="27">
        <f t="shared" si="96"/>
        <v>0</v>
      </c>
      <c r="DK48" s="27">
        <f t="shared" si="97"/>
        <v>0</v>
      </c>
    </row>
    <row r="49" spans="1:115">
      <c r="A49" s="25">
        <v>41</v>
      </c>
      <c r="B49" s="26" t="s">
        <v>1161</v>
      </c>
      <c r="C49" s="26"/>
      <c r="D49" s="26"/>
      <c r="E49" s="205" t="s">
        <v>1200</v>
      </c>
      <c r="F49" s="161">
        <f t="shared" si="50"/>
        <v>0</v>
      </c>
      <c r="G49" s="165">
        <f t="shared" si="51"/>
        <v>0</v>
      </c>
      <c r="H49" s="27"/>
      <c r="I49" s="27">
        <v>0</v>
      </c>
      <c r="J49" s="27">
        <v>0</v>
      </c>
      <c r="K49" s="127">
        <f t="shared" si="52"/>
        <v>0</v>
      </c>
      <c r="L49" s="127">
        <f t="shared" si="53"/>
        <v>0</v>
      </c>
      <c r="M49" s="127">
        <f t="shared" si="54"/>
        <v>0</v>
      </c>
      <c r="N49" s="131"/>
      <c r="O49" s="125" t="str">
        <f t="shared" si="55"/>
        <v>ნულოვანი შესრულება</v>
      </c>
      <c r="P49" s="27">
        <v>0</v>
      </c>
      <c r="Q49" s="27">
        <v>0</v>
      </c>
      <c r="R49" s="27">
        <f t="shared" si="56"/>
        <v>0</v>
      </c>
      <c r="S49" s="27">
        <f t="shared" si="57"/>
        <v>0</v>
      </c>
      <c r="T49" s="27"/>
      <c r="U49" s="27"/>
      <c r="V49" s="27">
        <v>0</v>
      </c>
      <c r="W49" s="27"/>
      <c r="X49" s="27">
        <f t="shared" si="58"/>
        <v>0</v>
      </c>
      <c r="Y49" s="27">
        <f t="shared" si="59"/>
        <v>0</v>
      </c>
      <c r="Z49" s="27">
        <v>0</v>
      </c>
      <c r="AA49" s="27"/>
      <c r="AB49" s="27"/>
      <c r="AC49" s="27"/>
      <c r="AD49" s="27">
        <f t="shared" si="60"/>
        <v>0</v>
      </c>
      <c r="AE49" s="27">
        <f t="shared" si="61"/>
        <v>0</v>
      </c>
      <c r="AF49" s="27">
        <f t="shared" si="62"/>
        <v>0</v>
      </c>
      <c r="AG49" s="27">
        <f t="shared" si="63"/>
        <v>0</v>
      </c>
      <c r="AH49" s="27">
        <f t="shared" si="64"/>
        <v>0</v>
      </c>
      <c r="AI49" s="27">
        <f t="shared" si="65"/>
        <v>0</v>
      </c>
      <c r="AJ49" s="27">
        <f t="shared" si="66"/>
        <v>0</v>
      </c>
      <c r="AK49" s="27">
        <f t="shared" si="67"/>
        <v>0</v>
      </c>
      <c r="AL49" s="27"/>
      <c r="AM49" s="27"/>
      <c r="AN49" s="27">
        <v>0</v>
      </c>
      <c r="AO49" s="27"/>
      <c r="AP49" s="27">
        <f t="shared" si="68"/>
        <v>0</v>
      </c>
      <c r="AQ49" s="27">
        <f t="shared" si="69"/>
        <v>0</v>
      </c>
      <c r="AR49" s="27"/>
      <c r="AS49" s="27"/>
      <c r="AT49" s="27">
        <v>0</v>
      </c>
      <c r="AU49" s="27"/>
      <c r="AV49" s="27">
        <f t="shared" si="70"/>
        <v>0</v>
      </c>
      <c r="AW49" s="27">
        <f t="shared" si="71"/>
        <v>0</v>
      </c>
      <c r="AX49" s="27"/>
      <c r="AY49" s="27"/>
      <c r="AZ49" s="27">
        <v>0</v>
      </c>
      <c r="BA49" s="27"/>
      <c r="BB49" s="27">
        <f t="shared" si="72"/>
        <v>0</v>
      </c>
      <c r="BC49" s="27">
        <f t="shared" si="73"/>
        <v>0</v>
      </c>
      <c r="BD49" s="27"/>
      <c r="BE49" s="27"/>
      <c r="BF49" s="27">
        <v>0</v>
      </c>
      <c r="BG49" s="27"/>
      <c r="BH49" s="27">
        <f t="shared" si="74"/>
        <v>0</v>
      </c>
      <c r="BI49" s="27">
        <f t="shared" si="75"/>
        <v>0</v>
      </c>
      <c r="BJ49" s="27"/>
      <c r="BK49" s="27"/>
      <c r="BL49" s="27">
        <v>0</v>
      </c>
      <c r="BM49" s="27"/>
      <c r="BN49" s="27">
        <f t="shared" si="76"/>
        <v>0</v>
      </c>
      <c r="BO49" s="27">
        <f t="shared" si="77"/>
        <v>0</v>
      </c>
      <c r="BP49" s="26"/>
      <c r="BQ49" s="27"/>
      <c r="BR49" s="27">
        <v>0</v>
      </c>
      <c r="BS49" s="27"/>
      <c r="BT49" s="27">
        <f t="shared" si="78"/>
        <v>0</v>
      </c>
      <c r="BU49" s="27">
        <f t="shared" si="79"/>
        <v>0</v>
      </c>
      <c r="BV49" s="26"/>
      <c r="BW49" s="27"/>
      <c r="BX49" s="27">
        <v>0</v>
      </c>
      <c r="BY49" s="27"/>
      <c r="BZ49" s="27">
        <f t="shared" si="80"/>
        <v>0</v>
      </c>
      <c r="CA49" s="27">
        <f t="shared" si="81"/>
        <v>0</v>
      </c>
      <c r="CB49" s="26"/>
      <c r="CC49" s="27"/>
      <c r="CD49" s="27">
        <v>0</v>
      </c>
      <c r="CE49" s="27"/>
      <c r="CF49" s="27">
        <f t="shared" si="82"/>
        <v>0</v>
      </c>
      <c r="CG49" s="27">
        <f t="shared" si="83"/>
        <v>0</v>
      </c>
      <c r="CH49" s="26"/>
      <c r="CI49" s="27"/>
      <c r="CJ49" s="27">
        <v>0</v>
      </c>
      <c r="CK49" s="27"/>
      <c r="CL49" s="27">
        <f t="shared" si="84"/>
        <v>0</v>
      </c>
      <c r="CM49" s="27">
        <f t="shared" si="85"/>
        <v>0</v>
      </c>
      <c r="CN49" s="26"/>
      <c r="CO49" s="27"/>
      <c r="CP49" s="27">
        <v>0</v>
      </c>
      <c r="CQ49" s="27"/>
      <c r="CR49" s="27">
        <f t="shared" si="86"/>
        <v>0</v>
      </c>
      <c r="CS49" s="27">
        <f t="shared" si="87"/>
        <v>0</v>
      </c>
      <c r="CT49" s="26"/>
      <c r="CU49" s="27"/>
      <c r="CV49" s="27">
        <v>0</v>
      </c>
      <c r="CW49" s="27"/>
      <c r="CX49" s="27">
        <f t="shared" si="88"/>
        <v>0</v>
      </c>
      <c r="CY49" s="27">
        <f t="shared" si="89"/>
        <v>0</v>
      </c>
      <c r="CZ49" s="26"/>
      <c r="DA49" s="27"/>
      <c r="DB49" s="27">
        <v>0</v>
      </c>
      <c r="DC49" s="27"/>
      <c r="DD49" s="27">
        <f t="shared" si="90"/>
        <v>0</v>
      </c>
      <c r="DE49" s="27">
        <f t="shared" si="91"/>
        <v>0</v>
      </c>
      <c r="DF49" s="28">
        <f t="shared" si="92"/>
        <v>0</v>
      </c>
      <c r="DG49" s="28">
        <f t="shared" si="93"/>
        <v>0</v>
      </c>
      <c r="DH49" s="28">
        <f t="shared" si="94"/>
        <v>0</v>
      </c>
      <c r="DI49" s="28">
        <f t="shared" si="95"/>
        <v>0</v>
      </c>
      <c r="DJ49" s="27">
        <f t="shared" si="96"/>
        <v>0</v>
      </c>
      <c r="DK49" s="27">
        <f t="shared" si="97"/>
        <v>0</v>
      </c>
    </row>
    <row r="50" spans="1:115">
      <c r="A50" s="25">
        <v>42</v>
      </c>
      <c r="B50" s="26" t="s">
        <v>1161</v>
      </c>
      <c r="C50" s="26"/>
      <c r="D50" s="26"/>
      <c r="E50" s="205" t="s">
        <v>1200</v>
      </c>
      <c r="F50" s="161">
        <f t="shared" si="50"/>
        <v>0</v>
      </c>
      <c r="G50" s="165">
        <f t="shared" si="51"/>
        <v>0</v>
      </c>
      <c r="H50" s="27"/>
      <c r="I50" s="27">
        <v>0</v>
      </c>
      <c r="J50" s="27">
        <v>0</v>
      </c>
      <c r="K50" s="127">
        <f t="shared" si="52"/>
        <v>0</v>
      </c>
      <c r="L50" s="127">
        <f t="shared" si="53"/>
        <v>0</v>
      </c>
      <c r="M50" s="127">
        <f t="shared" si="54"/>
        <v>0</v>
      </c>
      <c r="N50" s="131"/>
      <c r="O50" s="125" t="str">
        <f t="shared" si="55"/>
        <v>ნულოვანი შესრულება</v>
      </c>
      <c r="P50" s="27">
        <v>0</v>
      </c>
      <c r="Q50" s="27">
        <v>0</v>
      </c>
      <c r="R50" s="27">
        <f t="shared" si="56"/>
        <v>0</v>
      </c>
      <c r="S50" s="27">
        <f t="shared" si="57"/>
        <v>0</v>
      </c>
      <c r="T50" s="27"/>
      <c r="U50" s="27"/>
      <c r="V50" s="27">
        <v>0</v>
      </c>
      <c r="W50" s="27"/>
      <c r="X50" s="27">
        <f t="shared" si="58"/>
        <v>0</v>
      </c>
      <c r="Y50" s="27">
        <f t="shared" si="59"/>
        <v>0</v>
      </c>
      <c r="Z50" s="27">
        <v>0</v>
      </c>
      <c r="AA50" s="27"/>
      <c r="AB50" s="27"/>
      <c r="AC50" s="27"/>
      <c r="AD50" s="27">
        <f t="shared" si="60"/>
        <v>0</v>
      </c>
      <c r="AE50" s="27">
        <f t="shared" si="61"/>
        <v>0</v>
      </c>
      <c r="AF50" s="27">
        <f t="shared" si="62"/>
        <v>0</v>
      </c>
      <c r="AG50" s="27">
        <f t="shared" si="63"/>
        <v>0</v>
      </c>
      <c r="AH50" s="27">
        <f t="shared" si="64"/>
        <v>0</v>
      </c>
      <c r="AI50" s="27">
        <f t="shared" si="65"/>
        <v>0</v>
      </c>
      <c r="AJ50" s="27">
        <f t="shared" si="66"/>
        <v>0</v>
      </c>
      <c r="AK50" s="27">
        <f t="shared" si="67"/>
        <v>0</v>
      </c>
      <c r="AL50" s="27"/>
      <c r="AM50" s="27"/>
      <c r="AN50" s="27">
        <v>0</v>
      </c>
      <c r="AO50" s="27"/>
      <c r="AP50" s="27">
        <f t="shared" si="68"/>
        <v>0</v>
      </c>
      <c r="AQ50" s="27">
        <f t="shared" si="69"/>
        <v>0</v>
      </c>
      <c r="AR50" s="27"/>
      <c r="AS50" s="27"/>
      <c r="AT50" s="27">
        <v>0</v>
      </c>
      <c r="AU50" s="27"/>
      <c r="AV50" s="27">
        <f t="shared" si="70"/>
        <v>0</v>
      </c>
      <c r="AW50" s="27">
        <f t="shared" si="71"/>
        <v>0</v>
      </c>
      <c r="AX50" s="27"/>
      <c r="AY50" s="27"/>
      <c r="AZ50" s="27">
        <v>0</v>
      </c>
      <c r="BA50" s="27"/>
      <c r="BB50" s="27">
        <f t="shared" si="72"/>
        <v>0</v>
      </c>
      <c r="BC50" s="27">
        <f t="shared" si="73"/>
        <v>0</v>
      </c>
      <c r="BD50" s="27"/>
      <c r="BE50" s="27"/>
      <c r="BF50" s="27">
        <v>0</v>
      </c>
      <c r="BG50" s="27"/>
      <c r="BH50" s="27">
        <f t="shared" si="74"/>
        <v>0</v>
      </c>
      <c r="BI50" s="27">
        <f t="shared" si="75"/>
        <v>0</v>
      </c>
      <c r="BJ50" s="27"/>
      <c r="BK50" s="27"/>
      <c r="BL50" s="27">
        <v>0</v>
      </c>
      <c r="BM50" s="27"/>
      <c r="BN50" s="27">
        <f t="shared" si="76"/>
        <v>0</v>
      </c>
      <c r="BO50" s="27">
        <f t="shared" si="77"/>
        <v>0</v>
      </c>
      <c r="BP50" s="26"/>
      <c r="BQ50" s="27"/>
      <c r="BR50" s="27">
        <v>0</v>
      </c>
      <c r="BS50" s="27"/>
      <c r="BT50" s="27">
        <f t="shared" si="78"/>
        <v>0</v>
      </c>
      <c r="BU50" s="27">
        <f t="shared" si="79"/>
        <v>0</v>
      </c>
      <c r="BV50" s="26"/>
      <c r="BW50" s="27"/>
      <c r="BX50" s="27">
        <v>0</v>
      </c>
      <c r="BY50" s="27"/>
      <c r="BZ50" s="27">
        <f t="shared" si="80"/>
        <v>0</v>
      </c>
      <c r="CA50" s="27">
        <f t="shared" si="81"/>
        <v>0</v>
      </c>
      <c r="CB50" s="26"/>
      <c r="CC50" s="27"/>
      <c r="CD50" s="27">
        <v>0</v>
      </c>
      <c r="CE50" s="27"/>
      <c r="CF50" s="27">
        <f t="shared" si="82"/>
        <v>0</v>
      </c>
      <c r="CG50" s="27">
        <f t="shared" si="83"/>
        <v>0</v>
      </c>
      <c r="CH50" s="26"/>
      <c r="CI50" s="27"/>
      <c r="CJ50" s="27">
        <v>0</v>
      </c>
      <c r="CK50" s="27"/>
      <c r="CL50" s="27">
        <f t="shared" si="84"/>
        <v>0</v>
      </c>
      <c r="CM50" s="27">
        <f t="shared" si="85"/>
        <v>0</v>
      </c>
      <c r="CN50" s="26"/>
      <c r="CO50" s="27"/>
      <c r="CP50" s="27">
        <v>0</v>
      </c>
      <c r="CQ50" s="27"/>
      <c r="CR50" s="27">
        <f t="shared" si="86"/>
        <v>0</v>
      </c>
      <c r="CS50" s="27">
        <f t="shared" si="87"/>
        <v>0</v>
      </c>
      <c r="CT50" s="26"/>
      <c r="CU50" s="27"/>
      <c r="CV50" s="27">
        <v>0</v>
      </c>
      <c r="CW50" s="27"/>
      <c r="CX50" s="27">
        <f t="shared" si="88"/>
        <v>0</v>
      </c>
      <c r="CY50" s="27">
        <f t="shared" si="89"/>
        <v>0</v>
      </c>
      <c r="CZ50" s="26"/>
      <c r="DA50" s="27"/>
      <c r="DB50" s="27">
        <v>0</v>
      </c>
      <c r="DC50" s="27"/>
      <c r="DD50" s="27">
        <f t="shared" si="90"/>
        <v>0</v>
      </c>
      <c r="DE50" s="27">
        <f t="shared" si="91"/>
        <v>0</v>
      </c>
      <c r="DF50" s="28">
        <f t="shared" si="92"/>
        <v>0</v>
      </c>
      <c r="DG50" s="28">
        <f t="shared" si="93"/>
        <v>0</v>
      </c>
      <c r="DH50" s="28">
        <f t="shared" si="94"/>
        <v>0</v>
      </c>
      <c r="DI50" s="28">
        <f t="shared" si="95"/>
        <v>0</v>
      </c>
      <c r="DJ50" s="27">
        <f t="shared" si="96"/>
        <v>0</v>
      </c>
      <c r="DK50" s="27">
        <f t="shared" si="97"/>
        <v>0</v>
      </c>
    </row>
    <row r="51" spans="1:115">
      <c r="A51" s="25">
        <v>43</v>
      </c>
      <c r="B51" s="26" t="s">
        <v>1161</v>
      </c>
      <c r="C51" s="26"/>
      <c r="D51" s="26"/>
      <c r="E51" s="205" t="s">
        <v>1200</v>
      </c>
      <c r="F51" s="161">
        <f t="shared" si="50"/>
        <v>0</v>
      </c>
      <c r="G51" s="165">
        <f t="shared" si="51"/>
        <v>0</v>
      </c>
      <c r="H51" s="27"/>
      <c r="I51" s="27">
        <v>0</v>
      </c>
      <c r="J51" s="27">
        <v>0</v>
      </c>
      <c r="K51" s="127">
        <f t="shared" si="52"/>
        <v>0</v>
      </c>
      <c r="L51" s="127">
        <f t="shared" si="53"/>
        <v>0</v>
      </c>
      <c r="M51" s="127">
        <f t="shared" si="54"/>
        <v>0</v>
      </c>
      <c r="N51" s="131"/>
      <c r="O51" s="125" t="str">
        <f t="shared" si="55"/>
        <v>ნულოვანი შესრულება</v>
      </c>
      <c r="P51" s="27">
        <v>0</v>
      </c>
      <c r="Q51" s="27">
        <v>0</v>
      </c>
      <c r="R51" s="27">
        <f t="shared" si="56"/>
        <v>0</v>
      </c>
      <c r="S51" s="27">
        <f t="shared" si="57"/>
        <v>0</v>
      </c>
      <c r="T51" s="27"/>
      <c r="U51" s="27"/>
      <c r="V51" s="27">
        <v>0</v>
      </c>
      <c r="W51" s="27"/>
      <c r="X51" s="27">
        <f t="shared" si="58"/>
        <v>0</v>
      </c>
      <c r="Y51" s="27">
        <f t="shared" si="59"/>
        <v>0</v>
      </c>
      <c r="Z51" s="27">
        <v>0</v>
      </c>
      <c r="AA51" s="27"/>
      <c r="AB51" s="27"/>
      <c r="AC51" s="27"/>
      <c r="AD51" s="27">
        <f t="shared" si="60"/>
        <v>0</v>
      </c>
      <c r="AE51" s="27">
        <f t="shared" si="61"/>
        <v>0</v>
      </c>
      <c r="AF51" s="27">
        <f t="shared" si="62"/>
        <v>0</v>
      </c>
      <c r="AG51" s="27">
        <f t="shared" si="63"/>
        <v>0</v>
      </c>
      <c r="AH51" s="27">
        <f t="shared" si="64"/>
        <v>0</v>
      </c>
      <c r="AI51" s="27">
        <f t="shared" si="65"/>
        <v>0</v>
      </c>
      <c r="AJ51" s="27">
        <f t="shared" si="66"/>
        <v>0</v>
      </c>
      <c r="AK51" s="27">
        <f t="shared" si="67"/>
        <v>0</v>
      </c>
      <c r="AL51" s="27"/>
      <c r="AM51" s="27"/>
      <c r="AN51" s="27">
        <v>0</v>
      </c>
      <c r="AO51" s="27"/>
      <c r="AP51" s="27">
        <f t="shared" si="68"/>
        <v>0</v>
      </c>
      <c r="AQ51" s="27">
        <f t="shared" si="69"/>
        <v>0</v>
      </c>
      <c r="AR51" s="27"/>
      <c r="AS51" s="27"/>
      <c r="AT51" s="27">
        <v>0</v>
      </c>
      <c r="AU51" s="27"/>
      <c r="AV51" s="27">
        <f t="shared" si="70"/>
        <v>0</v>
      </c>
      <c r="AW51" s="27">
        <f t="shared" si="71"/>
        <v>0</v>
      </c>
      <c r="AX51" s="27"/>
      <c r="AY51" s="27"/>
      <c r="AZ51" s="27">
        <v>0</v>
      </c>
      <c r="BA51" s="27"/>
      <c r="BB51" s="27">
        <f t="shared" si="72"/>
        <v>0</v>
      </c>
      <c r="BC51" s="27">
        <f t="shared" si="73"/>
        <v>0</v>
      </c>
      <c r="BD51" s="27"/>
      <c r="BE51" s="27"/>
      <c r="BF51" s="27">
        <v>0</v>
      </c>
      <c r="BG51" s="27"/>
      <c r="BH51" s="27">
        <f t="shared" si="74"/>
        <v>0</v>
      </c>
      <c r="BI51" s="27">
        <f t="shared" si="75"/>
        <v>0</v>
      </c>
      <c r="BJ51" s="27"/>
      <c r="BK51" s="27"/>
      <c r="BL51" s="27">
        <v>0</v>
      </c>
      <c r="BM51" s="27"/>
      <c r="BN51" s="27">
        <f t="shared" si="76"/>
        <v>0</v>
      </c>
      <c r="BO51" s="27">
        <f t="shared" si="77"/>
        <v>0</v>
      </c>
      <c r="BP51" s="26"/>
      <c r="BQ51" s="27"/>
      <c r="BR51" s="27">
        <v>0</v>
      </c>
      <c r="BS51" s="27"/>
      <c r="BT51" s="27">
        <f t="shared" si="78"/>
        <v>0</v>
      </c>
      <c r="BU51" s="27">
        <f t="shared" si="79"/>
        <v>0</v>
      </c>
      <c r="BV51" s="26"/>
      <c r="BW51" s="27"/>
      <c r="BX51" s="27">
        <v>0</v>
      </c>
      <c r="BY51" s="27"/>
      <c r="BZ51" s="27">
        <f t="shared" si="80"/>
        <v>0</v>
      </c>
      <c r="CA51" s="27">
        <f t="shared" si="81"/>
        <v>0</v>
      </c>
      <c r="CB51" s="26"/>
      <c r="CC51" s="27"/>
      <c r="CD51" s="27">
        <v>0</v>
      </c>
      <c r="CE51" s="27"/>
      <c r="CF51" s="27">
        <f t="shared" si="82"/>
        <v>0</v>
      </c>
      <c r="CG51" s="27">
        <f t="shared" si="83"/>
        <v>0</v>
      </c>
      <c r="CH51" s="26"/>
      <c r="CI51" s="27"/>
      <c r="CJ51" s="27">
        <v>0</v>
      </c>
      <c r="CK51" s="27"/>
      <c r="CL51" s="27">
        <f t="shared" si="84"/>
        <v>0</v>
      </c>
      <c r="CM51" s="27">
        <f t="shared" si="85"/>
        <v>0</v>
      </c>
      <c r="CN51" s="26"/>
      <c r="CO51" s="27"/>
      <c r="CP51" s="27">
        <v>0</v>
      </c>
      <c r="CQ51" s="27"/>
      <c r="CR51" s="27">
        <f t="shared" si="86"/>
        <v>0</v>
      </c>
      <c r="CS51" s="27">
        <f t="shared" si="87"/>
        <v>0</v>
      </c>
      <c r="CT51" s="26"/>
      <c r="CU51" s="27"/>
      <c r="CV51" s="27">
        <v>0</v>
      </c>
      <c r="CW51" s="27"/>
      <c r="CX51" s="27">
        <f t="shared" si="88"/>
        <v>0</v>
      </c>
      <c r="CY51" s="27">
        <f t="shared" si="89"/>
        <v>0</v>
      </c>
      <c r="CZ51" s="26"/>
      <c r="DA51" s="27"/>
      <c r="DB51" s="27">
        <v>0</v>
      </c>
      <c r="DC51" s="27"/>
      <c r="DD51" s="27">
        <f t="shared" si="90"/>
        <v>0</v>
      </c>
      <c r="DE51" s="27">
        <f t="shared" si="91"/>
        <v>0</v>
      </c>
      <c r="DF51" s="28">
        <f t="shared" si="92"/>
        <v>0</v>
      </c>
      <c r="DG51" s="28">
        <f t="shared" si="93"/>
        <v>0</v>
      </c>
      <c r="DH51" s="28">
        <f t="shared" si="94"/>
        <v>0</v>
      </c>
      <c r="DI51" s="28">
        <f t="shared" si="95"/>
        <v>0</v>
      </c>
      <c r="DJ51" s="27">
        <f t="shared" si="96"/>
        <v>0</v>
      </c>
      <c r="DK51" s="27">
        <f t="shared" si="97"/>
        <v>0</v>
      </c>
    </row>
    <row r="52" spans="1:115">
      <c r="A52" s="25">
        <v>44</v>
      </c>
      <c r="B52" s="26" t="s">
        <v>1161</v>
      </c>
      <c r="C52" s="26"/>
      <c r="D52" s="26"/>
      <c r="E52" s="205" t="s">
        <v>1200</v>
      </c>
      <c r="F52" s="161">
        <f t="shared" si="50"/>
        <v>0</v>
      </c>
      <c r="G52" s="165">
        <f t="shared" si="51"/>
        <v>0</v>
      </c>
      <c r="H52" s="27"/>
      <c r="I52" s="27">
        <v>0</v>
      </c>
      <c r="J52" s="27">
        <v>0</v>
      </c>
      <c r="K52" s="127">
        <f t="shared" si="52"/>
        <v>0</v>
      </c>
      <c r="L52" s="127">
        <f t="shared" si="53"/>
        <v>0</v>
      </c>
      <c r="M52" s="127">
        <f t="shared" si="54"/>
        <v>0</v>
      </c>
      <c r="N52" s="131"/>
      <c r="O52" s="125" t="str">
        <f t="shared" si="55"/>
        <v>ნულოვანი შესრულება</v>
      </c>
      <c r="P52" s="27">
        <v>0</v>
      </c>
      <c r="Q52" s="27">
        <v>0</v>
      </c>
      <c r="R52" s="27">
        <f t="shared" si="56"/>
        <v>0</v>
      </c>
      <c r="S52" s="27">
        <f t="shared" si="57"/>
        <v>0</v>
      </c>
      <c r="T52" s="27"/>
      <c r="U52" s="27"/>
      <c r="V52" s="27">
        <v>0</v>
      </c>
      <c r="W52" s="27"/>
      <c r="X52" s="27">
        <f t="shared" si="58"/>
        <v>0</v>
      </c>
      <c r="Y52" s="27">
        <f t="shared" si="59"/>
        <v>0</v>
      </c>
      <c r="Z52" s="27">
        <v>0</v>
      </c>
      <c r="AA52" s="27"/>
      <c r="AB52" s="27"/>
      <c r="AC52" s="27"/>
      <c r="AD52" s="27">
        <f t="shared" si="60"/>
        <v>0</v>
      </c>
      <c r="AE52" s="27">
        <f t="shared" si="61"/>
        <v>0</v>
      </c>
      <c r="AF52" s="27">
        <f t="shared" si="62"/>
        <v>0</v>
      </c>
      <c r="AG52" s="27">
        <f t="shared" si="63"/>
        <v>0</v>
      </c>
      <c r="AH52" s="27">
        <f t="shared" si="64"/>
        <v>0</v>
      </c>
      <c r="AI52" s="27">
        <f t="shared" si="65"/>
        <v>0</v>
      </c>
      <c r="AJ52" s="27">
        <f t="shared" si="66"/>
        <v>0</v>
      </c>
      <c r="AK52" s="27">
        <f t="shared" si="67"/>
        <v>0</v>
      </c>
      <c r="AL52" s="27"/>
      <c r="AM52" s="27"/>
      <c r="AN52" s="27">
        <v>0</v>
      </c>
      <c r="AO52" s="27"/>
      <c r="AP52" s="27">
        <f t="shared" si="68"/>
        <v>0</v>
      </c>
      <c r="AQ52" s="27">
        <f t="shared" si="69"/>
        <v>0</v>
      </c>
      <c r="AR52" s="27"/>
      <c r="AS52" s="27"/>
      <c r="AT52" s="27">
        <v>0</v>
      </c>
      <c r="AU52" s="27"/>
      <c r="AV52" s="27">
        <f t="shared" si="70"/>
        <v>0</v>
      </c>
      <c r="AW52" s="27">
        <f t="shared" si="71"/>
        <v>0</v>
      </c>
      <c r="AX52" s="27"/>
      <c r="AY52" s="27"/>
      <c r="AZ52" s="27">
        <v>0</v>
      </c>
      <c r="BA52" s="27"/>
      <c r="BB52" s="27">
        <f t="shared" si="72"/>
        <v>0</v>
      </c>
      <c r="BC52" s="27">
        <f t="shared" si="73"/>
        <v>0</v>
      </c>
      <c r="BD52" s="27"/>
      <c r="BE52" s="27"/>
      <c r="BF52" s="27">
        <v>0</v>
      </c>
      <c r="BG52" s="27"/>
      <c r="BH52" s="27">
        <f t="shared" si="74"/>
        <v>0</v>
      </c>
      <c r="BI52" s="27">
        <f t="shared" si="75"/>
        <v>0</v>
      </c>
      <c r="BJ52" s="27"/>
      <c r="BK52" s="27"/>
      <c r="BL52" s="27">
        <v>0</v>
      </c>
      <c r="BM52" s="27"/>
      <c r="BN52" s="27">
        <f t="shared" si="76"/>
        <v>0</v>
      </c>
      <c r="BO52" s="27">
        <f t="shared" si="77"/>
        <v>0</v>
      </c>
      <c r="BP52" s="26"/>
      <c r="BQ52" s="27"/>
      <c r="BR52" s="27">
        <v>0</v>
      </c>
      <c r="BS52" s="27"/>
      <c r="BT52" s="27">
        <f t="shared" si="78"/>
        <v>0</v>
      </c>
      <c r="BU52" s="27">
        <f t="shared" si="79"/>
        <v>0</v>
      </c>
      <c r="BV52" s="26"/>
      <c r="BW52" s="27"/>
      <c r="BX52" s="27">
        <v>0</v>
      </c>
      <c r="BY52" s="27"/>
      <c r="BZ52" s="27">
        <f t="shared" si="80"/>
        <v>0</v>
      </c>
      <c r="CA52" s="27">
        <f t="shared" si="81"/>
        <v>0</v>
      </c>
      <c r="CB52" s="26"/>
      <c r="CC52" s="27"/>
      <c r="CD52" s="27">
        <v>0</v>
      </c>
      <c r="CE52" s="27"/>
      <c r="CF52" s="27">
        <f t="shared" si="82"/>
        <v>0</v>
      </c>
      <c r="CG52" s="27">
        <f t="shared" si="83"/>
        <v>0</v>
      </c>
      <c r="CH52" s="26"/>
      <c r="CI52" s="27"/>
      <c r="CJ52" s="27">
        <v>0</v>
      </c>
      <c r="CK52" s="27"/>
      <c r="CL52" s="27">
        <f t="shared" si="84"/>
        <v>0</v>
      </c>
      <c r="CM52" s="27">
        <f t="shared" si="85"/>
        <v>0</v>
      </c>
      <c r="CN52" s="26"/>
      <c r="CO52" s="27"/>
      <c r="CP52" s="27">
        <v>0</v>
      </c>
      <c r="CQ52" s="27"/>
      <c r="CR52" s="27">
        <f t="shared" si="86"/>
        <v>0</v>
      </c>
      <c r="CS52" s="27">
        <f t="shared" si="87"/>
        <v>0</v>
      </c>
      <c r="CT52" s="26"/>
      <c r="CU52" s="27"/>
      <c r="CV52" s="27">
        <v>0</v>
      </c>
      <c r="CW52" s="27"/>
      <c r="CX52" s="27">
        <f t="shared" si="88"/>
        <v>0</v>
      </c>
      <c r="CY52" s="27">
        <f t="shared" si="89"/>
        <v>0</v>
      </c>
      <c r="CZ52" s="26"/>
      <c r="DA52" s="27"/>
      <c r="DB52" s="27">
        <v>0</v>
      </c>
      <c r="DC52" s="27"/>
      <c r="DD52" s="27">
        <f t="shared" si="90"/>
        <v>0</v>
      </c>
      <c r="DE52" s="27">
        <f t="shared" si="91"/>
        <v>0</v>
      </c>
      <c r="DF52" s="28">
        <f t="shared" si="92"/>
        <v>0</v>
      </c>
      <c r="DG52" s="28">
        <f t="shared" si="93"/>
        <v>0</v>
      </c>
      <c r="DH52" s="28">
        <f t="shared" si="94"/>
        <v>0</v>
      </c>
      <c r="DI52" s="28">
        <f t="shared" si="95"/>
        <v>0</v>
      </c>
      <c r="DJ52" s="27">
        <f t="shared" si="96"/>
        <v>0</v>
      </c>
      <c r="DK52" s="27">
        <f t="shared" si="97"/>
        <v>0</v>
      </c>
    </row>
    <row r="53" spans="1:115">
      <c r="A53" s="25">
        <v>45</v>
      </c>
      <c r="B53" s="26" t="s">
        <v>1161</v>
      </c>
      <c r="C53" s="26"/>
      <c r="D53" s="26"/>
      <c r="E53" s="205" t="s">
        <v>1200</v>
      </c>
      <c r="F53" s="161">
        <f t="shared" si="50"/>
        <v>0</v>
      </c>
      <c r="G53" s="165">
        <f t="shared" si="51"/>
        <v>0</v>
      </c>
      <c r="H53" s="27"/>
      <c r="I53" s="27">
        <v>0</v>
      </c>
      <c r="J53" s="27">
        <v>0</v>
      </c>
      <c r="K53" s="127">
        <f t="shared" si="52"/>
        <v>0</v>
      </c>
      <c r="L53" s="127">
        <f t="shared" si="53"/>
        <v>0</v>
      </c>
      <c r="M53" s="127">
        <f t="shared" si="54"/>
        <v>0</v>
      </c>
      <c r="N53" s="131"/>
      <c r="O53" s="125" t="str">
        <f t="shared" si="55"/>
        <v>ნულოვანი შესრულება</v>
      </c>
      <c r="P53" s="27">
        <v>0</v>
      </c>
      <c r="Q53" s="27">
        <v>0</v>
      </c>
      <c r="R53" s="27">
        <f t="shared" si="56"/>
        <v>0</v>
      </c>
      <c r="S53" s="27">
        <f t="shared" si="57"/>
        <v>0</v>
      </c>
      <c r="T53" s="27"/>
      <c r="U53" s="27"/>
      <c r="V53" s="27">
        <v>0</v>
      </c>
      <c r="W53" s="27"/>
      <c r="X53" s="27">
        <f t="shared" si="58"/>
        <v>0</v>
      </c>
      <c r="Y53" s="27">
        <f t="shared" si="59"/>
        <v>0</v>
      </c>
      <c r="Z53" s="27">
        <v>0</v>
      </c>
      <c r="AA53" s="27"/>
      <c r="AB53" s="27"/>
      <c r="AC53" s="27"/>
      <c r="AD53" s="27">
        <f t="shared" si="60"/>
        <v>0</v>
      </c>
      <c r="AE53" s="27">
        <f t="shared" si="61"/>
        <v>0</v>
      </c>
      <c r="AF53" s="27">
        <f t="shared" si="62"/>
        <v>0</v>
      </c>
      <c r="AG53" s="27">
        <f t="shared" si="63"/>
        <v>0</v>
      </c>
      <c r="AH53" s="27">
        <f t="shared" si="64"/>
        <v>0</v>
      </c>
      <c r="AI53" s="27">
        <f t="shared" si="65"/>
        <v>0</v>
      </c>
      <c r="AJ53" s="27">
        <f t="shared" si="66"/>
        <v>0</v>
      </c>
      <c r="AK53" s="27">
        <f t="shared" si="67"/>
        <v>0</v>
      </c>
      <c r="AL53" s="27"/>
      <c r="AM53" s="27"/>
      <c r="AN53" s="27">
        <v>0</v>
      </c>
      <c r="AO53" s="27"/>
      <c r="AP53" s="27">
        <f t="shared" si="68"/>
        <v>0</v>
      </c>
      <c r="AQ53" s="27">
        <f t="shared" si="69"/>
        <v>0</v>
      </c>
      <c r="AR53" s="27"/>
      <c r="AS53" s="27"/>
      <c r="AT53" s="27">
        <v>0</v>
      </c>
      <c r="AU53" s="27"/>
      <c r="AV53" s="27">
        <f t="shared" si="70"/>
        <v>0</v>
      </c>
      <c r="AW53" s="27">
        <f t="shared" si="71"/>
        <v>0</v>
      </c>
      <c r="AX53" s="27"/>
      <c r="AY53" s="27"/>
      <c r="AZ53" s="27">
        <v>0</v>
      </c>
      <c r="BA53" s="27"/>
      <c r="BB53" s="27">
        <f t="shared" si="72"/>
        <v>0</v>
      </c>
      <c r="BC53" s="27">
        <f t="shared" si="73"/>
        <v>0</v>
      </c>
      <c r="BD53" s="27"/>
      <c r="BE53" s="27"/>
      <c r="BF53" s="27">
        <v>0</v>
      </c>
      <c r="BG53" s="27"/>
      <c r="BH53" s="27">
        <f t="shared" si="74"/>
        <v>0</v>
      </c>
      <c r="BI53" s="27">
        <f t="shared" si="75"/>
        <v>0</v>
      </c>
      <c r="BJ53" s="27"/>
      <c r="BK53" s="27"/>
      <c r="BL53" s="27">
        <v>0</v>
      </c>
      <c r="BM53" s="27"/>
      <c r="BN53" s="27">
        <f t="shared" si="76"/>
        <v>0</v>
      </c>
      <c r="BO53" s="27">
        <f t="shared" si="77"/>
        <v>0</v>
      </c>
      <c r="BP53" s="26"/>
      <c r="BQ53" s="27"/>
      <c r="BR53" s="27">
        <v>0</v>
      </c>
      <c r="BS53" s="27"/>
      <c r="BT53" s="27">
        <f t="shared" si="78"/>
        <v>0</v>
      </c>
      <c r="BU53" s="27">
        <f t="shared" si="79"/>
        <v>0</v>
      </c>
      <c r="BV53" s="26"/>
      <c r="BW53" s="27"/>
      <c r="BX53" s="27">
        <v>0</v>
      </c>
      <c r="BY53" s="27"/>
      <c r="BZ53" s="27">
        <f t="shared" si="80"/>
        <v>0</v>
      </c>
      <c r="CA53" s="27">
        <f t="shared" si="81"/>
        <v>0</v>
      </c>
      <c r="CB53" s="26"/>
      <c r="CC53" s="27"/>
      <c r="CD53" s="27">
        <v>0</v>
      </c>
      <c r="CE53" s="27"/>
      <c r="CF53" s="27">
        <f t="shared" si="82"/>
        <v>0</v>
      </c>
      <c r="CG53" s="27">
        <f t="shared" si="83"/>
        <v>0</v>
      </c>
      <c r="CH53" s="26"/>
      <c r="CI53" s="27"/>
      <c r="CJ53" s="27">
        <v>0</v>
      </c>
      <c r="CK53" s="27"/>
      <c r="CL53" s="27">
        <f t="shared" si="84"/>
        <v>0</v>
      </c>
      <c r="CM53" s="27">
        <f t="shared" si="85"/>
        <v>0</v>
      </c>
      <c r="CN53" s="26"/>
      <c r="CO53" s="27"/>
      <c r="CP53" s="27">
        <v>0</v>
      </c>
      <c r="CQ53" s="27"/>
      <c r="CR53" s="27">
        <f t="shared" si="86"/>
        <v>0</v>
      </c>
      <c r="CS53" s="27">
        <f t="shared" si="87"/>
        <v>0</v>
      </c>
      <c r="CT53" s="26"/>
      <c r="CU53" s="27"/>
      <c r="CV53" s="27">
        <v>0</v>
      </c>
      <c r="CW53" s="27"/>
      <c r="CX53" s="27">
        <f t="shared" si="88"/>
        <v>0</v>
      </c>
      <c r="CY53" s="27">
        <f t="shared" si="89"/>
        <v>0</v>
      </c>
      <c r="CZ53" s="26"/>
      <c r="DA53" s="27"/>
      <c r="DB53" s="27">
        <v>0</v>
      </c>
      <c r="DC53" s="27"/>
      <c r="DD53" s="27">
        <f t="shared" si="90"/>
        <v>0</v>
      </c>
      <c r="DE53" s="27">
        <f t="shared" si="91"/>
        <v>0</v>
      </c>
      <c r="DF53" s="28">
        <f t="shared" si="92"/>
        <v>0</v>
      </c>
      <c r="DG53" s="28">
        <f t="shared" si="93"/>
        <v>0</v>
      </c>
      <c r="DH53" s="28">
        <f t="shared" si="94"/>
        <v>0</v>
      </c>
      <c r="DI53" s="28">
        <f t="shared" si="95"/>
        <v>0</v>
      </c>
      <c r="DJ53" s="27">
        <f t="shared" si="96"/>
        <v>0</v>
      </c>
      <c r="DK53" s="27">
        <f t="shared" si="97"/>
        <v>0</v>
      </c>
    </row>
    <row r="54" spans="1:115">
      <c r="A54" s="25">
        <v>46</v>
      </c>
      <c r="B54" s="26" t="s">
        <v>1161</v>
      </c>
      <c r="C54" s="26"/>
      <c r="D54" s="26"/>
      <c r="E54" s="205" t="s">
        <v>1200</v>
      </c>
      <c r="F54" s="161">
        <f t="shared" si="50"/>
        <v>0</v>
      </c>
      <c r="G54" s="165">
        <f t="shared" si="51"/>
        <v>0</v>
      </c>
      <c r="H54" s="27"/>
      <c r="I54" s="27">
        <v>0</v>
      </c>
      <c r="J54" s="27">
        <v>0</v>
      </c>
      <c r="K54" s="127">
        <f t="shared" si="52"/>
        <v>0</v>
      </c>
      <c r="L54" s="127">
        <f t="shared" si="53"/>
        <v>0</v>
      </c>
      <c r="M54" s="127">
        <f t="shared" si="54"/>
        <v>0</v>
      </c>
      <c r="N54" s="131"/>
      <c r="O54" s="125" t="str">
        <f t="shared" si="55"/>
        <v>ნულოვანი შესრულება</v>
      </c>
      <c r="P54" s="27">
        <v>0</v>
      </c>
      <c r="Q54" s="27">
        <v>0</v>
      </c>
      <c r="R54" s="27">
        <f t="shared" si="56"/>
        <v>0</v>
      </c>
      <c r="S54" s="27">
        <f t="shared" si="57"/>
        <v>0</v>
      </c>
      <c r="T54" s="27"/>
      <c r="U54" s="27"/>
      <c r="V54" s="27">
        <v>0</v>
      </c>
      <c r="W54" s="27"/>
      <c r="X54" s="27">
        <f t="shared" si="58"/>
        <v>0</v>
      </c>
      <c r="Y54" s="27">
        <f t="shared" si="59"/>
        <v>0</v>
      </c>
      <c r="Z54" s="27">
        <v>0</v>
      </c>
      <c r="AA54" s="27"/>
      <c r="AB54" s="27"/>
      <c r="AC54" s="27"/>
      <c r="AD54" s="27">
        <f t="shared" si="60"/>
        <v>0</v>
      </c>
      <c r="AE54" s="27">
        <f t="shared" si="61"/>
        <v>0</v>
      </c>
      <c r="AF54" s="27">
        <f t="shared" si="62"/>
        <v>0</v>
      </c>
      <c r="AG54" s="27">
        <f t="shared" si="63"/>
        <v>0</v>
      </c>
      <c r="AH54" s="27">
        <f t="shared" si="64"/>
        <v>0</v>
      </c>
      <c r="AI54" s="27">
        <f t="shared" si="65"/>
        <v>0</v>
      </c>
      <c r="AJ54" s="27">
        <f t="shared" si="66"/>
        <v>0</v>
      </c>
      <c r="AK54" s="27">
        <f t="shared" si="67"/>
        <v>0</v>
      </c>
      <c r="AL54" s="27"/>
      <c r="AM54" s="27"/>
      <c r="AN54" s="27">
        <v>0</v>
      </c>
      <c r="AO54" s="27"/>
      <c r="AP54" s="27">
        <f t="shared" si="68"/>
        <v>0</v>
      </c>
      <c r="AQ54" s="27">
        <f t="shared" si="69"/>
        <v>0</v>
      </c>
      <c r="AR54" s="27"/>
      <c r="AS54" s="27"/>
      <c r="AT54" s="27">
        <v>0</v>
      </c>
      <c r="AU54" s="27"/>
      <c r="AV54" s="27">
        <f t="shared" si="70"/>
        <v>0</v>
      </c>
      <c r="AW54" s="27">
        <f t="shared" si="71"/>
        <v>0</v>
      </c>
      <c r="AX54" s="27"/>
      <c r="AY54" s="27"/>
      <c r="AZ54" s="27">
        <v>0</v>
      </c>
      <c r="BA54" s="27"/>
      <c r="BB54" s="27">
        <f t="shared" si="72"/>
        <v>0</v>
      </c>
      <c r="BC54" s="27">
        <f t="shared" si="73"/>
        <v>0</v>
      </c>
      <c r="BD54" s="27"/>
      <c r="BE54" s="27"/>
      <c r="BF54" s="27">
        <v>0</v>
      </c>
      <c r="BG54" s="27"/>
      <c r="BH54" s="27">
        <f t="shared" si="74"/>
        <v>0</v>
      </c>
      <c r="BI54" s="27">
        <f t="shared" si="75"/>
        <v>0</v>
      </c>
      <c r="BJ54" s="27"/>
      <c r="BK54" s="27"/>
      <c r="BL54" s="27">
        <v>0</v>
      </c>
      <c r="BM54" s="27"/>
      <c r="BN54" s="27">
        <f t="shared" si="76"/>
        <v>0</v>
      </c>
      <c r="BO54" s="27">
        <f t="shared" si="77"/>
        <v>0</v>
      </c>
      <c r="BP54" s="26"/>
      <c r="BQ54" s="27"/>
      <c r="BR54" s="27">
        <v>0</v>
      </c>
      <c r="BS54" s="27"/>
      <c r="BT54" s="27">
        <f t="shared" si="78"/>
        <v>0</v>
      </c>
      <c r="BU54" s="27">
        <f t="shared" si="79"/>
        <v>0</v>
      </c>
      <c r="BV54" s="26"/>
      <c r="BW54" s="27"/>
      <c r="BX54" s="27">
        <v>0</v>
      </c>
      <c r="BY54" s="27"/>
      <c r="BZ54" s="27">
        <f t="shared" si="80"/>
        <v>0</v>
      </c>
      <c r="CA54" s="27">
        <f t="shared" si="81"/>
        <v>0</v>
      </c>
      <c r="CB54" s="26"/>
      <c r="CC54" s="27"/>
      <c r="CD54" s="27">
        <v>0</v>
      </c>
      <c r="CE54" s="27"/>
      <c r="CF54" s="27">
        <f t="shared" si="82"/>
        <v>0</v>
      </c>
      <c r="CG54" s="27">
        <f t="shared" si="83"/>
        <v>0</v>
      </c>
      <c r="CH54" s="26"/>
      <c r="CI54" s="27"/>
      <c r="CJ54" s="27">
        <v>0</v>
      </c>
      <c r="CK54" s="27"/>
      <c r="CL54" s="27">
        <f t="shared" si="84"/>
        <v>0</v>
      </c>
      <c r="CM54" s="27">
        <f t="shared" si="85"/>
        <v>0</v>
      </c>
      <c r="CN54" s="26"/>
      <c r="CO54" s="27"/>
      <c r="CP54" s="27">
        <v>0</v>
      </c>
      <c r="CQ54" s="27"/>
      <c r="CR54" s="27">
        <f t="shared" si="86"/>
        <v>0</v>
      </c>
      <c r="CS54" s="27">
        <f t="shared" si="87"/>
        <v>0</v>
      </c>
      <c r="CT54" s="26"/>
      <c r="CU54" s="27"/>
      <c r="CV54" s="27">
        <v>0</v>
      </c>
      <c r="CW54" s="27"/>
      <c r="CX54" s="27">
        <f t="shared" si="88"/>
        <v>0</v>
      </c>
      <c r="CY54" s="27">
        <f t="shared" si="89"/>
        <v>0</v>
      </c>
      <c r="CZ54" s="26"/>
      <c r="DA54" s="27"/>
      <c r="DB54" s="27">
        <v>0</v>
      </c>
      <c r="DC54" s="27"/>
      <c r="DD54" s="27">
        <f t="shared" si="90"/>
        <v>0</v>
      </c>
      <c r="DE54" s="27">
        <f t="shared" si="91"/>
        <v>0</v>
      </c>
      <c r="DF54" s="28">
        <f t="shared" si="92"/>
        <v>0</v>
      </c>
      <c r="DG54" s="28">
        <f t="shared" si="93"/>
        <v>0</v>
      </c>
      <c r="DH54" s="28">
        <f t="shared" si="94"/>
        <v>0</v>
      </c>
      <c r="DI54" s="28">
        <f t="shared" si="95"/>
        <v>0</v>
      </c>
      <c r="DJ54" s="27">
        <f t="shared" si="96"/>
        <v>0</v>
      </c>
      <c r="DK54" s="27">
        <f t="shared" si="97"/>
        <v>0</v>
      </c>
    </row>
    <row r="55" spans="1:115">
      <c r="A55" s="25">
        <v>47</v>
      </c>
      <c r="B55" s="26" t="s">
        <v>1161</v>
      </c>
      <c r="C55" s="26"/>
      <c r="D55" s="26"/>
      <c r="E55" s="205" t="s">
        <v>1200</v>
      </c>
      <c r="F55" s="161">
        <f t="shared" si="50"/>
        <v>0</v>
      </c>
      <c r="G55" s="165">
        <f t="shared" si="51"/>
        <v>0</v>
      </c>
      <c r="H55" s="27"/>
      <c r="I55" s="27">
        <v>0</v>
      </c>
      <c r="J55" s="27">
        <v>0</v>
      </c>
      <c r="K55" s="127">
        <f t="shared" si="52"/>
        <v>0</v>
      </c>
      <c r="L55" s="127">
        <f t="shared" si="53"/>
        <v>0</v>
      </c>
      <c r="M55" s="127">
        <f t="shared" si="54"/>
        <v>0</v>
      </c>
      <c r="N55" s="131"/>
      <c r="O55" s="125" t="str">
        <f t="shared" si="55"/>
        <v>ნულოვანი შესრულება</v>
      </c>
      <c r="P55" s="27">
        <v>0</v>
      </c>
      <c r="Q55" s="27">
        <v>0</v>
      </c>
      <c r="R55" s="27">
        <f t="shared" si="56"/>
        <v>0</v>
      </c>
      <c r="S55" s="27">
        <f t="shared" si="57"/>
        <v>0</v>
      </c>
      <c r="T55" s="27"/>
      <c r="U55" s="27"/>
      <c r="V55" s="27">
        <v>0</v>
      </c>
      <c r="W55" s="27"/>
      <c r="X55" s="27">
        <f t="shared" si="58"/>
        <v>0</v>
      </c>
      <c r="Y55" s="27">
        <f t="shared" si="59"/>
        <v>0</v>
      </c>
      <c r="Z55" s="27">
        <v>0</v>
      </c>
      <c r="AA55" s="27"/>
      <c r="AB55" s="27"/>
      <c r="AC55" s="27"/>
      <c r="AD55" s="27">
        <f t="shared" si="60"/>
        <v>0</v>
      </c>
      <c r="AE55" s="27">
        <f t="shared" si="61"/>
        <v>0</v>
      </c>
      <c r="AF55" s="27">
        <f t="shared" si="62"/>
        <v>0</v>
      </c>
      <c r="AG55" s="27">
        <f t="shared" si="63"/>
        <v>0</v>
      </c>
      <c r="AH55" s="27">
        <f t="shared" si="64"/>
        <v>0</v>
      </c>
      <c r="AI55" s="27">
        <f t="shared" si="65"/>
        <v>0</v>
      </c>
      <c r="AJ55" s="27">
        <f t="shared" si="66"/>
        <v>0</v>
      </c>
      <c r="AK55" s="27">
        <f t="shared" si="67"/>
        <v>0</v>
      </c>
      <c r="AL55" s="27"/>
      <c r="AM55" s="27"/>
      <c r="AN55" s="27">
        <v>0</v>
      </c>
      <c r="AO55" s="27"/>
      <c r="AP55" s="27">
        <f t="shared" si="68"/>
        <v>0</v>
      </c>
      <c r="AQ55" s="27">
        <f t="shared" si="69"/>
        <v>0</v>
      </c>
      <c r="AR55" s="27"/>
      <c r="AS55" s="27"/>
      <c r="AT55" s="27">
        <v>0</v>
      </c>
      <c r="AU55" s="27"/>
      <c r="AV55" s="27">
        <f t="shared" si="70"/>
        <v>0</v>
      </c>
      <c r="AW55" s="27">
        <f t="shared" si="71"/>
        <v>0</v>
      </c>
      <c r="AX55" s="27"/>
      <c r="AY55" s="27"/>
      <c r="AZ55" s="27">
        <v>0</v>
      </c>
      <c r="BA55" s="27"/>
      <c r="BB55" s="27">
        <f t="shared" si="72"/>
        <v>0</v>
      </c>
      <c r="BC55" s="27">
        <f t="shared" si="73"/>
        <v>0</v>
      </c>
      <c r="BD55" s="27"/>
      <c r="BE55" s="27"/>
      <c r="BF55" s="27">
        <v>0</v>
      </c>
      <c r="BG55" s="27"/>
      <c r="BH55" s="27">
        <f t="shared" si="74"/>
        <v>0</v>
      </c>
      <c r="BI55" s="27">
        <f t="shared" si="75"/>
        <v>0</v>
      </c>
      <c r="BJ55" s="27"/>
      <c r="BK55" s="27"/>
      <c r="BL55" s="27">
        <v>0</v>
      </c>
      <c r="BM55" s="27"/>
      <c r="BN55" s="27">
        <f t="shared" si="76"/>
        <v>0</v>
      </c>
      <c r="BO55" s="27">
        <f t="shared" si="77"/>
        <v>0</v>
      </c>
      <c r="BP55" s="26"/>
      <c r="BQ55" s="27"/>
      <c r="BR55" s="27">
        <v>0</v>
      </c>
      <c r="BS55" s="27"/>
      <c r="BT55" s="27">
        <f t="shared" si="78"/>
        <v>0</v>
      </c>
      <c r="BU55" s="27">
        <f t="shared" si="79"/>
        <v>0</v>
      </c>
      <c r="BV55" s="26"/>
      <c r="BW55" s="27"/>
      <c r="BX55" s="27">
        <v>0</v>
      </c>
      <c r="BY55" s="27"/>
      <c r="BZ55" s="27">
        <f t="shared" si="80"/>
        <v>0</v>
      </c>
      <c r="CA55" s="27">
        <f t="shared" si="81"/>
        <v>0</v>
      </c>
      <c r="CB55" s="26"/>
      <c r="CC55" s="27"/>
      <c r="CD55" s="27">
        <v>0</v>
      </c>
      <c r="CE55" s="27"/>
      <c r="CF55" s="27">
        <f t="shared" si="82"/>
        <v>0</v>
      </c>
      <c r="CG55" s="27">
        <f t="shared" si="83"/>
        <v>0</v>
      </c>
      <c r="CH55" s="26"/>
      <c r="CI55" s="27"/>
      <c r="CJ55" s="27">
        <v>0</v>
      </c>
      <c r="CK55" s="27"/>
      <c r="CL55" s="27">
        <f t="shared" si="84"/>
        <v>0</v>
      </c>
      <c r="CM55" s="27">
        <f t="shared" si="85"/>
        <v>0</v>
      </c>
      <c r="CN55" s="26"/>
      <c r="CO55" s="27"/>
      <c r="CP55" s="27">
        <v>0</v>
      </c>
      <c r="CQ55" s="27"/>
      <c r="CR55" s="27">
        <f t="shared" si="86"/>
        <v>0</v>
      </c>
      <c r="CS55" s="27">
        <f t="shared" si="87"/>
        <v>0</v>
      </c>
      <c r="CT55" s="26"/>
      <c r="CU55" s="27"/>
      <c r="CV55" s="27">
        <v>0</v>
      </c>
      <c r="CW55" s="27"/>
      <c r="CX55" s="27">
        <f t="shared" si="88"/>
        <v>0</v>
      </c>
      <c r="CY55" s="27">
        <f t="shared" si="89"/>
        <v>0</v>
      </c>
      <c r="CZ55" s="26"/>
      <c r="DA55" s="27"/>
      <c r="DB55" s="27">
        <v>0</v>
      </c>
      <c r="DC55" s="27"/>
      <c r="DD55" s="27">
        <f t="shared" si="90"/>
        <v>0</v>
      </c>
      <c r="DE55" s="27">
        <f t="shared" si="91"/>
        <v>0</v>
      </c>
      <c r="DF55" s="28">
        <f t="shared" si="92"/>
        <v>0</v>
      </c>
      <c r="DG55" s="28">
        <f t="shared" si="93"/>
        <v>0</v>
      </c>
      <c r="DH55" s="28">
        <f t="shared" si="94"/>
        <v>0</v>
      </c>
      <c r="DI55" s="28">
        <f t="shared" si="95"/>
        <v>0</v>
      </c>
      <c r="DJ55" s="27">
        <f t="shared" si="96"/>
        <v>0</v>
      </c>
      <c r="DK55" s="27">
        <f t="shared" si="97"/>
        <v>0</v>
      </c>
    </row>
    <row r="56" spans="1:115">
      <c r="A56" s="25">
        <v>48</v>
      </c>
      <c r="B56" s="26" t="s">
        <v>1161</v>
      </c>
      <c r="C56" s="26"/>
      <c r="D56" s="26"/>
      <c r="E56" s="205" t="s">
        <v>1200</v>
      </c>
      <c r="F56" s="161">
        <f t="shared" si="50"/>
        <v>0</v>
      </c>
      <c r="G56" s="165">
        <f t="shared" si="51"/>
        <v>0</v>
      </c>
      <c r="H56" s="27"/>
      <c r="I56" s="27">
        <v>0</v>
      </c>
      <c r="J56" s="27">
        <v>0</v>
      </c>
      <c r="K56" s="127">
        <f t="shared" si="52"/>
        <v>0</v>
      </c>
      <c r="L56" s="127">
        <f t="shared" si="53"/>
        <v>0</v>
      </c>
      <c r="M56" s="127">
        <f t="shared" si="54"/>
        <v>0</v>
      </c>
      <c r="N56" s="131"/>
      <c r="O56" s="125" t="str">
        <f t="shared" si="55"/>
        <v>ნულოვანი შესრულება</v>
      </c>
      <c r="P56" s="27">
        <v>0</v>
      </c>
      <c r="Q56" s="27">
        <v>0</v>
      </c>
      <c r="R56" s="27">
        <f t="shared" si="56"/>
        <v>0</v>
      </c>
      <c r="S56" s="27">
        <f t="shared" si="57"/>
        <v>0</v>
      </c>
      <c r="T56" s="27"/>
      <c r="U56" s="27"/>
      <c r="V56" s="27">
        <v>0</v>
      </c>
      <c r="W56" s="27"/>
      <c r="X56" s="27">
        <f t="shared" si="58"/>
        <v>0</v>
      </c>
      <c r="Y56" s="27">
        <f t="shared" si="59"/>
        <v>0</v>
      </c>
      <c r="Z56" s="27">
        <v>0</v>
      </c>
      <c r="AA56" s="27"/>
      <c r="AB56" s="27"/>
      <c r="AC56" s="27"/>
      <c r="AD56" s="27">
        <f t="shared" si="60"/>
        <v>0</v>
      </c>
      <c r="AE56" s="27">
        <f t="shared" si="61"/>
        <v>0</v>
      </c>
      <c r="AF56" s="27">
        <f t="shared" si="62"/>
        <v>0</v>
      </c>
      <c r="AG56" s="27">
        <f t="shared" si="63"/>
        <v>0</v>
      </c>
      <c r="AH56" s="27">
        <f t="shared" si="64"/>
        <v>0</v>
      </c>
      <c r="AI56" s="27">
        <f t="shared" si="65"/>
        <v>0</v>
      </c>
      <c r="AJ56" s="27">
        <f t="shared" si="66"/>
        <v>0</v>
      </c>
      <c r="AK56" s="27">
        <f t="shared" si="67"/>
        <v>0</v>
      </c>
      <c r="AL56" s="27"/>
      <c r="AM56" s="27"/>
      <c r="AN56" s="27">
        <v>0</v>
      </c>
      <c r="AO56" s="27"/>
      <c r="AP56" s="27">
        <f t="shared" si="68"/>
        <v>0</v>
      </c>
      <c r="AQ56" s="27">
        <f t="shared" si="69"/>
        <v>0</v>
      </c>
      <c r="AR56" s="27"/>
      <c r="AS56" s="27"/>
      <c r="AT56" s="27">
        <v>0</v>
      </c>
      <c r="AU56" s="27"/>
      <c r="AV56" s="27">
        <f t="shared" si="70"/>
        <v>0</v>
      </c>
      <c r="AW56" s="27">
        <f t="shared" si="71"/>
        <v>0</v>
      </c>
      <c r="AX56" s="27"/>
      <c r="AY56" s="27"/>
      <c r="AZ56" s="27">
        <v>0</v>
      </c>
      <c r="BA56" s="27"/>
      <c r="BB56" s="27">
        <f t="shared" si="72"/>
        <v>0</v>
      </c>
      <c r="BC56" s="27">
        <f t="shared" si="73"/>
        <v>0</v>
      </c>
      <c r="BD56" s="27"/>
      <c r="BE56" s="27"/>
      <c r="BF56" s="27">
        <v>0</v>
      </c>
      <c r="BG56" s="27"/>
      <c r="BH56" s="27">
        <f t="shared" si="74"/>
        <v>0</v>
      </c>
      <c r="BI56" s="27">
        <f t="shared" si="75"/>
        <v>0</v>
      </c>
      <c r="BJ56" s="27"/>
      <c r="BK56" s="27"/>
      <c r="BL56" s="27">
        <v>0</v>
      </c>
      <c r="BM56" s="27"/>
      <c r="BN56" s="27">
        <f t="shared" si="76"/>
        <v>0</v>
      </c>
      <c r="BO56" s="27">
        <f t="shared" si="77"/>
        <v>0</v>
      </c>
      <c r="BP56" s="26"/>
      <c r="BQ56" s="27"/>
      <c r="BR56" s="27">
        <v>0</v>
      </c>
      <c r="BS56" s="27"/>
      <c r="BT56" s="27">
        <f t="shared" si="78"/>
        <v>0</v>
      </c>
      <c r="BU56" s="27">
        <f t="shared" si="79"/>
        <v>0</v>
      </c>
      <c r="BV56" s="26"/>
      <c r="BW56" s="27"/>
      <c r="BX56" s="27">
        <v>0</v>
      </c>
      <c r="BY56" s="27"/>
      <c r="BZ56" s="27">
        <f t="shared" si="80"/>
        <v>0</v>
      </c>
      <c r="CA56" s="27">
        <f t="shared" si="81"/>
        <v>0</v>
      </c>
      <c r="CB56" s="26"/>
      <c r="CC56" s="27"/>
      <c r="CD56" s="27">
        <v>0</v>
      </c>
      <c r="CE56" s="27"/>
      <c r="CF56" s="27">
        <f t="shared" si="82"/>
        <v>0</v>
      </c>
      <c r="CG56" s="27">
        <f t="shared" si="83"/>
        <v>0</v>
      </c>
      <c r="CH56" s="26"/>
      <c r="CI56" s="27"/>
      <c r="CJ56" s="27">
        <v>0</v>
      </c>
      <c r="CK56" s="27"/>
      <c r="CL56" s="27">
        <f t="shared" si="84"/>
        <v>0</v>
      </c>
      <c r="CM56" s="27">
        <f t="shared" si="85"/>
        <v>0</v>
      </c>
      <c r="CN56" s="26"/>
      <c r="CO56" s="27"/>
      <c r="CP56" s="27">
        <v>0</v>
      </c>
      <c r="CQ56" s="27"/>
      <c r="CR56" s="27">
        <f t="shared" si="86"/>
        <v>0</v>
      </c>
      <c r="CS56" s="27">
        <f t="shared" si="87"/>
        <v>0</v>
      </c>
      <c r="CT56" s="26"/>
      <c r="CU56" s="27"/>
      <c r="CV56" s="27">
        <v>0</v>
      </c>
      <c r="CW56" s="27"/>
      <c r="CX56" s="27">
        <f t="shared" si="88"/>
        <v>0</v>
      </c>
      <c r="CY56" s="27">
        <f t="shared" si="89"/>
        <v>0</v>
      </c>
      <c r="CZ56" s="26"/>
      <c r="DA56" s="27"/>
      <c r="DB56" s="27">
        <v>0</v>
      </c>
      <c r="DC56" s="27"/>
      <c r="DD56" s="27">
        <f t="shared" si="90"/>
        <v>0</v>
      </c>
      <c r="DE56" s="27">
        <f t="shared" si="91"/>
        <v>0</v>
      </c>
      <c r="DF56" s="28">
        <f t="shared" si="92"/>
        <v>0</v>
      </c>
      <c r="DG56" s="28">
        <f t="shared" si="93"/>
        <v>0</v>
      </c>
      <c r="DH56" s="28">
        <f t="shared" si="94"/>
        <v>0</v>
      </c>
      <c r="DI56" s="28">
        <f t="shared" si="95"/>
        <v>0</v>
      </c>
      <c r="DJ56" s="27">
        <f t="shared" si="96"/>
        <v>0</v>
      </c>
      <c r="DK56" s="27">
        <f t="shared" si="97"/>
        <v>0</v>
      </c>
    </row>
    <row r="57" spans="1:115">
      <c r="A57" s="25">
        <v>49</v>
      </c>
      <c r="B57" s="26" t="s">
        <v>1161</v>
      </c>
      <c r="C57" s="26"/>
      <c r="D57" s="26"/>
      <c r="E57" s="205" t="s">
        <v>1200</v>
      </c>
      <c r="F57" s="161">
        <f t="shared" si="50"/>
        <v>0</v>
      </c>
      <c r="G57" s="165">
        <f t="shared" si="51"/>
        <v>0</v>
      </c>
      <c r="H57" s="27"/>
      <c r="I57" s="27">
        <v>0</v>
      </c>
      <c r="J57" s="27">
        <v>0</v>
      </c>
      <c r="K57" s="127">
        <f t="shared" si="52"/>
        <v>0</v>
      </c>
      <c r="L57" s="127">
        <f t="shared" si="53"/>
        <v>0</v>
      </c>
      <c r="M57" s="127">
        <f t="shared" si="54"/>
        <v>0</v>
      </c>
      <c r="N57" s="131"/>
      <c r="O57" s="125" t="str">
        <f t="shared" si="55"/>
        <v>ნულოვანი შესრულება</v>
      </c>
      <c r="P57" s="27">
        <v>0</v>
      </c>
      <c r="Q57" s="27">
        <v>0</v>
      </c>
      <c r="R57" s="27">
        <f t="shared" si="56"/>
        <v>0</v>
      </c>
      <c r="S57" s="27">
        <f t="shared" si="57"/>
        <v>0</v>
      </c>
      <c r="T57" s="27"/>
      <c r="U57" s="27"/>
      <c r="V57" s="27">
        <v>0</v>
      </c>
      <c r="W57" s="27"/>
      <c r="X57" s="27">
        <f t="shared" si="58"/>
        <v>0</v>
      </c>
      <c r="Y57" s="27">
        <f t="shared" si="59"/>
        <v>0</v>
      </c>
      <c r="Z57" s="27">
        <v>0</v>
      </c>
      <c r="AA57" s="27"/>
      <c r="AB57" s="27"/>
      <c r="AC57" s="27"/>
      <c r="AD57" s="27">
        <f t="shared" si="60"/>
        <v>0</v>
      </c>
      <c r="AE57" s="27">
        <f t="shared" si="61"/>
        <v>0</v>
      </c>
      <c r="AF57" s="27">
        <f t="shared" si="62"/>
        <v>0</v>
      </c>
      <c r="AG57" s="27">
        <f t="shared" si="63"/>
        <v>0</v>
      </c>
      <c r="AH57" s="27">
        <f t="shared" si="64"/>
        <v>0</v>
      </c>
      <c r="AI57" s="27">
        <f t="shared" si="65"/>
        <v>0</v>
      </c>
      <c r="AJ57" s="27">
        <f t="shared" si="66"/>
        <v>0</v>
      </c>
      <c r="AK57" s="27">
        <f t="shared" si="67"/>
        <v>0</v>
      </c>
      <c r="AL57" s="27"/>
      <c r="AM57" s="27"/>
      <c r="AN57" s="27">
        <v>0</v>
      </c>
      <c r="AO57" s="27"/>
      <c r="AP57" s="27">
        <f t="shared" si="68"/>
        <v>0</v>
      </c>
      <c r="AQ57" s="27">
        <f t="shared" si="69"/>
        <v>0</v>
      </c>
      <c r="AR57" s="27"/>
      <c r="AS57" s="27"/>
      <c r="AT57" s="27">
        <v>0</v>
      </c>
      <c r="AU57" s="27"/>
      <c r="AV57" s="27">
        <f t="shared" si="70"/>
        <v>0</v>
      </c>
      <c r="AW57" s="27">
        <f t="shared" si="71"/>
        <v>0</v>
      </c>
      <c r="AX57" s="27"/>
      <c r="AY57" s="27"/>
      <c r="AZ57" s="27">
        <v>0</v>
      </c>
      <c r="BA57" s="27"/>
      <c r="BB57" s="27">
        <f t="shared" si="72"/>
        <v>0</v>
      </c>
      <c r="BC57" s="27">
        <f t="shared" si="73"/>
        <v>0</v>
      </c>
      <c r="BD57" s="27"/>
      <c r="BE57" s="27"/>
      <c r="BF57" s="27">
        <v>0</v>
      </c>
      <c r="BG57" s="27"/>
      <c r="BH57" s="27">
        <f t="shared" si="74"/>
        <v>0</v>
      </c>
      <c r="BI57" s="27">
        <f t="shared" si="75"/>
        <v>0</v>
      </c>
      <c r="BJ57" s="27"/>
      <c r="BK57" s="27"/>
      <c r="BL57" s="27">
        <v>0</v>
      </c>
      <c r="BM57" s="27"/>
      <c r="BN57" s="27">
        <f t="shared" si="76"/>
        <v>0</v>
      </c>
      <c r="BO57" s="27">
        <f t="shared" si="77"/>
        <v>0</v>
      </c>
      <c r="BP57" s="26"/>
      <c r="BQ57" s="27"/>
      <c r="BR57" s="27">
        <v>0</v>
      </c>
      <c r="BS57" s="27"/>
      <c r="BT57" s="27">
        <f t="shared" si="78"/>
        <v>0</v>
      </c>
      <c r="BU57" s="27">
        <f t="shared" si="79"/>
        <v>0</v>
      </c>
      <c r="BV57" s="26"/>
      <c r="BW57" s="27"/>
      <c r="BX57" s="27">
        <v>0</v>
      </c>
      <c r="BY57" s="27"/>
      <c r="BZ57" s="27">
        <f t="shared" si="80"/>
        <v>0</v>
      </c>
      <c r="CA57" s="27">
        <f t="shared" si="81"/>
        <v>0</v>
      </c>
      <c r="CB57" s="26"/>
      <c r="CC57" s="27"/>
      <c r="CD57" s="27">
        <v>0</v>
      </c>
      <c r="CE57" s="27"/>
      <c r="CF57" s="27">
        <f t="shared" si="82"/>
        <v>0</v>
      </c>
      <c r="CG57" s="27">
        <f t="shared" si="83"/>
        <v>0</v>
      </c>
      <c r="CH57" s="26"/>
      <c r="CI57" s="27"/>
      <c r="CJ57" s="27">
        <v>0</v>
      </c>
      <c r="CK57" s="27"/>
      <c r="CL57" s="27">
        <f t="shared" si="84"/>
        <v>0</v>
      </c>
      <c r="CM57" s="27">
        <f t="shared" si="85"/>
        <v>0</v>
      </c>
      <c r="CN57" s="26"/>
      <c r="CO57" s="27"/>
      <c r="CP57" s="27">
        <v>0</v>
      </c>
      <c r="CQ57" s="27"/>
      <c r="CR57" s="27">
        <f t="shared" si="86"/>
        <v>0</v>
      </c>
      <c r="CS57" s="27">
        <f t="shared" si="87"/>
        <v>0</v>
      </c>
      <c r="CT57" s="26"/>
      <c r="CU57" s="27"/>
      <c r="CV57" s="27">
        <v>0</v>
      </c>
      <c r="CW57" s="27"/>
      <c r="CX57" s="27">
        <f t="shared" si="88"/>
        <v>0</v>
      </c>
      <c r="CY57" s="27">
        <f t="shared" si="89"/>
        <v>0</v>
      </c>
      <c r="CZ57" s="26"/>
      <c r="DA57" s="27"/>
      <c r="DB57" s="27">
        <v>0</v>
      </c>
      <c r="DC57" s="27"/>
      <c r="DD57" s="27">
        <f t="shared" si="90"/>
        <v>0</v>
      </c>
      <c r="DE57" s="27">
        <f t="shared" si="91"/>
        <v>0</v>
      </c>
      <c r="DF57" s="28">
        <f t="shared" si="92"/>
        <v>0</v>
      </c>
      <c r="DG57" s="28">
        <f t="shared" si="93"/>
        <v>0</v>
      </c>
      <c r="DH57" s="28">
        <f t="shared" si="94"/>
        <v>0</v>
      </c>
      <c r="DI57" s="28">
        <f t="shared" si="95"/>
        <v>0</v>
      </c>
      <c r="DJ57" s="27">
        <f t="shared" si="96"/>
        <v>0</v>
      </c>
      <c r="DK57" s="27">
        <f t="shared" si="97"/>
        <v>0</v>
      </c>
    </row>
    <row r="58" spans="1:115">
      <c r="A58" s="25">
        <v>50</v>
      </c>
      <c r="B58" s="26" t="s">
        <v>1161</v>
      </c>
      <c r="C58" s="26"/>
      <c r="D58" s="26"/>
      <c r="E58" s="205" t="s">
        <v>1200</v>
      </c>
      <c r="F58" s="161">
        <f t="shared" si="50"/>
        <v>0</v>
      </c>
      <c r="G58" s="165">
        <f t="shared" si="51"/>
        <v>0</v>
      </c>
      <c r="H58" s="27"/>
      <c r="I58" s="27">
        <v>0</v>
      </c>
      <c r="J58" s="27">
        <v>0</v>
      </c>
      <c r="K58" s="127">
        <f t="shared" si="52"/>
        <v>0</v>
      </c>
      <c r="L58" s="127">
        <f t="shared" si="53"/>
        <v>0</v>
      </c>
      <c r="M58" s="127">
        <f t="shared" si="54"/>
        <v>0</v>
      </c>
      <c r="N58" s="131"/>
      <c r="O58" s="125" t="str">
        <f t="shared" si="55"/>
        <v>ნულოვანი შესრულება</v>
      </c>
      <c r="P58" s="27">
        <v>0</v>
      </c>
      <c r="Q58" s="27">
        <v>0</v>
      </c>
      <c r="R58" s="27">
        <f t="shared" si="56"/>
        <v>0</v>
      </c>
      <c r="S58" s="27">
        <f t="shared" si="57"/>
        <v>0</v>
      </c>
      <c r="T58" s="27"/>
      <c r="U58" s="27"/>
      <c r="V58" s="27">
        <v>0</v>
      </c>
      <c r="W58" s="27"/>
      <c r="X58" s="27">
        <f t="shared" si="58"/>
        <v>0</v>
      </c>
      <c r="Y58" s="27">
        <f t="shared" si="59"/>
        <v>0</v>
      </c>
      <c r="Z58" s="27">
        <v>0</v>
      </c>
      <c r="AA58" s="27"/>
      <c r="AB58" s="27"/>
      <c r="AC58" s="27"/>
      <c r="AD58" s="27">
        <f t="shared" si="60"/>
        <v>0</v>
      </c>
      <c r="AE58" s="27">
        <f t="shared" si="61"/>
        <v>0</v>
      </c>
      <c r="AF58" s="27">
        <f t="shared" si="62"/>
        <v>0</v>
      </c>
      <c r="AG58" s="27">
        <f t="shared" si="63"/>
        <v>0</v>
      </c>
      <c r="AH58" s="27">
        <f t="shared" si="64"/>
        <v>0</v>
      </c>
      <c r="AI58" s="27">
        <f t="shared" si="65"/>
        <v>0</v>
      </c>
      <c r="AJ58" s="27">
        <f t="shared" si="66"/>
        <v>0</v>
      </c>
      <c r="AK58" s="27">
        <f t="shared" si="67"/>
        <v>0</v>
      </c>
      <c r="AL58" s="27"/>
      <c r="AM58" s="27"/>
      <c r="AN58" s="27">
        <v>0</v>
      </c>
      <c r="AO58" s="27"/>
      <c r="AP58" s="27">
        <f t="shared" si="68"/>
        <v>0</v>
      </c>
      <c r="AQ58" s="27">
        <f t="shared" si="69"/>
        <v>0</v>
      </c>
      <c r="AR58" s="27"/>
      <c r="AS58" s="27"/>
      <c r="AT58" s="27">
        <v>0</v>
      </c>
      <c r="AU58" s="27"/>
      <c r="AV58" s="27">
        <f t="shared" si="70"/>
        <v>0</v>
      </c>
      <c r="AW58" s="27">
        <f t="shared" si="71"/>
        <v>0</v>
      </c>
      <c r="AX58" s="27"/>
      <c r="AY58" s="27"/>
      <c r="AZ58" s="27">
        <v>0</v>
      </c>
      <c r="BA58" s="27"/>
      <c r="BB58" s="27">
        <f t="shared" si="72"/>
        <v>0</v>
      </c>
      <c r="BC58" s="27">
        <f t="shared" si="73"/>
        <v>0</v>
      </c>
      <c r="BD58" s="27"/>
      <c r="BE58" s="27"/>
      <c r="BF58" s="27">
        <v>0</v>
      </c>
      <c r="BG58" s="27"/>
      <c r="BH58" s="27">
        <f t="shared" si="74"/>
        <v>0</v>
      </c>
      <c r="BI58" s="27">
        <f t="shared" si="75"/>
        <v>0</v>
      </c>
      <c r="BJ58" s="27"/>
      <c r="BK58" s="27"/>
      <c r="BL58" s="27">
        <v>0</v>
      </c>
      <c r="BM58" s="27"/>
      <c r="BN58" s="27">
        <f t="shared" si="76"/>
        <v>0</v>
      </c>
      <c r="BO58" s="27">
        <f t="shared" si="77"/>
        <v>0</v>
      </c>
      <c r="BP58" s="26"/>
      <c r="BQ58" s="27"/>
      <c r="BR58" s="27">
        <v>0</v>
      </c>
      <c r="BS58" s="27"/>
      <c r="BT58" s="27">
        <f t="shared" si="78"/>
        <v>0</v>
      </c>
      <c r="BU58" s="27">
        <f t="shared" si="79"/>
        <v>0</v>
      </c>
      <c r="BV58" s="26"/>
      <c r="BW58" s="27"/>
      <c r="BX58" s="27">
        <v>0</v>
      </c>
      <c r="BY58" s="27"/>
      <c r="BZ58" s="27">
        <f t="shared" si="80"/>
        <v>0</v>
      </c>
      <c r="CA58" s="27">
        <f t="shared" si="81"/>
        <v>0</v>
      </c>
      <c r="CB58" s="26"/>
      <c r="CC58" s="27"/>
      <c r="CD58" s="27">
        <v>0</v>
      </c>
      <c r="CE58" s="27"/>
      <c r="CF58" s="27">
        <f t="shared" si="82"/>
        <v>0</v>
      </c>
      <c r="CG58" s="27">
        <f t="shared" si="83"/>
        <v>0</v>
      </c>
      <c r="CH58" s="26"/>
      <c r="CI58" s="27"/>
      <c r="CJ58" s="27">
        <v>0</v>
      </c>
      <c r="CK58" s="27"/>
      <c r="CL58" s="27">
        <f t="shared" si="84"/>
        <v>0</v>
      </c>
      <c r="CM58" s="27">
        <f t="shared" si="85"/>
        <v>0</v>
      </c>
      <c r="CN58" s="26"/>
      <c r="CO58" s="27"/>
      <c r="CP58" s="27">
        <v>0</v>
      </c>
      <c r="CQ58" s="27"/>
      <c r="CR58" s="27">
        <f t="shared" si="86"/>
        <v>0</v>
      </c>
      <c r="CS58" s="27">
        <f t="shared" si="87"/>
        <v>0</v>
      </c>
      <c r="CT58" s="26"/>
      <c r="CU58" s="27"/>
      <c r="CV58" s="27">
        <v>0</v>
      </c>
      <c r="CW58" s="27"/>
      <c r="CX58" s="27">
        <f t="shared" si="88"/>
        <v>0</v>
      </c>
      <c r="CY58" s="27">
        <f t="shared" si="89"/>
        <v>0</v>
      </c>
      <c r="CZ58" s="26"/>
      <c r="DA58" s="27"/>
      <c r="DB58" s="27">
        <v>0</v>
      </c>
      <c r="DC58" s="27"/>
      <c r="DD58" s="27">
        <f t="shared" si="90"/>
        <v>0</v>
      </c>
      <c r="DE58" s="27">
        <f t="shared" si="91"/>
        <v>0</v>
      </c>
      <c r="DF58" s="28">
        <f t="shared" si="92"/>
        <v>0</v>
      </c>
      <c r="DG58" s="28">
        <f t="shared" si="93"/>
        <v>0</v>
      </c>
      <c r="DH58" s="28">
        <f t="shared" si="94"/>
        <v>0</v>
      </c>
      <c r="DI58" s="28">
        <f t="shared" si="95"/>
        <v>0</v>
      </c>
      <c r="DJ58" s="27">
        <f t="shared" si="96"/>
        <v>0</v>
      </c>
      <c r="DK58" s="27">
        <f t="shared" si="97"/>
        <v>0</v>
      </c>
    </row>
    <row r="59" spans="1:115">
      <c r="A59" s="25">
        <v>51</v>
      </c>
      <c r="B59" s="26" t="s">
        <v>1161</v>
      </c>
      <c r="C59" s="26"/>
      <c r="D59" s="26"/>
      <c r="E59" s="205" t="s">
        <v>1200</v>
      </c>
      <c r="F59" s="161">
        <f t="shared" si="50"/>
        <v>0</v>
      </c>
      <c r="G59" s="165">
        <f t="shared" si="51"/>
        <v>0</v>
      </c>
      <c r="H59" s="27"/>
      <c r="I59" s="27">
        <v>0</v>
      </c>
      <c r="J59" s="27">
        <v>0</v>
      </c>
      <c r="K59" s="127">
        <f t="shared" si="52"/>
        <v>0</v>
      </c>
      <c r="L59" s="127">
        <f t="shared" si="53"/>
        <v>0</v>
      </c>
      <c r="M59" s="127">
        <f t="shared" si="54"/>
        <v>0</v>
      </c>
      <c r="N59" s="131"/>
      <c r="O59" s="125" t="str">
        <f t="shared" si="55"/>
        <v>ნულოვანი შესრულება</v>
      </c>
      <c r="P59" s="27">
        <v>0</v>
      </c>
      <c r="Q59" s="27">
        <v>0</v>
      </c>
      <c r="R59" s="27">
        <f t="shared" si="56"/>
        <v>0</v>
      </c>
      <c r="S59" s="27">
        <f t="shared" si="57"/>
        <v>0</v>
      </c>
      <c r="T59" s="27"/>
      <c r="U59" s="27"/>
      <c r="V59" s="27">
        <v>0</v>
      </c>
      <c r="W59" s="27"/>
      <c r="X59" s="27">
        <f t="shared" si="58"/>
        <v>0</v>
      </c>
      <c r="Y59" s="27">
        <f t="shared" si="59"/>
        <v>0</v>
      </c>
      <c r="Z59" s="27">
        <v>0</v>
      </c>
      <c r="AA59" s="27"/>
      <c r="AB59" s="27"/>
      <c r="AC59" s="27"/>
      <c r="AD59" s="27">
        <f t="shared" si="60"/>
        <v>0</v>
      </c>
      <c r="AE59" s="27">
        <f t="shared" si="61"/>
        <v>0</v>
      </c>
      <c r="AF59" s="27">
        <f t="shared" si="62"/>
        <v>0</v>
      </c>
      <c r="AG59" s="27">
        <f t="shared" si="63"/>
        <v>0</v>
      </c>
      <c r="AH59" s="27">
        <f t="shared" si="64"/>
        <v>0</v>
      </c>
      <c r="AI59" s="27">
        <f t="shared" si="65"/>
        <v>0</v>
      </c>
      <c r="AJ59" s="27">
        <f t="shared" si="66"/>
        <v>0</v>
      </c>
      <c r="AK59" s="27">
        <f t="shared" si="67"/>
        <v>0</v>
      </c>
      <c r="AL59" s="27"/>
      <c r="AM59" s="27"/>
      <c r="AN59" s="27">
        <v>0</v>
      </c>
      <c r="AO59" s="27"/>
      <c r="AP59" s="27">
        <f t="shared" si="68"/>
        <v>0</v>
      </c>
      <c r="AQ59" s="27">
        <f t="shared" si="69"/>
        <v>0</v>
      </c>
      <c r="AR59" s="27"/>
      <c r="AS59" s="27"/>
      <c r="AT59" s="27">
        <v>0</v>
      </c>
      <c r="AU59" s="27"/>
      <c r="AV59" s="27">
        <f t="shared" si="70"/>
        <v>0</v>
      </c>
      <c r="AW59" s="27">
        <f t="shared" si="71"/>
        <v>0</v>
      </c>
      <c r="AX59" s="27"/>
      <c r="AY59" s="27"/>
      <c r="AZ59" s="27">
        <v>0</v>
      </c>
      <c r="BA59" s="27"/>
      <c r="BB59" s="27">
        <f t="shared" si="72"/>
        <v>0</v>
      </c>
      <c r="BC59" s="27">
        <f t="shared" si="73"/>
        <v>0</v>
      </c>
      <c r="BD59" s="27"/>
      <c r="BE59" s="27"/>
      <c r="BF59" s="27">
        <v>0</v>
      </c>
      <c r="BG59" s="27"/>
      <c r="BH59" s="27">
        <f t="shared" si="74"/>
        <v>0</v>
      </c>
      <c r="BI59" s="27">
        <f t="shared" si="75"/>
        <v>0</v>
      </c>
      <c r="BJ59" s="27"/>
      <c r="BK59" s="27"/>
      <c r="BL59" s="27">
        <v>0</v>
      </c>
      <c r="BM59" s="27"/>
      <c r="BN59" s="27">
        <f t="shared" si="76"/>
        <v>0</v>
      </c>
      <c r="BO59" s="27">
        <f t="shared" si="77"/>
        <v>0</v>
      </c>
      <c r="BP59" s="26"/>
      <c r="BQ59" s="27"/>
      <c r="BR59" s="27">
        <v>0</v>
      </c>
      <c r="BS59" s="27"/>
      <c r="BT59" s="27">
        <f t="shared" si="78"/>
        <v>0</v>
      </c>
      <c r="BU59" s="27">
        <f t="shared" si="79"/>
        <v>0</v>
      </c>
      <c r="BV59" s="26"/>
      <c r="BW59" s="27"/>
      <c r="BX59" s="27">
        <v>0</v>
      </c>
      <c r="BY59" s="27"/>
      <c r="BZ59" s="27">
        <f t="shared" si="80"/>
        <v>0</v>
      </c>
      <c r="CA59" s="27">
        <f t="shared" si="81"/>
        <v>0</v>
      </c>
      <c r="CB59" s="26"/>
      <c r="CC59" s="27"/>
      <c r="CD59" s="27">
        <v>0</v>
      </c>
      <c r="CE59" s="27"/>
      <c r="CF59" s="27">
        <f t="shared" si="82"/>
        <v>0</v>
      </c>
      <c r="CG59" s="27">
        <f t="shared" si="83"/>
        <v>0</v>
      </c>
      <c r="CH59" s="26"/>
      <c r="CI59" s="27"/>
      <c r="CJ59" s="27">
        <v>0</v>
      </c>
      <c r="CK59" s="27"/>
      <c r="CL59" s="27">
        <f t="shared" si="84"/>
        <v>0</v>
      </c>
      <c r="CM59" s="27">
        <f t="shared" si="85"/>
        <v>0</v>
      </c>
      <c r="CN59" s="26"/>
      <c r="CO59" s="27"/>
      <c r="CP59" s="27">
        <v>0</v>
      </c>
      <c r="CQ59" s="27"/>
      <c r="CR59" s="27">
        <f t="shared" si="86"/>
        <v>0</v>
      </c>
      <c r="CS59" s="27">
        <f t="shared" si="87"/>
        <v>0</v>
      </c>
      <c r="CT59" s="26"/>
      <c r="CU59" s="27"/>
      <c r="CV59" s="27">
        <v>0</v>
      </c>
      <c r="CW59" s="27"/>
      <c r="CX59" s="27">
        <f t="shared" si="88"/>
        <v>0</v>
      </c>
      <c r="CY59" s="27">
        <f t="shared" si="89"/>
        <v>0</v>
      </c>
      <c r="CZ59" s="26"/>
      <c r="DA59" s="27"/>
      <c r="DB59" s="27">
        <v>0</v>
      </c>
      <c r="DC59" s="27"/>
      <c r="DD59" s="27">
        <f t="shared" si="90"/>
        <v>0</v>
      </c>
      <c r="DE59" s="27">
        <f t="shared" si="91"/>
        <v>0</v>
      </c>
      <c r="DF59" s="28">
        <f t="shared" si="92"/>
        <v>0</v>
      </c>
      <c r="DG59" s="28">
        <f t="shared" si="93"/>
        <v>0</v>
      </c>
      <c r="DH59" s="28">
        <f t="shared" si="94"/>
        <v>0</v>
      </c>
      <c r="DI59" s="28">
        <f t="shared" si="95"/>
        <v>0</v>
      </c>
      <c r="DJ59" s="27">
        <f t="shared" si="96"/>
        <v>0</v>
      </c>
      <c r="DK59" s="27">
        <f t="shared" si="97"/>
        <v>0</v>
      </c>
    </row>
    <row r="60" spans="1:115">
      <c r="A60" s="25">
        <v>52</v>
      </c>
      <c r="B60" s="26" t="s">
        <v>1161</v>
      </c>
      <c r="C60" s="26"/>
      <c r="D60" s="26"/>
      <c r="E60" s="205" t="s">
        <v>1200</v>
      </c>
      <c r="F60" s="161">
        <f t="shared" si="50"/>
        <v>0</v>
      </c>
      <c r="G60" s="165">
        <f t="shared" si="51"/>
        <v>0</v>
      </c>
      <c r="H60" s="27"/>
      <c r="I60" s="27">
        <v>0</v>
      </c>
      <c r="J60" s="27">
        <v>0</v>
      </c>
      <c r="K60" s="127">
        <f t="shared" si="52"/>
        <v>0</v>
      </c>
      <c r="L60" s="127">
        <f t="shared" si="53"/>
        <v>0</v>
      </c>
      <c r="M60" s="127">
        <f t="shared" si="54"/>
        <v>0</v>
      </c>
      <c r="N60" s="131"/>
      <c r="O60" s="125" t="str">
        <f t="shared" si="55"/>
        <v>ნულოვანი შესრულება</v>
      </c>
      <c r="P60" s="27">
        <v>0</v>
      </c>
      <c r="Q60" s="27">
        <v>0</v>
      </c>
      <c r="R60" s="27">
        <f t="shared" si="56"/>
        <v>0</v>
      </c>
      <c r="S60" s="27">
        <f t="shared" si="57"/>
        <v>0</v>
      </c>
      <c r="T60" s="27"/>
      <c r="U60" s="27"/>
      <c r="V60" s="27">
        <v>0</v>
      </c>
      <c r="W60" s="27"/>
      <c r="X60" s="27">
        <f t="shared" si="58"/>
        <v>0</v>
      </c>
      <c r="Y60" s="27">
        <f t="shared" si="59"/>
        <v>0</v>
      </c>
      <c r="Z60" s="27">
        <v>0</v>
      </c>
      <c r="AA60" s="27"/>
      <c r="AB60" s="27"/>
      <c r="AC60" s="27"/>
      <c r="AD60" s="27">
        <f t="shared" si="60"/>
        <v>0</v>
      </c>
      <c r="AE60" s="27">
        <f t="shared" si="61"/>
        <v>0</v>
      </c>
      <c r="AF60" s="27">
        <f t="shared" si="62"/>
        <v>0</v>
      </c>
      <c r="AG60" s="27">
        <f t="shared" si="63"/>
        <v>0</v>
      </c>
      <c r="AH60" s="27">
        <f t="shared" si="64"/>
        <v>0</v>
      </c>
      <c r="AI60" s="27">
        <f t="shared" si="65"/>
        <v>0</v>
      </c>
      <c r="AJ60" s="27">
        <f t="shared" si="66"/>
        <v>0</v>
      </c>
      <c r="AK60" s="27">
        <f t="shared" si="67"/>
        <v>0</v>
      </c>
      <c r="AL60" s="27"/>
      <c r="AM60" s="27"/>
      <c r="AN60" s="27">
        <v>0</v>
      </c>
      <c r="AO60" s="27"/>
      <c r="AP60" s="27">
        <f t="shared" si="68"/>
        <v>0</v>
      </c>
      <c r="AQ60" s="27">
        <f t="shared" si="69"/>
        <v>0</v>
      </c>
      <c r="AR60" s="27"/>
      <c r="AS60" s="27"/>
      <c r="AT60" s="27">
        <v>0</v>
      </c>
      <c r="AU60" s="27"/>
      <c r="AV60" s="27">
        <f t="shared" si="70"/>
        <v>0</v>
      </c>
      <c r="AW60" s="27">
        <f t="shared" si="71"/>
        <v>0</v>
      </c>
      <c r="AX60" s="27"/>
      <c r="AY60" s="27"/>
      <c r="AZ60" s="27">
        <v>0</v>
      </c>
      <c r="BA60" s="27"/>
      <c r="BB60" s="27">
        <f t="shared" si="72"/>
        <v>0</v>
      </c>
      <c r="BC60" s="27">
        <f t="shared" si="73"/>
        <v>0</v>
      </c>
      <c r="BD60" s="27"/>
      <c r="BE60" s="27"/>
      <c r="BF60" s="27">
        <v>0</v>
      </c>
      <c r="BG60" s="27"/>
      <c r="BH60" s="27">
        <f t="shared" si="74"/>
        <v>0</v>
      </c>
      <c r="BI60" s="27">
        <f t="shared" si="75"/>
        <v>0</v>
      </c>
      <c r="BJ60" s="27"/>
      <c r="BK60" s="27"/>
      <c r="BL60" s="27">
        <v>0</v>
      </c>
      <c r="BM60" s="27"/>
      <c r="BN60" s="27">
        <f t="shared" si="76"/>
        <v>0</v>
      </c>
      <c r="BO60" s="27">
        <f t="shared" si="77"/>
        <v>0</v>
      </c>
      <c r="BP60" s="26"/>
      <c r="BQ60" s="27"/>
      <c r="BR60" s="27">
        <v>0</v>
      </c>
      <c r="BS60" s="27"/>
      <c r="BT60" s="27">
        <f t="shared" si="78"/>
        <v>0</v>
      </c>
      <c r="BU60" s="27">
        <f t="shared" si="79"/>
        <v>0</v>
      </c>
      <c r="BV60" s="26"/>
      <c r="BW60" s="27"/>
      <c r="BX60" s="27">
        <v>0</v>
      </c>
      <c r="BY60" s="27"/>
      <c r="BZ60" s="27">
        <f t="shared" si="80"/>
        <v>0</v>
      </c>
      <c r="CA60" s="27">
        <f t="shared" si="81"/>
        <v>0</v>
      </c>
      <c r="CB60" s="26"/>
      <c r="CC60" s="27"/>
      <c r="CD60" s="27">
        <v>0</v>
      </c>
      <c r="CE60" s="27"/>
      <c r="CF60" s="27">
        <f t="shared" si="82"/>
        <v>0</v>
      </c>
      <c r="CG60" s="27">
        <f t="shared" si="83"/>
        <v>0</v>
      </c>
      <c r="CH60" s="26"/>
      <c r="CI60" s="27"/>
      <c r="CJ60" s="27">
        <v>0</v>
      </c>
      <c r="CK60" s="27"/>
      <c r="CL60" s="27">
        <f t="shared" si="84"/>
        <v>0</v>
      </c>
      <c r="CM60" s="27">
        <f t="shared" si="85"/>
        <v>0</v>
      </c>
      <c r="CN60" s="26"/>
      <c r="CO60" s="27"/>
      <c r="CP60" s="27">
        <v>0</v>
      </c>
      <c r="CQ60" s="27"/>
      <c r="CR60" s="27">
        <f t="shared" si="86"/>
        <v>0</v>
      </c>
      <c r="CS60" s="27">
        <f t="shared" si="87"/>
        <v>0</v>
      </c>
      <c r="CT60" s="26"/>
      <c r="CU60" s="27"/>
      <c r="CV60" s="27">
        <v>0</v>
      </c>
      <c r="CW60" s="27"/>
      <c r="CX60" s="27">
        <f t="shared" si="88"/>
        <v>0</v>
      </c>
      <c r="CY60" s="27">
        <f t="shared" si="89"/>
        <v>0</v>
      </c>
      <c r="CZ60" s="26"/>
      <c r="DA60" s="27"/>
      <c r="DB60" s="27">
        <v>0</v>
      </c>
      <c r="DC60" s="27"/>
      <c r="DD60" s="27">
        <f t="shared" si="90"/>
        <v>0</v>
      </c>
      <c r="DE60" s="27">
        <f t="shared" si="91"/>
        <v>0</v>
      </c>
      <c r="DF60" s="28">
        <f t="shared" si="92"/>
        <v>0</v>
      </c>
      <c r="DG60" s="28">
        <f t="shared" si="93"/>
        <v>0</v>
      </c>
      <c r="DH60" s="28">
        <f t="shared" si="94"/>
        <v>0</v>
      </c>
      <c r="DI60" s="28">
        <f t="shared" si="95"/>
        <v>0</v>
      </c>
      <c r="DJ60" s="27">
        <f t="shared" si="96"/>
        <v>0</v>
      </c>
      <c r="DK60" s="27">
        <f t="shared" si="97"/>
        <v>0</v>
      </c>
    </row>
    <row r="61" spans="1:115">
      <c r="A61" s="25">
        <v>53</v>
      </c>
      <c r="B61" s="26" t="s">
        <v>1161</v>
      </c>
      <c r="C61" s="26"/>
      <c r="D61" s="26"/>
      <c r="E61" s="205" t="s">
        <v>1200</v>
      </c>
      <c r="F61" s="161">
        <f t="shared" si="50"/>
        <v>0</v>
      </c>
      <c r="G61" s="165">
        <f t="shared" si="51"/>
        <v>0</v>
      </c>
      <c r="H61" s="27"/>
      <c r="I61" s="27">
        <v>0</v>
      </c>
      <c r="J61" s="27">
        <v>0</v>
      </c>
      <c r="K61" s="127">
        <f t="shared" si="52"/>
        <v>0</v>
      </c>
      <c r="L61" s="127">
        <f t="shared" si="53"/>
        <v>0</v>
      </c>
      <c r="M61" s="127">
        <f t="shared" si="54"/>
        <v>0</v>
      </c>
      <c r="N61" s="131"/>
      <c r="O61" s="125" t="str">
        <f t="shared" si="55"/>
        <v>ნულოვანი შესრულება</v>
      </c>
      <c r="P61" s="27">
        <v>0</v>
      </c>
      <c r="Q61" s="27">
        <v>0</v>
      </c>
      <c r="R61" s="27">
        <f t="shared" si="56"/>
        <v>0</v>
      </c>
      <c r="S61" s="27">
        <f t="shared" si="57"/>
        <v>0</v>
      </c>
      <c r="T61" s="27"/>
      <c r="U61" s="27"/>
      <c r="V61" s="27">
        <v>0</v>
      </c>
      <c r="W61" s="27"/>
      <c r="X61" s="27">
        <f t="shared" si="58"/>
        <v>0</v>
      </c>
      <c r="Y61" s="27">
        <f t="shared" si="59"/>
        <v>0</v>
      </c>
      <c r="Z61" s="27">
        <v>0</v>
      </c>
      <c r="AA61" s="27"/>
      <c r="AB61" s="27"/>
      <c r="AC61" s="27"/>
      <c r="AD61" s="27">
        <f t="shared" si="60"/>
        <v>0</v>
      </c>
      <c r="AE61" s="27">
        <f t="shared" si="61"/>
        <v>0</v>
      </c>
      <c r="AF61" s="27">
        <f t="shared" si="62"/>
        <v>0</v>
      </c>
      <c r="AG61" s="27">
        <f t="shared" si="63"/>
        <v>0</v>
      </c>
      <c r="AH61" s="27">
        <f t="shared" si="64"/>
        <v>0</v>
      </c>
      <c r="AI61" s="27">
        <f t="shared" si="65"/>
        <v>0</v>
      </c>
      <c r="AJ61" s="27">
        <f t="shared" si="66"/>
        <v>0</v>
      </c>
      <c r="AK61" s="27">
        <f t="shared" si="67"/>
        <v>0</v>
      </c>
      <c r="AL61" s="27"/>
      <c r="AM61" s="27"/>
      <c r="AN61" s="27">
        <v>0</v>
      </c>
      <c r="AO61" s="27"/>
      <c r="AP61" s="27">
        <f t="shared" si="68"/>
        <v>0</v>
      </c>
      <c r="AQ61" s="27">
        <f t="shared" si="69"/>
        <v>0</v>
      </c>
      <c r="AR61" s="27"/>
      <c r="AS61" s="27"/>
      <c r="AT61" s="27">
        <v>0</v>
      </c>
      <c r="AU61" s="27"/>
      <c r="AV61" s="27">
        <f t="shared" si="70"/>
        <v>0</v>
      </c>
      <c r="AW61" s="27">
        <f t="shared" si="71"/>
        <v>0</v>
      </c>
      <c r="AX61" s="27"/>
      <c r="AY61" s="27"/>
      <c r="AZ61" s="27">
        <v>0</v>
      </c>
      <c r="BA61" s="27"/>
      <c r="BB61" s="27">
        <f t="shared" si="72"/>
        <v>0</v>
      </c>
      <c r="BC61" s="27">
        <f t="shared" si="73"/>
        <v>0</v>
      </c>
      <c r="BD61" s="27"/>
      <c r="BE61" s="27"/>
      <c r="BF61" s="27">
        <v>0</v>
      </c>
      <c r="BG61" s="27"/>
      <c r="BH61" s="27">
        <f t="shared" si="74"/>
        <v>0</v>
      </c>
      <c r="BI61" s="27">
        <f t="shared" si="75"/>
        <v>0</v>
      </c>
      <c r="BJ61" s="27"/>
      <c r="BK61" s="27"/>
      <c r="BL61" s="27">
        <v>0</v>
      </c>
      <c r="BM61" s="27"/>
      <c r="BN61" s="27">
        <f t="shared" si="76"/>
        <v>0</v>
      </c>
      <c r="BO61" s="27">
        <f t="shared" si="77"/>
        <v>0</v>
      </c>
      <c r="BP61" s="26"/>
      <c r="BQ61" s="27"/>
      <c r="BR61" s="27">
        <v>0</v>
      </c>
      <c r="BS61" s="27"/>
      <c r="BT61" s="27">
        <f t="shared" si="78"/>
        <v>0</v>
      </c>
      <c r="BU61" s="27">
        <f t="shared" si="79"/>
        <v>0</v>
      </c>
      <c r="BV61" s="26"/>
      <c r="BW61" s="27"/>
      <c r="BX61" s="27">
        <v>0</v>
      </c>
      <c r="BY61" s="27"/>
      <c r="BZ61" s="27">
        <f t="shared" si="80"/>
        <v>0</v>
      </c>
      <c r="CA61" s="27">
        <f t="shared" si="81"/>
        <v>0</v>
      </c>
      <c r="CB61" s="26"/>
      <c r="CC61" s="27"/>
      <c r="CD61" s="27">
        <v>0</v>
      </c>
      <c r="CE61" s="27"/>
      <c r="CF61" s="27">
        <f t="shared" si="82"/>
        <v>0</v>
      </c>
      <c r="CG61" s="27">
        <f t="shared" si="83"/>
        <v>0</v>
      </c>
      <c r="CH61" s="26"/>
      <c r="CI61" s="27"/>
      <c r="CJ61" s="27">
        <v>0</v>
      </c>
      <c r="CK61" s="27"/>
      <c r="CL61" s="27">
        <f t="shared" si="84"/>
        <v>0</v>
      </c>
      <c r="CM61" s="27">
        <f t="shared" si="85"/>
        <v>0</v>
      </c>
      <c r="CN61" s="26"/>
      <c r="CO61" s="27"/>
      <c r="CP61" s="27">
        <v>0</v>
      </c>
      <c r="CQ61" s="27"/>
      <c r="CR61" s="27">
        <f t="shared" si="86"/>
        <v>0</v>
      </c>
      <c r="CS61" s="27">
        <f t="shared" si="87"/>
        <v>0</v>
      </c>
      <c r="CT61" s="26"/>
      <c r="CU61" s="27"/>
      <c r="CV61" s="27">
        <v>0</v>
      </c>
      <c r="CW61" s="27"/>
      <c r="CX61" s="27">
        <f t="shared" si="88"/>
        <v>0</v>
      </c>
      <c r="CY61" s="27">
        <f t="shared" si="89"/>
        <v>0</v>
      </c>
      <c r="CZ61" s="26"/>
      <c r="DA61" s="27"/>
      <c r="DB61" s="27">
        <v>0</v>
      </c>
      <c r="DC61" s="27"/>
      <c r="DD61" s="27">
        <f t="shared" si="90"/>
        <v>0</v>
      </c>
      <c r="DE61" s="27">
        <f t="shared" si="91"/>
        <v>0</v>
      </c>
      <c r="DF61" s="28">
        <f t="shared" si="92"/>
        <v>0</v>
      </c>
      <c r="DG61" s="28">
        <f t="shared" si="93"/>
        <v>0</v>
      </c>
      <c r="DH61" s="28">
        <f t="shared" si="94"/>
        <v>0</v>
      </c>
      <c r="DI61" s="28">
        <f t="shared" si="95"/>
        <v>0</v>
      </c>
      <c r="DJ61" s="27">
        <f t="shared" si="96"/>
        <v>0</v>
      </c>
      <c r="DK61" s="27">
        <f t="shared" si="97"/>
        <v>0</v>
      </c>
    </row>
    <row r="62" spans="1:115">
      <c r="A62" s="25">
        <v>54</v>
      </c>
      <c r="B62" s="26" t="s">
        <v>1161</v>
      </c>
      <c r="C62" s="26"/>
      <c r="D62" s="26"/>
      <c r="E62" s="205" t="s">
        <v>1200</v>
      </c>
      <c r="F62" s="161">
        <f t="shared" si="50"/>
        <v>0</v>
      </c>
      <c r="G62" s="165">
        <f t="shared" si="51"/>
        <v>0</v>
      </c>
      <c r="H62" s="27"/>
      <c r="I62" s="27">
        <v>0</v>
      </c>
      <c r="J62" s="27">
        <v>0</v>
      </c>
      <c r="K62" s="127">
        <f t="shared" si="52"/>
        <v>0</v>
      </c>
      <c r="L62" s="127">
        <f t="shared" si="53"/>
        <v>0</v>
      </c>
      <c r="M62" s="127">
        <f t="shared" si="54"/>
        <v>0</v>
      </c>
      <c r="N62" s="131"/>
      <c r="O62" s="125" t="str">
        <f t="shared" si="55"/>
        <v>ნულოვანი შესრულება</v>
      </c>
      <c r="P62" s="27">
        <v>0</v>
      </c>
      <c r="Q62" s="27">
        <v>0</v>
      </c>
      <c r="R62" s="27">
        <f t="shared" si="56"/>
        <v>0</v>
      </c>
      <c r="S62" s="27">
        <f t="shared" si="57"/>
        <v>0</v>
      </c>
      <c r="T62" s="27"/>
      <c r="U62" s="27"/>
      <c r="V62" s="27">
        <v>0</v>
      </c>
      <c r="W62" s="27"/>
      <c r="X62" s="27">
        <f t="shared" si="58"/>
        <v>0</v>
      </c>
      <c r="Y62" s="27">
        <f t="shared" si="59"/>
        <v>0</v>
      </c>
      <c r="Z62" s="27">
        <v>0</v>
      </c>
      <c r="AA62" s="27"/>
      <c r="AB62" s="27"/>
      <c r="AC62" s="27"/>
      <c r="AD62" s="27">
        <f t="shared" si="60"/>
        <v>0</v>
      </c>
      <c r="AE62" s="27">
        <f t="shared" si="61"/>
        <v>0</v>
      </c>
      <c r="AF62" s="27">
        <f t="shared" si="62"/>
        <v>0</v>
      </c>
      <c r="AG62" s="27">
        <f t="shared" si="63"/>
        <v>0</v>
      </c>
      <c r="AH62" s="27">
        <f t="shared" si="64"/>
        <v>0</v>
      </c>
      <c r="AI62" s="27">
        <f t="shared" si="65"/>
        <v>0</v>
      </c>
      <c r="AJ62" s="27">
        <f t="shared" si="66"/>
        <v>0</v>
      </c>
      <c r="AK62" s="27">
        <f t="shared" si="67"/>
        <v>0</v>
      </c>
      <c r="AL62" s="27"/>
      <c r="AM62" s="27"/>
      <c r="AN62" s="27">
        <v>0</v>
      </c>
      <c r="AO62" s="27"/>
      <c r="AP62" s="27">
        <f t="shared" si="68"/>
        <v>0</v>
      </c>
      <c r="AQ62" s="27">
        <f t="shared" si="69"/>
        <v>0</v>
      </c>
      <c r="AR62" s="27"/>
      <c r="AS62" s="27"/>
      <c r="AT62" s="27">
        <v>0</v>
      </c>
      <c r="AU62" s="27"/>
      <c r="AV62" s="27">
        <f t="shared" si="70"/>
        <v>0</v>
      </c>
      <c r="AW62" s="27">
        <f t="shared" si="71"/>
        <v>0</v>
      </c>
      <c r="AX62" s="27"/>
      <c r="AY62" s="27"/>
      <c r="AZ62" s="27">
        <v>0</v>
      </c>
      <c r="BA62" s="27"/>
      <c r="BB62" s="27">
        <f t="shared" si="72"/>
        <v>0</v>
      </c>
      <c r="BC62" s="27">
        <f t="shared" si="73"/>
        <v>0</v>
      </c>
      <c r="BD62" s="27"/>
      <c r="BE62" s="27"/>
      <c r="BF62" s="27">
        <v>0</v>
      </c>
      <c r="BG62" s="27"/>
      <c r="BH62" s="27">
        <f t="shared" si="74"/>
        <v>0</v>
      </c>
      <c r="BI62" s="27">
        <f t="shared" si="75"/>
        <v>0</v>
      </c>
      <c r="BJ62" s="27"/>
      <c r="BK62" s="27"/>
      <c r="BL62" s="27">
        <v>0</v>
      </c>
      <c r="BM62" s="27"/>
      <c r="BN62" s="27">
        <f t="shared" si="76"/>
        <v>0</v>
      </c>
      <c r="BO62" s="27">
        <f t="shared" si="77"/>
        <v>0</v>
      </c>
      <c r="BP62" s="26"/>
      <c r="BQ62" s="27"/>
      <c r="BR62" s="27">
        <v>0</v>
      </c>
      <c r="BS62" s="27"/>
      <c r="BT62" s="27">
        <f t="shared" si="78"/>
        <v>0</v>
      </c>
      <c r="BU62" s="27">
        <f t="shared" si="79"/>
        <v>0</v>
      </c>
      <c r="BV62" s="26"/>
      <c r="BW62" s="27"/>
      <c r="BX62" s="27">
        <v>0</v>
      </c>
      <c r="BY62" s="27"/>
      <c r="BZ62" s="27">
        <f t="shared" si="80"/>
        <v>0</v>
      </c>
      <c r="CA62" s="27">
        <f t="shared" si="81"/>
        <v>0</v>
      </c>
      <c r="CB62" s="26"/>
      <c r="CC62" s="27"/>
      <c r="CD62" s="27">
        <v>0</v>
      </c>
      <c r="CE62" s="27"/>
      <c r="CF62" s="27">
        <f t="shared" si="82"/>
        <v>0</v>
      </c>
      <c r="CG62" s="27">
        <f t="shared" si="83"/>
        <v>0</v>
      </c>
      <c r="CH62" s="26"/>
      <c r="CI62" s="27"/>
      <c r="CJ62" s="27">
        <v>0</v>
      </c>
      <c r="CK62" s="27"/>
      <c r="CL62" s="27">
        <f t="shared" si="84"/>
        <v>0</v>
      </c>
      <c r="CM62" s="27">
        <f t="shared" si="85"/>
        <v>0</v>
      </c>
      <c r="CN62" s="26"/>
      <c r="CO62" s="27"/>
      <c r="CP62" s="27">
        <v>0</v>
      </c>
      <c r="CQ62" s="27"/>
      <c r="CR62" s="27">
        <f t="shared" si="86"/>
        <v>0</v>
      </c>
      <c r="CS62" s="27">
        <f t="shared" si="87"/>
        <v>0</v>
      </c>
      <c r="CT62" s="26"/>
      <c r="CU62" s="27"/>
      <c r="CV62" s="27">
        <v>0</v>
      </c>
      <c r="CW62" s="27"/>
      <c r="CX62" s="27">
        <f t="shared" si="88"/>
        <v>0</v>
      </c>
      <c r="CY62" s="27">
        <f t="shared" si="89"/>
        <v>0</v>
      </c>
      <c r="CZ62" s="26"/>
      <c r="DA62" s="27"/>
      <c r="DB62" s="27">
        <v>0</v>
      </c>
      <c r="DC62" s="27"/>
      <c r="DD62" s="27">
        <f t="shared" si="90"/>
        <v>0</v>
      </c>
      <c r="DE62" s="27">
        <f t="shared" si="91"/>
        <v>0</v>
      </c>
      <c r="DF62" s="28">
        <f t="shared" si="92"/>
        <v>0</v>
      </c>
      <c r="DG62" s="28">
        <f t="shared" si="93"/>
        <v>0</v>
      </c>
      <c r="DH62" s="28">
        <f t="shared" si="94"/>
        <v>0</v>
      </c>
      <c r="DI62" s="28">
        <f t="shared" si="95"/>
        <v>0</v>
      </c>
      <c r="DJ62" s="27">
        <f t="shared" si="96"/>
        <v>0</v>
      </c>
      <c r="DK62" s="27">
        <f t="shared" si="97"/>
        <v>0</v>
      </c>
    </row>
    <row r="63" spans="1:115">
      <c r="A63" s="25">
        <v>55</v>
      </c>
      <c r="B63" s="26" t="s">
        <v>1161</v>
      </c>
      <c r="C63" s="26"/>
      <c r="D63" s="26"/>
      <c r="E63" s="205" t="s">
        <v>1200</v>
      </c>
      <c r="F63" s="161">
        <f t="shared" si="50"/>
        <v>0</v>
      </c>
      <c r="G63" s="165">
        <f t="shared" si="51"/>
        <v>0</v>
      </c>
      <c r="H63" s="27"/>
      <c r="I63" s="27">
        <v>0</v>
      </c>
      <c r="J63" s="27">
        <v>0</v>
      </c>
      <c r="K63" s="127">
        <f t="shared" si="52"/>
        <v>0</v>
      </c>
      <c r="L63" s="127">
        <f t="shared" si="53"/>
        <v>0</v>
      </c>
      <c r="M63" s="127">
        <f t="shared" si="54"/>
        <v>0</v>
      </c>
      <c r="N63" s="131"/>
      <c r="O63" s="125" t="str">
        <f t="shared" si="55"/>
        <v>ნულოვანი შესრულება</v>
      </c>
      <c r="P63" s="27">
        <v>0</v>
      </c>
      <c r="Q63" s="27">
        <v>0</v>
      </c>
      <c r="R63" s="27">
        <f t="shared" si="56"/>
        <v>0</v>
      </c>
      <c r="S63" s="27">
        <f t="shared" si="57"/>
        <v>0</v>
      </c>
      <c r="T63" s="27"/>
      <c r="U63" s="27"/>
      <c r="V63" s="27">
        <v>0</v>
      </c>
      <c r="W63" s="27"/>
      <c r="X63" s="27">
        <f t="shared" si="58"/>
        <v>0</v>
      </c>
      <c r="Y63" s="27">
        <f t="shared" si="59"/>
        <v>0</v>
      </c>
      <c r="Z63" s="27">
        <v>0</v>
      </c>
      <c r="AA63" s="27"/>
      <c r="AB63" s="27"/>
      <c r="AC63" s="27"/>
      <c r="AD63" s="27">
        <f t="shared" si="60"/>
        <v>0</v>
      </c>
      <c r="AE63" s="27">
        <f t="shared" si="61"/>
        <v>0</v>
      </c>
      <c r="AF63" s="27">
        <f t="shared" si="62"/>
        <v>0</v>
      </c>
      <c r="AG63" s="27">
        <f t="shared" si="63"/>
        <v>0</v>
      </c>
      <c r="AH63" s="27">
        <f t="shared" si="64"/>
        <v>0</v>
      </c>
      <c r="AI63" s="27">
        <f t="shared" si="65"/>
        <v>0</v>
      </c>
      <c r="AJ63" s="27">
        <f t="shared" si="66"/>
        <v>0</v>
      </c>
      <c r="AK63" s="27">
        <f t="shared" si="67"/>
        <v>0</v>
      </c>
      <c r="AL63" s="27"/>
      <c r="AM63" s="27"/>
      <c r="AN63" s="27">
        <v>0</v>
      </c>
      <c r="AO63" s="27"/>
      <c r="AP63" s="27">
        <f t="shared" si="68"/>
        <v>0</v>
      </c>
      <c r="AQ63" s="27">
        <f t="shared" si="69"/>
        <v>0</v>
      </c>
      <c r="AR63" s="27"/>
      <c r="AS63" s="27"/>
      <c r="AT63" s="27">
        <v>0</v>
      </c>
      <c r="AU63" s="27"/>
      <c r="AV63" s="27">
        <f t="shared" si="70"/>
        <v>0</v>
      </c>
      <c r="AW63" s="27">
        <f t="shared" si="71"/>
        <v>0</v>
      </c>
      <c r="AX63" s="27"/>
      <c r="AY63" s="27"/>
      <c r="AZ63" s="27">
        <v>0</v>
      </c>
      <c r="BA63" s="27"/>
      <c r="BB63" s="27">
        <f t="shared" si="72"/>
        <v>0</v>
      </c>
      <c r="BC63" s="27">
        <f t="shared" si="73"/>
        <v>0</v>
      </c>
      <c r="BD63" s="27"/>
      <c r="BE63" s="27"/>
      <c r="BF63" s="27">
        <v>0</v>
      </c>
      <c r="BG63" s="27"/>
      <c r="BH63" s="27">
        <f t="shared" si="74"/>
        <v>0</v>
      </c>
      <c r="BI63" s="27">
        <f t="shared" si="75"/>
        <v>0</v>
      </c>
      <c r="BJ63" s="27"/>
      <c r="BK63" s="27"/>
      <c r="BL63" s="27">
        <v>0</v>
      </c>
      <c r="BM63" s="27"/>
      <c r="BN63" s="27">
        <f t="shared" si="76"/>
        <v>0</v>
      </c>
      <c r="BO63" s="27">
        <f t="shared" si="77"/>
        <v>0</v>
      </c>
      <c r="BP63" s="26"/>
      <c r="BQ63" s="27"/>
      <c r="BR63" s="27">
        <v>0</v>
      </c>
      <c r="BS63" s="27"/>
      <c r="BT63" s="27">
        <f t="shared" si="78"/>
        <v>0</v>
      </c>
      <c r="BU63" s="27">
        <f t="shared" si="79"/>
        <v>0</v>
      </c>
      <c r="BV63" s="26"/>
      <c r="BW63" s="27"/>
      <c r="BX63" s="27">
        <v>0</v>
      </c>
      <c r="BY63" s="27"/>
      <c r="BZ63" s="27">
        <f t="shared" si="80"/>
        <v>0</v>
      </c>
      <c r="CA63" s="27">
        <f t="shared" si="81"/>
        <v>0</v>
      </c>
      <c r="CB63" s="26"/>
      <c r="CC63" s="27"/>
      <c r="CD63" s="27">
        <v>0</v>
      </c>
      <c r="CE63" s="27"/>
      <c r="CF63" s="27">
        <f t="shared" si="82"/>
        <v>0</v>
      </c>
      <c r="CG63" s="27">
        <f t="shared" si="83"/>
        <v>0</v>
      </c>
      <c r="CH63" s="26"/>
      <c r="CI63" s="27"/>
      <c r="CJ63" s="27">
        <v>0</v>
      </c>
      <c r="CK63" s="27"/>
      <c r="CL63" s="27">
        <f t="shared" si="84"/>
        <v>0</v>
      </c>
      <c r="CM63" s="27">
        <f t="shared" si="85"/>
        <v>0</v>
      </c>
      <c r="CN63" s="26"/>
      <c r="CO63" s="27"/>
      <c r="CP63" s="27">
        <v>0</v>
      </c>
      <c r="CQ63" s="27"/>
      <c r="CR63" s="27">
        <f t="shared" si="86"/>
        <v>0</v>
      </c>
      <c r="CS63" s="27">
        <f t="shared" si="87"/>
        <v>0</v>
      </c>
      <c r="CT63" s="26"/>
      <c r="CU63" s="27"/>
      <c r="CV63" s="27">
        <v>0</v>
      </c>
      <c r="CW63" s="27"/>
      <c r="CX63" s="27">
        <f t="shared" si="88"/>
        <v>0</v>
      </c>
      <c r="CY63" s="27">
        <f t="shared" si="89"/>
        <v>0</v>
      </c>
      <c r="CZ63" s="26"/>
      <c r="DA63" s="27"/>
      <c r="DB63" s="27">
        <v>0</v>
      </c>
      <c r="DC63" s="27"/>
      <c r="DD63" s="27">
        <f t="shared" si="90"/>
        <v>0</v>
      </c>
      <c r="DE63" s="27">
        <f t="shared" si="91"/>
        <v>0</v>
      </c>
      <c r="DF63" s="28">
        <f t="shared" si="92"/>
        <v>0</v>
      </c>
      <c r="DG63" s="28">
        <f t="shared" si="93"/>
        <v>0</v>
      </c>
      <c r="DH63" s="28">
        <f t="shared" si="94"/>
        <v>0</v>
      </c>
      <c r="DI63" s="28">
        <f t="shared" si="95"/>
        <v>0</v>
      </c>
      <c r="DJ63" s="27">
        <f t="shared" si="96"/>
        <v>0</v>
      </c>
      <c r="DK63" s="27">
        <f t="shared" si="97"/>
        <v>0</v>
      </c>
    </row>
    <row r="64" spans="1:115">
      <c r="A64" s="25">
        <v>56</v>
      </c>
      <c r="B64" s="26" t="s">
        <v>1161</v>
      </c>
      <c r="C64" s="26"/>
      <c r="D64" s="26"/>
      <c r="E64" s="205" t="s">
        <v>1200</v>
      </c>
      <c r="F64" s="161">
        <f t="shared" si="50"/>
        <v>0</v>
      </c>
      <c r="G64" s="165">
        <f t="shared" si="51"/>
        <v>0</v>
      </c>
      <c r="H64" s="27"/>
      <c r="I64" s="27">
        <v>0</v>
      </c>
      <c r="J64" s="27">
        <v>0</v>
      </c>
      <c r="K64" s="127">
        <f t="shared" si="52"/>
        <v>0</v>
      </c>
      <c r="L64" s="127">
        <f t="shared" si="53"/>
        <v>0</v>
      </c>
      <c r="M64" s="127">
        <f t="shared" si="54"/>
        <v>0</v>
      </c>
      <c r="N64" s="131"/>
      <c r="O64" s="125" t="str">
        <f t="shared" si="55"/>
        <v>ნულოვანი შესრულება</v>
      </c>
      <c r="P64" s="27">
        <v>0</v>
      </c>
      <c r="Q64" s="27">
        <v>0</v>
      </c>
      <c r="R64" s="27">
        <f t="shared" si="56"/>
        <v>0</v>
      </c>
      <c r="S64" s="27">
        <f t="shared" si="57"/>
        <v>0</v>
      </c>
      <c r="T64" s="27"/>
      <c r="U64" s="27"/>
      <c r="V64" s="27">
        <v>0</v>
      </c>
      <c r="W64" s="27"/>
      <c r="X64" s="27">
        <f t="shared" si="58"/>
        <v>0</v>
      </c>
      <c r="Y64" s="27">
        <f t="shared" si="59"/>
        <v>0</v>
      </c>
      <c r="Z64" s="27">
        <v>0</v>
      </c>
      <c r="AA64" s="27"/>
      <c r="AB64" s="27"/>
      <c r="AC64" s="27"/>
      <c r="AD64" s="27">
        <f t="shared" si="60"/>
        <v>0</v>
      </c>
      <c r="AE64" s="27">
        <f t="shared" si="61"/>
        <v>0</v>
      </c>
      <c r="AF64" s="27">
        <f t="shared" si="62"/>
        <v>0</v>
      </c>
      <c r="AG64" s="27">
        <f t="shared" si="63"/>
        <v>0</v>
      </c>
      <c r="AH64" s="27">
        <f t="shared" si="64"/>
        <v>0</v>
      </c>
      <c r="AI64" s="27">
        <f t="shared" si="65"/>
        <v>0</v>
      </c>
      <c r="AJ64" s="27">
        <f t="shared" si="66"/>
        <v>0</v>
      </c>
      <c r="AK64" s="27">
        <f t="shared" si="67"/>
        <v>0</v>
      </c>
      <c r="AL64" s="27"/>
      <c r="AM64" s="27"/>
      <c r="AN64" s="27">
        <v>0</v>
      </c>
      <c r="AO64" s="27"/>
      <c r="AP64" s="27">
        <f t="shared" si="68"/>
        <v>0</v>
      </c>
      <c r="AQ64" s="27">
        <f t="shared" si="69"/>
        <v>0</v>
      </c>
      <c r="AR64" s="27"/>
      <c r="AS64" s="27"/>
      <c r="AT64" s="27">
        <v>0</v>
      </c>
      <c r="AU64" s="27"/>
      <c r="AV64" s="27">
        <f t="shared" si="70"/>
        <v>0</v>
      </c>
      <c r="AW64" s="27">
        <f t="shared" si="71"/>
        <v>0</v>
      </c>
      <c r="AX64" s="27"/>
      <c r="AY64" s="27"/>
      <c r="AZ64" s="27">
        <v>0</v>
      </c>
      <c r="BA64" s="27"/>
      <c r="BB64" s="27">
        <f t="shared" si="72"/>
        <v>0</v>
      </c>
      <c r="BC64" s="27">
        <f t="shared" si="73"/>
        <v>0</v>
      </c>
      <c r="BD64" s="27"/>
      <c r="BE64" s="27"/>
      <c r="BF64" s="27">
        <v>0</v>
      </c>
      <c r="BG64" s="27"/>
      <c r="BH64" s="27">
        <f t="shared" si="74"/>
        <v>0</v>
      </c>
      <c r="BI64" s="27">
        <f t="shared" si="75"/>
        <v>0</v>
      </c>
      <c r="BJ64" s="27"/>
      <c r="BK64" s="27"/>
      <c r="BL64" s="27">
        <v>0</v>
      </c>
      <c r="BM64" s="27"/>
      <c r="BN64" s="27">
        <f t="shared" si="76"/>
        <v>0</v>
      </c>
      <c r="BO64" s="27">
        <f t="shared" si="77"/>
        <v>0</v>
      </c>
      <c r="BP64" s="26"/>
      <c r="BQ64" s="27"/>
      <c r="BR64" s="27">
        <v>0</v>
      </c>
      <c r="BS64" s="27"/>
      <c r="BT64" s="27">
        <f t="shared" si="78"/>
        <v>0</v>
      </c>
      <c r="BU64" s="27">
        <f t="shared" si="79"/>
        <v>0</v>
      </c>
      <c r="BV64" s="26"/>
      <c r="BW64" s="27"/>
      <c r="BX64" s="27">
        <v>0</v>
      </c>
      <c r="BY64" s="27"/>
      <c r="BZ64" s="27">
        <f t="shared" si="80"/>
        <v>0</v>
      </c>
      <c r="CA64" s="27">
        <f t="shared" si="81"/>
        <v>0</v>
      </c>
      <c r="CB64" s="26"/>
      <c r="CC64" s="27"/>
      <c r="CD64" s="27">
        <v>0</v>
      </c>
      <c r="CE64" s="27"/>
      <c r="CF64" s="27">
        <f t="shared" si="82"/>
        <v>0</v>
      </c>
      <c r="CG64" s="27">
        <f t="shared" si="83"/>
        <v>0</v>
      </c>
      <c r="CH64" s="26"/>
      <c r="CI64" s="27"/>
      <c r="CJ64" s="27">
        <v>0</v>
      </c>
      <c r="CK64" s="27"/>
      <c r="CL64" s="27">
        <f t="shared" si="84"/>
        <v>0</v>
      </c>
      <c r="CM64" s="27">
        <f t="shared" si="85"/>
        <v>0</v>
      </c>
      <c r="CN64" s="26"/>
      <c r="CO64" s="27"/>
      <c r="CP64" s="27">
        <v>0</v>
      </c>
      <c r="CQ64" s="27"/>
      <c r="CR64" s="27">
        <f t="shared" si="86"/>
        <v>0</v>
      </c>
      <c r="CS64" s="27">
        <f t="shared" si="87"/>
        <v>0</v>
      </c>
      <c r="CT64" s="26"/>
      <c r="CU64" s="27"/>
      <c r="CV64" s="27">
        <v>0</v>
      </c>
      <c r="CW64" s="27"/>
      <c r="CX64" s="27">
        <f t="shared" si="88"/>
        <v>0</v>
      </c>
      <c r="CY64" s="27">
        <f t="shared" si="89"/>
        <v>0</v>
      </c>
      <c r="CZ64" s="26"/>
      <c r="DA64" s="27"/>
      <c r="DB64" s="27">
        <v>0</v>
      </c>
      <c r="DC64" s="27"/>
      <c r="DD64" s="27">
        <f t="shared" si="90"/>
        <v>0</v>
      </c>
      <c r="DE64" s="27">
        <f t="shared" si="91"/>
        <v>0</v>
      </c>
      <c r="DF64" s="28">
        <f t="shared" si="92"/>
        <v>0</v>
      </c>
      <c r="DG64" s="28">
        <f t="shared" si="93"/>
        <v>0</v>
      </c>
      <c r="DH64" s="28">
        <f t="shared" si="94"/>
        <v>0</v>
      </c>
      <c r="DI64" s="28">
        <f t="shared" si="95"/>
        <v>0</v>
      </c>
      <c r="DJ64" s="27">
        <f t="shared" si="96"/>
        <v>0</v>
      </c>
      <c r="DK64" s="27">
        <f t="shared" si="97"/>
        <v>0</v>
      </c>
    </row>
    <row r="65" spans="1:115">
      <c r="A65" s="25">
        <v>57</v>
      </c>
      <c r="B65" s="26" t="s">
        <v>1161</v>
      </c>
      <c r="C65" s="26"/>
      <c r="D65" s="26"/>
      <c r="E65" s="205" t="s">
        <v>1200</v>
      </c>
      <c r="F65" s="161">
        <f t="shared" si="50"/>
        <v>0</v>
      </c>
      <c r="G65" s="165">
        <f t="shared" si="51"/>
        <v>0</v>
      </c>
      <c r="H65" s="27"/>
      <c r="I65" s="27">
        <v>0</v>
      </c>
      <c r="J65" s="27">
        <v>0</v>
      </c>
      <c r="K65" s="127">
        <f t="shared" si="52"/>
        <v>0</v>
      </c>
      <c r="L65" s="127">
        <f t="shared" si="53"/>
        <v>0</v>
      </c>
      <c r="M65" s="127">
        <f t="shared" si="54"/>
        <v>0</v>
      </c>
      <c r="N65" s="131"/>
      <c r="O65" s="125" t="str">
        <f t="shared" si="55"/>
        <v>ნულოვანი შესრულება</v>
      </c>
      <c r="P65" s="27">
        <v>0</v>
      </c>
      <c r="Q65" s="27">
        <v>0</v>
      </c>
      <c r="R65" s="27">
        <f t="shared" si="56"/>
        <v>0</v>
      </c>
      <c r="S65" s="27">
        <f t="shared" si="57"/>
        <v>0</v>
      </c>
      <c r="T65" s="27"/>
      <c r="U65" s="27"/>
      <c r="V65" s="27">
        <v>0</v>
      </c>
      <c r="W65" s="27"/>
      <c r="X65" s="27">
        <f t="shared" si="58"/>
        <v>0</v>
      </c>
      <c r="Y65" s="27">
        <f t="shared" si="59"/>
        <v>0</v>
      </c>
      <c r="Z65" s="27">
        <v>0</v>
      </c>
      <c r="AA65" s="27"/>
      <c r="AB65" s="27"/>
      <c r="AC65" s="27"/>
      <c r="AD65" s="27">
        <f t="shared" si="60"/>
        <v>0</v>
      </c>
      <c r="AE65" s="27">
        <f t="shared" si="61"/>
        <v>0</v>
      </c>
      <c r="AF65" s="27">
        <f t="shared" si="62"/>
        <v>0</v>
      </c>
      <c r="AG65" s="27">
        <f t="shared" si="63"/>
        <v>0</v>
      </c>
      <c r="AH65" s="27">
        <f t="shared" si="64"/>
        <v>0</v>
      </c>
      <c r="AI65" s="27">
        <f t="shared" si="65"/>
        <v>0</v>
      </c>
      <c r="AJ65" s="27">
        <f t="shared" si="66"/>
        <v>0</v>
      </c>
      <c r="AK65" s="27">
        <f t="shared" si="67"/>
        <v>0</v>
      </c>
      <c r="AL65" s="27"/>
      <c r="AM65" s="27"/>
      <c r="AN65" s="27">
        <v>0</v>
      </c>
      <c r="AO65" s="27"/>
      <c r="AP65" s="27">
        <f t="shared" si="68"/>
        <v>0</v>
      </c>
      <c r="AQ65" s="27">
        <f t="shared" si="69"/>
        <v>0</v>
      </c>
      <c r="AR65" s="27"/>
      <c r="AS65" s="27"/>
      <c r="AT65" s="27">
        <v>0</v>
      </c>
      <c r="AU65" s="27"/>
      <c r="AV65" s="27">
        <f t="shared" si="70"/>
        <v>0</v>
      </c>
      <c r="AW65" s="27">
        <f t="shared" si="71"/>
        <v>0</v>
      </c>
      <c r="AX65" s="27"/>
      <c r="AY65" s="27"/>
      <c r="AZ65" s="27">
        <v>0</v>
      </c>
      <c r="BA65" s="27"/>
      <c r="BB65" s="27">
        <f t="shared" si="72"/>
        <v>0</v>
      </c>
      <c r="BC65" s="27">
        <f t="shared" si="73"/>
        <v>0</v>
      </c>
      <c r="BD65" s="27"/>
      <c r="BE65" s="27"/>
      <c r="BF65" s="27">
        <v>0</v>
      </c>
      <c r="BG65" s="27"/>
      <c r="BH65" s="27">
        <f t="shared" si="74"/>
        <v>0</v>
      </c>
      <c r="BI65" s="27">
        <f t="shared" si="75"/>
        <v>0</v>
      </c>
      <c r="BJ65" s="27"/>
      <c r="BK65" s="27"/>
      <c r="BL65" s="27">
        <v>0</v>
      </c>
      <c r="BM65" s="27"/>
      <c r="BN65" s="27">
        <f t="shared" si="76"/>
        <v>0</v>
      </c>
      <c r="BO65" s="27">
        <f t="shared" si="77"/>
        <v>0</v>
      </c>
      <c r="BP65" s="26"/>
      <c r="BQ65" s="27"/>
      <c r="BR65" s="27">
        <v>0</v>
      </c>
      <c r="BS65" s="27"/>
      <c r="BT65" s="27">
        <f t="shared" si="78"/>
        <v>0</v>
      </c>
      <c r="BU65" s="27">
        <f t="shared" si="79"/>
        <v>0</v>
      </c>
      <c r="BV65" s="26"/>
      <c r="BW65" s="27"/>
      <c r="BX65" s="27">
        <v>0</v>
      </c>
      <c r="BY65" s="27"/>
      <c r="BZ65" s="27">
        <f t="shared" si="80"/>
        <v>0</v>
      </c>
      <c r="CA65" s="27">
        <f t="shared" si="81"/>
        <v>0</v>
      </c>
      <c r="CB65" s="26"/>
      <c r="CC65" s="27"/>
      <c r="CD65" s="27">
        <v>0</v>
      </c>
      <c r="CE65" s="27"/>
      <c r="CF65" s="27">
        <f t="shared" si="82"/>
        <v>0</v>
      </c>
      <c r="CG65" s="27">
        <f t="shared" si="83"/>
        <v>0</v>
      </c>
      <c r="CH65" s="26"/>
      <c r="CI65" s="27"/>
      <c r="CJ65" s="27">
        <v>0</v>
      </c>
      <c r="CK65" s="27"/>
      <c r="CL65" s="27">
        <f t="shared" si="84"/>
        <v>0</v>
      </c>
      <c r="CM65" s="27">
        <f t="shared" si="85"/>
        <v>0</v>
      </c>
      <c r="CN65" s="26"/>
      <c r="CO65" s="27"/>
      <c r="CP65" s="27">
        <v>0</v>
      </c>
      <c r="CQ65" s="27"/>
      <c r="CR65" s="27">
        <f t="shared" si="86"/>
        <v>0</v>
      </c>
      <c r="CS65" s="27">
        <f t="shared" si="87"/>
        <v>0</v>
      </c>
      <c r="CT65" s="26"/>
      <c r="CU65" s="27"/>
      <c r="CV65" s="27">
        <v>0</v>
      </c>
      <c r="CW65" s="27"/>
      <c r="CX65" s="27">
        <f t="shared" si="88"/>
        <v>0</v>
      </c>
      <c r="CY65" s="27">
        <f t="shared" si="89"/>
        <v>0</v>
      </c>
      <c r="CZ65" s="26"/>
      <c r="DA65" s="27"/>
      <c r="DB65" s="27">
        <v>0</v>
      </c>
      <c r="DC65" s="27"/>
      <c r="DD65" s="27">
        <f t="shared" si="90"/>
        <v>0</v>
      </c>
      <c r="DE65" s="27">
        <f t="shared" si="91"/>
        <v>0</v>
      </c>
      <c r="DF65" s="28">
        <f t="shared" si="92"/>
        <v>0</v>
      </c>
      <c r="DG65" s="28">
        <f t="shared" si="93"/>
        <v>0</v>
      </c>
      <c r="DH65" s="28">
        <f t="shared" si="94"/>
        <v>0</v>
      </c>
      <c r="DI65" s="28">
        <f t="shared" si="95"/>
        <v>0</v>
      </c>
      <c r="DJ65" s="27">
        <f t="shared" si="96"/>
        <v>0</v>
      </c>
      <c r="DK65" s="27">
        <f t="shared" si="97"/>
        <v>0</v>
      </c>
    </row>
    <row r="66" spans="1:115">
      <c r="A66" s="25">
        <v>58</v>
      </c>
      <c r="B66" s="26" t="s">
        <v>1161</v>
      </c>
      <c r="C66" s="26"/>
      <c r="D66" s="26"/>
      <c r="E66" s="205" t="s">
        <v>1200</v>
      </c>
      <c r="F66" s="161">
        <f t="shared" si="50"/>
        <v>0</v>
      </c>
      <c r="G66" s="165">
        <f t="shared" si="51"/>
        <v>0</v>
      </c>
      <c r="H66" s="27"/>
      <c r="I66" s="27">
        <v>0</v>
      </c>
      <c r="J66" s="27">
        <v>0</v>
      </c>
      <c r="K66" s="127">
        <f t="shared" si="52"/>
        <v>0</v>
      </c>
      <c r="L66" s="127">
        <f t="shared" si="53"/>
        <v>0</v>
      </c>
      <c r="M66" s="127">
        <f t="shared" si="54"/>
        <v>0</v>
      </c>
      <c r="N66" s="131"/>
      <c r="O66" s="125" t="str">
        <f t="shared" si="55"/>
        <v>ნულოვანი შესრულება</v>
      </c>
      <c r="P66" s="27">
        <v>0</v>
      </c>
      <c r="Q66" s="27">
        <v>0</v>
      </c>
      <c r="R66" s="27">
        <f t="shared" si="56"/>
        <v>0</v>
      </c>
      <c r="S66" s="27">
        <f t="shared" si="57"/>
        <v>0</v>
      </c>
      <c r="T66" s="27"/>
      <c r="U66" s="27"/>
      <c r="V66" s="27">
        <v>0</v>
      </c>
      <c r="W66" s="27"/>
      <c r="X66" s="27">
        <f t="shared" si="58"/>
        <v>0</v>
      </c>
      <c r="Y66" s="27">
        <f t="shared" si="59"/>
        <v>0</v>
      </c>
      <c r="Z66" s="27">
        <v>0</v>
      </c>
      <c r="AA66" s="27"/>
      <c r="AB66" s="27"/>
      <c r="AC66" s="27"/>
      <c r="AD66" s="27">
        <f t="shared" si="60"/>
        <v>0</v>
      </c>
      <c r="AE66" s="27">
        <f t="shared" si="61"/>
        <v>0</v>
      </c>
      <c r="AF66" s="27">
        <f t="shared" si="62"/>
        <v>0</v>
      </c>
      <c r="AG66" s="27">
        <f t="shared" si="63"/>
        <v>0</v>
      </c>
      <c r="AH66" s="27">
        <f t="shared" si="64"/>
        <v>0</v>
      </c>
      <c r="AI66" s="27">
        <f t="shared" si="65"/>
        <v>0</v>
      </c>
      <c r="AJ66" s="27">
        <f t="shared" si="66"/>
        <v>0</v>
      </c>
      <c r="AK66" s="27">
        <f t="shared" si="67"/>
        <v>0</v>
      </c>
      <c r="AL66" s="27"/>
      <c r="AM66" s="27"/>
      <c r="AN66" s="27">
        <v>0</v>
      </c>
      <c r="AO66" s="27"/>
      <c r="AP66" s="27">
        <f t="shared" si="68"/>
        <v>0</v>
      </c>
      <c r="AQ66" s="27">
        <f t="shared" si="69"/>
        <v>0</v>
      </c>
      <c r="AR66" s="27"/>
      <c r="AS66" s="27"/>
      <c r="AT66" s="27">
        <v>0</v>
      </c>
      <c r="AU66" s="27"/>
      <c r="AV66" s="27">
        <f t="shared" si="70"/>
        <v>0</v>
      </c>
      <c r="AW66" s="27">
        <f t="shared" si="71"/>
        <v>0</v>
      </c>
      <c r="AX66" s="27"/>
      <c r="AY66" s="27"/>
      <c r="AZ66" s="27">
        <v>0</v>
      </c>
      <c r="BA66" s="27"/>
      <c r="BB66" s="27">
        <f t="shared" si="72"/>
        <v>0</v>
      </c>
      <c r="BC66" s="27">
        <f t="shared" si="73"/>
        <v>0</v>
      </c>
      <c r="BD66" s="27"/>
      <c r="BE66" s="27"/>
      <c r="BF66" s="27">
        <v>0</v>
      </c>
      <c r="BG66" s="27"/>
      <c r="BH66" s="27">
        <f t="shared" si="74"/>
        <v>0</v>
      </c>
      <c r="BI66" s="27">
        <f t="shared" si="75"/>
        <v>0</v>
      </c>
      <c r="BJ66" s="27"/>
      <c r="BK66" s="27"/>
      <c r="BL66" s="27">
        <v>0</v>
      </c>
      <c r="BM66" s="27"/>
      <c r="BN66" s="27">
        <f t="shared" si="76"/>
        <v>0</v>
      </c>
      <c r="BO66" s="27">
        <f t="shared" si="77"/>
        <v>0</v>
      </c>
      <c r="BP66" s="26"/>
      <c r="BQ66" s="27"/>
      <c r="BR66" s="27">
        <v>0</v>
      </c>
      <c r="BS66" s="27"/>
      <c r="BT66" s="27">
        <f t="shared" si="78"/>
        <v>0</v>
      </c>
      <c r="BU66" s="27">
        <f t="shared" si="79"/>
        <v>0</v>
      </c>
      <c r="BV66" s="26"/>
      <c r="BW66" s="27"/>
      <c r="BX66" s="27">
        <v>0</v>
      </c>
      <c r="BY66" s="27"/>
      <c r="BZ66" s="27">
        <f t="shared" si="80"/>
        <v>0</v>
      </c>
      <c r="CA66" s="27">
        <f t="shared" si="81"/>
        <v>0</v>
      </c>
      <c r="CB66" s="26"/>
      <c r="CC66" s="27"/>
      <c r="CD66" s="27">
        <v>0</v>
      </c>
      <c r="CE66" s="27"/>
      <c r="CF66" s="27">
        <f t="shared" si="82"/>
        <v>0</v>
      </c>
      <c r="CG66" s="27">
        <f t="shared" si="83"/>
        <v>0</v>
      </c>
      <c r="CH66" s="26"/>
      <c r="CI66" s="27"/>
      <c r="CJ66" s="27">
        <v>0</v>
      </c>
      <c r="CK66" s="27"/>
      <c r="CL66" s="27">
        <f t="shared" si="84"/>
        <v>0</v>
      </c>
      <c r="CM66" s="27">
        <f t="shared" si="85"/>
        <v>0</v>
      </c>
      <c r="CN66" s="26"/>
      <c r="CO66" s="27"/>
      <c r="CP66" s="27">
        <v>0</v>
      </c>
      <c r="CQ66" s="27"/>
      <c r="CR66" s="27">
        <f t="shared" si="86"/>
        <v>0</v>
      </c>
      <c r="CS66" s="27">
        <f t="shared" si="87"/>
        <v>0</v>
      </c>
      <c r="CT66" s="26"/>
      <c r="CU66" s="27"/>
      <c r="CV66" s="27">
        <v>0</v>
      </c>
      <c r="CW66" s="27"/>
      <c r="CX66" s="27">
        <f t="shared" si="88"/>
        <v>0</v>
      </c>
      <c r="CY66" s="27">
        <f t="shared" si="89"/>
        <v>0</v>
      </c>
      <c r="CZ66" s="26"/>
      <c r="DA66" s="27"/>
      <c r="DB66" s="27">
        <v>0</v>
      </c>
      <c r="DC66" s="27"/>
      <c r="DD66" s="27">
        <f t="shared" si="90"/>
        <v>0</v>
      </c>
      <c r="DE66" s="27">
        <f t="shared" si="91"/>
        <v>0</v>
      </c>
      <c r="DF66" s="28">
        <f t="shared" si="92"/>
        <v>0</v>
      </c>
      <c r="DG66" s="28">
        <f t="shared" si="93"/>
        <v>0</v>
      </c>
      <c r="DH66" s="28">
        <f t="shared" si="94"/>
        <v>0</v>
      </c>
      <c r="DI66" s="28">
        <f t="shared" si="95"/>
        <v>0</v>
      </c>
      <c r="DJ66" s="27">
        <f t="shared" si="96"/>
        <v>0</v>
      </c>
      <c r="DK66" s="27">
        <f t="shared" si="97"/>
        <v>0</v>
      </c>
    </row>
    <row r="67" spans="1:115">
      <c r="A67" s="25">
        <v>59</v>
      </c>
      <c r="B67" s="26" t="s">
        <v>1161</v>
      </c>
      <c r="C67" s="26"/>
      <c r="D67" s="26"/>
      <c r="E67" s="205" t="s">
        <v>1200</v>
      </c>
      <c r="F67" s="161">
        <f t="shared" si="50"/>
        <v>0</v>
      </c>
      <c r="G67" s="165">
        <f t="shared" si="51"/>
        <v>0</v>
      </c>
      <c r="H67" s="27"/>
      <c r="I67" s="27">
        <v>0</v>
      </c>
      <c r="J67" s="27">
        <v>0</v>
      </c>
      <c r="K67" s="127">
        <f t="shared" si="52"/>
        <v>0</v>
      </c>
      <c r="L67" s="127">
        <f t="shared" si="53"/>
        <v>0</v>
      </c>
      <c r="M67" s="127">
        <f t="shared" si="54"/>
        <v>0</v>
      </c>
      <c r="N67" s="131"/>
      <c r="O67" s="125" t="str">
        <f t="shared" si="55"/>
        <v>ნულოვანი შესრულება</v>
      </c>
      <c r="P67" s="27">
        <v>0</v>
      </c>
      <c r="Q67" s="27">
        <v>0</v>
      </c>
      <c r="R67" s="27">
        <f t="shared" si="56"/>
        <v>0</v>
      </c>
      <c r="S67" s="27">
        <f t="shared" si="57"/>
        <v>0</v>
      </c>
      <c r="T67" s="27"/>
      <c r="U67" s="27"/>
      <c r="V67" s="27">
        <v>0</v>
      </c>
      <c r="W67" s="27"/>
      <c r="X67" s="27">
        <f t="shared" si="58"/>
        <v>0</v>
      </c>
      <c r="Y67" s="27">
        <f t="shared" si="59"/>
        <v>0</v>
      </c>
      <c r="Z67" s="27">
        <v>0</v>
      </c>
      <c r="AA67" s="27"/>
      <c r="AB67" s="27"/>
      <c r="AC67" s="27"/>
      <c r="AD67" s="27">
        <f t="shared" si="60"/>
        <v>0</v>
      </c>
      <c r="AE67" s="27">
        <f t="shared" si="61"/>
        <v>0</v>
      </c>
      <c r="AF67" s="27">
        <f t="shared" si="62"/>
        <v>0</v>
      </c>
      <c r="AG67" s="27">
        <f t="shared" si="63"/>
        <v>0</v>
      </c>
      <c r="AH67" s="27">
        <f t="shared" si="64"/>
        <v>0</v>
      </c>
      <c r="AI67" s="27">
        <f t="shared" si="65"/>
        <v>0</v>
      </c>
      <c r="AJ67" s="27">
        <f t="shared" si="66"/>
        <v>0</v>
      </c>
      <c r="AK67" s="27">
        <f t="shared" si="67"/>
        <v>0</v>
      </c>
      <c r="AL67" s="27"/>
      <c r="AM67" s="27"/>
      <c r="AN67" s="27">
        <v>0</v>
      </c>
      <c r="AO67" s="27"/>
      <c r="AP67" s="27">
        <f t="shared" si="68"/>
        <v>0</v>
      </c>
      <c r="AQ67" s="27">
        <f t="shared" si="69"/>
        <v>0</v>
      </c>
      <c r="AR67" s="27"/>
      <c r="AS67" s="27"/>
      <c r="AT67" s="27">
        <v>0</v>
      </c>
      <c r="AU67" s="27"/>
      <c r="AV67" s="27">
        <f t="shared" si="70"/>
        <v>0</v>
      </c>
      <c r="AW67" s="27">
        <f t="shared" si="71"/>
        <v>0</v>
      </c>
      <c r="AX67" s="27"/>
      <c r="AY67" s="27"/>
      <c r="AZ67" s="27">
        <v>0</v>
      </c>
      <c r="BA67" s="27"/>
      <c r="BB67" s="27">
        <f t="shared" si="72"/>
        <v>0</v>
      </c>
      <c r="BC67" s="27">
        <f t="shared" si="73"/>
        <v>0</v>
      </c>
      <c r="BD67" s="27"/>
      <c r="BE67" s="27"/>
      <c r="BF67" s="27">
        <v>0</v>
      </c>
      <c r="BG67" s="27"/>
      <c r="BH67" s="27">
        <f t="shared" si="74"/>
        <v>0</v>
      </c>
      <c r="BI67" s="27">
        <f t="shared" si="75"/>
        <v>0</v>
      </c>
      <c r="BJ67" s="27"/>
      <c r="BK67" s="27"/>
      <c r="BL67" s="27">
        <v>0</v>
      </c>
      <c r="BM67" s="27"/>
      <c r="BN67" s="27">
        <f t="shared" si="76"/>
        <v>0</v>
      </c>
      <c r="BO67" s="27">
        <f t="shared" si="77"/>
        <v>0</v>
      </c>
      <c r="BP67" s="26"/>
      <c r="BQ67" s="27"/>
      <c r="BR67" s="27">
        <v>0</v>
      </c>
      <c r="BS67" s="27"/>
      <c r="BT67" s="27">
        <f t="shared" si="78"/>
        <v>0</v>
      </c>
      <c r="BU67" s="27">
        <f t="shared" si="79"/>
        <v>0</v>
      </c>
      <c r="BV67" s="26"/>
      <c r="BW67" s="27"/>
      <c r="BX67" s="27">
        <v>0</v>
      </c>
      <c r="BY67" s="27"/>
      <c r="BZ67" s="27">
        <f t="shared" si="80"/>
        <v>0</v>
      </c>
      <c r="CA67" s="27">
        <f t="shared" si="81"/>
        <v>0</v>
      </c>
      <c r="CB67" s="26"/>
      <c r="CC67" s="27"/>
      <c r="CD67" s="27">
        <v>0</v>
      </c>
      <c r="CE67" s="27"/>
      <c r="CF67" s="27">
        <f t="shared" si="82"/>
        <v>0</v>
      </c>
      <c r="CG67" s="27">
        <f t="shared" si="83"/>
        <v>0</v>
      </c>
      <c r="CH67" s="26"/>
      <c r="CI67" s="27"/>
      <c r="CJ67" s="27">
        <v>0</v>
      </c>
      <c r="CK67" s="27"/>
      <c r="CL67" s="27">
        <f t="shared" si="84"/>
        <v>0</v>
      </c>
      <c r="CM67" s="27">
        <f t="shared" si="85"/>
        <v>0</v>
      </c>
      <c r="CN67" s="26"/>
      <c r="CO67" s="27"/>
      <c r="CP67" s="27">
        <v>0</v>
      </c>
      <c r="CQ67" s="27"/>
      <c r="CR67" s="27">
        <f t="shared" si="86"/>
        <v>0</v>
      </c>
      <c r="CS67" s="27">
        <f t="shared" si="87"/>
        <v>0</v>
      </c>
      <c r="CT67" s="26"/>
      <c r="CU67" s="27"/>
      <c r="CV67" s="27">
        <v>0</v>
      </c>
      <c r="CW67" s="27"/>
      <c r="CX67" s="27">
        <f t="shared" si="88"/>
        <v>0</v>
      </c>
      <c r="CY67" s="27">
        <f t="shared" si="89"/>
        <v>0</v>
      </c>
      <c r="CZ67" s="26"/>
      <c r="DA67" s="27"/>
      <c r="DB67" s="27">
        <v>0</v>
      </c>
      <c r="DC67" s="27"/>
      <c r="DD67" s="27">
        <f t="shared" si="90"/>
        <v>0</v>
      </c>
      <c r="DE67" s="27">
        <f t="shared" si="91"/>
        <v>0</v>
      </c>
      <c r="DF67" s="28">
        <f t="shared" si="92"/>
        <v>0</v>
      </c>
      <c r="DG67" s="28">
        <f t="shared" si="93"/>
        <v>0</v>
      </c>
      <c r="DH67" s="28">
        <f t="shared" si="94"/>
        <v>0</v>
      </c>
      <c r="DI67" s="28">
        <f t="shared" si="95"/>
        <v>0</v>
      </c>
      <c r="DJ67" s="27">
        <f t="shared" si="96"/>
        <v>0</v>
      </c>
      <c r="DK67" s="27">
        <f t="shared" si="97"/>
        <v>0</v>
      </c>
    </row>
    <row r="68" spans="1:115">
      <c r="A68" s="25">
        <v>60</v>
      </c>
      <c r="B68" s="26" t="s">
        <v>1161</v>
      </c>
      <c r="C68" s="26"/>
      <c r="D68" s="26"/>
      <c r="E68" s="205" t="s">
        <v>1200</v>
      </c>
      <c r="F68" s="161">
        <f t="shared" si="50"/>
        <v>0</v>
      </c>
      <c r="G68" s="165">
        <f t="shared" si="51"/>
        <v>0</v>
      </c>
      <c r="H68" s="27"/>
      <c r="I68" s="27">
        <v>0</v>
      </c>
      <c r="J68" s="27">
        <v>0</v>
      </c>
      <c r="K68" s="127">
        <f t="shared" si="52"/>
        <v>0</v>
      </c>
      <c r="L68" s="127">
        <f t="shared" si="53"/>
        <v>0</v>
      </c>
      <c r="M68" s="127">
        <f t="shared" si="54"/>
        <v>0</v>
      </c>
      <c r="N68" s="131"/>
      <c r="O68" s="125" t="str">
        <f t="shared" si="55"/>
        <v>ნულოვანი შესრულება</v>
      </c>
      <c r="P68" s="27">
        <v>0</v>
      </c>
      <c r="Q68" s="27">
        <v>0</v>
      </c>
      <c r="R68" s="27">
        <f t="shared" si="56"/>
        <v>0</v>
      </c>
      <c r="S68" s="27">
        <f t="shared" si="57"/>
        <v>0</v>
      </c>
      <c r="T68" s="27"/>
      <c r="U68" s="27"/>
      <c r="V68" s="27">
        <v>0</v>
      </c>
      <c r="W68" s="27"/>
      <c r="X68" s="27">
        <f t="shared" si="58"/>
        <v>0</v>
      </c>
      <c r="Y68" s="27">
        <f t="shared" si="59"/>
        <v>0</v>
      </c>
      <c r="Z68" s="27">
        <v>0</v>
      </c>
      <c r="AA68" s="27"/>
      <c r="AB68" s="27"/>
      <c r="AC68" s="27"/>
      <c r="AD68" s="27">
        <f t="shared" si="60"/>
        <v>0</v>
      </c>
      <c r="AE68" s="27">
        <f t="shared" si="61"/>
        <v>0</v>
      </c>
      <c r="AF68" s="27">
        <f t="shared" si="62"/>
        <v>0</v>
      </c>
      <c r="AG68" s="27">
        <f t="shared" si="63"/>
        <v>0</v>
      </c>
      <c r="AH68" s="27">
        <f t="shared" si="64"/>
        <v>0</v>
      </c>
      <c r="AI68" s="27">
        <f t="shared" si="65"/>
        <v>0</v>
      </c>
      <c r="AJ68" s="27">
        <f t="shared" si="66"/>
        <v>0</v>
      </c>
      <c r="AK68" s="27">
        <f t="shared" si="67"/>
        <v>0</v>
      </c>
      <c r="AL68" s="27"/>
      <c r="AM68" s="27"/>
      <c r="AN68" s="27">
        <v>0</v>
      </c>
      <c r="AO68" s="27"/>
      <c r="AP68" s="27">
        <f t="shared" si="68"/>
        <v>0</v>
      </c>
      <c r="AQ68" s="27">
        <f t="shared" si="69"/>
        <v>0</v>
      </c>
      <c r="AR68" s="27"/>
      <c r="AS68" s="27"/>
      <c r="AT68" s="27">
        <v>0</v>
      </c>
      <c r="AU68" s="27"/>
      <c r="AV68" s="27">
        <f t="shared" si="70"/>
        <v>0</v>
      </c>
      <c r="AW68" s="27">
        <f t="shared" si="71"/>
        <v>0</v>
      </c>
      <c r="AX68" s="27"/>
      <c r="AY68" s="27"/>
      <c r="AZ68" s="27">
        <v>0</v>
      </c>
      <c r="BA68" s="27"/>
      <c r="BB68" s="27">
        <f t="shared" si="72"/>
        <v>0</v>
      </c>
      <c r="BC68" s="27">
        <f t="shared" si="73"/>
        <v>0</v>
      </c>
      <c r="BD68" s="27"/>
      <c r="BE68" s="27"/>
      <c r="BF68" s="27">
        <v>0</v>
      </c>
      <c r="BG68" s="27"/>
      <c r="BH68" s="27">
        <f t="shared" si="74"/>
        <v>0</v>
      </c>
      <c r="BI68" s="27">
        <f t="shared" si="75"/>
        <v>0</v>
      </c>
      <c r="BJ68" s="27"/>
      <c r="BK68" s="27"/>
      <c r="BL68" s="27">
        <v>0</v>
      </c>
      <c r="BM68" s="27"/>
      <c r="BN68" s="27">
        <f t="shared" si="76"/>
        <v>0</v>
      </c>
      <c r="BO68" s="27">
        <f t="shared" si="77"/>
        <v>0</v>
      </c>
      <c r="BP68" s="26"/>
      <c r="BQ68" s="27"/>
      <c r="BR68" s="27">
        <v>0</v>
      </c>
      <c r="BS68" s="27"/>
      <c r="BT68" s="27">
        <f t="shared" si="78"/>
        <v>0</v>
      </c>
      <c r="BU68" s="27">
        <f t="shared" si="79"/>
        <v>0</v>
      </c>
      <c r="BV68" s="26"/>
      <c r="BW68" s="27"/>
      <c r="BX68" s="27">
        <v>0</v>
      </c>
      <c r="BY68" s="27"/>
      <c r="BZ68" s="27">
        <f t="shared" si="80"/>
        <v>0</v>
      </c>
      <c r="CA68" s="27">
        <f t="shared" si="81"/>
        <v>0</v>
      </c>
      <c r="CB68" s="26"/>
      <c r="CC68" s="27"/>
      <c r="CD68" s="27">
        <v>0</v>
      </c>
      <c r="CE68" s="27"/>
      <c r="CF68" s="27">
        <f t="shared" si="82"/>
        <v>0</v>
      </c>
      <c r="CG68" s="27">
        <f t="shared" si="83"/>
        <v>0</v>
      </c>
      <c r="CH68" s="26"/>
      <c r="CI68" s="27"/>
      <c r="CJ68" s="27">
        <v>0</v>
      </c>
      <c r="CK68" s="27"/>
      <c r="CL68" s="27">
        <f t="shared" si="84"/>
        <v>0</v>
      </c>
      <c r="CM68" s="27">
        <f t="shared" si="85"/>
        <v>0</v>
      </c>
      <c r="CN68" s="26"/>
      <c r="CO68" s="27"/>
      <c r="CP68" s="27">
        <v>0</v>
      </c>
      <c r="CQ68" s="27"/>
      <c r="CR68" s="27">
        <f t="shared" si="86"/>
        <v>0</v>
      </c>
      <c r="CS68" s="27">
        <f t="shared" si="87"/>
        <v>0</v>
      </c>
      <c r="CT68" s="26"/>
      <c r="CU68" s="27"/>
      <c r="CV68" s="27">
        <v>0</v>
      </c>
      <c r="CW68" s="27"/>
      <c r="CX68" s="27">
        <f t="shared" si="88"/>
        <v>0</v>
      </c>
      <c r="CY68" s="27">
        <f t="shared" si="89"/>
        <v>0</v>
      </c>
      <c r="CZ68" s="26"/>
      <c r="DA68" s="27"/>
      <c r="DB68" s="27">
        <v>0</v>
      </c>
      <c r="DC68" s="27"/>
      <c r="DD68" s="27">
        <f t="shared" si="90"/>
        <v>0</v>
      </c>
      <c r="DE68" s="27">
        <f t="shared" si="91"/>
        <v>0</v>
      </c>
      <c r="DF68" s="28">
        <f t="shared" si="92"/>
        <v>0</v>
      </c>
      <c r="DG68" s="28">
        <f t="shared" si="93"/>
        <v>0</v>
      </c>
      <c r="DH68" s="28">
        <f t="shared" si="94"/>
        <v>0</v>
      </c>
      <c r="DI68" s="28">
        <f t="shared" si="95"/>
        <v>0</v>
      </c>
      <c r="DJ68" s="27">
        <f t="shared" si="96"/>
        <v>0</v>
      </c>
      <c r="DK68" s="27">
        <f t="shared" si="97"/>
        <v>0</v>
      </c>
    </row>
    <row r="69" spans="1:115">
      <c r="A69" s="25">
        <v>61</v>
      </c>
      <c r="B69" s="26" t="s">
        <v>1161</v>
      </c>
      <c r="C69" s="26"/>
      <c r="D69" s="26"/>
      <c r="E69" s="205" t="s">
        <v>1200</v>
      </c>
      <c r="F69" s="161">
        <f t="shared" si="50"/>
        <v>0</v>
      </c>
      <c r="G69" s="165">
        <f t="shared" si="51"/>
        <v>0</v>
      </c>
      <c r="H69" s="27"/>
      <c r="I69" s="27">
        <v>0</v>
      </c>
      <c r="J69" s="27">
        <v>0</v>
      </c>
      <c r="K69" s="127">
        <f t="shared" si="52"/>
        <v>0</v>
      </c>
      <c r="L69" s="127">
        <f t="shared" si="53"/>
        <v>0</v>
      </c>
      <c r="M69" s="127">
        <f t="shared" si="54"/>
        <v>0</v>
      </c>
      <c r="N69" s="131"/>
      <c r="O69" s="125" t="str">
        <f t="shared" si="55"/>
        <v>ნულოვანი შესრულება</v>
      </c>
      <c r="P69" s="27">
        <v>0</v>
      </c>
      <c r="Q69" s="27">
        <v>0</v>
      </c>
      <c r="R69" s="27">
        <f t="shared" si="56"/>
        <v>0</v>
      </c>
      <c r="S69" s="27">
        <f t="shared" si="57"/>
        <v>0</v>
      </c>
      <c r="T69" s="27"/>
      <c r="U69" s="27"/>
      <c r="V69" s="27">
        <v>0</v>
      </c>
      <c r="W69" s="27"/>
      <c r="X69" s="27">
        <f t="shared" si="58"/>
        <v>0</v>
      </c>
      <c r="Y69" s="27">
        <f t="shared" si="59"/>
        <v>0</v>
      </c>
      <c r="Z69" s="27">
        <v>0</v>
      </c>
      <c r="AA69" s="27"/>
      <c r="AB69" s="27"/>
      <c r="AC69" s="27"/>
      <c r="AD69" s="27">
        <f t="shared" si="60"/>
        <v>0</v>
      </c>
      <c r="AE69" s="27">
        <f t="shared" si="61"/>
        <v>0</v>
      </c>
      <c r="AF69" s="27">
        <f t="shared" si="62"/>
        <v>0</v>
      </c>
      <c r="AG69" s="27">
        <f t="shared" si="63"/>
        <v>0</v>
      </c>
      <c r="AH69" s="27">
        <f t="shared" si="64"/>
        <v>0</v>
      </c>
      <c r="AI69" s="27">
        <f t="shared" si="65"/>
        <v>0</v>
      </c>
      <c r="AJ69" s="27">
        <f t="shared" si="66"/>
        <v>0</v>
      </c>
      <c r="AK69" s="27">
        <f t="shared" si="67"/>
        <v>0</v>
      </c>
      <c r="AL69" s="27"/>
      <c r="AM69" s="27"/>
      <c r="AN69" s="27">
        <v>0</v>
      </c>
      <c r="AO69" s="27"/>
      <c r="AP69" s="27">
        <f t="shared" si="68"/>
        <v>0</v>
      </c>
      <c r="AQ69" s="27">
        <f t="shared" si="69"/>
        <v>0</v>
      </c>
      <c r="AR69" s="27"/>
      <c r="AS69" s="27"/>
      <c r="AT69" s="27">
        <v>0</v>
      </c>
      <c r="AU69" s="27"/>
      <c r="AV69" s="27">
        <f t="shared" si="70"/>
        <v>0</v>
      </c>
      <c r="AW69" s="27">
        <f t="shared" si="71"/>
        <v>0</v>
      </c>
      <c r="AX69" s="27"/>
      <c r="AY69" s="27"/>
      <c r="AZ69" s="27">
        <v>0</v>
      </c>
      <c r="BA69" s="27"/>
      <c r="BB69" s="27">
        <f t="shared" si="72"/>
        <v>0</v>
      </c>
      <c r="BC69" s="27">
        <f t="shared" si="73"/>
        <v>0</v>
      </c>
      <c r="BD69" s="27"/>
      <c r="BE69" s="27"/>
      <c r="BF69" s="27">
        <v>0</v>
      </c>
      <c r="BG69" s="27"/>
      <c r="BH69" s="27">
        <f t="shared" si="74"/>
        <v>0</v>
      </c>
      <c r="BI69" s="27">
        <f t="shared" si="75"/>
        <v>0</v>
      </c>
      <c r="BJ69" s="27"/>
      <c r="BK69" s="27"/>
      <c r="BL69" s="27">
        <v>0</v>
      </c>
      <c r="BM69" s="27"/>
      <c r="BN69" s="27">
        <f t="shared" si="76"/>
        <v>0</v>
      </c>
      <c r="BO69" s="27">
        <f t="shared" si="77"/>
        <v>0</v>
      </c>
      <c r="BP69" s="26"/>
      <c r="BQ69" s="27"/>
      <c r="BR69" s="27">
        <v>0</v>
      </c>
      <c r="BS69" s="27"/>
      <c r="BT69" s="27">
        <f t="shared" si="78"/>
        <v>0</v>
      </c>
      <c r="BU69" s="27">
        <f t="shared" si="79"/>
        <v>0</v>
      </c>
      <c r="BV69" s="26"/>
      <c r="BW69" s="27"/>
      <c r="BX69" s="27">
        <v>0</v>
      </c>
      <c r="BY69" s="27"/>
      <c r="BZ69" s="27">
        <f t="shared" si="80"/>
        <v>0</v>
      </c>
      <c r="CA69" s="27">
        <f t="shared" si="81"/>
        <v>0</v>
      </c>
      <c r="CB69" s="26"/>
      <c r="CC69" s="27"/>
      <c r="CD69" s="27">
        <v>0</v>
      </c>
      <c r="CE69" s="27"/>
      <c r="CF69" s="27">
        <f t="shared" si="82"/>
        <v>0</v>
      </c>
      <c r="CG69" s="27">
        <f t="shared" si="83"/>
        <v>0</v>
      </c>
      <c r="CH69" s="26"/>
      <c r="CI69" s="27"/>
      <c r="CJ69" s="27">
        <v>0</v>
      </c>
      <c r="CK69" s="27"/>
      <c r="CL69" s="27">
        <f t="shared" si="84"/>
        <v>0</v>
      </c>
      <c r="CM69" s="27">
        <f t="shared" si="85"/>
        <v>0</v>
      </c>
      <c r="CN69" s="26"/>
      <c r="CO69" s="27"/>
      <c r="CP69" s="27">
        <v>0</v>
      </c>
      <c r="CQ69" s="27"/>
      <c r="CR69" s="27">
        <f t="shared" si="86"/>
        <v>0</v>
      </c>
      <c r="CS69" s="27">
        <f t="shared" si="87"/>
        <v>0</v>
      </c>
      <c r="CT69" s="26"/>
      <c r="CU69" s="27"/>
      <c r="CV69" s="27">
        <v>0</v>
      </c>
      <c r="CW69" s="27"/>
      <c r="CX69" s="27">
        <f t="shared" si="88"/>
        <v>0</v>
      </c>
      <c r="CY69" s="27">
        <f t="shared" si="89"/>
        <v>0</v>
      </c>
      <c r="CZ69" s="26"/>
      <c r="DA69" s="27"/>
      <c r="DB69" s="27">
        <v>0</v>
      </c>
      <c r="DC69" s="27"/>
      <c r="DD69" s="27">
        <f t="shared" si="90"/>
        <v>0</v>
      </c>
      <c r="DE69" s="27">
        <f t="shared" si="91"/>
        <v>0</v>
      </c>
      <c r="DF69" s="28">
        <f t="shared" si="92"/>
        <v>0</v>
      </c>
      <c r="DG69" s="28">
        <f t="shared" si="93"/>
        <v>0</v>
      </c>
      <c r="DH69" s="28">
        <f t="shared" si="94"/>
        <v>0</v>
      </c>
      <c r="DI69" s="28">
        <f t="shared" si="95"/>
        <v>0</v>
      </c>
      <c r="DJ69" s="27">
        <f t="shared" si="96"/>
        <v>0</v>
      </c>
      <c r="DK69" s="27">
        <f t="shared" si="97"/>
        <v>0</v>
      </c>
    </row>
    <row r="70" spans="1:115">
      <c r="A70" s="25">
        <v>62</v>
      </c>
      <c r="B70" s="26" t="s">
        <v>1161</v>
      </c>
      <c r="C70" s="26"/>
      <c r="D70" s="26"/>
      <c r="E70" s="205" t="s">
        <v>1200</v>
      </c>
      <c r="F70" s="161">
        <f t="shared" si="50"/>
        <v>0</v>
      </c>
      <c r="G70" s="165">
        <f t="shared" si="51"/>
        <v>0</v>
      </c>
      <c r="H70" s="27"/>
      <c r="I70" s="27">
        <v>0</v>
      </c>
      <c r="J70" s="27">
        <v>0</v>
      </c>
      <c r="K70" s="127">
        <f t="shared" si="52"/>
        <v>0</v>
      </c>
      <c r="L70" s="127">
        <f t="shared" si="53"/>
        <v>0</v>
      </c>
      <c r="M70" s="127">
        <f t="shared" si="54"/>
        <v>0</v>
      </c>
      <c r="N70" s="131"/>
      <c r="O70" s="125" t="str">
        <f t="shared" si="55"/>
        <v>ნულოვანი შესრულება</v>
      </c>
      <c r="P70" s="27">
        <v>0</v>
      </c>
      <c r="Q70" s="27">
        <v>0</v>
      </c>
      <c r="R70" s="27">
        <f t="shared" si="56"/>
        <v>0</v>
      </c>
      <c r="S70" s="27">
        <f t="shared" si="57"/>
        <v>0</v>
      </c>
      <c r="T70" s="27"/>
      <c r="U70" s="27"/>
      <c r="V70" s="27">
        <v>0</v>
      </c>
      <c r="W70" s="27"/>
      <c r="X70" s="27">
        <f t="shared" si="58"/>
        <v>0</v>
      </c>
      <c r="Y70" s="27">
        <f t="shared" si="59"/>
        <v>0</v>
      </c>
      <c r="Z70" s="27">
        <v>0</v>
      </c>
      <c r="AA70" s="27"/>
      <c r="AB70" s="27"/>
      <c r="AC70" s="27"/>
      <c r="AD70" s="27">
        <f t="shared" si="60"/>
        <v>0</v>
      </c>
      <c r="AE70" s="27">
        <f t="shared" si="61"/>
        <v>0</v>
      </c>
      <c r="AF70" s="27">
        <f t="shared" si="62"/>
        <v>0</v>
      </c>
      <c r="AG70" s="27">
        <f t="shared" si="63"/>
        <v>0</v>
      </c>
      <c r="AH70" s="27">
        <f t="shared" si="64"/>
        <v>0</v>
      </c>
      <c r="AI70" s="27">
        <f t="shared" si="65"/>
        <v>0</v>
      </c>
      <c r="AJ70" s="27">
        <f t="shared" si="66"/>
        <v>0</v>
      </c>
      <c r="AK70" s="27">
        <f t="shared" si="67"/>
        <v>0</v>
      </c>
      <c r="AL70" s="27"/>
      <c r="AM70" s="27"/>
      <c r="AN70" s="27">
        <v>0</v>
      </c>
      <c r="AO70" s="27"/>
      <c r="AP70" s="27">
        <f t="shared" si="68"/>
        <v>0</v>
      </c>
      <c r="AQ70" s="27">
        <f t="shared" si="69"/>
        <v>0</v>
      </c>
      <c r="AR70" s="27"/>
      <c r="AS70" s="27"/>
      <c r="AT70" s="27">
        <v>0</v>
      </c>
      <c r="AU70" s="27"/>
      <c r="AV70" s="27">
        <f t="shared" si="70"/>
        <v>0</v>
      </c>
      <c r="AW70" s="27">
        <f t="shared" si="71"/>
        <v>0</v>
      </c>
      <c r="AX70" s="27"/>
      <c r="AY70" s="27"/>
      <c r="AZ70" s="27">
        <v>0</v>
      </c>
      <c r="BA70" s="27"/>
      <c r="BB70" s="27">
        <f t="shared" si="72"/>
        <v>0</v>
      </c>
      <c r="BC70" s="27">
        <f t="shared" si="73"/>
        <v>0</v>
      </c>
      <c r="BD70" s="27"/>
      <c r="BE70" s="27"/>
      <c r="BF70" s="27">
        <v>0</v>
      </c>
      <c r="BG70" s="27"/>
      <c r="BH70" s="27">
        <f t="shared" si="74"/>
        <v>0</v>
      </c>
      <c r="BI70" s="27">
        <f t="shared" si="75"/>
        <v>0</v>
      </c>
      <c r="BJ70" s="27"/>
      <c r="BK70" s="27"/>
      <c r="BL70" s="27">
        <v>0</v>
      </c>
      <c r="BM70" s="27"/>
      <c r="BN70" s="27">
        <f t="shared" si="76"/>
        <v>0</v>
      </c>
      <c r="BO70" s="27">
        <f t="shared" si="77"/>
        <v>0</v>
      </c>
      <c r="BP70" s="26"/>
      <c r="BQ70" s="27"/>
      <c r="BR70" s="27">
        <v>0</v>
      </c>
      <c r="BS70" s="27"/>
      <c r="BT70" s="27">
        <f t="shared" si="78"/>
        <v>0</v>
      </c>
      <c r="BU70" s="27">
        <f t="shared" si="79"/>
        <v>0</v>
      </c>
      <c r="BV70" s="26"/>
      <c r="BW70" s="27"/>
      <c r="BX70" s="27">
        <v>0</v>
      </c>
      <c r="BY70" s="27"/>
      <c r="BZ70" s="27">
        <f t="shared" si="80"/>
        <v>0</v>
      </c>
      <c r="CA70" s="27">
        <f t="shared" si="81"/>
        <v>0</v>
      </c>
      <c r="CB70" s="26"/>
      <c r="CC70" s="27"/>
      <c r="CD70" s="27">
        <v>0</v>
      </c>
      <c r="CE70" s="27"/>
      <c r="CF70" s="27">
        <f t="shared" si="82"/>
        <v>0</v>
      </c>
      <c r="CG70" s="27">
        <f t="shared" si="83"/>
        <v>0</v>
      </c>
      <c r="CH70" s="26"/>
      <c r="CI70" s="27"/>
      <c r="CJ70" s="27">
        <v>0</v>
      </c>
      <c r="CK70" s="27"/>
      <c r="CL70" s="27">
        <f t="shared" si="84"/>
        <v>0</v>
      </c>
      <c r="CM70" s="27">
        <f t="shared" si="85"/>
        <v>0</v>
      </c>
      <c r="CN70" s="26"/>
      <c r="CO70" s="27"/>
      <c r="CP70" s="27">
        <v>0</v>
      </c>
      <c r="CQ70" s="27"/>
      <c r="CR70" s="27">
        <f t="shared" si="86"/>
        <v>0</v>
      </c>
      <c r="CS70" s="27">
        <f t="shared" si="87"/>
        <v>0</v>
      </c>
      <c r="CT70" s="26"/>
      <c r="CU70" s="27"/>
      <c r="CV70" s="27">
        <v>0</v>
      </c>
      <c r="CW70" s="27"/>
      <c r="CX70" s="27">
        <f t="shared" si="88"/>
        <v>0</v>
      </c>
      <c r="CY70" s="27">
        <f t="shared" si="89"/>
        <v>0</v>
      </c>
      <c r="CZ70" s="26"/>
      <c r="DA70" s="27"/>
      <c r="DB70" s="27">
        <v>0</v>
      </c>
      <c r="DC70" s="27"/>
      <c r="DD70" s="27">
        <f t="shared" si="90"/>
        <v>0</v>
      </c>
      <c r="DE70" s="27">
        <f t="shared" si="91"/>
        <v>0</v>
      </c>
      <c r="DF70" s="28">
        <f t="shared" si="92"/>
        <v>0</v>
      </c>
      <c r="DG70" s="28">
        <f t="shared" si="93"/>
        <v>0</v>
      </c>
      <c r="DH70" s="28">
        <f t="shared" si="94"/>
        <v>0</v>
      </c>
      <c r="DI70" s="28">
        <f t="shared" si="95"/>
        <v>0</v>
      </c>
      <c r="DJ70" s="27">
        <f t="shared" si="96"/>
        <v>0</v>
      </c>
      <c r="DK70" s="27">
        <f t="shared" si="97"/>
        <v>0</v>
      </c>
    </row>
    <row r="71" spans="1:115">
      <c r="A71" s="25">
        <v>63</v>
      </c>
      <c r="B71" s="26" t="s">
        <v>1161</v>
      </c>
      <c r="C71" s="26"/>
      <c r="D71" s="26"/>
      <c r="E71" s="205" t="s">
        <v>1200</v>
      </c>
      <c r="F71" s="161">
        <f t="shared" si="50"/>
        <v>0</v>
      </c>
      <c r="G71" s="165">
        <f t="shared" si="51"/>
        <v>0</v>
      </c>
      <c r="H71" s="27"/>
      <c r="I71" s="27">
        <v>0</v>
      </c>
      <c r="J71" s="27">
        <v>0</v>
      </c>
      <c r="K71" s="127">
        <f t="shared" si="52"/>
        <v>0</v>
      </c>
      <c r="L71" s="127">
        <f t="shared" si="53"/>
        <v>0</v>
      </c>
      <c r="M71" s="127">
        <f t="shared" si="54"/>
        <v>0</v>
      </c>
      <c r="N71" s="131"/>
      <c r="O71" s="125" t="str">
        <f t="shared" si="55"/>
        <v>ნულოვანი შესრულება</v>
      </c>
      <c r="P71" s="27">
        <v>0</v>
      </c>
      <c r="Q71" s="27">
        <v>0</v>
      </c>
      <c r="R71" s="27">
        <f t="shared" si="56"/>
        <v>0</v>
      </c>
      <c r="S71" s="27">
        <f t="shared" si="57"/>
        <v>0</v>
      </c>
      <c r="T71" s="27"/>
      <c r="U71" s="27"/>
      <c r="V71" s="27">
        <v>0</v>
      </c>
      <c r="W71" s="27"/>
      <c r="X71" s="27">
        <f t="shared" si="58"/>
        <v>0</v>
      </c>
      <c r="Y71" s="27">
        <f t="shared" si="59"/>
        <v>0</v>
      </c>
      <c r="Z71" s="27">
        <v>0</v>
      </c>
      <c r="AA71" s="27"/>
      <c r="AB71" s="27"/>
      <c r="AC71" s="27"/>
      <c r="AD71" s="27">
        <f t="shared" si="60"/>
        <v>0</v>
      </c>
      <c r="AE71" s="27">
        <f t="shared" si="61"/>
        <v>0</v>
      </c>
      <c r="AF71" s="27">
        <f t="shared" si="62"/>
        <v>0</v>
      </c>
      <c r="AG71" s="27">
        <f t="shared" si="63"/>
        <v>0</v>
      </c>
      <c r="AH71" s="27">
        <f t="shared" si="64"/>
        <v>0</v>
      </c>
      <c r="AI71" s="27">
        <f t="shared" si="65"/>
        <v>0</v>
      </c>
      <c r="AJ71" s="27">
        <f t="shared" si="66"/>
        <v>0</v>
      </c>
      <c r="AK71" s="27">
        <f t="shared" si="67"/>
        <v>0</v>
      </c>
      <c r="AL71" s="27"/>
      <c r="AM71" s="27"/>
      <c r="AN71" s="27">
        <v>0</v>
      </c>
      <c r="AO71" s="27"/>
      <c r="AP71" s="27">
        <f t="shared" si="68"/>
        <v>0</v>
      </c>
      <c r="AQ71" s="27">
        <f t="shared" si="69"/>
        <v>0</v>
      </c>
      <c r="AR71" s="27"/>
      <c r="AS71" s="27"/>
      <c r="AT71" s="27">
        <v>0</v>
      </c>
      <c r="AU71" s="27"/>
      <c r="AV71" s="27">
        <f t="shared" si="70"/>
        <v>0</v>
      </c>
      <c r="AW71" s="27">
        <f t="shared" si="71"/>
        <v>0</v>
      </c>
      <c r="AX71" s="27"/>
      <c r="AY71" s="27"/>
      <c r="AZ71" s="27">
        <v>0</v>
      </c>
      <c r="BA71" s="27"/>
      <c r="BB71" s="27">
        <f t="shared" si="72"/>
        <v>0</v>
      </c>
      <c r="BC71" s="27">
        <f t="shared" si="73"/>
        <v>0</v>
      </c>
      <c r="BD71" s="27"/>
      <c r="BE71" s="27"/>
      <c r="BF71" s="27">
        <v>0</v>
      </c>
      <c r="BG71" s="27"/>
      <c r="BH71" s="27">
        <f t="shared" si="74"/>
        <v>0</v>
      </c>
      <c r="BI71" s="27">
        <f t="shared" si="75"/>
        <v>0</v>
      </c>
      <c r="BJ71" s="27"/>
      <c r="BK71" s="27"/>
      <c r="BL71" s="27">
        <v>0</v>
      </c>
      <c r="BM71" s="27"/>
      <c r="BN71" s="27">
        <f t="shared" si="76"/>
        <v>0</v>
      </c>
      <c r="BO71" s="27">
        <f t="shared" si="77"/>
        <v>0</v>
      </c>
      <c r="BP71" s="26"/>
      <c r="BQ71" s="27"/>
      <c r="BR71" s="27">
        <v>0</v>
      </c>
      <c r="BS71" s="27"/>
      <c r="BT71" s="27">
        <f t="shared" si="78"/>
        <v>0</v>
      </c>
      <c r="BU71" s="27">
        <f t="shared" si="79"/>
        <v>0</v>
      </c>
      <c r="BV71" s="26"/>
      <c r="BW71" s="27"/>
      <c r="BX71" s="27">
        <v>0</v>
      </c>
      <c r="BY71" s="27"/>
      <c r="BZ71" s="27">
        <f t="shared" si="80"/>
        <v>0</v>
      </c>
      <c r="CA71" s="27">
        <f t="shared" si="81"/>
        <v>0</v>
      </c>
      <c r="CB71" s="26"/>
      <c r="CC71" s="27"/>
      <c r="CD71" s="27">
        <v>0</v>
      </c>
      <c r="CE71" s="27"/>
      <c r="CF71" s="27">
        <f t="shared" si="82"/>
        <v>0</v>
      </c>
      <c r="CG71" s="27">
        <f t="shared" si="83"/>
        <v>0</v>
      </c>
      <c r="CH71" s="26"/>
      <c r="CI71" s="27"/>
      <c r="CJ71" s="27">
        <v>0</v>
      </c>
      <c r="CK71" s="27"/>
      <c r="CL71" s="27">
        <f t="shared" si="84"/>
        <v>0</v>
      </c>
      <c r="CM71" s="27">
        <f t="shared" si="85"/>
        <v>0</v>
      </c>
      <c r="CN71" s="26"/>
      <c r="CO71" s="27"/>
      <c r="CP71" s="27">
        <v>0</v>
      </c>
      <c r="CQ71" s="27"/>
      <c r="CR71" s="27">
        <f t="shared" si="86"/>
        <v>0</v>
      </c>
      <c r="CS71" s="27">
        <f t="shared" si="87"/>
        <v>0</v>
      </c>
      <c r="CT71" s="26"/>
      <c r="CU71" s="27"/>
      <c r="CV71" s="27">
        <v>0</v>
      </c>
      <c r="CW71" s="27"/>
      <c r="CX71" s="27">
        <f t="shared" si="88"/>
        <v>0</v>
      </c>
      <c r="CY71" s="27">
        <f t="shared" si="89"/>
        <v>0</v>
      </c>
      <c r="CZ71" s="26"/>
      <c r="DA71" s="27"/>
      <c r="DB71" s="27">
        <v>0</v>
      </c>
      <c r="DC71" s="27"/>
      <c r="DD71" s="27">
        <f t="shared" si="90"/>
        <v>0</v>
      </c>
      <c r="DE71" s="27">
        <f t="shared" si="91"/>
        <v>0</v>
      </c>
      <c r="DF71" s="28">
        <f t="shared" si="92"/>
        <v>0</v>
      </c>
      <c r="DG71" s="28">
        <f t="shared" si="93"/>
        <v>0</v>
      </c>
      <c r="DH71" s="28">
        <f t="shared" si="94"/>
        <v>0</v>
      </c>
      <c r="DI71" s="28">
        <f t="shared" si="95"/>
        <v>0</v>
      </c>
      <c r="DJ71" s="27">
        <f t="shared" si="96"/>
        <v>0</v>
      </c>
      <c r="DK71" s="27">
        <f t="shared" si="97"/>
        <v>0</v>
      </c>
    </row>
    <row r="72" spans="1:115">
      <c r="A72" s="25">
        <v>64</v>
      </c>
      <c r="B72" s="26" t="s">
        <v>1161</v>
      </c>
      <c r="C72" s="26"/>
      <c r="D72" s="26"/>
      <c r="E72" s="205" t="s">
        <v>1200</v>
      </c>
      <c r="F72" s="161">
        <f t="shared" si="50"/>
        <v>0</v>
      </c>
      <c r="G72" s="165">
        <f t="shared" si="51"/>
        <v>0</v>
      </c>
      <c r="H72" s="27"/>
      <c r="I72" s="27">
        <v>0</v>
      </c>
      <c r="J72" s="27">
        <v>0</v>
      </c>
      <c r="K72" s="127">
        <f t="shared" si="52"/>
        <v>0</v>
      </c>
      <c r="L72" s="127">
        <f t="shared" si="53"/>
        <v>0</v>
      </c>
      <c r="M72" s="127">
        <f t="shared" si="54"/>
        <v>0</v>
      </c>
      <c r="N72" s="131"/>
      <c r="O72" s="125" t="str">
        <f t="shared" si="55"/>
        <v>ნულოვანი შესრულება</v>
      </c>
      <c r="P72" s="27">
        <v>0</v>
      </c>
      <c r="Q72" s="27">
        <v>0</v>
      </c>
      <c r="R72" s="27">
        <f t="shared" si="56"/>
        <v>0</v>
      </c>
      <c r="S72" s="27">
        <f t="shared" si="57"/>
        <v>0</v>
      </c>
      <c r="T72" s="27"/>
      <c r="U72" s="27"/>
      <c r="V72" s="27">
        <v>0</v>
      </c>
      <c r="W72" s="27"/>
      <c r="X72" s="27">
        <f t="shared" si="58"/>
        <v>0</v>
      </c>
      <c r="Y72" s="27">
        <f t="shared" si="59"/>
        <v>0</v>
      </c>
      <c r="Z72" s="27">
        <v>0</v>
      </c>
      <c r="AA72" s="27"/>
      <c r="AB72" s="27"/>
      <c r="AC72" s="27"/>
      <c r="AD72" s="27">
        <f t="shared" si="60"/>
        <v>0</v>
      </c>
      <c r="AE72" s="27">
        <f t="shared" si="61"/>
        <v>0</v>
      </c>
      <c r="AF72" s="27">
        <f t="shared" si="62"/>
        <v>0</v>
      </c>
      <c r="AG72" s="27">
        <f t="shared" si="63"/>
        <v>0</v>
      </c>
      <c r="AH72" s="27">
        <f t="shared" si="64"/>
        <v>0</v>
      </c>
      <c r="AI72" s="27">
        <f t="shared" si="65"/>
        <v>0</v>
      </c>
      <c r="AJ72" s="27">
        <f t="shared" si="66"/>
        <v>0</v>
      </c>
      <c r="AK72" s="27">
        <f t="shared" si="67"/>
        <v>0</v>
      </c>
      <c r="AL72" s="27"/>
      <c r="AM72" s="27"/>
      <c r="AN72" s="27">
        <v>0</v>
      </c>
      <c r="AO72" s="27"/>
      <c r="AP72" s="27">
        <f t="shared" si="68"/>
        <v>0</v>
      </c>
      <c r="AQ72" s="27">
        <f t="shared" si="69"/>
        <v>0</v>
      </c>
      <c r="AR72" s="27"/>
      <c r="AS72" s="27"/>
      <c r="AT72" s="27">
        <v>0</v>
      </c>
      <c r="AU72" s="27"/>
      <c r="AV72" s="27">
        <f t="shared" si="70"/>
        <v>0</v>
      </c>
      <c r="AW72" s="27">
        <f t="shared" si="71"/>
        <v>0</v>
      </c>
      <c r="AX72" s="27"/>
      <c r="AY72" s="27"/>
      <c r="AZ72" s="27">
        <v>0</v>
      </c>
      <c r="BA72" s="27"/>
      <c r="BB72" s="27">
        <f t="shared" si="72"/>
        <v>0</v>
      </c>
      <c r="BC72" s="27">
        <f t="shared" si="73"/>
        <v>0</v>
      </c>
      <c r="BD72" s="27"/>
      <c r="BE72" s="27"/>
      <c r="BF72" s="27">
        <v>0</v>
      </c>
      <c r="BG72" s="27"/>
      <c r="BH72" s="27">
        <f t="shared" si="74"/>
        <v>0</v>
      </c>
      <c r="BI72" s="27">
        <f t="shared" si="75"/>
        <v>0</v>
      </c>
      <c r="BJ72" s="27"/>
      <c r="BK72" s="27"/>
      <c r="BL72" s="27">
        <v>0</v>
      </c>
      <c r="BM72" s="27"/>
      <c r="BN72" s="27">
        <f t="shared" si="76"/>
        <v>0</v>
      </c>
      <c r="BO72" s="27">
        <f t="shared" si="77"/>
        <v>0</v>
      </c>
      <c r="BP72" s="26"/>
      <c r="BQ72" s="27"/>
      <c r="BR72" s="27">
        <v>0</v>
      </c>
      <c r="BS72" s="27"/>
      <c r="BT72" s="27">
        <f t="shared" si="78"/>
        <v>0</v>
      </c>
      <c r="BU72" s="27">
        <f t="shared" si="79"/>
        <v>0</v>
      </c>
      <c r="BV72" s="26"/>
      <c r="BW72" s="27"/>
      <c r="BX72" s="27">
        <v>0</v>
      </c>
      <c r="BY72" s="27"/>
      <c r="BZ72" s="27">
        <f t="shared" si="80"/>
        <v>0</v>
      </c>
      <c r="CA72" s="27">
        <f t="shared" si="81"/>
        <v>0</v>
      </c>
      <c r="CB72" s="26"/>
      <c r="CC72" s="27"/>
      <c r="CD72" s="27">
        <v>0</v>
      </c>
      <c r="CE72" s="27"/>
      <c r="CF72" s="27">
        <f t="shared" si="82"/>
        <v>0</v>
      </c>
      <c r="CG72" s="27">
        <f t="shared" si="83"/>
        <v>0</v>
      </c>
      <c r="CH72" s="26"/>
      <c r="CI72" s="27"/>
      <c r="CJ72" s="27">
        <v>0</v>
      </c>
      <c r="CK72" s="27"/>
      <c r="CL72" s="27">
        <f t="shared" si="84"/>
        <v>0</v>
      </c>
      <c r="CM72" s="27">
        <f t="shared" si="85"/>
        <v>0</v>
      </c>
      <c r="CN72" s="26"/>
      <c r="CO72" s="27"/>
      <c r="CP72" s="27">
        <v>0</v>
      </c>
      <c r="CQ72" s="27"/>
      <c r="CR72" s="27">
        <f t="shared" si="86"/>
        <v>0</v>
      </c>
      <c r="CS72" s="27">
        <f t="shared" si="87"/>
        <v>0</v>
      </c>
      <c r="CT72" s="26"/>
      <c r="CU72" s="27"/>
      <c r="CV72" s="27">
        <v>0</v>
      </c>
      <c r="CW72" s="27"/>
      <c r="CX72" s="27">
        <f t="shared" si="88"/>
        <v>0</v>
      </c>
      <c r="CY72" s="27">
        <f t="shared" si="89"/>
        <v>0</v>
      </c>
      <c r="CZ72" s="26"/>
      <c r="DA72" s="27"/>
      <c r="DB72" s="27">
        <v>0</v>
      </c>
      <c r="DC72" s="27"/>
      <c r="DD72" s="27">
        <f t="shared" si="90"/>
        <v>0</v>
      </c>
      <c r="DE72" s="27">
        <f t="shared" si="91"/>
        <v>0</v>
      </c>
      <c r="DF72" s="28">
        <f t="shared" si="92"/>
        <v>0</v>
      </c>
      <c r="DG72" s="28">
        <f t="shared" si="93"/>
        <v>0</v>
      </c>
      <c r="DH72" s="28">
        <f t="shared" si="94"/>
        <v>0</v>
      </c>
      <c r="DI72" s="28">
        <f t="shared" si="95"/>
        <v>0</v>
      </c>
      <c r="DJ72" s="27">
        <f t="shared" si="96"/>
        <v>0</v>
      </c>
      <c r="DK72" s="27">
        <f t="shared" si="97"/>
        <v>0</v>
      </c>
    </row>
    <row r="73" spans="1:115">
      <c r="A73" s="25">
        <v>65</v>
      </c>
      <c r="B73" s="26" t="s">
        <v>1161</v>
      </c>
      <c r="C73" s="26"/>
      <c r="D73" s="26"/>
      <c r="E73" s="205" t="s">
        <v>1200</v>
      </c>
      <c r="F73" s="161">
        <f t="shared" si="50"/>
        <v>0</v>
      </c>
      <c r="G73" s="165">
        <f t="shared" si="51"/>
        <v>0</v>
      </c>
      <c r="H73" s="27"/>
      <c r="I73" s="27">
        <v>0</v>
      </c>
      <c r="J73" s="27">
        <v>0</v>
      </c>
      <c r="K73" s="127">
        <f t="shared" si="52"/>
        <v>0</v>
      </c>
      <c r="L73" s="127">
        <f t="shared" si="53"/>
        <v>0</v>
      </c>
      <c r="M73" s="127">
        <f t="shared" si="54"/>
        <v>0</v>
      </c>
      <c r="N73" s="131"/>
      <c r="O73" s="125" t="str">
        <f t="shared" si="55"/>
        <v>ნულოვანი შესრულება</v>
      </c>
      <c r="P73" s="27">
        <v>0</v>
      </c>
      <c r="Q73" s="27">
        <v>0</v>
      </c>
      <c r="R73" s="27">
        <f t="shared" si="56"/>
        <v>0</v>
      </c>
      <c r="S73" s="27">
        <f t="shared" si="57"/>
        <v>0</v>
      </c>
      <c r="T73" s="27"/>
      <c r="U73" s="27"/>
      <c r="V73" s="27">
        <v>0</v>
      </c>
      <c r="W73" s="27"/>
      <c r="X73" s="27">
        <f t="shared" si="58"/>
        <v>0</v>
      </c>
      <c r="Y73" s="27">
        <f t="shared" si="59"/>
        <v>0</v>
      </c>
      <c r="Z73" s="27">
        <v>0</v>
      </c>
      <c r="AA73" s="27"/>
      <c r="AB73" s="27"/>
      <c r="AC73" s="27"/>
      <c r="AD73" s="27">
        <f t="shared" si="60"/>
        <v>0</v>
      </c>
      <c r="AE73" s="27">
        <f t="shared" si="61"/>
        <v>0</v>
      </c>
      <c r="AF73" s="27">
        <f t="shared" si="62"/>
        <v>0</v>
      </c>
      <c r="AG73" s="27">
        <f t="shared" si="63"/>
        <v>0</v>
      </c>
      <c r="AH73" s="27">
        <f t="shared" si="64"/>
        <v>0</v>
      </c>
      <c r="AI73" s="27">
        <f t="shared" si="65"/>
        <v>0</v>
      </c>
      <c r="AJ73" s="27">
        <f t="shared" si="66"/>
        <v>0</v>
      </c>
      <c r="AK73" s="27">
        <f t="shared" si="67"/>
        <v>0</v>
      </c>
      <c r="AL73" s="27"/>
      <c r="AM73" s="27"/>
      <c r="AN73" s="27">
        <v>0</v>
      </c>
      <c r="AO73" s="27"/>
      <c r="AP73" s="27">
        <f t="shared" si="68"/>
        <v>0</v>
      </c>
      <c r="AQ73" s="27">
        <f t="shared" si="69"/>
        <v>0</v>
      </c>
      <c r="AR73" s="27"/>
      <c r="AS73" s="27"/>
      <c r="AT73" s="27">
        <v>0</v>
      </c>
      <c r="AU73" s="27"/>
      <c r="AV73" s="27">
        <f t="shared" si="70"/>
        <v>0</v>
      </c>
      <c r="AW73" s="27">
        <f t="shared" si="71"/>
        <v>0</v>
      </c>
      <c r="AX73" s="27"/>
      <c r="AY73" s="27"/>
      <c r="AZ73" s="27">
        <v>0</v>
      </c>
      <c r="BA73" s="27"/>
      <c r="BB73" s="27">
        <f t="shared" si="72"/>
        <v>0</v>
      </c>
      <c r="BC73" s="27">
        <f t="shared" si="73"/>
        <v>0</v>
      </c>
      <c r="BD73" s="27"/>
      <c r="BE73" s="27"/>
      <c r="BF73" s="27">
        <v>0</v>
      </c>
      <c r="BG73" s="27"/>
      <c r="BH73" s="27">
        <f t="shared" si="74"/>
        <v>0</v>
      </c>
      <c r="BI73" s="27">
        <f t="shared" si="75"/>
        <v>0</v>
      </c>
      <c r="BJ73" s="27"/>
      <c r="BK73" s="27"/>
      <c r="BL73" s="27">
        <v>0</v>
      </c>
      <c r="BM73" s="27"/>
      <c r="BN73" s="27">
        <f t="shared" si="76"/>
        <v>0</v>
      </c>
      <c r="BO73" s="27">
        <f t="shared" si="77"/>
        <v>0</v>
      </c>
      <c r="BP73" s="26"/>
      <c r="BQ73" s="27"/>
      <c r="BR73" s="27">
        <v>0</v>
      </c>
      <c r="BS73" s="27"/>
      <c r="BT73" s="27">
        <f t="shared" si="78"/>
        <v>0</v>
      </c>
      <c r="BU73" s="27">
        <f t="shared" si="79"/>
        <v>0</v>
      </c>
      <c r="BV73" s="26"/>
      <c r="BW73" s="27"/>
      <c r="BX73" s="27">
        <v>0</v>
      </c>
      <c r="BY73" s="27"/>
      <c r="BZ73" s="27">
        <f t="shared" si="80"/>
        <v>0</v>
      </c>
      <c r="CA73" s="27">
        <f t="shared" si="81"/>
        <v>0</v>
      </c>
      <c r="CB73" s="26"/>
      <c r="CC73" s="27"/>
      <c r="CD73" s="27">
        <v>0</v>
      </c>
      <c r="CE73" s="27"/>
      <c r="CF73" s="27">
        <f t="shared" si="82"/>
        <v>0</v>
      </c>
      <c r="CG73" s="27">
        <f t="shared" si="83"/>
        <v>0</v>
      </c>
      <c r="CH73" s="26"/>
      <c r="CI73" s="27"/>
      <c r="CJ73" s="27">
        <v>0</v>
      </c>
      <c r="CK73" s="27"/>
      <c r="CL73" s="27">
        <f t="shared" si="84"/>
        <v>0</v>
      </c>
      <c r="CM73" s="27">
        <f t="shared" si="85"/>
        <v>0</v>
      </c>
      <c r="CN73" s="26"/>
      <c r="CO73" s="27"/>
      <c r="CP73" s="27">
        <v>0</v>
      </c>
      <c r="CQ73" s="27"/>
      <c r="CR73" s="27">
        <f t="shared" si="86"/>
        <v>0</v>
      </c>
      <c r="CS73" s="27">
        <f t="shared" si="87"/>
        <v>0</v>
      </c>
      <c r="CT73" s="26"/>
      <c r="CU73" s="27"/>
      <c r="CV73" s="27">
        <v>0</v>
      </c>
      <c r="CW73" s="27"/>
      <c r="CX73" s="27">
        <f t="shared" si="88"/>
        <v>0</v>
      </c>
      <c r="CY73" s="27">
        <f t="shared" si="89"/>
        <v>0</v>
      </c>
      <c r="CZ73" s="26"/>
      <c r="DA73" s="27"/>
      <c r="DB73" s="27">
        <v>0</v>
      </c>
      <c r="DC73" s="27"/>
      <c r="DD73" s="27">
        <f t="shared" si="90"/>
        <v>0</v>
      </c>
      <c r="DE73" s="27">
        <f t="shared" si="91"/>
        <v>0</v>
      </c>
      <c r="DF73" s="28">
        <f t="shared" si="92"/>
        <v>0</v>
      </c>
      <c r="DG73" s="28">
        <f t="shared" si="93"/>
        <v>0</v>
      </c>
      <c r="DH73" s="28">
        <f t="shared" si="94"/>
        <v>0</v>
      </c>
      <c r="DI73" s="28">
        <f t="shared" si="95"/>
        <v>0</v>
      </c>
      <c r="DJ73" s="27">
        <f t="shared" si="96"/>
        <v>0</v>
      </c>
      <c r="DK73" s="27">
        <f t="shared" si="97"/>
        <v>0</v>
      </c>
    </row>
    <row r="74" spans="1:115">
      <c r="A74" s="25">
        <v>66</v>
      </c>
      <c r="B74" s="26" t="s">
        <v>1161</v>
      </c>
      <c r="C74" s="26"/>
      <c r="D74" s="26"/>
      <c r="E74" s="205" t="s">
        <v>1200</v>
      </c>
      <c r="F74" s="161">
        <f t="shared" si="50"/>
        <v>0</v>
      </c>
      <c r="G74" s="165">
        <f t="shared" si="51"/>
        <v>0</v>
      </c>
      <c r="H74" s="27"/>
      <c r="I74" s="27">
        <v>0</v>
      </c>
      <c r="J74" s="27">
        <v>0</v>
      </c>
      <c r="K74" s="127">
        <f t="shared" si="52"/>
        <v>0</v>
      </c>
      <c r="L74" s="127">
        <f t="shared" si="53"/>
        <v>0</v>
      </c>
      <c r="M74" s="127">
        <f t="shared" si="54"/>
        <v>0</v>
      </c>
      <c r="N74" s="131"/>
      <c r="O74" s="125" t="str">
        <f t="shared" si="55"/>
        <v>ნულოვანი შესრულება</v>
      </c>
      <c r="P74" s="27">
        <v>0</v>
      </c>
      <c r="Q74" s="27">
        <v>0</v>
      </c>
      <c r="R74" s="27">
        <f t="shared" si="56"/>
        <v>0</v>
      </c>
      <c r="S74" s="27">
        <f t="shared" si="57"/>
        <v>0</v>
      </c>
      <c r="T74" s="27"/>
      <c r="U74" s="27"/>
      <c r="V74" s="27">
        <v>0</v>
      </c>
      <c r="W74" s="27"/>
      <c r="X74" s="27">
        <f t="shared" si="58"/>
        <v>0</v>
      </c>
      <c r="Y74" s="27">
        <f t="shared" si="59"/>
        <v>0</v>
      </c>
      <c r="Z74" s="27">
        <v>0</v>
      </c>
      <c r="AA74" s="27"/>
      <c r="AB74" s="27"/>
      <c r="AC74" s="27"/>
      <c r="AD74" s="27">
        <f t="shared" si="60"/>
        <v>0</v>
      </c>
      <c r="AE74" s="27">
        <f t="shared" si="61"/>
        <v>0</v>
      </c>
      <c r="AF74" s="27">
        <f t="shared" si="62"/>
        <v>0</v>
      </c>
      <c r="AG74" s="27">
        <f t="shared" si="63"/>
        <v>0</v>
      </c>
      <c r="AH74" s="27">
        <f t="shared" si="64"/>
        <v>0</v>
      </c>
      <c r="AI74" s="27">
        <f t="shared" si="65"/>
        <v>0</v>
      </c>
      <c r="AJ74" s="27">
        <f t="shared" si="66"/>
        <v>0</v>
      </c>
      <c r="AK74" s="27">
        <f t="shared" si="67"/>
        <v>0</v>
      </c>
      <c r="AL74" s="27"/>
      <c r="AM74" s="27"/>
      <c r="AN74" s="27">
        <v>0</v>
      </c>
      <c r="AO74" s="27"/>
      <c r="AP74" s="27">
        <f t="shared" si="68"/>
        <v>0</v>
      </c>
      <c r="AQ74" s="27">
        <f t="shared" si="69"/>
        <v>0</v>
      </c>
      <c r="AR74" s="27"/>
      <c r="AS74" s="27"/>
      <c r="AT74" s="27">
        <v>0</v>
      </c>
      <c r="AU74" s="27"/>
      <c r="AV74" s="27">
        <f t="shared" si="70"/>
        <v>0</v>
      </c>
      <c r="AW74" s="27">
        <f t="shared" si="71"/>
        <v>0</v>
      </c>
      <c r="AX74" s="27"/>
      <c r="AY74" s="27"/>
      <c r="AZ74" s="27">
        <v>0</v>
      </c>
      <c r="BA74" s="27"/>
      <c r="BB74" s="27">
        <f t="shared" si="72"/>
        <v>0</v>
      </c>
      <c r="BC74" s="27">
        <f t="shared" si="73"/>
        <v>0</v>
      </c>
      <c r="BD74" s="27"/>
      <c r="BE74" s="27"/>
      <c r="BF74" s="27">
        <v>0</v>
      </c>
      <c r="BG74" s="27"/>
      <c r="BH74" s="27">
        <f t="shared" si="74"/>
        <v>0</v>
      </c>
      <c r="BI74" s="27">
        <f t="shared" si="75"/>
        <v>0</v>
      </c>
      <c r="BJ74" s="27"/>
      <c r="BK74" s="27"/>
      <c r="BL74" s="27">
        <v>0</v>
      </c>
      <c r="BM74" s="27"/>
      <c r="BN74" s="27">
        <f t="shared" si="76"/>
        <v>0</v>
      </c>
      <c r="BO74" s="27">
        <f t="shared" si="77"/>
        <v>0</v>
      </c>
      <c r="BP74" s="26"/>
      <c r="BQ74" s="27"/>
      <c r="BR74" s="27">
        <v>0</v>
      </c>
      <c r="BS74" s="27"/>
      <c r="BT74" s="27">
        <f t="shared" si="78"/>
        <v>0</v>
      </c>
      <c r="BU74" s="27">
        <f t="shared" si="79"/>
        <v>0</v>
      </c>
      <c r="BV74" s="26"/>
      <c r="BW74" s="27"/>
      <c r="BX74" s="27">
        <v>0</v>
      </c>
      <c r="BY74" s="27"/>
      <c r="BZ74" s="27">
        <f t="shared" si="80"/>
        <v>0</v>
      </c>
      <c r="CA74" s="27">
        <f t="shared" si="81"/>
        <v>0</v>
      </c>
      <c r="CB74" s="26"/>
      <c r="CC74" s="27"/>
      <c r="CD74" s="27">
        <v>0</v>
      </c>
      <c r="CE74" s="27"/>
      <c r="CF74" s="27">
        <f t="shared" si="82"/>
        <v>0</v>
      </c>
      <c r="CG74" s="27">
        <f t="shared" si="83"/>
        <v>0</v>
      </c>
      <c r="CH74" s="26"/>
      <c r="CI74" s="27"/>
      <c r="CJ74" s="27">
        <v>0</v>
      </c>
      <c r="CK74" s="27"/>
      <c r="CL74" s="27">
        <f t="shared" si="84"/>
        <v>0</v>
      </c>
      <c r="CM74" s="27">
        <f t="shared" si="85"/>
        <v>0</v>
      </c>
      <c r="CN74" s="26"/>
      <c r="CO74" s="27"/>
      <c r="CP74" s="27">
        <v>0</v>
      </c>
      <c r="CQ74" s="27"/>
      <c r="CR74" s="27">
        <f t="shared" si="86"/>
        <v>0</v>
      </c>
      <c r="CS74" s="27">
        <f t="shared" si="87"/>
        <v>0</v>
      </c>
      <c r="CT74" s="26"/>
      <c r="CU74" s="27"/>
      <c r="CV74" s="27">
        <v>0</v>
      </c>
      <c r="CW74" s="27"/>
      <c r="CX74" s="27">
        <f t="shared" si="88"/>
        <v>0</v>
      </c>
      <c r="CY74" s="27">
        <f t="shared" si="89"/>
        <v>0</v>
      </c>
      <c r="CZ74" s="26"/>
      <c r="DA74" s="27"/>
      <c r="DB74" s="27">
        <v>0</v>
      </c>
      <c r="DC74" s="27"/>
      <c r="DD74" s="27">
        <f t="shared" si="90"/>
        <v>0</v>
      </c>
      <c r="DE74" s="27">
        <f t="shared" si="91"/>
        <v>0</v>
      </c>
      <c r="DF74" s="28">
        <f t="shared" si="92"/>
        <v>0</v>
      </c>
      <c r="DG74" s="28">
        <f t="shared" si="93"/>
        <v>0</v>
      </c>
      <c r="DH74" s="28">
        <f t="shared" si="94"/>
        <v>0</v>
      </c>
      <c r="DI74" s="28">
        <f t="shared" si="95"/>
        <v>0</v>
      </c>
      <c r="DJ74" s="27">
        <f t="shared" si="96"/>
        <v>0</v>
      </c>
      <c r="DK74" s="27">
        <f t="shared" si="97"/>
        <v>0</v>
      </c>
    </row>
    <row r="75" spans="1:115">
      <c r="A75" s="25">
        <v>67</v>
      </c>
      <c r="B75" s="26" t="s">
        <v>1161</v>
      </c>
      <c r="C75" s="26"/>
      <c r="D75" s="26"/>
      <c r="E75" s="205" t="s">
        <v>1200</v>
      </c>
      <c r="F75" s="161">
        <f t="shared" si="50"/>
        <v>0</v>
      </c>
      <c r="G75" s="165">
        <f t="shared" si="51"/>
        <v>0</v>
      </c>
      <c r="H75" s="27"/>
      <c r="I75" s="27">
        <v>0</v>
      </c>
      <c r="J75" s="27">
        <v>0</v>
      </c>
      <c r="K75" s="127">
        <f t="shared" si="52"/>
        <v>0</v>
      </c>
      <c r="L75" s="127">
        <f t="shared" si="53"/>
        <v>0</v>
      </c>
      <c r="M75" s="127">
        <f t="shared" si="54"/>
        <v>0</v>
      </c>
      <c r="N75" s="131"/>
      <c r="O75" s="125" t="str">
        <f t="shared" si="55"/>
        <v>ნულოვანი შესრულება</v>
      </c>
      <c r="P75" s="27">
        <v>0</v>
      </c>
      <c r="Q75" s="27">
        <v>0</v>
      </c>
      <c r="R75" s="27">
        <f t="shared" si="56"/>
        <v>0</v>
      </c>
      <c r="S75" s="27">
        <f t="shared" si="57"/>
        <v>0</v>
      </c>
      <c r="T75" s="27"/>
      <c r="U75" s="27"/>
      <c r="V75" s="27">
        <v>0</v>
      </c>
      <c r="W75" s="27"/>
      <c r="X75" s="27">
        <f t="shared" si="58"/>
        <v>0</v>
      </c>
      <c r="Y75" s="27">
        <f t="shared" si="59"/>
        <v>0</v>
      </c>
      <c r="Z75" s="27">
        <v>0</v>
      </c>
      <c r="AA75" s="27"/>
      <c r="AB75" s="27"/>
      <c r="AC75" s="27"/>
      <c r="AD75" s="27">
        <f t="shared" si="60"/>
        <v>0</v>
      </c>
      <c r="AE75" s="27">
        <f t="shared" si="61"/>
        <v>0</v>
      </c>
      <c r="AF75" s="27">
        <f t="shared" si="62"/>
        <v>0</v>
      </c>
      <c r="AG75" s="27">
        <f t="shared" si="63"/>
        <v>0</v>
      </c>
      <c r="AH75" s="27">
        <f t="shared" si="64"/>
        <v>0</v>
      </c>
      <c r="AI75" s="27">
        <f t="shared" si="65"/>
        <v>0</v>
      </c>
      <c r="AJ75" s="27">
        <f t="shared" si="66"/>
        <v>0</v>
      </c>
      <c r="AK75" s="27">
        <f t="shared" si="67"/>
        <v>0</v>
      </c>
      <c r="AL75" s="27"/>
      <c r="AM75" s="27"/>
      <c r="AN75" s="27">
        <v>0</v>
      </c>
      <c r="AO75" s="27"/>
      <c r="AP75" s="27">
        <f t="shared" si="68"/>
        <v>0</v>
      </c>
      <c r="AQ75" s="27">
        <f t="shared" si="69"/>
        <v>0</v>
      </c>
      <c r="AR75" s="27"/>
      <c r="AS75" s="27"/>
      <c r="AT75" s="27">
        <v>0</v>
      </c>
      <c r="AU75" s="27"/>
      <c r="AV75" s="27">
        <f t="shared" si="70"/>
        <v>0</v>
      </c>
      <c r="AW75" s="27">
        <f t="shared" si="71"/>
        <v>0</v>
      </c>
      <c r="AX75" s="27"/>
      <c r="AY75" s="27"/>
      <c r="AZ75" s="27">
        <v>0</v>
      </c>
      <c r="BA75" s="27"/>
      <c r="BB75" s="27">
        <f t="shared" si="72"/>
        <v>0</v>
      </c>
      <c r="BC75" s="27">
        <f t="shared" si="73"/>
        <v>0</v>
      </c>
      <c r="BD75" s="27"/>
      <c r="BE75" s="27"/>
      <c r="BF75" s="27">
        <v>0</v>
      </c>
      <c r="BG75" s="27"/>
      <c r="BH75" s="27">
        <f t="shared" si="74"/>
        <v>0</v>
      </c>
      <c r="BI75" s="27">
        <f t="shared" si="75"/>
        <v>0</v>
      </c>
      <c r="BJ75" s="27"/>
      <c r="BK75" s="27"/>
      <c r="BL75" s="27">
        <v>0</v>
      </c>
      <c r="BM75" s="27"/>
      <c r="BN75" s="27">
        <f t="shared" si="76"/>
        <v>0</v>
      </c>
      <c r="BO75" s="27">
        <f t="shared" si="77"/>
        <v>0</v>
      </c>
      <c r="BP75" s="26"/>
      <c r="BQ75" s="27"/>
      <c r="BR75" s="27">
        <v>0</v>
      </c>
      <c r="BS75" s="27"/>
      <c r="BT75" s="27">
        <f t="shared" si="78"/>
        <v>0</v>
      </c>
      <c r="BU75" s="27">
        <f t="shared" si="79"/>
        <v>0</v>
      </c>
      <c r="BV75" s="26"/>
      <c r="BW75" s="27"/>
      <c r="BX75" s="27">
        <v>0</v>
      </c>
      <c r="BY75" s="27"/>
      <c r="BZ75" s="27">
        <f t="shared" si="80"/>
        <v>0</v>
      </c>
      <c r="CA75" s="27">
        <f t="shared" si="81"/>
        <v>0</v>
      </c>
      <c r="CB75" s="26"/>
      <c r="CC75" s="27"/>
      <c r="CD75" s="27">
        <v>0</v>
      </c>
      <c r="CE75" s="27"/>
      <c r="CF75" s="27">
        <f t="shared" si="82"/>
        <v>0</v>
      </c>
      <c r="CG75" s="27">
        <f t="shared" si="83"/>
        <v>0</v>
      </c>
      <c r="CH75" s="26"/>
      <c r="CI75" s="27"/>
      <c r="CJ75" s="27">
        <v>0</v>
      </c>
      <c r="CK75" s="27"/>
      <c r="CL75" s="27">
        <f t="shared" si="84"/>
        <v>0</v>
      </c>
      <c r="CM75" s="27">
        <f t="shared" si="85"/>
        <v>0</v>
      </c>
      <c r="CN75" s="26"/>
      <c r="CO75" s="27"/>
      <c r="CP75" s="27">
        <v>0</v>
      </c>
      <c r="CQ75" s="27"/>
      <c r="CR75" s="27">
        <f t="shared" si="86"/>
        <v>0</v>
      </c>
      <c r="CS75" s="27">
        <f t="shared" si="87"/>
        <v>0</v>
      </c>
      <c r="CT75" s="26"/>
      <c r="CU75" s="27"/>
      <c r="CV75" s="27">
        <v>0</v>
      </c>
      <c r="CW75" s="27"/>
      <c r="CX75" s="27">
        <f t="shared" si="88"/>
        <v>0</v>
      </c>
      <c r="CY75" s="27">
        <f t="shared" si="89"/>
        <v>0</v>
      </c>
      <c r="CZ75" s="26"/>
      <c r="DA75" s="27"/>
      <c r="DB75" s="27">
        <v>0</v>
      </c>
      <c r="DC75" s="27"/>
      <c r="DD75" s="27">
        <f t="shared" si="90"/>
        <v>0</v>
      </c>
      <c r="DE75" s="27">
        <f t="shared" si="91"/>
        <v>0</v>
      </c>
      <c r="DF75" s="28">
        <f t="shared" si="92"/>
        <v>0</v>
      </c>
      <c r="DG75" s="28">
        <f t="shared" si="93"/>
        <v>0</v>
      </c>
      <c r="DH75" s="28">
        <f t="shared" si="94"/>
        <v>0</v>
      </c>
      <c r="DI75" s="28">
        <f t="shared" si="95"/>
        <v>0</v>
      </c>
      <c r="DJ75" s="27">
        <f t="shared" si="96"/>
        <v>0</v>
      </c>
      <c r="DK75" s="27">
        <f t="shared" si="97"/>
        <v>0</v>
      </c>
    </row>
    <row r="76" spans="1:115">
      <c r="A76" s="25">
        <v>68</v>
      </c>
      <c r="B76" s="26" t="s">
        <v>1161</v>
      </c>
      <c r="C76" s="26"/>
      <c r="D76" s="26"/>
      <c r="E76" s="205" t="s">
        <v>1200</v>
      </c>
      <c r="F76" s="161">
        <f t="shared" si="50"/>
        <v>0</v>
      </c>
      <c r="G76" s="165">
        <f t="shared" si="51"/>
        <v>0</v>
      </c>
      <c r="H76" s="27"/>
      <c r="I76" s="27">
        <v>0</v>
      </c>
      <c r="J76" s="27">
        <v>0</v>
      </c>
      <c r="K76" s="127">
        <f t="shared" si="52"/>
        <v>0</v>
      </c>
      <c r="L76" s="127">
        <f t="shared" si="53"/>
        <v>0</v>
      </c>
      <c r="M76" s="127">
        <f t="shared" si="54"/>
        <v>0</v>
      </c>
      <c r="N76" s="131"/>
      <c r="O76" s="125" t="str">
        <f t="shared" si="55"/>
        <v>ნულოვანი შესრულება</v>
      </c>
      <c r="P76" s="27">
        <v>0</v>
      </c>
      <c r="Q76" s="27">
        <v>0</v>
      </c>
      <c r="R76" s="27">
        <f t="shared" si="56"/>
        <v>0</v>
      </c>
      <c r="S76" s="27">
        <f t="shared" si="57"/>
        <v>0</v>
      </c>
      <c r="T76" s="27"/>
      <c r="U76" s="27"/>
      <c r="V76" s="27">
        <v>0</v>
      </c>
      <c r="W76" s="27"/>
      <c r="X76" s="27">
        <f t="shared" si="58"/>
        <v>0</v>
      </c>
      <c r="Y76" s="27">
        <f t="shared" si="59"/>
        <v>0</v>
      </c>
      <c r="Z76" s="27">
        <v>0</v>
      </c>
      <c r="AA76" s="27"/>
      <c r="AB76" s="27"/>
      <c r="AC76" s="27"/>
      <c r="AD76" s="27">
        <f t="shared" si="60"/>
        <v>0</v>
      </c>
      <c r="AE76" s="27">
        <f t="shared" si="61"/>
        <v>0</v>
      </c>
      <c r="AF76" s="27">
        <f t="shared" si="62"/>
        <v>0</v>
      </c>
      <c r="AG76" s="27">
        <f t="shared" si="63"/>
        <v>0</v>
      </c>
      <c r="AH76" s="27">
        <f t="shared" si="64"/>
        <v>0</v>
      </c>
      <c r="AI76" s="27">
        <f t="shared" si="65"/>
        <v>0</v>
      </c>
      <c r="AJ76" s="27">
        <f t="shared" si="66"/>
        <v>0</v>
      </c>
      <c r="AK76" s="27">
        <f t="shared" si="67"/>
        <v>0</v>
      </c>
      <c r="AL76" s="27"/>
      <c r="AM76" s="27"/>
      <c r="AN76" s="27">
        <v>0</v>
      </c>
      <c r="AO76" s="27"/>
      <c r="AP76" s="27">
        <f t="shared" si="68"/>
        <v>0</v>
      </c>
      <c r="AQ76" s="27">
        <f t="shared" si="69"/>
        <v>0</v>
      </c>
      <c r="AR76" s="27"/>
      <c r="AS76" s="27"/>
      <c r="AT76" s="27">
        <v>0</v>
      </c>
      <c r="AU76" s="27"/>
      <c r="AV76" s="27">
        <f t="shared" si="70"/>
        <v>0</v>
      </c>
      <c r="AW76" s="27">
        <f t="shared" si="71"/>
        <v>0</v>
      </c>
      <c r="AX76" s="27"/>
      <c r="AY76" s="27"/>
      <c r="AZ76" s="27">
        <v>0</v>
      </c>
      <c r="BA76" s="27"/>
      <c r="BB76" s="27">
        <f t="shared" si="72"/>
        <v>0</v>
      </c>
      <c r="BC76" s="27">
        <f t="shared" si="73"/>
        <v>0</v>
      </c>
      <c r="BD76" s="27"/>
      <c r="BE76" s="27"/>
      <c r="BF76" s="27">
        <v>0</v>
      </c>
      <c r="BG76" s="27"/>
      <c r="BH76" s="27">
        <f t="shared" si="74"/>
        <v>0</v>
      </c>
      <c r="BI76" s="27">
        <f t="shared" si="75"/>
        <v>0</v>
      </c>
      <c r="BJ76" s="27"/>
      <c r="BK76" s="27"/>
      <c r="BL76" s="27">
        <v>0</v>
      </c>
      <c r="BM76" s="27"/>
      <c r="BN76" s="27">
        <f t="shared" si="76"/>
        <v>0</v>
      </c>
      <c r="BO76" s="27">
        <f t="shared" si="77"/>
        <v>0</v>
      </c>
      <c r="BP76" s="26"/>
      <c r="BQ76" s="27"/>
      <c r="BR76" s="27">
        <v>0</v>
      </c>
      <c r="BS76" s="27"/>
      <c r="BT76" s="27">
        <f t="shared" si="78"/>
        <v>0</v>
      </c>
      <c r="BU76" s="27">
        <f t="shared" si="79"/>
        <v>0</v>
      </c>
      <c r="BV76" s="26"/>
      <c r="BW76" s="27"/>
      <c r="BX76" s="27">
        <v>0</v>
      </c>
      <c r="BY76" s="27"/>
      <c r="BZ76" s="27">
        <f t="shared" si="80"/>
        <v>0</v>
      </c>
      <c r="CA76" s="27">
        <f t="shared" si="81"/>
        <v>0</v>
      </c>
      <c r="CB76" s="26"/>
      <c r="CC76" s="27"/>
      <c r="CD76" s="27">
        <v>0</v>
      </c>
      <c r="CE76" s="27"/>
      <c r="CF76" s="27">
        <f t="shared" si="82"/>
        <v>0</v>
      </c>
      <c r="CG76" s="27">
        <f t="shared" si="83"/>
        <v>0</v>
      </c>
      <c r="CH76" s="26"/>
      <c r="CI76" s="27"/>
      <c r="CJ76" s="27">
        <v>0</v>
      </c>
      <c r="CK76" s="27"/>
      <c r="CL76" s="27">
        <f t="shared" si="84"/>
        <v>0</v>
      </c>
      <c r="CM76" s="27">
        <f t="shared" si="85"/>
        <v>0</v>
      </c>
      <c r="CN76" s="26"/>
      <c r="CO76" s="27"/>
      <c r="CP76" s="27">
        <v>0</v>
      </c>
      <c r="CQ76" s="27"/>
      <c r="CR76" s="27">
        <f t="shared" si="86"/>
        <v>0</v>
      </c>
      <c r="CS76" s="27">
        <f t="shared" si="87"/>
        <v>0</v>
      </c>
      <c r="CT76" s="26"/>
      <c r="CU76" s="27"/>
      <c r="CV76" s="27">
        <v>0</v>
      </c>
      <c r="CW76" s="27"/>
      <c r="CX76" s="27">
        <f t="shared" si="88"/>
        <v>0</v>
      </c>
      <c r="CY76" s="27">
        <f t="shared" si="89"/>
        <v>0</v>
      </c>
      <c r="CZ76" s="26"/>
      <c r="DA76" s="27"/>
      <c r="DB76" s="27">
        <v>0</v>
      </c>
      <c r="DC76" s="27"/>
      <c r="DD76" s="27">
        <f t="shared" si="90"/>
        <v>0</v>
      </c>
      <c r="DE76" s="27">
        <f t="shared" si="91"/>
        <v>0</v>
      </c>
      <c r="DF76" s="28">
        <f t="shared" si="92"/>
        <v>0</v>
      </c>
      <c r="DG76" s="28">
        <f t="shared" si="93"/>
        <v>0</v>
      </c>
      <c r="DH76" s="28">
        <f t="shared" si="94"/>
        <v>0</v>
      </c>
      <c r="DI76" s="28">
        <f t="shared" si="95"/>
        <v>0</v>
      </c>
      <c r="DJ76" s="27">
        <f t="shared" si="96"/>
        <v>0</v>
      </c>
      <c r="DK76" s="27">
        <f t="shared" si="97"/>
        <v>0</v>
      </c>
    </row>
    <row r="77" spans="1:115">
      <c r="A77" s="25">
        <v>69</v>
      </c>
      <c r="B77" s="26" t="s">
        <v>1161</v>
      </c>
      <c r="C77" s="26"/>
      <c r="D77" s="26"/>
      <c r="E77" s="205" t="s">
        <v>1200</v>
      </c>
      <c r="F77" s="161">
        <f t="shared" si="50"/>
        <v>0</v>
      </c>
      <c r="G77" s="165">
        <f t="shared" si="51"/>
        <v>0</v>
      </c>
      <c r="H77" s="27"/>
      <c r="I77" s="27">
        <v>0</v>
      </c>
      <c r="J77" s="27">
        <v>0</v>
      </c>
      <c r="K77" s="127">
        <f t="shared" si="52"/>
        <v>0</v>
      </c>
      <c r="L77" s="127">
        <f t="shared" si="53"/>
        <v>0</v>
      </c>
      <c r="M77" s="127">
        <f t="shared" si="54"/>
        <v>0</v>
      </c>
      <c r="N77" s="131"/>
      <c r="O77" s="125" t="str">
        <f t="shared" si="55"/>
        <v>ნულოვანი შესრულება</v>
      </c>
      <c r="P77" s="27">
        <v>0</v>
      </c>
      <c r="Q77" s="27">
        <v>0</v>
      </c>
      <c r="R77" s="27">
        <f t="shared" si="56"/>
        <v>0</v>
      </c>
      <c r="S77" s="27">
        <f t="shared" si="57"/>
        <v>0</v>
      </c>
      <c r="T77" s="27"/>
      <c r="U77" s="27"/>
      <c r="V77" s="27">
        <v>0</v>
      </c>
      <c r="W77" s="27"/>
      <c r="X77" s="27">
        <f t="shared" si="58"/>
        <v>0</v>
      </c>
      <c r="Y77" s="27">
        <f t="shared" si="59"/>
        <v>0</v>
      </c>
      <c r="Z77" s="27">
        <v>0</v>
      </c>
      <c r="AA77" s="27"/>
      <c r="AB77" s="27"/>
      <c r="AC77" s="27"/>
      <c r="AD77" s="27">
        <f t="shared" si="60"/>
        <v>0</v>
      </c>
      <c r="AE77" s="27">
        <f t="shared" si="61"/>
        <v>0</v>
      </c>
      <c r="AF77" s="27">
        <f t="shared" si="62"/>
        <v>0</v>
      </c>
      <c r="AG77" s="27">
        <f t="shared" si="63"/>
        <v>0</v>
      </c>
      <c r="AH77" s="27">
        <f t="shared" si="64"/>
        <v>0</v>
      </c>
      <c r="AI77" s="27">
        <f t="shared" si="65"/>
        <v>0</v>
      </c>
      <c r="AJ77" s="27">
        <f t="shared" si="66"/>
        <v>0</v>
      </c>
      <c r="AK77" s="27">
        <f t="shared" si="67"/>
        <v>0</v>
      </c>
      <c r="AL77" s="27"/>
      <c r="AM77" s="27"/>
      <c r="AN77" s="27">
        <v>0</v>
      </c>
      <c r="AO77" s="27"/>
      <c r="AP77" s="27">
        <f t="shared" si="68"/>
        <v>0</v>
      </c>
      <c r="AQ77" s="27">
        <f t="shared" si="69"/>
        <v>0</v>
      </c>
      <c r="AR77" s="27"/>
      <c r="AS77" s="27"/>
      <c r="AT77" s="27">
        <v>0</v>
      </c>
      <c r="AU77" s="27"/>
      <c r="AV77" s="27">
        <f t="shared" si="70"/>
        <v>0</v>
      </c>
      <c r="AW77" s="27">
        <f t="shared" si="71"/>
        <v>0</v>
      </c>
      <c r="AX77" s="27"/>
      <c r="AY77" s="27"/>
      <c r="AZ77" s="27">
        <v>0</v>
      </c>
      <c r="BA77" s="27"/>
      <c r="BB77" s="27">
        <f t="shared" si="72"/>
        <v>0</v>
      </c>
      <c r="BC77" s="27">
        <f t="shared" si="73"/>
        <v>0</v>
      </c>
      <c r="BD77" s="27"/>
      <c r="BE77" s="27"/>
      <c r="BF77" s="27">
        <v>0</v>
      </c>
      <c r="BG77" s="27"/>
      <c r="BH77" s="27">
        <f t="shared" si="74"/>
        <v>0</v>
      </c>
      <c r="BI77" s="27">
        <f t="shared" si="75"/>
        <v>0</v>
      </c>
      <c r="BJ77" s="27"/>
      <c r="BK77" s="27"/>
      <c r="BL77" s="27">
        <v>0</v>
      </c>
      <c r="BM77" s="27"/>
      <c r="BN77" s="27">
        <f t="shared" si="76"/>
        <v>0</v>
      </c>
      <c r="BO77" s="27">
        <f t="shared" si="77"/>
        <v>0</v>
      </c>
      <c r="BP77" s="26"/>
      <c r="BQ77" s="27"/>
      <c r="BR77" s="27">
        <v>0</v>
      </c>
      <c r="BS77" s="27"/>
      <c r="BT77" s="27">
        <f t="shared" si="78"/>
        <v>0</v>
      </c>
      <c r="BU77" s="27">
        <f t="shared" si="79"/>
        <v>0</v>
      </c>
      <c r="BV77" s="26"/>
      <c r="BW77" s="27"/>
      <c r="BX77" s="27">
        <v>0</v>
      </c>
      <c r="BY77" s="27"/>
      <c r="BZ77" s="27">
        <f t="shared" si="80"/>
        <v>0</v>
      </c>
      <c r="CA77" s="27">
        <f t="shared" si="81"/>
        <v>0</v>
      </c>
      <c r="CB77" s="26"/>
      <c r="CC77" s="27"/>
      <c r="CD77" s="27">
        <v>0</v>
      </c>
      <c r="CE77" s="27"/>
      <c r="CF77" s="27">
        <f t="shared" si="82"/>
        <v>0</v>
      </c>
      <c r="CG77" s="27">
        <f t="shared" si="83"/>
        <v>0</v>
      </c>
      <c r="CH77" s="26"/>
      <c r="CI77" s="27"/>
      <c r="CJ77" s="27">
        <v>0</v>
      </c>
      <c r="CK77" s="27"/>
      <c r="CL77" s="27">
        <f t="shared" si="84"/>
        <v>0</v>
      </c>
      <c r="CM77" s="27">
        <f t="shared" si="85"/>
        <v>0</v>
      </c>
      <c r="CN77" s="26"/>
      <c r="CO77" s="27"/>
      <c r="CP77" s="27">
        <v>0</v>
      </c>
      <c r="CQ77" s="27"/>
      <c r="CR77" s="27">
        <f t="shared" si="86"/>
        <v>0</v>
      </c>
      <c r="CS77" s="27">
        <f t="shared" si="87"/>
        <v>0</v>
      </c>
      <c r="CT77" s="26"/>
      <c r="CU77" s="27"/>
      <c r="CV77" s="27">
        <v>0</v>
      </c>
      <c r="CW77" s="27"/>
      <c r="CX77" s="27">
        <f t="shared" si="88"/>
        <v>0</v>
      </c>
      <c r="CY77" s="27">
        <f t="shared" si="89"/>
        <v>0</v>
      </c>
      <c r="CZ77" s="26"/>
      <c r="DA77" s="27"/>
      <c r="DB77" s="27">
        <v>0</v>
      </c>
      <c r="DC77" s="27"/>
      <c r="DD77" s="27">
        <f t="shared" si="90"/>
        <v>0</v>
      </c>
      <c r="DE77" s="27">
        <f t="shared" si="91"/>
        <v>0</v>
      </c>
      <c r="DF77" s="28">
        <f t="shared" si="92"/>
        <v>0</v>
      </c>
      <c r="DG77" s="28">
        <f t="shared" si="93"/>
        <v>0</v>
      </c>
      <c r="DH77" s="28">
        <f t="shared" si="94"/>
        <v>0</v>
      </c>
      <c r="DI77" s="28">
        <f t="shared" si="95"/>
        <v>0</v>
      </c>
      <c r="DJ77" s="27">
        <f t="shared" si="96"/>
        <v>0</v>
      </c>
      <c r="DK77" s="27">
        <f t="shared" si="97"/>
        <v>0</v>
      </c>
    </row>
    <row r="78" spans="1:115">
      <c r="A78" s="25">
        <v>70</v>
      </c>
      <c r="B78" s="26" t="s">
        <v>1161</v>
      </c>
      <c r="C78" s="26"/>
      <c r="D78" s="26"/>
      <c r="E78" s="205" t="s">
        <v>1200</v>
      </c>
      <c r="F78" s="161">
        <f t="shared" si="50"/>
        <v>0</v>
      </c>
      <c r="G78" s="165">
        <f t="shared" si="51"/>
        <v>0</v>
      </c>
      <c r="H78" s="27"/>
      <c r="I78" s="27">
        <v>0</v>
      </c>
      <c r="J78" s="27">
        <v>0</v>
      </c>
      <c r="K78" s="127">
        <f t="shared" si="52"/>
        <v>0</v>
      </c>
      <c r="L78" s="127">
        <f t="shared" si="53"/>
        <v>0</v>
      </c>
      <c r="M78" s="127">
        <f t="shared" si="54"/>
        <v>0</v>
      </c>
      <c r="N78" s="131"/>
      <c r="O78" s="125" t="str">
        <f t="shared" si="55"/>
        <v>ნულოვანი შესრულება</v>
      </c>
      <c r="P78" s="27">
        <v>0</v>
      </c>
      <c r="Q78" s="27">
        <v>0</v>
      </c>
      <c r="R78" s="27">
        <f t="shared" si="56"/>
        <v>0</v>
      </c>
      <c r="S78" s="27">
        <f t="shared" si="57"/>
        <v>0</v>
      </c>
      <c r="T78" s="27"/>
      <c r="U78" s="27"/>
      <c r="V78" s="27">
        <v>0</v>
      </c>
      <c r="W78" s="27"/>
      <c r="X78" s="27">
        <f t="shared" si="58"/>
        <v>0</v>
      </c>
      <c r="Y78" s="27">
        <f t="shared" si="59"/>
        <v>0</v>
      </c>
      <c r="Z78" s="27">
        <v>0</v>
      </c>
      <c r="AA78" s="27"/>
      <c r="AB78" s="27"/>
      <c r="AC78" s="27"/>
      <c r="AD78" s="27">
        <f t="shared" si="60"/>
        <v>0</v>
      </c>
      <c r="AE78" s="27">
        <f t="shared" si="61"/>
        <v>0</v>
      </c>
      <c r="AF78" s="27">
        <f t="shared" si="62"/>
        <v>0</v>
      </c>
      <c r="AG78" s="27">
        <f t="shared" si="63"/>
        <v>0</v>
      </c>
      <c r="AH78" s="27">
        <f t="shared" si="64"/>
        <v>0</v>
      </c>
      <c r="AI78" s="27">
        <f t="shared" si="65"/>
        <v>0</v>
      </c>
      <c r="AJ78" s="27">
        <f t="shared" si="66"/>
        <v>0</v>
      </c>
      <c r="AK78" s="27">
        <f t="shared" si="67"/>
        <v>0</v>
      </c>
      <c r="AL78" s="27"/>
      <c r="AM78" s="27"/>
      <c r="AN78" s="27">
        <v>0</v>
      </c>
      <c r="AO78" s="27"/>
      <c r="AP78" s="27">
        <f t="shared" si="68"/>
        <v>0</v>
      </c>
      <c r="AQ78" s="27">
        <f t="shared" si="69"/>
        <v>0</v>
      </c>
      <c r="AR78" s="27"/>
      <c r="AS78" s="27"/>
      <c r="AT78" s="27">
        <v>0</v>
      </c>
      <c r="AU78" s="27"/>
      <c r="AV78" s="27">
        <f t="shared" si="70"/>
        <v>0</v>
      </c>
      <c r="AW78" s="27">
        <f t="shared" si="71"/>
        <v>0</v>
      </c>
      <c r="AX78" s="27"/>
      <c r="AY78" s="27"/>
      <c r="AZ78" s="27">
        <v>0</v>
      </c>
      <c r="BA78" s="27"/>
      <c r="BB78" s="27">
        <f t="shared" si="72"/>
        <v>0</v>
      </c>
      <c r="BC78" s="27">
        <f t="shared" si="73"/>
        <v>0</v>
      </c>
      <c r="BD78" s="27"/>
      <c r="BE78" s="27"/>
      <c r="BF78" s="27">
        <v>0</v>
      </c>
      <c r="BG78" s="27"/>
      <c r="BH78" s="27">
        <f t="shared" si="74"/>
        <v>0</v>
      </c>
      <c r="BI78" s="27">
        <f t="shared" si="75"/>
        <v>0</v>
      </c>
      <c r="BJ78" s="27"/>
      <c r="BK78" s="27"/>
      <c r="BL78" s="27">
        <v>0</v>
      </c>
      <c r="BM78" s="27"/>
      <c r="BN78" s="27">
        <f t="shared" si="76"/>
        <v>0</v>
      </c>
      <c r="BO78" s="27">
        <f t="shared" si="77"/>
        <v>0</v>
      </c>
      <c r="BP78" s="26"/>
      <c r="BQ78" s="27"/>
      <c r="BR78" s="27">
        <v>0</v>
      </c>
      <c r="BS78" s="27"/>
      <c r="BT78" s="27">
        <f t="shared" si="78"/>
        <v>0</v>
      </c>
      <c r="BU78" s="27">
        <f t="shared" si="79"/>
        <v>0</v>
      </c>
      <c r="BV78" s="26"/>
      <c r="BW78" s="27"/>
      <c r="BX78" s="27">
        <v>0</v>
      </c>
      <c r="BY78" s="27"/>
      <c r="BZ78" s="27">
        <f t="shared" si="80"/>
        <v>0</v>
      </c>
      <c r="CA78" s="27">
        <f t="shared" si="81"/>
        <v>0</v>
      </c>
      <c r="CB78" s="26"/>
      <c r="CC78" s="27"/>
      <c r="CD78" s="27">
        <v>0</v>
      </c>
      <c r="CE78" s="27"/>
      <c r="CF78" s="27">
        <f t="shared" si="82"/>
        <v>0</v>
      </c>
      <c r="CG78" s="27">
        <f t="shared" si="83"/>
        <v>0</v>
      </c>
      <c r="CH78" s="26"/>
      <c r="CI78" s="27"/>
      <c r="CJ78" s="27">
        <v>0</v>
      </c>
      <c r="CK78" s="27"/>
      <c r="CL78" s="27">
        <f t="shared" si="84"/>
        <v>0</v>
      </c>
      <c r="CM78" s="27">
        <f t="shared" si="85"/>
        <v>0</v>
      </c>
      <c r="CN78" s="26"/>
      <c r="CO78" s="27"/>
      <c r="CP78" s="27">
        <v>0</v>
      </c>
      <c r="CQ78" s="27"/>
      <c r="CR78" s="27">
        <f t="shared" si="86"/>
        <v>0</v>
      </c>
      <c r="CS78" s="27">
        <f t="shared" si="87"/>
        <v>0</v>
      </c>
      <c r="CT78" s="26"/>
      <c r="CU78" s="27"/>
      <c r="CV78" s="27">
        <v>0</v>
      </c>
      <c r="CW78" s="27"/>
      <c r="CX78" s="27">
        <f t="shared" si="88"/>
        <v>0</v>
      </c>
      <c r="CY78" s="27">
        <f t="shared" si="89"/>
        <v>0</v>
      </c>
      <c r="CZ78" s="26"/>
      <c r="DA78" s="27"/>
      <c r="DB78" s="27">
        <v>0</v>
      </c>
      <c r="DC78" s="27"/>
      <c r="DD78" s="27">
        <f t="shared" si="90"/>
        <v>0</v>
      </c>
      <c r="DE78" s="27">
        <f t="shared" si="91"/>
        <v>0</v>
      </c>
      <c r="DF78" s="28">
        <f t="shared" si="92"/>
        <v>0</v>
      </c>
      <c r="DG78" s="28">
        <f t="shared" si="93"/>
        <v>0</v>
      </c>
      <c r="DH78" s="28">
        <f t="shared" si="94"/>
        <v>0</v>
      </c>
      <c r="DI78" s="28">
        <f t="shared" si="95"/>
        <v>0</v>
      </c>
      <c r="DJ78" s="27">
        <f t="shared" si="96"/>
        <v>0</v>
      </c>
      <c r="DK78" s="27">
        <f t="shared" si="97"/>
        <v>0</v>
      </c>
    </row>
    <row r="79" spans="1:115">
      <c r="A79" s="25">
        <v>71</v>
      </c>
      <c r="B79" s="26" t="s">
        <v>1161</v>
      </c>
      <c r="C79" s="26"/>
      <c r="D79" s="26"/>
      <c r="E79" s="205" t="s">
        <v>1200</v>
      </c>
      <c r="F79" s="161">
        <f t="shared" si="50"/>
        <v>0</v>
      </c>
      <c r="G79" s="165">
        <f t="shared" si="51"/>
        <v>0</v>
      </c>
      <c r="H79" s="27"/>
      <c r="I79" s="27">
        <v>0</v>
      </c>
      <c r="J79" s="27">
        <v>0</v>
      </c>
      <c r="K79" s="127">
        <f t="shared" si="52"/>
        <v>0</v>
      </c>
      <c r="L79" s="127">
        <f t="shared" si="53"/>
        <v>0</v>
      </c>
      <c r="M79" s="127">
        <f t="shared" si="54"/>
        <v>0</v>
      </c>
      <c r="N79" s="131"/>
      <c r="O79" s="125" t="str">
        <f t="shared" si="55"/>
        <v>ნულოვანი შესრულება</v>
      </c>
      <c r="P79" s="27">
        <v>0</v>
      </c>
      <c r="Q79" s="27">
        <v>0</v>
      </c>
      <c r="R79" s="27">
        <f t="shared" si="56"/>
        <v>0</v>
      </c>
      <c r="S79" s="27">
        <f t="shared" si="57"/>
        <v>0</v>
      </c>
      <c r="T79" s="27"/>
      <c r="U79" s="27"/>
      <c r="V79" s="27">
        <v>0</v>
      </c>
      <c r="W79" s="27"/>
      <c r="X79" s="27">
        <f t="shared" si="58"/>
        <v>0</v>
      </c>
      <c r="Y79" s="27">
        <f t="shared" si="59"/>
        <v>0</v>
      </c>
      <c r="Z79" s="27">
        <v>0</v>
      </c>
      <c r="AA79" s="27"/>
      <c r="AB79" s="27"/>
      <c r="AC79" s="27"/>
      <c r="AD79" s="27">
        <f t="shared" si="60"/>
        <v>0</v>
      </c>
      <c r="AE79" s="27">
        <f t="shared" si="61"/>
        <v>0</v>
      </c>
      <c r="AF79" s="27">
        <f t="shared" si="62"/>
        <v>0</v>
      </c>
      <c r="AG79" s="27">
        <f t="shared" si="63"/>
        <v>0</v>
      </c>
      <c r="AH79" s="27">
        <f t="shared" si="64"/>
        <v>0</v>
      </c>
      <c r="AI79" s="27">
        <f t="shared" si="65"/>
        <v>0</v>
      </c>
      <c r="AJ79" s="27">
        <f t="shared" si="66"/>
        <v>0</v>
      </c>
      <c r="AK79" s="27">
        <f t="shared" si="67"/>
        <v>0</v>
      </c>
      <c r="AL79" s="27"/>
      <c r="AM79" s="27"/>
      <c r="AN79" s="27">
        <v>0</v>
      </c>
      <c r="AO79" s="27"/>
      <c r="AP79" s="27">
        <f t="shared" si="68"/>
        <v>0</v>
      </c>
      <c r="AQ79" s="27">
        <f t="shared" si="69"/>
        <v>0</v>
      </c>
      <c r="AR79" s="27"/>
      <c r="AS79" s="27"/>
      <c r="AT79" s="27">
        <v>0</v>
      </c>
      <c r="AU79" s="27"/>
      <c r="AV79" s="27">
        <f t="shared" si="70"/>
        <v>0</v>
      </c>
      <c r="AW79" s="27">
        <f t="shared" si="71"/>
        <v>0</v>
      </c>
      <c r="AX79" s="27"/>
      <c r="AY79" s="27"/>
      <c r="AZ79" s="27">
        <v>0</v>
      </c>
      <c r="BA79" s="27"/>
      <c r="BB79" s="27">
        <f t="shared" si="72"/>
        <v>0</v>
      </c>
      <c r="BC79" s="27">
        <f t="shared" si="73"/>
        <v>0</v>
      </c>
      <c r="BD79" s="27"/>
      <c r="BE79" s="27"/>
      <c r="BF79" s="27">
        <v>0</v>
      </c>
      <c r="BG79" s="27"/>
      <c r="BH79" s="27">
        <f t="shared" si="74"/>
        <v>0</v>
      </c>
      <c r="BI79" s="27">
        <f t="shared" si="75"/>
        <v>0</v>
      </c>
      <c r="BJ79" s="27"/>
      <c r="BK79" s="27"/>
      <c r="BL79" s="27">
        <v>0</v>
      </c>
      <c r="BM79" s="27"/>
      <c r="BN79" s="27">
        <f t="shared" si="76"/>
        <v>0</v>
      </c>
      <c r="BO79" s="27">
        <f t="shared" si="77"/>
        <v>0</v>
      </c>
      <c r="BP79" s="26"/>
      <c r="BQ79" s="27"/>
      <c r="BR79" s="27">
        <v>0</v>
      </c>
      <c r="BS79" s="27"/>
      <c r="BT79" s="27">
        <f t="shared" si="78"/>
        <v>0</v>
      </c>
      <c r="BU79" s="27">
        <f t="shared" si="79"/>
        <v>0</v>
      </c>
      <c r="BV79" s="26"/>
      <c r="BW79" s="27"/>
      <c r="BX79" s="27">
        <v>0</v>
      </c>
      <c r="BY79" s="27"/>
      <c r="BZ79" s="27">
        <f t="shared" si="80"/>
        <v>0</v>
      </c>
      <c r="CA79" s="27">
        <f t="shared" si="81"/>
        <v>0</v>
      </c>
      <c r="CB79" s="26"/>
      <c r="CC79" s="27"/>
      <c r="CD79" s="27">
        <v>0</v>
      </c>
      <c r="CE79" s="27"/>
      <c r="CF79" s="27">
        <f t="shared" si="82"/>
        <v>0</v>
      </c>
      <c r="CG79" s="27">
        <f t="shared" si="83"/>
        <v>0</v>
      </c>
      <c r="CH79" s="26"/>
      <c r="CI79" s="27"/>
      <c r="CJ79" s="27">
        <v>0</v>
      </c>
      <c r="CK79" s="27"/>
      <c r="CL79" s="27">
        <f t="shared" si="84"/>
        <v>0</v>
      </c>
      <c r="CM79" s="27">
        <f t="shared" si="85"/>
        <v>0</v>
      </c>
      <c r="CN79" s="26"/>
      <c r="CO79" s="27"/>
      <c r="CP79" s="27">
        <v>0</v>
      </c>
      <c r="CQ79" s="27"/>
      <c r="CR79" s="27">
        <f t="shared" si="86"/>
        <v>0</v>
      </c>
      <c r="CS79" s="27">
        <f t="shared" si="87"/>
        <v>0</v>
      </c>
      <c r="CT79" s="26"/>
      <c r="CU79" s="27"/>
      <c r="CV79" s="27">
        <v>0</v>
      </c>
      <c r="CW79" s="27"/>
      <c r="CX79" s="27">
        <f t="shared" si="88"/>
        <v>0</v>
      </c>
      <c r="CY79" s="27">
        <f t="shared" si="89"/>
        <v>0</v>
      </c>
      <c r="CZ79" s="26"/>
      <c r="DA79" s="27"/>
      <c r="DB79" s="27">
        <v>0</v>
      </c>
      <c r="DC79" s="27"/>
      <c r="DD79" s="27">
        <f t="shared" si="90"/>
        <v>0</v>
      </c>
      <c r="DE79" s="27">
        <f t="shared" si="91"/>
        <v>0</v>
      </c>
      <c r="DF79" s="28">
        <f t="shared" si="92"/>
        <v>0</v>
      </c>
      <c r="DG79" s="28">
        <f t="shared" si="93"/>
        <v>0</v>
      </c>
      <c r="DH79" s="28">
        <f t="shared" si="94"/>
        <v>0</v>
      </c>
      <c r="DI79" s="28">
        <f t="shared" si="95"/>
        <v>0</v>
      </c>
      <c r="DJ79" s="27">
        <f t="shared" si="96"/>
        <v>0</v>
      </c>
      <c r="DK79" s="27">
        <f t="shared" si="97"/>
        <v>0</v>
      </c>
    </row>
    <row r="80" spans="1:115">
      <c r="A80" s="25">
        <v>72</v>
      </c>
      <c r="B80" s="26" t="s">
        <v>1161</v>
      </c>
      <c r="C80" s="26"/>
      <c r="D80" s="26"/>
      <c r="E80" s="205" t="s">
        <v>1200</v>
      </c>
      <c r="F80" s="161">
        <f t="shared" si="50"/>
        <v>0</v>
      </c>
      <c r="G80" s="165">
        <f t="shared" si="51"/>
        <v>0</v>
      </c>
      <c r="H80" s="27"/>
      <c r="I80" s="27">
        <v>0</v>
      </c>
      <c r="J80" s="27">
        <v>0</v>
      </c>
      <c r="K80" s="127">
        <f t="shared" si="52"/>
        <v>0</v>
      </c>
      <c r="L80" s="127">
        <f t="shared" si="53"/>
        <v>0</v>
      </c>
      <c r="M80" s="127">
        <f t="shared" si="54"/>
        <v>0</v>
      </c>
      <c r="N80" s="131"/>
      <c r="O80" s="125" t="str">
        <f t="shared" si="55"/>
        <v>ნულოვანი შესრულება</v>
      </c>
      <c r="P80" s="27">
        <v>0</v>
      </c>
      <c r="Q80" s="27">
        <v>0</v>
      </c>
      <c r="R80" s="27">
        <f t="shared" si="56"/>
        <v>0</v>
      </c>
      <c r="S80" s="27">
        <f t="shared" si="57"/>
        <v>0</v>
      </c>
      <c r="T80" s="27"/>
      <c r="U80" s="27"/>
      <c r="V80" s="27">
        <v>0</v>
      </c>
      <c r="W80" s="27"/>
      <c r="X80" s="27">
        <f t="shared" si="58"/>
        <v>0</v>
      </c>
      <c r="Y80" s="27">
        <f t="shared" si="59"/>
        <v>0</v>
      </c>
      <c r="Z80" s="27">
        <v>0</v>
      </c>
      <c r="AA80" s="27"/>
      <c r="AB80" s="27"/>
      <c r="AC80" s="27"/>
      <c r="AD80" s="27">
        <f t="shared" si="60"/>
        <v>0</v>
      </c>
      <c r="AE80" s="27">
        <f t="shared" si="61"/>
        <v>0</v>
      </c>
      <c r="AF80" s="27">
        <f t="shared" si="62"/>
        <v>0</v>
      </c>
      <c r="AG80" s="27">
        <f t="shared" si="63"/>
        <v>0</v>
      </c>
      <c r="AH80" s="27">
        <f t="shared" si="64"/>
        <v>0</v>
      </c>
      <c r="AI80" s="27">
        <f t="shared" si="65"/>
        <v>0</v>
      </c>
      <c r="AJ80" s="27">
        <f t="shared" si="66"/>
        <v>0</v>
      </c>
      <c r="AK80" s="27">
        <f t="shared" si="67"/>
        <v>0</v>
      </c>
      <c r="AL80" s="27"/>
      <c r="AM80" s="27"/>
      <c r="AN80" s="27">
        <v>0</v>
      </c>
      <c r="AO80" s="27"/>
      <c r="AP80" s="27">
        <f t="shared" si="68"/>
        <v>0</v>
      </c>
      <c r="AQ80" s="27">
        <f t="shared" si="69"/>
        <v>0</v>
      </c>
      <c r="AR80" s="27"/>
      <c r="AS80" s="27"/>
      <c r="AT80" s="27">
        <v>0</v>
      </c>
      <c r="AU80" s="27"/>
      <c r="AV80" s="27">
        <f t="shared" si="70"/>
        <v>0</v>
      </c>
      <c r="AW80" s="27">
        <f t="shared" si="71"/>
        <v>0</v>
      </c>
      <c r="AX80" s="27"/>
      <c r="AY80" s="27"/>
      <c r="AZ80" s="27">
        <v>0</v>
      </c>
      <c r="BA80" s="27"/>
      <c r="BB80" s="27">
        <f t="shared" si="72"/>
        <v>0</v>
      </c>
      <c r="BC80" s="27">
        <f t="shared" si="73"/>
        <v>0</v>
      </c>
      <c r="BD80" s="27"/>
      <c r="BE80" s="27"/>
      <c r="BF80" s="27">
        <v>0</v>
      </c>
      <c r="BG80" s="27"/>
      <c r="BH80" s="27">
        <f t="shared" si="74"/>
        <v>0</v>
      </c>
      <c r="BI80" s="27">
        <f t="shared" si="75"/>
        <v>0</v>
      </c>
      <c r="BJ80" s="27"/>
      <c r="BK80" s="27"/>
      <c r="BL80" s="27">
        <v>0</v>
      </c>
      <c r="BM80" s="27"/>
      <c r="BN80" s="27">
        <f t="shared" si="76"/>
        <v>0</v>
      </c>
      <c r="BO80" s="27">
        <f t="shared" si="77"/>
        <v>0</v>
      </c>
      <c r="BP80" s="26"/>
      <c r="BQ80" s="27"/>
      <c r="BR80" s="27">
        <v>0</v>
      </c>
      <c r="BS80" s="27"/>
      <c r="BT80" s="27">
        <f t="shared" si="78"/>
        <v>0</v>
      </c>
      <c r="BU80" s="27">
        <f t="shared" si="79"/>
        <v>0</v>
      </c>
      <c r="BV80" s="26"/>
      <c r="BW80" s="27"/>
      <c r="BX80" s="27">
        <v>0</v>
      </c>
      <c r="BY80" s="27"/>
      <c r="BZ80" s="27">
        <f t="shared" si="80"/>
        <v>0</v>
      </c>
      <c r="CA80" s="27">
        <f t="shared" si="81"/>
        <v>0</v>
      </c>
      <c r="CB80" s="26"/>
      <c r="CC80" s="27"/>
      <c r="CD80" s="27">
        <v>0</v>
      </c>
      <c r="CE80" s="27"/>
      <c r="CF80" s="27">
        <f t="shared" si="82"/>
        <v>0</v>
      </c>
      <c r="CG80" s="27">
        <f t="shared" si="83"/>
        <v>0</v>
      </c>
      <c r="CH80" s="26"/>
      <c r="CI80" s="27"/>
      <c r="CJ80" s="27">
        <v>0</v>
      </c>
      <c r="CK80" s="27"/>
      <c r="CL80" s="27">
        <f t="shared" si="84"/>
        <v>0</v>
      </c>
      <c r="CM80" s="27">
        <f t="shared" si="85"/>
        <v>0</v>
      </c>
      <c r="CN80" s="26"/>
      <c r="CO80" s="27"/>
      <c r="CP80" s="27">
        <v>0</v>
      </c>
      <c r="CQ80" s="27"/>
      <c r="CR80" s="27">
        <f t="shared" si="86"/>
        <v>0</v>
      </c>
      <c r="CS80" s="27">
        <f t="shared" si="87"/>
        <v>0</v>
      </c>
      <c r="CT80" s="26"/>
      <c r="CU80" s="27"/>
      <c r="CV80" s="27">
        <v>0</v>
      </c>
      <c r="CW80" s="27"/>
      <c r="CX80" s="27">
        <f t="shared" si="88"/>
        <v>0</v>
      </c>
      <c r="CY80" s="27">
        <f t="shared" si="89"/>
        <v>0</v>
      </c>
      <c r="CZ80" s="26"/>
      <c r="DA80" s="27"/>
      <c r="DB80" s="27">
        <v>0</v>
      </c>
      <c r="DC80" s="27"/>
      <c r="DD80" s="27">
        <f t="shared" si="90"/>
        <v>0</v>
      </c>
      <c r="DE80" s="27">
        <f t="shared" si="91"/>
        <v>0</v>
      </c>
      <c r="DF80" s="28">
        <f t="shared" si="92"/>
        <v>0</v>
      </c>
      <c r="DG80" s="28">
        <f t="shared" si="93"/>
        <v>0</v>
      </c>
      <c r="DH80" s="28">
        <f t="shared" si="94"/>
        <v>0</v>
      </c>
      <c r="DI80" s="28">
        <f t="shared" si="95"/>
        <v>0</v>
      </c>
      <c r="DJ80" s="27">
        <f t="shared" si="96"/>
        <v>0</v>
      </c>
      <c r="DK80" s="27">
        <f t="shared" si="97"/>
        <v>0</v>
      </c>
    </row>
    <row r="81" spans="1:115">
      <c r="A81" s="25">
        <v>73</v>
      </c>
      <c r="B81" s="26" t="s">
        <v>1161</v>
      </c>
      <c r="C81" s="26"/>
      <c r="D81" s="26"/>
      <c r="E81" s="205" t="s">
        <v>1200</v>
      </c>
      <c r="F81" s="161">
        <f t="shared" si="50"/>
        <v>0</v>
      </c>
      <c r="G81" s="165">
        <f t="shared" si="51"/>
        <v>0</v>
      </c>
      <c r="H81" s="27"/>
      <c r="I81" s="27">
        <v>0</v>
      </c>
      <c r="J81" s="27">
        <v>0</v>
      </c>
      <c r="K81" s="127">
        <f t="shared" si="52"/>
        <v>0</v>
      </c>
      <c r="L81" s="127">
        <f t="shared" si="53"/>
        <v>0</v>
      </c>
      <c r="M81" s="127">
        <f t="shared" si="54"/>
        <v>0</v>
      </c>
      <c r="N81" s="131"/>
      <c r="O81" s="125" t="str">
        <f t="shared" si="55"/>
        <v>ნულოვანი შესრულება</v>
      </c>
      <c r="P81" s="27">
        <v>0</v>
      </c>
      <c r="Q81" s="27">
        <v>0</v>
      </c>
      <c r="R81" s="27">
        <f t="shared" si="56"/>
        <v>0</v>
      </c>
      <c r="S81" s="27">
        <f t="shared" si="57"/>
        <v>0</v>
      </c>
      <c r="T81" s="27"/>
      <c r="U81" s="27"/>
      <c r="V81" s="27">
        <v>0</v>
      </c>
      <c r="W81" s="27"/>
      <c r="X81" s="27">
        <f t="shared" si="58"/>
        <v>0</v>
      </c>
      <c r="Y81" s="27">
        <f t="shared" si="59"/>
        <v>0</v>
      </c>
      <c r="Z81" s="27">
        <v>0</v>
      </c>
      <c r="AA81" s="27"/>
      <c r="AB81" s="27"/>
      <c r="AC81" s="27"/>
      <c r="AD81" s="27">
        <f t="shared" si="60"/>
        <v>0</v>
      </c>
      <c r="AE81" s="27">
        <f t="shared" si="61"/>
        <v>0</v>
      </c>
      <c r="AF81" s="27">
        <f t="shared" si="62"/>
        <v>0</v>
      </c>
      <c r="AG81" s="27">
        <f t="shared" si="63"/>
        <v>0</v>
      </c>
      <c r="AH81" s="27">
        <f t="shared" si="64"/>
        <v>0</v>
      </c>
      <c r="AI81" s="27">
        <f t="shared" si="65"/>
        <v>0</v>
      </c>
      <c r="AJ81" s="27">
        <f t="shared" si="66"/>
        <v>0</v>
      </c>
      <c r="AK81" s="27">
        <f t="shared" si="67"/>
        <v>0</v>
      </c>
      <c r="AL81" s="27"/>
      <c r="AM81" s="27"/>
      <c r="AN81" s="27">
        <v>0</v>
      </c>
      <c r="AO81" s="27"/>
      <c r="AP81" s="27">
        <f t="shared" si="68"/>
        <v>0</v>
      </c>
      <c r="AQ81" s="27">
        <f t="shared" si="69"/>
        <v>0</v>
      </c>
      <c r="AR81" s="27"/>
      <c r="AS81" s="27"/>
      <c r="AT81" s="27">
        <v>0</v>
      </c>
      <c r="AU81" s="27"/>
      <c r="AV81" s="27">
        <f t="shared" si="70"/>
        <v>0</v>
      </c>
      <c r="AW81" s="27">
        <f t="shared" si="71"/>
        <v>0</v>
      </c>
      <c r="AX81" s="27"/>
      <c r="AY81" s="27"/>
      <c r="AZ81" s="27">
        <v>0</v>
      </c>
      <c r="BA81" s="27"/>
      <c r="BB81" s="27">
        <f t="shared" si="72"/>
        <v>0</v>
      </c>
      <c r="BC81" s="27">
        <f t="shared" si="73"/>
        <v>0</v>
      </c>
      <c r="BD81" s="27"/>
      <c r="BE81" s="27"/>
      <c r="BF81" s="27">
        <v>0</v>
      </c>
      <c r="BG81" s="27"/>
      <c r="BH81" s="27">
        <f t="shared" si="74"/>
        <v>0</v>
      </c>
      <c r="BI81" s="27">
        <f t="shared" si="75"/>
        <v>0</v>
      </c>
      <c r="BJ81" s="27"/>
      <c r="BK81" s="27"/>
      <c r="BL81" s="27">
        <v>0</v>
      </c>
      <c r="BM81" s="27"/>
      <c r="BN81" s="27">
        <f t="shared" si="76"/>
        <v>0</v>
      </c>
      <c r="BO81" s="27">
        <f t="shared" si="77"/>
        <v>0</v>
      </c>
      <c r="BP81" s="26"/>
      <c r="BQ81" s="27"/>
      <c r="BR81" s="27">
        <v>0</v>
      </c>
      <c r="BS81" s="27"/>
      <c r="BT81" s="27">
        <f t="shared" si="78"/>
        <v>0</v>
      </c>
      <c r="BU81" s="27">
        <f t="shared" si="79"/>
        <v>0</v>
      </c>
      <c r="BV81" s="26"/>
      <c r="BW81" s="27"/>
      <c r="BX81" s="27">
        <v>0</v>
      </c>
      <c r="BY81" s="27"/>
      <c r="BZ81" s="27">
        <f t="shared" si="80"/>
        <v>0</v>
      </c>
      <c r="CA81" s="27">
        <f t="shared" si="81"/>
        <v>0</v>
      </c>
      <c r="CB81" s="26"/>
      <c r="CC81" s="27"/>
      <c r="CD81" s="27">
        <v>0</v>
      </c>
      <c r="CE81" s="27"/>
      <c r="CF81" s="27">
        <f t="shared" si="82"/>
        <v>0</v>
      </c>
      <c r="CG81" s="27">
        <f t="shared" si="83"/>
        <v>0</v>
      </c>
      <c r="CH81" s="26"/>
      <c r="CI81" s="27"/>
      <c r="CJ81" s="27">
        <v>0</v>
      </c>
      <c r="CK81" s="27"/>
      <c r="CL81" s="27">
        <f t="shared" si="84"/>
        <v>0</v>
      </c>
      <c r="CM81" s="27">
        <f t="shared" si="85"/>
        <v>0</v>
      </c>
      <c r="CN81" s="26"/>
      <c r="CO81" s="27"/>
      <c r="CP81" s="27">
        <v>0</v>
      </c>
      <c r="CQ81" s="27"/>
      <c r="CR81" s="27">
        <f t="shared" si="86"/>
        <v>0</v>
      </c>
      <c r="CS81" s="27">
        <f t="shared" si="87"/>
        <v>0</v>
      </c>
      <c r="CT81" s="26"/>
      <c r="CU81" s="27"/>
      <c r="CV81" s="27">
        <v>0</v>
      </c>
      <c r="CW81" s="27"/>
      <c r="CX81" s="27">
        <f t="shared" si="88"/>
        <v>0</v>
      </c>
      <c r="CY81" s="27">
        <f t="shared" si="89"/>
        <v>0</v>
      </c>
      <c r="CZ81" s="26"/>
      <c r="DA81" s="27"/>
      <c r="DB81" s="27">
        <v>0</v>
      </c>
      <c r="DC81" s="27"/>
      <c r="DD81" s="27">
        <f t="shared" si="90"/>
        <v>0</v>
      </c>
      <c r="DE81" s="27">
        <f t="shared" si="91"/>
        <v>0</v>
      </c>
      <c r="DF81" s="28">
        <f t="shared" si="92"/>
        <v>0</v>
      </c>
      <c r="DG81" s="28">
        <f t="shared" si="93"/>
        <v>0</v>
      </c>
      <c r="DH81" s="28">
        <f t="shared" si="94"/>
        <v>0</v>
      </c>
      <c r="DI81" s="28">
        <f t="shared" si="95"/>
        <v>0</v>
      </c>
      <c r="DJ81" s="27">
        <f t="shared" si="96"/>
        <v>0</v>
      </c>
      <c r="DK81" s="27">
        <f t="shared" si="97"/>
        <v>0</v>
      </c>
    </row>
    <row r="82" spans="1:115">
      <c r="A82" s="25">
        <v>74</v>
      </c>
      <c r="B82" s="26" t="s">
        <v>1161</v>
      </c>
      <c r="C82" s="26"/>
      <c r="D82" s="26"/>
      <c r="E82" s="205" t="s">
        <v>1200</v>
      </c>
      <c r="F82" s="161">
        <f t="shared" si="50"/>
        <v>0</v>
      </c>
      <c r="G82" s="165">
        <f t="shared" si="51"/>
        <v>0</v>
      </c>
      <c r="H82" s="27"/>
      <c r="I82" s="27">
        <v>0</v>
      </c>
      <c r="J82" s="27">
        <v>0</v>
      </c>
      <c r="K82" s="127">
        <f t="shared" si="52"/>
        <v>0</v>
      </c>
      <c r="L82" s="127">
        <f t="shared" si="53"/>
        <v>0</v>
      </c>
      <c r="M82" s="127">
        <f t="shared" si="54"/>
        <v>0</v>
      </c>
      <c r="N82" s="131"/>
      <c r="O82" s="125" t="str">
        <f t="shared" si="55"/>
        <v>ნულოვანი შესრულება</v>
      </c>
      <c r="P82" s="27">
        <v>0</v>
      </c>
      <c r="Q82" s="27">
        <v>0</v>
      </c>
      <c r="R82" s="27">
        <f t="shared" si="56"/>
        <v>0</v>
      </c>
      <c r="S82" s="27">
        <f t="shared" si="57"/>
        <v>0</v>
      </c>
      <c r="T82" s="27"/>
      <c r="U82" s="27"/>
      <c r="V82" s="27">
        <v>0</v>
      </c>
      <c r="W82" s="27"/>
      <c r="X82" s="27">
        <f t="shared" si="58"/>
        <v>0</v>
      </c>
      <c r="Y82" s="27">
        <f t="shared" si="59"/>
        <v>0</v>
      </c>
      <c r="Z82" s="27">
        <v>0</v>
      </c>
      <c r="AA82" s="27"/>
      <c r="AB82" s="27"/>
      <c r="AC82" s="27"/>
      <c r="AD82" s="27">
        <f t="shared" si="60"/>
        <v>0</v>
      </c>
      <c r="AE82" s="27">
        <f t="shared" si="61"/>
        <v>0</v>
      </c>
      <c r="AF82" s="27">
        <f t="shared" si="62"/>
        <v>0</v>
      </c>
      <c r="AG82" s="27">
        <f t="shared" si="63"/>
        <v>0</v>
      </c>
      <c r="AH82" s="27">
        <f t="shared" si="64"/>
        <v>0</v>
      </c>
      <c r="AI82" s="27">
        <f t="shared" si="65"/>
        <v>0</v>
      </c>
      <c r="AJ82" s="27">
        <f t="shared" si="66"/>
        <v>0</v>
      </c>
      <c r="AK82" s="27">
        <f t="shared" si="67"/>
        <v>0</v>
      </c>
      <c r="AL82" s="27"/>
      <c r="AM82" s="27"/>
      <c r="AN82" s="27">
        <v>0</v>
      </c>
      <c r="AO82" s="27"/>
      <c r="AP82" s="27">
        <f t="shared" si="68"/>
        <v>0</v>
      </c>
      <c r="AQ82" s="27">
        <f t="shared" si="69"/>
        <v>0</v>
      </c>
      <c r="AR82" s="27"/>
      <c r="AS82" s="27"/>
      <c r="AT82" s="27">
        <v>0</v>
      </c>
      <c r="AU82" s="27"/>
      <c r="AV82" s="27">
        <f t="shared" si="70"/>
        <v>0</v>
      </c>
      <c r="AW82" s="27">
        <f t="shared" si="71"/>
        <v>0</v>
      </c>
      <c r="AX82" s="27"/>
      <c r="AY82" s="27"/>
      <c r="AZ82" s="27">
        <v>0</v>
      </c>
      <c r="BA82" s="27"/>
      <c r="BB82" s="27">
        <f t="shared" si="72"/>
        <v>0</v>
      </c>
      <c r="BC82" s="27">
        <f t="shared" si="73"/>
        <v>0</v>
      </c>
      <c r="BD82" s="27"/>
      <c r="BE82" s="27"/>
      <c r="BF82" s="27">
        <v>0</v>
      </c>
      <c r="BG82" s="27"/>
      <c r="BH82" s="27">
        <f t="shared" si="74"/>
        <v>0</v>
      </c>
      <c r="BI82" s="27">
        <f t="shared" si="75"/>
        <v>0</v>
      </c>
      <c r="BJ82" s="27"/>
      <c r="BK82" s="27"/>
      <c r="BL82" s="27">
        <v>0</v>
      </c>
      <c r="BM82" s="27"/>
      <c r="BN82" s="27">
        <f t="shared" si="76"/>
        <v>0</v>
      </c>
      <c r="BO82" s="27">
        <f t="shared" si="77"/>
        <v>0</v>
      </c>
      <c r="BP82" s="26"/>
      <c r="BQ82" s="27"/>
      <c r="BR82" s="27">
        <v>0</v>
      </c>
      <c r="BS82" s="27"/>
      <c r="BT82" s="27">
        <f t="shared" si="78"/>
        <v>0</v>
      </c>
      <c r="BU82" s="27">
        <f t="shared" si="79"/>
        <v>0</v>
      </c>
      <c r="BV82" s="26"/>
      <c r="BW82" s="27"/>
      <c r="BX82" s="27">
        <v>0</v>
      </c>
      <c r="BY82" s="27"/>
      <c r="BZ82" s="27">
        <f t="shared" si="80"/>
        <v>0</v>
      </c>
      <c r="CA82" s="27">
        <f t="shared" si="81"/>
        <v>0</v>
      </c>
      <c r="CB82" s="26"/>
      <c r="CC82" s="27"/>
      <c r="CD82" s="27">
        <v>0</v>
      </c>
      <c r="CE82" s="27"/>
      <c r="CF82" s="27">
        <f t="shared" si="82"/>
        <v>0</v>
      </c>
      <c r="CG82" s="27">
        <f t="shared" si="83"/>
        <v>0</v>
      </c>
      <c r="CH82" s="26"/>
      <c r="CI82" s="27"/>
      <c r="CJ82" s="27">
        <v>0</v>
      </c>
      <c r="CK82" s="27"/>
      <c r="CL82" s="27">
        <f t="shared" si="84"/>
        <v>0</v>
      </c>
      <c r="CM82" s="27">
        <f t="shared" si="85"/>
        <v>0</v>
      </c>
      <c r="CN82" s="26"/>
      <c r="CO82" s="27"/>
      <c r="CP82" s="27">
        <v>0</v>
      </c>
      <c r="CQ82" s="27"/>
      <c r="CR82" s="27">
        <f t="shared" si="86"/>
        <v>0</v>
      </c>
      <c r="CS82" s="27">
        <f t="shared" si="87"/>
        <v>0</v>
      </c>
      <c r="CT82" s="26"/>
      <c r="CU82" s="27"/>
      <c r="CV82" s="27">
        <v>0</v>
      </c>
      <c r="CW82" s="27"/>
      <c r="CX82" s="27">
        <f t="shared" si="88"/>
        <v>0</v>
      </c>
      <c r="CY82" s="27">
        <f t="shared" si="89"/>
        <v>0</v>
      </c>
      <c r="CZ82" s="26"/>
      <c r="DA82" s="27"/>
      <c r="DB82" s="27">
        <v>0</v>
      </c>
      <c r="DC82" s="27"/>
      <c r="DD82" s="27">
        <f t="shared" si="90"/>
        <v>0</v>
      </c>
      <c r="DE82" s="27">
        <f t="shared" si="91"/>
        <v>0</v>
      </c>
      <c r="DF82" s="28">
        <f t="shared" si="92"/>
        <v>0</v>
      </c>
      <c r="DG82" s="28">
        <f t="shared" si="93"/>
        <v>0</v>
      </c>
      <c r="DH82" s="28">
        <f t="shared" si="94"/>
        <v>0</v>
      </c>
      <c r="DI82" s="28">
        <f t="shared" si="95"/>
        <v>0</v>
      </c>
      <c r="DJ82" s="27">
        <f t="shared" si="96"/>
        <v>0</v>
      </c>
      <c r="DK82" s="27">
        <f t="shared" si="97"/>
        <v>0</v>
      </c>
    </row>
    <row r="83" spans="1:115">
      <c r="A83" s="25">
        <v>75</v>
      </c>
      <c r="B83" s="26" t="s">
        <v>1161</v>
      </c>
      <c r="C83" s="26"/>
      <c r="D83" s="26"/>
      <c r="E83" s="205" t="s">
        <v>1200</v>
      </c>
      <c r="F83" s="161">
        <f t="shared" si="50"/>
        <v>0</v>
      </c>
      <c r="G83" s="165">
        <f t="shared" si="51"/>
        <v>0</v>
      </c>
      <c r="H83" s="27"/>
      <c r="I83" s="27">
        <v>0</v>
      </c>
      <c r="J83" s="27">
        <v>0</v>
      </c>
      <c r="K83" s="127">
        <f t="shared" si="52"/>
        <v>0</v>
      </c>
      <c r="L83" s="127">
        <f t="shared" si="53"/>
        <v>0</v>
      </c>
      <c r="M83" s="127">
        <f t="shared" si="54"/>
        <v>0</v>
      </c>
      <c r="N83" s="131"/>
      <c r="O83" s="125" t="str">
        <f t="shared" si="55"/>
        <v>ნულოვანი შესრულება</v>
      </c>
      <c r="P83" s="27">
        <v>0</v>
      </c>
      <c r="Q83" s="27">
        <v>0</v>
      </c>
      <c r="R83" s="27">
        <f t="shared" si="56"/>
        <v>0</v>
      </c>
      <c r="S83" s="27">
        <f t="shared" si="57"/>
        <v>0</v>
      </c>
      <c r="T83" s="27"/>
      <c r="U83" s="27"/>
      <c r="V83" s="27">
        <v>0</v>
      </c>
      <c r="W83" s="27"/>
      <c r="X83" s="27">
        <f t="shared" si="58"/>
        <v>0</v>
      </c>
      <c r="Y83" s="27">
        <f t="shared" si="59"/>
        <v>0</v>
      </c>
      <c r="Z83" s="27">
        <v>0</v>
      </c>
      <c r="AA83" s="27"/>
      <c r="AB83" s="27"/>
      <c r="AC83" s="27"/>
      <c r="AD83" s="27">
        <f t="shared" si="60"/>
        <v>0</v>
      </c>
      <c r="AE83" s="27">
        <f t="shared" si="61"/>
        <v>0</v>
      </c>
      <c r="AF83" s="27">
        <f t="shared" si="62"/>
        <v>0</v>
      </c>
      <c r="AG83" s="27">
        <f t="shared" si="63"/>
        <v>0</v>
      </c>
      <c r="AH83" s="27">
        <f t="shared" si="64"/>
        <v>0</v>
      </c>
      <c r="AI83" s="27">
        <f t="shared" si="65"/>
        <v>0</v>
      </c>
      <c r="AJ83" s="27">
        <f t="shared" si="66"/>
        <v>0</v>
      </c>
      <c r="AK83" s="27">
        <f t="shared" si="67"/>
        <v>0</v>
      </c>
      <c r="AL83" s="27"/>
      <c r="AM83" s="27"/>
      <c r="AN83" s="27">
        <v>0</v>
      </c>
      <c r="AO83" s="27"/>
      <c r="AP83" s="27">
        <f t="shared" si="68"/>
        <v>0</v>
      </c>
      <c r="AQ83" s="27">
        <f t="shared" si="69"/>
        <v>0</v>
      </c>
      <c r="AR83" s="27"/>
      <c r="AS83" s="27"/>
      <c r="AT83" s="27">
        <v>0</v>
      </c>
      <c r="AU83" s="27"/>
      <c r="AV83" s="27">
        <f t="shared" si="70"/>
        <v>0</v>
      </c>
      <c r="AW83" s="27">
        <f t="shared" si="71"/>
        <v>0</v>
      </c>
      <c r="AX83" s="27"/>
      <c r="AY83" s="27"/>
      <c r="AZ83" s="27">
        <v>0</v>
      </c>
      <c r="BA83" s="27"/>
      <c r="BB83" s="27">
        <f t="shared" si="72"/>
        <v>0</v>
      </c>
      <c r="BC83" s="27">
        <f t="shared" si="73"/>
        <v>0</v>
      </c>
      <c r="BD83" s="27"/>
      <c r="BE83" s="27"/>
      <c r="BF83" s="27">
        <v>0</v>
      </c>
      <c r="BG83" s="27"/>
      <c r="BH83" s="27">
        <f t="shared" si="74"/>
        <v>0</v>
      </c>
      <c r="BI83" s="27">
        <f t="shared" si="75"/>
        <v>0</v>
      </c>
      <c r="BJ83" s="27"/>
      <c r="BK83" s="27"/>
      <c r="BL83" s="27">
        <v>0</v>
      </c>
      <c r="BM83" s="27"/>
      <c r="BN83" s="27">
        <f t="shared" si="76"/>
        <v>0</v>
      </c>
      <c r="BO83" s="27">
        <f t="shared" si="77"/>
        <v>0</v>
      </c>
      <c r="BP83" s="26"/>
      <c r="BQ83" s="27"/>
      <c r="BR83" s="27">
        <v>0</v>
      </c>
      <c r="BS83" s="27"/>
      <c r="BT83" s="27">
        <f t="shared" si="78"/>
        <v>0</v>
      </c>
      <c r="BU83" s="27">
        <f t="shared" si="79"/>
        <v>0</v>
      </c>
      <c r="BV83" s="26"/>
      <c r="BW83" s="27"/>
      <c r="BX83" s="27">
        <v>0</v>
      </c>
      <c r="BY83" s="27"/>
      <c r="BZ83" s="27">
        <f t="shared" si="80"/>
        <v>0</v>
      </c>
      <c r="CA83" s="27">
        <f t="shared" si="81"/>
        <v>0</v>
      </c>
      <c r="CB83" s="26"/>
      <c r="CC83" s="27"/>
      <c r="CD83" s="27">
        <v>0</v>
      </c>
      <c r="CE83" s="27"/>
      <c r="CF83" s="27">
        <f t="shared" si="82"/>
        <v>0</v>
      </c>
      <c r="CG83" s="27">
        <f t="shared" si="83"/>
        <v>0</v>
      </c>
      <c r="CH83" s="26"/>
      <c r="CI83" s="27"/>
      <c r="CJ83" s="27">
        <v>0</v>
      </c>
      <c r="CK83" s="27"/>
      <c r="CL83" s="27">
        <f t="shared" si="84"/>
        <v>0</v>
      </c>
      <c r="CM83" s="27">
        <f t="shared" si="85"/>
        <v>0</v>
      </c>
      <c r="CN83" s="26"/>
      <c r="CO83" s="27"/>
      <c r="CP83" s="27">
        <v>0</v>
      </c>
      <c r="CQ83" s="27"/>
      <c r="CR83" s="27">
        <f t="shared" si="86"/>
        <v>0</v>
      </c>
      <c r="CS83" s="27">
        <f t="shared" si="87"/>
        <v>0</v>
      </c>
      <c r="CT83" s="26"/>
      <c r="CU83" s="27"/>
      <c r="CV83" s="27">
        <v>0</v>
      </c>
      <c r="CW83" s="27"/>
      <c r="CX83" s="27">
        <f t="shared" si="88"/>
        <v>0</v>
      </c>
      <c r="CY83" s="27">
        <f t="shared" si="89"/>
        <v>0</v>
      </c>
      <c r="CZ83" s="26"/>
      <c r="DA83" s="27"/>
      <c r="DB83" s="27">
        <v>0</v>
      </c>
      <c r="DC83" s="27"/>
      <c r="DD83" s="27">
        <f t="shared" si="90"/>
        <v>0</v>
      </c>
      <c r="DE83" s="27">
        <f t="shared" si="91"/>
        <v>0</v>
      </c>
      <c r="DF83" s="28">
        <f t="shared" si="92"/>
        <v>0</v>
      </c>
      <c r="DG83" s="28">
        <f t="shared" si="93"/>
        <v>0</v>
      </c>
      <c r="DH83" s="28">
        <f t="shared" si="94"/>
        <v>0</v>
      </c>
      <c r="DI83" s="28">
        <f t="shared" si="95"/>
        <v>0</v>
      </c>
      <c r="DJ83" s="27">
        <f t="shared" si="96"/>
        <v>0</v>
      </c>
      <c r="DK83" s="27">
        <f t="shared" si="97"/>
        <v>0</v>
      </c>
    </row>
    <row r="84" spans="1:115">
      <c r="A84" s="25">
        <v>76</v>
      </c>
      <c r="B84" s="26" t="s">
        <v>1161</v>
      </c>
      <c r="C84" s="26"/>
      <c r="D84" s="26"/>
      <c r="E84" s="205" t="s">
        <v>1200</v>
      </c>
      <c r="F84" s="161">
        <f t="shared" si="50"/>
        <v>0</v>
      </c>
      <c r="G84" s="165">
        <f t="shared" si="51"/>
        <v>0</v>
      </c>
      <c r="H84" s="27"/>
      <c r="I84" s="27">
        <v>0</v>
      </c>
      <c r="J84" s="27">
        <v>0</v>
      </c>
      <c r="K84" s="127">
        <f t="shared" si="52"/>
        <v>0</v>
      </c>
      <c r="L84" s="127">
        <f t="shared" si="53"/>
        <v>0</v>
      </c>
      <c r="M84" s="127">
        <f t="shared" si="54"/>
        <v>0</v>
      </c>
      <c r="N84" s="131"/>
      <c r="O84" s="125" t="str">
        <f t="shared" si="55"/>
        <v>ნულოვანი შესრულება</v>
      </c>
      <c r="P84" s="27">
        <v>0</v>
      </c>
      <c r="Q84" s="27">
        <v>0</v>
      </c>
      <c r="R84" s="27">
        <f t="shared" si="56"/>
        <v>0</v>
      </c>
      <c r="S84" s="27">
        <f t="shared" si="57"/>
        <v>0</v>
      </c>
      <c r="T84" s="27"/>
      <c r="U84" s="27"/>
      <c r="V84" s="27">
        <v>0</v>
      </c>
      <c r="W84" s="27"/>
      <c r="X84" s="27">
        <f t="shared" si="58"/>
        <v>0</v>
      </c>
      <c r="Y84" s="27">
        <f t="shared" si="59"/>
        <v>0</v>
      </c>
      <c r="Z84" s="27">
        <v>0</v>
      </c>
      <c r="AA84" s="27"/>
      <c r="AB84" s="27"/>
      <c r="AC84" s="27"/>
      <c r="AD84" s="27">
        <f t="shared" si="60"/>
        <v>0</v>
      </c>
      <c r="AE84" s="27">
        <f t="shared" si="61"/>
        <v>0</v>
      </c>
      <c r="AF84" s="27">
        <f t="shared" si="62"/>
        <v>0</v>
      </c>
      <c r="AG84" s="27">
        <f t="shared" si="63"/>
        <v>0</v>
      </c>
      <c r="AH84" s="27">
        <f t="shared" si="64"/>
        <v>0</v>
      </c>
      <c r="AI84" s="27">
        <f t="shared" si="65"/>
        <v>0</v>
      </c>
      <c r="AJ84" s="27">
        <f t="shared" si="66"/>
        <v>0</v>
      </c>
      <c r="AK84" s="27">
        <f t="shared" si="67"/>
        <v>0</v>
      </c>
      <c r="AL84" s="27"/>
      <c r="AM84" s="27"/>
      <c r="AN84" s="27">
        <v>0</v>
      </c>
      <c r="AO84" s="27"/>
      <c r="AP84" s="27">
        <f t="shared" si="68"/>
        <v>0</v>
      </c>
      <c r="AQ84" s="27">
        <f t="shared" si="69"/>
        <v>0</v>
      </c>
      <c r="AR84" s="27"/>
      <c r="AS84" s="27"/>
      <c r="AT84" s="27">
        <v>0</v>
      </c>
      <c r="AU84" s="27"/>
      <c r="AV84" s="27">
        <f t="shared" si="70"/>
        <v>0</v>
      </c>
      <c r="AW84" s="27">
        <f t="shared" si="71"/>
        <v>0</v>
      </c>
      <c r="AX84" s="27"/>
      <c r="AY84" s="27"/>
      <c r="AZ84" s="27">
        <v>0</v>
      </c>
      <c r="BA84" s="27"/>
      <c r="BB84" s="27">
        <f t="shared" si="72"/>
        <v>0</v>
      </c>
      <c r="BC84" s="27">
        <f t="shared" si="73"/>
        <v>0</v>
      </c>
      <c r="BD84" s="27"/>
      <c r="BE84" s="27"/>
      <c r="BF84" s="27">
        <v>0</v>
      </c>
      <c r="BG84" s="27"/>
      <c r="BH84" s="27">
        <f t="shared" si="74"/>
        <v>0</v>
      </c>
      <c r="BI84" s="27">
        <f t="shared" si="75"/>
        <v>0</v>
      </c>
      <c r="BJ84" s="27"/>
      <c r="BK84" s="27"/>
      <c r="BL84" s="27">
        <v>0</v>
      </c>
      <c r="BM84" s="27"/>
      <c r="BN84" s="27">
        <f t="shared" si="76"/>
        <v>0</v>
      </c>
      <c r="BO84" s="27">
        <f t="shared" si="77"/>
        <v>0</v>
      </c>
      <c r="BP84" s="26"/>
      <c r="BQ84" s="27"/>
      <c r="BR84" s="27">
        <v>0</v>
      </c>
      <c r="BS84" s="27"/>
      <c r="BT84" s="27">
        <f t="shared" si="78"/>
        <v>0</v>
      </c>
      <c r="BU84" s="27">
        <f t="shared" si="79"/>
        <v>0</v>
      </c>
      <c r="BV84" s="26"/>
      <c r="BW84" s="27"/>
      <c r="BX84" s="27">
        <v>0</v>
      </c>
      <c r="BY84" s="27"/>
      <c r="BZ84" s="27">
        <f t="shared" si="80"/>
        <v>0</v>
      </c>
      <c r="CA84" s="27">
        <f t="shared" si="81"/>
        <v>0</v>
      </c>
      <c r="CB84" s="26"/>
      <c r="CC84" s="27"/>
      <c r="CD84" s="27">
        <v>0</v>
      </c>
      <c r="CE84" s="27"/>
      <c r="CF84" s="27">
        <f t="shared" si="82"/>
        <v>0</v>
      </c>
      <c r="CG84" s="27">
        <f t="shared" si="83"/>
        <v>0</v>
      </c>
      <c r="CH84" s="26"/>
      <c r="CI84" s="27"/>
      <c r="CJ84" s="27">
        <v>0</v>
      </c>
      <c r="CK84" s="27"/>
      <c r="CL84" s="27">
        <f t="shared" si="84"/>
        <v>0</v>
      </c>
      <c r="CM84" s="27">
        <f t="shared" si="85"/>
        <v>0</v>
      </c>
      <c r="CN84" s="26"/>
      <c r="CO84" s="27"/>
      <c r="CP84" s="27">
        <v>0</v>
      </c>
      <c r="CQ84" s="27"/>
      <c r="CR84" s="27">
        <f t="shared" si="86"/>
        <v>0</v>
      </c>
      <c r="CS84" s="27">
        <f t="shared" si="87"/>
        <v>0</v>
      </c>
      <c r="CT84" s="26"/>
      <c r="CU84" s="27"/>
      <c r="CV84" s="27">
        <v>0</v>
      </c>
      <c r="CW84" s="27"/>
      <c r="CX84" s="27">
        <f t="shared" si="88"/>
        <v>0</v>
      </c>
      <c r="CY84" s="27">
        <f t="shared" si="89"/>
        <v>0</v>
      </c>
      <c r="CZ84" s="26"/>
      <c r="DA84" s="27"/>
      <c r="DB84" s="27">
        <v>0</v>
      </c>
      <c r="DC84" s="27"/>
      <c r="DD84" s="27">
        <f t="shared" si="90"/>
        <v>0</v>
      </c>
      <c r="DE84" s="27">
        <f t="shared" si="91"/>
        <v>0</v>
      </c>
      <c r="DF84" s="28">
        <f t="shared" si="92"/>
        <v>0</v>
      </c>
      <c r="DG84" s="28">
        <f t="shared" si="93"/>
        <v>0</v>
      </c>
      <c r="DH84" s="28">
        <f t="shared" si="94"/>
        <v>0</v>
      </c>
      <c r="DI84" s="28">
        <f t="shared" si="95"/>
        <v>0</v>
      </c>
      <c r="DJ84" s="27">
        <f t="shared" si="96"/>
        <v>0</v>
      </c>
      <c r="DK84" s="27">
        <f t="shared" si="97"/>
        <v>0</v>
      </c>
    </row>
    <row r="85" spans="1:115">
      <c r="A85" s="25">
        <v>77</v>
      </c>
      <c r="B85" s="26" t="s">
        <v>1161</v>
      </c>
      <c r="C85" s="26"/>
      <c r="D85" s="26"/>
      <c r="E85" s="205" t="s">
        <v>1200</v>
      </c>
      <c r="F85" s="161">
        <f t="shared" si="50"/>
        <v>0</v>
      </c>
      <c r="G85" s="165">
        <f t="shared" si="51"/>
        <v>0</v>
      </c>
      <c r="H85" s="27"/>
      <c r="I85" s="27">
        <v>0</v>
      </c>
      <c r="J85" s="27">
        <v>0</v>
      </c>
      <c r="K85" s="127">
        <f t="shared" si="52"/>
        <v>0</v>
      </c>
      <c r="L85" s="127">
        <f t="shared" si="53"/>
        <v>0</v>
      </c>
      <c r="M85" s="127">
        <f t="shared" si="54"/>
        <v>0</v>
      </c>
      <c r="N85" s="131"/>
      <c r="O85" s="125" t="str">
        <f t="shared" si="55"/>
        <v>ნულოვანი შესრულება</v>
      </c>
      <c r="P85" s="27">
        <v>0</v>
      </c>
      <c r="Q85" s="27">
        <v>0</v>
      </c>
      <c r="R85" s="27">
        <f t="shared" si="56"/>
        <v>0</v>
      </c>
      <c r="S85" s="27">
        <f t="shared" si="57"/>
        <v>0</v>
      </c>
      <c r="T85" s="27"/>
      <c r="U85" s="27"/>
      <c r="V85" s="27">
        <v>0</v>
      </c>
      <c r="W85" s="27"/>
      <c r="X85" s="27">
        <f t="shared" si="58"/>
        <v>0</v>
      </c>
      <c r="Y85" s="27">
        <f t="shared" si="59"/>
        <v>0</v>
      </c>
      <c r="Z85" s="27">
        <v>0</v>
      </c>
      <c r="AA85" s="27"/>
      <c r="AB85" s="27"/>
      <c r="AC85" s="27"/>
      <c r="AD85" s="27">
        <f t="shared" si="60"/>
        <v>0</v>
      </c>
      <c r="AE85" s="27">
        <f t="shared" si="61"/>
        <v>0</v>
      </c>
      <c r="AF85" s="27">
        <f t="shared" si="62"/>
        <v>0</v>
      </c>
      <c r="AG85" s="27">
        <f t="shared" si="63"/>
        <v>0</v>
      </c>
      <c r="AH85" s="27">
        <f t="shared" si="64"/>
        <v>0</v>
      </c>
      <c r="AI85" s="27">
        <f t="shared" si="65"/>
        <v>0</v>
      </c>
      <c r="AJ85" s="27">
        <f t="shared" si="66"/>
        <v>0</v>
      </c>
      <c r="AK85" s="27">
        <f t="shared" si="67"/>
        <v>0</v>
      </c>
      <c r="AL85" s="27"/>
      <c r="AM85" s="27"/>
      <c r="AN85" s="27">
        <v>0</v>
      </c>
      <c r="AO85" s="27"/>
      <c r="AP85" s="27">
        <f t="shared" si="68"/>
        <v>0</v>
      </c>
      <c r="AQ85" s="27">
        <f t="shared" si="69"/>
        <v>0</v>
      </c>
      <c r="AR85" s="27"/>
      <c r="AS85" s="27"/>
      <c r="AT85" s="27">
        <v>0</v>
      </c>
      <c r="AU85" s="27"/>
      <c r="AV85" s="27">
        <f t="shared" si="70"/>
        <v>0</v>
      </c>
      <c r="AW85" s="27">
        <f t="shared" si="71"/>
        <v>0</v>
      </c>
      <c r="AX85" s="27"/>
      <c r="AY85" s="27"/>
      <c r="AZ85" s="27">
        <v>0</v>
      </c>
      <c r="BA85" s="27"/>
      <c r="BB85" s="27">
        <f t="shared" si="72"/>
        <v>0</v>
      </c>
      <c r="BC85" s="27">
        <f t="shared" si="73"/>
        <v>0</v>
      </c>
      <c r="BD85" s="27"/>
      <c r="BE85" s="27"/>
      <c r="BF85" s="27">
        <v>0</v>
      </c>
      <c r="BG85" s="27"/>
      <c r="BH85" s="27">
        <f t="shared" si="74"/>
        <v>0</v>
      </c>
      <c r="BI85" s="27">
        <f t="shared" si="75"/>
        <v>0</v>
      </c>
      <c r="BJ85" s="27"/>
      <c r="BK85" s="27"/>
      <c r="BL85" s="27">
        <v>0</v>
      </c>
      <c r="BM85" s="27"/>
      <c r="BN85" s="27">
        <f t="shared" si="76"/>
        <v>0</v>
      </c>
      <c r="BO85" s="27">
        <f t="shared" si="77"/>
        <v>0</v>
      </c>
      <c r="BP85" s="26"/>
      <c r="BQ85" s="27"/>
      <c r="BR85" s="27">
        <v>0</v>
      </c>
      <c r="BS85" s="27"/>
      <c r="BT85" s="27">
        <f t="shared" si="78"/>
        <v>0</v>
      </c>
      <c r="BU85" s="27">
        <f t="shared" si="79"/>
        <v>0</v>
      </c>
      <c r="BV85" s="26"/>
      <c r="BW85" s="27"/>
      <c r="BX85" s="27">
        <v>0</v>
      </c>
      <c r="BY85" s="27"/>
      <c r="BZ85" s="27">
        <f t="shared" si="80"/>
        <v>0</v>
      </c>
      <c r="CA85" s="27">
        <f t="shared" si="81"/>
        <v>0</v>
      </c>
      <c r="CB85" s="26"/>
      <c r="CC85" s="27"/>
      <c r="CD85" s="27">
        <v>0</v>
      </c>
      <c r="CE85" s="27"/>
      <c r="CF85" s="27">
        <f t="shared" si="82"/>
        <v>0</v>
      </c>
      <c r="CG85" s="27">
        <f t="shared" si="83"/>
        <v>0</v>
      </c>
      <c r="CH85" s="26"/>
      <c r="CI85" s="27"/>
      <c r="CJ85" s="27">
        <v>0</v>
      </c>
      <c r="CK85" s="27"/>
      <c r="CL85" s="27">
        <f t="shared" si="84"/>
        <v>0</v>
      </c>
      <c r="CM85" s="27">
        <f t="shared" si="85"/>
        <v>0</v>
      </c>
      <c r="CN85" s="26"/>
      <c r="CO85" s="27"/>
      <c r="CP85" s="27">
        <v>0</v>
      </c>
      <c r="CQ85" s="27"/>
      <c r="CR85" s="27">
        <f t="shared" si="86"/>
        <v>0</v>
      </c>
      <c r="CS85" s="27">
        <f t="shared" si="87"/>
        <v>0</v>
      </c>
      <c r="CT85" s="26"/>
      <c r="CU85" s="27"/>
      <c r="CV85" s="27">
        <v>0</v>
      </c>
      <c r="CW85" s="27"/>
      <c r="CX85" s="27">
        <f t="shared" si="88"/>
        <v>0</v>
      </c>
      <c r="CY85" s="27">
        <f t="shared" si="89"/>
        <v>0</v>
      </c>
      <c r="CZ85" s="26"/>
      <c r="DA85" s="27"/>
      <c r="DB85" s="27">
        <v>0</v>
      </c>
      <c r="DC85" s="27"/>
      <c r="DD85" s="27">
        <f t="shared" si="90"/>
        <v>0</v>
      </c>
      <c r="DE85" s="27">
        <f t="shared" si="91"/>
        <v>0</v>
      </c>
      <c r="DF85" s="28">
        <f t="shared" si="92"/>
        <v>0</v>
      </c>
      <c r="DG85" s="28">
        <f t="shared" si="93"/>
        <v>0</v>
      </c>
      <c r="DH85" s="28">
        <f t="shared" si="94"/>
        <v>0</v>
      </c>
      <c r="DI85" s="28">
        <f t="shared" si="95"/>
        <v>0</v>
      </c>
      <c r="DJ85" s="27">
        <f t="shared" si="96"/>
        <v>0</v>
      </c>
      <c r="DK85" s="27">
        <f t="shared" si="97"/>
        <v>0</v>
      </c>
    </row>
    <row r="86" spans="1:115">
      <c r="A86" s="25">
        <v>78</v>
      </c>
      <c r="B86" s="26" t="s">
        <v>1161</v>
      </c>
      <c r="C86" s="26"/>
      <c r="D86" s="26"/>
      <c r="E86" s="205" t="s">
        <v>1200</v>
      </c>
      <c r="F86" s="161">
        <f t="shared" si="50"/>
        <v>0</v>
      </c>
      <c r="G86" s="165">
        <f t="shared" si="51"/>
        <v>0</v>
      </c>
      <c r="H86" s="27"/>
      <c r="I86" s="27">
        <v>0</v>
      </c>
      <c r="J86" s="27">
        <v>0</v>
      </c>
      <c r="K86" s="127">
        <f t="shared" si="52"/>
        <v>0</v>
      </c>
      <c r="L86" s="127">
        <f t="shared" si="53"/>
        <v>0</v>
      </c>
      <c r="M86" s="127">
        <f t="shared" si="54"/>
        <v>0</v>
      </c>
      <c r="N86" s="131"/>
      <c r="O86" s="125" t="str">
        <f t="shared" si="55"/>
        <v>ნულოვანი შესრულება</v>
      </c>
      <c r="P86" s="27">
        <v>0</v>
      </c>
      <c r="Q86" s="27">
        <v>0</v>
      </c>
      <c r="R86" s="27">
        <f t="shared" si="56"/>
        <v>0</v>
      </c>
      <c r="S86" s="27">
        <f t="shared" si="57"/>
        <v>0</v>
      </c>
      <c r="T86" s="27"/>
      <c r="U86" s="27"/>
      <c r="V86" s="27">
        <v>0</v>
      </c>
      <c r="W86" s="27"/>
      <c r="X86" s="27">
        <f t="shared" si="58"/>
        <v>0</v>
      </c>
      <c r="Y86" s="27">
        <f t="shared" si="59"/>
        <v>0</v>
      </c>
      <c r="Z86" s="27">
        <v>0</v>
      </c>
      <c r="AA86" s="27"/>
      <c r="AB86" s="27"/>
      <c r="AC86" s="27"/>
      <c r="AD86" s="27">
        <f t="shared" si="60"/>
        <v>0</v>
      </c>
      <c r="AE86" s="27">
        <f t="shared" si="61"/>
        <v>0</v>
      </c>
      <c r="AF86" s="27">
        <f t="shared" si="62"/>
        <v>0</v>
      </c>
      <c r="AG86" s="27">
        <f t="shared" si="63"/>
        <v>0</v>
      </c>
      <c r="AH86" s="27">
        <f t="shared" si="64"/>
        <v>0</v>
      </c>
      <c r="AI86" s="27">
        <f t="shared" si="65"/>
        <v>0</v>
      </c>
      <c r="AJ86" s="27">
        <f t="shared" si="66"/>
        <v>0</v>
      </c>
      <c r="AK86" s="27">
        <f t="shared" si="67"/>
        <v>0</v>
      </c>
      <c r="AL86" s="27"/>
      <c r="AM86" s="27"/>
      <c r="AN86" s="27">
        <v>0</v>
      </c>
      <c r="AO86" s="27"/>
      <c r="AP86" s="27">
        <f t="shared" si="68"/>
        <v>0</v>
      </c>
      <c r="AQ86" s="27">
        <f t="shared" si="69"/>
        <v>0</v>
      </c>
      <c r="AR86" s="27"/>
      <c r="AS86" s="27"/>
      <c r="AT86" s="27">
        <v>0</v>
      </c>
      <c r="AU86" s="27"/>
      <c r="AV86" s="27">
        <f t="shared" si="70"/>
        <v>0</v>
      </c>
      <c r="AW86" s="27">
        <f t="shared" si="71"/>
        <v>0</v>
      </c>
      <c r="AX86" s="27"/>
      <c r="AY86" s="27"/>
      <c r="AZ86" s="27">
        <v>0</v>
      </c>
      <c r="BA86" s="27"/>
      <c r="BB86" s="27">
        <f t="shared" si="72"/>
        <v>0</v>
      </c>
      <c r="BC86" s="27">
        <f t="shared" si="73"/>
        <v>0</v>
      </c>
      <c r="BD86" s="27"/>
      <c r="BE86" s="27"/>
      <c r="BF86" s="27">
        <v>0</v>
      </c>
      <c r="BG86" s="27"/>
      <c r="BH86" s="27">
        <f t="shared" si="74"/>
        <v>0</v>
      </c>
      <c r="BI86" s="27">
        <f t="shared" si="75"/>
        <v>0</v>
      </c>
      <c r="BJ86" s="27"/>
      <c r="BK86" s="27"/>
      <c r="BL86" s="27">
        <v>0</v>
      </c>
      <c r="BM86" s="27"/>
      <c r="BN86" s="27">
        <f t="shared" si="76"/>
        <v>0</v>
      </c>
      <c r="BO86" s="27">
        <f t="shared" si="77"/>
        <v>0</v>
      </c>
      <c r="BP86" s="26"/>
      <c r="BQ86" s="27"/>
      <c r="BR86" s="27">
        <v>0</v>
      </c>
      <c r="BS86" s="27"/>
      <c r="BT86" s="27">
        <f t="shared" si="78"/>
        <v>0</v>
      </c>
      <c r="BU86" s="27">
        <f t="shared" si="79"/>
        <v>0</v>
      </c>
      <c r="BV86" s="26"/>
      <c r="BW86" s="27"/>
      <c r="BX86" s="27">
        <v>0</v>
      </c>
      <c r="BY86" s="27"/>
      <c r="BZ86" s="27">
        <f t="shared" si="80"/>
        <v>0</v>
      </c>
      <c r="CA86" s="27">
        <f t="shared" si="81"/>
        <v>0</v>
      </c>
      <c r="CB86" s="26"/>
      <c r="CC86" s="27"/>
      <c r="CD86" s="27">
        <v>0</v>
      </c>
      <c r="CE86" s="27"/>
      <c r="CF86" s="27">
        <f t="shared" si="82"/>
        <v>0</v>
      </c>
      <c r="CG86" s="27">
        <f t="shared" si="83"/>
        <v>0</v>
      </c>
      <c r="CH86" s="26"/>
      <c r="CI86" s="27"/>
      <c r="CJ86" s="27">
        <v>0</v>
      </c>
      <c r="CK86" s="27"/>
      <c r="CL86" s="27">
        <f t="shared" si="84"/>
        <v>0</v>
      </c>
      <c r="CM86" s="27">
        <f t="shared" si="85"/>
        <v>0</v>
      </c>
      <c r="CN86" s="26"/>
      <c r="CO86" s="27"/>
      <c r="CP86" s="27">
        <v>0</v>
      </c>
      <c r="CQ86" s="27"/>
      <c r="CR86" s="27">
        <f t="shared" si="86"/>
        <v>0</v>
      </c>
      <c r="CS86" s="27">
        <f t="shared" si="87"/>
        <v>0</v>
      </c>
      <c r="CT86" s="26"/>
      <c r="CU86" s="27"/>
      <c r="CV86" s="27">
        <v>0</v>
      </c>
      <c r="CW86" s="27"/>
      <c r="CX86" s="27">
        <f t="shared" si="88"/>
        <v>0</v>
      </c>
      <c r="CY86" s="27">
        <f t="shared" si="89"/>
        <v>0</v>
      </c>
      <c r="CZ86" s="26"/>
      <c r="DA86" s="27"/>
      <c r="DB86" s="27">
        <v>0</v>
      </c>
      <c r="DC86" s="27"/>
      <c r="DD86" s="27">
        <f t="shared" si="90"/>
        <v>0</v>
      </c>
      <c r="DE86" s="27">
        <f t="shared" si="91"/>
        <v>0</v>
      </c>
      <c r="DF86" s="28">
        <f t="shared" si="92"/>
        <v>0</v>
      </c>
      <c r="DG86" s="28">
        <f t="shared" si="93"/>
        <v>0</v>
      </c>
      <c r="DH86" s="28">
        <f t="shared" si="94"/>
        <v>0</v>
      </c>
      <c r="DI86" s="28">
        <f t="shared" si="95"/>
        <v>0</v>
      </c>
      <c r="DJ86" s="27">
        <f t="shared" si="96"/>
        <v>0</v>
      </c>
      <c r="DK86" s="27">
        <f t="shared" si="97"/>
        <v>0</v>
      </c>
    </row>
    <row r="87" spans="1:115">
      <c r="A87" s="25">
        <v>79</v>
      </c>
      <c r="B87" s="26" t="s">
        <v>1161</v>
      </c>
      <c r="C87" s="26"/>
      <c r="D87" s="26"/>
      <c r="E87" s="205" t="s">
        <v>1200</v>
      </c>
      <c r="F87" s="161">
        <f t="shared" si="50"/>
        <v>0</v>
      </c>
      <c r="G87" s="165">
        <f t="shared" si="51"/>
        <v>0</v>
      </c>
      <c r="H87" s="27"/>
      <c r="I87" s="27">
        <v>0</v>
      </c>
      <c r="J87" s="27">
        <v>0</v>
      </c>
      <c r="K87" s="127">
        <f t="shared" si="52"/>
        <v>0</v>
      </c>
      <c r="L87" s="127">
        <f t="shared" si="53"/>
        <v>0</v>
      </c>
      <c r="M87" s="127">
        <f t="shared" si="54"/>
        <v>0</v>
      </c>
      <c r="N87" s="131"/>
      <c r="O87" s="125" t="str">
        <f t="shared" si="55"/>
        <v>ნულოვანი შესრულება</v>
      </c>
      <c r="P87" s="27">
        <v>0</v>
      </c>
      <c r="Q87" s="27">
        <v>0</v>
      </c>
      <c r="R87" s="27">
        <f t="shared" si="56"/>
        <v>0</v>
      </c>
      <c r="S87" s="27">
        <f t="shared" si="57"/>
        <v>0</v>
      </c>
      <c r="T87" s="27"/>
      <c r="U87" s="27"/>
      <c r="V87" s="27">
        <v>0</v>
      </c>
      <c r="W87" s="27"/>
      <c r="X87" s="27">
        <f t="shared" si="58"/>
        <v>0</v>
      </c>
      <c r="Y87" s="27">
        <f t="shared" si="59"/>
        <v>0</v>
      </c>
      <c r="Z87" s="27">
        <v>0</v>
      </c>
      <c r="AA87" s="27"/>
      <c r="AB87" s="27"/>
      <c r="AC87" s="27"/>
      <c r="AD87" s="27">
        <f t="shared" si="60"/>
        <v>0</v>
      </c>
      <c r="AE87" s="27">
        <f t="shared" si="61"/>
        <v>0</v>
      </c>
      <c r="AF87" s="27">
        <f t="shared" si="62"/>
        <v>0</v>
      </c>
      <c r="AG87" s="27">
        <f t="shared" si="63"/>
        <v>0</v>
      </c>
      <c r="AH87" s="27">
        <f t="shared" si="64"/>
        <v>0</v>
      </c>
      <c r="AI87" s="27">
        <f t="shared" si="65"/>
        <v>0</v>
      </c>
      <c r="AJ87" s="27">
        <f t="shared" si="66"/>
        <v>0</v>
      </c>
      <c r="AK87" s="27">
        <f t="shared" si="67"/>
        <v>0</v>
      </c>
      <c r="AL87" s="27"/>
      <c r="AM87" s="27"/>
      <c r="AN87" s="27">
        <v>0</v>
      </c>
      <c r="AO87" s="27"/>
      <c r="AP87" s="27">
        <f t="shared" si="68"/>
        <v>0</v>
      </c>
      <c r="AQ87" s="27">
        <f t="shared" si="69"/>
        <v>0</v>
      </c>
      <c r="AR87" s="27"/>
      <c r="AS87" s="27"/>
      <c r="AT87" s="27">
        <v>0</v>
      </c>
      <c r="AU87" s="27"/>
      <c r="AV87" s="27">
        <f t="shared" si="70"/>
        <v>0</v>
      </c>
      <c r="AW87" s="27">
        <f t="shared" si="71"/>
        <v>0</v>
      </c>
      <c r="AX87" s="27"/>
      <c r="AY87" s="27"/>
      <c r="AZ87" s="27">
        <v>0</v>
      </c>
      <c r="BA87" s="27"/>
      <c r="BB87" s="27">
        <f t="shared" si="72"/>
        <v>0</v>
      </c>
      <c r="BC87" s="27">
        <f t="shared" si="73"/>
        <v>0</v>
      </c>
      <c r="BD87" s="27"/>
      <c r="BE87" s="27"/>
      <c r="BF87" s="27">
        <v>0</v>
      </c>
      <c r="BG87" s="27"/>
      <c r="BH87" s="27">
        <f t="shared" si="74"/>
        <v>0</v>
      </c>
      <c r="BI87" s="27">
        <f t="shared" si="75"/>
        <v>0</v>
      </c>
      <c r="BJ87" s="27"/>
      <c r="BK87" s="27"/>
      <c r="BL87" s="27">
        <v>0</v>
      </c>
      <c r="BM87" s="27"/>
      <c r="BN87" s="27">
        <f t="shared" si="76"/>
        <v>0</v>
      </c>
      <c r="BO87" s="27">
        <f t="shared" si="77"/>
        <v>0</v>
      </c>
      <c r="BP87" s="26"/>
      <c r="BQ87" s="27"/>
      <c r="BR87" s="27">
        <v>0</v>
      </c>
      <c r="BS87" s="27"/>
      <c r="BT87" s="27">
        <f t="shared" si="78"/>
        <v>0</v>
      </c>
      <c r="BU87" s="27">
        <f t="shared" si="79"/>
        <v>0</v>
      </c>
      <c r="BV87" s="26"/>
      <c r="BW87" s="27"/>
      <c r="BX87" s="27">
        <v>0</v>
      </c>
      <c r="BY87" s="27"/>
      <c r="BZ87" s="27">
        <f t="shared" si="80"/>
        <v>0</v>
      </c>
      <c r="CA87" s="27">
        <f t="shared" si="81"/>
        <v>0</v>
      </c>
      <c r="CB87" s="26"/>
      <c r="CC87" s="27"/>
      <c r="CD87" s="27">
        <v>0</v>
      </c>
      <c r="CE87" s="27"/>
      <c r="CF87" s="27">
        <f t="shared" si="82"/>
        <v>0</v>
      </c>
      <c r="CG87" s="27">
        <f t="shared" si="83"/>
        <v>0</v>
      </c>
      <c r="CH87" s="26"/>
      <c r="CI87" s="27"/>
      <c r="CJ87" s="27">
        <v>0</v>
      </c>
      <c r="CK87" s="27"/>
      <c r="CL87" s="27">
        <f t="shared" si="84"/>
        <v>0</v>
      </c>
      <c r="CM87" s="27">
        <f t="shared" si="85"/>
        <v>0</v>
      </c>
      <c r="CN87" s="26"/>
      <c r="CO87" s="27"/>
      <c r="CP87" s="27">
        <v>0</v>
      </c>
      <c r="CQ87" s="27"/>
      <c r="CR87" s="27">
        <f t="shared" si="86"/>
        <v>0</v>
      </c>
      <c r="CS87" s="27">
        <f t="shared" si="87"/>
        <v>0</v>
      </c>
      <c r="CT87" s="26"/>
      <c r="CU87" s="27"/>
      <c r="CV87" s="27">
        <v>0</v>
      </c>
      <c r="CW87" s="27"/>
      <c r="CX87" s="27">
        <f t="shared" si="88"/>
        <v>0</v>
      </c>
      <c r="CY87" s="27">
        <f t="shared" si="89"/>
        <v>0</v>
      </c>
      <c r="CZ87" s="26"/>
      <c r="DA87" s="27"/>
      <c r="DB87" s="27">
        <v>0</v>
      </c>
      <c r="DC87" s="27"/>
      <c r="DD87" s="27">
        <f t="shared" si="90"/>
        <v>0</v>
      </c>
      <c r="DE87" s="27">
        <f t="shared" si="91"/>
        <v>0</v>
      </c>
      <c r="DF87" s="28">
        <f t="shared" si="92"/>
        <v>0</v>
      </c>
      <c r="DG87" s="28">
        <f t="shared" si="93"/>
        <v>0</v>
      </c>
      <c r="DH87" s="28">
        <f t="shared" si="94"/>
        <v>0</v>
      </c>
      <c r="DI87" s="28">
        <f t="shared" si="95"/>
        <v>0</v>
      </c>
      <c r="DJ87" s="27">
        <f t="shared" si="96"/>
        <v>0</v>
      </c>
      <c r="DK87" s="27">
        <f t="shared" si="97"/>
        <v>0</v>
      </c>
    </row>
    <row r="88" spans="1:115">
      <c r="A88" s="25">
        <v>80</v>
      </c>
      <c r="B88" s="26" t="s">
        <v>1161</v>
      </c>
      <c r="C88" s="26"/>
      <c r="D88" s="26"/>
      <c r="E88" s="205" t="s">
        <v>1200</v>
      </c>
      <c r="F88" s="161">
        <f t="shared" si="50"/>
        <v>0</v>
      </c>
      <c r="G88" s="165">
        <f t="shared" si="51"/>
        <v>0</v>
      </c>
      <c r="H88" s="27"/>
      <c r="I88" s="27">
        <v>0</v>
      </c>
      <c r="J88" s="27">
        <v>0</v>
      </c>
      <c r="K88" s="127">
        <f t="shared" si="52"/>
        <v>0</v>
      </c>
      <c r="L88" s="127">
        <f t="shared" si="53"/>
        <v>0</v>
      </c>
      <c r="M88" s="127">
        <f t="shared" si="54"/>
        <v>0</v>
      </c>
      <c r="N88" s="131"/>
      <c r="O88" s="125" t="str">
        <f t="shared" si="55"/>
        <v>ნულოვანი შესრულება</v>
      </c>
      <c r="P88" s="27">
        <v>0</v>
      </c>
      <c r="Q88" s="27">
        <v>0</v>
      </c>
      <c r="R88" s="27">
        <f t="shared" si="56"/>
        <v>0</v>
      </c>
      <c r="S88" s="27">
        <f t="shared" si="57"/>
        <v>0</v>
      </c>
      <c r="T88" s="27"/>
      <c r="U88" s="27"/>
      <c r="V88" s="27">
        <v>0</v>
      </c>
      <c r="W88" s="27"/>
      <c r="X88" s="27">
        <f t="shared" si="58"/>
        <v>0</v>
      </c>
      <c r="Y88" s="27">
        <f t="shared" si="59"/>
        <v>0</v>
      </c>
      <c r="Z88" s="27">
        <v>0</v>
      </c>
      <c r="AA88" s="27"/>
      <c r="AB88" s="27"/>
      <c r="AC88" s="27"/>
      <c r="AD88" s="27">
        <f t="shared" si="60"/>
        <v>0</v>
      </c>
      <c r="AE88" s="27">
        <f t="shared" si="61"/>
        <v>0</v>
      </c>
      <c r="AF88" s="27">
        <f t="shared" si="62"/>
        <v>0</v>
      </c>
      <c r="AG88" s="27">
        <f t="shared" si="63"/>
        <v>0</v>
      </c>
      <c r="AH88" s="27">
        <f t="shared" si="64"/>
        <v>0</v>
      </c>
      <c r="AI88" s="27">
        <f t="shared" si="65"/>
        <v>0</v>
      </c>
      <c r="AJ88" s="27">
        <f t="shared" si="66"/>
        <v>0</v>
      </c>
      <c r="AK88" s="27">
        <f t="shared" si="67"/>
        <v>0</v>
      </c>
      <c r="AL88" s="27"/>
      <c r="AM88" s="27"/>
      <c r="AN88" s="27">
        <v>0</v>
      </c>
      <c r="AO88" s="27"/>
      <c r="AP88" s="27">
        <f t="shared" si="68"/>
        <v>0</v>
      </c>
      <c r="AQ88" s="27">
        <f t="shared" si="69"/>
        <v>0</v>
      </c>
      <c r="AR88" s="27"/>
      <c r="AS88" s="27"/>
      <c r="AT88" s="27">
        <v>0</v>
      </c>
      <c r="AU88" s="27"/>
      <c r="AV88" s="27">
        <f t="shared" si="70"/>
        <v>0</v>
      </c>
      <c r="AW88" s="27">
        <f t="shared" si="71"/>
        <v>0</v>
      </c>
      <c r="AX88" s="27"/>
      <c r="AY88" s="27"/>
      <c r="AZ88" s="27">
        <v>0</v>
      </c>
      <c r="BA88" s="27"/>
      <c r="BB88" s="27">
        <f t="shared" si="72"/>
        <v>0</v>
      </c>
      <c r="BC88" s="27">
        <f t="shared" si="73"/>
        <v>0</v>
      </c>
      <c r="BD88" s="27"/>
      <c r="BE88" s="27"/>
      <c r="BF88" s="27">
        <v>0</v>
      </c>
      <c r="BG88" s="27"/>
      <c r="BH88" s="27">
        <f t="shared" si="74"/>
        <v>0</v>
      </c>
      <c r="BI88" s="27">
        <f t="shared" si="75"/>
        <v>0</v>
      </c>
      <c r="BJ88" s="27"/>
      <c r="BK88" s="27"/>
      <c r="BL88" s="27">
        <v>0</v>
      </c>
      <c r="BM88" s="27"/>
      <c r="BN88" s="27">
        <f t="shared" si="76"/>
        <v>0</v>
      </c>
      <c r="BO88" s="27">
        <f t="shared" si="77"/>
        <v>0</v>
      </c>
      <c r="BP88" s="26"/>
      <c r="BQ88" s="27"/>
      <c r="BR88" s="27">
        <v>0</v>
      </c>
      <c r="BS88" s="27"/>
      <c r="BT88" s="27">
        <f t="shared" si="78"/>
        <v>0</v>
      </c>
      <c r="BU88" s="27">
        <f t="shared" si="79"/>
        <v>0</v>
      </c>
      <c r="BV88" s="26"/>
      <c r="BW88" s="27"/>
      <c r="BX88" s="27">
        <v>0</v>
      </c>
      <c r="BY88" s="27"/>
      <c r="BZ88" s="27">
        <f t="shared" si="80"/>
        <v>0</v>
      </c>
      <c r="CA88" s="27">
        <f t="shared" si="81"/>
        <v>0</v>
      </c>
      <c r="CB88" s="26"/>
      <c r="CC88" s="27"/>
      <c r="CD88" s="27">
        <v>0</v>
      </c>
      <c r="CE88" s="27"/>
      <c r="CF88" s="27">
        <f t="shared" si="82"/>
        <v>0</v>
      </c>
      <c r="CG88" s="27">
        <f t="shared" si="83"/>
        <v>0</v>
      </c>
      <c r="CH88" s="26"/>
      <c r="CI88" s="27"/>
      <c r="CJ88" s="27">
        <v>0</v>
      </c>
      <c r="CK88" s="27"/>
      <c r="CL88" s="27">
        <f t="shared" si="84"/>
        <v>0</v>
      </c>
      <c r="CM88" s="27">
        <f t="shared" si="85"/>
        <v>0</v>
      </c>
      <c r="CN88" s="26"/>
      <c r="CO88" s="27"/>
      <c r="CP88" s="27">
        <v>0</v>
      </c>
      <c r="CQ88" s="27"/>
      <c r="CR88" s="27">
        <f t="shared" si="86"/>
        <v>0</v>
      </c>
      <c r="CS88" s="27">
        <f t="shared" si="87"/>
        <v>0</v>
      </c>
      <c r="CT88" s="26"/>
      <c r="CU88" s="27"/>
      <c r="CV88" s="27">
        <v>0</v>
      </c>
      <c r="CW88" s="27"/>
      <c r="CX88" s="27">
        <f t="shared" si="88"/>
        <v>0</v>
      </c>
      <c r="CY88" s="27">
        <f t="shared" si="89"/>
        <v>0</v>
      </c>
      <c r="CZ88" s="26"/>
      <c r="DA88" s="27"/>
      <c r="DB88" s="27">
        <v>0</v>
      </c>
      <c r="DC88" s="27"/>
      <c r="DD88" s="27">
        <f t="shared" si="90"/>
        <v>0</v>
      </c>
      <c r="DE88" s="27">
        <f t="shared" si="91"/>
        <v>0</v>
      </c>
      <c r="DF88" s="28">
        <f t="shared" si="92"/>
        <v>0</v>
      </c>
      <c r="DG88" s="28">
        <f t="shared" si="93"/>
        <v>0</v>
      </c>
      <c r="DH88" s="28">
        <f t="shared" si="94"/>
        <v>0</v>
      </c>
      <c r="DI88" s="28">
        <f t="shared" si="95"/>
        <v>0</v>
      </c>
      <c r="DJ88" s="27">
        <f t="shared" si="96"/>
        <v>0</v>
      </c>
      <c r="DK88" s="27">
        <f t="shared" si="97"/>
        <v>0</v>
      </c>
    </row>
    <row r="89" spans="1:115">
      <c r="A89" s="25">
        <v>81</v>
      </c>
      <c r="B89" s="26" t="s">
        <v>1161</v>
      </c>
      <c r="C89" s="26"/>
      <c r="D89" s="26"/>
      <c r="E89" s="205" t="s">
        <v>1200</v>
      </c>
      <c r="F89" s="161">
        <f t="shared" si="50"/>
        <v>0</v>
      </c>
      <c r="G89" s="165">
        <f t="shared" si="51"/>
        <v>0</v>
      </c>
      <c r="H89" s="27"/>
      <c r="I89" s="27">
        <v>0</v>
      </c>
      <c r="J89" s="27">
        <v>0</v>
      </c>
      <c r="K89" s="127">
        <f t="shared" si="52"/>
        <v>0</v>
      </c>
      <c r="L89" s="127">
        <f t="shared" si="53"/>
        <v>0</v>
      </c>
      <c r="M89" s="127">
        <f t="shared" si="54"/>
        <v>0</v>
      </c>
      <c r="N89" s="131"/>
      <c r="O89" s="125" t="str">
        <f t="shared" si="55"/>
        <v>ნულოვანი შესრულება</v>
      </c>
      <c r="P89" s="27">
        <v>0</v>
      </c>
      <c r="Q89" s="27">
        <v>0</v>
      </c>
      <c r="R89" s="27">
        <f t="shared" si="56"/>
        <v>0</v>
      </c>
      <c r="S89" s="27">
        <f t="shared" si="57"/>
        <v>0</v>
      </c>
      <c r="T89" s="27"/>
      <c r="U89" s="27"/>
      <c r="V89" s="27">
        <v>0</v>
      </c>
      <c r="W89" s="27"/>
      <c r="X89" s="27">
        <f t="shared" si="58"/>
        <v>0</v>
      </c>
      <c r="Y89" s="27">
        <f t="shared" si="59"/>
        <v>0</v>
      </c>
      <c r="Z89" s="27">
        <v>0</v>
      </c>
      <c r="AA89" s="27"/>
      <c r="AB89" s="27"/>
      <c r="AC89" s="27"/>
      <c r="AD89" s="27">
        <f t="shared" si="60"/>
        <v>0</v>
      </c>
      <c r="AE89" s="27">
        <f t="shared" si="61"/>
        <v>0</v>
      </c>
      <c r="AF89" s="27">
        <f t="shared" si="62"/>
        <v>0</v>
      </c>
      <c r="AG89" s="27">
        <f t="shared" si="63"/>
        <v>0</v>
      </c>
      <c r="AH89" s="27">
        <f t="shared" si="64"/>
        <v>0</v>
      </c>
      <c r="AI89" s="27">
        <f t="shared" si="65"/>
        <v>0</v>
      </c>
      <c r="AJ89" s="27">
        <f t="shared" si="66"/>
        <v>0</v>
      </c>
      <c r="AK89" s="27">
        <f t="shared" si="67"/>
        <v>0</v>
      </c>
      <c r="AL89" s="27"/>
      <c r="AM89" s="27"/>
      <c r="AN89" s="27">
        <v>0</v>
      </c>
      <c r="AO89" s="27"/>
      <c r="AP89" s="27">
        <f t="shared" si="68"/>
        <v>0</v>
      </c>
      <c r="AQ89" s="27">
        <f t="shared" si="69"/>
        <v>0</v>
      </c>
      <c r="AR89" s="27"/>
      <c r="AS89" s="27"/>
      <c r="AT89" s="27">
        <v>0</v>
      </c>
      <c r="AU89" s="27"/>
      <c r="AV89" s="27">
        <f t="shared" si="70"/>
        <v>0</v>
      </c>
      <c r="AW89" s="27">
        <f t="shared" si="71"/>
        <v>0</v>
      </c>
      <c r="AX89" s="27"/>
      <c r="AY89" s="27"/>
      <c r="AZ89" s="27">
        <v>0</v>
      </c>
      <c r="BA89" s="27"/>
      <c r="BB89" s="27">
        <f t="shared" si="72"/>
        <v>0</v>
      </c>
      <c r="BC89" s="27">
        <f t="shared" si="73"/>
        <v>0</v>
      </c>
      <c r="BD89" s="27"/>
      <c r="BE89" s="27"/>
      <c r="BF89" s="27">
        <v>0</v>
      </c>
      <c r="BG89" s="27"/>
      <c r="BH89" s="27">
        <f t="shared" si="74"/>
        <v>0</v>
      </c>
      <c r="BI89" s="27">
        <f t="shared" si="75"/>
        <v>0</v>
      </c>
      <c r="BJ89" s="27"/>
      <c r="BK89" s="27"/>
      <c r="BL89" s="27">
        <v>0</v>
      </c>
      <c r="BM89" s="27"/>
      <c r="BN89" s="27">
        <f t="shared" si="76"/>
        <v>0</v>
      </c>
      <c r="BO89" s="27">
        <f t="shared" si="77"/>
        <v>0</v>
      </c>
      <c r="BP89" s="26"/>
      <c r="BQ89" s="27"/>
      <c r="BR89" s="27">
        <v>0</v>
      </c>
      <c r="BS89" s="27"/>
      <c r="BT89" s="27">
        <f t="shared" si="78"/>
        <v>0</v>
      </c>
      <c r="BU89" s="27">
        <f t="shared" si="79"/>
        <v>0</v>
      </c>
      <c r="BV89" s="26"/>
      <c r="BW89" s="27"/>
      <c r="BX89" s="27">
        <v>0</v>
      </c>
      <c r="BY89" s="27"/>
      <c r="BZ89" s="27">
        <f t="shared" si="80"/>
        <v>0</v>
      </c>
      <c r="CA89" s="27">
        <f t="shared" si="81"/>
        <v>0</v>
      </c>
      <c r="CB89" s="26"/>
      <c r="CC89" s="27"/>
      <c r="CD89" s="27">
        <v>0</v>
      </c>
      <c r="CE89" s="27"/>
      <c r="CF89" s="27">
        <f t="shared" si="82"/>
        <v>0</v>
      </c>
      <c r="CG89" s="27">
        <f t="shared" si="83"/>
        <v>0</v>
      </c>
      <c r="CH89" s="26"/>
      <c r="CI89" s="27"/>
      <c r="CJ89" s="27">
        <v>0</v>
      </c>
      <c r="CK89" s="27"/>
      <c r="CL89" s="27">
        <f t="shared" si="84"/>
        <v>0</v>
      </c>
      <c r="CM89" s="27">
        <f t="shared" si="85"/>
        <v>0</v>
      </c>
      <c r="CN89" s="26"/>
      <c r="CO89" s="27"/>
      <c r="CP89" s="27">
        <v>0</v>
      </c>
      <c r="CQ89" s="27"/>
      <c r="CR89" s="27">
        <f t="shared" si="86"/>
        <v>0</v>
      </c>
      <c r="CS89" s="27">
        <f t="shared" si="87"/>
        <v>0</v>
      </c>
      <c r="CT89" s="26"/>
      <c r="CU89" s="27"/>
      <c r="CV89" s="27">
        <v>0</v>
      </c>
      <c r="CW89" s="27"/>
      <c r="CX89" s="27">
        <f t="shared" si="88"/>
        <v>0</v>
      </c>
      <c r="CY89" s="27">
        <f t="shared" si="89"/>
        <v>0</v>
      </c>
      <c r="CZ89" s="26"/>
      <c r="DA89" s="27"/>
      <c r="DB89" s="27">
        <v>0</v>
      </c>
      <c r="DC89" s="27"/>
      <c r="DD89" s="27">
        <f t="shared" si="90"/>
        <v>0</v>
      </c>
      <c r="DE89" s="27">
        <f t="shared" si="91"/>
        <v>0</v>
      </c>
      <c r="DF89" s="28">
        <f t="shared" si="92"/>
        <v>0</v>
      </c>
      <c r="DG89" s="28">
        <f t="shared" si="93"/>
        <v>0</v>
      </c>
      <c r="DH89" s="28">
        <f t="shared" si="94"/>
        <v>0</v>
      </c>
      <c r="DI89" s="28">
        <f t="shared" si="95"/>
        <v>0</v>
      </c>
      <c r="DJ89" s="27">
        <f t="shared" si="96"/>
        <v>0</v>
      </c>
      <c r="DK89" s="27">
        <f t="shared" si="97"/>
        <v>0</v>
      </c>
    </row>
    <row r="90" spans="1:115">
      <c r="A90" s="25">
        <v>82</v>
      </c>
      <c r="B90" s="26" t="s">
        <v>1161</v>
      </c>
      <c r="C90" s="26"/>
      <c r="D90" s="26"/>
      <c r="E90" s="205" t="s">
        <v>1200</v>
      </c>
      <c r="F90" s="161">
        <f t="shared" si="50"/>
        <v>0</v>
      </c>
      <c r="G90" s="165">
        <f t="shared" si="51"/>
        <v>0</v>
      </c>
      <c r="H90" s="27"/>
      <c r="I90" s="27">
        <v>0</v>
      </c>
      <c r="J90" s="27">
        <v>0</v>
      </c>
      <c r="K90" s="127">
        <f t="shared" si="52"/>
        <v>0</v>
      </c>
      <c r="L90" s="127">
        <f t="shared" si="53"/>
        <v>0</v>
      </c>
      <c r="M90" s="127">
        <f t="shared" si="54"/>
        <v>0</v>
      </c>
      <c r="N90" s="131"/>
      <c r="O90" s="125" t="str">
        <f t="shared" si="55"/>
        <v>ნულოვანი შესრულება</v>
      </c>
      <c r="P90" s="27">
        <v>0</v>
      </c>
      <c r="Q90" s="27">
        <v>0</v>
      </c>
      <c r="R90" s="27">
        <f t="shared" si="56"/>
        <v>0</v>
      </c>
      <c r="S90" s="27">
        <f t="shared" si="57"/>
        <v>0</v>
      </c>
      <c r="T90" s="27"/>
      <c r="U90" s="27"/>
      <c r="V90" s="27">
        <v>0</v>
      </c>
      <c r="W90" s="27"/>
      <c r="X90" s="27">
        <f t="shared" si="58"/>
        <v>0</v>
      </c>
      <c r="Y90" s="27">
        <f t="shared" si="59"/>
        <v>0</v>
      </c>
      <c r="Z90" s="27">
        <v>0</v>
      </c>
      <c r="AA90" s="27"/>
      <c r="AB90" s="27"/>
      <c r="AC90" s="27"/>
      <c r="AD90" s="27">
        <f t="shared" si="60"/>
        <v>0</v>
      </c>
      <c r="AE90" s="27">
        <f t="shared" si="61"/>
        <v>0</v>
      </c>
      <c r="AF90" s="27">
        <f t="shared" si="62"/>
        <v>0</v>
      </c>
      <c r="AG90" s="27">
        <f t="shared" si="63"/>
        <v>0</v>
      </c>
      <c r="AH90" s="27">
        <f t="shared" si="64"/>
        <v>0</v>
      </c>
      <c r="AI90" s="27">
        <f t="shared" si="65"/>
        <v>0</v>
      </c>
      <c r="AJ90" s="27">
        <f t="shared" si="66"/>
        <v>0</v>
      </c>
      <c r="AK90" s="27">
        <f t="shared" si="67"/>
        <v>0</v>
      </c>
      <c r="AL90" s="27"/>
      <c r="AM90" s="27"/>
      <c r="AN90" s="27">
        <v>0</v>
      </c>
      <c r="AO90" s="27"/>
      <c r="AP90" s="27">
        <f t="shared" si="68"/>
        <v>0</v>
      </c>
      <c r="AQ90" s="27">
        <f t="shared" si="69"/>
        <v>0</v>
      </c>
      <c r="AR90" s="27"/>
      <c r="AS90" s="27"/>
      <c r="AT90" s="27">
        <v>0</v>
      </c>
      <c r="AU90" s="27"/>
      <c r="AV90" s="27">
        <f t="shared" si="70"/>
        <v>0</v>
      </c>
      <c r="AW90" s="27">
        <f t="shared" si="71"/>
        <v>0</v>
      </c>
      <c r="AX90" s="27"/>
      <c r="AY90" s="27"/>
      <c r="AZ90" s="27">
        <v>0</v>
      </c>
      <c r="BA90" s="27"/>
      <c r="BB90" s="27">
        <f t="shared" si="72"/>
        <v>0</v>
      </c>
      <c r="BC90" s="27">
        <f t="shared" si="73"/>
        <v>0</v>
      </c>
      <c r="BD90" s="27"/>
      <c r="BE90" s="27"/>
      <c r="BF90" s="27">
        <v>0</v>
      </c>
      <c r="BG90" s="27"/>
      <c r="BH90" s="27">
        <f t="shared" si="74"/>
        <v>0</v>
      </c>
      <c r="BI90" s="27">
        <f t="shared" si="75"/>
        <v>0</v>
      </c>
      <c r="BJ90" s="27"/>
      <c r="BK90" s="27"/>
      <c r="BL90" s="27">
        <v>0</v>
      </c>
      <c r="BM90" s="27"/>
      <c r="BN90" s="27">
        <f t="shared" si="76"/>
        <v>0</v>
      </c>
      <c r="BO90" s="27">
        <f t="shared" si="77"/>
        <v>0</v>
      </c>
      <c r="BP90" s="26"/>
      <c r="BQ90" s="27"/>
      <c r="BR90" s="27">
        <v>0</v>
      </c>
      <c r="BS90" s="27"/>
      <c r="BT90" s="27">
        <f t="shared" si="78"/>
        <v>0</v>
      </c>
      <c r="BU90" s="27">
        <f t="shared" si="79"/>
        <v>0</v>
      </c>
      <c r="BV90" s="26"/>
      <c r="BW90" s="27"/>
      <c r="BX90" s="27">
        <v>0</v>
      </c>
      <c r="BY90" s="27"/>
      <c r="BZ90" s="27">
        <f t="shared" si="80"/>
        <v>0</v>
      </c>
      <c r="CA90" s="27">
        <f t="shared" si="81"/>
        <v>0</v>
      </c>
      <c r="CB90" s="26"/>
      <c r="CC90" s="27"/>
      <c r="CD90" s="27">
        <v>0</v>
      </c>
      <c r="CE90" s="27"/>
      <c r="CF90" s="27">
        <f t="shared" si="82"/>
        <v>0</v>
      </c>
      <c r="CG90" s="27">
        <f t="shared" si="83"/>
        <v>0</v>
      </c>
      <c r="CH90" s="26"/>
      <c r="CI90" s="27"/>
      <c r="CJ90" s="27">
        <v>0</v>
      </c>
      <c r="CK90" s="27"/>
      <c r="CL90" s="27">
        <f t="shared" si="84"/>
        <v>0</v>
      </c>
      <c r="CM90" s="27">
        <f t="shared" si="85"/>
        <v>0</v>
      </c>
      <c r="CN90" s="26"/>
      <c r="CO90" s="27"/>
      <c r="CP90" s="27">
        <v>0</v>
      </c>
      <c r="CQ90" s="27"/>
      <c r="CR90" s="27">
        <f t="shared" si="86"/>
        <v>0</v>
      </c>
      <c r="CS90" s="27">
        <f t="shared" si="87"/>
        <v>0</v>
      </c>
      <c r="CT90" s="26"/>
      <c r="CU90" s="27"/>
      <c r="CV90" s="27">
        <v>0</v>
      </c>
      <c r="CW90" s="27"/>
      <c r="CX90" s="27">
        <f t="shared" si="88"/>
        <v>0</v>
      </c>
      <c r="CY90" s="27">
        <f t="shared" si="89"/>
        <v>0</v>
      </c>
      <c r="CZ90" s="26"/>
      <c r="DA90" s="27"/>
      <c r="DB90" s="27">
        <v>0</v>
      </c>
      <c r="DC90" s="27"/>
      <c r="DD90" s="27">
        <f t="shared" si="90"/>
        <v>0</v>
      </c>
      <c r="DE90" s="27">
        <f t="shared" si="91"/>
        <v>0</v>
      </c>
      <c r="DF90" s="28">
        <f t="shared" si="92"/>
        <v>0</v>
      </c>
      <c r="DG90" s="28">
        <f t="shared" si="93"/>
        <v>0</v>
      </c>
      <c r="DH90" s="28">
        <f t="shared" si="94"/>
        <v>0</v>
      </c>
      <c r="DI90" s="28">
        <f t="shared" si="95"/>
        <v>0</v>
      </c>
      <c r="DJ90" s="27">
        <f t="shared" si="96"/>
        <v>0</v>
      </c>
      <c r="DK90" s="27">
        <f t="shared" si="97"/>
        <v>0</v>
      </c>
    </row>
    <row r="91" spans="1:115">
      <c r="A91" s="25">
        <v>83</v>
      </c>
      <c r="B91" s="26" t="s">
        <v>1161</v>
      </c>
      <c r="C91" s="26"/>
      <c r="D91" s="26"/>
      <c r="E91" s="205" t="s">
        <v>1200</v>
      </c>
      <c r="F91" s="161">
        <f t="shared" si="50"/>
        <v>0</v>
      </c>
      <c r="G91" s="165">
        <f t="shared" si="51"/>
        <v>0</v>
      </c>
      <c r="H91" s="27"/>
      <c r="I91" s="27">
        <v>0</v>
      </c>
      <c r="J91" s="27">
        <v>0</v>
      </c>
      <c r="K91" s="127">
        <f t="shared" si="52"/>
        <v>0</v>
      </c>
      <c r="L91" s="127">
        <f t="shared" si="53"/>
        <v>0</v>
      </c>
      <c r="M91" s="127">
        <f t="shared" si="54"/>
        <v>0</v>
      </c>
      <c r="N91" s="131"/>
      <c r="O91" s="125" t="str">
        <f t="shared" si="55"/>
        <v>ნულოვანი შესრულება</v>
      </c>
      <c r="P91" s="27">
        <v>0</v>
      </c>
      <c r="Q91" s="27">
        <v>0</v>
      </c>
      <c r="R91" s="27">
        <f t="shared" si="56"/>
        <v>0</v>
      </c>
      <c r="S91" s="27">
        <f t="shared" si="57"/>
        <v>0</v>
      </c>
      <c r="T91" s="27"/>
      <c r="U91" s="27"/>
      <c r="V91" s="27">
        <v>0</v>
      </c>
      <c r="W91" s="27"/>
      <c r="X91" s="27">
        <f t="shared" si="58"/>
        <v>0</v>
      </c>
      <c r="Y91" s="27">
        <f t="shared" si="59"/>
        <v>0</v>
      </c>
      <c r="Z91" s="27">
        <v>0</v>
      </c>
      <c r="AA91" s="27"/>
      <c r="AB91" s="27"/>
      <c r="AC91" s="27"/>
      <c r="AD91" s="27">
        <f t="shared" si="60"/>
        <v>0</v>
      </c>
      <c r="AE91" s="27">
        <f t="shared" si="61"/>
        <v>0</v>
      </c>
      <c r="AF91" s="27">
        <f t="shared" si="62"/>
        <v>0</v>
      </c>
      <c r="AG91" s="27">
        <f t="shared" si="63"/>
        <v>0</v>
      </c>
      <c r="AH91" s="27">
        <f t="shared" si="64"/>
        <v>0</v>
      </c>
      <c r="AI91" s="27">
        <f t="shared" si="65"/>
        <v>0</v>
      </c>
      <c r="AJ91" s="27">
        <f t="shared" si="66"/>
        <v>0</v>
      </c>
      <c r="AK91" s="27">
        <f t="shared" si="67"/>
        <v>0</v>
      </c>
      <c r="AL91" s="27"/>
      <c r="AM91" s="27"/>
      <c r="AN91" s="27">
        <v>0</v>
      </c>
      <c r="AO91" s="27"/>
      <c r="AP91" s="27">
        <f t="shared" si="68"/>
        <v>0</v>
      </c>
      <c r="AQ91" s="27">
        <f t="shared" si="69"/>
        <v>0</v>
      </c>
      <c r="AR91" s="27"/>
      <c r="AS91" s="27"/>
      <c r="AT91" s="27">
        <v>0</v>
      </c>
      <c r="AU91" s="27"/>
      <c r="AV91" s="27">
        <f t="shared" si="70"/>
        <v>0</v>
      </c>
      <c r="AW91" s="27">
        <f t="shared" si="71"/>
        <v>0</v>
      </c>
      <c r="AX91" s="27"/>
      <c r="AY91" s="27"/>
      <c r="AZ91" s="27">
        <v>0</v>
      </c>
      <c r="BA91" s="27"/>
      <c r="BB91" s="27">
        <f t="shared" si="72"/>
        <v>0</v>
      </c>
      <c r="BC91" s="27">
        <f t="shared" si="73"/>
        <v>0</v>
      </c>
      <c r="BD91" s="27"/>
      <c r="BE91" s="27"/>
      <c r="BF91" s="27">
        <v>0</v>
      </c>
      <c r="BG91" s="27"/>
      <c r="BH91" s="27">
        <f t="shared" si="74"/>
        <v>0</v>
      </c>
      <c r="BI91" s="27">
        <f t="shared" si="75"/>
        <v>0</v>
      </c>
      <c r="BJ91" s="27"/>
      <c r="BK91" s="27"/>
      <c r="BL91" s="27">
        <v>0</v>
      </c>
      <c r="BM91" s="27"/>
      <c r="BN91" s="27">
        <f t="shared" si="76"/>
        <v>0</v>
      </c>
      <c r="BO91" s="27">
        <f t="shared" si="77"/>
        <v>0</v>
      </c>
      <c r="BP91" s="26"/>
      <c r="BQ91" s="27"/>
      <c r="BR91" s="27">
        <v>0</v>
      </c>
      <c r="BS91" s="27"/>
      <c r="BT91" s="27">
        <f t="shared" si="78"/>
        <v>0</v>
      </c>
      <c r="BU91" s="27">
        <f t="shared" si="79"/>
        <v>0</v>
      </c>
      <c r="BV91" s="26"/>
      <c r="BW91" s="27"/>
      <c r="BX91" s="27">
        <v>0</v>
      </c>
      <c r="BY91" s="27"/>
      <c r="BZ91" s="27">
        <f t="shared" si="80"/>
        <v>0</v>
      </c>
      <c r="CA91" s="27">
        <f t="shared" si="81"/>
        <v>0</v>
      </c>
      <c r="CB91" s="26"/>
      <c r="CC91" s="27"/>
      <c r="CD91" s="27">
        <v>0</v>
      </c>
      <c r="CE91" s="27"/>
      <c r="CF91" s="27">
        <f t="shared" si="82"/>
        <v>0</v>
      </c>
      <c r="CG91" s="27">
        <f t="shared" si="83"/>
        <v>0</v>
      </c>
      <c r="CH91" s="26"/>
      <c r="CI91" s="27"/>
      <c r="CJ91" s="27">
        <v>0</v>
      </c>
      <c r="CK91" s="27"/>
      <c r="CL91" s="27">
        <f t="shared" si="84"/>
        <v>0</v>
      </c>
      <c r="CM91" s="27">
        <f t="shared" si="85"/>
        <v>0</v>
      </c>
      <c r="CN91" s="26"/>
      <c r="CO91" s="27"/>
      <c r="CP91" s="27">
        <v>0</v>
      </c>
      <c r="CQ91" s="27"/>
      <c r="CR91" s="27">
        <f t="shared" si="86"/>
        <v>0</v>
      </c>
      <c r="CS91" s="27">
        <f t="shared" si="87"/>
        <v>0</v>
      </c>
      <c r="CT91" s="26"/>
      <c r="CU91" s="27"/>
      <c r="CV91" s="27">
        <v>0</v>
      </c>
      <c r="CW91" s="27"/>
      <c r="CX91" s="27">
        <f t="shared" si="88"/>
        <v>0</v>
      </c>
      <c r="CY91" s="27">
        <f t="shared" si="89"/>
        <v>0</v>
      </c>
      <c r="CZ91" s="26"/>
      <c r="DA91" s="27"/>
      <c r="DB91" s="27">
        <v>0</v>
      </c>
      <c r="DC91" s="27"/>
      <c r="DD91" s="27">
        <f t="shared" si="90"/>
        <v>0</v>
      </c>
      <c r="DE91" s="27">
        <f t="shared" si="91"/>
        <v>0</v>
      </c>
      <c r="DF91" s="28">
        <f t="shared" si="92"/>
        <v>0</v>
      </c>
      <c r="DG91" s="28">
        <f t="shared" si="93"/>
        <v>0</v>
      </c>
      <c r="DH91" s="28">
        <f t="shared" si="94"/>
        <v>0</v>
      </c>
      <c r="DI91" s="28">
        <f t="shared" si="95"/>
        <v>0</v>
      </c>
      <c r="DJ91" s="27">
        <f t="shared" si="96"/>
        <v>0</v>
      </c>
      <c r="DK91" s="27">
        <f t="shared" si="97"/>
        <v>0</v>
      </c>
    </row>
    <row r="92" spans="1:115">
      <c r="A92" s="25">
        <v>84</v>
      </c>
      <c r="B92" s="26" t="s">
        <v>1161</v>
      </c>
      <c r="C92" s="26"/>
      <c r="D92" s="26"/>
      <c r="E92" s="205" t="s">
        <v>1200</v>
      </c>
      <c r="F92" s="161">
        <f t="shared" si="50"/>
        <v>0</v>
      </c>
      <c r="G92" s="165">
        <f t="shared" si="51"/>
        <v>0</v>
      </c>
      <c r="H92" s="27"/>
      <c r="I92" s="27">
        <v>0</v>
      </c>
      <c r="J92" s="27">
        <v>0</v>
      </c>
      <c r="K92" s="127">
        <f t="shared" si="52"/>
        <v>0</v>
      </c>
      <c r="L92" s="127">
        <f t="shared" si="53"/>
        <v>0</v>
      </c>
      <c r="M92" s="127">
        <f t="shared" si="54"/>
        <v>0</v>
      </c>
      <c r="N92" s="131"/>
      <c r="O92" s="125" t="str">
        <f t="shared" si="55"/>
        <v>ნულოვანი შესრულება</v>
      </c>
      <c r="P92" s="27">
        <v>0</v>
      </c>
      <c r="Q92" s="27">
        <v>0</v>
      </c>
      <c r="R92" s="27">
        <f t="shared" si="56"/>
        <v>0</v>
      </c>
      <c r="S92" s="27">
        <f t="shared" si="57"/>
        <v>0</v>
      </c>
      <c r="T92" s="27"/>
      <c r="U92" s="27"/>
      <c r="V92" s="27">
        <v>0</v>
      </c>
      <c r="W92" s="27"/>
      <c r="X92" s="27">
        <f t="shared" si="58"/>
        <v>0</v>
      </c>
      <c r="Y92" s="27">
        <f t="shared" si="59"/>
        <v>0</v>
      </c>
      <c r="Z92" s="27">
        <v>0</v>
      </c>
      <c r="AA92" s="27"/>
      <c r="AB92" s="27"/>
      <c r="AC92" s="27"/>
      <c r="AD92" s="27">
        <f t="shared" si="60"/>
        <v>0</v>
      </c>
      <c r="AE92" s="27">
        <f t="shared" si="61"/>
        <v>0</v>
      </c>
      <c r="AF92" s="27">
        <f t="shared" si="62"/>
        <v>0</v>
      </c>
      <c r="AG92" s="27">
        <f t="shared" si="63"/>
        <v>0</v>
      </c>
      <c r="AH92" s="27">
        <f t="shared" si="64"/>
        <v>0</v>
      </c>
      <c r="AI92" s="27">
        <f t="shared" si="65"/>
        <v>0</v>
      </c>
      <c r="AJ92" s="27">
        <f t="shared" si="66"/>
        <v>0</v>
      </c>
      <c r="AK92" s="27">
        <f t="shared" si="67"/>
        <v>0</v>
      </c>
      <c r="AL92" s="27"/>
      <c r="AM92" s="27"/>
      <c r="AN92" s="27">
        <v>0</v>
      </c>
      <c r="AO92" s="27"/>
      <c r="AP92" s="27">
        <f t="shared" si="68"/>
        <v>0</v>
      </c>
      <c r="AQ92" s="27">
        <f t="shared" si="69"/>
        <v>0</v>
      </c>
      <c r="AR92" s="27"/>
      <c r="AS92" s="27"/>
      <c r="AT92" s="27">
        <v>0</v>
      </c>
      <c r="AU92" s="27"/>
      <c r="AV92" s="27">
        <f t="shared" si="70"/>
        <v>0</v>
      </c>
      <c r="AW92" s="27">
        <f t="shared" si="71"/>
        <v>0</v>
      </c>
      <c r="AX92" s="27"/>
      <c r="AY92" s="27"/>
      <c r="AZ92" s="27">
        <v>0</v>
      </c>
      <c r="BA92" s="27"/>
      <c r="BB92" s="27">
        <f t="shared" si="72"/>
        <v>0</v>
      </c>
      <c r="BC92" s="27">
        <f t="shared" si="73"/>
        <v>0</v>
      </c>
      <c r="BD92" s="27"/>
      <c r="BE92" s="27"/>
      <c r="BF92" s="27">
        <v>0</v>
      </c>
      <c r="BG92" s="27"/>
      <c r="BH92" s="27">
        <f t="shared" si="74"/>
        <v>0</v>
      </c>
      <c r="BI92" s="27">
        <f t="shared" si="75"/>
        <v>0</v>
      </c>
      <c r="BJ92" s="27"/>
      <c r="BK92" s="27"/>
      <c r="BL92" s="27">
        <v>0</v>
      </c>
      <c r="BM92" s="27"/>
      <c r="BN92" s="27">
        <f t="shared" si="76"/>
        <v>0</v>
      </c>
      <c r="BO92" s="27">
        <f t="shared" si="77"/>
        <v>0</v>
      </c>
      <c r="BP92" s="26"/>
      <c r="BQ92" s="27"/>
      <c r="BR92" s="27">
        <v>0</v>
      </c>
      <c r="BS92" s="27"/>
      <c r="BT92" s="27">
        <f t="shared" si="78"/>
        <v>0</v>
      </c>
      <c r="BU92" s="27">
        <f t="shared" si="79"/>
        <v>0</v>
      </c>
      <c r="BV92" s="26"/>
      <c r="BW92" s="27"/>
      <c r="BX92" s="27">
        <v>0</v>
      </c>
      <c r="BY92" s="27"/>
      <c r="BZ92" s="27">
        <f t="shared" si="80"/>
        <v>0</v>
      </c>
      <c r="CA92" s="27">
        <f t="shared" si="81"/>
        <v>0</v>
      </c>
      <c r="CB92" s="26"/>
      <c r="CC92" s="27"/>
      <c r="CD92" s="27">
        <v>0</v>
      </c>
      <c r="CE92" s="27"/>
      <c r="CF92" s="27">
        <f t="shared" si="82"/>
        <v>0</v>
      </c>
      <c r="CG92" s="27">
        <f t="shared" si="83"/>
        <v>0</v>
      </c>
      <c r="CH92" s="26"/>
      <c r="CI92" s="27"/>
      <c r="CJ92" s="27">
        <v>0</v>
      </c>
      <c r="CK92" s="27"/>
      <c r="CL92" s="27">
        <f t="shared" si="84"/>
        <v>0</v>
      </c>
      <c r="CM92" s="27">
        <f t="shared" si="85"/>
        <v>0</v>
      </c>
      <c r="CN92" s="26"/>
      <c r="CO92" s="27"/>
      <c r="CP92" s="27">
        <v>0</v>
      </c>
      <c r="CQ92" s="27"/>
      <c r="CR92" s="27">
        <f t="shared" si="86"/>
        <v>0</v>
      </c>
      <c r="CS92" s="27">
        <f t="shared" si="87"/>
        <v>0</v>
      </c>
      <c r="CT92" s="26"/>
      <c r="CU92" s="27"/>
      <c r="CV92" s="27">
        <v>0</v>
      </c>
      <c r="CW92" s="27"/>
      <c r="CX92" s="27">
        <f t="shared" si="88"/>
        <v>0</v>
      </c>
      <c r="CY92" s="27">
        <f t="shared" si="89"/>
        <v>0</v>
      </c>
      <c r="CZ92" s="26"/>
      <c r="DA92" s="27"/>
      <c r="DB92" s="27">
        <v>0</v>
      </c>
      <c r="DC92" s="27"/>
      <c r="DD92" s="27">
        <f t="shared" si="90"/>
        <v>0</v>
      </c>
      <c r="DE92" s="27">
        <f t="shared" si="91"/>
        <v>0</v>
      </c>
      <c r="DF92" s="28">
        <f t="shared" si="92"/>
        <v>0</v>
      </c>
      <c r="DG92" s="28">
        <f t="shared" si="93"/>
        <v>0</v>
      </c>
      <c r="DH92" s="28">
        <f t="shared" si="94"/>
        <v>0</v>
      </c>
      <c r="DI92" s="28">
        <f t="shared" si="95"/>
        <v>0</v>
      </c>
      <c r="DJ92" s="27">
        <f t="shared" si="96"/>
        <v>0</v>
      </c>
      <c r="DK92" s="27">
        <f t="shared" si="97"/>
        <v>0</v>
      </c>
    </row>
    <row r="93" spans="1:115">
      <c r="A93" s="25">
        <v>85</v>
      </c>
      <c r="B93" s="26" t="s">
        <v>1161</v>
      </c>
      <c r="C93" s="26"/>
      <c r="D93" s="26"/>
      <c r="E93" s="205" t="s">
        <v>1200</v>
      </c>
      <c r="F93" s="161">
        <f t="shared" si="50"/>
        <v>0</v>
      </c>
      <c r="G93" s="165">
        <f t="shared" si="51"/>
        <v>0</v>
      </c>
      <c r="H93" s="27"/>
      <c r="I93" s="27">
        <v>0</v>
      </c>
      <c r="J93" s="27">
        <v>0</v>
      </c>
      <c r="K93" s="127">
        <f t="shared" si="52"/>
        <v>0</v>
      </c>
      <c r="L93" s="127">
        <f t="shared" si="53"/>
        <v>0</v>
      </c>
      <c r="M93" s="127">
        <f t="shared" si="54"/>
        <v>0</v>
      </c>
      <c r="N93" s="131"/>
      <c r="O93" s="125" t="str">
        <f t="shared" si="55"/>
        <v>ნულოვანი შესრულება</v>
      </c>
      <c r="P93" s="27">
        <v>0</v>
      </c>
      <c r="Q93" s="27">
        <v>0</v>
      </c>
      <c r="R93" s="27">
        <f t="shared" si="56"/>
        <v>0</v>
      </c>
      <c r="S93" s="27">
        <f t="shared" si="57"/>
        <v>0</v>
      </c>
      <c r="T93" s="27"/>
      <c r="U93" s="27"/>
      <c r="V93" s="27">
        <v>0</v>
      </c>
      <c r="W93" s="27"/>
      <c r="X93" s="27">
        <f t="shared" si="58"/>
        <v>0</v>
      </c>
      <c r="Y93" s="27">
        <f t="shared" si="59"/>
        <v>0</v>
      </c>
      <c r="Z93" s="27">
        <v>0</v>
      </c>
      <c r="AA93" s="27"/>
      <c r="AB93" s="27"/>
      <c r="AC93" s="27"/>
      <c r="AD93" s="27">
        <f t="shared" si="60"/>
        <v>0</v>
      </c>
      <c r="AE93" s="27">
        <f t="shared" si="61"/>
        <v>0</v>
      </c>
      <c r="AF93" s="27">
        <f t="shared" si="62"/>
        <v>0</v>
      </c>
      <c r="AG93" s="27">
        <f t="shared" si="63"/>
        <v>0</v>
      </c>
      <c r="AH93" s="27">
        <f t="shared" si="64"/>
        <v>0</v>
      </c>
      <c r="AI93" s="27">
        <f t="shared" si="65"/>
        <v>0</v>
      </c>
      <c r="AJ93" s="27">
        <f t="shared" si="66"/>
        <v>0</v>
      </c>
      <c r="AK93" s="27">
        <f t="shared" si="67"/>
        <v>0</v>
      </c>
      <c r="AL93" s="27"/>
      <c r="AM93" s="27"/>
      <c r="AN93" s="27">
        <v>0</v>
      </c>
      <c r="AO93" s="27"/>
      <c r="AP93" s="27">
        <f t="shared" si="68"/>
        <v>0</v>
      </c>
      <c r="AQ93" s="27">
        <f t="shared" si="69"/>
        <v>0</v>
      </c>
      <c r="AR93" s="27"/>
      <c r="AS93" s="27"/>
      <c r="AT93" s="27">
        <v>0</v>
      </c>
      <c r="AU93" s="27"/>
      <c r="AV93" s="27">
        <f t="shared" si="70"/>
        <v>0</v>
      </c>
      <c r="AW93" s="27">
        <f t="shared" si="71"/>
        <v>0</v>
      </c>
      <c r="AX93" s="27"/>
      <c r="AY93" s="27"/>
      <c r="AZ93" s="27">
        <v>0</v>
      </c>
      <c r="BA93" s="27"/>
      <c r="BB93" s="27">
        <f t="shared" si="72"/>
        <v>0</v>
      </c>
      <c r="BC93" s="27">
        <f t="shared" si="73"/>
        <v>0</v>
      </c>
      <c r="BD93" s="27"/>
      <c r="BE93" s="27"/>
      <c r="BF93" s="27">
        <v>0</v>
      </c>
      <c r="BG93" s="27"/>
      <c r="BH93" s="27">
        <f t="shared" si="74"/>
        <v>0</v>
      </c>
      <c r="BI93" s="27">
        <f t="shared" si="75"/>
        <v>0</v>
      </c>
      <c r="BJ93" s="27"/>
      <c r="BK93" s="27"/>
      <c r="BL93" s="27">
        <v>0</v>
      </c>
      <c r="BM93" s="27"/>
      <c r="BN93" s="27">
        <f t="shared" si="76"/>
        <v>0</v>
      </c>
      <c r="BO93" s="27">
        <f t="shared" si="77"/>
        <v>0</v>
      </c>
      <c r="BP93" s="26"/>
      <c r="BQ93" s="27"/>
      <c r="BR93" s="27">
        <v>0</v>
      </c>
      <c r="BS93" s="27"/>
      <c r="BT93" s="27">
        <f t="shared" si="78"/>
        <v>0</v>
      </c>
      <c r="BU93" s="27">
        <f t="shared" si="79"/>
        <v>0</v>
      </c>
      <c r="BV93" s="26"/>
      <c r="BW93" s="27"/>
      <c r="BX93" s="27">
        <v>0</v>
      </c>
      <c r="BY93" s="27"/>
      <c r="BZ93" s="27">
        <f t="shared" si="80"/>
        <v>0</v>
      </c>
      <c r="CA93" s="27">
        <f t="shared" si="81"/>
        <v>0</v>
      </c>
      <c r="CB93" s="26"/>
      <c r="CC93" s="27"/>
      <c r="CD93" s="27">
        <v>0</v>
      </c>
      <c r="CE93" s="27"/>
      <c r="CF93" s="27">
        <f t="shared" si="82"/>
        <v>0</v>
      </c>
      <c r="CG93" s="27">
        <f t="shared" si="83"/>
        <v>0</v>
      </c>
      <c r="CH93" s="26"/>
      <c r="CI93" s="27"/>
      <c r="CJ93" s="27">
        <v>0</v>
      </c>
      <c r="CK93" s="27"/>
      <c r="CL93" s="27">
        <f t="shared" si="84"/>
        <v>0</v>
      </c>
      <c r="CM93" s="27">
        <f t="shared" si="85"/>
        <v>0</v>
      </c>
      <c r="CN93" s="26"/>
      <c r="CO93" s="27"/>
      <c r="CP93" s="27">
        <v>0</v>
      </c>
      <c r="CQ93" s="27"/>
      <c r="CR93" s="27">
        <f t="shared" si="86"/>
        <v>0</v>
      </c>
      <c r="CS93" s="27">
        <f t="shared" si="87"/>
        <v>0</v>
      </c>
      <c r="CT93" s="26"/>
      <c r="CU93" s="27"/>
      <c r="CV93" s="27">
        <v>0</v>
      </c>
      <c r="CW93" s="27"/>
      <c r="CX93" s="27">
        <f t="shared" si="88"/>
        <v>0</v>
      </c>
      <c r="CY93" s="27">
        <f t="shared" si="89"/>
        <v>0</v>
      </c>
      <c r="CZ93" s="26"/>
      <c r="DA93" s="27"/>
      <c r="DB93" s="27">
        <v>0</v>
      </c>
      <c r="DC93" s="27"/>
      <c r="DD93" s="27">
        <f t="shared" si="90"/>
        <v>0</v>
      </c>
      <c r="DE93" s="27">
        <f t="shared" si="91"/>
        <v>0</v>
      </c>
      <c r="DF93" s="28">
        <f t="shared" si="92"/>
        <v>0</v>
      </c>
      <c r="DG93" s="28">
        <f t="shared" si="93"/>
        <v>0</v>
      </c>
      <c r="DH93" s="28">
        <f t="shared" si="94"/>
        <v>0</v>
      </c>
      <c r="DI93" s="28">
        <f t="shared" si="95"/>
        <v>0</v>
      </c>
      <c r="DJ93" s="27">
        <f t="shared" si="96"/>
        <v>0</v>
      </c>
      <c r="DK93" s="27">
        <f t="shared" si="97"/>
        <v>0</v>
      </c>
    </row>
    <row r="94" spans="1:115">
      <c r="A94" s="25">
        <v>86</v>
      </c>
      <c r="B94" s="26" t="s">
        <v>1161</v>
      </c>
      <c r="C94" s="26"/>
      <c r="D94" s="26"/>
      <c r="E94" s="205" t="s">
        <v>1200</v>
      </c>
      <c r="F94" s="161">
        <f t="shared" si="50"/>
        <v>0</v>
      </c>
      <c r="G94" s="165">
        <f t="shared" si="51"/>
        <v>0</v>
      </c>
      <c r="H94" s="27"/>
      <c r="I94" s="27">
        <v>0</v>
      </c>
      <c r="J94" s="27">
        <v>0</v>
      </c>
      <c r="K94" s="127">
        <f t="shared" si="52"/>
        <v>0</v>
      </c>
      <c r="L94" s="127">
        <f t="shared" si="53"/>
        <v>0</v>
      </c>
      <c r="M94" s="127">
        <f t="shared" si="54"/>
        <v>0</v>
      </c>
      <c r="N94" s="131"/>
      <c r="O94" s="125" t="str">
        <f t="shared" si="55"/>
        <v>ნულოვანი შესრულება</v>
      </c>
      <c r="P94" s="27">
        <v>0</v>
      </c>
      <c r="Q94" s="27">
        <v>0</v>
      </c>
      <c r="R94" s="27">
        <f t="shared" si="56"/>
        <v>0</v>
      </c>
      <c r="S94" s="27">
        <f t="shared" si="57"/>
        <v>0</v>
      </c>
      <c r="T94" s="27"/>
      <c r="U94" s="27"/>
      <c r="V94" s="27">
        <v>0</v>
      </c>
      <c r="W94" s="27"/>
      <c r="X94" s="27">
        <f t="shared" si="58"/>
        <v>0</v>
      </c>
      <c r="Y94" s="27">
        <f t="shared" si="59"/>
        <v>0</v>
      </c>
      <c r="Z94" s="27">
        <v>0</v>
      </c>
      <c r="AA94" s="27"/>
      <c r="AB94" s="27"/>
      <c r="AC94" s="27"/>
      <c r="AD94" s="27">
        <f t="shared" si="60"/>
        <v>0</v>
      </c>
      <c r="AE94" s="27">
        <f t="shared" si="61"/>
        <v>0</v>
      </c>
      <c r="AF94" s="27">
        <f t="shared" si="62"/>
        <v>0</v>
      </c>
      <c r="AG94" s="27">
        <f t="shared" si="63"/>
        <v>0</v>
      </c>
      <c r="AH94" s="27">
        <f t="shared" si="64"/>
        <v>0</v>
      </c>
      <c r="AI94" s="27">
        <f t="shared" si="65"/>
        <v>0</v>
      </c>
      <c r="AJ94" s="27">
        <f t="shared" si="66"/>
        <v>0</v>
      </c>
      <c r="AK94" s="27">
        <f t="shared" si="67"/>
        <v>0</v>
      </c>
      <c r="AL94" s="27"/>
      <c r="AM94" s="27"/>
      <c r="AN94" s="27">
        <v>0</v>
      </c>
      <c r="AO94" s="27"/>
      <c r="AP94" s="27">
        <f t="shared" si="68"/>
        <v>0</v>
      </c>
      <c r="AQ94" s="27">
        <f t="shared" si="69"/>
        <v>0</v>
      </c>
      <c r="AR94" s="27"/>
      <c r="AS94" s="27"/>
      <c r="AT94" s="27">
        <v>0</v>
      </c>
      <c r="AU94" s="27"/>
      <c r="AV94" s="27">
        <f t="shared" si="70"/>
        <v>0</v>
      </c>
      <c r="AW94" s="27">
        <f t="shared" si="71"/>
        <v>0</v>
      </c>
      <c r="AX94" s="27"/>
      <c r="AY94" s="27"/>
      <c r="AZ94" s="27">
        <v>0</v>
      </c>
      <c r="BA94" s="27"/>
      <c r="BB94" s="27">
        <f t="shared" si="72"/>
        <v>0</v>
      </c>
      <c r="BC94" s="27">
        <f t="shared" si="73"/>
        <v>0</v>
      </c>
      <c r="BD94" s="27"/>
      <c r="BE94" s="27"/>
      <c r="BF94" s="27">
        <v>0</v>
      </c>
      <c r="BG94" s="27"/>
      <c r="BH94" s="27">
        <f t="shared" si="74"/>
        <v>0</v>
      </c>
      <c r="BI94" s="27">
        <f t="shared" si="75"/>
        <v>0</v>
      </c>
      <c r="BJ94" s="27"/>
      <c r="BK94" s="27"/>
      <c r="BL94" s="27">
        <v>0</v>
      </c>
      <c r="BM94" s="27"/>
      <c r="BN94" s="27">
        <f t="shared" si="76"/>
        <v>0</v>
      </c>
      <c r="BO94" s="27">
        <f t="shared" si="77"/>
        <v>0</v>
      </c>
      <c r="BP94" s="26"/>
      <c r="BQ94" s="27"/>
      <c r="BR94" s="27">
        <v>0</v>
      </c>
      <c r="BS94" s="27"/>
      <c r="BT94" s="27">
        <f t="shared" si="78"/>
        <v>0</v>
      </c>
      <c r="BU94" s="27">
        <f t="shared" si="79"/>
        <v>0</v>
      </c>
      <c r="BV94" s="26"/>
      <c r="BW94" s="27"/>
      <c r="BX94" s="27">
        <v>0</v>
      </c>
      <c r="BY94" s="27"/>
      <c r="BZ94" s="27">
        <f t="shared" si="80"/>
        <v>0</v>
      </c>
      <c r="CA94" s="27">
        <f t="shared" si="81"/>
        <v>0</v>
      </c>
      <c r="CB94" s="26"/>
      <c r="CC94" s="27"/>
      <c r="CD94" s="27">
        <v>0</v>
      </c>
      <c r="CE94" s="27"/>
      <c r="CF94" s="27">
        <f t="shared" si="82"/>
        <v>0</v>
      </c>
      <c r="CG94" s="27">
        <f t="shared" si="83"/>
        <v>0</v>
      </c>
      <c r="CH94" s="26"/>
      <c r="CI94" s="27"/>
      <c r="CJ94" s="27">
        <v>0</v>
      </c>
      <c r="CK94" s="27"/>
      <c r="CL94" s="27">
        <f t="shared" si="84"/>
        <v>0</v>
      </c>
      <c r="CM94" s="27">
        <f t="shared" si="85"/>
        <v>0</v>
      </c>
      <c r="CN94" s="26"/>
      <c r="CO94" s="27"/>
      <c r="CP94" s="27">
        <v>0</v>
      </c>
      <c r="CQ94" s="27"/>
      <c r="CR94" s="27">
        <f t="shared" si="86"/>
        <v>0</v>
      </c>
      <c r="CS94" s="27">
        <f t="shared" si="87"/>
        <v>0</v>
      </c>
      <c r="CT94" s="26"/>
      <c r="CU94" s="27"/>
      <c r="CV94" s="27">
        <v>0</v>
      </c>
      <c r="CW94" s="27"/>
      <c r="CX94" s="27">
        <f t="shared" si="88"/>
        <v>0</v>
      </c>
      <c r="CY94" s="27">
        <f t="shared" si="89"/>
        <v>0</v>
      </c>
      <c r="CZ94" s="26"/>
      <c r="DA94" s="27"/>
      <c r="DB94" s="27">
        <v>0</v>
      </c>
      <c r="DC94" s="27"/>
      <c r="DD94" s="27">
        <f t="shared" si="90"/>
        <v>0</v>
      </c>
      <c r="DE94" s="27">
        <f t="shared" si="91"/>
        <v>0</v>
      </c>
      <c r="DF94" s="28">
        <f t="shared" si="92"/>
        <v>0</v>
      </c>
      <c r="DG94" s="28">
        <f t="shared" si="93"/>
        <v>0</v>
      </c>
      <c r="DH94" s="28">
        <f t="shared" si="94"/>
        <v>0</v>
      </c>
      <c r="DI94" s="28">
        <f t="shared" si="95"/>
        <v>0</v>
      </c>
      <c r="DJ94" s="27">
        <f t="shared" si="96"/>
        <v>0</v>
      </c>
      <c r="DK94" s="27">
        <f t="shared" si="97"/>
        <v>0</v>
      </c>
    </row>
    <row r="95" spans="1:115">
      <c r="A95" s="25">
        <v>87</v>
      </c>
      <c r="B95" s="26" t="s">
        <v>1161</v>
      </c>
      <c r="C95" s="26"/>
      <c r="D95" s="26"/>
      <c r="E95" s="205" t="s">
        <v>1200</v>
      </c>
      <c r="F95" s="161">
        <f t="shared" ref="F95:F158" si="98">SUM(DJ95)</f>
        <v>0</v>
      </c>
      <c r="G95" s="165">
        <f t="shared" ref="G95:G158" si="99">I95+AK95+DJ95</f>
        <v>0</v>
      </c>
      <c r="H95" s="27"/>
      <c r="I95" s="27">
        <v>0</v>
      </c>
      <c r="J95" s="27">
        <v>0</v>
      </c>
      <c r="K95" s="127">
        <f t="shared" ref="K95:K158" si="100">AK95</f>
        <v>0</v>
      </c>
      <c r="L95" s="127">
        <f t="shared" ref="L95:L158" si="101">IF(AI95&gt;0,I95+AK95-J95,0)</f>
        <v>0</v>
      </c>
      <c r="M95" s="127">
        <f t="shared" ref="M95:M158" si="102">I95+K95</f>
        <v>0</v>
      </c>
      <c r="N95" s="131"/>
      <c r="O95" s="125" t="str">
        <f t="shared" ref="O95:O158" si="103">IF(AND(AI95&gt;0,DI95&gt;0),"შეცდომაა! ერთზე მეტი ბოლო ჩაბარება!",IF(OR(AI95&gt;0,DI95&gt;0,),IF(AI95&gt;0,I95+AK95,I95+AK95+DK95),IF(AND(I95=0,K95=0,DK95=0),"ნულოვანი შესრულება","მიმდინარეობს")))</f>
        <v>ნულოვანი შესრულება</v>
      </c>
      <c r="P95" s="27">
        <v>0</v>
      </c>
      <c r="Q95" s="27">
        <v>0</v>
      </c>
      <c r="R95" s="27">
        <f t="shared" ref="R95:R158" si="104">I95+P95</f>
        <v>0</v>
      </c>
      <c r="S95" s="27">
        <f t="shared" ref="S95:S158" si="105">Q95</f>
        <v>0</v>
      </c>
      <c r="T95" s="27"/>
      <c r="U95" s="27"/>
      <c r="V95" s="27">
        <v>0</v>
      </c>
      <c r="W95" s="27"/>
      <c r="X95" s="27">
        <f t="shared" ref="X95:X158" si="106">T95+V95</f>
        <v>0</v>
      </c>
      <c r="Y95" s="27">
        <f t="shared" ref="Y95:Y158" si="107">U95+W95</f>
        <v>0</v>
      </c>
      <c r="Z95" s="27">
        <v>0</v>
      </c>
      <c r="AA95" s="27"/>
      <c r="AB95" s="27"/>
      <c r="AC95" s="27"/>
      <c r="AD95" s="27">
        <f t="shared" ref="AD95:AD158" si="108">Z95+AB95</f>
        <v>0</v>
      </c>
      <c r="AE95" s="27">
        <f t="shared" ref="AE95:AE158" si="109">AA95+AC95</f>
        <v>0</v>
      </c>
      <c r="AF95" s="27">
        <f t="shared" ref="AF95:AF158" si="110">P95+T95+Z95</f>
        <v>0</v>
      </c>
      <c r="AG95" s="27">
        <f t="shared" ref="AG95:AG158" si="111">P95+U95+AA95</f>
        <v>0</v>
      </c>
      <c r="AH95" s="27">
        <f t="shared" ref="AH95:AH158" si="112">Q95+V95+AB95</f>
        <v>0</v>
      </c>
      <c r="AI95" s="27">
        <f t="shared" ref="AI95:AI158" si="113">Q95+W95+AC95</f>
        <v>0</v>
      </c>
      <c r="AJ95" s="27">
        <f t="shared" ref="AJ95:AJ158" si="114">AF95+AH95</f>
        <v>0</v>
      </c>
      <c r="AK95" s="27">
        <f t="shared" ref="AK95:AK158" si="115">AG95+AI95</f>
        <v>0</v>
      </c>
      <c r="AL95" s="27"/>
      <c r="AM95" s="27"/>
      <c r="AN95" s="27">
        <v>0</v>
      </c>
      <c r="AO95" s="27"/>
      <c r="AP95" s="27">
        <f t="shared" ref="AP95:AP158" si="116">AL95+AN95</f>
        <v>0</v>
      </c>
      <c r="AQ95" s="27">
        <f t="shared" ref="AQ95:AQ158" si="117">AM95+AO95</f>
        <v>0</v>
      </c>
      <c r="AR95" s="27"/>
      <c r="AS95" s="27"/>
      <c r="AT95" s="27">
        <v>0</v>
      </c>
      <c r="AU95" s="27"/>
      <c r="AV95" s="27">
        <f t="shared" ref="AV95:AV158" si="118">AR95+AT95</f>
        <v>0</v>
      </c>
      <c r="AW95" s="27">
        <f t="shared" ref="AW95:AW158" si="119">AS95+AU95</f>
        <v>0</v>
      </c>
      <c r="AX95" s="27"/>
      <c r="AY95" s="27"/>
      <c r="AZ95" s="27">
        <v>0</v>
      </c>
      <c r="BA95" s="27"/>
      <c r="BB95" s="27">
        <f t="shared" ref="BB95:BB158" si="120">AX95+AZ95</f>
        <v>0</v>
      </c>
      <c r="BC95" s="27">
        <f t="shared" ref="BC95:BC158" si="121">AY95+BA95</f>
        <v>0</v>
      </c>
      <c r="BD95" s="27"/>
      <c r="BE95" s="27"/>
      <c r="BF95" s="27">
        <v>0</v>
      </c>
      <c r="BG95" s="27"/>
      <c r="BH95" s="27">
        <f t="shared" ref="BH95:BH158" si="122">BD95+BF95</f>
        <v>0</v>
      </c>
      <c r="BI95" s="27">
        <f t="shared" ref="BI95:BI158" si="123">BE95+BG95</f>
        <v>0</v>
      </c>
      <c r="BJ95" s="27"/>
      <c r="BK95" s="27"/>
      <c r="BL95" s="27">
        <v>0</v>
      </c>
      <c r="BM95" s="27"/>
      <c r="BN95" s="27">
        <f t="shared" ref="BN95:BN158" si="124">BJ95+BL95</f>
        <v>0</v>
      </c>
      <c r="BO95" s="27">
        <f t="shared" ref="BO95:BO158" si="125">BK95+BM95</f>
        <v>0</v>
      </c>
      <c r="BP95" s="26"/>
      <c r="BQ95" s="27"/>
      <c r="BR95" s="27">
        <v>0</v>
      </c>
      <c r="BS95" s="27"/>
      <c r="BT95" s="27">
        <f t="shared" ref="BT95:BT158" si="126">BP95+BR95</f>
        <v>0</v>
      </c>
      <c r="BU95" s="27">
        <f t="shared" ref="BU95:BU158" si="127">BQ95+BS95</f>
        <v>0</v>
      </c>
      <c r="BV95" s="26"/>
      <c r="BW95" s="27"/>
      <c r="BX95" s="27">
        <v>0</v>
      </c>
      <c r="BY95" s="27"/>
      <c r="BZ95" s="27">
        <f t="shared" ref="BZ95:BZ158" si="128">BV95+BX95</f>
        <v>0</v>
      </c>
      <c r="CA95" s="27">
        <f t="shared" ref="CA95:CA158" si="129">BW95+BY95</f>
        <v>0</v>
      </c>
      <c r="CB95" s="26"/>
      <c r="CC95" s="27"/>
      <c r="CD95" s="27">
        <v>0</v>
      </c>
      <c r="CE95" s="27"/>
      <c r="CF95" s="27">
        <f t="shared" ref="CF95:CF158" si="130">CB95+CD95</f>
        <v>0</v>
      </c>
      <c r="CG95" s="27">
        <f t="shared" ref="CG95:CG158" si="131">CC95+CE95</f>
        <v>0</v>
      </c>
      <c r="CH95" s="26"/>
      <c r="CI95" s="27"/>
      <c r="CJ95" s="27">
        <v>0</v>
      </c>
      <c r="CK95" s="27"/>
      <c r="CL95" s="27">
        <f t="shared" ref="CL95:CL158" si="132">CH95+CJ95</f>
        <v>0</v>
      </c>
      <c r="CM95" s="27">
        <f t="shared" ref="CM95:CM158" si="133">CI95+CK95</f>
        <v>0</v>
      </c>
      <c r="CN95" s="26"/>
      <c r="CO95" s="27"/>
      <c r="CP95" s="27">
        <v>0</v>
      </c>
      <c r="CQ95" s="27"/>
      <c r="CR95" s="27">
        <f t="shared" ref="CR95:CR158" si="134">CN95+CP95</f>
        <v>0</v>
      </c>
      <c r="CS95" s="27">
        <f t="shared" ref="CS95:CS158" si="135">CO95+CQ95</f>
        <v>0</v>
      </c>
      <c r="CT95" s="26"/>
      <c r="CU95" s="27"/>
      <c r="CV95" s="27">
        <v>0</v>
      </c>
      <c r="CW95" s="27"/>
      <c r="CX95" s="27">
        <f t="shared" ref="CX95:CX158" si="136">CT95+CV95</f>
        <v>0</v>
      </c>
      <c r="CY95" s="27">
        <f t="shared" ref="CY95:CY158" si="137">CU95+CW95</f>
        <v>0</v>
      </c>
      <c r="CZ95" s="26"/>
      <c r="DA95" s="27"/>
      <c r="DB95" s="27">
        <v>0</v>
      </c>
      <c r="DC95" s="27"/>
      <c r="DD95" s="27">
        <f t="shared" ref="DD95:DD158" si="138">CZ95+DB95</f>
        <v>0</v>
      </c>
      <c r="DE95" s="27">
        <f t="shared" ref="DE95:DE158" si="139">DA95+DC95</f>
        <v>0</v>
      </c>
      <c r="DF95" s="28">
        <f t="shared" ref="DF95:DF158" si="140">AL95+AR95+AX95+BD95+BJ95+BP95+BV95+CB95+CH95+CN95+CT95+CZ95</f>
        <v>0</v>
      </c>
      <c r="DG95" s="28">
        <f t="shared" ref="DG95:DG158" si="141">AM95+AS95+AY95+BE95+BK95+BQ95+BW95+CC95+CI95+CO95+CU95+DA95</f>
        <v>0</v>
      </c>
      <c r="DH95" s="28">
        <f t="shared" ref="DH95:DH158" si="142">AN95+AT95+AZ95+BF95+BL95+BR95+BX95+CD95+CJ95+CP95+CV95+DB95</f>
        <v>0</v>
      </c>
      <c r="DI95" s="28">
        <f t="shared" ref="DI95:DI158" si="143">AO95+AU95+BA95+BG95+BM95+BS95+BY95+CE95+CK95+CQ95+CW95+DC95</f>
        <v>0</v>
      </c>
      <c r="DJ95" s="27">
        <f t="shared" ref="DJ95:DJ158" si="144">DF95+DH95</f>
        <v>0</v>
      </c>
      <c r="DK95" s="27">
        <f t="shared" ref="DK95:DK158" si="145">DG95+DI95</f>
        <v>0</v>
      </c>
    </row>
    <row r="96" spans="1:115">
      <c r="A96" s="25">
        <v>88</v>
      </c>
      <c r="B96" s="26" t="s">
        <v>1161</v>
      </c>
      <c r="C96" s="26"/>
      <c r="D96" s="26"/>
      <c r="E96" s="205" t="s">
        <v>1200</v>
      </c>
      <c r="F96" s="161">
        <f t="shared" si="98"/>
        <v>0</v>
      </c>
      <c r="G96" s="165">
        <f t="shared" si="99"/>
        <v>0</v>
      </c>
      <c r="H96" s="27"/>
      <c r="I96" s="27">
        <v>0</v>
      </c>
      <c r="J96" s="27">
        <v>0</v>
      </c>
      <c r="K96" s="127">
        <f t="shared" si="100"/>
        <v>0</v>
      </c>
      <c r="L96" s="127">
        <f t="shared" si="101"/>
        <v>0</v>
      </c>
      <c r="M96" s="127">
        <f t="shared" si="102"/>
        <v>0</v>
      </c>
      <c r="N96" s="131"/>
      <c r="O96" s="125" t="str">
        <f t="shared" si="103"/>
        <v>ნულოვანი შესრულება</v>
      </c>
      <c r="P96" s="27">
        <v>0</v>
      </c>
      <c r="Q96" s="27">
        <v>0</v>
      </c>
      <c r="R96" s="27">
        <f t="shared" si="104"/>
        <v>0</v>
      </c>
      <c r="S96" s="27">
        <f t="shared" si="105"/>
        <v>0</v>
      </c>
      <c r="T96" s="27"/>
      <c r="U96" s="27"/>
      <c r="V96" s="27">
        <v>0</v>
      </c>
      <c r="W96" s="27"/>
      <c r="X96" s="27">
        <f t="shared" si="106"/>
        <v>0</v>
      </c>
      <c r="Y96" s="27">
        <f t="shared" si="107"/>
        <v>0</v>
      </c>
      <c r="Z96" s="27">
        <v>0</v>
      </c>
      <c r="AA96" s="27"/>
      <c r="AB96" s="27"/>
      <c r="AC96" s="27"/>
      <c r="AD96" s="27">
        <f t="shared" si="108"/>
        <v>0</v>
      </c>
      <c r="AE96" s="27">
        <f t="shared" si="109"/>
        <v>0</v>
      </c>
      <c r="AF96" s="27">
        <f t="shared" si="110"/>
        <v>0</v>
      </c>
      <c r="AG96" s="27">
        <f t="shared" si="111"/>
        <v>0</v>
      </c>
      <c r="AH96" s="27">
        <f t="shared" si="112"/>
        <v>0</v>
      </c>
      <c r="AI96" s="27">
        <f t="shared" si="113"/>
        <v>0</v>
      </c>
      <c r="AJ96" s="27">
        <f t="shared" si="114"/>
        <v>0</v>
      </c>
      <c r="AK96" s="27">
        <f t="shared" si="115"/>
        <v>0</v>
      </c>
      <c r="AL96" s="27"/>
      <c r="AM96" s="27"/>
      <c r="AN96" s="27">
        <v>0</v>
      </c>
      <c r="AO96" s="27"/>
      <c r="AP96" s="27">
        <f t="shared" si="116"/>
        <v>0</v>
      </c>
      <c r="AQ96" s="27">
        <f t="shared" si="117"/>
        <v>0</v>
      </c>
      <c r="AR96" s="27"/>
      <c r="AS96" s="27"/>
      <c r="AT96" s="27">
        <v>0</v>
      </c>
      <c r="AU96" s="27"/>
      <c r="AV96" s="27">
        <f t="shared" si="118"/>
        <v>0</v>
      </c>
      <c r="AW96" s="27">
        <f t="shared" si="119"/>
        <v>0</v>
      </c>
      <c r="AX96" s="27"/>
      <c r="AY96" s="27"/>
      <c r="AZ96" s="27">
        <v>0</v>
      </c>
      <c r="BA96" s="27"/>
      <c r="BB96" s="27">
        <f t="shared" si="120"/>
        <v>0</v>
      </c>
      <c r="BC96" s="27">
        <f t="shared" si="121"/>
        <v>0</v>
      </c>
      <c r="BD96" s="27"/>
      <c r="BE96" s="27"/>
      <c r="BF96" s="27">
        <v>0</v>
      </c>
      <c r="BG96" s="27"/>
      <c r="BH96" s="27">
        <f t="shared" si="122"/>
        <v>0</v>
      </c>
      <c r="BI96" s="27">
        <f t="shared" si="123"/>
        <v>0</v>
      </c>
      <c r="BJ96" s="27"/>
      <c r="BK96" s="27"/>
      <c r="BL96" s="27">
        <v>0</v>
      </c>
      <c r="BM96" s="27"/>
      <c r="BN96" s="27">
        <f t="shared" si="124"/>
        <v>0</v>
      </c>
      <c r="BO96" s="27">
        <f t="shared" si="125"/>
        <v>0</v>
      </c>
      <c r="BP96" s="26"/>
      <c r="BQ96" s="27"/>
      <c r="BR96" s="27">
        <v>0</v>
      </c>
      <c r="BS96" s="27"/>
      <c r="BT96" s="27">
        <f t="shared" si="126"/>
        <v>0</v>
      </c>
      <c r="BU96" s="27">
        <f t="shared" si="127"/>
        <v>0</v>
      </c>
      <c r="BV96" s="26"/>
      <c r="BW96" s="27"/>
      <c r="BX96" s="27">
        <v>0</v>
      </c>
      <c r="BY96" s="27"/>
      <c r="BZ96" s="27">
        <f t="shared" si="128"/>
        <v>0</v>
      </c>
      <c r="CA96" s="27">
        <f t="shared" si="129"/>
        <v>0</v>
      </c>
      <c r="CB96" s="26"/>
      <c r="CC96" s="27"/>
      <c r="CD96" s="27">
        <v>0</v>
      </c>
      <c r="CE96" s="27"/>
      <c r="CF96" s="27">
        <f t="shared" si="130"/>
        <v>0</v>
      </c>
      <c r="CG96" s="27">
        <f t="shared" si="131"/>
        <v>0</v>
      </c>
      <c r="CH96" s="26"/>
      <c r="CI96" s="27"/>
      <c r="CJ96" s="27">
        <v>0</v>
      </c>
      <c r="CK96" s="27"/>
      <c r="CL96" s="27">
        <f t="shared" si="132"/>
        <v>0</v>
      </c>
      <c r="CM96" s="27">
        <f t="shared" si="133"/>
        <v>0</v>
      </c>
      <c r="CN96" s="26"/>
      <c r="CO96" s="27"/>
      <c r="CP96" s="27">
        <v>0</v>
      </c>
      <c r="CQ96" s="27"/>
      <c r="CR96" s="27">
        <f t="shared" si="134"/>
        <v>0</v>
      </c>
      <c r="CS96" s="27">
        <f t="shared" si="135"/>
        <v>0</v>
      </c>
      <c r="CT96" s="26"/>
      <c r="CU96" s="27"/>
      <c r="CV96" s="27">
        <v>0</v>
      </c>
      <c r="CW96" s="27"/>
      <c r="CX96" s="27">
        <f t="shared" si="136"/>
        <v>0</v>
      </c>
      <c r="CY96" s="27">
        <f t="shared" si="137"/>
        <v>0</v>
      </c>
      <c r="CZ96" s="26"/>
      <c r="DA96" s="27"/>
      <c r="DB96" s="27">
        <v>0</v>
      </c>
      <c r="DC96" s="27"/>
      <c r="DD96" s="27">
        <f t="shared" si="138"/>
        <v>0</v>
      </c>
      <c r="DE96" s="27">
        <f t="shared" si="139"/>
        <v>0</v>
      </c>
      <c r="DF96" s="28">
        <f t="shared" si="140"/>
        <v>0</v>
      </c>
      <c r="DG96" s="28">
        <f t="shared" si="141"/>
        <v>0</v>
      </c>
      <c r="DH96" s="28">
        <f t="shared" si="142"/>
        <v>0</v>
      </c>
      <c r="DI96" s="28">
        <f t="shared" si="143"/>
        <v>0</v>
      </c>
      <c r="DJ96" s="27">
        <f t="shared" si="144"/>
        <v>0</v>
      </c>
      <c r="DK96" s="27">
        <f t="shared" si="145"/>
        <v>0</v>
      </c>
    </row>
    <row r="97" spans="1:115">
      <c r="A97" s="25">
        <v>89</v>
      </c>
      <c r="B97" s="26" t="s">
        <v>1161</v>
      </c>
      <c r="C97" s="26"/>
      <c r="D97" s="26"/>
      <c r="E97" s="205" t="s">
        <v>1200</v>
      </c>
      <c r="F97" s="161">
        <f t="shared" si="98"/>
        <v>0</v>
      </c>
      <c r="G97" s="165">
        <f t="shared" si="99"/>
        <v>0</v>
      </c>
      <c r="H97" s="27"/>
      <c r="I97" s="27">
        <v>0</v>
      </c>
      <c r="J97" s="27">
        <v>0</v>
      </c>
      <c r="K97" s="127">
        <f t="shared" si="100"/>
        <v>0</v>
      </c>
      <c r="L97" s="127">
        <f t="shared" si="101"/>
        <v>0</v>
      </c>
      <c r="M97" s="127">
        <f t="shared" si="102"/>
        <v>0</v>
      </c>
      <c r="N97" s="131"/>
      <c r="O97" s="125" t="str">
        <f t="shared" si="103"/>
        <v>ნულოვანი შესრულება</v>
      </c>
      <c r="P97" s="27">
        <v>0</v>
      </c>
      <c r="Q97" s="27">
        <v>0</v>
      </c>
      <c r="R97" s="27">
        <f t="shared" si="104"/>
        <v>0</v>
      </c>
      <c r="S97" s="27">
        <f t="shared" si="105"/>
        <v>0</v>
      </c>
      <c r="T97" s="27"/>
      <c r="U97" s="27"/>
      <c r="V97" s="27">
        <v>0</v>
      </c>
      <c r="W97" s="27"/>
      <c r="X97" s="27">
        <f t="shared" si="106"/>
        <v>0</v>
      </c>
      <c r="Y97" s="27">
        <f t="shared" si="107"/>
        <v>0</v>
      </c>
      <c r="Z97" s="27">
        <v>0</v>
      </c>
      <c r="AA97" s="27"/>
      <c r="AB97" s="27"/>
      <c r="AC97" s="27"/>
      <c r="AD97" s="27">
        <f t="shared" si="108"/>
        <v>0</v>
      </c>
      <c r="AE97" s="27">
        <f t="shared" si="109"/>
        <v>0</v>
      </c>
      <c r="AF97" s="27">
        <f t="shared" si="110"/>
        <v>0</v>
      </c>
      <c r="AG97" s="27">
        <f t="shared" si="111"/>
        <v>0</v>
      </c>
      <c r="AH97" s="27">
        <f t="shared" si="112"/>
        <v>0</v>
      </c>
      <c r="AI97" s="27">
        <f t="shared" si="113"/>
        <v>0</v>
      </c>
      <c r="AJ97" s="27">
        <f t="shared" si="114"/>
        <v>0</v>
      </c>
      <c r="AK97" s="27">
        <f t="shared" si="115"/>
        <v>0</v>
      </c>
      <c r="AL97" s="27"/>
      <c r="AM97" s="27"/>
      <c r="AN97" s="27">
        <v>0</v>
      </c>
      <c r="AO97" s="27"/>
      <c r="AP97" s="27">
        <f t="shared" si="116"/>
        <v>0</v>
      </c>
      <c r="AQ97" s="27">
        <f t="shared" si="117"/>
        <v>0</v>
      </c>
      <c r="AR97" s="27"/>
      <c r="AS97" s="27"/>
      <c r="AT97" s="27">
        <v>0</v>
      </c>
      <c r="AU97" s="27"/>
      <c r="AV97" s="27">
        <f t="shared" si="118"/>
        <v>0</v>
      </c>
      <c r="AW97" s="27">
        <f t="shared" si="119"/>
        <v>0</v>
      </c>
      <c r="AX97" s="27"/>
      <c r="AY97" s="27"/>
      <c r="AZ97" s="27">
        <v>0</v>
      </c>
      <c r="BA97" s="27"/>
      <c r="BB97" s="27">
        <f t="shared" si="120"/>
        <v>0</v>
      </c>
      <c r="BC97" s="27">
        <f t="shared" si="121"/>
        <v>0</v>
      </c>
      <c r="BD97" s="27"/>
      <c r="BE97" s="27"/>
      <c r="BF97" s="27">
        <v>0</v>
      </c>
      <c r="BG97" s="27"/>
      <c r="BH97" s="27">
        <f t="shared" si="122"/>
        <v>0</v>
      </c>
      <c r="BI97" s="27">
        <f t="shared" si="123"/>
        <v>0</v>
      </c>
      <c r="BJ97" s="27"/>
      <c r="BK97" s="27"/>
      <c r="BL97" s="27">
        <v>0</v>
      </c>
      <c r="BM97" s="27"/>
      <c r="BN97" s="27">
        <f t="shared" si="124"/>
        <v>0</v>
      </c>
      <c r="BO97" s="27">
        <f t="shared" si="125"/>
        <v>0</v>
      </c>
      <c r="BP97" s="26"/>
      <c r="BQ97" s="27"/>
      <c r="BR97" s="27">
        <v>0</v>
      </c>
      <c r="BS97" s="27"/>
      <c r="BT97" s="27">
        <f t="shared" si="126"/>
        <v>0</v>
      </c>
      <c r="BU97" s="27">
        <f t="shared" si="127"/>
        <v>0</v>
      </c>
      <c r="BV97" s="26"/>
      <c r="BW97" s="27"/>
      <c r="BX97" s="27">
        <v>0</v>
      </c>
      <c r="BY97" s="27"/>
      <c r="BZ97" s="27">
        <f t="shared" si="128"/>
        <v>0</v>
      </c>
      <c r="CA97" s="27">
        <f t="shared" si="129"/>
        <v>0</v>
      </c>
      <c r="CB97" s="26"/>
      <c r="CC97" s="27"/>
      <c r="CD97" s="27">
        <v>0</v>
      </c>
      <c r="CE97" s="27"/>
      <c r="CF97" s="27">
        <f t="shared" si="130"/>
        <v>0</v>
      </c>
      <c r="CG97" s="27">
        <f t="shared" si="131"/>
        <v>0</v>
      </c>
      <c r="CH97" s="26"/>
      <c r="CI97" s="27"/>
      <c r="CJ97" s="27">
        <v>0</v>
      </c>
      <c r="CK97" s="27"/>
      <c r="CL97" s="27">
        <f t="shared" si="132"/>
        <v>0</v>
      </c>
      <c r="CM97" s="27">
        <f t="shared" si="133"/>
        <v>0</v>
      </c>
      <c r="CN97" s="26"/>
      <c r="CO97" s="27"/>
      <c r="CP97" s="27">
        <v>0</v>
      </c>
      <c r="CQ97" s="27"/>
      <c r="CR97" s="27">
        <f t="shared" si="134"/>
        <v>0</v>
      </c>
      <c r="CS97" s="27">
        <f t="shared" si="135"/>
        <v>0</v>
      </c>
      <c r="CT97" s="26"/>
      <c r="CU97" s="27"/>
      <c r="CV97" s="27">
        <v>0</v>
      </c>
      <c r="CW97" s="27"/>
      <c r="CX97" s="27">
        <f t="shared" si="136"/>
        <v>0</v>
      </c>
      <c r="CY97" s="27">
        <f t="shared" si="137"/>
        <v>0</v>
      </c>
      <c r="CZ97" s="26"/>
      <c r="DA97" s="27"/>
      <c r="DB97" s="27">
        <v>0</v>
      </c>
      <c r="DC97" s="27"/>
      <c r="DD97" s="27">
        <f t="shared" si="138"/>
        <v>0</v>
      </c>
      <c r="DE97" s="27">
        <f t="shared" si="139"/>
        <v>0</v>
      </c>
      <c r="DF97" s="28">
        <f t="shared" si="140"/>
        <v>0</v>
      </c>
      <c r="DG97" s="28">
        <f t="shared" si="141"/>
        <v>0</v>
      </c>
      <c r="DH97" s="28">
        <f t="shared" si="142"/>
        <v>0</v>
      </c>
      <c r="DI97" s="28">
        <f t="shared" si="143"/>
        <v>0</v>
      </c>
      <c r="DJ97" s="27">
        <f t="shared" si="144"/>
        <v>0</v>
      </c>
      <c r="DK97" s="27">
        <f t="shared" si="145"/>
        <v>0</v>
      </c>
    </row>
    <row r="98" spans="1:115">
      <c r="A98" s="25">
        <v>90</v>
      </c>
      <c r="B98" s="26" t="s">
        <v>1161</v>
      </c>
      <c r="C98" s="26"/>
      <c r="D98" s="26"/>
      <c r="E98" s="205" t="s">
        <v>1200</v>
      </c>
      <c r="F98" s="161">
        <f t="shared" si="98"/>
        <v>0</v>
      </c>
      <c r="G98" s="165">
        <f t="shared" si="99"/>
        <v>0</v>
      </c>
      <c r="H98" s="27"/>
      <c r="I98" s="27">
        <v>0</v>
      </c>
      <c r="J98" s="27">
        <v>0</v>
      </c>
      <c r="K98" s="127">
        <f t="shared" si="100"/>
        <v>0</v>
      </c>
      <c r="L98" s="127">
        <f t="shared" si="101"/>
        <v>0</v>
      </c>
      <c r="M98" s="127">
        <f t="shared" si="102"/>
        <v>0</v>
      </c>
      <c r="N98" s="131"/>
      <c r="O98" s="125" t="str">
        <f t="shared" si="103"/>
        <v>ნულოვანი შესრულება</v>
      </c>
      <c r="P98" s="27">
        <v>0</v>
      </c>
      <c r="Q98" s="27">
        <v>0</v>
      </c>
      <c r="R98" s="27">
        <f t="shared" si="104"/>
        <v>0</v>
      </c>
      <c r="S98" s="27">
        <f t="shared" si="105"/>
        <v>0</v>
      </c>
      <c r="T98" s="27"/>
      <c r="U98" s="27"/>
      <c r="V98" s="27">
        <v>0</v>
      </c>
      <c r="W98" s="27"/>
      <c r="X98" s="27">
        <f t="shared" si="106"/>
        <v>0</v>
      </c>
      <c r="Y98" s="27">
        <f t="shared" si="107"/>
        <v>0</v>
      </c>
      <c r="Z98" s="27">
        <v>0</v>
      </c>
      <c r="AA98" s="27"/>
      <c r="AB98" s="27"/>
      <c r="AC98" s="27"/>
      <c r="AD98" s="27">
        <f t="shared" si="108"/>
        <v>0</v>
      </c>
      <c r="AE98" s="27">
        <f t="shared" si="109"/>
        <v>0</v>
      </c>
      <c r="AF98" s="27">
        <f t="shared" si="110"/>
        <v>0</v>
      </c>
      <c r="AG98" s="27">
        <f t="shared" si="111"/>
        <v>0</v>
      </c>
      <c r="AH98" s="27">
        <f t="shared" si="112"/>
        <v>0</v>
      </c>
      <c r="AI98" s="27">
        <f t="shared" si="113"/>
        <v>0</v>
      </c>
      <c r="AJ98" s="27">
        <f t="shared" si="114"/>
        <v>0</v>
      </c>
      <c r="AK98" s="27">
        <f t="shared" si="115"/>
        <v>0</v>
      </c>
      <c r="AL98" s="27"/>
      <c r="AM98" s="27"/>
      <c r="AN98" s="27">
        <v>0</v>
      </c>
      <c r="AO98" s="27"/>
      <c r="AP98" s="27">
        <f t="shared" si="116"/>
        <v>0</v>
      </c>
      <c r="AQ98" s="27">
        <f t="shared" si="117"/>
        <v>0</v>
      </c>
      <c r="AR98" s="27"/>
      <c r="AS98" s="27"/>
      <c r="AT98" s="27">
        <v>0</v>
      </c>
      <c r="AU98" s="27"/>
      <c r="AV98" s="27">
        <f t="shared" si="118"/>
        <v>0</v>
      </c>
      <c r="AW98" s="27">
        <f t="shared" si="119"/>
        <v>0</v>
      </c>
      <c r="AX98" s="27"/>
      <c r="AY98" s="27"/>
      <c r="AZ98" s="27">
        <v>0</v>
      </c>
      <c r="BA98" s="27"/>
      <c r="BB98" s="27">
        <f t="shared" si="120"/>
        <v>0</v>
      </c>
      <c r="BC98" s="27">
        <f t="shared" si="121"/>
        <v>0</v>
      </c>
      <c r="BD98" s="27"/>
      <c r="BE98" s="27"/>
      <c r="BF98" s="27">
        <v>0</v>
      </c>
      <c r="BG98" s="27"/>
      <c r="BH98" s="27">
        <f t="shared" si="122"/>
        <v>0</v>
      </c>
      <c r="BI98" s="27">
        <f t="shared" si="123"/>
        <v>0</v>
      </c>
      <c r="BJ98" s="27"/>
      <c r="BK98" s="27"/>
      <c r="BL98" s="27">
        <v>0</v>
      </c>
      <c r="BM98" s="27"/>
      <c r="BN98" s="27">
        <f t="shared" si="124"/>
        <v>0</v>
      </c>
      <c r="BO98" s="27">
        <f t="shared" si="125"/>
        <v>0</v>
      </c>
      <c r="BP98" s="26"/>
      <c r="BQ98" s="27"/>
      <c r="BR98" s="27">
        <v>0</v>
      </c>
      <c r="BS98" s="27"/>
      <c r="BT98" s="27">
        <f t="shared" si="126"/>
        <v>0</v>
      </c>
      <c r="BU98" s="27">
        <f t="shared" si="127"/>
        <v>0</v>
      </c>
      <c r="BV98" s="26"/>
      <c r="BW98" s="27"/>
      <c r="BX98" s="27">
        <v>0</v>
      </c>
      <c r="BY98" s="27"/>
      <c r="BZ98" s="27">
        <f t="shared" si="128"/>
        <v>0</v>
      </c>
      <c r="CA98" s="27">
        <f t="shared" si="129"/>
        <v>0</v>
      </c>
      <c r="CB98" s="26"/>
      <c r="CC98" s="27"/>
      <c r="CD98" s="27">
        <v>0</v>
      </c>
      <c r="CE98" s="27"/>
      <c r="CF98" s="27">
        <f t="shared" si="130"/>
        <v>0</v>
      </c>
      <c r="CG98" s="27">
        <f t="shared" si="131"/>
        <v>0</v>
      </c>
      <c r="CH98" s="26"/>
      <c r="CI98" s="27"/>
      <c r="CJ98" s="27">
        <v>0</v>
      </c>
      <c r="CK98" s="27"/>
      <c r="CL98" s="27">
        <f t="shared" si="132"/>
        <v>0</v>
      </c>
      <c r="CM98" s="27">
        <f t="shared" si="133"/>
        <v>0</v>
      </c>
      <c r="CN98" s="26"/>
      <c r="CO98" s="27"/>
      <c r="CP98" s="27">
        <v>0</v>
      </c>
      <c r="CQ98" s="27"/>
      <c r="CR98" s="27">
        <f t="shared" si="134"/>
        <v>0</v>
      </c>
      <c r="CS98" s="27">
        <f t="shared" si="135"/>
        <v>0</v>
      </c>
      <c r="CT98" s="26"/>
      <c r="CU98" s="27"/>
      <c r="CV98" s="27">
        <v>0</v>
      </c>
      <c r="CW98" s="27"/>
      <c r="CX98" s="27">
        <f t="shared" si="136"/>
        <v>0</v>
      </c>
      <c r="CY98" s="27">
        <f t="shared" si="137"/>
        <v>0</v>
      </c>
      <c r="CZ98" s="26"/>
      <c r="DA98" s="27"/>
      <c r="DB98" s="27">
        <v>0</v>
      </c>
      <c r="DC98" s="27"/>
      <c r="DD98" s="27">
        <f t="shared" si="138"/>
        <v>0</v>
      </c>
      <c r="DE98" s="27">
        <f t="shared" si="139"/>
        <v>0</v>
      </c>
      <c r="DF98" s="28">
        <f t="shared" si="140"/>
        <v>0</v>
      </c>
      <c r="DG98" s="28">
        <f t="shared" si="141"/>
        <v>0</v>
      </c>
      <c r="DH98" s="28">
        <f t="shared" si="142"/>
        <v>0</v>
      </c>
      <c r="DI98" s="28">
        <f t="shared" si="143"/>
        <v>0</v>
      </c>
      <c r="DJ98" s="27">
        <f t="shared" si="144"/>
        <v>0</v>
      </c>
      <c r="DK98" s="27">
        <f t="shared" si="145"/>
        <v>0</v>
      </c>
    </row>
    <row r="99" spans="1:115">
      <c r="A99" s="25">
        <v>91</v>
      </c>
      <c r="B99" s="26" t="s">
        <v>1161</v>
      </c>
      <c r="C99" s="26"/>
      <c r="D99" s="26"/>
      <c r="E99" s="205" t="s">
        <v>1200</v>
      </c>
      <c r="F99" s="161">
        <f t="shared" si="98"/>
        <v>0</v>
      </c>
      <c r="G99" s="165">
        <f t="shared" si="99"/>
        <v>0</v>
      </c>
      <c r="H99" s="27"/>
      <c r="I99" s="27">
        <v>0</v>
      </c>
      <c r="J99" s="27">
        <v>0</v>
      </c>
      <c r="K99" s="127">
        <f t="shared" si="100"/>
        <v>0</v>
      </c>
      <c r="L99" s="127">
        <f t="shared" si="101"/>
        <v>0</v>
      </c>
      <c r="M99" s="127">
        <f t="shared" si="102"/>
        <v>0</v>
      </c>
      <c r="N99" s="131"/>
      <c r="O99" s="125" t="str">
        <f t="shared" si="103"/>
        <v>ნულოვანი შესრულება</v>
      </c>
      <c r="P99" s="27">
        <v>0</v>
      </c>
      <c r="Q99" s="27">
        <v>0</v>
      </c>
      <c r="R99" s="27">
        <f t="shared" si="104"/>
        <v>0</v>
      </c>
      <c r="S99" s="27">
        <f t="shared" si="105"/>
        <v>0</v>
      </c>
      <c r="T99" s="27"/>
      <c r="U99" s="27"/>
      <c r="V99" s="27">
        <v>0</v>
      </c>
      <c r="W99" s="27"/>
      <c r="X99" s="27">
        <f t="shared" si="106"/>
        <v>0</v>
      </c>
      <c r="Y99" s="27">
        <f t="shared" si="107"/>
        <v>0</v>
      </c>
      <c r="Z99" s="27">
        <v>0</v>
      </c>
      <c r="AA99" s="27"/>
      <c r="AB99" s="27"/>
      <c r="AC99" s="27"/>
      <c r="AD99" s="27">
        <f t="shared" si="108"/>
        <v>0</v>
      </c>
      <c r="AE99" s="27">
        <f t="shared" si="109"/>
        <v>0</v>
      </c>
      <c r="AF99" s="27">
        <f t="shared" si="110"/>
        <v>0</v>
      </c>
      <c r="AG99" s="27">
        <f t="shared" si="111"/>
        <v>0</v>
      </c>
      <c r="AH99" s="27">
        <f t="shared" si="112"/>
        <v>0</v>
      </c>
      <c r="AI99" s="27">
        <f t="shared" si="113"/>
        <v>0</v>
      </c>
      <c r="AJ99" s="27">
        <f t="shared" si="114"/>
        <v>0</v>
      </c>
      <c r="AK99" s="27">
        <f t="shared" si="115"/>
        <v>0</v>
      </c>
      <c r="AL99" s="27"/>
      <c r="AM99" s="27"/>
      <c r="AN99" s="27">
        <v>0</v>
      </c>
      <c r="AO99" s="27"/>
      <c r="AP99" s="27">
        <f t="shared" si="116"/>
        <v>0</v>
      </c>
      <c r="AQ99" s="27">
        <f t="shared" si="117"/>
        <v>0</v>
      </c>
      <c r="AR99" s="27"/>
      <c r="AS99" s="27"/>
      <c r="AT99" s="27">
        <v>0</v>
      </c>
      <c r="AU99" s="27"/>
      <c r="AV99" s="27">
        <f t="shared" si="118"/>
        <v>0</v>
      </c>
      <c r="AW99" s="27">
        <f t="shared" si="119"/>
        <v>0</v>
      </c>
      <c r="AX99" s="27"/>
      <c r="AY99" s="27"/>
      <c r="AZ99" s="27">
        <v>0</v>
      </c>
      <c r="BA99" s="27"/>
      <c r="BB99" s="27">
        <f t="shared" si="120"/>
        <v>0</v>
      </c>
      <c r="BC99" s="27">
        <f t="shared" si="121"/>
        <v>0</v>
      </c>
      <c r="BD99" s="27"/>
      <c r="BE99" s="27"/>
      <c r="BF99" s="27">
        <v>0</v>
      </c>
      <c r="BG99" s="27"/>
      <c r="BH99" s="27">
        <f t="shared" si="122"/>
        <v>0</v>
      </c>
      <c r="BI99" s="27">
        <f t="shared" si="123"/>
        <v>0</v>
      </c>
      <c r="BJ99" s="27"/>
      <c r="BK99" s="27"/>
      <c r="BL99" s="27">
        <v>0</v>
      </c>
      <c r="BM99" s="27"/>
      <c r="BN99" s="27">
        <f t="shared" si="124"/>
        <v>0</v>
      </c>
      <c r="BO99" s="27">
        <f t="shared" si="125"/>
        <v>0</v>
      </c>
      <c r="BP99" s="26"/>
      <c r="BQ99" s="27"/>
      <c r="BR99" s="27">
        <v>0</v>
      </c>
      <c r="BS99" s="27"/>
      <c r="BT99" s="27">
        <f t="shared" si="126"/>
        <v>0</v>
      </c>
      <c r="BU99" s="27">
        <f t="shared" si="127"/>
        <v>0</v>
      </c>
      <c r="BV99" s="26"/>
      <c r="BW99" s="27"/>
      <c r="BX99" s="27">
        <v>0</v>
      </c>
      <c r="BY99" s="27"/>
      <c r="BZ99" s="27">
        <f t="shared" si="128"/>
        <v>0</v>
      </c>
      <c r="CA99" s="27">
        <f t="shared" si="129"/>
        <v>0</v>
      </c>
      <c r="CB99" s="26"/>
      <c r="CC99" s="27"/>
      <c r="CD99" s="27">
        <v>0</v>
      </c>
      <c r="CE99" s="27"/>
      <c r="CF99" s="27">
        <f t="shared" si="130"/>
        <v>0</v>
      </c>
      <c r="CG99" s="27">
        <f t="shared" si="131"/>
        <v>0</v>
      </c>
      <c r="CH99" s="26"/>
      <c r="CI99" s="27"/>
      <c r="CJ99" s="27">
        <v>0</v>
      </c>
      <c r="CK99" s="27"/>
      <c r="CL99" s="27">
        <f t="shared" si="132"/>
        <v>0</v>
      </c>
      <c r="CM99" s="27">
        <f t="shared" si="133"/>
        <v>0</v>
      </c>
      <c r="CN99" s="26"/>
      <c r="CO99" s="27"/>
      <c r="CP99" s="27">
        <v>0</v>
      </c>
      <c r="CQ99" s="27"/>
      <c r="CR99" s="27">
        <f t="shared" si="134"/>
        <v>0</v>
      </c>
      <c r="CS99" s="27">
        <f t="shared" si="135"/>
        <v>0</v>
      </c>
      <c r="CT99" s="26"/>
      <c r="CU99" s="27"/>
      <c r="CV99" s="27">
        <v>0</v>
      </c>
      <c r="CW99" s="27"/>
      <c r="CX99" s="27">
        <f t="shared" si="136"/>
        <v>0</v>
      </c>
      <c r="CY99" s="27">
        <f t="shared" si="137"/>
        <v>0</v>
      </c>
      <c r="CZ99" s="26"/>
      <c r="DA99" s="27"/>
      <c r="DB99" s="27">
        <v>0</v>
      </c>
      <c r="DC99" s="27"/>
      <c r="DD99" s="27">
        <f t="shared" si="138"/>
        <v>0</v>
      </c>
      <c r="DE99" s="27">
        <f t="shared" si="139"/>
        <v>0</v>
      </c>
      <c r="DF99" s="28">
        <f t="shared" si="140"/>
        <v>0</v>
      </c>
      <c r="DG99" s="28">
        <f t="shared" si="141"/>
        <v>0</v>
      </c>
      <c r="DH99" s="28">
        <f t="shared" si="142"/>
        <v>0</v>
      </c>
      <c r="DI99" s="28">
        <f t="shared" si="143"/>
        <v>0</v>
      </c>
      <c r="DJ99" s="27">
        <f t="shared" si="144"/>
        <v>0</v>
      </c>
      <c r="DK99" s="27">
        <f t="shared" si="145"/>
        <v>0</v>
      </c>
    </row>
    <row r="100" spans="1:115">
      <c r="A100" s="25">
        <v>92</v>
      </c>
      <c r="B100" s="26" t="s">
        <v>1161</v>
      </c>
      <c r="C100" s="26"/>
      <c r="D100" s="26"/>
      <c r="E100" s="205" t="s">
        <v>1200</v>
      </c>
      <c r="F100" s="161">
        <f t="shared" si="98"/>
        <v>0</v>
      </c>
      <c r="G100" s="165">
        <f t="shared" si="99"/>
        <v>0</v>
      </c>
      <c r="H100" s="27"/>
      <c r="I100" s="27">
        <v>0</v>
      </c>
      <c r="J100" s="27">
        <v>0</v>
      </c>
      <c r="K100" s="127">
        <f t="shared" si="100"/>
        <v>0</v>
      </c>
      <c r="L100" s="127">
        <f t="shared" si="101"/>
        <v>0</v>
      </c>
      <c r="M100" s="127">
        <f t="shared" si="102"/>
        <v>0</v>
      </c>
      <c r="N100" s="131"/>
      <c r="O100" s="125" t="str">
        <f t="shared" si="103"/>
        <v>ნულოვანი შესრულება</v>
      </c>
      <c r="P100" s="27">
        <v>0</v>
      </c>
      <c r="Q100" s="27">
        <v>0</v>
      </c>
      <c r="R100" s="27">
        <f t="shared" si="104"/>
        <v>0</v>
      </c>
      <c r="S100" s="27">
        <f t="shared" si="105"/>
        <v>0</v>
      </c>
      <c r="T100" s="27"/>
      <c r="U100" s="27"/>
      <c r="V100" s="27">
        <v>0</v>
      </c>
      <c r="W100" s="27"/>
      <c r="X100" s="27">
        <f t="shared" si="106"/>
        <v>0</v>
      </c>
      <c r="Y100" s="27">
        <f t="shared" si="107"/>
        <v>0</v>
      </c>
      <c r="Z100" s="27">
        <v>0</v>
      </c>
      <c r="AA100" s="27"/>
      <c r="AB100" s="27"/>
      <c r="AC100" s="27"/>
      <c r="AD100" s="27">
        <f t="shared" si="108"/>
        <v>0</v>
      </c>
      <c r="AE100" s="27">
        <f t="shared" si="109"/>
        <v>0</v>
      </c>
      <c r="AF100" s="27">
        <f t="shared" si="110"/>
        <v>0</v>
      </c>
      <c r="AG100" s="27">
        <f t="shared" si="111"/>
        <v>0</v>
      </c>
      <c r="AH100" s="27">
        <f t="shared" si="112"/>
        <v>0</v>
      </c>
      <c r="AI100" s="27">
        <f t="shared" si="113"/>
        <v>0</v>
      </c>
      <c r="AJ100" s="27">
        <f t="shared" si="114"/>
        <v>0</v>
      </c>
      <c r="AK100" s="27">
        <f t="shared" si="115"/>
        <v>0</v>
      </c>
      <c r="AL100" s="27"/>
      <c r="AM100" s="27"/>
      <c r="AN100" s="27">
        <v>0</v>
      </c>
      <c r="AO100" s="27"/>
      <c r="AP100" s="27">
        <f t="shared" si="116"/>
        <v>0</v>
      </c>
      <c r="AQ100" s="27">
        <f t="shared" si="117"/>
        <v>0</v>
      </c>
      <c r="AR100" s="27"/>
      <c r="AS100" s="27"/>
      <c r="AT100" s="27">
        <v>0</v>
      </c>
      <c r="AU100" s="27"/>
      <c r="AV100" s="27">
        <f t="shared" si="118"/>
        <v>0</v>
      </c>
      <c r="AW100" s="27">
        <f t="shared" si="119"/>
        <v>0</v>
      </c>
      <c r="AX100" s="27"/>
      <c r="AY100" s="27"/>
      <c r="AZ100" s="27">
        <v>0</v>
      </c>
      <c r="BA100" s="27"/>
      <c r="BB100" s="27">
        <f t="shared" si="120"/>
        <v>0</v>
      </c>
      <c r="BC100" s="27">
        <f t="shared" si="121"/>
        <v>0</v>
      </c>
      <c r="BD100" s="27"/>
      <c r="BE100" s="27"/>
      <c r="BF100" s="27">
        <v>0</v>
      </c>
      <c r="BG100" s="27"/>
      <c r="BH100" s="27">
        <f t="shared" si="122"/>
        <v>0</v>
      </c>
      <c r="BI100" s="27">
        <f t="shared" si="123"/>
        <v>0</v>
      </c>
      <c r="BJ100" s="27"/>
      <c r="BK100" s="27"/>
      <c r="BL100" s="27">
        <v>0</v>
      </c>
      <c r="BM100" s="27"/>
      <c r="BN100" s="27">
        <f t="shared" si="124"/>
        <v>0</v>
      </c>
      <c r="BO100" s="27">
        <f t="shared" si="125"/>
        <v>0</v>
      </c>
      <c r="BP100" s="26"/>
      <c r="BQ100" s="27"/>
      <c r="BR100" s="27">
        <v>0</v>
      </c>
      <c r="BS100" s="27"/>
      <c r="BT100" s="27">
        <f t="shared" si="126"/>
        <v>0</v>
      </c>
      <c r="BU100" s="27">
        <f t="shared" si="127"/>
        <v>0</v>
      </c>
      <c r="BV100" s="26"/>
      <c r="BW100" s="27"/>
      <c r="BX100" s="27">
        <v>0</v>
      </c>
      <c r="BY100" s="27"/>
      <c r="BZ100" s="27">
        <f t="shared" si="128"/>
        <v>0</v>
      </c>
      <c r="CA100" s="27">
        <f t="shared" si="129"/>
        <v>0</v>
      </c>
      <c r="CB100" s="26"/>
      <c r="CC100" s="27"/>
      <c r="CD100" s="27">
        <v>0</v>
      </c>
      <c r="CE100" s="27"/>
      <c r="CF100" s="27">
        <f t="shared" si="130"/>
        <v>0</v>
      </c>
      <c r="CG100" s="27">
        <f t="shared" si="131"/>
        <v>0</v>
      </c>
      <c r="CH100" s="26"/>
      <c r="CI100" s="27"/>
      <c r="CJ100" s="27">
        <v>0</v>
      </c>
      <c r="CK100" s="27"/>
      <c r="CL100" s="27">
        <f t="shared" si="132"/>
        <v>0</v>
      </c>
      <c r="CM100" s="27">
        <f t="shared" si="133"/>
        <v>0</v>
      </c>
      <c r="CN100" s="26"/>
      <c r="CO100" s="27"/>
      <c r="CP100" s="27">
        <v>0</v>
      </c>
      <c r="CQ100" s="27"/>
      <c r="CR100" s="27">
        <f t="shared" si="134"/>
        <v>0</v>
      </c>
      <c r="CS100" s="27">
        <f t="shared" si="135"/>
        <v>0</v>
      </c>
      <c r="CT100" s="26"/>
      <c r="CU100" s="27"/>
      <c r="CV100" s="27">
        <v>0</v>
      </c>
      <c r="CW100" s="27"/>
      <c r="CX100" s="27">
        <f t="shared" si="136"/>
        <v>0</v>
      </c>
      <c r="CY100" s="27">
        <f t="shared" si="137"/>
        <v>0</v>
      </c>
      <c r="CZ100" s="26"/>
      <c r="DA100" s="27"/>
      <c r="DB100" s="27">
        <v>0</v>
      </c>
      <c r="DC100" s="27"/>
      <c r="DD100" s="27">
        <f t="shared" si="138"/>
        <v>0</v>
      </c>
      <c r="DE100" s="27">
        <f t="shared" si="139"/>
        <v>0</v>
      </c>
      <c r="DF100" s="28">
        <f t="shared" si="140"/>
        <v>0</v>
      </c>
      <c r="DG100" s="28">
        <f t="shared" si="141"/>
        <v>0</v>
      </c>
      <c r="DH100" s="28">
        <f t="shared" si="142"/>
        <v>0</v>
      </c>
      <c r="DI100" s="28">
        <f t="shared" si="143"/>
        <v>0</v>
      </c>
      <c r="DJ100" s="27">
        <f t="shared" si="144"/>
        <v>0</v>
      </c>
      <c r="DK100" s="27">
        <f t="shared" si="145"/>
        <v>0</v>
      </c>
    </row>
    <row r="101" spans="1:115">
      <c r="A101" s="25">
        <v>93</v>
      </c>
      <c r="B101" s="26" t="s">
        <v>1161</v>
      </c>
      <c r="C101" s="26"/>
      <c r="D101" s="26"/>
      <c r="E101" s="205" t="s">
        <v>1200</v>
      </c>
      <c r="F101" s="161">
        <f t="shared" si="98"/>
        <v>0</v>
      </c>
      <c r="G101" s="165">
        <f t="shared" si="99"/>
        <v>0</v>
      </c>
      <c r="H101" s="27"/>
      <c r="I101" s="27">
        <v>0</v>
      </c>
      <c r="J101" s="27">
        <v>0</v>
      </c>
      <c r="K101" s="127">
        <f t="shared" si="100"/>
        <v>0</v>
      </c>
      <c r="L101" s="127">
        <f t="shared" si="101"/>
        <v>0</v>
      </c>
      <c r="M101" s="127">
        <f t="shared" si="102"/>
        <v>0</v>
      </c>
      <c r="N101" s="131"/>
      <c r="O101" s="125" t="str">
        <f t="shared" si="103"/>
        <v>ნულოვანი შესრულება</v>
      </c>
      <c r="P101" s="27">
        <v>0</v>
      </c>
      <c r="Q101" s="27">
        <v>0</v>
      </c>
      <c r="R101" s="27">
        <f t="shared" si="104"/>
        <v>0</v>
      </c>
      <c r="S101" s="27">
        <f t="shared" si="105"/>
        <v>0</v>
      </c>
      <c r="T101" s="27"/>
      <c r="U101" s="27"/>
      <c r="V101" s="27">
        <v>0</v>
      </c>
      <c r="W101" s="27"/>
      <c r="X101" s="27">
        <f t="shared" si="106"/>
        <v>0</v>
      </c>
      <c r="Y101" s="27">
        <f t="shared" si="107"/>
        <v>0</v>
      </c>
      <c r="Z101" s="27">
        <v>0</v>
      </c>
      <c r="AA101" s="27"/>
      <c r="AB101" s="27"/>
      <c r="AC101" s="27"/>
      <c r="AD101" s="27">
        <f t="shared" si="108"/>
        <v>0</v>
      </c>
      <c r="AE101" s="27">
        <f t="shared" si="109"/>
        <v>0</v>
      </c>
      <c r="AF101" s="27">
        <f t="shared" si="110"/>
        <v>0</v>
      </c>
      <c r="AG101" s="27">
        <f t="shared" si="111"/>
        <v>0</v>
      </c>
      <c r="AH101" s="27">
        <f t="shared" si="112"/>
        <v>0</v>
      </c>
      <c r="AI101" s="27">
        <f t="shared" si="113"/>
        <v>0</v>
      </c>
      <c r="AJ101" s="27">
        <f t="shared" si="114"/>
        <v>0</v>
      </c>
      <c r="AK101" s="27">
        <f t="shared" si="115"/>
        <v>0</v>
      </c>
      <c r="AL101" s="27"/>
      <c r="AM101" s="27"/>
      <c r="AN101" s="27">
        <v>0</v>
      </c>
      <c r="AO101" s="27"/>
      <c r="AP101" s="27">
        <f t="shared" si="116"/>
        <v>0</v>
      </c>
      <c r="AQ101" s="27">
        <f t="shared" si="117"/>
        <v>0</v>
      </c>
      <c r="AR101" s="27"/>
      <c r="AS101" s="27"/>
      <c r="AT101" s="27">
        <v>0</v>
      </c>
      <c r="AU101" s="27"/>
      <c r="AV101" s="27">
        <f t="shared" si="118"/>
        <v>0</v>
      </c>
      <c r="AW101" s="27">
        <f t="shared" si="119"/>
        <v>0</v>
      </c>
      <c r="AX101" s="27"/>
      <c r="AY101" s="27"/>
      <c r="AZ101" s="27">
        <v>0</v>
      </c>
      <c r="BA101" s="27"/>
      <c r="BB101" s="27">
        <f t="shared" si="120"/>
        <v>0</v>
      </c>
      <c r="BC101" s="27">
        <f t="shared" si="121"/>
        <v>0</v>
      </c>
      <c r="BD101" s="27"/>
      <c r="BE101" s="27"/>
      <c r="BF101" s="27">
        <v>0</v>
      </c>
      <c r="BG101" s="27"/>
      <c r="BH101" s="27">
        <f t="shared" si="122"/>
        <v>0</v>
      </c>
      <c r="BI101" s="27">
        <f t="shared" si="123"/>
        <v>0</v>
      </c>
      <c r="BJ101" s="27"/>
      <c r="BK101" s="27"/>
      <c r="BL101" s="27">
        <v>0</v>
      </c>
      <c r="BM101" s="27"/>
      <c r="BN101" s="27">
        <f t="shared" si="124"/>
        <v>0</v>
      </c>
      <c r="BO101" s="27">
        <f t="shared" si="125"/>
        <v>0</v>
      </c>
      <c r="BP101" s="26"/>
      <c r="BQ101" s="27"/>
      <c r="BR101" s="27">
        <v>0</v>
      </c>
      <c r="BS101" s="27"/>
      <c r="BT101" s="27">
        <f t="shared" si="126"/>
        <v>0</v>
      </c>
      <c r="BU101" s="27">
        <f t="shared" si="127"/>
        <v>0</v>
      </c>
      <c r="BV101" s="26"/>
      <c r="BW101" s="27"/>
      <c r="BX101" s="27">
        <v>0</v>
      </c>
      <c r="BY101" s="27"/>
      <c r="BZ101" s="27">
        <f t="shared" si="128"/>
        <v>0</v>
      </c>
      <c r="CA101" s="27">
        <f t="shared" si="129"/>
        <v>0</v>
      </c>
      <c r="CB101" s="26"/>
      <c r="CC101" s="27"/>
      <c r="CD101" s="27">
        <v>0</v>
      </c>
      <c r="CE101" s="27"/>
      <c r="CF101" s="27">
        <f t="shared" si="130"/>
        <v>0</v>
      </c>
      <c r="CG101" s="27">
        <f t="shared" si="131"/>
        <v>0</v>
      </c>
      <c r="CH101" s="26"/>
      <c r="CI101" s="27"/>
      <c r="CJ101" s="27">
        <v>0</v>
      </c>
      <c r="CK101" s="27"/>
      <c r="CL101" s="27">
        <f t="shared" si="132"/>
        <v>0</v>
      </c>
      <c r="CM101" s="27">
        <f t="shared" si="133"/>
        <v>0</v>
      </c>
      <c r="CN101" s="26"/>
      <c r="CO101" s="27"/>
      <c r="CP101" s="27">
        <v>0</v>
      </c>
      <c r="CQ101" s="27"/>
      <c r="CR101" s="27">
        <f t="shared" si="134"/>
        <v>0</v>
      </c>
      <c r="CS101" s="27">
        <f t="shared" si="135"/>
        <v>0</v>
      </c>
      <c r="CT101" s="26"/>
      <c r="CU101" s="27"/>
      <c r="CV101" s="27">
        <v>0</v>
      </c>
      <c r="CW101" s="27"/>
      <c r="CX101" s="27">
        <f t="shared" si="136"/>
        <v>0</v>
      </c>
      <c r="CY101" s="27">
        <f t="shared" si="137"/>
        <v>0</v>
      </c>
      <c r="CZ101" s="26"/>
      <c r="DA101" s="27"/>
      <c r="DB101" s="27">
        <v>0</v>
      </c>
      <c r="DC101" s="27"/>
      <c r="DD101" s="27">
        <f t="shared" si="138"/>
        <v>0</v>
      </c>
      <c r="DE101" s="27">
        <f t="shared" si="139"/>
        <v>0</v>
      </c>
      <c r="DF101" s="28">
        <f t="shared" si="140"/>
        <v>0</v>
      </c>
      <c r="DG101" s="28">
        <f t="shared" si="141"/>
        <v>0</v>
      </c>
      <c r="DH101" s="28">
        <f t="shared" si="142"/>
        <v>0</v>
      </c>
      <c r="DI101" s="28">
        <f t="shared" si="143"/>
        <v>0</v>
      </c>
      <c r="DJ101" s="27">
        <f t="shared" si="144"/>
        <v>0</v>
      </c>
      <c r="DK101" s="27">
        <f t="shared" si="145"/>
        <v>0</v>
      </c>
    </row>
    <row r="102" spans="1:115">
      <c r="A102" s="25">
        <v>94</v>
      </c>
      <c r="B102" s="26" t="s">
        <v>1161</v>
      </c>
      <c r="C102" s="26"/>
      <c r="D102" s="26"/>
      <c r="E102" s="205" t="s">
        <v>1200</v>
      </c>
      <c r="F102" s="161">
        <f t="shared" si="98"/>
        <v>0</v>
      </c>
      <c r="G102" s="165">
        <f t="shared" si="99"/>
        <v>0</v>
      </c>
      <c r="H102" s="27"/>
      <c r="I102" s="27">
        <v>0</v>
      </c>
      <c r="J102" s="27">
        <v>0</v>
      </c>
      <c r="K102" s="127">
        <f t="shared" si="100"/>
        <v>0</v>
      </c>
      <c r="L102" s="127">
        <f t="shared" si="101"/>
        <v>0</v>
      </c>
      <c r="M102" s="127">
        <f t="shared" si="102"/>
        <v>0</v>
      </c>
      <c r="N102" s="131"/>
      <c r="O102" s="125" t="str">
        <f t="shared" si="103"/>
        <v>ნულოვანი შესრულება</v>
      </c>
      <c r="P102" s="27">
        <v>0</v>
      </c>
      <c r="Q102" s="27">
        <v>0</v>
      </c>
      <c r="R102" s="27">
        <f t="shared" si="104"/>
        <v>0</v>
      </c>
      <c r="S102" s="27">
        <f t="shared" si="105"/>
        <v>0</v>
      </c>
      <c r="T102" s="27"/>
      <c r="U102" s="27"/>
      <c r="V102" s="27">
        <v>0</v>
      </c>
      <c r="W102" s="27"/>
      <c r="X102" s="27">
        <f t="shared" si="106"/>
        <v>0</v>
      </c>
      <c r="Y102" s="27">
        <f t="shared" si="107"/>
        <v>0</v>
      </c>
      <c r="Z102" s="27">
        <v>0</v>
      </c>
      <c r="AA102" s="27"/>
      <c r="AB102" s="27"/>
      <c r="AC102" s="27"/>
      <c r="AD102" s="27">
        <f t="shared" si="108"/>
        <v>0</v>
      </c>
      <c r="AE102" s="27">
        <f t="shared" si="109"/>
        <v>0</v>
      </c>
      <c r="AF102" s="27">
        <f t="shared" si="110"/>
        <v>0</v>
      </c>
      <c r="AG102" s="27">
        <f t="shared" si="111"/>
        <v>0</v>
      </c>
      <c r="AH102" s="27">
        <f t="shared" si="112"/>
        <v>0</v>
      </c>
      <c r="AI102" s="27">
        <f t="shared" si="113"/>
        <v>0</v>
      </c>
      <c r="AJ102" s="27">
        <f t="shared" si="114"/>
        <v>0</v>
      </c>
      <c r="AK102" s="27">
        <f t="shared" si="115"/>
        <v>0</v>
      </c>
      <c r="AL102" s="27"/>
      <c r="AM102" s="27"/>
      <c r="AN102" s="27">
        <v>0</v>
      </c>
      <c r="AO102" s="27"/>
      <c r="AP102" s="27">
        <f t="shared" si="116"/>
        <v>0</v>
      </c>
      <c r="AQ102" s="27">
        <f t="shared" si="117"/>
        <v>0</v>
      </c>
      <c r="AR102" s="27"/>
      <c r="AS102" s="27"/>
      <c r="AT102" s="27">
        <v>0</v>
      </c>
      <c r="AU102" s="27"/>
      <c r="AV102" s="27">
        <f t="shared" si="118"/>
        <v>0</v>
      </c>
      <c r="AW102" s="27">
        <f t="shared" si="119"/>
        <v>0</v>
      </c>
      <c r="AX102" s="27"/>
      <c r="AY102" s="27"/>
      <c r="AZ102" s="27">
        <v>0</v>
      </c>
      <c r="BA102" s="27"/>
      <c r="BB102" s="27">
        <f t="shared" si="120"/>
        <v>0</v>
      </c>
      <c r="BC102" s="27">
        <f t="shared" si="121"/>
        <v>0</v>
      </c>
      <c r="BD102" s="27"/>
      <c r="BE102" s="27"/>
      <c r="BF102" s="27">
        <v>0</v>
      </c>
      <c r="BG102" s="27"/>
      <c r="BH102" s="27">
        <f t="shared" si="122"/>
        <v>0</v>
      </c>
      <c r="BI102" s="27">
        <f t="shared" si="123"/>
        <v>0</v>
      </c>
      <c r="BJ102" s="27"/>
      <c r="BK102" s="27"/>
      <c r="BL102" s="27">
        <v>0</v>
      </c>
      <c r="BM102" s="27"/>
      <c r="BN102" s="27">
        <f t="shared" si="124"/>
        <v>0</v>
      </c>
      <c r="BO102" s="27">
        <f t="shared" si="125"/>
        <v>0</v>
      </c>
      <c r="BP102" s="26"/>
      <c r="BQ102" s="27"/>
      <c r="BR102" s="27">
        <v>0</v>
      </c>
      <c r="BS102" s="27"/>
      <c r="BT102" s="27">
        <f t="shared" si="126"/>
        <v>0</v>
      </c>
      <c r="BU102" s="27">
        <f t="shared" si="127"/>
        <v>0</v>
      </c>
      <c r="BV102" s="26"/>
      <c r="BW102" s="27"/>
      <c r="BX102" s="27">
        <v>0</v>
      </c>
      <c r="BY102" s="27"/>
      <c r="BZ102" s="27">
        <f t="shared" si="128"/>
        <v>0</v>
      </c>
      <c r="CA102" s="27">
        <f t="shared" si="129"/>
        <v>0</v>
      </c>
      <c r="CB102" s="26"/>
      <c r="CC102" s="27"/>
      <c r="CD102" s="27">
        <v>0</v>
      </c>
      <c r="CE102" s="27"/>
      <c r="CF102" s="27">
        <f t="shared" si="130"/>
        <v>0</v>
      </c>
      <c r="CG102" s="27">
        <f t="shared" si="131"/>
        <v>0</v>
      </c>
      <c r="CH102" s="26"/>
      <c r="CI102" s="27"/>
      <c r="CJ102" s="27">
        <v>0</v>
      </c>
      <c r="CK102" s="27"/>
      <c r="CL102" s="27">
        <f t="shared" si="132"/>
        <v>0</v>
      </c>
      <c r="CM102" s="27">
        <f t="shared" si="133"/>
        <v>0</v>
      </c>
      <c r="CN102" s="26"/>
      <c r="CO102" s="27"/>
      <c r="CP102" s="27">
        <v>0</v>
      </c>
      <c r="CQ102" s="27"/>
      <c r="CR102" s="27">
        <f t="shared" si="134"/>
        <v>0</v>
      </c>
      <c r="CS102" s="27">
        <f t="shared" si="135"/>
        <v>0</v>
      </c>
      <c r="CT102" s="26"/>
      <c r="CU102" s="27"/>
      <c r="CV102" s="27">
        <v>0</v>
      </c>
      <c r="CW102" s="27"/>
      <c r="CX102" s="27">
        <f t="shared" si="136"/>
        <v>0</v>
      </c>
      <c r="CY102" s="27">
        <f t="shared" si="137"/>
        <v>0</v>
      </c>
      <c r="CZ102" s="26"/>
      <c r="DA102" s="27"/>
      <c r="DB102" s="27">
        <v>0</v>
      </c>
      <c r="DC102" s="27"/>
      <c r="DD102" s="27">
        <f t="shared" si="138"/>
        <v>0</v>
      </c>
      <c r="DE102" s="27">
        <f t="shared" si="139"/>
        <v>0</v>
      </c>
      <c r="DF102" s="28">
        <f t="shared" si="140"/>
        <v>0</v>
      </c>
      <c r="DG102" s="28">
        <f t="shared" si="141"/>
        <v>0</v>
      </c>
      <c r="DH102" s="28">
        <f t="shared" si="142"/>
        <v>0</v>
      </c>
      <c r="DI102" s="28">
        <f t="shared" si="143"/>
        <v>0</v>
      </c>
      <c r="DJ102" s="27">
        <f t="shared" si="144"/>
        <v>0</v>
      </c>
      <c r="DK102" s="27">
        <f t="shared" si="145"/>
        <v>0</v>
      </c>
    </row>
    <row r="103" spans="1:115">
      <c r="A103" s="25">
        <v>95</v>
      </c>
      <c r="B103" s="26" t="s">
        <v>1161</v>
      </c>
      <c r="C103" s="26"/>
      <c r="D103" s="26"/>
      <c r="E103" s="205" t="s">
        <v>1200</v>
      </c>
      <c r="F103" s="161">
        <f t="shared" si="98"/>
        <v>0</v>
      </c>
      <c r="G103" s="165">
        <f t="shared" si="99"/>
        <v>0</v>
      </c>
      <c r="H103" s="27"/>
      <c r="I103" s="27">
        <v>0</v>
      </c>
      <c r="J103" s="27">
        <v>0</v>
      </c>
      <c r="K103" s="127">
        <f t="shared" si="100"/>
        <v>0</v>
      </c>
      <c r="L103" s="127">
        <f t="shared" si="101"/>
        <v>0</v>
      </c>
      <c r="M103" s="127">
        <f t="shared" si="102"/>
        <v>0</v>
      </c>
      <c r="N103" s="131"/>
      <c r="O103" s="125" t="str">
        <f t="shared" si="103"/>
        <v>ნულოვანი შესრულება</v>
      </c>
      <c r="P103" s="27">
        <v>0</v>
      </c>
      <c r="Q103" s="27">
        <v>0</v>
      </c>
      <c r="R103" s="27">
        <f t="shared" si="104"/>
        <v>0</v>
      </c>
      <c r="S103" s="27">
        <f t="shared" si="105"/>
        <v>0</v>
      </c>
      <c r="T103" s="27"/>
      <c r="U103" s="27"/>
      <c r="V103" s="27">
        <v>0</v>
      </c>
      <c r="W103" s="27"/>
      <c r="X103" s="27">
        <f t="shared" si="106"/>
        <v>0</v>
      </c>
      <c r="Y103" s="27">
        <f t="shared" si="107"/>
        <v>0</v>
      </c>
      <c r="Z103" s="27">
        <v>0</v>
      </c>
      <c r="AA103" s="27"/>
      <c r="AB103" s="27"/>
      <c r="AC103" s="27"/>
      <c r="AD103" s="27">
        <f t="shared" si="108"/>
        <v>0</v>
      </c>
      <c r="AE103" s="27">
        <f t="shared" si="109"/>
        <v>0</v>
      </c>
      <c r="AF103" s="27">
        <f t="shared" si="110"/>
        <v>0</v>
      </c>
      <c r="AG103" s="27">
        <f t="shared" si="111"/>
        <v>0</v>
      </c>
      <c r="AH103" s="27">
        <f t="shared" si="112"/>
        <v>0</v>
      </c>
      <c r="AI103" s="27">
        <f t="shared" si="113"/>
        <v>0</v>
      </c>
      <c r="AJ103" s="27">
        <f t="shared" si="114"/>
        <v>0</v>
      </c>
      <c r="AK103" s="27">
        <f t="shared" si="115"/>
        <v>0</v>
      </c>
      <c r="AL103" s="27"/>
      <c r="AM103" s="27"/>
      <c r="AN103" s="27">
        <v>0</v>
      </c>
      <c r="AO103" s="27"/>
      <c r="AP103" s="27">
        <f t="shared" si="116"/>
        <v>0</v>
      </c>
      <c r="AQ103" s="27">
        <f t="shared" si="117"/>
        <v>0</v>
      </c>
      <c r="AR103" s="27"/>
      <c r="AS103" s="27"/>
      <c r="AT103" s="27">
        <v>0</v>
      </c>
      <c r="AU103" s="27"/>
      <c r="AV103" s="27">
        <f t="shared" si="118"/>
        <v>0</v>
      </c>
      <c r="AW103" s="27">
        <f t="shared" si="119"/>
        <v>0</v>
      </c>
      <c r="AX103" s="27"/>
      <c r="AY103" s="27"/>
      <c r="AZ103" s="27">
        <v>0</v>
      </c>
      <c r="BA103" s="27"/>
      <c r="BB103" s="27">
        <f t="shared" si="120"/>
        <v>0</v>
      </c>
      <c r="BC103" s="27">
        <f t="shared" si="121"/>
        <v>0</v>
      </c>
      <c r="BD103" s="27"/>
      <c r="BE103" s="27"/>
      <c r="BF103" s="27">
        <v>0</v>
      </c>
      <c r="BG103" s="27"/>
      <c r="BH103" s="27">
        <f t="shared" si="122"/>
        <v>0</v>
      </c>
      <c r="BI103" s="27">
        <f t="shared" si="123"/>
        <v>0</v>
      </c>
      <c r="BJ103" s="27"/>
      <c r="BK103" s="27"/>
      <c r="BL103" s="27">
        <v>0</v>
      </c>
      <c r="BM103" s="27"/>
      <c r="BN103" s="27">
        <f t="shared" si="124"/>
        <v>0</v>
      </c>
      <c r="BO103" s="27">
        <f t="shared" si="125"/>
        <v>0</v>
      </c>
      <c r="BP103" s="26"/>
      <c r="BQ103" s="27"/>
      <c r="BR103" s="27">
        <v>0</v>
      </c>
      <c r="BS103" s="27"/>
      <c r="BT103" s="27">
        <f t="shared" si="126"/>
        <v>0</v>
      </c>
      <c r="BU103" s="27">
        <f t="shared" si="127"/>
        <v>0</v>
      </c>
      <c r="BV103" s="26"/>
      <c r="BW103" s="27"/>
      <c r="BX103" s="27">
        <v>0</v>
      </c>
      <c r="BY103" s="27"/>
      <c r="BZ103" s="27">
        <f t="shared" si="128"/>
        <v>0</v>
      </c>
      <c r="CA103" s="27">
        <f t="shared" si="129"/>
        <v>0</v>
      </c>
      <c r="CB103" s="26"/>
      <c r="CC103" s="27"/>
      <c r="CD103" s="27">
        <v>0</v>
      </c>
      <c r="CE103" s="27"/>
      <c r="CF103" s="27">
        <f t="shared" si="130"/>
        <v>0</v>
      </c>
      <c r="CG103" s="27">
        <f t="shared" si="131"/>
        <v>0</v>
      </c>
      <c r="CH103" s="26"/>
      <c r="CI103" s="27"/>
      <c r="CJ103" s="27">
        <v>0</v>
      </c>
      <c r="CK103" s="27"/>
      <c r="CL103" s="27">
        <f t="shared" si="132"/>
        <v>0</v>
      </c>
      <c r="CM103" s="27">
        <f t="shared" si="133"/>
        <v>0</v>
      </c>
      <c r="CN103" s="26"/>
      <c r="CO103" s="27"/>
      <c r="CP103" s="27">
        <v>0</v>
      </c>
      <c r="CQ103" s="27"/>
      <c r="CR103" s="27">
        <f t="shared" si="134"/>
        <v>0</v>
      </c>
      <c r="CS103" s="27">
        <f t="shared" si="135"/>
        <v>0</v>
      </c>
      <c r="CT103" s="26"/>
      <c r="CU103" s="27"/>
      <c r="CV103" s="27">
        <v>0</v>
      </c>
      <c r="CW103" s="27"/>
      <c r="CX103" s="27">
        <f t="shared" si="136"/>
        <v>0</v>
      </c>
      <c r="CY103" s="27">
        <f t="shared" si="137"/>
        <v>0</v>
      </c>
      <c r="CZ103" s="26"/>
      <c r="DA103" s="27"/>
      <c r="DB103" s="27">
        <v>0</v>
      </c>
      <c r="DC103" s="27"/>
      <c r="DD103" s="27">
        <f t="shared" si="138"/>
        <v>0</v>
      </c>
      <c r="DE103" s="27">
        <f t="shared" si="139"/>
        <v>0</v>
      </c>
      <c r="DF103" s="28">
        <f t="shared" si="140"/>
        <v>0</v>
      </c>
      <c r="DG103" s="28">
        <f t="shared" si="141"/>
        <v>0</v>
      </c>
      <c r="DH103" s="28">
        <f t="shared" si="142"/>
        <v>0</v>
      </c>
      <c r="DI103" s="28">
        <f t="shared" si="143"/>
        <v>0</v>
      </c>
      <c r="DJ103" s="27">
        <f t="shared" si="144"/>
        <v>0</v>
      </c>
      <c r="DK103" s="27">
        <f t="shared" si="145"/>
        <v>0</v>
      </c>
    </row>
    <row r="104" spans="1:115">
      <c r="A104" s="25">
        <v>96</v>
      </c>
      <c r="B104" s="26" t="s">
        <v>1161</v>
      </c>
      <c r="C104" s="26"/>
      <c r="D104" s="26"/>
      <c r="E104" s="205" t="s">
        <v>1200</v>
      </c>
      <c r="F104" s="161">
        <f t="shared" si="98"/>
        <v>0</v>
      </c>
      <c r="G104" s="165">
        <f t="shared" si="99"/>
        <v>0</v>
      </c>
      <c r="H104" s="27"/>
      <c r="I104" s="27">
        <v>0</v>
      </c>
      <c r="J104" s="27">
        <v>0</v>
      </c>
      <c r="K104" s="127">
        <f t="shared" si="100"/>
        <v>0</v>
      </c>
      <c r="L104" s="127">
        <f t="shared" si="101"/>
        <v>0</v>
      </c>
      <c r="M104" s="127">
        <f t="shared" si="102"/>
        <v>0</v>
      </c>
      <c r="N104" s="131"/>
      <c r="O104" s="125" t="str">
        <f t="shared" si="103"/>
        <v>ნულოვანი შესრულება</v>
      </c>
      <c r="P104" s="27">
        <v>0</v>
      </c>
      <c r="Q104" s="27">
        <v>0</v>
      </c>
      <c r="R104" s="27">
        <f t="shared" si="104"/>
        <v>0</v>
      </c>
      <c r="S104" s="27">
        <f t="shared" si="105"/>
        <v>0</v>
      </c>
      <c r="T104" s="27"/>
      <c r="U104" s="27"/>
      <c r="V104" s="27">
        <v>0</v>
      </c>
      <c r="W104" s="27"/>
      <c r="X104" s="27">
        <f t="shared" si="106"/>
        <v>0</v>
      </c>
      <c r="Y104" s="27">
        <f t="shared" si="107"/>
        <v>0</v>
      </c>
      <c r="Z104" s="27">
        <v>0</v>
      </c>
      <c r="AA104" s="27"/>
      <c r="AB104" s="27"/>
      <c r="AC104" s="27"/>
      <c r="AD104" s="27">
        <f t="shared" si="108"/>
        <v>0</v>
      </c>
      <c r="AE104" s="27">
        <f t="shared" si="109"/>
        <v>0</v>
      </c>
      <c r="AF104" s="27">
        <f t="shared" si="110"/>
        <v>0</v>
      </c>
      <c r="AG104" s="27">
        <f t="shared" si="111"/>
        <v>0</v>
      </c>
      <c r="AH104" s="27">
        <f t="shared" si="112"/>
        <v>0</v>
      </c>
      <c r="AI104" s="27">
        <f t="shared" si="113"/>
        <v>0</v>
      </c>
      <c r="AJ104" s="27">
        <f t="shared" si="114"/>
        <v>0</v>
      </c>
      <c r="AK104" s="27">
        <f t="shared" si="115"/>
        <v>0</v>
      </c>
      <c r="AL104" s="27"/>
      <c r="AM104" s="27"/>
      <c r="AN104" s="27">
        <v>0</v>
      </c>
      <c r="AO104" s="27"/>
      <c r="AP104" s="27">
        <f t="shared" si="116"/>
        <v>0</v>
      </c>
      <c r="AQ104" s="27">
        <f t="shared" si="117"/>
        <v>0</v>
      </c>
      <c r="AR104" s="27"/>
      <c r="AS104" s="27"/>
      <c r="AT104" s="27">
        <v>0</v>
      </c>
      <c r="AU104" s="27"/>
      <c r="AV104" s="27">
        <f t="shared" si="118"/>
        <v>0</v>
      </c>
      <c r="AW104" s="27">
        <f t="shared" si="119"/>
        <v>0</v>
      </c>
      <c r="AX104" s="27"/>
      <c r="AY104" s="27"/>
      <c r="AZ104" s="27">
        <v>0</v>
      </c>
      <c r="BA104" s="27"/>
      <c r="BB104" s="27">
        <f t="shared" si="120"/>
        <v>0</v>
      </c>
      <c r="BC104" s="27">
        <f t="shared" si="121"/>
        <v>0</v>
      </c>
      <c r="BD104" s="27"/>
      <c r="BE104" s="27"/>
      <c r="BF104" s="27">
        <v>0</v>
      </c>
      <c r="BG104" s="27"/>
      <c r="BH104" s="27">
        <f t="shared" si="122"/>
        <v>0</v>
      </c>
      <c r="BI104" s="27">
        <f t="shared" si="123"/>
        <v>0</v>
      </c>
      <c r="BJ104" s="27"/>
      <c r="BK104" s="27"/>
      <c r="BL104" s="27">
        <v>0</v>
      </c>
      <c r="BM104" s="27"/>
      <c r="BN104" s="27">
        <f t="shared" si="124"/>
        <v>0</v>
      </c>
      <c r="BO104" s="27">
        <f t="shared" si="125"/>
        <v>0</v>
      </c>
      <c r="BP104" s="26"/>
      <c r="BQ104" s="27"/>
      <c r="BR104" s="27">
        <v>0</v>
      </c>
      <c r="BS104" s="27"/>
      <c r="BT104" s="27">
        <f t="shared" si="126"/>
        <v>0</v>
      </c>
      <c r="BU104" s="27">
        <f t="shared" si="127"/>
        <v>0</v>
      </c>
      <c r="BV104" s="26"/>
      <c r="BW104" s="27"/>
      <c r="BX104" s="27">
        <v>0</v>
      </c>
      <c r="BY104" s="27"/>
      <c r="BZ104" s="27">
        <f t="shared" si="128"/>
        <v>0</v>
      </c>
      <c r="CA104" s="27">
        <f t="shared" si="129"/>
        <v>0</v>
      </c>
      <c r="CB104" s="26"/>
      <c r="CC104" s="27"/>
      <c r="CD104" s="27">
        <v>0</v>
      </c>
      <c r="CE104" s="27"/>
      <c r="CF104" s="27">
        <f t="shared" si="130"/>
        <v>0</v>
      </c>
      <c r="CG104" s="27">
        <f t="shared" si="131"/>
        <v>0</v>
      </c>
      <c r="CH104" s="26"/>
      <c r="CI104" s="27"/>
      <c r="CJ104" s="27">
        <v>0</v>
      </c>
      <c r="CK104" s="27"/>
      <c r="CL104" s="27">
        <f t="shared" si="132"/>
        <v>0</v>
      </c>
      <c r="CM104" s="27">
        <f t="shared" si="133"/>
        <v>0</v>
      </c>
      <c r="CN104" s="26"/>
      <c r="CO104" s="27"/>
      <c r="CP104" s="27">
        <v>0</v>
      </c>
      <c r="CQ104" s="27"/>
      <c r="CR104" s="27">
        <f t="shared" si="134"/>
        <v>0</v>
      </c>
      <c r="CS104" s="27">
        <f t="shared" si="135"/>
        <v>0</v>
      </c>
      <c r="CT104" s="26"/>
      <c r="CU104" s="27"/>
      <c r="CV104" s="27">
        <v>0</v>
      </c>
      <c r="CW104" s="27"/>
      <c r="CX104" s="27">
        <f t="shared" si="136"/>
        <v>0</v>
      </c>
      <c r="CY104" s="27">
        <f t="shared" si="137"/>
        <v>0</v>
      </c>
      <c r="CZ104" s="26"/>
      <c r="DA104" s="27"/>
      <c r="DB104" s="27">
        <v>0</v>
      </c>
      <c r="DC104" s="27"/>
      <c r="DD104" s="27">
        <f t="shared" si="138"/>
        <v>0</v>
      </c>
      <c r="DE104" s="27">
        <f t="shared" si="139"/>
        <v>0</v>
      </c>
      <c r="DF104" s="28">
        <f t="shared" si="140"/>
        <v>0</v>
      </c>
      <c r="DG104" s="28">
        <f t="shared" si="141"/>
        <v>0</v>
      </c>
      <c r="DH104" s="28">
        <f t="shared" si="142"/>
        <v>0</v>
      </c>
      <c r="DI104" s="28">
        <f t="shared" si="143"/>
        <v>0</v>
      </c>
      <c r="DJ104" s="27">
        <f t="shared" si="144"/>
        <v>0</v>
      </c>
      <c r="DK104" s="27">
        <f t="shared" si="145"/>
        <v>0</v>
      </c>
    </row>
    <row r="105" spans="1:115">
      <c r="A105" s="25">
        <v>97</v>
      </c>
      <c r="B105" s="26" t="s">
        <v>1161</v>
      </c>
      <c r="C105" s="26"/>
      <c r="D105" s="26"/>
      <c r="E105" s="205" t="s">
        <v>1200</v>
      </c>
      <c r="F105" s="161">
        <f t="shared" si="98"/>
        <v>0</v>
      </c>
      <c r="G105" s="165">
        <f t="shared" si="99"/>
        <v>0</v>
      </c>
      <c r="H105" s="27"/>
      <c r="I105" s="27">
        <v>0</v>
      </c>
      <c r="J105" s="27">
        <v>0</v>
      </c>
      <c r="K105" s="127">
        <f t="shared" si="100"/>
        <v>0</v>
      </c>
      <c r="L105" s="127">
        <f t="shared" si="101"/>
        <v>0</v>
      </c>
      <c r="M105" s="127">
        <f t="shared" si="102"/>
        <v>0</v>
      </c>
      <c r="N105" s="131"/>
      <c r="O105" s="125" t="str">
        <f t="shared" si="103"/>
        <v>ნულოვანი შესრულება</v>
      </c>
      <c r="P105" s="27">
        <v>0</v>
      </c>
      <c r="Q105" s="27">
        <v>0</v>
      </c>
      <c r="R105" s="27">
        <f t="shared" si="104"/>
        <v>0</v>
      </c>
      <c r="S105" s="27">
        <f t="shared" si="105"/>
        <v>0</v>
      </c>
      <c r="T105" s="27"/>
      <c r="U105" s="27"/>
      <c r="V105" s="27">
        <v>0</v>
      </c>
      <c r="W105" s="27"/>
      <c r="X105" s="27">
        <f t="shared" si="106"/>
        <v>0</v>
      </c>
      <c r="Y105" s="27">
        <f t="shared" si="107"/>
        <v>0</v>
      </c>
      <c r="Z105" s="27">
        <v>0</v>
      </c>
      <c r="AA105" s="27"/>
      <c r="AB105" s="27"/>
      <c r="AC105" s="27"/>
      <c r="AD105" s="27">
        <f t="shared" si="108"/>
        <v>0</v>
      </c>
      <c r="AE105" s="27">
        <f t="shared" si="109"/>
        <v>0</v>
      </c>
      <c r="AF105" s="27">
        <f t="shared" si="110"/>
        <v>0</v>
      </c>
      <c r="AG105" s="27">
        <f t="shared" si="111"/>
        <v>0</v>
      </c>
      <c r="AH105" s="27">
        <f t="shared" si="112"/>
        <v>0</v>
      </c>
      <c r="AI105" s="27">
        <f t="shared" si="113"/>
        <v>0</v>
      </c>
      <c r="AJ105" s="27">
        <f t="shared" si="114"/>
        <v>0</v>
      </c>
      <c r="AK105" s="27">
        <f t="shared" si="115"/>
        <v>0</v>
      </c>
      <c r="AL105" s="27"/>
      <c r="AM105" s="27"/>
      <c r="AN105" s="27">
        <v>0</v>
      </c>
      <c r="AO105" s="27"/>
      <c r="AP105" s="27">
        <f t="shared" si="116"/>
        <v>0</v>
      </c>
      <c r="AQ105" s="27">
        <f t="shared" si="117"/>
        <v>0</v>
      </c>
      <c r="AR105" s="27"/>
      <c r="AS105" s="27"/>
      <c r="AT105" s="27">
        <v>0</v>
      </c>
      <c r="AU105" s="27"/>
      <c r="AV105" s="27">
        <f t="shared" si="118"/>
        <v>0</v>
      </c>
      <c r="AW105" s="27">
        <f t="shared" si="119"/>
        <v>0</v>
      </c>
      <c r="AX105" s="27"/>
      <c r="AY105" s="27"/>
      <c r="AZ105" s="27">
        <v>0</v>
      </c>
      <c r="BA105" s="27"/>
      <c r="BB105" s="27">
        <f t="shared" si="120"/>
        <v>0</v>
      </c>
      <c r="BC105" s="27">
        <f t="shared" si="121"/>
        <v>0</v>
      </c>
      <c r="BD105" s="27"/>
      <c r="BE105" s="27"/>
      <c r="BF105" s="27">
        <v>0</v>
      </c>
      <c r="BG105" s="27"/>
      <c r="BH105" s="27">
        <f t="shared" si="122"/>
        <v>0</v>
      </c>
      <c r="BI105" s="27">
        <f t="shared" si="123"/>
        <v>0</v>
      </c>
      <c r="BJ105" s="27"/>
      <c r="BK105" s="27"/>
      <c r="BL105" s="27">
        <v>0</v>
      </c>
      <c r="BM105" s="27"/>
      <c r="BN105" s="27">
        <f t="shared" si="124"/>
        <v>0</v>
      </c>
      <c r="BO105" s="27">
        <f t="shared" si="125"/>
        <v>0</v>
      </c>
      <c r="BP105" s="26"/>
      <c r="BQ105" s="27"/>
      <c r="BR105" s="27">
        <v>0</v>
      </c>
      <c r="BS105" s="27"/>
      <c r="BT105" s="27">
        <f t="shared" si="126"/>
        <v>0</v>
      </c>
      <c r="BU105" s="27">
        <f t="shared" si="127"/>
        <v>0</v>
      </c>
      <c r="BV105" s="26"/>
      <c r="BW105" s="27"/>
      <c r="BX105" s="27">
        <v>0</v>
      </c>
      <c r="BY105" s="27"/>
      <c r="BZ105" s="27">
        <f t="shared" si="128"/>
        <v>0</v>
      </c>
      <c r="CA105" s="27">
        <f t="shared" si="129"/>
        <v>0</v>
      </c>
      <c r="CB105" s="26"/>
      <c r="CC105" s="27"/>
      <c r="CD105" s="27">
        <v>0</v>
      </c>
      <c r="CE105" s="27"/>
      <c r="CF105" s="27">
        <f t="shared" si="130"/>
        <v>0</v>
      </c>
      <c r="CG105" s="27">
        <f t="shared" si="131"/>
        <v>0</v>
      </c>
      <c r="CH105" s="26"/>
      <c r="CI105" s="27"/>
      <c r="CJ105" s="27">
        <v>0</v>
      </c>
      <c r="CK105" s="27"/>
      <c r="CL105" s="27">
        <f t="shared" si="132"/>
        <v>0</v>
      </c>
      <c r="CM105" s="27">
        <f t="shared" si="133"/>
        <v>0</v>
      </c>
      <c r="CN105" s="26"/>
      <c r="CO105" s="27"/>
      <c r="CP105" s="27">
        <v>0</v>
      </c>
      <c r="CQ105" s="27"/>
      <c r="CR105" s="27">
        <f t="shared" si="134"/>
        <v>0</v>
      </c>
      <c r="CS105" s="27">
        <f t="shared" si="135"/>
        <v>0</v>
      </c>
      <c r="CT105" s="26"/>
      <c r="CU105" s="27"/>
      <c r="CV105" s="27">
        <v>0</v>
      </c>
      <c r="CW105" s="27"/>
      <c r="CX105" s="27">
        <f t="shared" si="136"/>
        <v>0</v>
      </c>
      <c r="CY105" s="27">
        <f t="shared" si="137"/>
        <v>0</v>
      </c>
      <c r="CZ105" s="26"/>
      <c r="DA105" s="27"/>
      <c r="DB105" s="27">
        <v>0</v>
      </c>
      <c r="DC105" s="27"/>
      <c r="DD105" s="27">
        <f t="shared" si="138"/>
        <v>0</v>
      </c>
      <c r="DE105" s="27">
        <f t="shared" si="139"/>
        <v>0</v>
      </c>
      <c r="DF105" s="28">
        <f t="shared" si="140"/>
        <v>0</v>
      </c>
      <c r="DG105" s="28">
        <f t="shared" si="141"/>
        <v>0</v>
      </c>
      <c r="DH105" s="28">
        <f t="shared" si="142"/>
        <v>0</v>
      </c>
      <c r="DI105" s="28">
        <f t="shared" si="143"/>
        <v>0</v>
      </c>
      <c r="DJ105" s="27">
        <f t="shared" si="144"/>
        <v>0</v>
      </c>
      <c r="DK105" s="27">
        <f t="shared" si="145"/>
        <v>0</v>
      </c>
    </row>
    <row r="106" spans="1:115">
      <c r="A106" s="25">
        <v>98</v>
      </c>
      <c r="B106" s="26" t="s">
        <v>1161</v>
      </c>
      <c r="C106" s="26"/>
      <c r="D106" s="26"/>
      <c r="E106" s="205" t="s">
        <v>1200</v>
      </c>
      <c r="F106" s="161">
        <f t="shared" si="98"/>
        <v>0</v>
      </c>
      <c r="G106" s="165">
        <f t="shared" si="99"/>
        <v>0</v>
      </c>
      <c r="H106" s="27"/>
      <c r="I106" s="27">
        <v>0</v>
      </c>
      <c r="J106" s="27">
        <v>0</v>
      </c>
      <c r="K106" s="127">
        <f t="shared" si="100"/>
        <v>0</v>
      </c>
      <c r="L106" s="127">
        <f t="shared" si="101"/>
        <v>0</v>
      </c>
      <c r="M106" s="127">
        <f t="shared" si="102"/>
        <v>0</v>
      </c>
      <c r="N106" s="131"/>
      <c r="O106" s="125" t="str">
        <f t="shared" si="103"/>
        <v>ნულოვანი შესრულება</v>
      </c>
      <c r="P106" s="27">
        <v>0</v>
      </c>
      <c r="Q106" s="27">
        <v>0</v>
      </c>
      <c r="R106" s="27">
        <f t="shared" si="104"/>
        <v>0</v>
      </c>
      <c r="S106" s="27">
        <f t="shared" si="105"/>
        <v>0</v>
      </c>
      <c r="T106" s="27"/>
      <c r="U106" s="27"/>
      <c r="V106" s="27">
        <v>0</v>
      </c>
      <c r="W106" s="27"/>
      <c r="X106" s="27">
        <f t="shared" si="106"/>
        <v>0</v>
      </c>
      <c r="Y106" s="27">
        <f t="shared" si="107"/>
        <v>0</v>
      </c>
      <c r="Z106" s="27">
        <v>0</v>
      </c>
      <c r="AA106" s="27"/>
      <c r="AB106" s="27"/>
      <c r="AC106" s="27"/>
      <c r="AD106" s="27">
        <f t="shared" si="108"/>
        <v>0</v>
      </c>
      <c r="AE106" s="27">
        <f t="shared" si="109"/>
        <v>0</v>
      </c>
      <c r="AF106" s="27">
        <f t="shared" si="110"/>
        <v>0</v>
      </c>
      <c r="AG106" s="27">
        <f t="shared" si="111"/>
        <v>0</v>
      </c>
      <c r="AH106" s="27">
        <f t="shared" si="112"/>
        <v>0</v>
      </c>
      <c r="AI106" s="27">
        <f t="shared" si="113"/>
        <v>0</v>
      </c>
      <c r="AJ106" s="27">
        <f t="shared" si="114"/>
        <v>0</v>
      </c>
      <c r="AK106" s="27">
        <f t="shared" si="115"/>
        <v>0</v>
      </c>
      <c r="AL106" s="27"/>
      <c r="AM106" s="27"/>
      <c r="AN106" s="27">
        <v>0</v>
      </c>
      <c r="AO106" s="27"/>
      <c r="AP106" s="27">
        <f t="shared" si="116"/>
        <v>0</v>
      </c>
      <c r="AQ106" s="27">
        <f t="shared" si="117"/>
        <v>0</v>
      </c>
      <c r="AR106" s="27"/>
      <c r="AS106" s="27"/>
      <c r="AT106" s="27">
        <v>0</v>
      </c>
      <c r="AU106" s="27"/>
      <c r="AV106" s="27">
        <f t="shared" si="118"/>
        <v>0</v>
      </c>
      <c r="AW106" s="27">
        <f t="shared" si="119"/>
        <v>0</v>
      </c>
      <c r="AX106" s="27"/>
      <c r="AY106" s="27"/>
      <c r="AZ106" s="27">
        <v>0</v>
      </c>
      <c r="BA106" s="27"/>
      <c r="BB106" s="27">
        <f t="shared" si="120"/>
        <v>0</v>
      </c>
      <c r="BC106" s="27">
        <f t="shared" si="121"/>
        <v>0</v>
      </c>
      <c r="BD106" s="27"/>
      <c r="BE106" s="27"/>
      <c r="BF106" s="27">
        <v>0</v>
      </c>
      <c r="BG106" s="27"/>
      <c r="BH106" s="27">
        <f t="shared" si="122"/>
        <v>0</v>
      </c>
      <c r="BI106" s="27">
        <f t="shared" si="123"/>
        <v>0</v>
      </c>
      <c r="BJ106" s="27"/>
      <c r="BK106" s="27"/>
      <c r="BL106" s="27">
        <v>0</v>
      </c>
      <c r="BM106" s="27"/>
      <c r="BN106" s="27">
        <f t="shared" si="124"/>
        <v>0</v>
      </c>
      <c r="BO106" s="27">
        <f t="shared" si="125"/>
        <v>0</v>
      </c>
      <c r="BP106" s="26"/>
      <c r="BQ106" s="27"/>
      <c r="BR106" s="27">
        <v>0</v>
      </c>
      <c r="BS106" s="27"/>
      <c r="BT106" s="27">
        <f t="shared" si="126"/>
        <v>0</v>
      </c>
      <c r="BU106" s="27">
        <f t="shared" si="127"/>
        <v>0</v>
      </c>
      <c r="BV106" s="26"/>
      <c r="BW106" s="27"/>
      <c r="BX106" s="27">
        <v>0</v>
      </c>
      <c r="BY106" s="27"/>
      <c r="BZ106" s="27">
        <f t="shared" si="128"/>
        <v>0</v>
      </c>
      <c r="CA106" s="27">
        <f t="shared" si="129"/>
        <v>0</v>
      </c>
      <c r="CB106" s="26"/>
      <c r="CC106" s="27"/>
      <c r="CD106" s="27">
        <v>0</v>
      </c>
      <c r="CE106" s="27"/>
      <c r="CF106" s="27">
        <f t="shared" si="130"/>
        <v>0</v>
      </c>
      <c r="CG106" s="27">
        <f t="shared" si="131"/>
        <v>0</v>
      </c>
      <c r="CH106" s="26"/>
      <c r="CI106" s="27"/>
      <c r="CJ106" s="27">
        <v>0</v>
      </c>
      <c r="CK106" s="27"/>
      <c r="CL106" s="27">
        <f t="shared" si="132"/>
        <v>0</v>
      </c>
      <c r="CM106" s="27">
        <f t="shared" si="133"/>
        <v>0</v>
      </c>
      <c r="CN106" s="26"/>
      <c r="CO106" s="27"/>
      <c r="CP106" s="27">
        <v>0</v>
      </c>
      <c r="CQ106" s="27"/>
      <c r="CR106" s="27">
        <f t="shared" si="134"/>
        <v>0</v>
      </c>
      <c r="CS106" s="27">
        <f t="shared" si="135"/>
        <v>0</v>
      </c>
      <c r="CT106" s="26"/>
      <c r="CU106" s="27"/>
      <c r="CV106" s="27">
        <v>0</v>
      </c>
      <c r="CW106" s="27"/>
      <c r="CX106" s="27">
        <f t="shared" si="136"/>
        <v>0</v>
      </c>
      <c r="CY106" s="27">
        <f t="shared" si="137"/>
        <v>0</v>
      </c>
      <c r="CZ106" s="26"/>
      <c r="DA106" s="27"/>
      <c r="DB106" s="27">
        <v>0</v>
      </c>
      <c r="DC106" s="27"/>
      <c r="DD106" s="27">
        <f t="shared" si="138"/>
        <v>0</v>
      </c>
      <c r="DE106" s="27">
        <f t="shared" si="139"/>
        <v>0</v>
      </c>
      <c r="DF106" s="28">
        <f t="shared" si="140"/>
        <v>0</v>
      </c>
      <c r="DG106" s="28">
        <f t="shared" si="141"/>
        <v>0</v>
      </c>
      <c r="DH106" s="28">
        <f t="shared" si="142"/>
        <v>0</v>
      </c>
      <c r="DI106" s="28">
        <f t="shared" si="143"/>
        <v>0</v>
      </c>
      <c r="DJ106" s="27">
        <f t="shared" si="144"/>
        <v>0</v>
      </c>
      <c r="DK106" s="27">
        <f t="shared" si="145"/>
        <v>0</v>
      </c>
    </row>
    <row r="107" spans="1:115">
      <c r="A107" s="25">
        <v>99</v>
      </c>
      <c r="B107" s="26" t="s">
        <v>1161</v>
      </c>
      <c r="C107" s="26"/>
      <c r="D107" s="26"/>
      <c r="E107" s="205" t="s">
        <v>1200</v>
      </c>
      <c r="F107" s="161">
        <f t="shared" si="98"/>
        <v>0</v>
      </c>
      <c r="G107" s="165">
        <f t="shared" si="99"/>
        <v>0</v>
      </c>
      <c r="H107" s="27"/>
      <c r="I107" s="27">
        <v>0</v>
      </c>
      <c r="J107" s="27">
        <v>0</v>
      </c>
      <c r="K107" s="127">
        <f t="shared" si="100"/>
        <v>0</v>
      </c>
      <c r="L107" s="127">
        <f t="shared" si="101"/>
        <v>0</v>
      </c>
      <c r="M107" s="127">
        <f t="shared" si="102"/>
        <v>0</v>
      </c>
      <c r="N107" s="131"/>
      <c r="O107" s="125" t="str">
        <f t="shared" si="103"/>
        <v>ნულოვანი შესრულება</v>
      </c>
      <c r="P107" s="27">
        <v>0</v>
      </c>
      <c r="Q107" s="27">
        <v>0</v>
      </c>
      <c r="R107" s="27">
        <f t="shared" si="104"/>
        <v>0</v>
      </c>
      <c r="S107" s="27">
        <f t="shared" si="105"/>
        <v>0</v>
      </c>
      <c r="T107" s="27"/>
      <c r="U107" s="27"/>
      <c r="V107" s="27">
        <v>0</v>
      </c>
      <c r="W107" s="27"/>
      <c r="X107" s="27">
        <f t="shared" si="106"/>
        <v>0</v>
      </c>
      <c r="Y107" s="27">
        <f t="shared" si="107"/>
        <v>0</v>
      </c>
      <c r="Z107" s="27">
        <v>0</v>
      </c>
      <c r="AA107" s="27"/>
      <c r="AB107" s="27"/>
      <c r="AC107" s="27"/>
      <c r="AD107" s="27">
        <f t="shared" si="108"/>
        <v>0</v>
      </c>
      <c r="AE107" s="27">
        <f t="shared" si="109"/>
        <v>0</v>
      </c>
      <c r="AF107" s="27">
        <f t="shared" si="110"/>
        <v>0</v>
      </c>
      <c r="AG107" s="27">
        <f t="shared" si="111"/>
        <v>0</v>
      </c>
      <c r="AH107" s="27">
        <f t="shared" si="112"/>
        <v>0</v>
      </c>
      <c r="AI107" s="27">
        <f t="shared" si="113"/>
        <v>0</v>
      </c>
      <c r="AJ107" s="27">
        <f t="shared" si="114"/>
        <v>0</v>
      </c>
      <c r="AK107" s="27">
        <f t="shared" si="115"/>
        <v>0</v>
      </c>
      <c r="AL107" s="27"/>
      <c r="AM107" s="27"/>
      <c r="AN107" s="27">
        <v>0</v>
      </c>
      <c r="AO107" s="27"/>
      <c r="AP107" s="27">
        <f t="shared" si="116"/>
        <v>0</v>
      </c>
      <c r="AQ107" s="27">
        <f t="shared" si="117"/>
        <v>0</v>
      </c>
      <c r="AR107" s="27"/>
      <c r="AS107" s="27"/>
      <c r="AT107" s="27">
        <v>0</v>
      </c>
      <c r="AU107" s="27"/>
      <c r="AV107" s="27">
        <f t="shared" si="118"/>
        <v>0</v>
      </c>
      <c r="AW107" s="27">
        <f t="shared" si="119"/>
        <v>0</v>
      </c>
      <c r="AX107" s="27"/>
      <c r="AY107" s="27"/>
      <c r="AZ107" s="27">
        <v>0</v>
      </c>
      <c r="BA107" s="27"/>
      <c r="BB107" s="27">
        <f t="shared" si="120"/>
        <v>0</v>
      </c>
      <c r="BC107" s="27">
        <f t="shared" si="121"/>
        <v>0</v>
      </c>
      <c r="BD107" s="27"/>
      <c r="BE107" s="27"/>
      <c r="BF107" s="27">
        <v>0</v>
      </c>
      <c r="BG107" s="27"/>
      <c r="BH107" s="27">
        <f t="shared" si="122"/>
        <v>0</v>
      </c>
      <c r="BI107" s="27">
        <f t="shared" si="123"/>
        <v>0</v>
      </c>
      <c r="BJ107" s="27"/>
      <c r="BK107" s="27"/>
      <c r="BL107" s="27">
        <v>0</v>
      </c>
      <c r="BM107" s="27"/>
      <c r="BN107" s="27">
        <f t="shared" si="124"/>
        <v>0</v>
      </c>
      <c r="BO107" s="27">
        <f t="shared" si="125"/>
        <v>0</v>
      </c>
      <c r="BP107" s="26"/>
      <c r="BQ107" s="27"/>
      <c r="BR107" s="27">
        <v>0</v>
      </c>
      <c r="BS107" s="27"/>
      <c r="BT107" s="27">
        <f t="shared" si="126"/>
        <v>0</v>
      </c>
      <c r="BU107" s="27">
        <f t="shared" si="127"/>
        <v>0</v>
      </c>
      <c r="BV107" s="26"/>
      <c r="BW107" s="27"/>
      <c r="BX107" s="27">
        <v>0</v>
      </c>
      <c r="BY107" s="27"/>
      <c r="BZ107" s="27">
        <f t="shared" si="128"/>
        <v>0</v>
      </c>
      <c r="CA107" s="27">
        <f t="shared" si="129"/>
        <v>0</v>
      </c>
      <c r="CB107" s="26"/>
      <c r="CC107" s="27"/>
      <c r="CD107" s="27">
        <v>0</v>
      </c>
      <c r="CE107" s="27"/>
      <c r="CF107" s="27">
        <f t="shared" si="130"/>
        <v>0</v>
      </c>
      <c r="CG107" s="27">
        <f t="shared" si="131"/>
        <v>0</v>
      </c>
      <c r="CH107" s="26"/>
      <c r="CI107" s="27"/>
      <c r="CJ107" s="27">
        <v>0</v>
      </c>
      <c r="CK107" s="27"/>
      <c r="CL107" s="27">
        <f t="shared" si="132"/>
        <v>0</v>
      </c>
      <c r="CM107" s="27">
        <f t="shared" si="133"/>
        <v>0</v>
      </c>
      <c r="CN107" s="26"/>
      <c r="CO107" s="27"/>
      <c r="CP107" s="27">
        <v>0</v>
      </c>
      <c r="CQ107" s="27"/>
      <c r="CR107" s="27">
        <f t="shared" si="134"/>
        <v>0</v>
      </c>
      <c r="CS107" s="27">
        <f t="shared" si="135"/>
        <v>0</v>
      </c>
      <c r="CT107" s="26"/>
      <c r="CU107" s="27"/>
      <c r="CV107" s="27">
        <v>0</v>
      </c>
      <c r="CW107" s="27"/>
      <c r="CX107" s="27">
        <f t="shared" si="136"/>
        <v>0</v>
      </c>
      <c r="CY107" s="27">
        <f t="shared" si="137"/>
        <v>0</v>
      </c>
      <c r="CZ107" s="26"/>
      <c r="DA107" s="27"/>
      <c r="DB107" s="27">
        <v>0</v>
      </c>
      <c r="DC107" s="27"/>
      <c r="DD107" s="27">
        <f t="shared" si="138"/>
        <v>0</v>
      </c>
      <c r="DE107" s="27">
        <f t="shared" si="139"/>
        <v>0</v>
      </c>
      <c r="DF107" s="28">
        <f t="shared" si="140"/>
        <v>0</v>
      </c>
      <c r="DG107" s="28">
        <f t="shared" si="141"/>
        <v>0</v>
      </c>
      <c r="DH107" s="28">
        <f t="shared" si="142"/>
        <v>0</v>
      </c>
      <c r="DI107" s="28">
        <f t="shared" si="143"/>
        <v>0</v>
      </c>
      <c r="DJ107" s="27">
        <f t="shared" si="144"/>
        <v>0</v>
      </c>
      <c r="DK107" s="27">
        <f t="shared" si="145"/>
        <v>0</v>
      </c>
    </row>
    <row r="108" spans="1:115">
      <c r="A108" s="25">
        <v>100</v>
      </c>
      <c r="B108" s="26" t="s">
        <v>1161</v>
      </c>
      <c r="C108" s="26"/>
      <c r="D108" s="26"/>
      <c r="E108" s="205" t="s">
        <v>1200</v>
      </c>
      <c r="F108" s="161">
        <f t="shared" si="98"/>
        <v>0</v>
      </c>
      <c r="G108" s="165">
        <f t="shared" si="99"/>
        <v>0</v>
      </c>
      <c r="H108" s="27"/>
      <c r="I108" s="27">
        <v>0</v>
      </c>
      <c r="J108" s="27">
        <v>0</v>
      </c>
      <c r="K108" s="127">
        <f t="shared" si="100"/>
        <v>0</v>
      </c>
      <c r="L108" s="127">
        <f t="shared" si="101"/>
        <v>0</v>
      </c>
      <c r="M108" s="127">
        <f t="shared" si="102"/>
        <v>0</v>
      </c>
      <c r="N108" s="131"/>
      <c r="O108" s="125" t="str">
        <f t="shared" si="103"/>
        <v>ნულოვანი შესრულება</v>
      </c>
      <c r="P108" s="27">
        <v>0</v>
      </c>
      <c r="Q108" s="27">
        <v>0</v>
      </c>
      <c r="R108" s="27">
        <f t="shared" si="104"/>
        <v>0</v>
      </c>
      <c r="S108" s="27">
        <f t="shared" si="105"/>
        <v>0</v>
      </c>
      <c r="T108" s="27"/>
      <c r="U108" s="27"/>
      <c r="V108" s="27">
        <v>0</v>
      </c>
      <c r="W108" s="27"/>
      <c r="X108" s="27">
        <f t="shared" si="106"/>
        <v>0</v>
      </c>
      <c r="Y108" s="27">
        <f t="shared" si="107"/>
        <v>0</v>
      </c>
      <c r="Z108" s="27">
        <v>0</v>
      </c>
      <c r="AA108" s="27"/>
      <c r="AB108" s="27"/>
      <c r="AC108" s="27"/>
      <c r="AD108" s="27">
        <f t="shared" si="108"/>
        <v>0</v>
      </c>
      <c r="AE108" s="27">
        <f t="shared" si="109"/>
        <v>0</v>
      </c>
      <c r="AF108" s="27">
        <f t="shared" si="110"/>
        <v>0</v>
      </c>
      <c r="AG108" s="27">
        <f t="shared" si="111"/>
        <v>0</v>
      </c>
      <c r="AH108" s="27">
        <f t="shared" si="112"/>
        <v>0</v>
      </c>
      <c r="AI108" s="27">
        <f t="shared" si="113"/>
        <v>0</v>
      </c>
      <c r="AJ108" s="27">
        <f t="shared" si="114"/>
        <v>0</v>
      </c>
      <c r="AK108" s="27">
        <f t="shared" si="115"/>
        <v>0</v>
      </c>
      <c r="AL108" s="27"/>
      <c r="AM108" s="27"/>
      <c r="AN108" s="27">
        <v>0</v>
      </c>
      <c r="AO108" s="27"/>
      <c r="AP108" s="27">
        <f t="shared" si="116"/>
        <v>0</v>
      </c>
      <c r="AQ108" s="27">
        <f t="shared" si="117"/>
        <v>0</v>
      </c>
      <c r="AR108" s="27"/>
      <c r="AS108" s="27"/>
      <c r="AT108" s="27">
        <v>0</v>
      </c>
      <c r="AU108" s="27"/>
      <c r="AV108" s="27">
        <f t="shared" si="118"/>
        <v>0</v>
      </c>
      <c r="AW108" s="27">
        <f t="shared" si="119"/>
        <v>0</v>
      </c>
      <c r="AX108" s="27"/>
      <c r="AY108" s="27"/>
      <c r="AZ108" s="27">
        <v>0</v>
      </c>
      <c r="BA108" s="27"/>
      <c r="BB108" s="27">
        <f t="shared" si="120"/>
        <v>0</v>
      </c>
      <c r="BC108" s="27">
        <f t="shared" si="121"/>
        <v>0</v>
      </c>
      <c r="BD108" s="27"/>
      <c r="BE108" s="27"/>
      <c r="BF108" s="27">
        <v>0</v>
      </c>
      <c r="BG108" s="27"/>
      <c r="BH108" s="27">
        <f t="shared" si="122"/>
        <v>0</v>
      </c>
      <c r="BI108" s="27">
        <f t="shared" si="123"/>
        <v>0</v>
      </c>
      <c r="BJ108" s="27"/>
      <c r="BK108" s="27"/>
      <c r="BL108" s="27">
        <v>0</v>
      </c>
      <c r="BM108" s="27"/>
      <c r="BN108" s="27">
        <f t="shared" si="124"/>
        <v>0</v>
      </c>
      <c r="BO108" s="27">
        <f t="shared" si="125"/>
        <v>0</v>
      </c>
      <c r="BP108" s="26"/>
      <c r="BQ108" s="27"/>
      <c r="BR108" s="27">
        <v>0</v>
      </c>
      <c r="BS108" s="27"/>
      <c r="BT108" s="27">
        <f t="shared" si="126"/>
        <v>0</v>
      </c>
      <c r="BU108" s="27">
        <f t="shared" si="127"/>
        <v>0</v>
      </c>
      <c r="BV108" s="26"/>
      <c r="BW108" s="27"/>
      <c r="BX108" s="27">
        <v>0</v>
      </c>
      <c r="BY108" s="27"/>
      <c r="BZ108" s="27">
        <f t="shared" si="128"/>
        <v>0</v>
      </c>
      <c r="CA108" s="27">
        <f t="shared" si="129"/>
        <v>0</v>
      </c>
      <c r="CB108" s="26"/>
      <c r="CC108" s="27"/>
      <c r="CD108" s="27">
        <v>0</v>
      </c>
      <c r="CE108" s="27"/>
      <c r="CF108" s="27">
        <f t="shared" si="130"/>
        <v>0</v>
      </c>
      <c r="CG108" s="27">
        <f t="shared" si="131"/>
        <v>0</v>
      </c>
      <c r="CH108" s="26"/>
      <c r="CI108" s="27"/>
      <c r="CJ108" s="27">
        <v>0</v>
      </c>
      <c r="CK108" s="27"/>
      <c r="CL108" s="27">
        <f t="shared" si="132"/>
        <v>0</v>
      </c>
      <c r="CM108" s="27">
        <f t="shared" si="133"/>
        <v>0</v>
      </c>
      <c r="CN108" s="26"/>
      <c r="CO108" s="27"/>
      <c r="CP108" s="27">
        <v>0</v>
      </c>
      <c r="CQ108" s="27"/>
      <c r="CR108" s="27">
        <f t="shared" si="134"/>
        <v>0</v>
      </c>
      <c r="CS108" s="27">
        <f t="shared" si="135"/>
        <v>0</v>
      </c>
      <c r="CT108" s="26"/>
      <c r="CU108" s="27"/>
      <c r="CV108" s="27">
        <v>0</v>
      </c>
      <c r="CW108" s="27"/>
      <c r="CX108" s="27">
        <f t="shared" si="136"/>
        <v>0</v>
      </c>
      <c r="CY108" s="27">
        <f t="shared" si="137"/>
        <v>0</v>
      </c>
      <c r="CZ108" s="26"/>
      <c r="DA108" s="27"/>
      <c r="DB108" s="27">
        <v>0</v>
      </c>
      <c r="DC108" s="27"/>
      <c r="DD108" s="27">
        <f t="shared" si="138"/>
        <v>0</v>
      </c>
      <c r="DE108" s="27">
        <f t="shared" si="139"/>
        <v>0</v>
      </c>
      <c r="DF108" s="28">
        <f t="shared" si="140"/>
        <v>0</v>
      </c>
      <c r="DG108" s="28">
        <f t="shared" si="141"/>
        <v>0</v>
      </c>
      <c r="DH108" s="28">
        <f t="shared" si="142"/>
        <v>0</v>
      </c>
      <c r="DI108" s="28">
        <f t="shared" si="143"/>
        <v>0</v>
      </c>
      <c r="DJ108" s="27">
        <f t="shared" si="144"/>
        <v>0</v>
      </c>
      <c r="DK108" s="27">
        <f t="shared" si="145"/>
        <v>0</v>
      </c>
    </row>
    <row r="109" spans="1:115">
      <c r="A109" s="25">
        <v>101</v>
      </c>
      <c r="B109" s="26" t="s">
        <v>1161</v>
      </c>
      <c r="C109" s="26"/>
      <c r="D109" s="26"/>
      <c r="E109" s="205" t="s">
        <v>1200</v>
      </c>
      <c r="F109" s="161">
        <f t="shared" si="98"/>
        <v>0</v>
      </c>
      <c r="G109" s="165">
        <f t="shared" si="99"/>
        <v>0</v>
      </c>
      <c r="H109" s="27"/>
      <c r="I109" s="27">
        <v>0</v>
      </c>
      <c r="J109" s="27">
        <v>0</v>
      </c>
      <c r="K109" s="127">
        <f t="shared" si="100"/>
        <v>0</v>
      </c>
      <c r="L109" s="127">
        <f t="shared" si="101"/>
        <v>0</v>
      </c>
      <c r="M109" s="127">
        <f t="shared" si="102"/>
        <v>0</v>
      </c>
      <c r="N109" s="131"/>
      <c r="O109" s="125" t="str">
        <f t="shared" si="103"/>
        <v>ნულოვანი შესრულება</v>
      </c>
      <c r="P109" s="27">
        <v>0</v>
      </c>
      <c r="Q109" s="27">
        <v>0</v>
      </c>
      <c r="R109" s="27">
        <f t="shared" si="104"/>
        <v>0</v>
      </c>
      <c r="S109" s="27">
        <f t="shared" si="105"/>
        <v>0</v>
      </c>
      <c r="T109" s="27"/>
      <c r="U109" s="27"/>
      <c r="V109" s="27">
        <v>0</v>
      </c>
      <c r="W109" s="27"/>
      <c r="X109" s="27">
        <f t="shared" si="106"/>
        <v>0</v>
      </c>
      <c r="Y109" s="27">
        <f t="shared" si="107"/>
        <v>0</v>
      </c>
      <c r="Z109" s="27">
        <v>0</v>
      </c>
      <c r="AA109" s="27"/>
      <c r="AB109" s="27"/>
      <c r="AC109" s="27"/>
      <c r="AD109" s="27">
        <f t="shared" si="108"/>
        <v>0</v>
      </c>
      <c r="AE109" s="27">
        <f t="shared" si="109"/>
        <v>0</v>
      </c>
      <c r="AF109" s="27">
        <f t="shared" si="110"/>
        <v>0</v>
      </c>
      <c r="AG109" s="27">
        <f t="shared" si="111"/>
        <v>0</v>
      </c>
      <c r="AH109" s="27">
        <f t="shared" si="112"/>
        <v>0</v>
      </c>
      <c r="AI109" s="27">
        <f t="shared" si="113"/>
        <v>0</v>
      </c>
      <c r="AJ109" s="27">
        <f t="shared" si="114"/>
        <v>0</v>
      </c>
      <c r="AK109" s="27">
        <f t="shared" si="115"/>
        <v>0</v>
      </c>
      <c r="AL109" s="27"/>
      <c r="AM109" s="27"/>
      <c r="AN109" s="27">
        <v>0</v>
      </c>
      <c r="AO109" s="27"/>
      <c r="AP109" s="27">
        <f t="shared" si="116"/>
        <v>0</v>
      </c>
      <c r="AQ109" s="27">
        <f t="shared" si="117"/>
        <v>0</v>
      </c>
      <c r="AR109" s="27"/>
      <c r="AS109" s="27"/>
      <c r="AT109" s="27">
        <v>0</v>
      </c>
      <c r="AU109" s="27"/>
      <c r="AV109" s="27">
        <f t="shared" si="118"/>
        <v>0</v>
      </c>
      <c r="AW109" s="27">
        <f t="shared" si="119"/>
        <v>0</v>
      </c>
      <c r="AX109" s="27"/>
      <c r="AY109" s="27"/>
      <c r="AZ109" s="27">
        <v>0</v>
      </c>
      <c r="BA109" s="27"/>
      <c r="BB109" s="27">
        <f t="shared" si="120"/>
        <v>0</v>
      </c>
      <c r="BC109" s="27">
        <f t="shared" si="121"/>
        <v>0</v>
      </c>
      <c r="BD109" s="27"/>
      <c r="BE109" s="27"/>
      <c r="BF109" s="27">
        <v>0</v>
      </c>
      <c r="BG109" s="27"/>
      <c r="BH109" s="27">
        <f t="shared" si="122"/>
        <v>0</v>
      </c>
      <c r="BI109" s="27">
        <f t="shared" si="123"/>
        <v>0</v>
      </c>
      <c r="BJ109" s="27"/>
      <c r="BK109" s="27"/>
      <c r="BL109" s="27">
        <v>0</v>
      </c>
      <c r="BM109" s="27"/>
      <c r="BN109" s="27">
        <f t="shared" si="124"/>
        <v>0</v>
      </c>
      <c r="BO109" s="27">
        <f t="shared" si="125"/>
        <v>0</v>
      </c>
      <c r="BP109" s="26"/>
      <c r="BQ109" s="27"/>
      <c r="BR109" s="27">
        <v>0</v>
      </c>
      <c r="BS109" s="27"/>
      <c r="BT109" s="27">
        <f t="shared" si="126"/>
        <v>0</v>
      </c>
      <c r="BU109" s="27">
        <f t="shared" si="127"/>
        <v>0</v>
      </c>
      <c r="BV109" s="26"/>
      <c r="BW109" s="27"/>
      <c r="BX109" s="27">
        <v>0</v>
      </c>
      <c r="BY109" s="27"/>
      <c r="BZ109" s="27">
        <f t="shared" si="128"/>
        <v>0</v>
      </c>
      <c r="CA109" s="27">
        <f t="shared" si="129"/>
        <v>0</v>
      </c>
      <c r="CB109" s="26"/>
      <c r="CC109" s="27"/>
      <c r="CD109" s="27">
        <v>0</v>
      </c>
      <c r="CE109" s="27"/>
      <c r="CF109" s="27">
        <f t="shared" si="130"/>
        <v>0</v>
      </c>
      <c r="CG109" s="27">
        <f t="shared" si="131"/>
        <v>0</v>
      </c>
      <c r="CH109" s="26"/>
      <c r="CI109" s="27"/>
      <c r="CJ109" s="27">
        <v>0</v>
      </c>
      <c r="CK109" s="27"/>
      <c r="CL109" s="27">
        <f t="shared" si="132"/>
        <v>0</v>
      </c>
      <c r="CM109" s="27">
        <f t="shared" si="133"/>
        <v>0</v>
      </c>
      <c r="CN109" s="26"/>
      <c r="CO109" s="27"/>
      <c r="CP109" s="27">
        <v>0</v>
      </c>
      <c r="CQ109" s="27"/>
      <c r="CR109" s="27">
        <f t="shared" si="134"/>
        <v>0</v>
      </c>
      <c r="CS109" s="27">
        <f t="shared" si="135"/>
        <v>0</v>
      </c>
      <c r="CT109" s="26"/>
      <c r="CU109" s="27"/>
      <c r="CV109" s="27">
        <v>0</v>
      </c>
      <c r="CW109" s="27"/>
      <c r="CX109" s="27">
        <f t="shared" si="136"/>
        <v>0</v>
      </c>
      <c r="CY109" s="27">
        <f t="shared" si="137"/>
        <v>0</v>
      </c>
      <c r="CZ109" s="26"/>
      <c r="DA109" s="27"/>
      <c r="DB109" s="27">
        <v>0</v>
      </c>
      <c r="DC109" s="27"/>
      <c r="DD109" s="27">
        <f t="shared" si="138"/>
        <v>0</v>
      </c>
      <c r="DE109" s="27">
        <f t="shared" si="139"/>
        <v>0</v>
      </c>
      <c r="DF109" s="28">
        <f t="shared" si="140"/>
        <v>0</v>
      </c>
      <c r="DG109" s="28">
        <f t="shared" si="141"/>
        <v>0</v>
      </c>
      <c r="DH109" s="28">
        <f t="shared" si="142"/>
        <v>0</v>
      </c>
      <c r="DI109" s="28">
        <f t="shared" si="143"/>
        <v>0</v>
      </c>
      <c r="DJ109" s="27">
        <f t="shared" si="144"/>
        <v>0</v>
      </c>
      <c r="DK109" s="27">
        <f t="shared" si="145"/>
        <v>0</v>
      </c>
    </row>
    <row r="110" spans="1:115">
      <c r="A110" s="25">
        <v>102</v>
      </c>
      <c r="B110" s="26" t="s">
        <v>1161</v>
      </c>
      <c r="C110" s="26"/>
      <c r="D110" s="26"/>
      <c r="E110" s="205" t="s">
        <v>1200</v>
      </c>
      <c r="F110" s="161">
        <f t="shared" si="98"/>
        <v>0</v>
      </c>
      <c r="G110" s="165">
        <f t="shared" si="99"/>
        <v>0</v>
      </c>
      <c r="H110" s="27"/>
      <c r="I110" s="27">
        <v>0</v>
      </c>
      <c r="J110" s="27">
        <v>0</v>
      </c>
      <c r="K110" s="127">
        <f t="shared" si="100"/>
        <v>0</v>
      </c>
      <c r="L110" s="127">
        <f t="shared" si="101"/>
        <v>0</v>
      </c>
      <c r="M110" s="127">
        <f t="shared" si="102"/>
        <v>0</v>
      </c>
      <c r="N110" s="131"/>
      <c r="O110" s="125" t="str">
        <f t="shared" si="103"/>
        <v>ნულოვანი შესრულება</v>
      </c>
      <c r="P110" s="27">
        <v>0</v>
      </c>
      <c r="Q110" s="27">
        <v>0</v>
      </c>
      <c r="R110" s="27">
        <f t="shared" si="104"/>
        <v>0</v>
      </c>
      <c r="S110" s="27">
        <f t="shared" si="105"/>
        <v>0</v>
      </c>
      <c r="T110" s="27"/>
      <c r="U110" s="27"/>
      <c r="V110" s="27">
        <v>0</v>
      </c>
      <c r="W110" s="27"/>
      <c r="X110" s="27">
        <f t="shared" si="106"/>
        <v>0</v>
      </c>
      <c r="Y110" s="27">
        <f t="shared" si="107"/>
        <v>0</v>
      </c>
      <c r="Z110" s="27">
        <v>0</v>
      </c>
      <c r="AA110" s="27"/>
      <c r="AB110" s="27"/>
      <c r="AC110" s="27"/>
      <c r="AD110" s="27">
        <f t="shared" si="108"/>
        <v>0</v>
      </c>
      <c r="AE110" s="27">
        <f t="shared" si="109"/>
        <v>0</v>
      </c>
      <c r="AF110" s="27">
        <f t="shared" si="110"/>
        <v>0</v>
      </c>
      <c r="AG110" s="27">
        <f t="shared" si="111"/>
        <v>0</v>
      </c>
      <c r="AH110" s="27">
        <f t="shared" si="112"/>
        <v>0</v>
      </c>
      <c r="AI110" s="27">
        <f t="shared" si="113"/>
        <v>0</v>
      </c>
      <c r="AJ110" s="27">
        <f t="shared" si="114"/>
        <v>0</v>
      </c>
      <c r="AK110" s="27">
        <f t="shared" si="115"/>
        <v>0</v>
      </c>
      <c r="AL110" s="27"/>
      <c r="AM110" s="27"/>
      <c r="AN110" s="27">
        <v>0</v>
      </c>
      <c r="AO110" s="27"/>
      <c r="AP110" s="27">
        <f t="shared" si="116"/>
        <v>0</v>
      </c>
      <c r="AQ110" s="27">
        <f t="shared" si="117"/>
        <v>0</v>
      </c>
      <c r="AR110" s="27"/>
      <c r="AS110" s="27"/>
      <c r="AT110" s="27">
        <v>0</v>
      </c>
      <c r="AU110" s="27"/>
      <c r="AV110" s="27">
        <f t="shared" si="118"/>
        <v>0</v>
      </c>
      <c r="AW110" s="27">
        <f t="shared" si="119"/>
        <v>0</v>
      </c>
      <c r="AX110" s="27"/>
      <c r="AY110" s="27"/>
      <c r="AZ110" s="27">
        <v>0</v>
      </c>
      <c r="BA110" s="27"/>
      <c r="BB110" s="27">
        <f t="shared" si="120"/>
        <v>0</v>
      </c>
      <c r="BC110" s="27">
        <f t="shared" si="121"/>
        <v>0</v>
      </c>
      <c r="BD110" s="27"/>
      <c r="BE110" s="27"/>
      <c r="BF110" s="27">
        <v>0</v>
      </c>
      <c r="BG110" s="27"/>
      <c r="BH110" s="27">
        <f t="shared" si="122"/>
        <v>0</v>
      </c>
      <c r="BI110" s="27">
        <f t="shared" si="123"/>
        <v>0</v>
      </c>
      <c r="BJ110" s="27"/>
      <c r="BK110" s="27"/>
      <c r="BL110" s="27">
        <v>0</v>
      </c>
      <c r="BM110" s="27"/>
      <c r="BN110" s="27">
        <f t="shared" si="124"/>
        <v>0</v>
      </c>
      <c r="BO110" s="27">
        <f t="shared" si="125"/>
        <v>0</v>
      </c>
      <c r="BP110" s="26"/>
      <c r="BQ110" s="27"/>
      <c r="BR110" s="27">
        <v>0</v>
      </c>
      <c r="BS110" s="27"/>
      <c r="BT110" s="27">
        <f t="shared" si="126"/>
        <v>0</v>
      </c>
      <c r="BU110" s="27">
        <f t="shared" si="127"/>
        <v>0</v>
      </c>
      <c r="BV110" s="26"/>
      <c r="BW110" s="27"/>
      <c r="BX110" s="27">
        <v>0</v>
      </c>
      <c r="BY110" s="27"/>
      <c r="BZ110" s="27">
        <f t="shared" si="128"/>
        <v>0</v>
      </c>
      <c r="CA110" s="27">
        <f t="shared" si="129"/>
        <v>0</v>
      </c>
      <c r="CB110" s="26"/>
      <c r="CC110" s="27"/>
      <c r="CD110" s="27">
        <v>0</v>
      </c>
      <c r="CE110" s="27"/>
      <c r="CF110" s="27">
        <f t="shared" si="130"/>
        <v>0</v>
      </c>
      <c r="CG110" s="27">
        <f t="shared" si="131"/>
        <v>0</v>
      </c>
      <c r="CH110" s="26"/>
      <c r="CI110" s="27"/>
      <c r="CJ110" s="27">
        <v>0</v>
      </c>
      <c r="CK110" s="27"/>
      <c r="CL110" s="27">
        <f t="shared" si="132"/>
        <v>0</v>
      </c>
      <c r="CM110" s="27">
        <f t="shared" si="133"/>
        <v>0</v>
      </c>
      <c r="CN110" s="26"/>
      <c r="CO110" s="27"/>
      <c r="CP110" s="27">
        <v>0</v>
      </c>
      <c r="CQ110" s="27"/>
      <c r="CR110" s="27">
        <f t="shared" si="134"/>
        <v>0</v>
      </c>
      <c r="CS110" s="27">
        <f t="shared" si="135"/>
        <v>0</v>
      </c>
      <c r="CT110" s="26"/>
      <c r="CU110" s="27"/>
      <c r="CV110" s="27">
        <v>0</v>
      </c>
      <c r="CW110" s="27"/>
      <c r="CX110" s="27">
        <f t="shared" si="136"/>
        <v>0</v>
      </c>
      <c r="CY110" s="27">
        <f t="shared" si="137"/>
        <v>0</v>
      </c>
      <c r="CZ110" s="26"/>
      <c r="DA110" s="27"/>
      <c r="DB110" s="27">
        <v>0</v>
      </c>
      <c r="DC110" s="27"/>
      <c r="DD110" s="27">
        <f t="shared" si="138"/>
        <v>0</v>
      </c>
      <c r="DE110" s="27">
        <f t="shared" si="139"/>
        <v>0</v>
      </c>
      <c r="DF110" s="28">
        <f t="shared" si="140"/>
        <v>0</v>
      </c>
      <c r="DG110" s="28">
        <f t="shared" si="141"/>
        <v>0</v>
      </c>
      <c r="DH110" s="28">
        <f t="shared" si="142"/>
        <v>0</v>
      </c>
      <c r="DI110" s="28">
        <f t="shared" si="143"/>
        <v>0</v>
      </c>
      <c r="DJ110" s="27">
        <f t="shared" si="144"/>
        <v>0</v>
      </c>
      <c r="DK110" s="27">
        <f t="shared" si="145"/>
        <v>0</v>
      </c>
    </row>
    <row r="111" spans="1:115">
      <c r="A111" s="25">
        <v>103</v>
      </c>
      <c r="B111" s="26" t="s">
        <v>1161</v>
      </c>
      <c r="C111" s="26"/>
      <c r="D111" s="26"/>
      <c r="E111" s="205" t="s">
        <v>1200</v>
      </c>
      <c r="F111" s="161">
        <f t="shared" si="98"/>
        <v>0</v>
      </c>
      <c r="G111" s="165">
        <f t="shared" si="99"/>
        <v>0</v>
      </c>
      <c r="H111" s="27"/>
      <c r="I111" s="27">
        <v>0</v>
      </c>
      <c r="J111" s="27">
        <v>0</v>
      </c>
      <c r="K111" s="127">
        <f t="shared" si="100"/>
        <v>0</v>
      </c>
      <c r="L111" s="127">
        <f t="shared" si="101"/>
        <v>0</v>
      </c>
      <c r="M111" s="127">
        <f t="shared" si="102"/>
        <v>0</v>
      </c>
      <c r="N111" s="131"/>
      <c r="O111" s="125" t="str">
        <f t="shared" si="103"/>
        <v>ნულოვანი შესრულება</v>
      </c>
      <c r="P111" s="27">
        <v>0</v>
      </c>
      <c r="Q111" s="27">
        <v>0</v>
      </c>
      <c r="R111" s="27">
        <f t="shared" si="104"/>
        <v>0</v>
      </c>
      <c r="S111" s="27">
        <f t="shared" si="105"/>
        <v>0</v>
      </c>
      <c r="T111" s="27"/>
      <c r="U111" s="27"/>
      <c r="V111" s="27">
        <v>0</v>
      </c>
      <c r="W111" s="27"/>
      <c r="X111" s="27">
        <f t="shared" si="106"/>
        <v>0</v>
      </c>
      <c r="Y111" s="27">
        <f t="shared" si="107"/>
        <v>0</v>
      </c>
      <c r="Z111" s="27">
        <v>0</v>
      </c>
      <c r="AA111" s="27"/>
      <c r="AB111" s="27"/>
      <c r="AC111" s="27"/>
      <c r="AD111" s="27">
        <f t="shared" si="108"/>
        <v>0</v>
      </c>
      <c r="AE111" s="27">
        <f t="shared" si="109"/>
        <v>0</v>
      </c>
      <c r="AF111" s="27">
        <f t="shared" si="110"/>
        <v>0</v>
      </c>
      <c r="AG111" s="27">
        <f t="shared" si="111"/>
        <v>0</v>
      </c>
      <c r="AH111" s="27">
        <f t="shared" si="112"/>
        <v>0</v>
      </c>
      <c r="AI111" s="27">
        <f t="shared" si="113"/>
        <v>0</v>
      </c>
      <c r="AJ111" s="27">
        <f t="shared" si="114"/>
        <v>0</v>
      </c>
      <c r="AK111" s="27">
        <f t="shared" si="115"/>
        <v>0</v>
      </c>
      <c r="AL111" s="27"/>
      <c r="AM111" s="27"/>
      <c r="AN111" s="27">
        <v>0</v>
      </c>
      <c r="AO111" s="27"/>
      <c r="AP111" s="27">
        <f t="shared" si="116"/>
        <v>0</v>
      </c>
      <c r="AQ111" s="27">
        <f t="shared" si="117"/>
        <v>0</v>
      </c>
      <c r="AR111" s="27"/>
      <c r="AS111" s="27"/>
      <c r="AT111" s="27">
        <v>0</v>
      </c>
      <c r="AU111" s="27"/>
      <c r="AV111" s="27">
        <f t="shared" si="118"/>
        <v>0</v>
      </c>
      <c r="AW111" s="27">
        <f t="shared" si="119"/>
        <v>0</v>
      </c>
      <c r="AX111" s="27"/>
      <c r="AY111" s="27"/>
      <c r="AZ111" s="27">
        <v>0</v>
      </c>
      <c r="BA111" s="27"/>
      <c r="BB111" s="27">
        <f t="shared" si="120"/>
        <v>0</v>
      </c>
      <c r="BC111" s="27">
        <f t="shared" si="121"/>
        <v>0</v>
      </c>
      <c r="BD111" s="27"/>
      <c r="BE111" s="27"/>
      <c r="BF111" s="27">
        <v>0</v>
      </c>
      <c r="BG111" s="27"/>
      <c r="BH111" s="27">
        <f t="shared" si="122"/>
        <v>0</v>
      </c>
      <c r="BI111" s="27">
        <f t="shared" si="123"/>
        <v>0</v>
      </c>
      <c r="BJ111" s="27"/>
      <c r="BK111" s="27"/>
      <c r="BL111" s="27">
        <v>0</v>
      </c>
      <c r="BM111" s="27"/>
      <c r="BN111" s="27">
        <f t="shared" si="124"/>
        <v>0</v>
      </c>
      <c r="BO111" s="27">
        <f t="shared" si="125"/>
        <v>0</v>
      </c>
      <c r="BP111" s="26"/>
      <c r="BQ111" s="27"/>
      <c r="BR111" s="27">
        <v>0</v>
      </c>
      <c r="BS111" s="27"/>
      <c r="BT111" s="27">
        <f t="shared" si="126"/>
        <v>0</v>
      </c>
      <c r="BU111" s="27">
        <f t="shared" si="127"/>
        <v>0</v>
      </c>
      <c r="BV111" s="26"/>
      <c r="BW111" s="27"/>
      <c r="BX111" s="27">
        <v>0</v>
      </c>
      <c r="BY111" s="27"/>
      <c r="BZ111" s="27">
        <f t="shared" si="128"/>
        <v>0</v>
      </c>
      <c r="CA111" s="27">
        <f t="shared" si="129"/>
        <v>0</v>
      </c>
      <c r="CB111" s="26"/>
      <c r="CC111" s="27"/>
      <c r="CD111" s="27">
        <v>0</v>
      </c>
      <c r="CE111" s="27"/>
      <c r="CF111" s="27">
        <f t="shared" si="130"/>
        <v>0</v>
      </c>
      <c r="CG111" s="27">
        <f t="shared" si="131"/>
        <v>0</v>
      </c>
      <c r="CH111" s="26"/>
      <c r="CI111" s="27"/>
      <c r="CJ111" s="27">
        <v>0</v>
      </c>
      <c r="CK111" s="27"/>
      <c r="CL111" s="27">
        <f t="shared" si="132"/>
        <v>0</v>
      </c>
      <c r="CM111" s="27">
        <f t="shared" si="133"/>
        <v>0</v>
      </c>
      <c r="CN111" s="26"/>
      <c r="CO111" s="27"/>
      <c r="CP111" s="27">
        <v>0</v>
      </c>
      <c r="CQ111" s="27"/>
      <c r="CR111" s="27">
        <f t="shared" si="134"/>
        <v>0</v>
      </c>
      <c r="CS111" s="27">
        <f t="shared" si="135"/>
        <v>0</v>
      </c>
      <c r="CT111" s="26"/>
      <c r="CU111" s="27"/>
      <c r="CV111" s="27">
        <v>0</v>
      </c>
      <c r="CW111" s="27"/>
      <c r="CX111" s="27">
        <f t="shared" si="136"/>
        <v>0</v>
      </c>
      <c r="CY111" s="27">
        <f t="shared" si="137"/>
        <v>0</v>
      </c>
      <c r="CZ111" s="26"/>
      <c r="DA111" s="27"/>
      <c r="DB111" s="27">
        <v>0</v>
      </c>
      <c r="DC111" s="27"/>
      <c r="DD111" s="27">
        <f t="shared" si="138"/>
        <v>0</v>
      </c>
      <c r="DE111" s="27">
        <f t="shared" si="139"/>
        <v>0</v>
      </c>
      <c r="DF111" s="28">
        <f t="shared" si="140"/>
        <v>0</v>
      </c>
      <c r="DG111" s="28">
        <f t="shared" si="141"/>
        <v>0</v>
      </c>
      <c r="DH111" s="28">
        <f t="shared" si="142"/>
        <v>0</v>
      </c>
      <c r="DI111" s="28">
        <f t="shared" si="143"/>
        <v>0</v>
      </c>
      <c r="DJ111" s="27">
        <f t="shared" si="144"/>
        <v>0</v>
      </c>
      <c r="DK111" s="27">
        <f t="shared" si="145"/>
        <v>0</v>
      </c>
    </row>
    <row r="112" spans="1:115">
      <c r="A112" s="25">
        <v>104</v>
      </c>
      <c r="B112" s="26" t="s">
        <v>1161</v>
      </c>
      <c r="C112" s="26"/>
      <c r="D112" s="26"/>
      <c r="E112" s="205" t="s">
        <v>1200</v>
      </c>
      <c r="F112" s="161">
        <f t="shared" si="98"/>
        <v>0</v>
      </c>
      <c r="G112" s="165">
        <f t="shared" si="99"/>
        <v>0</v>
      </c>
      <c r="H112" s="27"/>
      <c r="I112" s="27">
        <v>0</v>
      </c>
      <c r="J112" s="27">
        <v>0</v>
      </c>
      <c r="K112" s="127">
        <f t="shared" si="100"/>
        <v>0</v>
      </c>
      <c r="L112" s="127">
        <f t="shared" si="101"/>
        <v>0</v>
      </c>
      <c r="M112" s="127">
        <f t="shared" si="102"/>
        <v>0</v>
      </c>
      <c r="N112" s="131"/>
      <c r="O112" s="125" t="str">
        <f t="shared" si="103"/>
        <v>ნულოვანი შესრულება</v>
      </c>
      <c r="P112" s="27">
        <v>0</v>
      </c>
      <c r="Q112" s="27">
        <v>0</v>
      </c>
      <c r="R112" s="27">
        <f t="shared" si="104"/>
        <v>0</v>
      </c>
      <c r="S112" s="27">
        <f t="shared" si="105"/>
        <v>0</v>
      </c>
      <c r="T112" s="27"/>
      <c r="U112" s="27"/>
      <c r="V112" s="27">
        <v>0</v>
      </c>
      <c r="W112" s="27"/>
      <c r="X112" s="27">
        <f t="shared" si="106"/>
        <v>0</v>
      </c>
      <c r="Y112" s="27">
        <f t="shared" si="107"/>
        <v>0</v>
      </c>
      <c r="Z112" s="27">
        <v>0</v>
      </c>
      <c r="AA112" s="27"/>
      <c r="AB112" s="27"/>
      <c r="AC112" s="27"/>
      <c r="AD112" s="27">
        <f t="shared" si="108"/>
        <v>0</v>
      </c>
      <c r="AE112" s="27">
        <f t="shared" si="109"/>
        <v>0</v>
      </c>
      <c r="AF112" s="27">
        <f t="shared" si="110"/>
        <v>0</v>
      </c>
      <c r="AG112" s="27">
        <f t="shared" si="111"/>
        <v>0</v>
      </c>
      <c r="AH112" s="27">
        <f t="shared" si="112"/>
        <v>0</v>
      </c>
      <c r="AI112" s="27">
        <f t="shared" si="113"/>
        <v>0</v>
      </c>
      <c r="AJ112" s="27">
        <f t="shared" si="114"/>
        <v>0</v>
      </c>
      <c r="AK112" s="27">
        <f t="shared" si="115"/>
        <v>0</v>
      </c>
      <c r="AL112" s="27"/>
      <c r="AM112" s="27"/>
      <c r="AN112" s="27">
        <v>0</v>
      </c>
      <c r="AO112" s="27"/>
      <c r="AP112" s="27">
        <f t="shared" si="116"/>
        <v>0</v>
      </c>
      <c r="AQ112" s="27">
        <f t="shared" si="117"/>
        <v>0</v>
      </c>
      <c r="AR112" s="27"/>
      <c r="AS112" s="27"/>
      <c r="AT112" s="27">
        <v>0</v>
      </c>
      <c r="AU112" s="27"/>
      <c r="AV112" s="27">
        <f t="shared" si="118"/>
        <v>0</v>
      </c>
      <c r="AW112" s="27">
        <f t="shared" si="119"/>
        <v>0</v>
      </c>
      <c r="AX112" s="27"/>
      <c r="AY112" s="27"/>
      <c r="AZ112" s="27">
        <v>0</v>
      </c>
      <c r="BA112" s="27"/>
      <c r="BB112" s="27">
        <f t="shared" si="120"/>
        <v>0</v>
      </c>
      <c r="BC112" s="27">
        <f t="shared" si="121"/>
        <v>0</v>
      </c>
      <c r="BD112" s="27"/>
      <c r="BE112" s="27"/>
      <c r="BF112" s="27">
        <v>0</v>
      </c>
      <c r="BG112" s="27"/>
      <c r="BH112" s="27">
        <f t="shared" si="122"/>
        <v>0</v>
      </c>
      <c r="BI112" s="27">
        <f t="shared" si="123"/>
        <v>0</v>
      </c>
      <c r="BJ112" s="27"/>
      <c r="BK112" s="27"/>
      <c r="BL112" s="27">
        <v>0</v>
      </c>
      <c r="BM112" s="27"/>
      <c r="BN112" s="27">
        <f t="shared" si="124"/>
        <v>0</v>
      </c>
      <c r="BO112" s="27">
        <f t="shared" si="125"/>
        <v>0</v>
      </c>
      <c r="BP112" s="26"/>
      <c r="BQ112" s="27"/>
      <c r="BR112" s="27">
        <v>0</v>
      </c>
      <c r="BS112" s="27"/>
      <c r="BT112" s="27">
        <f t="shared" si="126"/>
        <v>0</v>
      </c>
      <c r="BU112" s="27">
        <f t="shared" si="127"/>
        <v>0</v>
      </c>
      <c r="BV112" s="26"/>
      <c r="BW112" s="27"/>
      <c r="BX112" s="27">
        <v>0</v>
      </c>
      <c r="BY112" s="27"/>
      <c r="BZ112" s="27">
        <f t="shared" si="128"/>
        <v>0</v>
      </c>
      <c r="CA112" s="27">
        <f t="shared" si="129"/>
        <v>0</v>
      </c>
      <c r="CB112" s="26"/>
      <c r="CC112" s="27"/>
      <c r="CD112" s="27">
        <v>0</v>
      </c>
      <c r="CE112" s="27"/>
      <c r="CF112" s="27">
        <f t="shared" si="130"/>
        <v>0</v>
      </c>
      <c r="CG112" s="27">
        <f t="shared" si="131"/>
        <v>0</v>
      </c>
      <c r="CH112" s="26"/>
      <c r="CI112" s="27"/>
      <c r="CJ112" s="27">
        <v>0</v>
      </c>
      <c r="CK112" s="27"/>
      <c r="CL112" s="27">
        <f t="shared" si="132"/>
        <v>0</v>
      </c>
      <c r="CM112" s="27">
        <f t="shared" si="133"/>
        <v>0</v>
      </c>
      <c r="CN112" s="26"/>
      <c r="CO112" s="27"/>
      <c r="CP112" s="27">
        <v>0</v>
      </c>
      <c r="CQ112" s="27"/>
      <c r="CR112" s="27">
        <f t="shared" si="134"/>
        <v>0</v>
      </c>
      <c r="CS112" s="27">
        <f t="shared" si="135"/>
        <v>0</v>
      </c>
      <c r="CT112" s="26"/>
      <c r="CU112" s="27"/>
      <c r="CV112" s="27">
        <v>0</v>
      </c>
      <c r="CW112" s="27"/>
      <c r="CX112" s="27">
        <f t="shared" si="136"/>
        <v>0</v>
      </c>
      <c r="CY112" s="27">
        <f t="shared" si="137"/>
        <v>0</v>
      </c>
      <c r="CZ112" s="26"/>
      <c r="DA112" s="27"/>
      <c r="DB112" s="27">
        <v>0</v>
      </c>
      <c r="DC112" s="27"/>
      <c r="DD112" s="27">
        <f t="shared" si="138"/>
        <v>0</v>
      </c>
      <c r="DE112" s="27">
        <f t="shared" si="139"/>
        <v>0</v>
      </c>
      <c r="DF112" s="28">
        <f t="shared" si="140"/>
        <v>0</v>
      </c>
      <c r="DG112" s="28">
        <f t="shared" si="141"/>
        <v>0</v>
      </c>
      <c r="DH112" s="28">
        <f t="shared" si="142"/>
        <v>0</v>
      </c>
      <c r="DI112" s="28">
        <f t="shared" si="143"/>
        <v>0</v>
      </c>
      <c r="DJ112" s="27">
        <f t="shared" si="144"/>
        <v>0</v>
      </c>
      <c r="DK112" s="27">
        <f t="shared" si="145"/>
        <v>0</v>
      </c>
    </row>
    <row r="113" spans="1:115">
      <c r="A113" s="25">
        <v>105</v>
      </c>
      <c r="B113" s="26" t="s">
        <v>1161</v>
      </c>
      <c r="C113" s="26"/>
      <c r="D113" s="26"/>
      <c r="E113" s="205" t="s">
        <v>1200</v>
      </c>
      <c r="F113" s="161">
        <f t="shared" si="98"/>
        <v>0</v>
      </c>
      <c r="G113" s="165">
        <f t="shared" si="99"/>
        <v>0</v>
      </c>
      <c r="H113" s="27"/>
      <c r="I113" s="27">
        <v>0</v>
      </c>
      <c r="J113" s="27">
        <v>0</v>
      </c>
      <c r="K113" s="127">
        <f t="shared" si="100"/>
        <v>0</v>
      </c>
      <c r="L113" s="127">
        <f t="shared" si="101"/>
        <v>0</v>
      </c>
      <c r="M113" s="127">
        <f t="shared" si="102"/>
        <v>0</v>
      </c>
      <c r="N113" s="131"/>
      <c r="O113" s="125" t="str">
        <f t="shared" si="103"/>
        <v>ნულოვანი შესრულება</v>
      </c>
      <c r="P113" s="27">
        <v>0</v>
      </c>
      <c r="Q113" s="27">
        <v>0</v>
      </c>
      <c r="R113" s="27">
        <f t="shared" si="104"/>
        <v>0</v>
      </c>
      <c r="S113" s="27">
        <f t="shared" si="105"/>
        <v>0</v>
      </c>
      <c r="T113" s="27"/>
      <c r="U113" s="27"/>
      <c r="V113" s="27">
        <v>0</v>
      </c>
      <c r="W113" s="27"/>
      <c r="X113" s="27">
        <f t="shared" si="106"/>
        <v>0</v>
      </c>
      <c r="Y113" s="27">
        <f t="shared" si="107"/>
        <v>0</v>
      </c>
      <c r="Z113" s="27">
        <v>0</v>
      </c>
      <c r="AA113" s="27"/>
      <c r="AB113" s="27"/>
      <c r="AC113" s="27"/>
      <c r="AD113" s="27">
        <f t="shared" si="108"/>
        <v>0</v>
      </c>
      <c r="AE113" s="27">
        <f t="shared" si="109"/>
        <v>0</v>
      </c>
      <c r="AF113" s="27">
        <f t="shared" si="110"/>
        <v>0</v>
      </c>
      <c r="AG113" s="27">
        <f t="shared" si="111"/>
        <v>0</v>
      </c>
      <c r="AH113" s="27">
        <f t="shared" si="112"/>
        <v>0</v>
      </c>
      <c r="AI113" s="27">
        <f t="shared" si="113"/>
        <v>0</v>
      </c>
      <c r="AJ113" s="27">
        <f t="shared" si="114"/>
        <v>0</v>
      </c>
      <c r="AK113" s="27">
        <f t="shared" si="115"/>
        <v>0</v>
      </c>
      <c r="AL113" s="27"/>
      <c r="AM113" s="27"/>
      <c r="AN113" s="27">
        <v>0</v>
      </c>
      <c r="AO113" s="27"/>
      <c r="AP113" s="27">
        <f t="shared" si="116"/>
        <v>0</v>
      </c>
      <c r="AQ113" s="27">
        <f t="shared" si="117"/>
        <v>0</v>
      </c>
      <c r="AR113" s="27"/>
      <c r="AS113" s="27"/>
      <c r="AT113" s="27">
        <v>0</v>
      </c>
      <c r="AU113" s="27"/>
      <c r="AV113" s="27">
        <f t="shared" si="118"/>
        <v>0</v>
      </c>
      <c r="AW113" s="27">
        <f t="shared" si="119"/>
        <v>0</v>
      </c>
      <c r="AX113" s="27"/>
      <c r="AY113" s="27"/>
      <c r="AZ113" s="27">
        <v>0</v>
      </c>
      <c r="BA113" s="27"/>
      <c r="BB113" s="27">
        <f t="shared" si="120"/>
        <v>0</v>
      </c>
      <c r="BC113" s="27">
        <f t="shared" si="121"/>
        <v>0</v>
      </c>
      <c r="BD113" s="27"/>
      <c r="BE113" s="27"/>
      <c r="BF113" s="27">
        <v>0</v>
      </c>
      <c r="BG113" s="27"/>
      <c r="BH113" s="27">
        <f t="shared" si="122"/>
        <v>0</v>
      </c>
      <c r="BI113" s="27">
        <f t="shared" si="123"/>
        <v>0</v>
      </c>
      <c r="BJ113" s="27"/>
      <c r="BK113" s="27"/>
      <c r="BL113" s="27">
        <v>0</v>
      </c>
      <c r="BM113" s="27"/>
      <c r="BN113" s="27">
        <f t="shared" si="124"/>
        <v>0</v>
      </c>
      <c r="BO113" s="27">
        <f t="shared" si="125"/>
        <v>0</v>
      </c>
      <c r="BP113" s="26"/>
      <c r="BQ113" s="27"/>
      <c r="BR113" s="27">
        <v>0</v>
      </c>
      <c r="BS113" s="27"/>
      <c r="BT113" s="27">
        <f t="shared" si="126"/>
        <v>0</v>
      </c>
      <c r="BU113" s="27">
        <f t="shared" si="127"/>
        <v>0</v>
      </c>
      <c r="BV113" s="26"/>
      <c r="BW113" s="27"/>
      <c r="BX113" s="27">
        <v>0</v>
      </c>
      <c r="BY113" s="27"/>
      <c r="BZ113" s="27">
        <f t="shared" si="128"/>
        <v>0</v>
      </c>
      <c r="CA113" s="27">
        <f t="shared" si="129"/>
        <v>0</v>
      </c>
      <c r="CB113" s="26"/>
      <c r="CC113" s="27"/>
      <c r="CD113" s="27">
        <v>0</v>
      </c>
      <c r="CE113" s="27"/>
      <c r="CF113" s="27">
        <f t="shared" si="130"/>
        <v>0</v>
      </c>
      <c r="CG113" s="27">
        <f t="shared" si="131"/>
        <v>0</v>
      </c>
      <c r="CH113" s="26"/>
      <c r="CI113" s="27"/>
      <c r="CJ113" s="27">
        <v>0</v>
      </c>
      <c r="CK113" s="27"/>
      <c r="CL113" s="27">
        <f t="shared" si="132"/>
        <v>0</v>
      </c>
      <c r="CM113" s="27">
        <f t="shared" si="133"/>
        <v>0</v>
      </c>
      <c r="CN113" s="26"/>
      <c r="CO113" s="27"/>
      <c r="CP113" s="27">
        <v>0</v>
      </c>
      <c r="CQ113" s="27"/>
      <c r="CR113" s="27">
        <f t="shared" si="134"/>
        <v>0</v>
      </c>
      <c r="CS113" s="27">
        <f t="shared" si="135"/>
        <v>0</v>
      </c>
      <c r="CT113" s="26"/>
      <c r="CU113" s="27"/>
      <c r="CV113" s="27">
        <v>0</v>
      </c>
      <c r="CW113" s="27"/>
      <c r="CX113" s="27">
        <f t="shared" si="136"/>
        <v>0</v>
      </c>
      <c r="CY113" s="27">
        <f t="shared" si="137"/>
        <v>0</v>
      </c>
      <c r="CZ113" s="26"/>
      <c r="DA113" s="27"/>
      <c r="DB113" s="27">
        <v>0</v>
      </c>
      <c r="DC113" s="27"/>
      <c r="DD113" s="27">
        <f t="shared" si="138"/>
        <v>0</v>
      </c>
      <c r="DE113" s="27">
        <f t="shared" si="139"/>
        <v>0</v>
      </c>
      <c r="DF113" s="28">
        <f t="shared" si="140"/>
        <v>0</v>
      </c>
      <c r="DG113" s="28">
        <f t="shared" si="141"/>
        <v>0</v>
      </c>
      <c r="DH113" s="28">
        <f t="shared" si="142"/>
        <v>0</v>
      </c>
      <c r="DI113" s="28">
        <f t="shared" si="143"/>
        <v>0</v>
      </c>
      <c r="DJ113" s="27">
        <f t="shared" si="144"/>
        <v>0</v>
      </c>
      <c r="DK113" s="27">
        <f t="shared" si="145"/>
        <v>0</v>
      </c>
    </row>
    <row r="114" spans="1:115">
      <c r="A114" s="25">
        <v>106</v>
      </c>
      <c r="B114" s="26" t="s">
        <v>1161</v>
      </c>
      <c r="C114" s="26"/>
      <c r="D114" s="26"/>
      <c r="E114" s="205" t="s">
        <v>1200</v>
      </c>
      <c r="F114" s="161">
        <f t="shared" si="98"/>
        <v>0</v>
      </c>
      <c r="G114" s="165">
        <f t="shared" si="99"/>
        <v>0</v>
      </c>
      <c r="H114" s="27"/>
      <c r="I114" s="27">
        <v>0</v>
      </c>
      <c r="J114" s="27">
        <v>0</v>
      </c>
      <c r="K114" s="127">
        <f t="shared" si="100"/>
        <v>0</v>
      </c>
      <c r="L114" s="127">
        <f t="shared" si="101"/>
        <v>0</v>
      </c>
      <c r="M114" s="127">
        <f t="shared" si="102"/>
        <v>0</v>
      </c>
      <c r="N114" s="131"/>
      <c r="O114" s="125" t="str">
        <f t="shared" si="103"/>
        <v>ნულოვანი შესრულება</v>
      </c>
      <c r="P114" s="27">
        <v>0</v>
      </c>
      <c r="Q114" s="27">
        <v>0</v>
      </c>
      <c r="R114" s="27">
        <f t="shared" si="104"/>
        <v>0</v>
      </c>
      <c r="S114" s="27">
        <f t="shared" si="105"/>
        <v>0</v>
      </c>
      <c r="T114" s="27"/>
      <c r="U114" s="27"/>
      <c r="V114" s="27">
        <v>0</v>
      </c>
      <c r="W114" s="27"/>
      <c r="X114" s="27">
        <f t="shared" si="106"/>
        <v>0</v>
      </c>
      <c r="Y114" s="27">
        <f t="shared" si="107"/>
        <v>0</v>
      </c>
      <c r="Z114" s="27">
        <v>0</v>
      </c>
      <c r="AA114" s="27"/>
      <c r="AB114" s="27"/>
      <c r="AC114" s="27"/>
      <c r="AD114" s="27">
        <f t="shared" si="108"/>
        <v>0</v>
      </c>
      <c r="AE114" s="27">
        <f t="shared" si="109"/>
        <v>0</v>
      </c>
      <c r="AF114" s="27">
        <f t="shared" si="110"/>
        <v>0</v>
      </c>
      <c r="AG114" s="27">
        <f t="shared" si="111"/>
        <v>0</v>
      </c>
      <c r="AH114" s="27">
        <f t="shared" si="112"/>
        <v>0</v>
      </c>
      <c r="AI114" s="27">
        <f t="shared" si="113"/>
        <v>0</v>
      </c>
      <c r="AJ114" s="27">
        <f t="shared" si="114"/>
        <v>0</v>
      </c>
      <c r="AK114" s="27">
        <f t="shared" si="115"/>
        <v>0</v>
      </c>
      <c r="AL114" s="27"/>
      <c r="AM114" s="27"/>
      <c r="AN114" s="27">
        <v>0</v>
      </c>
      <c r="AO114" s="27"/>
      <c r="AP114" s="27">
        <f t="shared" si="116"/>
        <v>0</v>
      </c>
      <c r="AQ114" s="27">
        <f t="shared" si="117"/>
        <v>0</v>
      </c>
      <c r="AR114" s="27"/>
      <c r="AS114" s="27"/>
      <c r="AT114" s="27">
        <v>0</v>
      </c>
      <c r="AU114" s="27"/>
      <c r="AV114" s="27">
        <f t="shared" si="118"/>
        <v>0</v>
      </c>
      <c r="AW114" s="27">
        <f t="shared" si="119"/>
        <v>0</v>
      </c>
      <c r="AX114" s="27"/>
      <c r="AY114" s="27"/>
      <c r="AZ114" s="27">
        <v>0</v>
      </c>
      <c r="BA114" s="27"/>
      <c r="BB114" s="27">
        <f t="shared" si="120"/>
        <v>0</v>
      </c>
      <c r="BC114" s="27">
        <f t="shared" si="121"/>
        <v>0</v>
      </c>
      <c r="BD114" s="27"/>
      <c r="BE114" s="27"/>
      <c r="BF114" s="27">
        <v>0</v>
      </c>
      <c r="BG114" s="27"/>
      <c r="BH114" s="27">
        <f t="shared" si="122"/>
        <v>0</v>
      </c>
      <c r="BI114" s="27">
        <f t="shared" si="123"/>
        <v>0</v>
      </c>
      <c r="BJ114" s="27"/>
      <c r="BK114" s="27"/>
      <c r="BL114" s="27">
        <v>0</v>
      </c>
      <c r="BM114" s="27"/>
      <c r="BN114" s="27">
        <f t="shared" si="124"/>
        <v>0</v>
      </c>
      <c r="BO114" s="27">
        <f t="shared" si="125"/>
        <v>0</v>
      </c>
      <c r="BP114" s="26"/>
      <c r="BQ114" s="27"/>
      <c r="BR114" s="27">
        <v>0</v>
      </c>
      <c r="BS114" s="27"/>
      <c r="BT114" s="27">
        <f t="shared" si="126"/>
        <v>0</v>
      </c>
      <c r="BU114" s="27">
        <f t="shared" si="127"/>
        <v>0</v>
      </c>
      <c r="BV114" s="26"/>
      <c r="BW114" s="27"/>
      <c r="BX114" s="27">
        <v>0</v>
      </c>
      <c r="BY114" s="27"/>
      <c r="BZ114" s="27">
        <f t="shared" si="128"/>
        <v>0</v>
      </c>
      <c r="CA114" s="27">
        <f t="shared" si="129"/>
        <v>0</v>
      </c>
      <c r="CB114" s="26"/>
      <c r="CC114" s="27"/>
      <c r="CD114" s="27">
        <v>0</v>
      </c>
      <c r="CE114" s="27"/>
      <c r="CF114" s="27">
        <f t="shared" si="130"/>
        <v>0</v>
      </c>
      <c r="CG114" s="27">
        <f t="shared" si="131"/>
        <v>0</v>
      </c>
      <c r="CH114" s="26"/>
      <c r="CI114" s="27"/>
      <c r="CJ114" s="27">
        <v>0</v>
      </c>
      <c r="CK114" s="27"/>
      <c r="CL114" s="27">
        <f t="shared" si="132"/>
        <v>0</v>
      </c>
      <c r="CM114" s="27">
        <f t="shared" si="133"/>
        <v>0</v>
      </c>
      <c r="CN114" s="26"/>
      <c r="CO114" s="27"/>
      <c r="CP114" s="27">
        <v>0</v>
      </c>
      <c r="CQ114" s="27"/>
      <c r="CR114" s="27">
        <f t="shared" si="134"/>
        <v>0</v>
      </c>
      <c r="CS114" s="27">
        <f t="shared" si="135"/>
        <v>0</v>
      </c>
      <c r="CT114" s="26"/>
      <c r="CU114" s="27"/>
      <c r="CV114" s="27">
        <v>0</v>
      </c>
      <c r="CW114" s="27"/>
      <c r="CX114" s="27">
        <f t="shared" si="136"/>
        <v>0</v>
      </c>
      <c r="CY114" s="27">
        <f t="shared" si="137"/>
        <v>0</v>
      </c>
      <c r="CZ114" s="26"/>
      <c r="DA114" s="27"/>
      <c r="DB114" s="27">
        <v>0</v>
      </c>
      <c r="DC114" s="27"/>
      <c r="DD114" s="27">
        <f t="shared" si="138"/>
        <v>0</v>
      </c>
      <c r="DE114" s="27">
        <f t="shared" si="139"/>
        <v>0</v>
      </c>
      <c r="DF114" s="28">
        <f t="shared" si="140"/>
        <v>0</v>
      </c>
      <c r="DG114" s="28">
        <f t="shared" si="141"/>
        <v>0</v>
      </c>
      <c r="DH114" s="28">
        <f t="shared" si="142"/>
        <v>0</v>
      </c>
      <c r="DI114" s="28">
        <f t="shared" si="143"/>
        <v>0</v>
      </c>
      <c r="DJ114" s="27">
        <f t="shared" si="144"/>
        <v>0</v>
      </c>
      <c r="DK114" s="27">
        <f t="shared" si="145"/>
        <v>0</v>
      </c>
    </row>
    <row r="115" spans="1:115">
      <c r="A115" s="25">
        <v>107</v>
      </c>
      <c r="B115" s="26" t="s">
        <v>1161</v>
      </c>
      <c r="C115" s="26"/>
      <c r="D115" s="26"/>
      <c r="E115" s="205" t="s">
        <v>1200</v>
      </c>
      <c r="F115" s="161">
        <f t="shared" si="98"/>
        <v>0</v>
      </c>
      <c r="G115" s="165">
        <f t="shared" si="99"/>
        <v>0</v>
      </c>
      <c r="H115" s="27"/>
      <c r="I115" s="27">
        <v>0</v>
      </c>
      <c r="J115" s="27">
        <v>0</v>
      </c>
      <c r="K115" s="127">
        <f t="shared" si="100"/>
        <v>0</v>
      </c>
      <c r="L115" s="127">
        <f t="shared" si="101"/>
        <v>0</v>
      </c>
      <c r="M115" s="127">
        <f t="shared" si="102"/>
        <v>0</v>
      </c>
      <c r="N115" s="131"/>
      <c r="O115" s="125" t="str">
        <f t="shared" si="103"/>
        <v>ნულოვანი შესრულება</v>
      </c>
      <c r="P115" s="27">
        <v>0</v>
      </c>
      <c r="Q115" s="27">
        <v>0</v>
      </c>
      <c r="R115" s="27">
        <f t="shared" si="104"/>
        <v>0</v>
      </c>
      <c r="S115" s="27">
        <f t="shared" si="105"/>
        <v>0</v>
      </c>
      <c r="T115" s="27"/>
      <c r="U115" s="27"/>
      <c r="V115" s="27">
        <v>0</v>
      </c>
      <c r="W115" s="27"/>
      <c r="X115" s="27">
        <f t="shared" si="106"/>
        <v>0</v>
      </c>
      <c r="Y115" s="27">
        <f t="shared" si="107"/>
        <v>0</v>
      </c>
      <c r="Z115" s="27">
        <v>0</v>
      </c>
      <c r="AA115" s="27"/>
      <c r="AB115" s="27"/>
      <c r="AC115" s="27"/>
      <c r="AD115" s="27">
        <f t="shared" si="108"/>
        <v>0</v>
      </c>
      <c r="AE115" s="27">
        <f t="shared" si="109"/>
        <v>0</v>
      </c>
      <c r="AF115" s="27">
        <f t="shared" si="110"/>
        <v>0</v>
      </c>
      <c r="AG115" s="27">
        <f t="shared" si="111"/>
        <v>0</v>
      </c>
      <c r="AH115" s="27">
        <f t="shared" si="112"/>
        <v>0</v>
      </c>
      <c r="AI115" s="27">
        <f t="shared" si="113"/>
        <v>0</v>
      </c>
      <c r="AJ115" s="27">
        <f t="shared" si="114"/>
        <v>0</v>
      </c>
      <c r="AK115" s="27">
        <f t="shared" si="115"/>
        <v>0</v>
      </c>
      <c r="AL115" s="27"/>
      <c r="AM115" s="27"/>
      <c r="AN115" s="27">
        <v>0</v>
      </c>
      <c r="AO115" s="27"/>
      <c r="AP115" s="27">
        <f t="shared" si="116"/>
        <v>0</v>
      </c>
      <c r="AQ115" s="27">
        <f t="shared" si="117"/>
        <v>0</v>
      </c>
      <c r="AR115" s="27"/>
      <c r="AS115" s="27"/>
      <c r="AT115" s="27">
        <v>0</v>
      </c>
      <c r="AU115" s="27"/>
      <c r="AV115" s="27">
        <f t="shared" si="118"/>
        <v>0</v>
      </c>
      <c r="AW115" s="27">
        <f t="shared" si="119"/>
        <v>0</v>
      </c>
      <c r="AX115" s="27"/>
      <c r="AY115" s="27"/>
      <c r="AZ115" s="27">
        <v>0</v>
      </c>
      <c r="BA115" s="27"/>
      <c r="BB115" s="27">
        <f t="shared" si="120"/>
        <v>0</v>
      </c>
      <c r="BC115" s="27">
        <f t="shared" si="121"/>
        <v>0</v>
      </c>
      <c r="BD115" s="27"/>
      <c r="BE115" s="27"/>
      <c r="BF115" s="27">
        <v>0</v>
      </c>
      <c r="BG115" s="27"/>
      <c r="BH115" s="27">
        <f t="shared" si="122"/>
        <v>0</v>
      </c>
      <c r="BI115" s="27">
        <f t="shared" si="123"/>
        <v>0</v>
      </c>
      <c r="BJ115" s="27"/>
      <c r="BK115" s="27"/>
      <c r="BL115" s="27">
        <v>0</v>
      </c>
      <c r="BM115" s="27"/>
      <c r="BN115" s="27">
        <f t="shared" si="124"/>
        <v>0</v>
      </c>
      <c r="BO115" s="27">
        <f t="shared" si="125"/>
        <v>0</v>
      </c>
      <c r="BP115" s="26"/>
      <c r="BQ115" s="27"/>
      <c r="BR115" s="27">
        <v>0</v>
      </c>
      <c r="BS115" s="27"/>
      <c r="BT115" s="27">
        <f t="shared" si="126"/>
        <v>0</v>
      </c>
      <c r="BU115" s="27">
        <f t="shared" si="127"/>
        <v>0</v>
      </c>
      <c r="BV115" s="26"/>
      <c r="BW115" s="27"/>
      <c r="BX115" s="27">
        <v>0</v>
      </c>
      <c r="BY115" s="27"/>
      <c r="BZ115" s="27">
        <f t="shared" si="128"/>
        <v>0</v>
      </c>
      <c r="CA115" s="27">
        <f t="shared" si="129"/>
        <v>0</v>
      </c>
      <c r="CB115" s="26"/>
      <c r="CC115" s="27"/>
      <c r="CD115" s="27">
        <v>0</v>
      </c>
      <c r="CE115" s="27"/>
      <c r="CF115" s="27">
        <f t="shared" si="130"/>
        <v>0</v>
      </c>
      <c r="CG115" s="27">
        <f t="shared" si="131"/>
        <v>0</v>
      </c>
      <c r="CH115" s="26"/>
      <c r="CI115" s="27"/>
      <c r="CJ115" s="27">
        <v>0</v>
      </c>
      <c r="CK115" s="27"/>
      <c r="CL115" s="27">
        <f t="shared" si="132"/>
        <v>0</v>
      </c>
      <c r="CM115" s="27">
        <f t="shared" si="133"/>
        <v>0</v>
      </c>
      <c r="CN115" s="26"/>
      <c r="CO115" s="27"/>
      <c r="CP115" s="27">
        <v>0</v>
      </c>
      <c r="CQ115" s="27"/>
      <c r="CR115" s="27">
        <f t="shared" si="134"/>
        <v>0</v>
      </c>
      <c r="CS115" s="27">
        <f t="shared" si="135"/>
        <v>0</v>
      </c>
      <c r="CT115" s="26"/>
      <c r="CU115" s="27"/>
      <c r="CV115" s="27">
        <v>0</v>
      </c>
      <c r="CW115" s="27"/>
      <c r="CX115" s="27">
        <f t="shared" si="136"/>
        <v>0</v>
      </c>
      <c r="CY115" s="27">
        <f t="shared" si="137"/>
        <v>0</v>
      </c>
      <c r="CZ115" s="26"/>
      <c r="DA115" s="27"/>
      <c r="DB115" s="27">
        <v>0</v>
      </c>
      <c r="DC115" s="27"/>
      <c r="DD115" s="27">
        <f t="shared" si="138"/>
        <v>0</v>
      </c>
      <c r="DE115" s="27">
        <f t="shared" si="139"/>
        <v>0</v>
      </c>
      <c r="DF115" s="28">
        <f t="shared" si="140"/>
        <v>0</v>
      </c>
      <c r="DG115" s="28">
        <f t="shared" si="141"/>
        <v>0</v>
      </c>
      <c r="DH115" s="28">
        <f t="shared" si="142"/>
        <v>0</v>
      </c>
      <c r="DI115" s="28">
        <f t="shared" si="143"/>
        <v>0</v>
      </c>
      <c r="DJ115" s="27">
        <f t="shared" si="144"/>
        <v>0</v>
      </c>
      <c r="DK115" s="27">
        <f t="shared" si="145"/>
        <v>0</v>
      </c>
    </row>
    <row r="116" spans="1:115">
      <c r="A116" s="25">
        <v>108</v>
      </c>
      <c r="B116" s="26" t="s">
        <v>1161</v>
      </c>
      <c r="C116" s="26"/>
      <c r="D116" s="26"/>
      <c r="E116" s="205" t="s">
        <v>1200</v>
      </c>
      <c r="F116" s="161">
        <f t="shared" si="98"/>
        <v>0</v>
      </c>
      <c r="G116" s="165">
        <f t="shared" si="99"/>
        <v>0</v>
      </c>
      <c r="H116" s="27"/>
      <c r="I116" s="27">
        <v>0</v>
      </c>
      <c r="J116" s="27">
        <v>0</v>
      </c>
      <c r="K116" s="127">
        <f t="shared" si="100"/>
        <v>0</v>
      </c>
      <c r="L116" s="127">
        <f t="shared" si="101"/>
        <v>0</v>
      </c>
      <c r="M116" s="127">
        <f t="shared" si="102"/>
        <v>0</v>
      </c>
      <c r="N116" s="131"/>
      <c r="O116" s="125" t="str">
        <f t="shared" si="103"/>
        <v>ნულოვანი შესრულება</v>
      </c>
      <c r="P116" s="27">
        <v>0</v>
      </c>
      <c r="Q116" s="27">
        <v>0</v>
      </c>
      <c r="R116" s="27">
        <f t="shared" si="104"/>
        <v>0</v>
      </c>
      <c r="S116" s="27">
        <f t="shared" si="105"/>
        <v>0</v>
      </c>
      <c r="T116" s="27"/>
      <c r="U116" s="27"/>
      <c r="V116" s="27">
        <v>0</v>
      </c>
      <c r="W116" s="27"/>
      <c r="X116" s="27">
        <f t="shared" si="106"/>
        <v>0</v>
      </c>
      <c r="Y116" s="27">
        <f t="shared" si="107"/>
        <v>0</v>
      </c>
      <c r="Z116" s="27">
        <v>0</v>
      </c>
      <c r="AA116" s="27"/>
      <c r="AB116" s="27"/>
      <c r="AC116" s="27"/>
      <c r="AD116" s="27">
        <f t="shared" si="108"/>
        <v>0</v>
      </c>
      <c r="AE116" s="27">
        <f t="shared" si="109"/>
        <v>0</v>
      </c>
      <c r="AF116" s="27">
        <f t="shared" si="110"/>
        <v>0</v>
      </c>
      <c r="AG116" s="27">
        <f t="shared" si="111"/>
        <v>0</v>
      </c>
      <c r="AH116" s="27">
        <f t="shared" si="112"/>
        <v>0</v>
      </c>
      <c r="AI116" s="27">
        <f t="shared" si="113"/>
        <v>0</v>
      </c>
      <c r="AJ116" s="27">
        <f t="shared" si="114"/>
        <v>0</v>
      </c>
      <c r="AK116" s="27">
        <f t="shared" si="115"/>
        <v>0</v>
      </c>
      <c r="AL116" s="27"/>
      <c r="AM116" s="27"/>
      <c r="AN116" s="27">
        <v>0</v>
      </c>
      <c r="AO116" s="27"/>
      <c r="AP116" s="27">
        <f t="shared" si="116"/>
        <v>0</v>
      </c>
      <c r="AQ116" s="27">
        <f t="shared" si="117"/>
        <v>0</v>
      </c>
      <c r="AR116" s="27"/>
      <c r="AS116" s="27"/>
      <c r="AT116" s="27">
        <v>0</v>
      </c>
      <c r="AU116" s="27"/>
      <c r="AV116" s="27">
        <f t="shared" si="118"/>
        <v>0</v>
      </c>
      <c r="AW116" s="27">
        <f t="shared" si="119"/>
        <v>0</v>
      </c>
      <c r="AX116" s="27"/>
      <c r="AY116" s="27"/>
      <c r="AZ116" s="27">
        <v>0</v>
      </c>
      <c r="BA116" s="27"/>
      <c r="BB116" s="27">
        <f t="shared" si="120"/>
        <v>0</v>
      </c>
      <c r="BC116" s="27">
        <f t="shared" si="121"/>
        <v>0</v>
      </c>
      <c r="BD116" s="27"/>
      <c r="BE116" s="27"/>
      <c r="BF116" s="27">
        <v>0</v>
      </c>
      <c r="BG116" s="27"/>
      <c r="BH116" s="27">
        <f t="shared" si="122"/>
        <v>0</v>
      </c>
      <c r="BI116" s="27">
        <f t="shared" si="123"/>
        <v>0</v>
      </c>
      <c r="BJ116" s="27"/>
      <c r="BK116" s="27"/>
      <c r="BL116" s="27">
        <v>0</v>
      </c>
      <c r="BM116" s="27"/>
      <c r="BN116" s="27">
        <f t="shared" si="124"/>
        <v>0</v>
      </c>
      <c r="BO116" s="27">
        <f t="shared" si="125"/>
        <v>0</v>
      </c>
      <c r="BP116" s="26"/>
      <c r="BQ116" s="27"/>
      <c r="BR116" s="27">
        <v>0</v>
      </c>
      <c r="BS116" s="27"/>
      <c r="BT116" s="27">
        <f t="shared" si="126"/>
        <v>0</v>
      </c>
      <c r="BU116" s="27">
        <f t="shared" si="127"/>
        <v>0</v>
      </c>
      <c r="BV116" s="26"/>
      <c r="BW116" s="27"/>
      <c r="BX116" s="27">
        <v>0</v>
      </c>
      <c r="BY116" s="27"/>
      <c r="BZ116" s="27">
        <f t="shared" si="128"/>
        <v>0</v>
      </c>
      <c r="CA116" s="27">
        <f t="shared" si="129"/>
        <v>0</v>
      </c>
      <c r="CB116" s="26"/>
      <c r="CC116" s="27"/>
      <c r="CD116" s="27">
        <v>0</v>
      </c>
      <c r="CE116" s="27"/>
      <c r="CF116" s="27">
        <f t="shared" si="130"/>
        <v>0</v>
      </c>
      <c r="CG116" s="27">
        <f t="shared" si="131"/>
        <v>0</v>
      </c>
      <c r="CH116" s="26"/>
      <c r="CI116" s="27"/>
      <c r="CJ116" s="27">
        <v>0</v>
      </c>
      <c r="CK116" s="27"/>
      <c r="CL116" s="27">
        <f t="shared" si="132"/>
        <v>0</v>
      </c>
      <c r="CM116" s="27">
        <f t="shared" si="133"/>
        <v>0</v>
      </c>
      <c r="CN116" s="26"/>
      <c r="CO116" s="27"/>
      <c r="CP116" s="27">
        <v>0</v>
      </c>
      <c r="CQ116" s="27"/>
      <c r="CR116" s="27">
        <f t="shared" si="134"/>
        <v>0</v>
      </c>
      <c r="CS116" s="27">
        <f t="shared" si="135"/>
        <v>0</v>
      </c>
      <c r="CT116" s="26"/>
      <c r="CU116" s="27"/>
      <c r="CV116" s="27">
        <v>0</v>
      </c>
      <c r="CW116" s="27"/>
      <c r="CX116" s="27">
        <f t="shared" si="136"/>
        <v>0</v>
      </c>
      <c r="CY116" s="27">
        <f t="shared" si="137"/>
        <v>0</v>
      </c>
      <c r="CZ116" s="26"/>
      <c r="DA116" s="27"/>
      <c r="DB116" s="27">
        <v>0</v>
      </c>
      <c r="DC116" s="27"/>
      <c r="DD116" s="27">
        <f t="shared" si="138"/>
        <v>0</v>
      </c>
      <c r="DE116" s="27">
        <f t="shared" si="139"/>
        <v>0</v>
      </c>
      <c r="DF116" s="28">
        <f t="shared" si="140"/>
        <v>0</v>
      </c>
      <c r="DG116" s="28">
        <f t="shared" si="141"/>
        <v>0</v>
      </c>
      <c r="DH116" s="28">
        <f t="shared" si="142"/>
        <v>0</v>
      </c>
      <c r="DI116" s="28">
        <f t="shared" si="143"/>
        <v>0</v>
      </c>
      <c r="DJ116" s="27">
        <f t="shared" si="144"/>
        <v>0</v>
      </c>
      <c r="DK116" s="27">
        <f t="shared" si="145"/>
        <v>0</v>
      </c>
    </row>
    <row r="117" spans="1:115">
      <c r="A117" s="25">
        <v>109</v>
      </c>
      <c r="B117" s="26" t="s">
        <v>1161</v>
      </c>
      <c r="C117" s="26"/>
      <c r="D117" s="26"/>
      <c r="E117" s="205" t="s">
        <v>1200</v>
      </c>
      <c r="F117" s="161">
        <f t="shared" si="98"/>
        <v>0</v>
      </c>
      <c r="G117" s="165">
        <f t="shared" si="99"/>
        <v>0</v>
      </c>
      <c r="H117" s="27"/>
      <c r="I117" s="27">
        <v>0</v>
      </c>
      <c r="J117" s="27">
        <v>0</v>
      </c>
      <c r="K117" s="127">
        <f t="shared" si="100"/>
        <v>0</v>
      </c>
      <c r="L117" s="127">
        <f t="shared" si="101"/>
        <v>0</v>
      </c>
      <c r="M117" s="127">
        <f t="shared" si="102"/>
        <v>0</v>
      </c>
      <c r="N117" s="131"/>
      <c r="O117" s="125" t="str">
        <f t="shared" si="103"/>
        <v>ნულოვანი შესრულება</v>
      </c>
      <c r="P117" s="27">
        <v>0</v>
      </c>
      <c r="Q117" s="27">
        <v>0</v>
      </c>
      <c r="R117" s="27">
        <f t="shared" si="104"/>
        <v>0</v>
      </c>
      <c r="S117" s="27">
        <f t="shared" si="105"/>
        <v>0</v>
      </c>
      <c r="T117" s="27"/>
      <c r="U117" s="27"/>
      <c r="V117" s="27">
        <v>0</v>
      </c>
      <c r="W117" s="27"/>
      <c r="X117" s="27">
        <f t="shared" si="106"/>
        <v>0</v>
      </c>
      <c r="Y117" s="27">
        <f t="shared" si="107"/>
        <v>0</v>
      </c>
      <c r="Z117" s="27">
        <v>0</v>
      </c>
      <c r="AA117" s="27"/>
      <c r="AB117" s="27"/>
      <c r="AC117" s="27"/>
      <c r="AD117" s="27">
        <f t="shared" si="108"/>
        <v>0</v>
      </c>
      <c r="AE117" s="27">
        <f t="shared" si="109"/>
        <v>0</v>
      </c>
      <c r="AF117" s="27">
        <f t="shared" si="110"/>
        <v>0</v>
      </c>
      <c r="AG117" s="27">
        <f t="shared" si="111"/>
        <v>0</v>
      </c>
      <c r="AH117" s="27">
        <f t="shared" si="112"/>
        <v>0</v>
      </c>
      <c r="AI117" s="27">
        <f t="shared" si="113"/>
        <v>0</v>
      </c>
      <c r="AJ117" s="27">
        <f t="shared" si="114"/>
        <v>0</v>
      </c>
      <c r="AK117" s="27">
        <f t="shared" si="115"/>
        <v>0</v>
      </c>
      <c r="AL117" s="27"/>
      <c r="AM117" s="27"/>
      <c r="AN117" s="27">
        <v>0</v>
      </c>
      <c r="AO117" s="27"/>
      <c r="AP117" s="27">
        <f t="shared" si="116"/>
        <v>0</v>
      </c>
      <c r="AQ117" s="27">
        <f t="shared" si="117"/>
        <v>0</v>
      </c>
      <c r="AR117" s="27"/>
      <c r="AS117" s="27"/>
      <c r="AT117" s="27">
        <v>0</v>
      </c>
      <c r="AU117" s="27"/>
      <c r="AV117" s="27">
        <f t="shared" si="118"/>
        <v>0</v>
      </c>
      <c r="AW117" s="27">
        <f t="shared" si="119"/>
        <v>0</v>
      </c>
      <c r="AX117" s="27"/>
      <c r="AY117" s="27"/>
      <c r="AZ117" s="27">
        <v>0</v>
      </c>
      <c r="BA117" s="27"/>
      <c r="BB117" s="27">
        <f t="shared" si="120"/>
        <v>0</v>
      </c>
      <c r="BC117" s="27">
        <f t="shared" si="121"/>
        <v>0</v>
      </c>
      <c r="BD117" s="27"/>
      <c r="BE117" s="27"/>
      <c r="BF117" s="27">
        <v>0</v>
      </c>
      <c r="BG117" s="27"/>
      <c r="BH117" s="27">
        <f t="shared" si="122"/>
        <v>0</v>
      </c>
      <c r="BI117" s="27">
        <f t="shared" si="123"/>
        <v>0</v>
      </c>
      <c r="BJ117" s="27"/>
      <c r="BK117" s="27"/>
      <c r="BL117" s="27">
        <v>0</v>
      </c>
      <c r="BM117" s="27"/>
      <c r="BN117" s="27">
        <f t="shared" si="124"/>
        <v>0</v>
      </c>
      <c r="BO117" s="27">
        <f t="shared" si="125"/>
        <v>0</v>
      </c>
      <c r="BP117" s="26"/>
      <c r="BQ117" s="27"/>
      <c r="BR117" s="27">
        <v>0</v>
      </c>
      <c r="BS117" s="27"/>
      <c r="BT117" s="27">
        <f t="shared" si="126"/>
        <v>0</v>
      </c>
      <c r="BU117" s="27">
        <f t="shared" si="127"/>
        <v>0</v>
      </c>
      <c r="BV117" s="26"/>
      <c r="BW117" s="27"/>
      <c r="BX117" s="27">
        <v>0</v>
      </c>
      <c r="BY117" s="27"/>
      <c r="BZ117" s="27">
        <f t="shared" si="128"/>
        <v>0</v>
      </c>
      <c r="CA117" s="27">
        <f t="shared" si="129"/>
        <v>0</v>
      </c>
      <c r="CB117" s="26"/>
      <c r="CC117" s="27"/>
      <c r="CD117" s="27">
        <v>0</v>
      </c>
      <c r="CE117" s="27"/>
      <c r="CF117" s="27">
        <f t="shared" si="130"/>
        <v>0</v>
      </c>
      <c r="CG117" s="27">
        <f t="shared" si="131"/>
        <v>0</v>
      </c>
      <c r="CH117" s="26"/>
      <c r="CI117" s="27"/>
      <c r="CJ117" s="27">
        <v>0</v>
      </c>
      <c r="CK117" s="27"/>
      <c r="CL117" s="27">
        <f t="shared" si="132"/>
        <v>0</v>
      </c>
      <c r="CM117" s="27">
        <f t="shared" si="133"/>
        <v>0</v>
      </c>
      <c r="CN117" s="26"/>
      <c r="CO117" s="27"/>
      <c r="CP117" s="27">
        <v>0</v>
      </c>
      <c r="CQ117" s="27"/>
      <c r="CR117" s="27">
        <f t="shared" si="134"/>
        <v>0</v>
      </c>
      <c r="CS117" s="27">
        <f t="shared" si="135"/>
        <v>0</v>
      </c>
      <c r="CT117" s="26"/>
      <c r="CU117" s="27"/>
      <c r="CV117" s="27">
        <v>0</v>
      </c>
      <c r="CW117" s="27"/>
      <c r="CX117" s="27">
        <f t="shared" si="136"/>
        <v>0</v>
      </c>
      <c r="CY117" s="27">
        <f t="shared" si="137"/>
        <v>0</v>
      </c>
      <c r="CZ117" s="26"/>
      <c r="DA117" s="27"/>
      <c r="DB117" s="27">
        <v>0</v>
      </c>
      <c r="DC117" s="27"/>
      <c r="DD117" s="27">
        <f t="shared" si="138"/>
        <v>0</v>
      </c>
      <c r="DE117" s="27">
        <f t="shared" si="139"/>
        <v>0</v>
      </c>
      <c r="DF117" s="28">
        <f t="shared" si="140"/>
        <v>0</v>
      </c>
      <c r="DG117" s="28">
        <f t="shared" si="141"/>
        <v>0</v>
      </c>
      <c r="DH117" s="28">
        <f t="shared" si="142"/>
        <v>0</v>
      </c>
      <c r="DI117" s="28">
        <f t="shared" si="143"/>
        <v>0</v>
      </c>
      <c r="DJ117" s="27">
        <f t="shared" si="144"/>
        <v>0</v>
      </c>
      <c r="DK117" s="27">
        <f t="shared" si="145"/>
        <v>0</v>
      </c>
    </row>
    <row r="118" spans="1:115">
      <c r="A118" s="25">
        <v>110</v>
      </c>
      <c r="B118" s="26" t="s">
        <v>1161</v>
      </c>
      <c r="C118" s="26"/>
      <c r="D118" s="26"/>
      <c r="E118" s="205" t="s">
        <v>1200</v>
      </c>
      <c r="F118" s="161">
        <f t="shared" si="98"/>
        <v>0</v>
      </c>
      <c r="G118" s="165">
        <f t="shared" si="99"/>
        <v>0</v>
      </c>
      <c r="H118" s="27"/>
      <c r="I118" s="27">
        <v>0</v>
      </c>
      <c r="J118" s="27">
        <v>0</v>
      </c>
      <c r="K118" s="127">
        <f t="shared" si="100"/>
        <v>0</v>
      </c>
      <c r="L118" s="127">
        <f t="shared" si="101"/>
        <v>0</v>
      </c>
      <c r="M118" s="127">
        <f t="shared" si="102"/>
        <v>0</v>
      </c>
      <c r="N118" s="131"/>
      <c r="O118" s="125" t="str">
        <f t="shared" si="103"/>
        <v>ნულოვანი შესრულება</v>
      </c>
      <c r="P118" s="27">
        <v>0</v>
      </c>
      <c r="Q118" s="27">
        <v>0</v>
      </c>
      <c r="R118" s="27">
        <f t="shared" si="104"/>
        <v>0</v>
      </c>
      <c r="S118" s="27">
        <f t="shared" si="105"/>
        <v>0</v>
      </c>
      <c r="T118" s="27"/>
      <c r="U118" s="27"/>
      <c r="V118" s="27">
        <v>0</v>
      </c>
      <c r="W118" s="27"/>
      <c r="X118" s="27">
        <f t="shared" si="106"/>
        <v>0</v>
      </c>
      <c r="Y118" s="27">
        <f t="shared" si="107"/>
        <v>0</v>
      </c>
      <c r="Z118" s="27">
        <v>0</v>
      </c>
      <c r="AA118" s="27"/>
      <c r="AB118" s="27"/>
      <c r="AC118" s="27"/>
      <c r="AD118" s="27">
        <f t="shared" si="108"/>
        <v>0</v>
      </c>
      <c r="AE118" s="27">
        <f t="shared" si="109"/>
        <v>0</v>
      </c>
      <c r="AF118" s="27">
        <f t="shared" si="110"/>
        <v>0</v>
      </c>
      <c r="AG118" s="27">
        <f t="shared" si="111"/>
        <v>0</v>
      </c>
      <c r="AH118" s="27">
        <f t="shared" si="112"/>
        <v>0</v>
      </c>
      <c r="AI118" s="27">
        <f t="shared" si="113"/>
        <v>0</v>
      </c>
      <c r="AJ118" s="27">
        <f t="shared" si="114"/>
        <v>0</v>
      </c>
      <c r="AK118" s="27">
        <f t="shared" si="115"/>
        <v>0</v>
      </c>
      <c r="AL118" s="27"/>
      <c r="AM118" s="27"/>
      <c r="AN118" s="27">
        <v>0</v>
      </c>
      <c r="AO118" s="27"/>
      <c r="AP118" s="27">
        <f t="shared" si="116"/>
        <v>0</v>
      </c>
      <c r="AQ118" s="27">
        <f t="shared" si="117"/>
        <v>0</v>
      </c>
      <c r="AR118" s="27"/>
      <c r="AS118" s="27"/>
      <c r="AT118" s="27">
        <v>0</v>
      </c>
      <c r="AU118" s="27"/>
      <c r="AV118" s="27">
        <f t="shared" si="118"/>
        <v>0</v>
      </c>
      <c r="AW118" s="27">
        <f t="shared" si="119"/>
        <v>0</v>
      </c>
      <c r="AX118" s="27"/>
      <c r="AY118" s="27"/>
      <c r="AZ118" s="27">
        <v>0</v>
      </c>
      <c r="BA118" s="27"/>
      <c r="BB118" s="27">
        <f t="shared" si="120"/>
        <v>0</v>
      </c>
      <c r="BC118" s="27">
        <f t="shared" si="121"/>
        <v>0</v>
      </c>
      <c r="BD118" s="27"/>
      <c r="BE118" s="27"/>
      <c r="BF118" s="27">
        <v>0</v>
      </c>
      <c r="BG118" s="27"/>
      <c r="BH118" s="27">
        <f t="shared" si="122"/>
        <v>0</v>
      </c>
      <c r="BI118" s="27">
        <f t="shared" si="123"/>
        <v>0</v>
      </c>
      <c r="BJ118" s="27"/>
      <c r="BK118" s="27"/>
      <c r="BL118" s="27">
        <v>0</v>
      </c>
      <c r="BM118" s="27"/>
      <c r="BN118" s="27">
        <f t="shared" si="124"/>
        <v>0</v>
      </c>
      <c r="BO118" s="27">
        <f t="shared" si="125"/>
        <v>0</v>
      </c>
      <c r="BP118" s="26"/>
      <c r="BQ118" s="27"/>
      <c r="BR118" s="27">
        <v>0</v>
      </c>
      <c r="BS118" s="27"/>
      <c r="BT118" s="27">
        <f t="shared" si="126"/>
        <v>0</v>
      </c>
      <c r="BU118" s="27">
        <f t="shared" si="127"/>
        <v>0</v>
      </c>
      <c r="BV118" s="26"/>
      <c r="BW118" s="27"/>
      <c r="BX118" s="27">
        <v>0</v>
      </c>
      <c r="BY118" s="27"/>
      <c r="BZ118" s="27">
        <f t="shared" si="128"/>
        <v>0</v>
      </c>
      <c r="CA118" s="27">
        <f t="shared" si="129"/>
        <v>0</v>
      </c>
      <c r="CB118" s="26"/>
      <c r="CC118" s="27"/>
      <c r="CD118" s="27">
        <v>0</v>
      </c>
      <c r="CE118" s="27"/>
      <c r="CF118" s="27">
        <f t="shared" si="130"/>
        <v>0</v>
      </c>
      <c r="CG118" s="27">
        <f t="shared" si="131"/>
        <v>0</v>
      </c>
      <c r="CH118" s="26"/>
      <c r="CI118" s="27"/>
      <c r="CJ118" s="27">
        <v>0</v>
      </c>
      <c r="CK118" s="27"/>
      <c r="CL118" s="27">
        <f t="shared" si="132"/>
        <v>0</v>
      </c>
      <c r="CM118" s="27">
        <f t="shared" si="133"/>
        <v>0</v>
      </c>
      <c r="CN118" s="26"/>
      <c r="CO118" s="27"/>
      <c r="CP118" s="27">
        <v>0</v>
      </c>
      <c r="CQ118" s="27"/>
      <c r="CR118" s="27">
        <f t="shared" si="134"/>
        <v>0</v>
      </c>
      <c r="CS118" s="27">
        <f t="shared" si="135"/>
        <v>0</v>
      </c>
      <c r="CT118" s="26"/>
      <c r="CU118" s="27"/>
      <c r="CV118" s="27">
        <v>0</v>
      </c>
      <c r="CW118" s="27"/>
      <c r="CX118" s="27">
        <f t="shared" si="136"/>
        <v>0</v>
      </c>
      <c r="CY118" s="27">
        <f t="shared" si="137"/>
        <v>0</v>
      </c>
      <c r="CZ118" s="26"/>
      <c r="DA118" s="27"/>
      <c r="DB118" s="27">
        <v>0</v>
      </c>
      <c r="DC118" s="27"/>
      <c r="DD118" s="27">
        <f t="shared" si="138"/>
        <v>0</v>
      </c>
      <c r="DE118" s="27">
        <f t="shared" si="139"/>
        <v>0</v>
      </c>
      <c r="DF118" s="28">
        <f t="shared" si="140"/>
        <v>0</v>
      </c>
      <c r="DG118" s="28">
        <f t="shared" si="141"/>
        <v>0</v>
      </c>
      <c r="DH118" s="28">
        <f t="shared" si="142"/>
        <v>0</v>
      </c>
      <c r="DI118" s="28">
        <f t="shared" si="143"/>
        <v>0</v>
      </c>
      <c r="DJ118" s="27">
        <f t="shared" si="144"/>
        <v>0</v>
      </c>
      <c r="DK118" s="27">
        <f t="shared" si="145"/>
        <v>0</v>
      </c>
    </row>
    <row r="119" spans="1:115">
      <c r="A119" s="25">
        <v>111</v>
      </c>
      <c r="B119" s="26" t="s">
        <v>1161</v>
      </c>
      <c r="C119" s="26"/>
      <c r="D119" s="26"/>
      <c r="E119" s="205" t="s">
        <v>1200</v>
      </c>
      <c r="F119" s="161">
        <f t="shared" si="98"/>
        <v>0</v>
      </c>
      <c r="G119" s="165">
        <f t="shared" si="99"/>
        <v>0</v>
      </c>
      <c r="H119" s="27"/>
      <c r="I119" s="27">
        <v>0</v>
      </c>
      <c r="J119" s="27">
        <v>0</v>
      </c>
      <c r="K119" s="127">
        <f t="shared" si="100"/>
        <v>0</v>
      </c>
      <c r="L119" s="127">
        <f t="shared" si="101"/>
        <v>0</v>
      </c>
      <c r="M119" s="127">
        <f t="shared" si="102"/>
        <v>0</v>
      </c>
      <c r="N119" s="131"/>
      <c r="O119" s="125" t="str">
        <f t="shared" si="103"/>
        <v>ნულოვანი შესრულება</v>
      </c>
      <c r="P119" s="27">
        <v>0</v>
      </c>
      <c r="Q119" s="27">
        <v>0</v>
      </c>
      <c r="R119" s="27">
        <f t="shared" si="104"/>
        <v>0</v>
      </c>
      <c r="S119" s="27">
        <f t="shared" si="105"/>
        <v>0</v>
      </c>
      <c r="T119" s="27"/>
      <c r="U119" s="27"/>
      <c r="V119" s="27">
        <v>0</v>
      </c>
      <c r="W119" s="27"/>
      <c r="X119" s="27">
        <f t="shared" si="106"/>
        <v>0</v>
      </c>
      <c r="Y119" s="27">
        <f t="shared" si="107"/>
        <v>0</v>
      </c>
      <c r="Z119" s="27">
        <v>0</v>
      </c>
      <c r="AA119" s="27"/>
      <c r="AB119" s="27"/>
      <c r="AC119" s="27"/>
      <c r="AD119" s="27">
        <f t="shared" si="108"/>
        <v>0</v>
      </c>
      <c r="AE119" s="27">
        <f t="shared" si="109"/>
        <v>0</v>
      </c>
      <c r="AF119" s="27">
        <f t="shared" si="110"/>
        <v>0</v>
      </c>
      <c r="AG119" s="27">
        <f t="shared" si="111"/>
        <v>0</v>
      </c>
      <c r="AH119" s="27">
        <f t="shared" si="112"/>
        <v>0</v>
      </c>
      <c r="AI119" s="27">
        <f t="shared" si="113"/>
        <v>0</v>
      </c>
      <c r="AJ119" s="27">
        <f t="shared" si="114"/>
        <v>0</v>
      </c>
      <c r="AK119" s="27">
        <f t="shared" si="115"/>
        <v>0</v>
      </c>
      <c r="AL119" s="27"/>
      <c r="AM119" s="27"/>
      <c r="AN119" s="27">
        <v>0</v>
      </c>
      <c r="AO119" s="27"/>
      <c r="AP119" s="27">
        <f t="shared" si="116"/>
        <v>0</v>
      </c>
      <c r="AQ119" s="27">
        <f t="shared" si="117"/>
        <v>0</v>
      </c>
      <c r="AR119" s="27"/>
      <c r="AS119" s="27"/>
      <c r="AT119" s="27">
        <v>0</v>
      </c>
      <c r="AU119" s="27"/>
      <c r="AV119" s="27">
        <f t="shared" si="118"/>
        <v>0</v>
      </c>
      <c r="AW119" s="27">
        <f t="shared" si="119"/>
        <v>0</v>
      </c>
      <c r="AX119" s="27"/>
      <c r="AY119" s="27"/>
      <c r="AZ119" s="27">
        <v>0</v>
      </c>
      <c r="BA119" s="27"/>
      <c r="BB119" s="27">
        <f t="shared" si="120"/>
        <v>0</v>
      </c>
      <c r="BC119" s="27">
        <f t="shared" si="121"/>
        <v>0</v>
      </c>
      <c r="BD119" s="27"/>
      <c r="BE119" s="27"/>
      <c r="BF119" s="27">
        <v>0</v>
      </c>
      <c r="BG119" s="27"/>
      <c r="BH119" s="27">
        <f t="shared" si="122"/>
        <v>0</v>
      </c>
      <c r="BI119" s="27">
        <f t="shared" si="123"/>
        <v>0</v>
      </c>
      <c r="BJ119" s="27"/>
      <c r="BK119" s="27"/>
      <c r="BL119" s="27">
        <v>0</v>
      </c>
      <c r="BM119" s="27"/>
      <c r="BN119" s="27">
        <f t="shared" si="124"/>
        <v>0</v>
      </c>
      <c r="BO119" s="27">
        <f t="shared" si="125"/>
        <v>0</v>
      </c>
      <c r="BP119" s="26"/>
      <c r="BQ119" s="27"/>
      <c r="BR119" s="27">
        <v>0</v>
      </c>
      <c r="BS119" s="27"/>
      <c r="BT119" s="27">
        <f t="shared" si="126"/>
        <v>0</v>
      </c>
      <c r="BU119" s="27">
        <f t="shared" si="127"/>
        <v>0</v>
      </c>
      <c r="BV119" s="26"/>
      <c r="BW119" s="27"/>
      <c r="BX119" s="27">
        <v>0</v>
      </c>
      <c r="BY119" s="27"/>
      <c r="BZ119" s="27">
        <f t="shared" si="128"/>
        <v>0</v>
      </c>
      <c r="CA119" s="27">
        <f t="shared" si="129"/>
        <v>0</v>
      </c>
      <c r="CB119" s="26"/>
      <c r="CC119" s="27"/>
      <c r="CD119" s="27">
        <v>0</v>
      </c>
      <c r="CE119" s="27"/>
      <c r="CF119" s="27">
        <f t="shared" si="130"/>
        <v>0</v>
      </c>
      <c r="CG119" s="27">
        <f t="shared" si="131"/>
        <v>0</v>
      </c>
      <c r="CH119" s="26"/>
      <c r="CI119" s="27"/>
      <c r="CJ119" s="27">
        <v>0</v>
      </c>
      <c r="CK119" s="27"/>
      <c r="CL119" s="27">
        <f t="shared" si="132"/>
        <v>0</v>
      </c>
      <c r="CM119" s="27">
        <f t="shared" si="133"/>
        <v>0</v>
      </c>
      <c r="CN119" s="26"/>
      <c r="CO119" s="27"/>
      <c r="CP119" s="27">
        <v>0</v>
      </c>
      <c r="CQ119" s="27"/>
      <c r="CR119" s="27">
        <f t="shared" si="134"/>
        <v>0</v>
      </c>
      <c r="CS119" s="27">
        <f t="shared" si="135"/>
        <v>0</v>
      </c>
      <c r="CT119" s="26"/>
      <c r="CU119" s="27"/>
      <c r="CV119" s="27">
        <v>0</v>
      </c>
      <c r="CW119" s="27"/>
      <c r="CX119" s="27">
        <f t="shared" si="136"/>
        <v>0</v>
      </c>
      <c r="CY119" s="27">
        <f t="shared" si="137"/>
        <v>0</v>
      </c>
      <c r="CZ119" s="26"/>
      <c r="DA119" s="27"/>
      <c r="DB119" s="27">
        <v>0</v>
      </c>
      <c r="DC119" s="27"/>
      <c r="DD119" s="27">
        <f t="shared" si="138"/>
        <v>0</v>
      </c>
      <c r="DE119" s="27">
        <f t="shared" si="139"/>
        <v>0</v>
      </c>
      <c r="DF119" s="28">
        <f t="shared" si="140"/>
        <v>0</v>
      </c>
      <c r="DG119" s="28">
        <f t="shared" si="141"/>
        <v>0</v>
      </c>
      <c r="DH119" s="28">
        <f t="shared" si="142"/>
        <v>0</v>
      </c>
      <c r="DI119" s="28">
        <f t="shared" si="143"/>
        <v>0</v>
      </c>
      <c r="DJ119" s="27">
        <f t="shared" si="144"/>
        <v>0</v>
      </c>
      <c r="DK119" s="27">
        <f t="shared" si="145"/>
        <v>0</v>
      </c>
    </row>
    <row r="120" spans="1:115">
      <c r="A120" s="25">
        <v>112</v>
      </c>
      <c r="B120" s="26" t="s">
        <v>1161</v>
      </c>
      <c r="C120" s="26"/>
      <c r="D120" s="26"/>
      <c r="E120" s="205" t="s">
        <v>1200</v>
      </c>
      <c r="F120" s="161">
        <f t="shared" si="98"/>
        <v>0</v>
      </c>
      <c r="G120" s="165">
        <f t="shared" si="99"/>
        <v>0</v>
      </c>
      <c r="H120" s="27"/>
      <c r="I120" s="27">
        <v>0</v>
      </c>
      <c r="J120" s="27">
        <v>0</v>
      </c>
      <c r="K120" s="127">
        <f t="shared" si="100"/>
        <v>0</v>
      </c>
      <c r="L120" s="127">
        <f t="shared" si="101"/>
        <v>0</v>
      </c>
      <c r="M120" s="127">
        <f t="shared" si="102"/>
        <v>0</v>
      </c>
      <c r="N120" s="131"/>
      <c r="O120" s="125" t="str">
        <f t="shared" si="103"/>
        <v>ნულოვანი შესრულება</v>
      </c>
      <c r="P120" s="27">
        <v>0</v>
      </c>
      <c r="Q120" s="27">
        <v>0</v>
      </c>
      <c r="R120" s="27">
        <f t="shared" si="104"/>
        <v>0</v>
      </c>
      <c r="S120" s="27">
        <f t="shared" si="105"/>
        <v>0</v>
      </c>
      <c r="T120" s="27"/>
      <c r="U120" s="27"/>
      <c r="V120" s="27">
        <v>0</v>
      </c>
      <c r="W120" s="27"/>
      <c r="X120" s="27">
        <f t="shared" si="106"/>
        <v>0</v>
      </c>
      <c r="Y120" s="27">
        <f t="shared" si="107"/>
        <v>0</v>
      </c>
      <c r="Z120" s="27">
        <v>0</v>
      </c>
      <c r="AA120" s="27"/>
      <c r="AB120" s="27"/>
      <c r="AC120" s="27"/>
      <c r="AD120" s="27">
        <f t="shared" si="108"/>
        <v>0</v>
      </c>
      <c r="AE120" s="27">
        <f t="shared" si="109"/>
        <v>0</v>
      </c>
      <c r="AF120" s="27">
        <f t="shared" si="110"/>
        <v>0</v>
      </c>
      <c r="AG120" s="27">
        <f t="shared" si="111"/>
        <v>0</v>
      </c>
      <c r="AH120" s="27">
        <f t="shared" si="112"/>
        <v>0</v>
      </c>
      <c r="AI120" s="27">
        <f t="shared" si="113"/>
        <v>0</v>
      </c>
      <c r="AJ120" s="27">
        <f t="shared" si="114"/>
        <v>0</v>
      </c>
      <c r="AK120" s="27">
        <f t="shared" si="115"/>
        <v>0</v>
      </c>
      <c r="AL120" s="27"/>
      <c r="AM120" s="27"/>
      <c r="AN120" s="27">
        <v>0</v>
      </c>
      <c r="AO120" s="27"/>
      <c r="AP120" s="27">
        <f t="shared" si="116"/>
        <v>0</v>
      </c>
      <c r="AQ120" s="27">
        <f t="shared" si="117"/>
        <v>0</v>
      </c>
      <c r="AR120" s="27"/>
      <c r="AS120" s="27"/>
      <c r="AT120" s="27">
        <v>0</v>
      </c>
      <c r="AU120" s="27"/>
      <c r="AV120" s="27">
        <f t="shared" si="118"/>
        <v>0</v>
      </c>
      <c r="AW120" s="27">
        <f t="shared" si="119"/>
        <v>0</v>
      </c>
      <c r="AX120" s="27"/>
      <c r="AY120" s="27"/>
      <c r="AZ120" s="27">
        <v>0</v>
      </c>
      <c r="BA120" s="27"/>
      <c r="BB120" s="27">
        <f t="shared" si="120"/>
        <v>0</v>
      </c>
      <c r="BC120" s="27">
        <f t="shared" si="121"/>
        <v>0</v>
      </c>
      <c r="BD120" s="27"/>
      <c r="BE120" s="27"/>
      <c r="BF120" s="27">
        <v>0</v>
      </c>
      <c r="BG120" s="27"/>
      <c r="BH120" s="27">
        <f t="shared" si="122"/>
        <v>0</v>
      </c>
      <c r="BI120" s="27">
        <f t="shared" si="123"/>
        <v>0</v>
      </c>
      <c r="BJ120" s="27"/>
      <c r="BK120" s="27"/>
      <c r="BL120" s="27">
        <v>0</v>
      </c>
      <c r="BM120" s="27"/>
      <c r="BN120" s="27">
        <f t="shared" si="124"/>
        <v>0</v>
      </c>
      <c r="BO120" s="27">
        <f t="shared" si="125"/>
        <v>0</v>
      </c>
      <c r="BP120" s="26"/>
      <c r="BQ120" s="27"/>
      <c r="BR120" s="27">
        <v>0</v>
      </c>
      <c r="BS120" s="27"/>
      <c r="BT120" s="27">
        <f t="shared" si="126"/>
        <v>0</v>
      </c>
      <c r="BU120" s="27">
        <f t="shared" si="127"/>
        <v>0</v>
      </c>
      <c r="BV120" s="26"/>
      <c r="BW120" s="27"/>
      <c r="BX120" s="27">
        <v>0</v>
      </c>
      <c r="BY120" s="27"/>
      <c r="BZ120" s="27">
        <f t="shared" si="128"/>
        <v>0</v>
      </c>
      <c r="CA120" s="27">
        <f t="shared" si="129"/>
        <v>0</v>
      </c>
      <c r="CB120" s="26"/>
      <c r="CC120" s="27"/>
      <c r="CD120" s="27">
        <v>0</v>
      </c>
      <c r="CE120" s="27"/>
      <c r="CF120" s="27">
        <f t="shared" si="130"/>
        <v>0</v>
      </c>
      <c r="CG120" s="27">
        <f t="shared" si="131"/>
        <v>0</v>
      </c>
      <c r="CH120" s="26"/>
      <c r="CI120" s="27"/>
      <c r="CJ120" s="27">
        <v>0</v>
      </c>
      <c r="CK120" s="27"/>
      <c r="CL120" s="27">
        <f t="shared" si="132"/>
        <v>0</v>
      </c>
      <c r="CM120" s="27">
        <f t="shared" si="133"/>
        <v>0</v>
      </c>
      <c r="CN120" s="26"/>
      <c r="CO120" s="27"/>
      <c r="CP120" s="27">
        <v>0</v>
      </c>
      <c r="CQ120" s="27"/>
      <c r="CR120" s="27">
        <f t="shared" si="134"/>
        <v>0</v>
      </c>
      <c r="CS120" s="27">
        <f t="shared" si="135"/>
        <v>0</v>
      </c>
      <c r="CT120" s="26"/>
      <c r="CU120" s="27"/>
      <c r="CV120" s="27">
        <v>0</v>
      </c>
      <c r="CW120" s="27"/>
      <c r="CX120" s="27">
        <f t="shared" si="136"/>
        <v>0</v>
      </c>
      <c r="CY120" s="27">
        <f t="shared" si="137"/>
        <v>0</v>
      </c>
      <c r="CZ120" s="26"/>
      <c r="DA120" s="27"/>
      <c r="DB120" s="27">
        <v>0</v>
      </c>
      <c r="DC120" s="27"/>
      <c r="DD120" s="27">
        <f t="shared" si="138"/>
        <v>0</v>
      </c>
      <c r="DE120" s="27">
        <f t="shared" si="139"/>
        <v>0</v>
      </c>
      <c r="DF120" s="28">
        <f t="shared" si="140"/>
        <v>0</v>
      </c>
      <c r="DG120" s="28">
        <f t="shared" si="141"/>
        <v>0</v>
      </c>
      <c r="DH120" s="28">
        <f t="shared" si="142"/>
        <v>0</v>
      </c>
      <c r="DI120" s="28">
        <f t="shared" si="143"/>
        <v>0</v>
      </c>
      <c r="DJ120" s="27">
        <f t="shared" si="144"/>
        <v>0</v>
      </c>
      <c r="DK120" s="27">
        <f t="shared" si="145"/>
        <v>0</v>
      </c>
    </row>
    <row r="121" spans="1:115">
      <c r="A121" s="25">
        <v>113</v>
      </c>
      <c r="B121" s="26" t="s">
        <v>1161</v>
      </c>
      <c r="C121" s="26"/>
      <c r="D121" s="26"/>
      <c r="E121" s="205" t="s">
        <v>1200</v>
      </c>
      <c r="F121" s="161">
        <f t="shared" si="98"/>
        <v>0</v>
      </c>
      <c r="G121" s="165">
        <f t="shared" si="99"/>
        <v>0</v>
      </c>
      <c r="H121" s="27"/>
      <c r="I121" s="27">
        <v>0</v>
      </c>
      <c r="J121" s="27">
        <v>0</v>
      </c>
      <c r="K121" s="127">
        <f t="shared" si="100"/>
        <v>0</v>
      </c>
      <c r="L121" s="127">
        <f t="shared" si="101"/>
        <v>0</v>
      </c>
      <c r="M121" s="127">
        <f t="shared" si="102"/>
        <v>0</v>
      </c>
      <c r="N121" s="131"/>
      <c r="O121" s="125" t="str">
        <f t="shared" si="103"/>
        <v>ნულოვანი შესრულება</v>
      </c>
      <c r="P121" s="27">
        <v>0</v>
      </c>
      <c r="Q121" s="27">
        <v>0</v>
      </c>
      <c r="R121" s="27">
        <f t="shared" si="104"/>
        <v>0</v>
      </c>
      <c r="S121" s="27">
        <f t="shared" si="105"/>
        <v>0</v>
      </c>
      <c r="T121" s="27"/>
      <c r="U121" s="27"/>
      <c r="V121" s="27">
        <v>0</v>
      </c>
      <c r="W121" s="27"/>
      <c r="X121" s="27">
        <f t="shared" si="106"/>
        <v>0</v>
      </c>
      <c r="Y121" s="27">
        <f t="shared" si="107"/>
        <v>0</v>
      </c>
      <c r="Z121" s="27">
        <v>0</v>
      </c>
      <c r="AA121" s="27"/>
      <c r="AB121" s="27"/>
      <c r="AC121" s="27"/>
      <c r="AD121" s="27">
        <f t="shared" si="108"/>
        <v>0</v>
      </c>
      <c r="AE121" s="27">
        <f t="shared" si="109"/>
        <v>0</v>
      </c>
      <c r="AF121" s="27">
        <f t="shared" si="110"/>
        <v>0</v>
      </c>
      <c r="AG121" s="27">
        <f t="shared" si="111"/>
        <v>0</v>
      </c>
      <c r="AH121" s="27">
        <f t="shared" si="112"/>
        <v>0</v>
      </c>
      <c r="AI121" s="27">
        <f t="shared" si="113"/>
        <v>0</v>
      </c>
      <c r="AJ121" s="27">
        <f t="shared" si="114"/>
        <v>0</v>
      </c>
      <c r="AK121" s="27">
        <f t="shared" si="115"/>
        <v>0</v>
      </c>
      <c r="AL121" s="27"/>
      <c r="AM121" s="27"/>
      <c r="AN121" s="27">
        <v>0</v>
      </c>
      <c r="AO121" s="27"/>
      <c r="AP121" s="27">
        <f t="shared" si="116"/>
        <v>0</v>
      </c>
      <c r="AQ121" s="27">
        <f t="shared" si="117"/>
        <v>0</v>
      </c>
      <c r="AR121" s="27"/>
      <c r="AS121" s="27"/>
      <c r="AT121" s="27">
        <v>0</v>
      </c>
      <c r="AU121" s="27"/>
      <c r="AV121" s="27">
        <f t="shared" si="118"/>
        <v>0</v>
      </c>
      <c r="AW121" s="27">
        <f t="shared" si="119"/>
        <v>0</v>
      </c>
      <c r="AX121" s="27"/>
      <c r="AY121" s="27"/>
      <c r="AZ121" s="27">
        <v>0</v>
      </c>
      <c r="BA121" s="27"/>
      <c r="BB121" s="27">
        <f t="shared" si="120"/>
        <v>0</v>
      </c>
      <c r="BC121" s="27">
        <f t="shared" si="121"/>
        <v>0</v>
      </c>
      <c r="BD121" s="27"/>
      <c r="BE121" s="27"/>
      <c r="BF121" s="27">
        <v>0</v>
      </c>
      <c r="BG121" s="27"/>
      <c r="BH121" s="27">
        <f t="shared" si="122"/>
        <v>0</v>
      </c>
      <c r="BI121" s="27">
        <f t="shared" si="123"/>
        <v>0</v>
      </c>
      <c r="BJ121" s="27"/>
      <c r="BK121" s="27"/>
      <c r="BL121" s="27">
        <v>0</v>
      </c>
      <c r="BM121" s="27"/>
      <c r="BN121" s="27">
        <f t="shared" si="124"/>
        <v>0</v>
      </c>
      <c r="BO121" s="27">
        <f t="shared" si="125"/>
        <v>0</v>
      </c>
      <c r="BP121" s="26"/>
      <c r="BQ121" s="27"/>
      <c r="BR121" s="27">
        <v>0</v>
      </c>
      <c r="BS121" s="27"/>
      <c r="BT121" s="27">
        <f t="shared" si="126"/>
        <v>0</v>
      </c>
      <c r="BU121" s="27">
        <f t="shared" si="127"/>
        <v>0</v>
      </c>
      <c r="BV121" s="26"/>
      <c r="BW121" s="27"/>
      <c r="BX121" s="27">
        <v>0</v>
      </c>
      <c r="BY121" s="27"/>
      <c r="BZ121" s="27">
        <f t="shared" si="128"/>
        <v>0</v>
      </c>
      <c r="CA121" s="27">
        <f t="shared" si="129"/>
        <v>0</v>
      </c>
      <c r="CB121" s="26"/>
      <c r="CC121" s="27"/>
      <c r="CD121" s="27">
        <v>0</v>
      </c>
      <c r="CE121" s="27"/>
      <c r="CF121" s="27">
        <f t="shared" si="130"/>
        <v>0</v>
      </c>
      <c r="CG121" s="27">
        <f t="shared" si="131"/>
        <v>0</v>
      </c>
      <c r="CH121" s="26"/>
      <c r="CI121" s="27"/>
      <c r="CJ121" s="27">
        <v>0</v>
      </c>
      <c r="CK121" s="27"/>
      <c r="CL121" s="27">
        <f t="shared" si="132"/>
        <v>0</v>
      </c>
      <c r="CM121" s="27">
        <f t="shared" si="133"/>
        <v>0</v>
      </c>
      <c r="CN121" s="26"/>
      <c r="CO121" s="27"/>
      <c r="CP121" s="27">
        <v>0</v>
      </c>
      <c r="CQ121" s="27"/>
      <c r="CR121" s="27">
        <f t="shared" si="134"/>
        <v>0</v>
      </c>
      <c r="CS121" s="27">
        <f t="shared" si="135"/>
        <v>0</v>
      </c>
      <c r="CT121" s="26"/>
      <c r="CU121" s="27"/>
      <c r="CV121" s="27">
        <v>0</v>
      </c>
      <c r="CW121" s="27"/>
      <c r="CX121" s="27">
        <f t="shared" si="136"/>
        <v>0</v>
      </c>
      <c r="CY121" s="27">
        <f t="shared" si="137"/>
        <v>0</v>
      </c>
      <c r="CZ121" s="26"/>
      <c r="DA121" s="27"/>
      <c r="DB121" s="27">
        <v>0</v>
      </c>
      <c r="DC121" s="27"/>
      <c r="DD121" s="27">
        <f t="shared" si="138"/>
        <v>0</v>
      </c>
      <c r="DE121" s="27">
        <f t="shared" si="139"/>
        <v>0</v>
      </c>
      <c r="DF121" s="28">
        <f t="shared" si="140"/>
        <v>0</v>
      </c>
      <c r="DG121" s="28">
        <f t="shared" si="141"/>
        <v>0</v>
      </c>
      <c r="DH121" s="28">
        <f t="shared" si="142"/>
        <v>0</v>
      </c>
      <c r="DI121" s="28">
        <f t="shared" si="143"/>
        <v>0</v>
      </c>
      <c r="DJ121" s="27">
        <f t="shared" si="144"/>
        <v>0</v>
      </c>
      <c r="DK121" s="27">
        <f t="shared" si="145"/>
        <v>0</v>
      </c>
    </row>
    <row r="122" spans="1:115">
      <c r="A122" s="25">
        <v>114</v>
      </c>
      <c r="B122" s="26" t="s">
        <v>1161</v>
      </c>
      <c r="C122" s="26"/>
      <c r="D122" s="26"/>
      <c r="E122" s="205" t="s">
        <v>1200</v>
      </c>
      <c r="F122" s="161">
        <f t="shared" si="98"/>
        <v>0</v>
      </c>
      <c r="G122" s="165">
        <f t="shared" si="99"/>
        <v>0</v>
      </c>
      <c r="H122" s="27"/>
      <c r="I122" s="27">
        <v>0</v>
      </c>
      <c r="J122" s="27">
        <v>0</v>
      </c>
      <c r="K122" s="127">
        <f t="shared" si="100"/>
        <v>0</v>
      </c>
      <c r="L122" s="127">
        <f t="shared" si="101"/>
        <v>0</v>
      </c>
      <c r="M122" s="127">
        <f t="shared" si="102"/>
        <v>0</v>
      </c>
      <c r="N122" s="131"/>
      <c r="O122" s="125" t="str">
        <f t="shared" si="103"/>
        <v>ნულოვანი შესრულება</v>
      </c>
      <c r="P122" s="27">
        <v>0</v>
      </c>
      <c r="Q122" s="27">
        <v>0</v>
      </c>
      <c r="R122" s="27">
        <f t="shared" si="104"/>
        <v>0</v>
      </c>
      <c r="S122" s="27">
        <f t="shared" si="105"/>
        <v>0</v>
      </c>
      <c r="T122" s="27"/>
      <c r="U122" s="27"/>
      <c r="V122" s="27">
        <v>0</v>
      </c>
      <c r="W122" s="27"/>
      <c r="X122" s="27">
        <f t="shared" si="106"/>
        <v>0</v>
      </c>
      <c r="Y122" s="27">
        <f t="shared" si="107"/>
        <v>0</v>
      </c>
      <c r="Z122" s="27">
        <v>0</v>
      </c>
      <c r="AA122" s="27"/>
      <c r="AB122" s="27"/>
      <c r="AC122" s="27"/>
      <c r="AD122" s="27">
        <f t="shared" si="108"/>
        <v>0</v>
      </c>
      <c r="AE122" s="27">
        <f t="shared" si="109"/>
        <v>0</v>
      </c>
      <c r="AF122" s="27">
        <f t="shared" si="110"/>
        <v>0</v>
      </c>
      <c r="AG122" s="27">
        <f t="shared" si="111"/>
        <v>0</v>
      </c>
      <c r="AH122" s="27">
        <f t="shared" si="112"/>
        <v>0</v>
      </c>
      <c r="AI122" s="27">
        <f t="shared" si="113"/>
        <v>0</v>
      </c>
      <c r="AJ122" s="27">
        <f t="shared" si="114"/>
        <v>0</v>
      </c>
      <c r="AK122" s="27">
        <f t="shared" si="115"/>
        <v>0</v>
      </c>
      <c r="AL122" s="27"/>
      <c r="AM122" s="27"/>
      <c r="AN122" s="27">
        <v>0</v>
      </c>
      <c r="AO122" s="27"/>
      <c r="AP122" s="27">
        <f t="shared" si="116"/>
        <v>0</v>
      </c>
      <c r="AQ122" s="27">
        <f t="shared" si="117"/>
        <v>0</v>
      </c>
      <c r="AR122" s="27"/>
      <c r="AS122" s="27"/>
      <c r="AT122" s="27">
        <v>0</v>
      </c>
      <c r="AU122" s="27"/>
      <c r="AV122" s="27">
        <f t="shared" si="118"/>
        <v>0</v>
      </c>
      <c r="AW122" s="27">
        <f t="shared" si="119"/>
        <v>0</v>
      </c>
      <c r="AX122" s="27"/>
      <c r="AY122" s="27"/>
      <c r="AZ122" s="27">
        <v>0</v>
      </c>
      <c r="BA122" s="27"/>
      <c r="BB122" s="27">
        <f t="shared" si="120"/>
        <v>0</v>
      </c>
      <c r="BC122" s="27">
        <f t="shared" si="121"/>
        <v>0</v>
      </c>
      <c r="BD122" s="27"/>
      <c r="BE122" s="27"/>
      <c r="BF122" s="27">
        <v>0</v>
      </c>
      <c r="BG122" s="27"/>
      <c r="BH122" s="27">
        <f t="shared" si="122"/>
        <v>0</v>
      </c>
      <c r="BI122" s="27">
        <f t="shared" si="123"/>
        <v>0</v>
      </c>
      <c r="BJ122" s="27"/>
      <c r="BK122" s="27"/>
      <c r="BL122" s="27">
        <v>0</v>
      </c>
      <c r="BM122" s="27"/>
      <c r="BN122" s="27">
        <f t="shared" si="124"/>
        <v>0</v>
      </c>
      <c r="BO122" s="27">
        <f t="shared" si="125"/>
        <v>0</v>
      </c>
      <c r="BP122" s="26"/>
      <c r="BQ122" s="27"/>
      <c r="BR122" s="27">
        <v>0</v>
      </c>
      <c r="BS122" s="27"/>
      <c r="BT122" s="27">
        <f t="shared" si="126"/>
        <v>0</v>
      </c>
      <c r="BU122" s="27">
        <f t="shared" si="127"/>
        <v>0</v>
      </c>
      <c r="BV122" s="26"/>
      <c r="BW122" s="27"/>
      <c r="BX122" s="27">
        <v>0</v>
      </c>
      <c r="BY122" s="27"/>
      <c r="BZ122" s="27">
        <f t="shared" si="128"/>
        <v>0</v>
      </c>
      <c r="CA122" s="27">
        <f t="shared" si="129"/>
        <v>0</v>
      </c>
      <c r="CB122" s="26"/>
      <c r="CC122" s="27"/>
      <c r="CD122" s="27">
        <v>0</v>
      </c>
      <c r="CE122" s="27"/>
      <c r="CF122" s="27">
        <f t="shared" si="130"/>
        <v>0</v>
      </c>
      <c r="CG122" s="27">
        <f t="shared" si="131"/>
        <v>0</v>
      </c>
      <c r="CH122" s="26"/>
      <c r="CI122" s="27"/>
      <c r="CJ122" s="27">
        <v>0</v>
      </c>
      <c r="CK122" s="27"/>
      <c r="CL122" s="27">
        <f t="shared" si="132"/>
        <v>0</v>
      </c>
      <c r="CM122" s="27">
        <f t="shared" si="133"/>
        <v>0</v>
      </c>
      <c r="CN122" s="26"/>
      <c r="CO122" s="27"/>
      <c r="CP122" s="27">
        <v>0</v>
      </c>
      <c r="CQ122" s="27"/>
      <c r="CR122" s="27">
        <f t="shared" si="134"/>
        <v>0</v>
      </c>
      <c r="CS122" s="27">
        <f t="shared" si="135"/>
        <v>0</v>
      </c>
      <c r="CT122" s="26"/>
      <c r="CU122" s="27"/>
      <c r="CV122" s="27">
        <v>0</v>
      </c>
      <c r="CW122" s="27"/>
      <c r="CX122" s="27">
        <f t="shared" si="136"/>
        <v>0</v>
      </c>
      <c r="CY122" s="27">
        <f t="shared" si="137"/>
        <v>0</v>
      </c>
      <c r="CZ122" s="26"/>
      <c r="DA122" s="27"/>
      <c r="DB122" s="27">
        <v>0</v>
      </c>
      <c r="DC122" s="27"/>
      <c r="DD122" s="27">
        <f t="shared" si="138"/>
        <v>0</v>
      </c>
      <c r="DE122" s="27">
        <f t="shared" si="139"/>
        <v>0</v>
      </c>
      <c r="DF122" s="28">
        <f t="shared" si="140"/>
        <v>0</v>
      </c>
      <c r="DG122" s="28">
        <f t="shared" si="141"/>
        <v>0</v>
      </c>
      <c r="DH122" s="28">
        <f t="shared" si="142"/>
        <v>0</v>
      </c>
      <c r="DI122" s="28">
        <f t="shared" si="143"/>
        <v>0</v>
      </c>
      <c r="DJ122" s="27">
        <f t="shared" si="144"/>
        <v>0</v>
      </c>
      <c r="DK122" s="27">
        <f t="shared" si="145"/>
        <v>0</v>
      </c>
    </row>
    <row r="123" spans="1:115">
      <c r="A123" s="25">
        <v>115</v>
      </c>
      <c r="B123" s="26" t="s">
        <v>1161</v>
      </c>
      <c r="C123" s="26"/>
      <c r="D123" s="26"/>
      <c r="E123" s="205" t="s">
        <v>1200</v>
      </c>
      <c r="F123" s="161">
        <f t="shared" si="98"/>
        <v>0</v>
      </c>
      <c r="G123" s="165">
        <f t="shared" si="99"/>
        <v>0</v>
      </c>
      <c r="H123" s="27"/>
      <c r="I123" s="27">
        <v>0</v>
      </c>
      <c r="J123" s="27">
        <v>0</v>
      </c>
      <c r="K123" s="127">
        <f t="shared" si="100"/>
        <v>0</v>
      </c>
      <c r="L123" s="127">
        <f t="shared" si="101"/>
        <v>0</v>
      </c>
      <c r="M123" s="127">
        <f t="shared" si="102"/>
        <v>0</v>
      </c>
      <c r="N123" s="131"/>
      <c r="O123" s="125" t="str">
        <f t="shared" si="103"/>
        <v>ნულოვანი შესრულება</v>
      </c>
      <c r="P123" s="27">
        <v>0</v>
      </c>
      <c r="Q123" s="27">
        <v>0</v>
      </c>
      <c r="R123" s="27">
        <f t="shared" si="104"/>
        <v>0</v>
      </c>
      <c r="S123" s="27">
        <f t="shared" si="105"/>
        <v>0</v>
      </c>
      <c r="T123" s="27"/>
      <c r="U123" s="27"/>
      <c r="V123" s="27">
        <v>0</v>
      </c>
      <c r="W123" s="27"/>
      <c r="X123" s="27">
        <f t="shared" si="106"/>
        <v>0</v>
      </c>
      <c r="Y123" s="27">
        <f t="shared" si="107"/>
        <v>0</v>
      </c>
      <c r="Z123" s="27">
        <v>0</v>
      </c>
      <c r="AA123" s="27"/>
      <c r="AB123" s="27"/>
      <c r="AC123" s="27"/>
      <c r="AD123" s="27">
        <f t="shared" si="108"/>
        <v>0</v>
      </c>
      <c r="AE123" s="27">
        <f t="shared" si="109"/>
        <v>0</v>
      </c>
      <c r="AF123" s="27">
        <f t="shared" si="110"/>
        <v>0</v>
      </c>
      <c r="AG123" s="27">
        <f t="shared" si="111"/>
        <v>0</v>
      </c>
      <c r="AH123" s="27">
        <f t="shared" si="112"/>
        <v>0</v>
      </c>
      <c r="AI123" s="27">
        <f t="shared" si="113"/>
        <v>0</v>
      </c>
      <c r="AJ123" s="27">
        <f t="shared" si="114"/>
        <v>0</v>
      </c>
      <c r="AK123" s="27">
        <f t="shared" si="115"/>
        <v>0</v>
      </c>
      <c r="AL123" s="27"/>
      <c r="AM123" s="27"/>
      <c r="AN123" s="27">
        <v>0</v>
      </c>
      <c r="AO123" s="27"/>
      <c r="AP123" s="27">
        <f t="shared" si="116"/>
        <v>0</v>
      </c>
      <c r="AQ123" s="27">
        <f t="shared" si="117"/>
        <v>0</v>
      </c>
      <c r="AR123" s="27"/>
      <c r="AS123" s="27"/>
      <c r="AT123" s="27">
        <v>0</v>
      </c>
      <c r="AU123" s="27"/>
      <c r="AV123" s="27">
        <f t="shared" si="118"/>
        <v>0</v>
      </c>
      <c r="AW123" s="27">
        <f t="shared" si="119"/>
        <v>0</v>
      </c>
      <c r="AX123" s="27"/>
      <c r="AY123" s="27"/>
      <c r="AZ123" s="27">
        <v>0</v>
      </c>
      <c r="BA123" s="27"/>
      <c r="BB123" s="27">
        <f t="shared" si="120"/>
        <v>0</v>
      </c>
      <c r="BC123" s="27">
        <f t="shared" si="121"/>
        <v>0</v>
      </c>
      <c r="BD123" s="27"/>
      <c r="BE123" s="27"/>
      <c r="BF123" s="27">
        <v>0</v>
      </c>
      <c r="BG123" s="27"/>
      <c r="BH123" s="27">
        <f t="shared" si="122"/>
        <v>0</v>
      </c>
      <c r="BI123" s="27">
        <f t="shared" si="123"/>
        <v>0</v>
      </c>
      <c r="BJ123" s="27"/>
      <c r="BK123" s="27"/>
      <c r="BL123" s="27">
        <v>0</v>
      </c>
      <c r="BM123" s="27"/>
      <c r="BN123" s="27">
        <f t="shared" si="124"/>
        <v>0</v>
      </c>
      <c r="BO123" s="27">
        <f t="shared" si="125"/>
        <v>0</v>
      </c>
      <c r="BP123" s="26"/>
      <c r="BQ123" s="27"/>
      <c r="BR123" s="27">
        <v>0</v>
      </c>
      <c r="BS123" s="27"/>
      <c r="BT123" s="27">
        <f t="shared" si="126"/>
        <v>0</v>
      </c>
      <c r="BU123" s="27">
        <f t="shared" si="127"/>
        <v>0</v>
      </c>
      <c r="BV123" s="26"/>
      <c r="BW123" s="27"/>
      <c r="BX123" s="27">
        <v>0</v>
      </c>
      <c r="BY123" s="27"/>
      <c r="BZ123" s="27">
        <f t="shared" si="128"/>
        <v>0</v>
      </c>
      <c r="CA123" s="27">
        <f t="shared" si="129"/>
        <v>0</v>
      </c>
      <c r="CB123" s="26"/>
      <c r="CC123" s="27"/>
      <c r="CD123" s="27">
        <v>0</v>
      </c>
      <c r="CE123" s="27"/>
      <c r="CF123" s="27">
        <f t="shared" si="130"/>
        <v>0</v>
      </c>
      <c r="CG123" s="27">
        <f t="shared" si="131"/>
        <v>0</v>
      </c>
      <c r="CH123" s="26"/>
      <c r="CI123" s="27"/>
      <c r="CJ123" s="27">
        <v>0</v>
      </c>
      <c r="CK123" s="27"/>
      <c r="CL123" s="27">
        <f t="shared" si="132"/>
        <v>0</v>
      </c>
      <c r="CM123" s="27">
        <f t="shared" si="133"/>
        <v>0</v>
      </c>
      <c r="CN123" s="26"/>
      <c r="CO123" s="27"/>
      <c r="CP123" s="27">
        <v>0</v>
      </c>
      <c r="CQ123" s="27"/>
      <c r="CR123" s="27">
        <f t="shared" si="134"/>
        <v>0</v>
      </c>
      <c r="CS123" s="27">
        <f t="shared" si="135"/>
        <v>0</v>
      </c>
      <c r="CT123" s="26"/>
      <c r="CU123" s="27"/>
      <c r="CV123" s="27">
        <v>0</v>
      </c>
      <c r="CW123" s="27"/>
      <c r="CX123" s="27">
        <f t="shared" si="136"/>
        <v>0</v>
      </c>
      <c r="CY123" s="27">
        <f t="shared" si="137"/>
        <v>0</v>
      </c>
      <c r="CZ123" s="26"/>
      <c r="DA123" s="27"/>
      <c r="DB123" s="27">
        <v>0</v>
      </c>
      <c r="DC123" s="27"/>
      <c r="DD123" s="27">
        <f t="shared" si="138"/>
        <v>0</v>
      </c>
      <c r="DE123" s="27">
        <f t="shared" si="139"/>
        <v>0</v>
      </c>
      <c r="DF123" s="28">
        <f t="shared" si="140"/>
        <v>0</v>
      </c>
      <c r="DG123" s="28">
        <f t="shared" si="141"/>
        <v>0</v>
      </c>
      <c r="DH123" s="28">
        <f t="shared" si="142"/>
        <v>0</v>
      </c>
      <c r="DI123" s="28">
        <f t="shared" si="143"/>
        <v>0</v>
      </c>
      <c r="DJ123" s="27">
        <f t="shared" si="144"/>
        <v>0</v>
      </c>
      <c r="DK123" s="27">
        <f t="shared" si="145"/>
        <v>0</v>
      </c>
    </row>
    <row r="124" spans="1:115">
      <c r="A124" s="25">
        <v>116</v>
      </c>
      <c r="B124" s="26" t="s">
        <v>1161</v>
      </c>
      <c r="C124" s="26"/>
      <c r="D124" s="26"/>
      <c r="E124" s="205" t="s">
        <v>1200</v>
      </c>
      <c r="F124" s="161">
        <f t="shared" si="98"/>
        <v>0</v>
      </c>
      <c r="G124" s="165">
        <f t="shared" si="99"/>
        <v>0</v>
      </c>
      <c r="H124" s="27"/>
      <c r="I124" s="27">
        <v>0</v>
      </c>
      <c r="J124" s="27">
        <v>0</v>
      </c>
      <c r="K124" s="127">
        <f t="shared" si="100"/>
        <v>0</v>
      </c>
      <c r="L124" s="127">
        <f t="shared" si="101"/>
        <v>0</v>
      </c>
      <c r="M124" s="127">
        <f t="shared" si="102"/>
        <v>0</v>
      </c>
      <c r="N124" s="131"/>
      <c r="O124" s="125" t="str">
        <f t="shared" si="103"/>
        <v>ნულოვანი შესრულება</v>
      </c>
      <c r="P124" s="27">
        <v>0</v>
      </c>
      <c r="Q124" s="27">
        <v>0</v>
      </c>
      <c r="R124" s="27">
        <f t="shared" si="104"/>
        <v>0</v>
      </c>
      <c r="S124" s="27">
        <f t="shared" si="105"/>
        <v>0</v>
      </c>
      <c r="T124" s="27"/>
      <c r="U124" s="27"/>
      <c r="V124" s="27">
        <v>0</v>
      </c>
      <c r="W124" s="27"/>
      <c r="X124" s="27">
        <f t="shared" si="106"/>
        <v>0</v>
      </c>
      <c r="Y124" s="27">
        <f t="shared" si="107"/>
        <v>0</v>
      </c>
      <c r="Z124" s="27">
        <v>0</v>
      </c>
      <c r="AA124" s="27"/>
      <c r="AB124" s="27"/>
      <c r="AC124" s="27"/>
      <c r="AD124" s="27">
        <f t="shared" si="108"/>
        <v>0</v>
      </c>
      <c r="AE124" s="27">
        <f t="shared" si="109"/>
        <v>0</v>
      </c>
      <c r="AF124" s="27">
        <f t="shared" si="110"/>
        <v>0</v>
      </c>
      <c r="AG124" s="27">
        <f t="shared" si="111"/>
        <v>0</v>
      </c>
      <c r="AH124" s="27">
        <f t="shared" si="112"/>
        <v>0</v>
      </c>
      <c r="AI124" s="27">
        <f t="shared" si="113"/>
        <v>0</v>
      </c>
      <c r="AJ124" s="27">
        <f t="shared" si="114"/>
        <v>0</v>
      </c>
      <c r="AK124" s="27">
        <f t="shared" si="115"/>
        <v>0</v>
      </c>
      <c r="AL124" s="27"/>
      <c r="AM124" s="27"/>
      <c r="AN124" s="27">
        <v>0</v>
      </c>
      <c r="AO124" s="27"/>
      <c r="AP124" s="27">
        <f t="shared" si="116"/>
        <v>0</v>
      </c>
      <c r="AQ124" s="27">
        <f t="shared" si="117"/>
        <v>0</v>
      </c>
      <c r="AR124" s="27"/>
      <c r="AS124" s="27"/>
      <c r="AT124" s="27">
        <v>0</v>
      </c>
      <c r="AU124" s="27"/>
      <c r="AV124" s="27">
        <f t="shared" si="118"/>
        <v>0</v>
      </c>
      <c r="AW124" s="27">
        <f t="shared" si="119"/>
        <v>0</v>
      </c>
      <c r="AX124" s="27"/>
      <c r="AY124" s="27"/>
      <c r="AZ124" s="27">
        <v>0</v>
      </c>
      <c r="BA124" s="27"/>
      <c r="BB124" s="27">
        <f t="shared" si="120"/>
        <v>0</v>
      </c>
      <c r="BC124" s="27">
        <f t="shared" si="121"/>
        <v>0</v>
      </c>
      <c r="BD124" s="27"/>
      <c r="BE124" s="27"/>
      <c r="BF124" s="27">
        <v>0</v>
      </c>
      <c r="BG124" s="27"/>
      <c r="BH124" s="27">
        <f t="shared" si="122"/>
        <v>0</v>
      </c>
      <c r="BI124" s="27">
        <f t="shared" si="123"/>
        <v>0</v>
      </c>
      <c r="BJ124" s="27"/>
      <c r="BK124" s="27"/>
      <c r="BL124" s="27">
        <v>0</v>
      </c>
      <c r="BM124" s="27"/>
      <c r="BN124" s="27">
        <f t="shared" si="124"/>
        <v>0</v>
      </c>
      <c r="BO124" s="27">
        <f t="shared" si="125"/>
        <v>0</v>
      </c>
      <c r="BP124" s="26"/>
      <c r="BQ124" s="27"/>
      <c r="BR124" s="27">
        <v>0</v>
      </c>
      <c r="BS124" s="27"/>
      <c r="BT124" s="27">
        <f t="shared" si="126"/>
        <v>0</v>
      </c>
      <c r="BU124" s="27">
        <f t="shared" si="127"/>
        <v>0</v>
      </c>
      <c r="BV124" s="26"/>
      <c r="BW124" s="27"/>
      <c r="BX124" s="27">
        <v>0</v>
      </c>
      <c r="BY124" s="27"/>
      <c r="BZ124" s="27">
        <f t="shared" si="128"/>
        <v>0</v>
      </c>
      <c r="CA124" s="27">
        <f t="shared" si="129"/>
        <v>0</v>
      </c>
      <c r="CB124" s="26"/>
      <c r="CC124" s="27"/>
      <c r="CD124" s="27">
        <v>0</v>
      </c>
      <c r="CE124" s="27"/>
      <c r="CF124" s="27">
        <f t="shared" si="130"/>
        <v>0</v>
      </c>
      <c r="CG124" s="27">
        <f t="shared" si="131"/>
        <v>0</v>
      </c>
      <c r="CH124" s="26"/>
      <c r="CI124" s="27"/>
      <c r="CJ124" s="27">
        <v>0</v>
      </c>
      <c r="CK124" s="27"/>
      <c r="CL124" s="27">
        <f t="shared" si="132"/>
        <v>0</v>
      </c>
      <c r="CM124" s="27">
        <f t="shared" si="133"/>
        <v>0</v>
      </c>
      <c r="CN124" s="26"/>
      <c r="CO124" s="27"/>
      <c r="CP124" s="27">
        <v>0</v>
      </c>
      <c r="CQ124" s="27"/>
      <c r="CR124" s="27">
        <f t="shared" si="134"/>
        <v>0</v>
      </c>
      <c r="CS124" s="27">
        <f t="shared" si="135"/>
        <v>0</v>
      </c>
      <c r="CT124" s="26"/>
      <c r="CU124" s="27"/>
      <c r="CV124" s="27">
        <v>0</v>
      </c>
      <c r="CW124" s="27"/>
      <c r="CX124" s="27">
        <f t="shared" si="136"/>
        <v>0</v>
      </c>
      <c r="CY124" s="27">
        <f t="shared" si="137"/>
        <v>0</v>
      </c>
      <c r="CZ124" s="26"/>
      <c r="DA124" s="27"/>
      <c r="DB124" s="27">
        <v>0</v>
      </c>
      <c r="DC124" s="27"/>
      <c r="DD124" s="27">
        <f t="shared" si="138"/>
        <v>0</v>
      </c>
      <c r="DE124" s="27">
        <f t="shared" si="139"/>
        <v>0</v>
      </c>
      <c r="DF124" s="28">
        <f t="shared" si="140"/>
        <v>0</v>
      </c>
      <c r="DG124" s="28">
        <f t="shared" si="141"/>
        <v>0</v>
      </c>
      <c r="DH124" s="28">
        <f t="shared" si="142"/>
        <v>0</v>
      </c>
      <c r="DI124" s="28">
        <f t="shared" si="143"/>
        <v>0</v>
      </c>
      <c r="DJ124" s="27">
        <f t="shared" si="144"/>
        <v>0</v>
      </c>
      <c r="DK124" s="27">
        <f t="shared" si="145"/>
        <v>0</v>
      </c>
    </row>
    <row r="125" spans="1:115">
      <c r="A125" s="25">
        <v>117</v>
      </c>
      <c r="B125" s="26" t="s">
        <v>1161</v>
      </c>
      <c r="C125" s="26"/>
      <c r="D125" s="26"/>
      <c r="E125" s="205" t="s">
        <v>1200</v>
      </c>
      <c r="F125" s="161">
        <f t="shared" si="98"/>
        <v>0</v>
      </c>
      <c r="G125" s="165">
        <f t="shared" si="99"/>
        <v>0</v>
      </c>
      <c r="H125" s="27"/>
      <c r="I125" s="27">
        <v>0</v>
      </c>
      <c r="J125" s="27">
        <v>0</v>
      </c>
      <c r="K125" s="127">
        <f t="shared" si="100"/>
        <v>0</v>
      </c>
      <c r="L125" s="127">
        <f t="shared" si="101"/>
        <v>0</v>
      </c>
      <c r="M125" s="127">
        <f t="shared" si="102"/>
        <v>0</v>
      </c>
      <c r="N125" s="131"/>
      <c r="O125" s="125" t="str">
        <f t="shared" si="103"/>
        <v>ნულოვანი შესრულება</v>
      </c>
      <c r="P125" s="27">
        <v>0</v>
      </c>
      <c r="Q125" s="27">
        <v>0</v>
      </c>
      <c r="R125" s="27">
        <f t="shared" si="104"/>
        <v>0</v>
      </c>
      <c r="S125" s="27">
        <f t="shared" si="105"/>
        <v>0</v>
      </c>
      <c r="T125" s="27"/>
      <c r="U125" s="27"/>
      <c r="V125" s="27">
        <v>0</v>
      </c>
      <c r="W125" s="27"/>
      <c r="X125" s="27">
        <f t="shared" si="106"/>
        <v>0</v>
      </c>
      <c r="Y125" s="27">
        <f t="shared" si="107"/>
        <v>0</v>
      </c>
      <c r="Z125" s="27">
        <v>0</v>
      </c>
      <c r="AA125" s="27"/>
      <c r="AB125" s="27"/>
      <c r="AC125" s="27"/>
      <c r="AD125" s="27">
        <f t="shared" si="108"/>
        <v>0</v>
      </c>
      <c r="AE125" s="27">
        <f t="shared" si="109"/>
        <v>0</v>
      </c>
      <c r="AF125" s="27">
        <f t="shared" si="110"/>
        <v>0</v>
      </c>
      <c r="AG125" s="27">
        <f t="shared" si="111"/>
        <v>0</v>
      </c>
      <c r="AH125" s="27">
        <f t="shared" si="112"/>
        <v>0</v>
      </c>
      <c r="AI125" s="27">
        <f t="shared" si="113"/>
        <v>0</v>
      </c>
      <c r="AJ125" s="27">
        <f t="shared" si="114"/>
        <v>0</v>
      </c>
      <c r="AK125" s="27">
        <f t="shared" si="115"/>
        <v>0</v>
      </c>
      <c r="AL125" s="27"/>
      <c r="AM125" s="27"/>
      <c r="AN125" s="27">
        <v>0</v>
      </c>
      <c r="AO125" s="27"/>
      <c r="AP125" s="27">
        <f t="shared" si="116"/>
        <v>0</v>
      </c>
      <c r="AQ125" s="27">
        <f t="shared" si="117"/>
        <v>0</v>
      </c>
      <c r="AR125" s="27"/>
      <c r="AS125" s="27"/>
      <c r="AT125" s="27">
        <v>0</v>
      </c>
      <c r="AU125" s="27"/>
      <c r="AV125" s="27">
        <f t="shared" si="118"/>
        <v>0</v>
      </c>
      <c r="AW125" s="27">
        <f t="shared" si="119"/>
        <v>0</v>
      </c>
      <c r="AX125" s="27"/>
      <c r="AY125" s="27"/>
      <c r="AZ125" s="27">
        <v>0</v>
      </c>
      <c r="BA125" s="27"/>
      <c r="BB125" s="27">
        <f t="shared" si="120"/>
        <v>0</v>
      </c>
      <c r="BC125" s="27">
        <f t="shared" si="121"/>
        <v>0</v>
      </c>
      <c r="BD125" s="27"/>
      <c r="BE125" s="27"/>
      <c r="BF125" s="27">
        <v>0</v>
      </c>
      <c r="BG125" s="27"/>
      <c r="BH125" s="27">
        <f t="shared" si="122"/>
        <v>0</v>
      </c>
      <c r="BI125" s="27">
        <f t="shared" si="123"/>
        <v>0</v>
      </c>
      <c r="BJ125" s="27"/>
      <c r="BK125" s="27"/>
      <c r="BL125" s="27">
        <v>0</v>
      </c>
      <c r="BM125" s="27"/>
      <c r="BN125" s="27">
        <f t="shared" si="124"/>
        <v>0</v>
      </c>
      <c r="BO125" s="27">
        <f t="shared" si="125"/>
        <v>0</v>
      </c>
      <c r="BP125" s="26"/>
      <c r="BQ125" s="27"/>
      <c r="BR125" s="27">
        <v>0</v>
      </c>
      <c r="BS125" s="27"/>
      <c r="BT125" s="27">
        <f t="shared" si="126"/>
        <v>0</v>
      </c>
      <c r="BU125" s="27">
        <f t="shared" si="127"/>
        <v>0</v>
      </c>
      <c r="BV125" s="26"/>
      <c r="BW125" s="27"/>
      <c r="BX125" s="27">
        <v>0</v>
      </c>
      <c r="BY125" s="27"/>
      <c r="BZ125" s="27">
        <f t="shared" si="128"/>
        <v>0</v>
      </c>
      <c r="CA125" s="27">
        <f t="shared" si="129"/>
        <v>0</v>
      </c>
      <c r="CB125" s="26"/>
      <c r="CC125" s="27"/>
      <c r="CD125" s="27">
        <v>0</v>
      </c>
      <c r="CE125" s="27"/>
      <c r="CF125" s="27">
        <f t="shared" si="130"/>
        <v>0</v>
      </c>
      <c r="CG125" s="27">
        <f t="shared" si="131"/>
        <v>0</v>
      </c>
      <c r="CH125" s="26"/>
      <c r="CI125" s="27"/>
      <c r="CJ125" s="27">
        <v>0</v>
      </c>
      <c r="CK125" s="27"/>
      <c r="CL125" s="27">
        <f t="shared" si="132"/>
        <v>0</v>
      </c>
      <c r="CM125" s="27">
        <f t="shared" si="133"/>
        <v>0</v>
      </c>
      <c r="CN125" s="26"/>
      <c r="CO125" s="27"/>
      <c r="CP125" s="27">
        <v>0</v>
      </c>
      <c r="CQ125" s="27"/>
      <c r="CR125" s="27">
        <f t="shared" si="134"/>
        <v>0</v>
      </c>
      <c r="CS125" s="27">
        <f t="shared" si="135"/>
        <v>0</v>
      </c>
      <c r="CT125" s="26"/>
      <c r="CU125" s="27"/>
      <c r="CV125" s="27">
        <v>0</v>
      </c>
      <c r="CW125" s="27"/>
      <c r="CX125" s="27">
        <f t="shared" si="136"/>
        <v>0</v>
      </c>
      <c r="CY125" s="27">
        <f t="shared" si="137"/>
        <v>0</v>
      </c>
      <c r="CZ125" s="26"/>
      <c r="DA125" s="27"/>
      <c r="DB125" s="27">
        <v>0</v>
      </c>
      <c r="DC125" s="27"/>
      <c r="DD125" s="27">
        <f t="shared" si="138"/>
        <v>0</v>
      </c>
      <c r="DE125" s="27">
        <f t="shared" si="139"/>
        <v>0</v>
      </c>
      <c r="DF125" s="28">
        <f t="shared" si="140"/>
        <v>0</v>
      </c>
      <c r="DG125" s="28">
        <f t="shared" si="141"/>
        <v>0</v>
      </c>
      <c r="DH125" s="28">
        <f t="shared" si="142"/>
        <v>0</v>
      </c>
      <c r="DI125" s="28">
        <f t="shared" si="143"/>
        <v>0</v>
      </c>
      <c r="DJ125" s="27">
        <f t="shared" si="144"/>
        <v>0</v>
      </c>
      <c r="DK125" s="27">
        <f t="shared" si="145"/>
        <v>0</v>
      </c>
    </row>
    <row r="126" spans="1:115">
      <c r="A126" s="25">
        <v>118</v>
      </c>
      <c r="B126" s="26" t="s">
        <v>1161</v>
      </c>
      <c r="C126" s="26"/>
      <c r="D126" s="26"/>
      <c r="E126" s="205" t="s">
        <v>1200</v>
      </c>
      <c r="F126" s="161">
        <f t="shared" si="98"/>
        <v>0</v>
      </c>
      <c r="G126" s="165">
        <f t="shared" si="99"/>
        <v>0</v>
      </c>
      <c r="H126" s="27"/>
      <c r="I126" s="27">
        <v>0</v>
      </c>
      <c r="J126" s="27">
        <v>0</v>
      </c>
      <c r="K126" s="127">
        <f t="shared" si="100"/>
        <v>0</v>
      </c>
      <c r="L126" s="127">
        <f t="shared" si="101"/>
        <v>0</v>
      </c>
      <c r="M126" s="127">
        <f t="shared" si="102"/>
        <v>0</v>
      </c>
      <c r="N126" s="131"/>
      <c r="O126" s="125" t="str">
        <f t="shared" si="103"/>
        <v>ნულოვანი შესრულება</v>
      </c>
      <c r="P126" s="27">
        <v>0</v>
      </c>
      <c r="Q126" s="27">
        <v>0</v>
      </c>
      <c r="R126" s="27">
        <f t="shared" si="104"/>
        <v>0</v>
      </c>
      <c r="S126" s="27">
        <f t="shared" si="105"/>
        <v>0</v>
      </c>
      <c r="T126" s="27"/>
      <c r="U126" s="27"/>
      <c r="V126" s="27">
        <v>0</v>
      </c>
      <c r="W126" s="27"/>
      <c r="X126" s="27">
        <f t="shared" si="106"/>
        <v>0</v>
      </c>
      <c r="Y126" s="27">
        <f t="shared" si="107"/>
        <v>0</v>
      </c>
      <c r="Z126" s="27">
        <v>0</v>
      </c>
      <c r="AA126" s="27"/>
      <c r="AB126" s="27"/>
      <c r="AC126" s="27"/>
      <c r="AD126" s="27">
        <f t="shared" si="108"/>
        <v>0</v>
      </c>
      <c r="AE126" s="27">
        <f t="shared" si="109"/>
        <v>0</v>
      </c>
      <c r="AF126" s="27">
        <f t="shared" si="110"/>
        <v>0</v>
      </c>
      <c r="AG126" s="27">
        <f t="shared" si="111"/>
        <v>0</v>
      </c>
      <c r="AH126" s="27">
        <f t="shared" si="112"/>
        <v>0</v>
      </c>
      <c r="AI126" s="27">
        <f t="shared" si="113"/>
        <v>0</v>
      </c>
      <c r="AJ126" s="27">
        <f t="shared" si="114"/>
        <v>0</v>
      </c>
      <c r="AK126" s="27">
        <f t="shared" si="115"/>
        <v>0</v>
      </c>
      <c r="AL126" s="27"/>
      <c r="AM126" s="27"/>
      <c r="AN126" s="27">
        <v>0</v>
      </c>
      <c r="AO126" s="27"/>
      <c r="AP126" s="27">
        <f t="shared" si="116"/>
        <v>0</v>
      </c>
      <c r="AQ126" s="27">
        <f t="shared" si="117"/>
        <v>0</v>
      </c>
      <c r="AR126" s="27"/>
      <c r="AS126" s="27"/>
      <c r="AT126" s="27">
        <v>0</v>
      </c>
      <c r="AU126" s="27"/>
      <c r="AV126" s="27">
        <f t="shared" si="118"/>
        <v>0</v>
      </c>
      <c r="AW126" s="27">
        <f t="shared" si="119"/>
        <v>0</v>
      </c>
      <c r="AX126" s="27"/>
      <c r="AY126" s="27"/>
      <c r="AZ126" s="27">
        <v>0</v>
      </c>
      <c r="BA126" s="27"/>
      <c r="BB126" s="27">
        <f t="shared" si="120"/>
        <v>0</v>
      </c>
      <c r="BC126" s="27">
        <f t="shared" si="121"/>
        <v>0</v>
      </c>
      <c r="BD126" s="27"/>
      <c r="BE126" s="27"/>
      <c r="BF126" s="27">
        <v>0</v>
      </c>
      <c r="BG126" s="27"/>
      <c r="BH126" s="27">
        <f t="shared" si="122"/>
        <v>0</v>
      </c>
      <c r="BI126" s="27">
        <f t="shared" si="123"/>
        <v>0</v>
      </c>
      <c r="BJ126" s="27"/>
      <c r="BK126" s="27"/>
      <c r="BL126" s="27">
        <v>0</v>
      </c>
      <c r="BM126" s="27"/>
      <c r="BN126" s="27">
        <f t="shared" si="124"/>
        <v>0</v>
      </c>
      <c r="BO126" s="27">
        <f t="shared" si="125"/>
        <v>0</v>
      </c>
      <c r="BP126" s="26"/>
      <c r="BQ126" s="27"/>
      <c r="BR126" s="27">
        <v>0</v>
      </c>
      <c r="BS126" s="27"/>
      <c r="BT126" s="27">
        <f t="shared" si="126"/>
        <v>0</v>
      </c>
      <c r="BU126" s="27">
        <f t="shared" si="127"/>
        <v>0</v>
      </c>
      <c r="BV126" s="26"/>
      <c r="BW126" s="27"/>
      <c r="BX126" s="27">
        <v>0</v>
      </c>
      <c r="BY126" s="27"/>
      <c r="BZ126" s="27">
        <f t="shared" si="128"/>
        <v>0</v>
      </c>
      <c r="CA126" s="27">
        <f t="shared" si="129"/>
        <v>0</v>
      </c>
      <c r="CB126" s="26"/>
      <c r="CC126" s="27"/>
      <c r="CD126" s="27">
        <v>0</v>
      </c>
      <c r="CE126" s="27"/>
      <c r="CF126" s="27">
        <f t="shared" si="130"/>
        <v>0</v>
      </c>
      <c r="CG126" s="27">
        <f t="shared" si="131"/>
        <v>0</v>
      </c>
      <c r="CH126" s="26"/>
      <c r="CI126" s="27"/>
      <c r="CJ126" s="27">
        <v>0</v>
      </c>
      <c r="CK126" s="27"/>
      <c r="CL126" s="27">
        <f t="shared" si="132"/>
        <v>0</v>
      </c>
      <c r="CM126" s="27">
        <f t="shared" si="133"/>
        <v>0</v>
      </c>
      <c r="CN126" s="26"/>
      <c r="CO126" s="27"/>
      <c r="CP126" s="27">
        <v>0</v>
      </c>
      <c r="CQ126" s="27"/>
      <c r="CR126" s="27">
        <f t="shared" si="134"/>
        <v>0</v>
      </c>
      <c r="CS126" s="27">
        <f t="shared" si="135"/>
        <v>0</v>
      </c>
      <c r="CT126" s="26"/>
      <c r="CU126" s="27"/>
      <c r="CV126" s="27">
        <v>0</v>
      </c>
      <c r="CW126" s="27"/>
      <c r="CX126" s="27">
        <f t="shared" si="136"/>
        <v>0</v>
      </c>
      <c r="CY126" s="27">
        <f t="shared" si="137"/>
        <v>0</v>
      </c>
      <c r="CZ126" s="26"/>
      <c r="DA126" s="27"/>
      <c r="DB126" s="27">
        <v>0</v>
      </c>
      <c r="DC126" s="27"/>
      <c r="DD126" s="27">
        <f t="shared" si="138"/>
        <v>0</v>
      </c>
      <c r="DE126" s="27">
        <f t="shared" si="139"/>
        <v>0</v>
      </c>
      <c r="DF126" s="28">
        <f t="shared" si="140"/>
        <v>0</v>
      </c>
      <c r="DG126" s="28">
        <f t="shared" si="141"/>
        <v>0</v>
      </c>
      <c r="DH126" s="28">
        <f t="shared" si="142"/>
        <v>0</v>
      </c>
      <c r="DI126" s="28">
        <f t="shared" si="143"/>
        <v>0</v>
      </c>
      <c r="DJ126" s="27">
        <f t="shared" si="144"/>
        <v>0</v>
      </c>
      <c r="DK126" s="27">
        <f t="shared" si="145"/>
        <v>0</v>
      </c>
    </row>
    <row r="127" spans="1:115">
      <c r="A127" s="25">
        <v>119</v>
      </c>
      <c r="B127" s="26" t="s">
        <v>1161</v>
      </c>
      <c r="C127" s="26"/>
      <c r="D127" s="26"/>
      <c r="E127" s="205" t="s">
        <v>1200</v>
      </c>
      <c r="F127" s="161">
        <f t="shared" si="98"/>
        <v>0</v>
      </c>
      <c r="G127" s="165">
        <f t="shared" si="99"/>
        <v>0</v>
      </c>
      <c r="H127" s="27"/>
      <c r="I127" s="27">
        <v>0</v>
      </c>
      <c r="J127" s="27">
        <v>0</v>
      </c>
      <c r="K127" s="127">
        <f t="shared" si="100"/>
        <v>0</v>
      </c>
      <c r="L127" s="127">
        <f t="shared" si="101"/>
        <v>0</v>
      </c>
      <c r="M127" s="127">
        <f t="shared" si="102"/>
        <v>0</v>
      </c>
      <c r="N127" s="131"/>
      <c r="O127" s="125" t="str">
        <f t="shared" si="103"/>
        <v>ნულოვანი შესრულება</v>
      </c>
      <c r="P127" s="27">
        <v>0</v>
      </c>
      <c r="Q127" s="27">
        <v>0</v>
      </c>
      <c r="R127" s="27">
        <f t="shared" si="104"/>
        <v>0</v>
      </c>
      <c r="S127" s="27">
        <f t="shared" si="105"/>
        <v>0</v>
      </c>
      <c r="T127" s="27"/>
      <c r="U127" s="27"/>
      <c r="V127" s="27">
        <v>0</v>
      </c>
      <c r="W127" s="27"/>
      <c r="X127" s="27">
        <f t="shared" si="106"/>
        <v>0</v>
      </c>
      <c r="Y127" s="27">
        <f t="shared" si="107"/>
        <v>0</v>
      </c>
      <c r="Z127" s="27">
        <v>0</v>
      </c>
      <c r="AA127" s="27"/>
      <c r="AB127" s="27"/>
      <c r="AC127" s="27"/>
      <c r="AD127" s="27">
        <f t="shared" si="108"/>
        <v>0</v>
      </c>
      <c r="AE127" s="27">
        <f t="shared" si="109"/>
        <v>0</v>
      </c>
      <c r="AF127" s="27">
        <f t="shared" si="110"/>
        <v>0</v>
      </c>
      <c r="AG127" s="27">
        <f t="shared" si="111"/>
        <v>0</v>
      </c>
      <c r="AH127" s="27">
        <f t="shared" si="112"/>
        <v>0</v>
      </c>
      <c r="AI127" s="27">
        <f t="shared" si="113"/>
        <v>0</v>
      </c>
      <c r="AJ127" s="27">
        <f t="shared" si="114"/>
        <v>0</v>
      </c>
      <c r="AK127" s="27">
        <f t="shared" si="115"/>
        <v>0</v>
      </c>
      <c r="AL127" s="27"/>
      <c r="AM127" s="27"/>
      <c r="AN127" s="27">
        <v>0</v>
      </c>
      <c r="AO127" s="27"/>
      <c r="AP127" s="27">
        <f t="shared" si="116"/>
        <v>0</v>
      </c>
      <c r="AQ127" s="27">
        <f t="shared" si="117"/>
        <v>0</v>
      </c>
      <c r="AR127" s="27"/>
      <c r="AS127" s="27"/>
      <c r="AT127" s="27">
        <v>0</v>
      </c>
      <c r="AU127" s="27"/>
      <c r="AV127" s="27">
        <f t="shared" si="118"/>
        <v>0</v>
      </c>
      <c r="AW127" s="27">
        <f t="shared" si="119"/>
        <v>0</v>
      </c>
      <c r="AX127" s="27"/>
      <c r="AY127" s="27"/>
      <c r="AZ127" s="27">
        <v>0</v>
      </c>
      <c r="BA127" s="27"/>
      <c r="BB127" s="27">
        <f t="shared" si="120"/>
        <v>0</v>
      </c>
      <c r="BC127" s="27">
        <f t="shared" si="121"/>
        <v>0</v>
      </c>
      <c r="BD127" s="27"/>
      <c r="BE127" s="27"/>
      <c r="BF127" s="27">
        <v>0</v>
      </c>
      <c r="BG127" s="27"/>
      <c r="BH127" s="27">
        <f t="shared" si="122"/>
        <v>0</v>
      </c>
      <c r="BI127" s="27">
        <f t="shared" si="123"/>
        <v>0</v>
      </c>
      <c r="BJ127" s="27"/>
      <c r="BK127" s="27"/>
      <c r="BL127" s="27">
        <v>0</v>
      </c>
      <c r="BM127" s="27"/>
      <c r="BN127" s="27">
        <f t="shared" si="124"/>
        <v>0</v>
      </c>
      <c r="BO127" s="27">
        <f t="shared" si="125"/>
        <v>0</v>
      </c>
      <c r="BP127" s="26"/>
      <c r="BQ127" s="27"/>
      <c r="BR127" s="27">
        <v>0</v>
      </c>
      <c r="BS127" s="27"/>
      <c r="BT127" s="27">
        <f t="shared" si="126"/>
        <v>0</v>
      </c>
      <c r="BU127" s="27">
        <f t="shared" si="127"/>
        <v>0</v>
      </c>
      <c r="BV127" s="26"/>
      <c r="BW127" s="27"/>
      <c r="BX127" s="27">
        <v>0</v>
      </c>
      <c r="BY127" s="27"/>
      <c r="BZ127" s="27">
        <f t="shared" si="128"/>
        <v>0</v>
      </c>
      <c r="CA127" s="27">
        <f t="shared" si="129"/>
        <v>0</v>
      </c>
      <c r="CB127" s="26"/>
      <c r="CC127" s="27"/>
      <c r="CD127" s="27">
        <v>0</v>
      </c>
      <c r="CE127" s="27"/>
      <c r="CF127" s="27">
        <f t="shared" si="130"/>
        <v>0</v>
      </c>
      <c r="CG127" s="27">
        <f t="shared" si="131"/>
        <v>0</v>
      </c>
      <c r="CH127" s="26"/>
      <c r="CI127" s="27"/>
      <c r="CJ127" s="27">
        <v>0</v>
      </c>
      <c r="CK127" s="27"/>
      <c r="CL127" s="27">
        <f t="shared" si="132"/>
        <v>0</v>
      </c>
      <c r="CM127" s="27">
        <f t="shared" si="133"/>
        <v>0</v>
      </c>
      <c r="CN127" s="26"/>
      <c r="CO127" s="27"/>
      <c r="CP127" s="27">
        <v>0</v>
      </c>
      <c r="CQ127" s="27"/>
      <c r="CR127" s="27">
        <f t="shared" si="134"/>
        <v>0</v>
      </c>
      <c r="CS127" s="27">
        <f t="shared" si="135"/>
        <v>0</v>
      </c>
      <c r="CT127" s="26"/>
      <c r="CU127" s="27"/>
      <c r="CV127" s="27">
        <v>0</v>
      </c>
      <c r="CW127" s="27"/>
      <c r="CX127" s="27">
        <f t="shared" si="136"/>
        <v>0</v>
      </c>
      <c r="CY127" s="27">
        <f t="shared" si="137"/>
        <v>0</v>
      </c>
      <c r="CZ127" s="26"/>
      <c r="DA127" s="27"/>
      <c r="DB127" s="27">
        <v>0</v>
      </c>
      <c r="DC127" s="27"/>
      <c r="DD127" s="27">
        <f t="shared" si="138"/>
        <v>0</v>
      </c>
      <c r="DE127" s="27">
        <f t="shared" si="139"/>
        <v>0</v>
      </c>
      <c r="DF127" s="28">
        <f t="shared" si="140"/>
        <v>0</v>
      </c>
      <c r="DG127" s="28">
        <f t="shared" si="141"/>
        <v>0</v>
      </c>
      <c r="DH127" s="28">
        <f t="shared" si="142"/>
        <v>0</v>
      </c>
      <c r="DI127" s="28">
        <f t="shared" si="143"/>
        <v>0</v>
      </c>
      <c r="DJ127" s="27">
        <f t="shared" si="144"/>
        <v>0</v>
      </c>
      <c r="DK127" s="27">
        <f t="shared" si="145"/>
        <v>0</v>
      </c>
    </row>
    <row r="128" spans="1:115">
      <c r="A128" s="25">
        <v>120</v>
      </c>
      <c r="B128" s="26" t="s">
        <v>1161</v>
      </c>
      <c r="C128" s="26"/>
      <c r="D128" s="26"/>
      <c r="E128" s="205" t="s">
        <v>1200</v>
      </c>
      <c r="F128" s="161">
        <f t="shared" si="98"/>
        <v>0</v>
      </c>
      <c r="G128" s="165">
        <f t="shared" si="99"/>
        <v>0</v>
      </c>
      <c r="H128" s="27"/>
      <c r="I128" s="27">
        <v>0</v>
      </c>
      <c r="J128" s="27">
        <v>0</v>
      </c>
      <c r="K128" s="127">
        <f t="shared" si="100"/>
        <v>0</v>
      </c>
      <c r="L128" s="127">
        <f t="shared" si="101"/>
        <v>0</v>
      </c>
      <c r="M128" s="127">
        <f t="shared" si="102"/>
        <v>0</v>
      </c>
      <c r="N128" s="131"/>
      <c r="O128" s="125" t="str">
        <f t="shared" si="103"/>
        <v>ნულოვანი შესრულება</v>
      </c>
      <c r="P128" s="27">
        <v>0</v>
      </c>
      <c r="Q128" s="27">
        <v>0</v>
      </c>
      <c r="R128" s="27">
        <f t="shared" si="104"/>
        <v>0</v>
      </c>
      <c r="S128" s="27">
        <f t="shared" si="105"/>
        <v>0</v>
      </c>
      <c r="T128" s="27"/>
      <c r="U128" s="27"/>
      <c r="V128" s="27">
        <v>0</v>
      </c>
      <c r="W128" s="27"/>
      <c r="X128" s="27">
        <f t="shared" si="106"/>
        <v>0</v>
      </c>
      <c r="Y128" s="27">
        <f t="shared" si="107"/>
        <v>0</v>
      </c>
      <c r="Z128" s="27">
        <v>0</v>
      </c>
      <c r="AA128" s="27"/>
      <c r="AB128" s="27"/>
      <c r="AC128" s="27"/>
      <c r="AD128" s="27">
        <f t="shared" si="108"/>
        <v>0</v>
      </c>
      <c r="AE128" s="27">
        <f t="shared" si="109"/>
        <v>0</v>
      </c>
      <c r="AF128" s="27">
        <f t="shared" si="110"/>
        <v>0</v>
      </c>
      <c r="AG128" s="27">
        <f t="shared" si="111"/>
        <v>0</v>
      </c>
      <c r="AH128" s="27">
        <f t="shared" si="112"/>
        <v>0</v>
      </c>
      <c r="AI128" s="27">
        <f t="shared" si="113"/>
        <v>0</v>
      </c>
      <c r="AJ128" s="27">
        <f t="shared" si="114"/>
        <v>0</v>
      </c>
      <c r="AK128" s="27">
        <f t="shared" si="115"/>
        <v>0</v>
      </c>
      <c r="AL128" s="27"/>
      <c r="AM128" s="27"/>
      <c r="AN128" s="27">
        <v>0</v>
      </c>
      <c r="AO128" s="27"/>
      <c r="AP128" s="27">
        <f t="shared" si="116"/>
        <v>0</v>
      </c>
      <c r="AQ128" s="27">
        <f t="shared" si="117"/>
        <v>0</v>
      </c>
      <c r="AR128" s="27"/>
      <c r="AS128" s="27"/>
      <c r="AT128" s="27">
        <v>0</v>
      </c>
      <c r="AU128" s="27"/>
      <c r="AV128" s="27">
        <f t="shared" si="118"/>
        <v>0</v>
      </c>
      <c r="AW128" s="27">
        <f t="shared" si="119"/>
        <v>0</v>
      </c>
      <c r="AX128" s="27"/>
      <c r="AY128" s="27"/>
      <c r="AZ128" s="27">
        <v>0</v>
      </c>
      <c r="BA128" s="27"/>
      <c r="BB128" s="27">
        <f t="shared" si="120"/>
        <v>0</v>
      </c>
      <c r="BC128" s="27">
        <f t="shared" si="121"/>
        <v>0</v>
      </c>
      <c r="BD128" s="27"/>
      <c r="BE128" s="27"/>
      <c r="BF128" s="27">
        <v>0</v>
      </c>
      <c r="BG128" s="27"/>
      <c r="BH128" s="27">
        <f t="shared" si="122"/>
        <v>0</v>
      </c>
      <c r="BI128" s="27">
        <f t="shared" si="123"/>
        <v>0</v>
      </c>
      <c r="BJ128" s="27"/>
      <c r="BK128" s="27"/>
      <c r="BL128" s="27">
        <v>0</v>
      </c>
      <c r="BM128" s="27"/>
      <c r="BN128" s="27">
        <f t="shared" si="124"/>
        <v>0</v>
      </c>
      <c r="BO128" s="27">
        <f t="shared" si="125"/>
        <v>0</v>
      </c>
      <c r="BP128" s="26"/>
      <c r="BQ128" s="27"/>
      <c r="BR128" s="27">
        <v>0</v>
      </c>
      <c r="BS128" s="27"/>
      <c r="BT128" s="27">
        <f t="shared" si="126"/>
        <v>0</v>
      </c>
      <c r="BU128" s="27">
        <f t="shared" si="127"/>
        <v>0</v>
      </c>
      <c r="BV128" s="26"/>
      <c r="BW128" s="27"/>
      <c r="BX128" s="27">
        <v>0</v>
      </c>
      <c r="BY128" s="27"/>
      <c r="BZ128" s="27">
        <f t="shared" si="128"/>
        <v>0</v>
      </c>
      <c r="CA128" s="27">
        <f t="shared" si="129"/>
        <v>0</v>
      </c>
      <c r="CB128" s="26"/>
      <c r="CC128" s="27"/>
      <c r="CD128" s="27">
        <v>0</v>
      </c>
      <c r="CE128" s="27"/>
      <c r="CF128" s="27">
        <f t="shared" si="130"/>
        <v>0</v>
      </c>
      <c r="CG128" s="27">
        <f t="shared" si="131"/>
        <v>0</v>
      </c>
      <c r="CH128" s="26"/>
      <c r="CI128" s="27"/>
      <c r="CJ128" s="27">
        <v>0</v>
      </c>
      <c r="CK128" s="27"/>
      <c r="CL128" s="27">
        <f t="shared" si="132"/>
        <v>0</v>
      </c>
      <c r="CM128" s="27">
        <f t="shared" si="133"/>
        <v>0</v>
      </c>
      <c r="CN128" s="26"/>
      <c r="CO128" s="27"/>
      <c r="CP128" s="27">
        <v>0</v>
      </c>
      <c r="CQ128" s="27"/>
      <c r="CR128" s="27">
        <f t="shared" si="134"/>
        <v>0</v>
      </c>
      <c r="CS128" s="27">
        <f t="shared" si="135"/>
        <v>0</v>
      </c>
      <c r="CT128" s="26"/>
      <c r="CU128" s="27"/>
      <c r="CV128" s="27">
        <v>0</v>
      </c>
      <c r="CW128" s="27"/>
      <c r="CX128" s="27">
        <f t="shared" si="136"/>
        <v>0</v>
      </c>
      <c r="CY128" s="27">
        <f t="shared" si="137"/>
        <v>0</v>
      </c>
      <c r="CZ128" s="26"/>
      <c r="DA128" s="27"/>
      <c r="DB128" s="27">
        <v>0</v>
      </c>
      <c r="DC128" s="27"/>
      <c r="DD128" s="27">
        <f t="shared" si="138"/>
        <v>0</v>
      </c>
      <c r="DE128" s="27">
        <f t="shared" si="139"/>
        <v>0</v>
      </c>
      <c r="DF128" s="28">
        <f t="shared" si="140"/>
        <v>0</v>
      </c>
      <c r="DG128" s="28">
        <f t="shared" si="141"/>
        <v>0</v>
      </c>
      <c r="DH128" s="28">
        <f t="shared" si="142"/>
        <v>0</v>
      </c>
      <c r="DI128" s="28">
        <f t="shared" si="143"/>
        <v>0</v>
      </c>
      <c r="DJ128" s="27">
        <f t="shared" si="144"/>
        <v>0</v>
      </c>
      <c r="DK128" s="27">
        <f t="shared" si="145"/>
        <v>0</v>
      </c>
    </row>
    <row r="129" spans="1:115">
      <c r="A129" s="25">
        <v>121</v>
      </c>
      <c r="B129" s="26" t="s">
        <v>1161</v>
      </c>
      <c r="C129" s="26"/>
      <c r="D129" s="26"/>
      <c r="E129" s="205" t="s">
        <v>1200</v>
      </c>
      <c r="F129" s="161">
        <f t="shared" si="98"/>
        <v>0</v>
      </c>
      <c r="G129" s="165">
        <f t="shared" si="99"/>
        <v>0</v>
      </c>
      <c r="H129" s="27"/>
      <c r="I129" s="27">
        <v>0</v>
      </c>
      <c r="J129" s="27">
        <v>0</v>
      </c>
      <c r="K129" s="127">
        <f t="shared" si="100"/>
        <v>0</v>
      </c>
      <c r="L129" s="127">
        <f t="shared" si="101"/>
        <v>0</v>
      </c>
      <c r="M129" s="127">
        <f t="shared" si="102"/>
        <v>0</v>
      </c>
      <c r="N129" s="131"/>
      <c r="O129" s="125" t="str">
        <f t="shared" si="103"/>
        <v>ნულოვანი შესრულება</v>
      </c>
      <c r="P129" s="27">
        <v>0</v>
      </c>
      <c r="Q129" s="27">
        <v>0</v>
      </c>
      <c r="R129" s="27">
        <f t="shared" si="104"/>
        <v>0</v>
      </c>
      <c r="S129" s="27">
        <f t="shared" si="105"/>
        <v>0</v>
      </c>
      <c r="T129" s="27"/>
      <c r="U129" s="27"/>
      <c r="V129" s="27">
        <v>0</v>
      </c>
      <c r="W129" s="27"/>
      <c r="X129" s="27">
        <f t="shared" si="106"/>
        <v>0</v>
      </c>
      <c r="Y129" s="27">
        <f t="shared" si="107"/>
        <v>0</v>
      </c>
      <c r="Z129" s="27">
        <v>0</v>
      </c>
      <c r="AA129" s="27"/>
      <c r="AB129" s="27"/>
      <c r="AC129" s="27"/>
      <c r="AD129" s="27">
        <f t="shared" si="108"/>
        <v>0</v>
      </c>
      <c r="AE129" s="27">
        <f t="shared" si="109"/>
        <v>0</v>
      </c>
      <c r="AF129" s="27">
        <f t="shared" si="110"/>
        <v>0</v>
      </c>
      <c r="AG129" s="27">
        <f t="shared" si="111"/>
        <v>0</v>
      </c>
      <c r="AH129" s="27">
        <f t="shared" si="112"/>
        <v>0</v>
      </c>
      <c r="AI129" s="27">
        <f t="shared" si="113"/>
        <v>0</v>
      </c>
      <c r="AJ129" s="27">
        <f t="shared" si="114"/>
        <v>0</v>
      </c>
      <c r="AK129" s="27">
        <f t="shared" si="115"/>
        <v>0</v>
      </c>
      <c r="AL129" s="27"/>
      <c r="AM129" s="27"/>
      <c r="AN129" s="27">
        <v>0</v>
      </c>
      <c r="AO129" s="27"/>
      <c r="AP129" s="27">
        <f t="shared" si="116"/>
        <v>0</v>
      </c>
      <c r="AQ129" s="27">
        <f t="shared" si="117"/>
        <v>0</v>
      </c>
      <c r="AR129" s="27"/>
      <c r="AS129" s="27"/>
      <c r="AT129" s="27">
        <v>0</v>
      </c>
      <c r="AU129" s="27"/>
      <c r="AV129" s="27">
        <f t="shared" si="118"/>
        <v>0</v>
      </c>
      <c r="AW129" s="27">
        <f t="shared" si="119"/>
        <v>0</v>
      </c>
      <c r="AX129" s="27"/>
      <c r="AY129" s="27"/>
      <c r="AZ129" s="27">
        <v>0</v>
      </c>
      <c r="BA129" s="27"/>
      <c r="BB129" s="27">
        <f t="shared" si="120"/>
        <v>0</v>
      </c>
      <c r="BC129" s="27">
        <f t="shared" si="121"/>
        <v>0</v>
      </c>
      <c r="BD129" s="27"/>
      <c r="BE129" s="27"/>
      <c r="BF129" s="27">
        <v>0</v>
      </c>
      <c r="BG129" s="27"/>
      <c r="BH129" s="27">
        <f t="shared" si="122"/>
        <v>0</v>
      </c>
      <c r="BI129" s="27">
        <f t="shared" si="123"/>
        <v>0</v>
      </c>
      <c r="BJ129" s="27"/>
      <c r="BK129" s="27"/>
      <c r="BL129" s="27">
        <v>0</v>
      </c>
      <c r="BM129" s="27"/>
      <c r="BN129" s="27">
        <f t="shared" si="124"/>
        <v>0</v>
      </c>
      <c r="BO129" s="27">
        <f t="shared" si="125"/>
        <v>0</v>
      </c>
      <c r="BP129" s="26"/>
      <c r="BQ129" s="27"/>
      <c r="BR129" s="27">
        <v>0</v>
      </c>
      <c r="BS129" s="27"/>
      <c r="BT129" s="27">
        <f t="shared" si="126"/>
        <v>0</v>
      </c>
      <c r="BU129" s="27">
        <f t="shared" si="127"/>
        <v>0</v>
      </c>
      <c r="BV129" s="26"/>
      <c r="BW129" s="27"/>
      <c r="BX129" s="27">
        <v>0</v>
      </c>
      <c r="BY129" s="27"/>
      <c r="BZ129" s="27">
        <f t="shared" si="128"/>
        <v>0</v>
      </c>
      <c r="CA129" s="27">
        <f t="shared" si="129"/>
        <v>0</v>
      </c>
      <c r="CB129" s="26"/>
      <c r="CC129" s="27"/>
      <c r="CD129" s="27">
        <v>0</v>
      </c>
      <c r="CE129" s="27"/>
      <c r="CF129" s="27">
        <f t="shared" si="130"/>
        <v>0</v>
      </c>
      <c r="CG129" s="27">
        <f t="shared" si="131"/>
        <v>0</v>
      </c>
      <c r="CH129" s="26"/>
      <c r="CI129" s="27"/>
      <c r="CJ129" s="27">
        <v>0</v>
      </c>
      <c r="CK129" s="27"/>
      <c r="CL129" s="27">
        <f t="shared" si="132"/>
        <v>0</v>
      </c>
      <c r="CM129" s="27">
        <f t="shared" si="133"/>
        <v>0</v>
      </c>
      <c r="CN129" s="26"/>
      <c r="CO129" s="27"/>
      <c r="CP129" s="27">
        <v>0</v>
      </c>
      <c r="CQ129" s="27"/>
      <c r="CR129" s="27">
        <f t="shared" si="134"/>
        <v>0</v>
      </c>
      <c r="CS129" s="27">
        <f t="shared" si="135"/>
        <v>0</v>
      </c>
      <c r="CT129" s="26"/>
      <c r="CU129" s="27"/>
      <c r="CV129" s="27">
        <v>0</v>
      </c>
      <c r="CW129" s="27"/>
      <c r="CX129" s="27">
        <f t="shared" si="136"/>
        <v>0</v>
      </c>
      <c r="CY129" s="27">
        <f t="shared" si="137"/>
        <v>0</v>
      </c>
      <c r="CZ129" s="26"/>
      <c r="DA129" s="27"/>
      <c r="DB129" s="27">
        <v>0</v>
      </c>
      <c r="DC129" s="27"/>
      <c r="DD129" s="27">
        <f t="shared" si="138"/>
        <v>0</v>
      </c>
      <c r="DE129" s="27">
        <f t="shared" si="139"/>
        <v>0</v>
      </c>
      <c r="DF129" s="28">
        <f t="shared" si="140"/>
        <v>0</v>
      </c>
      <c r="DG129" s="28">
        <f t="shared" si="141"/>
        <v>0</v>
      </c>
      <c r="DH129" s="28">
        <f t="shared" si="142"/>
        <v>0</v>
      </c>
      <c r="DI129" s="28">
        <f t="shared" si="143"/>
        <v>0</v>
      </c>
      <c r="DJ129" s="27">
        <f t="shared" si="144"/>
        <v>0</v>
      </c>
      <c r="DK129" s="27">
        <f t="shared" si="145"/>
        <v>0</v>
      </c>
    </row>
    <row r="130" spans="1:115">
      <c r="A130" s="25">
        <v>122</v>
      </c>
      <c r="B130" s="26" t="s">
        <v>1161</v>
      </c>
      <c r="C130" s="26"/>
      <c r="D130" s="26"/>
      <c r="E130" s="205" t="s">
        <v>1200</v>
      </c>
      <c r="F130" s="161">
        <f t="shared" si="98"/>
        <v>0</v>
      </c>
      <c r="G130" s="165">
        <f t="shared" si="99"/>
        <v>0</v>
      </c>
      <c r="H130" s="27"/>
      <c r="I130" s="27">
        <v>0</v>
      </c>
      <c r="J130" s="27">
        <v>0</v>
      </c>
      <c r="K130" s="127">
        <f t="shared" si="100"/>
        <v>0</v>
      </c>
      <c r="L130" s="127">
        <f t="shared" si="101"/>
        <v>0</v>
      </c>
      <c r="M130" s="127">
        <f t="shared" si="102"/>
        <v>0</v>
      </c>
      <c r="N130" s="131"/>
      <c r="O130" s="125" t="str">
        <f t="shared" si="103"/>
        <v>ნულოვანი შესრულება</v>
      </c>
      <c r="P130" s="27">
        <v>0</v>
      </c>
      <c r="Q130" s="27">
        <v>0</v>
      </c>
      <c r="R130" s="27">
        <f t="shared" si="104"/>
        <v>0</v>
      </c>
      <c r="S130" s="27">
        <f t="shared" si="105"/>
        <v>0</v>
      </c>
      <c r="T130" s="27"/>
      <c r="U130" s="27"/>
      <c r="V130" s="27">
        <v>0</v>
      </c>
      <c r="W130" s="27"/>
      <c r="X130" s="27">
        <f t="shared" si="106"/>
        <v>0</v>
      </c>
      <c r="Y130" s="27">
        <f t="shared" si="107"/>
        <v>0</v>
      </c>
      <c r="Z130" s="27">
        <v>0</v>
      </c>
      <c r="AA130" s="27"/>
      <c r="AB130" s="27"/>
      <c r="AC130" s="27"/>
      <c r="AD130" s="27">
        <f t="shared" si="108"/>
        <v>0</v>
      </c>
      <c r="AE130" s="27">
        <f t="shared" si="109"/>
        <v>0</v>
      </c>
      <c r="AF130" s="27">
        <f t="shared" si="110"/>
        <v>0</v>
      </c>
      <c r="AG130" s="27">
        <f t="shared" si="111"/>
        <v>0</v>
      </c>
      <c r="AH130" s="27">
        <f t="shared" si="112"/>
        <v>0</v>
      </c>
      <c r="AI130" s="27">
        <f t="shared" si="113"/>
        <v>0</v>
      </c>
      <c r="AJ130" s="27">
        <f t="shared" si="114"/>
        <v>0</v>
      </c>
      <c r="AK130" s="27">
        <f t="shared" si="115"/>
        <v>0</v>
      </c>
      <c r="AL130" s="27"/>
      <c r="AM130" s="27"/>
      <c r="AN130" s="27">
        <v>0</v>
      </c>
      <c r="AO130" s="27"/>
      <c r="AP130" s="27">
        <f t="shared" si="116"/>
        <v>0</v>
      </c>
      <c r="AQ130" s="27">
        <f t="shared" si="117"/>
        <v>0</v>
      </c>
      <c r="AR130" s="27"/>
      <c r="AS130" s="27"/>
      <c r="AT130" s="27">
        <v>0</v>
      </c>
      <c r="AU130" s="27"/>
      <c r="AV130" s="27">
        <f t="shared" si="118"/>
        <v>0</v>
      </c>
      <c r="AW130" s="27">
        <f t="shared" si="119"/>
        <v>0</v>
      </c>
      <c r="AX130" s="27"/>
      <c r="AY130" s="27"/>
      <c r="AZ130" s="27">
        <v>0</v>
      </c>
      <c r="BA130" s="27"/>
      <c r="BB130" s="27">
        <f t="shared" si="120"/>
        <v>0</v>
      </c>
      <c r="BC130" s="27">
        <f t="shared" si="121"/>
        <v>0</v>
      </c>
      <c r="BD130" s="27"/>
      <c r="BE130" s="27"/>
      <c r="BF130" s="27">
        <v>0</v>
      </c>
      <c r="BG130" s="27"/>
      <c r="BH130" s="27">
        <f t="shared" si="122"/>
        <v>0</v>
      </c>
      <c r="BI130" s="27">
        <f t="shared" si="123"/>
        <v>0</v>
      </c>
      <c r="BJ130" s="27"/>
      <c r="BK130" s="27"/>
      <c r="BL130" s="27">
        <v>0</v>
      </c>
      <c r="BM130" s="27"/>
      <c r="BN130" s="27">
        <f t="shared" si="124"/>
        <v>0</v>
      </c>
      <c r="BO130" s="27">
        <f t="shared" si="125"/>
        <v>0</v>
      </c>
      <c r="BP130" s="26"/>
      <c r="BQ130" s="27"/>
      <c r="BR130" s="27">
        <v>0</v>
      </c>
      <c r="BS130" s="27"/>
      <c r="BT130" s="27">
        <f t="shared" si="126"/>
        <v>0</v>
      </c>
      <c r="BU130" s="27">
        <f t="shared" si="127"/>
        <v>0</v>
      </c>
      <c r="BV130" s="26"/>
      <c r="BW130" s="27"/>
      <c r="BX130" s="27">
        <v>0</v>
      </c>
      <c r="BY130" s="27"/>
      <c r="BZ130" s="27">
        <f t="shared" si="128"/>
        <v>0</v>
      </c>
      <c r="CA130" s="27">
        <f t="shared" si="129"/>
        <v>0</v>
      </c>
      <c r="CB130" s="26"/>
      <c r="CC130" s="27"/>
      <c r="CD130" s="27">
        <v>0</v>
      </c>
      <c r="CE130" s="27"/>
      <c r="CF130" s="27">
        <f t="shared" si="130"/>
        <v>0</v>
      </c>
      <c r="CG130" s="27">
        <f t="shared" si="131"/>
        <v>0</v>
      </c>
      <c r="CH130" s="26"/>
      <c r="CI130" s="27"/>
      <c r="CJ130" s="27">
        <v>0</v>
      </c>
      <c r="CK130" s="27"/>
      <c r="CL130" s="27">
        <f t="shared" si="132"/>
        <v>0</v>
      </c>
      <c r="CM130" s="27">
        <f t="shared" si="133"/>
        <v>0</v>
      </c>
      <c r="CN130" s="26"/>
      <c r="CO130" s="27"/>
      <c r="CP130" s="27">
        <v>0</v>
      </c>
      <c r="CQ130" s="27"/>
      <c r="CR130" s="27">
        <f t="shared" si="134"/>
        <v>0</v>
      </c>
      <c r="CS130" s="27">
        <f t="shared" si="135"/>
        <v>0</v>
      </c>
      <c r="CT130" s="26"/>
      <c r="CU130" s="27"/>
      <c r="CV130" s="27">
        <v>0</v>
      </c>
      <c r="CW130" s="27"/>
      <c r="CX130" s="27">
        <f t="shared" si="136"/>
        <v>0</v>
      </c>
      <c r="CY130" s="27">
        <f t="shared" si="137"/>
        <v>0</v>
      </c>
      <c r="CZ130" s="26"/>
      <c r="DA130" s="27"/>
      <c r="DB130" s="27">
        <v>0</v>
      </c>
      <c r="DC130" s="27"/>
      <c r="DD130" s="27">
        <f t="shared" si="138"/>
        <v>0</v>
      </c>
      <c r="DE130" s="27">
        <f t="shared" si="139"/>
        <v>0</v>
      </c>
      <c r="DF130" s="28">
        <f t="shared" si="140"/>
        <v>0</v>
      </c>
      <c r="DG130" s="28">
        <f t="shared" si="141"/>
        <v>0</v>
      </c>
      <c r="DH130" s="28">
        <f t="shared" si="142"/>
        <v>0</v>
      </c>
      <c r="DI130" s="28">
        <f t="shared" si="143"/>
        <v>0</v>
      </c>
      <c r="DJ130" s="27">
        <f t="shared" si="144"/>
        <v>0</v>
      </c>
      <c r="DK130" s="27">
        <f t="shared" si="145"/>
        <v>0</v>
      </c>
    </row>
    <row r="131" spans="1:115">
      <c r="A131" s="25">
        <v>123</v>
      </c>
      <c r="B131" s="26" t="s">
        <v>1161</v>
      </c>
      <c r="C131" s="26"/>
      <c r="D131" s="26"/>
      <c r="E131" s="205" t="s">
        <v>1200</v>
      </c>
      <c r="F131" s="161">
        <f t="shared" si="98"/>
        <v>0</v>
      </c>
      <c r="G131" s="165">
        <f t="shared" si="99"/>
        <v>0</v>
      </c>
      <c r="H131" s="27"/>
      <c r="I131" s="27">
        <v>0</v>
      </c>
      <c r="J131" s="27">
        <v>0</v>
      </c>
      <c r="K131" s="127">
        <f t="shared" si="100"/>
        <v>0</v>
      </c>
      <c r="L131" s="127">
        <f t="shared" si="101"/>
        <v>0</v>
      </c>
      <c r="M131" s="127">
        <f t="shared" si="102"/>
        <v>0</v>
      </c>
      <c r="N131" s="131"/>
      <c r="O131" s="125" t="str">
        <f t="shared" si="103"/>
        <v>ნულოვანი შესრულება</v>
      </c>
      <c r="P131" s="27">
        <v>0</v>
      </c>
      <c r="Q131" s="27">
        <v>0</v>
      </c>
      <c r="R131" s="27">
        <f t="shared" si="104"/>
        <v>0</v>
      </c>
      <c r="S131" s="27">
        <f t="shared" si="105"/>
        <v>0</v>
      </c>
      <c r="T131" s="27"/>
      <c r="U131" s="27"/>
      <c r="V131" s="27">
        <v>0</v>
      </c>
      <c r="W131" s="27"/>
      <c r="X131" s="27">
        <f t="shared" si="106"/>
        <v>0</v>
      </c>
      <c r="Y131" s="27">
        <f t="shared" si="107"/>
        <v>0</v>
      </c>
      <c r="Z131" s="27">
        <v>0</v>
      </c>
      <c r="AA131" s="27"/>
      <c r="AB131" s="27"/>
      <c r="AC131" s="27"/>
      <c r="AD131" s="27">
        <f t="shared" si="108"/>
        <v>0</v>
      </c>
      <c r="AE131" s="27">
        <f t="shared" si="109"/>
        <v>0</v>
      </c>
      <c r="AF131" s="27">
        <f t="shared" si="110"/>
        <v>0</v>
      </c>
      <c r="AG131" s="27">
        <f t="shared" si="111"/>
        <v>0</v>
      </c>
      <c r="AH131" s="27">
        <f t="shared" si="112"/>
        <v>0</v>
      </c>
      <c r="AI131" s="27">
        <f t="shared" si="113"/>
        <v>0</v>
      </c>
      <c r="AJ131" s="27">
        <f t="shared" si="114"/>
        <v>0</v>
      </c>
      <c r="AK131" s="27">
        <f t="shared" si="115"/>
        <v>0</v>
      </c>
      <c r="AL131" s="27"/>
      <c r="AM131" s="27"/>
      <c r="AN131" s="27">
        <v>0</v>
      </c>
      <c r="AO131" s="27"/>
      <c r="AP131" s="27">
        <f t="shared" si="116"/>
        <v>0</v>
      </c>
      <c r="AQ131" s="27">
        <f t="shared" si="117"/>
        <v>0</v>
      </c>
      <c r="AR131" s="27"/>
      <c r="AS131" s="27"/>
      <c r="AT131" s="27">
        <v>0</v>
      </c>
      <c r="AU131" s="27"/>
      <c r="AV131" s="27">
        <f t="shared" si="118"/>
        <v>0</v>
      </c>
      <c r="AW131" s="27">
        <f t="shared" si="119"/>
        <v>0</v>
      </c>
      <c r="AX131" s="27"/>
      <c r="AY131" s="27"/>
      <c r="AZ131" s="27">
        <v>0</v>
      </c>
      <c r="BA131" s="27"/>
      <c r="BB131" s="27">
        <f t="shared" si="120"/>
        <v>0</v>
      </c>
      <c r="BC131" s="27">
        <f t="shared" si="121"/>
        <v>0</v>
      </c>
      <c r="BD131" s="27"/>
      <c r="BE131" s="27"/>
      <c r="BF131" s="27">
        <v>0</v>
      </c>
      <c r="BG131" s="27"/>
      <c r="BH131" s="27">
        <f t="shared" si="122"/>
        <v>0</v>
      </c>
      <c r="BI131" s="27">
        <f t="shared" si="123"/>
        <v>0</v>
      </c>
      <c r="BJ131" s="27"/>
      <c r="BK131" s="27"/>
      <c r="BL131" s="27">
        <v>0</v>
      </c>
      <c r="BM131" s="27"/>
      <c r="BN131" s="27">
        <f t="shared" si="124"/>
        <v>0</v>
      </c>
      <c r="BO131" s="27">
        <f t="shared" si="125"/>
        <v>0</v>
      </c>
      <c r="BP131" s="26"/>
      <c r="BQ131" s="27"/>
      <c r="BR131" s="27">
        <v>0</v>
      </c>
      <c r="BS131" s="27"/>
      <c r="BT131" s="27">
        <f t="shared" si="126"/>
        <v>0</v>
      </c>
      <c r="BU131" s="27">
        <f t="shared" si="127"/>
        <v>0</v>
      </c>
      <c r="BV131" s="26"/>
      <c r="BW131" s="27"/>
      <c r="BX131" s="27">
        <v>0</v>
      </c>
      <c r="BY131" s="27"/>
      <c r="BZ131" s="27">
        <f t="shared" si="128"/>
        <v>0</v>
      </c>
      <c r="CA131" s="27">
        <f t="shared" si="129"/>
        <v>0</v>
      </c>
      <c r="CB131" s="26"/>
      <c r="CC131" s="27"/>
      <c r="CD131" s="27">
        <v>0</v>
      </c>
      <c r="CE131" s="27"/>
      <c r="CF131" s="27">
        <f t="shared" si="130"/>
        <v>0</v>
      </c>
      <c r="CG131" s="27">
        <f t="shared" si="131"/>
        <v>0</v>
      </c>
      <c r="CH131" s="26"/>
      <c r="CI131" s="27"/>
      <c r="CJ131" s="27">
        <v>0</v>
      </c>
      <c r="CK131" s="27"/>
      <c r="CL131" s="27">
        <f t="shared" si="132"/>
        <v>0</v>
      </c>
      <c r="CM131" s="27">
        <f t="shared" si="133"/>
        <v>0</v>
      </c>
      <c r="CN131" s="26"/>
      <c r="CO131" s="27"/>
      <c r="CP131" s="27">
        <v>0</v>
      </c>
      <c r="CQ131" s="27"/>
      <c r="CR131" s="27">
        <f t="shared" si="134"/>
        <v>0</v>
      </c>
      <c r="CS131" s="27">
        <f t="shared" si="135"/>
        <v>0</v>
      </c>
      <c r="CT131" s="26"/>
      <c r="CU131" s="27"/>
      <c r="CV131" s="27">
        <v>0</v>
      </c>
      <c r="CW131" s="27"/>
      <c r="CX131" s="27">
        <f t="shared" si="136"/>
        <v>0</v>
      </c>
      <c r="CY131" s="27">
        <f t="shared" si="137"/>
        <v>0</v>
      </c>
      <c r="CZ131" s="26"/>
      <c r="DA131" s="27"/>
      <c r="DB131" s="27">
        <v>0</v>
      </c>
      <c r="DC131" s="27"/>
      <c r="DD131" s="27">
        <f t="shared" si="138"/>
        <v>0</v>
      </c>
      <c r="DE131" s="27">
        <f t="shared" si="139"/>
        <v>0</v>
      </c>
      <c r="DF131" s="28">
        <f t="shared" si="140"/>
        <v>0</v>
      </c>
      <c r="DG131" s="28">
        <f t="shared" si="141"/>
        <v>0</v>
      </c>
      <c r="DH131" s="28">
        <f t="shared" si="142"/>
        <v>0</v>
      </c>
      <c r="DI131" s="28">
        <f t="shared" si="143"/>
        <v>0</v>
      </c>
      <c r="DJ131" s="27">
        <f t="shared" si="144"/>
        <v>0</v>
      </c>
      <c r="DK131" s="27">
        <f t="shared" si="145"/>
        <v>0</v>
      </c>
    </row>
    <row r="132" spans="1:115">
      <c r="A132" s="25">
        <v>124</v>
      </c>
      <c r="B132" s="26" t="s">
        <v>1161</v>
      </c>
      <c r="C132" s="26"/>
      <c r="D132" s="26"/>
      <c r="E132" s="205" t="s">
        <v>1200</v>
      </c>
      <c r="F132" s="161">
        <f t="shared" si="98"/>
        <v>0</v>
      </c>
      <c r="G132" s="165">
        <f t="shared" si="99"/>
        <v>0</v>
      </c>
      <c r="H132" s="27"/>
      <c r="I132" s="27">
        <v>0</v>
      </c>
      <c r="J132" s="27">
        <v>0</v>
      </c>
      <c r="K132" s="127">
        <f t="shared" si="100"/>
        <v>0</v>
      </c>
      <c r="L132" s="127">
        <f t="shared" si="101"/>
        <v>0</v>
      </c>
      <c r="M132" s="127">
        <f t="shared" si="102"/>
        <v>0</v>
      </c>
      <c r="N132" s="131"/>
      <c r="O132" s="125" t="str">
        <f t="shared" si="103"/>
        <v>ნულოვანი შესრულება</v>
      </c>
      <c r="P132" s="27">
        <v>0</v>
      </c>
      <c r="Q132" s="27">
        <v>0</v>
      </c>
      <c r="R132" s="27">
        <f t="shared" si="104"/>
        <v>0</v>
      </c>
      <c r="S132" s="27">
        <f t="shared" si="105"/>
        <v>0</v>
      </c>
      <c r="T132" s="27"/>
      <c r="U132" s="27"/>
      <c r="V132" s="27">
        <v>0</v>
      </c>
      <c r="W132" s="27"/>
      <c r="X132" s="27">
        <f t="shared" si="106"/>
        <v>0</v>
      </c>
      <c r="Y132" s="27">
        <f t="shared" si="107"/>
        <v>0</v>
      </c>
      <c r="Z132" s="27">
        <v>0</v>
      </c>
      <c r="AA132" s="27"/>
      <c r="AB132" s="27"/>
      <c r="AC132" s="27"/>
      <c r="AD132" s="27">
        <f t="shared" si="108"/>
        <v>0</v>
      </c>
      <c r="AE132" s="27">
        <f t="shared" si="109"/>
        <v>0</v>
      </c>
      <c r="AF132" s="27">
        <f t="shared" si="110"/>
        <v>0</v>
      </c>
      <c r="AG132" s="27">
        <f t="shared" si="111"/>
        <v>0</v>
      </c>
      <c r="AH132" s="27">
        <f t="shared" si="112"/>
        <v>0</v>
      </c>
      <c r="AI132" s="27">
        <f t="shared" si="113"/>
        <v>0</v>
      </c>
      <c r="AJ132" s="27">
        <f t="shared" si="114"/>
        <v>0</v>
      </c>
      <c r="AK132" s="27">
        <f t="shared" si="115"/>
        <v>0</v>
      </c>
      <c r="AL132" s="27"/>
      <c r="AM132" s="27"/>
      <c r="AN132" s="27">
        <v>0</v>
      </c>
      <c r="AO132" s="27"/>
      <c r="AP132" s="27">
        <f t="shared" si="116"/>
        <v>0</v>
      </c>
      <c r="AQ132" s="27">
        <f t="shared" si="117"/>
        <v>0</v>
      </c>
      <c r="AR132" s="27"/>
      <c r="AS132" s="27"/>
      <c r="AT132" s="27">
        <v>0</v>
      </c>
      <c r="AU132" s="27"/>
      <c r="AV132" s="27">
        <f t="shared" si="118"/>
        <v>0</v>
      </c>
      <c r="AW132" s="27">
        <f t="shared" si="119"/>
        <v>0</v>
      </c>
      <c r="AX132" s="27"/>
      <c r="AY132" s="27"/>
      <c r="AZ132" s="27">
        <v>0</v>
      </c>
      <c r="BA132" s="27"/>
      <c r="BB132" s="27">
        <f t="shared" si="120"/>
        <v>0</v>
      </c>
      <c r="BC132" s="27">
        <f t="shared" si="121"/>
        <v>0</v>
      </c>
      <c r="BD132" s="27"/>
      <c r="BE132" s="27"/>
      <c r="BF132" s="27">
        <v>0</v>
      </c>
      <c r="BG132" s="27"/>
      <c r="BH132" s="27">
        <f t="shared" si="122"/>
        <v>0</v>
      </c>
      <c r="BI132" s="27">
        <f t="shared" si="123"/>
        <v>0</v>
      </c>
      <c r="BJ132" s="27"/>
      <c r="BK132" s="27"/>
      <c r="BL132" s="27">
        <v>0</v>
      </c>
      <c r="BM132" s="27"/>
      <c r="BN132" s="27">
        <f t="shared" si="124"/>
        <v>0</v>
      </c>
      <c r="BO132" s="27">
        <f t="shared" si="125"/>
        <v>0</v>
      </c>
      <c r="BP132" s="26"/>
      <c r="BQ132" s="27"/>
      <c r="BR132" s="27">
        <v>0</v>
      </c>
      <c r="BS132" s="27"/>
      <c r="BT132" s="27">
        <f t="shared" si="126"/>
        <v>0</v>
      </c>
      <c r="BU132" s="27">
        <f t="shared" si="127"/>
        <v>0</v>
      </c>
      <c r="BV132" s="26"/>
      <c r="BW132" s="27"/>
      <c r="BX132" s="27">
        <v>0</v>
      </c>
      <c r="BY132" s="27"/>
      <c r="BZ132" s="27">
        <f t="shared" si="128"/>
        <v>0</v>
      </c>
      <c r="CA132" s="27">
        <f t="shared" si="129"/>
        <v>0</v>
      </c>
      <c r="CB132" s="26"/>
      <c r="CC132" s="27"/>
      <c r="CD132" s="27">
        <v>0</v>
      </c>
      <c r="CE132" s="27"/>
      <c r="CF132" s="27">
        <f t="shared" si="130"/>
        <v>0</v>
      </c>
      <c r="CG132" s="27">
        <f t="shared" si="131"/>
        <v>0</v>
      </c>
      <c r="CH132" s="26"/>
      <c r="CI132" s="27"/>
      <c r="CJ132" s="27">
        <v>0</v>
      </c>
      <c r="CK132" s="27"/>
      <c r="CL132" s="27">
        <f t="shared" si="132"/>
        <v>0</v>
      </c>
      <c r="CM132" s="27">
        <f t="shared" si="133"/>
        <v>0</v>
      </c>
      <c r="CN132" s="26"/>
      <c r="CO132" s="27"/>
      <c r="CP132" s="27">
        <v>0</v>
      </c>
      <c r="CQ132" s="27"/>
      <c r="CR132" s="27">
        <f t="shared" si="134"/>
        <v>0</v>
      </c>
      <c r="CS132" s="27">
        <f t="shared" si="135"/>
        <v>0</v>
      </c>
      <c r="CT132" s="26"/>
      <c r="CU132" s="27"/>
      <c r="CV132" s="27">
        <v>0</v>
      </c>
      <c r="CW132" s="27"/>
      <c r="CX132" s="27">
        <f t="shared" si="136"/>
        <v>0</v>
      </c>
      <c r="CY132" s="27">
        <f t="shared" si="137"/>
        <v>0</v>
      </c>
      <c r="CZ132" s="26"/>
      <c r="DA132" s="27"/>
      <c r="DB132" s="27">
        <v>0</v>
      </c>
      <c r="DC132" s="27"/>
      <c r="DD132" s="27">
        <f t="shared" si="138"/>
        <v>0</v>
      </c>
      <c r="DE132" s="27">
        <f t="shared" si="139"/>
        <v>0</v>
      </c>
      <c r="DF132" s="28">
        <f t="shared" si="140"/>
        <v>0</v>
      </c>
      <c r="DG132" s="28">
        <f t="shared" si="141"/>
        <v>0</v>
      </c>
      <c r="DH132" s="28">
        <f t="shared" si="142"/>
        <v>0</v>
      </c>
      <c r="DI132" s="28">
        <f t="shared" si="143"/>
        <v>0</v>
      </c>
      <c r="DJ132" s="27">
        <f t="shared" si="144"/>
        <v>0</v>
      </c>
      <c r="DK132" s="27">
        <f t="shared" si="145"/>
        <v>0</v>
      </c>
    </row>
    <row r="133" spans="1:115">
      <c r="A133" s="25">
        <v>125</v>
      </c>
      <c r="B133" s="26" t="s">
        <v>1161</v>
      </c>
      <c r="C133" s="26"/>
      <c r="D133" s="26"/>
      <c r="E133" s="205" t="s">
        <v>1200</v>
      </c>
      <c r="F133" s="161">
        <f t="shared" si="98"/>
        <v>0</v>
      </c>
      <c r="G133" s="165">
        <f t="shared" si="99"/>
        <v>0</v>
      </c>
      <c r="H133" s="27"/>
      <c r="I133" s="27">
        <v>0</v>
      </c>
      <c r="J133" s="27">
        <v>0</v>
      </c>
      <c r="K133" s="127">
        <f t="shared" si="100"/>
        <v>0</v>
      </c>
      <c r="L133" s="127">
        <f t="shared" si="101"/>
        <v>0</v>
      </c>
      <c r="M133" s="127">
        <f t="shared" si="102"/>
        <v>0</v>
      </c>
      <c r="N133" s="131"/>
      <c r="O133" s="125" t="str">
        <f t="shared" si="103"/>
        <v>ნულოვანი შესრულება</v>
      </c>
      <c r="P133" s="27">
        <v>0</v>
      </c>
      <c r="Q133" s="27">
        <v>0</v>
      </c>
      <c r="R133" s="27">
        <f t="shared" si="104"/>
        <v>0</v>
      </c>
      <c r="S133" s="27">
        <f t="shared" si="105"/>
        <v>0</v>
      </c>
      <c r="T133" s="27"/>
      <c r="U133" s="27"/>
      <c r="V133" s="27">
        <v>0</v>
      </c>
      <c r="W133" s="27"/>
      <c r="X133" s="27">
        <f t="shared" si="106"/>
        <v>0</v>
      </c>
      <c r="Y133" s="27">
        <f t="shared" si="107"/>
        <v>0</v>
      </c>
      <c r="Z133" s="27">
        <v>0</v>
      </c>
      <c r="AA133" s="27"/>
      <c r="AB133" s="27"/>
      <c r="AC133" s="27"/>
      <c r="AD133" s="27">
        <f t="shared" si="108"/>
        <v>0</v>
      </c>
      <c r="AE133" s="27">
        <f t="shared" si="109"/>
        <v>0</v>
      </c>
      <c r="AF133" s="27">
        <f t="shared" si="110"/>
        <v>0</v>
      </c>
      <c r="AG133" s="27">
        <f t="shared" si="111"/>
        <v>0</v>
      </c>
      <c r="AH133" s="27">
        <f t="shared" si="112"/>
        <v>0</v>
      </c>
      <c r="AI133" s="27">
        <f t="shared" si="113"/>
        <v>0</v>
      </c>
      <c r="AJ133" s="27">
        <f t="shared" si="114"/>
        <v>0</v>
      </c>
      <c r="AK133" s="27">
        <f t="shared" si="115"/>
        <v>0</v>
      </c>
      <c r="AL133" s="27"/>
      <c r="AM133" s="27"/>
      <c r="AN133" s="27">
        <v>0</v>
      </c>
      <c r="AO133" s="27"/>
      <c r="AP133" s="27">
        <f t="shared" si="116"/>
        <v>0</v>
      </c>
      <c r="AQ133" s="27">
        <f t="shared" si="117"/>
        <v>0</v>
      </c>
      <c r="AR133" s="27"/>
      <c r="AS133" s="27"/>
      <c r="AT133" s="27">
        <v>0</v>
      </c>
      <c r="AU133" s="27"/>
      <c r="AV133" s="27">
        <f t="shared" si="118"/>
        <v>0</v>
      </c>
      <c r="AW133" s="27">
        <f t="shared" si="119"/>
        <v>0</v>
      </c>
      <c r="AX133" s="27"/>
      <c r="AY133" s="27"/>
      <c r="AZ133" s="27">
        <v>0</v>
      </c>
      <c r="BA133" s="27"/>
      <c r="BB133" s="27">
        <f t="shared" si="120"/>
        <v>0</v>
      </c>
      <c r="BC133" s="27">
        <f t="shared" si="121"/>
        <v>0</v>
      </c>
      <c r="BD133" s="27"/>
      <c r="BE133" s="27"/>
      <c r="BF133" s="27">
        <v>0</v>
      </c>
      <c r="BG133" s="27"/>
      <c r="BH133" s="27">
        <f t="shared" si="122"/>
        <v>0</v>
      </c>
      <c r="BI133" s="27">
        <f t="shared" si="123"/>
        <v>0</v>
      </c>
      <c r="BJ133" s="27"/>
      <c r="BK133" s="27"/>
      <c r="BL133" s="27">
        <v>0</v>
      </c>
      <c r="BM133" s="27"/>
      <c r="BN133" s="27">
        <f t="shared" si="124"/>
        <v>0</v>
      </c>
      <c r="BO133" s="27">
        <f t="shared" si="125"/>
        <v>0</v>
      </c>
      <c r="BP133" s="26"/>
      <c r="BQ133" s="27"/>
      <c r="BR133" s="27">
        <v>0</v>
      </c>
      <c r="BS133" s="27"/>
      <c r="BT133" s="27">
        <f t="shared" si="126"/>
        <v>0</v>
      </c>
      <c r="BU133" s="27">
        <f t="shared" si="127"/>
        <v>0</v>
      </c>
      <c r="BV133" s="26"/>
      <c r="BW133" s="27"/>
      <c r="BX133" s="27">
        <v>0</v>
      </c>
      <c r="BY133" s="27"/>
      <c r="BZ133" s="27">
        <f t="shared" si="128"/>
        <v>0</v>
      </c>
      <c r="CA133" s="27">
        <f t="shared" si="129"/>
        <v>0</v>
      </c>
      <c r="CB133" s="26"/>
      <c r="CC133" s="27"/>
      <c r="CD133" s="27">
        <v>0</v>
      </c>
      <c r="CE133" s="27"/>
      <c r="CF133" s="27">
        <f t="shared" si="130"/>
        <v>0</v>
      </c>
      <c r="CG133" s="27">
        <f t="shared" si="131"/>
        <v>0</v>
      </c>
      <c r="CH133" s="26"/>
      <c r="CI133" s="27"/>
      <c r="CJ133" s="27">
        <v>0</v>
      </c>
      <c r="CK133" s="27"/>
      <c r="CL133" s="27">
        <f t="shared" si="132"/>
        <v>0</v>
      </c>
      <c r="CM133" s="27">
        <f t="shared" si="133"/>
        <v>0</v>
      </c>
      <c r="CN133" s="26"/>
      <c r="CO133" s="27"/>
      <c r="CP133" s="27">
        <v>0</v>
      </c>
      <c r="CQ133" s="27"/>
      <c r="CR133" s="27">
        <f t="shared" si="134"/>
        <v>0</v>
      </c>
      <c r="CS133" s="27">
        <f t="shared" si="135"/>
        <v>0</v>
      </c>
      <c r="CT133" s="26"/>
      <c r="CU133" s="27"/>
      <c r="CV133" s="27">
        <v>0</v>
      </c>
      <c r="CW133" s="27"/>
      <c r="CX133" s="27">
        <f t="shared" si="136"/>
        <v>0</v>
      </c>
      <c r="CY133" s="27">
        <f t="shared" si="137"/>
        <v>0</v>
      </c>
      <c r="CZ133" s="26"/>
      <c r="DA133" s="27"/>
      <c r="DB133" s="27">
        <v>0</v>
      </c>
      <c r="DC133" s="27"/>
      <c r="DD133" s="27">
        <f t="shared" si="138"/>
        <v>0</v>
      </c>
      <c r="DE133" s="27">
        <f t="shared" si="139"/>
        <v>0</v>
      </c>
      <c r="DF133" s="28">
        <f t="shared" si="140"/>
        <v>0</v>
      </c>
      <c r="DG133" s="28">
        <f t="shared" si="141"/>
        <v>0</v>
      </c>
      <c r="DH133" s="28">
        <f t="shared" si="142"/>
        <v>0</v>
      </c>
      <c r="DI133" s="28">
        <f t="shared" si="143"/>
        <v>0</v>
      </c>
      <c r="DJ133" s="27">
        <f t="shared" si="144"/>
        <v>0</v>
      </c>
      <c r="DK133" s="27">
        <f t="shared" si="145"/>
        <v>0</v>
      </c>
    </row>
    <row r="134" spans="1:115">
      <c r="A134" s="25">
        <v>126</v>
      </c>
      <c r="B134" s="26" t="s">
        <v>1161</v>
      </c>
      <c r="C134" s="26"/>
      <c r="D134" s="26"/>
      <c r="E134" s="205" t="s">
        <v>1200</v>
      </c>
      <c r="F134" s="161">
        <f t="shared" si="98"/>
        <v>0</v>
      </c>
      <c r="G134" s="165">
        <f t="shared" si="99"/>
        <v>0</v>
      </c>
      <c r="H134" s="27"/>
      <c r="I134" s="27">
        <v>0</v>
      </c>
      <c r="J134" s="27">
        <v>0</v>
      </c>
      <c r="K134" s="127">
        <f t="shared" si="100"/>
        <v>0</v>
      </c>
      <c r="L134" s="127">
        <f t="shared" si="101"/>
        <v>0</v>
      </c>
      <c r="M134" s="127">
        <f t="shared" si="102"/>
        <v>0</v>
      </c>
      <c r="N134" s="131"/>
      <c r="O134" s="125" t="str">
        <f t="shared" si="103"/>
        <v>ნულოვანი შესრულება</v>
      </c>
      <c r="P134" s="27">
        <v>0</v>
      </c>
      <c r="Q134" s="27">
        <v>0</v>
      </c>
      <c r="R134" s="27">
        <f t="shared" si="104"/>
        <v>0</v>
      </c>
      <c r="S134" s="27">
        <f t="shared" si="105"/>
        <v>0</v>
      </c>
      <c r="T134" s="27"/>
      <c r="U134" s="27"/>
      <c r="V134" s="27">
        <v>0</v>
      </c>
      <c r="W134" s="27"/>
      <c r="X134" s="27">
        <f t="shared" si="106"/>
        <v>0</v>
      </c>
      <c r="Y134" s="27">
        <f t="shared" si="107"/>
        <v>0</v>
      </c>
      <c r="Z134" s="27">
        <v>0</v>
      </c>
      <c r="AA134" s="27"/>
      <c r="AB134" s="27"/>
      <c r="AC134" s="27"/>
      <c r="AD134" s="27">
        <f t="shared" si="108"/>
        <v>0</v>
      </c>
      <c r="AE134" s="27">
        <f t="shared" si="109"/>
        <v>0</v>
      </c>
      <c r="AF134" s="27">
        <f t="shared" si="110"/>
        <v>0</v>
      </c>
      <c r="AG134" s="27">
        <f t="shared" si="111"/>
        <v>0</v>
      </c>
      <c r="AH134" s="27">
        <f t="shared" si="112"/>
        <v>0</v>
      </c>
      <c r="AI134" s="27">
        <f t="shared" si="113"/>
        <v>0</v>
      </c>
      <c r="AJ134" s="27">
        <f t="shared" si="114"/>
        <v>0</v>
      </c>
      <c r="AK134" s="27">
        <f t="shared" si="115"/>
        <v>0</v>
      </c>
      <c r="AL134" s="27"/>
      <c r="AM134" s="27"/>
      <c r="AN134" s="27">
        <v>0</v>
      </c>
      <c r="AO134" s="27"/>
      <c r="AP134" s="27">
        <f t="shared" si="116"/>
        <v>0</v>
      </c>
      <c r="AQ134" s="27">
        <f t="shared" si="117"/>
        <v>0</v>
      </c>
      <c r="AR134" s="27"/>
      <c r="AS134" s="27"/>
      <c r="AT134" s="27">
        <v>0</v>
      </c>
      <c r="AU134" s="27"/>
      <c r="AV134" s="27">
        <f t="shared" si="118"/>
        <v>0</v>
      </c>
      <c r="AW134" s="27">
        <f t="shared" si="119"/>
        <v>0</v>
      </c>
      <c r="AX134" s="27"/>
      <c r="AY134" s="27"/>
      <c r="AZ134" s="27">
        <v>0</v>
      </c>
      <c r="BA134" s="27"/>
      <c r="BB134" s="27">
        <f t="shared" si="120"/>
        <v>0</v>
      </c>
      <c r="BC134" s="27">
        <f t="shared" si="121"/>
        <v>0</v>
      </c>
      <c r="BD134" s="27"/>
      <c r="BE134" s="27"/>
      <c r="BF134" s="27">
        <v>0</v>
      </c>
      <c r="BG134" s="27"/>
      <c r="BH134" s="27">
        <f t="shared" si="122"/>
        <v>0</v>
      </c>
      <c r="BI134" s="27">
        <f t="shared" si="123"/>
        <v>0</v>
      </c>
      <c r="BJ134" s="27"/>
      <c r="BK134" s="27"/>
      <c r="BL134" s="27">
        <v>0</v>
      </c>
      <c r="BM134" s="27"/>
      <c r="BN134" s="27">
        <f t="shared" si="124"/>
        <v>0</v>
      </c>
      <c r="BO134" s="27">
        <f t="shared" si="125"/>
        <v>0</v>
      </c>
      <c r="BP134" s="26"/>
      <c r="BQ134" s="27"/>
      <c r="BR134" s="27">
        <v>0</v>
      </c>
      <c r="BS134" s="27"/>
      <c r="BT134" s="27">
        <f t="shared" si="126"/>
        <v>0</v>
      </c>
      <c r="BU134" s="27">
        <f t="shared" si="127"/>
        <v>0</v>
      </c>
      <c r="BV134" s="26"/>
      <c r="BW134" s="27"/>
      <c r="BX134" s="27">
        <v>0</v>
      </c>
      <c r="BY134" s="27"/>
      <c r="BZ134" s="27">
        <f t="shared" si="128"/>
        <v>0</v>
      </c>
      <c r="CA134" s="27">
        <f t="shared" si="129"/>
        <v>0</v>
      </c>
      <c r="CB134" s="26"/>
      <c r="CC134" s="27"/>
      <c r="CD134" s="27">
        <v>0</v>
      </c>
      <c r="CE134" s="27"/>
      <c r="CF134" s="27">
        <f t="shared" si="130"/>
        <v>0</v>
      </c>
      <c r="CG134" s="27">
        <f t="shared" si="131"/>
        <v>0</v>
      </c>
      <c r="CH134" s="26"/>
      <c r="CI134" s="27"/>
      <c r="CJ134" s="27">
        <v>0</v>
      </c>
      <c r="CK134" s="27"/>
      <c r="CL134" s="27">
        <f t="shared" si="132"/>
        <v>0</v>
      </c>
      <c r="CM134" s="27">
        <f t="shared" si="133"/>
        <v>0</v>
      </c>
      <c r="CN134" s="26"/>
      <c r="CO134" s="27"/>
      <c r="CP134" s="27">
        <v>0</v>
      </c>
      <c r="CQ134" s="27"/>
      <c r="CR134" s="27">
        <f t="shared" si="134"/>
        <v>0</v>
      </c>
      <c r="CS134" s="27">
        <f t="shared" si="135"/>
        <v>0</v>
      </c>
      <c r="CT134" s="26"/>
      <c r="CU134" s="27"/>
      <c r="CV134" s="27">
        <v>0</v>
      </c>
      <c r="CW134" s="27"/>
      <c r="CX134" s="27">
        <f t="shared" si="136"/>
        <v>0</v>
      </c>
      <c r="CY134" s="27">
        <f t="shared" si="137"/>
        <v>0</v>
      </c>
      <c r="CZ134" s="26"/>
      <c r="DA134" s="27"/>
      <c r="DB134" s="27">
        <v>0</v>
      </c>
      <c r="DC134" s="27"/>
      <c r="DD134" s="27">
        <f t="shared" si="138"/>
        <v>0</v>
      </c>
      <c r="DE134" s="27">
        <f t="shared" si="139"/>
        <v>0</v>
      </c>
      <c r="DF134" s="28">
        <f t="shared" si="140"/>
        <v>0</v>
      </c>
      <c r="DG134" s="28">
        <f t="shared" si="141"/>
        <v>0</v>
      </c>
      <c r="DH134" s="28">
        <f t="shared" si="142"/>
        <v>0</v>
      </c>
      <c r="DI134" s="28">
        <f t="shared" si="143"/>
        <v>0</v>
      </c>
      <c r="DJ134" s="27">
        <f t="shared" si="144"/>
        <v>0</v>
      </c>
      <c r="DK134" s="27">
        <f t="shared" si="145"/>
        <v>0</v>
      </c>
    </row>
    <row r="135" spans="1:115">
      <c r="A135" s="25">
        <v>127</v>
      </c>
      <c r="B135" s="26" t="s">
        <v>1161</v>
      </c>
      <c r="C135" s="26"/>
      <c r="D135" s="26"/>
      <c r="E135" s="205" t="s">
        <v>1200</v>
      </c>
      <c r="F135" s="161">
        <f t="shared" si="98"/>
        <v>0</v>
      </c>
      <c r="G135" s="165">
        <f t="shared" si="99"/>
        <v>0</v>
      </c>
      <c r="H135" s="27"/>
      <c r="I135" s="27">
        <v>0</v>
      </c>
      <c r="J135" s="27">
        <v>0</v>
      </c>
      <c r="K135" s="127">
        <f t="shared" si="100"/>
        <v>0</v>
      </c>
      <c r="L135" s="127">
        <f t="shared" si="101"/>
        <v>0</v>
      </c>
      <c r="M135" s="127">
        <f t="shared" si="102"/>
        <v>0</v>
      </c>
      <c r="N135" s="131"/>
      <c r="O135" s="125" t="str">
        <f t="shared" si="103"/>
        <v>ნულოვანი შესრულება</v>
      </c>
      <c r="P135" s="27">
        <v>0</v>
      </c>
      <c r="Q135" s="27">
        <v>0</v>
      </c>
      <c r="R135" s="27">
        <f t="shared" si="104"/>
        <v>0</v>
      </c>
      <c r="S135" s="27">
        <f t="shared" si="105"/>
        <v>0</v>
      </c>
      <c r="T135" s="27"/>
      <c r="U135" s="27"/>
      <c r="V135" s="27">
        <v>0</v>
      </c>
      <c r="W135" s="27"/>
      <c r="X135" s="27">
        <f t="shared" si="106"/>
        <v>0</v>
      </c>
      <c r="Y135" s="27">
        <f t="shared" si="107"/>
        <v>0</v>
      </c>
      <c r="Z135" s="27">
        <v>0</v>
      </c>
      <c r="AA135" s="27"/>
      <c r="AB135" s="27"/>
      <c r="AC135" s="27"/>
      <c r="AD135" s="27">
        <f t="shared" si="108"/>
        <v>0</v>
      </c>
      <c r="AE135" s="27">
        <f t="shared" si="109"/>
        <v>0</v>
      </c>
      <c r="AF135" s="27">
        <f t="shared" si="110"/>
        <v>0</v>
      </c>
      <c r="AG135" s="27">
        <f t="shared" si="111"/>
        <v>0</v>
      </c>
      <c r="AH135" s="27">
        <f t="shared" si="112"/>
        <v>0</v>
      </c>
      <c r="AI135" s="27">
        <f t="shared" si="113"/>
        <v>0</v>
      </c>
      <c r="AJ135" s="27">
        <f t="shared" si="114"/>
        <v>0</v>
      </c>
      <c r="AK135" s="27">
        <f t="shared" si="115"/>
        <v>0</v>
      </c>
      <c r="AL135" s="27"/>
      <c r="AM135" s="27"/>
      <c r="AN135" s="27">
        <v>0</v>
      </c>
      <c r="AO135" s="27"/>
      <c r="AP135" s="27">
        <f t="shared" si="116"/>
        <v>0</v>
      </c>
      <c r="AQ135" s="27">
        <f t="shared" si="117"/>
        <v>0</v>
      </c>
      <c r="AR135" s="27"/>
      <c r="AS135" s="27"/>
      <c r="AT135" s="27">
        <v>0</v>
      </c>
      <c r="AU135" s="27"/>
      <c r="AV135" s="27">
        <f t="shared" si="118"/>
        <v>0</v>
      </c>
      <c r="AW135" s="27">
        <f t="shared" si="119"/>
        <v>0</v>
      </c>
      <c r="AX135" s="27"/>
      <c r="AY135" s="27"/>
      <c r="AZ135" s="27">
        <v>0</v>
      </c>
      <c r="BA135" s="27"/>
      <c r="BB135" s="27">
        <f t="shared" si="120"/>
        <v>0</v>
      </c>
      <c r="BC135" s="27">
        <f t="shared" si="121"/>
        <v>0</v>
      </c>
      <c r="BD135" s="27"/>
      <c r="BE135" s="27"/>
      <c r="BF135" s="27">
        <v>0</v>
      </c>
      <c r="BG135" s="27"/>
      <c r="BH135" s="27">
        <f t="shared" si="122"/>
        <v>0</v>
      </c>
      <c r="BI135" s="27">
        <f t="shared" si="123"/>
        <v>0</v>
      </c>
      <c r="BJ135" s="27"/>
      <c r="BK135" s="27"/>
      <c r="BL135" s="27">
        <v>0</v>
      </c>
      <c r="BM135" s="27"/>
      <c r="BN135" s="27">
        <f t="shared" si="124"/>
        <v>0</v>
      </c>
      <c r="BO135" s="27">
        <f t="shared" si="125"/>
        <v>0</v>
      </c>
      <c r="BP135" s="26"/>
      <c r="BQ135" s="27"/>
      <c r="BR135" s="27">
        <v>0</v>
      </c>
      <c r="BS135" s="27"/>
      <c r="BT135" s="27">
        <f t="shared" si="126"/>
        <v>0</v>
      </c>
      <c r="BU135" s="27">
        <f t="shared" si="127"/>
        <v>0</v>
      </c>
      <c r="BV135" s="26"/>
      <c r="BW135" s="27"/>
      <c r="BX135" s="27">
        <v>0</v>
      </c>
      <c r="BY135" s="27"/>
      <c r="BZ135" s="27">
        <f t="shared" si="128"/>
        <v>0</v>
      </c>
      <c r="CA135" s="27">
        <f t="shared" si="129"/>
        <v>0</v>
      </c>
      <c r="CB135" s="26"/>
      <c r="CC135" s="27"/>
      <c r="CD135" s="27">
        <v>0</v>
      </c>
      <c r="CE135" s="27"/>
      <c r="CF135" s="27">
        <f t="shared" si="130"/>
        <v>0</v>
      </c>
      <c r="CG135" s="27">
        <f t="shared" si="131"/>
        <v>0</v>
      </c>
      <c r="CH135" s="26"/>
      <c r="CI135" s="27"/>
      <c r="CJ135" s="27">
        <v>0</v>
      </c>
      <c r="CK135" s="27"/>
      <c r="CL135" s="27">
        <f t="shared" si="132"/>
        <v>0</v>
      </c>
      <c r="CM135" s="27">
        <f t="shared" si="133"/>
        <v>0</v>
      </c>
      <c r="CN135" s="26"/>
      <c r="CO135" s="27"/>
      <c r="CP135" s="27">
        <v>0</v>
      </c>
      <c r="CQ135" s="27"/>
      <c r="CR135" s="27">
        <f t="shared" si="134"/>
        <v>0</v>
      </c>
      <c r="CS135" s="27">
        <f t="shared" si="135"/>
        <v>0</v>
      </c>
      <c r="CT135" s="26"/>
      <c r="CU135" s="27"/>
      <c r="CV135" s="27">
        <v>0</v>
      </c>
      <c r="CW135" s="27"/>
      <c r="CX135" s="27">
        <f t="shared" si="136"/>
        <v>0</v>
      </c>
      <c r="CY135" s="27">
        <f t="shared" si="137"/>
        <v>0</v>
      </c>
      <c r="CZ135" s="26"/>
      <c r="DA135" s="27"/>
      <c r="DB135" s="27">
        <v>0</v>
      </c>
      <c r="DC135" s="27"/>
      <c r="DD135" s="27">
        <f t="shared" si="138"/>
        <v>0</v>
      </c>
      <c r="DE135" s="27">
        <f t="shared" si="139"/>
        <v>0</v>
      </c>
      <c r="DF135" s="28">
        <f t="shared" si="140"/>
        <v>0</v>
      </c>
      <c r="DG135" s="28">
        <f t="shared" si="141"/>
        <v>0</v>
      </c>
      <c r="DH135" s="28">
        <f t="shared" si="142"/>
        <v>0</v>
      </c>
      <c r="DI135" s="28">
        <f t="shared" si="143"/>
        <v>0</v>
      </c>
      <c r="DJ135" s="27">
        <f t="shared" si="144"/>
        <v>0</v>
      </c>
      <c r="DK135" s="27">
        <f t="shared" si="145"/>
        <v>0</v>
      </c>
    </row>
    <row r="136" spans="1:115">
      <c r="A136" s="25">
        <v>128</v>
      </c>
      <c r="B136" s="26" t="s">
        <v>1161</v>
      </c>
      <c r="C136" s="26"/>
      <c r="D136" s="26"/>
      <c r="E136" s="205" t="s">
        <v>1200</v>
      </c>
      <c r="F136" s="161">
        <f t="shared" si="98"/>
        <v>0</v>
      </c>
      <c r="G136" s="165">
        <f t="shared" si="99"/>
        <v>0</v>
      </c>
      <c r="H136" s="27"/>
      <c r="I136" s="27">
        <v>0</v>
      </c>
      <c r="J136" s="27">
        <v>0</v>
      </c>
      <c r="K136" s="127">
        <f t="shared" si="100"/>
        <v>0</v>
      </c>
      <c r="L136" s="127">
        <f t="shared" si="101"/>
        <v>0</v>
      </c>
      <c r="M136" s="127">
        <f t="shared" si="102"/>
        <v>0</v>
      </c>
      <c r="N136" s="131"/>
      <c r="O136" s="125" t="str">
        <f t="shared" si="103"/>
        <v>ნულოვანი შესრულება</v>
      </c>
      <c r="P136" s="27">
        <v>0</v>
      </c>
      <c r="Q136" s="27">
        <v>0</v>
      </c>
      <c r="R136" s="27">
        <f t="shared" si="104"/>
        <v>0</v>
      </c>
      <c r="S136" s="27">
        <f t="shared" si="105"/>
        <v>0</v>
      </c>
      <c r="T136" s="27"/>
      <c r="U136" s="27"/>
      <c r="V136" s="27">
        <v>0</v>
      </c>
      <c r="W136" s="27"/>
      <c r="X136" s="27">
        <f t="shared" si="106"/>
        <v>0</v>
      </c>
      <c r="Y136" s="27">
        <f t="shared" si="107"/>
        <v>0</v>
      </c>
      <c r="Z136" s="27">
        <v>0</v>
      </c>
      <c r="AA136" s="27"/>
      <c r="AB136" s="27"/>
      <c r="AC136" s="27"/>
      <c r="AD136" s="27">
        <f t="shared" si="108"/>
        <v>0</v>
      </c>
      <c r="AE136" s="27">
        <f t="shared" si="109"/>
        <v>0</v>
      </c>
      <c r="AF136" s="27">
        <f t="shared" si="110"/>
        <v>0</v>
      </c>
      <c r="AG136" s="27">
        <f t="shared" si="111"/>
        <v>0</v>
      </c>
      <c r="AH136" s="27">
        <f t="shared" si="112"/>
        <v>0</v>
      </c>
      <c r="AI136" s="27">
        <f t="shared" si="113"/>
        <v>0</v>
      </c>
      <c r="AJ136" s="27">
        <f t="shared" si="114"/>
        <v>0</v>
      </c>
      <c r="AK136" s="27">
        <f t="shared" si="115"/>
        <v>0</v>
      </c>
      <c r="AL136" s="27"/>
      <c r="AM136" s="27"/>
      <c r="AN136" s="27">
        <v>0</v>
      </c>
      <c r="AO136" s="27"/>
      <c r="AP136" s="27">
        <f t="shared" si="116"/>
        <v>0</v>
      </c>
      <c r="AQ136" s="27">
        <f t="shared" si="117"/>
        <v>0</v>
      </c>
      <c r="AR136" s="27"/>
      <c r="AS136" s="27"/>
      <c r="AT136" s="27">
        <v>0</v>
      </c>
      <c r="AU136" s="27"/>
      <c r="AV136" s="27">
        <f t="shared" si="118"/>
        <v>0</v>
      </c>
      <c r="AW136" s="27">
        <f t="shared" si="119"/>
        <v>0</v>
      </c>
      <c r="AX136" s="27"/>
      <c r="AY136" s="27"/>
      <c r="AZ136" s="27">
        <v>0</v>
      </c>
      <c r="BA136" s="27"/>
      <c r="BB136" s="27">
        <f t="shared" si="120"/>
        <v>0</v>
      </c>
      <c r="BC136" s="27">
        <f t="shared" si="121"/>
        <v>0</v>
      </c>
      <c r="BD136" s="27"/>
      <c r="BE136" s="27"/>
      <c r="BF136" s="27">
        <v>0</v>
      </c>
      <c r="BG136" s="27"/>
      <c r="BH136" s="27">
        <f t="shared" si="122"/>
        <v>0</v>
      </c>
      <c r="BI136" s="27">
        <f t="shared" si="123"/>
        <v>0</v>
      </c>
      <c r="BJ136" s="27"/>
      <c r="BK136" s="27"/>
      <c r="BL136" s="27">
        <v>0</v>
      </c>
      <c r="BM136" s="27"/>
      <c r="BN136" s="27">
        <f t="shared" si="124"/>
        <v>0</v>
      </c>
      <c r="BO136" s="27">
        <f t="shared" si="125"/>
        <v>0</v>
      </c>
      <c r="BP136" s="26"/>
      <c r="BQ136" s="27"/>
      <c r="BR136" s="27">
        <v>0</v>
      </c>
      <c r="BS136" s="27"/>
      <c r="BT136" s="27">
        <f t="shared" si="126"/>
        <v>0</v>
      </c>
      <c r="BU136" s="27">
        <f t="shared" si="127"/>
        <v>0</v>
      </c>
      <c r="BV136" s="26"/>
      <c r="BW136" s="27"/>
      <c r="BX136" s="27">
        <v>0</v>
      </c>
      <c r="BY136" s="27"/>
      <c r="BZ136" s="27">
        <f t="shared" si="128"/>
        <v>0</v>
      </c>
      <c r="CA136" s="27">
        <f t="shared" si="129"/>
        <v>0</v>
      </c>
      <c r="CB136" s="26"/>
      <c r="CC136" s="27"/>
      <c r="CD136" s="27">
        <v>0</v>
      </c>
      <c r="CE136" s="27"/>
      <c r="CF136" s="27">
        <f t="shared" si="130"/>
        <v>0</v>
      </c>
      <c r="CG136" s="27">
        <f t="shared" si="131"/>
        <v>0</v>
      </c>
      <c r="CH136" s="26"/>
      <c r="CI136" s="27"/>
      <c r="CJ136" s="27">
        <v>0</v>
      </c>
      <c r="CK136" s="27"/>
      <c r="CL136" s="27">
        <f t="shared" si="132"/>
        <v>0</v>
      </c>
      <c r="CM136" s="27">
        <f t="shared" si="133"/>
        <v>0</v>
      </c>
      <c r="CN136" s="26"/>
      <c r="CO136" s="27"/>
      <c r="CP136" s="27">
        <v>0</v>
      </c>
      <c r="CQ136" s="27"/>
      <c r="CR136" s="27">
        <f t="shared" si="134"/>
        <v>0</v>
      </c>
      <c r="CS136" s="27">
        <f t="shared" si="135"/>
        <v>0</v>
      </c>
      <c r="CT136" s="26"/>
      <c r="CU136" s="27"/>
      <c r="CV136" s="27">
        <v>0</v>
      </c>
      <c r="CW136" s="27"/>
      <c r="CX136" s="27">
        <f t="shared" si="136"/>
        <v>0</v>
      </c>
      <c r="CY136" s="27">
        <f t="shared" si="137"/>
        <v>0</v>
      </c>
      <c r="CZ136" s="26"/>
      <c r="DA136" s="27"/>
      <c r="DB136" s="27">
        <v>0</v>
      </c>
      <c r="DC136" s="27"/>
      <c r="DD136" s="27">
        <f t="shared" si="138"/>
        <v>0</v>
      </c>
      <c r="DE136" s="27">
        <f t="shared" si="139"/>
        <v>0</v>
      </c>
      <c r="DF136" s="28">
        <f t="shared" si="140"/>
        <v>0</v>
      </c>
      <c r="DG136" s="28">
        <f t="shared" si="141"/>
        <v>0</v>
      </c>
      <c r="DH136" s="28">
        <f t="shared" si="142"/>
        <v>0</v>
      </c>
      <c r="DI136" s="28">
        <f t="shared" si="143"/>
        <v>0</v>
      </c>
      <c r="DJ136" s="27">
        <f t="shared" si="144"/>
        <v>0</v>
      </c>
      <c r="DK136" s="27">
        <f t="shared" si="145"/>
        <v>0</v>
      </c>
    </row>
    <row r="137" spans="1:115">
      <c r="A137" s="25">
        <v>129</v>
      </c>
      <c r="B137" s="26" t="s">
        <v>1161</v>
      </c>
      <c r="C137" s="26"/>
      <c r="D137" s="26"/>
      <c r="E137" s="205" t="s">
        <v>1200</v>
      </c>
      <c r="F137" s="161">
        <f t="shared" si="98"/>
        <v>0</v>
      </c>
      <c r="G137" s="165">
        <f t="shared" si="99"/>
        <v>0</v>
      </c>
      <c r="H137" s="27"/>
      <c r="I137" s="27">
        <v>0</v>
      </c>
      <c r="J137" s="27">
        <v>0</v>
      </c>
      <c r="K137" s="127">
        <f t="shared" si="100"/>
        <v>0</v>
      </c>
      <c r="L137" s="127">
        <f t="shared" si="101"/>
        <v>0</v>
      </c>
      <c r="M137" s="127">
        <f t="shared" si="102"/>
        <v>0</v>
      </c>
      <c r="N137" s="131"/>
      <c r="O137" s="125" t="str">
        <f t="shared" si="103"/>
        <v>ნულოვანი შესრულება</v>
      </c>
      <c r="P137" s="27">
        <v>0</v>
      </c>
      <c r="Q137" s="27">
        <v>0</v>
      </c>
      <c r="R137" s="27">
        <f t="shared" si="104"/>
        <v>0</v>
      </c>
      <c r="S137" s="27">
        <f t="shared" si="105"/>
        <v>0</v>
      </c>
      <c r="T137" s="27"/>
      <c r="U137" s="27"/>
      <c r="V137" s="27">
        <v>0</v>
      </c>
      <c r="W137" s="27"/>
      <c r="X137" s="27">
        <f t="shared" si="106"/>
        <v>0</v>
      </c>
      <c r="Y137" s="27">
        <f t="shared" si="107"/>
        <v>0</v>
      </c>
      <c r="Z137" s="27">
        <v>0</v>
      </c>
      <c r="AA137" s="27"/>
      <c r="AB137" s="27"/>
      <c r="AC137" s="27"/>
      <c r="AD137" s="27">
        <f t="shared" si="108"/>
        <v>0</v>
      </c>
      <c r="AE137" s="27">
        <f t="shared" si="109"/>
        <v>0</v>
      </c>
      <c r="AF137" s="27">
        <f t="shared" si="110"/>
        <v>0</v>
      </c>
      <c r="AG137" s="27">
        <f t="shared" si="111"/>
        <v>0</v>
      </c>
      <c r="AH137" s="27">
        <f t="shared" si="112"/>
        <v>0</v>
      </c>
      <c r="AI137" s="27">
        <f t="shared" si="113"/>
        <v>0</v>
      </c>
      <c r="AJ137" s="27">
        <f t="shared" si="114"/>
        <v>0</v>
      </c>
      <c r="AK137" s="27">
        <f t="shared" si="115"/>
        <v>0</v>
      </c>
      <c r="AL137" s="27"/>
      <c r="AM137" s="27"/>
      <c r="AN137" s="27">
        <v>0</v>
      </c>
      <c r="AO137" s="27"/>
      <c r="AP137" s="27">
        <f t="shared" si="116"/>
        <v>0</v>
      </c>
      <c r="AQ137" s="27">
        <f t="shared" si="117"/>
        <v>0</v>
      </c>
      <c r="AR137" s="27"/>
      <c r="AS137" s="27"/>
      <c r="AT137" s="27">
        <v>0</v>
      </c>
      <c r="AU137" s="27"/>
      <c r="AV137" s="27">
        <f t="shared" si="118"/>
        <v>0</v>
      </c>
      <c r="AW137" s="27">
        <f t="shared" si="119"/>
        <v>0</v>
      </c>
      <c r="AX137" s="27"/>
      <c r="AY137" s="27"/>
      <c r="AZ137" s="27">
        <v>0</v>
      </c>
      <c r="BA137" s="27"/>
      <c r="BB137" s="27">
        <f t="shared" si="120"/>
        <v>0</v>
      </c>
      <c r="BC137" s="27">
        <f t="shared" si="121"/>
        <v>0</v>
      </c>
      <c r="BD137" s="27"/>
      <c r="BE137" s="27"/>
      <c r="BF137" s="27">
        <v>0</v>
      </c>
      <c r="BG137" s="27"/>
      <c r="BH137" s="27">
        <f t="shared" si="122"/>
        <v>0</v>
      </c>
      <c r="BI137" s="27">
        <f t="shared" si="123"/>
        <v>0</v>
      </c>
      <c r="BJ137" s="27"/>
      <c r="BK137" s="27"/>
      <c r="BL137" s="27">
        <v>0</v>
      </c>
      <c r="BM137" s="27"/>
      <c r="BN137" s="27">
        <f t="shared" si="124"/>
        <v>0</v>
      </c>
      <c r="BO137" s="27">
        <f t="shared" si="125"/>
        <v>0</v>
      </c>
      <c r="BP137" s="26"/>
      <c r="BQ137" s="27"/>
      <c r="BR137" s="27">
        <v>0</v>
      </c>
      <c r="BS137" s="27"/>
      <c r="BT137" s="27">
        <f t="shared" si="126"/>
        <v>0</v>
      </c>
      <c r="BU137" s="27">
        <f t="shared" si="127"/>
        <v>0</v>
      </c>
      <c r="BV137" s="26"/>
      <c r="BW137" s="27"/>
      <c r="BX137" s="27">
        <v>0</v>
      </c>
      <c r="BY137" s="27"/>
      <c r="BZ137" s="27">
        <f t="shared" si="128"/>
        <v>0</v>
      </c>
      <c r="CA137" s="27">
        <f t="shared" si="129"/>
        <v>0</v>
      </c>
      <c r="CB137" s="26"/>
      <c r="CC137" s="27"/>
      <c r="CD137" s="27">
        <v>0</v>
      </c>
      <c r="CE137" s="27"/>
      <c r="CF137" s="27">
        <f t="shared" si="130"/>
        <v>0</v>
      </c>
      <c r="CG137" s="27">
        <f t="shared" si="131"/>
        <v>0</v>
      </c>
      <c r="CH137" s="26"/>
      <c r="CI137" s="27"/>
      <c r="CJ137" s="27">
        <v>0</v>
      </c>
      <c r="CK137" s="27"/>
      <c r="CL137" s="27">
        <f t="shared" si="132"/>
        <v>0</v>
      </c>
      <c r="CM137" s="27">
        <f t="shared" si="133"/>
        <v>0</v>
      </c>
      <c r="CN137" s="26"/>
      <c r="CO137" s="27"/>
      <c r="CP137" s="27">
        <v>0</v>
      </c>
      <c r="CQ137" s="27"/>
      <c r="CR137" s="27">
        <f t="shared" si="134"/>
        <v>0</v>
      </c>
      <c r="CS137" s="27">
        <f t="shared" si="135"/>
        <v>0</v>
      </c>
      <c r="CT137" s="26"/>
      <c r="CU137" s="27"/>
      <c r="CV137" s="27">
        <v>0</v>
      </c>
      <c r="CW137" s="27"/>
      <c r="CX137" s="27">
        <f t="shared" si="136"/>
        <v>0</v>
      </c>
      <c r="CY137" s="27">
        <f t="shared" si="137"/>
        <v>0</v>
      </c>
      <c r="CZ137" s="26"/>
      <c r="DA137" s="27"/>
      <c r="DB137" s="27">
        <v>0</v>
      </c>
      <c r="DC137" s="27"/>
      <c r="DD137" s="27">
        <f t="shared" si="138"/>
        <v>0</v>
      </c>
      <c r="DE137" s="27">
        <f t="shared" si="139"/>
        <v>0</v>
      </c>
      <c r="DF137" s="28">
        <f t="shared" si="140"/>
        <v>0</v>
      </c>
      <c r="DG137" s="28">
        <f t="shared" si="141"/>
        <v>0</v>
      </c>
      <c r="DH137" s="28">
        <f t="shared" si="142"/>
        <v>0</v>
      </c>
      <c r="DI137" s="28">
        <f t="shared" si="143"/>
        <v>0</v>
      </c>
      <c r="DJ137" s="27">
        <f t="shared" si="144"/>
        <v>0</v>
      </c>
      <c r="DK137" s="27">
        <f t="shared" si="145"/>
        <v>0</v>
      </c>
    </row>
    <row r="138" spans="1:115">
      <c r="A138" s="25">
        <v>130</v>
      </c>
      <c r="B138" s="26" t="s">
        <v>1161</v>
      </c>
      <c r="C138" s="26"/>
      <c r="D138" s="26"/>
      <c r="E138" s="205" t="s">
        <v>1200</v>
      </c>
      <c r="F138" s="161">
        <f t="shared" si="98"/>
        <v>0</v>
      </c>
      <c r="G138" s="165">
        <f t="shared" si="99"/>
        <v>0</v>
      </c>
      <c r="H138" s="27"/>
      <c r="I138" s="27">
        <v>0</v>
      </c>
      <c r="J138" s="27">
        <v>0</v>
      </c>
      <c r="K138" s="127">
        <f t="shared" si="100"/>
        <v>0</v>
      </c>
      <c r="L138" s="127">
        <f t="shared" si="101"/>
        <v>0</v>
      </c>
      <c r="M138" s="127">
        <f t="shared" si="102"/>
        <v>0</v>
      </c>
      <c r="N138" s="131"/>
      <c r="O138" s="125" t="str">
        <f t="shared" si="103"/>
        <v>ნულოვანი შესრულება</v>
      </c>
      <c r="P138" s="27">
        <v>0</v>
      </c>
      <c r="Q138" s="27">
        <v>0</v>
      </c>
      <c r="R138" s="27">
        <f t="shared" si="104"/>
        <v>0</v>
      </c>
      <c r="S138" s="27">
        <f t="shared" si="105"/>
        <v>0</v>
      </c>
      <c r="T138" s="27"/>
      <c r="U138" s="27"/>
      <c r="V138" s="27">
        <v>0</v>
      </c>
      <c r="W138" s="27"/>
      <c r="X138" s="27">
        <f t="shared" si="106"/>
        <v>0</v>
      </c>
      <c r="Y138" s="27">
        <f t="shared" si="107"/>
        <v>0</v>
      </c>
      <c r="Z138" s="27">
        <v>0</v>
      </c>
      <c r="AA138" s="27"/>
      <c r="AB138" s="27"/>
      <c r="AC138" s="27"/>
      <c r="AD138" s="27">
        <f t="shared" si="108"/>
        <v>0</v>
      </c>
      <c r="AE138" s="27">
        <f t="shared" si="109"/>
        <v>0</v>
      </c>
      <c r="AF138" s="27">
        <f t="shared" si="110"/>
        <v>0</v>
      </c>
      <c r="AG138" s="27">
        <f t="shared" si="111"/>
        <v>0</v>
      </c>
      <c r="AH138" s="27">
        <f t="shared" si="112"/>
        <v>0</v>
      </c>
      <c r="AI138" s="27">
        <f t="shared" si="113"/>
        <v>0</v>
      </c>
      <c r="AJ138" s="27">
        <f t="shared" si="114"/>
        <v>0</v>
      </c>
      <c r="AK138" s="27">
        <f t="shared" si="115"/>
        <v>0</v>
      </c>
      <c r="AL138" s="27"/>
      <c r="AM138" s="27"/>
      <c r="AN138" s="27">
        <v>0</v>
      </c>
      <c r="AO138" s="27"/>
      <c r="AP138" s="27">
        <f t="shared" si="116"/>
        <v>0</v>
      </c>
      <c r="AQ138" s="27">
        <f t="shared" si="117"/>
        <v>0</v>
      </c>
      <c r="AR138" s="27"/>
      <c r="AS138" s="27"/>
      <c r="AT138" s="27">
        <v>0</v>
      </c>
      <c r="AU138" s="27"/>
      <c r="AV138" s="27">
        <f t="shared" si="118"/>
        <v>0</v>
      </c>
      <c r="AW138" s="27">
        <f t="shared" si="119"/>
        <v>0</v>
      </c>
      <c r="AX138" s="27"/>
      <c r="AY138" s="27"/>
      <c r="AZ138" s="27">
        <v>0</v>
      </c>
      <c r="BA138" s="27"/>
      <c r="BB138" s="27">
        <f t="shared" si="120"/>
        <v>0</v>
      </c>
      <c r="BC138" s="27">
        <f t="shared" si="121"/>
        <v>0</v>
      </c>
      <c r="BD138" s="27"/>
      <c r="BE138" s="27"/>
      <c r="BF138" s="27">
        <v>0</v>
      </c>
      <c r="BG138" s="27"/>
      <c r="BH138" s="27">
        <f t="shared" si="122"/>
        <v>0</v>
      </c>
      <c r="BI138" s="27">
        <f t="shared" si="123"/>
        <v>0</v>
      </c>
      <c r="BJ138" s="27"/>
      <c r="BK138" s="27"/>
      <c r="BL138" s="27">
        <v>0</v>
      </c>
      <c r="BM138" s="27"/>
      <c r="BN138" s="27">
        <f t="shared" si="124"/>
        <v>0</v>
      </c>
      <c r="BO138" s="27">
        <f t="shared" si="125"/>
        <v>0</v>
      </c>
      <c r="BP138" s="26"/>
      <c r="BQ138" s="27"/>
      <c r="BR138" s="27">
        <v>0</v>
      </c>
      <c r="BS138" s="27"/>
      <c r="BT138" s="27">
        <f t="shared" si="126"/>
        <v>0</v>
      </c>
      <c r="BU138" s="27">
        <f t="shared" si="127"/>
        <v>0</v>
      </c>
      <c r="BV138" s="26"/>
      <c r="BW138" s="27"/>
      <c r="BX138" s="27">
        <v>0</v>
      </c>
      <c r="BY138" s="27"/>
      <c r="BZ138" s="27">
        <f t="shared" si="128"/>
        <v>0</v>
      </c>
      <c r="CA138" s="27">
        <f t="shared" si="129"/>
        <v>0</v>
      </c>
      <c r="CB138" s="26"/>
      <c r="CC138" s="27"/>
      <c r="CD138" s="27">
        <v>0</v>
      </c>
      <c r="CE138" s="27"/>
      <c r="CF138" s="27">
        <f t="shared" si="130"/>
        <v>0</v>
      </c>
      <c r="CG138" s="27">
        <f t="shared" si="131"/>
        <v>0</v>
      </c>
      <c r="CH138" s="26"/>
      <c r="CI138" s="27"/>
      <c r="CJ138" s="27">
        <v>0</v>
      </c>
      <c r="CK138" s="27"/>
      <c r="CL138" s="27">
        <f t="shared" si="132"/>
        <v>0</v>
      </c>
      <c r="CM138" s="27">
        <f t="shared" si="133"/>
        <v>0</v>
      </c>
      <c r="CN138" s="26"/>
      <c r="CO138" s="27"/>
      <c r="CP138" s="27">
        <v>0</v>
      </c>
      <c r="CQ138" s="27"/>
      <c r="CR138" s="27">
        <f t="shared" si="134"/>
        <v>0</v>
      </c>
      <c r="CS138" s="27">
        <f t="shared" si="135"/>
        <v>0</v>
      </c>
      <c r="CT138" s="26"/>
      <c r="CU138" s="27"/>
      <c r="CV138" s="27">
        <v>0</v>
      </c>
      <c r="CW138" s="27"/>
      <c r="CX138" s="27">
        <f t="shared" si="136"/>
        <v>0</v>
      </c>
      <c r="CY138" s="27">
        <f t="shared" si="137"/>
        <v>0</v>
      </c>
      <c r="CZ138" s="26"/>
      <c r="DA138" s="27"/>
      <c r="DB138" s="27">
        <v>0</v>
      </c>
      <c r="DC138" s="27"/>
      <c r="DD138" s="27">
        <f t="shared" si="138"/>
        <v>0</v>
      </c>
      <c r="DE138" s="27">
        <f t="shared" si="139"/>
        <v>0</v>
      </c>
      <c r="DF138" s="28">
        <f t="shared" si="140"/>
        <v>0</v>
      </c>
      <c r="DG138" s="28">
        <f t="shared" si="141"/>
        <v>0</v>
      </c>
      <c r="DH138" s="28">
        <f t="shared" si="142"/>
        <v>0</v>
      </c>
      <c r="DI138" s="28">
        <f t="shared" si="143"/>
        <v>0</v>
      </c>
      <c r="DJ138" s="27">
        <f t="shared" si="144"/>
        <v>0</v>
      </c>
      <c r="DK138" s="27">
        <f t="shared" si="145"/>
        <v>0</v>
      </c>
    </row>
    <row r="139" spans="1:115">
      <c r="A139" s="25">
        <v>131</v>
      </c>
      <c r="B139" s="26" t="s">
        <v>1161</v>
      </c>
      <c r="C139" s="26"/>
      <c r="D139" s="26"/>
      <c r="E139" s="205" t="s">
        <v>1200</v>
      </c>
      <c r="F139" s="161">
        <f t="shared" si="98"/>
        <v>0</v>
      </c>
      <c r="G139" s="165">
        <f t="shared" si="99"/>
        <v>0</v>
      </c>
      <c r="H139" s="27"/>
      <c r="I139" s="27">
        <v>0</v>
      </c>
      <c r="J139" s="27">
        <v>0</v>
      </c>
      <c r="K139" s="127">
        <f t="shared" si="100"/>
        <v>0</v>
      </c>
      <c r="L139" s="127">
        <f t="shared" si="101"/>
        <v>0</v>
      </c>
      <c r="M139" s="127">
        <f t="shared" si="102"/>
        <v>0</v>
      </c>
      <c r="N139" s="131"/>
      <c r="O139" s="125" t="str">
        <f t="shared" si="103"/>
        <v>ნულოვანი შესრულება</v>
      </c>
      <c r="P139" s="27">
        <v>0</v>
      </c>
      <c r="Q139" s="27">
        <v>0</v>
      </c>
      <c r="R139" s="27">
        <f t="shared" si="104"/>
        <v>0</v>
      </c>
      <c r="S139" s="27">
        <f t="shared" si="105"/>
        <v>0</v>
      </c>
      <c r="T139" s="27"/>
      <c r="U139" s="27"/>
      <c r="V139" s="27">
        <v>0</v>
      </c>
      <c r="W139" s="27"/>
      <c r="X139" s="27">
        <f t="shared" si="106"/>
        <v>0</v>
      </c>
      <c r="Y139" s="27">
        <f t="shared" si="107"/>
        <v>0</v>
      </c>
      <c r="Z139" s="27">
        <v>0</v>
      </c>
      <c r="AA139" s="27"/>
      <c r="AB139" s="27"/>
      <c r="AC139" s="27"/>
      <c r="AD139" s="27">
        <f t="shared" si="108"/>
        <v>0</v>
      </c>
      <c r="AE139" s="27">
        <f t="shared" si="109"/>
        <v>0</v>
      </c>
      <c r="AF139" s="27">
        <f t="shared" si="110"/>
        <v>0</v>
      </c>
      <c r="AG139" s="27">
        <f t="shared" si="111"/>
        <v>0</v>
      </c>
      <c r="AH139" s="27">
        <f t="shared" si="112"/>
        <v>0</v>
      </c>
      <c r="AI139" s="27">
        <f t="shared" si="113"/>
        <v>0</v>
      </c>
      <c r="AJ139" s="27">
        <f t="shared" si="114"/>
        <v>0</v>
      </c>
      <c r="AK139" s="27">
        <f t="shared" si="115"/>
        <v>0</v>
      </c>
      <c r="AL139" s="27"/>
      <c r="AM139" s="27"/>
      <c r="AN139" s="27">
        <v>0</v>
      </c>
      <c r="AO139" s="27"/>
      <c r="AP139" s="27">
        <f t="shared" si="116"/>
        <v>0</v>
      </c>
      <c r="AQ139" s="27">
        <f t="shared" si="117"/>
        <v>0</v>
      </c>
      <c r="AR139" s="27"/>
      <c r="AS139" s="27"/>
      <c r="AT139" s="27">
        <v>0</v>
      </c>
      <c r="AU139" s="27"/>
      <c r="AV139" s="27">
        <f t="shared" si="118"/>
        <v>0</v>
      </c>
      <c r="AW139" s="27">
        <f t="shared" si="119"/>
        <v>0</v>
      </c>
      <c r="AX139" s="27"/>
      <c r="AY139" s="27"/>
      <c r="AZ139" s="27">
        <v>0</v>
      </c>
      <c r="BA139" s="27"/>
      <c r="BB139" s="27">
        <f t="shared" si="120"/>
        <v>0</v>
      </c>
      <c r="BC139" s="27">
        <f t="shared" si="121"/>
        <v>0</v>
      </c>
      <c r="BD139" s="27"/>
      <c r="BE139" s="27"/>
      <c r="BF139" s="27">
        <v>0</v>
      </c>
      <c r="BG139" s="27"/>
      <c r="BH139" s="27">
        <f t="shared" si="122"/>
        <v>0</v>
      </c>
      <c r="BI139" s="27">
        <f t="shared" si="123"/>
        <v>0</v>
      </c>
      <c r="BJ139" s="27"/>
      <c r="BK139" s="27"/>
      <c r="BL139" s="27">
        <v>0</v>
      </c>
      <c r="BM139" s="27"/>
      <c r="BN139" s="27">
        <f t="shared" si="124"/>
        <v>0</v>
      </c>
      <c r="BO139" s="27">
        <f t="shared" si="125"/>
        <v>0</v>
      </c>
      <c r="BP139" s="26"/>
      <c r="BQ139" s="27"/>
      <c r="BR139" s="27">
        <v>0</v>
      </c>
      <c r="BS139" s="27"/>
      <c r="BT139" s="27">
        <f t="shared" si="126"/>
        <v>0</v>
      </c>
      <c r="BU139" s="27">
        <f t="shared" si="127"/>
        <v>0</v>
      </c>
      <c r="BV139" s="26"/>
      <c r="BW139" s="27"/>
      <c r="BX139" s="27">
        <v>0</v>
      </c>
      <c r="BY139" s="27"/>
      <c r="BZ139" s="27">
        <f t="shared" si="128"/>
        <v>0</v>
      </c>
      <c r="CA139" s="27">
        <f t="shared" si="129"/>
        <v>0</v>
      </c>
      <c r="CB139" s="26"/>
      <c r="CC139" s="27"/>
      <c r="CD139" s="27">
        <v>0</v>
      </c>
      <c r="CE139" s="27"/>
      <c r="CF139" s="27">
        <f t="shared" si="130"/>
        <v>0</v>
      </c>
      <c r="CG139" s="27">
        <f t="shared" si="131"/>
        <v>0</v>
      </c>
      <c r="CH139" s="26"/>
      <c r="CI139" s="27"/>
      <c r="CJ139" s="27">
        <v>0</v>
      </c>
      <c r="CK139" s="27"/>
      <c r="CL139" s="27">
        <f t="shared" si="132"/>
        <v>0</v>
      </c>
      <c r="CM139" s="27">
        <f t="shared" si="133"/>
        <v>0</v>
      </c>
      <c r="CN139" s="26"/>
      <c r="CO139" s="27"/>
      <c r="CP139" s="27">
        <v>0</v>
      </c>
      <c r="CQ139" s="27"/>
      <c r="CR139" s="27">
        <f t="shared" si="134"/>
        <v>0</v>
      </c>
      <c r="CS139" s="27">
        <f t="shared" si="135"/>
        <v>0</v>
      </c>
      <c r="CT139" s="26"/>
      <c r="CU139" s="27"/>
      <c r="CV139" s="27">
        <v>0</v>
      </c>
      <c r="CW139" s="27"/>
      <c r="CX139" s="27">
        <f t="shared" si="136"/>
        <v>0</v>
      </c>
      <c r="CY139" s="27">
        <f t="shared" si="137"/>
        <v>0</v>
      </c>
      <c r="CZ139" s="26"/>
      <c r="DA139" s="27"/>
      <c r="DB139" s="27">
        <v>0</v>
      </c>
      <c r="DC139" s="27"/>
      <c r="DD139" s="27">
        <f t="shared" si="138"/>
        <v>0</v>
      </c>
      <c r="DE139" s="27">
        <f t="shared" si="139"/>
        <v>0</v>
      </c>
      <c r="DF139" s="28">
        <f t="shared" si="140"/>
        <v>0</v>
      </c>
      <c r="DG139" s="28">
        <f t="shared" si="141"/>
        <v>0</v>
      </c>
      <c r="DH139" s="28">
        <f t="shared" si="142"/>
        <v>0</v>
      </c>
      <c r="DI139" s="28">
        <f t="shared" si="143"/>
        <v>0</v>
      </c>
      <c r="DJ139" s="27">
        <f t="shared" si="144"/>
        <v>0</v>
      </c>
      <c r="DK139" s="27">
        <f t="shared" si="145"/>
        <v>0</v>
      </c>
    </row>
    <row r="140" spans="1:115">
      <c r="A140" s="25">
        <v>132</v>
      </c>
      <c r="B140" s="26" t="s">
        <v>1161</v>
      </c>
      <c r="C140" s="26"/>
      <c r="D140" s="26"/>
      <c r="E140" s="205" t="s">
        <v>1200</v>
      </c>
      <c r="F140" s="161">
        <f t="shared" si="98"/>
        <v>0</v>
      </c>
      <c r="G140" s="165">
        <f t="shared" si="99"/>
        <v>0</v>
      </c>
      <c r="H140" s="27"/>
      <c r="I140" s="27">
        <v>0</v>
      </c>
      <c r="J140" s="27">
        <v>0</v>
      </c>
      <c r="K140" s="127">
        <f t="shared" si="100"/>
        <v>0</v>
      </c>
      <c r="L140" s="127">
        <f t="shared" si="101"/>
        <v>0</v>
      </c>
      <c r="M140" s="127">
        <f t="shared" si="102"/>
        <v>0</v>
      </c>
      <c r="N140" s="131"/>
      <c r="O140" s="125" t="str">
        <f t="shared" si="103"/>
        <v>ნულოვანი შესრულება</v>
      </c>
      <c r="P140" s="27">
        <v>0</v>
      </c>
      <c r="Q140" s="27">
        <v>0</v>
      </c>
      <c r="R140" s="27">
        <f t="shared" si="104"/>
        <v>0</v>
      </c>
      <c r="S140" s="27">
        <f t="shared" si="105"/>
        <v>0</v>
      </c>
      <c r="T140" s="27"/>
      <c r="U140" s="27"/>
      <c r="V140" s="27">
        <v>0</v>
      </c>
      <c r="W140" s="27"/>
      <c r="X140" s="27">
        <f t="shared" si="106"/>
        <v>0</v>
      </c>
      <c r="Y140" s="27">
        <f t="shared" si="107"/>
        <v>0</v>
      </c>
      <c r="Z140" s="27">
        <v>0</v>
      </c>
      <c r="AA140" s="27"/>
      <c r="AB140" s="27"/>
      <c r="AC140" s="27"/>
      <c r="AD140" s="27">
        <f t="shared" si="108"/>
        <v>0</v>
      </c>
      <c r="AE140" s="27">
        <f t="shared" si="109"/>
        <v>0</v>
      </c>
      <c r="AF140" s="27">
        <f t="shared" si="110"/>
        <v>0</v>
      </c>
      <c r="AG140" s="27">
        <f t="shared" si="111"/>
        <v>0</v>
      </c>
      <c r="AH140" s="27">
        <f t="shared" si="112"/>
        <v>0</v>
      </c>
      <c r="AI140" s="27">
        <f t="shared" si="113"/>
        <v>0</v>
      </c>
      <c r="AJ140" s="27">
        <f t="shared" si="114"/>
        <v>0</v>
      </c>
      <c r="AK140" s="27">
        <f t="shared" si="115"/>
        <v>0</v>
      </c>
      <c r="AL140" s="27"/>
      <c r="AM140" s="27"/>
      <c r="AN140" s="27">
        <v>0</v>
      </c>
      <c r="AO140" s="27"/>
      <c r="AP140" s="27">
        <f t="shared" si="116"/>
        <v>0</v>
      </c>
      <c r="AQ140" s="27">
        <f t="shared" si="117"/>
        <v>0</v>
      </c>
      <c r="AR140" s="27"/>
      <c r="AS140" s="27"/>
      <c r="AT140" s="27">
        <v>0</v>
      </c>
      <c r="AU140" s="27"/>
      <c r="AV140" s="27">
        <f t="shared" si="118"/>
        <v>0</v>
      </c>
      <c r="AW140" s="27">
        <f t="shared" si="119"/>
        <v>0</v>
      </c>
      <c r="AX140" s="27"/>
      <c r="AY140" s="27"/>
      <c r="AZ140" s="27">
        <v>0</v>
      </c>
      <c r="BA140" s="27"/>
      <c r="BB140" s="27">
        <f t="shared" si="120"/>
        <v>0</v>
      </c>
      <c r="BC140" s="27">
        <f t="shared" si="121"/>
        <v>0</v>
      </c>
      <c r="BD140" s="27"/>
      <c r="BE140" s="27"/>
      <c r="BF140" s="27">
        <v>0</v>
      </c>
      <c r="BG140" s="27"/>
      <c r="BH140" s="27">
        <f t="shared" si="122"/>
        <v>0</v>
      </c>
      <c r="BI140" s="27">
        <f t="shared" si="123"/>
        <v>0</v>
      </c>
      <c r="BJ140" s="27"/>
      <c r="BK140" s="27"/>
      <c r="BL140" s="27">
        <v>0</v>
      </c>
      <c r="BM140" s="27"/>
      <c r="BN140" s="27">
        <f t="shared" si="124"/>
        <v>0</v>
      </c>
      <c r="BO140" s="27">
        <f t="shared" si="125"/>
        <v>0</v>
      </c>
      <c r="BP140" s="26"/>
      <c r="BQ140" s="27"/>
      <c r="BR140" s="27">
        <v>0</v>
      </c>
      <c r="BS140" s="27"/>
      <c r="BT140" s="27">
        <f t="shared" si="126"/>
        <v>0</v>
      </c>
      <c r="BU140" s="27">
        <f t="shared" si="127"/>
        <v>0</v>
      </c>
      <c r="BV140" s="26"/>
      <c r="BW140" s="27"/>
      <c r="BX140" s="27">
        <v>0</v>
      </c>
      <c r="BY140" s="27"/>
      <c r="BZ140" s="27">
        <f t="shared" si="128"/>
        <v>0</v>
      </c>
      <c r="CA140" s="27">
        <f t="shared" si="129"/>
        <v>0</v>
      </c>
      <c r="CB140" s="26"/>
      <c r="CC140" s="27"/>
      <c r="CD140" s="27">
        <v>0</v>
      </c>
      <c r="CE140" s="27"/>
      <c r="CF140" s="27">
        <f t="shared" si="130"/>
        <v>0</v>
      </c>
      <c r="CG140" s="27">
        <f t="shared" si="131"/>
        <v>0</v>
      </c>
      <c r="CH140" s="26"/>
      <c r="CI140" s="27"/>
      <c r="CJ140" s="27">
        <v>0</v>
      </c>
      <c r="CK140" s="27"/>
      <c r="CL140" s="27">
        <f t="shared" si="132"/>
        <v>0</v>
      </c>
      <c r="CM140" s="27">
        <f t="shared" si="133"/>
        <v>0</v>
      </c>
      <c r="CN140" s="26"/>
      <c r="CO140" s="27"/>
      <c r="CP140" s="27">
        <v>0</v>
      </c>
      <c r="CQ140" s="27"/>
      <c r="CR140" s="27">
        <f t="shared" si="134"/>
        <v>0</v>
      </c>
      <c r="CS140" s="27">
        <f t="shared" si="135"/>
        <v>0</v>
      </c>
      <c r="CT140" s="26"/>
      <c r="CU140" s="27"/>
      <c r="CV140" s="27">
        <v>0</v>
      </c>
      <c r="CW140" s="27"/>
      <c r="CX140" s="27">
        <f t="shared" si="136"/>
        <v>0</v>
      </c>
      <c r="CY140" s="27">
        <f t="shared" si="137"/>
        <v>0</v>
      </c>
      <c r="CZ140" s="26"/>
      <c r="DA140" s="27"/>
      <c r="DB140" s="27">
        <v>0</v>
      </c>
      <c r="DC140" s="27"/>
      <c r="DD140" s="27">
        <f t="shared" si="138"/>
        <v>0</v>
      </c>
      <c r="DE140" s="27">
        <f t="shared" si="139"/>
        <v>0</v>
      </c>
      <c r="DF140" s="28">
        <f t="shared" si="140"/>
        <v>0</v>
      </c>
      <c r="DG140" s="28">
        <f t="shared" si="141"/>
        <v>0</v>
      </c>
      <c r="DH140" s="28">
        <f t="shared" si="142"/>
        <v>0</v>
      </c>
      <c r="DI140" s="28">
        <f t="shared" si="143"/>
        <v>0</v>
      </c>
      <c r="DJ140" s="27">
        <f t="shared" si="144"/>
        <v>0</v>
      </c>
      <c r="DK140" s="27">
        <f t="shared" si="145"/>
        <v>0</v>
      </c>
    </row>
    <row r="141" spans="1:115">
      <c r="A141" s="25">
        <v>133</v>
      </c>
      <c r="B141" s="26" t="s">
        <v>1161</v>
      </c>
      <c r="C141" s="26"/>
      <c r="D141" s="26"/>
      <c r="E141" s="205" t="s">
        <v>1200</v>
      </c>
      <c r="F141" s="161">
        <f t="shared" si="98"/>
        <v>0</v>
      </c>
      <c r="G141" s="165">
        <f t="shared" si="99"/>
        <v>0</v>
      </c>
      <c r="H141" s="27"/>
      <c r="I141" s="27">
        <v>0</v>
      </c>
      <c r="J141" s="27">
        <v>0</v>
      </c>
      <c r="K141" s="127">
        <f t="shared" si="100"/>
        <v>0</v>
      </c>
      <c r="L141" s="127">
        <f t="shared" si="101"/>
        <v>0</v>
      </c>
      <c r="M141" s="127">
        <f t="shared" si="102"/>
        <v>0</v>
      </c>
      <c r="N141" s="131"/>
      <c r="O141" s="125" t="str">
        <f t="shared" si="103"/>
        <v>ნულოვანი შესრულება</v>
      </c>
      <c r="P141" s="27">
        <v>0</v>
      </c>
      <c r="Q141" s="27">
        <v>0</v>
      </c>
      <c r="R141" s="27">
        <f t="shared" si="104"/>
        <v>0</v>
      </c>
      <c r="S141" s="27">
        <f t="shared" si="105"/>
        <v>0</v>
      </c>
      <c r="T141" s="27"/>
      <c r="U141" s="27"/>
      <c r="V141" s="27">
        <v>0</v>
      </c>
      <c r="W141" s="27"/>
      <c r="X141" s="27">
        <f t="shared" si="106"/>
        <v>0</v>
      </c>
      <c r="Y141" s="27">
        <f t="shared" si="107"/>
        <v>0</v>
      </c>
      <c r="Z141" s="27">
        <v>0</v>
      </c>
      <c r="AA141" s="27"/>
      <c r="AB141" s="27"/>
      <c r="AC141" s="27"/>
      <c r="AD141" s="27">
        <f t="shared" si="108"/>
        <v>0</v>
      </c>
      <c r="AE141" s="27">
        <f t="shared" si="109"/>
        <v>0</v>
      </c>
      <c r="AF141" s="27">
        <f t="shared" si="110"/>
        <v>0</v>
      </c>
      <c r="AG141" s="27">
        <f t="shared" si="111"/>
        <v>0</v>
      </c>
      <c r="AH141" s="27">
        <f t="shared" si="112"/>
        <v>0</v>
      </c>
      <c r="AI141" s="27">
        <f t="shared" si="113"/>
        <v>0</v>
      </c>
      <c r="AJ141" s="27">
        <f t="shared" si="114"/>
        <v>0</v>
      </c>
      <c r="AK141" s="27">
        <f t="shared" si="115"/>
        <v>0</v>
      </c>
      <c r="AL141" s="27"/>
      <c r="AM141" s="27"/>
      <c r="AN141" s="27">
        <v>0</v>
      </c>
      <c r="AO141" s="27"/>
      <c r="AP141" s="27">
        <f t="shared" si="116"/>
        <v>0</v>
      </c>
      <c r="AQ141" s="27">
        <f t="shared" si="117"/>
        <v>0</v>
      </c>
      <c r="AR141" s="27"/>
      <c r="AS141" s="27"/>
      <c r="AT141" s="27">
        <v>0</v>
      </c>
      <c r="AU141" s="27"/>
      <c r="AV141" s="27">
        <f t="shared" si="118"/>
        <v>0</v>
      </c>
      <c r="AW141" s="27">
        <f t="shared" si="119"/>
        <v>0</v>
      </c>
      <c r="AX141" s="27"/>
      <c r="AY141" s="27"/>
      <c r="AZ141" s="27">
        <v>0</v>
      </c>
      <c r="BA141" s="27"/>
      <c r="BB141" s="27">
        <f t="shared" si="120"/>
        <v>0</v>
      </c>
      <c r="BC141" s="27">
        <f t="shared" si="121"/>
        <v>0</v>
      </c>
      <c r="BD141" s="27"/>
      <c r="BE141" s="27"/>
      <c r="BF141" s="27">
        <v>0</v>
      </c>
      <c r="BG141" s="27"/>
      <c r="BH141" s="27">
        <f t="shared" si="122"/>
        <v>0</v>
      </c>
      <c r="BI141" s="27">
        <f t="shared" si="123"/>
        <v>0</v>
      </c>
      <c r="BJ141" s="27"/>
      <c r="BK141" s="27"/>
      <c r="BL141" s="27">
        <v>0</v>
      </c>
      <c r="BM141" s="27"/>
      <c r="BN141" s="27">
        <f t="shared" si="124"/>
        <v>0</v>
      </c>
      <c r="BO141" s="27">
        <f t="shared" si="125"/>
        <v>0</v>
      </c>
      <c r="BP141" s="26"/>
      <c r="BQ141" s="27"/>
      <c r="BR141" s="27">
        <v>0</v>
      </c>
      <c r="BS141" s="27"/>
      <c r="BT141" s="27">
        <f t="shared" si="126"/>
        <v>0</v>
      </c>
      <c r="BU141" s="27">
        <f t="shared" si="127"/>
        <v>0</v>
      </c>
      <c r="BV141" s="26"/>
      <c r="BW141" s="27"/>
      <c r="BX141" s="27">
        <v>0</v>
      </c>
      <c r="BY141" s="27"/>
      <c r="BZ141" s="27">
        <f t="shared" si="128"/>
        <v>0</v>
      </c>
      <c r="CA141" s="27">
        <f t="shared" si="129"/>
        <v>0</v>
      </c>
      <c r="CB141" s="26"/>
      <c r="CC141" s="27"/>
      <c r="CD141" s="27">
        <v>0</v>
      </c>
      <c r="CE141" s="27"/>
      <c r="CF141" s="27">
        <f t="shared" si="130"/>
        <v>0</v>
      </c>
      <c r="CG141" s="27">
        <f t="shared" si="131"/>
        <v>0</v>
      </c>
      <c r="CH141" s="26"/>
      <c r="CI141" s="27"/>
      <c r="CJ141" s="27">
        <v>0</v>
      </c>
      <c r="CK141" s="27"/>
      <c r="CL141" s="27">
        <f t="shared" si="132"/>
        <v>0</v>
      </c>
      <c r="CM141" s="27">
        <f t="shared" si="133"/>
        <v>0</v>
      </c>
      <c r="CN141" s="26"/>
      <c r="CO141" s="27"/>
      <c r="CP141" s="27">
        <v>0</v>
      </c>
      <c r="CQ141" s="27"/>
      <c r="CR141" s="27">
        <f t="shared" si="134"/>
        <v>0</v>
      </c>
      <c r="CS141" s="27">
        <f t="shared" si="135"/>
        <v>0</v>
      </c>
      <c r="CT141" s="26"/>
      <c r="CU141" s="27"/>
      <c r="CV141" s="27">
        <v>0</v>
      </c>
      <c r="CW141" s="27"/>
      <c r="CX141" s="27">
        <f t="shared" si="136"/>
        <v>0</v>
      </c>
      <c r="CY141" s="27">
        <f t="shared" si="137"/>
        <v>0</v>
      </c>
      <c r="CZ141" s="26"/>
      <c r="DA141" s="27"/>
      <c r="DB141" s="27">
        <v>0</v>
      </c>
      <c r="DC141" s="27"/>
      <c r="DD141" s="27">
        <f t="shared" si="138"/>
        <v>0</v>
      </c>
      <c r="DE141" s="27">
        <f t="shared" si="139"/>
        <v>0</v>
      </c>
      <c r="DF141" s="28">
        <f t="shared" si="140"/>
        <v>0</v>
      </c>
      <c r="DG141" s="28">
        <f t="shared" si="141"/>
        <v>0</v>
      </c>
      <c r="DH141" s="28">
        <f t="shared" si="142"/>
        <v>0</v>
      </c>
      <c r="DI141" s="28">
        <f t="shared" si="143"/>
        <v>0</v>
      </c>
      <c r="DJ141" s="27">
        <f t="shared" si="144"/>
        <v>0</v>
      </c>
      <c r="DK141" s="27">
        <f t="shared" si="145"/>
        <v>0</v>
      </c>
    </row>
    <row r="142" spans="1:115">
      <c r="A142" s="25">
        <v>134</v>
      </c>
      <c r="B142" s="26" t="s">
        <v>1161</v>
      </c>
      <c r="C142" s="26"/>
      <c r="D142" s="26"/>
      <c r="E142" s="205" t="s">
        <v>1200</v>
      </c>
      <c r="F142" s="161">
        <f t="shared" si="98"/>
        <v>0</v>
      </c>
      <c r="G142" s="165">
        <f t="shared" si="99"/>
        <v>0</v>
      </c>
      <c r="H142" s="27"/>
      <c r="I142" s="27">
        <v>0</v>
      </c>
      <c r="J142" s="27">
        <v>0</v>
      </c>
      <c r="K142" s="127">
        <f t="shared" si="100"/>
        <v>0</v>
      </c>
      <c r="L142" s="127">
        <f t="shared" si="101"/>
        <v>0</v>
      </c>
      <c r="M142" s="127">
        <f t="shared" si="102"/>
        <v>0</v>
      </c>
      <c r="N142" s="131"/>
      <c r="O142" s="125" t="str">
        <f t="shared" si="103"/>
        <v>ნულოვანი შესრულება</v>
      </c>
      <c r="P142" s="27">
        <v>0</v>
      </c>
      <c r="Q142" s="27">
        <v>0</v>
      </c>
      <c r="R142" s="27">
        <f t="shared" si="104"/>
        <v>0</v>
      </c>
      <c r="S142" s="27">
        <f t="shared" si="105"/>
        <v>0</v>
      </c>
      <c r="T142" s="27"/>
      <c r="U142" s="27"/>
      <c r="V142" s="27">
        <v>0</v>
      </c>
      <c r="W142" s="27"/>
      <c r="X142" s="27">
        <f t="shared" si="106"/>
        <v>0</v>
      </c>
      <c r="Y142" s="27">
        <f t="shared" si="107"/>
        <v>0</v>
      </c>
      <c r="Z142" s="27">
        <v>0</v>
      </c>
      <c r="AA142" s="27"/>
      <c r="AB142" s="27"/>
      <c r="AC142" s="27"/>
      <c r="AD142" s="27">
        <f t="shared" si="108"/>
        <v>0</v>
      </c>
      <c r="AE142" s="27">
        <f t="shared" si="109"/>
        <v>0</v>
      </c>
      <c r="AF142" s="27">
        <f t="shared" si="110"/>
        <v>0</v>
      </c>
      <c r="AG142" s="27">
        <f t="shared" si="111"/>
        <v>0</v>
      </c>
      <c r="AH142" s="27">
        <f t="shared" si="112"/>
        <v>0</v>
      </c>
      <c r="AI142" s="27">
        <f t="shared" si="113"/>
        <v>0</v>
      </c>
      <c r="AJ142" s="27">
        <f t="shared" si="114"/>
        <v>0</v>
      </c>
      <c r="AK142" s="27">
        <f t="shared" si="115"/>
        <v>0</v>
      </c>
      <c r="AL142" s="27"/>
      <c r="AM142" s="27"/>
      <c r="AN142" s="27">
        <v>0</v>
      </c>
      <c r="AO142" s="27"/>
      <c r="AP142" s="27">
        <f t="shared" si="116"/>
        <v>0</v>
      </c>
      <c r="AQ142" s="27">
        <f t="shared" si="117"/>
        <v>0</v>
      </c>
      <c r="AR142" s="27"/>
      <c r="AS142" s="27"/>
      <c r="AT142" s="27">
        <v>0</v>
      </c>
      <c r="AU142" s="27"/>
      <c r="AV142" s="27">
        <f t="shared" si="118"/>
        <v>0</v>
      </c>
      <c r="AW142" s="27">
        <f t="shared" si="119"/>
        <v>0</v>
      </c>
      <c r="AX142" s="27"/>
      <c r="AY142" s="27"/>
      <c r="AZ142" s="27">
        <v>0</v>
      </c>
      <c r="BA142" s="27"/>
      <c r="BB142" s="27">
        <f t="shared" si="120"/>
        <v>0</v>
      </c>
      <c r="BC142" s="27">
        <f t="shared" si="121"/>
        <v>0</v>
      </c>
      <c r="BD142" s="27"/>
      <c r="BE142" s="27"/>
      <c r="BF142" s="27">
        <v>0</v>
      </c>
      <c r="BG142" s="27"/>
      <c r="BH142" s="27">
        <f t="shared" si="122"/>
        <v>0</v>
      </c>
      <c r="BI142" s="27">
        <f t="shared" si="123"/>
        <v>0</v>
      </c>
      <c r="BJ142" s="27"/>
      <c r="BK142" s="27"/>
      <c r="BL142" s="27">
        <v>0</v>
      </c>
      <c r="BM142" s="27"/>
      <c r="BN142" s="27">
        <f t="shared" si="124"/>
        <v>0</v>
      </c>
      <c r="BO142" s="27">
        <f t="shared" si="125"/>
        <v>0</v>
      </c>
      <c r="BP142" s="26"/>
      <c r="BQ142" s="27"/>
      <c r="BR142" s="27">
        <v>0</v>
      </c>
      <c r="BS142" s="27"/>
      <c r="BT142" s="27">
        <f t="shared" si="126"/>
        <v>0</v>
      </c>
      <c r="BU142" s="27">
        <f t="shared" si="127"/>
        <v>0</v>
      </c>
      <c r="BV142" s="26"/>
      <c r="BW142" s="27"/>
      <c r="BX142" s="27">
        <v>0</v>
      </c>
      <c r="BY142" s="27"/>
      <c r="BZ142" s="27">
        <f t="shared" si="128"/>
        <v>0</v>
      </c>
      <c r="CA142" s="27">
        <f t="shared" si="129"/>
        <v>0</v>
      </c>
      <c r="CB142" s="26"/>
      <c r="CC142" s="27"/>
      <c r="CD142" s="27">
        <v>0</v>
      </c>
      <c r="CE142" s="27"/>
      <c r="CF142" s="27">
        <f t="shared" si="130"/>
        <v>0</v>
      </c>
      <c r="CG142" s="27">
        <f t="shared" si="131"/>
        <v>0</v>
      </c>
      <c r="CH142" s="26"/>
      <c r="CI142" s="27"/>
      <c r="CJ142" s="27">
        <v>0</v>
      </c>
      <c r="CK142" s="27"/>
      <c r="CL142" s="27">
        <f t="shared" si="132"/>
        <v>0</v>
      </c>
      <c r="CM142" s="27">
        <f t="shared" si="133"/>
        <v>0</v>
      </c>
      <c r="CN142" s="26"/>
      <c r="CO142" s="27"/>
      <c r="CP142" s="27">
        <v>0</v>
      </c>
      <c r="CQ142" s="27"/>
      <c r="CR142" s="27">
        <f t="shared" si="134"/>
        <v>0</v>
      </c>
      <c r="CS142" s="27">
        <f t="shared" si="135"/>
        <v>0</v>
      </c>
      <c r="CT142" s="26"/>
      <c r="CU142" s="27"/>
      <c r="CV142" s="27">
        <v>0</v>
      </c>
      <c r="CW142" s="27"/>
      <c r="CX142" s="27">
        <f t="shared" si="136"/>
        <v>0</v>
      </c>
      <c r="CY142" s="27">
        <f t="shared" si="137"/>
        <v>0</v>
      </c>
      <c r="CZ142" s="26"/>
      <c r="DA142" s="27"/>
      <c r="DB142" s="27">
        <v>0</v>
      </c>
      <c r="DC142" s="27"/>
      <c r="DD142" s="27">
        <f t="shared" si="138"/>
        <v>0</v>
      </c>
      <c r="DE142" s="27">
        <f t="shared" si="139"/>
        <v>0</v>
      </c>
      <c r="DF142" s="28">
        <f t="shared" si="140"/>
        <v>0</v>
      </c>
      <c r="DG142" s="28">
        <f t="shared" si="141"/>
        <v>0</v>
      </c>
      <c r="DH142" s="28">
        <f t="shared" si="142"/>
        <v>0</v>
      </c>
      <c r="DI142" s="28">
        <f t="shared" si="143"/>
        <v>0</v>
      </c>
      <c r="DJ142" s="27">
        <f t="shared" si="144"/>
        <v>0</v>
      </c>
      <c r="DK142" s="27">
        <f t="shared" si="145"/>
        <v>0</v>
      </c>
    </row>
    <row r="143" spans="1:115">
      <c r="A143" s="25">
        <v>135</v>
      </c>
      <c r="B143" s="26" t="s">
        <v>1161</v>
      </c>
      <c r="C143" s="26"/>
      <c r="D143" s="26"/>
      <c r="E143" s="205" t="s">
        <v>1200</v>
      </c>
      <c r="F143" s="161">
        <f t="shared" si="98"/>
        <v>0</v>
      </c>
      <c r="G143" s="165">
        <f t="shared" si="99"/>
        <v>0</v>
      </c>
      <c r="H143" s="27"/>
      <c r="I143" s="27">
        <v>0</v>
      </c>
      <c r="J143" s="27">
        <v>0</v>
      </c>
      <c r="K143" s="127">
        <f t="shared" si="100"/>
        <v>0</v>
      </c>
      <c r="L143" s="127">
        <f t="shared" si="101"/>
        <v>0</v>
      </c>
      <c r="M143" s="127">
        <f t="shared" si="102"/>
        <v>0</v>
      </c>
      <c r="N143" s="131"/>
      <c r="O143" s="125" t="str">
        <f t="shared" si="103"/>
        <v>ნულოვანი შესრულება</v>
      </c>
      <c r="P143" s="27">
        <v>0</v>
      </c>
      <c r="Q143" s="27">
        <v>0</v>
      </c>
      <c r="R143" s="27">
        <f t="shared" si="104"/>
        <v>0</v>
      </c>
      <c r="S143" s="27">
        <f t="shared" si="105"/>
        <v>0</v>
      </c>
      <c r="T143" s="27"/>
      <c r="U143" s="27"/>
      <c r="V143" s="27">
        <v>0</v>
      </c>
      <c r="W143" s="27"/>
      <c r="X143" s="27">
        <f t="shared" si="106"/>
        <v>0</v>
      </c>
      <c r="Y143" s="27">
        <f t="shared" si="107"/>
        <v>0</v>
      </c>
      <c r="Z143" s="27">
        <v>0</v>
      </c>
      <c r="AA143" s="27"/>
      <c r="AB143" s="27"/>
      <c r="AC143" s="27"/>
      <c r="AD143" s="27">
        <f t="shared" si="108"/>
        <v>0</v>
      </c>
      <c r="AE143" s="27">
        <f t="shared" si="109"/>
        <v>0</v>
      </c>
      <c r="AF143" s="27">
        <f t="shared" si="110"/>
        <v>0</v>
      </c>
      <c r="AG143" s="27">
        <f t="shared" si="111"/>
        <v>0</v>
      </c>
      <c r="AH143" s="27">
        <f t="shared" si="112"/>
        <v>0</v>
      </c>
      <c r="AI143" s="27">
        <f t="shared" si="113"/>
        <v>0</v>
      </c>
      <c r="AJ143" s="27">
        <f t="shared" si="114"/>
        <v>0</v>
      </c>
      <c r="AK143" s="27">
        <f t="shared" si="115"/>
        <v>0</v>
      </c>
      <c r="AL143" s="27"/>
      <c r="AM143" s="27"/>
      <c r="AN143" s="27">
        <v>0</v>
      </c>
      <c r="AO143" s="27"/>
      <c r="AP143" s="27">
        <f t="shared" si="116"/>
        <v>0</v>
      </c>
      <c r="AQ143" s="27">
        <f t="shared" si="117"/>
        <v>0</v>
      </c>
      <c r="AR143" s="27"/>
      <c r="AS143" s="27"/>
      <c r="AT143" s="27">
        <v>0</v>
      </c>
      <c r="AU143" s="27"/>
      <c r="AV143" s="27">
        <f t="shared" si="118"/>
        <v>0</v>
      </c>
      <c r="AW143" s="27">
        <f t="shared" si="119"/>
        <v>0</v>
      </c>
      <c r="AX143" s="27"/>
      <c r="AY143" s="27"/>
      <c r="AZ143" s="27">
        <v>0</v>
      </c>
      <c r="BA143" s="27"/>
      <c r="BB143" s="27">
        <f t="shared" si="120"/>
        <v>0</v>
      </c>
      <c r="BC143" s="27">
        <f t="shared" si="121"/>
        <v>0</v>
      </c>
      <c r="BD143" s="27"/>
      <c r="BE143" s="27"/>
      <c r="BF143" s="27">
        <v>0</v>
      </c>
      <c r="BG143" s="27"/>
      <c r="BH143" s="27">
        <f t="shared" si="122"/>
        <v>0</v>
      </c>
      <c r="BI143" s="27">
        <f t="shared" si="123"/>
        <v>0</v>
      </c>
      <c r="BJ143" s="27"/>
      <c r="BK143" s="27"/>
      <c r="BL143" s="27">
        <v>0</v>
      </c>
      <c r="BM143" s="27"/>
      <c r="BN143" s="27">
        <f t="shared" si="124"/>
        <v>0</v>
      </c>
      <c r="BO143" s="27">
        <f t="shared" si="125"/>
        <v>0</v>
      </c>
      <c r="BP143" s="26"/>
      <c r="BQ143" s="27"/>
      <c r="BR143" s="27">
        <v>0</v>
      </c>
      <c r="BS143" s="27"/>
      <c r="BT143" s="27">
        <f t="shared" si="126"/>
        <v>0</v>
      </c>
      <c r="BU143" s="27">
        <f t="shared" si="127"/>
        <v>0</v>
      </c>
      <c r="BV143" s="26"/>
      <c r="BW143" s="27"/>
      <c r="BX143" s="27">
        <v>0</v>
      </c>
      <c r="BY143" s="27"/>
      <c r="BZ143" s="27">
        <f t="shared" si="128"/>
        <v>0</v>
      </c>
      <c r="CA143" s="27">
        <f t="shared" si="129"/>
        <v>0</v>
      </c>
      <c r="CB143" s="26"/>
      <c r="CC143" s="27"/>
      <c r="CD143" s="27">
        <v>0</v>
      </c>
      <c r="CE143" s="27"/>
      <c r="CF143" s="27">
        <f t="shared" si="130"/>
        <v>0</v>
      </c>
      <c r="CG143" s="27">
        <f t="shared" si="131"/>
        <v>0</v>
      </c>
      <c r="CH143" s="26"/>
      <c r="CI143" s="27"/>
      <c r="CJ143" s="27">
        <v>0</v>
      </c>
      <c r="CK143" s="27"/>
      <c r="CL143" s="27">
        <f t="shared" si="132"/>
        <v>0</v>
      </c>
      <c r="CM143" s="27">
        <f t="shared" si="133"/>
        <v>0</v>
      </c>
      <c r="CN143" s="26"/>
      <c r="CO143" s="27"/>
      <c r="CP143" s="27">
        <v>0</v>
      </c>
      <c r="CQ143" s="27"/>
      <c r="CR143" s="27">
        <f t="shared" si="134"/>
        <v>0</v>
      </c>
      <c r="CS143" s="27">
        <f t="shared" si="135"/>
        <v>0</v>
      </c>
      <c r="CT143" s="26"/>
      <c r="CU143" s="27"/>
      <c r="CV143" s="27">
        <v>0</v>
      </c>
      <c r="CW143" s="27"/>
      <c r="CX143" s="27">
        <f t="shared" si="136"/>
        <v>0</v>
      </c>
      <c r="CY143" s="27">
        <f t="shared" si="137"/>
        <v>0</v>
      </c>
      <c r="CZ143" s="26"/>
      <c r="DA143" s="27"/>
      <c r="DB143" s="27">
        <v>0</v>
      </c>
      <c r="DC143" s="27"/>
      <c r="DD143" s="27">
        <f t="shared" si="138"/>
        <v>0</v>
      </c>
      <c r="DE143" s="27">
        <f t="shared" si="139"/>
        <v>0</v>
      </c>
      <c r="DF143" s="28">
        <f t="shared" si="140"/>
        <v>0</v>
      </c>
      <c r="DG143" s="28">
        <f t="shared" si="141"/>
        <v>0</v>
      </c>
      <c r="DH143" s="28">
        <f t="shared" si="142"/>
        <v>0</v>
      </c>
      <c r="DI143" s="28">
        <f t="shared" si="143"/>
        <v>0</v>
      </c>
      <c r="DJ143" s="27">
        <f t="shared" si="144"/>
        <v>0</v>
      </c>
      <c r="DK143" s="27">
        <f t="shared" si="145"/>
        <v>0</v>
      </c>
    </row>
    <row r="144" spans="1:115">
      <c r="A144" s="25">
        <v>136</v>
      </c>
      <c r="B144" s="26" t="s">
        <v>1161</v>
      </c>
      <c r="C144" s="26"/>
      <c r="D144" s="26"/>
      <c r="E144" s="205" t="s">
        <v>1200</v>
      </c>
      <c r="F144" s="161">
        <f t="shared" si="98"/>
        <v>0</v>
      </c>
      <c r="G144" s="165">
        <f t="shared" si="99"/>
        <v>0</v>
      </c>
      <c r="H144" s="27"/>
      <c r="I144" s="27">
        <v>0</v>
      </c>
      <c r="J144" s="27">
        <v>0</v>
      </c>
      <c r="K144" s="127">
        <f t="shared" si="100"/>
        <v>0</v>
      </c>
      <c r="L144" s="127">
        <f t="shared" si="101"/>
        <v>0</v>
      </c>
      <c r="M144" s="127">
        <f t="shared" si="102"/>
        <v>0</v>
      </c>
      <c r="N144" s="131"/>
      <c r="O144" s="125" t="str">
        <f t="shared" si="103"/>
        <v>ნულოვანი შესრულება</v>
      </c>
      <c r="P144" s="27">
        <v>0</v>
      </c>
      <c r="Q144" s="27">
        <v>0</v>
      </c>
      <c r="R144" s="27">
        <f t="shared" si="104"/>
        <v>0</v>
      </c>
      <c r="S144" s="27">
        <f t="shared" si="105"/>
        <v>0</v>
      </c>
      <c r="T144" s="27"/>
      <c r="U144" s="27"/>
      <c r="V144" s="27">
        <v>0</v>
      </c>
      <c r="W144" s="27"/>
      <c r="X144" s="27">
        <f t="shared" si="106"/>
        <v>0</v>
      </c>
      <c r="Y144" s="27">
        <f t="shared" si="107"/>
        <v>0</v>
      </c>
      <c r="Z144" s="27">
        <v>0</v>
      </c>
      <c r="AA144" s="27"/>
      <c r="AB144" s="27"/>
      <c r="AC144" s="27"/>
      <c r="AD144" s="27">
        <f t="shared" si="108"/>
        <v>0</v>
      </c>
      <c r="AE144" s="27">
        <f t="shared" si="109"/>
        <v>0</v>
      </c>
      <c r="AF144" s="27">
        <f t="shared" si="110"/>
        <v>0</v>
      </c>
      <c r="AG144" s="27">
        <f t="shared" si="111"/>
        <v>0</v>
      </c>
      <c r="AH144" s="27">
        <f t="shared" si="112"/>
        <v>0</v>
      </c>
      <c r="AI144" s="27">
        <f t="shared" si="113"/>
        <v>0</v>
      </c>
      <c r="AJ144" s="27">
        <f t="shared" si="114"/>
        <v>0</v>
      </c>
      <c r="AK144" s="27">
        <f t="shared" si="115"/>
        <v>0</v>
      </c>
      <c r="AL144" s="27"/>
      <c r="AM144" s="27"/>
      <c r="AN144" s="27">
        <v>0</v>
      </c>
      <c r="AO144" s="27"/>
      <c r="AP144" s="27">
        <f t="shared" si="116"/>
        <v>0</v>
      </c>
      <c r="AQ144" s="27">
        <f t="shared" si="117"/>
        <v>0</v>
      </c>
      <c r="AR144" s="27"/>
      <c r="AS144" s="27"/>
      <c r="AT144" s="27">
        <v>0</v>
      </c>
      <c r="AU144" s="27"/>
      <c r="AV144" s="27">
        <f t="shared" si="118"/>
        <v>0</v>
      </c>
      <c r="AW144" s="27">
        <f t="shared" si="119"/>
        <v>0</v>
      </c>
      <c r="AX144" s="27"/>
      <c r="AY144" s="27"/>
      <c r="AZ144" s="27">
        <v>0</v>
      </c>
      <c r="BA144" s="27"/>
      <c r="BB144" s="27">
        <f t="shared" si="120"/>
        <v>0</v>
      </c>
      <c r="BC144" s="27">
        <f t="shared" si="121"/>
        <v>0</v>
      </c>
      <c r="BD144" s="27"/>
      <c r="BE144" s="27"/>
      <c r="BF144" s="27">
        <v>0</v>
      </c>
      <c r="BG144" s="27"/>
      <c r="BH144" s="27">
        <f t="shared" si="122"/>
        <v>0</v>
      </c>
      <c r="BI144" s="27">
        <f t="shared" si="123"/>
        <v>0</v>
      </c>
      <c r="BJ144" s="27"/>
      <c r="BK144" s="27"/>
      <c r="BL144" s="27">
        <v>0</v>
      </c>
      <c r="BM144" s="27"/>
      <c r="BN144" s="27">
        <f t="shared" si="124"/>
        <v>0</v>
      </c>
      <c r="BO144" s="27">
        <f t="shared" si="125"/>
        <v>0</v>
      </c>
      <c r="BP144" s="26"/>
      <c r="BQ144" s="27"/>
      <c r="BR144" s="27">
        <v>0</v>
      </c>
      <c r="BS144" s="27"/>
      <c r="BT144" s="27">
        <f t="shared" si="126"/>
        <v>0</v>
      </c>
      <c r="BU144" s="27">
        <f t="shared" si="127"/>
        <v>0</v>
      </c>
      <c r="BV144" s="26"/>
      <c r="BW144" s="27"/>
      <c r="BX144" s="27">
        <v>0</v>
      </c>
      <c r="BY144" s="27"/>
      <c r="BZ144" s="27">
        <f t="shared" si="128"/>
        <v>0</v>
      </c>
      <c r="CA144" s="27">
        <f t="shared" si="129"/>
        <v>0</v>
      </c>
      <c r="CB144" s="26"/>
      <c r="CC144" s="27"/>
      <c r="CD144" s="27">
        <v>0</v>
      </c>
      <c r="CE144" s="27"/>
      <c r="CF144" s="27">
        <f t="shared" si="130"/>
        <v>0</v>
      </c>
      <c r="CG144" s="27">
        <f t="shared" si="131"/>
        <v>0</v>
      </c>
      <c r="CH144" s="26"/>
      <c r="CI144" s="27"/>
      <c r="CJ144" s="27">
        <v>0</v>
      </c>
      <c r="CK144" s="27"/>
      <c r="CL144" s="27">
        <f t="shared" si="132"/>
        <v>0</v>
      </c>
      <c r="CM144" s="27">
        <f t="shared" si="133"/>
        <v>0</v>
      </c>
      <c r="CN144" s="26"/>
      <c r="CO144" s="27"/>
      <c r="CP144" s="27">
        <v>0</v>
      </c>
      <c r="CQ144" s="27"/>
      <c r="CR144" s="27">
        <f t="shared" si="134"/>
        <v>0</v>
      </c>
      <c r="CS144" s="27">
        <f t="shared" si="135"/>
        <v>0</v>
      </c>
      <c r="CT144" s="26"/>
      <c r="CU144" s="27"/>
      <c r="CV144" s="27">
        <v>0</v>
      </c>
      <c r="CW144" s="27"/>
      <c r="CX144" s="27">
        <f t="shared" si="136"/>
        <v>0</v>
      </c>
      <c r="CY144" s="27">
        <f t="shared" si="137"/>
        <v>0</v>
      </c>
      <c r="CZ144" s="26"/>
      <c r="DA144" s="27"/>
      <c r="DB144" s="27">
        <v>0</v>
      </c>
      <c r="DC144" s="27"/>
      <c r="DD144" s="27">
        <f t="shared" si="138"/>
        <v>0</v>
      </c>
      <c r="DE144" s="27">
        <f t="shared" si="139"/>
        <v>0</v>
      </c>
      <c r="DF144" s="28">
        <f t="shared" si="140"/>
        <v>0</v>
      </c>
      <c r="DG144" s="28">
        <f t="shared" si="141"/>
        <v>0</v>
      </c>
      <c r="DH144" s="28">
        <f t="shared" si="142"/>
        <v>0</v>
      </c>
      <c r="DI144" s="28">
        <f t="shared" si="143"/>
        <v>0</v>
      </c>
      <c r="DJ144" s="27">
        <f t="shared" si="144"/>
        <v>0</v>
      </c>
      <c r="DK144" s="27">
        <f t="shared" si="145"/>
        <v>0</v>
      </c>
    </row>
    <row r="145" spans="1:115">
      <c r="A145" s="25">
        <v>137</v>
      </c>
      <c r="B145" s="26" t="s">
        <v>1161</v>
      </c>
      <c r="C145" s="26"/>
      <c r="D145" s="26"/>
      <c r="E145" s="205" t="s">
        <v>1200</v>
      </c>
      <c r="F145" s="161">
        <f t="shared" si="98"/>
        <v>0</v>
      </c>
      <c r="G145" s="165">
        <f t="shared" si="99"/>
        <v>0</v>
      </c>
      <c r="H145" s="27"/>
      <c r="I145" s="27">
        <v>0</v>
      </c>
      <c r="J145" s="27">
        <v>0</v>
      </c>
      <c r="K145" s="127">
        <f t="shared" si="100"/>
        <v>0</v>
      </c>
      <c r="L145" s="127">
        <f t="shared" si="101"/>
        <v>0</v>
      </c>
      <c r="M145" s="127">
        <f t="shared" si="102"/>
        <v>0</v>
      </c>
      <c r="N145" s="131"/>
      <c r="O145" s="125" t="str">
        <f t="shared" si="103"/>
        <v>ნულოვანი შესრულება</v>
      </c>
      <c r="P145" s="27">
        <v>0</v>
      </c>
      <c r="Q145" s="27">
        <v>0</v>
      </c>
      <c r="R145" s="27">
        <f t="shared" si="104"/>
        <v>0</v>
      </c>
      <c r="S145" s="27">
        <f t="shared" si="105"/>
        <v>0</v>
      </c>
      <c r="T145" s="27"/>
      <c r="U145" s="27"/>
      <c r="V145" s="27">
        <v>0</v>
      </c>
      <c r="W145" s="27"/>
      <c r="X145" s="27">
        <f t="shared" si="106"/>
        <v>0</v>
      </c>
      <c r="Y145" s="27">
        <f t="shared" si="107"/>
        <v>0</v>
      </c>
      <c r="Z145" s="27">
        <v>0</v>
      </c>
      <c r="AA145" s="27"/>
      <c r="AB145" s="27"/>
      <c r="AC145" s="27"/>
      <c r="AD145" s="27">
        <f t="shared" si="108"/>
        <v>0</v>
      </c>
      <c r="AE145" s="27">
        <f t="shared" si="109"/>
        <v>0</v>
      </c>
      <c r="AF145" s="27">
        <f t="shared" si="110"/>
        <v>0</v>
      </c>
      <c r="AG145" s="27">
        <f t="shared" si="111"/>
        <v>0</v>
      </c>
      <c r="AH145" s="27">
        <f t="shared" si="112"/>
        <v>0</v>
      </c>
      <c r="AI145" s="27">
        <f t="shared" si="113"/>
        <v>0</v>
      </c>
      <c r="AJ145" s="27">
        <f t="shared" si="114"/>
        <v>0</v>
      </c>
      <c r="AK145" s="27">
        <f t="shared" si="115"/>
        <v>0</v>
      </c>
      <c r="AL145" s="27"/>
      <c r="AM145" s="27"/>
      <c r="AN145" s="27">
        <v>0</v>
      </c>
      <c r="AO145" s="27"/>
      <c r="AP145" s="27">
        <f t="shared" si="116"/>
        <v>0</v>
      </c>
      <c r="AQ145" s="27">
        <f t="shared" si="117"/>
        <v>0</v>
      </c>
      <c r="AR145" s="27"/>
      <c r="AS145" s="27"/>
      <c r="AT145" s="27">
        <v>0</v>
      </c>
      <c r="AU145" s="27"/>
      <c r="AV145" s="27">
        <f t="shared" si="118"/>
        <v>0</v>
      </c>
      <c r="AW145" s="27">
        <f t="shared" si="119"/>
        <v>0</v>
      </c>
      <c r="AX145" s="27"/>
      <c r="AY145" s="27"/>
      <c r="AZ145" s="27">
        <v>0</v>
      </c>
      <c r="BA145" s="27"/>
      <c r="BB145" s="27">
        <f t="shared" si="120"/>
        <v>0</v>
      </c>
      <c r="BC145" s="27">
        <f t="shared" si="121"/>
        <v>0</v>
      </c>
      <c r="BD145" s="27"/>
      <c r="BE145" s="27"/>
      <c r="BF145" s="27">
        <v>0</v>
      </c>
      <c r="BG145" s="27"/>
      <c r="BH145" s="27">
        <f t="shared" si="122"/>
        <v>0</v>
      </c>
      <c r="BI145" s="27">
        <f t="shared" si="123"/>
        <v>0</v>
      </c>
      <c r="BJ145" s="27"/>
      <c r="BK145" s="27"/>
      <c r="BL145" s="27">
        <v>0</v>
      </c>
      <c r="BM145" s="27"/>
      <c r="BN145" s="27">
        <f t="shared" si="124"/>
        <v>0</v>
      </c>
      <c r="BO145" s="27">
        <f t="shared" si="125"/>
        <v>0</v>
      </c>
      <c r="BP145" s="26"/>
      <c r="BQ145" s="27"/>
      <c r="BR145" s="27">
        <v>0</v>
      </c>
      <c r="BS145" s="27"/>
      <c r="BT145" s="27">
        <f t="shared" si="126"/>
        <v>0</v>
      </c>
      <c r="BU145" s="27">
        <f t="shared" si="127"/>
        <v>0</v>
      </c>
      <c r="BV145" s="26"/>
      <c r="BW145" s="27"/>
      <c r="BX145" s="27">
        <v>0</v>
      </c>
      <c r="BY145" s="27"/>
      <c r="BZ145" s="27">
        <f t="shared" si="128"/>
        <v>0</v>
      </c>
      <c r="CA145" s="27">
        <f t="shared" si="129"/>
        <v>0</v>
      </c>
      <c r="CB145" s="26"/>
      <c r="CC145" s="27"/>
      <c r="CD145" s="27">
        <v>0</v>
      </c>
      <c r="CE145" s="27"/>
      <c r="CF145" s="27">
        <f t="shared" si="130"/>
        <v>0</v>
      </c>
      <c r="CG145" s="27">
        <f t="shared" si="131"/>
        <v>0</v>
      </c>
      <c r="CH145" s="26"/>
      <c r="CI145" s="27"/>
      <c r="CJ145" s="27">
        <v>0</v>
      </c>
      <c r="CK145" s="27"/>
      <c r="CL145" s="27">
        <f t="shared" si="132"/>
        <v>0</v>
      </c>
      <c r="CM145" s="27">
        <f t="shared" si="133"/>
        <v>0</v>
      </c>
      <c r="CN145" s="26"/>
      <c r="CO145" s="27"/>
      <c r="CP145" s="27">
        <v>0</v>
      </c>
      <c r="CQ145" s="27"/>
      <c r="CR145" s="27">
        <f t="shared" si="134"/>
        <v>0</v>
      </c>
      <c r="CS145" s="27">
        <f t="shared" si="135"/>
        <v>0</v>
      </c>
      <c r="CT145" s="26"/>
      <c r="CU145" s="27"/>
      <c r="CV145" s="27">
        <v>0</v>
      </c>
      <c r="CW145" s="27"/>
      <c r="CX145" s="27">
        <f t="shared" si="136"/>
        <v>0</v>
      </c>
      <c r="CY145" s="27">
        <f t="shared" si="137"/>
        <v>0</v>
      </c>
      <c r="CZ145" s="26"/>
      <c r="DA145" s="27"/>
      <c r="DB145" s="27">
        <v>0</v>
      </c>
      <c r="DC145" s="27"/>
      <c r="DD145" s="27">
        <f t="shared" si="138"/>
        <v>0</v>
      </c>
      <c r="DE145" s="27">
        <f t="shared" si="139"/>
        <v>0</v>
      </c>
      <c r="DF145" s="28">
        <f t="shared" si="140"/>
        <v>0</v>
      </c>
      <c r="DG145" s="28">
        <f t="shared" si="141"/>
        <v>0</v>
      </c>
      <c r="DH145" s="28">
        <f t="shared" si="142"/>
        <v>0</v>
      </c>
      <c r="DI145" s="28">
        <f t="shared" si="143"/>
        <v>0</v>
      </c>
      <c r="DJ145" s="27">
        <f t="shared" si="144"/>
        <v>0</v>
      </c>
      <c r="DK145" s="27">
        <f t="shared" si="145"/>
        <v>0</v>
      </c>
    </row>
    <row r="146" spans="1:115">
      <c r="A146" s="25">
        <v>138</v>
      </c>
      <c r="B146" s="26" t="s">
        <v>1161</v>
      </c>
      <c r="C146" s="26"/>
      <c r="D146" s="26"/>
      <c r="E146" s="205" t="s">
        <v>1200</v>
      </c>
      <c r="F146" s="161">
        <f t="shared" si="98"/>
        <v>0</v>
      </c>
      <c r="G146" s="165">
        <f t="shared" si="99"/>
        <v>0</v>
      </c>
      <c r="H146" s="27"/>
      <c r="I146" s="27">
        <v>0</v>
      </c>
      <c r="J146" s="27">
        <v>0</v>
      </c>
      <c r="K146" s="127">
        <f t="shared" si="100"/>
        <v>0</v>
      </c>
      <c r="L146" s="127">
        <f t="shared" si="101"/>
        <v>0</v>
      </c>
      <c r="M146" s="127">
        <f t="shared" si="102"/>
        <v>0</v>
      </c>
      <c r="N146" s="131"/>
      <c r="O146" s="125" t="str">
        <f t="shared" si="103"/>
        <v>ნულოვანი შესრულება</v>
      </c>
      <c r="P146" s="27">
        <v>0</v>
      </c>
      <c r="Q146" s="27">
        <v>0</v>
      </c>
      <c r="R146" s="27">
        <f t="shared" si="104"/>
        <v>0</v>
      </c>
      <c r="S146" s="27">
        <f t="shared" si="105"/>
        <v>0</v>
      </c>
      <c r="T146" s="27"/>
      <c r="U146" s="27"/>
      <c r="V146" s="27">
        <v>0</v>
      </c>
      <c r="W146" s="27"/>
      <c r="X146" s="27">
        <f t="shared" si="106"/>
        <v>0</v>
      </c>
      <c r="Y146" s="27">
        <f t="shared" si="107"/>
        <v>0</v>
      </c>
      <c r="Z146" s="27">
        <v>0</v>
      </c>
      <c r="AA146" s="27"/>
      <c r="AB146" s="27"/>
      <c r="AC146" s="27"/>
      <c r="AD146" s="27">
        <f t="shared" si="108"/>
        <v>0</v>
      </c>
      <c r="AE146" s="27">
        <f t="shared" si="109"/>
        <v>0</v>
      </c>
      <c r="AF146" s="27">
        <f t="shared" si="110"/>
        <v>0</v>
      </c>
      <c r="AG146" s="27">
        <f t="shared" si="111"/>
        <v>0</v>
      </c>
      <c r="AH146" s="27">
        <f t="shared" si="112"/>
        <v>0</v>
      </c>
      <c r="AI146" s="27">
        <f t="shared" si="113"/>
        <v>0</v>
      </c>
      <c r="AJ146" s="27">
        <f t="shared" si="114"/>
        <v>0</v>
      </c>
      <c r="AK146" s="27">
        <f t="shared" si="115"/>
        <v>0</v>
      </c>
      <c r="AL146" s="27"/>
      <c r="AM146" s="27"/>
      <c r="AN146" s="27">
        <v>0</v>
      </c>
      <c r="AO146" s="27"/>
      <c r="AP146" s="27">
        <f t="shared" si="116"/>
        <v>0</v>
      </c>
      <c r="AQ146" s="27">
        <f t="shared" si="117"/>
        <v>0</v>
      </c>
      <c r="AR146" s="27"/>
      <c r="AS146" s="27"/>
      <c r="AT146" s="27">
        <v>0</v>
      </c>
      <c r="AU146" s="27"/>
      <c r="AV146" s="27">
        <f t="shared" si="118"/>
        <v>0</v>
      </c>
      <c r="AW146" s="27">
        <f t="shared" si="119"/>
        <v>0</v>
      </c>
      <c r="AX146" s="27"/>
      <c r="AY146" s="27"/>
      <c r="AZ146" s="27">
        <v>0</v>
      </c>
      <c r="BA146" s="27"/>
      <c r="BB146" s="27">
        <f t="shared" si="120"/>
        <v>0</v>
      </c>
      <c r="BC146" s="27">
        <f t="shared" si="121"/>
        <v>0</v>
      </c>
      <c r="BD146" s="27"/>
      <c r="BE146" s="27"/>
      <c r="BF146" s="27">
        <v>0</v>
      </c>
      <c r="BG146" s="27"/>
      <c r="BH146" s="27">
        <f t="shared" si="122"/>
        <v>0</v>
      </c>
      <c r="BI146" s="27">
        <f t="shared" si="123"/>
        <v>0</v>
      </c>
      <c r="BJ146" s="27"/>
      <c r="BK146" s="27"/>
      <c r="BL146" s="27">
        <v>0</v>
      </c>
      <c r="BM146" s="27"/>
      <c r="BN146" s="27">
        <f t="shared" si="124"/>
        <v>0</v>
      </c>
      <c r="BO146" s="27">
        <f t="shared" si="125"/>
        <v>0</v>
      </c>
      <c r="BP146" s="26"/>
      <c r="BQ146" s="27"/>
      <c r="BR146" s="27">
        <v>0</v>
      </c>
      <c r="BS146" s="27"/>
      <c r="BT146" s="27">
        <f t="shared" si="126"/>
        <v>0</v>
      </c>
      <c r="BU146" s="27">
        <f t="shared" si="127"/>
        <v>0</v>
      </c>
      <c r="BV146" s="26"/>
      <c r="BW146" s="27"/>
      <c r="BX146" s="27">
        <v>0</v>
      </c>
      <c r="BY146" s="27"/>
      <c r="BZ146" s="27">
        <f t="shared" si="128"/>
        <v>0</v>
      </c>
      <c r="CA146" s="27">
        <f t="shared" si="129"/>
        <v>0</v>
      </c>
      <c r="CB146" s="26"/>
      <c r="CC146" s="27"/>
      <c r="CD146" s="27">
        <v>0</v>
      </c>
      <c r="CE146" s="27"/>
      <c r="CF146" s="27">
        <f t="shared" si="130"/>
        <v>0</v>
      </c>
      <c r="CG146" s="27">
        <f t="shared" si="131"/>
        <v>0</v>
      </c>
      <c r="CH146" s="26"/>
      <c r="CI146" s="27"/>
      <c r="CJ146" s="27">
        <v>0</v>
      </c>
      <c r="CK146" s="27"/>
      <c r="CL146" s="27">
        <f t="shared" si="132"/>
        <v>0</v>
      </c>
      <c r="CM146" s="27">
        <f t="shared" si="133"/>
        <v>0</v>
      </c>
      <c r="CN146" s="26"/>
      <c r="CO146" s="27"/>
      <c r="CP146" s="27">
        <v>0</v>
      </c>
      <c r="CQ146" s="27"/>
      <c r="CR146" s="27">
        <f t="shared" si="134"/>
        <v>0</v>
      </c>
      <c r="CS146" s="27">
        <f t="shared" si="135"/>
        <v>0</v>
      </c>
      <c r="CT146" s="26"/>
      <c r="CU146" s="27"/>
      <c r="CV146" s="27">
        <v>0</v>
      </c>
      <c r="CW146" s="27"/>
      <c r="CX146" s="27">
        <f t="shared" si="136"/>
        <v>0</v>
      </c>
      <c r="CY146" s="27">
        <f t="shared" si="137"/>
        <v>0</v>
      </c>
      <c r="CZ146" s="26"/>
      <c r="DA146" s="27"/>
      <c r="DB146" s="27">
        <v>0</v>
      </c>
      <c r="DC146" s="27"/>
      <c r="DD146" s="27">
        <f t="shared" si="138"/>
        <v>0</v>
      </c>
      <c r="DE146" s="27">
        <f t="shared" si="139"/>
        <v>0</v>
      </c>
      <c r="DF146" s="28">
        <f t="shared" si="140"/>
        <v>0</v>
      </c>
      <c r="DG146" s="28">
        <f t="shared" si="141"/>
        <v>0</v>
      </c>
      <c r="DH146" s="28">
        <f t="shared" si="142"/>
        <v>0</v>
      </c>
      <c r="DI146" s="28">
        <f t="shared" si="143"/>
        <v>0</v>
      </c>
      <c r="DJ146" s="27">
        <f t="shared" si="144"/>
        <v>0</v>
      </c>
      <c r="DK146" s="27">
        <f t="shared" si="145"/>
        <v>0</v>
      </c>
    </row>
    <row r="147" spans="1:115">
      <c r="A147" s="25">
        <v>139</v>
      </c>
      <c r="B147" s="26" t="s">
        <v>1161</v>
      </c>
      <c r="C147" s="26"/>
      <c r="D147" s="26"/>
      <c r="E147" s="205" t="s">
        <v>1200</v>
      </c>
      <c r="F147" s="161">
        <f t="shared" si="98"/>
        <v>0</v>
      </c>
      <c r="G147" s="165">
        <f t="shared" si="99"/>
        <v>0</v>
      </c>
      <c r="H147" s="27"/>
      <c r="I147" s="27">
        <v>0</v>
      </c>
      <c r="J147" s="27">
        <v>0</v>
      </c>
      <c r="K147" s="127">
        <f t="shared" si="100"/>
        <v>0</v>
      </c>
      <c r="L147" s="127">
        <f t="shared" si="101"/>
        <v>0</v>
      </c>
      <c r="M147" s="127">
        <f t="shared" si="102"/>
        <v>0</v>
      </c>
      <c r="N147" s="131"/>
      <c r="O147" s="125" t="str">
        <f t="shared" si="103"/>
        <v>ნულოვანი შესრულება</v>
      </c>
      <c r="P147" s="27">
        <v>0</v>
      </c>
      <c r="Q147" s="27">
        <v>0</v>
      </c>
      <c r="R147" s="27">
        <f t="shared" si="104"/>
        <v>0</v>
      </c>
      <c r="S147" s="27">
        <f t="shared" si="105"/>
        <v>0</v>
      </c>
      <c r="T147" s="27"/>
      <c r="U147" s="27"/>
      <c r="V147" s="27">
        <v>0</v>
      </c>
      <c r="W147" s="27"/>
      <c r="X147" s="27">
        <f t="shared" si="106"/>
        <v>0</v>
      </c>
      <c r="Y147" s="27">
        <f t="shared" si="107"/>
        <v>0</v>
      </c>
      <c r="Z147" s="27">
        <v>0</v>
      </c>
      <c r="AA147" s="27"/>
      <c r="AB147" s="27"/>
      <c r="AC147" s="27"/>
      <c r="AD147" s="27">
        <f t="shared" si="108"/>
        <v>0</v>
      </c>
      <c r="AE147" s="27">
        <f t="shared" si="109"/>
        <v>0</v>
      </c>
      <c r="AF147" s="27">
        <f t="shared" si="110"/>
        <v>0</v>
      </c>
      <c r="AG147" s="27">
        <f t="shared" si="111"/>
        <v>0</v>
      </c>
      <c r="AH147" s="27">
        <f t="shared" si="112"/>
        <v>0</v>
      </c>
      <c r="AI147" s="27">
        <f t="shared" si="113"/>
        <v>0</v>
      </c>
      <c r="AJ147" s="27">
        <f t="shared" si="114"/>
        <v>0</v>
      </c>
      <c r="AK147" s="27">
        <f t="shared" si="115"/>
        <v>0</v>
      </c>
      <c r="AL147" s="27"/>
      <c r="AM147" s="27"/>
      <c r="AN147" s="27">
        <v>0</v>
      </c>
      <c r="AO147" s="27"/>
      <c r="AP147" s="27">
        <f t="shared" si="116"/>
        <v>0</v>
      </c>
      <c r="AQ147" s="27">
        <f t="shared" si="117"/>
        <v>0</v>
      </c>
      <c r="AR147" s="27"/>
      <c r="AS147" s="27"/>
      <c r="AT147" s="27">
        <v>0</v>
      </c>
      <c r="AU147" s="27"/>
      <c r="AV147" s="27">
        <f t="shared" si="118"/>
        <v>0</v>
      </c>
      <c r="AW147" s="27">
        <f t="shared" si="119"/>
        <v>0</v>
      </c>
      <c r="AX147" s="27"/>
      <c r="AY147" s="27"/>
      <c r="AZ147" s="27">
        <v>0</v>
      </c>
      <c r="BA147" s="27"/>
      <c r="BB147" s="27">
        <f t="shared" si="120"/>
        <v>0</v>
      </c>
      <c r="BC147" s="27">
        <f t="shared" si="121"/>
        <v>0</v>
      </c>
      <c r="BD147" s="27"/>
      <c r="BE147" s="27"/>
      <c r="BF147" s="27">
        <v>0</v>
      </c>
      <c r="BG147" s="27"/>
      <c r="BH147" s="27">
        <f t="shared" si="122"/>
        <v>0</v>
      </c>
      <c r="BI147" s="27">
        <f t="shared" si="123"/>
        <v>0</v>
      </c>
      <c r="BJ147" s="27"/>
      <c r="BK147" s="27"/>
      <c r="BL147" s="27">
        <v>0</v>
      </c>
      <c r="BM147" s="27"/>
      <c r="BN147" s="27">
        <f t="shared" si="124"/>
        <v>0</v>
      </c>
      <c r="BO147" s="27">
        <f t="shared" si="125"/>
        <v>0</v>
      </c>
      <c r="BP147" s="26"/>
      <c r="BQ147" s="27"/>
      <c r="BR147" s="27">
        <v>0</v>
      </c>
      <c r="BS147" s="27"/>
      <c r="BT147" s="27">
        <f t="shared" si="126"/>
        <v>0</v>
      </c>
      <c r="BU147" s="27">
        <f t="shared" si="127"/>
        <v>0</v>
      </c>
      <c r="BV147" s="26"/>
      <c r="BW147" s="27"/>
      <c r="BX147" s="27">
        <v>0</v>
      </c>
      <c r="BY147" s="27"/>
      <c r="BZ147" s="27">
        <f t="shared" si="128"/>
        <v>0</v>
      </c>
      <c r="CA147" s="27">
        <f t="shared" si="129"/>
        <v>0</v>
      </c>
      <c r="CB147" s="26"/>
      <c r="CC147" s="27"/>
      <c r="CD147" s="27">
        <v>0</v>
      </c>
      <c r="CE147" s="27"/>
      <c r="CF147" s="27">
        <f t="shared" si="130"/>
        <v>0</v>
      </c>
      <c r="CG147" s="27">
        <f t="shared" si="131"/>
        <v>0</v>
      </c>
      <c r="CH147" s="26"/>
      <c r="CI147" s="27"/>
      <c r="CJ147" s="27">
        <v>0</v>
      </c>
      <c r="CK147" s="27"/>
      <c r="CL147" s="27">
        <f t="shared" si="132"/>
        <v>0</v>
      </c>
      <c r="CM147" s="27">
        <f t="shared" si="133"/>
        <v>0</v>
      </c>
      <c r="CN147" s="26"/>
      <c r="CO147" s="27"/>
      <c r="CP147" s="27">
        <v>0</v>
      </c>
      <c r="CQ147" s="27"/>
      <c r="CR147" s="27">
        <f t="shared" si="134"/>
        <v>0</v>
      </c>
      <c r="CS147" s="27">
        <f t="shared" si="135"/>
        <v>0</v>
      </c>
      <c r="CT147" s="26"/>
      <c r="CU147" s="27"/>
      <c r="CV147" s="27">
        <v>0</v>
      </c>
      <c r="CW147" s="27"/>
      <c r="CX147" s="27">
        <f t="shared" si="136"/>
        <v>0</v>
      </c>
      <c r="CY147" s="27">
        <f t="shared" si="137"/>
        <v>0</v>
      </c>
      <c r="CZ147" s="26"/>
      <c r="DA147" s="27"/>
      <c r="DB147" s="27">
        <v>0</v>
      </c>
      <c r="DC147" s="27"/>
      <c r="DD147" s="27">
        <f t="shared" si="138"/>
        <v>0</v>
      </c>
      <c r="DE147" s="27">
        <f t="shared" si="139"/>
        <v>0</v>
      </c>
      <c r="DF147" s="28">
        <f t="shared" si="140"/>
        <v>0</v>
      </c>
      <c r="DG147" s="28">
        <f t="shared" si="141"/>
        <v>0</v>
      </c>
      <c r="DH147" s="28">
        <f t="shared" si="142"/>
        <v>0</v>
      </c>
      <c r="DI147" s="28">
        <f t="shared" si="143"/>
        <v>0</v>
      </c>
      <c r="DJ147" s="27">
        <f t="shared" si="144"/>
        <v>0</v>
      </c>
      <c r="DK147" s="27">
        <f t="shared" si="145"/>
        <v>0</v>
      </c>
    </row>
    <row r="148" spans="1:115">
      <c r="A148" s="25">
        <v>140</v>
      </c>
      <c r="B148" s="26" t="s">
        <v>1161</v>
      </c>
      <c r="C148" s="26"/>
      <c r="D148" s="26"/>
      <c r="E148" s="205" t="s">
        <v>1200</v>
      </c>
      <c r="F148" s="161">
        <f t="shared" si="98"/>
        <v>0</v>
      </c>
      <c r="G148" s="165">
        <f t="shared" si="99"/>
        <v>0</v>
      </c>
      <c r="H148" s="27"/>
      <c r="I148" s="27">
        <v>0</v>
      </c>
      <c r="J148" s="27">
        <v>0</v>
      </c>
      <c r="K148" s="127">
        <f t="shared" si="100"/>
        <v>0</v>
      </c>
      <c r="L148" s="127">
        <f t="shared" si="101"/>
        <v>0</v>
      </c>
      <c r="M148" s="127">
        <f t="shared" si="102"/>
        <v>0</v>
      </c>
      <c r="N148" s="131"/>
      <c r="O148" s="125" t="str">
        <f t="shared" si="103"/>
        <v>ნულოვანი შესრულება</v>
      </c>
      <c r="P148" s="27">
        <v>0</v>
      </c>
      <c r="Q148" s="27">
        <v>0</v>
      </c>
      <c r="R148" s="27">
        <f t="shared" si="104"/>
        <v>0</v>
      </c>
      <c r="S148" s="27">
        <f t="shared" si="105"/>
        <v>0</v>
      </c>
      <c r="T148" s="27"/>
      <c r="U148" s="27"/>
      <c r="V148" s="27">
        <v>0</v>
      </c>
      <c r="W148" s="27"/>
      <c r="X148" s="27">
        <f t="shared" si="106"/>
        <v>0</v>
      </c>
      <c r="Y148" s="27">
        <f t="shared" si="107"/>
        <v>0</v>
      </c>
      <c r="Z148" s="27">
        <v>0</v>
      </c>
      <c r="AA148" s="27"/>
      <c r="AB148" s="27"/>
      <c r="AC148" s="27"/>
      <c r="AD148" s="27">
        <f t="shared" si="108"/>
        <v>0</v>
      </c>
      <c r="AE148" s="27">
        <f t="shared" si="109"/>
        <v>0</v>
      </c>
      <c r="AF148" s="27">
        <f t="shared" si="110"/>
        <v>0</v>
      </c>
      <c r="AG148" s="27">
        <f t="shared" si="111"/>
        <v>0</v>
      </c>
      <c r="AH148" s="27">
        <f t="shared" si="112"/>
        <v>0</v>
      </c>
      <c r="AI148" s="27">
        <f t="shared" si="113"/>
        <v>0</v>
      </c>
      <c r="AJ148" s="27">
        <f t="shared" si="114"/>
        <v>0</v>
      </c>
      <c r="AK148" s="27">
        <f t="shared" si="115"/>
        <v>0</v>
      </c>
      <c r="AL148" s="27"/>
      <c r="AM148" s="27"/>
      <c r="AN148" s="27">
        <v>0</v>
      </c>
      <c r="AO148" s="27"/>
      <c r="AP148" s="27">
        <f t="shared" si="116"/>
        <v>0</v>
      </c>
      <c r="AQ148" s="27">
        <f t="shared" si="117"/>
        <v>0</v>
      </c>
      <c r="AR148" s="27"/>
      <c r="AS148" s="27"/>
      <c r="AT148" s="27">
        <v>0</v>
      </c>
      <c r="AU148" s="27"/>
      <c r="AV148" s="27">
        <f t="shared" si="118"/>
        <v>0</v>
      </c>
      <c r="AW148" s="27">
        <f t="shared" si="119"/>
        <v>0</v>
      </c>
      <c r="AX148" s="27"/>
      <c r="AY148" s="27"/>
      <c r="AZ148" s="27">
        <v>0</v>
      </c>
      <c r="BA148" s="27"/>
      <c r="BB148" s="27">
        <f t="shared" si="120"/>
        <v>0</v>
      </c>
      <c r="BC148" s="27">
        <f t="shared" si="121"/>
        <v>0</v>
      </c>
      <c r="BD148" s="27"/>
      <c r="BE148" s="27"/>
      <c r="BF148" s="27">
        <v>0</v>
      </c>
      <c r="BG148" s="27"/>
      <c r="BH148" s="27">
        <f t="shared" si="122"/>
        <v>0</v>
      </c>
      <c r="BI148" s="27">
        <f t="shared" si="123"/>
        <v>0</v>
      </c>
      <c r="BJ148" s="27"/>
      <c r="BK148" s="27"/>
      <c r="BL148" s="27">
        <v>0</v>
      </c>
      <c r="BM148" s="27"/>
      <c r="BN148" s="27">
        <f t="shared" si="124"/>
        <v>0</v>
      </c>
      <c r="BO148" s="27">
        <f t="shared" si="125"/>
        <v>0</v>
      </c>
      <c r="BP148" s="26"/>
      <c r="BQ148" s="27"/>
      <c r="BR148" s="27">
        <v>0</v>
      </c>
      <c r="BS148" s="27"/>
      <c r="BT148" s="27">
        <f t="shared" si="126"/>
        <v>0</v>
      </c>
      <c r="BU148" s="27">
        <f t="shared" si="127"/>
        <v>0</v>
      </c>
      <c r="BV148" s="26"/>
      <c r="BW148" s="27"/>
      <c r="BX148" s="27">
        <v>0</v>
      </c>
      <c r="BY148" s="27"/>
      <c r="BZ148" s="27">
        <f t="shared" si="128"/>
        <v>0</v>
      </c>
      <c r="CA148" s="27">
        <f t="shared" si="129"/>
        <v>0</v>
      </c>
      <c r="CB148" s="26"/>
      <c r="CC148" s="27"/>
      <c r="CD148" s="27">
        <v>0</v>
      </c>
      <c r="CE148" s="27"/>
      <c r="CF148" s="27">
        <f t="shared" si="130"/>
        <v>0</v>
      </c>
      <c r="CG148" s="27">
        <f t="shared" si="131"/>
        <v>0</v>
      </c>
      <c r="CH148" s="26"/>
      <c r="CI148" s="27"/>
      <c r="CJ148" s="27">
        <v>0</v>
      </c>
      <c r="CK148" s="27"/>
      <c r="CL148" s="27">
        <f t="shared" si="132"/>
        <v>0</v>
      </c>
      <c r="CM148" s="27">
        <f t="shared" si="133"/>
        <v>0</v>
      </c>
      <c r="CN148" s="26"/>
      <c r="CO148" s="27"/>
      <c r="CP148" s="27">
        <v>0</v>
      </c>
      <c r="CQ148" s="27"/>
      <c r="CR148" s="27">
        <f t="shared" si="134"/>
        <v>0</v>
      </c>
      <c r="CS148" s="27">
        <f t="shared" si="135"/>
        <v>0</v>
      </c>
      <c r="CT148" s="26"/>
      <c r="CU148" s="27"/>
      <c r="CV148" s="27">
        <v>0</v>
      </c>
      <c r="CW148" s="27"/>
      <c r="CX148" s="27">
        <f t="shared" si="136"/>
        <v>0</v>
      </c>
      <c r="CY148" s="27">
        <f t="shared" si="137"/>
        <v>0</v>
      </c>
      <c r="CZ148" s="26"/>
      <c r="DA148" s="27"/>
      <c r="DB148" s="27">
        <v>0</v>
      </c>
      <c r="DC148" s="27"/>
      <c r="DD148" s="27">
        <f t="shared" si="138"/>
        <v>0</v>
      </c>
      <c r="DE148" s="27">
        <f t="shared" si="139"/>
        <v>0</v>
      </c>
      <c r="DF148" s="28">
        <f t="shared" si="140"/>
        <v>0</v>
      </c>
      <c r="DG148" s="28">
        <f t="shared" si="141"/>
        <v>0</v>
      </c>
      <c r="DH148" s="28">
        <f t="shared" si="142"/>
        <v>0</v>
      </c>
      <c r="DI148" s="28">
        <f t="shared" si="143"/>
        <v>0</v>
      </c>
      <c r="DJ148" s="27">
        <f t="shared" si="144"/>
        <v>0</v>
      </c>
      <c r="DK148" s="27">
        <f t="shared" si="145"/>
        <v>0</v>
      </c>
    </row>
    <row r="149" spans="1:115">
      <c r="A149" s="25">
        <v>141</v>
      </c>
      <c r="B149" s="26" t="s">
        <v>1161</v>
      </c>
      <c r="C149" s="26"/>
      <c r="D149" s="26"/>
      <c r="E149" s="205" t="s">
        <v>1200</v>
      </c>
      <c r="F149" s="161">
        <f t="shared" si="98"/>
        <v>0</v>
      </c>
      <c r="G149" s="165">
        <f t="shared" si="99"/>
        <v>0</v>
      </c>
      <c r="H149" s="27"/>
      <c r="I149" s="27">
        <v>0</v>
      </c>
      <c r="J149" s="27">
        <v>0</v>
      </c>
      <c r="K149" s="127">
        <f t="shared" si="100"/>
        <v>0</v>
      </c>
      <c r="L149" s="127">
        <f t="shared" si="101"/>
        <v>0</v>
      </c>
      <c r="M149" s="127">
        <f t="shared" si="102"/>
        <v>0</v>
      </c>
      <c r="N149" s="131"/>
      <c r="O149" s="125" t="str">
        <f t="shared" si="103"/>
        <v>ნულოვანი შესრულება</v>
      </c>
      <c r="P149" s="27">
        <v>0</v>
      </c>
      <c r="Q149" s="27">
        <v>0</v>
      </c>
      <c r="R149" s="27">
        <f t="shared" si="104"/>
        <v>0</v>
      </c>
      <c r="S149" s="27">
        <f t="shared" si="105"/>
        <v>0</v>
      </c>
      <c r="T149" s="27"/>
      <c r="U149" s="27"/>
      <c r="V149" s="27">
        <v>0</v>
      </c>
      <c r="W149" s="27"/>
      <c r="X149" s="27">
        <f t="shared" si="106"/>
        <v>0</v>
      </c>
      <c r="Y149" s="27">
        <f t="shared" si="107"/>
        <v>0</v>
      </c>
      <c r="Z149" s="27">
        <v>0</v>
      </c>
      <c r="AA149" s="27"/>
      <c r="AB149" s="27"/>
      <c r="AC149" s="27"/>
      <c r="AD149" s="27">
        <f t="shared" si="108"/>
        <v>0</v>
      </c>
      <c r="AE149" s="27">
        <f t="shared" si="109"/>
        <v>0</v>
      </c>
      <c r="AF149" s="27">
        <f t="shared" si="110"/>
        <v>0</v>
      </c>
      <c r="AG149" s="27">
        <f t="shared" si="111"/>
        <v>0</v>
      </c>
      <c r="AH149" s="27">
        <f t="shared" si="112"/>
        <v>0</v>
      </c>
      <c r="AI149" s="27">
        <f t="shared" si="113"/>
        <v>0</v>
      </c>
      <c r="AJ149" s="27">
        <f t="shared" si="114"/>
        <v>0</v>
      </c>
      <c r="AK149" s="27">
        <f t="shared" si="115"/>
        <v>0</v>
      </c>
      <c r="AL149" s="27"/>
      <c r="AM149" s="27"/>
      <c r="AN149" s="27">
        <v>0</v>
      </c>
      <c r="AO149" s="27"/>
      <c r="AP149" s="27">
        <f t="shared" si="116"/>
        <v>0</v>
      </c>
      <c r="AQ149" s="27">
        <f t="shared" si="117"/>
        <v>0</v>
      </c>
      <c r="AR149" s="27"/>
      <c r="AS149" s="27"/>
      <c r="AT149" s="27">
        <v>0</v>
      </c>
      <c r="AU149" s="27"/>
      <c r="AV149" s="27">
        <f t="shared" si="118"/>
        <v>0</v>
      </c>
      <c r="AW149" s="27">
        <f t="shared" si="119"/>
        <v>0</v>
      </c>
      <c r="AX149" s="27"/>
      <c r="AY149" s="27"/>
      <c r="AZ149" s="27">
        <v>0</v>
      </c>
      <c r="BA149" s="27"/>
      <c r="BB149" s="27">
        <f t="shared" si="120"/>
        <v>0</v>
      </c>
      <c r="BC149" s="27">
        <f t="shared" si="121"/>
        <v>0</v>
      </c>
      <c r="BD149" s="27"/>
      <c r="BE149" s="27"/>
      <c r="BF149" s="27">
        <v>0</v>
      </c>
      <c r="BG149" s="27"/>
      <c r="BH149" s="27">
        <f t="shared" si="122"/>
        <v>0</v>
      </c>
      <c r="BI149" s="27">
        <f t="shared" si="123"/>
        <v>0</v>
      </c>
      <c r="BJ149" s="27"/>
      <c r="BK149" s="27"/>
      <c r="BL149" s="27">
        <v>0</v>
      </c>
      <c r="BM149" s="27"/>
      <c r="BN149" s="27">
        <f t="shared" si="124"/>
        <v>0</v>
      </c>
      <c r="BO149" s="27">
        <f t="shared" si="125"/>
        <v>0</v>
      </c>
      <c r="BP149" s="26"/>
      <c r="BQ149" s="27"/>
      <c r="BR149" s="27">
        <v>0</v>
      </c>
      <c r="BS149" s="27"/>
      <c r="BT149" s="27">
        <f t="shared" si="126"/>
        <v>0</v>
      </c>
      <c r="BU149" s="27">
        <f t="shared" si="127"/>
        <v>0</v>
      </c>
      <c r="BV149" s="26"/>
      <c r="BW149" s="27"/>
      <c r="BX149" s="27">
        <v>0</v>
      </c>
      <c r="BY149" s="27"/>
      <c r="BZ149" s="27">
        <f t="shared" si="128"/>
        <v>0</v>
      </c>
      <c r="CA149" s="27">
        <f t="shared" si="129"/>
        <v>0</v>
      </c>
      <c r="CB149" s="26"/>
      <c r="CC149" s="27"/>
      <c r="CD149" s="27">
        <v>0</v>
      </c>
      <c r="CE149" s="27"/>
      <c r="CF149" s="27">
        <f t="shared" si="130"/>
        <v>0</v>
      </c>
      <c r="CG149" s="27">
        <f t="shared" si="131"/>
        <v>0</v>
      </c>
      <c r="CH149" s="26"/>
      <c r="CI149" s="27"/>
      <c r="CJ149" s="27">
        <v>0</v>
      </c>
      <c r="CK149" s="27"/>
      <c r="CL149" s="27">
        <f t="shared" si="132"/>
        <v>0</v>
      </c>
      <c r="CM149" s="27">
        <f t="shared" si="133"/>
        <v>0</v>
      </c>
      <c r="CN149" s="26"/>
      <c r="CO149" s="27"/>
      <c r="CP149" s="27">
        <v>0</v>
      </c>
      <c r="CQ149" s="27"/>
      <c r="CR149" s="27">
        <f t="shared" si="134"/>
        <v>0</v>
      </c>
      <c r="CS149" s="27">
        <f t="shared" si="135"/>
        <v>0</v>
      </c>
      <c r="CT149" s="26"/>
      <c r="CU149" s="27"/>
      <c r="CV149" s="27">
        <v>0</v>
      </c>
      <c r="CW149" s="27"/>
      <c r="CX149" s="27">
        <f t="shared" si="136"/>
        <v>0</v>
      </c>
      <c r="CY149" s="27">
        <f t="shared" si="137"/>
        <v>0</v>
      </c>
      <c r="CZ149" s="26"/>
      <c r="DA149" s="27"/>
      <c r="DB149" s="27">
        <v>0</v>
      </c>
      <c r="DC149" s="27"/>
      <c r="DD149" s="27">
        <f t="shared" si="138"/>
        <v>0</v>
      </c>
      <c r="DE149" s="27">
        <f t="shared" si="139"/>
        <v>0</v>
      </c>
      <c r="DF149" s="28">
        <f t="shared" si="140"/>
        <v>0</v>
      </c>
      <c r="DG149" s="28">
        <f t="shared" si="141"/>
        <v>0</v>
      </c>
      <c r="DH149" s="28">
        <f t="shared" si="142"/>
        <v>0</v>
      </c>
      <c r="DI149" s="28">
        <f t="shared" si="143"/>
        <v>0</v>
      </c>
      <c r="DJ149" s="27">
        <f t="shared" si="144"/>
        <v>0</v>
      </c>
      <c r="DK149" s="27">
        <f t="shared" si="145"/>
        <v>0</v>
      </c>
    </row>
    <row r="150" spans="1:115">
      <c r="A150" s="25">
        <v>142</v>
      </c>
      <c r="B150" s="26" t="s">
        <v>1161</v>
      </c>
      <c r="C150" s="26"/>
      <c r="D150" s="26"/>
      <c r="E150" s="205" t="s">
        <v>1200</v>
      </c>
      <c r="F150" s="161">
        <f t="shared" si="98"/>
        <v>0</v>
      </c>
      <c r="G150" s="165">
        <f t="shared" si="99"/>
        <v>0</v>
      </c>
      <c r="H150" s="27"/>
      <c r="I150" s="27">
        <v>0</v>
      </c>
      <c r="J150" s="27">
        <v>0</v>
      </c>
      <c r="K150" s="127">
        <f t="shared" si="100"/>
        <v>0</v>
      </c>
      <c r="L150" s="127">
        <f t="shared" si="101"/>
        <v>0</v>
      </c>
      <c r="M150" s="127">
        <f t="shared" si="102"/>
        <v>0</v>
      </c>
      <c r="N150" s="131"/>
      <c r="O150" s="125" t="str">
        <f t="shared" si="103"/>
        <v>ნულოვანი შესრულება</v>
      </c>
      <c r="P150" s="27">
        <v>0</v>
      </c>
      <c r="Q150" s="27">
        <v>0</v>
      </c>
      <c r="R150" s="27">
        <f t="shared" si="104"/>
        <v>0</v>
      </c>
      <c r="S150" s="27">
        <f t="shared" si="105"/>
        <v>0</v>
      </c>
      <c r="T150" s="27"/>
      <c r="U150" s="27"/>
      <c r="V150" s="27">
        <v>0</v>
      </c>
      <c r="W150" s="27"/>
      <c r="X150" s="27">
        <f t="shared" si="106"/>
        <v>0</v>
      </c>
      <c r="Y150" s="27">
        <f t="shared" si="107"/>
        <v>0</v>
      </c>
      <c r="Z150" s="27">
        <v>0</v>
      </c>
      <c r="AA150" s="27"/>
      <c r="AB150" s="27"/>
      <c r="AC150" s="27"/>
      <c r="AD150" s="27">
        <f t="shared" si="108"/>
        <v>0</v>
      </c>
      <c r="AE150" s="27">
        <f t="shared" si="109"/>
        <v>0</v>
      </c>
      <c r="AF150" s="27">
        <f t="shared" si="110"/>
        <v>0</v>
      </c>
      <c r="AG150" s="27">
        <f t="shared" si="111"/>
        <v>0</v>
      </c>
      <c r="AH150" s="27">
        <f t="shared" si="112"/>
        <v>0</v>
      </c>
      <c r="AI150" s="27">
        <f t="shared" si="113"/>
        <v>0</v>
      </c>
      <c r="AJ150" s="27">
        <f t="shared" si="114"/>
        <v>0</v>
      </c>
      <c r="AK150" s="27">
        <f t="shared" si="115"/>
        <v>0</v>
      </c>
      <c r="AL150" s="27"/>
      <c r="AM150" s="27"/>
      <c r="AN150" s="27">
        <v>0</v>
      </c>
      <c r="AO150" s="27"/>
      <c r="AP150" s="27">
        <f t="shared" si="116"/>
        <v>0</v>
      </c>
      <c r="AQ150" s="27">
        <f t="shared" si="117"/>
        <v>0</v>
      </c>
      <c r="AR150" s="27"/>
      <c r="AS150" s="27"/>
      <c r="AT150" s="27">
        <v>0</v>
      </c>
      <c r="AU150" s="27"/>
      <c r="AV150" s="27">
        <f t="shared" si="118"/>
        <v>0</v>
      </c>
      <c r="AW150" s="27">
        <f t="shared" si="119"/>
        <v>0</v>
      </c>
      <c r="AX150" s="27"/>
      <c r="AY150" s="27"/>
      <c r="AZ150" s="27">
        <v>0</v>
      </c>
      <c r="BA150" s="27"/>
      <c r="BB150" s="27">
        <f t="shared" si="120"/>
        <v>0</v>
      </c>
      <c r="BC150" s="27">
        <f t="shared" si="121"/>
        <v>0</v>
      </c>
      <c r="BD150" s="27"/>
      <c r="BE150" s="27"/>
      <c r="BF150" s="27">
        <v>0</v>
      </c>
      <c r="BG150" s="27"/>
      <c r="BH150" s="27">
        <f t="shared" si="122"/>
        <v>0</v>
      </c>
      <c r="BI150" s="27">
        <f t="shared" si="123"/>
        <v>0</v>
      </c>
      <c r="BJ150" s="27"/>
      <c r="BK150" s="27"/>
      <c r="BL150" s="27">
        <v>0</v>
      </c>
      <c r="BM150" s="27"/>
      <c r="BN150" s="27">
        <f t="shared" si="124"/>
        <v>0</v>
      </c>
      <c r="BO150" s="27">
        <f t="shared" si="125"/>
        <v>0</v>
      </c>
      <c r="BP150" s="26"/>
      <c r="BQ150" s="27"/>
      <c r="BR150" s="27">
        <v>0</v>
      </c>
      <c r="BS150" s="27"/>
      <c r="BT150" s="27">
        <f t="shared" si="126"/>
        <v>0</v>
      </c>
      <c r="BU150" s="27">
        <f t="shared" si="127"/>
        <v>0</v>
      </c>
      <c r="BV150" s="26"/>
      <c r="BW150" s="27"/>
      <c r="BX150" s="27">
        <v>0</v>
      </c>
      <c r="BY150" s="27"/>
      <c r="BZ150" s="27">
        <f t="shared" si="128"/>
        <v>0</v>
      </c>
      <c r="CA150" s="27">
        <f t="shared" si="129"/>
        <v>0</v>
      </c>
      <c r="CB150" s="26"/>
      <c r="CC150" s="27"/>
      <c r="CD150" s="27">
        <v>0</v>
      </c>
      <c r="CE150" s="27"/>
      <c r="CF150" s="27">
        <f t="shared" si="130"/>
        <v>0</v>
      </c>
      <c r="CG150" s="27">
        <f t="shared" si="131"/>
        <v>0</v>
      </c>
      <c r="CH150" s="26"/>
      <c r="CI150" s="27"/>
      <c r="CJ150" s="27">
        <v>0</v>
      </c>
      <c r="CK150" s="27"/>
      <c r="CL150" s="27">
        <f t="shared" si="132"/>
        <v>0</v>
      </c>
      <c r="CM150" s="27">
        <f t="shared" si="133"/>
        <v>0</v>
      </c>
      <c r="CN150" s="26"/>
      <c r="CO150" s="27"/>
      <c r="CP150" s="27">
        <v>0</v>
      </c>
      <c r="CQ150" s="27"/>
      <c r="CR150" s="27">
        <f t="shared" si="134"/>
        <v>0</v>
      </c>
      <c r="CS150" s="27">
        <f t="shared" si="135"/>
        <v>0</v>
      </c>
      <c r="CT150" s="26"/>
      <c r="CU150" s="27"/>
      <c r="CV150" s="27">
        <v>0</v>
      </c>
      <c r="CW150" s="27"/>
      <c r="CX150" s="27">
        <f t="shared" si="136"/>
        <v>0</v>
      </c>
      <c r="CY150" s="27">
        <f t="shared" si="137"/>
        <v>0</v>
      </c>
      <c r="CZ150" s="26"/>
      <c r="DA150" s="27"/>
      <c r="DB150" s="27">
        <v>0</v>
      </c>
      <c r="DC150" s="27"/>
      <c r="DD150" s="27">
        <f t="shared" si="138"/>
        <v>0</v>
      </c>
      <c r="DE150" s="27">
        <f t="shared" si="139"/>
        <v>0</v>
      </c>
      <c r="DF150" s="28">
        <f t="shared" si="140"/>
        <v>0</v>
      </c>
      <c r="DG150" s="28">
        <f t="shared" si="141"/>
        <v>0</v>
      </c>
      <c r="DH150" s="28">
        <f t="shared" si="142"/>
        <v>0</v>
      </c>
      <c r="DI150" s="28">
        <f t="shared" si="143"/>
        <v>0</v>
      </c>
      <c r="DJ150" s="27">
        <f t="shared" si="144"/>
        <v>0</v>
      </c>
      <c r="DK150" s="27">
        <f t="shared" si="145"/>
        <v>0</v>
      </c>
    </row>
    <row r="151" spans="1:115">
      <c r="A151" s="25">
        <v>143</v>
      </c>
      <c r="B151" s="26" t="s">
        <v>1161</v>
      </c>
      <c r="C151" s="26"/>
      <c r="D151" s="26"/>
      <c r="E151" s="205" t="s">
        <v>1200</v>
      </c>
      <c r="F151" s="161">
        <f t="shared" si="98"/>
        <v>0</v>
      </c>
      <c r="G151" s="165">
        <f t="shared" si="99"/>
        <v>0</v>
      </c>
      <c r="H151" s="27"/>
      <c r="I151" s="27">
        <v>0</v>
      </c>
      <c r="J151" s="27">
        <v>0</v>
      </c>
      <c r="K151" s="127">
        <f t="shared" si="100"/>
        <v>0</v>
      </c>
      <c r="L151" s="127">
        <f t="shared" si="101"/>
        <v>0</v>
      </c>
      <c r="M151" s="127">
        <f t="shared" si="102"/>
        <v>0</v>
      </c>
      <c r="N151" s="131"/>
      <c r="O151" s="125" t="str">
        <f t="shared" si="103"/>
        <v>ნულოვანი შესრულება</v>
      </c>
      <c r="P151" s="27">
        <v>0</v>
      </c>
      <c r="Q151" s="27">
        <v>0</v>
      </c>
      <c r="R151" s="27">
        <f t="shared" si="104"/>
        <v>0</v>
      </c>
      <c r="S151" s="27">
        <f t="shared" si="105"/>
        <v>0</v>
      </c>
      <c r="T151" s="27"/>
      <c r="U151" s="27"/>
      <c r="V151" s="27">
        <v>0</v>
      </c>
      <c r="W151" s="27"/>
      <c r="X151" s="27">
        <f t="shared" si="106"/>
        <v>0</v>
      </c>
      <c r="Y151" s="27">
        <f t="shared" si="107"/>
        <v>0</v>
      </c>
      <c r="Z151" s="27">
        <v>0</v>
      </c>
      <c r="AA151" s="27"/>
      <c r="AB151" s="27"/>
      <c r="AC151" s="27"/>
      <c r="AD151" s="27">
        <f t="shared" si="108"/>
        <v>0</v>
      </c>
      <c r="AE151" s="27">
        <f t="shared" si="109"/>
        <v>0</v>
      </c>
      <c r="AF151" s="27">
        <f t="shared" si="110"/>
        <v>0</v>
      </c>
      <c r="AG151" s="27">
        <f t="shared" si="111"/>
        <v>0</v>
      </c>
      <c r="AH151" s="27">
        <f t="shared" si="112"/>
        <v>0</v>
      </c>
      <c r="AI151" s="27">
        <f t="shared" si="113"/>
        <v>0</v>
      </c>
      <c r="AJ151" s="27">
        <f t="shared" si="114"/>
        <v>0</v>
      </c>
      <c r="AK151" s="27">
        <f t="shared" si="115"/>
        <v>0</v>
      </c>
      <c r="AL151" s="27"/>
      <c r="AM151" s="27"/>
      <c r="AN151" s="27">
        <v>0</v>
      </c>
      <c r="AO151" s="27"/>
      <c r="AP151" s="27">
        <f t="shared" si="116"/>
        <v>0</v>
      </c>
      <c r="AQ151" s="27">
        <f t="shared" si="117"/>
        <v>0</v>
      </c>
      <c r="AR151" s="27"/>
      <c r="AS151" s="27"/>
      <c r="AT151" s="27">
        <v>0</v>
      </c>
      <c r="AU151" s="27"/>
      <c r="AV151" s="27">
        <f t="shared" si="118"/>
        <v>0</v>
      </c>
      <c r="AW151" s="27">
        <f t="shared" si="119"/>
        <v>0</v>
      </c>
      <c r="AX151" s="27"/>
      <c r="AY151" s="27"/>
      <c r="AZ151" s="27">
        <v>0</v>
      </c>
      <c r="BA151" s="27"/>
      <c r="BB151" s="27">
        <f t="shared" si="120"/>
        <v>0</v>
      </c>
      <c r="BC151" s="27">
        <f t="shared" si="121"/>
        <v>0</v>
      </c>
      <c r="BD151" s="27"/>
      <c r="BE151" s="27"/>
      <c r="BF151" s="27">
        <v>0</v>
      </c>
      <c r="BG151" s="27"/>
      <c r="BH151" s="27">
        <f t="shared" si="122"/>
        <v>0</v>
      </c>
      <c r="BI151" s="27">
        <f t="shared" si="123"/>
        <v>0</v>
      </c>
      <c r="BJ151" s="27"/>
      <c r="BK151" s="27"/>
      <c r="BL151" s="27">
        <v>0</v>
      </c>
      <c r="BM151" s="27"/>
      <c r="BN151" s="27">
        <f t="shared" si="124"/>
        <v>0</v>
      </c>
      <c r="BO151" s="27">
        <f t="shared" si="125"/>
        <v>0</v>
      </c>
      <c r="BP151" s="26"/>
      <c r="BQ151" s="27"/>
      <c r="BR151" s="27">
        <v>0</v>
      </c>
      <c r="BS151" s="27"/>
      <c r="BT151" s="27">
        <f t="shared" si="126"/>
        <v>0</v>
      </c>
      <c r="BU151" s="27">
        <f t="shared" si="127"/>
        <v>0</v>
      </c>
      <c r="BV151" s="26"/>
      <c r="BW151" s="27"/>
      <c r="BX151" s="27">
        <v>0</v>
      </c>
      <c r="BY151" s="27"/>
      <c r="BZ151" s="27">
        <f t="shared" si="128"/>
        <v>0</v>
      </c>
      <c r="CA151" s="27">
        <f t="shared" si="129"/>
        <v>0</v>
      </c>
      <c r="CB151" s="26"/>
      <c r="CC151" s="27"/>
      <c r="CD151" s="27">
        <v>0</v>
      </c>
      <c r="CE151" s="27"/>
      <c r="CF151" s="27">
        <f t="shared" si="130"/>
        <v>0</v>
      </c>
      <c r="CG151" s="27">
        <f t="shared" si="131"/>
        <v>0</v>
      </c>
      <c r="CH151" s="26"/>
      <c r="CI151" s="27"/>
      <c r="CJ151" s="27">
        <v>0</v>
      </c>
      <c r="CK151" s="27"/>
      <c r="CL151" s="27">
        <f t="shared" si="132"/>
        <v>0</v>
      </c>
      <c r="CM151" s="27">
        <f t="shared" si="133"/>
        <v>0</v>
      </c>
      <c r="CN151" s="26"/>
      <c r="CO151" s="27"/>
      <c r="CP151" s="27">
        <v>0</v>
      </c>
      <c r="CQ151" s="27"/>
      <c r="CR151" s="27">
        <f t="shared" si="134"/>
        <v>0</v>
      </c>
      <c r="CS151" s="27">
        <f t="shared" si="135"/>
        <v>0</v>
      </c>
      <c r="CT151" s="26"/>
      <c r="CU151" s="27"/>
      <c r="CV151" s="27">
        <v>0</v>
      </c>
      <c r="CW151" s="27"/>
      <c r="CX151" s="27">
        <f t="shared" si="136"/>
        <v>0</v>
      </c>
      <c r="CY151" s="27">
        <f t="shared" si="137"/>
        <v>0</v>
      </c>
      <c r="CZ151" s="26"/>
      <c r="DA151" s="27"/>
      <c r="DB151" s="27">
        <v>0</v>
      </c>
      <c r="DC151" s="27"/>
      <c r="DD151" s="27">
        <f t="shared" si="138"/>
        <v>0</v>
      </c>
      <c r="DE151" s="27">
        <f t="shared" si="139"/>
        <v>0</v>
      </c>
      <c r="DF151" s="28">
        <f t="shared" si="140"/>
        <v>0</v>
      </c>
      <c r="DG151" s="28">
        <f t="shared" si="141"/>
        <v>0</v>
      </c>
      <c r="DH151" s="28">
        <f t="shared" si="142"/>
        <v>0</v>
      </c>
      <c r="DI151" s="28">
        <f t="shared" si="143"/>
        <v>0</v>
      </c>
      <c r="DJ151" s="27">
        <f t="shared" si="144"/>
        <v>0</v>
      </c>
      <c r="DK151" s="27">
        <f t="shared" si="145"/>
        <v>0</v>
      </c>
    </row>
    <row r="152" spans="1:115">
      <c r="A152" s="25">
        <v>144</v>
      </c>
      <c r="B152" s="26" t="s">
        <v>1161</v>
      </c>
      <c r="C152" s="26"/>
      <c r="D152" s="26"/>
      <c r="E152" s="205" t="s">
        <v>1200</v>
      </c>
      <c r="F152" s="161">
        <f t="shared" si="98"/>
        <v>0</v>
      </c>
      <c r="G152" s="165">
        <f t="shared" si="99"/>
        <v>0</v>
      </c>
      <c r="H152" s="27"/>
      <c r="I152" s="27">
        <v>0</v>
      </c>
      <c r="J152" s="27">
        <v>0</v>
      </c>
      <c r="K152" s="127">
        <f t="shared" si="100"/>
        <v>0</v>
      </c>
      <c r="L152" s="127">
        <f t="shared" si="101"/>
        <v>0</v>
      </c>
      <c r="M152" s="127">
        <f t="shared" si="102"/>
        <v>0</v>
      </c>
      <c r="N152" s="131"/>
      <c r="O152" s="125" t="str">
        <f t="shared" si="103"/>
        <v>ნულოვანი შესრულება</v>
      </c>
      <c r="P152" s="27">
        <v>0</v>
      </c>
      <c r="Q152" s="27">
        <v>0</v>
      </c>
      <c r="R152" s="27">
        <f t="shared" si="104"/>
        <v>0</v>
      </c>
      <c r="S152" s="27">
        <f t="shared" si="105"/>
        <v>0</v>
      </c>
      <c r="T152" s="27"/>
      <c r="U152" s="27"/>
      <c r="V152" s="27">
        <v>0</v>
      </c>
      <c r="W152" s="27"/>
      <c r="X152" s="27">
        <f t="shared" si="106"/>
        <v>0</v>
      </c>
      <c r="Y152" s="27">
        <f t="shared" si="107"/>
        <v>0</v>
      </c>
      <c r="Z152" s="27">
        <v>0</v>
      </c>
      <c r="AA152" s="27"/>
      <c r="AB152" s="27"/>
      <c r="AC152" s="27"/>
      <c r="AD152" s="27">
        <f t="shared" si="108"/>
        <v>0</v>
      </c>
      <c r="AE152" s="27">
        <f t="shared" si="109"/>
        <v>0</v>
      </c>
      <c r="AF152" s="27">
        <f t="shared" si="110"/>
        <v>0</v>
      </c>
      <c r="AG152" s="27">
        <f t="shared" si="111"/>
        <v>0</v>
      </c>
      <c r="AH152" s="27">
        <f t="shared" si="112"/>
        <v>0</v>
      </c>
      <c r="AI152" s="27">
        <f t="shared" si="113"/>
        <v>0</v>
      </c>
      <c r="AJ152" s="27">
        <f t="shared" si="114"/>
        <v>0</v>
      </c>
      <c r="AK152" s="27">
        <f t="shared" si="115"/>
        <v>0</v>
      </c>
      <c r="AL152" s="27"/>
      <c r="AM152" s="27"/>
      <c r="AN152" s="27">
        <v>0</v>
      </c>
      <c r="AO152" s="27"/>
      <c r="AP152" s="27">
        <f t="shared" si="116"/>
        <v>0</v>
      </c>
      <c r="AQ152" s="27">
        <f t="shared" si="117"/>
        <v>0</v>
      </c>
      <c r="AR152" s="27"/>
      <c r="AS152" s="27"/>
      <c r="AT152" s="27">
        <v>0</v>
      </c>
      <c r="AU152" s="27"/>
      <c r="AV152" s="27">
        <f t="shared" si="118"/>
        <v>0</v>
      </c>
      <c r="AW152" s="27">
        <f t="shared" si="119"/>
        <v>0</v>
      </c>
      <c r="AX152" s="27"/>
      <c r="AY152" s="27"/>
      <c r="AZ152" s="27">
        <v>0</v>
      </c>
      <c r="BA152" s="27"/>
      <c r="BB152" s="27">
        <f t="shared" si="120"/>
        <v>0</v>
      </c>
      <c r="BC152" s="27">
        <f t="shared" si="121"/>
        <v>0</v>
      </c>
      <c r="BD152" s="27"/>
      <c r="BE152" s="27"/>
      <c r="BF152" s="27">
        <v>0</v>
      </c>
      <c r="BG152" s="27"/>
      <c r="BH152" s="27">
        <f t="shared" si="122"/>
        <v>0</v>
      </c>
      <c r="BI152" s="27">
        <f t="shared" si="123"/>
        <v>0</v>
      </c>
      <c r="BJ152" s="27"/>
      <c r="BK152" s="27"/>
      <c r="BL152" s="27">
        <v>0</v>
      </c>
      <c r="BM152" s="27"/>
      <c r="BN152" s="27">
        <f t="shared" si="124"/>
        <v>0</v>
      </c>
      <c r="BO152" s="27">
        <f t="shared" si="125"/>
        <v>0</v>
      </c>
      <c r="BP152" s="26"/>
      <c r="BQ152" s="27"/>
      <c r="BR152" s="27">
        <v>0</v>
      </c>
      <c r="BS152" s="27"/>
      <c r="BT152" s="27">
        <f t="shared" si="126"/>
        <v>0</v>
      </c>
      <c r="BU152" s="27">
        <f t="shared" si="127"/>
        <v>0</v>
      </c>
      <c r="BV152" s="26"/>
      <c r="BW152" s="27"/>
      <c r="BX152" s="27">
        <v>0</v>
      </c>
      <c r="BY152" s="27"/>
      <c r="BZ152" s="27">
        <f t="shared" si="128"/>
        <v>0</v>
      </c>
      <c r="CA152" s="27">
        <f t="shared" si="129"/>
        <v>0</v>
      </c>
      <c r="CB152" s="26"/>
      <c r="CC152" s="27"/>
      <c r="CD152" s="27">
        <v>0</v>
      </c>
      <c r="CE152" s="27"/>
      <c r="CF152" s="27">
        <f t="shared" si="130"/>
        <v>0</v>
      </c>
      <c r="CG152" s="27">
        <f t="shared" si="131"/>
        <v>0</v>
      </c>
      <c r="CH152" s="26"/>
      <c r="CI152" s="27"/>
      <c r="CJ152" s="27">
        <v>0</v>
      </c>
      <c r="CK152" s="27"/>
      <c r="CL152" s="27">
        <f t="shared" si="132"/>
        <v>0</v>
      </c>
      <c r="CM152" s="27">
        <f t="shared" si="133"/>
        <v>0</v>
      </c>
      <c r="CN152" s="26"/>
      <c r="CO152" s="27"/>
      <c r="CP152" s="27">
        <v>0</v>
      </c>
      <c r="CQ152" s="27"/>
      <c r="CR152" s="27">
        <f t="shared" si="134"/>
        <v>0</v>
      </c>
      <c r="CS152" s="27">
        <f t="shared" si="135"/>
        <v>0</v>
      </c>
      <c r="CT152" s="26"/>
      <c r="CU152" s="27"/>
      <c r="CV152" s="27">
        <v>0</v>
      </c>
      <c r="CW152" s="27"/>
      <c r="CX152" s="27">
        <f t="shared" si="136"/>
        <v>0</v>
      </c>
      <c r="CY152" s="27">
        <f t="shared" si="137"/>
        <v>0</v>
      </c>
      <c r="CZ152" s="26"/>
      <c r="DA152" s="27"/>
      <c r="DB152" s="27">
        <v>0</v>
      </c>
      <c r="DC152" s="27"/>
      <c r="DD152" s="27">
        <f t="shared" si="138"/>
        <v>0</v>
      </c>
      <c r="DE152" s="27">
        <f t="shared" si="139"/>
        <v>0</v>
      </c>
      <c r="DF152" s="28">
        <f t="shared" si="140"/>
        <v>0</v>
      </c>
      <c r="DG152" s="28">
        <f t="shared" si="141"/>
        <v>0</v>
      </c>
      <c r="DH152" s="28">
        <f t="shared" si="142"/>
        <v>0</v>
      </c>
      <c r="DI152" s="28">
        <f t="shared" si="143"/>
        <v>0</v>
      </c>
      <c r="DJ152" s="27">
        <f t="shared" si="144"/>
        <v>0</v>
      </c>
      <c r="DK152" s="27">
        <f t="shared" si="145"/>
        <v>0</v>
      </c>
    </row>
    <row r="153" spans="1:115">
      <c r="A153" s="25">
        <v>145</v>
      </c>
      <c r="B153" s="26" t="s">
        <v>1161</v>
      </c>
      <c r="C153" s="26"/>
      <c r="D153" s="26"/>
      <c r="E153" s="205" t="s">
        <v>1200</v>
      </c>
      <c r="F153" s="161">
        <f t="shared" si="98"/>
        <v>0</v>
      </c>
      <c r="G153" s="165">
        <f t="shared" si="99"/>
        <v>0</v>
      </c>
      <c r="H153" s="27"/>
      <c r="I153" s="27">
        <v>0</v>
      </c>
      <c r="J153" s="27">
        <v>0</v>
      </c>
      <c r="K153" s="127">
        <f t="shared" si="100"/>
        <v>0</v>
      </c>
      <c r="L153" s="127">
        <f t="shared" si="101"/>
        <v>0</v>
      </c>
      <c r="M153" s="127">
        <f t="shared" si="102"/>
        <v>0</v>
      </c>
      <c r="N153" s="131"/>
      <c r="O153" s="125" t="str">
        <f t="shared" si="103"/>
        <v>ნულოვანი შესრულება</v>
      </c>
      <c r="P153" s="27">
        <v>0</v>
      </c>
      <c r="Q153" s="27">
        <v>0</v>
      </c>
      <c r="R153" s="27">
        <f t="shared" si="104"/>
        <v>0</v>
      </c>
      <c r="S153" s="27">
        <f t="shared" si="105"/>
        <v>0</v>
      </c>
      <c r="T153" s="27"/>
      <c r="U153" s="27"/>
      <c r="V153" s="27">
        <v>0</v>
      </c>
      <c r="W153" s="27"/>
      <c r="X153" s="27">
        <f t="shared" si="106"/>
        <v>0</v>
      </c>
      <c r="Y153" s="27">
        <f t="shared" si="107"/>
        <v>0</v>
      </c>
      <c r="Z153" s="27">
        <v>0</v>
      </c>
      <c r="AA153" s="27"/>
      <c r="AB153" s="27"/>
      <c r="AC153" s="27"/>
      <c r="AD153" s="27">
        <f t="shared" si="108"/>
        <v>0</v>
      </c>
      <c r="AE153" s="27">
        <f t="shared" si="109"/>
        <v>0</v>
      </c>
      <c r="AF153" s="27">
        <f t="shared" si="110"/>
        <v>0</v>
      </c>
      <c r="AG153" s="27">
        <f t="shared" si="111"/>
        <v>0</v>
      </c>
      <c r="AH153" s="27">
        <f t="shared" si="112"/>
        <v>0</v>
      </c>
      <c r="AI153" s="27">
        <f t="shared" si="113"/>
        <v>0</v>
      </c>
      <c r="AJ153" s="27">
        <f t="shared" si="114"/>
        <v>0</v>
      </c>
      <c r="AK153" s="27">
        <f t="shared" si="115"/>
        <v>0</v>
      </c>
      <c r="AL153" s="27"/>
      <c r="AM153" s="27"/>
      <c r="AN153" s="27">
        <v>0</v>
      </c>
      <c r="AO153" s="27"/>
      <c r="AP153" s="27">
        <f t="shared" si="116"/>
        <v>0</v>
      </c>
      <c r="AQ153" s="27">
        <f t="shared" si="117"/>
        <v>0</v>
      </c>
      <c r="AR153" s="27"/>
      <c r="AS153" s="27"/>
      <c r="AT153" s="27">
        <v>0</v>
      </c>
      <c r="AU153" s="27"/>
      <c r="AV153" s="27">
        <f t="shared" si="118"/>
        <v>0</v>
      </c>
      <c r="AW153" s="27">
        <f t="shared" si="119"/>
        <v>0</v>
      </c>
      <c r="AX153" s="27"/>
      <c r="AY153" s="27"/>
      <c r="AZ153" s="27">
        <v>0</v>
      </c>
      <c r="BA153" s="27"/>
      <c r="BB153" s="27">
        <f t="shared" si="120"/>
        <v>0</v>
      </c>
      <c r="BC153" s="27">
        <f t="shared" si="121"/>
        <v>0</v>
      </c>
      <c r="BD153" s="27"/>
      <c r="BE153" s="27"/>
      <c r="BF153" s="27">
        <v>0</v>
      </c>
      <c r="BG153" s="27"/>
      <c r="BH153" s="27">
        <f t="shared" si="122"/>
        <v>0</v>
      </c>
      <c r="BI153" s="27">
        <f t="shared" si="123"/>
        <v>0</v>
      </c>
      <c r="BJ153" s="27"/>
      <c r="BK153" s="27"/>
      <c r="BL153" s="27">
        <v>0</v>
      </c>
      <c r="BM153" s="27"/>
      <c r="BN153" s="27">
        <f t="shared" si="124"/>
        <v>0</v>
      </c>
      <c r="BO153" s="27">
        <f t="shared" si="125"/>
        <v>0</v>
      </c>
      <c r="BP153" s="26"/>
      <c r="BQ153" s="27"/>
      <c r="BR153" s="27">
        <v>0</v>
      </c>
      <c r="BS153" s="27"/>
      <c r="BT153" s="27">
        <f t="shared" si="126"/>
        <v>0</v>
      </c>
      <c r="BU153" s="27">
        <f t="shared" si="127"/>
        <v>0</v>
      </c>
      <c r="BV153" s="26"/>
      <c r="BW153" s="27"/>
      <c r="BX153" s="27">
        <v>0</v>
      </c>
      <c r="BY153" s="27"/>
      <c r="BZ153" s="27">
        <f t="shared" si="128"/>
        <v>0</v>
      </c>
      <c r="CA153" s="27">
        <f t="shared" si="129"/>
        <v>0</v>
      </c>
      <c r="CB153" s="26"/>
      <c r="CC153" s="27"/>
      <c r="CD153" s="27">
        <v>0</v>
      </c>
      <c r="CE153" s="27"/>
      <c r="CF153" s="27">
        <f t="shared" si="130"/>
        <v>0</v>
      </c>
      <c r="CG153" s="27">
        <f t="shared" si="131"/>
        <v>0</v>
      </c>
      <c r="CH153" s="26"/>
      <c r="CI153" s="27"/>
      <c r="CJ153" s="27">
        <v>0</v>
      </c>
      <c r="CK153" s="27"/>
      <c r="CL153" s="27">
        <f t="shared" si="132"/>
        <v>0</v>
      </c>
      <c r="CM153" s="27">
        <f t="shared" si="133"/>
        <v>0</v>
      </c>
      <c r="CN153" s="26"/>
      <c r="CO153" s="27"/>
      <c r="CP153" s="27">
        <v>0</v>
      </c>
      <c r="CQ153" s="27"/>
      <c r="CR153" s="27">
        <f t="shared" si="134"/>
        <v>0</v>
      </c>
      <c r="CS153" s="27">
        <f t="shared" si="135"/>
        <v>0</v>
      </c>
      <c r="CT153" s="26"/>
      <c r="CU153" s="27"/>
      <c r="CV153" s="27">
        <v>0</v>
      </c>
      <c r="CW153" s="27"/>
      <c r="CX153" s="27">
        <f t="shared" si="136"/>
        <v>0</v>
      </c>
      <c r="CY153" s="27">
        <f t="shared" si="137"/>
        <v>0</v>
      </c>
      <c r="CZ153" s="26"/>
      <c r="DA153" s="27"/>
      <c r="DB153" s="27">
        <v>0</v>
      </c>
      <c r="DC153" s="27"/>
      <c r="DD153" s="27">
        <f t="shared" si="138"/>
        <v>0</v>
      </c>
      <c r="DE153" s="27">
        <f t="shared" si="139"/>
        <v>0</v>
      </c>
      <c r="DF153" s="28">
        <f t="shared" si="140"/>
        <v>0</v>
      </c>
      <c r="DG153" s="28">
        <f t="shared" si="141"/>
        <v>0</v>
      </c>
      <c r="DH153" s="28">
        <f t="shared" si="142"/>
        <v>0</v>
      </c>
      <c r="DI153" s="28">
        <f t="shared" si="143"/>
        <v>0</v>
      </c>
      <c r="DJ153" s="27">
        <f t="shared" si="144"/>
        <v>0</v>
      </c>
      <c r="DK153" s="27">
        <f t="shared" si="145"/>
        <v>0</v>
      </c>
    </row>
    <row r="154" spans="1:115">
      <c r="A154" s="25">
        <v>146</v>
      </c>
      <c r="B154" s="26" t="s">
        <v>1161</v>
      </c>
      <c r="C154" s="26"/>
      <c r="D154" s="26"/>
      <c r="E154" s="205" t="s">
        <v>1200</v>
      </c>
      <c r="F154" s="161">
        <f t="shared" si="98"/>
        <v>0</v>
      </c>
      <c r="G154" s="165">
        <f t="shared" si="99"/>
        <v>0</v>
      </c>
      <c r="H154" s="27"/>
      <c r="I154" s="27">
        <v>0</v>
      </c>
      <c r="J154" s="27">
        <v>0</v>
      </c>
      <c r="K154" s="127">
        <f t="shared" si="100"/>
        <v>0</v>
      </c>
      <c r="L154" s="127">
        <f t="shared" si="101"/>
        <v>0</v>
      </c>
      <c r="M154" s="127">
        <f t="shared" si="102"/>
        <v>0</v>
      </c>
      <c r="N154" s="131"/>
      <c r="O154" s="125" t="str">
        <f t="shared" si="103"/>
        <v>ნულოვანი შესრულება</v>
      </c>
      <c r="P154" s="27">
        <v>0</v>
      </c>
      <c r="Q154" s="27">
        <v>0</v>
      </c>
      <c r="R154" s="27">
        <f t="shared" si="104"/>
        <v>0</v>
      </c>
      <c r="S154" s="27">
        <f t="shared" si="105"/>
        <v>0</v>
      </c>
      <c r="T154" s="27"/>
      <c r="U154" s="27"/>
      <c r="V154" s="27">
        <v>0</v>
      </c>
      <c r="W154" s="27"/>
      <c r="X154" s="27">
        <f t="shared" si="106"/>
        <v>0</v>
      </c>
      <c r="Y154" s="27">
        <f t="shared" si="107"/>
        <v>0</v>
      </c>
      <c r="Z154" s="27">
        <v>0</v>
      </c>
      <c r="AA154" s="27"/>
      <c r="AB154" s="27"/>
      <c r="AC154" s="27"/>
      <c r="AD154" s="27">
        <f t="shared" si="108"/>
        <v>0</v>
      </c>
      <c r="AE154" s="27">
        <f t="shared" si="109"/>
        <v>0</v>
      </c>
      <c r="AF154" s="27">
        <f t="shared" si="110"/>
        <v>0</v>
      </c>
      <c r="AG154" s="27">
        <f t="shared" si="111"/>
        <v>0</v>
      </c>
      <c r="AH154" s="27">
        <f t="shared" si="112"/>
        <v>0</v>
      </c>
      <c r="AI154" s="27">
        <f t="shared" si="113"/>
        <v>0</v>
      </c>
      <c r="AJ154" s="27">
        <f t="shared" si="114"/>
        <v>0</v>
      </c>
      <c r="AK154" s="27">
        <f t="shared" si="115"/>
        <v>0</v>
      </c>
      <c r="AL154" s="27"/>
      <c r="AM154" s="27"/>
      <c r="AN154" s="27">
        <v>0</v>
      </c>
      <c r="AO154" s="27"/>
      <c r="AP154" s="27">
        <f t="shared" si="116"/>
        <v>0</v>
      </c>
      <c r="AQ154" s="27">
        <f t="shared" si="117"/>
        <v>0</v>
      </c>
      <c r="AR154" s="27"/>
      <c r="AS154" s="27"/>
      <c r="AT154" s="27">
        <v>0</v>
      </c>
      <c r="AU154" s="27"/>
      <c r="AV154" s="27">
        <f t="shared" si="118"/>
        <v>0</v>
      </c>
      <c r="AW154" s="27">
        <f t="shared" si="119"/>
        <v>0</v>
      </c>
      <c r="AX154" s="27"/>
      <c r="AY154" s="27"/>
      <c r="AZ154" s="27">
        <v>0</v>
      </c>
      <c r="BA154" s="27"/>
      <c r="BB154" s="27">
        <f t="shared" si="120"/>
        <v>0</v>
      </c>
      <c r="BC154" s="27">
        <f t="shared" si="121"/>
        <v>0</v>
      </c>
      <c r="BD154" s="27"/>
      <c r="BE154" s="27"/>
      <c r="BF154" s="27">
        <v>0</v>
      </c>
      <c r="BG154" s="27"/>
      <c r="BH154" s="27">
        <f t="shared" si="122"/>
        <v>0</v>
      </c>
      <c r="BI154" s="27">
        <f t="shared" si="123"/>
        <v>0</v>
      </c>
      <c r="BJ154" s="27"/>
      <c r="BK154" s="27"/>
      <c r="BL154" s="27">
        <v>0</v>
      </c>
      <c r="BM154" s="27"/>
      <c r="BN154" s="27">
        <f t="shared" si="124"/>
        <v>0</v>
      </c>
      <c r="BO154" s="27">
        <f t="shared" si="125"/>
        <v>0</v>
      </c>
      <c r="BP154" s="26"/>
      <c r="BQ154" s="27"/>
      <c r="BR154" s="27">
        <v>0</v>
      </c>
      <c r="BS154" s="27"/>
      <c r="BT154" s="27">
        <f t="shared" si="126"/>
        <v>0</v>
      </c>
      <c r="BU154" s="27">
        <f t="shared" si="127"/>
        <v>0</v>
      </c>
      <c r="BV154" s="26"/>
      <c r="BW154" s="27"/>
      <c r="BX154" s="27">
        <v>0</v>
      </c>
      <c r="BY154" s="27"/>
      <c r="BZ154" s="27">
        <f t="shared" si="128"/>
        <v>0</v>
      </c>
      <c r="CA154" s="27">
        <f t="shared" si="129"/>
        <v>0</v>
      </c>
      <c r="CB154" s="26"/>
      <c r="CC154" s="27"/>
      <c r="CD154" s="27">
        <v>0</v>
      </c>
      <c r="CE154" s="27"/>
      <c r="CF154" s="27">
        <f t="shared" si="130"/>
        <v>0</v>
      </c>
      <c r="CG154" s="27">
        <f t="shared" si="131"/>
        <v>0</v>
      </c>
      <c r="CH154" s="26"/>
      <c r="CI154" s="27"/>
      <c r="CJ154" s="27">
        <v>0</v>
      </c>
      <c r="CK154" s="27"/>
      <c r="CL154" s="27">
        <f t="shared" si="132"/>
        <v>0</v>
      </c>
      <c r="CM154" s="27">
        <f t="shared" si="133"/>
        <v>0</v>
      </c>
      <c r="CN154" s="26"/>
      <c r="CO154" s="27"/>
      <c r="CP154" s="27">
        <v>0</v>
      </c>
      <c r="CQ154" s="27"/>
      <c r="CR154" s="27">
        <f t="shared" si="134"/>
        <v>0</v>
      </c>
      <c r="CS154" s="27">
        <f t="shared" si="135"/>
        <v>0</v>
      </c>
      <c r="CT154" s="26"/>
      <c r="CU154" s="27"/>
      <c r="CV154" s="27">
        <v>0</v>
      </c>
      <c r="CW154" s="27"/>
      <c r="CX154" s="27">
        <f t="shared" si="136"/>
        <v>0</v>
      </c>
      <c r="CY154" s="27">
        <f t="shared" si="137"/>
        <v>0</v>
      </c>
      <c r="CZ154" s="26"/>
      <c r="DA154" s="27"/>
      <c r="DB154" s="27">
        <v>0</v>
      </c>
      <c r="DC154" s="27"/>
      <c r="DD154" s="27">
        <f t="shared" si="138"/>
        <v>0</v>
      </c>
      <c r="DE154" s="27">
        <f t="shared" si="139"/>
        <v>0</v>
      </c>
      <c r="DF154" s="28">
        <f t="shared" si="140"/>
        <v>0</v>
      </c>
      <c r="DG154" s="28">
        <f t="shared" si="141"/>
        <v>0</v>
      </c>
      <c r="DH154" s="28">
        <f t="shared" si="142"/>
        <v>0</v>
      </c>
      <c r="DI154" s="28">
        <f t="shared" si="143"/>
        <v>0</v>
      </c>
      <c r="DJ154" s="27">
        <f t="shared" si="144"/>
        <v>0</v>
      </c>
      <c r="DK154" s="27">
        <f t="shared" si="145"/>
        <v>0</v>
      </c>
    </row>
    <row r="155" spans="1:115">
      <c r="A155" s="25">
        <v>147</v>
      </c>
      <c r="B155" s="26" t="s">
        <v>1161</v>
      </c>
      <c r="C155" s="26"/>
      <c r="D155" s="26"/>
      <c r="E155" s="205" t="s">
        <v>1200</v>
      </c>
      <c r="F155" s="161">
        <f t="shared" si="98"/>
        <v>0</v>
      </c>
      <c r="G155" s="165">
        <f t="shared" si="99"/>
        <v>0</v>
      </c>
      <c r="H155" s="27"/>
      <c r="I155" s="27">
        <v>0</v>
      </c>
      <c r="J155" s="27">
        <v>0</v>
      </c>
      <c r="K155" s="127">
        <f t="shared" si="100"/>
        <v>0</v>
      </c>
      <c r="L155" s="127">
        <f t="shared" si="101"/>
        <v>0</v>
      </c>
      <c r="M155" s="127">
        <f t="shared" si="102"/>
        <v>0</v>
      </c>
      <c r="N155" s="131"/>
      <c r="O155" s="125" t="str">
        <f t="shared" si="103"/>
        <v>ნულოვანი შესრულება</v>
      </c>
      <c r="P155" s="27">
        <v>0</v>
      </c>
      <c r="Q155" s="27">
        <v>0</v>
      </c>
      <c r="R155" s="27">
        <f t="shared" si="104"/>
        <v>0</v>
      </c>
      <c r="S155" s="27">
        <f t="shared" si="105"/>
        <v>0</v>
      </c>
      <c r="T155" s="27"/>
      <c r="U155" s="27"/>
      <c r="V155" s="27">
        <v>0</v>
      </c>
      <c r="W155" s="27"/>
      <c r="X155" s="27">
        <f t="shared" si="106"/>
        <v>0</v>
      </c>
      <c r="Y155" s="27">
        <f t="shared" si="107"/>
        <v>0</v>
      </c>
      <c r="Z155" s="27">
        <v>0</v>
      </c>
      <c r="AA155" s="27"/>
      <c r="AB155" s="27"/>
      <c r="AC155" s="27"/>
      <c r="AD155" s="27">
        <f t="shared" si="108"/>
        <v>0</v>
      </c>
      <c r="AE155" s="27">
        <f t="shared" si="109"/>
        <v>0</v>
      </c>
      <c r="AF155" s="27">
        <f t="shared" si="110"/>
        <v>0</v>
      </c>
      <c r="AG155" s="27">
        <f t="shared" si="111"/>
        <v>0</v>
      </c>
      <c r="AH155" s="27">
        <f t="shared" si="112"/>
        <v>0</v>
      </c>
      <c r="AI155" s="27">
        <f t="shared" si="113"/>
        <v>0</v>
      </c>
      <c r="AJ155" s="27">
        <f t="shared" si="114"/>
        <v>0</v>
      </c>
      <c r="AK155" s="27">
        <f t="shared" si="115"/>
        <v>0</v>
      </c>
      <c r="AL155" s="27"/>
      <c r="AM155" s="27"/>
      <c r="AN155" s="27">
        <v>0</v>
      </c>
      <c r="AO155" s="27"/>
      <c r="AP155" s="27">
        <f t="shared" si="116"/>
        <v>0</v>
      </c>
      <c r="AQ155" s="27">
        <f t="shared" si="117"/>
        <v>0</v>
      </c>
      <c r="AR155" s="27"/>
      <c r="AS155" s="27"/>
      <c r="AT155" s="27">
        <v>0</v>
      </c>
      <c r="AU155" s="27"/>
      <c r="AV155" s="27">
        <f t="shared" si="118"/>
        <v>0</v>
      </c>
      <c r="AW155" s="27">
        <f t="shared" si="119"/>
        <v>0</v>
      </c>
      <c r="AX155" s="27"/>
      <c r="AY155" s="27"/>
      <c r="AZ155" s="27">
        <v>0</v>
      </c>
      <c r="BA155" s="27"/>
      <c r="BB155" s="27">
        <f t="shared" si="120"/>
        <v>0</v>
      </c>
      <c r="BC155" s="27">
        <f t="shared" si="121"/>
        <v>0</v>
      </c>
      <c r="BD155" s="27"/>
      <c r="BE155" s="27"/>
      <c r="BF155" s="27">
        <v>0</v>
      </c>
      <c r="BG155" s="27"/>
      <c r="BH155" s="27">
        <f t="shared" si="122"/>
        <v>0</v>
      </c>
      <c r="BI155" s="27">
        <f t="shared" si="123"/>
        <v>0</v>
      </c>
      <c r="BJ155" s="27"/>
      <c r="BK155" s="27"/>
      <c r="BL155" s="27">
        <v>0</v>
      </c>
      <c r="BM155" s="27"/>
      <c r="BN155" s="27">
        <f t="shared" si="124"/>
        <v>0</v>
      </c>
      <c r="BO155" s="27">
        <f t="shared" si="125"/>
        <v>0</v>
      </c>
      <c r="BP155" s="26"/>
      <c r="BQ155" s="27"/>
      <c r="BR155" s="27">
        <v>0</v>
      </c>
      <c r="BS155" s="27"/>
      <c r="BT155" s="27">
        <f t="shared" si="126"/>
        <v>0</v>
      </c>
      <c r="BU155" s="27">
        <f t="shared" si="127"/>
        <v>0</v>
      </c>
      <c r="BV155" s="26"/>
      <c r="BW155" s="27"/>
      <c r="BX155" s="27">
        <v>0</v>
      </c>
      <c r="BY155" s="27"/>
      <c r="BZ155" s="27">
        <f t="shared" si="128"/>
        <v>0</v>
      </c>
      <c r="CA155" s="27">
        <f t="shared" si="129"/>
        <v>0</v>
      </c>
      <c r="CB155" s="26"/>
      <c r="CC155" s="27"/>
      <c r="CD155" s="27">
        <v>0</v>
      </c>
      <c r="CE155" s="27"/>
      <c r="CF155" s="27">
        <f t="shared" si="130"/>
        <v>0</v>
      </c>
      <c r="CG155" s="27">
        <f t="shared" si="131"/>
        <v>0</v>
      </c>
      <c r="CH155" s="26"/>
      <c r="CI155" s="27"/>
      <c r="CJ155" s="27">
        <v>0</v>
      </c>
      <c r="CK155" s="27"/>
      <c r="CL155" s="27">
        <f t="shared" si="132"/>
        <v>0</v>
      </c>
      <c r="CM155" s="27">
        <f t="shared" si="133"/>
        <v>0</v>
      </c>
      <c r="CN155" s="26"/>
      <c r="CO155" s="27"/>
      <c r="CP155" s="27">
        <v>0</v>
      </c>
      <c r="CQ155" s="27"/>
      <c r="CR155" s="27">
        <f t="shared" si="134"/>
        <v>0</v>
      </c>
      <c r="CS155" s="27">
        <f t="shared" si="135"/>
        <v>0</v>
      </c>
      <c r="CT155" s="26"/>
      <c r="CU155" s="27"/>
      <c r="CV155" s="27">
        <v>0</v>
      </c>
      <c r="CW155" s="27"/>
      <c r="CX155" s="27">
        <f t="shared" si="136"/>
        <v>0</v>
      </c>
      <c r="CY155" s="27">
        <f t="shared" si="137"/>
        <v>0</v>
      </c>
      <c r="CZ155" s="26"/>
      <c r="DA155" s="27"/>
      <c r="DB155" s="27">
        <v>0</v>
      </c>
      <c r="DC155" s="27"/>
      <c r="DD155" s="27">
        <f t="shared" si="138"/>
        <v>0</v>
      </c>
      <c r="DE155" s="27">
        <f t="shared" si="139"/>
        <v>0</v>
      </c>
      <c r="DF155" s="28">
        <f t="shared" si="140"/>
        <v>0</v>
      </c>
      <c r="DG155" s="28">
        <f t="shared" si="141"/>
        <v>0</v>
      </c>
      <c r="DH155" s="28">
        <f t="shared" si="142"/>
        <v>0</v>
      </c>
      <c r="DI155" s="28">
        <f t="shared" si="143"/>
        <v>0</v>
      </c>
      <c r="DJ155" s="27">
        <f t="shared" si="144"/>
        <v>0</v>
      </c>
      <c r="DK155" s="27">
        <f t="shared" si="145"/>
        <v>0</v>
      </c>
    </row>
    <row r="156" spans="1:115">
      <c r="A156" s="25">
        <v>148</v>
      </c>
      <c r="B156" s="26" t="s">
        <v>1161</v>
      </c>
      <c r="C156" s="26"/>
      <c r="D156" s="26"/>
      <c r="E156" s="205" t="s">
        <v>1200</v>
      </c>
      <c r="F156" s="161">
        <f t="shared" si="98"/>
        <v>0</v>
      </c>
      <c r="G156" s="165">
        <f t="shared" si="99"/>
        <v>0</v>
      </c>
      <c r="H156" s="27"/>
      <c r="I156" s="27">
        <v>0</v>
      </c>
      <c r="J156" s="27">
        <v>0</v>
      </c>
      <c r="K156" s="127">
        <f t="shared" si="100"/>
        <v>0</v>
      </c>
      <c r="L156" s="127">
        <f t="shared" si="101"/>
        <v>0</v>
      </c>
      <c r="M156" s="127">
        <f t="shared" si="102"/>
        <v>0</v>
      </c>
      <c r="N156" s="131"/>
      <c r="O156" s="125" t="str">
        <f t="shared" si="103"/>
        <v>ნულოვანი შესრულება</v>
      </c>
      <c r="P156" s="27">
        <v>0</v>
      </c>
      <c r="Q156" s="27">
        <v>0</v>
      </c>
      <c r="R156" s="27">
        <f t="shared" si="104"/>
        <v>0</v>
      </c>
      <c r="S156" s="27">
        <f t="shared" si="105"/>
        <v>0</v>
      </c>
      <c r="T156" s="27"/>
      <c r="U156" s="27"/>
      <c r="V156" s="27">
        <v>0</v>
      </c>
      <c r="W156" s="27"/>
      <c r="X156" s="27">
        <f t="shared" si="106"/>
        <v>0</v>
      </c>
      <c r="Y156" s="27">
        <f t="shared" si="107"/>
        <v>0</v>
      </c>
      <c r="Z156" s="27">
        <v>0</v>
      </c>
      <c r="AA156" s="27"/>
      <c r="AB156" s="27"/>
      <c r="AC156" s="27"/>
      <c r="AD156" s="27">
        <f t="shared" si="108"/>
        <v>0</v>
      </c>
      <c r="AE156" s="27">
        <f t="shared" si="109"/>
        <v>0</v>
      </c>
      <c r="AF156" s="27">
        <f t="shared" si="110"/>
        <v>0</v>
      </c>
      <c r="AG156" s="27">
        <f t="shared" si="111"/>
        <v>0</v>
      </c>
      <c r="AH156" s="27">
        <f t="shared" si="112"/>
        <v>0</v>
      </c>
      <c r="AI156" s="27">
        <f t="shared" si="113"/>
        <v>0</v>
      </c>
      <c r="AJ156" s="27">
        <f t="shared" si="114"/>
        <v>0</v>
      </c>
      <c r="AK156" s="27">
        <f t="shared" si="115"/>
        <v>0</v>
      </c>
      <c r="AL156" s="27"/>
      <c r="AM156" s="27"/>
      <c r="AN156" s="27">
        <v>0</v>
      </c>
      <c r="AO156" s="27"/>
      <c r="AP156" s="27">
        <f t="shared" si="116"/>
        <v>0</v>
      </c>
      <c r="AQ156" s="27">
        <f t="shared" si="117"/>
        <v>0</v>
      </c>
      <c r="AR156" s="27"/>
      <c r="AS156" s="27"/>
      <c r="AT156" s="27">
        <v>0</v>
      </c>
      <c r="AU156" s="27"/>
      <c r="AV156" s="27">
        <f t="shared" si="118"/>
        <v>0</v>
      </c>
      <c r="AW156" s="27">
        <f t="shared" si="119"/>
        <v>0</v>
      </c>
      <c r="AX156" s="27"/>
      <c r="AY156" s="27"/>
      <c r="AZ156" s="27">
        <v>0</v>
      </c>
      <c r="BA156" s="27"/>
      <c r="BB156" s="27">
        <f t="shared" si="120"/>
        <v>0</v>
      </c>
      <c r="BC156" s="27">
        <f t="shared" si="121"/>
        <v>0</v>
      </c>
      <c r="BD156" s="27"/>
      <c r="BE156" s="27"/>
      <c r="BF156" s="27">
        <v>0</v>
      </c>
      <c r="BG156" s="27"/>
      <c r="BH156" s="27">
        <f t="shared" si="122"/>
        <v>0</v>
      </c>
      <c r="BI156" s="27">
        <f t="shared" si="123"/>
        <v>0</v>
      </c>
      <c r="BJ156" s="27"/>
      <c r="BK156" s="27"/>
      <c r="BL156" s="27">
        <v>0</v>
      </c>
      <c r="BM156" s="27"/>
      <c r="BN156" s="27">
        <f t="shared" si="124"/>
        <v>0</v>
      </c>
      <c r="BO156" s="27">
        <f t="shared" si="125"/>
        <v>0</v>
      </c>
      <c r="BP156" s="26"/>
      <c r="BQ156" s="27"/>
      <c r="BR156" s="27">
        <v>0</v>
      </c>
      <c r="BS156" s="27"/>
      <c r="BT156" s="27">
        <f t="shared" si="126"/>
        <v>0</v>
      </c>
      <c r="BU156" s="27">
        <f t="shared" si="127"/>
        <v>0</v>
      </c>
      <c r="BV156" s="26"/>
      <c r="BW156" s="27"/>
      <c r="BX156" s="27">
        <v>0</v>
      </c>
      <c r="BY156" s="27"/>
      <c r="BZ156" s="27">
        <f t="shared" si="128"/>
        <v>0</v>
      </c>
      <c r="CA156" s="27">
        <f t="shared" si="129"/>
        <v>0</v>
      </c>
      <c r="CB156" s="26"/>
      <c r="CC156" s="27"/>
      <c r="CD156" s="27">
        <v>0</v>
      </c>
      <c r="CE156" s="27"/>
      <c r="CF156" s="27">
        <f t="shared" si="130"/>
        <v>0</v>
      </c>
      <c r="CG156" s="27">
        <f t="shared" si="131"/>
        <v>0</v>
      </c>
      <c r="CH156" s="26"/>
      <c r="CI156" s="27"/>
      <c r="CJ156" s="27">
        <v>0</v>
      </c>
      <c r="CK156" s="27"/>
      <c r="CL156" s="27">
        <f t="shared" si="132"/>
        <v>0</v>
      </c>
      <c r="CM156" s="27">
        <f t="shared" si="133"/>
        <v>0</v>
      </c>
      <c r="CN156" s="26"/>
      <c r="CO156" s="27"/>
      <c r="CP156" s="27">
        <v>0</v>
      </c>
      <c r="CQ156" s="27"/>
      <c r="CR156" s="27">
        <f t="shared" si="134"/>
        <v>0</v>
      </c>
      <c r="CS156" s="27">
        <f t="shared" si="135"/>
        <v>0</v>
      </c>
      <c r="CT156" s="26"/>
      <c r="CU156" s="27"/>
      <c r="CV156" s="27">
        <v>0</v>
      </c>
      <c r="CW156" s="27"/>
      <c r="CX156" s="27">
        <f t="shared" si="136"/>
        <v>0</v>
      </c>
      <c r="CY156" s="27">
        <f t="shared" si="137"/>
        <v>0</v>
      </c>
      <c r="CZ156" s="26"/>
      <c r="DA156" s="27"/>
      <c r="DB156" s="27">
        <v>0</v>
      </c>
      <c r="DC156" s="27"/>
      <c r="DD156" s="27">
        <f t="shared" si="138"/>
        <v>0</v>
      </c>
      <c r="DE156" s="27">
        <f t="shared" si="139"/>
        <v>0</v>
      </c>
      <c r="DF156" s="28">
        <f t="shared" si="140"/>
        <v>0</v>
      </c>
      <c r="DG156" s="28">
        <f t="shared" si="141"/>
        <v>0</v>
      </c>
      <c r="DH156" s="28">
        <f t="shared" si="142"/>
        <v>0</v>
      </c>
      <c r="DI156" s="28">
        <f t="shared" si="143"/>
        <v>0</v>
      </c>
      <c r="DJ156" s="27">
        <f t="shared" si="144"/>
        <v>0</v>
      </c>
      <c r="DK156" s="27">
        <f t="shared" si="145"/>
        <v>0</v>
      </c>
    </row>
    <row r="157" spans="1:115">
      <c r="A157" s="25">
        <v>149</v>
      </c>
      <c r="B157" s="26" t="s">
        <v>1161</v>
      </c>
      <c r="C157" s="26"/>
      <c r="D157" s="26"/>
      <c r="E157" s="205" t="s">
        <v>1200</v>
      </c>
      <c r="F157" s="161">
        <f t="shared" si="98"/>
        <v>0</v>
      </c>
      <c r="G157" s="165">
        <f t="shared" si="99"/>
        <v>0</v>
      </c>
      <c r="H157" s="27"/>
      <c r="I157" s="27">
        <v>0</v>
      </c>
      <c r="J157" s="27">
        <v>0</v>
      </c>
      <c r="K157" s="127">
        <f t="shared" si="100"/>
        <v>0</v>
      </c>
      <c r="L157" s="127">
        <f t="shared" si="101"/>
        <v>0</v>
      </c>
      <c r="M157" s="127">
        <f t="shared" si="102"/>
        <v>0</v>
      </c>
      <c r="N157" s="131"/>
      <c r="O157" s="125" t="str">
        <f t="shared" si="103"/>
        <v>ნულოვანი შესრულება</v>
      </c>
      <c r="P157" s="27">
        <v>0</v>
      </c>
      <c r="Q157" s="27">
        <v>0</v>
      </c>
      <c r="R157" s="27">
        <f t="shared" si="104"/>
        <v>0</v>
      </c>
      <c r="S157" s="27">
        <f t="shared" si="105"/>
        <v>0</v>
      </c>
      <c r="T157" s="27"/>
      <c r="U157" s="27"/>
      <c r="V157" s="27">
        <v>0</v>
      </c>
      <c r="W157" s="27"/>
      <c r="X157" s="27">
        <f t="shared" si="106"/>
        <v>0</v>
      </c>
      <c r="Y157" s="27">
        <f t="shared" si="107"/>
        <v>0</v>
      </c>
      <c r="Z157" s="27">
        <v>0</v>
      </c>
      <c r="AA157" s="27"/>
      <c r="AB157" s="27"/>
      <c r="AC157" s="27"/>
      <c r="AD157" s="27">
        <f t="shared" si="108"/>
        <v>0</v>
      </c>
      <c r="AE157" s="27">
        <f t="shared" si="109"/>
        <v>0</v>
      </c>
      <c r="AF157" s="27">
        <f t="shared" si="110"/>
        <v>0</v>
      </c>
      <c r="AG157" s="27">
        <f t="shared" si="111"/>
        <v>0</v>
      </c>
      <c r="AH157" s="27">
        <f t="shared" si="112"/>
        <v>0</v>
      </c>
      <c r="AI157" s="27">
        <f t="shared" si="113"/>
        <v>0</v>
      </c>
      <c r="AJ157" s="27">
        <f t="shared" si="114"/>
        <v>0</v>
      </c>
      <c r="AK157" s="27">
        <f t="shared" si="115"/>
        <v>0</v>
      </c>
      <c r="AL157" s="27"/>
      <c r="AM157" s="27"/>
      <c r="AN157" s="27">
        <v>0</v>
      </c>
      <c r="AO157" s="27"/>
      <c r="AP157" s="27">
        <f t="shared" si="116"/>
        <v>0</v>
      </c>
      <c r="AQ157" s="27">
        <f t="shared" si="117"/>
        <v>0</v>
      </c>
      <c r="AR157" s="27"/>
      <c r="AS157" s="27"/>
      <c r="AT157" s="27">
        <v>0</v>
      </c>
      <c r="AU157" s="27"/>
      <c r="AV157" s="27">
        <f t="shared" si="118"/>
        <v>0</v>
      </c>
      <c r="AW157" s="27">
        <f t="shared" si="119"/>
        <v>0</v>
      </c>
      <c r="AX157" s="27"/>
      <c r="AY157" s="27"/>
      <c r="AZ157" s="27">
        <v>0</v>
      </c>
      <c r="BA157" s="27"/>
      <c r="BB157" s="27">
        <f t="shared" si="120"/>
        <v>0</v>
      </c>
      <c r="BC157" s="27">
        <f t="shared" si="121"/>
        <v>0</v>
      </c>
      <c r="BD157" s="27"/>
      <c r="BE157" s="27"/>
      <c r="BF157" s="27">
        <v>0</v>
      </c>
      <c r="BG157" s="27"/>
      <c r="BH157" s="27">
        <f t="shared" si="122"/>
        <v>0</v>
      </c>
      <c r="BI157" s="27">
        <f t="shared" si="123"/>
        <v>0</v>
      </c>
      <c r="BJ157" s="27"/>
      <c r="BK157" s="27"/>
      <c r="BL157" s="27">
        <v>0</v>
      </c>
      <c r="BM157" s="27"/>
      <c r="BN157" s="27">
        <f t="shared" si="124"/>
        <v>0</v>
      </c>
      <c r="BO157" s="27">
        <f t="shared" si="125"/>
        <v>0</v>
      </c>
      <c r="BP157" s="26"/>
      <c r="BQ157" s="27"/>
      <c r="BR157" s="27">
        <v>0</v>
      </c>
      <c r="BS157" s="27"/>
      <c r="BT157" s="27">
        <f t="shared" si="126"/>
        <v>0</v>
      </c>
      <c r="BU157" s="27">
        <f t="shared" si="127"/>
        <v>0</v>
      </c>
      <c r="BV157" s="26"/>
      <c r="BW157" s="27"/>
      <c r="BX157" s="27">
        <v>0</v>
      </c>
      <c r="BY157" s="27"/>
      <c r="BZ157" s="27">
        <f t="shared" si="128"/>
        <v>0</v>
      </c>
      <c r="CA157" s="27">
        <f t="shared" si="129"/>
        <v>0</v>
      </c>
      <c r="CB157" s="26"/>
      <c r="CC157" s="27"/>
      <c r="CD157" s="27">
        <v>0</v>
      </c>
      <c r="CE157" s="27"/>
      <c r="CF157" s="27">
        <f t="shared" si="130"/>
        <v>0</v>
      </c>
      <c r="CG157" s="27">
        <f t="shared" si="131"/>
        <v>0</v>
      </c>
      <c r="CH157" s="26"/>
      <c r="CI157" s="27"/>
      <c r="CJ157" s="27">
        <v>0</v>
      </c>
      <c r="CK157" s="27"/>
      <c r="CL157" s="27">
        <f t="shared" si="132"/>
        <v>0</v>
      </c>
      <c r="CM157" s="27">
        <f t="shared" si="133"/>
        <v>0</v>
      </c>
      <c r="CN157" s="26"/>
      <c r="CO157" s="27"/>
      <c r="CP157" s="27">
        <v>0</v>
      </c>
      <c r="CQ157" s="27"/>
      <c r="CR157" s="27">
        <f t="shared" si="134"/>
        <v>0</v>
      </c>
      <c r="CS157" s="27">
        <f t="shared" si="135"/>
        <v>0</v>
      </c>
      <c r="CT157" s="26"/>
      <c r="CU157" s="27"/>
      <c r="CV157" s="27">
        <v>0</v>
      </c>
      <c r="CW157" s="27"/>
      <c r="CX157" s="27">
        <f t="shared" si="136"/>
        <v>0</v>
      </c>
      <c r="CY157" s="27">
        <f t="shared" si="137"/>
        <v>0</v>
      </c>
      <c r="CZ157" s="26"/>
      <c r="DA157" s="27"/>
      <c r="DB157" s="27">
        <v>0</v>
      </c>
      <c r="DC157" s="27"/>
      <c r="DD157" s="27">
        <f t="shared" si="138"/>
        <v>0</v>
      </c>
      <c r="DE157" s="27">
        <f t="shared" si="139"/>
        <v>0</v>
      </c>
      <c r="DF157" s="28">
        <f t="shared" si="140"/>
        <v>0</v>
      </c>
      <c r="DG157" s="28">
        <f t="shared" si="141"/>
        <v>0</v>
      </c>
      <c r="DH157" s="28">
        <f t="shared" si="142"/>
        <v>0</v>
      </c>
      <c r="DI157" s="28">
        <f t="shared" si="143"/>
        <v>0</v>
      </c>
      <c r="DJ157" s="27">
        <f t="shared" si="144"/>
        <v>0</v>
      </c>
      <c r="DK157" s="27">
        <f t="shared" si="145"/>
        <v>0</v>
      </c>
    </row>
    <row r="158" spans="1:115">
      <c r="A158" s="25">
        <v>150</v>
      </c>
      <c r="B158" s="26" t="s">
        <v>1161</v>
      </c>
      <c r="C158" s="26"/>
      <c r="D158" s="26"/>
      <c r="E158" s="205" t="s">
        <v>1200</v>
      </c>
      <c r="F158" s="161">
        <f t="shared" si="98"/>
        <v>0</v>
      </c>
      <c r="G158" s="165">
        <f t="shared" si="99"/>
        <v>0</v>
      </c>
      <c r="H158" s="27"/>
      <c r="I158" s="27">
        <v>0</v>
      </c>
      <c r="J158" s="27">
        <v>0</v>
      </c>
      <c r="K158" s="127">
        <f t="shared" si="100"/>
        <v>0</v>
      </c>
      <c r="L158" s="127">
        <f t="shared" si="101"/>
        <v>0</v>
      </c>
      <c r="M158" s="127">
        <f t="shared" si="102"/>
        <v>0</v>
      </c>
      <c r="N158" s="131"/>
      <c r="O158" s="125" t="str">
        <f t="shared" si="103"/>
        <v>ნულოვანი შესრულება</v>
      </c>
      <c r="P158" s="27">
        <v>0</v>
      </c>
      <c r="Q158" s="27">
        <v>0</v>
      </c>
      <c r="R158" s="27">
        <f t="shared" si="104"/>
        <v>0</v>
      </c>
      <c r="S158" s="27">
        <f t="shared" si="105"/>
        <v>0</v>
      </c>
      <c r="T158" s="27"/>
      <c r="U158" s="27"/>
      <c r="V158" s="27">
        <v>0</v>
      </c>
      <c r="W158" s="27"/>
      <c r="X158" s="27">
        <f t="shared" si="106"/>
        <v>0</v>
      </c>
      <c r="Y158" s="27">
        <f t="shared" si="107"/>
        <v>0</v>
      </c>
      <c r="Z158" s="27">
        <v>0</v>
      </c>
      <c r="AA158" s="27"/>
      <c r="AB158" s="27"/>
      <c r="AC158" s="27"/>
      <c r="AD158" s="27">
        <f t="shared" si="108"/>
        <v>0</v>
      </c>
      <c r="AE158" s="27">
        <f t="shared" si="109"/>
        <v>0</v>
      </c>
      <c r="AF158" s="27">
        <f t="shared" si="110"/>
        <v>0</v>
      </c>
      <c r="AG158" s="27">
        <f t="shared" si="111"/>
        <v>0</v>
      </c>
      <c r="AH158" s="27">
        <f t="shared" si="112"/>
        <v>0</v>
      </c>
      <c r="AI158" s="27">
        <f t="shared" si="113"/>
        <v>0</v>
      </c>
      <c r="AJ158" s="27">
        <f t="shared" si="114"/>
        <v>0</v>
      </c>
      <c r="AK158" s="27">
        <f t="shared" si="115"/>
        <v>0</v>
      </c>
      <c r="AL158" s="27"/>
      <c r="AM158" s="27"/>
      <c r="AN158" s="27">
        <v>0</v>
      </c>
      <c r="AO158" s="27"/>
      <c r="AP158" s="27">
        <f t="shared" si="116"/>
        <v>0</v>
      </c>
      <c r="AQ158" s="27">
        <f t="shared" si="117"/>
        <v>0</v>
      </c>
      <c r="AR158" s="27"/>
      <c r="AS158" s="27"/>
      <c r="AT158" s="27">
        <v>0</v>
      </c>
      <c r="AU158" s="27"/>
      <c r="AV158" s="27">
        <f t="shared" si="118"/>
        <v>0</v>
      </c>
      <c r="AW158" s="27">
        <f t="shared" si="119"/>
        <v>0</v>
      </c>
      <c r="AX158" s="27"/>
      <c r="AY158" s="27"/>
      <c r="AZ158" s="27">
        <v>0</v>
      </c>
      <c r="BA158" s="27"/>
      <c r="BB158" s="27">
        <f t="shared" si="120"/>
        <v>0</v>
      </c>
      <c r="BC158" s="27">
        <f t="shared" si="121"/>
        <v>0</v>
      </c>
      <c r="BD158" s="27"/>
      <c r="BE158" s="27"/>
      <c r="BF158" s="27">
        <v>0</v>
      </c>
      <c r="BG158" s="27"/>
      <c r="BH158" s="27">
        <f t="shared" si="122"/>
        <v>0</v>
      </c>
      <c r="BI158" s="27">
        <f t="shared" si="123"/>
        <v>0</v>
      </c>
      <c r="BJ158" s="27"/>
      <c r="BK158" s="27"/>
      <c r="BL158" s="27">
        <v>0</v>
      </c>
      <c r="BM158" s="27"/>
      <c r="BN158" s="27">
        <f t="shared" si="124"/>
        <v>0</v>
      </c>
      <c r="BO158" s="27">
        <f t="shared" si="125"/>
        <v>0</v>
      </c>
      <c r="BP158" s="26"/>
      <c r="BQ158" s="27"/>
      <c r="BR158" s="27">
        <v>0</v>
      </c>
      <c r="BS158" s="27"/>
      <c r="BT158" s="27">
        <f t="shared" si="126"/>
        <v>0</v>
      </c>
      <c r="BU158" s="27">
        <f t="shared" si="127"/>
        <v>0</v>
      </c>
      <c r="BV158" s="26"/>
      <c r="BW158" s="27"/>
      <c r="BX158" s="27">
        <v>0</v>
      </c>
      <c r="BY158" s="27"/>
      <c r="BZ158" s="27">
        <f t="shared" si="128"/>
        <v>0</v>
      </c>
      <c r="CA158" s="27">
        <f t="shared" si="129"/>
        <v>0</v>
      </c>
      <c r="CB158" s="26"/>
      <c r="CC158" s="27"/>
      <c r="CD158" s="27">
        <v>0</v>
      </c>
      <c r="CE158" s="27"/>
      <c r="CF158" s="27">
        <f t="shared" si="130"/>
        <v>0</v>
      </c>
      <c r="CG158" s="27">
        <f t="shared" si="131"/>
        <v>0</v>
      </c>
      <c r="CH158" s="26"/>
      <c r="CI158" s="27"/>
      <c r="CJ158" s="27">
        <v>0</v>
      </c>
      <c r="CK158" s="27"/>
      <c r="CL158" s="27">
        <f t="shared" si="132"/>
        <v>0</v>
      </c>
      <c r="CM158" s="27">
        <f t="shared" si="133"/>
        <v>0</v>
      </c>
      <c r="CN158" s="26"/>
      <c r="CO158" s="27"/>
      <c r="CP158" s="27">
        <v>0</v>
      </c>
      <c r="CQ158" s="27"/>
      <c r="CR158" s="27">
        <f t="shared" si="134"/>
        <v>0</v>
      </c>
      <c r="CS158" s="27">
        <f t="shared" si="135"/>
        <v>0</v>
      </c>
      <c r="CT158" s="26"/>
      <c r="CU158" s="27"/>
      <c r="CV158" s="27">
        <v>0</v>
      </c>
      <c r="CW158" s="27"/>
      <c r="CX158" s="27">
        <f t="shared" si="136"/>
        <v>0</v>
      </c>
      <c r="CY158" s="27">
        <f t="shared" si="137"/>
        <v>0</v>
      </c>
      <c r="CZ158" s="26"/>
      <c r="DA158" s="27"/>
      <c r="DB158" s="27">
        <v>0</v>
      </c>
      <c r="DC158" s="27"/>
      <c r="DD158" s="27">
        <f t="shared" si="138"/>
        <v>0</v>
      </c>
      <c r="DE158" s="27">
        <f t="shared" si="139"/>
        <v>0</v>
      </c>
      <c r="DF158" s="28">
        <f t="shared" si="140"/>
        <v>0</v>
      </c>
      <c r="DG158" s="28">
        <f t="shared" si="141"/>
        <v>0</v>
      </c>
      <c r="DH158" s="28">
        <f t="shared" si="142"/>
        <v>0</v>
      </c>
      <c r="DI158" s="28">
        <f t="shared" si="143"/>
        <v>0</v>
      </c>
      <c r="DJ158" s="27">
        <f t="shared" si="144"/>
        <v>0</v>
      </c>
      <c r="DK158" s="27">
        <f t="shared" si="145"/>
        <v>0</v>
      </c>
    </row>
    <row r="159" spans="1:115">
      <c r="A159" s="25">
        <v>151</v>
      </c>
      <c r="B159" s="26" t="s">
        <v>1161</v>
      </c>
      <c r="C159" s="26"/>
      <c r="D159" s="26"/>
      <c r="E159" s="205" t="s">
        <v>1200</v>
      </c>
      <c r="F159" s="161">
        <f t="shared" ref="F159:F176" si="146">SUM(DJ159)</f>
        <v>0</v>
      </c>
      <c r="G159" s="165">
        <f t="shared" ref="G159:G176" si="147">I159+AK159+DJ159</f>
        <v>0</v>
      </c>
      <c r="H159" s="27"/>
      <c r="I159" s="27">
        <v>0</v>
      </c>
      <c r="J159" s="27">
        <v>0</v>
      </c>
      <c r="K159" s="127">
        <f t="shared" ref="K159:K176" si="148">AK159</f>
        <v>0</v>
      </c>
      <c r="L159" s="127">
        <f t="shared" ref="L159:L176" si="149">IF(AI159&gt;0,I159+AK159-J159,0)</f>
        <v>0</v>
      </c>
      <c r="M159" s="127">
        <f t="shared" ref="M159:M176" si="150">I159+K159</f>
        <v>0</v>
      </c>
      <c r="N159" s="131"/>
      <c r="O159" s="125" t="str">
        <f t="shared" ref="O159:O176" si="151">IF(AND(AI159&gt;0,DI159&gt;0),"შეცდომაა! ერთზე მეტი ბოლო ჩაბარება!",IF(OR(AI159&gt;0,DI159&gt;0,),IF(AI159&gt;0,I159+AK159,I159+AK159+DK159),IF(AND(I159=0,K159=0,DK159=0),"ნულოვანი შესრულება","მიმდინარეობს")))</f>
        <v>ნულოვანი შესრულება</v>
      </c>
      <c r="P159" s="27">
        <v>0</v>
      </c>
      <c r="Q159" s="27">
        <v>0</v>
      </c>
      <c r="R159" s="27">
        <f t="shared" ref="R159:R176" si="152">I159+P159</f>
        <v>0</v>
      </c>
      <c r="S159" s="27">
        <f t="shared" ref="S159:S176" si="153">Q159</f>
        <v>0</v>
      </c>
      <c r="T159" s="27"/>
      <c r="U159" s="27"/>
      <c r="V159" s="27">
        <v>0</v>
      </c>
      <c r="W159" s="27"/>
      <c r="X159" s="27">
        <f t="shared" ref="X159:X176" si="154">T159+V159</f>
        <v>0</v>
      </c>
      <c r="Y159" s="27">
        <f t="shared" ref="Y159:Y176" si="155">U159+W159</f>
        <v>0</v>
      </c>
      <c r="Z159" s="27">
        <v>0</v>
      </c>
      <c r="AA159" s="27"/>
      <c r="AB159" s="27"/>
      <c r="AC159" s="27"/>
      <c r="AD159" s="27">
        <f t="shared" ref="AD159:AD176" si="156">Z159+AB159</f>
        <v>0</v>
      </c>
      <c r="AE159" s="27">
        <f t="shared" ref="AE159:AE176" si="157">AA159+AC159</f>
        <v>0</v>
      </c>
      <c r="AF159" s="27">
        <f t="shared" ref="AF159:AF176" si="158">P159+T159+Z159</f>
        <v>0</v>
      </c>
      <c r="AG159" s="27">
        <f t="shared" ref="AG159:AG176" si="159">P159+U159+AA159</f>
        <v>0</v>
      </c>
      <c r="AH159" s="27">
        <f t="shared" ref="AH159:AH176" si="160">Q159+V159+AB159</f>
        <v>0</v>
      </c>
      <c r="AI159" s="27">
        <f t="shared" ref="AI159:AI176" si="161">Q159+W159+AC159</f>
        <v>0</v>
      </c>
      <c r="AJ159" s="27">
        <f t="shared" ref="AJ159:AJ176" si="162">AF159+AH159</f>
        <v>0</v>
      </c>
      <c r="AK159" s="27">
        <f t="shared" ref="AK159:AK176" si="163">AG159+AI159</f>
        <v>0</v>
      </c>
      <c r="AL159" s="27"/>
      <c r="AM159" s="27"/>
      <c r="AN159" s="27">
        <v>0</v>
      </c>
      <c r="AO159" s="27"/>
      <c r="AP159" s="27">
        <f t="shared" ref="AP159:AP176" si="164">AL159+AN159</f>
        <v>0</v>
      </c>
      <c r="AQ159" s="27">
        <f t="shared" ref="AQ159:AQ176" si="165">AM159+AO159</f>
        <v>0</v>
      </c>
      <c r="AR159" s="27"/>
      <c r="AS159" s="27"/>
      <c r="AT159" s="27">
        <v>0</v>
      </c>
      <c r="AU159" s="27"/>
      <c r="AV159" s="27">
        <f t="shared" ref="AV159:AV176" si="166">AR159+AT159</f>
        <v>0</v>
      </c>
      <c r="AW159" s="27">
        <f t="shared" ref="AW159:AW176" si="167">AS159+AU159</f>
        <v>0</v>
      </c>
      <c r="AX159" s="27"/>
      <c r="AY159" s="27"/>
      <c r="AZ159" s="27">
        <v>0</v>
      </c>
      <c r="BA159" s="27"/>
      <c r="BB159" s="27">
        <f t="shared" ref="BB159:BB176" si="168">AX159+AZ159</f>
        <v>0</v>
      </c>
      <c r="BC159" s="27">
        <f t="shared" ref="BC159:BC176" si="169">AY159+BA159</f>
        <v>0</v>
      </c>
      <c r="BD159" s="27"/>
      <c r="BE159" s="27"/>
      <c r="BF159" s="27">
        <v>0</v>
      </c>
      <c r="BG159" s="27"/>
      <c r="BH159" s="27">
        <f t="shared" ref="BH159:BH176" si="170">BD159+BF159</f>
        <v>0</v>
      </c>
      <c r="BI159" s="27">
        <f t="shared" ref="BI159:BI176" si="171">BE159+BG159</f>
        <v>0</v>
      </c>
      <c r="BJ159" s="27"/>
      <c r="BK159" s="27"/>
      <c r="BL159" s="27">
        <v>0</v>
      </c>
      <c r="BM159" s="27"/>
      <c r="BN159" s="27">
        <f t="shared" ref="BN159:BN176" si="172">BJ159+BL159</f>
        <v>0</v>
      </c>
      <c r="BO159" s="27">
        <f t="shared" ref="BO159:BO176" si="173">BK159+BM159</f>
        <v>0</v>
      </c>
      <c r="BP159" s="26"/>
      <c r="BQ159" s="27"/>
      <c r="BR159" s="27">
        <v>0</v>
      </c>
      <c r="BS159" s="27"/>
      <c r="BT159" s="27">
        <f t="shared" ref="BT159:BT176" si="174">BP159+BR159</f>
        <v>0</v>
      </c>
      <c r="BU159" s="27">
        <f t="shared" ref="BU159:BU176" si="175">BQ159+BS159</f>
        <v>0</v>
      </c>
      <c r="BV159" s="26"/>
      <c r="BW159" s="27"/>
      <c r="BX159" s="27">
        <v>0</v>
      </c>
      <c r="BY159" s="27"/>
      <c r="BZ159" s="27">
        <f t="shared" ref="BZ159:BZ176" si="176">BV159+BX159</f>
        <v>0</v>
      </c>
      <c r="CA159" s="27">
        <f t="shared" ref="CA159:CA176" si="177">BW159+BY159</f>
        <v>0</v>
      </c>
      <c r="CB159" s="26"/>
      <c r="CC159" s="27"/>
      <c r="CD159" s="27">
        <v>0</v>
      </c>
      <c r="CE159" s="27"/>
      <c r="CF159" s="27">
        <f t="shared" ref="CF159:CF176" si="178">CB159+CD159</f>
        <v>0</v>
      </c>
      <c r="CG159" s="27">
        <f t="shared" ref="CG159:CG176" si="179">CC159+CE159</f>
        <v>0</v>
      </c>
      <c r="CH159" s="26"/>
      <c r="CI159" s="27"/>
      <c r="CJ159" s="27">
        <v>0</v>
      </c>
      <c r="CK159" s="27"/>
      <c r="CL159" s="27">
        <f t="shared" ref="CL159:CL176" si="180">CH159+CJ159</f>
        <v>0</v>
      </c>
      <c r="CM159" s="27">
        <f t="shared" ref="CM159:CM176" si="181">CI159+CK159</f>
        <v>0</v>
      </c>
      <c r="CN159" s="26"/>
      <c r="CO159" s="27"/>
      <c r="CP159" s="27">
        <v>0</v>
      </c>
      <c r="CQ159" s="27"/>
      <c r="CR159" s="27">
        <f t="shared" ref="CR159:CR176" si="182">CN159+CP159</f>
        <v>0</v>
      </c>
      <c r="CS159" s="27">
        <f t="shared" ref="CS159:CS176" si="183">CO159+CQ159</f>
        <v>0</v>
      </c>
      <c r="CT159" s="26"/>
      <c r="CU159" s="27"/>
      <c r="CV159" s="27">
        <v>0</v>
      </c>
      <c r="CW159" s="27"/>
      <c r="CX159" s="27">
        <f t="shared" ref="CX159:CX176" si="184">CT159+CV159</f>
        <v>0</v>
      </c>
      <c r="CY159" s="27">
        <f t="shared" ref="CY159:CY176" si="185">CU159+CW159</f>
        <v>0</v>
      </c>
      <c r="CZ159" s="26"/>
      <c r="DA159" s="27"/>
      <c r="DB159" s="27">
        <v>0</v>
      </c>
      <c r="DC159" s="27"/>
      <c r="DD159" s="27">
        <f t="shared" ref="DD159:DD176" si="186">CZ159+DB159</f>
        <v>0</v>
      </c>
      <c r="DE159" s="27">
        <f t="shared" ref="DE159:DE176" si="187">DA159+DC159</f>
        <v>0</v>
      </c>
      <c r="DF159" s="28">
        <f t="shared" ref="DF159:DF176" si="188">AL159+AR159+AX159+BD159+BJ159+BP159+BV159+CB159+CH159+CN159+CT159+CZ159</f>
        <v>0</v>
      </c>
      <c r="DG159" s="28">
        <f t="shared" ref="DG159:DG176" si="189">AM159+AS159+AY159+BE159+BK159+BQ159+BW159+CC159+CI159+CO159+CU159+DA159</f>
        <v>0</v>
      </c>
      <c r="DH159" s="28">
        <f t="shared" ref="DH159:DH176" si="190">AN159+AT159+AZ159+BF159+BL159+BR159+BX159+CD159+CJ159+CP159+CV159+DB159</f>
        <v>0</v>
      </c>
      <c r="DI159" s="28">
        <f t="shared" ref="DI159:DI176" si="191">AO159+AU159+BA159+BG159+BM159+BS159+BY159+CE159+CK159+CQ159+CW159+DC159</f>
        <v>0</v>
      </c>
      <c r="DJ159" s="27">
        <f t="shared" ref="DJ159:DJ176" si="192">DF159+DH159</f>
        <v>0</v>
      </c>
      <c r="DK159" s="27">
        <f t="shared" ref="DK159:DK176" si="193">DG159+DI159</f>
        <v>0</v>
      </c>
    </row>
    <row r="160" spans="1:115">
      <c r="A160" s="25">
        <v>152</v>
      </c>
      <c r="B160" s="26" t="s">
        <v>1161</v>
      </c>
      <c r="C160" s="26"/>
      <c r="D160" s="26"/>
      <c r="E160" s="205" t="s">
        <v>1200</v>
      </c>
      <c r="F160" s="161">
        <f t="shared" si="146"/>
        <v>0</v>
      </c>
      <c r="G160" s="165">
        <f t="shared" si="147"/>
        <v>0</v>
      </c>
      <c r="H160" s="27"/>
      <c r="I160" s="27">
        <v>0</v>
      </c>
      <c r="J160" s="27">
        <v>0</v>
      </c>
      <c r="K160" s="127">
        <f t="shared" si="148"/>
        <v>0</v>
      </c>
      <c r="L160" s="127">
        <f t="shared" si="149"/>
        <v>0</v>
      </c>
      <c r="M160" s="127">
        <f t="shared" si="150"/>
        <v>0</v>
      </c>
      <c r="N160" s="131"/>
      <c r="O160" s="125" t="str">
        <f t="shared" si="151"/>
        <v>ნულოვანი შესრულება</v>
      </c>
      <c r="P160" s="27">
        <v>0</v>
      </c>
      <c r="Q160" s="27">
        <v>0</v>
      </c>
      <c r="R160" s="27">
        <f t="shared" si="152"/>
        <v>0</v>
      </c>
      <c r="S160" s="27">
        <f t="shared" si="153"/>
        <v>0</v>
      </c>
      <c r="T160" s="27"/>
      <c r="U160" s="27"/>
      <c r="V160" s="27">
        <v>0</v>
      </c>
      <c r="W160" s="27"/>
      <c r="X160" s="27">
        <f t="shared" si="154"/>
        <v>0</v>
      </c>
      <c r="Y160" s="27">
        <f t="shared" si="155"/>
        <v>0</v>
      </c>
      <c r="Z160" s="27">
        <v>0</v>
      </c>
      <c r="AA160" s="27"/>
      <c r="AB160" s="27"/>
      <c r="AC160" s="27"/>
      <c r="AD160" s="27">
        <f t="shared" si="156"/>
        <v>0</v>
      </c>
      <c r="AE160" s="27">
        <f t="shared" si="157"/>
        <v>0</v>
      </c>
      <c r="AF160" s="27">
        <f t="shared" si="158"/>
        <v>0</v>
      </c>
      <c r="AG160" s="27">
        <f t="shared" si="159"/>
        <v>0</v>
      </c>
      <c r="AH160" s="27">
        <f t="shared" si="160"/>
        <v>0</v>
      </c>
      <c r="AI160" s="27">
        <f t="shared" si="161"/>
        <v>0</v>
      </c>
      <c r="AJ160" s="27">
        <f t="shared" si="162"/>
        <v>0</v>
      </c>
      <c r="AK160" s="27">
        <f t="shared" si="163"/>
        <v>0</v>
      </c>
      <c r="AL160" s="27"/>
      <c r="AM160" s="27"/>
      <c r="AN160" s="27">
        <v>0</v>
      </c>
      <c r="AO160" s="27"/>
      <c r="AP160" s="27">
        <f t="shared" si="164"/>
        <v>0</v>
      </c>
      <c r="AQ160" s="27">
        <f t="shared" si="165"/>
        <v>0</v>
      </c>
      <c r="AR160" s="27"/>
      <c r="AS160" s="27"/>
      <c r="AT160" s="27">
        <v>0</v>
      </c>
      <c r="AU160" s="27"/>
      <c r="AV160" s="27">
        <f t="shared" si="166"/>
        <v>0</v>
      </c>
      <c r="AW160" s="27">
        <f t="shared" si="167"/>
        <v>0</v>
      </c>
      <c r="AX160" s="27"/>
      <c r="AY160" s="27"/>
      <c r="AZ160" s="27">
        <v>0</v>
      </c>
      <c r="BA160" s="27"/>
      <c r="BB160" s="27">
        <f t="shared" si="168"/>
        <v>0</v>
      </c>
      <c r="BC160" s="27">
        <f t="shared" si="169"/>
        <v>0</v>
      </c>
      <c r="BD160" s="27"/>
      <c r="BE160" s="27"/>
      <c r="BF160" s="27">
        <v>0</v>
      </c>
      <c r="BG160" s="27"/>
      <c r="BH160" s="27">
        <f t="shared" si="170"/>
        <v>0</v>
      </c>
      <c r="BI160" s="27">
        <f t="shared" si="171"/>
        <v>0</v>
      </c>
      <c r="BJ160" s="27"/>
      <c r="BK160" s="27"/>
      <c r="BL160" s="27">
        <v>0</v>
      </c>
      <c r="BM160" s="27"/>
      <c r="BN160" s="27">
        <f t="shared" si="172"/>
        <v>0</v>
      </c>
      <c r="BO160" s="27">
        <f t="shared" si="173"/>
        <v>0</v>
      </c>
      <c r="BP160" s="26"/>
      <c r="BQ160" s="27"/>
      <c r="BR160" s="27">
        <v>0</v>
      </c>
      <c r="BS160" s="27"/>
      <c r="BT160" s="27">
        <f t="shared" si="174"/>
        <v>0</v>
      </c>
      <c r="BU160" s="27">
        <f t="shared" si="175"/>
        <v>0</v>
      </c>
      <c r="BV160" s="26"/>
      <c r="BW160" s="27"/>
      <c r="BX160" s="27">
        <v>0</v>
      </c>
      <c r="BY160" s="27"/>
      <c r="BZ160" s="27">
        <f t="shared" si="176"/>
        <v>0</v>
      </c>
      <c r="CA160" s="27">
        <f t="shared" si="177"/>
        <v>0</v>
      </c>
      <c r="CB160" s="26"/>
      <c r="CC160" s="27"/>
      <c r="CD160" s="27">
        <v>0</v>
      </c>
      <c r="CE160" s="27"/>
      <c r="CF160" s="27">
        <f t="shared" si="178"/>
        <v>0</v>
      </c>
      <c r="CG160" s="27">
        <f t="shared" si="179"/>
        <v>0</v>
      </c>
      <c r="CH160" s="26"/>
      <c r="CI160" s="27"/>
      <c r="CJ160" s="27">
        <v>0</v>
      </c>
      <c r="CK160" s="27"/>
      <c r="CL160" s="27">
        <f t="shared" si="180"/>
        <v>0</v>
      </c>
      <c r="CM160" s="27">
        <f t="shared" si="181"/>
        <v>0</v>
      </c>
      <c r="CN160" s="26"/>
      <c r="CO160" s="27"/>
      <c r="CP160" s="27">
        <v>0</v>
      </c>
      <c r="CQ160" s="27"/>
      <c r="CR160" s="27">
        <f t="shared" si="182"/>
        <v>0</v>
      </c>
      <c r="CS160" s="27">
        <f t="shared" si="183"/>
        <v>0</v>
      </c>
      <c r="CT160" s="26"/>
      <c r="CU160" s="27"/>
      <c r="CV160" s="27">
        <v>0</v>
      </c>
      <c r="CW160" s="27"/>
      <c r="CX160" s="27">
        <f t="shared" si="184"/>
        <v>0</v>
      </c>
      <c r="CY160" s="27">
        <f t="shared" si="185"/>
        <v>0</v>
      </c>
      <c r="CZ160" s="26"/>
      <c r="DA160" s="27"/>
      <c r="DB160" s="27">
        <v>0</v>
      </c>
      <c r="DC160" s="27"/>
      <c r="DD160" s="27">
        <f t="shared" si="186"/>
        <v>0</v>
      </c>
      <c r="DE160" s="27">
        <f t="shared" si="187"/>
        <v>0</v>
      </c>
      <c r="DF160" s="28">
        <f t="shared" si="188"/>
        <v>0</v>
      </c>
      <c r="DG160" s="28">
        <f t="shared" si="189"/>
        <v>0</v>
      </c>
      <c r="DH160" s="28">
        <f t="shared" si="190"/>
        <v>0</v>
      </c>
      <c r="DI160" s="28">
        <f t="shared" si="191"/>
        <v>0</v>
      </c>
      <c r="DJ160" s="27">
        <f t="shared" si="192"/>
        <v>0</v>
      </c>
      <c r="DK160" s="27">
        <f t="shared" si="193"/>
        <v>0</v>
      </c>
    </row>
    <row r="161" spans="1:115">
      <c r="A161" s="25">
        <v>153</v>
      </c>
      <c r="B161" s="26" t="s">
        <v>1161</v>
      </c>
      <c r="C161" s="26"/>
      <c r="D161" s="26"/>
      <c r="E161" s="205" t="s">
        <v>1200</v>
      </c>
      <c r="F161" s="161">
        <f t="shared" si="146"/>
        <v>0</v>
      </c>
      <c r="G161" s="165">
        <f t="shared" si="147"/>
        <v>0</v>
      </c>
      <c r="H161" s="27"/>
      <c r="I161" s="27">
        <v>0</v>
      </c>
      <c r="J161" s="27">
        <v>0</v>
      </c>
      <c r="K161" s="127">
        <f t="shared" si="148"/>
        <v>0</v>
      </c>
      <c r="L161" s="127">
        <f t="shared" si="149"/>
        <v>0</v>
      </c>
      <c r="M161" s="127">
        <f t="shared" si="150"/>
        <v>0</v>
      </c>
      <c r="N161" s="131"/>
      <c r="O161" s="125" t="str">
        <f t="shared" si="151"/>
        <v>ნულოვანი შესრულება</v>
      </c>
      <c r="P161" s="27">
        <v>0</v>
      </c>
      <c r="Q161" s="27">
        <v>0</v>
      </c>
      <c r="R161" s="27">
        <f t="shared" si="152"/>
        <v>0</v>
      </c>
      <c r="S161" s="27">
        <f t="shared" si="153"/>
        <v>0</v>
      </c>
      <c r="T161" s="27"/>
      <c r="U161" s="27"/>
      <c r="V161" s="27">
        <v>0</v>
      </c>
      <c r="W161" s="27"/>
      <c r="X161" s="27">
        <f t="shared" si="154"/>
        <v>0</v>
      </c>
      <c r="Y161" s="27">
        <f t="shared" si="155"/>
        <v>0</v>
      </c>
      <c r="Z161" s="27">
        <v>0</v>
      </c>
      <c r="AA161" s="27"/>
      <c r="AB161" s="27"/>
      <c r="AC161" s="27"/>
      <c r="AD161" s="27">
        <f t="shared" si="156"/>
        <v>0</v>
      </c>
      <c r="AE161" s="27">
        <f t="shared" si="157"/>
        <v>0</v>
      </c>
      <c r="AF161" s="27">
        <f t="shared" si="158"/>
        <v>0</v>
      </c>
      <c r="AG161" s="27">
        <f t="shared" si="159"/>
        <v>0</v>
      </c>
      <c r="AH161" s="27">
        <f t="shared" si="160"/>
        <v>0</v>
      </c>
      <c r="AI161" s="27">
        <f t="shared" si="161"/>
        <v>0</v>
      </c>
      <c r="AJ161" s="27">
        <f t="shared" si="162"/>
        <v>0</v>
      </c>
      <c r="AK161" s="27">
        <f t="shared" si="163"/>
        <v>0</v>
      </c>
      <c r="AL161" s="27"/>
      <c r="AM161" s="27"/>
      <c r="AN161" s="27">
        <v>0</v>
      </c>
      <c r="AO161" s="27"/>
      <c r="AP161" s="27">
        <f t="shared" si="164"/>
        <v>0</v>
      </c>
      <c r="AQ161" s="27">
        <f t="shared" si="165"/>
        <v>0</v>
      </c>
      <c r="AR161" s="27"/>
      <c r="AS161" s="27"/>
      <c r="AT161" s="27">
        <v>0</v>
      </c>
      <c r="AU161" s="27"/>
      <c r="AV161" s="27">
        <f t="shared" si="166"/>
        <v>0</v>
      </c>
      <c r="AW161" s="27">
        <f t="shared" si="167"/>
        <v>0</v>
      </c>
      <c r="AX161" s="27"/>
      <c r="AY161" s="27"/>
      <c r="AZ161" s="27">
        <v>0</v>
      </c>
      <c r="BA161" s="27"/>
      <c r="BB161" s="27">
        <f t="shared" si="168"/>
        <v>0</v>
      </c>
      <c r="BC161" s="27">
        <f t="shared" si="169"/>
        <v>0</v>
      </c>
      <c r="BD161" s="27"/>
      <c r="BE161" s="27"/>
      <c r="BF161" s="27">
        <v>0</v>
      </c>
      <c r="BG161" s="27"/>
      <c r="BH161" s="27">
        <f t="shared" si="170"/>
        <v>0</v>
      </c>
      <c r="BI161" s="27">
        <f t="shared" si="171"/>
        <v>0</v>
      </c>
      <c r="BJ161" s="27"/>
      <c r="BK161" s="27"/>
      <c r="BL161" s="27">
        <v>0</v>
      </c>
      <c r="BM161" s="27"/>
      <c r="BN161" s="27">
        <f t="shared" si="172"/>
        <v>0</v>
      </c>
      <c r="BO161" s="27">
        <f t="shared" si="173"/>
        <v>0</v>
      </c>
      <c r="BP161" s="26"/>
      <c r="BQ161" s="27"/>
      <c r="BR161" s="27">
        <v>0</v>
      </c>
      <c r="BS161" s="27"/>
      <c r="BT161" s="27">
        <f t="shared" si="174"/>
        <v>0</v>
      </c>
      <c r="BU161" s="27">
        <f t="shared" si="175"/>
        <v>0</v>
      </c>
      <c r="BV161" s="26"/>
      <c r="BW161" s="27"/>
      <c r="BX161" s="27">
        <v>0</v>
      </c>
      <c r="BY161" s="27"/>
      <c r="BZ161" s="27">
        <f t="shared" si="176"/>
        <v>0</v>
      </c>
      <c r="CA161" s="27">
        <f t="shared" si="177"/>
        <v>0</v>
      </c>
      <c r="CB161" s="26"/>
      <c r="CC161" s="27"/>
      <c r="CD161" s="27">
        <v>0</v>
      </c>
      <c r="CE161" s="27"/>
      <c r="CF161" s="27">
        <f t="shared" si="178"/>
        <v>0</v>
      </c>
      <c r="CG161" s="27">
        <f t="shared" si="179"/>
        <v>0</v>
      </c>
      <c r="CH161" s="26"/>
      <c r="CI161" s="27"/>
      <c r="CJ161" s="27">
        <v>0</v>
      </c>
      <c r="CK161" s="27"/>
      <c r="CL161" s="27">
        <f t="shared" si="180"/>
        <v>0</v>
      </c>
      <c r="CM161" s="27">
        <f t="shared" si="181"/>
        <v>0</v>
      </c>
      <c r="CN161" s="26"/>
      <c r="CO161" s="27"/>
      <c r="CP161" s="27">
        <v>0</v>
      </c>
      <c r="CQ161" s="27"/>
      <c r="CR161" s="27">
        <f t="shared" si="182"/>
        <v>0</v>
      </c>
      <c r="CS161" s="27">
        <f t="shared" si="183"/>
        <v>0</v>
      </c>
      <c r="CT161" s="26"/>
      <c r="CU161" s="27"/>
      <c r="CV161" s="27">
        <v>0</v>
      </c>
      <c r="CW161" s="27"/>
      <c r="CX161" s="27">
        <f t="shared" si="184"/>
        <v>0</v>
      </c>
      <c r="CY161" s="27">
        <f t="shared" si="185"/>
        <v>0</v>
      </c>
      <c r="CZ161" s="26"/>
      <c r="DA161" s="27"/>
      <c r="DB161" s="27">
        <v>0</v>
      </c>
      <c r="DC161" s="27"/>
      <c r="DD161" s="27">
        <f t="shared" si="186"/>
        <v>0</v>
      </c>
      <c r="DE161" s="27">
        <f t="shared" si="187"/>
        <v>0</v>
      </c>
      <c r="DF161" s="28">
        <f t="shared" si="188"/>
        <v>0</v>
      </c>
      <c r="DG161" s="28">
        <f t="shared" si="189"/>
        <v>0</v>
      </c>
      <c r="DH161" s="28">
        <f t="shared" si="190"/>
        <v>0</v>
      </c>
      <c r="DI161" s="28">
        <f t="shared" si="191"/>
        <v>0</v>
      </c>
      <c r="DJ161" s="27">
        <f t="shared" si="192"/>
        <v>0</v>
      </c>
      <c r="DK161" s="27">
        <f t="shared" si="193"/>
        <v>0</v>
      </c>
    </row>
    <row r="162" spans="1:115">
      <c r="A162" s="25">
        <v>154</v>
      </c>
      <c r="B162" s="26" t="s">
        <v>1161</v>
      </c>
      <c r="C162" s="26"/>
      <c r="D162" s="26"/>
      <c r="E162" s="205" t="s">
        <v>1200</v>
      </c>
      <c r="F162" s="161">
        <f t="shared" si="146"/>
        <v>0</v>
      </c>
      <c r="G162" s="165">
        <f t="shared" si="147"/>
        <v>0</v>
      </c>
      <c r="H162" s="27"/>
      <c r="I162" s="27">
        <v>0</v>
      </c>
      <c r="J162" s="27">
        <v>0</v>
      </c>
      <c r="K162" s="127">
        <f t="shared" si="148"/>
        <v>0</v>
      </c>
      <c r="L162" s="127">
        <f t="shared" si="149"/>
        <v>0</v>
      </c>
      <c r="M162" s="127">
        <f t="shared" si="150"/>
        <v>0</v>
      </c>
      <c r="N162" s="131"/>
      <c r="O162" s="125" t="str">
        <f t="shared" si="151"/>
        <v>ნულოვანი შესრულება</v>
      </c>
      <c r="P162" s="27">
        <v>0</v>
      </c>
      <c r="Q162" s="27">
        <v>0</v>
      </c>
      <c r="R162" s="27">
        <f t="shared" si="152"/>
        <v>0</v>
      </c>
      <c r="S162" s="27">
        <f t="shared" si="153"/>
        <v>0</v>
      </c>
      <c r="T162" s="27"/>
      <c r="U162" s="27"/>
      <c r="V162" s="27">
        <v>0</v>
      </c>
      <c r="W162" s="27"/>
      <c r="X162" s="27">
        <f t="shared" si="154"/>
        <v>0</v>
      </c>
      <c r="Y162" s="27">
        <f t="shared" si="155"/>
        <v>0</v>
      </c>
      <c r="Z162" s="27">
        <v>0</v>
      </c>
      <c r="AA162" s="27"/>
      <c r="AB162" s="27"/>
      <c r="AC162" s="27"/>
      <c r="AD162" s="27">
        <f t="shared" si="156"/>
        <v>0</v>
      </c>
      <c r="AE162" s="27">
        <f t="shared" si="157"/>
        <v>0</v>
      </c>
      <c r="AF162" s="27">
        <f t="shared" si="158"/>
        <v>0</v>
      </c>
      <c r="AG162" s="27">
        <f t="shared" si="159"/>
        <v>0</v>
      </c>
      <c r="AH162" s="27">
        <f t="shared" si="160"/>
        <v>0</v>
      </c>
      <c r="AI162" s="27">
        <f t="shared" si="161"/>
        <v>0</v>
      </c>
      <c r="AJ162" s="27">
        <f t="shared" si="162"/>
        <v>0</v>
      </c>
      <c r="AK162" s="27">
        <f t="shared" si="163"/>
        <v>0</v>
      </c>
      <c r="AL162" s="27"/>
      <c r="AM162" s="27"/>
      <c r="AN162" s="27">
        <v>0</v>
      </c>
      <c r="AO162" s="27"/>
      <c r="AP162" s="27">
        <f t="shared" si="164"/>
        <v>0</v>
      </c>
      <c r="AQ162" s="27">
        <f t="shared" si="165"/>
        <v>0</v>
      </c>
      <c r="AR162" s="27"/>
      <c r="AS162" s="27"/>
      <c r="AT162" s="27">
        <v>0</v>
      </c>
      <c r="AU162" s="27"/>
      <c r="AV162" s="27">
        <f t="shared" si="166"/>
        <v>0</v>
      </c>
      <c r="AW162" s="27">
        <f t="shared" si="167"/>
        <v>0</v>
      </c>
      <c r="AX162" s="27"/>
      <c r="AY162" s="27"/>
      <c r="AZ162" s="27">
        <v>0</v>
      </c>
      <c r="BA162" s="27"/>
      <c r="BB162" s="27">
        <f t="shared" si="168"/>
        <v>0</v>
      </c>
      <c r="BC162" s="27">
        <f t="shared" si="169"/>
        <v>0</v>
      </c>
      <c r="BD162" s="27"/>
      <c r="BE162" s="27"/>
      <c r="BF162" s="27">
        <v>0</v>
      </c>
      <c r="BG162" s="27"/>
      <c r="BH162" s="27">
        <f t="shared" si="170"/>
        <v>0</v>
      </c>
      <c r="BI162" s="27">
        <f t="shared" si="171"/>
        <v>0</v>
      </c>
      <c r="BJ162" s="27"/>
      <c r="BK162" s="27"/>
      <c r="BL162" s="27">
        <v>0</v>
      </c>
      <c r="BM162" s="27"/>
      <c r="BN162" s="27">
        <f t="shared" si="172"/>
        <v>0</v>
      </c>
      <c r="BO162" s="27">
        <f t="shared" si="173"/>
        <v>0</v>
      </c>
      <c r="BP162" s="26"/>
      <c r="BQ162" s="27"/>
      <c r="BR162" s="27">
        <v>0</v>
      </c>
      <c r="BS162" s="27"/>
      <c r="BT162" s="27">
        <f t="shared" si="174"/>
        <v>0</v>
      </c>
      <c r="BU162" s="27">
        <f t="shared" si="175"/>
        <v>0</v>
      </c>
      <c r="BV162" s="26"/>
      <c r="BW162" s="27"/>
      <c r="BX162" s="27">
        <v>0</v>
      </c>
      <c r="BY162" s="27"/>
      <c r="BZ162" s="27">
        <f t="shared" si="176"/>
        <v>0</v>
      </c>
      <c r="CA162" s="27">
        <f t="shared" si="177"/>
        <v>0</v>
      </c>
      <c r="CB162" s="26"/>
      <c r="CC162" s="27"/>
      <c r="CD162" s="27">
        <v>0</v>
      </c>
      <c r="CE162" s="27"/>
      <c r="CF162" s="27">
        <f t="shared" si="178"/>
        <v>0</v>
      </c>
      <c r="CG162" s="27">
        <f t="shared" si="179"/>
        <v>0</v>
      </c>
      <c r="CH162" s="26"/>
      <c r="CI162" s="27"/>
      <c r="CJ162" s="27">
        <v>0</v>
      </c>
      <c r="CK162" s="27"/>
      <c r="CL162" s="27">
        <f t="shared" si="180"/>
        <v>0</v>
      </c>
      <c r="CM162" s="27">
        <f t="shared" si="181"/>
        <v>0</v>
      </c>
      <c r="CN162" s="26"/>
      <c r="CO162" s="27"/>
      <c r="CP162" s="27">
        <v>0</v>
      </c>
      <c r="CQ162" s="27"/>
      <c r="CR162" s="27">
        <f t="shared" si="182"/>
        <v>0</v>
      </c>
      <c r="CS162" s="27">
        <f t="shared" si="183"/>
        <v>0</v>
      </c>
      <c r="CT162" s="26"/>
      <c r="CU162" s="27"/>
      <c r="CV162" s="27">
        <v>0</v>
      </c>
      <c r="CW162" s="27"/>
      <c r="CX162" s="27">
        <f t="shared" si="184"/>
        <v>0</v>
      </c>
      <c r="CY162" s="27">
        <f t="shared" si="185"/>
        <v>0</v>
      </c>
      <c r="CZ162" s="26"/>
      <c r="DA162" s="27"/>
      <c r="DB162" s="27">
        <v>0</v>
      </c>
      <c r="DC162" s="27"/>
      <c r="DD162" s="27">
        <f t="shared" si="186"/>
        <v>0</v>
      </c>
      <c r="DE162" s="27">
        <f t="shared" si="187"/>
        <v>0</v>
      </c>
      <c r="DF162" s="28">
        <f t="shared" si="188"/>
        <v>0</v>
      </c>
      <c r="DG162" s="28">
        <f t="shared" si="189"/>
        <v>0</v>
      </c>
      <c r="DH162" s="28">
        <f t="shared" si="190"/>
        <v>0</v>
      </c>
      <c r="DI162" s="28">
        <f t="shared" si="191"/>
        <v>0</v>
      </c>
      <c r="DJ162" s="27">
        <f t="shared" si="192"/>
        <v>0</v>
      </c>
      <c r="DK162" s="27">
        <f t="shared" si="193"/>
        <v>0</v>
      </c>
    </row>
    <row r="163" spans="1:115">
      <c r="A163" s="25">
        <v>155</v>
      </c>
      <c r="B163" s="26" t="s">
        <v>1161</v>
      </c>
      <c r="C163" s="26"/>
      <c r="D163" s="26"/>
      <c r="E163" s="205" t="s">
        <v>1200</v>
      </c>
      <c r="F163" s="161">
        <f t="shared" si="146"/>
        <v>0</v>
      </c>
      <c r="G163" s="165">
        <f t="shared" si="147"/>
        <v>0</v>
      </c>
      <c r="H163" s="27"/>
      <c r="I163" s="27">
        <v>0</v>
      </c>
      <c r="J163" s="27">
        <v>0</v>
      </c>
      <c r="K163" s="127">
        <f t="shared" si="148"/>
        <v>0</v>
      </c>
      <c r="L163" s="127">
        <f t="shared" si="149"/>
        <v>0</v>
      </c>
      <c r="M163" s="127">
        <f t="shared" si="150"/>
        <v>0</v>
      </c>
      <c r="N163" s="131"/>
      <c r="O163" s="125" t="str">
        <f t="shared" si="151"/>
        <v>ნულოვანი შესრულება</v>
      </c>
      <c r="P163" s="27">
        <v>0</v>
      </c>
      <c r="Q163" s="27">
        <v>0</v>
      </c>
      <c r="R163" s="27">
        <f t="shared" si="152"/>
        <v>0</v>
      </c>
      <c r="S163" s="27">
        <f t="shared" si="153"/>
        <v>0</v>
      </c>
      <c r="T163" s="27"/>
      <c r="U163" s="27"/>
      <c r="V163" s="27">
        <v>0</v>
      </c>
      <c r="W163" s="27"/>
      <c r="X163" s="27">
        <f t="shared" si="154"/>
        <v>0</v>
      </c>
      <c r="Y163" s="27">
        <f t="shared" si="155"/>
        <v>0</v>
      </c>
      <c r="Z163" s="27">
        <v>0</v>
      </c>
      <c r="AA163" s="27"/>
      <c r="AB163" s="27"/>
      <c r="AC163" s="27"/>
      <c r="AD163" s="27">
        <f t="shared" si="156"/>
        <v>0</v>
      </c>
      <c r="AE163" s="27">
        <f t="shared" si="157"/>
        <v>0</v>
      </c>
      <c r="AF163" s="27">
        <f t="shared" si="158"/>
        <v>0</v>
      </c>
      <c r="AG163" s="27">
        <f t="shared" si="159"/>
        <v>0</v>
      </c>
      <c r="AH163" s="27">
        <f t="shared" si="160"/>
        <v>0</v>
      </c>
      <c r="AI163" s="27">
        <f t="shared" si="161"/>
        <v>0</v>
      </c>
      <c r="AJ163" s="27">
        <f t="shared" si="162"/>
        <v>0</v>
      </c>
      <c r="AK163" s="27">
        <f t="shared" si="163"/>
        <v>0</v>
      </c>
      <c r="AL163" s="27"/>
      <c r="AM163" s="27"/>
      <c r="AN163" s="27">
        <v>0</v>
      </c>
      <c r="AO163" s="27"/>
      <c r="AP163" s="27">
        <f t="shared" si="164"/>
        <v>0</v>
      </c>
      <c r="AQ163" s="27">
        <f t="shared" si="165"/>
        <v>0</v>
      </c>
      <c r="AR163" s="27"/>
      <c r="AS163" s="27"/>
      <c r="AT163" s="27">
        <v>0</v>
      </c>
      <c r="AU163" s="27"/>
      <c r="AV163" s="27">
        <f t="shared" si="166"/>
        <v>0</v>
      </c>
      <c r="AW163" s="27">
        <f t="shared" si="167"/>
        <v>0</v>
      </c>
      <c r="AX163" s="27"/>
      <c r="AY163" s="27"/>
      <c r="AZ163" s="27">
        <v>0</v>
      </c>
      <c r="BA163" s="27"/>
      <c r="BB163" s="27">
        <f t="shared" si="168"/>
        <v>0</v>
      </c>
      <c r="BC163" s="27">
        <f t="shared" si="169"/>
        <v>0</v>
      </c>
      <c r="BD163" s="27"/>
      <c r="BE163" s="27"/>
      <c r="BF163" s="27">
        <v>0</v>
      </c>
      <c r="BG163" s="27"/>
      <c r="BH163" s="27">
        <f t="shared" si="170"/>
        <v>0</v>
      </c>
      <c r="BI163" s="27">
        <f t="shared" si="171"/>
        <v>0</v>
      </c>
      <c r="BJ163" s="27"/>
      <c r="BK163" s="27"/>
      <c r="BL163" s="27">
        <v>0</v>
      </c>
      <c r="BM163" s="27"/>
      <c r="BN163" s="27">
        <f t="shared" si="172"/>
        <v>0</v>
      </c>
      <c r="BO163" s="27">
        <f t="shared" si="173"/>
        <v>0</v>
      </c>
      <c r="BP163" s="26"/>
      <c r="BQ163" s="27"/>
      <c r="BR163" s="27">
        <v>0</v>
      </c>
      <c r="BS163" s="27"/>
      <c r="BT163" s="27">
        <f t="shared" si="174"/>
        <v>0</v>
      </c>
      <c r="BU163" s="27">
        <f t="shared" si="175"/>
        <v>0</v>
      </c>
      <c r="BV163" s="26"/>
      <c r="BW163" s="27"/>
      <c r="BX163" s="27">
        <v>0</v>
      </c>
      <c r="BY163" s="27"/>
      <c r="BZ163" s="27">
        <f t="shared" si="176"/>
        <v>0</v>
      </c>
      <c r="CA163" s="27">
        <f t="shared" si="177"/>
        <v>0</v>
      </c>
      <c r="CB163" s="26"/>
      <c r="CC163" s="27"/>
      <c r="CD163" s="27">
        <v>0</v>
      </c>
      <c r="CE163" s="27"/>
      <c r="CF163" s="27">
        <f t="shared" si="178"/>
        <v>0</v>
      </c>
      <c r="CG163" s="27">
        <f t="shared" si="179"/>
        <v>0</v>
      </c>
      <c r="CH163" s="26"/>
      <c r="CI163" s="27"/>
      <c r="CJ163" s="27">
        <v>0</v>
      </c>
      <c r="CK163" s="27"/>
      <c r="CL163" s="27">
        <f t="shared" si="180"/>
        <v>0</v>
      </c>
      <c r="CM163" s="27">
        <f t="shared" si="181"/>
        <v>0</v>
      </c>
      <c r="CN163" s="26"/>
      <c r="CO163" s="27"/>
      <c r="CP163" s="27">
        <v>0</v>
      </c>
      <c r="CQ163" s="27"/>
      <c r="CR163" s="27">
        <f t="shared" si="182"/>
        <v>0</v>
      </c>
      <c r="CS163" s="27">
        <f t="shared" si="183"/>
        <v>0</v>
      </c>
      <c r="CT163" s="26"/>
      <c r="CU163" s="27"/>
      <c r="CV163" s="27">
        <v>0</v>
      </c>
      <c r="CW163" s="27"/>
      <c r="CX163" s="27">
        <f t="shared" si="184"/>
        <v>0</v>
      </c>
      <c r="CY163" s="27">
        <f t="shared" si="185"/>
        <v>0</v>
      </c>
      <c r="CZ163" s="26"/>
      <c r="DA163" s="27"/>
      <c r="DB163" s="27">
        <v>0</v>
      </c>
      <c r="DC163" s="27"/>
      <c r="DD163" s="27">
        <f t="shared" si="186"/>
        <v>0</v>
      </c>
      <c r="DE163" s="27">
        <f t="shared" si="187"/>
        <v>0</v>
      </c>
      <c r="DF163" s="28">
        <f t="shared" si="188"/>
        <v>0</v>
      </c>
      <c r="DG163" s="28">
        <f t="shared" si="189"/>
        <v>0</v>
      </c>
      <c r="DH163" s="28">
        <f t="shared" si="190"/>
        <v>0</v>
      </c>
      <c r="DI163" s="28">
        <f t="shared" si="191"/>
        <v>0</v>
      </c>
      <c r="DJ163" s="27">
        <f t="shared" si="192"/>
        <v>0</v>
      </c>
      <c r="DK163" s="27">
        <f t="shared" si="193"/>
        <v>0</v>
      </c>
    </row>
    <row r="164" spans="1:115">
      <c r="A164" s="25">
        <v>156</v>
      </c>
      <c r="B164" s="26" t="s">
        <v>1161</v>
      </c>
      <c r="C164" s="26"/>
      <c r="D164" s="26"/>
      <c r="E164" s="205" t="s">
        <v>1200</v>
      </c>
      <c r="F164" s="161">
        <f t="shared" si="146"/>
        <v>0</v>
      </c>
      <c r="G164" s="165">
        <f t="shared" si="147"/>
        <v>0</v>
      </c>
      <c r="H164" s="27"/>
      <c r="I164" s="27">
        <v>0</v>
      </c>
      <c r="J164" s="27">
        <v>0</v>
      </c>
      <c r="K164" s="127">
        <f t="shared" si="148"/>
        <v>0</v>
      </c>
      <c r="L164" s="127">
        <f t="shared" si="149"/>
        <v>0</v>
      </c>
      <c r="M164" s="127">
        <f t="shared" si="150"/>
        <v>0</v>
      </c>
      <c r="N164" s="131"/>
      <c r="O164" s="125" t="str">
        <f t="shared" si="151"/>
        <v>ნულოვანი შესრულება</v>
      </c>
      <c r="P164" s="27">
        <v>0</v>
      </c>
      <c r="Q164" s="27">
        <v>0</v>
      </c>
      <c r="R164" s="27">
        <f t="shared" si="152"/>
        <v>0</v>
      </c>
      <c r="S164" s="27">
        <f t="shared" si="153"/>
        <v>0</v>
      </c>
      <c r="T164" s="27"/>
      <c r="U164" s="27"/>
      <c r="V164" s="27">
        <v>0</v>
      </c>
      <c r="W164" s="27"/>
      <c r="X164" s="27">
        <f t="shared" si="154"/>
        <v>0</v>
      </c>
      <c r="Y164" s="27">
        <f t="shared" si="155"/>
        <v>0</v>
      </c>
      <c r="Z164" s="27">
        <v>0</v>
      </c>
      <c r="AA164" s="27"/>
      <c r="AB164" s="27"/>
      <c r="AC164" s="27"/>
      <c r="AD164" s="27">
        <f t="shared" si="156"/>
        <v>0</v>
      </c>
      <c r="AE164" s="27">
        <f t="shared" si="157"/>
        <v>0</v>
      </c>
      <c r="AF164" s="27">
        <f t="shared" si="158"/>
        <v>0</v>
      </c>
      <c r="AG164" s="27">
        <f t="shared" si="159"/>
        <v>0</v>
      </c>
      <c r="AH164" s="27">
        <f t="shared" si="160"/>
        <v>0</v>
      </c>
      <c r="AI164" s="27">
        <f t="shared" si="161"/>
        <v>0</v>
      </c>
      <c r="AJ164" s="27">
        <f t="shared" si="162"/>
        <v>0</v>
      </c>
      <c r="AK164" s="27">
        <f t="shared" si="163"/>
        <v>0</v>
      </c>
      <c r="AL164" s="27"/>
      <c r="AM164" s="27"/>
      <c r="AN164" s="27">
        <v>0</v>
      </c>
      <c r="AO164" s="27"/>
      <c r="AP164" s="27">
        <f t="shared" si="164"/>
        <v>0</v>
      </c>
      <c r="AQ164" s="27">
        <f t="shared" si="165"/>
        <v>0</v>
      </c>
      <c r="AR164" s="27"/>
      <c r="AS164" s="27"/>
      <c r="AT164" s="27">
        <v>0</v>
      </c>
      <c r="AU164" s="27"/>
      <c r="AV164" s="27">
        <f t="shared" si="166"/>
        <v>0</v>
      </c>
      <c r="AW164" s="27">
        <f t="shared" si="167"/>
        <v>0</v>
      </c>
      <c r="AX164" s="27"/>
      <c r="AY164" s="27"/>
      <c r="AZ164" s="27">
        <v>0</v>
      </c>
      <c r="BA164" s="27"/>
      <c r="BB164" s="27">
        <f t="shared" si="168"/>
        <v>0</v>
      </c>
      <c r="BC164" s="27">
        <f t="shared" si="169"/>
        <v>0</v>
      </c>
      <c r="BD164" s="27"/>
      <c r="BE164" s="27"/>
      <c r="BF164" s="27">
        <v>0</v>
      </c>
      <c r="BG164" s="27"/>
      <c r="BH164" s="27">
        <f t="shared" si="170"/>
        <v>0</v>
      </c>
      <c r="BI164" s="27">
        <f t="shared" si="171"/>
        <v>0</v>
      </c>
      <c r="BJ164" s="27"/>
      <c r="BK164" s="27"/>
      <c r="BL164" s="27">
        <v>0</v>
      </c>
      <c r="BM164" s="27"/>
      <c r="BN164" s="27">
        <f t="shared" si="172"/>
        <v>0</v>
      </c>
      <c r="BO164" s="27">
        <f t="shared" si="173"/>
        <v>0</v>
      </c>
      <c r="BP164" s="26"/>
      <c r="BQ164" s="27"/>
      <c r="BR164" s="27">
        <v>0</v>
      </c>
      <c r="BS164" s="27"/>
      <c r="BT164" s="27">
        <f t="shared" si="174"/>
        <v>0</v>
      </c>
      <c r="BU164" s="27">
        <f t="shared" si="175"/>
        <v>0</v>
      </c>
      <c r="BV164" s="26"/>
      <c r="BW164" s="27"/>
      <c r="BX164" s="27">
        <v>0</v>
      </c>
      <c r="BY164" s="27"/>
      <c r="BZ164" s="27">
        <f t="shared" si="176"/>
        <v>0</v>
      </c>
      <c r="CA164" s="27">
        <f t="shared" si="177"/>
        <v>0</v>
      </c>
      <c r="CB164" s="26"/>
      <c r="CC164" s="27"/>
      <c r="CD164" s="27">
        <v>0</v>
      </c>
      <c r="CE164" s="27"/>
      <c r="CF164" s="27">
        <f t="shared" si="178"/>
        <v>0</v>
      </c>
      <c r="CG164" s="27">
        <f t="shared" si="179"/>
        <v>0</v>
      </c>
      <c r="CH164" s="26"/>
      <c r="CI164" s="27"/>
      <c r="CJ164" s="27">
        <v>0</v>
      </c>
      <c r="CK164" s="27"/>
      <c r="CL164" s="27">
        <f t="shared" si="180"/>
        <v>0</v>
      </c>
      <c r="CM164" s="27">
        <f t="shared" si="181"/>
        <v>0</v>
      </c>
      <c r="CN164" s="26"/>
      <c r="CO164" s="27"/>
      <c r="CP164" s="27">
        <v>0</v>
      </c>
      <c r="CQ164" s="27"/>
      <c r="CR164" s="27">
        <f t="shared" si="182"/>
        <v>0</v>
      </c>
      <c r="CS164" s="27">
        <f t="shared" si="183"/>
        <v>0</v>
      </c>
      <c r="CT164" s="26"/>
      <c r="CU164" s="27"/>
      <c r="CV164" s="27">
        <v>0</v>
      </c>
      <c r="CW164" s="27"/>
      <c r="CX164" s="27">
        <f t="shared" si="184"/>
        <v>0</v>
      </c>
      <c r="CY164" s="27">
        <f t="shared" si="185"/>
        <v>0</v>
      </c>
      <c r="CZ164" s="26"/>
      <c r="DA164" s="27"/>
      <c r="DB164" s="27">
        <v>0</v>
      </c>
      <c r="DC164" s="27"/>
      <c r="DD164" s="27">
        <f t="shared" si="186"/>
        <v>0</v>
      </c>
      <c r="DE164" s="27">
        <f t="shared" si="187"/>
        <v>0</v>
      </c>
      <c r="DF164" s="28">
        <f t="shared" si="188"/>
        <v>0</v>
      </c>
      <c r="DG164" s="28">
        <f t="shared" si="189"/>
        <v>0</v>
      </c>
      <c r="DH164" s="28">
        <f t="shared" si="190"/>
        <v>0</v>
      </c>
      <c r="DI164" s="28">
        <f t="shared" si="191"/>
        <v>0</v>
      </c>
      <c r="DJ164" s="27">
        <f t="shared" si="192"/>
        <v>0</v>
      </c>
      <c r="DK164" s="27">
        <f t="shared" si="193"/>
        <v>0</v>
      </c>
    </row>
    <row r="165" spans="1:115">
      <c r="A165" s="25">
        <v>157</v>
      </c>
      <c r="B165" s="26" t="s">
        <v>1161</v>
      </c>
      <c r="C165" s="26"/>
      <c r="D165" s="26"/>
      <c r="E165" s="205" t="s">
        <v>1200</v>
      </c>
      <c r="F165" s="161">
        <f t="shared" si="146"/>
        <v>0</v>
      </c>
      <c r="G165" s="165">
        <f t="shared" si="147"/>
        <v>0</v>
      </c>
      <c r="H165" s="27"/>
      <c r="I165" s="27">
        <v>0</v>
      </c>
      <c r="J165" s="27">
        <v>0</v>
      </c>
      <c r="K165" s="127">
        <f t="shared" si="148"/>
        <v>0</v>
      </c>
      <c r="L165" s="127">
        <f t="shared" si="149"/>
        <v>0</v>
      </c>
      <c r="M165" s="127">
        <f t="shared" si="150"/>
        <v>0</v>
      </c>
      <c r="N165" s="131"/>
      <c r="O165" s="125" t="str">
        <f t="shared" si="151"/>
        <v>ნულოვანი შესრულება</v>
      </c>
      <c r="P165" s="27">
        <v>0</v>
      </c>
      <c r="Q165" s="27">
        <v>0</v>
      </c>
      <c r="R165" s="27">
        <f t="shared" si="152"/>
        <v>0</v>
      </c>
      <c r="S165" s="27">
        <f t="shared" si="153"/>
        <v>0</v>
      </c>
      <c r="T165" s="27"/>
      <c r="U165" s="27"/>
      <c r="V165" s="27">
        <v>0</v>
      </c>
      <c r="W165" s="27"/>
      <c r="X165" s="27">
        <f t="shared" si="154"/>
        <v>0</v>
      </c>
      <c r="Y165" s="27">
        <f t="shared" si="155"/>
        <v>0</v>
      </c>
      <c r="Z165" s="27">
        <v>0</v>
      </c>
      <c r="AA165" s="27"/>
      <c r="AB165" s="27"/>
      <c r="AC165" s="27"/>
      <c r="AD165" s="27">
        <f t="shared" si="156"/>
        <v>0</v>
      </c>
      <c r="AE165" s="27">
        <f t="shared" si="157"/>
        <v>0</v>
      </c>
      <c r="AF165" s="27">
        <f t="shared" si="158"/>
        <v>0</v>
      </c>
      <c r="AG165" s="27">
        <f t="shared" si="159"/>
        <v>0</v>
      </c>
      <c r="AH165" s="27">
        <f t="shared" si="160"/>
        <v>0</v>
      </c>
      <c r="AI165" s="27">
        <f t="shared" si="161"/>
        <v>0</v>
      </c>
      <c r="AJ165" s="27">
        <f t="shared" si="162"/>
        <v>0</v>
      </c>
      <c r="AK165" s="27">
        <f t="shared" si="163"/>
        <v>0</v>
      </c>
      <c r="AL165" s="27"/>
      <c r="AM165" s="27"/>
      <c r="AN165" s="27">
        <v>0</v>
      </c>
      <c r="AO165" s="27"/>
      <c r="AP165" s="27">
        <f t="shared" si="164"/>
        <v>0</v>
      </c>
      <c r="AQ165" s="27">
        <f t="shared" si="165"/>
        <v>0</v>
      </c>
      <c r="AR165" s="27"/>
      <c r="AS165" s="27"/>
      <c r="AT165" s="27">
        <v>0</v>
      </c>
      <c r="AU165" s="27"/>
      <c r="AV165" s="27">
        <f t="shared" si="166"/>
        <v>0</v>
      </c>
      <c r="AW165" s="27">
        <f t="shared" si="167"/>
        <v>0</v>
      </c>
      <c r="AX165" s="27"/>
      <c r="AY165" s="27"/>
      <c r="AZ165" s="27">
        <v>0</v>
      </c>
      <c r="BA165" s="27"/>
      <c r="BB165" s="27">
        <f t="shared" si="168"/>
        <v>0</v>
      </c>
      <c r="BC165" s="27">
        <f t="shared" si="169"/>
        <v>0</v>
      </c>
      <c r="BD165" s="27"/>
      <c r="BE165" s="27"/>
      <c r="BF165" s="27">
        <v>0</v>
      </c>
      <c r="BG165" s="27"/>
      <c r="BH165" s="27">
        <f t="shared" si="170"/>
        <v>0</v>
      </c>
      <c r="BI165" s="27">
        <f t="shared" si="171"/>
        <v>0</v>
      </c>
      <c r="BJ165" s="27"/>
      <c r="BK165" s="27"/>
      <c r="BL165" s="27">
        <v>0</v>
      </c>
      <c r="BM165" s="27"/>
      <c r="BN165" s="27">
        <f t="shared" si="172"/>
        <v>0</v>
      </c>
      <c r="BO165" s="27">
        <f t="shared" si="173"/>
        <v>0</v>
      </c>
      <c r="BP165" s="26"/>
      <c r="BQ165" s="27"/>
      <c r="BR165" s="27">
        <v>0</v>
      </c>
      <c r="BS165" s="27"/>
      <c r="BT165" s="27">
        <f t="shared" si="174"/>
        <v>0</v>
      </c>
      <c r="BU165" s="27">
        <f t="shared" si="175"/>
        <v>0</v>
      </c>
      <c r="BV165" s="26"/>
      <c r="BW165" s="27"/>
      <c r="BX165" s="27">
        <v>0</v>
      </c>
      <c r="BY165" s="27"/>
      <c r="BZ165" s="27">
        <f t="shared" si="176"/>
        <v>0</v>
      </c>
      <c r="CA165" s="27">
        <f t="shared" si="177"/>
        <v>0</v>
      </c>
      <c r="CB165" s="26"/>
      <c r="CC165" s="27"/>
      <c r="CD165" s="27">
        <v>0</v>
      </c>
      <c r="CE165" s="27"/>
      <c r="CF165" s="27">
        <f t="shared" si="178"/>
        <v>0</v>
      </c>
      <c r="CG165" s="27">
        <f t="shared" si="179"/>
        <v>0</v>
      </c>
      <c r="CH165" s="26"/>
      <c r="CI165" s="27"/>
      <c r="CJ165" s="27">
        <v>0</v>
      </c>
      <c r="CK165" s="27"/>
      <c r="CL165" s="27">
        <f t="shared" si="180"/>
        <v>0</v>
      </c>
      <c r="CM165" s="27">
        <f t="shared" si="181"/>
        <v>0</v>
      </c>
      <c r="CN165" s="26"/>
      <c r="CO165" s="27"/>
      <c r="CP165" s="27">
        <v>0</v>
      </c>
      <c r="CQ165" s="27"/>
      <c r="CR165" s="27">
        <f t="shared" si="182"/>
        <v>0</v>
      </c>
      <c r="CS165" s="27">
        <f t="shared" si="183"/>
        <v>0</v>
      </c>
      <c r="CT165" s="26"/>
      <c r="CU165" s="27"/>
      <c r="CV165" s="27">
        <v>0</v>
      </c>
      <c r="CW165" s="27"/>
      <c r="CX165" s="27">
        <f t="shared" si="184"/>
        <v>0</v>
      </c>
      <c r="CY165" s="27">
        <f t="shared" si="185"/>
        <v>0</v>
      </c>
      <c r="CZ165" s="26"/>
      <c r="DA165" s="27"/>
      <c r="DB165" s="27">
        <v>0</v>
      </c>
      <c r="DC165" s="27"/>
      <c r="DD165" s="27">
        <f t="shared" si="186"/>
        <v>0</v>
      </c>
      <c r="DE165" s="27">
        <f t="shared" si="187"/>
        <v>0</v>
      </c>
      <c r="DF165" s="28">
        <f t="shared" si="188"/>
        <v>0</v>
      </c>
      <c r="DG165" s="28">
        <f t="shared" si="189"/>
        <v>0</v>
      </c>
      <c r="DH165" s="28">
        <f t="shared" si="190"/>
        <v>0</v>
      </c>
      <c r="DI165" s="28">
        <f t="shared" si="191"/>
        <v>0</v>
      </c>
      <c r="DJ165" s="27">
        <f t="shared" si="192"/>
        <v>0</v>
      </c>
      <c r="DK165" s="27">
        <f t="shared" si="193"/>
        <v>0</v>
      </c>
    </row>
    <row r="166" spans="1:115">
      <c r="A166" s="25">
        <v>158</v>
      </c>
      <c r="B166" s="26" t="s">
        <v>1161</v>
      </c>
      <c r="C166" s="26"/>
      <c r="D166" s="26"/>
      <c r="E166" s="205" t="s">
        <v>1200</v>
      </c>
      <c r="F166" s="161">
        <f t="shared" si="146"/>
        <v>0</v>
      </c>
      <c r="G166" s="165">
        <f t="shared" si="147"/>
        <v>0</v>
      </c>
      <c r="H166" s="27"/>
      <c r="I166" s="27">
        <v>0</v>
      </c>
      <c r="J166" s="27">
        <v>0</v>
      </c>
      <c r="K166" s="127">
        <f t="shared" si="148"/>
        <v>0</v>
      </c>
      <c r="L166" s="127">
        <f t="shared" si="149"/>
        <v>0</v>
      </c>
      <c r="M166" s="127">
        <f t="shared" si="150"/>
        <v>0</v>
      </c>
      <c r="N166" s="131"/>
      <c r="O166" s="125" t="str">
        <f t="shared" si="151"/>
        <v>ნულოვანი შესრულება</v>
      </c>
      <c r="P166" s="27">
        <v>0</v>
      </c>
      <c r="Q166" s="27">
        <v>0</v>
      </c>
      <c r="R166" s="27">
        <f t="shared" si="152"/>
        <v>0</v>
      </c>
      <c r="S166" s="27">
        <f t="shared" si="153"/>
        <v>0</v>
      </c>
      <c r="T166" s="27"/>
      <c r="U166" s="27"/>
      <c r="V166" s="27">
        <v>0</v>
      </c>
      <c r="W166" s="27"/>
      <c r="X166" s="27">
        <f t="shared" si="154"/>
        <v>0</v>
      </c>
      <c r="Y166" s="27">
        <f t="shared" si="155"/>
        <v>0</v>
      </c>
      <c r="Z166" s="27">
        <v>0</v>
      </c>
      <c r="AA166" s="27"/>
      <c r="AB166" s="27"/>
      <c r="AC166" s="27"/>
      <c r="AD166" s="27">
        <f t="shared" si="156"/>
        <v>0</v>
      </c>
      <c r="AE166" s="27">
        <f t="shared" si="157"/>
        <v>0</v>
      </c>
      <c r="AF166" s="27">
        <f t="shared" si="158"/>
        <v>0</v>
      </c>
      <c r="AG166" s="27">
        <f t="shared" si="159"/>
        <v>0</v>
      </c>
      <c r="AH166" s="27">
        <f t="shared" si="160"/>
        <v>0</v>
      </c>
      <c r="AI166" s="27">
        <f t="shared" si="161"/>
        <v>0</v>
      </c>
      <c r="AJ166" s="27">
        <f t="shared" si="162"/>
        <v>0</v>
      </c>
      <c r="AK166" s="27">
        <f t="shared" si="163"/>
        <v>0</v>
      </c>
      <c r="AL166" s="27"/>
      <c r="AM166" s="27"/>
      <c r="AN166" s="27">
        <v>0</v>
      </c>
      <c r="AO166" s="27"/>
      <c r="AP166" s="27">
        <f t="shared" si="164"/>
        <v>0</v>
      </c>
      <c r="AQ166" s="27">
        <f t="shared" si="165"/>
        <v>0</v>
      </c>
      <c r="AR166" s="27"/>
      <c r="AS166" s="27"/>
      <c r="AT166" s="27">
        <v>0</v>
      </c>
      <c r="AU166" s="27"/>
      <c r="AV166" s="27">
        <f t="shared" si="166"/>
        <v>0</v>
      </c>
      <c r="AW166" s="27">
        <f t="shared" si="167"/>
        <v>0</v>
      </c>
      <c r="AX166" s="27"/>
      <c r="AY166" s="27"/>
      <c r="AZ166" s="27">
        <v>0</v>
      </c>
      <c r="BA166" s="27"/>
      <c r="BB166" s="27">
        <f t="shared" si="168"/>
        <v>0</v>
      </c>
      <c r="BC166" s="27">
        <f t="shared" si="169"/>
        <v>0</v>
      </c>
      <c r="BD166" s="27"/>
      <c r="BE166" s="27"/>
      <c r="BF166" s="27">
        <v>0</v>
      </c>
      <c r="BG166" s="27"/>
      <c r="BH166" s="27">
        <f t="shared" si="170"/>
        <v>0</v>
      </c>
      <c r="BI166" s="27">
        <f t="shared" si="171"/>
        <v>0</v>
      </c>
      <c r="BJ166" s="27"/>
      <c r="BK166" s="27"/>
      <c r="BL166" s="27">
        <v>0</v>
      </c>
      <c r="BM166" s="27"/>
      <c r="BN166" s="27">
        <f t="shared" si="172"/>
        <v>0</v>
      </c>
      <c r="BO166" s="27">
        <f t="shared" si="173"/>
        <v>0</v>
      </c>
      <c r="BP166" s="26"/>
      <c r="BQ166" s="27"/>
      <c r="BR166" s="27">
        <v>0</v>
      </c>
      <c r="BS166" s="27"/>
      <c r="BT166" s="27">
        <f t="shared" si="174"/>
        <v>0</v>
      </c>
      <c r="BU166" s="27">
        <f t="shared" si="175"/>
        <v>0</v>
      </c>
      <c r="BV166" s="26"/>
      <c r="BW166" s="27"/>
      <c r="BX166" s="27">
        <v>0</v>
      </c>
      <c r="BY166" s="27"/>
      <c r="BZ166" s="27">
        <f t="shared" si="176"/>
        <v>0</v>
      </c>
      <c r="CA166" s="27">
        <f t="shared" si="177"/>
        <v>0</v>
      </c>
      <c r="CB166" s="26"/>
      <c r="CC166" s="27"/>
      <c r="CD166" s="27">
        <v>0</v>
      </c>
      <c r="CE166" s="27"/>
      <c r="CF166" s="27">
        <f t="shared" si="178"/>
        <v>0</v>
      </c>
      <c r="CG166" s="27">
        <f t="shared" si="179"/>
        <v>0</v>
      </c>
      <c r="CH166" s="26"/>
      <c r="CI166" s="27"/>
      <c r="CJ166" s="27">
        <v>0</v>
      </c>
      <c r="CK166" s="27"/>
      <c r="CL166" s="27">
        <f t="shared" si="180"/>
        <v>0</v>
      </c>
      <c r="CM166" s="27">
        <f t="shared" si="181"/>
        <v>0</v>
      </c>
      <c r="CN166" s="26"/>
      <c r="CO166" s="27"/>
      <c r="CP166" s="27">
        <v>0</v>
      </c>
      <c r="CQ166" s="27"/>
      <c r="CR166" s="27">
        <f t="shared" si="182"/>
        <v>0</v>
      </c>
      <c r="CS166" s="27">
        <f t="shared" si="183"/>
        <v>0</v>
      </c>
      <c r="CT166" s="26"/>
      <c r="CU166" s="27"/>
      <c r="CV166" s="27">
        <v>0</v>
      </c>
      <c r="CW166" s="27"/>
      <c r="CX166" s="27">
        <f t="shared" si="184"/>
        <v>0</v>
      </c>
      <c r="CY166" s="27">
        <f t="shared" si="185"/>
        <v>0</v>
      </c>
      <c r="CZ166" s="26"/>
      <c r="DA166" s="27"/>
      <c r="DB166" s="27">
        <v>0</v>
      </c>
      <c r="DC166" s="27"/>
      <c r="DD166" s="27">
        <f t="shared" si="186"/>
        <v>0</v>
      </c>
      <c r="DE166" s="27">
        <f t="shared" si="187"/>
        <v>0</v>
      </c>
      <c r="DF166" s="28">
        <f t="shared" si="188"/>
        <v>0</v>
      </c>
      <c r="DG166" s="28">
        <f t="shared" si="189"/>
        <v>0</v>
      </c>
      <c r="DH166" s="28">
        <f t="shared" si="190"/>
        <v>0</v>
      </c>
      <c r="DI166" s="28">
        <f t="shared" si="191"/>
        <v>0</v>
      </c>
      <c r="DJ166" s="27">
        <f t="shared" si="192"/>
        <v>0</v>
      </c>
      <c r="DK166" s="27">
        <f t="shared" si="193"/>
        <v>0</v>
      </c>
    </row>
    <row r="167" spans="1:115">
      <c r="A167" s="25">
        <v>159</v>
      </c>
      <c r="B167" s="26" t="s">
        <v>1161</v>
      </c>
      <c r="C167" s="26"/>
      <c r="D167" s="26"/>
      <c r="E167" s="205" t="s">
        <v>1200</v>
      </c>
      <c r="F167" s="161">
        <f t="shared" si="146"/>
        <v>0</v>
      </c>
      <c r="G167" s="165">
        <f t="shared" si="147"/>
        <v>0</v>
      </c>
      <c r="H167" s="27"/>
      <c r="I167" s="27">
        <v>0</v>
      </c>
      <c r="J167" s="27">
        <v>0</v>
      </c>
      <c r="K167" s="127">
        <f t="shared" si="148"/>
        <v>0</v>
      </c>
      <c r="L167" s="127">
        <f t="shared" si="149"/>
        <v>0</v>
      </c>
      <c r="M167" s="127">
        <f t="shared" si="150"/>
        <v>0</v>
      </c>
      <c r="N167" s="131"/>
      <c r="O167" s="125" t="str">
        <f t="shared" si="151"/>
        <v>ნულოვანი შესრულება</v>
      </c>
      <c r="P167" s="27">
        <v>0</v>
      </c>
      <c r="Q167" s="27">
        <v>0</v>
      </c>
      <c r="R167" s="27">
        <f t="shared" si="152"/>
        <v>0</v>
      </c>
      <c r="S167" s="27">
        <f t="shared" si="153"/>
        <v>0</v>
      </c>
      <c r="T167" s="27"/>
      <c r="U167" s="27"/>
      <c r="V167" s="27">
        <v>0</v>
      </c>
      <c r="W167" s="27"/>
      <c r="X167" s="27">
        <f t="shared" si="154"/>
        <v>0</v>
      </c>
      <c r="Y167" s="27">
        <f t="shared" si="155"/>
        <v>0</v>
      </c>
      <c r="Z167" s="27">
        <v>0</v>
      </c>
      <c r="AA167" s="27"/>
      <c r="AB167" s="27"/>
      <c r="AC167" s="27"/>
      <c r="AD167" s="27">
        <f t="shared" si="156"/>
        <v>0</v>
      </c>
      <c r="AE167" s="27">
        <f t="shared" si="157"/>
        <v>0</v>
      </c>
      <c r="AF167" s="27">
        <f t="shared" si="158"/>
        <v>0</v>
      </c>
      <c r="AG167" s="27">
        <f t="shared" si="159"/>
        <v>0</v>
      </c>
      <c r="AH167" s="27">
        <f t="shared" si="160"/>
        <v>0</v>
      </c>
      <c r="AI167" s="27">
        <f t="shared" si="161"/>
        <v>0</v>
      </c>
      <c r="AJ167" s="27">
        <f t="shared" si="162"/>
        <v>0</v>
      </c>
      <c r="AK167" s="27">
        <f t="shared" si="163"/>
        <v>0</v>
      </c>
      <c r="AL167" s="27"/>
      <c r="AM167" s="27"/>
      <c r="AN167" s="27">
        <v>0</v>
      </c>
      <c r="AO167" s="27"/>
      <c r="AP167" s="27">
        <f t="shared" si="164"/>
        <v>0</v>
      </c>
      <c r="AQ167" s="27">
        <f t="shared" si="165"/>
        <v>0</v>
      </c>
      <c r="AR167" s="27"/>
      <c r="AS167" s="27"/>
      <c r="AT167" s="27">
        <v>0</v>
      </c>
      <c r="AU167" s="27"/>
      <c r="AV167" s="27">
        <f t="shared" si="166"/>
        <v>0</v>
      </c>
      <c r="AW167" s="27">
        <f t="shared" si="167"/>
        <v>0</v>
      </c>
      <c r="AX167" s="27"/>
      <c r="AY167" s="27"/>
      <c r="AZ167" s="27">
        <v>0</v>
      </c>
      <c r="BA167" s="27"/>
      <c r="BB167" s="27">
        <f t="shared" si="168"/>
        <v>0</v>
      </c>
      <c r="BC167" s="27">
        <f t="shared" si="169"/>
        <v>0</v>
      </c>
      <c r="BD167" s="27"/>
      <c r="BE167" s="27"/>
      <c r="BF167" s="27">
        <v>0</v>
      </c>
      <c r="BG167" s="27"/>
      <c r="BH167" s="27">
        <f t="shared" si="170"/>
        <v>0</v>
      </c>
      <c r="BI167" s="27">
        <f t="shared" si="171"/>
        <v>0</v>
      </c>
      <c r="BJ167" s="27"/>
      <c r="BK167" s="27"/>
      <c r="BL167" s="27">
        <v>0</v>
      </c>
      <c r="BM167" s="27"/>
      <c r="BN167" s="27">
        <f t="shared" si="172"/>
        <v>0</v>
      </c>
      <c r="BO167" s="27">
        <f t="shared" si="173"/>
        <v>0</v>
      </c>
      <c r="BP167" s="26"/>
      <c r="BQ167" s="27"/>
      <c r="BR167" s="27">
        <v>0</v>
      </c>
      <c r="BS167" s="27"/>
      <c r="BT167" s="27">
        <f t="shared" si="174"/>
        <v>0</v>
      </c>
      <c r="BU167" s="27">
        <f t="shared" si="175"/>
        <v>0</v>
      </c>
      <c r="BV167" s="26"/>
      <c r="BW167" s="27"/>
      <c r="BX167" s="27">
        <v>0</v>
      </c>
      <c r="BY167" s="27"/>
      <c r="BZ167" s="27">
        <f t="shared" si="176"/>
        <v>0</v>
      </c>
      <c r="CA167" s="27">
        <f t="shared" si="177"/>
        <v>0</v>
      </c>
      <c r="CB167" s="26"/>
      <c r="CC167" s="27"/>
      <c r="CD167" s="27">
        <v>0</v>
      </c>
      <c r="CE167" s="27"/>
      <c r="CF167" s="27">
        <f t="shared" si="178"/>
        <v>0</v>
      </c>
      <c r="CG167" s="27">
        <f t="shared" si="179"/>
        <v>0</v>
      </c>
      <c r="CH167" s="26"/>
      <c r="CI167" s="27"/>
      <c r="CJ167" s="27">
        <v>0</v>
      </c>
      <c r="CK167" s="27"/>
      <c r="CL167" s="27">
        <f t="shared" si="180"/>
        <v>0</v>
      </c>
      <c r="CM167" s="27">
        <f t="shared" si="181"/>
        <v>0</v>
      </c>
      <c r="CN167" s="26"/>
      <c r="CO167" s="27"/>
      <c r="CP167" s="27">
        <v>0</v>
      </c>
      <c r="CQ167" s="27"/>
      <c r="CR167" s="27">
        <f t="shared" si="182"/>
        <v>0</v>
      </c>
      <c r="CS167" s="27">
        <f t="shared" si="183"/>
        <v>0</v>
      </c>
      <c r="CT167" s="26"/>
      <c r="CU167" s="27"/>
      <c r="CV167" s="27">
        <v>0</v>
      </c>
      <c r="CW167" s="27"/>
      <c r="CX167" s="27">
        <f t="shared" si="184"/>
        <v>0</v>
      </c>
      <c r="CY167" s="27">
        <f t="shared" si="185"/>
        <v>0</v>
      </c>
      <c r="CZ167" s="26"/>
      <c r="DA167" s="27"/>
      <c r="DB167" s="27">
        <v>0</v>
      </c>
      <c r="DC167" s="27"/>
      <c r="DD167" s="27">
        <f t="shared" si="186"/>
        <v>0</v>
      </c>
      <c r="DE167" s="27">
        <f t="shared" si="187"/>
        <v>0</v>
      </c>
      <c r="DF167" s="28">
        <f t="shared" si="188"/>
        <v>0</v>
      </c>
      <c r="DG167" s="28">
        <f t="shared" si="189"/>
        <v>0</v>
      </c>
      <c r="DH167" s="28">
        <f t="shared" si="190"/>
        <v>0</v>
      </c>
      <c r="DI167" s="28">
        <f t="shared" si="191"/>
        <v>0</v>
      </c>
      <c r="DJ167" s="27">
        <f t="shared" si="192"/>
        <v>0</v>
      </c>
      <c r="DK167" s="27">
        <f t="shared" si="193"/>
        <v>0</v>
      </c>
    </row>
    <row r="168" spans="1:115">
      <c r="A168" s="25">
        <v>160</v>
      </c>
      <c r="B168" s="26" t="s">
        <v>1161</v>
      </c>
      <c r="C168" s="26"/>
      <c r="D168" s="26"/>
      <c r="E168" s="205" t="s">
        <v>1200</v>
      </c>
      <c r="F168" s="161">
        <f t="shared" si="146"/>
        <v>0</v>
      </c>
      <c r="G168" s="165">
        <f t="shared" si="147"/>
        <v>0</v>
      </c>
      <c r="H168" s="27"/>
      <c r="I168" s="27">
        <v>0</v>
      </c>
      <c r="J168" s="27">
        <v>0</v>
      </c>
      <c r="K168" s="127">
        <f t="shared" si="148"/>
        <v>0</v>
      </c>
      <c r="L168" s="127">
        <f t="shared" si="149"/>
        <v>0</v>
      </c>
      <c r="M168" s="127">
        <f t="shared" si="150"/>
        <v>0</v>
      </c>
      <c r="N168" s="131"/>
      <c r="O168" s="125" t="str">
        <f t="shared" si="151"/>
        <v>ნულოვანი შესრულება</v>
      </c>
      <c r="P168" s="27">
        <v>0</v>
      </c>
      <c r="Q168" s="27">
        <v>0</v>
      </c>
      <c r="R168" s="27">
        <f t="shared" si="152"/>
        <v>0</v>
      </c>
      <c r="S168" s="27">
        <f t="shared" si="153"/>
        <v>0</v>
      </c>
      <c r="T168" s="27"/>
      <c r="U168" s="27"/>
      <c r="V168" s="27">
        <v>0</v>
      </c>
      <c r="W168" s="27"/>
      <c r="X168" s="27">
        <f t="shared" si="154"/>
        <v>0</v>
      </c>
      <c r="Y168" s="27">
        <f t="shared" si="155"/>
        <v>0</v>
      </c>
      <c r="Z168" s="27">
        <v>0</v>
      </c>
      <c r="AA168" s="27"/>
      <c r="AB168" s="27"/>
      <c r="AC168" s="27"/>
      <c r="AD168" s="27">
        <f t="shared" si="156"/>
        <v>0</v>
      </c>
      <c r="AE168" s="27">
        <f t="shared" si="157"/>
        <v>0</v>
      </c>
      <c r="AF168" s="27">
        <f t="shared" si="158"/>
        <v>0</v>
      </c>
      <c r="AG168" s="27">
        <f t="shared" si="159"/>
        <v>0</v>
      </c>
      <c r="AH168" s="27">
        <f t="shared" si="160"/>
        <v>0</v>
      </c>
      <c r="AI168" s="27">
        <f t="shared" si="161"/>
        <v>0</v>
      </c>
      <c r="AJ168" s="27">
        <f t="shared" si="162"/>
        <v>0</v>
      </c>
      <c r="AK168" s="27">
        <f t="shared" si="163"/>
        <v>0</v>
      </c>
      <c r="AL168" s="27"/>
      <c r="AM168" s="27"/>
      <c r="AN168" s="27">
        <v>0</v>
      </c>
      <c r="AO168" s="27"/>
      <c r="AP168" s="27">
        <f t="shared" si="164"/>
        <v>0</v>
      </c>
      <c r="AQ168" s="27">
        <f t="shared" si="165"/>
        <v>0</v>
      </c>
      <c r="AR168" s="27"/>
      <c r="AS168" s="27"/>
      <c r="AT168" s="27">
        <v>0</v>
      </c>
      <c r="AU168" s="27"/>
      <c r="AV168" s="27">
        <f t="shared" si="166"/>
        <v>0</v>
      </c>
      <c r="AW168" s="27">
        <f t="shared" si="167"/>
        <v>0</v>
      </c>
      <c r="AX168" s="27"/>
      <c r="AY168" s="27"/>
      <c r="AZ168" s="27">
        <v>0</v>
      </c>
      <c r="BA168" s="27"/>
      <c r="BB168" s="27">
        <f t="shared" si="168"/>
        <v>0</v>
      </c>
      <c r="BC168" s="27">
        <f t="shared" si="169"/>
        <v>0</v>
      </c>
      <c r="BD168" s="27"/>
      <c r="BE168" s="27"/>
      <c r="BF168" s="27">
        <v>0</v>
      </c>
      <c r="BG168" s="27"/>
      <c r="BH168" s="27">
        <f t="shared" si="170"/>
        <v>0</v>
      </c>
      <c r="BI168" s="27">
        <f t="shared" si="171"/>
        <v>0</v>
      </c>
      <c r="BJ168" s="27"/>
      <c r="BK168" s="27"/>
      <c r="BL168" s="27">
        <v>0</v>
      </c>
      <c r="BM168" s="27"/>
      <c r="BN168" s="27">
        <f t="shared" si="172"/>
        <v>0</v>
      </c>
      <c r="BO168" s="27">
        <f t="shared" si="173"/>
        <v>0</v>
      </c>
      <c r="BP168" s="26"/>
      <c r="BQ168" s="27"/>
      <c r="BR168" s="27">
        <v>0</v>
      </c>
      <c r="BS168" s="27"/>
      <c r="BT168" s="27">
        <f t="shared" si="174"/>
        <v>0</v>
      </c>
      <c r="BU168" s="27">
        <f t="shared" si="175"/>
        <v>0</v>
      </c>
      <c r="BV168" s="26"/>
      <c r="BW168" s="27"/>
      <c r="BX168" s="27">
        <v>0</v>
      </c>
      <c r="BY168" s="27"/>
      <c r="BZ168" s="27">
        <f t="shared" si="176"/>
        <v>0</v>
      </c>
      <c r="CA168" s="27">
        <f t="shared" si="177"/>
        <v>0</v>
      </c>
      <c r="CB168" s="26"/>
      <c r="CC168" s="27"/>
      <c r="CD168" s="27">
        <v>0</v>
      </c>
      <c r="CE168" s="27"/>
      <c r="CF168" s="27">
        <f t="shared" si="178"/>
        <v>0</v>
      </c>
      <c r="CG168" s="27">
        <f t="shared" si="179"/>
        <v>0</v>
      </c>
      <c r="CH168" s="26"/>
      <c r="CI168" s="27"/>
      <c r="CJ168" s="27">
        <v>0</v>
      </c>
      <c r="CK168" s="27"/>
      <c r="CL168" s="27">
        <f t="shared" si="180"/>
        <v>0</v>
      </c>
      <c r="CM168" s="27">
        <f t="shared" si="181"/>
        <v>0</v>
      </c>
      <c r="CN168" s="26"/>
      <c r="CO168" s="27"/>
      <c r="CP168" s="27">
        <v>0</v>
      </c>
      <c r="CQ168" s="27"/>
      <c r="CR168" s="27">
        <f t="shared" si="182"/>
        <v>0</v>
      </c>
      <c r="CS168" s="27">
        <f t="shared" si="183"/>
        <v>0</v>
      </c>
      <c r="CT168" s="26"/>
      <c r="CU168" s="27"/>
      <c r="CV168" s="27">
        <v>0</v>
      </c>
      <c r="CW168" s="27"/>
      <c r="CX168" s="27">
        <f t="shared" si="184"/>
        <v>0</v>
      </c>
      <c r="CY168" s="27">
        <f t="shared" si="185"/>
        <v>0</v>
      </c>
      <c r="CZ168" s="26"/>
      <c r="DA168" s="27"/>
      <c r="DB168" s="27">
        <v>0</v>
      </c>
      <c r="DC168" s="27"/>
      <c r="DD168" s="27">
        <f t="shared" si="186"/>
        <v>0</v>
      </c>
      <c r="DE168" s="27">
        <f t="shared" si="187"/>
        <v>0</v>
      </c>
      <c r="DF168" s="28">
        <f t="shared" si="188"/>
        <v>0</v>
      </c>
      <c r="DG168" s="28">
        <f t="shared" si="189"/>
        <v>0</v>
      </c>
      <c r="DH168" s="28">
        <f t="shared" si="190"/>
        <v>0</v>
      </c>
      <c r="DI168" s="28">
        <f t="shared" si="191"/>
        <v>0</v>
      </c>
      <c r="DJ168" s="27">
        <f t="shared" si="192"/>
        <v>0</v>
      </c>
      <c r="DK168" s="27">
        <f t="shared" si="193"/>
        <v>0</v>
      </c>
    </row>
    <row r="169" spans="1:115">
      <c r="A169" s="25">
        <v>161</v>
      </c>
      <c r="B169" s="26" t="s">
        <v>1161</v>
      </c>
      <c r="C169" s="26"/>
      <c r="D169" s="26"/>
      <c r="E169" s="205" t="s">
        <v>1200</v>
      </c>
      <c r="F169" s="161">
        <f t="shared" si="146"/>
        <v>0</v>
      </c>
      <c r="G169" s="165">
        <f t="shared" si="147"/>
        <v>0</v>
      </c>
      <c r="H169" s="27"/>
      <c r="I169" s="27">
        <v>0</v>
      </c>
      <c r="J169" s="27">
        <v>0</v>
      </c>
      <c r="K169" s="127">
        <f t="shared" si="148"/>
        <v>0</v>
      </c>
      <c r="L169" s="127">
        <f t="shared" si="149"/>
        <v>0</v>
      </c>
      <c r="M169" s="127">
        <f t="shared" si="150"/>
        <v>0</v>
      </c>
      <c r="N169" s="131"/>
      <c r="O169" s="125" t="str">
        <f t="shared" si="151"/>
        <v>ნულოვანი შესრულება</v>
      </c>
      <c r="P169" s="27">
        <v>0</v>
      </c>
      <c r="Q169" s="27">
        <v>0</v>
      </c>
      <c r="R169" s="27">
        <f t="shared" si="152"/>
        <v>0</v>
      </c>
      <c r="S169" s="27">
        <f t="shared" si="153"/>
        <v>0</v>
      </c>
      <c r="T169" s="27"/>
      <c r="U169" s="27"/>
      <c r="V169" s="27">
        <v>0</v>
      </c>
      <c r="W169" s="27"/>
      <c r="X169" s="27">
        <f t="shared" si="154"/>
        <v>0</v>
      </c>
      <c r="Y169" s="27">
        <f t="shared" si="155"/>
        <v>0</v>
      </c>
      <c r="Z169" s="27">
        <v>0</v>
      </c>
      <c r="AA169" s="27"/>
      <c r="AB169" s="27"/>
      <c r="AC169" s="27"/>
      <c r="AD169" s="27">
        <f t="shared" si="156"/>
        <v>0</v>
      </c>
      <c r="AE169" s="27">
        <f t="shared" si="157"/>
        <v>0</v>
      </c>
      <c r="AF169" s="27">
        <f t="shared" si="158"/>
        <v>0</v>
      </c>
      <c r="AG169" s="27">
        <f t="shared" si="159"/>
        <v>0</v>
      </c>
      <c r="AH169" s="27">
        <f t="shared" si="160"/>
        <v>0</v>
      </c>
      <c r="AI169" s="27">
        <f t="shared" si="161"/>
        <v>0</v>
      </c>
      <c r="AJ169" s="27">
        <f t="shared" si="162"/>
        <v>0</v>
      </c>
      <c r="AK169" s="27">
        <f t="shared" si="163"/>
        <v>0</v>
      </c>
      <c r="AL169" s="27"/>
      <c r="AM169" s="27"/>
      <c r="AN169" s="27">
        <v>0</v>
      </c>
      <c r="AO169" s="27"/>
      <c r="AP169" s="27">
        <f t="shared" si="164"/>
        <v>0</v>
      </c>
      <c r="AQ169" s="27">
        <f t="shared" si="165"/>
        <v>0</v>
      </c>
      <c r="AR169" s="27"/>
      <c r="AS169" s="27"/>
      <c r="AT169" s="27">
        <v>0</v>
      </c>
      <c r="AU169" s="27"/>
      <c r="AV169" s="27">
        <f t="shared" si="166"/>
        <v>0</v>
      </c>
      <c r="AW169" s="27">
        <f t="shared" si="167"/>
        <v>0</v>
      </c>
      <c r="AX169" s="27"/>
      <c r="AY169" s="27"/>
      <c r="AZ169" s="27">
        <v>0</v>
      </c>
      <c r="BA169" s="27"/>
      <c r="BB169" s="27">
        <f t="shared" si="168"/>
        <v>0</v>
      </c>
      <c r="BC169" s="27">
        <f t="shared" si="169"/>
        <v>0</v>
      </c>
      <c r="BD169" s="27"/>
      <c r="BE169" s="27"/>
      <c r="BF169" s="27">
        <v>0</v>
      </c>
      <c r="BG169" s="27"/>
      <c r="BH169" s="27">
        <f t="shared" si="170"/>
        <v>0</v>
      </c>
      <c r="BI169" s="27">
        <f t="shared" si="171"/>
        <v>0</v>
      </c>
      <c r="BJ169" s="27"/>
      <c r="BK169" s="27"/>
      <c r="BL169" s="27">
        <v>0</v>
      </c>
      <c r="BM169" s="27"/>
      <c r="BN169" s="27">
        <f t="shared" si="172"/>
        <v>0</v>
      </c>
      <c r="BO169" s="27">
        <f t="shared" si="173"/>
        <v>0</v>
      </c>
      <c r="BP169" s="26"/>
      <c r="BQ169" s="27"/>
      <c r="BR169" s="27">
        <v>0</v>
      </c>
      <c r="BS169" s="27"/>
      <c r="BT169" s="27">
        <f t="shared" si="174"/>
        <v>0</v>
      </c>
      <c r="BU169" s="27">
        <f t="shared" si="175"/>
        <v>0</v>
      </c>
      <c r="BV169" s="26"/>
      <c r="BW169" s="27"/>
      <c r="BX169" s="27">
        <v>0</v>
      </c>
      <c r="BY169" s="27"/>
      <c r="BZ169" s="27">
        <f t="shared" si="176"/>
        <v>0</v>
      </c>
      <c r="CA169" s="27">
        <f t="shared" si="177"/>
        <v>0</v>
      </c>
      <c r="CB169" s="26"/>
      <c r="CC169" s="27"/>
      <c r="CD169" s="27">
        <v>0</v>
      </c>
      <c r="CE169" s="27"/>
      <c r="CF169" s="27">
        <f t="shared" si="178"/>
        <v>0</v>
      </c>
      <c r="CG169" s="27">
        <f t="shared" si="179"/>
        <v>0</v>
      </c>
      <c r="CH169" s="26"/>
      <c r="CI169" s="27"/>
      <c r="CJ169" s="27">
        <v>0</v>
      </c>
      <c r="CK169" s="27"/>
      <c r="CL169" s="27">
        <f t="shared" si="180"/>
        <v>0</v>
      </c>
      <c r="CM169" s="27">
        <f t="shared" si="181"/>
        <v>0</v>
      </c>
      <c r="CN169" s="26"/>
      <c r="CO169" s="27"/>
      <c r="CP169" s="27">
        <v>0</v>
      </c>
      <c r="CQ169" s="27"/>
      <c r="CR169" s="27">
        <f t="shared" si="182"/>
        <v>0</v>
      </c>
      <c r="CS169" s="27">
        <f t="shared" si="183"/>
        <v>0</v>
      </c>
      <c r="CT169" s="26"/>
      <c r="CU169" s="27"/>
      <c r="CV169" s="27">
        <v>0</v>
      </c>
      <c r="CW169" s="27"/>
      <c r="CX169" s="27">
        <f t="shared" si="184"/>
        <v>0</v>
      </c>
      <c r="CY169" s="27">
        <f t="shared" si="185"/>
        <v>0</v>
      </c>
      <c r="CZ169" s="26"/>
      <c r="DA169" s="27"/>
      <c r="DB169" s="27">
        <v>0</v>
      </c>
      <c r="DC169" s="27"/>
      <c r="DD169" s="27">
        <f t="shared" si="186"/>
        <v>0</v>
      </c>
      <c r="DE169" s="27">
        <f t="shared" si="187"/>
        <v>0</v>
      </c>
      <c r="DF169" s="28">
        <f t="shared" si="188"/>
        <v>0</v>
      </c>
      <c r="DG169" s="28">
        <f t="shared" si="189"/>
        <v>0</v>
      </c>
      <c r="DH169" s="28">
        <f t="shared" si="190"/>
        <v>0</v>
      </c>
      <c r="DI169" s="28">
        <f t="shared" si="191"/>
        <v>0</v>
      </c>
      <c r="DJ169" s="27">
        <f t="shared" si="192"/>
        <v>0</v>
      </c>
      <c r="DK169" s="27">
        <f t="shared" si="193"/>
        <v>0</v>
      </c>
    </row>
    <row r="170" spans="1:115">
      <c r="A170" s="25">
        <v>162</v>
      </c>
      <c r="B170" s="26" t="s">
        <v>1161</v>
      </c>
      <c r="C170" s="26"/>
      <c r="D170" s="26"/>
      <c r="E170" s="205" t="s">
        <v>1200</v>
      </c>
      <c r="F170" s="161">
        <f t="shared" si="146"/>
        <v>0</v>
      </c>
      <c r="G170" s="165">
        <f t="shared" si="147"/>
        <v>0</v>
      </c>
      <c r="H170" s="27"/>
      <c r="I170" s="27">
        <v>0</v>
      </c>
      <c r="J170" s="27">
        <v>0</v>
      </c>
      <c r="K170" s="127">
        <f t="shared" si="148"/>
        <v>0</v>
      </c>
      <c r="L170" s="127">
        <f t="shared" si="149"/>
        <v>0</v>
      </c>
      <c r="M170" s="127">
        <f t="shared" si="150"/>
        <v>0</v>
      </c>
      <c r="N170" s="131"/>
      <c r="O170" s="125" t="str">
        <f t="shared" si="151"/>
        <v>ნულოვანი შესრულება</v>
      </c>
      <c r="P170" s="27">
        <v>0</v>
      </c>
      <c r="Q170" s="27">
        <v>0</v>
      </c>
      <c r="R170" s="27">
        <f t="shared" si="152"/>
        <v>0</v>
      </c>
      <c r="S170" s="27">
        <f t="shared" si="153"/>
        <v>0</v>
      </c>
      <c r="T170" s="27"/>
      <c r="U170" s="27"/>
      <c r="V170" s="27">
        <v>0</v>
      </c>
      <c r="W170" s="27"/>
      <c r="X170" s="27">
        <f t="shared" si="154"/>
        <v>0</v>
      </c>
      <c r="Y170" s="27">
        <f t="shared" si="155"/>
        <v>0</v>
      </c>
      <c r="Z170" s="27">
        <v>0</v>
      </c>
      <c r="AA170" s="27"/>
      <c r="AB170" s="27"/>
      <c r="AC170" s="27"/>
      <c r="AD170" s="27">
        <f t="shared" si="156"/>
        <v>0</v>
      </c>
      <c r="AE170" s="27">
        <f t="shared" si="157"/>
        <v>0</v>
      </c>
      <c r="AF170" s="27">
        <f t="shared" si="158"/>
        <v>0</v>
      </c>
      <c r="AG170" s="27">
        <f t="shared" si="159"/>
        <v>0</v>
      </c>
      <c r="AH170" s="27">
        <f t="shared" si="160"/>
        <v>0</v>
      </c>
      <c r="AI170" s="27">
        <f t="shared" si="161"/>
        <v>0</v>
      </c>
      <c r="AJ170" s="27">
        <f t="shared" si="162"/>
        <v>0</v>
      </c>
      <c r="AK170" s="27">
        <f t="shared" si="163"/>
        <v>0</v>
      </c>
      <c r="AL170" s="27"/>
      <c r="AM170" s="27"/>
      <c r="AN170" s="27">
        <v>0</v>
      </c>
      <c r="AO170" s="27"/>
      <c r="AP170" s="27">
        <f t="shared" si="164"/>
        <v>0</v>
      </c>
      <c r="AQ170" s="27">
        <f t="shared" si="165"/>
        <v>0</v>
      </c>
      <c r="AR170" s="27"/>
      <c r="AS170" s="27"/>
      <c r="AT170" s="27">
        <v>0</v>
      </c>
      <c r="AU170" s="27"/>
      <c r="AV170" s="27">
        <f t="shared" si="166"/>
        <v>0</v>
      </c>
      <c r="AW170" s="27">
        <f t="shared" si="167"/>
        <v>0</v>
      </c>
      <c r="AX170" s="27"/>
      <c r="AY170" s="27"/>
      <c r="AZ170" s="27">
        <v>0</v>
      </c>
      <c r="BA170" s="27"/>
      <c r="BB170" s="27">
        <f t="shared" si="168"/>
        <v>0</v>
      </c>
      <c r="BC170" s="27">
        <f t="shared" si="169"/>
        <v>0</v>
      </c>
      <c r="BD170" s="27"/>
      <c r="BE170" s="27"/>
      <c r="BF170" s="27">
        <v>0</v>
      </c>
      <c r="BG170" s="27"/>
      <c r="BH170" s="27">
        <f t="shared" si="170"/>
        <v>0</v>
      </c>
      <c r="BI170" s="27">
        <f t="shared" si="171"/>
        <v>0</v>
      </c>
      <c r="BJ170" s="27"/>
      <c r="BK170" s="27"/>
      <c r="BL170" s="27">
        <v>0</v>
      </c>
      <c r="BM170" s="27"/>
      <c r="BN170" s="27">
        <f t="shared" si="172"/>
        <v>0</v>
      </c>
      <c r="BO170" s="27">
        <f t="shared" si="173"/>
        <v>0</v>
      </c>
      <c r="BP170" s="26"/>
      <c r="BQ170" s="27"/>
      <c r="BR170" s="27">
        <v>0</v>
      </c>
      <c r="BS170" s="27"/>
      <c r="BT170" s="27">
        <f t="shared" si="174"/>
        <v>0</v>
      </c>
      <c r="BU170" s="27">
        <f t="shared" si="175"/>
        <v>0</v>
      </c>
      <c r="BV170" s="26"/>
      <c r="BW170" s="27"/>
      <c r="BX170" s="27">
        <v>0</v>
      </c>
      <c r="BY170" s="27"/>
      <c r="BZ170" s="27">
        <f t="shared" si="176"/>
        <v>0</v>
      </c>
      <c r="CA170" s="27">
        <f t="shared" si="177"/>
        <v>0</v>
      </c>
      <c r="CB170" s="26"/>
      <c r="CC170" s="27"/>
      <c r="CD170" s="27">
        <v>0</v>
      </c>
      <c r="CE170" s="27"/>
      <c r="CF170" s="27">
        <f t="shared" si="178"/>
        <v>0</v>
      </c>
      <c r="CG170" s="27">
        <f t="shared" si="179"/>
        <v>0</v>
      </c>
      <c r="CH170" s="26"/>
      <c r="CI170" s="27"/>
      <c r="CJ170" s="27">
        <v>0</v>
      </c>
      <c r="CK170" s="27"/>
      <c r="CL170" s="27">
        <f t="shared" si="180"/>
        <v>0</v>
      </c>
      <c r="CM170" s="27">
        <f t="shared" si="181"/>
        <v>0</v>
      </c>
      <c r="CN170" s="26"/>
      <c r="CO170" s="27"/>
      <c r="CP170" s="27">
        <v>0</v>
      </c>
      <c r="CQ170" s="27"/>
      <c r="CR170" s="27">
        <f t="shared" si="182"/>
        <v>0</v>
      </c>
      <c r="CS170" s="27">
        <f t="shared" si="183"/>
        <v>0</v>
      </c>
      <c r="CT170" s="26"/>
      <c r="CU170" s="27"/>
      <c r="CV170" s="27">
        <v>0</v>
      </c>
      <c r="CW170" s="27"/>
      <c r="CX170" s="27">
        <f t="shared" si="184"/>
        <v>0</v>
      </c>
      <c r="CY170" s="27">
        <f t="shared" si="185"/>
        <v>0</v>
      </c>
      <c r="CZ170" s="26"/>
      <c r="DA170" s="27"/>
      <c r="DB170" s="27">
        <v>0</v>
      </c>
      <c r="DC170" s="27"/>
      <c r="DD170" s="27">
        <f t="shared" si="186"/>
        <v>0</v>
      </c>
      <c r="DE170" s="27">
        <f t="shared" si="187"/>
        <v>0</v>
      </c>
      <c r="DF170" s="28">
        <f t="shared" si="188"/>
        <v>0</v>
      </c>
      <c r="DG170" s="28">
        <f t="shared" si="189"/>
        <v>0</v>
      </c>
      <c r="DH170" s="28">
        <f t="shared" si="190"/>
        <v>0</v>
      </c>
      <c r="DI170" s="28">
        <f t="shared" si="191"/>
        <v>0</v>
      </c>
      <c r="DJ170" s="27">
        <f t="shared" si="192"/>
        <v>0</v>
      </c>
      <c r="DK170" s="27">
        <f t="shared" si="193"/>
        <v>0</v>
      </c>
    </row>
    <row r="171" spans="1:115">
      <c r="A171" s="25">
        <v>163</v>
      </c>
      <c r="B171" s="26" t="s">
        <v>1161</v>
      </c>
      <c r="C171" s="26"/>
      <c r="D171" s="26"/>
      <c r="E171" s="205" t="s">
        <v>1200</v>
      </c>
      <c r="F171" s="161">
        <f t="shared" si="146"/>
        <v>0</v>
      </c>
      <c r="G171" s="165">
        <f t="shared" si="147"/>
        <v>0</v>
      </c>
      <c r="H171" s="27"/>
      <c r="I171" s="27">
        <v>0</v>
      </c>
      <c r="J171" s="27">
        <v>0</v>
      </c>
      <c r="K171" s="127">
        <f t="shared" si="148"/>
        <v>0</v>
      </c>
      <c r="L171" s="127">
        <f t="shared" si="149"/>
        <v>0</v>
      </c>
      <c r="M171" s="127">
        <f t="shared" si="150"/>
        <v>0</v>
      </c>
      <c r="N171" s="131"/>
      <c r="O171" s="125" t="str">
        <f t="shared" si="151"/>
        <v>ნულოვანი შესრულება</v>
      </c>
      <c r="P171" s="27">
        <v>0</v>
      </c>
      <c r="Q171" s="27">
        <v>0</v>
      </c>
      <c r="R171" s="27">
        <f t="shared" si="152"/>
        <v>0</v>
      </c>
      <c r="S171" s="27">
        <f t="shared" si="153"/>
        <v>0</v>
      </c>
      <c r="T171" s="27"/>
      <c r="U171" s="27"/>
      <c r="V171" s="27">
        <v>0</v>
      </c>
      <c r="W171" s="27"/>
      <c r="X171" s="27">
        <f t="shared" si="154"/>
        <v>0</v>
      </c>
      <c r="Y171" s="27">
        <f t="shared" si="155"/>
        <v>0</v>
      </c>
      <c r="Z171" s="27">
        <v>0</v>
      </c>
      <c r="AA171" s="27"/>
      <c r="AB171" s="27"/>
      <c r="AC171" s="27"/>
      <c r="AD171" s="27">
        <f t="shared" si="156"/>
        <v>0</v>
      </c>
      <c r="AE171" s="27">
        <f t="shared" si="157"/>
        <v>0</v>
      </c>
      <c r="AF171" s="27">
        <f t="shared" si="158"/>
        <v>0</v>
      </c>
      <c r="AG171" s="27">
        <f t="shared" si="159"/>
        <v>0</v>
      </c>
      <c r="AH171" s="27">
        <f t="shared" si="160"/>
        <v>0</v>
      </c>
      <c r="AI171" s="27">
        <f t="shared" si="161"/>
        <v>0</v>
      </c>
      <c r="AJ171" s="27">
        <f t="shared" si="162"/>
        <v>0</v>
      </c>
      <c r="AK171" s="27">
        <f t="shared" si="163"/>
        <v>0</v>
      </c>
      <c r="AL171" s="27"/>
      <c r="AM171" s="27"/>
      <c r="AN171" s="27">
        <v>0</v>
      </c>
      <c r="AO171" s="27"/>
      <c r="AP171" s="27">
        <f t="shared" si="164"/>
        <v>0</v>
      </c>
      <c r="AQ171" s="27">
        <f t="shared" si="165"/>
        <v>0</v>
      </c>
      <c r="AR171" s="27"/>
      <c r="AS171" s="27"/>
      <c r="AT171" s="27">
        <v>0</v>
      </c>
      <c r="AU171" s="27"/>
      <c r="AV171" s="27">
        <f t="shared" si="166"/>
        <v>0</v>
      </c>
      <c r="AW171" s="27">
        <f t="shared" si="167"/>
        <v>0</v>
      </c>
      <c r="AX171" s="27"/>
      <c r="AY171" s="27"/>
      <c r="AZ171" s="27">
        <v>0</v>
      </c>
      <c r="BA171" s="27"/>
      <c r="BB171" s="27">
        <f t="shared" si="168"/>
        <v>0</v>
      </c>
      <c r="BC171" s="27">
        <f t="shared" si="169"/>
        <v>0</v>
      </c>
      <c r="BD171" s="27"/>
      <c r="BE171" s="27"/>
      <c r="BF171" s="27">
        <v>0</v>
      </c>
      <c r="BG171" s="27"/>
      <c r="BH171" s="27">
        <f t="shared" si="170"/>
        <v>0</v>
      </c>
      <c r="BI171" s="27">
        <f t="shared" si="171"/>
        <v>0</v>
      </c>
      <c r="BJ171" s="27"/>
      <c r="BK171" s="27"/>
      <c r="BL171" s="27">
        <v>0</v>
      </c>
      <c r="BM171" s="27"/>
      <c r="BN171" s="27">
        <f t="shared" si="172"/>
        <v>0</v>
      </c>
      <c r="BO171" s="27">
        <f t="shared" si="173"/>
        <v>0</v>
      </c>
      <c r="BP171" s="26"/>
      <c r="BQ171" s="27"/>
      <c r="BR171" s="27">
        <v>0</v>
      </c>
      <c r="BS171" s="27"/>
      <c r="BT171" s="27">
        <f t="shared" si="174"/>
        <v>0</v>
      </c>
      <c r="BU171" s="27">
        <f t="shared" si="175"/>
        <v>0</v>
      </c>
      <c r="BV171" s="26"/>
      <c r="BW171" s="27"/>
      <c r="BX171" s="27">
        <v>0</v>
      </c>
      <c r="BY171" s="27"/>
      <c r="BZ171" s="27">
        <f t="shared" si="176"/>
        <v>0</v>
      </c>
      <c r="CA171" s="27">
        <f t="shared" si="177"/>
        <v>0</v>
      </c>
      <c r="CB171" s="26"/>
      <c r="CC171" s="27"/>
      <c r="CD171" s="27">
        <v>0</v>
      </c>
      <c r="CE171" s="27"/>
      <c r="CF171" s="27">
        <f t="shared" si="178"/>
        <v>0</v>
      </c>
      <c r="CG171" s="27">
        <f t="shared" si="179"/>
        <v>0</v>
      </c>
      <c r="CH171" s="26"/>
      <c r="CI171" s="27"/>
      <c r="CJ171" s="27">
        <v>0</v>
      </c>
      <c r="CK171" s="27"/>
      <c r="CL171" s="27">
        <f t="shared" si="180"/>
        <v>0</v>
      </c>
      <c r="CM171" s="27">
        <f t="shared" si="181"/>
        <v>0</v>
      </c>
      <c r="CN171" s="26"/>
      <c r="CO171" s="27"/>
      <c r="CP171" s="27">
        <v>0</v>
      </c>
      <c r="CQ171" s="27"/>
      <c r="CR171" s="27">
        <f t="shared" si="182"/>
        <v>0</v>
      </c>
      <c r="CS171" s="27">
        <f t="shared" si="183"/>
        <v>0</v>
      </c>
      <c r="CT171" s="26"/>
      <c r="CU171" s="27"/>
      <c r="CV171" s="27">
        <v>0</v>
      </c>
      <c r="CW171" s="27"/>
      <c r="CX171" s="27">
        <f t="shared" si="184"/>
        <v>0</v>
      </c>
      <c r="CY171" s="27">
        <f t="shared" si="185"/>
        <v>0</v>
      </c>
      <c r="CZ171" s="26"/>
      <c r="DA171" s="27"/>
      <c r="DB171" s="27">
        <v>0</v>
      </c>
      <c r="DC171" s="27"/>
      <c r="DD171" s="27">
        <f t="shared" si="186"/>
        <v>0</v>
      </c>
      <c r="DE171" s="27">
        <f t="shared" si="187"/>
        <v>0</v>
      </c>
      <c r="DF171" s="28">
        <f t="shared" si="188"/>
        <v>0</v>
      </c>
      <c r="DG171" s="28">
        <f t="shared" si="189"/>
        <v>0</v>
      </c>
      <c r="DH171" s="28">
        <f t="shared" si="190"/>
        <v>0</v>
      </c>
      <c r="DI171" s="28">
        <f t="shared" si="191"/>
        <v>0</v>
      </c>
      <c r="DJ171" s="27">
        <f t="shared" si="192"/>
        <v>0</v>
      </c>
      <c r="DK171" s="27">
        <f t="shared" si="193"/>
        <v>0</v>
      </c>
    </row>
    <row r="172" spans="1:115">
      <c r="A172" s="25">
        <v>164</v>
      </c>
      <c r="B172" s="26" t="s">
        <v>1161</v>
      </c>
      <c r="C172" s="26"/>
      <c r="D172" s="26"/>
      <c r="E172" s="205" t="s">
        <v>1200</v>
      </c>
      <c r="F172" s="161">
        <f t="shared" si="146"/>
        <v>0</v>
      </c>
      <c r="G172" s="165">
        <f t="shared" si="147"/>
        <v>0</v>
      </c>
      <c r="H172" s="27"/>
      <c r="I172" s="27">
        <v>0</v>
      </c>
      <c r="J172" s="27">
        <v>0</v>
      </c>
      <c r="K172" s="127">
        <f t="shared" si="148"/>
        <v>0</v>
      </c>
      <c r="L172" s="127">
        <f t="shared" si="149"/>
        <v>0</v>
      </c>
      <c r="M172" s="127">
        <f t="shared" si="150"/>
        <v>0</v>
      </c>
      <c r="N172" s="131"/>
      <c r="O172" s="125" t="str">
        <f t="shared" si="151"/>
        <v>ნულოვანი შესრულება</v>
      </c>
      <c r="P172" s="27">
        <v>0</v>
      </c>
      <c r="Q172" s="27">
        <v>0</v>
      </c>
      <c r="R172" s="27">
        <f t="shared" si="152"/>
        <v>0</v>
      </c>
      <c r="S172" s="27">
        <f t="shared" si="153"/>
        <v>0</v>
      </c>
      <c r="T172" s="27"/>
      <c r="U172" s="27"/>
      <c r="V172" s="27">
        <v>0</v>
      </c>
      <c r="W172" s="27"/>
      <c r="X172" s="27">
        <f t="shared" si="154"/>
        <v>0</v>
      </c>
      <c r="Y172" s="27">
        <f t="shared" si="155"/>
        <v>0</v>
      </c>
      <c r="Z172" s="27">
        <v>0</v>
      </c>
      <c r="AA172" s="27"/>
      <c r="AB172" s="27"/>
      <c r="AC172" s="27"/>
      <c r="AD172" s="27">
        <f t="shared" si="156"/>
        <v>0</v>
      </c>
      <c r="AE172" s="27">
        <f t="shared" si="157"/>
        <v>0</v>
      </c>
      <c r="AF172" s="27">
        <f t="shared" si="158"/>
        <v>0</v>
      </c>
      <c r="AG172" s="27">
        <f t="shared" si="159"/>
        <v>0</v>
      </c>
      <c r="AH172" s="27">
        <f t="shared" si="160"/>
        <v>0</v>
      </c>
      <c r="AI172" s="27">
        <f t="shared" si="161"/>
        <v>0</v>
      </c>
      <c r="AJ172" s="27">
        <f t="shared" si="162"/>
        <v>0</v>
      </c>
      <c r="AK172" s="27">
        <f t="shared" si="163"/>
        <v>0</v>
      </c>
      <c r="AL172" s="27"/>
      <c r="AM172" s="27"/>
      <c r="AN172" s="27">
        <v>0</v>
      </c>
      <c r="AO172" s="27"/>
      <c r="AP172" s="27">
        <f t="shared" si="164"/>
        <v>0</v>
      </c>
      <c r="AQ172" s="27">
        <f t="shared" si="165"/>
        <v>0</v>
      </c>
      <c r="AR172" s="27"/>
      <c r="AS172" s="27"/>
      <c r="AT172" s="27">
        <v>0</v>
      </c>
      <c r="AU172" s="27"/>
      <c r="AV172" s="27">
        <f t="shared" si="166"/>
        <v>0</v>
      </c>
      <c r="AW172" s="27">
        <f t="shared" si="167"/>
        <v>0</v>
      </c>
      <c r="AX172" s="27"/>
      <c r="AY172" s="27"/>
      <c r="AZ172" s="27">
        <v>0</v>
      </c>
      <c r="BA172" s="27"/>
      <c r="BB172" s="27">
        <f t="shared" si="168"/>
        <v>0</v>
      </c>
      <c r="BC172" s="27">
        <f t="shared" si="169"/>
        <v>0</v>
      </c>
      <c r="BD172" s="27"/>
      <c r="BE172" s="27"/>
      <c r="BF172" s="27">
        <v>0</v>
      </c>
      <c r="BG172" s="27"/>
      <c r="BH172" s="27">
        <f t="shared" si="170"/>
        <v>0</v>
      </c>
      <c r="BI172" s="27">
        <f t="shared" si="171"/>
        <v>0</v>
      </c>
      <c r="BJ172" s="27"/>
      <c r="BK172" s="27"/>
      <c r="BL172" s="27">
        <v>0</v>
      </c>
      <c r="BM172" s="27"/>
      <c r="BN172" s="27">
        <f t="shared" si="172"/>
        <v>0</v>
      </c>
      <c r="BO172" s="27">
        <f t="shared" si="173"/>
        <v>0</v>
      </c>
      <c r="BP172" s="26"/>
      <c r="BQ172" s="27"/>
      <c r="BR172" s="27">
        <v>0</v>
      </c>
      <c r="BS172" s="27"/>
      <c r="BT172" s="27">
        <f t="shared" si="174"/>
        <v>0</v>
      </c>
      <c r="BU172" s="27">
        <f t="shared" si="175"/>
        <v>0</v>
      </c>
      <c r="BV172" s="26"/>
      <c r="BW172" s="27"/>
      <c r="BX172" s="27">
        <v>0</v>
      </c>
      <c r="BY172" s="27"/>
      <c r="BZ172" s="27">
        <f t="shared" si="176"/>
        <v>0</v>
      </c>
      <c r="CA172" s="27">
        <f t="shared" si="177"/>
        <v>0</v>
      </c>
      <c r="CB172" s="26"/>
      <c r="CC172" s="27"/>
      <c r="CD172" s="27">
        <v>0</v>
      </c>
      <c r="CE172" s="27"/>
      <c r="CF172" s="27">
        <f t="shared" si="178"/>
        <v>0</v>
      </c>
      <c r="CG172" s="27">
        <f t="shared" si="179"/>
        <v>0</v>
      </c>
      <c r="CH172" s="26"/>
      <c r="CI172" s="27"/>
      <c r="CJ172" s="27">
        <v>0</v>
      </c>
      <c r="CK172" s="27"/>
      <c r="CL172" s="27">
        <f t="shared" si="180"/>
        <v>0</v>
      </c>
      <c r="CM172" s="27">
        <f t="shared" si="181"/>
        <v>0</v>
      </c>
      <c r="CN172" s="26"/>
      <c r="CO172" s="27"/>
      <c r="CP172" s="27">
        <v>0</v>
      </c>
      <c r="CQ172" s="27"/>
      <c r="CR172" s="27">
        <f t="shared" si="182"/>
        <v>0</v>
      </c>
      <c r="CS172" s="27">
        <f t="shared" si="183"/>
        <v>0</v>
      </c>
      <c r="CT172" s="26"/>
      <c r="CU172" s="27"/>
      <c r="CV172" s="27">
        <v>0</v>
      </c>
      <c r="CW172" s="27"/>
      <c r="CX172" s="27">
        <f t="shared" si="184"/>
        <v>0</v>
      </c>
      <c r="CY172" s="27">
        <f t="shared" si="185"/>
        <v>0</v>
      </c>
      <c r="CZ172" s="26"/>
      <c r="DA172" s="27"/>
      <c r="DB172" s="27">
        <v>0</v>
      </c>
      <c r="DC172" s="27"/>
      <c r="DD172" s="27">
        <f t="shared" si="186"/>
        <v>0</v>
      </c>
      <c r="DE172" s="27">
        <f t="shared" si="187"/>
        <v>0</v>
      </c>
      <c r="DF172" s="28">
        <f t="shared" si="188"/>
        <v>0</v>
      </c>
      <c r="DG172" s="28">
        <f t="shared" si="189"/>
        <v>0</v>
      </c>
      <c r="DH172" s="28">
        <f t="shared" si="190"/>
        <v>0</v>
      </c>
      <c r="DI172" s="28">
        <f t="shared" si="191"/>
        <v>0</v>
      </c>
      <c r="DJ172" s="27">
        <f t="shared" si="192"/>
        <v>0</v>
      </c>
      <c r="DK172" s="27">
        <f t="shared" si="193"/>
        <v>0</v>
      </c>
    </row>
    <row r="173" spans="1:115">
      <c r="A173" s="25">
        <v>165</v>
      </c>
      <c r="B173" s="26" t="s">
        <v>1161</v>
      </c>
      <c r="C173" s="26"/>
      <c r="D173" s="26"/>
      <c r="E173" s="205" t="s">
        <v>1200</v>
      </c>
      <c r="F173" s="161">
        <f t="shared" si="146"/>
        <v>0</v>
      </c>
      <c r="G173" s="165">
        <f t="shared" si="147"/>
        <v>0</v>
      </c>
      <c r="H173" s="27"/>
      <c r="I173" s="27">
        <v>0</v>
      </c>
      <c r="J173" s="27">
        <v>0</v>
      </c>
      <c r="K173" s="127">
        <f t="shared" si="148"/>
        <v>0</v>
      </c>
      <c r="L173" s="127">
        <f t="shared" si="149"/>
        <v>0</v>
      </c>
      <c r="M173" s="127">
        <f t="shared" si="150"/>
        <v>0</v>
      </c>
      <c r="N173" s="131"/>
      <c r="O173" s="125" t="str">
        <f t="shared" si="151"/>
        <v>ნულოვანი შესრულება</v>
      </c>
      <c r="P173" s="27">
        <v>0</v>
      </c>
      <c r="Q173" s="27">
        <v>0</v>
      </c>
      <c r="R173" s="27">
        <f t="shared" si="152"/>
        <v>0</v>
      </c>
      <c r="S173" s="27">
        <f t="shared" si="153"/>
        <v>0</v>
      </c>
      <c r="T173" s="27"/>
      <c r="U173" s="27"/>
      <c r="V173" s="27">
        <v>0</v>
      </c>
      <c r="W173" s="27"/>
      <c r="X173" s="27">
        <f t="shared" si="154"/>
        <v>0</v>
      </c>
      <c r="Y173" s="27">
        <f t="shared" si="155"/>
        <v>0</v>
      </c>
      <c r="Z173" s="27">
        <v>0</v>
      </c>
      <c r="AA173" s="27"/>
      <c r="AB173" s="27"/>
      <c r="AC173" s="27"/>
      <c r="AD173" s="27">
        <f t="shared" si="156"/>
        <v>0</v>
      </c>
      <c r="AE173" s="27">
        <f t="shared" si="157"/>
        <v>0</v>
      </c>
      <c r="AF173" s="27">
        <f t="shared" si="158"/>
        <v>0</v>
      </c>
      <c r="AG173" s="27">
        <f t="shared" si="159"/>
        <v>0</v>
      </c>
      <c r="AH173" s="27">
        <f t="shared" si="160"/>
        <v>0</v>
      </c>
      <c r="AI173" s="27">
        <f t="shared" si="161"/>
        <v>0</v>
      </c>
      <c r="AJ173" s="27">
        <f t="shared" si="162"/>
        <v>0</v>
      </c>
      <c r="AK173" s="27">
        <f t="shared" si="163"/>
        <v>0</v>
      </c>
      <c r="AL173" s="27"/>
      <c r="AM173" s="27"/>
      <c r="AN173" s="27">
        <v>0</v>
      </c>
      <c r="AO173" s="27"/>
      <c r="AP173" s="27">
        <f t="shared" si="164"/>
        <v>0</v>
      </c>
      <c r="AQ173" s="27">
        <f t="shared" si="165"/>
        <v>0</v>
      </c>
      <c r="AR173" s="27"/>
      <c r="AS173" s="27"/>
      <c r="AT173" s="27">
        <v>0</v>
      </c>
      <c r="AU173" s="27"/>
      <c r="AV173" s="27">
        <f t="shared" si="166"/>
        <v>0</v>
      </c>
      <c r="AW173" s="27">
        <f t="shared" si="167"/>
        <v>0</v>
      </c>
      <c r="AX173" s="27"/>
      <c r="AY173" s="27"/>
      <c r="AZ173" s="27">
        <v>0</v>
      </c>
      <c r="BA173" s="27"/>
      <c r="BB173" s="27">
        <f t="shared" si="168"/>
        <v>0</v>
      </c>
      <c r="BC173" s="27">
        <f t="shared" si="169"/>
        <v>0</v>
      </c>
      <c r="BD173" s="27"/>
      <c r="BE173" s="27"/>
      <c r="BF173" s="27">
        <v>0</v>
      </c>
      <c r="BG173" s="27"/>
      <c r="BH173" s="27">
        <f t="shared" si="170"/>
        <v>0</v>
      </c>
      <c r="BI173" s="27">
        <f t="shared" si="171"/>
        <v>0</v>
      </c>
      <c r="BJ173" s="27"/>
      <c r="BK173" s="27"/>
      <c r="BL173" s="27">
        <v>0</v>
      </c>
      <c r="BM173" s="27"/>
      <c r="BN173" s="27">
        <f t="shared" si="172"/>
        <v>0</v>
      </c>
      <c r="BO173" s="27">
        <f t="shared" si="173"/>
        <v>0</v>
      </c>
      <c r="BP173" s="26"/>
      <c r="BQ173" s="27"/>
      <c r="BR173" s="27">
        <v>0</v>
      </c>
      <c r="BS173" s="27"/>
      <c r="BT173" s="27">
        <f t="shared" si="174"/>
        <v>0</v>
      </c>
      <c r="BU173" s="27">
        <f t="shared" si="175"/>
        <v>0</v>
      </c>
      <c r="BV173" s="26"/>
      <c r="BW173" s="27"/>
      <c r="BX173" s="27">
        <v>0</v>
      </c>
      <c r="BY173" s="27"/>
      <c r="BZ173" s="27">
        <f t="shared" si="176"/>
        <v>0</v>
      </c>
      <c r="CA173" s="27">
        <f t="shared" si="177"/>
        <v>0</v>
      </c>
      <c r="CB173" s="26"/>
      <c r="CC173" s="27"/>
      <c r="CD173" s="27">
        <v>0</v>
      </c>
      <c r="CE173" s="27"/>
      <c r="CF173" s="27">
        <f t="shared" si="178"/>
        <v>0</v>
      </c>
      <c r="CG173" s="27">
        <f t="shared" si="179"/>
        <v>0</v>
      </c>
      <c r="CH173" s="26"/>
      <c r="CI173" s="27"/>
      <c r="CJ173" s="27">
        <v>0</v>
      </c>
      <c r="CK173" s="27"/>
      <c r="CL173" s="27">
        <f t="shared" si="180"/>
        <v>0</v>
      </c>
      <c r="CM173" s="27">
        <f t="shared" si="181"/>
        <v>0</v>
      </c>
      <c r="CN173" s="26"/>
      <c r="CO173" s="27"/>
      <c r="CP173" s="27">
        <v>0</v>
      </c>
      <c r="CQ173" s="27"/>
      <c r="CR173" s="27">
        <f t="shared" si="182"/>
        <v>0</v>
      </c>
      <c r="CS173" s="27">
        <f t="shared" si="183"/>
        <v>0</v>
      </c>
      <c r="CT173" s="26"/>
      <c r="CU173" s="27"/>
      <c r="CV173" s="27">
        <v>0</v>
      </c>
      <c r="CW173" s="27"/>
      <c r="CX173" s="27">
        <f t="shared" si="184"/>
        <v>0</v>
      </c>
      <c r="CY173" s="27">
        <f t="shared" si="185"/>
        <v>0</v>
      </c>
      <c r="CZ173" s="26"/>
      <c r="DA173" s="27"/>
      <c r="DB173" s="27">
        <v>0</v>
      </c>
      <c r="DC173" s="27"/>
      <c r="DD173" s="27">
        <f t="shared" si="186"/>
        <v>0</v>
      </c>
      <c r="DE173" s="27">
        <f t="shared" si="187"/>
        <v>0</v>
      </c>
      <c r="DF173" s="28">
        <f t="shared" si="188"/>
        <v>0</v>
      </c>
      <c r="DG173" s="28">
        <f t="shared" si="189"/>
        <v>0</v>
      </c>
      <c r="DH173" s="28">
        <f t="shared" si="190"/>
        <v>0</v>
      </c>
      <c r="DI173" s="28">
        <f t="shared" si="191"/>
        <v>0</v>
      </c>
      <c r="DJ173" s="27">
        <f t="shared" si="192"/>
        <v>0</v>
      </c>
      <c r="DK173" s="27">
        <f t="shared" si="193"/>
        <v>0</v>
      </c>
    </row>
    <row r="174" spans="1:115">
      <c r="A174" s="25">
        <v>166</v>
      </c>
      <c r="B174" s="26" t="s">
        <v>1161</v>
      </c>
      <c r="C174" s="26"/>
      <c r="D174" s="26"/>
      <c r="E174" s="205" t="s">
        <v>1200</v>
      </c>
      <c r="F174" s="161">
        <f t="shared" si="146"/>
        <v>0</v>
      </c>
      <c r="G174" s="165">
        <f t="shared" si="147"/>
        <v>0</v>
      </c>
      <c r="H174" s="27"/>
      <c r="I174" s="27">
        <v>0</v>
      </c>
      <c r="J174" s="27">
        <v>0</v>
      </c>
      <c r="K174" s="127">
        <f t="shared" si="148"/>
        <v>0</v>
      </c>
      <c r="L174" s="127">
        <f t="shared" si="149"/>
        <v>0</v>
      </c>
      <c r="M174" s="127">
        <f t="shared" si="150"/>
        <v>0</v>
      </c>
      <c r="N174" s="131"/>
      <c r="O174" s="125" t="str">
        <f t="shared" si="151"/>
        <v>ნულოვანი შესრულება</v>
      </c>
      <c r="P174" s="27">
        <v>0</v>
      </c>
      <c r="Q174" s="27">
        <v>0</v>
      </c>
      <c r="R174" s="27">
        <f t="shared" si="152"/>
        <v>0</v>
      </c>
      <c r="S174" s="27">
        <f t="shared" si="153"/>
        <v>0</v>
      </c>
      <c r="T174" s="27"/>
      <c r="U174" s="27"/>
      <c r="V174" s="27">
        <v>0</v>
      </c>
      <c r="W174" s="27"/>
      <c r="X174" s="27">
        <f t="shared" si="154"/>
        <v>0</v>
      </c>
      <c r="Y174" s="27">
        <f t="shared" si="155"/>
        <v>0</v>
      </c>
      <c r="Z174" s="27">
        <v>0</v>
      </c>
      <c r="AA174" s="27"/>
      <c r="AB174" s="27"/>
      <c r="AC174" s="27"/>
      <c r="AD174" s="27">
        <f t="shared" si="156"/>
        <v>0</v>
      </c>
      <c r="AE174" s="27">
        <f t="shared" si="157"/>
        <v>0</v>
      </c>
      <c r="AF174" s="27">
        <f t="shared" si="158"/>
        <v>0</v>
      </c>
      <c r="AG174" s="27">
        <f t="shared" si="159"/>
        <v>0</v>
      </c>
      <c r="AH174" s="27">
        <f t="shared" si="160"/>
        <v>0</v>
      </c>
      <c r="AI174" s="27">
        <f t="shared" si="161"/>
        <v>0</v>
      </c>
      <c r="AJ174" s="27">
        <f t="shared" si="162"/>
        <v>0</v>
      </c>
      <c r="AK174" s="27">
        <f t="shared" si="163"/>
        <v>0</v>
      </c>
      <c r="AL174" s="27"/>
      <c r="AM174" s="27"/>
      <c r="AN174" s="27">
        <v>0</v>
      </c>
      <c r="AO174" s="27"/>
      <c r="AP174" s="27">
        <f t="shared" si="164"/>
        <v>0</v>
      </c>
      <c r="AQ174" s="27">
        <f t="shared" si="165"/>
        <v>0</v>
      </c>
      <c r="AR174" s="27"/>
      <c r="AS174" s="27"/>
      <c r="AT174" s="27">
        <v>0</v>
      </c>
      <c r="AU174" s="27"/>
      <c r="AV174" s="27">
        <f t="shared" si="166"/>
        <v>0</v>
      </c>
      <c r="AW174" s="27">
        <f t="shared" si="167"/>
        <v>0</v>
      </c>
      <c r="AX174" s="27"/>
      <c r="AY174" s="27"/>
      <c r="AZ174" s="27">
        <v>0</v>
      </c>
      <c r="BA174" s="27"/>
      <c r="BB174" s="27">
        <f t="shared" si="168"/>
        <v>0</v>
      </c>
      <c r="BC174" s="27">
        <f t="shared" si="169"/>
        <v>0</v>
      </c>
      <c r="BD174" s="27"/>
      <c r="BE174" s="27"/>
      <c r="BF174" s="27">
        <v>0</v>
      </c>
      <c r="BG174" s="27"/>
      <c r="BH174" s="27">
        <f t="shared" si="170"/>
        <v>0</v>
      </c>
      <c r="BI174" s="27">
        <f t="shared" si="171"/>
        <v>0</v>
      </c>
      <c r="BJ174" s="27"/>
      <c r="BK174" s="27"/>
      <c r="BL174" s="27">
        <v>0</v>
      </c>
      <c r="BM174" s="27"/>
      <c r="BN174" s="27">
        <f t="shared" si="172"/>
        <v>0</v>
      </c>
      <c r="BO174" s="27">
        <f t="shared" si="173"/>
        <v>0</v>
      </c>
      <c r="BP174" s="26"/>
      <c r="BQ174" s="27"/>
      <c r="BR174" s="27">
        <v>0</v>
      </c>
      <c r="BS174" s="27"/>
      <c r="BT174" s="27">
        <f t="shared" si="174"/>
        <v>0</v>
      </c>
      <c r="BU174" s="27">
        <f t="shared" si="175"/>
        <v>0</v>
      </c>
      <c r="BV174" s="26"/>
      <c r="BW174" s="27"/>
      <c r="BX174" s="27">
        <v>0</v>
      </c>
      <c r="BY174" s="27"/>
      <c r="BZ174" s="27">
        <f t="shared" si="176"/>
        <v>0</v>
      </c>
      <c r="CA174" s="27">
        <f t="shared" si="177"/>
        <v>0</v>
      </c>
      <c r="CB174" s="26"/>
      <c r="CC174" s="27"/>
      <c r="CD174" s="27">
        <v>0</v>
      </c>
      <c r="CE174" s="27"/>
      <c r="CF174" s="27">
        <f t="shared" si="178"/>
        <v>0</v>
      </c>
      <c r="CG174" s="27">
        <f t="shared" si="179"/>
        <v>0</v>
      </c>
      <c r="CH174" s="26"/>
      <c r="CI174" s="27"/>
      <c r="CJ174" s="27">
        <v>0</v>
      </c>
      <c r="CK174" s="27"/>
      <c r="CL174" s="27">
        <f t="shared" si="180"/>
        <v>0</v>
      </c>
      <c r="CM174" s="27">
        <f t="shared" si="181"/>
        <v>0</v>
      </c>
      <c r="CN174" s="26"/>
      <c r="CO174" s="27"/>
      <c r="CP174" s="27">
        <v>0</v>
      </c>
      <c r="CQ174" s="27"/>
      <c r="CR174" s="27">
        <f t="shared" si="182"/>
        <v>0</v>
      </c>
      <c r="CS174" s="27">
        <f t="shared" si="183"/>
        <v>0</v>
      </c>
      <c r="CT174" s="26"/>
      <c r="CU174" s="27"/>
      <c r="CV174" s="27">
        <v>0</v>
      </c>
      <c r="CW174" s="27"/>
      <c r="CX174" s="27">
        <f t="shared" si="184"/>
        <v>0</v>
      </c>
      <c r="CY174" s="27">
        <f t="shared" si="185"/>
        <v>0</v>
      </c>
      <c r="CZ174" s="26"/>
      <c r="DA174" s="27"/>
      <c r="DB174" s="27">
        <v>0</v>
      </c>
      <c r="DC174" s="27"/>
      <c r="DD174" s="27">
        <f t="shared" si="186"/>
        <v>0</v>
      </c>
      <c r="DE174" s="27">
        <f t="shared" si="187"/>
        <v>0</v>
      </c>
      <c r="DF174" s="28">
        <f t="shared" si="188"/>
        <v>0</v>
      </c>
      <c r="DG174" s="28">
        <f t="shared" si="189"/>
        <v>0</v>
      </c>
      <c r="DH174" s="28">
        <f t="shared" si="190"/>
        <v>0</v>
      </c>
      <c r="DI174" s="28">
        <f t="shared" si="191"/>
        <v>0</v>
      </c>
      <c r="DJ174" s="27">
        <f t="shared" si="192"/>
        <v>0</v>
      </c>
      <c r="DK174" s="27">
        <f t="shared" si="193"/>
        <v>0</v>
      </c>
    </row>
    <row r="175" spans="1:115">
      <c r="A175" s="25">
        <v>167</v>
      </c>
      <c r="B175" s="26" t="s">
        <v>1161</v>
      </c>
      <c r="C175" s="26"/>
      <c r="D175" s="26"/>
      <c r="E175" s="205" t="s">
        <v>1200</v>
      </c>
      <c r="F175" s="161">
        <f t="shared" si="146"/>
        <v>0</v>
      </c>
      <c r="G175" s="165">
        <f t="shared" si="147"/>
        <v>0</v>
      </c>
      <c r="H175" s="27"/>
      <c r="I175" s="27">
        <v>0</v>
      </c>
      <c r="J175" s="27">
        <v>0</v>
      </c>
      <c r="K175" s="127">
        <f t="shared" si="148"/>
        <v>0</v>
      </c>
      <c r="L175" s="127">
        <f t="shared" si="149"/>
        <v>0</v>
      </c>
      <c r="M175" s="127">
        <f t="shared" si="150"/>
        <v>0</v>
      </c>
      <c r="N175" s="131"/>
      <c r="O175" s="125" t="str">
        <f t="shared" si="151"/>
        <v>ნულოვანი შესრულება</v>
      </c>
      <c r="P175" s="27">
        <v>0</v>
      </c>
      <c r="Q175" s="27">
        <v>0</v>
      </c>
      <c r="R175" s="27">
        <f t="shared" si="152"/>
        <v>0</v>
      </c>
      <c r="S175" s="27">
        <f t="shared" si="153"/>
        <v>0</v>
      </c>
      <c r="T175" s="27"/>
      <c r="U175" s="27"/>
      <c r="V175" s="27">
        <v>0</v>
      </c>
      <c r="W175" s="27"/>
      <c r="X175" s="27">
        <f t="shared" si="154"/>
        <v>0</v>
      </c>
      <c r="Y175" s="27">
        <f t="shared" si="155"/>
        <v>0</v>
      </c>
      <c r="Z175" s="27">
        <v>0</v>
      </c>
      <c r="AA175" s="27"/>
      <c r="AB175" s="27"/>
      <c r="AC175" s="27"/>
      <c r="AD175" s="27">
        <f t="shared" si="156"/>
        <v>0</v>
      </c>
      <c r="AE175" s="27">
        <f t="shared" si="157"/>
        <v>0</v>
      </c>
      <c r="AF175" s="27">
        <f t="shared" si="158"/>
        <v>0</v>
      </c>
      <c r="AG175" s="27">
        <f t="shared" si="159"/>
        <v>0</v>
      </c>
      <c r="AH175" s="27">
        <f t="shared" si="160"/>
        <v>0</v>
      </c>
      <c r="AI175" s="27">
        <f t="shared" si="161"/>
        <v>0</v>
      </c>
      <c r="AJ175" s="27">
        <f t="shared" si="162"/>
        <v>0</v>
      </c>
      <c r="AK175" s="27">
        <f t="shared" si="163"/>
        <v>0</v>
      </c>
      <c r="AL175" s="27"/>
      <c r="AM175" s="27"/>
      <c r="AN175" s="27">
        <v>0</v>
      </c>
      <c r="AO175" s="27"/>
      <c r="AP175" s="27">
        <f t="shared" si="164"/>
        <v>0</v>
      </c>
      <c r="AQ175" s="27">
        <f t="shared" si="165"/>
        <v>0</v>
      </c>
      <c r="AR175" s="27"/>
      <c r="AS175" s="27"/>
      <c r="AT175" s="27">
        <v>0</v>
      </c>
      <c r="AU175" s="27"/>
      <c r="AV175" s="27">
        <f t="shared" si="166"/>
        <v>0</v>
      </c>
      <c r="AW175" s="27">
        <f t="shared" si="167"/>
        <v>0</v>
      </c>
      <c r="AX175" s="27"/>
      <c r="AY175" s="27"/>
      <c r="AZ175" s="27">
        <v>0</v>
      </c>
      <c r="BA175" s="27"/>
      <c r="BB175" s="27">
        <f t="shared" si="168"/>
        <v>0</v>
      </c>
      <c r="BC175" s="27">
        <f t="shared" si="169"/>
        <v>0</v>
      </c>
      <c r="BD175" s="27"/>
      <c r="BE175" s="27"/>
      <c r="BF175" s="27">
        <v>0</v>
      </c>
      <c r="BG175" s="27"/>
      <c r="BH175" s="27">
        <f t="shared" si="170"/>
        <v>0</v>
      </c>
      <c r="BI175" s="27">
        <f t="shared" si="171"/>
        <v>0</v>
      </c>
      <c r="BJ175" s="27"/>
      <c r="BK175" s="27"/>
      <c r="BL175" s="27">
        <v>0</v>
      </c>
      <c r="BM175" s="27"/>
      <c r="BN175" s="27">
        <f t="shared" si="172"/>
        <v>0</v>
      </c>
      <c r="BO175" s="27">
        <f t="shared" si="173"/>
        <v>0</v>
      </c>
      <c r="BP175" s="26"/>
      <c r="BQ175" s="27"/>
      <c r="BR175" s="27">
        <v>0</v>
      </c>
      <c r="BS175" s="27"/>
      <c r="BT175" s="27">
        <f t="shared" si="174"/>
        <v>0</v>
      </c>
      <c r="BU175" s="27">
        <f t="shared" si="175"/>
        <v>0</v>
      </c>
      <c r="BV175" s="26"/>
      <c r="BW175" s="27"/>
      <c r="BX175" s="27">
        <v>0</v>
      </c>
      <c r="BY175" s="27"/>
      <c r="BZ175" s="27">
        <f t="shared" si="176"/>
        <v>0</v>
      </c>
      <c r="CA175" s="27">
        <f t="shared" si="177"/>
        <v>0</v>
      </c>
      <c r="CB175" s="26"/>
      <c r="CC175" s="27"/>
      <c r="CD175" s="27">
        <v>0</v>
      </c>
      <c r="CE175" s="27"/>
      <c r="CF175" s="27">
        <f t="shared" si="178"/>
        <v>0</v>
      </c>
      <c r="CG175" s="27">
        <f t="shared" si="179"/>
        <v>0</v>
      </c>
      <c r="CH175" s="26"/>
      <c r="CI175" s="27"/>
      <c r="CJ175" s="27">
        <v>0</v>
      </c>
      <c r="CK175" s="27"/>
      <c r="CL175" s="27">
        <f t="shared" si="180"/>
        <v>0</v>
      </c>
      <c r="CM175" s="27">
        <f t="shared" si="181"/>
        <v>0</v>
      </c>
      <c r="CN175" s="26"/>
      <c r="CO175" s="27"/>
      <c r="CP175" s="27">
        <v>0</v>
      </c>
      <c r="CQ175" s="27"/>
      <c r="CR175" s="27">
        <f t="shared" si="182"/>
        <v>0</v>
      </c>
      <c r="CS175" s="27">
        <f t="shared" si="183"/>
        <v>0</v>
      </c>
      <c r="CT175" s="26"/>
      <c r="CU175" s="27"/>
      <c r="CV175" s="27">
        <v>0</v>
      </c>
      <c r="CW175" s="27"/>
      <c r="CX175" s="27">
        <f t="shared" si="184"/>
        <v>0</v>
      </c>
      <c r="CY175" s="27">
        <f t="shared" si="185"/>
        <v>0</v>
      </c>
      <c r="CZ175" s="26"/>
      <c r="DA175" s="27"/>
      <c r="DB175" s="27">
        <v>0</v>
      </c>
      <c r="DC175" s="27"/>
      <c r="DD175" s="27">
        <f t="shared" si="186"/>
        <v>0</v>
      </c>
      <c r="DE175" s="27">
        <f t="shared" si="187"/>
        <v>0</v>
      </c>
      <c r="DF175" s="28">
        <f t="shared" si="188"/>
        <v>0</v>
      </c>
      <c r="DG175" s="28">
        <f t="shared" si="189"/>
        <v>0</v>
      </c>
      <c r="DH175" s="28">
        <f t="shared" si="190"/>
        <v>0</v>
      </c>
      <c r="DI175" s="28">
        <f t="shared" si="191"/>
        <v>0</v>
      </c>
      <c r="DJ175" s="27">
        <f t="shared" si="192"/>
        <v>0</v>
      </c>
      <c r="DK175" s="27">
        <f t="shared" si="193"/>
        <v>0</v>
      </c>
    </row>
    <row r="176" spans="1:115">
      <c r="A176" s="25">
        <v>168</v>
      </c>
      <c r="B176" s="26" t="s">
        <v>1161</v>
      </c>
      <c r="C176" s="26"/>
      <c r="D176" s="26"/>
      <c r="E176" s="205" t="s">
        <v>1200</v>
      </c>
      <c r="F176" s="161">
        <f t="shared" si="146"/>
        <v>0</v>
      </c>
      <c r="G176" s="165">
        <f t="shared" si="147"/>
        <v>0</v>
      </c>
      <c r="H176" s="27"/>
      <c r="I176" s="27">
        <v>0</v>
      </c>
      <c r="J176" s="27">
        <v>0</v>
      </c>
      <c r="K176" s="127">
        <f t="shared" si="148"/>
        <v>0</v>
      </c>
      <c r="L176" s="127">
        <f t="shared" si="149"/>
        <v>0</v>
      </c>
      <c r="M176" s="127">
        <f t="shared" si="150"/>
        <v>0</v>
      </c>
      <c r="N176" s="131"/>
      <c r="O176" s="125" t="str">
        <f t="shared" si="151"/>
        <v>ნულოვანი შესრულება</v>
      </c>
      <c r="P176" s="27">
        <v>0</v>
      </c>
      <c r="Q176" s="27">
        <v>0</v>
      </c>
      <c r="R176" s="27">
        <f t="shared" si="152"/>
        <v>0</v>
      </c>
      <c r="S176" s="27">
        <f t="shared" si="153"/>
        <v>0</v>
      </c>
      <c r="T176" s="27"/>
      <c r="U176" s="27"/>
      <c r="V176" s="27">
        <v>0</v>
      </c>
      <c r="W176" s="27"/>
      <c r="X176" s="27">
        <f t="shared" si="154"/>
        <v>0</v>
      </c>
      <c r="Y176" s="27">
        <f t="shared" si="155"/>
        <v>0</v>
      </c>
      <c r="Z176" s="27">
        <v>0</v>
      </c>
      <c r="AA176" s="27"/>
      <c r="AB176" s="27"/>
      <c r="AC176" s="27"/>
      <c r="AD176" s="27">
        <f t="shared" si="156"/>
        <v>0</v>
      </c>
      <c r="AE176" s="27">
        <f t="shared" si="157"/>
        <v>0</v>
      </c>
      <c r="AF176" s="27">
        <f t="shared" si="158"/>
        <v>0</v>
      </c>
      <c r="AG176" s="27">
        <f t="shared" si="159"/>
        <v>0</v>
      </c>
      <c r="AH176" s="27">
        <f t="shared" si="160"/>
        <v>0</v>
      </c>
      <c r="AI176" s="27">
        <f t="shared" si="161"/>
        <v>0</v>
      </c>
      <c r="AJ176" s="27">
        <f t="shared" si="162"/>
        <v>0</v>
      </c>
      <c r="AK176" s="27">
        <f t="shared" si="163"/>
        <v>0</v>
      </c>
      <c r="AL176" s="27"/>
      <c r="AM176" s="27"/>
      <c r="AN176" s="27">
        <v>0</v>
      </c>
      <c r="AO176" s="27"/>
      <c r="AP176" s="27">
        <f t="shared" si="164"/>
        <v>0</v>
      </c>
      <c r="AQ176" s="27">
        <f t="shared" si="165"/>
        <v>0</v>
      </c>
      <c r="AR176" s="27"/>
      <c r="AS176" s="27"/>
      <c r="AT176" s="27">
        <v>0</v>
      </c>
      <c r="AU176" s="27"/>
      <c r="AV176" s="27">
        <f t="shared" si="166"/>
        <v>0</v>
      </c>
      <c r="AW176" s="27">
        <f t="shared" si="167"/>
        <v>0</v>
      </c>
      <c r="AX176" s="27"/>
      <c r="AY176" s="27"/>
      <c r="AZ176" s="27">
        <v>0</v>
      </c>
      <c r="BA176" s="27"/>
      <c r="BB176" s="27">
        <f t="shared" si="168"/>
        <v>0</v>
      </c>
      <c r="BC176" s="27">
        <f t="shared" si="169"/>
        <v>0</v>
      </c>
      <c r="BD176" s="27"/>
      <c r="BE176" s="27"/>
      <c r="BF176" s="27">
        <v>0</v>
      </c>
      <c r="BG176" s="27"/>
      <c r="BH176" s="27">
        <f t="shared" si="170"/>
        <v>0</v>
      </c>
      <c r="BI176" s="27">
        <f t="shared" si="171"/>
        <v>0</v>
      </c>
      <c r="BJ176" s="27"/>
      <c r="BK176" s="27"/>
      <c r="BL176" s="27">
        <v>0</v>
      </c>
      <c r="BM176" s="27"/>
      <c r="BN176" s="27">
        <f t="shared" si="172"/>
        <v>0</v>
      </c>
      <c r="BO176" s="27">
        <f t="shared" si="173"/>
        <v>0</v>
      </c>
      <c r="BP176" s="26"/>
      <c r="BQ176" s="27"/>
      <c r="BR176" s="27">
        <v>0</v>
      </c>
      <c r="BS176" s="27"/>
      <c r="BT176" s="27">
        <f t="shared" si="174"/>
        <v>0</v>
      </c>
      <c r="BU176" s="27">
        <f t="shared" si="175"/>
        <v>0</v>
      </c>
      <c r="BV176" s="26"/>
      <c r="BW176" s="27"/>
      <c r="BX176" s="27">
        <v>0</v>
      </c>
      <c r="BY176" s="27"/>
      <c r="BZ176" s="27">
        <f t="shared" si="176"/>
        <v>0</v>
      </c>
      <c r="CA176" s="27">
        <f t="shared" si="177"/>
        <v>0</v>
      </c>
      <c r="CB176" s="26"/>
      <c r="CC176" s="27"/>
      <c r="CD176" s="27">
        <v>0</v>
      </c>
      <c r="CE176" s="27"/>
      <c r="CF176" s="27">
        <f t="shared" si="178"/>
        <v>0</v>
      </c>
      <c r="CG176" s="27">
        <f t="shared" si="179"/>
        <v>0</v>
      </c>
      <c r="CH176" s="26"/>
      <c r="CI176" s="27"/>
      <c r="CJ176" s="27">
        <v>0</v>
      </c>
      <c r="CK176" s="27"/>
      <c r="CL176" s="27">
        <f t="shared" si="180"/>
        <v>0</v>
      </c>
      <c r="CM176" s="27">
        <f t="shared" si="181"/>
        <v>0</v>
      </c>
      <c r="CN176" s="26"/>
      <c r="CO176" s="27"/>
      <c r="CP176" s="27">
        <v>0</v>
      </c>
      <c r="CQ176" s="27"/>
      <c r="CR176" s="27">
        <f t="shared" si="182"/>
        <v>0</v>
      </c>
      <c r="CS176" s="27">
        <f t="shared" si="183"/>
        <v>0</v>
      </c>
      <c r="CT176" s="26"/>
      <c r="CU176" s="27"/>
      <c r="CV176" s="27">
        <v>0</v>
      </c>
      <c r="CW176" s="27"/>
      <c r="CX176" s="27">
        <f t="shared" si="184"/>
        <v>0</v>
      </c>
      <c r="CY176" s="27">
        <f t="shared" si="185"/>
        <v>0</v>
      </c>
      <c r="CZ176" s="26"/>
      <c r="DA176" s="27"/>
      <c r="DB176" s="27">
        <v>0</v>
      </c>
      <c r="DC176" s="27"/>
      <c r="DD176" s="27">
        <f t="shared" si="186"/>
        <v>0</v>
      </c>
      <c r="DE176" s="27">
        <f t="shared" si="187"/>
        <v>0</v>
      </c>
      <c r="DF176" s="28">
        <f t="shared" si="188"/>
        <v>0</v>
      </c>
      <c r="DG176" s="28">
        <f t="shared" si="189"/>
        <v>0</v>
      </c>
      <c r="DH176" s="28">
        <f t="shared" si="190"/>
        <v>0</v>
      </c>
      <c r="DI176" s="28">
        <f t="shared" si="191"/>
        <v>0</v>
      </c>
      <c r="DJ176" s="27">
        <f t="shared" si="192"/>
        <v>0</v>
      </c>
      <c r="DK176" s="27">
        <f t="shared" si="193"/>
        <v>0</v>
      </c>
    </row>
  </sheetData>
  <mergeCells count="88">
    <mergeCell ref="F3:F6"/>
    <mergeCell ref="A3:A6"/>
    <mergeCell ref="B3:B6"/>
    <mergeCell ref="C3:C6"/>
    <mergeCell ref="D3:D6"/>
    <mergeCell ref="E3:E6"/>
    <mergeCell ref="G3:G6"/>
    <mergeCell ref="H3:H6"/>
    <mergeCell ref="I3:J4"/>
    <mergeCell ref="K3:L4"/>
    <mergeCell ref="M3:M6"/>
    <mergeCell ref="I5:I6"/>
    <mergeCell ref="J5:J6"/>
    <mergeCell ref="K5:K6"/>
    <mergeCell ref="L5:L6"/>
    <mergeCell ref="Q5:Q6"/>
    <mergeCell ref="BD4:BI4"/>
    <mergeCell ref="BJ4:BO4"/>
    <mergeCell ref="BP4:BU4"/>
    <mergeCell ref="BV4:CA4"/>
    <mergeCell ref="P3:Q4"/>
    <mergeCell ref="R3:S4"/>
    <mergeCell ref="T3:AK3"/>
    <mergeCell ref="AL3:DK3"/>
    <mergeCell ref="T4:Y4"/>
    <mergeCell ref="Z4:AE4"/>
    <mergeCell ref="AF4:AK4"/>
    <mergeCell ref="AL4:AQ4"/>
    <mergeCell ref="AR4:AW4"/>
    <mergeCell ref="AX4:BC4"/>
    <mergeCell ref="P5:P6"/>
    <mergeCell ref="O3:O6"/>
    <mergeCell ref="Z5:AA5"/>
    <mergeCell ref="CN4:CS4"/>
    <mergeCell ref="CT4:CY4"/>
    <mergeCell ref="CZ4:DE4"/>
    <mergeCell ref="AP5:AQ5"/>
    <mergeCell ref="AR5:AS5"/>
    <mergeCell ref="AT5:AU5"/>
    <mergeCell ref="AV5:AW5"/>
    <mergeCell ref="BV5:BW5"/>
    <mergeCell ref="AZ5:BA5"/>
    <mergeCell ref="BB5:BC5"/>
    <mergeCell ref="BD5:BE5"/>
    <mergeCell ref="BF5:BG5"/>
    <mergeCell ref="BH5:BI5"/>
    <mergeCell ref="BJ5:BK5"/>
    <mergeCell ref="DF4:DK4"/>
    <mergeCell ref="CB4:CG4"/>
    <mergeCell ref="CH4:CM4"/>
    <mergeCell ref="R5:R6"/>
    <mergeCell ref="S5:S6"/>
    <mergeCell ref="T5:U5"/>
    <mergeCell ref="V5:W5"/>
    <mergeCell ref="X5:Y5"/>
    <mergeCell ref="AX5:AY5"/>
    <mergeCell ref="AB5:AC5"/>
    <mergeCell ref="AD5:AE5"/>
    <mergeCell ref="AF5:AG5"/>
    <mergeCell ref="AH5:AI5"/>
    <mergeCell ref="AJ5:AK5"/>
    <mergeCell ref="AL5:AM5"/>
    <mergeCell ref="AN5:AO5"/>
    <mergeCell ref="BL5:BM5"/>
    <mergeCell ref="BN5:BO5"/>
    <mergeCell ref="BP5:BQ5"/>
    <mergeCell ref="BR5:BS5"/>
    <mergeCell ref="BT5:BU5"/>
    <mergeCell ref="CT5:CU5"/>
    <mergeCell ref="BX5:BY5"/>
    <mergeCell ref="BZ5:CA5"/>
    <mergeCell ref="CB5:CC5"/>
    <mergeCell ref="CD5:CE5"/>
    <mergeCell ref="CF5:CG5"/>
    <mergeCell ref="CH5:CI5"/>
    <mergeCell ref="CJ5:CK5"/>
    <mergeCell ref="CL5:CM5"/>
    <mergeCell ref="CN5:CO5"/>
    <mergeCell ref="CP5:CQ5"/>
    <mergeCell ref="CR5:CS5"/>
    <mergeCell ref="DH5:DI5"/>
    <mergeCell ref="DJ5:DK5"/>
    <mergeCell ref="CV5:CW5"/>
    <mergeCell ref="CX5:CY5"/>
    <mergeCell ref="CZ5:DA5"/>
    <mergeCell ref="DB5:DC5"/>
    <mergeCell ref="DD5:DE5"/>
    <mergeCell ref="DF5:DG5"/>
  </mergeCells>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DS53"/>
  <sheetViews>
    <sheetView tabSelected="1" zoomScaleNormal="100" workbookViewId="0">
      <pane xSplit="10" ySplit="8" topLeftCell="CG9" activePane="bottomRight" state="frozen"/>
      <selection pane="topRight" activeCell="K1" sqref="K1"/>
      <selection pane="bottomLeft" activeCell="A9" sqref="A9"/>
      <selection pane="bottomRight" activeCell="CW15" sqref="CW15"/>
    </sheetView>
  </sheetViews>
  <sheetFormatPr defaultColWidth="10.42578125" defaultRowHeight="15"/>
  <cols>
    <col min="1" max="1" width="6" style="14" customWidth="1"/>
    <col min="2" max="2" width="9.28515625" style="14" customWidth="1"/>
    <col min="3" max="3" width="8.5703125" style="14" customWidth="1"/>
    <col min="4" max="4" width="26.7109375" style="14" customWidth="1"/>
    <col min="5" max="5" width="11.42578125" style="14" customWidth="1"/>
    <col min="6" max="6" width="13.85546875" style="14" bestFit="1" customWidth="1"/>
    <col min="7" max="10" width="13.85546875" style="14" customWidth="1"/>
    <col min="11" max="11" width="17.140625" style="14" customWidth="1"/>
    <col min="12" max="12" width="10" style="14" customWidth="1"/>
    <col min="13" max="13" width="14" style="14" customWidth="1"/>
    <col min="14" max="14" width="13.85546875" style="14" customWidth="1"/>
    <col min="15" max="18" width="14" style="14" customWidth="1"/>
    <col min="19" max="19" width="14.85546875" style="14" customWidth="1"/>
    <col min="20" max="20" width="13.28515625" style="14" customWidth="1"/>
    <col min="21" max="21" width="14.85546875" style="14" customWidth="1"/>
    <col min="22" max="22" width="12.28515625" style="14" customWidth="1"/>
    <col min="23" max="23" width="13.28515625" style="14" customWidth="1"/>
    <col min="24" max="24" width="7.7109375" style="14" customWidth="1"/>
    <col min="25" max="28" width="12" style="14" customWidth="1"/>
    <col min="29" max="30" width="7.7109375" style="14" customWidth="1"/>
    <col min="31" max="31" width="10.5703125" style="14" customWidth="1"/>
    <col min="32" max="32" width="7.7109375" style="14" customWidth="1"/>
    <col min="33" max="33" width="12" style="14" customWidth="1"/>
    <col min="34" max="34" width="7.7109375" style="14" customWidth="1"/>
    <col min="35" max="36" width="13.7109375" style="14" customWidth="1"/>
    <col min="37" max="38" width="12" style="14" customWidth="1"/>
    <col min="39" max="40" width="13.7109375" style="14" customWidth="1"/>
    <col min="41" max="41" width="14.85546875" style="14" bestFit="1" customWidth="1"/>
    <col min="42" max="42" width="12" style="14" bestFit="1" customWidth="1"/>
    <col min="43" max="44" width="7.7109375" style="14" bestFit="1" customWidth="1"/>
    <col min="45" max="45" width="13.7109375" style="14" bestFit="1" customWidth="1"/>
    <col min="46" max="46" width="12" style="14" bestFit="1" customWidth="1"/>
    <col min="47" max="47" width="13.28515625" style="14" bestFit="1" customWidth="1"/>
    <col min="48" max="48" width="12" style="14" bestFit="1" customWidth="1"/>
    <col min="49" max="49" width="13.28515625" style="14" bestFit="1" customWidth="1"/>
    <col min="50" max="50" width="7.7109375" style="14" bestFit="1" customWidth="1"/>
    <col min="51" max="52" width="12" style="14" bestFit="1" customWidth="1"/>
    <col min="53" max="53" width="13.28515625" style="14" bestFit="1" customWidth="1"/>
    <col min="54" max="54" width="12" style="14" bestFit="1" customWidth="1"/>
    <col min="55" max="55" width="13.28515625" style="14" bestFit="1" customWidth="1"/>
    <col min="56" max="56" width="7.7109375" style="14" bestFit="1" customWidth="1"/>
    <col min="57" max="57" width="12" style="14" bestFit="1" customWidth="1"/>
    <col min="58" max="58" width="12" style="14" customWidth="1"/>
    <col min="59" max="59" width="12" style="14" bestFit="1" customWidth="1"/>
    <col min="60" max="60" width="14.85546875" style="14" bestFit="1" customWidth="1"/>
    <col min="61" max="61" width="12" style="14" bestFit="1" customWidth="1"/>
    <col min="62" max="62" width="13.28515625" style="14" bestFit="1" customWidth="1"/>
    <col min="63" max="63" width="10.85546875" style="14" bestFit="1" customWidth="1"/>
    <col min="64" max="64" width="13.7109375" style="14" bestFit="1" customWidth="1"/>
    <col min="65" max="65" width="13.7109375" style="14" customWidth="1"/>
    <col min="66" max="66" width="12" style="14" bestFit="1" customWidth="1"/>
    <col min="67" max="67" width="13.28515625" style="14" bestFit="1" customWidth="1"/>
    <col min="68" max="68" width="12" style="14" bestFit="1" customWidth="1"/>
    <col min="69" max="69" width="13.28515625" style="14" bestFit="1" customWidth="1"/>
    <col min="70" max="70" width="7.7109375" style="14" bestFit="1" customWidth="1"/>
    <col min="71" max="71" width="13.7109375" style="14" bestFit="1" customWidth="1"/>
    <col min="72" max="72" width="13.7109375" style="14" customWidth="1"/>
    <col min="73" max="73" width="12" style="14" bestFit="1" customWidth="1"/>
    <col min="74" max="74" width="7.7109375" style="14" bestFit="1" customWidth="1"/>
    <col min="75" max="75" width="12" style="14" bestFit="1" customWidth="1"/>
    <col min="76" max="76" width="13.28515625" style="14" bestFit="1" customWidth="1"/>
    <col min="77" max="77" width="7.7109375" style="14" bestFit="1" customWidth="1"/>
    <col min="78" max="78" width="12" style="14" bestFit="1" customWidth="1"/>
    <col min="79" max="79" width="12" style="14" customWidth="1"/>
    <col min="80" max="80" width="12" style="14" bestFit="1" customWidth="1"/>
    <col min="81" max="81" width="7.7109375" style="14" bestFit="1" customWidth="1"/>
    <col min="82" max="82" width="12" style="14" bestFit="1" customWidth="1"/>
    <col min="83" max="85" width="7.7109375" style="14" bestFit="1" customWidth="1"/>
    <col min="86" max="86" width="13.140625" style="14" bestFit="1" customWidth="1"/>
    <col min="87" max="87" width="12" style="14" bestFit="1" customWidth="1"/>
    <col min="88" max="88" width="7.7109375" style="14" bestFit="1" customWidth="1"/>
    <col min="89" max="89" width="12" style="14" bestFit="1" customWidth="1"/>
    <col min="90" max="90" width="7.7109375" style="14" bestFit="1" customWidth="1"/>
    <col min="91" max="91" width="10.85546875" style="14" bestFit="1" customWidth="1"/>
    <col min="92" max="92" width="7.7109375" style="14" bestFit="1" customWidth="1"/>
    <col min="93" max="93" width="12" style="14" bestFit="1" customWidth="1"/>
    <col min="94" max="94" width="7.7109375" style="14" bestFit="1" customWidth="1"/>
    <col min="95" max="95" width="12" style="14" bestFit="1" customWidth="1"/>
    <col min="96" max="98" width="7.7109375" style="14" bestFit="1" customWidth="1"/>
    <col min="99" max="99" width="12" style="14" bestFit="1" customWidth="1"/>
    <col min="100" max="100" width="7.7109375" style="14" bestFit="1" customWidth="1"/>
    <col min="101" max="101" width="12" style="14" bestFit="1" customWidth="1"/>
    <col min="102" max="102" width="7.7109375" style="14" bestFit="1" customWidth="1"/>
    <col min="103" max="103" width="10.85546875" style="14" bestFit="1" customWidth="1"/>
    <col min="104" max="104" width="7.7109375" style="14" bestFit="1" customWidth="1"/>
    <col min="105" max="105" width="12" style="14" bestFit="1" customWidth="1"/>
    <col min="106" max="106" width="7.7109375" style="14" bestFit="1" customWidth="1"/>
    <col min="107" max="107" width="12" style="14" bestFit="1" customWidth="1"/>
    <col min="108" max="110" width="7.7109375" style="14" bestFit="1" customWidth="1"/>
    <col min="111" max="111" width="12" style="14" bestFit="1" customWidth="1"/>
    <col min="112" max="117" width="7.7109375" style="14" bestFit="1" customWidth="1"/>
    <col min="118" max="118" width="13.7109375" style="14" bestFit="1" customWidth="1"/>
    <col min="119" max="119" width="13.85546875" style="14" bestFit="1" customWidth="1"/>
    <col min="120" max="120" width="12" style="14" bestFit="1" customWidth="1"/>
    <col min="121" max="121" width="10.85546875" style="14" bestFit="1" customWidth="1"/>
    <col min="122" max="122" width="13.7109375" style="14" bestFit="1" customWidth="1"/>
    <col min="123" max="123" width="13.85546875" style="14" bestFit="1" customWidth="1"/>
    <col min="124" max="16384" width="10.42578125" style="14"/>
  </cols>
  <sheetData>
    <row r="1" spans="1:123" s="13" customFormat="1" ht="15.75">
      <c r="B1" s="142" t="s">
        <v>0</v>
      </c>
      <c r="M1" s="1"/>
      <c r="N1" s="1"/>
      <c r="O1" s="1"/>
      <c r="P1" s="1"/>
      <c r="Q1" s="1"/>
      <c r="R1" s="1"/>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c r="AZ1" s="132"/>
      <c r="BA1" s="132"/>
      <c r="BB1" s="132"/>
      <c r="BC1" s="132"/>
      <c r="BD1" s="132"/>
      <c r="BE1" s="132"/>
      <c r="BF1" s="132"/>
      <c r="BG1" s="132"/>
      <c r="BH1" s="132"/>
      <c r="BI1" s="132"/>
      <c r="BJ1" s="132"/>
      <c r="BK1" s="132"/>
      <c r="BL1" s="132"/>
      <c r="BM1" s="132"/>
      <c r="BN1" s="132"/>
      <c r="BO1" s="132"/>
      <c r="BP1" s="132"/>
      <c r="BQ1" s="132"/>
      <c r="BR1" s="132"/>
      <c r="BS1" s="132"/>
      <c r="BT1" s="132"/>
      <c r="BU1" s="132"/>
      <c r="BV1" s="132"/>
      <c r="BW1" s="132"/>
      <c r="BX1" s="132"/>
      <c r="BY1" s="132"/>
      <c r="BZ1" s="132"/>
      <c r="CA1" s="132"/>
      <c r="CB1" s="132"/>
      <c r="CC1" s="132"/>
      <c r="CD1" s="132"/>
      <c r="CE1" s="132"/>
      <c r="CF1" s="132"/>
      <c r="CG1" s="132"/>
      <c r="CH1" s="132"/>
      <c r="CI1" s="132"/>
      <c r="CJ1" s="132"/>
      <c r="CK1" s="132"/>
      <c r="CL1" s="132"/>
      <c r="CM1" s="132"/>
      <c r="CN1" s="132"/>
      <c r="CO1" s="132"/>
      <c r="CP1" s="132"/>
      <c r="CQ1" s="132"/>
      <c r="CR1" s="132"/>
      <c r="CS1" s="132"/>
      <c r="CT1" s="132"/>
      <c r="CU1" s="132"/>
      <c r="CV1" s="132"/>
      <c r="CW1" s="132"/>
      <c r="CX1" s="132"/>
      <c r="CY1" s="132"/>
      <c r="CZ1" s="132"/>
      <c r="DA1" s="132"/>
      <c r="DB1" s="132"/>
      <c r="DC1" s="132"/>
      <c r="DD1" s="132"/>
      <c r="DE1" s="132"/>
      <c r="DF1" s="132"/>
      <c r="DG1" s="132"/>
      <c r="DH1" s="132"/>
      <c r="DI1" s="132"/>
      <c r="DJ1" s="132"/>
      <c r="DK1" s="132"/>
      <c r="DL1" s="132"/>
      <c r="DM1" s="132"/>
      <c r="DN1" s="132"/>
      <c r="DO1" s="132"/>
      <c r="DP1" s="132"/>
      <c r="DQ1" s="132"/>
      <c r="DR1" s="132"/>
      <c r="DS1" s="132"/>
    </row>
    <row r="2" spans="1:123" s="13" customFormat="1" ht="15.75" thickBot="1">
      <c r="D2" s="13">
        <f>SUBTOTAL(3,D8:D28)</f>
        <v>20</v>
      </c>
      <c r="I2" s="133">
        <f>I7-343500</f>
        <v>3592688</v>
      </c>
      <c r="O2" s="133"/>
      <c r="P2" s="133"/>
      <c r="Q2" s="133"/>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f>AZ7-AY7</f>
        <v>-105000</v>
      </c>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2"/>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32"/>
      <c r="DE2" s="132"/>
      <c r="DF2" s="132"/>
      <c r="DG2" s="132"/>
      <c r="DH2" s="132"/>
      <c r="DI2" s="132"/>
      <c r="DJ2" s="132"/>
      <c r="DK2" s="132"/>
      <c r="DL2" s="132"/>
      <c r="DM2" s="132"/>
      <c r="DN2" s="132"/>
      <c r="DO2" s="132"/>
      <c r="DP2" s="132"/>
      <c r="DQ2" s="132"/>
      <c r="DR2" s="132"/>
      <c r="DS2" s="132"/>
    </row>
    <row r="3" spans="1:123" s="13" customFormat="1" ht="19.5" customHeight="1" thickBot="1">
      <c r="A3" s="546" t="s">
        <v>1</v>
      </c>
      <c r="B3" s="549" t="s">
        <v>2</v>
      </c>
      <c r="C3" s="549" t="s">
        <v>3</v>
      </c>
      <c r="D3" s="549" t="s">
        <v>4</v>
      </c>
      <c r="E3" s="516" t="s">
        <v>1163</v>
      </c>
      <c r="F3" s="516" t="s">
        <v>1170</v>
      </c>
      <c r="G3" s="519" t="s">
        <v>1242</v>
      </c>
      <c r="H3" s="519" t="s">
        <v>1259</v>
      </c>
      <c r="I3" s="543" t="s">
        <v>1258</v>
      </c>
      <c r="J3" s="510" t="s">
        <v>1178</v>
      </c>
      <c r="K3" s="549" t="s">
        <v>5</v>
      </c>
      <c r="L3" s="492" t="s">
        <v>6</v>
      </c>
      <c r="M3" s="493"/>
      <c r="N3" s="492" t="s">
        <v>9</v>
      </c>
      <c r="O3" s="493"/>
      <c r="P3" s="469" t="s">
        <v>1197</v>
      </c>
      <c r="Q3" s="273"/>
      <c r="R3" s="485" t="s">
        <v>1196</v>
      </c>
      <c r="S3" s="569" t="s">
        <v>7</v>
      </c>
      <c r="T3" s="570"/>
      <c r="U3" s="569" t="s">
        <v>8</v>
      </c>
      <c r="V3" s="570"/>
      <c r="W3" s="565" t="s">
        <v>9</v>
      </c>
      <c r="X3" s="566"/>
      <c r="Y3" s="566"/>
      <c r="Z3" s="566"/>
      <c r="AA3" s="566"/>
      <c r="AB3" s="566"/>
      <c r="AC3" s="566"/>
      <c r="AD3" s="566"/>
      <c r="AE3" s="566"/>
      <c r="AF3" s="566"/>
      <c r="AG3" s="566"/>
      <c r="AH3" s="566"/>
      <c r="AI3" s="566"/>
      <c r="AJ3" s="566"/>
      <c r="AK3" s="566"/>
      <c r="AL3" s="566"/>
      <c r="AM3" s="566"/>
      <c r="AN3" s="566"/>
      <c r="AO3" s="552">
        <v>2025</v>
      </c>
      <c r="AP3" s="553"/>
      <c r="AQ3" s="553"/>
      <c r="AR3" s="553"/>
      <c r="AS3" s="553"/>
      <c r="AT3" s="553"/>
      <c r="AU3" s="553"/>
      <c r="AV3" s="553"/>
      <c r="AW3" s="553"/>
      <c r="AX3" s="553"/>
      <c r="AY3" s="553"/>
      <c r="AZ3" s="553"/>
      <c r="BA3" s="553"/>
      <c r="BB3" s="553"/>
      <c r="BC3" s="553"/>
      <c r="BD3" s="553"/>
      <c r="BE3" s="553"/>
      <c r="BF3" s="553"/>
      <c r="BG3" s="553"/>
      <c r="BH3" s="553"/>
      <c r="BI3" s="553"/>
      <c r="BJ3" s="553"/>
      <c r="BK3" s="553"/>
      <c r="BL3" s="553"/>
      <c r="BM3" s="553"/>
      <c r="BN3" s="553"/>
      <c r="BO3" s="553"/>
      <c r="BP3" s="553"/>
      <c r="BQ3" s="553"/>
      <c r="BR3" s="553"/>
      <c r="BS3" s="553"/>
      <c r="BT3" s="553"/>
      <c r="BU3" s="553"/>
      <c r="BV3" s="553"/>
      <c r="BW3" s="553"/>
      <c r="BX3" s="553"/>
      <c r="BY3" s="553"/>
      <c r="BZ3" s="553"/>
      <c r="CA3" s="553"/>
      <c r="CB3" s="553"/>
      <c r="CC3" s="553"/>
      <c r="CD3" s="553"/>
      <c r="CE3" s="553"/>
      <c r="CF3" s="553"/>
      <c r="CG3" s="553"/>
      <c r="CH3" s="553"/>
      <c r="CI3" s="553"/>
      <c r="CJ3" s="553"/>
      <c r="CK3" s="553"/>
      <c r="CL3" s="553"/>
      <c r="CM3" s="553"/>
      <c r="CN3" s="553"/>
      <c r="CO3" s="553"/>
      <c r="CP3" s="553"/>
      <c r="CQ3" s="553"/>
      <c r="CR3" s="553"/>
      <c r="CS3" s="553"/>
      <c r="CT3" s="553"/>
      <c r="CU3" s="553"/>
      <c r="CV3" s="553"/>
      <c r="CW3" s="553"/>
      <c r="CX3" s="553"/>
      <c r="CY3" s="553"/>
      <c r="CZ3" s="553"/>
      <c r="DA3" s="553"/>
      <c r="DB3" s="553"/>
      <c r="DC3" s="553"/>
      <c r="DD3" s="553"/>
      <c r="DE3" s="553"/>
      <c r="DF3" s="553"/>
      <c r="DG3" s="553"/>
      <c r="DH3" s="553"/>
      <c r="DI3" s="553"/>
      <c r="DJ3" s="553"/>
      <c r="DK3" s="553"/>
      <c r="DL3" s="553"/>
      <c r="DM3" s="553"/>
      <c r="DN3" s="553"/>
      <c r="DO3" s="553"/>
      <c r="DP3" s="553"/>
      <c r="DQ3" s="553"/>
      <c r="DR3" s="553"/>
      <c r="DS3" s="554"/>
    </row>
    <row r="4" spans="1:123" s="13" customFormat="1" ht="80.25" customHeight="1" thickBot="1">
      <c r="A4" s="547"/>
      <c r="B4" s="550"/>
      <c r="C4" s="550"/>
      <c r="D4" s="550"/>
      <c r="E4" s="517"/>
      <c r="F4" s="517"/>
      <c r="G4" s="520"/>
      <c r="H4" s="520"/>
      <c r="I4" s="544"/>
      <c r="J4" s="511"/>
      <c r="K4" s="550"/>
      <c r="L4" s="494"/>
      <c r="M4" s="495"/>
      <c r="N4" s="494"/>
      <c r="O4" s="495"/>
      <c r="P4" s="496"/>
      <c r="Q4" s="271" t="s">
        <v>1234</v>
      </c>
      <c r="R4" s="486"/>
      <c r="S4" s="571"/>
      <c r="T4" s="572"/>
      <c r="U4" s="571"/>
      <c r="V4" s="572"/>
      <c r="W4" s="552" t="s">
        <v>10</v>
      </c>
      <c r="X4" s="553"/>
      <c r="Y4" s="553"/>
      <c r="Z4" s="553"/>
      <c r="AA4" s="553"/>
      <c r="AB4" s="554"/>
      <c r="AC4" s="552" t="s">
        <v>11</v>
      </c>
      <c r="AD4" s="553"/>
      <c r="AE4" s="553"/>
      <c r="AF4" s="553"/>
      <c r="AG4" s="553"/>
      <c r="AH4" s="554"/>
      <c r="AI4" s="552" t="s">
        <v>9</v>
      </c>
      <c r="AJ4" s="553"/>
      <c r="AK4" s="553"/>
      <c r="AL4" s="553"/>
      <c r="AM4" s="553"/>
      <c r="AN4" s="554"/>
      <c r="AO4" s="552" t="s">
        <v>12</v>
      </c>
      <c r="AP4" s="553"/>
      <c r="AQ4" s="553"/>
      <c r="AR4" s="553"/>
      <c r="AS4" s="553"/>
      <c r="AT4" s="554"/>
      <c r="AU4" s="552" t="s">
        <v>13</v>
      </c>
      <c r="AV4" s="553"/>
      <c r="AW4" s="553"/>
      <c r="AX4" s="553"/>
      <c r="AY4" s="553"/>
      <c r="AZ4" s="554"/>
      <c r="BA4" s="552" t="s">
        <v>14</v>
      </c>
      <c r="BB4" s="553"/>
      <c r="BC4" s="553"/>
      <c r="BD4" s="553"/>
      <c r="BE4" s="553"/>
      <c r="BF4" s="555"/>
      <c r="BG4" s="554"/>
      <c r="BH4" s="552" t="s">
        <v>15</v>
      </c>
      <c r="BI4" s="553"/>
      <c r="BJ4" s="553"/>
      <c r="BK4" s="553"/>
      <c r="BL4" s="553"/>
      <c r="BM4" s="555"/>
      <c r="BN4" s="554"/>
      <c r="BO4" s="552" t="s">
        <v>16</v>
      </c>
      <c r="BP4" s="553"/>
      <c r="BQ4" s="553"/>
      <c r="BR4" s="553"/>
      <c r="BS4" s="553"/>
      <c r="BT4" s="555"/>
      <c r="BU4" s="554"/>
      <c r="BV4" s="552" t="s">
        <v>17</v>
      </c>
      <c r="BW4" s="553"/>
      <c r="BX4" s="553"/>
      <c r="BY4" s="553"/>
      <c r="BZ4" s="553"/>
      <c r="CA4" s="555"/>
      <c r="CB4" s="554"/>
      <c r="CC4" s="552" t="s">
        <v>18</v>
      </c>
      <c r="CD4" s="553"/>
      <c r="CE4" s="553"/>
      <c r="CF4" s="553"/>
      <c r="CG4" s="553"/>
      <c r="CH4" s="555"/>
      <c r="CI4" s="554"/>
      <c r="CJ4" s="552" t="s">
        <v>19</v>
      </c>
      <c r="CK4" s="553"/>
      <c r="CL4" s="553"/>
      <c r="CM4" s="553"/>
      <c r="CN4" s="553"/>
      <c r="CO4" s="555"/>
      <c r="CP4" s="552" t="s">
        <v>20</v>
      </c>
      <c r="CQ4" s="553"/>
      <c r="CR4" s="553"/>
      <c r="CS4" s="553"/>
      <c r="CT4" s="553"/>
      <c r="CU4" s="555"/>
      <c r="CV4" s="552" t="s">
        <v>21</v>
      </c>
      <c r="CW4" s="553"/>
      <c r="CX4" s="553"/>
      <c r="CY4" s="553"/>
      <c r="CZ4" s="553"/>
      <c r="DA4" s="555"/>
      <c r="DB4" s="556" t="s">
        <v>22</v>
      </c>
      <c r="DC4" s="557"/>
      <c r="DD4" s="557"/>
      <c r="DE4" s="557"/>
      <c r="DF4" s="557"/>
      <c r="DG4" s="558"/>
      <c r="DH4" s="552" t="s">
        <v>23</v>
      </c>
      <c r="DI4" s="553"/>
      <c r="DJ4" s="553"/>
      <c r="DK4" s="553"/>
      <c r="DL4" s="553"/>
      <c r="DM4" s="554"/>
      <c r="DN4" s="552" t="s">
        <v>24</v>
      </c>
      <c r="DO4" s="553"/>
      <c r="DP4" s="553"/>
      <c r="DQ4" s="553"/>
      <c r="DR4" s="553"/>
      <c r="DS4" s="554"/>
    </row>
    <row r="5" spans="1:123" s="13" customFormat="1" ht="15" customHeight="1">
      <c r="A5" s="547"/>
      <c r="B5" s="550"/>
      <c r="C5" s="550"/>
      <c r="D5" s="550"/>
      <c r="E5" s="517"/>
      <c r="F5" s="517"/>
      <c r="G5" s="520"/>
      <c r="H5" s="520"/>
      <c r="I5" s="544"/>
      <c r="J5" s="511"/>
      <c r="K5" s="550"/>
      <c r="L5" s="469" t="s">
        <v>1169</v>
      </c>
      <c r="M5" s="469" t="s">
        <v>1171</v>
      </c>
      <c r="N5" s="469" t="s">
        <v>1174</v>
      </c>
      <c r="O5" s="469" t="s">
        <v>1177</v>
      </c>
      <c r="P5" s="496"/>
      <c r="Q5" s="274"/>
      <c r="R5" s="486"/>
      <c r="S5" s="567" t="s">
        <v>1169</v>
      </c>
      <c r="T5" s="568" t="s">
        <v>1168</v>
      </c>
      <c r="U5" s="567" t="s">
        <v>1169</v>
      </c>
      <c r="V5" s="568" t="s">
        <v>1168</v>
      </c>
      <c r="W5" s="559" t="s">
        <v>1167</v>
      </c>
      <c r="X5" s="560"/>
      <c r="Y5" s="460" t="s">
        <v>1166</v>
      </c>
      <c r="Z5" s="461"/>
      <c r="AA5" s="464" t="s">
        <v>25</v>
      </c>
      <c r="AB5" s="561"/>
      <c r="AC5" s="559" t="s">
        <v>1167</v>
      </c>
      <c r="AD5" s="560"/>
      <c r="AE5" s="460" t="s">
        <v>1166</v>
      </c>
      <c r="AF5" s="461"/>
      <c r="AG5" s="464" t="s">
        <v>25</v>
      </c>
      <c r="AH5" s="561"/>
      <c r="AI5" s="464" t="s">
        <v>1167</v>
      </c>
      <c r="AJ5" s="460"/>
      <c r="AK5" s="460" t="s">
        <v>1166</v>
      </c>
      <c r="AL5" s="461"/>
      <c r="AM5" s="464" t="s">
        <v>25</v>
      </c>
      <c r="AN5" s="561"/>
      <c r="AO5" s="559" t="s">
        <v>1167</v>
      </c>
      <c r="AP5" s="560"/>
      <c r="AQ5" s="560" t="s">
        <v>1166</v>
      </c>
      <c r="AR5" s="562"/>
      <c r="AS5" s="464" t="s">
        <v>25</v>
      </c>
      <c r="AT5" s="561"/>
      <c r="AU5" s="559" t="s">
        <v>1167</v>
      </c>
      <c r="AV5" s="560"/>
      <c r="AW5" s="560" t="s">
        <v>1166</v>
      </c>
      <c r="AX5" s="562"/>
      <c r="AY5" s="464" t="s">
        <v>25</v>
      </c>
      <c r="AZ5" s="561"/>
      <c r="BA5" s="464" t="s">
        <v>1167</v>
      </c>
      <c r="BB5" s="460"/>
      <c r="BC5" s="460" t="s">
        <v>1166</v>
      </c>
      <c r="BD5" s="461"/>
      <c r="BE5" s="464" t="s">
        <v>25</v>
      </c>
      <c r="BF5" s="563"/>
      <c r="BG5" s="561"/>
      <c r="BH5" s="559" t="s">
        <v>1167</v>
      </c>
      <c r="BI5" s="560"/>
      <c r="BJ5" s="560" t="s">
        <v>1166</v>
      </c>
      <c r="BK5" s="562"/>
      <c r="BL5" s="464" t="s">
        <v>25</v>
      </c>
      <c r="BM5" s="563"/>
      <c r="BN5" s="561"/>
      <c r="BO5" s="559" t="s">
        <v>1167</v>
      </c>
      <c r="BP5" s="560"/>
      <c r="BQ5" s="560" t="s">
        <v>1166</v>
      </c>
      <c r="BR5" s="562"/>
      <c r="BS5" s="464" t="s">
        <v>25</v>
      </c>
      <c r="BT5" s="563"/>
      <c r="BU5" s="561"/>
      <c r="BV5" s="559" t="s">
        <v>1167</v>
      </c>
      <c r="BW5" s="560"/>
      <c r="BX5" s="560" t="s">
        <v>1166</v>
      </c>
      <c r="BY5" s="562"/>
      <c r="BZ5" s="464" t="s">
        <v>25</v>
      </c>
      <c r="CA5" s="563"/>
      <c r="CB5" s="561"/>
      <c r="CC5" s="559" t="s">
        <v>1167</v>
      </c>
      <c r="CD5" s="560"/>
      <c r="CE5" s="560" t="s">
        <v>1166</v>
      </c>
      <c r="CF5" s="562"/>
      <c r="CG5" s="464" t="s">
        <v>25</v>
      </c>
      <c r="CH5" s="563"/>
      <c r="CI5" s="561"/>
      <c r="CJ5" s="559" t="s">
        <v>1167</v>
      </c>
      <c r="CK5" s="560"/>
      <c r="CL5" s="560" t="s">
        <v>1166</v>
      </c>
      <c r="CM5" s="562"/>
      <c r="CN5" s="464" t="s">
        <v>25</v>
      </c>
      <c r="CO5" s="561"/>
      <c r="CP5" s="559" t="s">
        <v>1167</v>
      </c>
      <c r="CQ5" s="560"/>
      <c r="CR5" s="560" t="s">
        <v>1166</v>
      </c>
      <c r="CS5" s="562"/>
      <c r="CT5" s="464" t="s">
        <v>25</v>
      </c>
      <c r="CU5" s="561"/>
      <c r="CV5" s="559" t="s">
        <v>1167</v>
      </c>
      <c r="CW5" s="560"/>
      <c r="CX5" s="560" t="s">
        <v>1166</v>
      </c>
      <c r="CY5" s="562"/>
      <c r="CZ5" s="464" t="s">
        <v>25</v>
      </c>
      <c r="DA5" s="561"/>
      <c r="DB5" s="559" t="s">
        <v>1167</v>
      </c>
      <c r="DC5" s="560"/>
      <c r="DD5" s="560" t="s">
        <v>1166</v>
      </c>
      <c r="DE5" s="562"/>
      <c r="DF5" s="464" t="s">
        <v>25</v>
      </c>
      <c r="DG5" s="561"/>
      <c r="DH5" s="559" t="s">
        <v>1167</v>
      </c>
      <c r="DI5" s="560"/>
      <c r="DJ5" s="560" t="s">
        <v>1166</v>
      </c>
      <c r="DK5" s="562"/>
      <c r="DL5" s="464" t="s">
        <v>25</v>
      </c>
      <c r="DM5" s="561"/>
      <c r="DN5" s="464" t="s">
        <v>1167</v>
      </c>
      <c r="DO5" s="460"/>
      <c r="DP5" s="460" t="s">
        <v>1166</v>
      </c>
      <c r="DQ5" s="461"/>
      <c r="DR5" s="464" t="s">
        <v>25</v>
      </c>
      <c r="DS5" s="561"/>
    </row>
    <row r="6" spans="1:123" s="13" customFormat="1" ht="15.75" thickBot="1">
      <c r="A6" s="548"/>
      <c r="B6" s="551"/>
      <c r="C6" s="551"/>
      <c r="D6" s="551"/>
      <c r="E6" s="518"/>
      <c r="F6" s="518"/>
      <c r="G6" s="521"/>
      <c r="H6" s="521"/>
      <c r="I6" s="545"/>
      <c r="J6" s="512"/>
      <c r="K6" s="551"/>
      <c r="L6" s="497"/>
      <c r="M6" s="497"/>
      <c r="N6" s="497"/>
      <c r="O6" s="497"/>
      <c r="P6" s="470"/>
      <c r="Q6" s="275"/>
      <c r="R6" s="487"/>
      <c r="S6" s="472"/>
      <c r="T6" s="474"/>
      <c r="U6" s="472"/>
      <c r="V6" s="474"/>
      <c r="W6" s="2" t="s">
        <v>26</v>
      </c>
      <c r="X6" s="3" t="s">
        <v>27</v>
      </c>
      <c r="Y6" s="3" t="s">
        <v>26</v>
      </c>
      <c r="Z6" s="4" t="s">
        <v>27</v>
      </c>
      <c r="AA6" s="2" t="s">
        <v>26</v>
      </c>
      <c r="AB6" s="140" t="s">
        <v>27</v>
      </c>
      <c r="AC6" s="2" t="s">
        <v>26</v>
      </c>
      <c r="AD6" s="3" t="s">
        <v>27</v>
      </c>
      <c r="AE6" s="3" t="s">
        <v>26</v>
      </c>
      <c r="AF6" s="4" t="s">
        <v>27</v>
      </c>
      <c r="AG6" s="2" t="s">
        <v>26</v>
      </c>
      <c r="AH6" s="140" t="s">
        <v>27</v>
      </c>
      <c r="AI6" s="2" t="s">
        <v>26</v>
      </c>
      <c r="AJ6" s="3" t="s">
        <v>27</v>
      </c>
      <c r="AK6" s="3" t="s">
        <v>26</v>
      </c>
      <c r="AL6" s="4" t="s">
        <v>27</v>
      </c>
      <c r="AM6" s="2" t="s">
        <v>26</v>
      </c>
      <c r="AN6" s="140" t="s">
        <v>27</v>
      </c>
      <c r="AO6" s="134" t="s">
        <v>26</v>
      </c>
      <c r="AP6" s="135" t="s">
        <v>27</v>
      </c>
      <c r="AQ6" s="135" t="s">
        <v>26</v>
      </c>
      <c r="AR6" s="136" t="s">
        <v>27</v>
      </c>
      <c r="AS6" s="2" t="s">
        <v>26</v>
      </c>
      <c r="AT6" s="140" t="s">
        <v>27</v>
      </c>
      <c r="AU6" s="2" t="s">
        <v>26</v>
      </c>
      <c r="AV6" s="3" t="s">
        <v>27</v>
      </c>
      <c r="AW6" s="3" t="s">
        <v>26</v>
      </c>
      <c r="AX6" s="4" t="s">
        <v>27</v>
      </c>
      <c r="AY6" s="2" t="s">
        <v>26</v>
      </c>
      <c r="AZ6" s="140" t="s">
        <v>27</v>
      </c>
      <c r="BA6" s="2" t="s">
        <v>26</v>
      </c>
      <c r="BB6" s="3" t="s">
        <v>27</v>
      </c>
      <c r="BC6" s="3" t="s">
        <v>26</v>
      </c>
      <c r="BD6" s="4" t="s">
        <v>27</v>
      </c>
      <c r="BE6" s="2" t="s">
        <v>26</v>
      </c>
      <c r="BF6" s="367" t="s">
        <v>1254</v>
      </c>
      <c r="BG6" s="140" t="s">
        <v>27</v>
      </c>
      <c r="BH6" s="2" t="s">
        <v>26</v>
      </c>
      <c r="BI6" s="3" t="s">
        <v>27</v>
      </c>
      <c r="BJ6" s="3" t="s">
        <v>26</v>
      </c>
      <c r="BK6" s="4" t="s">
        <v>27</v>
      </c>
      <c r="BL6" s="2" t="s">
        <v>26</v>
      </c>
      <c r="BM6" s="367" t="s">
        <v>1254</v>
      </c>
      <c r="BN6" s="140" t="s">
        <v>27</v>
      </c>
      <c r="BO6" s="2" t="s">
        <v>26</v>
      </c>
      <c r="BP6" s="3" t="s">
        <v>27</v>
      </c>
      <c r="BQ6" s="3" t="s">
        <v>26</v>
      </c>
      <c r="BR6" s="4" t="s">
        <v>27</v>
      </c>
      <c r="BS6" s="2" t="s">
        <v>26</v>
      </c>
      <c r="BT6" s="367" t="s">
        <v>1254</v>
      </c>
      <c r="BU6" s="140" t="s">
        <v>27</v>
      </c>
      <c r="BV6" s="2" t="s">
        <v>26</v>
      </c>
      <c r="BW6" s="3" t="s">
        <v>27</v>
      </c>
      <c r="BX6" s="3" t="s">
        <v>26</v>
      </c>
      <c r="BY6" s="4" t="s">
        <v>27</v>
      </c>
      <c r="BZ6" s="2" t="s">
        <v>26</v>
      </c>
      <c r="CA6" s="367" t="s">
        <v>1254</v>
      </c>
      <c r="CB6" s="140" t="s">
        <v>27</v>
      </c>
      <c r="CC6" s="2" t="s">
        <v>26</v>
      </c>
      <c r="CD6" s="3" t="s">
        <v>27</v>
      </c>
      <c r="CE6" s="3" t="s">
        <v>26</v>
      </c>
      <c r="CF6" s="4" t="s">
        <v>27</v>
      </c>
      <c r="CG6" s="2" t="s">
        <v>26</v>
      </c>
      <c r="CH6" s="367" t="s">
        <v>1254</v>
      </c>
      <c r="CI6" s="140" t="s">
        <v>27</v>
      </c>
      <c r="CJ6" s="2" t="s">
        <v>26</v>
      </c>
      <c r="CK6" s="3" t="s">
        <v>27</v>
      </c>
      <c r="CL6" s="3" t="s">
        <v>26</v>
      </c>
      <c r="CM6" s="4" t="s">
        <v>27</v>
      </c>
      <c r="CN6" s="2" t="s">
        <v>26</v>
      </c>
      <c r="CO6" s="140" t="s">
        <v>27</v>
      </c>
      <c r="CP6" s="2" t="s">
        <v>26</v>
      </c>
      <c r="CQ6" s="3" t="s">
        <v>27</v>
      </c>
      <c r="CR6" s="3" t="s">
        <v>26</v>
      </c>
      <c r="CS6" s="4" t="s">
        <v>27</v>
      </c>
      <c r="CT6" s="2" t="s">
        <v>26</v>
      </c>
      <c r="CU6" s="140" t="s">
        <v>27</v>
      </c>
      <c r="CV6" s="2" t="s">
        <v>26</v>
      </c>
      <c r="CW6" s="3" t="s">
        <v>27</v>
      </c>
      <c r="CX6" s="3" t="s">
        <v>26</v>
      </c>
      <c r="CY6" s="4" t="s">
        <v>27</v>
      </c>
      <c r="CZ6" s="2" t="s">
        <v>26</v>
      </c>
      <c r="DA6" s="140" t="s">
        <v>27</v>
      </c>
      <c r="DB6" s="2" t="s">
        <v>26</v>
      </c>
      <c r="DC6" s="3" t="s">
        <v>27</v>
      </c>
      <c r="DD6" s="3" t="s">
        <v>26</v>
      </c>
      <c r="DE6" s="4" t="s">
        <v>27</v>
      </c>
      <c r="DF6" s="2" t="s">
        <v>26</v>
      </c>
      <c r="DG6" s="140" t="s">
        <v>27</v>
      </c>
      <c r="DH6" s="2" t="s">
        <v>26</v>
      </c>
      <c r="DI6" s="3" t="s">
        <v>27</v>
      </c>
      <c r="DJ6" s="3" t="s">
        <v>26</v>
      </c>
      <c r="DK6" s="4" t="s">
        <v>27</v>
      </c>
      <c r="DL6" s="2" t="s">
        <v>26</v>
      </c>
      <c r="DM6" s="140" t="s">
        <v>27</v>
      </c>
      <c r="DN6" s="2" t="s">
        <v>26</v>
      </c>
      <c r="DO6" s="3" t="s">
        <v>27</v>
      </c>
      <c r="DP6" s="3" t="s">
        <v>26</v>
      </c>
      <c r="DQ6" s="4" t="s">
        <v>27</v>
      </c>
      <c r="DR6" s="2" t="s">
        <v>26</v>
      </c>
      <c r="DS6" s="140" t="s">
        <v>27</v>
      </c>
    </row>
    <row r="7" spans="1:123" s="13" customFormat="1" ht="15.75">
      <c r="A7" s="564" t="s">
        <v>28</v>
      </c>
      <c r="B7" s="564"/>
      <c r="C7" s="564"/>
      <c r="D7" s="564"/>
      <c r="E7" s="163">
        <f>SUBTOTAL(3,E9:E28)</f>
        <v>20</v>
      </c>
      <c r="F7" s="163">
        <f t="shared" ref="F7:CD7" si="0">SUBTOTAL(9,F9:F28)</f>
        <v>4915000</v>
      </c>
      <c r="G7" s="163">
        <f t="shared" si="0"/>
        <v>4808084.63</v>
      </c>
      <c r="H7" s="163">
        <f t="shared" si="0"/>
        <v>106915.37000000001</v>
      </c>
      <c r="I7" s="123">
        <f t="shared" si="0"/>
        <v>3936188</v>
      </c>
      <c r="J7" s="163">
        <f t="shared" si="0"/>
        <v>7618081.8900000006</v>
      </c>
      <c r="K7" s="137">
        <f t="shared" si="0"/>
        <v>0</v>
      </c>
      <c r="L7" s="126">
        <f>SUBTOTAL(9,L9:L28)</f>
        <v>0</v>
      </c>
      <c r="M7" s="126">
        <f t="shared" si="0"/>
        <v>0</v>
      </c>
      <c r="N7" s="126">
        <f t="shared" si="0"/>
        <v>2703081.89</v>
      </c>
      <c r="O7" s="126">
        <f t="shared" si="0"/>
        <v>2438081.89</v>
      </c>
      <c r="P7" s="126">
        <f t="shared" si="0"/>
        <v>2703081.89</v>
      </c>
      <c r="Q7" s="126">
        <f t="shared" si="0"/>
        <v>4915000</v>
      </c>
      <c r="R7" s="123">
        <f t="shared" si="0"/>
        <v>3216166.5199999996</v>
      </c>
      <c r="S7" s="137">
        <f t="shared" si="0"/>
        <v>2465000</v>
      </c>
      <c r="T7" s="137">
        <f t="shared" si="0"/>
        <v>110668.5</v>
      </c>
      <c r="U7" s="137">
        <f t="shared" si="0"/>
        <v>2465000</v>
      </c>
      <c r="V7" s="137">
        <f t="shared" si="0"/>
        <v>110668.5</v>
      </c>
      <c r="W7" s="137">
        <f t="shared" si="0"/>
        <v>0</v>
      </c>
      <c r="X7" s="137">
        <f t="shared" si="0"/>
        <v>0</v>
      </c>
      <c r="Y7" s="137">
        <f t="shared" si="0"/>
        <v>105000</v>
      </c>
      <c r="Z7" s="137">
        <f t="shared" si="0"/>
        <v>127413.39</v>
      </c>
      <c r="AA7" s="137">
        <f t="shared" si="0"/>
        <v>105000</v>
      </c>
      <c r="AB7" s="137">
        <f t="shared" si="0"/>
        <v>127413.39</v>
      </c>
      <c r="AC7" s="137">
        <f t="shared" si="0"/>
        <v>0</v>
      </c>
      <c r="AD7" s="137">
        <f t="shared" si="0"/>
        <v>0</v>
      </c>
      <c r="AE7" s="137">
        <f t="shared" si="0"/>
        <v>0</v>
      </c>
      <c r="AF7" s="137">
        <f t="shared" si="0"/>
        <v>0</v>
      </c>
      <c r="AG7" s="137">
        <f t="shared" si="0"/>
        <v>0</v>
      </c>
      <c r="AH7" s="137">
        <f t="shared" si="0"/>
        <v>0</v>
      </c>
      <c r="AI7" s="137">
        <f t="shared" si="0"/>
        <v>2465000</v>
      </c>
      <c r="AJ7" s="137">
        <f t="shared" si="0"/>
        <v>2465000</v>
      </c>
      <c r="AK7" s="137">
        <f t="shared" si="0"/>
        <v>215668.5</v>
      </c>
      <c r="AL7" s="137">
        <f t="shared" si="0"/>
        <v>238081.89</v>
      </c>
      <c r="AM7" s="137">
        <f t="shared" si="0"/>
        <v>2680668.5</v>
      </c>
      <c r="AN7" s="137">
        <f t="shared" si="0"/>
        <v>2703081.89</v>
      </c>
      <c r="AO7" s="137">
        <f t="shared" si="0"/>
        <v>930000</v>
      </c>
      <c r="AP7" s="137">
        <f t="shared" si="0"/>
        <v>930000</v>
      </c>
      <c r="AQ7" s="137">
        <f t="shared" si="0"/>
        <v>0</v>
      </c>
      <c r="AR7" s="137">
        <f t="shared" si="0"/>
        <v>0</v>
      </c>
      <c r="AS7" s="137">
        <f t="shared" si="0"/>
        <v>930000</v>
      </c>
      <c r="AT7" s="137">
        <f t="shared" si="0"/>
        <v>930000</v>
      </c>
      <c r="AU7" s="137">
        <f t="shared" si="0"/>
        <v>600000</v>
      </c>
      <c r="AV7" s="137">
        <f t="shared" si="0"/>
        <v>600000</v>
      </c>
      <c r="AW7" s="137">
        <f t="shared" si="0"/>
        <v>105000</v>
      </c>
      <c r="AX7" s="137">
        <f t="shared" si="0"/>
        <v>0</v>
      </c>
      <c r="AY7" s="137">
        <f t="shared" si="0"/>
        <v>705000</v>
      </c>
      <c r="AZ7" s="137">
        <f t="shared" si="0"/>
        <v>600000</v>
      </c>
      <c r="BA7" s="137">
        <f t="shared" si="0"/>
        <v>690000</v>
      </c>
      <c r="BB7" s="137">
        <f t="shared" si="0"/>
        <v>470000</v>
      </c>
      <c r="BC7" s="137">
        <f t="shared" si="0"/>
        <v>155000</v>
      </c>
      <c r="BD7" s="137">
        <f t="shared" si="0"/>
        <v>0</v>
      </c>
      <c r="BE7" s="137">
        <f t="shared" si="0"/>
        <v>845000</v>
      </c>
      <c r="BF7" s="137">
        <f t="shared" si="0"/>
        <v>469188</v>
      </c>
      <c r="BG7" s="137">
        <f t="shared" si="0"/>
        <v>470000</v>
      </c>
      <c r="BH7" s="137">
        <f t="shared" si="0"/>
        <v>970000</v>
      </c>
      <c r="BI7" s="137">
        <f t="shared" si="0"/>
        <v>400000</v>
      </c>
      <c r="BJ7" s="137">
        <f t="shared" si="0"/>
        <v>118000</v>
      </c>
      <c r="BK7" s="137">
        <f t="shared" si="0"/>
        <v>22978.120000000003</v>
      </c>
      <c r="BL7" s="137">
        <f t="shared" si="0"/>
        <v>1088000</v>
      </c>
      <c r="BM7" s="137">
        <f t="shared" si="0"/>
        <v>993500</v>
      </c>
      <c r="BN7" s="137">
        <f t="shared" si="0"/>
        <v>422978.12</v>
      </c>
      <c r="BO7" s="137">
        <f t="shared" si="0"/>
        <v>760000</v>
      </c>
      <c r="BP7" s="137">
        <f t="shared" si="0"/>
        <v>500000</v>
      </c>
      <c r="BQ7" s="137">
        <f t="shared" si="0"/>
        <v>220000</v>
      </c>
      <c r="BR7" s="137">
        <f t="shared" si="0"/>
        <v>0</v>
      </c>
      <c r="BS7" s="137">
        <f t="shared" si="0"/>
        <v>980000</v>
      </c>
      <c r="BT7" s="137">
        <f t="shared" si="0"/>
        <v>1324500</v>
      </c>
      <c r="BU7" s="137">
        <f t="shared" si="0"/>
        <v>500000</v>
      </c>
      <c r="BV7" s="137">
        <f t="shared" si="0"/>
        <v>0</v>
      </c>
      <c r="BW7" s="137">
        <f t="shared" si="0"/>
        <v>400000</v>
      </c>
      <c r="BX7" s="137">
        <f t="shared" si="0"/>
        <v>367000</v>
      </c>
      <c r="BY7" s="137">
        <f t="shared" si="0"/>
        <v>0</v>
      </c>
      <c r="BZ7" s="137">
        <f t="shared" si="0"/>
        <v>367000</v>
      </c>
      <c r="CA7" s="137">
        <f t="shared" si="0"/>
        <v>906000</v>
      </c>
      <c r="CB7" s="137">
        <f t="shared" si="0"/>
        <v>400000</v>
      </c>
      <c r="CC7" s="137">
        <f t="shared" si="0"/>
        <v>0</v>
      </c>
      <c r="CD7" s="137">
        <f t="shared" si="0"/>
        <v>295000</v>
      </c>
      <c r="CE7" s="137">
        <f t="shared" ref="CE7:DS7" si="1">SUBTOTAL(9,CE9:CE28)</f>
        <v>0</v>
      </c>
      <c r="CF7" s="137">
        <f t="shared" si="1"/>
        <v>0</v>
      </c>
      <c r="CG7" s="137">
        <f t="shared" si="1"/>
        <v>0</v>
      </c>
      <c r="CH7" s="137">
        <f t="shared" si="1"/>
        <v>243000</v>
      </c>
      <c r="CI7" s="137">
        <f t="shared" si="1"/>
        <v>295000</v>
      </c>
      <c r="CJ7" s="137">
        <f t="shared" si="1"/>
        <v>0</v>
      </c>
      <c r="CK7" s="137">
        <f t="shared" si="1"/>
        <v>250000</v>
      </c>
      <c r="CL7" s="137">
        <f t="shared" si="1"/>
        <v>0</v>
      </c>
      <c r="CM7" s="137">
        <f t="shared" si="1"/>
        <v>33134.29</v>
      </c>
      <c r="CN7" s="137">
        <f t="shared" si="1"/>
        <v>0</v>
      </c>
      <c r="CO7" s="137">
        <f t="shared" si="1"/>
        <v>283134.28999999998</v>
      </c>
      <c r="CP7" s="137">
        <f t="shared" si="1"/>
        <v>0</v>
      </c>
      <c r="CQ7" s="137">
        <f t="shared" si="1"/>
        <v>100000</v>
      </c>
      <c r="CR7" s="137">
        <f t="shared" si="1"/>
        <v>0</v>
      </c>
      <c r="CS7" s="137">
        <f t="shared" si="1"/>
        <v>0</v>
      </c>
      <c r="CT7" s="137">
        <f t="shared" si="1"/>
        <v>0</v>
      </c>
      <c r="CU7" s="137">
        <f t="shared" si="1"/>
        <v>100000</v>
      </c>
      <c r="CV7" s="137">
        <f t="shared" si="1"/>
        <v>0</v>
      </c>
      <c r="CW7" s="137">
        <f t="shared" si="1"/>
        <v>335000</v>
      </c>
      <c r="CX7" s="137">
        <f t="shared" si="1"/>
        <v>0</v>
      </c>
      <c r="CY7" s="137">
        <f t="shared" si="1"/>
        <v>21972.22</v>
      </c>
      <c r="CZ7" s="137">
        <f t="shared" si="1"/>
        <v>0</v>
      </c>
      <c r="DA7" s="137">
        <f t="shared" si="1"/>
        <v>356972.22</v>
      </c>
      <c r="DB7" s="137">
        <f t="shared" si="1"/>
        <v>0</v>
      </c>
      <c r="DC7" s="137">
        <f t="shared" si="1"/>
        <v>450000</v>
      </c>
      <c r="DD7" s="137">
        <f t="shared" si="1"/>
        <v>0</v>
      </c>
      <c r="DE7" s="137">
        <f t="shared" si="1"/>
        <v>0</v>
      </c>
      <c r="DF7" s="137">
        <f t="shared" si="1"/>
        <v>0</v>
      </c>
      <c r="DG7" s="137">
        <f t="shared" si="1"/>
        <v>450000</v>
      </c>
      <c r="DH7" s="137">
        <f t="shared" si="1"/>
        <v>0</v>
      </c>
      <c r="DI7" s="137">
        <f t="shared" si="1"/>
        <v>0</v>
      </c>
      <c r="DJ7" s="137">
        <f t="shared" si="1"/>
        <v>0</v>
      </c>
      <c r="DK7" s="137">
        <f t="shared" si="1"/>
        <v>0</v>
      </c>
      <c r="DL7" s="137">
        <f t="shared" si="1"/>
        <v>0</v>
      </c>
      <c r="DM7" s="137">
        <f t="shared" si="1"/>
        <v>0</v>
      </c>
      <c r="DN7" s="137">
        <f t="shared" si="1"/>
        <v>3950000</v>
      </c>
      <c r="DO7" s="137">
        <f t="shared" si="1"/>
        <v>4730000</v>
      </c>
      <c r="DP7" s="137">
        <f t="shared" si="1"/>
        <v>965000</v>
      </c>
      <c r="DQ7" s="137">
        <f t="shared" si="1"/>
        <v>78084.62999999999</v>
      </c>
      <c r="DR7" s="137">
        <f t="shared" si="1"/>
        <v>4915000</v>
      </c>
      <c r="DS7" s="137">
        <f t="shared" si="1"/>
        <v>4808084.63</v>
      </c>
    </row>
    <row r="8" spans="1:123" s="13" customFormat="1" ht="15" customHeight="1">
      <c r="A8" s="129"/>
      <c r="B8" s="129"/>
      <c r="C8" s="129"/>
      <c r="D8" s="129"/>
      <c r="E8" s="156"/>
      <c r="F8" s="156"/>
      <c r="G8" s="156"/>
      <c r="H8" s="156"/>
      <c r="I8" s="124"/>
      <c r="J8" s="156"/>
      <c r="K8" s="129"/>
      <c r="L8" s="141"/>
      <c r="M8" s="141"/>
      <c r="N8" s="141"/>
      <c r="O8" s="141"/>
      <c r="P8" s="141"/>
      <c r="Q8" s="129"/>
      <c r="R8" s="124"/>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c r="BN8" s="138"/>
      <c r="BO8" s="138"/>
      <c r="BP8" s="138"/>
      <c r="BQ8" s="138"/>
      <c r="BR8" s="138"/>
      <c r="BS8" s="138"/>
      <c r="BT8" s="138"/>
      <c r="BU8" s="138"/>
      <c r="BV8" s="138"/>
      <c r="BW8" s="138"/>
      <c r="BX8" s="138"/>
      <c r="BY8" s="138"/>
      <c r="BZ8" s="138"/>
      <c r="CA8" s="138"/>
      <c r="CB8" s="138"/>
      <c r="CC8" s="138"/>
      <c r="CD8" s="138"/>
      <c r="CE8" s="138"/>
      <c r="CF8" s="138"/>
      <c r="CG8" s="138"/>
      <c r="CH8" s="138"/>
      <c r="CI8" s="138"/>
      <c r="CJ8" s="138"/>
      <c r="CK8" s="138"/>
      <c r="CL8" s="138"/>
      <c r="CM8" s="138"/>
      <c r="CN8" s="138"/>
      <c r="CO8" s="138"/>
      <c r="CP8" s="138"/>
      <c r="CQ8" s="138"/>
      <c r="CR8" s="138"/>
      <c r="CS8" s="138"/>
      <c r="CT8" s="138"/>
      <c r="CU8" s="138"/>
      <c r="CV8" s="138"/>
      <c r="CW8" s="138"/>
      <c r="CX8" s="138"/>
      <c r="CY8" s="138"/>
      <c r="CZ8" s="138"/>
      <c r="DA8" s="138"/>
      <c r="DB8" s="138"/>
      <c r="DC8" s="138"/>
      <c r="DD8" s="138"/>
      <c r="DE8" s="138"/>
      <c r="DF8" s="138"/>
      <c r="DG8" s="138"/>
      <c r="DH8" s="138"/>
      <c r="DI8" s="138"/>
      <c r="DJ8" s="138"/>
      <c r="DK8" s="138"/>
      <c r="DL8" s="138"/>
      <c r="DM8" s="138"/>
      <c r="DN8" s="138"/>
      <c r="DO8" s="138"/>
      <c r="DP8" s="138"/>
      <c r="DQ8" s="138"/>
      <c r="DR8" s="138"/>
      <c r="DS8" s="138"/>
    </row>
    <row r="9" spans="1:123" s="13" customFormat="1">
      <c r="A9" s="7">
        <v>1</v>
      </c>
      <c r="B9" s="7" t="s">
        <v>29</v>
      </c>
      <c r="C9" s="130" t="s">
        <v>30</v>
      </c>
      <c r="D9" s="11" t="s">
        <v>31</v>
      </c>
      <c r="E9" s="164" t="s">
        <v>1165</v>
      </c>
      <c r="F9" s="157">
        <f t="shared" ref="F9:F27" si="2">SUM(DR9)</f>
        <v>0</v>
      </c>
      <c r="G9" s="157">
        <f>AT9+AZ9+BG9+BN9+BU9+CB9+CI9+CO9+CU9+DA9+DG9+DM9</f>
        <v>0</v>
      </c>
      <c r="H9" s="157">
        <f>F9-G9</f>
        <v>0</v>
      </c>
      <c r="I9" s="157">
        <f>BF9+BM9+BT9+CA9+CH9</f>
        <v>0</v>
      </c>
      <c r="J9" s="157">
        <f>L9+AN9+DR9</f>
        <v>1636723</v>
      </c>
      <c r="K9" s="8"/>
      <c r="L9" s="128">
        <v>0</v>
      </c>
      <c r="M9" s="127">
        <v>0</v>
      </c>
      <c r="N9" s="127">
        <f>AN9</f>
        <v>1636723</v>
      </c>
      <c r="O9" s="127">
        <f>IF(AL9&gt;0,L9+AN9-M9,0)</f>
        <v>1636723</v>
      </c>
      <c r="P9" s="127">
        <f>L9+N9</f>
        <v>1636723</v>
      </c>
      <c r="Q9" s="131">
        <f>J9-P9</f>
        <v>0</v>
      </c>
      <c r="R9" s="125">
        <f t="shared" ref="R9:R28" si="3">IF(AND(AL9&gt;0,DQ9&gt;0),"შეცდომაა! ერთზე მეტი ბოლო ჩაბარება!",IF(OR(AL9&gt;0,DQ9&gt;0,),IF(AL9&gt;0,L9+AN9,L9+AN9+DS9),IF(AND(L9=0,N9=0,DS9=0),"ნულოვანი შესრულება","მიმდინარეობს")))</f>
        <v>1636723</v>
      </c>
      <c r="S9" s="8">
        <v>1600000</v>
      </c>
      <c r="T9" s="8">
        <v>36723</v>
      </c>
      <c r="U9" s="8">
        <f>L9+S9</f>
        <v>1600000</v>
      </c>
      <c r="V9" s="8">
        <f>T9</f>
        <v>36723</v>
      </c>
      <c r="W9" s="8">
        <v>0</v>
      </c>
      <c r="X9" s="8">
        <v>0</v>
      </c>
      <c r="Y9" s="8">
        <v>0</v>
      </c>
      <c r="Z9" s="8">
        <v>0</v>
      </c>
      <c r="AA9" s="8">
        <f>W9+Y9</f>
        <v>0</v>
      </c>
      <c r="AB9" s="8">
        <f>X9+Z9</f>
        <v>0</v>
      </c>
      <c r="AC9" s="8"/>
      <c r="AD9" s="8"/>
      <c r="AE9" s="8"/>
      <c r="AF9" s="8"/>
      <c r="AG9" s="8">
        <f>AC9+AE9</f>
        <v>0</v>
      </c>
      <c r="AH9" s="8">
        <f>AD9+AF9</f>
        <v>0</v>
      </c>
      <c r="AI9" s="8">
        <f>S9+W9+AC9</f>
        <v>1600000</v>
      </c>
      <c r="AJ9" s="8">
        <f>S9+X9+AD9</f>
        <v>1600000</v>
      </c>
      <c r="AK9" s="8">
        <f>T9+Y9+AE9</f>
        <v>36723</v>
      </c>
      <c r="AL9" s="8">
        <f>T9+Z9+AF9</f>
        <v>36723</v>
      </c>
      <c r="AM9" s="8">
        <f>AI9+AK9</f>
        <v>1636723</v>
      </c>
      <c r="AN9" s="8">
        <f>AJ9+AL9</f>
        <v>1636723</v>
      </c>
      <c r="AO9" s="8"/>
      <c r="AP9" s="8"/>
      <c r="AQ9" s="8"/>
      <c r="AR9" s="8">
        <v>0</v>
      </c>
      <c r="AS9" s="8">
        <f>AO9+AQ9</f>
        <v>0</v>
      </c>
      <c r="AT9" s="8">
        <f>AP9+AR9</f>
        <v>0</v>
      </c>
      <c r="AU9" s="8"/>
      <c r="AV9" s="8"/>
      <c r="AW9" s="8"/>
      <c r="AX9" s="8"/>
      <c r="AY9" s="8">
        <f>AU9+AW9</f>
        <v>0</v>
      </c>
      <c r="AZ9" s="8">
        <f>AV9+AX9</f>
        <v>0</v>
      </c>
      <c r="BA9" s="8"/>
      <c r="BB9" s="8"/>
      <c r="BC9" s="8"/>
      <c r="BD9" s="8"/>
      <c r="BE9" s="8">
        <f>BA9+BC9</f>
        <v>0</v>
      </c>
      <c r="BF9" s="8"/>
      <c r="BG9" s="8">
        <f t="shared" ref="BG9:BG28" si="4">BB9+BD9</f>
        <v>0</v>
      </c>
      <c r="BH9" s="8"/>
      <c r="BI9" s="8"/>
      <c r="BJ9" s="8"/>
      <c r="BK9" s="8"/>
      <c r="BL9" s="8">
        <f>BH9+BJ9</f>
        <v>0</v>
      </c>
      <c r="BM9" s="8"/>
      <c r="BN9" s="8">
        <f t="shared" ref="BN9:BN28" si="5">BI9+BK9</f>
        <v>0</v>
      </c>
      <c r="BO9" s="8"/>
      <c r="BP9" s="8"/>
      <c r="BQ9" s="8"/>
      <c r="BR9" s="8"/>
      <c r="BS9" s="8">
        <f>BO9+BQ9</f>
        <v>0</v>
      </c>
      <c r="BT9" s="8"/>
      <c r="BU9" s="8">
        <f t="shared" ref="BU9:BU28" si="6">BP9+BR9</f>
        <v>0</v>
      </c>
      <c r="BV9" s="8"/>
      <c r="BW9" s="8"/>
      <c r="BX9" s="8"/>
      <c r="BY9" s="8"/>
      <c r="BZ9" s="8">
        <f>BV9+BX9</f>
        <v>0</v>
      </c>
      <c r="CA9" s="8"/>
      <c r="CB9" s="8">
        <f t="shared" ref="CB9:CB28" si="7">BW9+BY9</f>
        <v>0</v>
      </c>
      <c r="CC9" s="8"/>
      <c r="CD9" s="8"/>
      <c r="CE9" s="8"/>
      <c r="CF9" s="8"/>
      <c r="CG9" s="8">
        <f>CC9+CE9</f>
        <v>0</v>
      </c>
      <c r="CH9" s="8"/>
      <c r="CI9" s="8">
        <f t="shared" ref="CI9:CI28" si="8">CD9+CF9</f>
        <v>0</v>
      </c>
      <c r="CJ9" s="8"/>
      <c r="CK9" s="8"/>
      <c r="CL9" s="8"/>
      <c r="CM9" s="8"/>
      <c r="CN9" s="8">
        <f>CJ9+CL9</f>
        <v>0</v>
      </c>
      <c r="CO9" s="8">
        <f>CK9+CM9</f>
        <v>0</v>
      </c>
      <c r="CP9" s="8"/>
      <c r="CQ9" s="8"/>
      <c r="CR9" s="8"/>
      <c r="CS9" s="8"/>
      <c r="CT9" s="8">
        <f>CP9+CR9</f>
        <v>0</v>
      </c>
      <c r="CU9" s="8">
        <f>CQ9+CS9</f>
        <v>0</v>
      </c>
      <c r="CV9" s="8"/>
      <c r="CW9" s="8"/>
      <c r="CX9" s="8"/>
      <c r="CY9" s="8"/>
      <c r="CZ9" s="8">
        <f>CV9+CX9</f>
        <v>0</v>
      </c>
      <c r="DA9" s="8">
        <f>CW9+CY9</f>
        <v>0</v>
      </c>
      <c r="DB9" s="8"/>
      <c r="DC9" s="8"/>
      <c r="DD9" s="8"/>
      <c r="DE9" s="8"/>
      <c r="DF9" s="8">
        <f>DB9+DD9</f>
        <v>0</v>
      </c>
      <c r="DG9" s="8">
        <f>DC9+DE9</f>
        <v>0</v>
      </c>
      <c r="DH9" s="8"/>
      <c r="DI9" s="8"/>
      <c r="DJ9" s="8"/>
      <c r="DK9" s="8"/>
      <c r="DL9" s="8">
        <f>DH9+DJ9</f>
        <v>0</v>
      </c>
      <c r="DM9" s="8">
        <f>DI9+DK9</f>
        <v>0</v>
      </c>
      <c r="DN9" s="8">
        <f>AO9+AU9+BA9+BH9+BO9+BV9+CC9+CJ9+CP9+CV9+DB9+DH9</f>
        <v>0</v>
      </c>
      <c r="DO9" s="8">
        <f>AP9+AV9+BB9+BI9+BP9+BW9+CD9+CK9+CQ9+CW9+DC9+DI9</f>
        <v>0</v>
      </c>
      <c r="DP9" s="8">
        <f>AQ9+AW9+BC9+BJ9+BQ9+BX9+CE9+CL9+CR9+CX9+DD9+DJ9</f>
        <v>0</v>
      </c>
      <c r="DQ9" s="8">
        <f>AR9+AX9+BD9+BK9+BR9+BY9+CF9+CM9+CS9+CY9+DE9+DK9</f>
        <v>0</v>
      </c>
      <c r="DR9" s="8">
        <f>DN9+DP9</f>
        <v>0</v>
      </c>
      <c r="DS9" s="8">
        <f>DO9+DQ9</f>
        <v>0</v>
      </c>
    </row>
    <row r="10" spans="1:123" s="13" customFormat="1">
      <c r="A10" s="7">
        <v>2</v>
      </c>
      <c r="B10" s="7" t="s">
        <v>29</v>
      </c>
      <c r="C10" s="130" t="s">
        <v>32</v>
      </c>
      <c r="D10" s="11" t="s">
        <v>33</v>
      </c>
      <c r="E10" s="164" t="s">
        <v>1165</v>
      </c>
      <c r="F10" s="157">
        <f t="shared" si="2"/>
        <v>0</v>
      </c>
      <c r="G10" s="157">
        <f t="shared" ref="G10:G28" si="9">AT10+AZ10+BG10+BN10+BU10+CB10+CI10+CO10+CU10+DA10+DG10+DM10</f>
        <v>0</v>
      </c>
      <c r="H10" s="157">
        <f t="shared" ref="H10:H28" si="10">F10-G10</f>
        <v>0</v>
      </c>
      <c r="I10" s="157">
        <f t="shared" ref="I10:I28" si="11">BF10+BM10+BT10+CA10+CH10</f>
        <v>0</v>
      </c>
      <c r="J10" s="157">
        <f t="shared" ref="J10:J28" si="12">L10+AN10+DR10</f>
        <v>175161.75</v>
      </c>
      <c r="K10" s="8"/>
      <c r="L10" s="128">
        <v>0</v>
      </c>
      <c r="M10" s="127">
        <v>0</v>
      </c>
      <c r="N10" s="127">
        <f t="shared" ref="N10:N28" si="13">AN10</f>
        <v>175161.75</v>
      </c>
      <c r="O10" s="127">
        <f t="shared" ref="O10:O28" si="14">IF(AL10&gt;0,L10+AN10-M10,0)</f>
        <v>175161.75</v>
      </c>
      <c r="P10" s="127">
        <f t="shared" ref="P10:P28" si="15">L10+N10</f>
        <v>175161.75</v>
      </c>
      <c r="Q10" s="131">
        <f t="shared" ref="Q10:Q28" si="16">J10-P10</f>
        <v>0</v>
      </c>
      <c r="R10" s="125">
        <f t="shared" si="3"/>
        <v>175161.75</v>
      </c>
      <c r="S10" s="8">
        <v>150000</v>
      </c>
      <c r="T10" s="9">
        <v>25161.75</v>
      </c>
      <c r="U10" s="8">
        <f t="shared" ref="U10:U28" si="17">L10+S10</f>
        <v>150000</v>
      </c>
      <c r="V10" s="8">
        <f>T10</f>
        <v>25161.75</v>
      </c>
      <c r="W10" s="8">
        <v>0</v>
      </c>
      <c r="X10" s="12">
        <v>0</v>
      </c>
      <c r="Y10" s="12">
        <v>0</v>
      </c>
      <c r="Z10" s="8">
        <v>0</v>
      </c>
      <c r="AA10" s="8">
        <f t="shared" ref="AA10:AB28" si="18">W10+Y10</f>
        <v>0</v>
      </c>
      <c r="AB10" s="8">
        <f t="shared" si="18"/>
        <v>0</v>
      </c>
      <c r="AC10" s="8"/>
      <c r="AD10" s="8"/>
      <c r="AE10" s="8"/>
      <c r="AF10" s="8"/>
      <c r="AG10" s="8">
        <f t="shared" ref="AG10:AH28" si="19">AC10+AE10</f>
        <v>0</v>
      </c>
      <c r="AH10" s="8">
        <f t="shared" si="19"/>
        <v>0</v>
      </c>
      <c r="AI10" s="8">
        <f t="shared" ref="AI10:AI28" si="20">S10+W10+AC10</f>
        <v>150000</v>
      </c>
      <c r="AJ10" s="8">
        <f t="shared" ref="AJ10:AK28" si="21">S10+X10+AD10</f>
        <v>150000</v>
      </c>
      <c r="AK10" s="8">
        <f t="shared" si="21"/>
        <v>25161.75</v>
      </c>
      <c r="AL10" s="8">
        <f t="shared" ref="AL10:AL28" si="22">T10+Z10+AF10</f>
        <v>25161.75</v>
      </c>
      <c r="AM10" s="8">
        <f t="shared" ref="AM10:AN28" si="23">AI10+AK10</f>
        <v>175161.75</v>
      </c>
      <c r="AN10" s="8">
        <f t="shared" si="23"/>
        <v>175161.75</v>
      </c>
      <c r="AO10" s="8"/>
      <c r="AP10" s="8"/>
      <c r="AQ10" s="8"/>
      <c r="AR10" s="8"/>
      <c r="AS10" s="8">
        <f t="shared" ref="AS10:AT28" si="24">AO10+AQ10</f>
        <v>0</v>
      </c>
      <c r="AT10" s="8">
        <f t="shared" si="24"/>
        <v>0</v>
      </c>
      <c r="AU10" s="8"/>
      <c r="AV10" s="8"/>
      <c r="AW10" s="8"/>
      <c r="AX10" s="8"/>
      <c r="AY10" s="8">
        <f t="shared" ref="AY10:AZ28" si="25">AU10+AW10</f>
        <v>0</v>
      </c>
      <c r="AZ10" s="8">
        <f t="shared" si="25"/>
        <v>0</v>
      </c>
      <c r="BA10" s="8"/>
      <c r="BB10" s="8"/>
      <c r="BC10" s="8"/>
      <c r="BD10" s="8"/>
      <c r="BE10" s="8">
        <f t="shared" ref="BE10:BE28" si="26">BA10+BC10</f>
        <v>0</v>
      </c>
      <c r="BF10" s="8"/>
      <c r="BG10" s="8">
        <f t="shared" si="4"/>
        <v>0</v>
      </c>
      <c r="BH10" s="8"/>
      <c r="BI10" s="8"/>
      <c r="BJ10" s="8"/>
      <c r="BK10" s="8"/>
      <c r="BL10" s="8">
        <f t="shared" ref="BL10:BL28" si="27">BH10+BJ10</f>
        <v>0</v>
      </c>
      <c r="BM10" s="8"/>
      <c r="BN10" s="8">
        <f t="shared" si="5"/>
        <v>0</v>
      </c>
      <c r="BO10" s="8"/>
      <c r="BP10" s="8"/>
      <c r="BQ10" s="8"/>
      <c r="BR10" s="8"/>
      <c r="BS10" s="8">
        <f t="shared" ref="BS10:BS28" si="28">BO10+BQ10</f>
        <v>0</v>
      </c>
      <c r="BT10" s="8"/>
      <c r="BU10" s="8">
        <f t="shared" si="6"/>
        <v>0</v>
      </c>
      <c r="BV10" s="8"/>
      <c r="BW10" s="8"/>
      <c r="BX10" s="8"/>
      <c r="BY10" s="8"/>
      <c r="BZ10" s="8">
        <f t="shared" ref="BZ10:BZ28" si="29">BV10+BX10</f>
        <v>0</v>
      </c>
      <c r="CA10" s="8"/>
      <c r="CB10" s="8">
        <f t="shared" si="7"/>
        <v>0</v>
      </c>
      <c r="CC10" s="8"/>
      <c r="CD10" s="8"/>
      <c r="CE10" s="8"/>
      <c r="CF10" s="8"/>
      <c r="CG10" s="8">
        <f t="shared" ref="CG10:CG28" si="30">CC10+CE10</f>
        <v>0</v>
      </c>
      <c r="CH10" s="8"/>
      <c r="CI10" s="8">
        <f t="shared" si="8"/>
        <v>0</v>
      </c>
      <c r="CJ10" s="8"/>
      <c r="CK10" s="8"/>
      <c r="CL10" s="8"/>
      <c r="CM10" s="8"/>
      <c r="CN10" s="8">
        <f t="shared" ref="CN10:CO28" si="31">CJ10+CL10</f>
        <v>0</v>
      </c>
      <c r="CO10" s="8">
        <f t="shared" si="31"/>
        <v>0</v>
      </c>
      <c r="CP10" s="8"/>
      <c r="CQ10" s="8"/>
      <c r="CR10" s="8"/>
      <c r="CS10" s="8"/>
      <c r="CT10" s="8">
        <f t="shared" ref="CT10:CU28" si="32">CP10+CR10</f>
        <v>0</v>
      </c>
      <c r="CU10" s="8">
        <f t="shared" si="32"/>
        <v>0</v>
      </c>
      <c r="CV10" s="8"/>
      <c r="CW10" s="8"/>
      <c r="CX10" s="8"/>
      <c r="CY10" s="8"/>
      <c r="CZ10" s="8">
        <f t="shared" ref="CZ10:DA28" si="33">CV10+CX10</f>
        <v>0</v>
      </c>
      <c r="DA10" s="8">
        <f t="shared" si="33"/>
        <v>0</v>
      </c>
      <c r="DB10" s="8"/>
      <c r="DC10" s="8"/>
      <c r="DD10" s="8"/>
      <c r="DE10" s="8"/>
      <c r="DF10" s="8">
        <f t="shared" ref="DF10:DG28" si="34">DB10+DD10</f>
        <v>0</v>
      </c>
      <c r="DG10" s="8">
        <f t="shared" si="34"/>
        <v>0</v>
      </c>
      <c r="DH10" s="8"/>
      <c r="DI10" s="8"/>
      <c r="DJ10" s="8"/>
      <c r="DK10" s="8"/>
      <c r="DL10" s="8">
        <f t="shared" ref="DL10:DM28" si="35">DH10+DJ10</f>
        <v>0</v>
      </c>
      <c r="DM10" s="8">
        <f t="shared" si="35"/>
        <v>0</v>
      </c>
      <c r="DN10" s="8">
        <f t="shared" ref="DN10:DN28" si="36">AO10+AU10+BA10+BH10+BO10+BV10+CC10+CJ10+CP10+CV10+DB10+DH10</f>
        <v>0</v>
      </c>
      <c r="DO10" s="8">
        <f t="shared" ref="DO10:DO28" si="37">AP10+AV10+BB10+BI10+BP10+BW10+CD10+CK10+CQ10+CW10+DC10+DI10</f>
        <v>0</v>
      </c>
      <c r="DP10" s="8">
        <f t="shared" ref="DP10:DP28" si="38">AQ10+AW10+BC10+BJ10+BQ10+BX10+CE10+CL10+CR10+CX10+DD10+DJ10</f>
        <v>0</v>
      </c>
      <c r="DQ10" s="8">
        <f t="shared" ref="DQ10:DQ28" si="39">AR10+AX10+BD10+BK10+BR10+BY10+CF10+CM10+CS10+CY10+DE10+DK10</f>
        <v>0</v>
      </c>
      <c r="DR10" s="8">
        <f t="shared" ref="DR10:DS28" si="40">DN10+DP10</f>
        <v>0</v>
      </c>
      <c r="DS10" s="8">
        <f t="shared" si="40"/>
        <v>0</v>
      </c>
    </row>
    <row r="11" spans="1:123" s="13" customFormat="1">
      <c r="A11" s="7">
        <v>3</v>
      </c>
      <c r="B11" s="7" t="s">
        <v>29</v>
      </c>
      <c r="C11" s="130" t="s">
        <v>34</v>
      </c>
      <c r="D11" s="11" t="s">
        <v>35</v>
      </c>
      <c r="E11" s="164" t="s">
        <v>1165</v>
      </c>
      <c r="F11" s="157">
        <f t="shared" si="2"/>
        <v>48000</v>
      </c>
      <c r="G11" s="157">
        <f t="shared" si="9"/>
        <v>50918.94</v>
      </c>
      <c r="H11" s="157">
        <f t="shared" si="10"/>
        <v>-2918.9400000000023</v>
      </c>
      <c r="I11" s="380">
        <f t="shared" si="11"/>
        <v>48000</v>
      </c>
      <c r="J11" s="157">
        <f t="shared" si="12"/>
        <v>48000</v>
      </c>
      <c r="K11" s="8"/>
      <c r="L11" s="128">
        <v>0</v>
      </c>
      <c r="M11" s="127">
        <v>0</v>
      </c>
      <c r="N11" s="127">
        <f t="shared" si="13"/>
        <v>0</v>
      </c>
      <c r="O11" s="127">
        <f t="shared" si="14"/>
        <v>0</v>
      </c>
      <c r="P11" s="127">
        <f t="shared" si="15"/>
        <v>0</v>
      </c>
      <c r="Q11" s="131">
        <f t="shared" si="16"/>
        <v>48000</v>
      </c>
      <c r="R11" s="125">
        <f t="shared" si="3"/>
        <v>50918.94</v>
      </c>
      <c r="S11" s="8">
        <v>0</v>
      </c>
      <c r="T11" s="8"/>
      <c r="U11" s="8">
        <f t="shared" si="17"/>
        <v>0</v>
      </c>
      <c r="V11" s="8">
        <f t="shared" ref="V11:V28" si="41">T11</f>
        <v>0</v>
      </c>
      <c r="W11" s="8">
        <v>0</v>
      </c>
      <c r="X11" s="12">
        <v>0</v>
      </c>
      <c r="Y11" s="12">
        <v>0</v>
      </c>
      <c r="Z11" s="8">
        <v>0</v>
      </c>
      <c r="AA11" s="8">
        <f t="shared" si="18"/>
        <v>0</v>
      </c>
      <c r="AB11" s="8">
        <f t="shared" si="18"/>
        <v>0</v>
      </c>
      <c r="AC11" s="8"/>
      <c r="AD11" s="8"/>
      <c r="AE11" s="8"/>
      <c r="AF11" s="8"/>
      <c r="AG11" s="8">
        <f t="shared" si="19"/>
        <v>0</v>
      </c>
      <c r="AH11" s="8">
        <f t="shared" si="19"/>
        <v>0</v>
      </c>
      <c r="AI11" s="8">
        <f t="shared" si="20"/>
        <v>0</v>
      </c>
      <c r="AJ11" s="8">
        <f t="shared" si="21"/>
        <v>0</v>
      </c>
      <c r="AK11" s="8">
        <f t="shared" si="21"/>
        <v>0</v>
      </c>
      <c r="AL11" s="8">
        <f t="shared" si="22"/>
        <v>0</v>
      </c>
      <c r="AM11" s="8">
        <f t="shared" si="23"/>
        <v>0</v>
      </c>
      <c r="AN11" s="8">
        <f t="shared" si="23"/>
        <v>0</v>
      </c>
      <c r="AO11" s="8"/>
      <c r="AP11" s="8"/>
      <c r="AQ11" s="8"/>
      <c r="AR11" s="8"/>
      <c r="AS11" s="8">
        <f t="shared" si="24"/>
        <v>0</v>
      </c>
      <c r="AT11" s="8">
        <f t="shared" si="24"/>
        <v>0</v>
      </c>
      <c r="AU11" s="8"/>
      <c r="AV11" s="8"/>
      <c r="AW11" s="8"/>
      <c r="AX11" s="8"/>
      <c r="AY11" s="8">
        <f t="shared" si="25"/>
        <v>0</v>
      </c>
      <c r="AZ11" s="8">
        <f t="shared" si="25"/>
        <v>0</v>
      </c>
      <c r="BA11" s="8">
        <v>40000</v>
      </c>
      <c r="BB11" s="8">
        <v>45000</v>
      </c>
      <c r="BC11" s="8"/>
      <c r="BD11" s="8"/>
      <c r="BE11" s="8">
        <f t="shared" si="26"/>
        <v>40000</v>
      </c>
      <c r="BF11" s="8">
        <v>46000</v>
      </c>
      <c r="BG11" s="8">
        <f t="shared" si="4"/>
        <v>45000</v>
      </c>
      <c r="BH11" s="8"/>
      <c r="BI11" s="8"/>
      <c r="BJ11" s="8">
        <v>8000</v>
      </c>
      <c r="BK11" s="8">
        <v>5918.94</v>
      </c>
      <c r="BL11" s="8">
        <f t="shared" si="27"/>
        <v>8000</v>
      </c>
      <c r="BM11" s="8">
        <v>2000</v>
      </c>
      <c r="BN11" s="8">
        <f t="shared" si="5"/>
        <v>5918.94</v>
      </c>
      <c r="BO11" s="8"/>
      <c r="BP11" s="8"/>
      <c r="BQ11" s="8"/>
      <c r="BR11" s="8"/>
      <c r="BS11" s="8">
        <f t="shared" si="28"/>
        <v>0</v>
      </c>
      <c r="BT11" s="8"/>
      <c r="BU11" s="8">
        <f t="shared" si="6"/>
        <v>0</v>
      </c>
      <c r="BV11" s="8"/>
      <c r="BW11" s="8"/>
      <c r="BX11" s="8"/>
      <c r="BY11" s="8"/>
      <c r="BZ11" s="8">
        <f t="shared" si="29"/>
        <v>0</v>
      </c>
      <c r="CA11" s="8"/>
      <c r="CB11" s="8">
        <f t="shared" si="7"/>
        <v>0</v>
      </c>
      <c r="CC11" s="8"/>
      <c r="CD11" s="8"/>
      <c r="CE11" s="8"/>
      <c r="CF11" s="8"/>
      <c r="CG11" s="8">
        <f t="shared" si="30"/>
        <v>0</v>
      </c>
      <c r="CH11" s="8"/>
      <c r="CI11" s="8">
        <f t="shared" si="8"/>
        <v>0</v>
      </c>
      <c r="CJ11" s="8"/>
      <c r="CK11" s="8"/>
      <c r="CL11" s="8"/>
      <c r="CM11" s="8"/>
      <c r="CN11" s="8">
        <f t="shared" si="31"/>
        <v>0</v>
      </c>
      <c r="CO11" s="8">
        <f t="shared" si="31"/>
        <v>0</v>
      </c>
      <c r="CP11" s="8"/>
      <c r="CQ11" s="8"/>
      <c r="CR11" s="8"/>
      <c r="CS11" s="8"/>
      <c r="CT11" s="8">
        <f t="shared" si="32"/>
        <v>0</v>
      </c>
      <c r="CU11" s="8">
        <f t="shared" si="32"/>
        <v>0</v>
      </c>
      <c r="CV11" s="8"/>
      <c r="CW11" s="8"/>
      <c r="CX11" s="8"/>
      <c r="CY11" s="8"/>
      <c r="CZ11" s="8">
        <f t="shared" si="33"/>
        <v>0</v>
      </c>
      <c r="DA11" s="8">
        <f t="shared" si="33"/>
        <v>0</v>
      </c>
      <c r="DB11" s="8"/>
      <c r="DC11" s="8"/>
      <c r="DD11" s="8"/>
      <c r="DE11" s="8"/>
      <c r="DF11" s="8">
        <f t="shared" si="34"/>
        <v>0</v>
      </c>
      <c r="DG11" s="8">
        <f t="shared" si="34"/>
        <v>0</v>
      </c>
      <c r="DH11" s="8"/>
      <c r="DI11" s="8"/>
      <c r="DJ11" s="8"/>
      <c r="DK11" s="8"/>
      <c r="DL11" s="8">
        <f t="shared" si="35"/>
        <v>0</v>
      </c>
      <c r="DM11" s="8">
        <f t="shared" si="35"/>
        <v>0</v>
      </c>
      <c r="DN11" s="8">
        <f t="shared" si="36"/>
        <v>40000</v>
      </c>
      <c r="DO11" s="8">
        <f t="shared" si="37"/>
        <v>45000</v>
      </c>
      <c r="DP11" s="8">
        <f t="shared" si="38"/>
        <v>8000</v>
      </c>
      <c r="DQ11" s="8">
        <f t="shared" si="39"/>
        <v>5918.94</v>
      </c>
      <c r="DR11" s="8">
        <f t="shared" si="40"/>
        <v>48000</v>
      </c>
      <c r="DS11" s="8">
        <f t="shared" si="40"/>
        <v>50918.94</v>
      </c>
    </row>
    <row r="12" spans="1:123" s="13" customFormat="1">
      <c r="A12" s="7">
        <v>4</v>
      </c>
      <c r="B12" s="7" t="s">
        <v>36</v>
      </c>
      <c r="C12" s="130" t="s">
        <v>37</v>
      </c>
      <c r="D12" s="11" t="s">
        <v>38</v>
      </c>
      <c r="E12" s="164" t="s">
        <v>1165</v>
      </c>
      <c r="F12" s="157">
        <f t="shared" si="2"/>
        <v>270000</v>
      </c>
      <c r="G12" s="157">
        <f t="shared" si="9"/>
        <v>450000</v>
      </c>
      <c r="H12" s="157">
        <f t="shared" si="10"/>
        <v>-180000</v>
      </c>
      <c r="I12" s="380">
        <f t="shared" si="11"/>
        <v>553000</v>
      </c>
      <c r="J12" s="157">
        <f t="shared" si="12"/>
        <v>270000</v>
      </c>
      <c r="K12" s="8"/>
      <c r="L12" s="128">
        <v>0</v>
      </c>
      <c r="M12" s="127">
        <v>0</v>
      </c>
      <c r="N12" s="127">
        <f t="shared" si="13"/>
        <v>0</v>
      </c>
      <c r="O12" s="127">
        <f t="shared" si="14"/>
        <v>0</v>
      </c>
      <c r="P12" s="127">
        <f t="shared" si="15"/>
        <v>0</v>
      </c>
      <c r="Q12" s="131">
        <f t="shared" si="16"/>
        <v>270000</v>
      </c>
      <c r="R12" s="125" t="str">
        <f t="shared" si="3"/>
        <v>მიმდინარეობს</v>
      </c>
      <c r="S12" s="8">
        <v>0</v>
      </c>
      <c r="T12" s="8"/>
      <c r="U12" s="8">
        <f t="shared" si="17"/>
        <v>0</v>
      </c>
      <c r="V12" s="8">
        <f t="shared" si="41"/>
        <v>0</v>
      </c>
      <c r="W12" s="8">
        <v>0</v>
      </c>
      <c r="X12" s="12">
        <v>0</v>
      </c>
      <c r="Y12" s="12">
        <v>0</v>
      </c>
      <c r="Z12" s="8">
        <v>0</v>
      </c>
      <c r="AA12" s="8">
        <f t="shared" si="18"/>
        <v>0</v>
      </c>
      <c r="AB12" s="8">
        <f t="shared" si="18"/>
        <v>0</v>
      </c>
      <c r="AC12" s="8"/>
      <c r="AD12" s="8"/>
      <c r="AE12" s="8"/>
      <c r="AF12" s="8"/>
      <c r="AG12" s="8">
        <f t="shared" si="19"/>
        <v>0</v>
      </c>
      <c r="AH12" s="8">
        <f t="shared" si="19"/>
        <v>0</v>
      </c>
      <c r="AI12" s="8">
        <f t="shared" si="20"/>
        <v>0</v>
      </c>
      <c r="AJ12" s="8">
        <f t="shared" si="21"/>
        <v>0</v>
      </c>
      <c r="AK12" s="8">
        <f t="shared" si="21"/>
        <v>0</v>
      </c>
      <c r="AL12" s="8">
        <f t="shared" si="22"/>
        <v>0</v>
      </c>
      <c r="AM12" s="8">
        <f t="shared" si="23"/>
        <v>0</v>
      </c>
      <c r="AN12" s="8">
        <f t="shared" si="23"/>
        <v>0</v>
      </c>
      <c r="AO12" s="8"/>
      <c r="AP12" s="8"/>
      <c r="AQ12" s="8"/>
      <c r="AR12" s="8"/>
      <c r="AS12" s="8">
        <f t="shared" si="24"/>
        <v>0</v>
      </c>
      <c r="AT12" s="8">
        <f t="shared" si="24"/>
        <v>0</v>
      </c>
      <c r="AU12" s="8"/>
      <c r="AV12" s="8"/>
      <c r="AW12" s="8"/>
      <c r="AX12" s="8"/>
      <c r="AY12" s="8">
        <f t="shared" si="25"/>
        <v>0</v>
      </c>
      <c r="AZ12" s="8">
        <f t="shared" si="25"/>
        <v>0</v>
      </c>
      <c r="BA12" s="8"/>
      <c r="BB12" s="8"/>
      <c r="BC12" s="8"/>
      <c r="BD12" s="8"/>
      <c r="BE12" s="8">
        <f t="shared" si="26"/>
        <v>0</v>
      </c>
      <c r="BF12" s="8"/>
      <c r="BG12" s="8">
        <f t="shared" si="4"/>
        <v>0</v>
      </c>
      <c r="BH12" s="8">
        <v>200000</v>
      </c>
      <c r="BI12" s="8"/>
      <c r="BJ12" s="8"/>
      <c r="BK12" s="8"/>
      <c r="BL12" s="8">
        <f t="shared" si="27"/>
        <v>200000</v>
      </c>
      <c r="BM12" s="8">
        <v>0</v>
      </c>
      <c r="BN12" s="8">
        <f t="shared" si="5"/>
        <v>0</v>
      </c>
      <c r="BO12" s="8"/>
      <c r="BP12" s="8"/>
      <c r="BQ12" s="8">
        <v>70000</v>
      </c>
      <c r="BR12" s="8"/>
      <c r="BS12" s="8">
        <f t="shared" si="28"/>
        <v>70000</v>
      </c>
      <c r="BT12" s="8">
        <v>250000</v>
      </c>
      <c r="BU12" s="8">
        <f t="shared" si="6"/>
        <v>0</v>
      </c>
      <c r="BV12" s="8"/>
      <c r="BW12" s="8"/>
      <c r="BX12" s="8"/>
      <c r="BY12" s="8"/>
      <c r="BZ12" s="8">
        <f t="shared" si="29"/>
        <v>0</v>
      </c>
      <c r="CA12" s="8">
        <v>250000</v>
      </c>
      <c r="CB12" s="8">
        <f t="shared" si="7"/>
        <v>0</v>
      </c>
      <c r="CC12" s="8"/>
      <c r="CD12" s="8"/>
      <c r="CE12" s="8"/>
      <c r="CF12" s="8"/>
      <c r="CG12" s="8">
        <f t="shared" si="30"/>
        <v>0</v>
      </c>
      <c r="CH12" s="8">
        <v>53000</v>
      </c>
      <c r="CI12" s="8">
        <f t="shared" si="8"/>
        <v>0</v>
      </c>
      <c r="CJ12" s="8"/>
      <c r="CK12" s="8">
        <v>250000</v>
      </c>
      <c r="CL12" s="8"/>
      <c r="CM12" s="8"/>
      <c r="CN12" s="8">
        <f t="shared" si="31"/>
        <v>0</v>
      </c>
      <c r="CO12" s="8">
        <f t="shared" si="31"/>
        <v>250000</v>
      </c>
      <c r="CP12" s="8"/>
      <c r="CQ12" s="8">
        <v>100000</v>
      </c>
      <c r="CR12" s="8"/>
      <c r="CS12" s="8"/>
      <c r="CT12" s="8">
        <f t="shared" si="32"/>
        <v>0</v>
      </c>
      <c r="CU12" s="8">
        <f t="shared" si="32"/>
        <v>100000</v>
      </c>
      <c r="CV12" s="8"/>
      <c r="CW12" s="8">
        <v>100000</v>
      </c>
      <c r="CX12" s="8"/>
      <c r="CY12" s="8"/>
      <c r="CZ12" s="8">
        <f t="shared" si="33"/>
        <v>0</v>
      </c>
      <c r="DA12" s="8">
        <f t="shared" si="33"/>
        <v>100000</v>
      </c>
      <c r="DB12" s="8"/>
      <c r="DC12" s="8"/>
      <c r="DD12" s="8"/>
      <c r="DE12" s="8"/>
      <c r="DF12" s="8">
        <f t="shared" si="34"/>
        <v>0</v>
      </c>
      <c r="DG12" s="8">
        <f t="shared" si="34"/>
        <v>0</v>
      </c>
      <c r="DH12" s="8"/>
      <c r="DI12" s="8"/>
      <c r="DJ12" s="8"/>
      <c r="DK12" s="8"/>
      <c r="DL12" s="8">
        <f t="shared" si="35"/>
        <v>0</v>
      </c>
      <c r="DM12" s="8">
        <f t="shared" si="35"/>
        <v>0</v>
      </c>
      <c r="DN12" s="8">
        <f t="shared" si="36"/>
        <v>200000</v>
      </c>
      <c r="DO12" s="8">
        <f t="shared" si="37"/>
        <v>450000</v>
      </c>
      <c r="DP12" s="8">
        <f t="shared" si="38"/>
        <v>70000</v>
      </c>
      <c r="DQ12" s="8">
        <f t="shared" si="39"/>
        <v>0</v>
      </c>
      <c r="DR12" s="8">
        <f t="shared" si="40"/>
        <v>270000</v>
      </c>
      <c r="DS12" s="8">
        <f t="shared" si="40"/>
        <v>450000</v>
      </c>
    </row>
    <row r="13" spans="1:123" s="13" customFormat="1">
      <c r="A13" s="7">
        <v>5</v>
      </c>
      <c r="B13" s="7" t="s">
        <v>36</v>
      </c>
      <c r="C13" s="130" t="s">
        <v>39</v>
      </c>
      <c r="D13" s="11" t="s">
        <v>40</v>
      </c>
      <c r="E13" s="164" t="s">
        <v>1165</v>
      </c>
      <c r="F13" s="157">
        <f t="shared" si="2"/>
        <v>70000</v>
      </c>
      <c r="G13" s="157">
        <f t="shared" si="9"/>
        <v>0</v>
      </c>
      <c r="H13" s="157">
        <f t="shared" si="10"/>
        <v>70000</v>
      </c>
      <c r="I13" s="380">
        <f t="shared" si="11"/>
        <v>75000</v>
      </c>
      <c r="J13" s="157">
        <f t="shared" si="12"/>
        <v>70000</v>
      </c>
      <c r="K13" s="8"/>
      <c r="L13" s="128">
        <v>0</v>
      </c>
      <c r="M13" s="127">
        <v>0</v>
      </c>
      <c r="N13" s="127">
        <f t="shared" si="13"/>
        <v>0</v>
      </c>
      <c r="O13" s="127">
        <f t="shared" si="14"/>
        <v>0</v>
      </c>
      <c r="P13" s="127">
        <f t="shared" si="15"/>
        <v>0</v>
      </c>
      <c r="Q13" s="131">
        <f t="shared" si="16"/>
        <v>70000</v>
      </c>
      <c r="R13" s="125" t="str">
        <f t="shared" si="3"/>
        <v>ნულოვანი შესრულება</v>
      </c>
      <c r="S13" s="8">
        <v>0</v>
      </c>
      <c r="T13" s="8"/>
      <c r="U13" s="8">
        <f t="shared" si="17"/>
        <v>0</v>
      </c>
      <c r="V13" s="8">
        <f t="shared" si="41"/>
        <v>0</v>
      </c>
      <c r="W13" s="8">
        <v>0</v>
      </c>
      <c r="X13" s="12">
        <v>0</v>
      </c>
      <c r="Y13" s="12">
        <v>0</v>
      </c>
      <c r="Z13" s="8">
        <v>0</v>
      </c>
      <c r="AA13" s="8">
        <f t="shared" si="18"/>
        <v>0</v>
      </c>
      <c r="AB13" s="8">
        <f t="shared" si="18"/>
        <v>0</v>
      </c>
      <c r="AC13" s="8"/>
      <c r="AD13" s="8"/>
      <c r="AE13" s="8"/>
      <c r="AF13" s="8"/>
      <c r="AG13" s="8">
        <f t="shared" si="19"/>
        <v>0</v>
      </c>
      <c r="AH13" s="8">
        <f t="shared" si="19"/>
        <v>0</v>
      </c>
      <c r="AI13" s="8">
        <f t="shared" si="20"/>
        <v>0</v>
      </c>
      <c r="AJ13" s="8">
        <f t="shared" si="21"/>
        <v>0</v>
      </c>
      <c r="AK13" s="8">
        <f t="shared" si="21"/>
        <v>0</v>
      </c>
      <c r="AL13" s="8">
        <f t="shared" si="22"/>
        <v>0</v>
      </c>
      <c r="AM13" s="8">
        <f t="shared" si="23"/>
        <v>0</v>
      </c>
      <c r="AN13" s="8">
        <f t="shared" si="23"/>
        <v>0</v>
      </c>
      <c r="AO13" s="8"/>
      <c r="AP13" s="8"/>
      <c r="AQ13" s="8"/>
      <c r="AR13" s="8"/>
      <c r="AS13" s="8">
        <f t="shared" si="24"/>
        <v>0</v>
      </c>
      <c r="AT13" s="8">
        <f t="shared" si="24"/>
        <v>0</v>
      </c>
      <c r="AU13" s="8"/>
      <c r="AV13" s="8"/>
      <c r="AW13" s="8"/>
      <c r="AX13" s="8"/>
      <c r="AY13" s="8">
        <f t="shared" si="25"/>
        <v>0</v>
      </c>
      <c r="AZ13" s="8">
        <f t="shared" si="25"/>
        <v>0</v>
      </c>
      <c r="BA13" s="8">
        <v>50000</v>
      </c>
      <c r="BB13" s="8"/>
      <c r="BC13" s="8"/>
      <c r="BD13" s="8"/>
      <c r="BE13" s="8">
        <f t="shared" si="26"/>
        <v>50000</v>
      </c>
      <c r="BF13" s="8">
        <v>0</v>
      </c>
      <c r="BG13" s="8">
        <f t="shared" si="4"/>
        <v>0</v>
      </c>
      <c r="BH13" s="8"/>
      <c r="BI13" s="8"/>
      <c r="BJ13" s="8">
        <v>20000</v>
      </c>
      <c r="BK13" s="8"/>
      <c r="BL13" s="8">
        <f t="shared" si="27"/>
        <v>20000</v>
      </c>
      <c r="BM13" s="8">
        <v>55000</v>
      </c>
      <c r="BN13" s="8">
        <f t="shared" si="5"/>
        <v>0</v>
      </c>
      <c r="BO13" s="8"/>
      <c r="BP13" s="8"/>
      <c r="BQ13" s="8"/>
      <c r="BR13" s="8"/>
      <c r="BS13" s="8">
        <f t="shared" si="28"/>
        <v>0</v>
      </c>
      <c r="BT13" s="8">
        <v>20000</v>
      </c>
      <c r="BU13" s="8">
        <f t="shared" si="6"/>
        <v>0</v>
      </c>
      <c r="BV13" s="8"/>
      <c r="BW13" s="8"/>
      <c r="BX13" s="8"/>
      <c r="BY13" s="8"/>
      <c r="BZ13" s="8">
        <f t="shared" si="29"/>
        <v>0</v>
      </c>
      <c r="CA13" s="8"/>
      <c r="CB13" s="8">
        <f t="shared" si="7"/>
        <v>0</v>
      </c>
      <c r="CC13" s="8"/>
      <c r="CD13" s="8"/>
      <c r="CE13" s="8"/>
      <c r="CF13" s="8"/>
      <c r="CG13" s="8">
        <f t="shared" si="30"/>
        <v>0</v>
      </c>
      <c r="CH13" s="8"/>
      <c r="CI13" s="8">
        <f t="shared" si="8"/>
        <v>0</v>
      </c>
      <c r="CJ13" s="8"/>
      <c r="CK13" s="8"/>
      <c r="CL13" s="8"/>
      <c r="CM13" s="8"/>
      <c r="CN13" s="8">
        <f t="shared" si="31"/>
        <v>0</v>
      </c>
      <c r="CO13" s="8">
        <f t="shared" si="31"/>
        <v>0</v>
      </c>
      <c r="CP13" s="8"/>
      <c r="CQ13" s="8"/>
      <c r="CR13" s="8"/>
      <c r="CS13" s="8"/>
      <c r="CT13" s="8">
        <f t="shared" si="32"/>
        <v>0</v>
      </c>
      <c r="CU13" s="8">
        <f t="shared" si="32"/>
        <v>0</v>
      </c>
      <c r="CV13" s="8"/>
      <c r="CW13" s="8"/>
      <c r="CX13" s="8"/>
      <c r="CY13" s="8"/>
      <c r="CZ13" s="8">
        <f t="shared" si="33"/>
        <v>0</v>
      </c>
      <c r="DA13" s="8">
        <f t="shared" si="33"/>
        <v>0</v>
      </c>
      <c r="DB13" s="8"/>
      <c r="DC13" s="8"/>
      <c r="DD13" s="8"/>
      <c r="DE13" s="8"/>
      <c r="DF13" s="8">
        <f t="shared" si="34"/>
        <v>0</v>
      </c>
      <c r="DG13" s="8">
        <f t="shared" si="34"/>
        <v>0</v>
      </c>
      <c r="DH13" s="8"/>
      <c r="DI13" s="8"/>
      <c r="DJ13" s="8"/>
      <c r="DK13" s="8"/>
      <c r="DL13" s="8">
        <f t="shared" si="35"/>
        <v>0</v>
      </c>
      <c r="DM13" s="8">
        <f t="shared" si="35"/>
        <v>0</v>
      </c>
      <c r="DN13" s="8">
        <f t="shared" si="36"/>
        <v>50000</v>
      </c>
      <c r="DO13" s="8">
        <f t="shared" si="37"/>
        <v>0</v>
      </c>
      <c r="DP13" s="8">
        <f t="shared" si="38"/>
        <v>20000</v>
      </c>
      <c r="DQ13" s="8">
        <f t="shared" si="39"/>
        <v>0</v>
      </c>
      <c r="DR13" s="8">
        <f t="shared" si="40"/>
        <v>70000</v>
      </c>
      <c r="DS13" s="8">
        <f t="shared" si="40"/>
        <v>0</v>
      </c>
    </row>
    <row r="14" spans="1:123" s="13" customFormat="1">
      <c r="A14" s="7">
        <v>9</v>
      </c>
      <c r="B14" s="7" t="s">
        <v>41</v>
      </c>
      <c r="C14" s="130" t="s">
        <v>42</v>
      </c>
      <c r="D14" s="11" t="s">
        <v>43</v>
      </c>
      <c r="E14" s="164" t="s">
        <v>1165</v>
      </c>
      <c r="F14" s="157">
        <f t="shared" si="2"/>
        <v>590000</v>
      </c>
      <c r="G14" s="157">
        <f t="shared" si="9"/>
        <v>0</v>
      </c>
      <c r="H14" s="157">
        <f t="shared" si="10"/>
        <v>590000</v>
      </c>
      <c r="I14" s="380">
        <f t="shared" si="11"/>
        <v>630000</v>
      </c>
      <c r="J14" s="157">
        <f t="shared" si="12"/>
        <v>590000</v>
      </c>
      <c r="K14" s="8"/>
      <c r="L14" s="128">
        <v>0</v>
      </c>
      <c r="M14" s="127">
        <v>0</v>
      </c>
      <c r="N14" s="127">
        <f t="shared" si="13"/>
        <v>0</v>
      </c>
      <c r="O14" s="127">
        <f t="shared" si="14"/>
        <v>0</v>
      </c>
      <c r="P14" s="127">
        <f t="shared" si="15"/>
        <v>0</v>
      </c>
      <c r="Q14" s="131">
        <f t="shared" si="16"/>
        <v>590000</v>
      </c>
      <c r="R14" s="125" t="str">
        <f t="shared" si="3"/>
        <v>ნულოვანი შესრულება</v>
      </c>
      <c r="S14" s="8">
        <v>0</v>
      </c>
      <c r="T14" s="8"/>
      <c r="U14" s="8">
        <f t="shared" si="17"/>
        <v>0</v>
      </c>
      <c r="V14" s="8">
        <f t="shared" si="41"/>
        <v>0</v>
      </c>
      <c r="W14" s="8">
        <v>0</v>
      </c>
      <c r="X14" s="12">
        <v>0</v>
      </c>
      <c r="Y14" s="12">
        <v>0</v>
      </c>
      <c r="Z14" s="8">
        <v>0</v>
      </c>
      <c r="AA14" s="8">
        <f t="shared" si="18"/>
        <v>0</v>
      </c>
      <c r="AB14" s="8">
        <f t="shared" si="18"/>
        <v>0</v>
      </c>
      <c r="AC14" s="8"/>
      <c r="AD14" s="8"/>
      <c r="AE14" s="8"/>
      <c r="AF14" s="8"/>
      <c r="AG14" s="8">
        <f t="shared" si="19"/>
        <v>0</v>
      </c>
      <c r="AH14" s="8">
        <f t="shared" si="19"/>
        <v>0</v>
      </c>
      <c r="AI14" s="8">
        <f t="shared" si="20"/>
        <v>0</v>
      </c>
      <c r="AJ14" s="8">
        <f t="shared" si="21"/>
        <v>0</v>
      </c>
      <c r="AK14" s="8">
        <f t="shared" si="21"/>
        <v>0</v>
      </c>
      <c r="AL14" s="8">
        <f t="shared" si="22"/>
        <v>0</v>
      </c>
      <c r="AM14" s="8">
        <f t="shared" si="23"/>
        <v>0</v>
      </c>
      <c r="AN14" s="8">
        <f t="shared" si="23"/>
        <v>0</v>
      </c>
      <c r="AO14" s="8"/>
      <c r="AP14" s="8"/>
      <c r="AQ14" s="8"/>
      <c r="AR14" s="8"/>
      <c r="AS14" s="8">
        <f t="shared" si="24"/>
        <v>0</v>
      </c>
      <c r="AT14" s="8">
        <f t="shared" si="24"/>
        <v>0</v>
      </c>
      <c r="AU14" s="8"/>
      <c r="AV14" s="8"/>
      <c r="AW14" s="8"/>
      <c r="AX14" s="8"/>
      <c r="AY14" s="8">
        <f t="shared" si="25"/>
        <v>0</v>
      </c>
      <c r="AZ14" s="8">
        <f t="shared" si="25"/>
        <v>0</v>
      </c>
      <c r="BA14" s="8"/>
      <c r="BB14" s="8"/>
      <c r="BC14" s="8"/>
      <c r="BD14" s="8"/>
      <c r="BE14" s="8">
        <f t="shared" si="26"/>
        <v>0</v>
      </c>
      <c r="BF14" s="8"/>
      <c r="BG14" s="8">
        <f t="shared" si="4"/>
        <v>0</v>
      </c>
      <c r="BH14" s="8">
        <v>100000</v>
      </c>
      <c r="BI14" s="8"/>
      <c r="BJ14" s="8"/>
      <c r="BK14" s="8"/>
      <c r="BL14" s="8">
        <f t="shared" si="27"/>
        <v>100000</v>
      </c>
      <c r="BM14" s="8">
        <v>100000</v>
      </c>
      <c r="BN14" s="8">
        <f t="shared" si="5"/>
        <v>0</v>
      </c>
      <c r="BO14" s="8">
        <v>300000</v>
      </c>
      <c r="BP14" s="8"/>
      <c r="BQ14" s="8"/>
      <c r="BR14" s="8"/>
      <c r="BS14" s="8">
        <f t="shared" si="28"/>
        <v>300000</v>
      </c>
      <c r="BT14" s="8">
        <v>200000</v>
      </c>
      <c r="BU14" s="8">
        <f t="shared" si="6"/>
        <v>0</v>
      </c>
      <c r="BV14" s="8"/>
      <c r="BW14" s="8"/>
      <c r="BX14" s="8">
        <v>190000</v>
      </c>
      <c r="BY14" s="8"/>
      <c r="BZ14" s="8">
        <f t="shared" si="29"/>
        <v>190000</v>
      </c>
      <c r="CA14" s="8">
        <v>240000</v>
      </c>
      <c r="CB14" s="8">
        <f t="shared" si="7"/>
        <v>0</v>
      </c>
      <c r="CC14" s="8"/>
      <c r="CD14" s="8"/>
      <c r="CE14" s="8"/>
      <c r="CF14" s="8"/>
      <c r="CG14" s="8">
        <f t="shared" si="30"/>
        <v>0</v>
      </c>
      <c r="CH14" s="8">
        <v>90000</v>
      </c>
      <c r="CI14" s="8">
        <f t="shared" si="8"/>
        <v>0</v>
      </c>
      <c r="CJ14" s="8"/>
      <c r="CK14" s="8"/>
      <c r="CL14" s="8"/>
      <c r="CM14" s="8"/>
      <c r="CN14" s="8">
        <f t="shared" si="31"/>
        <v>0</v>
      </c>
      <c r="CO14" s="8">
        <f t="shared" si="31"/>
        <v>0</v>
      </c>
      <c r="CP14" s="8"/>
      <c r="CQ14" s="8"/>
      <c r="CR14" s="8"/>
      <c r="CS14" s="8"/>
      <c r="CT14" s="8">
        <f t="shared" si="32"/>
        <v>0</v>
      </c>
      <c r="CU14" s="8">
        <f t="shared" si="32"/>
        <v>0</v>
      </c>
      <c r="CV14" s="8"/>
      <c r="CW14" s="8"/>
      <c r="CX14" s="8"/>
      <c r="CY14" s="8"/>
      <c r="CZ14" s="8">
        <f t="shared" si="33"/>
        <v>0</v>
      </c>
      <c r="DA14" s="8">
        <f t="shared" si="33"/>
        <v>0</v>
      </c>
      <c r="DB14" s="8"/>
      <c r="DC14" s="8"/>
      <c r="DD14" s="8"/>
      <c r="DE14" s="8"/>
      <c r="DF14" s="8">
        <f t="shared" si="34"/>
        <v>0</v>
      </c>
      <c r="DG14" s="8">
        <f t="shared" si="34"/>
        <v>0</v>
      </c>
      <c r="DH14" s="8"/>
      <c r="DI14" s="8"/>
      <c r="DJ14" s="8"/>
      <c r="DK14" s="8"/>
      <c r="DL14" s="8">
        <f t="shared" si="35"/>
        <v>0</v>
      </c>
      <c r="DM14" s="8">
        <f t="shared" si="35"/>
        <v>0</v>
      </c>
      <c r="DN14" s="8">
        <f t="shared" si="36"/>
        <v>400000</v>
      </c>
      <c r="DO14" s="8">
        <f t="shared" si="37"/>
        <v>0</v>
      </c>
      <c r="DP14" s="8">
        <f t="shared" si="38"/>
        <v>190000</v>
      </c>
      <c r="DQ14" s="8">
        <f t="shared" si="39"/>
        <v>0</v>
      </c>
      <c r="DR14" s="8">
        <f t="shared" si="40"/>
        <v>590000</v>
      </c>
      <c r="DS14" s="8">
        <f t="shared" si="40"/>
        <v>0</v>
      </c>
    </row>
    <row r="15" spans="1:123" s="13" customFormat="1">
      <c r="A15" s="7">
        <v>10</v>
      </c>
      <c r="B15" s="7" t="s">
        <v>41</v>
      </c>
      <c r="C15" s="130" t="s">
        <v>44</v>
      </c>
      <c r="D15" s="11" t="s">
        <v>45</v>
      </c>
      <c r="E15" s="164" t="s">
        <v>1165</v>
      </c>
      <c r="F15" s="157">
        <f t="shared" si="2"/>
        <v>270000</v>
      </c>
      <c r="G15" s="157">
        <f t="shared" si="9"/>
        <v>360000</v>
      </c>
      <c r="H15" s="157">
        <f t="shared" si="10"/>
        <v>-90000</v>
      </c>
      <c r="I15" s="380">
        <f t="shared" si="11"/>
        <v>245500</v>
      </c>
      <c r="J15" s="157">
        <f t="shared" si="12"/>
        <v>270000</v>
      </c>
      <c r="K15" s="8"/>
      <c r="L15" s="128">
        <v>0</v>
      </c>
      <c r="M15" s="127">
        <v>0</v>
      </c>
      <c r="N15" s="127">
        <f t="shared" si="13"/>
        <v>0</v>
      </c>
      <c r="O15" s="127">
        <f t="shared" si="14"/>
        <v>0</v>
      </c>
      <c r="P15" s="127">
        <f t="shared" si="15"/>
        <v>0</v>
      </c>
      <c r="Q15" s="131">
        <f t="shared" si="16"/>
        <v>270000</v>
      </c>
      <c r="R15" s="125" t="str">
        <f t="shared" si="3"/>
        <v>მიმდინარეობს</v>
      </c>
      <c r="S15" s="8">
        <v>0</v>
      </c>
      <c r="T15" s="8"/>
      <c r="U15" s="8">
        <f t="shared" si="17"/>
        <v>0</v>
      </c>
      <c r="V15" s="8">
        <f t="shared" si="41"/>
        <v>0</v>
      </c>
      <c r="W15" s="8">
        <v>0</v>
      </c>
      <c r="X15" s="12">
        <v>0</v>
      </c>
      <c r="Y15" s="12">
        <v>0</v>
      </c>
      <c r="Z15" s="8">
        <v>0</v>
      </c>
      <c r="AA15" s="8">
        <f t="shared" si="18"/>
        <v>0</v>
      </c>
      <c r="AB15" s="8">
        <f t="shared" si="18"/>
        <v>0</v>
      </c>
      <c r="AC15" s="8"/>
      <c r="AD15" s="8"/>
      <c r="AE15" s="8"/>
      <c r="AF15" s="8"/>
      <c r="AG15" s="8">
        <f t="shared" si="19"/>
        <v>0</v>
      </c>
      <c r="AH15" s="8">
        <f t="shared" si="19"/>
        <v>0</v>
      </c>
      <c r="AI15" s="8">
        <f t="shared" si="20"/>
        <v>0</v>
      </c>
      <c r="AJ15" s="8">
        <f t="shared" si="21"/>
        <v>0</v>
      </c>
      <c r="AK15" s="8">
        <f t="shared" si="21"/>
        <v>0</v>
      </c>
      <c r="AL15" s="8">
        <f t="shared" si="22"/>
        <v>0</v>
      </c>
      <c r="AM15" s="8">
        <f t="shared" si="23"/>
        <v>0</v>
      </c>
      <c r="AN15" s="8">
        <f t="shared" si="23"/>
        <v>0</v>
      </c>
      <c r="AO15" s="8"/>
      <c r="AP15" s="8"/>
      <c r="AQ15" s="8"/>
      <c r="AR15" s="8"/>
      <c r="AS15" s="8">
        <f t="shared" si="24"/>
        <v>0</v>
      </c>
      <c r="AT15" s="8">
        <f t="shared" si="24"/>
        <v>0</v>
      </c>
      <c r="AU15" s="8"/>
      <c r="AV15" s="8"/>
      <c r="AW15" s="8"/>
      <c r="AX15" s="8"/>
      <c r="AY15" s="8">
        <f t="shared" si="25"/>
        <v>0</v>
      </c>
      <c r="AZ15" s="8">
        <f t="shared" si="25"/>
        <v>0</v>
      </c>
      <c r="BA15" s="8"/>
      <c r="BB15" s="8"/>
      <c r="BC15" s="8"/>
      <c r="BD15" s="8"/>
      <c r="BE15" s="8">
        <f t="shared" si="26"/>
        <v>0</v>
      </c>
      <c r="BF15" s="8"/>
      <c r="BG15" s="8">
        <f t="shared" si="4"/>
        <v>0</v>
      </c>
      <c r="BH15" s="8">
        <v>150000</v>
      </c>
      <c r="BI15" s="8"/>
      <c r="BJ15" s="8"/>
      <c r="BK15" s="8"/>
      <c r="BL15" s="8">
        <f t="shared" si="27"/>
        <v>150000</v>
      </c>
      <c r="BM15" s="8">
        <v>100000</v>
      </c>
      <c r="BN15" s="8">
        <f t="shared" si="5"/>
        <v>0</v>
      </c>
      <c r="BO15" s="8">
        <v>90000</v>
      </c>
      <c r="BP15" s="8"/>
      <c r="BQ15" s="8"/>
      <c r="BR15" s="8"/>
      <c r="BS15" s="8">
        <f t="shared" si="28"/>
        <v>90000</v>
      </c>
      <c r="BT15" s="8">
        <v>115500</v>
      </c>
      <c r="BU15" s="8">
        <f t="shared" si="6"/>
        <v>0</v>
      </c>
      <c r="BV15" s="8"/>
      <c r="BW15" s="8">
        <v>150000</v>
      </c>
      <c r="BX15" s="8">
        <v>30000</v>
      </c>
      <c r="BY15" s="8"/>
      <c r="BZ15" s="8">
        <f t="shared" si="29"/>
        <v>30000</v>
      </c>
      <c r="CA15" s="8">
        <v>30000</v>
      </c>
      <c r="CB15" s="8">
        <f t="shared" si="7"/>
        <v>150000</v>
      </c>
      <c r="CC15" s="8"/>
      <c r="CD15" s="8">
        <v>80000</v>
      </c>
      <c r="CE15" s="8"/>
      <c r="CF15" s="8"/>
      <c r="CG15" s="8">
        <f t="shared" si="30"/>
        <v>0</v>
      </c>
      <c r="CH15" s="8"/>
      <c r="CI15" s="8">
        <f t="shared" si="8"/>
        <v>80000</v>
      </c>
      <c r="CJ15" s="8"/>
      <c r="CK15" s="8"/>
      <c r="CL15" s="8"/>
      <c r="CM15" s="8"/>
      <c r="CN15" s="8">
        <f t="shared" si="31"/>
        <v>0</v>
      </c>
      <c r="CO15" s="8">
        <f t="shared" si="31"/>
        <v>0</v>
      </c>
      <c r="CP15" s="8"/>
      <c r="CQ15" s="8"/>
      <c r="CR15" s="8"/>
      <c r="CS15" s="8"/>
      <c r="CT15" s="8">
        <f t="shared" si="32"/>
        <v>0</v>
      </c>
      <c r="CU15" s="8">
        <f t="shared" si="32"/>
        <v>0</v>
      </c>
      <c r="CV15" s="8"/>
      <c r="CW15" s="8"/>
      <c r="CX15" s="8"/>
      <c r="CY15" s="8"/>
      <c r="CZ15" s="8">
        <f t="shared" si="33"/>
        <v>0</v>
      </c>
      <c r="DA15" s="8">
        <f t="shared" si="33"/>
        <v>0</v>
      </c>
      <c r="DB15" s="8"/>
      <c r="DC15" s="8">
        <f>50000+80000</f>
        <v>130000</v>
      </c>
      <c r="DD15" s="8"/>
      <c r="DE15" s="8"/>
      <c r="DF15" s="8">
        <f t="shared" si="34"/>
        <v>0</v>
      </c>
      <c r="DG15" s="8">
        <f t="shared" si="34"/>
        <v>130000</v>
      </c>
      <c r="DH15" s="8"/>
      <c r="DI15" s="8"/>
      <c r="DJ15" s="8"/>
      <c r="DK15" s="8"/>
      <c r="DL15" s="8">
        <f t="shared" si="35"/>
        <v>0</v>
      </c>
      <c r="DM15" s="8">
        <f t="shared" si="35"/>
        <v>0</v>
      </c>
      <c r="DN15" s="8">
        <f t="shared" si="36"/>
        <v>240000</v>
      </c>
      <c r="DO15" s="8">
        <f t="shared" si="37"/>
        <v>360000</v>
      </c>
      <c r="DP15" s="8">
        <f t="shared" si="38"/>
        <v>30000</v>
      </c>
      <c r="DQ15" s="8">
        <f t="shared" si="39"/>
        <v>0</v>
      </c>
      <c r="DR15" s="8">
        <f t="shared" si="40"/>
        <v>270000</v>
      </c>
      <c r="DS15" s="8">
        <f t="shared" si="40"/>
        <v>360000</v>
      </c>
    </row>
    <row r="16" spans="1:123" s="13" customFormat="1">
      <c r="A16" s="7">
        <v>11</v>
      </c>
      <c r="B16" s="7" t="s">
        <v>41</v>
      </c>
      <c r="C16" s="130" t="s">
        <v>46</v>
      </c>
      <c r="D16" s="11" t="s">
        <v>47</v>
      </c>
      <c r="E16" s="164" t="s">
        <v>1165</v>
      </c>
      <c r="F16" s="157">
        <f t="shared" si="2"/>
        <v>65000</v>
      </c>
      <c r="G16" s="157">
        <f t="shared" si="9"/>
        <v>206972.22</v>
      </c>
      <c r="H16" s="157">
        <f t="shared" si="10"/>
        <v>-141972.22</v>
      </c>
      <c r="I16" s="380">
        <f t="shared" si="11"/>
        <v>69000</v>
      </c>
      <c r="J16" s="157">
        <f t="shared" si="12"/>
        <v>65000</v>
      </c>
      <c r="K16" s="8"/>
      <c r="L16" s="128">
        <v>0</v>
      </c>
      <c r="M16" s="127">
        <v>0</v>
      </c>
      <c r="N16" s="127">
        <f t="shared" si="13"/>
        <v>0</v>
      </c>
      <c r="O16" s="127">
        <f t="shared" si="14"/>
        <v>0</v>
      </c>
      <c r="P16" s="127">
        <f t="shared" si="15"/>
        <v>0</v>
      </c>
      <c r="Q16" s="131">
        <f t="shared" si="16"/>
        <v>65000</v>
      </c>
      <c r="R16" s="131">
        <f t="shared" si="3"/>
        <v>206972.22</v>
      </c>
      <c r="S16" s="8">
        <v>0</v>
      </c>
      <c r="T16" s="8"/>
      <c r="U16" s="8">
        <f t="shared" si="17"/>
        <v>0</v>
      </c>
      <c r="V16" s="8">
        <f t="shared" si="41"/>
        <v>0</v>
      </c>
      <c r="W16" s="8">
        <v>0</v>
      </c>
      <c r="X16" s="12">
        <v>0</v>
      </c>
      <c r="Y16" s="12">
        <v>0</v>
      </c>
      <c r="Z16" s="8">
        <v>0</v>
      </c>
      <c r="AA16" s="8">
        <f t="shared" si="18"/>
        <v>0</v>
      </c>
      <c r="AB16" s="8">
        <f t="shared" si="18"/>
        <v>0</v>
      </c>
      <c r="AC16" s="8"/>
      <c r="AD16" s="8"/>
      <c r="AE16" s="8"/>
      <c r="AF16" s="8"/>
      <c r="AG16" s="8">
        <f t="shared" si="19"/>
        <v>0</v>
      </c>
      <c r="AH16" s="8">
        <f t="shared" si="19"/>
        <v>0</v>
      </c>
      <c r="AI16" s="8">
        <f t="shared" si="20"/>
        <v>0</v>
      </c>
      <c r="AJ16" s="8">
        <f t="shared" si="21"/>
        <v>0</v>
      </c>
      <c r="AK16" s="8">
        <f t="shared" si="21"/>
        <v>0</v>
      </c>
      <c r="AL16" s="8">
        <f t="shared" si="22"/>
        <v>0</v>
      </c>
      <c r="AM16" s="8">
        <f t="shared" si="23"/>
        <v>0</v>
      </c>
      <c r="AN16" s="8">
        <f t="shared" si="23"/>
        <v>0</v>
      </c>
      <c r="AO16" s="8">
        <v>0</v>
      </c>
      <c r="AP16" s="8"/>
      <c r="AQ16" s="8"/>
      <c r="AR16" s="8"/>
      <c r="AS16" s="8">
        <f t="shared" si="24"/>
        <v>0</v>
      </c>
      <c r="AT16" s="8">
        <f t="shared" si="24"/>
        <v>0</v>
      </c>
      <c r="AU16" s="8"/>
      <c r="AV16" s="8"/>
      <c r="AW16" s="8">
        <v>65000</v>
      </c>
      <c r="AX16" s="8"/>
      <c r="AY16" s="8">
        <f t="shared" si="25"/>
        <v>65000</v>
      </c>
      <c r="AZ16" s="8">
        <f t="shared" si="25"/>
        <v>0</v>
      </c>
      <c r="BA16" s="8"/>
      <c r="BB16" s="8"/>
      <c r="BC16" s="8"/>
      <c r="BD16" s="8"/>
      <c r="BE16" s="8">
        <f t="shared" si="26"/>
        <v>0</v>
      </c>
      <c r="BF16" s="8"/>
      <c r="BG16" s="8">
        <f t="shared" si="4"/>
        <v>0</v>
      </c>
      <c r="BH16" s="8"/>
      <c r="BI16" s="8"/>
      <c r="BJ16" s="8"/>
      <c r="BK16" s="8"/>
      <c r="BL16" s="8">
        <f t="shared" si="27"/>
        <v>0</v>
      </c>
      <c r="BM16" s="8">
        <v>65000</v>
      </c>
      <c r="BN16" s="8">
        <f t="shared" si="5"/>
        <v>0</v>
      </c>
      <c r="BO16" s="8"/>
      <c r="BP16" s="8">
        <v>120000</v>
      </c>
      <c r="BQ16" s="8"/>
      <c r="BR16" s="8"/>
      <c r="BS16" s="8">
        <f t="shared" si="28"/>
        <v>0</v>
      </c>
      <c r="BT16" s="8">
        <v>4000</v>
      </c>
      <c r="BU16" s="8">
        <f t="shared" si="6"/>
        <v>120000</v>
      </c>
      <c r="BV16" s="8"/>
      <c r="BW16" s="8">
        <v>30000</v>
      </c>
      <c r="BX16" s="8"/>
      <c r="BY16" s="8"/>
      <c r="BZ16" s="8">
        <f t="shared" si="29"/>
        <v>0</v>
      </c>
      <c r="CA16" s="8"/>
      <c r="CB16" s="8">
        <f t="shared" si="7"/>
        <v>30000</v>
      </c>
      <c r="CC16" s="8"/>
      <c r="CD16" s="8"/>
      <c r="CE16" s="8"/>
      <c r="CF16" s="8"/>
      <c r="CG16" s="8">
        <f t="shared" si="30"/>
        <v>0</v>
      </c>
      <c r="CH16" s="8"/>
      <c r="CI16" s="8">
        <f t="shared" si="8"/>
        <v>0</v>
      </c>
      <c r="CJ16" s="8"/>
      <c r="CK16" s="8"/>
      <c r="CL16" s="8"/>
      <c r="CM16" s="8"/>
      <c r="CN16" s="8">
        <f t="shared" si="31"/>
        <v>0</v>
      </c>
      <c r="CO16" s="8">
        <f t="shared" si="31"/>
        <v>0</v>
      </c>
      <c r="CP16" s="8"/>
      <c r="CQ16" s="8"/>
      <c r="CR16" s="8"/>
      <c r="CS16" s="8"/>
      <c r="CT16" s="8">
        <f t="shared" si="32"/>
        <v>0</v>
      </c>
      <c r="CU16" s="8">
        <f t="shared" si="32"/>
        <v>0</v>
      </c>
      <c r="CV16" s="8"/>
      <c r="CW16" s="8">
        <v>35000</v>
      </c>
      <c r="CX16" s="8"/>
      <c r="CY16" s="8">
        <v>21972.22</v>
      </c>
      <c r="CZ16" s="8">
        <f t="shared" si="33"/>
        <v>0</v>
      </c>
      <c r="DA16" s="8">
        <f t="shared" si="33"/>
        <v>56972.22</v>
      </c>
      <c r="DB16" s="8"/>
      <c r="DC16" s="8"/>
      <c r="DD16" s="8"/>
      <c r="DE16" s="8"/>
      <c r="DF16" s="8">
        <f t="shared" si="34"/>
        <v>0</v>
      </c>
      <c r="DG16" s="8">
        <f t="shared" si="34"/>
        <v>0</v>
      </c>
      <c r="DH16" s="8"/>
      <c r="DI16" s="8"/>
      <c r="DJ16" s="8"/>
      <c r="DK16" s="8"/>
      <c r="DL16" s="8">
        <f t="shared" si="35"/>
        <v>0</v>
      </c>
      <c r="DM16" s="8">
        <f t="shared" si="35"/>
        <v>0</v>
      </c>
      <c r="DN16" s="8">
        <f t="shared" si="36"/>
        <v>0</v>
      </c>
      <c r="DO16" s="8">
        <f t="shared" si="37"/>
        <v>185000</v>
      </c>
      <c r="DP16" s="8">
        <f t="shared" si="38"/>
        <v>65000</v>
      </c>
      <c r="DQ16" s="8">
        <f t="shared" si="39"/>
        <v>21972.22</v>
      </c>
      <c r="DR16" s="8">
        <f t="shared" si="40"/>
        <v>65000</v>
      </c>
      <c r="DS16" s="8">
        <f t="shared" si="40"/>
        <v>206972.22</v>
      </c>
    </row>
    <row r="17" spans="1:123" s="13" customFormat="1">
      <c r="A17" s="7">
        <v>13</v>
      </c>
      <c r="B17" s="7" t="s">
        <v>48</v>
      </c>
      <c r="C17" s="130" t="s">
        <v>49</v>
      </c>
      <c r="D17" s="11" t="s">
        <v>50</v>
      </c>
      <c r="E17" s="164" t="s">
        <v>1165</v>
      </c>
      <c r="F17" s="157">
        <f t="shared" si="2"/>
        <v>1515000</v>
      </c>
      <c r="G17" s="157">
        <f t="shared" si="9"/>
        <v>1750000</v>
      </c>
      <c r="H17" s="157">
        <f t="shared" si="10"/>
        <v>-235000</v>
      </c>
      <c r="I17" s="380">
        <f t="shared" si="11"/>
        <v>865000</v>
      </c>
      <c r="J17" s="157">
        <f t="shared" si="12"/>
        <v>1515000</v>
      </c>
      <c r="K17" s="8"/>
      <c r="L17" s="128">
        <v>0</v>
      </c>
      <c r="M17" s="127">
        <v>0</v>
      </c>
      <c r="N17" s="127">
        <f t="shared" si="13"/>
        <v>0</v>
      </c>
      <c r="O17" s="127">
        <f t="shared" si="14"/>
        <v>0</v>
      </c>
      <c r="P17" s="127">
        <f t="shared" si="15"/>
        <v>0</v>
      </c>
      <c r="Q17" s="131">
        <f t="shared" si="16"/>
        <v>1515000</v>
      </c>
      <c r="R17" s="131" t="str">
        <f t="shared" si="3"/>
        <v>მიმდინარეობს</v>
      </c>
      <c r="S17" s="8">
        <v>0</v>
      </c>
      <c r="T17" s="8"/>
      <c r="U17" s="8">
        <f t="shared" si="17"/>
        <v>0</v>
      </c>
      <c r="V17" s="8">
        <f t="shared" si="41"/>
        <v>0</v>
      </c>
      <c r="W17" s="8">
        <v>0</v>
      </c>
      <c r="X17" s="12">
        <v>0</v>
      </c>
      <c r="Y17" s="8">
        <v>0</v>
      </c>
      <c r="Z17" s="8">
        <v>0</v>
      </c>
      <c r="AA17" s="8">
        <f t="shared" si="18"/>
        <v>0</v>
      </c>
      <c r="AB17" s="8">
        <f t="shared" si="18"/>
        <v>0</v>
      </c>
      <c r="AC17" s="8"/>
      <c r="AD17" s="8"/>
      <c r="AE17" s="8"/>
      <c r="AF17" s="8"/>
      <c r="AG17" s="8">
        <f t="shared" si="19"/>
        <v>0</v>
      </c>
      <c r="AH17" s="8">
        <f t="shared" si="19"/>
        <v>0</v>
      </c>
      <c r="AI17" s="8">
        <f t="shared" si="20"/>
        <v>0</v>
      </c>
      <c r="AJ17" s="8">
        <f t="shared" si="21"/>
        <v>0</v>
      </c>
      <c r="AK17" s="8">
        <f t="shared" si="21"/>
        <v>0</v>
      </c>
      <c r="AL17" s="8">
        <f t="shared" si="22"/>
        <v>0</v>
      </c>
      <c r="AM17" s="8">
        <f t="shared" si="23"/>
        <v>0</v>
      </c>
      <c r="AN17" s="8">
        <f t="shared" si="23"/>
        <v>0</v>
      </c>
      <c r="AO17" s="8">
        <v>400000</v>
      </c>
      <c r="AP17" s="8">
        <v>400000</v>
      </c>
      <c r="AQ17" s="8"/>
      <c r="AR17" s="8"/>
      <c r="AS17" s="8">
        <f t="shared" si="24"/>
        <v>400000</v>
      </c>
      <c r="AT17" s="8">
        <f t="shared" si="24"/>
        <v>400000</v>
      </c>
      <c r="AU17" s="8">
        <v>150000</v>
      </c>
      <c r="AV17" s="8">
        <v>300000</v>
      </c>
      <c r="AW17" s="8"/>
      <c r="AX17" s="8"/>
      <c r="AY17" s="8">
        <f t="shared" si="25"/>
        <v>150000</v>
      </c>
      <c r="AZ17" s="8">
        <f t="shared" si="25"/>
        <v>300000</v>
      </c>
      <c r="BA17" s="8">
        <v>250000</v>
      </c>
      <c r="BB17" s="8">
        <v>300000</v>
      </c>
      <c r="BC17" s="8"/>
      <c r="BD17" s="8"/>
      <c r="BE17" s="8">
        <f t="shared" si="26"/>
        <v>250000</v>
      </c>
      <c r="BF17" s="8">
        <v>300000</v>
      </c>
      <c r="BG17" s="8">
        <f t="shared" si="4"/>
        <v>300000</v>
      </c>
      <c r="BH17" s="8">
        <v>300000</v>
      </c>
      <c r="BI17" s="8">
        <v>200000</v>
      </c>
      <c r="BJ17" s="8"/>
      <c r="BK17" s="8"/>
      <c r="BL17" s="8">
        <f t="shared" si="27"/>
        <v>300000</v>
      </c>
      <c r="BM17" s="8">
        <v>200000</v>
      </c>
      <c r="BN17" s="8">
        <f t="shared" si="5"/>
        <v>200000</v>
      </c>
      <c r="BO17" s="8">
        <v>300000</v>
      </c>
      <c r="BP17" s="8">
        <v>200000</v>
      </c>
      <c r="BQ17" s="8"/>
      <c r="BR17" s="8"/>
      <c r="BS17" s="8">
        <f t="shared" si="28"/>
        <v>300000</v>
      </c>
      <c r="BT17" s="8">
        <v>165000</v>
      </c>
      <c r="BU17" s="8">
        <f t="shared" si="6"/>
        <v>200000</v>
      </c>
      <c r="BV17" s="8"/>
      <c r="BW17" s="8"/>
      <c r="BX17" s="8">
        <v>115000</v>
      </c>
      <c r="BY17" s="8"/>
      <c r="BZ17" s="8">
        <f t="shared" si="29"/>
        <v>115000</v>
      </c>
      <c r="CA17" s="8">
        <v>150000</v>
      </c>
      <c r="CB17" s="8">
        <f t="shared" si="7"/>
        <v>0</v>
      </c>
      <c r="CC17" s="8"/>
      <c r="CD17" s="8">
        <v>80000</v>
      </c>
      <c r="CE17" s="8"/>
      <c r="CF17" s="8"/>
      <c r="CG17" s="8">
        <f t="shared" si="30"/>
        <v>0</v>
      </c>
      <c r="CH17" s="8">
        <v>50000</v>
      </c>
      <c r="CI17" s="8">
        <f t="shared" si="8"/>
        <v>80000</v>
      </c>
      <c r="CJ17" s="8"/>
      <c r="CK17" s="8"/>
      <c r="CL17" s="8"/>
      <c r="CM17" s="8"/>
      <c r="CN17" s="8">
        <f t="shared" si="31"/>
        <v>0</v>
      </c>
      <c r="CO17" s="8">
        <f t="shared" si="31"/>
        <v>0</v>
      </c>
      <c r="CP17" s="8"/>
      <c r="CQ17" s="8"/>
      <c r="CR17" s="8"/>
      <c r="CS17" s="8"/>
      <c r="CT17" s="8">
        <f t="shared" si="32"/>
        <v>0</v>
      </c>
      <c r="CU17" s="8">
        <f t="shared" si="32"/>
        <v>0</v>
      </c>
      <c r="CV17" s="8"/>
      <c r="CW17" s="8">
        <v>100000</v>
      </c>
      <c r="CX17" s="8"/>
      <c r="CY17" s="8"/>
      <c r="CZ17" s="8">
        <f t="shared" si="33"/>
        <v>0</v>
      </c>
      <c r="DA17" s="8">
        <f t="shared" si="33"/>
        <v>100000</v>
      </c>
      <c r="DB17" s="8"/>
      <c r="DC17" s="8">
        <v>170000</v>
      </c>
      <c r="DD17" s="8"/>
      <c r="DE17" s="8"/>
      <c r="DF17" s="8">
        <f t="shared" si="34"/>
        <v>0</v>
      </c>
      <c r="DG17" s="8">
        <f t="shared" si="34"/>
        <v>170000</v>
      </c>
      <c r="DH17" s="8"/>
      <c r="DI17" s="8"/>
      <c r="DJ17" s="8"/>
      <c r="DK17" s="8"/>
      <c r="DL17" s="8">
        <f t="shared" si="35"/>
        <v>0</v>
      </c>
      <c r="DM17" s="8">
        <f t="shared" si="35"/>
        <v>0</v>
      </c>
      <c r="DN17" s="8">
        <f t="shared" si="36"/>
        <v>1400000</v>
      </c>
      <c r="DO17" s="8">
        <f t="shared" si="37"/>
        <v>1750000</v>
      </c>
      <c r="DP17" s="8">
        <f t="shared" si="38"/>
        <v>115000</v>
      </c>
      <c r="DQ17" s="8">
        <f t="shared" si="39"/>
        <v>0</v>
      </c>
      <c r="DR17" s="8">
        <f t="shared" si="40"/>
        <v>1515000</v>
      </c>
      <c r="DS17" s="8">
        <f t="shared" si="40"/>
        <v>1750000</v>
      </c>
    </row>
    <row r="18" spans="1:123" s="13" customFormat="1">
      <c r="A18" s="7">
        <v>14</v>
      </c>
      <c r="B18" s="7" t="s">
        <v>48</v>
      </c>
      <c r="C18" s="130" t="s">
        <v>51</v>
      </c>
      <c r="D18" s="11" t="s">
        <v>52</v>
      </c>
      <c r="E18" s="164" t="s">
        <v>1165</v>
      </c>
      <c r="F18" s="157">
        <f t="shared" si="2"/>
        <v>0</v>
      </c>
      <c r="G18" s="157">
        <f t="shared" si="9"/>
        <v>0</v>
      </c>
      <c r="H18" s="157">
        <f t="shared" si="10"/>
        <v>0</v>
      </c>
      <c r="I18" s="157">
        <f t="shared" si="11"/>
        <v>0</v>
      </c>
      <c r="J18" s="157">
        <f t="shared" si="12"/>
        <v>292096.45</v>
      </c>
      <c r="K18" s="8"/>
      <c r="L18" s="128">
        <v>0</v>
      </c>
      <c r="M18" s="127">
        <v>0</v>
      </c>
      <c r="N18" s="127">
        <f t="shared" si="13"/>
        <v>292096.45</v>
      </c>
      <c r="O18" s="127">
        <f t="shared" si="14"/>
        <v>292096.45</v>
      </c>
      <c r="P18" s="127">
        <f t="shared" si="15"/>
        <v>292096.45</v>
      </c>
      <c r="Q18" s="131">
        <f t="shared" si="16"/>
        <v>0</v>
      </c>
      <c r="R18" s="125">
        <f t="shared" si="3"/>
        <v>292096.45</v>
      </c>
      <c r="S18" s="8">
        <v>200000</v>
      </c>
      <c r="T18" s="8"/>
      <c r="U18" s="8">
        <f t="shared" si="17"/>
        <v>200000</v>
      </c>
      <c r="V18" s="8">
        <f t="shared" si="41"/>
        <v>0</v>
      </c>
      <c r="W18" s="8">
        <v>0</v>
      </c>
      <c r="X18" s="12">
        <v>0</v>
      </c>
      <c r="Y18" s="8">
        <v>75000</v>
      </c>
      <c r="Z18" s="8">
        <v>92096.45</v>
      </c>
      <c r="AA18" s="8">
        <f t="shared" si="18"/>
        <v>75000</v>
      </c>
      <c r="AB18" s="8">
        <f t="shared" si="18"/>
        <v>92096.45</v>
      </c>
      <c r="AC18" s="8"/>
      <c r="AD18" s="8"/>
      <c r="AE18" s="8"/>
      <c r="AF18" s="8"/>
      <c r="AG18" s="8">
        <f t="shared" si="19"/>
        <v>0</v>
      </c>
      <c r="AH18" s="8">
        <f t="shared" si="19"/>
        <v>0</v>
      </c>
      <c r="AI18" s="8">
        <f t="shared" si="20"/>
        <v>200000</v>
      </c>
      <c r="AJ18" s="8">
        <f t="shared" si="21"/>
        <v>200000</v>
      </c>
      <c r="AK18" s="8">
        <f t="shared" si="21"/>
        <v>75000</v>
      </c>
      <c r="AL18" s="8">
        <f t="shared" si="22"/>
        <v>92096.45</v>
      </c>
      <c r="AM18" s="8">
        <f t="shared" si="23"/>
        <v>275000</v>
      </c>
      <c r="AN18" s="8">
        <f t="shared" si="23"/>
        <v>292096.45</v>
      </c>
      <c r="AO18" s="8"/>
      <c r="AP18" s="8"/>
      <c r="AQ18" s="8"/>
      <c r="AR18" s="8"/>
      <c r="AS18" s="8">
        <f t="shared" si="24"/>
        <v>0</v>
      </c>
      <c r="AT18" s="8">
        <f t="shared" si="24"/>
        <v>0</v>
      </c>
      <c r="AU18" s="8"/>
      <c r="AV18" s="8"/>
      <c r="AW18" s="8"/>
      <c r="AX18" s="8"/>
      <c r="AY18" s="8">
        <f t="shared" si="25"/>
        <v>0</v>
      </c>
      <c r="AZ18" s="8">
        <f t="shared" si="25"/>
        <v>0</v>
      </c>
      <c r="BA18" s="8"/>
      <c r="BB18" s="8"/>
      <c r="BC18" s="8"/>
      <c r="BD18" s="8"/>
      <c r="BE18" s="8">
        <f t="shared" si="26"/>
        <v>0</v>
      </c>
      <c r="BF18" s="8"/>
      <c r="BG18" s="8">
        <f t="shared" si="4"/>
        <v>0</v>
      </c>
      <c r="BH18" s="8"/>
      <c r="BI18" s="8"/>
      <c r="BJ18" s="8"/>
      <c r="BK18" s="8"/>
      <c r="BL18" s="8">
        <f t="shared" si="27"/>
        <v>0</v>
      </c>
      <c r="BM18" s="8"/>
      <c r="BN18" s="8">
        <f t="shared" si="5"/>
        <v>0</v>
      </c>
      <c r="BO18" s="8"/>
      <c r="BP18" s="8"/>
      <c r="BQ18" s="8"/>
      <c r="BR18" s="8"/>
      <c r="BS18" s="8">
        <f t="shared" si="28"/>
        <v>0</v>
      </c>
      <c r="BT18" s="8"/>
      <c r="BU18" s="8">
        <f t="shared" si="6"/>
        <v>0</v>
      </c>
      <c r="BV18" s="8"/>
      <c r="BW18" s="8"/>
      <c r="BX18" s="8"/>
      <c r="BY18" s="8"/>
      <c r="BZ18" s="8">
        <f t="shared" si="29"/>
        <v>0</v>
      </c>
      <c r="CA18" s="8"/>
      <c r="CB18" s="8">
        <f t="shared" si="7"/>
        <v>0</v>
      </c>
      <c r="CC18" s="8"/>
      <c r="CD18" s="8"/>
      <c r="CE18" s="8"/>
      <c r="CF18" s="8"/>
      <c r="CG18" s="8">
        <f t="shared" si="30"/>
        <v>0</v>
      </c>
      <c r="CH18" s="8"/>
      <c r="CI18" s="8">
        <f t="shared" si="8"/>
        <v>0</v>
      </c>
      <c r="CJ18" s="8"/>
      <c r="CK18" s="8"/>
      <c r="CL18" s="8"/>
      <c r="CM18" s="8"/>
      <c r="CN18" s="8">
        <f t="shared" si="31"/>
        <v>0</v>
      </c>
      <c r="CO18" s="8">
        <f t="shared" si="31"/>
        <v>0</v>
      </c>
      <c r="CP18" s="8"/>
      <c r="CQ18" s="8"/>
      <c r="CR18" s="8"/>
      <c r="CS18" s="8"/>
      <c r="CT18" s="8">
        <f t="shared" si="32"/>
        <v>0</v>
      </c>
      <c r="CU18" s="8">
        <f t="shared" si="32"/>
        <v>0</v>
      </c>
      <c r="CV18" s="8"/>
      <c r="CW18" s="8"/>
      <c r="CX18" s="8"/>
      <c r="CY18" s="8"/>
      <c r="CZ18" s="8">
        <f t="shared" si="33"/>
        <v>0</v>
      </c>
      <c r="DA18" s="8">
        <f t="shared" si="33"/>
        <v>0</v>
      </c>
      <c r="DB18" s="8"/>
      <c r="DC18" s="8"/>
      <c r="DD18" s="8"/>
      <c r="DE18" s="8"/>
      <c r="DF18" s="8">
        <f t="shared" si="34"/>
        <v>0</v>
      </c>
      <c r="DG18" s="8">
        <f t="shared" si="34"/>
        <v>0</v>
      </c>
      <c r="DH18" s="8"/>
      <c r="DI18" s="8"/>
      <c r="DJ18" s="8"/>
      <c r="DK18" s="8"/>
      <c r="DL18" s="8">
        <f t="shared" si="35"/>
        <v>0</v>
      </c>
      <c r="DM18" s="8">
        <f t="shared" si="35"/>
        <v>0</v>
      </c>
      <c r="DN18" s="8">
        <f t="shared" si="36"/>
        <v>0</v>
      </c>
      <c r="DO18" s="8">
        <f t="shared" si="37"/>
        <v>0</v>
      </c>
      <c r="DP18" s="8">
        <f t="shared" si="38"/>
        <v>0</v>
      </c>
      <c r="DQ18" s="8">
        <f t="shared" si="39"/>
        <v>0</v>
      </c>
      <c r="DR18" s="8">
        <f t="shared" si="40"/>
        <v>0</v>
      </c>
      <c r="DS18" s="8">
        <f t="shared" si="40"/>
        <v>0</v>
      </c>
    </row>
    <row r="19" spans="1:123" s="13" customFormat="1">
      <c r="A19" s="7">
        <v>15</v>
      </c>
      <c r="B19" s="7" t="s">
        <v>53</v>
      </c>
      <c r="C19" s="130" t="s">
        <v>54</v>
      </c>
      <c r="D19" s="11" t="s">
        <v>55</v>
      </c>
      <c r="E19" s="164" t="s">
        <v>1165</v>
      </c>
      <c r="F19" s="157">
        <f t="shared" si="2"/>
        <v>550000</v>
      </c>
      <c r="G19" s="157">
        <f t="shared" si="9"/>
        <v>660000</v>
      </c>
      <c r="H19" s="157">
        <f t="shared" si="10"/>
        <v>-110000</v>
      </c>
      <c r="I19" s="380">
        <f t="shared" si="11"/>
        <v>180500</v>
      </c>
      <c r="J19" s="157">
        <f t="shared" si="12"/>
        <v>695000</v>
      </c>
      <c r="K19" s="8"/>
      <c r="L19" s="128">
        <v>0</v>
      </c>
      <c r="M19" s="127">
        <v>0</v>
      </c>
      <c r="N19" s="127">
        <f t="shared" si="13"/>
        <v>145000</v>
      </c>
      <c r="O19" s="127">
        <f t="shared" si="14"/>
        <v>0</v>
      </c>
      <c r="P19" s="127">
        <f t="shared" si="15"/>
        <v>145000</v>
      </c>
      <c r="Q19" s="131">
        <f t="shared" si="16"/>
        <v>550000</v>
      </c>
      <c r="R19" s="125" t="str">
        <f t="shared" si="3"/>
        <v>მიმდინარეობს</v>
      </c>
      <c r="S19" s="8">
        <v>145000</v>
      </c>
      <c r="T19" s="8"/>
      <c r="U19" s="8">
        <f t="shared" si="17"/>
        <v>145000</v>
      </c>
      <c r="V19" s="8">
        <f t="shared" si="41"/>
        <v>0</v>
      </c>
      <c r="W19" s="8">
        <v>0</v>
      </c>
      <c r="X19" s="12">
        <v>0</v>
      </c>
      <c r="Y19" s="8">
        <v>0</v>
      </c>
      <c r="Z19" s="8">
        <v>0</v>
      </c>
      <c r="AA19" s="8">
        <f t="shared" si="18"/>
        <v>0</v>
      </c>
      <c r="AB19" s="8">
        <f t="shared" si="18"/>
        <v>0</v>
      </c>
      <c r="AC19" s="8"/>
      <c r="AD19" s="8"/>
      <c r="AE19" s="8"/>
      <c r="AF19" s="8"/>
      <c r="AG19" s="8">
        <f t="shared" si="19"/>
        <v>0</v>
      </c>
      <c r="AH19" s="8">
        <f t="shared" si="19"/>
        <v>0</v>
      </c>
      <c r="AI19" s="8">
        <f t="shared" si="20"/>
        <v>145000</v>
      </c>
      <c r="AJ19" s="8">
        <f t="shared" si="21"/>
        <v>145000</v>
      </c>
      <c r="AK19" s="8">
        <f t="shared" si="21"/>
        <v>0</v>
      </c>
      <c r="AL19" s="8">
        <f t="shared" si="22"/>
        <v>0</v>
      </c>
      <c r="AM19" s="8">
        <f t="shared" si="23"/>
        <v>145000</v>
      </c>
      <c r="AN19" s="8">
        <f t="shared" si="23"/>
        <v>145000</v>
      </c>
      <c r="AO19" s="8">
        <v>250000</v>
      </c>
      <c r="AP19" s="8">
        <v>250000</v>
      </c>
      <c r="AQ19" s="8"/>
      <c r="AR19" s="8"/>
      <c r="AS19" s="8">
        <f t="shared" si="24"/>
        <v>250000</v>
      </c>
      <c r="AT19" s="8">
        <f t="shared" si="24"/>
        <v>250000</v>
      </c>
      <c r="AU19" s="8">
        <v>200000</v>
      </c>
      <c r="AV19" s="8">
        <v>225000</v>
      </c>
      <c r="AW19" s="8"/>
      <c r="AX19" s="8"/>
      <c r="AY19" s="8">
        <f t="shared" si="25"/>
        <v>200000</v>
      </c>
      <c r="AZ19" s="8">
        <f t="shared" si="25"/>
        <v>225000</v>
      </c>
      <c r="BA19" s="8"/>
      <c r="BB19" s="8">
        <v>35000</v>
      </c>
      <c r="BC19" s="8">
        <v>100000</v>
      </c>
      <c r="BD19" s="8"/>
      <c r="BE19" s="8">
        <f t="shared" si="26"/>
        <v>100000</v>
      </c>
      <c r="BF19" s="8">
        <v>100000</v>
      </c>
      <c r="BG19" s="8">
        <f t="shared" si="4"/>
        <v>35000</v>
      </c>
      <c r="BH19" s="8"/>
      <c r="BI19" s="8"/>
      <c r="BJ19" s="8"/>
      <c r="BK19" s="8"/>
      <c r="BL19" s="8">
        <f t="shared" si="27"/>
        <v>0</v>
      </c>
      <c r="BM19" s="8">
        <f>45000+35500</f>
        <v>80500</v>
      </c>
      <c r="BN19" s="8">
        <f t="shared" si="5"/>
        <v>0</v>
      </c>
      <c r="BO19" s="8"/>
      <c r="BP19" s="8"/>
      <c r="BQ19" s="8"/>
      <c r="BR19" s="8"/>
      <c r="BS19" s="8">
        <f t="shared" si="28"/>
        <v>0</v>
      </c>
      <c r="BT19" s="8"/>
      <c r="BU19" s="8">
        <f t="shared" si="6"/>
        <v>0</v>
      </c>
      <c r="BV19" s="8"/>
      <c r="BW19" s="8"/>
      <c r="BX19" s="8"/>
      <c r="BY19" s="8"/>
      <c r="BZ19" s="8">
        <f t="shared" si="29"/>
        <v>0</v>
      </c>
      <c r="CA19" s="8"/>
      <c r="CB19" s="8">
        <f t="shared" si="7"/>
        <v>0</v>
      </c>
      <c r="CC19" s="8"/>
      <c r="CD19" s="8"/>
      <c r="CE19" s="8"/>
      <c r="CF19" s="8"/>
      <c r="CG19" s="8">
        <f t="shared" si="30"/>
        <v>0</v>
      </c>
      <c r="CH19" s="8"/>
      <c r="CI19" s="8">
        <f t="shared" si="8"/>
        <v>0</v>
      </c>
      <c r="CJ19" s="8"/>
      <c r="CK19" s="8"/>
      <c r="CL19" s="8"/>
      <c r="CM19" s="8"/>
      <c r="CN19" s="8">
        <f t="shared" si="31"/>
        <v>0</v>
      </c>
      <c r="CO19" s="8">
        <f t="shared" si="31"/>
        <v>0</v>
      </c>
      <c r="CP19" s="8"/>
      <c r="CQ19" s="8"/>
      <c r="CR19" s="8"/>
      <c r="CS19" s="8"/>
      <c r="CT19" s="8">
        <f t="shared" si="32"/>
        <v>0</v>
      </c>
      <c r="CU19" s="8">
        <f t="shared" si="32"/>
        <v>0</v>
      </c>
      <c r="CV19" s="8"/>
      <c r="CW19" s="8"/>
      <c r="CX19" s="8"/>
      <c r="CY19" s="8"/>
      <c r="CZ19" s="8">
        <f t="shared" si="33"/>
        <v>0</v>
      </c>
      <c r="DA19" s="8">
        <f t="shared" si="33"/>
        <v>0</v>
      </c>
      <c r="DB19" s="8"/>
      <c r="DC19" s="8">
        <v>150000</v>
      </c>
      <c r="DD19" s="8"/>
      <c r="DE19" s="8"/>
      <c r="DF19" s="8">
        <f t="shared" si="34"/>
        <v>0</v>
      </c>
      <c r="DG19" s="8">
        <f t="shared" si="34"/>
        <v>150000</v>
      </c>
      <c r="DH19" s="8"/>
      <c r="DI19" s="8"/>
      <c r="DJ19" s="8"/>
      <c r="DK19" s="8"/>
      <c r="DL19" s="8">
        <f t="shared" si="35"/>
        <v>0</v>
      </c>
      <c r="DM19" s="8">
        <f t="shared" si="35"/>
        <v>0</v>
      </c>
      <c r="DN19" s="8">
        <f t="shared" si="36"/>
        <v>450000</v>
      </c>
      <c r="DO19" s="8">
        <f t="shared" si="37"/>
        <v>660000</v>
      </c>
      <c r="DP19" s="8">
        <f t="shared" si="38"/>
        <v>100000</v>
      </c>
      <c r="DQ19" s="8">
        <f t="shared" si="39"/>
        <v>0</v>
      </c>
      <c r="DR19" s="8">
        <f t="shared" si="40"/>
        <v>550000</v>
      </c>
      <c r="DS19" s="8">
        <f t="shared" si="40"/>
        <v>660000</v>
      </c>
    </row>
    <row r="20" spans="1:123" s="13" customFormat="1">
      <c r="A20" s="7">
        <v>16</v>
      </c>
      <c r="B20" s="7" t="s">
        <v>53</v>
      </c>
      <c r="C20" s="130" t="s">
        <v>56</v>
      </c>
      <c r="D20" s="11" t="s">
        <v>57</v>
      </c>
      <c r="E20" s="164" t="s">
        <v>1165</v>
      </c>
      <c r="F20" s="157">
        <f t="shared" si="2"/>
        <v>700000</v>
      </c>
      <c r="G20" s="157">
        <f t="shared" si="9"/>
        <v>460000</v>
      </c>
      <c r="H20" s="157">
        <f t="shared" si="10"/>
        <v>240000</v>
      </c>
      <c r="I20" s="380">
        <f t="shared" si="11"/>
        <v>704000</v>
      </c>
      <c r="J20" s="157">
        <f t="shared" si="12"/>
        <v>700000</v>
      </c>
      <c r="K20" s="8"/>
      <c r="L20" s="128">
        <v>0</v>
      </c>
      <c r="M20" s="127">
        <v>0</v>
      </c>
      <c r="N20" s="127">
        <f t="shared" si="13"/>
        <v>0</v>
      </c>
      <c r="O20" s="127">
        <f t="shared" si="14"/>
        <v>0</v>
      </c>
      <c r="P20" s="127">
        <f t="shared" si="15"/>
        <v>0</v>
      </c>
      <c r="Q20" s="131">
        <f t="shared" si="16"/>
        <v>700000</v>
      </c>
      <c r="R20" s="131" t="str">
        <f t="shared" si="3"/>
        <v>მიმდინარეობს</v>
      </c>
      <c r="S20" s="8">
        <v>0</v>
      </c>
      <c r="T20" s="8"/>
      <c r="U20" s="8">
        <f t="shared" si="17"/>
        <v>0</v>
      </c>
      <c r="V20" s="8">
        <f t="shared" si="41"/>
        <v>0</v>
      </c>
      <c r="W20" s="8">
        <v>0</v>
      </c>
      <c r="X20" s="12">
        <v>0</v>
      </c>
      <c r="Y20" s="8">
        <v>0</v>
      </c>
      <c r="Z20" s="8">
        <v>0</v>
      </c>
      <c r="AA20" s="8">
        <f t="shared" si="18"/>
        <v>0</v>
      </c>
      <c r="AB20" s="8">
        <f t="shared" si="18"/>
        <v>0</v>
      </c>
      <c r="AC20" s="8"/>
      <c r="AD20" s="8"/>
      <c r="AE20" s="8"/>
      <c r="AF20" s="8"/>
      <c r="AG20" s="8">
        <f t="shared" si="19"/>
        <v>0</v>
      </c>
      <c r="AH20" s="8">
        <f t="shared" si="19"/>
        <v>0</v>
      </c>
      <c r="AI20" s="8">
        <f t="shared" si="20"/>
        <v>0</v>
      </c>
      <c r="AJ20" s="8">
        <f t="shared" si="21"/>
        <v>0</v>
      </c>
      <c r="AK20" s="8">
        <f t="shared" si="21"/>
        <v>0</v>
      </c>
      <c r="AL20" s="8">
        <f t="shared" si="22"/>
        <v>0</v>
      </c>
      <c r="AM20" s="8">
        <f t="shared" si="23"/>
        <v>0</v>
      </c>
      <c r="AN20" s="8">
        <f t="shared" si="23"/>
        <v>0</v>
      </c>
      <c r="AO20" s="8"/>
      <c r="AP20" s="8"/>
      <c r="AQ20" s="8"/>
      <c r="AR20" s="8"/>
      <c r="AS20" s="8">
        <f t="shared" si="24"/>
        <v>0</v>
      </c>
      <c r="AT20" s="8">
        <f t="shared" si="24"/>
        <v>0</v>
      </c>
      <c r="AU20" s="8">
        <v>150000</v>
      </c>
      <c r="AV20" s="8"/>
      <c r="AW20" s="8"/>
      <c r="AX20" s="8"/>
      <c r="AY20" s="8">
        <f t="shared" si="25"/>
        <v>150000</v>
      </c>
      <c r="AZ20" s="8">
        <f t="shared" si="25"/>
        <v>0</v>
      </c>
      <c r="BA20" s="8">
        <v>250000</v>
      </c>
      <c r="BB20" s="8"/>
      <c r="BC20" s="8"/>
      <c r="BD20" s="8"/>
      <c r="BE20" s="8">
        <f t="shared" si="26"/>
        <v>250000</v>
      </c>
      <c r="BF20" s="8">
        <v>0</v>
      </c>
      <c r="BG20" s="8">
        <f t="shared" si="4"/>
        <v>0</v>
      </c>
      <c r="BH20" s="8">
        <v>150000</v>
      </c>
      <c r="BI20" s="8">
        <v>120000</v>
      </c>
      <c r="BJ20" s="8"/>
      <c r="BK20" s="8"/>
      <c r="BL20" s="8">
        <f t="shared" si="27"/>
        <v>150000</v>
      </c>
      <c r="BM20" s="8">
        <v>150000</v>
      </c>
      <c r="BN20" s="8">
        <f t="shared" si="5"/>
        <v>120000</v>
      </c>
      <c r="BO20" s="8"/>
      <c r="BP20" s="8">
        <v>180000</v>
      </c>
      <c r="BQ20" s="8">
        <v>150000</v>
      </c>
      <c r="BR20" s="8"/>
      <c r="BS20" s="8">
        <f t="shared" si="28"/>
        <v>150000</v>
      </c>
      <c r="BT20" s="8">
        <v>350000</v>
      </c>
      <c r="BU20" s="8">
        <f t="shared" si="6"/>
        <v>180000</v>
      </c>
      <c r="BV20" s="8"/>
      <c r="BW20" s="8">
        <v>100000</v>
      </c>
      <c r="BX20" s="8"/>
      <c r="BY20" s="8"/>
      <c r="BZ20" s="8">
        <f t="shared" si="29"/>
        <v>0</v>
      </c>
      <c r="CA20" s="8">
        <v>154000</v>
      </c>
      <c r="CB20" s="8">
        <f t="shared" si="7"/>
        <v>100000</v>
      </c>
      <c r="CC20" s="8"/>
      <c r="CD20" s="8">
        <v>60000</v>
      </c>
      <c r="CE20" s="8"/>
      <c r="CF20" s="8"/>
      <c r="CG20" s="8">
        <f t="shared" si="30"/>
        <v>0</v>
      </c>
      <c r="CH20" s="8">
        <v>50000</v>
      </c>
      <c r="CI20" s="8">
        <f t="shared" si="8"/>
        <v>60000</v>
      </c>
      <c r="CJ20" s="8"/>
      <c r="CK20" s="8"/>
      <c r="CL20" s="8"/>
      <c r="CM20" s="8"/>
      <c r="CN20" s="8">
        <f t="shared" si="31"/>
        <v>0</v>
      </c>
      <c r="CO20" s="8">
        <f t="shared" si="31"/>
        <v>0</v>
      </c>
      <c r="CP20" s="8"/>
      <c r="CQ20" s="8"/>
      <c r="CR20" s="8"/>
      <c r="CS20" s="8"/>
      <c r="CT20" s="8">
        <f t="shared" si="32"/>
        <v>0</v>
      </c>
      <c r="CU20" s="8">
        <f t="shared" si="32"/>
        <v>0</v>
      </c>
      <c r="CV20" s="8"/>
      <c r="CW20" s="8"/>
      <c r="CX20" s="8"/>
      <c r="CY20" s="8"/>
      <c r="CZ20" s="8">
        <f t="shared" si="33"/>
        <v>0</v>
      </c>
      <c r="DA20" s="8">
        <f t="shared" si="33"/>
        <v>0</v>
      </c>
      <c r="DB20" s="8"/>
      <c r="DC20" s="8"/>
      <c r="DD20" s="8"/>
      <c r="DE20" s="8"/>
      <c r="DF20" s="8">
        <f t="shared" si="34"/>
        <v>0</v>
      </c>
      <c r="DG20" s="8">
        <f t="shared" si="34"/>
        <v>0</v>
      </c>
      <c r="DH20" s="8"/>
      <c r="DI20" s="8"/>
      <c r="DJ20" s="8"/>
      <c r="DK20" s="8"/>
      <c r="DL20" s="8">
        <f t="shared" si="35"/>
        <v>0</v>
      </c>
      <c r="DM20" s="8">
        <f t="shared" si="35"/>
        <v>0</v>
      </c>
      <c r="DN20" s="8">
        <f t="shared" si="36"/>
        <v>550000</v>
      </c>
      <c r="DO20" s="8">
        <f t="shared" si="37"/>
        <v>460000</v>
      </c>
      <c r="DP20" s="8">
        <f t="shared" si="38"/>
        <v>150000</v>
      </c>
      <c r="DQ20" s="8">
        <f t="shared" si="39"/>
        <v>0</v>
      </c>
      <c r="DR20" s="8">
        <f t="shared" si="40"/>
        <v>700000</v>
      </c>
      <c r="DS20" s="8">
        <f t="shared" si="40"/>
        <v>460000</v>
      </c>
    </row>
    <row r="21" spans="1:123" s="13" customFormat="1">
      <c r="A21" s="7">
        <v>17</v>
      </c>
      <c r="B21" s="7" t="s">
        <v>58</v>
      </c>
      <c r="C21" s="130" t="s">
        <v>59</v>
      </c>
      <c r="D21" s="11" t="s">
        <v>60</v>
      </c>
      <c r="E21" s="164" t="s">
        <v>1165</v>
      </c>
      <c r="F21" s="157">
        <f t="shared" si="2"/>
        <v>0</v>
      </c>
      <c r="G21" s="157">
        <f t="shared" si="9"/>
        <v>0</v>
      </c>
      <c r="H21" s="157">
        <f t="shared" si="10"/>
        <v>0</v>
      </c>
      <c r="I21" s="157">
        <f t="shared" si="11"/>
        <v>0</v>
      </c>
      <c r="J21" s="157">
        <f t="shared" si="12"/>
        <v>215316.94</v>
      </c>
      <c r="K21" s="8"/>
      <c r="L21" s="128">
        <v>0</v>
      </c>
      <c r="M21" s="127">
        <v>0</v>
      </c>
      <c r="N21" s="127">
        <f t="shared" si="13"/>
        <v>215316.94</v>
      </c>
      <c r="O21" s="127">
        <f t="shared" si="14"/>
        <v>215316.94</v>
      </c>
      <c r="P21" s="127">
        <f t="shared" si="15"/>
        <v>215316.94</v>
      </c>
      <c r="Q21" s="131">
        <f t="shared" si="16"/>
        <v>0</v>
      </c>
      <c r="R21" s="125">
        <f t="shared" si="3"/>
        <v>215316.94</v>
      </c>
      <c r="S21" s="8">
        <v>180000</v>
      </c>
      <c r="T21" s="8"/>
      <c r="U21" s="8">
        <f t="shared" si="17"/>
        <v>180000</v>
      </c>
      <c r="V21" s="8">
        <f t="shared" si="41"/>
        <v>0</v>
      </c>
      <c r="W21" s="8">
        <v>0</v>
      </c>
      <c r="X21" s="12">
        <v>0</v>
      </c>
      <c r="Y21" s="8">
        <v>30000</v>
      </c>
      <c r="Z21" s="8">
        <v>35316.94</v>
      </c>
      <c r="AA21" s="8">
        <f t="shared" si="18"/>
        <v>30000</v>
      </c>
      <c r="AB21" s="8">
        <f t="shared" si="18"/>
        <v>35316.94</v>
      </c>
      <c r="AC21" s="8"/>
      <c r="AD21" s="8"/>
      <c r="AE21" s="8"/>
      <c r="AF21" s="8"/>
      <c r="AG21" s="8">
        <f t="shared" si="19"/>
        <v>0</v>
      </c>
      <c r="AH21" s="8">
        <f t="shared" si="19"/>
        <v>0</v>
      </c>
      <c r="AI21" s="8">
        <f t="shared" si="20"/>
        <v>180000</v>
      </c>
      <c r="AJ21" s="8">
        <f t="shared" si="21"/>
        <v>180000</v>
      </c>
      <c r="AK21" s="8">
        <f t="shared" si="21"/>
        <v>30000</v>
      </c>
      <c r="AL21" s="8">
        <f t="shared" si="22"/>
        <v>35316.94</v>
      </c>
      <c r="AM21" s="8">
        <f t="shared" si="23"/>
        <v>210000</v>
      </c>
      <c r="AN21" s="8">
        <f t="shared" si="23"/>
        <v>215316.94</v>
      </c>
      <c r="AO21" s="8"/>
      <c r="AP21" s="8"/>
      <c r="AQ21" s="8"/>
      <c r="AR21" s="8"/>
      <c r="AS21" s="8">
        <f t="shared" si="24"/>
        <v>0</v>
      </c>
      <c r="AT21" s="8">
        <f t="shared" si="24"/>
        <v>0</v>
      </c>
      <c r="AU21" s="8"/>
      <c r="AV21" s="8"/>
      <c r="AW21" s="8"/>
      <c r="AX21" s="8"/>
      <c r="AY21" s="8">
        <f t="shared" si="25"/>
        <v>0</v>
      </c>
      <c r="AZ21" s="8">
        <f t="shared" si="25"/>
        <v>0</v>
      </c>
      <c r="BA21" s="8"/>
      <c r="BB21" s="8"/>
      <c r="BC21" s="8"/>
      <c r="BD21" s="8"/>
      <c r="BE21" s="8">
        <f t="shared" si="26"/>
        <v>0</v>
      </c>
      <c r="BF21" s="8"/>
      <c r="BG21" s="8">
        <f t="shared" si="4"/>
        <v>0</v>
      </c>
      <c r="BH21" s="8"/>
      <c r="BI21" s="8"/>
      <c r="BJ21" s="8"/>
      <c r="BK21" s="8"/>
      <c r="BL21" s="8">
        <f t="shared" si="27"/>
        <v>0</v>
      </c>
      <c r="BM21" s="8"/>
      <c r="BN21" s="8">
        <f t="shared" si="5"/>
        <v>0</v>
      </c>
      <c r="BO21" s="8"/>
      <c r="BP21" s="8"/>
      <c r="BQ21" s="8"/>
      <c r="BR21" s="8"/>
      <c r="BS21" s="8">
        <f t="shared" si="28"/>
        <v>0</v>
      </c>
      <c r="BT21" s="8"/>
      <c r="BU21" s="8">
        <f t="shared" si="6"/>
        <v>0</v>
      </c>
      <c r="BV21" s="8"/>
      <c r="BW21" s="8"/>
      <c r="BX21" s="8"/>
      <c r="BY21" s="8"/>
      <c r="BZ21" s="8">
        <f t="shared" si="29"/>
        <v>0</v>
      </c>
      <c r="CA21" s="8"/>
      <c r="CB21" s="8">
        <f t="shared" si="7"/>
        <v>0</v>
      </c>
      <c r="CC21" s="8"/>
      <c r="CD21" s="8"/>
      <c r="CE21" s="8"/>
      <c r="CF21" s="8"/>
      <c r="CG21" s="8">
        <f t="shared" si="30"/>
        <v>0</v>
      </c>
      <c r="CH21" s="8"/>
      <c r="CI21" s="8">
        <f t="shared" si="8"/>
        <v>0</v>
      </c>
      <c r="CJ21" s="8"/>
      <c r="CK21" s="8"/>
      <c r="CL21" s="8"/>
      <c r="CM21" s="8"/>
      <c r="CN21" s="8">
        <f t="shared" si="31"/>
        <v>0</v>
      </c>
      <c r="CO21" s="8">
        <f t="shared" si="31"/>
        <v>0</v>
      </c>
      <c r="CP21" s="8"/>
      <c r="CQ21" s="8"/>
      <c r="CR21" s="8"/>
      <c r="CS21" s="8"/>
      <c r="CT21" s="8">
        <f t="shared" si="32"/>
        <v>0</v>
      </c>
      <c r="CU21" s="8">
        <f t="shared" si="32"/>
        <v>0</v>
      </c>
      <c r="CV21" s="8"/>
      <c r="CW21" s="8"/>
      <c r="CX21" s="8"/>
      <c r="CY21" s="8"/>
      <c r="CZ21" s="8">
        <f t="shared" si="33"/>
        <v>0</v>
      </c>
      <c r="DA21" s="8">
        <f t="shared" si="33"/>
        <v>0</v>
      </c>
      <c r="DB21" s="8"/>
      <c r="DC21" s="8"/>
      <c r="DD21" s="8"/>
      <c r="DE21" s="8"/>
      <c r="DF21" s="8">
        <f t="shared" si="34"/>
        <v>0</v>
      </c>
      <c r="DG21" s="8">
        <f t="shared" si="34"/>
        <v>0</v>
      </c>
      <c r="DH21" s="8"/>
      <c r="DI21" s="8"/>
      <c r="DJ21" s="8"/>
      <c r="DK21" s="8"/>
      <c r="DL21" s="8">
        <f t="shared" si="35"/>
        <v>0</v>
      </c>
      <c r="DM21" s="8">
        <f t="shared" si="35"/>
        <v>0</v>
      </c>
      <c r="DN21" s="8">
        <f t="shared" si="36"/>
        <v>0</v>
      </c>
      <c r="DO21" s="8">
        <f t="shared" si="37"/>
        <v>0</v>
      </c>
      <c r="DP21" s="8">
        <f t="shared" si="38"/>
        <v>0</v>
      </c>
      <c r="DQ21" s="8">
        <f t="shared" si="39"/>
        <v>0</v>
      </c>
      <c r="DR21" s="8">
        <f t="shared" si="40"/>
        <v>0</v>
      </c>
      <c r="DS21" s="8">
        <f t="shared" si="40"/>
        <v>0</v>
      </c>
    </row>
    <row r="22" spans="1:123" s="13" customFormat="1">
      <c r="A22" s="7">
        <v>18</v>
      </c>
      <c r="B22" s="7" t="s">
        <v>36</v>
      </c>
      <c r="C22" s="130" t="s">
        <v>61</v>
      </c>
      <c r="D22" s="11" t="s">
        <v>62</v>
      </c>
      <c r="E22" s="164" t="s">
        <v>1165</v>
      </c>
      <c r="F22" s="157">
        <f t="shared" si="2"/>
        <v>190000</v>
      </c>
      <c r="G22" s="157">
        <f t="shared" si="9"/>
        <v>196706.76</v>
      </c>
      <c r="H22" s="157">
        <f t="shared" si="10"/>
        <v>-6706.7600000000093</v>
      </c>
      <c r="I22" s="380">
        <f t="shared" si="11"/>
        <v>17618</v>
      </c>
      <c r="J22" s="157">
        <f t="shared" si="12"/>
        <v>190000</v>
      </c>
      <c r="K22" s="8"/>
      <c r="L22" s="128">
        <v>0</v>
      </c>
      <c r="M22" s="127">
        <v>0</v>
      </c>
      <c r="N22" s="127">
        <f t="shared" si="13"/>
        <v>0</v>
      </c>
      <c r="O22" s="127">
        <f t="shared" si="14"/>
        <v>0</v>
      </c>
      <c r="P22" s="127">
        <f t="shared" si="15"/>
        <v>0</v>
      </c>
      <c r="Q22" s="131">
        <f t="shared" si="16"/>
        <v>190000</v>
      </c>
      <c r="R22" s="125">
        <f t="shared" si="3"/>
        <v>196706.76</v>
      </c>
      <c r="S22" s="8">
        <v>0</v>
      </c>
      <c r="T22" s="8"/>
      <c r="U22" s="8">
        <f t="shared" si="17"/>
        <v>0</v>
      </c>
      <c r="V22" s="8">
        <f t="shared" si="41"/>
        <v>0</v>
      </c>
      <c r="W22" s="8">
        <v>0</v>
      </c>
      <c r="X22" s="12">
        <v>0</v>
      </c>
      <c r="Y22" s="8">
        <v>0</v>
      </c>
      <c r="Z22" s="8">
        <v>0</v>
      </c>
      <c r="AA22" s="8">
        <f t="shared" si="18"/>
        <v>0</v>
      </c>
      <c r="AB22" s="8">
        <f t="shared" si="18"/>
        <v>0</v>
      </c>
      <c r="AC22" s="8"/>
      <c r="AD22" s="8"/>
      <c r="AE22" s="8"/>
      <c r="AF22" s="8"/>
      <c r="AG22" s="8">
        <f t="shared" si="19"/>
        <v>0</v>
      </c>
      <c r="AH22" s="8">
        <f t="shared" si="19"/>
        <v>0</v>
      </c>
      <c r="AI22" s="8">
        <f t="shared" si="20"/>
        <v>0</v>
      </c>
      <c r="AJ22" s="8">
        <f t="shared" si="21"/>
        <v>0</v>
      </c>
      <c r="AK22" s="8">
        <f t="shared" si="21"/>
        <v>0</v>
      </c>
      <c r="AL22" s="8">
        <f t="shared" si="22"/>
        <v>0</v>
      </c>
      <c r="AM22" s="8">
        <f t="shared" si="23"/>
        <v>0</v>
      </c>
      <c r="AN22" s="8">
        <f t="shared" si="23"/>
        <v>0</v>
      </c>
      <c r="AO22" s="8">
        <v>150000</v>
      </c>
      <c r="AP22" s="8">
        <v>150000</v>
      </c>
      <c r="AQ22" s="8"/>
      <c r="AR22" s="8"/>
      <c r="AS22" s="8">
        <f t="shared" si="24"/>
        <v>150000</v>
      </c>
      <c r="AT22" s="8">
        <f t="shared" si="24"/>
        <v>150000</v>
      </c>
      <c r="AU22" s="8"/>
      <c r="AV22" s="8">
        <v>25000</v>
      </c>
      <c r="AW22" s="8">
        <v>40000</v>
      </c>
      <c r="AX22" s="8"/>
      <c r="AY22" s="8">
        <f t="shared" si="25"/>
        <v>40000</v>
      </c>
      <c r="AZ22" s="8">
        <f t="shared" si="25"/>
        <v>25000</v>
      </c>
      <c r="BA22" s="8"/>
      <c r="BB22" s="8">
        <v>10000</v>
      </c>
      <c r="BC22" s="8"/>
      <c r="BD22" s="8"/>
      <c r="BE22" s="8">
        <f t="shared" si="26"/>
        <v>0</v>
      </c>
      <c r="BF22" s="8">
        <v>17618</v>
      </c>
      <c r="BG22" s="8">
        <f t="shared" si="4"/>
        <v>10000</v>
      </c>
      <c r="BH22" s="8"/>
      <c r="BI22" s="8"/>
      <c r="BJ22" s="8"/>
      <c r="BK22" s="8">
        <v>11706.76</v>
      </c>
      <c r="BL22" s="8">
        <f t="shared" si="27"/>
        <v>0</v>
      </c>
      <c r="BM22" s="8"/>
      <c r="BN22" s="8">
        <f t="shared" si="5"/>
        <v>11706.76</v>
      </c>
      <c r="BO22" s="8"/>
      <c r="BP22" s="8"/>
      <c r="BQ22" s="8"/>
      <c r="BR22" s="8"/>
      <c r="BS22" s="8">
        <f t="shared" si="28"/>
        <v>0</v>
      </c>
      <c r="BT22" s="8"/>
      <c r="BU22" s="8">
        <f t="shared" si="6"/>
        <v>0</v>
      </c>
      <c r="BV22" s="8"/>
      <c r="BW22" s="8"/>
      <c r="BX22" s="8"/>
      <c r="BY22" s="8"/>
      <c r="BZ22" s="8">
        <f t="shared" si="29"/>
        <v>0</v>
      </c>
      <c r="CA22" s="8"/>
      <c r="CB22" s="8">
        <f t="shared" si="7"/>
        <v>0</v>
      </c>
      <c r="CC22" s="8"/>
      <c r="CD22" s="8"/>
      <c r="CE22" s="8"/>
      <c r="CF22" s="8"/>
      <c r="CG22" s="8">
        <f t="shared" si="30"/>
        <v>0</v>
      </c>
      <c r="CH22" s="8"/>
      <c r="CI22" s="8">
        <f t="shared" si="8"/>
        <v>0</v>
      </c>
      <c r="CJ22" s="8"/>
      <c r="CK22" s="8"/>
      <c r="CL22" s="8"/>
      <c r="CM22" s="8"/>
      <c r="CN22" s="8">
        <f t="shared" si="31"/>
        <v>0</v>
      </c>
      <c r="CO22" s="8">
        <f t="shared" si="31"/>
        <v>0</v>
      </c>
      <c r="CP22" s="8"/>
      <c r="CQ22" s="8"/>
      <c r="CR22" s="8"/>
      <c r="CS22" s="8"/>
      <c r="CT22" s="8">
        <f t="shared" si="32"/>
        <v>0</v>
      </c>
      <c r="CU22" s="8">
        <f t="shared" si="32"/>
        <v>0</v>
      </c>
      <c r="CV22" s="8"/>
      <c r="CW22" s="8"/>
      <c r="CX22" s="8"/>
      <c r="CY22" s="8"/>
      <c r="CZ22" s="8">
        <f t="shared" si="33"/>
        <v>0</v>
      </c>
      <c r="DA22" s="8">
        <f t="shared" si="33"/>
        <v>0</v>
      </c>
      <c r="DB22" s="8"/>
      <c r="DC22" s="8"/>
      <c r="DD22" s="8"/>
      <c r="DE22" s="8"/>
      <c r="DF22" s="8">
        <f t="shared" si="34"/>
        <v>0</v>
      </c>
      <c r="DG22" s="8">
        <f t="shared" si="34"/>
        <v>0</v>
      </c>
      <c r="DH22" s="8"/>
      <c r="DI22" s="8"/>
      <c r="DJ22" s="8"/>
      <c r="DK22" s="8"/>
      <c r="DL22" s="8">
        <f t="shared" si="35"/>
        <v>0</v>
      </c>
      <c r="DM22" s="8">
        <f t="shared" si="35"/>
        <v>0</v>
      </c>
      <c r="DN22" s="8">
        <f t="shared" si="36"/>
        <v>150000</v>
      </c>
      <c r="DO22" s="8">
        <f t="shared" si="37"/>
        <v>185000</v>
      </c>
      <c r="DP22" s="8">
        <f t="shared" si="38"/>
        <v>40000</v>
      </c>
      <c r="DQ22" s="8">
        <f t="shared" si="39"/>
        <v>11706.76</v>
      </c>
      <c r="DR22" s="8">
        <f t="shared" si="40"/>
        <v>190000</v>
      </c>
      <c r="DS22" s="8">
        <f t="shared" si="40"/>
        <v>196706.76</v>
      </c>
    </row>
    <row r="23" spans="1:123" s="13" customFormat="1">
      <c r="A23" s="7">
        <v>19</v>
      </c>
      <c r="B23" s="7" t="s">
        <v>36</v>
      </c>
      <c r="C23" s="130" t="s">
        <v>63</v>
      </c>
      <c r="D23" s="11" t="s">
        <v>64</v>
      </c>
      <c r="E23" s="164" t="s">
        <v>1165</v>
      </c>
      <c r="F23" s="157">
        <f t="shared" si="2"/>
        <v>172000</v>
      </c>
      <c r="G23" s="157">
        <f t="shared" si="9"/>
        <v>263134.28999999998</v>
      </c>
      <c r="H23" s="157">
        <f t="shared" si="10"/>
        <v>-91134.289999999979</v>
      </c>
      <c r="I23" s="380">
        <f t="shared" si="11"/>
        <v>192000</v>
      </c>
      <c r="J23" s="157">
        <f t="shared" si="12"/>
        <v>172000</v>
      </c>
      <c r="K23" s="8"/>
      <c r="L23" s="128">
        <v>0</v>
      </c>
      <c r="M23" s="127">
        <v>0</v>
      </c>
      <c r="N23" s="127">
        <f t="shared" si="13"/>
        <v>0</v>
      </c>
      <c r="O23" s="127">
        <f t="shared" si="14"/>
        <v>0</v>
      </c>
      <c r="P23" s="127">
        <f t="shared" si="15"/>
        <v>0</v>
      </c>
      <c r="Q23" s="131">
        <f t="shared" si="16"/>
        <v>172000</v>
      </c>
      <c r="R23" s="125">
        <f t="shared" si="3"/>
        <v>263134.28999999998</v>
      </c>
      <c r="S23" s="131">
        <v>0</v>
      </c>
      <c r="T23" s="131"/>
      <c r="U23" s="8">
        <f t="shared" si="17"/>
        <v>0</v>
      </c>
      <c r="V23" s="131">
        <f t="shared" si="41"/>
        <v>0</v>
      </c>
      <c r="W23" s="131">
        <v>0</v>
      </c>
      <c r="X23" s="131">
        <v>0</v>
      </c>
      <c r="Y23" s="131">
        <v>0</v>
      </c>
      <c r="Z23" s="131">
        <v>0</v>
      </c>
      <c r="AA23" s="131">
        <f t="shared" si="18"/>
        <v>0</v>
      </c>
      <c r="AB23" s="131">
        <f t="shared" si="18"/>
        <v>0</v>
      </c>
      <c r="AC23" s="131"/>
      <c r="AD23" s="131"/>
      <c r="AE23" s="131"/>
      <c r="AF23" s="131"/>
      <c r="AG23" s="131">
        <f t="shared" si="19"/>
        <v>0</v>
      </c>
      <c r="AH23" s="131">
        <f t="shared" si="19"/>
        <v>0</v>
      </c>
      <c r="AI23" s="8">
        <f t="shared" si="20"/>
        <v>0</v>
      </c>
      <c r="AJ23" s="8">
        <f t="shared" si="21"/>
        <v>0</v>
      </c>
      <c r="AK23" s="8">
        <f t="shared" si="21"/>
        <v>0</v>
      </c>
      <c r="AL23" s="8">
        <f t="shared" si="22"/>
        <v>0</v>
      </c>
      <c r="AM23" s="8">
        <f t="shared" si="23"/>
        <v>0</v>
      </c>
      <c r="AN23" s="8">
        <f t="shared" si="23"/>
        <v>0</v>
      </c>
      <c r="AO23" s="131"/>
      <c r="AP23" s="131"/>
      <c r="AQ23" s="131"/>
      <c r="AR23" s="131"/>
      <c r="AS23" s="131">
        <f t="shared" si="24"/>
        <v>0</v>
      </c>
      <c r="AT23" s="131">
        <f t="shared" si="24"/>
        <v>0</v>
      </c>
      <c r="AU23" s="131"/>
      <c r="AV23" s="131"/>
      <c r="AW23" s="131"/>
      <c r="AX23" s="131"/>
      <c r="AY23" s="131">
        <f t="shared" si="25"/>
        <v>0</v>
      </c>
      <c r="AZ23" s="131">
        <f t="shared" si="25"/>
        <v>0</v>
      </c>
      <c r="BA23" s="131"/>
      <c r="BB23" s="131">
        <v>75000</v>
      </c>
      <c r="BC23" s="131"/>
      <c r="BD23" s="131"/>
      <c r="BE23" s="131">
        <f t="shared" si="26"/>
        <v>0</v>
      </c>
      <c r="BF23" s="131">
        <v>0</v>
      </c>
      <c r="BG23" s="131">
        <f t="shared" si="4"/>
        <v>75000</v>
      </c>
      <c r="BH23" s="131">
        <v>70000</v>
      </c>
      <c r="BI23" s="131">
        <v>80000</v>
      </c>
      <c r="BJ23" s="131"/>
      <c r="BK23" s="131"/>
      <c r="BL23" s="131">
        <f t="shared" si="27"/>
        <v>70000</v>
      </c>
      <c r="BM23" s="131">
        <v>90000</v>
      </c>
      <c r="BN23" s="131">
        <f t="shared" si="5"/>
        <v>80000</v>
      </c>
      <c r="BO23" s="131">
        <v>70000</v>
      </c>
      <c r="BP23" s="131"/>
      <c r="BQ23" s="131"/>
      <c r="BR23" s="131"/>
      <c r="BS23" s="131">
        <f t="shared" si="28"/>
        <v>70000</v>
      </c>
      <c r="BT23" s="131">
        <v>70000</v>
      </c>
      <c r="BU23" s="131">
        <f t="shared" si="6"/>
        <v>0</v>
      </c>
      <c r="BV23" s="131"/>
      <c r="BW23" s="131"/>
      <c r="BX23" s="131">
        <v>32000</v>
      </c>
      <c r="BY23" s="131"/>
      <c r="BZ23" s="131">
        <f t="shared" si="29"/>
        <v>32000</v>
      </c>
      <c r="CA23" s="131">
        <v>32000</v>
      </c>
      <c r="CB23" s="131">
        <f t="shared" si="7"/>
        <v>0</v>
      </c>
      <c r="CC23" s="131"/>
      <c r="CD23" s="131">
        <v>75000</v>
      </c>
      <c r="CE23" s="131"/>
      <c r="CF23" s="131"/>
      <c r="CG23" s="131">
        <f t="shared" si="30"/>
        <v>0</v>
      </c>
      <c r="CH23" s="131"/>
      <c r="CI23" s="131">
        <f t="shared" si="8"/>
        <v>75000</v>
      </c>
      <c r="CJ23" s="131"/>
      <c r="CK23" s="131"/>
      <c r="CL23" s="131"/>
      <c r="CM23" s="131">
        <v>33134.29</v>
      </c>
      <c r="CN23" s="131">
        <f t="shared" si="31"/>
        <v>0</v>
      </c>
      <c r="CO23" s="131">
        <f t="shared" si="31"/>
        <v>33134.29</v>
      </c>
      <c r="CP23" s="131"/>
      <c r="CQ23" s="131"/>
      <c r="CR23" s="131"/>
      <c r="CS23" s="131"/>
      <c r="CT23" s="131">
        <f t="shared" si="32"/>
        <v>0</v>
      </c>
      <c r="CU23" s="131">
        <f t="shared" si="32"/>
        <v>0</v>
      </c>
      <c r="CV23" s="131"/>
      <c r="CW23" s="131"/>
      <c r="CX23" s="131"/>
      <c r="CY23" s="131"/>
      <c r="CZ23" s="131">
        <f t="shared" si="33"/>
        <v>0</v>
      </c>
      <c r="DA23" s="131">
        <f t="shared" si="33"/>
        <v>0</v>
      </c>
      <c r="DB23" s="131"/>
      <c r="DC23" s="131"/>
      <c r="DD23" s="131"/>
      <c r="DE23" s="131"/>
      <c r="DF23" s="131">
        <f t="shared" si="34"/>
        <v>0</v>
      </c>
      <c r="DG23" s="131">
        <f t="shared" si="34"/>
        <v>0</v>
      </c>
      <c r="DH23" s="131"/>
      <c r="DI23" s="131"/>
      <c r="DJ23" s="131"/>
      <c r="DK23" s="131"/>
      <c r="DL23" s="131">
        <f t="shared" si="35"/>
        <v>0</v>
      </c>
      <c r="DM23" s="131">
        <f t="shared" si="35"/>
        <v>0</v>
      </c>
      <c r="DN23" s="8">
        <f t="shared" si="36"/>
        <v>140000</v>
      </c>
      <c r="DO23" s="8">
        <f t="shared" si="37"/>
        <v>230000</v>
      </c>
      <c r="DP23" s="8">
        <f t="shared" si="38"/>
        <v>32000</v>
      </c>
      <c r="DQ23" s="8">
        <f t="shared" si="39"/>
        <v>33134.29</v>
      </c>
      <c r="DR23" s="8">
        <f t="shared" si="40"/>
        <v>172000</v>
      </c>
      <c r="DS23" s="8">
        <f t="shared" si="40"/>
        <v>263134.28999999998</v>
      </c>
    </row>
    <row r="24" spans="1:123" s="13" customFormat="1">
      <c r="A24" s="7">
        <v>20</v>
      </c>
      <c r="B24" s="7" t="s">
        <v>36</v>
      </c>
      <c r="C24" s="130" t="s">
        <v>65</v>
      </c>
      <c r="D24" s="11" t="s">
        <v>66</v>
      </c>
      <c r="E24" s="164" t="s">
        <v>1165</v>
      </c>
      <c r="F24" s="157">
        <f t="shared" si="2"/>
        <v>0</v>
      </c>
      <c r="G24" s="157">
        <f t="shared" si="9"/>
        <v>0</v>
      </c>
      <c r="H24" s="157">
        <f t="shared" si="10"/>
        <v>0</v>
      </c>
      <c r="I24" s="157">
        <f t="shared" si="11"/>
        <v>0</v>
      </c>
      <c r="J24" s="157">
        <f t="shared" si="12"/>
        <v>82746</v>
      </c>
      <c r="K24" s="8"/>
      <c r="L24" s="128">
        <v>0</v>
      </c>
      <c r="M24" s="127">
        <v>0</v>
      </c>
      <c r="N24" s="127">
        <f t="shared" si="13"/>
        <v>82746</v>
      </c>
      <c r="O24" s="127">
        <f t="shared" si="14"/>
        <v>82746</v>
      </c>
      <c r="P24" s="127">
        <f t="shared" si="15"/>
        <v>82746</v>
      </c>
      <c r="Q24" s="131">
        <f t="shared" si="16"/>
        <v>0</v>
      </c>
      <c r="R24" s="125">
        <f t="shared" si="3"/>
        <v>82746</v>
      </c>
      <c r="S24" s="8">
        <v>70000</v>
      </c>
      <c r="T24" s="8">
        <v>12746</v>
      </c>
      <c r="U24" s="8">
        <f t="shared" si="17"/>
        <v>70000</v>
      </c>
      <c r="V24" s="8">
        <f t="shared" si="41"/>
        <v>12746</v>
      </c>
      <c r="W24" s="8">
        <v>0</v>
      </c>
      <c r="X24" s="12">
        <v>0</v>
      </c>
      <c r="Y24" s="8">
        <v>0</v>
      </c>
      <c r="Z24" s="8">
        <v>0</v>
      </c>
      <c r="AA24" s="8">
        <f t="shared" si="18"/>
        <v>0</v>
      </c>
      <c r="AB24" s="8">
        <f t="shared" si="18"/>
        <v>0</v>
      </c>
      <c r="AC24" s="8"/>
      <c r="AD24" s="8"/>
      <c r="AE24" s="8"/>
      <c r="AF24" s="8"/>
      <c r="AG24" s="8">
        <f t="shared" si="19"/>
        <v>0</v>
      </c>
      <c r="AH24" s="8">
        <f t="shared" si="19"/>
        <v>0</v>
      </c>
      <c r="AI24" s="8">
        <f t="shared" si="20"/>
        <v>70000</v>
      </c>
      <c r="AJ24" s="8">
        <f t="shared" si="21"/>
        <v>70000</v>
      </c>
      <c r="AK24" s="8">
        <f t="shared" si="21"/>
        <v>12746</v>
      </c>
      <c r="AL24" s="8">
        <f t="shared" si="22"/>
        <v>12746</v>
      </c>
      <c r="AM24" s="8">
        <f t="shared" si="23"/>
        <v>82746</v>
      </c>
      <c r="AN24" s="8">
        <f t="shared" si="23"/>
        <v>82746</v>
      </c>
      <c r="AO24" s="8"/>
      <c r="AP24" s="8"/>
      <c r="AQ24" s="8"/>
      <c r="AR24" s="8"/>
      <c r="AS24" s="8">
        <f t="shared" si="24"/>
        <v>0</v>
      </c>
      <c r="AT24" s="8">
        <f t="shared" si="24"/>
        <v>0</v>
      </c>
      <c r="AU24" s="8"/>
      <c r="AV24" s="8"/>
      <c r="AW24" s="8"/>
      <c r="AX24" s="8"/>
      <c r="AY24" s="8">
        <f t="shared" si="25"/>
        <v>0</v>
      </c>
      <c r="AZ24" s="8">
        <f t="shared" si="25"/>
        <v>0</v>
      </c>
      <c r="BA24" s="8"/>
      <c r="BB24" s="8"/>
      <c r="BC24" s="8"/>
      <c r="BD24" s="8"/>
      <c r="BE24" s="8">
        <f t="shared" si="26"/>
        <v>0</v>
      </c>
      <c r="BF24" s="8"/>
      <c r="BG24" s="8">
        <f t="shared" si="4"/>
        <v>0</v>
      </c>
      <c r="BH24" s="8"/>
      <c r="BI24" s="8"/>
      <c r="BJ24" s="8"/>
      <c r="BK24" s="8"/>
      <c r="BL24" s="8">
        <f t="shared" si="27"/>
        <v>0</v>
      </c>
      <c r="BM24" s="8"/>
      <c r="BN24" s="8">
        <f t="shared" si="5"/>
        <v>0</v>
      </c>
      <c r="BO24" s="8"/>
      <c r="BP24" s="8"/>
      <c r="BQ24" s="8"/>
      <c r="BR24" s="8"/>
      <c r="BS24" s="8">
        <f t="shared" si="28"/>
        <v>0</v>
      </c>
      <c r="BT24" s="8"/>
      <c r="BU24" s="8">
        <f t="shared" si="6"/>
        <v>0</v>
      </c>
      <c r="BV24" s="8"/>
      <c r="BW24" s="8"/>
      <c r="BX24" s="8"/>
      <c r="BY24" s="8"/>
      <c r="BZ24" s="8">
        <f t="shared" si="29"/>
        <v>0</v>
      </c>
      <c r="CA24" s="8"/>
      <c r="CB24" s="8">
        <f t="shared" si="7"/>
        <v>0</v>
      </c>
      <c r="CC24" s="8"/>
      <c r="CD24" s="8"/>
      <c r="CE24" s="8"/>
      <c r="CF24" s="8"/>
      <c r="CG24" s="8">
        <f t="shared" si="30"/>
        <v>0</v>
      </c>
      <c r="CH24" s="8"/>
      <c r="CI24" s="8">
        <f t="shared" si="8"/>
        <v>0</v>
      </c>
      <c r="CJ24" s="8"/>
      <c r="CK24" s="8"/>
      <c r="CL24" s="8"/>
      <c r="CM24" s="8"/>
      <c r="CN24" s="8">
        <f t="shared" si="31"/>
        <v>0</v>
      </c>
      <c r="CO24" s="8">
        <f t="shared" si="31"/>
        <v>0</v>
      </c>
      <c r="CP24" s="8"/>
      <c r="CQ24" s="8"/>
      <c r="CR24" s="8"/>
      <c r="CS24" s="8"/>
      <c r="CT24" s="8">
        <f t="shared" si="32"/>
        <v>0</v>
      </c>
      <c r="CU24" s="8">
        <f t="shared" si="32"/>
        <v>0</v>
      </c>
      <c r="CV24" s="8"/>
      <c r="CW24" s="8"/>
      <c r="CX24" s="8"/>
      <c r="CY24" s="8"/>
      <c r="CZ24" s="8">
        <f t="shared" si="33"/>
        <v>0</v>
      </c>
      <c r="DA24" s="8">
        <f t="shared" si="33"/>
        <v>0</v>
      </c>
      <c r="DB24" s="8"/>
      <c r="DC24" s="8"/>
      <c r="DD24" s="8"/>
      <c r="DE24" s="8"/>
      <c r="DF24" s="8">
        <f t="shared" si="34"/>
        <v>0</v>
      </c>
      <c r="DG24" s="8">
        <f t="shared" si="34"/>
        <v>0</v>
      </c>
      <c r="DH24" s="8"/>
      <c r="DI24" s="8"/>
      <c r="DJ24" s="8"/>
      <c r="DK24" s="8"/>
      <c r="DL24" s="8">
        <f t="shared" si="35"/>
        <v>0</v>
      </c>
      <c r="DM24" s="8">
        <f t="shared" si="35"/>
        <v>0</v>
      </c>
      <c r="DN24" s="8">
        <f t="shared" si="36"/>
        <v>0</v>
      </c>
      <c r="DO24" s="8">
        <f t="shared" si="37"/>
        <v>0</v>
      </c>
      <c r="DP24" s="8">
        <f t="shared" si="38"/>
        <v>0</v>
      </c>
      <c r="DQ24" s="8">
        <f t="shared" si="39"/>
        <v>0</v>
      </c>
      <c r="DR24" s="8">
        <f t="shared" si="40"/>
        <v>0</v>
      </c>
      <c r="DS24" s="8">
        <f t="shared" si="40"/>
        <v>0</v>
      </c>
    </row>
    <row r="25" spans="1:123" s="13" customFormat="1">
      <c r="A25" s="7">
        <v>21</v>
      </c>
      <c r="B25" s="7" t="s">
        <v>36</v>
      </c>
      <c r="C25" s="130" t="s">
        <v>67</v>
      </c>
      <c r="D25" s="11" t="s">
        <v>68</v>
      </c>
      <c r="E25" s="164" t="s">
        <v>1165</v>
      </c>
      <c r="F25" s="157">
        <f t="shared" si="2"/>
        <v>55000</v>
      </c>
      <c r="G25" s="157">
        <f t="shared" si="9"/>
        <v>60352.42</v>
      </c>
      <c r="H25" s="157">
        <f t="shared" si="10"/>
        <v>-5352.4199999999983</v>
      </c>
      <c r="I25" s="380">
        <f t="shared" si="11"/>
        <v>5570</v>
      </c>
      <c r="J25" s="157">
        <f t="shared" si="12"/>
        <v>55000</v>
      </c>
      <c r="K25" s="8"/>
      <c r="L25" s="128">
        <v>0</v>
      </c>
      <c r="M25" s="127">
        <v>0</v>
      </c>
      <c r="N25" s="127">
        <f t="shared" si="13"/>
        <v>0</v>
      </c>
      <c r="O25" s="127">
        <f t="shared" si="14"/>
        <v>0</v>
      </c>
      <c r="P25" s="127">
        <f t="shared" si="15"/>
        <v>0</v>
      </c>
      <c r="Q25" s="131">
        <f t="shared" si="16"/>
        <v>55000</v>
      </c>
      <c r="R25" s="125">
        <f t="shared" si="3"/>
        <v>60352.42</v>
      </c>
      <c r="S25" s="8">
        <v>0</v>
      </c>
      <c r="T25" s="8"/>
      <c r="U25" s="8">
        <f t="shared" si="17"/>
        <v>0</v>
      </c>
      <c r="V25" s="8">
        <f t="shared" si="41"/>
        <v>0</v>
      </c>
      <c r="W25" s="8">
        <v>0</v>
      </c>
      <c r="X25" s="12">
        <v>0</v>
      </c>
      <c r="Y25" s="8">
        <v>0</v>
      </c>
      <c r="Z25" s="8">
        <v>0</v>
      </c>
      <c r="AA25" s="8">
        <f t="shared" si="18"/>
        <v>0</v>
      </c>
      <c r="AB25" s="8">
        <f t="shared" si="18"/>
        <v>0</v>
      </c>
      <c r="AC25" s="8"/>
      <c r="AD25" s="8"/>
      <c r="AE25" s="8"/>
      <c r="AF25" s="8"/>
      <c r="AG25" s="8">
        <f t="shared" si="19"/>
        <v>0</v>
      </c>
      <c r="AH25" s="8">
        <f t="shared" si="19"/>
        <v>0</v>
      </c>
      <c r="AI25" s="8">
        <f t="shared" si="20"/>
        <v>0</v>
      </c>
      <c r="AJ25" s="8">
        <f t="shared" si="21"/>
        <v>0</v>
      </c>
      <c r="AK25" s="8">
        <f t="shared" si="21"/>
        <v>0</v>
      </c>
      <c r="AL25" s="8">
        <f t="shared" si="22"/>
        <v>0</v>
      </c>
      <c r="AM25" s="8">
        <f t="shared" si="23"/>
        <v>0</v>
      </c>
      <c r="AN25" s="8">
        <f t="shared" si="23"/>
        <v>0</v>
      </c>
      <c r="AO25" s="8"/>
      <c r="AP25" s="8"/>
      <c r="AQ25" s="8"/>
      <c r="AR25" s="8"/>
      <c r="AS25" s="8">
        <f t="shared" si="24"/>
        <v>0</v>
      </c>
      <c r="AT25" s="8">
        <f t="shared" si="24"/>
        <v>0</v>
      </c>
      <c r="AU25" s="8"/>
      <c r="AV25" s="8">
        <v>50000</v>
      </c>
      <c r="AW25" s="8"/>
      <c r="AX25" s="8"/>
      <c r="AY25" s="8">
        <f t="shared" si="25"/>
        <v>0</v>
      </c>
      <c r="AZ25" s="8">
        <f t="shared" si="25"/>
        <v>50000</v>
      </c>
      <c r="BA25" s="8"/>
      <c r="BB25" s="8">
        <v>5000</v>
      </c>
      <c r="BC25" s="8">
        <v>55000</v>
      </c>
      <c r="BD25" s="8"/>
      <c r="BE25" s="8">
        <f t="shared" si="26"/>
        <v>55000</v>
      </c>
      <c r="BF25" s="8">
        <v>5570</v>
      </c>
      <c r="BG25" s="8">
        <f t="shared" si="4"/>
        <v>5000</v>
      </c>
      <c r="BH25" s="8"/>
      <c r="BI25" s="8"/>
      <c r="BJ25" s="8"/>
      <c r="BK25" s="8">
        <v>5352.42</v>
      </c>
      <c r="BL25" s="8">
        <f t="shared" si="27"/>
        <v>0</v>
      </c>
      <c r="BM25" s="8"/>
      <c r="BN25" s="8">
        <f t="shared" si="5"/>
        <v>5352.42</v>
      </c>
      <c r="BO25" s="8"/>
      <c r="BP25" s="8"/>
      <c r="BQ25" s="8"/>
      <c r="BR25" s="8"/>
      <c r="BS25" s="8">
        <f t="shared" si="28"/>
        <v>0</v>
      </c>
      <c r="BT25" s="8"/>
      <c r="BU25" s="8">
        <f t="shared" si="6"/>
        <v>0</v>
      </c>
      <c r="BV25" s="8"/>
      <c r="BW25" s="8"/>
      <c r="BX25" s="8"/>
      <c r="BY25" s="8"/>
      <c r="BZ25" s="8">
        <f t="shared" si="29"/>
        <v>0</v>
      </c>
      <c r="CA25" s="8"/>
      <c r="CB25" s="8">
        <f t="shared" si="7"/>
        <v>0</v>
      </c>
      <c r="CC25" s="8"/>
      <c r="CD25" s="8"/>
      <c r="CE25" s="8"/>
      <c r="CF25" s="8"/>
      <c r="CG25" s="8">
        <f t="shared" si="30"/>
        <v>0</v>
      </c>
      <c r="CH25" s="8"/>
      <c r="CI25" s="8">
        <f t="shared" si="8"/>
        <v>0</v>
      </c>
      <c r="CJ25" s="8"/>
      <c r="CK25" s="8"/>
      <c r="CL25" s="8"/>
      <c r="CM25" s="8"/>
      <c r="CN25" s="8">
        <f t="shared" si="31"/>
        <v>0</v>
      </c>
      <c r="CO25" s="8">
        <f t="shared" si="31"/>
        <v>0</v>
      </c>
      <c r="CP25" s="8"/>
      <c r="CQ25" s="8"/>
      <c r="CR25" s="8"/>
      <c r="CS25" s="8"/>
      <c r="CT25" s="8">
        <f t="shared" si="32"/>
        <v>0</v>
      </c>
      <c r="CU25" s="8">
        <f t="shared" si="32"/>
        <v>0</v>
      </c>
      <c r="CV25" s="8"/>
      <c r="CW25" s="8"/>
      <c r="CX25" s="8"/>
      <c r="CY25" s="8"/>
      <c r="CZ25" s="8">
        <f t="shared" si="33"/>
        <v>0</v>
      </c>
      <c r="DA25" s="8">
        <f t="shared" si="33"/>
        <v>0</v>
      </c>
      <c r="DB25" s="8"/>
      <c r="DC25" s="8"/>
      <c r="DD25" s="8"/>
      <c r="DE25" s="8"/>
      <c r="DF25" s="8">
        <f t="shared" si="34"/>
        <v>0</v>
      </c>
      <c r="DG25" s="8">
        <f t="shared" si="34"/>
        <v>0</v>
      </c>
      <c r="DH25" s="8"/>
      <c r="DI25" s="8"/>
      <c r="DJ25" s="8"/>
      <c r="DK25" s="8"/>
      <c r="DL25" s="8">
        <f t="shared" si="35"/>
        <v>0</v>
      </c>
      <c r="DM25" s="8">
        <f t="shared" si="35"/>
        <v>0</v>
      </c>
      <c r="DN25" s="8">
        <f t="shared" si="36"/>
        <v>0</v>
      </c>
      <c r="DO25" s="8">
        <f t="shared" si="37"/>
        <v>55000</v>
      </c>
      <c r="DP25" s="8">
        <f t="shared" si="38"/>
        <v>55000</v>
      </c>
      <c r="DQ25" s="8">
        <f t="shared" si="39"/>
        <v>5352.42</v>
      </c>
      <c r="DR25" s="8">
        <f t="shared" si="40"/>
        <v>55000</v>
      </c>
      <c r="DS25" s="8">
        <f t="shared" si="40"/>
        <v>60352.42</v>
      </c>
    </row>
    <row r="26" spans="1:123" s="13" customFormat="1">
      <c r="A26" s="7">
        <v>22</v>
      </c>
      <c r="B26" s="7" t="s">
        <v>69</v>
      </c>
      <c r="C26" s="130" t="s">
        <v>70</v>
      </c>
      <c r="D26" s="11" t="s">
        <v>71</v>
      </c>
      <c r="E26" s="164" t="s">
        <v>1165</v>
      </c>
      <c r="F26" s="157">
        <f t="shared" si="2"/>
        <v>420000</v>
      </c>
      <c r="G26" s="157">
        <f t="shared" si="9"/>
        <v>350000</v>
      </c>
      <c r="H26" s="157">
        <f t="shared" si="10"/>
        <v>70000</v>
      </c>
      <c r="I26" s="380">
        <f t="shared" si="11"/>
        <v>351000</v>
      </c>
      <c r="J26" s="157">
        <f t="shared" si="12"/>
        <v>540000</v>
      </c>
      <c r="K26" s="8"/>
      <c r="L26" s="128">
        <v>0</v>
      </c>
      <c r="M26" s="127">
        <v>0</v>
      </c>
      <c r="N26" s="127">
        <f t="shared" si="13"/>
        <v>120000</v>
      </c>
      <c r="O26" s="127">
        <f t="shared" si="14"/>
        <v>0</v>
      </c>
      <c r="P26" s="127">
        <f t="shared" si="15"/>
        <v>120000</v>
      </c>
      <c r="Q26" s="131">
        <f t="shared" si="16"/>
        <v>420000</v>
      </c>
      <c r="R26" s="125" t="str">
        <f t="shared" si="3"/>
        <v>მიმდინარეობს</v>
      </c>
      <c r="S26" s="131">
        <v>120000</v>
      </c>
      <c r="T26" s="131"/>
      <c r="U26" s="8">
        <f t="shared" si="17"/>
        <v>120000</v>
      </c>
      <c r="V26" s="131">
        <f t="shared" si="41"/>
        <v>0</v>
      </c>
      <c r="W26" s="131">
        <v>0</v>
      </c>
      <c r="X26" s="131">
        <v>0</v>
      </c>
      <c r="Y26" s="131">
        <v>0</v>
      </c>
      <c r="Z26" s="131">
        <v>0</v>
      </c>
      <c r="AA26" s="131">
        <f t="shared" si="18"/>
        <v>0</v>
      </c>
      <c r="AB26" s="131">
        <f t="shared" si="18"/>
        <v>0</v>
      </c>
      <c r="AC26" s="131"/>
      <c r="AD26" s="131"/>
      <c r="AE26" s="131"/>
      <c r="AF26" s="131"/>
      <c r="AG26" s="131">
        <f t="shared" si="19"/>
        <v>0</v>
      </c>
      <c r="AH26" s="131">
        <f t="shared" si="19"/>
        <v>0</v>
      </c>
      <c r="AI26" s="8">
        <f t="shared" si="20"/>
        <v>120000</v>
      </c>
      <c r="AJ26" s="8">
        <f t="shared" si="21"/>
        <v>120000</v>
      </c>
      <c r="AK26" s="8">
        <f t="shared" si="21"/>
        <v>0</v>
      </c>
      <c r="AL26" s="8">
        <f t="shared" si="22"/>
        <v>0</v>
      </c>
      <c r="AM26" s="8">
        <f t="shared" si="23"/>
        <v>120000</v>
      </c>
      <c r="AN26" s="8">
        <f t="shared" si="23"/>
        <v>120000</v>
      </c>
      <c r="AO26" s="131">
        <v>130000</v>
      </c>
      <c r="AP26" s="131">
        <v>130000</v>
      </c>
      <c r="AQ26" s="131"/>
      <c r="AR26" s="131"/>
      <c r="AS26" s="131">
        <f t="shared" si="24"/>
        <v>130000</v>
      </c>
      <c r="AT26" s="131">
        <f t="shared" si="24"/>
        <v>130000</v>
      </c>
      <c r="AU26" s="131">
        <v>100000</v>
      </c>
      <c r="AV26" s="131"/>
      <c r="AW26" s="131"/>
      <c r="AX26" s="131"/>
      <c r="AY26" s="131">
        <f t="shared" si="25"/>
        <v>100000</v>
      </c>
      <c r="AZ26" s="131">
        <f t="shared" si="25"/>
        <v>0</v>
      </c>
      <c r="BA26" s="131">
        <v>100000</v>
      </c>
      <c r="BB26" s="131"/>
      <c r="BC26" s="131"/>
      <c r="BD26" s="131"/>
      <c r="BE26" s="131">
        <f t="shared" si="26"/>
        <v>100000</v>
      </c>
      <c r="BF26" s="131"/>
      <c r="BG26" s="131">
        <f t="shared" si="4"/>
        <v>0</v>
      </c>
      <c r="BH26" s="131"/>
      <c r="BI26" s="131"/>
      <c r="BJ26" s="131">
        <v>90000</v>
      </c>
      <c r="BK26" s="131"/>
      <c r="BL26" s="131">
        <f t="shared" si="27"/>
        <v>90000</v>
      </c>
      <c r="BM26" s="131">
        <v>151000</v>
      </c>
      <c r="BN26" s="131">
        <f t="shared" si="5"/>
        <v>0</v>
      </c>
      <c r="BO26" s="131"/>
      <c r="BP26" s="131"/>
      <c r="BQ26" s="131"/>
      <c r="BR26" s="131"/>
      <c r="BS26" s="131">
        <f t="shared" si="28"/>
        <v>0</v>
      </c>
      <c r="BT26" s="131">
        <v>150000</v>
      </c>
      <c r="BU26" s="131">
        <f t="shared" si="6"/>
        <v>0</v>
      </c>
      <c r="BV26" s="131"/>
      <c r="BW26" s="131">
        <v>120000</v>
      </c>
      <c r="BX26" s="131"/>
      <c r="BY26" s="131"/>
      <c r="BZ26" s="131">
        <f t="shared" si="29"/>
        <v>0</v>
      </c>
      <c r="CA26" s="131">
        <v>50000</v>
      </c>
      <c r="CB26" s="131">
        <f t="shared" si="7"/>
        <v>120000</v>
      </c>
      <c r="CC26" s="131"/>
      <c r="CD26" s="131"/>
      <c r="CE26" s="131"/>
      <c r="CF26" s="131"/>
      <c r="CG26" s="131">
        <f t="shared" si="30"/>
        <v>0</v>
      </c>
      <c r="CH26" s="131"/>
      <c r="CI26" s="131">
        <f t="shared" si="8"/>
        <v>0</v>
      </c>
      <c r="CJ26" s="131"/>
      <c r="CK26" s="131"/>
      <c r="CL26" s="131"/>
      <c r="CM26" s="131"/>
      <c r="CN26" s="131">
        <f t="shared" si="31"/>
        <v>0</v>
      </c>
      <c r="CO26" s="131">
        <f t="shared" si="31"/>
        <v>0</v>
      </c>
      <c r="CP26" s="131"/>
      <c r="CQ26" s="131"/>
      <c r="CR26" s="131"/>
      <c r="CS26" s="131"/>
      <c r="CT26" s="131">
        <f t="shared" si="32"/>
        <v>0</v>
      </c>
      <c r="CU26" s="131">
        <f t="shared" si="32"/>
        <v>0</v>
      </c>
      <c r="CV26" s="131"/>
      <c r="CW26" s="131">
        <v>100000</v>
      </c>
      <c r="CX26" s="131"/>
      <c r="CY26" s="131"/>
      <c r="CZ26" s="131">
        <f t="shared" si="33"/>
        <v>0</v>
      </c>
      <c r="DA26" s="131">
        <f t="shared" si="33"/>
        <v>100000</v>
      </c>
      <c r="DB26" s="131"/>
      <c r="DC26" s="131"/>
      <c r="DD26" s="131"/>
      <c r="DE26" s="131"/>
      <c r="DF26" s="131">
        <f t="shared" si="34"/>
        <v>0</v>
      </c>
      <c r="DG26" s="131">
        <f t="shared" si="34"/>
        <v>0</v>
      </c>
      <c r="DH26" s="131"/>
      <c r="DI26" s="131"/>
      <c r="DJ26" s="131"/>
      <c r="DK26" s="131"/>
      <c r="DL26" s="131">
        <f t="shared" si="35"/>
        <v>0</v>
      </c>
      <c r="DM26" s="131">
        <f t="shared" si="35"/>
        <v>0</v>
      </c>
      <c r="DN26" s="8">
        <f t="shared" si="36"/>
        <v>330000</v>
      </c>
      <c r="DO26" s="8">
        <f t="shared" si="37"/>
        <v>350000</v>
      </c>
      <c r="DP26" s="8">
        <f t="shared" si="38"/>
        <v>90000</v>
      </c>
      <c r="DQ26" s="8">
        <f t="shared" si="39"/>
        <v>0</v>
      </c>
      <c r="DR26" s="8">
        <f t="shared" si="40"/>
        <v>420000</v>
      </c>
      <c r="DS26" s="8">
        <f t="shared" si="40"/>
        <v>350000</v>
      </c>
    </row>
    <row r="27" spans="1:123" s="13" customFormat="1">
      <c r="A27" s="7">
        <v>23</v>
      </c>
      <c r="B27" s="7" t="s">
        <v>53</v>
      </c>
      <c r="C27" s="130" t="s">
        <v>54</v>
      </c>
      <c r="D27" s="11" t="s">
        <v>72</v>
      </c>
      <c r="E27" s="164" t="s">
        <v>1164</v>
      </c>
      <c r="F27" s="157">
        <f t="shared" si="2"/>
        <v>0</v>
      </c>
      <c r="G27" s="157">
        <f t="shared" si="9"/>
        <v>0</v>
      </c>
      <c r="H27" s="157">
        <f t="shared" si="10"/>
        <v>0</v>
      </c>
      <c r="I27" s="157">
        <f t="shared" si="11"/>
        <v>0</v>
      </c>
      <c r="J27" s="157">
        <f t="shared" si="12"/>
        <v>18984</v>
      </c>
      <c r="K27" s="8">
        <v>0</v>
      </c>
      <c r="L27" s="128">
        <v>0</v>
      </c>
      <c r="M27" s="127">
        <v>0</v>
      </c>
      <c r="N27" s="127">
        <f t="shared" si="13"/>
        <v>18984</v>
      </c>
      <c r="O27" s="127">
        <f t="shared" si="14"/>
        <v>18984</v>
      </c>
      <c r="P27" s="127">
        <f t="shared" si="15"/>
        <v>18984</v>
      </c>
      <c r="Q27" s="131">
        <f t="shared" si="16"/>
        <v>0</v>
      </c>
      <c r="R27" s="125">
        <f t="shared" si="3"/>
        <v>18984</v>
      </c>
      <c r="S27" s="8">
        <v>0</v>
      </c>
      <c r="T27" s="8">
        <v>18984</v>
      </c>
      <c r="U27" s="8">
        <f t="shared" si="17"/>
        <v>0</v>
      </c>
      <c r="V27" s="8">
        <f t="shared" si="41"/>
        <v>18984</v>
      </c>
      <c r="W27" s="8">
        <v>0</v>
      </c>
      <c r="X27" s="12">
        <v>0</v>
      </c>
      <c r="Y27" s="8">
        <v>0</v>
      </c>
      <c r="Z27" s="8">
        <v>0</v>
      </c>
      <c r="AA27" s="8">
        <f t="shared" si="18"/>
        <v>0</v>
      </c>
      <c r="AB27" s="8">
        <f t="shared" si="18"/>
        <v>0</v>
      </c>
      <c r="AC27" s="11"/>
      <c r="AD27" s="11"/>
      <c r="AE27" s="11"/>
      <c r="AF27" s="11"/>
      <c r="AG27" s="8">
        <f t="shared" si="19"/>
        <v>0</v>
      </c>
      <c r="AH27" s="8">
        <f t="shared" si="19"/>
        <v>0</v>
      </c>
      <c r="AI27" s="8">
        <f t="shared" si="20"/>
        <v>0</v>
      </c>
      <c r="AJ27" s="8">
        <f t="shared" si="21"/>
        <v>0</v>
      </c>
      <c r="AK27" s="8">
        <f t="shared" si="21"/>
        <v>18984</v>
      </c>
      <c r="AL27" s="8">
        <f t="shared" si="22"/>
        <v>18984</v>
      </c>
      <c r="AM27" s="8">
        <f t="shared" si="23"/>
        <v>18984</v>
      </c>
      <c r="AN27" s="8">
        <f t="shared" si="23"/>
        <v>18984</v>
      </c>
      <c r="AO27" s="11"/>
      <c r="AP27" s="11"/>
      <c r="AQ27" s="11"/>
      <c r="AR27" s="11"/>
      <c r="AS27" s="8">
        <f t="shared" si="24"/>
        <v>0</v>
      </c>
      <c r="AT27" s="8">
        <f t="shared" si="24"/>
        <v>0</v>
      </c>
      <c r="AU27" s="11"/>
      <c r="AV27" s="11"/>
      <c r="AW27" s="11"/>
      <c r="AX27" s="11"/>
      <c r="AY27" s="8">
        <f t="shared" si="25"/>
        <v>0</v>
      </c>
      <c r="AZ27" s="8">
        <f t="shared" si="25"/>
        <v>0</v>
      </c>
      <c r="BA27" s="11"/>
      <c r="BB27" s="11"/>
      <c r="BC27" s="11"/>
      <c r="BD27" s="11"/>
      <c r="BE27" s="8">
        <f t="shared" si="26"/>
        <v>0</v>
      </c>
      <c r="BF27" s="8"/>
      <c r="BG27" s="8">
        <f t="shared" si="4"/>
        <v>0</v>
      </c>
      <c r="BH27" s="11"/>
      <c r="BI27" s="11"/>
      <c r="BJ27" s="11"/>
      <c r="BK27" s="11"/>
      <c r="BL27" s="8">
        <f t="shared" si="27"/>
        <v>0</v>
      </c>
      <c r="BM27" s="8"/>
      <c r="BN27" s="8">
        <f t="shared" si="5"/>
        <v>0</v>
      </c>
      <c r="BO27" s="11"/>
      <c r="BP27" s="11"/>
      <c r="BQ27" s="11"/>
      <c r="BR27" s="11"/>
      <c r="BS27" s="8">
        <f t="shared" si="28"/>
        <v>0</v>
      </c>
      <c r="BT27" s="8"/>
      <c r="BU27" s="8">
        <f t="shared" si="6"/>
        <v>0</v>
      </c>
      <c r="BV27" s="11"/>
      <c r="BW27" s="11"/>
      <c r="BX27" s="11"/>
      <c r="BY27" s="11"/>
      <c r="BZ27" s="8">
        <f t="shared" si="29"/>
        <v>0</v>
      </c>
      <c r="CA27" s="8"/>
      <c r="CB27" s="8">
        <f t="shared" si="7"/>
        <v>0</v>
      </c>
      <c r="CC27" s="8"/>
      <c r="CD27" s="8"/>
      <c r="CE27" s="8"/>
      <c r="CF27" s="8"/>
      <c r="CG27" s="8">
        <f t="shared" si="30"/>
        <v>0</v>
      </c>
      <c r="CH27" s="8"/>
      <c r="CI27" s="8">
        <f t="shared" si="8"/>
        <v>0</v>
      </c>
      <c r="CJ27" s="8"/>
      <c r="CK27" s="8"/>
      <c r="CL27" s="8"/>
      <c r="CM27" s="8"/>
      <c r="CN27" s="8">
        <f t="shared" si="31"/>
        <v>0</v>
      </c>
      <c r="CO27" s="8">
        <f t="shared" si="31"/>
        <v>0</v>
      </c>
      <c r="CP27" s="8"/>
      <c r="CQ27" s="8"/>
      <c r="CR27" s="8"/>
      <c r="CS27" s="8"/>
      <c r="CT27" s="8">
        <f t="shared" si="32"/>
        <v>0</v>
      </c>
      <c r="CU27" s="8">
        <f t="shared" si="32"/>
        <v>0</v>
      </c>
      <c r="CV27" s="8"/>
      <c r="CW27" s="8"/>
      <c r="CX27" s="8"/>
      <c r="CY27" s="8"/>
      <c r="CZ27" s="8">
        <f t="shared" si="33"/>
        <v>0</v>
      </c>
      <c r="DA27" s="8">
        <f t="shared" si="33"/>
        <v>0</v>
      </c>
      <c r="DB27" s="8"/>
      <c r="DC27" s="8"/>
      <c r="DD27" s="8"/>
      <c r="DE27" s="8"/>
      <c r="DF27" s="8">
        <f t="shared" si="34"/>
        <v>0</v>
      </c>
      <c r="DG27" s="8">
        <f t="shared" si="34"/>
        <v>0</v>
      </c>
      <c r="DH27" s="8"/>
      <c r="DI27" s="8"/>
      <c r="DJ27" s="8"/>
      <c r="DK27" s="8"/>
      <c r="DL27" s="8">
        <f t="shared" si="35"/>
        <v>0</v>
      </c>
      <c r="DM27" s="8">
        <f t="shared" si="35"/>
        <v>0</v>
      </c>
      <c r="DN27" s="8">
        <f t="shared" si="36"/>
        <v>0</v>
      </c>
      <c r="DO27" s="8">
        <f t="shared" si="37"/>
        <v>0</v>
      </c>
      <c r="DP27" s="8">
        <f t="shared" si="38"/>
        <v>0</v>
      </c>
      <c r="DQ27" s="8">
        <f t="shared" si="39"/>
        <v>0</v>
      </c>
      <c r="DR27" s="8">
        <f t="shared" si="40"/>
        <v>0</v>
      </c>
      <c r="DS27" s="8">
        <f t="shared" si="40"/>
        <v>0</v>
      </c>
    </row>
    <row r="28" spans="1:123" s="13" customFormat="1">
      <c r="A28" s="7">
        <v>24</v>
      </c>
      <c r="B28" s="7" t="s">
        <v>53</v>
      </c>
      <c r="C28" s="130" t="s">
        <v>56</v>
      </c>
      <c r="D28" s="11" t="s">
        <v>73</v>
      </c>
      <c r="E28" s="164" t="s">
        <v>1164</v>
      </c>
      <c r="F28" s="157">
        <f>SUM(DR28)</f>
        <v>0</v>
      </c>
      <c r="G28" s="157">
        <f t="shared" si="9"/>
        <v>0</v>
      </c>
      <c r="H28" s="157">
        <f t="shared" si="10"/>
        <v>0</v>
      </c>
      <c r="I28" s="157">
        <f t="shared" si="11"/>
        <v>0</v>
      </c>
      <c r="J28" s="157">
        <f t="shared" si="12"/>
        <v>17053.75</v>
      </c>
      <c r="K28" s="8">
        <v>0</v>
      </c>
      <c r="L28" s="128">
        <v>0</v>
      </c>
      <c r="M28" s="127">
        <v>0</v>
      </c>
      <c r="N28" s="127">
        <f t="shared" si="13"/>
        <v>17053.75</v>
      </c>
      <c r="O28" s="127">
        <f t="shared" si="14"/>
        <v>17053.75</v>
      </c>
      <c r="P28" s="127">
        <f t="shared" si="15"/>
        <v>17053.75</v>
      </c>
      <c r="Q28" s="131">
        <f t="shared" si="16"/>
        <v>0</v>
      </c>
      <c r="R28" s="125">
        <f t="shared" si="3"/>
        <v>17053.75</v>
      </c>
      <c r="S28" s="8">
        <v>0</v>
      </c>
      <c r="T28" s="8">
        <v>17053.75</v>
      </c>
      <c r="U28" s="8">
        <f t="shared" si="17"/>
        <v>0</v>
      </c>
      <c r="V28" s="8">
        <f t="shared" si="41"/>
        <v>17053.75</v>
      </c>
      <c r="W28" s="8">
        <v>0</v>
      </c>
      <c r="X28" s="12">
        <v>0</v>
      </c>
      <c r="Y28" s="8">
        <v>0</v>
      </c>
      <c r="Z28" s="8">
        <v>0</v>
      </c>
      <c r="AA28" s="8">
        <f t="shared" si="18"/>
        <v>0</v>
      </c>
      <c r="AB28" s="8">
        <f t="shared" si="18"/>
        <v>0</v>
      </c>
      <c r="AC28" s="11"/>
      <c r="AD28" s="11"/>
      <c r="AE28" s="11"/>
      <c r="AF28" s="11"/>
      <c r="AG28" s="8">
        <f t="shared" si="19"/>
        <v>0</v>
      </c>
      <c r="AH28" s="8">
        <f t="shared" si="19"/>
        <v>0</v>
      </c>
      <c r="AI28" s="8">
        <f t="shared" si="20"/>
        <v>0</v>
      </c>
      <c r="AJ28" s="8">
        <f t="shared" si="21"/>
        <v>0</v>
      </c>
      <c r="AK28" s="8">
        <f t="shared" si="21"/>
        <v>17053.75</v>
      </c>
      <c r="AL28" s="8">
        <f t="shared" si="22"/>
        <v>17053.75</v>
      </c>
      <c r="AM28" s="8">
        <f t="shared" si="23"/>
        <v>17053.75</v>
      </c>
      <c r="AN28" s="8">
        <f t="shared" si="23"/>
        <v>17053.75</v>
      </c>
      <c r="AO28" s="11"/>
      <c r="AP28" s="11"/>
      <c r="AQ28" s="11"/>
      <c r="AR28" s="11"/>
      <c r="AS28" s="8">
        <f t="shared" si="24"/>
        <v>0</v>
      </c>
      <c r="AT28" s="8">
        <f t="shared" si="24"/>
        <v>0</v>
      </c>
      <c r="AU28" s="11"/>
      <c r="AV28" s="11"/>
      <c r="AW28" s="11"/>
      <c r="AX28" s="11"/>
      <c r="AY28" s="8">
        <f t="shared" si="25"/>
        <v>0</v>
      </c>
      <c r="AZ28" s="8">
        <f t="shared" si="25"/>
        <v>0</v>
      </c>
      <c r="BA28" s="11"/>
      <c r="BB28" s="11"/>
      <c r="BC28" s="11"/>
      <c r="BD28" s="11"/>
      <c r="BE28" s="8">
        <f t="shared" si="26"/>
        <v>0</v>
      </c>
      <c r="BF28" s="8"/>
      <c r="BG28" s="8">
        <f t="shared" si="4"/>
        <v>0</v>
      </c>
      <c r="BH28" s="11"/>
      <c r="BI28" s="11"/>
      <c r="BJ28" s="11"/>
      <c r="BK28" s="11"/>
      <c r="BL28" s="8">
        <f t="shared" si="27"/>
        <v>0</v>
      </c>
      <c r="BM28" s="8"/>
      <c r="BN28" s="8">
        <f t="shared" si="5"/>
        <v>0</v>
      </c>
      <c r="BO28" s="11"/>
      <c r="BP28" s="11"/>
      <c r="BQ28" s="11"/>
      <c r="BR28" s="11"/>
      <c r="BS28" s="8">
        <f t="shared" si="28"/>
        <v>0</v>
      </c>
      <c r="BT28" s="8"/>
      <c r="BU28" s="8">
        <f t="shared" si="6"/>
        <v>0</v>
      </c>
      <c r="BV28" s="11"/>
      <c r="BW28" s="11"/>
      <c r="BX28" s="11"/>
      <c r="BY28" s="11"/>
      <c r="BZ28" s="8">
        <f t="shared" si="29"/>
        <v>0</v>
      </c>
      <c r="CA28" s="8"/>
      <c r="CB28" s="8">
        <f t="shared" si="7"/>
        <v>0</v>
      </c>
      <c r="CC28" s="8"/>
      <c r="CD28" s="8"/>
      <c r="CE28" s="8"/>
      <c r="CF28" s="8"/>
      <c r="CG28" s="8">
        <f t="shared" si="30"/>
        <v>0</v>
      </c>
      <c r="CH28" s="8"/>
      <c r="CI28" s="8">
        <f t="shared" si="8"/>
        <v>0</v>
      </c>
      <c r="CJ28" s="8"/>
      <c r="CK28" s="8"/>
      <c r="CL28" s="8"/>
      <c r="CM28" s="8"/>
      <c r="CN28" s="8">
        <f t="shared" si="31"/>
        <v>0</v>
      </c>
      <c r="CO28" s="8">
        <f t="shared" si="31"/>
        <v>0</v>
      </c>
      <c r="CP28" s="8"/>
      <c r="CQ28" s="8"/>
      <c r="CR28" s="8"/>
      <c r="CS28" s="8"/>
      <c r="CT28" s="8">
        <f t="shared" si="32"/>
        <v>0</v>
      </c>
      <c r="CU28" s="8">
        <f t="shared" si="32"/>
        <v>0</v>
      </c>
      <c r="CV28" s="8"/>
      <c r="CW28" s="8"/>
      <c r="CX28" s="8"/>
      <c r="CY28" s="8"/>
      <c r="CZ28" s="8">
        <f t="shared" si="33"/>
        <v>0</v>
      </c>
      <c r="DA28" s="8">
        <f t="shared" si="33"/>
        <v>0</v>
      </c>
      <c r="DB28" s="8"/>
      <c r="DC28" s="8"/>
      <c r="DD28" s="8"/>
      <c r="DE28" s="8"/>
      <c r="DF28" s="8">
        <f t="shared" si="34"/>
        <v>0</v>
      </c>
      <c r="DG28" s="8">
        <f t="shared" si="34"/>
        <v>0</v>
      </c>
      <c r="DH28" s="8"/>
      <c r="DI28" s="8"/>
      <c r="DJ28" s="8"/>
      <c r="DK28" s="8"/>
      <c r="DL28" s="8">
        <f t="shared" si="35"/>
        <v>0</v>
      </c>
      <c r="DM28" s="8">
        <f t="shared" si="35"/>
        <v>0</v>
      </c>
      <c r="DN28" s="8">
        <f t="shared" si="36"/>
        <v>0</v>
      </c>
      <c r="DO28" s="8">
        <f t="shared" si="37"/>
        <v>0</v>
      </c>
      <c r="DP28" s="8">
        <f t="shared" si="38"/>
        <v>0</v>
      </c>
      <c r="DQ28" s="8">
        <f t="shared" si="39"/>
        <v>0</v>
      </c>
      <c r="DR28" s="8">
        <f t="shared" si="40"/>
        <v>0</v>
      </c>
      <c r="DS28" s="8">
        <f t="shared" si="40"/>
        <v>0</v>
      </c>
    </row>
    <row r="29" spans="1:123" s="13" customFormat="1">
      <c r="A29" s="139"/>
      <c r="Z29" s="132"/>
    </row>
    <row r="30" spans="1:123" s="13" customFormat="1">
      <c r="A30" s="139"/>
    </row>
    <row r="31" spans="1:123" s="13" customFormat="1">
      <c r="A31" s="139"/>
    </row>
    <row r="32" spans="1:123" s="13" customFormat="1">
      <c r="A32" s="139"/>
    </row>
    <row r="33" spans="1:10" s="13" customFormat="1">
      <c r="A33" s="139"/>
    </row>
    <row r="34" spans="1:10" s="13" customFormat="1">
      <c r="A34" s="139"/>
    </row>
    <row r="35" spans="1:10" s="13" customFormat="1">
      <c r="A35" s="139"/>
    </row>
    <row r="36" spans="1:10" s="13" customFormat="1">
      <c r="A36" s="139"/>
    </row>
    <row r="37" spans="1:10">
      <c r="A37" s="92"/>
    </row>
    <row r="38" spans="1:10">
      <c r="A38" s="92"/>
    </row>
    <row r="39" spans="1:10">
      <c r="A39" s="92"/>
    </row>
    <row r="40" spans="1:10">
      <c r="A40" s="92"/>
    </row>
    <row r="41" spans="1:10">
      <c r="A41" s="92"/>
    </row>
    <row r="42" spans="1:10">
      <c r="A42" s="92"/>
    </row>
    <row r="43" spans="1:10">
      <c r="A43" s="92"/>
      <c r="D43"/>
      <c r="E43"/>
      <c r="F43"/>
      <c r="G43"/>
      <c r="H43"/>
      <c r="I43"/>
      <c r="J43"/>
    </row>
    <row r="44" spans="1:10">
      <c r="A44" s="92"/>
    </row>
    <row r="45" spans="1:10">
      <c r="A45" s="92"/>
    </row>
    <row r="46" spans="1:10">
      <c r="A46" s="92"/>
    </row>
    <row r="47" spans="1:10">
      <c r="A47" s="92"/>
    </row>
    <row r="48" spans="1:10">
      <c r="A48" s="92"/>
    </row>
    <row r="49" spans="1:1">
      <c r="A49" s="92"/>
    </row>
    <row r="50" spans="1:1">
      <c r="A50" s="92"/>
    </row>
    <row r="51" spans="1:1">
      <c r="A51" s="92"/>
    </row>
    <row r="52" spans="1:1">
      <c r="A52" s="92"/>
    </row>
    <row r="53" spans="1:1">
      <c r="A53" s="92"/>
    </row>
  </sheetData>
  <autoFilter ref="A8:DS28" xr:uid="{00000000-0009-0000-0000-00000B000000}"/>
  <mergeCells count="92">
    <mergeCell ref="N3:O4"/>
    <mergeCell ref="N5:N6"/>
    <mergeCell ref="O5:O6"/>
    <mergeCell ref="R3:R6"/>
    <mergeCell ref="W3:AN3"/>
    <mergeCell ref="S5:S6"/>
    <mergeCell ref="T5:T6"/>
    <mergeCell ref="U5:U6"/>
    <mergeCell ref="V5:V6"/>
    <mergeCell ref="W5:X5"/>
    <mergeCell ref="S3:T4"/>
    <mergeCell ref="U3:V4"/>
    <mergeCell ref="P3:P6"/>
    <mergeCell ref="DL5:DM5"/>
    <mergeCell ref="DN5:DO5"/>
    <mergeCell ref="BQ5:BR5"/>
    <mergeCell ref="BS5:BU5"/>
    <mergeCell ref="DF5:DG5"/>
    <mergeCell ref="DH5:DI5"/>
    <mergeCell ref="CL5:CM5"/>
    <mergeCell ref="CN5:CO5"/>
    <mergeCell ref="CP5:CQ5"/>
    <mergeCell ref="CR5:CS5"/>
    <mergeCell ref="CT5:CU5"/>
    <mergeCell ref="CV5:CW5"/>
    <mergeCell ref="DP5:DQ5"/>
    <mergeCell ref="DR5:DS5"/>
    <mergeCell ref="A7:D7"/>
    <mergeCell ref="CX5:CY5"/>
    <mergeCell ref="CZ5:DA5"/>
    <mergeCell ref="DB5:DC5"/>
    <mergeCell ref="DD5:DE5"/>
    <mergeCell ref="BX5:BY5"/>
    <mergeCell ref="BZ5:CB5"/>
    <mergeCell ref="CC5:CD5"/>
    <mergeCell ref="CE5:CF5"/>
    <mergeCell ref="CG5:CI5"/>
    <mergeCell ref="CJ5:CK5"/>
    <mergeCell ref="BJ5:BK5"/>
    <mergeCell ref="BL5:BN5"/>
    <mergeCell ref="DJ5:DK5"/>
    <mergeCell ref="BA5:BB5"/>
    <mergeCell ref="BC5:BD5"/>
    <mergeCell ref="BE5:BG5"/>
    <mergeCell ref="BH5:BI5"/>
    <mergeCell ref="AS5:AT5"/>
    <mergeCell ref="CP4:CU4"/>
    <mergeCell ref="AU5:AV5"/>
    <mergeCell ref="Y5:Z5"/>
    <mergeCell ref="AA5:AB5"/>
    <mergeCell ref="AC5:AD5"/>
    <mergeCell ref="AE5:AF5"/>
    <mergeCell ref="AG5:AH5"/>
    <mergeCell ref="AI5:AJ5"/>
    <mergeCell ref="AK5:AL5"/>
    <mergeCell ref="AM5:AN5"/>
    <mergeCell ref="AO5:AP5"/>
    <mergeCell ref="AQ5:AR5"/>
    <mergeCell ref="BV5:BW5"/>
    <mergeCell ref="AW5:AX5"/>
    <mergeCell ref="BO5:BP5"/>
    <mergeCell ref="AY5:AZ5"/>
    <mergeCell ref="AO3:DS3"/>
    <mergeCell ref="W4:AB4"/>
    <mergeCell ref="AC4:AH4"/>
    <mergeCell ref="AI4:AN4"/>
    <mergeCell ref="AO4:AT4"/>
    <mergeCell ref="AU4:AZ4"/>
    <mergeCell ref="BA4:BG4"/>
    <mergeCell ref="CV4:DA4"/>
    <mergeCell ref="DB4:DG4"/>
    <mergeCell ref="DH4:DM4"/>
    <mergeCell ref="DN4:DS4"/>
    <mergeCell ref="BH4:BN4"/>
    <mergeCell ref="BO4:BU4"/>
    <mergeCell ref="BV4:CB4"/>
    <mergeCell ref="CC4:CI4"/>
    <mergeCell ref="CJ4:CO4"/>
    <mergeCell ref="A3:A6"/>
    <mergeCell ref="B3:B6"/>
    <mergeCell ref="C3:C6"/>
    <mergeCell ref="D3:D6"/>
    <mergeCell ref="K3:K6"/>
    <mergeCell ref="M5:M6"/>
    <mergeCell ref="E3:E6"/>
    <mergeCell ref="F3:F6"/>
    <mergeCell ref="J3:J6"/>
    <mergeCell ref="L5:L6"/>
    <mergeCell ref="L3:M4"/>
    <mergeCell ref="G3:G6"/>
    <mergeCell ref="H3:H6"/>
    <mergeCell ref="I3:I6"/>
  </mergeCells>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DO42"/>
  <sheetViews>
    <sheetView zoomScaleNormal="100" workbookViewId="0">
      <pane xSplit="7" ySplit="8" topLeftCell="BO9" activePane="bottomRight" state="frozen"/>
      <selection pane="topRight" activeCell="H1" sqref="H1"/>
      <selection pane="bottomLeft" activeCell="A9" sqref="A9"/>
      <selection pane="bottomRight" activeCell="DC10" sqref="DC10"/>
    </sheetView>
  </sheetViews>
  <sheetFormatPr defaultColWidth="10.42578125" defaultRowHeight="15"/>
  <cols>
    <col min="1" max="1" width="6" style="14" customWidth="1"/>
    <col min="2" max="2" width="14.5703125" style="14" customWidth="1"/>
    <col min="3" max="3" width="11.28515625" style="14" customWidth="1"/>
    <col min="4" max="4" width="54.7109375" style="14" customWidth="1"/>
    <col min="5" max="5" width="13.85546875" style="14" bestFit="1" customWidth="1"/>
    <col min="6" max="6" width="13.85546875" style="14" customWidth="1"/>
    <col min="7" max="7" width="17.140625" style="14" customWidth="1"/>
    <col min="8" max="8" width="16.85546875" style="14" customWidth="1"/>
    <col min="9" max="10" width="14" style="14" customWidth="1"/>
    <col min="11" max="14" width="14.85546875" style="14" customWidth="1"/>
    <col min="15" max="15" width="14" style="14" customWidth="1"/>
    <col min="16" max="16" width="13.7109375" style="14" customWidth="1"/>
    <col min="17" max="17" width="11" style="14" customWidth="1"/>
    <col min="18" max="18" width="13.7109375" style="14" customWidth="1"/>
    <col min="19" max="19" width="11" style="14" customWidth="1"/>
    <col min="20" max="21" width="12" style="14" customWidth="1"/>
    <col min="22" max="22" width="10.85546875" style="14" customWidth="1"/>
    <col min="23" max="23" width="7.5703125" style="14" customWidth="1"/>
    <col min="24" max="25" width="12" style="14" customWidth="1"/>
    <col min="26" max="26" width="7.5703125" style="14" customWidth="1"/>
    <col min="27" max="31" width="12" style="14" customWidth="1"/>
    <col min="32" max="33" width="13.7109375" style="14" customWidth="1"/>
    <col min="34" max="35" width="12" style="14" customWidth="1"/>
    <col min="36" max="37" width="13.7109375" style="14" customWidth="1"/>
    <col min="38" max="38" width="7.5703125" style="14" bestFit="1" customWidth="1"/>
    <col min="39" max="40" width="12" style="14" bestFit="1" customWidth="1"/>
    <col min="41" max="41" width="7.5703125" style="14" bestFit="1" customWidth="1"/>
    <col min="42" max="43" width="12" style="14" bestFit="1" customWidth="1"/>
    <col min="44" max="44" width="7.5703125" style="14" bestFit="1" customWidth="1"/>
    <col min="45" max="45" width="10.85546875" style="14" bestFit="1" customWidth="1"/>
    <col min="46" max="48" width="7.5703125" style="14" bestFit="1" customWidth="1"/>
    <col min="49" max="49" width="10.85546875" style="14" bestFit="1" customWidth="1"/>
    <col min="50" max="50" width="7.5703125" style="14" bestFit="1" customWidth="1"/>
    <col min="51" max="51" width="10.85546875" style="14" bestFit="1" customWidth="1"/>
    <col min="52" max="52" width="7.5703125" style="14" bestFit="1" customWidth="1"/>
    <col min="53" max="53" width="10.7109375" style="14" bestFit="1" customWidth="1"/>
    <col min="54" max="54" width="9.7109375" style="14" bestFit="1" customWidth="1"/>
    <col min="55" max="55" width="11.42578125" style="14" bestFit="1" customWidth="1"/>
    <col min="56" max="56" width="10.85546875" style="14" bestFit="1" customWidth="1"/>
    <col min="57" max="57" width="12" style="14" bestFit="1" customWidth="1"/>
    <col min="58" max="60" width="7.5703125" style="14" bestFit="1" customWidth="1"/>
    <col min="61" max="61" width="12" style="14" bestFit="1" customWidth="1"/>
    <col min="62" max="62" width="12" style="14" customWidth="1"/>
    <col min="63" max="63" width="7.5703125" style="14" bestFit="1" customWidth="1"/>
    <col min="64" max="64" width="12" style="14" bestFit="1" customWidth="1"/>
    <col min="65" max="67" width="7.5703125" style="14" bestFit="1" customWidth="1"/>
    <col min="68" max="68" width="12" style="14" bestFit="1" customWidth="1"/>
    <col min="69" max="69" width="12" style="14" customWidth="1"/>
    <col min="70" max="72" width="7.5703125" style="14" bestFit="1" customWidth="1"/>
    <col min="73" max="73" width="10.85546875" style="14" bestFit="1" customWidth="1"/>
    <col min="74" max="74" width="7.5703125" style="14" bestFit="1" customWidth="1"/>
    <col min="75" max="75" width="10.85546875" style="14" bestFit="1" customWidth="1"/>
    <col min="76" max="76" width="10.85546875" style="14" customWidth="1"/>
    <col min="77" max="78" width="7.5703125" style="14" bestFit="1" customWidth="1"/>
    <col min="79" max="79" width="10.85546875" style="14" bestFit="1" customWidth="1"/>
    <col min="80" max="82" width="7.5703125" style="14" bestFit="1" customWidth="1"/>
    <col min="83" max="83" width="10.85546875" style="14" bestFit="1" customWidth="1"/>
    <col min="84" max="90" width="7.5703125" style="14" bestFit="1" customWidth="1"/>
    <col min="91" max="91" width="10.85546875" style="14" bestFit="1" customWidth="1"/>
    <col min="92" max="94" width="7.5703125" style="14" bestFit="1" customWidth="1"/>
    <col min="95" max="95" width="10.85546875" style="14" bestFit="1" customWidth="1"/>
    <col min="96" max="102" width="7.5703125" style="14" bestFit="1" customWidth="1"/>
    <col min="103" max="103" width="10.85546875" style="14" bestFit="1" customWidth="1"/>
    <col min="104" max="104" width="7.5703125" style="14" bestFit="1" customWidth="1"/>
    <col min="105" max="105" width="12" style="14" bestFit="1" customWidth="1"/>
    <col min="106" max="106" width="7.5703125" style="14" bestFit="1" customWidth="1"/>
    <col min="107" max="107" width="12" style="14" bestFit="1" customWidth="1"/>
    <col min="108" max="113" width="7.5703125" style="14" bestFit="1" customWidth="1"/>
    <col min="114" max="116" width="12" style="14" bestFit="1" customWidth="1"/>
    <col min="117" max="117" width="7.5703125" style="14" bestFit="1" customWidth="1"/>
    <col min="118" max="119" width="12" style="14" bestFit="1" customWidth="1"/>
    <col min="120" max="16384" width="10.42578125" style="14"/>
  </cols>
  <sheetData>
    <row r="1" spans="1:119" s="13" customFormat="1" ht="15.75">
      <c r="B1" s="142" t="s">
        <v>74</v>
      </c>
      <c r="I1" s="1"/>
      <c r="J1" s="1"/>
      <c r="K1" s="1"/>
      <c r="L1" s="1"/>
      <c r="M1" s="1"/>
      <c r="N1" s="1"/>
      <c r="O1" s="1"/>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c r="AZ1" s="132"/>
      <c r="BA1" s="132">
        <f>BC7+BJ7+BQ7+BX7</f>
        <v>426000</v>
      </c>
      <c r="BB1" s="132"/>
      <c r="BC1" s="132"/>
      <c r="BD1" s="132"/>
      <c r="BE1" s="132"/>
      <c r="BF1" s="132"/>
      <c r="BG1" s="132"/>
      <c r="BH1" s="132"/>
      <c r="BI1" s="132"/>
      <c r="BJ1" s="132"/>
      <c r="BK1" s="132"/>
      <c r="BL1" s="132"/>
      <c r="BM1" s="132"/>
      <c r="BN1" s="132"/>
      <c r="BO1" s="132"/>
      <c r="BP1" s="132"/>
      <c r="BQ1" s="132"/>
      <c r="BR1" s="132"/>
      <c r="BS1" s="132"/>
      <c r="BT1" s="132"/>
      <c r="BU1" s="132"/>
      <c r="BV1" s="132"/>
      <c r="BW1" s="132"/>
      <c r="BX1" s="132"/>
      <c r="BY1" s="132"/>
      <c r="BZ1" s="132"/>
      <c r="CA1" s="132"/>
      <c r="CB1" s="132"/>
      <c r="CC1" s="132"/>
      <c r="CD1" s="132"/>
      <c r="CE1" s="132"/>
      <c r="CF1" s="132"/>
      <c r="CG1" s="132"/>
      <c r="CH1" s="132"/>
      <c r="CI1" s="132"/>
      <c r="CJ1" s="132"/>
      <c r="CK1" s="132"/>
      <c r="CL1" s="132"/>
      <c r="CM1" s="132"/>
      <c r="CN1" s="132"/>
      <c r="CO1" s="132"/>
      <c r="CP1" s="132"/>
      <c r="CQ1" s="132"/>
      <c r="CR1" s="132"/>
      <c r="CS1" s="132"/>
      <c r="CT1" s="132"/>
      <c r="CU1" s="132"/>
      <c r="CV1" s="132"/>
      <c r="CW1" s="132"/>
      <c r="CX1" s="132"/>
      <c r="CY1" s="132"/>
      <c r="CZ1" s="132"/>
      <c r="DA1" s="132"/>
      <c r="DB1" s="132"/>
      <c r="DC1" s="132"/>
      <c r="DD1" s="132"/>
      <c r="DE1" s="132"/>
      <c r="DF1" s="132"/>
      <c r="DG1" s="132"/>
      <c r="DH1" s="132"/>
      <c r="DI1" s="132"/>
      <c r="DJ1" s="132"/>
      <c r="DK1" s="132"/>
      <c r="DL1" s="132"/>
      <c r="DM1" s="132"/>
      <c r="DN1" s="132"/>
      <c r="DO1" s="132"/>
    </row>
    <row r="2" spans="1:119" s="13" customFormat="1" ht="15.75" thickBot="1">
      <c r="D2" s="13">
        <f>SUBTOTAL(3,D8:D12)</f>
        <v>4</v>
      </c>
      <c r="P2" s="132"/>
      <c r="Q2" s="132"/>
      <c r="R2" s="132"/>
      <c r="S2" s="132"/>
      <c r="T2" s="132"/>
      <c r="U2" s="132"/>
      <c r="V2" s="132"/>
      <c r="W2" s="132"/>
      <c r="X2" s="132"/>
      <c r="Y2" s="132"/>
      <c r="Z2" s="132"/>
      <c r="AA2" s="132"/>
      <c r="AB2" s="132"/>
      <c r="AC2" s="132"/>
      <c r="AD2" s="132"/>
      <c r="AE2" s="132"/>
      <c r="AF2" s="132"/>
      <c r="AG2" s="132"/>
      <c r="AH2" s="132"/>
      <c r="AI2" s="132"/>
      <c r="AJ2" s="132"/>
      <c r="AK2" s="132">
        <f>AK9/1.18</f>
        <v>352285.56779661018</v>
      </c>
      <c r="AL2" s="132"/>
      <c r="AM2" s="132"/>
      <c r="AN2" s="132"/>
      <c r="AO2" s="132"/>
      <c r="AP2" s="132"/>
      <c r="AQ2" s="132"/>
      <c r="AR2" s="132"/>
      <c r="AS2" s="132"/>
      <c r="AT2" s="132"/>
      <c r="AU2" s="132"/>
      <c r="AV2" s="132"/>
      <c r="AW2" s="132"/>
      <c r="AX2" s="132"/>
      <c r="AY2" s="132"/>
      <c r="AZ2" s="132"/>
      <c r="BA2" s="132">
        <v>346000</v>
      </c>
      <c r="BB2" s="132">
        <f>BA1-BA2</f>
        <v>80000</v>
      </c>
      <c r="BC2" s="132"/>
      <c r="BD2" s="132"/>
      <c r="BE2" s="132"/>
      <c r="BF2" s="132"/>
      <c r="BG2" s="132"/>
      <c r="BH2" s="132"/>
      <c r="BI2" s="132"/>
      <c r="BJ2" s="132"/>
      <c r="BK2" s="132"/>
      <c r="BL2" s="132"/>
      <c r="BM2" s="132"/>
      <c r="BN2" s="132"/>
      <c r="BO2" s="132"/>
      <c r="BP2" s="132"/>
      <c r="BQ2" s="132"/>
      <c r="BR2" s="132"/>
      <c r="BS2" s="132"/>
      <c r="BT2" s="132"/>
      <c r="BU2" s="132"/>
      <c r="BV2" s="132"/>
      <c r="BW2" s="132"/>
      <c r="BX2" s="132"/>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32"/>
      <c r="DE2" s="132"/>
      <c r="DF2" s="132"/>
      <c r="DG2" s="132"/>
      <c r="DH2" s="132"/>
      <c r="DI2" s="132"/>
      <c r="DJ2" s="132"/>
      <c r="DK2" s="132"/>
      <c r="DL2" s="132"/>
      <c r="DM2" s="132"/>
      <c r="DN2" s="132"/>
      <c r="DO2" s="132"/>
    </row>
    <row r="3" spans="1:119" s="13" customFormat="1" ht="19.5" customHeight="1" thickBot="1">
      <c r="A3" s="573" t="s">
        <v>1</v>
      </c>
      <c r="B3" s="549" t="s">
        <v>2</v>
      </c>
      <c r="C3" s="549" t="s">
        <v>3</v>
      </c>
      <c r="D3" s="549" t="s">
        <v>4</v>
      </c>
      <c r="E3" s="516" t="s">
        <v>1163</v>
      </c>
      <c r="F3" s="516" t="s">
        <v>1170</v>
      </c>
      <c r="G3" s="510" t="s">
        <v>1178</v>
      </c>
      <c r="H3" s="549" t="s">
        <v>5</v>
      </c>
      <c r="I3" s="492" t="s">
        <v>6</v>
      </c>
      <c r="J3" s="493"/>
      <c r="K3" s="492" t="s">
        <v>9</v>
      </c>
      <c r="L3" s="493"/>
      <c r="M3" s="469" t="s">
        <v>1197</v>
      </c>
      <c r="N3" s="273"/>
      <c r="O3" s="485" t="s">
        <v>1196</v>
      </c>
      <c r="P3" s="569" t="s">
        <v>7</v>
      </c>
      <c r="Q3" s="570"/>
      <c r="R3" s="569" t="s">
        <v>8</v>
      </c>
      <c r="S3" s="570"/>
      <c r="T3" s="578" t="s">
        <v>9</v>
      </c>
      <c r="U3" s="579"/>
      <c r="V3" s="579"/>
      <c r="W3" s="579"/>
      <c r="X3" s="579"/>
      <c r="Y3" s="579"/>
      <c r="Z3" s="579"/>
      <c r="AA3" s="579"/>
      <c r="AB3" s="579"/>
      <c r="AC3" s="579"/>
      <c r="AD3" s="579"/>
      <c r="AE3" s="579"/>
      <c r="AF3" s="579"/>
      <c r="AG3" s="579"/>
      <c r="AH3" s="579"/>
      <c r="AI3" s="579"/>
      <c r="AJ3" s="579"/>
      <c r="AK3" s="580"/>
      <c r="AL3" s="581">
        <v>2025</v>
      </c>
      <c r="AM3" s="579"/>
      <c r="AN3" s="579"/>
      <c r="AO3" s="579"/>
      <c r="AP3" s="579"/>
      <c r="AQ3" s="579"/>
      <c r="AR3" s="579"/>
      <c r="AS3" s="579"/>
      <c r="AT3" s="579"/>
      <c r="AU3" s="579"/>
      <c r="AV3" s="579"/>
      <c r="AW3" s="579"/>
      <c r="AX3" s="579"/>
      <c r="AY3" s="579"/>
      <c r="AZ3" s="579"/>
      <c r="BA3" s="579"/>
      <c r="BB3" s="579"/>
      <c r="BC3" s="579"/>
      <c r="BD3" s="579"/>
      <c r="BE3" s="579"/>
      <c r="BF3" s="579"/>
      <c r="BG3" s="579"/>
      <c r="BH3" s="579"/>
      <c r="BI3" s="579"/>
      <c r="BJ3" s="579"/>
      <c r="BK3" s="579"/>
      <c r="BL3" s="579"/>
      <c r="BM3" s="579"/>
      <c r="BN3" s="579"/>
      <c r="BO3" s="579"/>
      <c r="BP3" s="579"/>
      <c r="BQ3" s="579"/>
      <c r="BR3" s="579"/>
      <c r="BS3" s="579"/>
      <c r="BT3" s="579"/>
      <c r="BU3" s="579"/>
      <c r="BV3" s="579"/>
      <c r="BW3" s="579"/>
      <c r="BX3" s="579"/>
      <c r="BY3" s="579"/>
      <c r="BZ3" s="579"/>
      <c r="CA3" s="579"/>
      <c r="CB3" s="579"/>
      <c r="CC3" s="579"/>
      <c r="CD3" s="579"/>
      <c r="CE3" s="579"/>
      <c r="CF3" s="579"/>
      <c r="CG3" s="579"/>
      <c r="CH3" s="579"/>
      <c r="CI3" s="579"/>
      <c r="CJ3" s="579"/>
      <c r="CK3" s="579"/>
      <c r="CL3" s="579"/>
      <c r="CM3" s="579"/>
      <c r="CN3" s="579"/>
      <c r="CO3" s="579"/>
      <c r="CP3" s="579"/>
      <c r="CQ3" s="579"/>
      <c r="CR3" s="579"/>
      <c r="CS3" s="579"/>
      <c r="CT3" s="579"/>
      <c r="CU3" s="579"/>
      <c r="CV3" s="579"/>
      <c r="CW3" s="579"/>
      <c r="CX3" s="579"/>
      <c r="CY3" s="579"/>
      <c r="CZ3" s="579"/>
      <c r="DA3" s="579"/>
      <c r="DB3" s="579"/>
      <c r="DC3" s="579"/>
      <c r="DD3" s="579"/>
      <c r="DE3" s="579"/>
      <c r="DF3" s="579"/>
      <c r="DG3" s="579"/>
      <c r="DH3" s="579"/>
      <c r="DI3" s="579"/>
      <c r="DJ3" s="579"/>
      <c r="DK3" s="579"/>
      <c r="DL3" s="579"/>
      <c r="DM3" s="579"/>
      <c r="DN3" s="579"/>
      <c r="DO3" s="580"/>
    </row>
    <row r="4" spans="1:119" s="13" customFormat="1" ht="80.25" customHeight="1" thickBot="1">
      <c r="A4" s="574"/>
      <c r="B4" s="550"/>
      <c r="C4" s="550"/>
      <c r="D4" s="550"/>
      <c r="E4" s="517"/>
      <c r="F4" s="517"/>
      <c r="G4" s="511"/>
      <c r="H4" s="550"/>
      <c r="I4" s="583"/>
      <c r="J4" s="584"/>
      <c r="K4" s="494"/>
      <c r="L4" s="495"/>
      <c r="M4" s="496"/>
      <c r="N4" s="271" t="s">
        <v>1234</v>
      </c>
      <c r="O4" s="486"/>
      <c r="P4" s="576"/>
      <c r="Q4" s="577"/>
      <c r="R4" s="576"/>
      <c r="S4" s="577"/>
      <c r="T4" s="552" t="s">
        <v>10</v>
      </c>
      <c r="U4" s="553"/>
      <c r="V4" s="553"/>
      <c r="W4" s="553"/>
      <c r="X4" s="553"/>
      <c r="Y4" s="554"/>
      <c r="Z4" s="552" t="s">
        <v>11</v>
      </c>
      <c r="AA4" s="553"/>
      <c r="AB4" s="553"/>
      <c r="AC4" s="553"/>
      <c r="AD4" s="553"/>
      <c r="AE4" s="554"/>
      <c r="AF4" s="552" t="s">
        <v>9</v>
      </c>
      <c r="AG4" s="553"/>
      <c r="AH4" s="553"/>
      <c r="AI4" s="553"/>
      <c r="AJ4" s="553"/>
      <c r="AK4" s="554"/>
      <c r="AL4" s="552" t="s">
        <v>12</v>
      </c>
      <c r="AM4" s="553"/>
      <c r="AN4" s="553"/>
      <c r="AO4" s="553"/>
      <c r="AP4" s="553"/>
      <c r="AQ4" s="554"/>
      <c r="AR4" s="552" t="s">
        <v>13</v>
      </c>
      <c r="AS4" s="553"/>
      <c r="AT4" s="553"/>
      <c r="AU4" s="553"/>
      <c r="AV4" s="553"/>
      <c r="AW4" s="554"/>
      <c r="AX4" s="552" t="s">
        <v>14</v>
      </c>
      <c r="AY4" s="553"/>
      <c r="AZ4" s="553"/>
      <c r="BA4" s="553"/>
      <c r="BB4" s="553"/>
      <c r="BC4" s="555"/>
      <c r="BD4" s="554"/>
      <c r="BE4" s="552" t="s">
        <v>15</v>
      </c>
      <c r="BF4" s="553"/>
      <c r="BG4" s="553"/>
      <c r="BH4" s="553"/>
      <c r="BI4" s="553"/>
      <c r="BJ4" s="555"/>
      <c r="BK4" s="554"/>
      <c r="BL4" s="552" t="s">
        <v>16</v>
      </c>
      <c r="BM4" s="553"/>
      <c r="BN4" s="553"/>
      <c r="BO4" s="553"/>
      <c r="BP4" s="553"/>
      <c r="BQ4" s="555"/>
      <c r="BR4" s="554"/>
      <c r="BS4" s="552" t="s">
        <v>17</v>
      </c>
      <c r="BT4" s="553"/>
      <c r="BU4" s="553"/>
      <c r="BV4" s="553"/>
      <c r="BW4" s="553"/>
      <c r="BX4" s="555"/>
      <c r="BY4" s="554"/>
      <c r="BZ4" s="552" t="s">
        <v>18</v>
      </c>
      <c r="CA4" s="553"/>
      <c r="CB4" s="553"/>
      <c r="CC4" s="553"/>
      <c r="CD4" s="553"/>
      <c r="CE4" s="554"/>
      <c r="CF4" s="552" t="s">
        <v>19</v>
      </c>
      <c r="CG4" s="553"/>
      <c r="CH4" s="553"/>
      <c r="CI4" s="553"/>
      <c r="CJ4" s="553"/>
      <c r="CK4" s="554"/>
      <c r="CL4" s="552" t="s">
        <v>20</v>
      </c>
      <c r="CM4" s="553"/>
      <c r="CN4" s="553"/>
      <c r="CO4" s="553"/>
      <c r="CP4" s="553"/>
      <c r="CQ4" s="554"/>
      <c r="CR4" s="552" t="s">
        <v>21</v>
      </c>
      <c r="CS4" s="553"/>
      <c r="CT4" s="553"/>
      <c r="CU4" s="553"/>
      <c r="CV4" s="553"/>
      <c r="CW4" s="554"/>
      <c r="CX4" s="556" t="s">
        <v>22</v>
      </c>
      <c r="CY4" s="557"/>
      <c r="CZ4" s="557"/>
      <c r="DA4" s="557"/>
      <c r="DB4" s="557"/>
      <c r="DC4" s="582"/>
      <c r="DD4" s="552" t="s">
        <v>23</v>
      </c>
      <c r="DE4" s="553"/>
      <c r="DF4" s="553"/>
      <c r="DG4" s="553"/>
      <c r="DH4" s="553"/>
      <c r="DI4" s="554"/>
      <c r="DJ4" s="552" t="s">
        <v>24</v>
      </c>
      <c r="DK4" s="553"/>
      <c r="DL4" s="553"/>
      <c r="DM4" s="553"/>
      <c r="DN4" s="553"/>
      <c r="DO4" s="554"/>
    </row>
    <row r="5" spans="1:119" s="13" customFormat="1" ht="15" customHeight="1">
      <c r="A5" s="574"/>
      <c r="B5" s="550"/>
      <c r="C5" s="550"/>
      <c r="D5" s="550"/>
      <c r="E5" s="517"/>
      <c r="F5" s="517"/>
      <c r="G5" s="511"/>
      <c r="H5" s="550"/>
      <c r="I5" s="496" t="s">
        <v>1169</v>
      </c>
      <c r="J5" s="469" t="s">
        <v>1171</v>
      </c>
      <c r="K5" s="498" t="s">
        <v>1172</v>
      </c>
      <c r="L5" s="469" t="s">
        <v>1177</v>
      </c>
      <c r="M5" s="496"/>
      <c r="N5" s="274"/>
      <c r="O5" s="486"/>
      <c r="P5" s="471" t="s">
        <v>1169</v>
      </c>
      <c r="Q5" s="473" t="s">
        <v>1168</v>
      </c>
      <c r="R5" s="471" t="s">
        <v>1169</v>
      </c>
      <c r="S5" s="473" t="s">
        <v>1168</v>
      </c>
      <c r="T5" s="464" t="s">
        <v>1167</v>
      </c>
      <c r="U5" s="460"/>
      <c r="V5" s="460" t="s">
        <v>1166</v>
      </c>
      <c r="W5" s="461"/>
      <c r="X5" s="464" t="s">
        <v>25</v>
      </c>
      <c r="Y5" s="561"/>
      <c r="Z5" s="464" t="s">
        <v>1167</v>
      </c>
      <c r="AA5" s="460"/>
      <c r="AB5" s="460" t="s">
        <v>1166</v>
      </c>
      <c r="AC5" s="461"/>
      <c r="AD5" s="464" t="s">
        <v>25</v>
      </c>
      <c r="AE5" s="561"/>
      <c r="AF5" s="464" t="s">
        <v>1167</v>
      </c>
      <c r="AG5" s="460"/>
      <c r="AH5" s="460" t="s">
        <v>1166</v>
      </c>
      <c r="AI5" s="461"/>
      <c r="AJ5" s="464" t="s">
        <v>25</v>
      </c>
      <c r="AK5" s="561"/>
      <c r="AL5" s="464" t="s">
        <v>1167</v>
      </c>
      <c r="AM5" s="460"/>
      <c r="AN5" s="460" t="s">
        <v>1166</v>
      </c>
      <c r="AO5" s="461"/>
      <c r="AP5" s="464" t="s">
        <v>25</v>
      </c>
      <c r="AQ5" s="561"/>
      <c r="AR5" s="464" t="s">
        <v>1167</v>
      </c>
      <c r="AS5" s="460"/>
      <c r="AT5" s="460" t="s">
        <v>1166</v>
      </c>
      <c r="AU5" s="461"/>
      <c r="AV5" s="464" t="s">
        <v>25</v>
      </c>
      <c r="AW5" s="561"/>
      <c r="AX5" s="464" t="s">
        <v>1167</v>
      </c>
      <c r="AY5" s="460"/>
      <c r="AZ5" s="460" t="s">
        <v>1166</v>
      </c>
      <c r="BA5" s="461"/>
      <c r="BB5" s="464" t="s">
        <v>25</v>
      </c>
      <c r="BC5" s="563"/>
      <c r="BD5" s="561"/>
      <c r="BE5" s="464" t="s">
        <v>1167</v>
      </c>
      <c r="BF5" s="460"/>
      <c r="BG5" s="460" t="s">
        <v>1166</v>
      </c>
      <c r="BH5" s="461"/>
      <c r="BI5" s="464" t="s">
        <v>25</v>
      </c>
      <c r="BJ5" s="563"/>
      <c r="BK5" s="561"/>
      <c r="BL5" s="464" t="s">
        <v>1167</v>
      </c>
      <c r="BM5" s="460"/>
      <c r="BN5" s="460" t="s">
        <v>1166</v>
      </c>
      <c r="BO5" s="461"/>
      <c r="BP5" s="464" t="s">
        <v>25</v>
      </c>
      <c r="BQ5" s="563"/>
      <c r="BR5" s="561"/>
      <c r="BS5" s="464" t="s">
        <v>1167</v>
      </c>
      <c r="BT5" s="460"/>
      <c r="BU5" s="460" t="s">
        <v>1166</v>
      </c>
      <c r="BV5" s="461"/>
      <c r="BW5" s="464" t="s">
        <v>25</v>
      </c>
      <c r="BX5" s="563"/>
      <c r="BY5" s="561"/>
      <c r="BZ5" s="464" t="s">
        <v>1167</v>
      </c>
      <c r="CA5" s="460"/>
      <c r="CB5" s="460" t="s">
        <v>1166</v>
      </c>
      <c r="CC5" s="461"/>
      <c r="CD5" s="464" t="s">
        <v>25</v>
      </c>
      <c r="CE5" s="561"/>
      <c r="CF5" s="464" t="s">
        <v>1167</v>
      </c>
      <c r="CG5" s="460"/>
      <c r="CH5" s="460" t="s">
        <v>1166</v>
      </c>
      <c r="CI5" s="461"/>
      <c r="CJ5" s="464" t="s">
        <v>25</v>
      </c>
      <c r="CK5" s="561"/>
      <c r="CL5" s="464" t="s">
        <v>1167</v>
      </c>
      <c r="CM5" s="460"/>
      <c r="CN5" s="460" t="s">
        <v>1166</v>
      </c>
      <c r="CO5" s="461"/>
      <c r="CP5" s="464" t="s">
        <v>25</v>
      </c>
      <c r="CQ5" s="561"/>
      <c r="CR5" s="464" t="s">
        <v>1167</v>
      </c>
      <c r="CS5" s="460"/>
      <c r="CT5" s="460" t="s">
        <v>1166</v>
      </c>
      <c r="CU5" s="461"/>
      <c r="CV5" s="464" t="s">
        <v>25</v>
      </c>
      <c r="CW5" s="561"/>
      <c r="CX5" s="464" t="s">
        <v>1167</v>
      </c>
      <c r="CY5" s="460"/>
      <c r="CZ5" s="460" t="s">
        <v>1166</v>
      </c>
      <c r="DA5" s="461"/>
      <c r="DB5" s="464" t="s">
        <v>25</v>
      </c>
      <c r="DC5" s="561"/>
      <c r="DD5" s="464" t="s">
        <v>1167</v>
      </c>
      <c r="DE5" s="460"/>
      <c r="DF5" s="460" t="s">
        <v>1166</v>
      </c>
      <c r="DG5" s="461"/>
      <c r="DH5" s="464" t="s">
        <v>25</v>
      </c>
      <c r="DI5" s="561"/>
      <c r="DJ5" s="464" t="s">
        <v>1167</v>
      </c>
      <c r="DK5" s="460"/>
      <c r="DL5" s="460" t="s">
        <v>1166</v>
      </c>
      <c r="DM5" s="461"/>
      <c r="DN5" s="464" t="s">
        <v>25</v>
      </c>
      <c r="DO5" s="561"/>
    </row>
    <row r="6" spans="1:119" s="13" customFormat="1" ht="15.75" thickBot="1">
      <c r="A6" s="575"/>
      <c r="B6" s="551"/>
      <c r="C6" s="551"/>
      <c r="D6" s="551"/>
      <c r="E6" s="518"/>
      <c r="F6" s="518"/>
      <c r="G6" s="512"/>
      <c r="H6" s="551"/>
      <c r="I6" s="470"/>
      <c r="J6" s="497"/>
      <c r="K6" s="497"/>
      <c r="L6" s="497"/>
      <c r="M6" s="470"/>
      <c r="N6" s="275"/>
      <c r="O6" s="487"/>
      <c r="P6" s="472"/>
      <c r="Q6" s="474"/>
      <c r="R6" s="472"/>
      <c r="S6" s="474"/>
      <c r="T6" s="2" t="s">
        <v>26</v>
      </c>
      <c r="U6" s="3" t="s">
        <v>27</v>
      </c>
      <c r="V6" s="3" t="s">
        <v>26</v>
      </c>
      <c r="W6" s="4" t="s">
        <v>27</v>
      </c>
      <c r="X6" s="2" t="s">
        <v>26</v>
      </c>
      <c r="Y6" s="140" t="s">
        <v>27</v>
      </c>
      <c r="Z6" s="2" t="s">
        <v>26</v>
      </c>
      <c r="AA6" s="3" t="s">
        <v>27</v>
      </c>
      <c r="AB6" s="3" t="s">
        <v>26</v>
      </c>
      <c r="AC6" s="4" t="s">
        <v>27</v>
      </c>
      <c r="AD6" s="2" t="s">
        <v>26</v>
      </c>
      <c r="AE6" s="140" t="s">
        <v>27</v>
      </c>
      <c r="AF6" s="2" t="s">
        <v>26</v>
      </c>
      <c r="AG6" s="3" t="s">
        <v>27</v>
      </c>
      <c r="AH6" s="3" t="s">
        <v>26</v>
      </c>
      <c r="AI6" s="4" t="s">
        <v>27</v>
      </c>
      <c r="AJ6" s="2" t="s">
        <v>26</v>
      </c>
      <c r="AK6" s="140" t="s">
        <v>27</v>
      </c>
      <c r="AL6" s="2" t="s">
        <v>26</v>
      </c>
      <c r="AM6" s="3" t="s">
        <v>27</v>
      </c>
      <c r="AN6" s="3" t="s">
        <v>26</v>
      </c>
      <c r="AO6" s="4" t="s">
        <v>27</v>
      </c>
      <c r="AP6" s="2" t="s">
        <v>26</v>
      </c>
      <c r="AQ6" s="140" t="s">
        <v>27</v>
      </c>
      <c r="AR6" s="2" t="s">
        <v>26</v>
      </c>
      <c r="AS6" s="3" t="s">
        <v>27</v>
      </c>
      <c r="AT6" s="3" t="s">
        <v>26</v>
      </c>
      <c r="AU6" s="4" t="s">
        <v>27</v>
      </c>
      <c r="AV6" s="2" t="s">
        <v>26</v>
      </c>
      <c r="AW6" s="140" t="s">
        <v>27</v>
      </c>
      <c r="AX6" s="2" t="s">
        <v>26</v>
      </c>
      <c r="AY6" s="3" t="s">
        <v>27</v>
      </c>
      <c r="AZ6" s="3" t="s">
        <v>26</v>
      </c>
      <c r="BA6" s="4" t="s">
        <v>27</v>
      </c>
      <c r="BB6" s="2" t="s">
        <v>26</v>
      </c>
      <c r="BC6" s="367" t="s">
        <v>1254</v>
      </c>
      <c r="BD6" s="140" t="s">
        <v>27</v>
      </c>
      <c r="BE6" s="2" t="s">
        <v>26</v>
      </c>
      <c r="BF6" s="3" t="s">
        <v>27</v>
      </c>
      <c r="BG6" s="3" t="s">
        <v>26</v>
      </c>
      <c r="BH6" s="4" t="s">
        <v>27</v>
      </c>
      <c r="BI6" s="2" t="s">
        <v>26</v>
      </c>
      <c r="BJ6" s="367" t="s">
        <v>1254</v>
      </c>
      <c r="BK6" s="140" t="s">
        <v>27</v>
      </c>
      <c r="BL6" s="2" t="s">
        <v>26</v>
      </c>
      <c r="BM6" s="3" t="s">
        <v>27</v>
      </c>
      <c r="BN6" s="3" t="s">
        <v>26</v>
      </c>
      <c r="BO6" s="4" t="s">
        <v>27</v>
      </c>
      <c r="BP6" s="2" t="s">
        <v>26</v>
      </c>
      <c r="BQ6" s="367" t="s">
        <v>1254</v>
      </c>
      <c r="BR6" s="140" t="s">
        <v>27</v>
      </c>
      <c r="BS6" s="2" t="s">
        <v>26</v>
      </c>
      <c r="BT6" s="3" t="s">
        <v>27</v>
      </c>
      <c r="BU6" s="3" t="s">
        <v>26</v>
      </c>
      <c r="BV6" s="4" t="s">
        <v>27</v>
      </c>
      <c r="BW6" s="2" t="s">
        <v>26</v>
      </c>
      <c r="BX6" s="367" t="s">
        <v>1254</v>
      </c>
      <c r="BY6" s="140" t="s">
        <v>27</v>
      </c>
      <c r="BZ6" s="2" t="s">
        <v>26</v>
      </c>
      <c r="CA6" s="3" t="s">
        <v>27</v>
      </c>
      <c r="CB6" s="3" t="s">
        <v>26</v>
      </c>
      <c r="CC6" s="4" t="s">
        <v>27</v>
      </c>
      <c r="CD6" s="2" t="s">
        <v>26</v>
      </c>
      <c r="CE6" s="140" t="s">
        <v>27</v>
      </c>
      <c r="CF6" s="2" t="s">
        <v>26</v>
      </c>
      <c r="CG6" s="3" t="s">
        <v>27</v>
      </c>
      <c r="CH6" s="3" t="s">
        <v>26</v>
      </c>
      <c r="CI6" s="4" t="s">
        <v>27</v>
      </c>
      <c r="CJ6" s="2" t="s">
        <v>26</v>
      </c>
      <c r="CK6" s="140" t="s">
        <v>27</v>
      </c>
      <c r="CL6" s="2" t="s">
        <v>26</v>
      </c>
      <c r="CM6" s="3" t="s">
        <v>27</v>
      </c>
      <c r="CN6" s="3" t="s">
        <v>26</v>
      </c>
      <c r="CO6" s="4" t="s">
        <v>27</v>
      </c>
      <c r="CP6" s="2" t="s">
        <v>26</v>
      </c>
      <c r="CQ6" s="140" t="s">
        <v>27</v>
      </c>
      <c r="CR6" s="2" t="s">
        <v>26</v>
      </c>
      <c r="CS6" s="3" t="s">
        <v>27</v>
      </c>
      <c r="CT6" s="3" t="s">
        <v>26</v>
      </c>
      <c r="CU6" s="4" t="s">
        <v>27</v>
      </c>
      <c r="CV6" s="2" t="s">
        <v>26</v>
      </c>
      <c r="CW6" s="140" t="s">
        <v>27</v>
      </c>
      <c r="CX6" s="2" t="s">
        <v>26</v>
      </c>
      <c r="CY6" s="3" t="s">
        <v>27</v>
      </c>
      <c r="CZ6" s="3" t="s">
        <v>26</v>
      </c>
      <c r="DA6" s="4" t="s">
        <v>27</v>
      </c>
      <c r="DB6" s="2" t="s">
        <v>26</v>
      </c>
      <c r="DC6" s="140" t="s">
        <v>27</v>
      </c>
      <c r="DD6" s="2" t="s">
        <v>26</v>
      </c>
      <c r="DE6" s="3" t="s">
        <v>27</v>
      </c>
      <c r="DF6" s="3" t="s">
        <v>26</v>
      </c>
      <c r="DG6" s="4" t="s">
        <v>27</v>
      </c>
      <c r="DH6" s="2" t="s">
        <v>26</v>
      </c>
      <c r="DI6" s="140" t="s">
        <v>27</v>
      </c>
      <c r="DJ6" s="2" t="s">
        <v>26</v>
      </c>
      <c r="DK6" s="3" t="s">
        <v>27</v>
      </c>
      <c r="DL6" s="3" t="s">
        <v>26</v>
      </c>
      <c r="DM6" s="4" t="s">
        <v>27</v>
      </c>
      <c r="DN6" s="2" t="s">
        <v>26</v>
      </c>
      <c r="DO6" s="140" t="s">
        <v>27</v>
      </c>
    </row>
    <row r="7" spans="1:119" s="13" customFormat="1" ht="15.75">
      <c r="A7" s="564" t="s">
        <v>28</v>
      </c>
      <c r="B7" s="564"/>
      <c r="C7" s="564"/>
      <c r="D7" s="564"/>
      <c r="E7" s="155">
        <f>SUBTOTAL(3,E9:E12)</f>
        <v>4</v>
      </c>
      <c r="F7" s="155">
        <f t="shared" ref="F7:BZ7" si="0">SUBTOTAL(9,F9:F12)</f>
        <v>522000</v>
      </c>
      <c r="G7" s="155">
        <f t="shared" si="0"/>
        <v>1963780.24</v>
      </c>
      <c r="H7" s="143">
        <f t="shared" si="0"/>
        <v>0</v>
      </c>
      <c r="I7" s="148">
        <f t="shared" si="0"/>
        <v>0</v>
      </c>
      <c r="J7" s="148">
        <f t="shared" si="0"/>
        <v>0</v>
      </c>
      <c r="K7" s="148">
        <f t="shared" si="0"/>
        <v>1441780.24</v>
      </c>
      <c r="L7" s="148">
        <f t="shared" si="0"/>
        <v>796780.24</v>
      </c>
      <c r="M7" s="148">
        <f t="shared" si="0"/>
        <v>1441780.24</v>
      </c>
      <c r="N7" s="148">
        <f t="shared" si="0"/>
        <v>522000</v>
      </c>
      <c r="O7" s="150">
        <f t="shared" si="0"/>
        <v>1836219.24</v>
      </c>
      <c r="P7" s="143">
        <f t="shared" si="0"/>
        <v>1055000</v>
      </c>
      <c r="Q7" s="143">
        <f t="shared" si="0"/>
        <v>5696.97</v>
      </c>
      <c r="R7" s="143">
        <f t="shared" si="0"/>
        <v>1055000</v>
      </c>
      <c r="S7" s="143">
        <f t="shared" si="0"/>
        <v>5696.97</v>
      </c>
      <c r="T7" s="143">
        <f t="shared" si="0"/>
        <v>100000</v>
      </c>
      <c r="U7" s="143">
        <f t="shared" si="0"/>
        <v>100000</v>
      </c>
      <c r="V7" s="143">
        <f t="shared" si="0"/>
        <v>70000</v>
      </c>
      <c r="W7" s="143">
        <f t="shared" si="0"/>
        <v>0</v>
      </c>
      <c r="X7" s="143">
        <f t="shared" si="0"/>
        <v>170000</v>
      </c>
      <c r="Y7" s="143">
        <f t="shared" si="0"/>
        <v>100000</v>
      </c>
      <c r="Z7" s="143">
        <f t="shared" si="0"/>
        <v>0</v>
      </c>
      <c r="AA7" s="143">
        <f t="shared" si="0"/>
        <v>110000</v>
      </c>
      <c r="AB7" s="143">
        <f t="shared" si="0"/>
        <v>225000</v>
      </c>
      <c r="AC7" s="143">
        <f t="shared" si="0"/>
        <v>171083.27</v>
      </c>
      <c r="AD7" s="143">
        <f t="shared" si="0"/>
        <v>225000</v>
      </c>
      <c r="AE7" s="143">
        <f t="shared" si="0"/>
        <v>281083.27</v>
      </c>
      <c r="AF7" s="143">
        <f t="shared" si="0"/>
        <v>1155000</v>
      </c>
      <c r="AG7" s="143">
        <f t="shared" si="0"/>
        <v>1265000</v>
      </c>
      <c r="AH7" s="143">
        <f t="shared" si="0"/>
        <v>300696.96999999997</v>
      </c>
      <c r="AI7" s="143">
        <f t="shared" si="0"/>
        <v>176780.24</v>
      </c>
      <c r="AJ7" s="143">
        <f t="shared" si="0"/>
        <v>1455696.97</v>
      </c>
      <c r="AK7" s="143">
        <f t="shared" si="0"/>
        <v>1441780.24</v>
      </c>
      <c r="AL7" s="143">
        <f t="shared" si="0"/>
        <v>0</v>
      </c>
      <c r="AM7" s="143">
        <f t="shared" si="0"/>
        <v>100000</v>
      </c>
      <c r="AN7" s="143">
        <f t="shared" si="0"/>
        <v>150000</v>
      </c>
      <c r="AO7" s="143">
        <f t="shared" si="0"/>
        <v>0</v>
      </c>
      <c r="AP7" s="143">
        <f t="shared" si="0"/>
        <v>150000</v>
      </c>
      <c r="AQ7" s="143">
        <f t="shared" si="0"/>
        <v>100000</v>
      </c>
      <c r="AR7" s="143">
        <f t="shared" si="0"/>
        <v>0</v>
      </c>
      <c r="AS7" s="143">
        <f t="shared" si="0"/>
        <v>76000</v>
      </c>
      <c r="AT7" s="143">
        <f t="shared" si="0"/>
        <v>0</v>
      </c>
      <c r="AU7" s="143">
        <f t="shared" si="0"/>
        <v>0</v>
      </c>
      <c r="AV7" s="143">
        <f t="shared" si="0"/>
        <v>0</v>
      </c>
      <c r="AW7" s="143">
        <f t="shared" si="0"/>
        <v>76000</v>
      </c>
      <c r="AX7" s="143">
        <f t="shared" si="0"/>
        <v>0</v>
      </c>
      <c r="AY7" s="143">
        <f t="shared" si="0"/>
        <v>44000</v>
      </c>
      <c r="AZ7" s="143">
        <f t="shared" si="0"/>
        <v>0</v>
      </c>
      <c r="BA7" s="143">
        <f t="shared" si="0"/>
        <v>0</v>
      </c>
      <c r="BB7" s="143">
        <f t="shared" si="0"/>
        <v>0</v>
      </c>
      <c r="BC7" s="143">
        <f t="shared" si="0"/>
        <v>90000</v>
      </c>
      <c r="BD7" s="143">
        <f t="shared" si="0"/>
        <v>44000</v>
      </c>
      <c r="BE7" s="143">
        <f t="shared" si="0"/>
        <v>150000</v>
      </c>
      <c r="BF7" s="143">
        <f t="shared" si="0"/>
        <v>0</v>
      </c>
      <c r="BG7" s="143">
        <f t="shared" si="0"/>
        <v>0</v>
      </c>
      <c r="BH7" s="143">
        <f t="shared" si="0"/>
        <v>0</v>
      </c>
      <c r="BI7" s="143">
        <f t="shared" si="0"/>
        <v>150000</v>
      </c>
      <c r="BJ7" s="143">
        <f t="shared" si="0"/>
        <v>80000</v>
      </c>
      <c r="BK7" s="143">
        <f t="shared" si="0"/>
        <v>0</v>
      </c>
      <c r="BL7" s="143">
        <f t="shared" si="0"/>
        <v>150000</v>
      </c>
      <c r="BM7" s="143">
        <f t="shared" si="0"/>
        <v>0</v>
      </c>
      <c r="BN7" s="143">
        <f t="shared" si="0"/>
        <v>0</v>
      </c>
      <c r="BO7" s="143">
        <f t="shared" si="0"/>
        <v>0</v>
      </c>
      <c r="BP7" s="143">
        <f t="shared" si="0"/>
        <v>150000</v>
      </c>
      <c r="BQ7" s="143">
        <f t="shared" si="0"/>
        <v>200000</v>
      </c>
      <c r="BR7" s="143">
        <f t="shared" si="0"/>
        <v>0</v>
      </c>
      <c r="BS7" s="143">
        <f t="shared" si="0"/>
        <v>0</v>
      </c>
      <c r="BT7" s="143">
        <f t="shared" si="0"/>
        <v>0</v>
      </c>
      <c r="BU7" s="143">
        <f t="shared" si="0"/>
        <v>72000</v>
      </c>
      <c r="BV7" s="143">
        <f t="shared" si="0"/>
        <v>0</v>
      </c>
      <c r="BW7" s="143">
        <f>SUBTOTAL(9,BW9:BW12)</f>
        <v>72000</v>
      </c>
      <c r="BX7" s="143">
        <f>SUBTOTAL(9,BX9:BX12)</f>
        <v>56000</v>
      </c>
      <c r="BY7" s="143">
        <f t="shared" si="0"/>
        <v>0</v>
      </c>
      <c r="BZ7" s="143">
        <f t="shared" si="0"/>
        <v>0</v>
      </c>
      <c r="CA7" s="143">
        <f t="shared" ref="CA7:DO7" si="1">SUBTOTAL(9,CA9:CA12)</f>
        <v>70000</v>
      </c>
      <c r="CB7" s="143">
        <f t="shared" si="1"/>
        <v>0</v>
      </c>
      <c r="CC7" s="143">
        <f t="shared" si="1"/>
        <v>0</v>
      </c>
      <c r="CD7" s="143">
        <f t="shared" si="1"/>
        <v>0</v>
      </c>
      <c r="CE7" s="143">
        <f t="shared" si="1"/>
        <v>70000</v>
      </c>
      <c r="CF7" s="143">
        <f t="shared" si="1"/>
        <v>0</v>
      </c>
      <c r="CG7" s="143">
        <f t="shared" si="1"/>
        <v>0</v>
      </c>
      <c r="CH7" s="143">
        <f t="shared" si="1"/>
        <v>0</v>
      </c>
      <c r="CI7" s="143">
        <f t="shared" si="1"/>
        <v>0</v>
      </c>
      <c r="CJ7" s="143">
        <f t="shared" si="1"/>
        <v>0</v>
      </c>
      <c r="CK7" s="143">
        <f t="shared" si="1"/>
        <v>0</v>
      </c>
      <c r="CL7" s="143">
        <f t="shared" si="1"/>
        <v>0</v>
      </c>
      <c r="CM7" s="143">
        <f t="shared" si="1"/>
        <v>55000</v>
      </c>
      <c r="CN7" s="143">
        <f t="shared" si="1"/>
        <v>0</v>
      </c>
      <c r="CO7" s="143">
        <f t="shared" si="1"/>
        <v>0</v>
      </c>
      <c r="CP7" s="143">
        <f t="shared" si="1"/>
        <v>0</v>
      </c>
      <c r="CQ7" s="143">
        <f t="shared" si="1"/>
        <v>55000</v>
      </c>
      <c r="CR7" s="143">
        <f t="shared" si="1"/>
        <v>0</v>
      </c>
      <c r="CS7" s="143">
        <f t="shared" si="1"/>
        <v>0</v>
      </c>
      <c r="CT7" s="143">
        <f t="shared" si="1"/>
        <v>0</v>
      </c>
      <c r="CU7" s="143">
        <f t="shared" si="1"/>
        <v>0</v>
      </c>
      <c r="CV7" s="143">
        <f t="shared" si="1"/>
        <v>0</v>
      </c>
      <c r="CW7" s="143">
        <f t="shared" si="1"/>
        <v>0</v>
      </c>
      <c r="CX7" s="143">
        <f t="shared" si="1"/>
        <v>0</v>
      </c>
      <c r="CY7" s="143">
        <f t="shared" si="1"/>
        <v>20000</v>
      </c>
      <c r="CZ7" s="143">
        <f t="shared" si="1"/>
        <v>0</v>
      </c>
      <c r="DA7" s="143">
        <f t="shared" si="1"/>
        <v>105439</v>
      </c>
      <c r="DB7" s="143">
        <f t="shared" si="1"/>
        <v>0</v>
      </c>
      <c r="DC7" s="143">
        <f t="shared" si="1"/>
        <v>125439</v>
      </c>
      <c r="DD7" s="143">
        <f t="shared" si="1"/>
        <v>0</v>
      </c>
      <c r="DE7" s="143">
        <f t="shared" si="1"/>
        <v>0</v>
      </c>
      <c r="DF7" s="143">
        <f t="shared" si="1"/>
        <v>0</v>
      </c>
      <c r="DG7" s="143">
        <f t="shared" si="1"/>
        <v>0</v>
      </c>
      <c r="DH7" s="143">
        <f t="shared" si="1"/>
        <v>0</v>
      </c>
      <c r="DI7" s="143">
        <f t="shared" si="1"/>
        <v>0</v>
      </c>
      <c r="DJ7" s="143">
        <f t="shared" si="1"/>
        <v>300000</v>
      </c>
      <c r="DK7" s="143">
        <f t="shared" si="1"/>
        <v>365000</v>
      </c>
      <c r="DL7" s="143">
        <f t="shared" si="1"/>
        <v>222000</v>
      </c>
      <c r="DM7" s="143">
        <f t="shared" si="1"/>
        <v>105439</v>
      </c>
      <c r="DN7" s="143">
        <f t="shared" si="1"/>
        <v>522000</v>
      </c>
      <c r="DO7" s="143">
        <f t="shared" si="1"/>
        <v>470439</v>
      </c>
    </row>
    <row r="8" spans="1:119" s="13" customFormat="1" ht="11.25" customHeight="1">
      <c r="A8" s="129"/>
      <c r="B8" s="129"/>
      <c r="C8" s="129"/>
      <c r="D8" s="129"/>
      <c r="E8" s="156"/>
      <c r="F8" s="156"/>
      <c r="G8" s="156"/>
      <c r="H8" s="129"/>
      <c r="I8" s="141"/>
      <c r="J8" s="141"/>
      <c r="K8" s="141"/>
      <c r="L8" s="141"/>
      <c r="M8" s="141"/>
      <c r="N8" s="129"/>
      <c r="O8" s="124"/>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c r="BN8" s="138"/>
      <c r="BO8" s="138"/>
      <c r="BP8" s="138"/>
      <c r="BQ8" s="138"/>
      <c r="BR8" s="138"/>
      <c r="BS8" s="138"/>
      <c r="BT8" s="138"/>
      <c r="BU8" s="138"/>
      <c r="BV8" s="138"/>
      <c r="BW8" s="138"/>
      <c r="BX8" s="138"/>
      <c r="BY8" s="138"/>
      <c r="BZ8" s="138"/>
      <c r="CA8" s="138"/>
      <c r="CB8" s="138"/>
      <c r="CC8" s="138"/>
      <c r="CD8" s="138"/>
      <c r="CE8" s="138"/>
      <c r="CF8" s="138"/>
      <c r="CG8" s="138"/>
      <c r="CH8" s="138"/>
      <c r="CI8" s="138"/>
      <c r="CJ8" s="138"/>
      <c r="CK8" s="138"/>
      <c r="CL8" s="138"/>
      <c r="CM8" s="138"/>
      <c r="CN8" s="138"/>
      <c r="CO8" s="138"/>
      <c r="CP8" s="138"/>
      <c r="CQ8" s="138"/>
      <c r="CR8" s="138"/>
      <c r="CS8" s="138"/>
      <c r="CT8" s="138"/>
      <c r="CU8" s="138"/>
      <c r="CV8" s="138"/>
      <c r="CW8" s="138"/>
      <c r="CX8" s="138"/>
      <c r="CY8" s="138"/>
      <c r="CZ8" s="138"/>
      <c r="DA8" s="138"/>
      <c r="DB8" s="138"/>
      <c r="DC8" s="138"/>
      <c r="DD8" s="138"/>
      <c r="DE8" s="138"/>
      <c r="DF8" s="138"/>
      <c r="DG8" s="138"/>
      <c r="DH8" s="138"/>
      <c r="DI8" s="138"/>
      <c r="DJ8" s="138"/>
      <c r="DK8" s="138"/>
      <c r="DL8" s="138"/>
      <c r="DM8" s="138"/>
      <c r="DN8" s="138"/>
      <c r="DO8" s="138"/>
    </row>
    <row r="9" spans="1:119" s="13" customFormat="1" ht="33" customHeight="1">
      <c r="A9" s="15">
        <v>1</v>
      </c>
      <c r="B9" s="7" t="s">
        <v>75</v>
      </c>
      <c r="C9" s="144" t="s">
        <v>76</v>
      </c>
      <c r="D9" s="145" t="s">
        <v>1022</v>
      </c>
      <c r="E9" s="165" t="s">
        <v>1165</v>
      </c>
      <c r="F9" s="165">
        <f>SUM(DN9)</f>
        <v>0</v>
      </c>
      <c r="G9" s="165">
        <f>I9+AK9+DN9</f>
        <v>415696.97</v>
      </c>
      <c r="H9" s="12"/>
      <c r="I9" s="149">
        <v>0</v>
      </c>
      <c r="J9" s="149">
        <v>0</v>
      </c>
      <c r="K9" s="127">
        <f>AK9</f>
        <v>415696.97</v>
      </c>
      <c r="L9" s="127">
        <f>IF(AI9&gt;0,I9+AK9-J9,0)</f>
        <v>415696.97</v>
      </c>
      <c r="M9" s="127">
        <f>I9+K9</f>
        <v>415696.97</v>
      </c>
      <c r="N9" s="131">
        <f>G9-M9</f>
        <v>0</v>
      </c>
      <c r="O9" s="125">
        <f>IF(AND(AI9&gt;0,DM9&gt;0),"შეცდომაა! ერთზე მეტი ბოლო ჩაბარება!",IF(OR(AI9&gt;0,DM9&gt;0,),IF(AI9&gt;0,I9+AK9,I9+AK9+DO9),IF(AND(I9=0,K9=0,DO9=0),"ნულოვანი შესრულება","მიმდინარეობს")))</f>
        <v>415696.97</v>
      </c>
      <c r="P9" s="12">
        <v>410000</v>
      </c>
      <c r="Q9" s="12">
        <v>5696.97</v>
      </c>
      <c r="R9" s="12">
        <f t="shared" ref="R9:R12" si="2">I9+P9</f>
        <v>410000</v>
      </c>
      <c r="S9" s="12">
        <f t="shared" ref="S9:S12" si="3">Q9</f>
        <v>5696.97</v>
      </c>
      <c r="T9" s="12">
        <v>0</v>
      </c>
      <c r="U9" s="12">
        <v>0</v>
      </c>
      <c r="V9" s="12">
        <v>0</v>
      </c>
      <c r="W9" s="12">
        <v>0</v>
      </c>
      <c r="X9" s="12">
        <f t="shared" ref="X9:Y12" si="4">T9+V9</f>
        <v>0</v>
      </c>
      <c r="Y9" s="12">
        <f t="shared" si="4"/>
        <v>0</v>
      </c>
      <c r="Z9" s="12"/>
      <c r="AA9" s="12"/>
      <c r="AB9" s="12"/>
      <c r="AC9" s="12"/>
      <c r="AD9" s="12">
        <f t="shared" ref="AD9:AE12" si="5">Z9+AB9</f>
        <v>0</v>
      </c>
      <c r="AE9" s="12">
        <f t="shared" si="5"/>
        <v>0</v>
      </c>
      <c r="AF9" s="8">
        <f>P9+T9+Z9</f>
        <v>410000</v>
      </c>
      <c r="AG9" s="8">
        <f>P9+U9+AA9</f>
        <v>410000</v>
      </c>
      <c r="AH9" s="8">
        <f>Q9+V9+AB9</f>
        <v>5696.97</v>
      </c>
      <c r="AI9" s="8">
        <f>Q9+W9+AC9</f>
        <v>5696.97</v>
      </c>
      <c r="AJ9" s="8">
        <f>AF9+AH9</f>
        <v>415696.97</v>
      </c>
      <c r="AK9" s="8">
        <f>AG9+AI9</f>
        <v>415696.97</v>
      </c>
      <c r="AL9" s="12"/>
      <c r="AM9" s="12"/>
      <c r="AN9" s="12"/>
      <c r="AO9" s="12"/>
      <c r="AP9" s="12">
        <f t="shared" ref="AP9:AQ12" si="6">AL9+AN9</f>
        <v>0</v>
      </c>
      <c r="AQ9" s="12">
        <f t="shared" si="6"/>
        <v>0</v>
      </c>
      <c r="AR9" s="12"/>
      <c r="AS9" s="12"/>
      <c r="AT9" s="12"/>
      <c r="AU9" s="12"/>
      <c r="AV9" s="12">
        <f t="shared" ref="AV9:AW12" si="7">AR9+AT9</f>
        <v>0</v>
      </c>
      <c r="AW9" s="12">
        <f t="shared" si="7"/>
        <v>0</v>
      </c>
      <c r="AX9" s="12"/>
      <c r="AY9" s="12"/>
      <c r="AZ9" s="12"/>
      <c r="BA9" s="12"/>
      <c r="BB9" s="12">
        <f t="shared" ref="BB9:BB12" si="8">AX9+AZ9</f>
        <v>0</v>
      </c>
      <c r="BC9" s="12">
        <v>0</v>
      </c>
      <c r="BD9" s="12">
        <f>AY9+BA9</f>
        <v>0</v>
      </c>
      <c r="BE9" s="12"/>
      <c r="BF9" s="12"/>
      <c r="BG9" s="12"/>
      <c r="BH9" s="12"/>
      <c r="BI9" s="12">
        <f t="shared" ref="BI9:BI12" si="9">BE9+BG9</f>
        <v>0</v>
      </c>
      <c r="BJ9" s="12">
        <v>0</v>
      </c>
      <c r="BK9" s="12">
        <f>BF9+BH9</f>
        <v>0</v>
      </c>
      <c r="BL9" s="12"/>
      <c r="BM9" s="12"/>
      <c r="BN9" s="12"/>
      <c r="BO9" s="12"/>
      <c r="BP9" s="12">
        <f t="shared" ref="BP9:BP12" si="10">BL9+BN9</f>
        <v>0</v>
      </c>
      <c r="BQ9" s="12">
        <v>0</v>
      </c>
      <c r="BR9" s="12">
        <f>BM9+BO9</f>
        <v>0</v>
      </c>
      <c r="BS9" s="12"/>
      <c r="BT9" s="12"/>
      <c r="BU9" s="12"/>
      <c r="BV9" s="12"/>
      <c r="BW9" s="12">
        <f t="shared" ref="BW9:BW12" si="11">BS9+BU9</f>
        <v>0</v>
      </c>
      <c r="BX9" s="12"/>
      <c r="BY9" s="12">
        <f>BT9+BV9</f>
        <v>0</v>
      </c>
      <c r="BZ9" s="12"/>
      <c r="CA9" s="12"/>
      <c r="CB9" s="12"/>
      <c r="CC9" s="12"/>
      <c r="CD9" s="12">
        <f t="shared" ref="CD9:CE12" si="12">BZ9+CB9</f>
        <v>0</v>
      </c>
      <c r="CE9" s="12">
        <f t="shared" si="12"/>
        <v>0</v>
      </c>
      <c r="CF9" s="12"/>
      <c r="CG9" s="12"/>
      <c r="CH9" s="12"/>
      <c r="CI9" s="12"/>
      <c r="CJ9" s="12">
        <f t="shared" ref="CJ9:CK12" si="13">CF9+CH9</f>
        <v>0</v>
      </c>
      <c r="CK9" s="12">
        <f t="shared" si="13"/>
        <v>0</v>
      </c>
      <c r="CL9" s="12"/>
      <c r="CM9" s="12"/>
      <c r="CN9" s="12"/>
      <c r="CO9" s="12"/>
      <c r="CP9" s="12">
        <f t="shared" ref="CP9:CQ12" si="14">CL9+CN9</f>
        <v>0</v>
      </c>
      <c r="CQ9" s="12">
        <f t="shared" si="14"/>
        <v>0</v>
      </c>
      <c r="CR9" s="12"/>
      <c r="CS9" s="12"/>
      <c r="CT9" s="12"/>
      <c r="CU9" s="12"/>
      <c r="CV9" s="12">
        <f t="shared" ref="CV9:CW12" si="15">CR9+CT9</f>
        <v>0</v>
      </c>
      <c r="CW9" s="12">
        <f t="shared" si="15"/>
        <v>0</v>
      </c>
      <c r="CX9" s="12"/>
      <c r="CY9" s="12"/>
      <c r="CZ9" s="12"/>
      <c r="DA9" s="12"/>
      <c r="DB9" s="12">
        <f t="shared" ref="DB9:DC12" si="16">CX9+CZ9</f>
        <v>0</v>
      </c>
      <c r="DC9" s="12">
        <f t="shared" si="16"/>
        <v>0</v>
      </c>
      <c r="DD9" s="12"/>
      <c r="DE9" s="12"/>
      <c r="DF9" s="12"/>
      <c r="DG9" s="12"/>
      <c r="DH9" s="12">
        <f t="shared" ref="DH9:DI12" si="17">DD9+DF9</f>
        <v>0</v>
      </c>
      <c r="DI9" s="12">
        <f t="shared" si="17"/>
        <v>0</v>
      </c>
      <c r="DJ9" s="12">
        <f>AL9+AR9+AX9+BE9+BL9+BS9+BZ9+CF9+CL9+CR9+CX9+DD9</f>
        <v>0</v>
      </c>
      <c r="DK9" s="12">
        <f>AM9+AS9+AY9+BF9+BM9+BT9+CA9+CG9+CM9+CS9+CY9+DE9</f>
        <v>0</v>
      </c>
      <c r="DL9" s="12">
        <f>AN9+AT9+AZ9+BG9+BN9+BU9+CB9+CH9+CN9+CT9+CZ9+DF9</f>
        <v>0</v>
      </c>
      <c r="DM9" s="12">
        <f>AO9+AU9+BA9+BH9+BO9+BV9+CC9+CI9+CO9+CU9+DA9+DG9</f>
        <v>0</v>
      </c>
      <c r="DN9" s="12">
        <f>DJ9+DL9</f>
        <v>0</v>
      </c>
      <c r="DO9" s="12">
        <f>DK9+DM9</f>
        <v>0</v>
      </c>
    </row>
    <row r="10" spans="1:119" s="13" customFormat="1" ht="30">
      <c r="A10" s="15">
        <v>2</v>
      </c>
      <c r="B10" s="7" t="s">
        <v>75</v>
      </c>
      <c r="C10" s="144" t="s">
        <v>77</v>
      </c>
      <c r="D10" s="145" t="s">
        <v>1073</v>
      </c>
      <c r="E10" s="165" t="s">
        <v>1165</v>
      </c>
      <c r="F10" s="165">
        <f t="shared" ref="F10:F12" si="18">SUM(DN10)</f>
        <v>150000</v>
      </c>
      <c r="G10" s="165">
        <f t="shared" ref="G10:G12" si="19">I10+AK10+DN10</f>
        <v>795000</v>
      </c>
      <c r="H10" s="12"/>
      <c r="I10" s="149">
        <v>0</v>
      </c>
      <c r="J10" s="149">
        <v>0</v>
      </c>
      <c r="K10" s="127">
        <f t="shared" ref="K10:K12" si="20">AK10</f>
        <v>645000</v>
      </c>
      <c r="L10" s="127">
        <f t="shared" ref="L10:L12" si="21">IF(AI10&gt;0,I10+AK10-J10,0)</f>
        <v>0</v>
      </c>
      <c r="M10" s="127">
        <f t="shared" ref="M10:M12" si="22">I10+K10</f>
        <v>645000</v>
      </c>
      <c r="N10" s="131">
        <f t="shared" ref="N10:N12" si="23">G10-M10</f>
        <v>150000</v>
      </c>
      <c r="O10" s="125">
        <f>IF(AND(AI10&gt;0,DM10&gt;0),"შეცდომაა! ერთზე მეტი ბოლო ჩაბარება!",IF(OR(AI10&gt;0,DM10&gt;0,),IF(AI10&gt;0,I10+AK10,I10+AK10+DO10),IF(AND(I10=0,K10=0,DO10=0),"ნულოვანი შესრულება","მიმდინარეობს")))</f>
        <v>1039439</v>
      </c>
      <c r="P10" s="12">
        <v>435000</v>
      </c>
      <c r="Q10" s="12">
        <v>0</v>
      </c>
      <c r="R10" s="12">
        <f t="shared" si="2"/>
        <v>435000</v>
      </c>
      <c r="S10" s="12">
        <f t="shared" si="3"/>
        <v>0</v>
      </c>
      <c r="T10" s="12">
        <v>100000</v>
      </c>
      <c r="U10" s="12">
        <v>100000</v>
      </c>
      <c r="V10" s="12">
        <v>0</v>
      </c>
      <c r="W10" s="12">
        <v>0</v>
      </c>
      <c r="X10" s="12">
        <f t="shared" si="4"/>
        <v>100000</v>
      </c>
      <c r="Y10" s="12">
        <f t="shared" si="4"/>
        <v>100000</v>
      </c>
      <c r="Z10" s="12"/>
      <c r="AA10" s="12">
        <v>110000</v>
      </c>
      <c r="AB10" s="12">
        <v>225000</v>
      </c>
      <c r="AC10" s="12">
        <v>0</v>
      </c>
      <c r="AD10" s="12">
        <f t="shared" si="5"/>
        <v>225000</v>
      </c>
      <c r="AE10" s="12">
        <f t="shared" si="5"/>
        <v>110000</v>
      </c>
      <c r="AF10" s="8">
        <f t="shared" ref="AF10:AF12" si="24">P10+T10+Z10</f>
        <v>535000</v>
      </c>
      <c r="AG10" s="8">
        <f t="shared" ref="AG10:AH12" si="25">P10+U10+AA10</f>
        <v>645000</v>
      </c>
      <c r="AH10" s="8">
        <f t="shared" si="25"/>
        <v>225000</v>
      </c>
      <c r="AI10" s="8">
        <f t="shared" ref="AI10:AI12" si="26">Q10+W10+AC10</f>
        <v>0</v>
      </c>
      <c r="AJ10" s="8">
        <f t="shared" ref="AJ10:AK12" si="27">AF10+AH10</f>
        <v>760000</v>
      </c>
      <c r="AK10" s="8">
        <f t="shared" si="27"/>
        <v>645000</v>
      </c>
      <c r="AL10" s="12"/>
      <c r="AM10" s="12">
        <v>100000</v>
      </c>
      <c r="AN10" s="12">
        <v>150000</v>
      </c>
      <c r="AO10" s="12"/>
      <c r="AP10" s="12">
        <f t="shared" si="6"/>
        <v>150000</v>
      </c>
      <c r="AQ10" s="12">
        <f t="shared" si="6"/>
        <v>100000</v>
      </c>
      <c r="AR10" s="12"/>
      <c r="AS10" s="12"/>
      <c r="AT10" s="12"/>
      <c r="AU10" s="12"/>
      <c r="AV10" s="12">
        <f t="shared" si="7"/>
        <v>0</v>
      </c>
      <c r="AW10" s="12">
        <f t="shared" si="7"/>
        <v>0</v>
      </c>
      <c r="AX10" s="12"/>
      <c r="AY10" s="12">
        <v>44000</v>
      </c>
      <c r="AZ10" s="12"/>
      <c r="BA10" s="12"/>
      <c r="BB10" s="12">
        <f t="shared" si="8"/>
        <v>0</v>
      </c>
      <c r="BC10" s="12">
        <f>55000+35000</f>
        <v>90000</v>
      </c>
      <c r="BD10" s="12">
        <f>AY10+BA10</f>
        <v>44000</v>
      </c>
      <c r="BE10" s="12"/>
      <c r="BF10" s="12"/>
      <c r="BG10" s="12"/>
      <c r="BH10" s="12"/>
      <c r="BI10" s="12">
        <f t="shared" si="9"/>
        <v>0</v>
      </c>
      <c r="BJ10" s="12">
        <v>0</v>
      </c>
      <c r="BK10" s="12">
        <f>BF10+BH10</f>
        <v>0</v>
      </c>
      <c r="BL10" s="12"/>
      <c r="BM10" s="12"/>
      <c r="BN10" s="12"/>
      <c r="BO10" s="12"/>
      <c r="BP10" s="12">
        <f t="shared" si="10"/>
        <v>0</v>
      </c>
      <c r="BQ10" s="12">
        <v>0</v>
      </c>
      <c r="BR10" s="12">
        <f>BM10+BO10</f>
        <v>0</v>
      </c>
      <c r="BS10" s="12"/>
      <c r="BT10" s="12"/>
      <c r="BU10" s="12"/>
      <c r="BV10" s="12"/>
      <c r="BW10" s="12">
        <f t="shared" si="11"/>
        <v>0</v>
      </c>
      <c r="BX10" s="12"/>
      <c r="BY10" s="12">
        <f>BT10+BV10</f>
        <v>0</v>
      </c>
      <c r="BZ10" s="12"/>
      <c r="CA10" s="12">
        <v>70000</v>
      </c>
      <c r="CB10" s="12"/>
      <c r="CC10" s="12"/>
      <c r="CD10" s="12">
        <f t="shared" si="12"/>
        <v>0</v>
      </c>
      <c r="CE10" s="12">
        <f t="shared" si="12"/>
        <v>70000</v>
      </c>
      <c r="CF10" s="12"/>
      <c r="CG10" s="12"/>
      <c r="CH10" s="12"/>
      <c r="CI10" s="12"/>
      <c r="CJ10" s="12">
        <f t="shared" si="13"/>
        <v>0</v>
      </c>
      <c r="CK10" s="12">
        <f t="shared" si="13"/>
        <v>0</v>
      </c>
      <c r="CL10" s="12"/>
      <c r="CM10" s="12">
        <v>55000</v>
      </c>
      <c r="CN10" s="12"/>
      <c r="CO10" s="12"/>
      <c r="CP10" s="12">
        <f t="shared" si="14"/>
        <v>0</v>
      </c>
      <c r="CQ10" s="12">
        <f t="shared" si="14"/>
        <v>55000</v>
      </c>
      <c r="CR10" s="12"/>
      <c r="CS10" s="12"/>
      <c r="CT10" s="12"/>
      <c r="CU10" s="12"/>
      <c r="CV10" s="12">
        <f t="shared" si="15"/>
        <v>0</v>
      </c>
      <c r="CW10" s="12">
        <f t="shared" si="15"/>
        <v>0</v>
      </c>
      <c r="CX10" s="12"/>
      <c r="CY10" s="12">
        <v>20000</v>
      </c>
      <c r="CZ10" s="12"/>
      <c r="DA10" s="12">
        <v>105439</v>
      </c>
      <c r="DB10" s="12">
        <f t="shared" si="16"/>
        <v>0</v>
      </c>
      <c r="DC10" s="12">
        <f t="shared" si="16"/>
        <v>125439</v>
      </c>
      <c r="DD10" s="12"/>
      <c r="DE10" s="12"/>
      <c r="DF10" s="12"/>
      <c r="DG10" s="12"/>
      <c r="DH10" s="12">
        <f t="shared" si="17"/>
        <v>0</v>
      </c>
      <c r="DI10" s="12">
        <f t="shared" si="17"/>
        <v>0</v>
      </c>
      <c r="DJ10" s="12">
        <f t="shared" ref="DJ10:DJ12" si="28">AL10+AR10+AX10+BE10+BL10+BS10+BZ10+CF10+CL10+CR10+CX10+DD10</f>
        <v>0</v>
      </c>
      <c r="DK10" s="12">
        <f t="shared" ref="DK10:DM12" si="29">AM10+AS10+AY10+BF10+BM10+BT10+CA10+CG10+CM10+CS10+CY10+DE10</f>
        <v>289000</v>
      </c>
      <c r="DL10" s="12">
        <f t="shared" si="29"/>
        <v>150000</v>
      </c>
      <c r="DM10" s="12">
        <f t="shared" si="29"/>
        <v>105439</v>
      </c>
      <c r="DN10" s="12">
        <f t="shared" ref="DN10:DO12" si="30">DJ10+DL10</f>
        <v>150000</v>
      </c>
      <c r="DO10" s="12">
        <f t="shared" si="30"/>
        <v>394439</v>
      </c>
    </row>
    <row r="11" spans="1:119" s="13" customFormat="1" ht="18" customHeight="1">
      <c r="A11" s="15">
        <v>3</v>
      </c>
      <c r="B11" s="7" t="s">
        <v>75</v>
      </c>
      <c r="C11" s="144" t="s">
        <v>78</v>
      </c>
      <c r="D11" s="145" t="s">
        <v>1081</v>
      </c>
      <c r="E11" s="165" t="s">
        <v>1165</v>
      </c>
      <c r="F11" s="165">
        <f t="shared" si="18"/>
        <v>372000</v>
      </c>
      <c r="G11" s="165">
        <f t="shared" si="19"/>
        <v>372000</v>
      </c>
      <c r="H11" s="12"/>
      <c r="I11" s="149">
        <v>0</v>
      </c>
      <c r="J11" s="149">
        <v>0</v>
      </c>
      <c r="K11" s="127">
        <f t="shared" si="20"/>
        <v>0</v>
      </c>
      <c r="L11" s="127">
        <f t="shared" si="21"/>
        <v>0</v>
      </c>
      <c r="M11" s="127">
        <f t="shared" si="22"/>
        <v>0</v>
      </c>
      <c r="N11" s="131">
        <f t="shared" si="23"/>
        <v>372000</v>
      </c>
      <c r="O11" s="125" t="str">
        <f>IF(AND(AI11&gt;0,DM11&gt;0),"შეცდომაა! ერთზე მეტი ბოლო ჩაბარება!",IF(OR(AI11&gt;0,DM11&gt;0,),IF(AI11&gt;0,I11+AK11,I11+AK11+DO11),IF(AND(I11=0,K11=0,DO11=0),"ნულოვანი შესრულება","მიმდინარეობს")))</f>
        <v>მიმდინარეობს</v>
      </c>
      <c r="P11" s="12">
        <v>0</v>
      </c>
      <c r="Q11" s="12">
        <v>0</v>
      </c>
      <c r="R11" s="12">
        <f t="shared" si="2"/>
        <v>0</v>
      </c>
      <c r="S11" s="12">
        <f t="shared" si="3"/>
        <v>0</v>
      </c>
      <c r="T11" s="12">
        <v>0</v>
      </c>
      <c r="U11" s="12">
        <v>0</v>
      </c>
      <c r="V11" s="12">
        <v>0</v>
      </c>
      <c r="W11" s="12">
        <v>0</v>
      </c>
      <c r="X11" s="12">
        <f t="shared" si="4"/>
        <v>0</v>
      </c>
      <c r="Y11" s="12">
        <f t="shared" si="4"/>
        <v>0</v>
      </c>
      <c r="Z11" s="12"/>
      <c r="AA11" s="12"/>
      <c r="AB11" s="12"/>
      <c r="AC11" s="12"/>
      <c r="AD11" s="12">
        <f t="shared" si="5"/>
        <v>0</v>
      </c>
      <c r="AE11" s="12">
        <f t="shared" si="5"/>
        <v>0</v>
      </c>
      <c r="AF11" s="8">
        <f t="shared" si="24"/>
        <v>0</v>
      </c>
      <c r="AG11" s="8">
        <f t="shared" si="25"/>
        <v>0</v>
      </c>
      <c r="AH11" s="8">
        <f t="shared" si="25"/>
        <v>0</v>
      </c>
      <c r="AI11" s="8">
        <f t="shared" si="26"/>
        <v>0</v>
      </c>
      <c r="AJ11" s="8">
        <f t="shared" si="27"/>
        <v>0</v>
      </c>
      <c r="AK11" s="8">
        <f t="shared" si="27"/>
        <v>0</v>
      </c>
      <c r="AL11" s="12"/>
      <c r="AM11" s="12"/>
      <c r="AN11" s="12"/>
      <c r="AO11" s="12"/>
      <c r="AP11" s="12">
        <f t="shared" si="6"/>
        <v>0</v>
      </c>
      <c r="AQ11" s="12">
        <f t="shared" si="6"/>
        <v>0</v>
      </c>
      <c r="AR11" s="12"/>
      <c r="AS11" s="12">
        <v>76000</v>
      </c>
      <c r="AT11" s="12"/>
      <c r="AU11" s="12"/>
      <c r="AV11" s="12">
        <f t="shared" si="7"/>
        <v>0</v>
      </c>
      <c r="AW11" s="12">
        <f t="shared" si="7"/>
        <v>76000</v>
      </c>
      <c r="AX11" s="12"/>
      <c r="AY11" s="12"/>
      <c r="AZ11" s="12"/>
      <c r="BA11" s="12"/>
      <c r="BB11" s="12">
        <f t="shared" si="8"/>
        <v>0</v>
      </c>
      <c r="BC11" s="12">
        <v>0</v>
      </c>
      <c r="BD11" s="12">
        <f>AY11+BA11</f>
        <v>0</v>
      </c>
      <c r="BE11" s="12">
        <v>150000</v>
      </c>
      <c r="BF11" s="12"/>
      <c r="BG11" s="12"/>
      <c r="BH11" s="12"/>
      <c r="BI11" s="12">
        <f t="shared" si="9"/>
        <v>150000</v>
      </c>
      <c r="BJ11" s="12">
        <v>80000</v>
      </c>
      <c r="BK11" s="12">
        <f>BF11+BH11</f>
        <v>0</v>
      </c>
      <c r="BL11" s="12">
        <v>150000</v>
      </c>
      <c r="BM11" s="12"/>
      <c r="BN11" s="12"/>
      <c r="BO11" s="12"/>
      <c r="BP11" s="12">
        <f t="shared" si="10"/>
        <v>150000</v>
      </c>
      <c r="BQ11" s="12">
        <v>200000</v>
      </c>
      <c r="BR11" s="12">
        <f>BM11+BO11</f>
        <v>0</v>
      </c>
      <c r="BS11" s="12"/>
      <c r="BT11" s="12"/>
      <c r="BU11" s="12">
        <v>72000</v>
      </c>
      <c r="BV11" s="12"/>
      <c r="BW11" s="12">
        <f t="shared" si="11"/>
        <v>72000</v>
      </c>
      <c r="BX11" s="12">
        <f>24000+32000</f>
        <v>56000</v>
      </c>
      <c r="BY11" s="12">
        <f>BT11+BV11</f>
        <v>0</v>
      </c>
      <c r="BZ11" s="12"/>
      <c r="CA11" s="12"/>
      <c r="CB11" s="12"/>
      <c r="CC11" s="12"/>
      <c r="CD11" s="12">
        <f t="shared" si="12"/>
        <v>0</v>
      </c>
      <c r="CE11" s="12">
        <f t="shared" si="12"/>
        <v>0</v>
      </c>
      <c r="CF11" s="12"/>
      <c r="CG11" s="12"/>
      <c r="CH11" s="12"/>
      <c r="CI11" s="12"/>
      <c r="CJ11" s="12">
        <f t="shared" si="13"/>
        <v>0</v>
      </c>
      <c r="CK11" s="12">
        <f t="shared" si="13"/>
        <v>0</v>
      </c>
      <c r="CL11" s="12"/>
      <c r="CM11" s="12"/>
      <c r="CN11" s="12"/>
      <c r="CO11" s="12"/>
      <c r="CP11" s="12">
        <f t="shared" si="14"/>
        <v>0</v>
      </c>
      <c r="CQ11" s="12">
        <f t="shared" si="14"/>
        <v>0</v>
      </c>
      <c r="CR11" s="12"/>
      <c r="CS11" s="12"/>
      <c r="CT11" s="12"/>
      <c r="CU11" s="12"/>
      <c r="CV11" s="12">
        <f t="shared" si="15"/>
        <v>0</v>
      </c>
      <c r="CW11" s="12">
        <f t="shared" si="15"/>
        <v>0</v>
      </c>
      <c r="CX11" s="12"/>
      <c r="CY11" s="12"/>
      <c r="CZ11" s="12"/>
      <c r="DA11" s="12"/>
      <c r="DB11" s="12">
        <f t="shared" si="16"/>
        <v>0</v>
      </c>
      <c r="DC11" s="12">
        <f t="shared" si="16"/>
        <v>0</v>
      </c>
      <c r="DD11" s="12"/>
      <c r="DE11" s="12"/>
      <c r="DF11" s="12"/>
      <c r="DG11" s="12"/>
      <c r="DH11" s="12">
        <f t="shared" si="17"/>
        <v>0</v>
      </c>
      <c r="DI11" s="12">
        <f t="shared" si="17"/>
        <v>0</v>
      </c>
      <c r="DJ11" s="12">
        <f t="shared" si="28"/>
        <v>300000</v>
      </c>
      <c r="DK11" s="12">
        <f t="shared" si="29"/>
        <v>76000</v>
      </c>
      <c r="DL11" s="12">
        <f t="shared" si="29"/>
        <v>72000</v>
      </c>
      <c r="DM11" s="12">
        <f t="shared" si="29"/>
        <v>0</v>
      </c>
      <c r="DN11" s="12">
        <f t="shared" si="30"/>
        <v>372000</v>
      </c>
      <c r="DO11" s="12">
        <f t="shared" si="30"/>
        <v>76000</v>
      </c>
    </row>
    <row r="12" spans="1:119" s="13" customFormat="1" ht="60">
      <c r="A12" s="15">
        <v>4</v>
      </c>
      <c r="B12" s="7" t="s">
        <v>79</v>
      </c>
      <c r="C12" s="144" t="s">
        <v>80</v>
      </c>
      <c r="D12" s="145" t="s">
        <v>1173</v>
      </c>
      <c r="E12" s="165" t="s">
        <v>1165</v>
      </c>
      <c r="F12" s="165">
        <f t="shared" si="18"/>
        <v>0</v>
      </c>
      <c r="G12" s="165">
        <f t="shared" si="19"/>
        <v>381083.27</v>
      </c>
      <c r="H12" s="12"/>
      <c r="I12" s="149">
        <v>0</v>
      </c>
      <c r="J12" s="149">
        <v>0</v>
      </c>
      <c r="K12" s="127">
        <f t="shared" si="20"/>
        <v>381083.27</v>
      </c>
      <c r="L12" s="127">
        <f t="shared" si="21"/>
        <v>381083.27</v>
      </c>
      <c r="M12" s="127">
        <f t="shared" si="22"/>
        <v>381083.27</v>
      </c>
      <c r="N12" s="131">
        <f t="shared" si="23"/>
        <v>0</v>
      </c>
      <c r="O12" s="125">
        <f>IF(AND(AI12&gt;0,DM12&gt;0),"შეცდომაა! ერთზე მეტი ბოლო ჩაბარება!",IF(OR(AI12&gt;0,DM12&gt;0,),IF(AI12&gt;0,I12+AK12,I12+AK12+DO12),IF(AND(I12=0,K12=0,DO12=0),"ნულოვანი შესრულება","მიმდინარეობს")))</f>
        <v>381083.27</v>
      </c>
      <c r="P12" s="12">
        <v>210000</v>
      </c>
      <c r="Q12" s="12">
        <v>0</v>
      </c>
      <c r="R12" s="12">
        <f t="shared" si="2"/>
        <v>210000</v>
      </c>
      <c r="S12" s="12">
        <f t="shared" si="3"/>
        <v>0</v>
      </c>
      <c r="T12" s="12">
        <v>0</v>
      </c>
      <c r="U12" s="12">
        <v>0</v>
      </c>
      <c r="V12" s="12">
        <v>70000</v>
      </c>
      <c r="W12" s="12">
        <v>0</v>
      </c>
      <c r="X12" s="12">
        <f t="shared" si="4"/>
        <v>70000</v>
      </c>
      <c r="Y12" s="12">
        <f t="shared" si="4"/>
        <v>0</v>
      </c>
      <c r="Z12" s="12"/>
      <c r="AA12" s="12"/>
      <c r="AB12" s="12"/>
      <c r="AC12" s="12">
        <v>171083.27</v>
      </c>
      <c r="AD12" s="12">
        <f t="shared" si="5"/>
        <v>0</v>
      </c>
      <c r="AE12" s="12">
        <f t="shared" si="5"/>
        <v>171083.27</v>
      </c>
      <c r="AF12" s="8">
        <f t="shared" si="24"/>
        <v>210000</v>
      </c>
      <c r="AG12" s="8">
        <f t="shared" si="25"/>
        <v>210000</v>
      </c>
      <c r="AH12" s="8">
        <f t="shared" si="25"/>
        <v>70000</v>
      </c>
      <c r="AI12" s="8">
        <f t="shared" si="26"/>
        <v>171083.27</v>
      </c>
      <c r="AJ12" s="8">
        <f t="shared" si="27"/>
        <v>280000</v>
      </c>
      <c r="AK12" s="8">
        <f t="shared" si="27"/>
        <v>381083.27</v>
      </c>
      <c r="AL12" s="12"/>
      <c r="AM12" s="12"/>
      <c r="AN12" s="12"/>
      <c r="AO12" s="12"/>
      <c r="AP12" s="12">
        <f t="shared" si="6"/>
        <v>0</v>
      </c>
      <c r="AQ12" s="12">
        <f t="shared" si="6"/>
        <v>0</v>
      </c>
      <c r="AR12" s="12"/>
      <c r="AS12" s="12"/>
      <c r="AT12" s="12"/>
      <c r="AU12" s="12"/>
      <c r="AV12" s="12">
        <f t="shared" si="7"/>
        <v>0</v>
      </c>
      <c r="AW12" s="12">
        <f t="shared" si="7"/>
        <v>0</v>
      </c>
      <c r="AX12" s="12"/>
      <c r="AY12" s="12"/>
      <c r="AZ12" s="12"/>
      <c r="BA12" s="12"/>
      <c r="BB12" s="12">
        <f t="shared" si="8"/>
        <v>0</v>
      </c>
      <c r="BC12" s="12">
        <v>0</v>
      </c>
      <c r="BD12" s="12">
        <f>AY12+BA12</f>
        <v>0</v>
      </c>
      <c r="BE12" s="12"/>
      <c r="BF12" s="12"/>
      <c r="BG12" s="12"/>
      <c r="BH12" s="12"/>
      <c r="BI12" s="12">
        <f t="shared" si="9"/>
        <v>0</v>
      </c>
      <c r="BJ12" s="12">
        <v>0</v>
      </c>
      <c r="BK12" s="12">
        <f>BF12+BH12</f>
        <v>0</v>
      </c>
      <c r="BL12" s="12"/>
      <c r="BM12" s="12"/>
      <c r="BN12" s="12"/>
      <c r="BO12" s="12"/>
      <c r="BP12" s="12">
        <f t="shared" si="10"/>
        <v>0</v>
      </c>
      <c r="BQ12" s="12">
        <v>0</v>
      </c>
      <c r="BR12" s="12">
        <f>BM12+BO12</f>
        <v>0</v>
      </c>
      <c r="BS12" s="12"/>
      <c r="BT12" s="12"/>
      <c r="BU12" s="12"/>
      <c r="BV12" s="12"/>
      <c r="BW12" s="12">
        <f t="shared" si="11"/>
        <v>0</v>
      </c>
      <c r="BX12" s="12"/>
      <c r="BY12" s="12">
        <f>BT12+BV12</f>
        <v>0</v>
      </c>
      <c r="BZ12" s="12"/>
      <c r="CA12" s="12"/>
      <c r="CB12" s="12"/>
      <c r="CC12" s="12"/>
      <c r="CD12" s="12">
        <f t="shared" si="12"/>
        <v>0</v>
      </c>
      <c r="CE12" s="12">
        <f t="shared" si="12"/>
        <v>0</v>
      </c>
      <c r="CF12" s="12"/>
      <c r="CG12" s="12"/>
      <c r="CH12" s="12"/>
      <c r="CI12" s="12"/>
      <c r="CJ12" s="12">
        <f t="shared" si="13"/>
        <v>0</v>
      </c>
      <c r="CK12" s="12">
        <f t="shared" si="13"/>
        <v>0</v>
      </c>
      <c r="CL12" s="12"/>
      <c r="CM12" s="12"/>
      <c r="CN12" s="12"/>
      <c r="CO12" s="12"/>
      <c r="CP12" s="12">
        <f t="shared" si="14"/>
        <v>0</v>
      </c>
      <c r="CQ12" s="12">
        <f t="shared" si="14"/>
        <v>0</v>
      </c>
      <c r="CR12" s="12"/>
      <c r="CS12" s="12"/>
      <c r="CT12" s="12"/>
      <c r="CU12" s="12"/>
      <c r="CV12" s="12">
        <f t="shared" si="15"/>
        <v>0</v>
      </c>
      <c r="CW12" s="12">
        <f t="shared" si="15"/>
        <v>0</v>
      </c>
      <c r="CX12" s="12"/>
      <c r="CY12" s="12"/>
      <c r="CZ12" s="12"/>
      <c r="DA12" s="12"/>
      <c r="DB12" s="12">
        <f t="shared" si="16"/>
        <v>0</v>
      </c>
      <c r="DC12" s="12">
        <f t="shared" si="16"/>
        <v>0</v>
      </c>
      <c r="DD12" s="12"/>
      <c r="DE12" s="12"/>
      <c r="DF12" s="12"/>
      <c r="DG12" s="12"/>
      <c r="DH12" s="12">
        <f t="shared" si="17"/>
        <v>0</v>
      </c>
      <c r="DI12" s="12">
        <f t="shared" si="17"/>
        <v>0</v>
      </c>
      <c r="DJ12" s="12">
        <f t="shared" si="28"/>
        <v>0</v>
      </c>
      <c r="DK12" s="12">
        <f t="shared" si="29"/>
        <v>0</v>
      </c>
      <c r="DL12" s="12">
        <f t="shared" si="29"/>
        <v>0</v>
      </c>
      <c r="DM12" s="12">
        <f t="shared" si="29"/>
        <v>0</v>
      </c>
      <c r="DN12" s="12">
        <f t="shared" si="30"/>
        <v>0</v>
      </c>
      <c r="DO12" s="12">
        <f t="shared" si="30"/>
        <v>0</v>
      </c>
    </row>
    <row r="13" spans="1:119" s="13" customFormat="1">
      <c r="A13" s="139"/>
    </row>
    <row r="14" spans="1:119" s="13" customFormat="1">
      <c r="A14" s="139"/>
    </row>
    <row r="15" spans="1:119" s="13" customFormat="1">
      <c r="A15" s="139"/>
    </row>
    <row r="16" spans="1:119" s="13" customFormat="1">
      <c r="A16" s="139"/>
    </row>
    <row r="17" spans="1:14" s="13" customFormat="1">
      <c r="A17" s="139"/>
    </row>
    <row r="18" spans="1:14" s="13" customFormat="1">
      <c r="A18" s="139"/>
      <c r="K18" s="146"/>
      <c r="L18" s="146"/>
      <c r="M18" s="146"/>
      <c r="N18" s="146"/>
    </row>
    <row r="19" spans="1:14" s="13" customFormat="1">
      <c r="A19" s="139"/>
      <c r="K19" s="146"/>
      <c r="L19" s="146"/>
      <c r="M19" s="146"/>
      <c r="N19" s="146"/>
    </row>
    <row r="20" spans="1:14">
      <c r="A20" s="92"/>
      <c r="K20" s="147"/>
      <c r="L20" s="146"/>
      <c r="M20" s="146"/>
      <c r="N20" s="146"/>
    </row>
    <row r="21" spans="1:14">
      <c r="A21" s="92"/>
      <c r="K21" s="147"/>
      <c r="L21" s="146"/>
      <c r="M21" s="146"/>
      <c r="N21" s="146"/>
    </row>
    <row r="22" spans="1:14">
      <c r="A22" s="92"/>
    </row>
    <row r="23" spans="1:14">
      <c r="A23" s="92"/>
    </row>
    <row r="24" spans="1:14">
      <c r="A24" s="92"/>
    </row>
    <row r="25" spans="1:14">
      <c r="A25" s="92"/>
    </row>
    <row r="26" spans="1:14">
      <c r="A26" s="92"/>
    </row>
    <row r="27" spans="1:14">
      <c r="A27" s="92"/>
    </row>
    <row r="28" spans="1:14">
      <c r="A28" s="92"/>
    </row>
    <row r="29" spans="1:14">
      <c r="A29" s="92"/>
    </row>
    <row r="30" spans="1:14">
      <c r="A30" s="92"/>
    </row>
    <row r="31" spans="1:14">
      <c r="A31" s="92"/>
    </row>
    <row r="32" spans="1:14">
      <c r="A32" s="92"/>
    </row>
    <row r="33" spans="1:6">
      <c r="A33" s="92"/>
    </row>
    <row r="34" spans="1:6">
      <c r="A34" s="92"/>
    </row>
    <row r="35" spans="1:6">
      <c r="A35" s="92"/>
    </row>
    <row r="36" spans="1:6">
      <c r="A36" s="92"/>
    </row>
    <row r="42" spans="1:6">
      <c r="E42"/>
      <c r="F42"/>
    </row>
  </sheetData>
  <autoFilter ref="A8:DO12" xr:uid="{00000000-0009-0000-0000-00000C000000}"/>
  <mergeCells count="89">
    <mergeCell ref="O3:O6"/>
    <mergeCell ref="I3:J4"/>
    <mergeCell ref="J5:J6"/>
    <mergeCell ref="K5:K6"/>
    <mergeCell ref="L5:L6"/>
    <mergeCell ref="K3:L4"/>
    <mergeCell ref="I5:I6"/>
    <mergeCell ref="M3:M6"/>
    <mergeCell ref="DF5:DG5"/>
    <mergeCell ref="DH5:DI5"/>
    <mergeCell ref="DJ5:DK5"/>
    <mergeCell ref="DL5:DM5"/>
    <mergeCell ref="DN5:DO5"/>
    <mergeCell ref="A7:D7"/>
    <mergeCell ref="CT5:CU5"/>
    <mergeCell ref="CV5:CW5"/>
    <mergeCell ref="CX5:CY5"/>
    <mergeCell ref="CZ5:DA5"/>
    <mergeCell ref="BU5:BV5"/>
    <mergeCell ref="BW5:BY5"/>
    <mergeCell ref="BZ5:CA5"/>
    <mergeCell ref="CB5:CC5"/>
    <mergeCell ref="CD5:CE5"/>
    <mergeCell ref="CF5:CG5"/>
    <mergeCell ref="BG5:BH5"/>
    <mergeCell ref="BI5:BK5"/>
    <mergeCell ref="BL5:BM5"/>
    <mergeCell ref="BN5:BO5"/>
    <mergeCell ref="BP5:BR5"/>
    <mergeCell ref="DB5:DC5"/>
    <mergeCell ref="DD5:DE5"/>
    <mergeCell ref="CH5:CI5"/>
    <mergeCell ref="CJ5:CK5"/>
    <mergeCell ref="CL5:CM5"/>
    <mergeCell ref="CN5:CO5"/>
    <mergeCell ref="CP5:CQ5"/>
    <mergeCell ref="CR5:CS5"/>
    <mergeCell ref="AP5:AQ5"/>
    <mergeCell ref="BS5:BT5"/>
    <mergeCell ref="AT5:AU5"/>
    <mergeCell ref="AV5:AW5"/>
    <mergeCell ref="AX5:AY5"/>
    <mergeCell ref="AZ5:BA5"/>
    <mergeCell ref="BB5:BD5"/>
    <mergeCell ref="BE5:BF5"/>
    <mergeCell ref="AF5:AG5"/>
    <mergeCell ref="AH5:AI5"/>
    <mergeCell ref="AJ5:AK5"/>
    <mergeCell ref="AL5:AM5"/>
    <mergeCell ref="AN5:AO5"/>
    <mergeCell ref="V5:W5"/>
    <mergeCell ref="X5:Y5"/>
    <mergeCell ref="Z5:AA5"/>
    <mergeCell ref="AB5:AC5"/>
    <mergeCell ref="AD5:AE5"/>
    <mergeCell ref="BS4:BY4"/>
    <mergeCell ref="BZ4:CE4"/>
    <mergeCell ref="CF4:CK4"/>
    <mergeCell ref="CL4:CQ4"/>
    <mergeCell ref="AR5:AS5"/>
    <mergeCell ref="P5:P6"/>
    <mergeCell ref="Q5:Q6"/>
    <mergeCell ref="R5:R6"/>
    <mergeCell ref="S5:S6"/>
    <mergeCell ref="T5:U5"/>
    <mergeCell ref="P3:Q4"/>
    <mergeCell ref="R3:S4"/>
    <mergeCell ref="T3:AK3"/>
    <mergeCell ref="AL3:DO3"/>
    <mergeCell ref="T4:Y4"/>
    <mergeCell ref="Z4:AE4"/>
    <mergeCell ref="AF4:AK4"/>
    <mergeCell ref="AL4:AQ4"/>
    <mergeCell ref="AR4:AW4"/>
    <mergeCell ref="AX4:BD4"/>
    <mergeCell ref="CR4:CW4"/>
    <mergeCell ref="CX4:DC4"/>
    <mergeCell ref="DD4:DI4"/>
    <mergeCell ref="DJ4:DO4"/>
    <mergeCell ref="BE4:BK4"/>
    <mergeCell ref="BL4:BR4"/>
    <mergeCell ref="A3:A6"/>
    <mergeCell ref="B3:B6"/>
    <mergeCell ref="C3:C6"/>
    <mergeCell ref="D3:D6"/>
    <mergeCell ref="H3:H6"/>
    <mergeCell ref="E3:E6"/>
    <mergeCell ref="F3:F6"/>
    <mergeCell ref="G3:G6"/>
  </mergeCells>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DP52"/>
  <sheetViews>
    <sheetView workbookViewId="0">
      <pane xSplit="39" ySplit="6" topLeftCell="BX7" activePane="bottomRight" state="frozen"/>
      <selection activeCell="A122" sqref="A122:XFD122"/>
      <selection pane="topRight" activeCell="A122" sqref="A122:XFD122"/>
      <selection pane="bottomLeft" activeCell="A122" sqref="A122:XFD122"/>
      <selection pane="bottomRight" activeCell="CG11" sqref="CG11"/>
    </sheetView>
  </sheetViews>
  <sheetFormatPr defaultColWidth="10.42578125" defaultRowHeight="15"/>
  <cols>
    <col min="1" max="1" width="6.140625" style="14" customWidth="1"/>
    <col min="2" max="2" width="24.42578125" style="14" customWidth="1"/>
    <col min="3" max="3" width="10.7109375" style="14" customWidth="1"/>
    <col min="4" max="4" width="35" style="14" customWidth="1"/>
    <col min="5" max="8" width="15.42578125" style="14" customWidth="1"/>
    <col min="9" max="9" width="15.42578125" style="14" hidden="1" customWidth="1"/>
    <col min="10" max="10" width="16.42578125" style="14" hidden="1" customWidth="1"/>
    <col min="11" max="16" width="14" style="14" hidden="1" customWidth="1"/>
    <col min="17" max="17" width="14" style="14" customWidth="1"/>
    <col min="18" max="18" width="13" style="14" hidden="1" customWidth="1"/>
    <col min="19" max="19" width="11" style="14" hidden="1" customWidth="1"/>
    <col min="20" max="20" width="13" style="14" hidden="1" customWidth="1"/>
    <col min="21" max="21" width="11" style="14" hidden="1" customWidth="1"/>
    <col min="22" max="22" width="6.140625" style="14" hidden="1" customWidth="1"/>
    <col min="23" max="23" width="7.28515625" style="14" hidden="1" customWidth="1"/>
    <col min="24" max="24" width="6.140625" style="14" hidden="1" customWidth="1"/>
    <col min="25" max="25" width="7.28515625" style="14" hidden="1" customWidth="1"/>
    <col min="26" max="26" width="6.42578125" style="14" hidden="1" customWidth="1"/>
    <col min="27" max="27" width="7.5703125" style="14" hidden="1" customWidth="1"/>
    <col min="28" max="28" width="11.5703125" style="14" hidden="1" customWidth="1"/>
    <col min="29" max="29" width="7.28515625" style="14" hidden="1" customWidth="1"/>
    <col min="30" max="30" width="6.140625" style="14" hidden="1" customWidth="1"/>
    <col min="31" max="31" width="7.28515625" style="14" hidden="1" customWidth="1"/>
    <col min="32" max="32" width="11.5703125" style="14" hidden="1" customWidth="1"/>
    <col min="33" max="33" width="7.5703125" style="14" hidden="1" customWidth="1"/>
    <col min="34" max="34" width="12.7109375" style="14" hidden="1" customWidth="1"/>
    <col min="35" max="35" width="11.5703125" style="14" hidden="1" customWidth="1"/>
    <col min="36" max="37" width="8.7109375" style="14" hidden="1" customWidth="1"/>
    <col min="38" max="38" width="12.7109375" style="14" hidden="1" customWidth="1"/>
    <col min="39" max="39" width="11.5703125" style="14" hidden="1" customWidth="1"/>
    <col min="40" max="41" width="11.5703125" style="14" bestFit="1" customWidth="1"/>
    <col min="42" max="42" width="6.140625" style="14" bestFit="1" customWidth="1"/>
    <col min="43" max="43" width="7.28515625" style="14" bestFit="1" customWidth="1"/>
    <col min="44" max="45" width="11.5703125" style="14" bestFit="1" customWidth="1"/>
    <col min="46" max="46" width="9.85546875" style="14" bestFit="1" customWidth="1"/>
    <col min="47" max="47" width="11.5703125" style="14" bestFit="1" customWidth="1"/>
    <col min="48" max="48" width="6.140625" style="14" bestFit="1" customWidth="1"/>
    <col min="49" max="49" width="7.28515625" style="14" bestFit="1" customWidth="1"/>
    <col min="50" max="50" width="9.85546875" style="14" bestFit="1" customWidth="1"/>
    <col min="51" max="54" width="11.5703125" style="14" bestFit="1" customWidth="1"/>
    <col min="55" max="55" width="7.28515625" style="14" bestFit="1" customWidth="1"/>
    <col min="56" max="56" width="11.5703125" style="14" bestFit="1" customWidth="1"/>
    <col min="57" max="57" width="11.5703125" style="14" customWidth="1"/>
    <col min="58" max="58" width="11.5703125" style="14" bestFit="1" customWidth="1"/>
    <col min="59" max="59" width="6.140625" style="14" bestFit="1" customWidth="1"/>
    <col min="60" max="60" width="9.85546875" style="14" bestFit="1" customWidth="1"/>
    <col min="61" max="61" width="10.28515625" style="14" bestFit="1" customWidth="1"/>
    <col min="62" max="62" width="7.28515625" style="14" bestFit="1" customWidth="1"/>
    <col min="63" max="63" width="9.85546875" style="14" bestFit="1" customWidth="1"/>
    <col min="64" max="64" width="9.85546875" style="14" customWidth="1"/>
    <col min="65" max="65" width="9.85546875" style="14" bestFit="1" customWidth="1"/>
    <col min="66" max="66" width="6.140625" style="14" bestFit="1" customWidth="1"/>
    <col min="67" max="68" width="9.85546875" style="14" bestFit="1" customWidth="1"/>
    <col min="69" max="69" width="7.28515625" style="14" bestFit="1" customWidth="1"/>
    <col min="70" max="70" width="9.85546875" style="14" bestFit="1" customWidth="1"/>
    <col min="71" max="71" width="9.85546875" style="14" customWidth="1"/>
    <col min="72" max="72" width="9.85546875" style="14" bestFit="1" customWidth="1"/>
    <col min="73" max="73" width="6.140625" style="14" bestFit="1" customWidth="1"/>
    <col min="74" max="74" width="9.85546875" style="14" bestFit="1" customWidth="1"/>
    <col min="75" max="75" width="6.140625" style="14" bestFit="1" customWidth="1"/>
    <col min="76" max="76" width="7.28515625" style="14" bestFit="1" customWidth="1"/>
    <col min="77" max="77" width="6.42578125" style="14" bestFit="1" customWidth="1"/>
    <col min="78" max="78" width="9.85546875" style="14" bestFit="1" customWidth="1"/>
    <col min="79" max="79" width="6.140625" style="14" bestFit="1" customWidth="1"/>
    <col min="80" max="80" width="7.28515625" style="14" bestFit="1" customWidth="1"/>
    <col min="81" max="81" width="6.140625" style="14" bestFit="1" customWidth="1"/>
    <col min="82" max="82" width="9.85546875" style="14" bestFit="1" customWidth="1"/>
    <col min="83" max="83" width="6.42578125" style="14" bestFit="1" customWidth="1"/>
    <col min="84" max="84" width="9.85546875" style="14" bestFit="1" customWidth="1"/>
    <col min="85" max="85" width="6.140625" style="14" bestFit="1" customWidth="1"/>
    <col min="86" max="86" width="7.28515625" style="14" bestFit="1" customWidth="1"/>
    <col min="87" max="87" width="6.140625" style="14" bestFit="1" customWidth="1"/>
    <col min="88" max="88" width="9.85546875" style="14" bestFit="1" customWidth="1"/>
    <col min="89" max="89" width="6.42578125" style="14" bestFit="1" customWidth="1"/>
    <col min="90" max="90" width="9.85546875" style="14" bestFit="1" customWidth="1"/>
    <col min="91" max="91" width="6.140625" style="14" bestFit="1" customWidth="1"/>
    <col min="92" max="92" width="7.28515625" style="14" bestFit="1" customWidth="1"/>
    <col min="93" max="93" width="6.140625" style="14" bestFit="1" customWidth="1"/>
    <col min="94" max="94" width="7.28515625" style="14" bestFit="1" customWidth="1"/>
    <col min="95" max="95" width="6.42578125" style="14" bestFit="1" customWidth="1"/>
    <col min="96" max="96" width="7.5703125" style="14" bestFit="1" customWidth="1"/>
    <col min="97" max="97" width="6.140625" style="14" bestFit="1" customWidth="1"/>
    <col min="98" max="98" width="7.28515625" style="14" bestFit="1" customWidth="1"/>
    <col min="99" max="99" width="6.140625" style="14" bestFit="1" customWidth="1"/>
    <col min="100" max="100" width="7.28515625" style="14" bestFit="1" customWidth="1"/>
    <col min="101" max="101" width="6.42578125" style="14" bestFit="1" customWidth="1"/>
    <col min="102" max="102" width="7.5703125" style="14" bestFit="1" customWidth="1"/>
    <col min="103" max="103" width="6.140625" style="14" bestFit="1" customWidth="1"/>
    <col min="104" max="104" width="7.28515625" style="14" bestFit="1" customWidth="1"/>
    <col min="105" max="105" width="6.140625" style="14" bestFit="1" customWidth="1"/>
    <col min="106" max="106" width="7.28515625" style="14" bestFit="1" customWidth="1"/>
    <col min="107" max="107" width="6.42578125" style="14" bestFit="1" customWidth="1"/>
    <col min="108" max="108" width="7.5703125" style="14" bestFit="1" customWidth="1"/>
    <col min="109" max="109" width="6.140625" style="14" bestFit="1" customWidth="1"/>
    <col min="110" max="110" width="7.28515625" style="14" bestFit="1" customWidth="1"/>
    <col min="111" max="111" width="6.140625" style="14" bestFit="1" customWidth="1"/>
    <col min="112" max="112" width="7.28515625" style="14" bestFit="1" customWidth="1"/>
    <col min="113" max="113" width="6.42578125" style="14" bestFit="1" customWidth="1"/>
    <col min="114" max="114" width="7.5703125" style="14" bestFit="1" customWidth="1"/>
    <col min="115" max="117" width="11.5703125" style="14" bestFit="1" customWidth="1"/>
    <col min="118" max="118" width="7.28515625" style="14" bestFit="1" customWidth="1"/>
    <col min="119" max="120" width="11.5703125" style="14" bestFit="1" customWidth="1"/>
    <col min="121" max="16384" width="10.42578125" style="14"/>
  </cols>
  <sheetData>
    <row r="1" spans="1:120" ht="15.75">
      <c r="B1" s="16" t="s">
        <v>704</v>
      </c>
    </row>
    <row r="2" spans="1:120" ht="15.75" thickBot="1">
      <c r="BI2" s="166"/>
    </row>
    <row r="3" spans="1:120" ht="15.75" customHeight="1" thickBot="1">
      <c r="A3" s="546" t="s">
        <v>1</v>
      </c>
      <c r="B3" s="549" t="s">
        <v>2</v>
      </c>
      <c r="C3" s="549" t="s">
        <v>3</v>
      </c>
      <c r="D3" s="549" t="s">
        <v>4</v>
      </c>
      <c r="E3" s="516" t="s">
        <v>1176</v>
      </c>
      <c r="F3" s="516" t="s">
        <v>1170</v>
      </c>
      <c r="G3" s="519" t="s">
        <v>1242</v>
      </c>
      <c r="H3" s="585" t="s">
        <v>1197</v>
      </c>
      <c r="I3" s="510" t="s">
        <v>1178</v>
      </c>
      <c r="J3" s="549" t="s">
        <v>5</v>
      </c>
      <c r="K3" s="492" t="s">
        <v>6</v>
      </c>
      <c r="L3" s="493"/>
      <c r="M3" s="492" t="s">
        <v>9</v>
      </c>
      <c r="N3" s="493"/>
      <c r="O3" s="469" t="s">
        <v>1295</v>
      </c>
      <c r="P3" s="273"/>
      <c r="Q3" s="485" t="s">
        <v>1196</v>
      </c>
      <c r="R3" s="569" t="s">
        <v>7</v>
      </c>
      <c r="S3" s="570"/>
      <c r="T3" s="569" t="s">
        <v>8</v>
      </c>
      <c r="U3" s="570"/>
      <c r="V3" s="591" t="s">
        <v>9</v>
      </c>
      <c r="W3" s="589"/>
      <c r="X3" s="589"/>
      <c r="Y3" s="589"/>
      <c r="Z3" s="589"/>
      <c r="AA3" s="589"/>
      <c r="AB3" s="589"/>
      <c r="AC3" s="589"/>
      <c r="AD3" s="589"/>
      <c r="AE3" s="589"/>
      <c r="AF3" s="589"/>
      <c r="AG3" s="589"/>
      <c r="AH3" s="589"/>
      <c r="AI3" s="589"/>
      <c r="AJ3" s="589"/>
      <c r="AK3" s="589"/>
      <c r="AL3" s="589"/>
      <c r="AM3" s="590"/>
      <c r="AN3" s="588">
        <v>2025</v>
      </c>
      <c r="AO3" s="589"/>
      <c r="AP3" s="589"/>
      <c r="AQ3" s="589"/>
      <c r="AR3" s="589"/>
      <c r="AS3" s="589"/>
      <c r="AT3" s="589"/>
      <c r="AU3" s="589"/>
      <c r="AV3" s="589"/>
      <c r="AW3" s="589"/>
      <c r="AX3" s="589"/>
      <c r="AY3" s="589"/>
      <c r="AZ3" s="589"/>
      <c r="BA3" s="589"/>
      <c r="BB3" s="589"/>
      <c r="BC3" s="589"/>
      <c r="BD3" s="589"/>
      <c r="BE3" s="589"/>
      <c r="BF3" s="589"/>
      <c r="BG3" s="589"/>
      <c r="BH3" s="589"/>
      <c r="BI3" s="589"/>
      <c r="BJ3" s="589"/>
      <c r="BK3" s="589"/>
      <c r="BL3" s="589"/>
      <c r="BM3" s="589"/>
      <c r="BN3" s="589"/>
      <c r="BO3" s="589"/>
      <c r="BP3" s="589"/>
      <c r="BQ3" s="589"/>
      <c r="BR3" s="589"/>
      <c r="BS3" s="589"/>
      <c r="BT3" s="589"/>
      <c r="BU3" s="589"/>
      <c r="BV3" s="589"/>
      <c r="BW3" s="589"/>
      <c r="BX3" s="589"/>
      <c r="BY3" s="589"/>
      <c r="BZ3" s="589"/>
      <c r="CA3" s="589"/>
      <c r="CB3" s="589"/>
      <c r="CC3" s="589"/>
      <c r="CD3" s="589"/>
      <c r="CE3" s="589"/>
      <c r="CF3" s="589"/>
      <c r="CG3" s="589"/>
      <c r="CH3" s="589"/>
      <c r="CI3" s="589"/>
      <c r="CJ3" s="589"/>
      <c r="CK3" s="589"/>
      <c r="CL3" s="589"/>
      <c r="CM3" s="589"/>
      <c r="CN3" s="589"/>
      <c r="CO3" s="589"/>
      <c r="CP3" s="589"/>
      <c r="CQ3" s="589"/>
      <c r="CR3" s="589"/>
      <c r="CS3" s="589"/>
      <c r="CT3" s="589"/>
      <c r="CU3" s="589"/>
      <c r="CV3" s="589"/>
      <c r="CW3" s="589"/>
      <c r="CX3" s="589"/>
      <c r="CY3" s="589"/>
      <c r="CZ3" s="589"/>
      <c r="DA3" s="589"/>
      <c r="DB3" s="589"/>
      <c r="DC3" s="589"/>
      <c r="DD3" s="589"/>
      <c r="DE3" s="589"/>
      <c r="DF3" s="589"/>
      <c r="DG3" s="589"/>
      <c r="DH3" s="589"/>
      <c r="DI3" s="589"/>
      <c r="DJ3" s="589"/>
      <c r="DK3" s="589"/>
      <c r="DL3" s="589"/>
      <c r="DM3" s="589"/>
      <c r="DN3" s="589"/>
      <c r="DO3" s="589"/>
      <c r="DP3" s="590"/>
    </row>
    <row r="4" spans="1:120" ht="61.5" customHeight="1" thickBot="1">
      <c r="A4" s="547"/>
      <c r="B4" s="550"/>
      <c r="C4" s="550"/>
      <c r="D4" s="550"/>
      <c r="E4" s="517"/>
      <c r="F4" s="517"/>
      <c r="G4" s="520"/>
      <c r="H4" s="586"/>
      <c r="I4" s="511"/>
      <c r="J4" s="550"/>
      <c r="K4" s="494"/>
      <c r="L4" s="592"/>
      <c r="M4" s="494"/>
      <c r="N4" s="495"/>
      <c r="O4" s="496"/>
      <c r="P4" s="271" t="s">
        <v>1234</v>
      </c>
      <c r="Q4" s="486"/>
      <c r="R4" s="571"/>
      <c r="S4" s="572"/>
      <c r="T4" s="571"/>
      <c r="U4" s="572"/>
      <c r="V4" s="552" t="s">
        <v>10</v>
      </c>
      <c r="W4" s="553"/>
      <c r="X4" s="553"/>
      <c r="Y4" s="553"/>
      <c r="Z4" s="553"/>
      <c r="AA4" s="554"/>
      <c r="AB4" s="552" t="s">
        <v>11</v>
      </c>
      <c r="AC4" s="553"/>
      <c r="AD4" s="553"/>
      <c r="AE4" s="553"/>
      <c r="AF4" s="553"/>
      <c r="AG4" s="554"/>
      <c r="AH4" s="552" t="s">
        <v>9</v>
      </c>
      <c r="AI4" s="553"/>
      <c r="AJ4" s="553"/>
      <c r="AK4" s="553"/>
      <c r="AL4" s="553"/>
      <c r="AM4" s="554"/>
      <c r="AN4" s="552" t="s">
        <v>12</v>
      </c>
      <c r="AO4" s="553"/>
      <c r="AP4" s="553"/>
      <c r="AQ4" s="553"/>
      <c r="AR4" s="553"/>
      <c r="AS4" s="554"/>
      <c r="AT4" s="552" t="s">
        <v>13</v>
      </c>
      <c r="AU4" s="553"/>
      <c r="AV4" s="553"/>
      <c r="AW4" s="553"/>
      <c r="AX4" s="553"/>
      <c r="AY4" s="554"/>
      <c r="AZ4" s="552" t="s">
        <v>14</v>
      </c>
      <c r="BA4" s="553"/>
      <c r="BB4" s="553"/>
      <c r="BC4" s="553"/>
      <c r="BD4" s="553"/>
      <c r="BE4" s="555"/>
      <c r="BF4" s="554"/>
      <c r="BG4" s="552" t="s">
        <v>15</v>
      </c>
      <c r="BH4" s="553"/>
      <c r="BI4" s="553"/>
      <c r="BJ4" s="553"/>
      <c r="BK4" s="553"/>
      <c r="BL4" s="555"/>
      <c r="BM4" s="554"/>
      <c r="BN4" s="552" t="s">
        <v>16</v>
      </c>
      <c r="BO4" s="553"/>
      <c r="BP4" s="553"/>
      <c r="BQ4" s="553"/>
      <c r="BR4" s="553"/>
      <c r="BS4" s="555"/>
      <c r="BT4" s="554"/>
      <c r="BU4" s="552" t="s">
        <v>17</v>
      </c>
      <c r="BV4" s="553"/>
      <c r="BW4" s="553"/>
      <c r="BX4" s="553"/>
      <c r="BY4" s="553"/>
      <c r="BZ4" s="554"/>
      <c r="CA4" s="552" t="s">
        <v>18</v>
      </c>
      <c r="CB4" s="553"/>
      <c r="CC4" s="553"/>
      <c r="CD4" s="553"/>
      <c r="CE4" s="553"/>
      <c r="CF4" s="554"/>
      <c r="CG4" s="552" t="s">
        <v>19</v>
      </c>
      <c r="CH4" s="553"/>
      <c r="CI4" s="553"/>
      <c r="CJ4" s="553"/>
      <c r="CK4" s="553"/>
      <c r="CL4" s="554"/>
      <c r="CM4" s="556" t="s">
        <v>20</v>
      </c>
      <c r="CN4" s="557"/>
      <c r="CO4" s="557"/>
      <c r="CP4" s="557"/>
      <c r="CQ4" s="557"/>
      <c r="CR4" s="582"/>
      <c r="CS4" s="552" t="s">
        <v>21</v>
      </c>
      <c r="CT4" s="553"/>
      <c r="CU4" s="553"/>
      <c r="CV4" s="553"/>
      <c r="CW4" s="553"/>
      <c r="CX4" s="554"/>
      <c r="CY4" s="552" t="s">
        <v>22</v>
      </c>
      <c r="CZ4" s="553"/>
      <c r="DA4" s="553"/>
      <c r="DB4" s="553"/>
      <c r="DC4" s="553"/>
      <c r="DD4" s="554"/>
      <c r="DE4" s="552" t="s">
        <v>23</v>
      </c>
      <c r="DF4" s="553"/>
      <c r="DG4" s="553"/>
      <c r="DH4" s="553"/>
      <c r="DI4" s="553"/>
      <c r="DJ4" s="554"/>
      <c r="DK4" s="552" t="s">
        <v>24</v>
      </c>
      <c r="DL4" s="553"/>
      <c r="DM4" s="553"/>
      <c r="DN4" s="553"/>
      <c r="DO4" s="553"/>
      <c r="DP4" s="554"/>
    </row>
    <row r="5" spans="1:120">
      <c r="A5" s="547"/>
      <c r="B5" s="550"/>
      <c r="C5" s="550"/>
      <c r="D5" s="550"/>
      <c r="E5" s="517"/>
      <c r="F5" s="517"/>
      <c r="G5" s="520"/>
      <c r="H5" s="586"/>
      <c r="I5" s="511"/>
      <c r="J5" s="550"/>
      <c r="K5" s="469" t="s">
        <v>1169</v>
      </c>
      <c r="L5" s="469" t="s">
        <v>1171</v>
      </c>
      <c r="M5" s="498" t="s">
        <v>1172</v>
      </c>
      <c r="N5" s="469" t="s">
        <v>1177</v>
      </c>
      <c r="O5" s="496"/>
      <c r="P5" s="274"/>
      <c r="Q5" s="486"/>
      <c r="R5" s="471" t="s">
        <v>1169</v>
      </c>
      <c r="S5" s="473" t="s">
        <v>1168</v>
      </c>
      <c r="T5" s="471" t="s">
        <v>1169</v>
      </c>
      <c r="U5" s="473" t="s">
        <v>1168</v>
      </c>
      <c r="V5" s="464" t="s">
        <v>1167</v>
      </c>
      <c r="W5" s="460"/>
      <c r="X5" s="460" t="s">
        <v>1166</v>
      </c>
      <c r="Y5" s="461"/>
      <c r="Z5" s="464" t="s">
        <v>25</v>
      </c>
      <c r="AA5" s="561"/>
      <c r="AB5" s="464" t="s">
        <v>1167</v>
      </c>
      <c r="AC5" s="460"/>
      <c r="AD5" s="460" t="s">
        <v>1166</v>
      </c>
      <c r="AE5" s="461"/>
      <c r="AF5" s="464" t="s">
        <v>25</v>
      </c>
      <c r="AG5" s="561"/>
      <c r="AH5" s="464" t="s">
        <v>1167</v>
      </c>
      <c r="AI5" s="460"/>
      <c r="AJ5" s="460" t="s">
        <v>1166</v>
      </c>
      <c r="AK5" s="461"/>
      <c r="AL5" s="464" t="s">
        <v>25</v>
      </c>
      <c r="AM5" s="561"/>
      <c r="AN5" s="464" t="s">
        <v>1167</v>
      </c>
      <c r="AO5" s="460"/>
      <c r="AP5" s="460" t="s">
        <v>1166</v>
      </c>
      <c r="AQ5" s="461"/>
      <c r="AR5" s="464" t="s">
        <v>25</v>
      </c>
      <c r="AS5" s="561"/>
      <c r="AT5" s="464" t="s">
        <v>1167</v>
      </c>
      <c r="AU5" s="460"/>
      <c r="AV5" s="460" t="s">
        <v>1166</v>
      </c>
      <c r="AW5" s="461"/>
      <c r="AX5" s="464" t="s">
        <v>25</v>
      </c>
      <c r="AY5" s="561"/>
      <c r="AZ5" s="464" t="s">
        <v>1167</v>
      </c>
      <c r="BA5" s="460"/>
      <c r="BB5" s="460" t="s">
        <v>1166</v>
      </c>
      <c r="BC5" s="461"/>
      <c r="BD5" s="464" t="s">
        <v>25</v>
      </c>
      <c r="BE5" s="563"/>
      <c r="BF5" s="561"/>
      <c r="BG5" s="464" t="s">
        <v>1167</v>
      </c>
      <c r="BH5" s="460"/>
      <c r="BI5" s="460" t="s">
        <v>1166</v>
      </c>
      <c r="BJ5" s="461"/>
      <c r="BK5" s="464" t="s">
        <v>25</v>
      </c>
      <c r="BL5" s="563"/>
      <c r="BM5" s="561"/>
      <c r="BN5" s="464" t="s">
        <v>1167</v>
      </c>
      <c r="BO5" s="460"/>
      <c r="BP5" s="460" t="s">
        <v>1166</v>
      </c>
      <c r="BQ5" s="461"/>
      <c r="BR5" s="464" t="s">
        <v>25</v>
      </c>
      <c r="BS5" s="563"/>
      <c r="BT5" s="561"/>
      <c r="BU5" s="464" t="s">
        <v>1167</v>
      </c>
      <c r="BV5" s="460"/>
      <c r="BW5" s="460" t="s">
        <v>1166</v>
      </c>
      <c r="BX5" s="461"/>
      <c r="BY5" s="464" t="s">
        <v>25</v>
      </c>
      <c r="BZ5" s="561"/>
      <c r="CA5" s="464" t="s">
        <v>1167</v>
      </c>
      <c r="CB5" s="460"/>
      <c r="CC5" s="460" t="s">
        <v>1166</v>
      </c>
      <c r="CD5" s="461"/>
      <c r="CE5" s="464" t="s">
        <v>25</v>
      </c>
      <c r="CF5" s="561"/>
      <c r="CG5" s="464" t="s">
        <v>1167</v>
      </c>
      <c r="CH5" s="460"/>
      <c r="CI5" s="460" t="s">
        <v>1166</v>
      </c>
      <c r="CJ5" s="461"/>
      <c r="CK5" s="464" t="s">
        <v>25</v>
      </c>
      <c r="CL5" s="561"/>
      <c r="CM5" s="464" t="s">
        <v>1167</v>
      </c>
      <c r="CN5" s="460"/>
      <c r="CO5" s="460" t="s">
        <v>1166</v>
      </c>
      <c r="CP5" s="461"/>
      <c r="CQ5" s="464" t="s">
        <v>25</v>
      </c>
      <c r="CR5" s="561"/>
      <c r="CS5" s="464" t="s">
        <v>1167</v>
      </c>
      <c r="CT5" s="460"/>
      <c r="CU5" s="460" t="s">
        <v>1166</v>
      </c>
      <c r="CV5" s="461"/>
      <c r="CW5" s="464" t="s">
        <v>25</v>
      </c>
      <c r="CX5" s="561"/>
      <c r="CY5" s="464" t="s">
        <v>1167</v>
      </c>
      <c r="CZ5" s="460"/>
      <c r="DA5" s="460" t="s">
        <v>1166</v>
      </c>
      <c r="DB5" s="461"/>
      <c r="DC5" s="464" t="s">
        <v>25</v>
      </c>
      <c r="DD5" s="561"/>
      <c r="DE5" s="464" t="s">
        <v>1167</v>
      </c>
      <c r="DF5" s="460"/>
      <c r="DG5" s="460" t="s">
        <v>1166</v>
      </c>
      <c r="DH5" s="461"/>
      <c r="DI5" s="464" t="s">
        <v>25</v>
      </c>
      <c r="DJ5" s="561"/>
      <c r="DK5" s="464" t="s">
        <v>1167</v>
      </c>
      <c r="DL5" s="460"/>
      <c r="DM5" s="460" t="s">
        <v>1166</v>
      </c>
      <c r="DN5" s="461"/>
      <c r="DO5" s="464" t="s">
        <v>25</v>
      </c>
      <c r="DP5" s="561"/>
    </row>
    <row r="6" spans="1:120" ht="15.75" thickBot="1">
      <c r="A6" s="548"/>
      <c r="B6" s="551"/>
      <c r="C6" s="551"/>
      <c r="D6" s="551"/>
      <c r="E6" s="518"/>
      <c r="F6" s="518"/>
      <c r="G6" s="521"/>
      <c r="H6" s="587"/>
      <c r="I6" s="512"/>
      <c r="J6" s="551"/>
      <c r="K6" s="470"/>
      <c r="L6" s="497"/>
      <c r="M6" s="497"/>
      <c r="N6" s="497"/>
      <c r="O6" s="470"/>
      <c r="P6" s="275"/>
      <c r="Q6" s="487"/>
      <c r="R6" s="472"/>
      <c r="S6" s="474"/>
      <c r="T6" s="472"/>
      <c r="U6" s="474"/>
      <c r="V6" s="2" t="s">
        <v>26</v>
      </c>
      <c r="W6" s="3" t="s">
        <v>27</v>
      </c>
      <c r="X6" s="3" t="s">
        <v>26</v>
      </c>
      <c r="Y6" s="4" t="s">
        <v>27</v>
      </c>
      <c r="Z6" s="2" t="s">
        <v>26</v>
      </c>
      <c r="AA6" s="140" t="s">
        <v>27</v>
      </c>
      <c r="AB6" s="2" t="s">
        <v>26</v>
      </c>
      <c r="AC6" s="3" t="s">
        <v>27</v>
      </c>
      <c r="AD6" s="3" t="s">
        <v>26</v>
      </c>
      <c r="AE6" s="4" t="s">
        <v>27</v>
      </c>
      <c r="AF6" s="2" t="s">
        <v>26</v>
      </c>
      <c r="AG6" s="140" t="s">
        <v>27</v>
      </c>
      <c r="AH6" s="2" t="s">
        <v>26</v>
      </c>
      <c r="AI6" s="3" t="s">
        <v>27</v>
      </c>
      <c r="AJ6" s="3" t="s">
        <v>26</v>
      </c>
      <c r="AK6" s="4" t="s">
        <v>27</v>
      </c>
      <c r="AL6" s="2" t="s">
        <v>26</v>
      </c>
      <c r="AM6" s="140" t="s">
        <v>27</v>
      </c>
      <c r="AN6" s="2" t="s">
        <v>26</v>
      </c>
      <c r="AO6" s="3" t="s">
        <v>27</v>
      </c>
      <c r="AP6" s="3" t="s">
        <v>26</v>
      </c>
      <c r="AQ6" s="4" t="s">
        <v>27</v>
      </c>
      <c r="AR6" s="2" t="s">
        <v>26</v>
      </c>
      <c r="AS6" s="140" t="s">
        <v>27</v>
      </c>
      <c r="AT6" s="2" t="s">
        <v>26</v>
      </c>
      <c r="AU6" s="3" t="s">
        <v>27</v>
      </c>
      <c r="AV6" s="3" t="s">
        <v>26</v>
      </c>
      <c r="AW6" s="4" t="s">
        <v>27</v>
      </c>
      <c r="AX6" s="2" t="s">
        <v>26</v>
      </c>
      <c r="AY6" s="140" t="s">
        <v>27</v>
      </c>
      <c r="AZ6" s="2" t="s">
        <v>26</v>
      </c>
      <c r="BA6" s="3" t="s">
        <v>27</v>
      </c>
      <c r="BB6" s="3" t="s">
        <v>26</v>
      </c>
      <c r="BC6" s="4" t="s">
        <v>27</v>
      </c>
      <c r="BD6" s="2" t="s">
        <v>26</v>
      </c>
      <c r="BE6" s="367" t="s">
        <v>1254</v>
      </c>
      <c r="BF6" s="140" t="s">
        <v>27</v>
      </c>
      <c r="BG6" s="2" t="s">
        <v>26</v>
      </c>
      <c r="BH6" s="3" t="s">
        <v>27</v>
      </c>
      <c r="BI6" s="3" t="s">
        <v>26</v>
      </c>
      <c r="BJ6" s="4" t="s">
        <v>27</v>
      </c>
      <c r="BK6" s="2" t="s">
        <v>26</v>
      </c>
      <c r="BL6" s="367" t="s">
        <v>1254</v>
      </c>
      <c r="BM6" s="140" t="s">
        <v>27</v>
      </c>
      <c r="BN6" s="2" t="s">
        <v>26</v>
      </c>
      <c r="BO6" s="3" t="s">
        <v>27</v>
      </c>
      <c r="BP6" s="3" t="s">
        <v>26</v>
      </c>
      <c r="BQ6" s="4" t="s">
        <v>27</v>
      </c>
      <c r="BR6" s="2" t="s">
        <v>26</v>
      </c>
      <c r="BS6" s="367" t="s">
        <v>1254</v>
      </c>
      <c r="BT6" s="140" t="s">
        <v>27</v>
      </c>
      <c r="BU6" s="2" t="s">
        <v>26</v>
      </c>
      <c r="BV6" s="3" t="s">
        <v>27</v>
      </c>
      <c r="BW6" s="3" t="s">
        <v>26</v>
      </c>
      <c r="BX6" s="4" t="s">
        <v>27</v>
      </c>
      <c r="BY6" s="2" t="s">
        <v>26</v>
      </c>
      <c r="BZ6" s="140" t="s">
        <v>27</v>
      </c>
      <c r="CA6" s="2" t="s">
        <v>26</v>
      </c>
      <c r="CB6" s="3" t="s">
        <v>27</v>
      </c>
      <c r="CC6" s="3" t="s">
        <v>26</v>
      </c>
      <c r="CD6" s="4" t="s">
        <v>27</v>
      </c>
      <c r="CE6" s="2" t="s">
        <v>26</v>
      </c>
      <c r="CF6" s="140" t="s">
        <v>27</v>
      </c>
      <c r="CG6" s="2" t="s">
        <v>26</v>
      </c>
      <c r="CH6" s="3" t="s">
        <v>27</v>
      </c>
      <c r="CI6" s="3" t="s">
        <v>26</v>
      </c>
      <c r="CJ6" s="4" t="s">
        <v>27</v>
      </c>
      <c r="CK6" s="2" t="s">
        <v>26</v>
      </c>
      <c r="CL6" s="140" t="s">
        <v>27</v>
      </c>
      <c r="CM6" s="2" t="s">
        <v>26</v>
      </c>
      <c r="CN6" s="3" t="s">
        <v>27</v>
      </c>
      <c r="CO6" s="3" t="s">
        <v>26</v>
      </c>
      <c r="CP6" s="4" t="s">
        <v>27</v>
      </c>
      <c r="CQ6" s="2" t="s">
        <v>26</v>
      </c>
      <c r="CR6" s="140" t="s">
        <v>27</v>
      </c>
      <c r="CS6" s="2" t="s">
        <v>26</v>
      </c>
      <c r="CT6" s="3" t="s">
        <v>27</v>
      </c>
      <c r="CU6" s="3" t="s">
        <v>26</v>
      </c>
      <c r="CV6" s="4" t="s">
        <v>27</v>
      </c>
      <c r="CW6" s="2" t="s">
        <v>26</v>
      </c>
      <c r="CX6" s="140" t="s">
        <v>27</v>
      </c>
      <c r="CY6" s="2" t="s">
        <v>26</v>
      </c>
      <c r="CZ6" s="3" t="s">
        <v>27</v>
      </c>
      <c r="DA6" s="3" t="s">
        <v>26</v>
      </c>
      <c r="DB6" s="4" t="s">
        <v>27</v>
      </c>
      <c r="DC6" s="2" t="s">
        <v>26</v>
      </c>
      <c r="DD6" s="140" t="s">
        <v>27</v>
      </c>
      <c r="DE6" s="2" t="s">
        <v>26</v>
      </c>
      <c r="DF6" s="3" t="s">
        <v>27</v>
      </c>
      <c r="DG6" s="3" t="s">
        <v>26</v>
      </c>
      <c r="DH6" s="4" t="s">
        <v>27</v>
      </c>
      <c r="DI6" s="2" t="s">
        <v>26</v>
      </c>
      <c r="DJ6" s="140" t="s">
        <v>27</v>
      </c>
      <c r="DK6" s="2" t="s">
        <v>26</v>
      </c>
      <c r="DL6" s="3" t="s">
        <v>27</v>
      </c>
      <c r="DM6" s="3" t="s">
        <v>26</v>
      </c>
      <c r="DN6" s="4" t="s">
        <v>27</v>
      </c>
      <c r="DO6" s="2" t="s">
        <v>26</v>
      </c>
      <c r="DP6" s="140" t="s">
        <v>27</v>
      </c>
    </row>
    <row r="7" spans="1:120" s="151" customFormat="1" ht="15.75">
      <c r="A7" s="593" t="s">
        <v>28</v>
      </c>
      <c r="B7" s="593"/>
      <c r="C7" s="593"/>
      <c r="D7" s="593"/>
      <c r="E7" s="152">
        <f>SUBTOTAL(3,E9:E11)</f>
        <v>3</v>
      </c>
      <c r="F7" s="152">
        <f t="shared" ref="F7:H7" si="0">SUBTOTAL(9,F9:F11)</f>
        <v>3600000</v>
      </c>
      <c r="G7" s="152">
        <f t="shared" si="0"/>
        <v>5111920.58</v>
      </c>
      <c r="H7" s="152">
        <f t="shared" si="0"/>
        <v>14717971.33</v>
      </c>
      <c r="I7" s="152">
        <f>SUBTOTAL(9,I9:I11)</f>
        <v>13206050.75</v>
      </c>
      <c r="J7" s="152">
        <f>SUBTOTAL(9,J9:J11)</f>
        <v>0</v>
      </c>
      <c r="K7" s="167">
        <f t="shared" ref="K7:BZ7" si="1">SUBTOTAL(9,K9:K11)</f>
        <v>902895.29</v>
      </c>
      <c r="L7" s="167">
        <f t="shared" si="1"/>
        <v>0</v>
      </c>
      <c r="M7" s="167">
        <f t="shared" si="1"/>
        <v>8703155.4600000009</v>
      </c>
      <c r="N7" s="167">
        <f t="shared" si="1"/>
        <v>1206050.75</v>
      </c>
      <c r="O7" s="167">
        <f t="shared" si="1"/>
        <v>9606050.75</v>
      </c>
      <c r="P7" s="167">
        <f t="shared" si="1"/>
        <v>3600000</v>
      </c>
      <c r="Q7" s="170">
        <f t="shared" si="1"/>
        <v>5967971.3300000001</v>
      </c>
      <c r="R7" s="152">
        <f t="shared" si="1"/>
        <v>8673024.75</v>
      </c>
      <c r="S7" s="152">
        <f t="shared" si="1"/>
        <v>30130.71</v>
      </c>
      <c r="T7" s="152">
        <f t="shared" si="1"/>
        <v>9575920.0399999991</v>
      </c>
      <c r="U7" s="152">
        <f t="shared" si="1"/>
        <v>30130.71</v>
      </c>
      <c r="V7" s="152">
        <f t="shared" si="1"/>
        <v>0</v>
      </c>
      <c r="W7" s="152">
        <f t="shared" si="1"/>
        <v>0</v>
      </c>
      <c r="X7" s="152">
        <f t="shared" si="1"/>
        <v>0</v>
      </c>
      <c r="Y7" s="152">
        <f t="shared" si="1"/>
        <v>0</v>
      </c>
      <c r="Z7" s="152">
        <f t="shared" si="1"/>
        <v>0</v>
      </c>
      <c r="AA7" s="152">
        <f t="shared" si="1"/>
        <v>0</v>
      </c>
      <c r="AB7" s="152">
        <f t="shared" si="1"/>
        <v>1200000</v>
      </c>
      <c r="AC7" s="152">
        <f t="shared" si="1"/>
        <v>0</v>
      </c>
      <c r="AD7" s="152">
        <f t="shared" si="1"/>
        <v>0</v>
      </c>
      <c r="AE7" s="152">
        <f t="shared" si="1"/>
        <v>0</v>
      </c>
      <c r="AF7" s="152">
        <f t="shared" si="1"/>
        <v>1200000</v>
      </c>
      <c r="AG7" s="152">
        <f t="shared" si="1"/>
        <v>0</v>
      </c>
      <c r="AH7" s="152">
        <f t="shared" si="1"/>
        <v>9873024.75</v>
      </c>
      <c r="AI7" s="152">
        <f t="shared" si="1"/>
        <v>8673024.75</v>
      </c>
      <c r="AJ7" s="152">
        <f t="shared" si="1"/>
        <v>30130.71</v>
      </c>
      <c r="AK7" s="152">
        <f t="shared" si="1"/>
        <v>30130.71</v>
      </c>
      <c r="AL7" s="152">
        <f t="shared" si="1"/>
        <v>9903155.4600000009</v>
      </c>
      <c r="AM7" s="152">
        <f>SUBTOTAL(9,AM9:AM11)</f>
        <v>8703155.4600000009</v>
      </c>
      <c r="AN7" s="152">
        <f t="shared" si="1"/>
        <v>1200000</v>
      </c>
      <c r="AO7" s="152">
        <f t="shared" si="1"/>
        <v>1200000</v>
      </c>
      <c r="AP7" s="152">
        <f t="shared" si="1"/>
        <v>0</v>
      </c>
      <c r="AQ7" s="152">
        <f t="shared" si="1"/>
        <v>0</v>
      </c>
      <c r="AR7" s="152">
        <f t="shared" si="1"/>
        <v>1200000</v>
      </c>
      <c r="AS7" s="152">
        <f t="shared" si="1"/>
        <v>1200000</v>
      </c>
      <c r="AT7" s="152">
        <f t="shared" si="1"/>
        <v>500000</v>
      </c>
      <c r="AU7" s="152">
        <f t="shared" si="1"/>
        <v>1160000</v>
      </c>
      <c r="AV7" s="152">
        <f t="shared" si="1"/>
        <v>0</v>
      </c>
      <c r="AW7" s="152">
        <f t="shared" si="1"/>
        <v>0</v>
      </c>
      <c r="AX7" s="152">
        <f t="shared" si="1"/>
        <v>500000</v>
      </c>
      <c r="AY7" s="152">
        <f t="shared" si="1"/>
        <v>1160000</v>
      </c>
      <c r="AZ7" s="152">
        <f t="shared" si="1"/>
        <v>1500000</v>
      </c>
      <c r="BA7" s="152">
        <f t="shared" si="1"/>
        <v>1500000</v>
      </c>
      <c r="BB7" s="152">
        <f t="shared" si="1"/>
        <v>0</v>
      </c>
      <c r="BC7" s="152">
        <f t="shared" si="1"/>
        <v>0</v>
      </c>
      <c r="BD7" s="152">
        <f t="shared" si="1"/>
        <v>1500000</v>
      </c>
      <c r="BE7" s="152">
        <f t="shared" si="1"/>
        <v>1570000</v>
      </c>
      <c r="BF7" s="152">
        <f t="shared" si="1"/>
        <v>1500000</v>
      </c>
      <c r="BG7" s="152">
        <f t="shared" si="1"/>
        <v>0</v>
      </c>
      <c r="BH7" s="152">
        <f t="shared" si="1"/>
        <v>0</v>
      </c>
      <c r="BI7" s="152">
        <f t="shared" si="1"/>
        <v>200000</v>
      </c>
      <c r="BJ7" s="152">
        <f t="shared" si="1"/>
        <v>0</v>
      </c>
      <c r="BK7" s="152">
        <f t="shared" si="1"/>
        <v>200000</v>
      </c>
      <c r="BL7" s="152">
        <f t="shared" si="1"/>
        <v>770000</v>
      </c>
      <c r="BM7" s="152">
        <f t="shared" si="1"/>
        <v>0</v>
      </c>
      <c r="BN7" s="152">
        <f t="shared" si="1"/>
        <v>0</v>
      </c>
      <c r="BO7" s="152">
        <f t="shared" si="1"/>
        <v>300000</v>
      </c>
      <c r="BP7" s="152">
        <f t="shared" si="1"/>
        <v>200000</v>
      </c>
      <c r="BQ7" s="152">
        <f t="shared" si="1"/>
        <v>0</v>
      </c>
      <c r="BR7" s="152">
        <f t="shared" si="1"/>
        <v>200000</v>
      </c>
      <c r="BS7" s="152"/>
      <c r="BT7" s="152">
        <f t="shared" si="1"/>
        <v>300000</v>
      </c>
      <c r="BU7" s="152">
        <f t="shared" si="1"/>
        <v>0</v>
      </c>
      <c r="BV7" s="152">
        <f t="shared" si="1"/>
        <v>550000</v>
      </c>
      <c r="BW7" s="152">
        <f t="shared" si="1"/>
        <v>0</v>
      </c>
      <c r="BX7" s="152">
        <f t="shared" si="1"/>
        <v>0</v>
      </c>
      <c r="BY7" s="152">
        <f t="shared" si="1"/>
        <v>0</v>
      </c>
      <c r="BZ7" s="152">
        <f t="shared" si="1"/>
        <v>550000</v>
      </c>
      <c r="CA7" s="152">
        <f t="shared" ref="CA7:DP7" si="2">SUBTOTAL(9,CA9:CA11)</f>
        <v>0</v>
      </c>
      <c r="CB7" s="152">
        <f t="shared" si="2"/>
        <v>0</v>
      </c>
      <c r="CC7" s="152">
        <f t="shared" si="2"/>
        <v>0</v>
      </c>
      <c r="CD7" s="152">
        <f t="shared" si="2"/>
        <v>0</v>
      </c>
      <c r="CE7" s="152">
        <f t="shared" si="2"/>
        <v>0</v>
      </c>
      <c r="CF7" s="152">
        <f t="shared" si="2"/>
        <v>0</v>
      </c>
      <c r="CG7" s="152">
        <f t="shared" si="2"/>
        <v>0</v>
      </c>
      <c r="CH7" s="152">
        <f t="shared" si="2"/>
        <v>0</v>
      </c>
      <c r="CI7" s="152">
        <f t="shared" si="2"/>
        <v>0</v>
      </c>
      <c r="CJ7" s="152">
        <f t="shared" si="2"/>
        <v>401920.58</v>
      </c>
      <c r="CK7" s="152">
        <f t="shared" si="2"/>
        <v>0</v>
      </c>
      <c r="CL7" s="152">
        <f t="shared" si="2"/>
        <v>401920.58</v>
      </c>
      <c r="CM7" s="152">
        <f t="shared" si="2"/>
        <v>0</v>
      </c>
      <c r="CN7" s="152">
        <f t="shared" si="2"/>
        <v>0</v>
      </c>
      <c r="CO7" s="152">
        <f t="shared" si="2"/>
        <v>0</v>
      </c>
      <c r="CP7" s="152">
        <f t="shared" si="2"/>
        <v>0</v>
      </c>
      <c r="CQ7" s="152">
        <f t="shared" si="2"/>
        <v>0</v>
      </c>
      <c r="CR7" s="152">
        <f t="shared" si="2"/>
        <v>0</v>
      </c>
      <c r="CS7" s="152">
        <f t="shared" si="2"/>
        <v>0</v>
      </c>
      <c r="CT7" s="152">
        <f t="shared" si="2"/>
        <v>0</v>
      </c>
      <c r="CU7" s="152">
        <f t="shared" si="2"/>
        <v>0</v>
      </c>
      <c r="CV7" s="152">
        <f t="shared" si="2"/>
        <v>0</v>
      </c>
      <c r="CW7" s="152">
        <f t="shared" si="2"/>
        <v>0</v>
      </c>
      <c r="CX7" s="152">
        <f t="shared" si="2"/>
        <v>0</v>
      </c>
      <c r="CY7" s="152">
        <f t="shared" si="2"/>
        <v>0</v>
      </c>
      <c r="CZ7" s="152">
        <f t="shared" si="2"/>
        <v>0</v>
      </c>
      <c r="DA7" s="152">
        <f t="shared" si="2"/>
        <v>0</v>
      </c>
      <c r="DB7" s="152">
        <f t="shared" si="2"/>
        <v>0</v>
      </c>
      <c r="DC7" s="152">
        <f t="shared" si="2"/>
        <v>0</v>
      </c>
      <c r="DD7" s="152">
        <f t="shared" si="2"/>
        <v>0</v>
      </c>
      <c r="DE7" s="152">
        <f t="shared" si="2"/>
        <v>0</v>
      </c>
      <c r="DF7" s="152">
        <f t="shared" si="2"/>
        <v>0</v>
      </c>
      <c r="DG7" s="152">
        <f t="shared" si="2"/>
        <v>0</v>
      </c>
      <c r="DH7" s="152">
        <f t="shared" si="2"/>
        <v>0</v>
      </c>
      <c r="DI7" s="152">
        <f t="shared" si="2"/>
        <v>0</v>
      </c>
      <c r="DJ7" s="152">
        <f t="shared" si="2"/>
        <v>0</v>
      </c>
      <c r="DK7" s="152">
        <f t="shared" si="2"/>
        <v>3200000</v>
      </c>
      <c r="DL7" s="152">
        <f t="shared" si="2"/>
        <v>4710000</v>
      </c>
      <c r="DM7" s="152">
        <f t="shared" si="2"/>
        <v>400000</v>
      </c>
      <c r="DN7" s="152">
        <f t="shared" si="2"/>
        <v>401920.58</v>
      </c>
      <c r="DO7" s="152">
        <f t="shared" si="2"/>
        <v>3600000</v>
      </c>
      <c r="DP7" s="152">
        <f t="shared" si="2"/>
        <v>5111920.58</v>
      </c>
    </row>
    <row r="8" spans="1:120">
      <c r="A8" s="92"/>
      <c r="E8" s="158"/>
      <c r="F8" s="158"/>
      <c r="G8" s="158"/>
      <c r="H8" s="158"/>
      <c r="I8" s="158"/>
      <c r="J8" s="153"/>
      <c r="K8" s="168"/>
      <c r="L8" s="169"/>
      <c r="M8" s="169"/>
      <c r="N8" s="169"/>
      <c r="O8" s="169"/>
      <c r="P8" s="153"/>
      <c r="Q8" s="171"/>
      <c r="R8" s="153"/>
      <c r="S8" s="153"/>
      <c r="T8" s="153"/>
      <c r="U8" s="153"/>
      <c r="V8" s="153"/>
      <c r="W8" s="153"/>
      <c r="X8" s="153"/>
      <c r="Y8" s="153"/>
      <c r="Z8" s="153"/>
      <c r="AA8" s="153"/>
      <c r="AB8" s="153"/>
      <c r="AC8" s="153"/>
      <c r="AD8" s="153"/>
      <c r="AE8" s="153"/>
      <c r="AF8" s="153"/>
      <c r="AG8" s="153"/>
      <c r="AH8" s="153"/>
      <c r="AI8" s="153"/>
      <c r="AJ8" s="153"/>
      <c r="AK8" s="153"/>
      <c r="AL8" s="153"/>
      <c r="AM8" s="153"/>
      <c r="AN8" s="153"/>
      <c r="AO8" s="153"/>
      <c r="AP8" s="153"/>
      <c r="AQ8" s="153"/>
      <c r="AR8" s="153"/>
      <c r="AS8" s="153"/>
      <c r="AT8" s="153"/>
      <c r="AU8" s="153"/>
      <c r="AV8" s="153"/>
      <c r="AW8" s="153"/>
      <c r="AX8" s="153"/>
      <c r="AY8" s="153"/>
      <c r="AZ8" s="153"/>
      <c r="BA8" s="153"/>
      <c r="BB8" s="153"/>
      <c r="BC8" s="153"/>
      <c r="BD8" s="153"/>
      <c r="BE8" s="153"/>
      <c r="BF8" s="153"/>
      <c r="BG8" s="153"/>
      <c r="BH8" s="153"/>
      <c r="BI8" s="153"/>
      <c r="BJ8" s="153"/>
      <c r="BK8" s="153"/>
      <c r="BL8" s="153"/>
      <c r="BM8" s="153"/>
      <c r="BN8" s="153"/>
      <c r="BO8" s="153"/>
      <c r="BP8" s="153"/>
      <c r="BQ8" s="153"/>
      <c r="BR8" s="153"/>
      <c r="BS8" s="153"/>
      <c r="BT8" s="153"/>
      <c r="BU8" s="153"/>
      <c r="BV8" s="153"/>
      <c r="BW8" s="153"/>
      <c r="BX8" s="153"/>
      <c r="BY8" s="153"/>
      <c r="BZ8" s="153"/>
      <c r="CA8" s="153"/>
      <c r="CB8" s="153"/>
      <c r="CC8" s="153"/>
      <c r="CD8" s="153"/>
      <c r="CE8" s="153"/>
      <c r="CF8" s="153"/>
      <c r="CG8" s="153"/>
      <c r="CH8" s="153"/>
      <c r="CI8" s="153"/>
      <c r="CJ8" s="153"/>
      <c r="CK8" s="153"/>
      <c r="CL8" s="153"/>
      <c r="CM8" s="153"/>
      <c r="CN8" s="153"/>
      <c r="CO8" s="153"/>
      <c r="CP8" s="153"/>
      <c r="CQ8" s="153"/>
      <c r="CR8" s="153"/>
      <c r="CS8" s="153"/>
      <c r="CT8" s="153"/>
      <c r="CU8" s="153"/>
      <c r="CV8" s="153"/>
      <c r="CW8" s="153"/>
      <c r="CX8" s="153"/>
      <c r="CY8" s="153"/>
      <c r="CZ8" s="153"/>
      <c r="DA8" s="153"/>
      <c r="DB8" s="153"/>
      <c r="DC8" s="153"/>
      <c r="DD8" s="153"/>
      <c r="DE8" s="153"/>
      <c r="DF8" s="153"/>
      <c r="DG8" s="153"/>
      <c r="DH8" s="153"/>
      <c r="DI8" s="153"/>
      <c r="DJ8" s="153"/>
      <c r="DK8" s="153"/>
      <c r="DL8" s="153"/>
      <c r="DM8" s="153"/>
      <c r="DN8" s="153"/>
      <c r="DO8" s="153"/>
      <c r="DP8" s="153"/>
    </row>
    <row r="9" spans="1:120" s="95" customFormat="1" ht="30">
      <c r="A9" s="15">
        <v>1</v>
      </c>
      <c r="B9" s="96" t="s">
        <v>705</v>
      </c>
      <c r="C9" s="96" t="s">
        <v>706</v>
      </c>
      <c r="D9" s="98" t="s">
        <v>707</v>
      </c>
      <c r="E9" s="159" t="s">
        <v>1165</v>
      </c>
      <c r="F9" s="161">
        <f>SUM(DO9)</f>
        <v>1200000</v>
      </c>
      <c r="G9" s="161">
        <f>AS9+AY9+BF9+BM9+BT9+BZ9+CF9+CL9+CR9+CX9+DD9+DJ9</f>
        <v>1350000</v>
      </c>
      <c r="H9" s="161">
        <f>O9+G9</f>
        <v>8750000</v>
      </c>
      <c r="I9" s="165">
        <f>K9+AM9+DO9</f>
        <v>8600000</v>
      </c>
      <c r="J9" s="99"/>
      <c r="K9" s="149">
        <v>0</v>
      </c>
      <c r="L9" s="149">
        <v>0</v>
      </c>
      <c r="M9" s="127">
        <f>AM9</f>
        <v>7400000</v>
      </c>
      <c r="N9" s="127">
        <f>IF(AK9&gt;0,K9+AM9-L9,0)</f>
        <v>0</v>
      </c>
      <c r="O9" s="127">
        <f>K9+M9</f>
        <v>7400000</v>
      </c>
      <c r="P9" s="131">
        <f>I9-O9</f>
        <v>1200000</v>
      </c>
      <c r="Q9" s="125" t="str">
        <f>IF(AND(AK9&gt;0,DN9&gt;0),"შეცდომაა! ერთზე მეტი ბოლო ჩაბარება!",IF(OR(AK9&gt;0,DN9&gt;0,),IF(AK9&gt;0,K9+AM9,K9+AM9+DP9),IF(AND(K9=0,M9=0,DP9=0),"ნულოვანი შესრულება","მიმდინარეობს")))</f>
        <v>მიმდინარეობს</v>
      </c>
      <c r="R9" s="99">
        <v>7400000</v>
      </c>
      <c r="S9" s="99"/>
      <c r="T9" s="99">
        <f t="shared" ref="T9:T11" si="3">SUM(K9+R9)</f>
        <v>7400000</v>
      </c>
      <c r="U9" s="99">
        <f t="shared" ref="U9:U11" si="4">SUM(S9)</f>
        <v>0</v>
      </c>
      <c r="V9" s="99"/>
      <c r="W9" s="99"/>
      <c r="X9" s="99"/>
      <c r="Y9" s="99"/>
      <c r="Z9" s="99">
        <f t="shared" ref="Z9:AA11" si="5">SUM(V9+X9)</f>
        <v>0</v>
      </c>
      <c r="AA9" s="99">
        <f t="shared" si="5"/>
        <v>0</v>
      </c>
      <c r="AB9" s="99">
        <v>0</v>
      </c>
      <c r="AC9" s="99"/>
      <c r="AD9" s="99"/>
      <c r="AE9" s="99"/>
      <c r="AF9" s="99">
        <f t="shared" ref="AF9:AG11" si="6">SUM(AB9+AD9)</f>
        <v>0</v>
      </c>
      <c r="AG9" s="99">
        <f t="shared" si="6"/>
        <v>0</v>
      </c>
      <c r="AH9" s="99">
        <f>SUM(R9+V9+AB9)</f>
        <v>7400000</v>
      </c>
      <c r="AI9" s="99">
        <f>SUM(R9+W9+AC9)</f>
        <v>7400000</v>
      </c>
      <c r="AJ9" s="99">
        <f>SUM(S9+X9+AD9)</f>
        <v>0</v>
      </c>
      <c r="AK9" s="99">
        <f>SUM(S9+Y9+AE9)</f>
        <v>0</v>
      </c>
      <c r="AL9" s="99">
        <f t="shared" ref="AL9:AM11" si="7">SUM(AH9+AJ9)</f>
        <v>7400000</v>
      </c>
      <c r="AM9" s="99">
        <f t="shared" si="7"/>
        <v>7400000</v>
      </c>
      <c r="AN9" s="99"/>
      <c r="AO9" s="99"/>
      <c r="AP9" s="99"/>
      <c r="AQ9" s="99"/>
      <c r="AR9" s="99">
        <f t="shared" ref="AR9:AS11" si="8">SUM(AN9+AP9)</f>
        <v>0</v>
      </c>
      <c r="AS9" s="99">
        <f t="shared" si="8"/>
        <v>0</v>
      </c>
      <c r="AT9" s="99"/>
      <c r="AU9" s="99"/>
      <c r="AV9" s="99"/>
      <c r="AW9" s="99"/>
      <c r="AX9" s="99">
        <f t="shared" ref="AX9:AY11" si="9">SUM(AT9+AV9)</f>
        <v>0</v>
      </c>
      <c r="AY9" s="99">
        <f t="shared" si="9"/>
        <v>0</v>
      </c>
      <c r="AZ9" s="99">
        <v>1000000</v>
      </c>
      <c r="BA9" s="99">
        <v>500000</v>
      </c>
      <c r="BB9" s="99"/>
      <c r="BC9" s="99"/>
      <c r="BD9" s="99">
        <f t="shared" ref="BD9:BD11" si="10">SUM(AZ9+BB9)</f>
        <v>1000000</v>
      </c>
      <c r="BE9" s="99">
        <v>1000000</v>
      </c>
      <c r="BF9" s="99">
        <f>SUM(BA9+BC9)</f>
        <v>500000</v>
      </c>
      <c r="BG9" s="99"/>
      <c r="BH9" s="388"/>
      <c r="BI9" s="99">
        <v>200000</v>
      </c>
      <c r="BJ9" s="99"/>
      <c r="BK9" s="99">
        <f t="shared" ref="BK9:BK11" si="11">SUM(BG9+BI9)</f>
        <v>200000</v>
      </c>
      <c r="BL9" s="99">
        <v>200000</v>
      </c>
      <c r="BM9" s="99">
        <f>SUM(BH9+BJ9)</f>
        <v>0</v>
      </c>
      <c r="BN9" s="99"/>
      <c r="BO9" s="99">
        <v>300000</v>
      </c>
      <c r="BP9" s="99"/>
      <c r="BQ9" s="99"/>
      <c r="BR9" s="99">
        <f t="shared" ref="BR9:BR11" si="12">SUM(BN9+BP9)</f>
        <v>0</v>
      </c>
      <c r="BS9" s="99">
        <v>0</v>
      </c>
      <c r="BT9" s="99">
        <f>SUM(BO9+BQ9)</f>
        <v>300000</v>
      </c>
      <c r="BU9" s="99"/>
      <c r="BV9" s="99">
        <v>550000</v>
      </c>
      <c r="BW9" s="99"/>
      <c r="BX9" s="99"/>
      <c r="BY9" s="99">
        <f t="shared" ref="BY9:BZ11" si="13">SUM(BU9+BW9)</f>
        <v>0</v>
      </c>
      <c r="BZ9" s="99">
        <f t="shared" si="13"/>
        <v>550000</v>
      </c>
      <c r="CA9" s="99"/>
      <c r="CB9" s="99"/>
      <c r="CC9" s="99"/>
      <c r="CD9" s="99"/>
      <c r="CE9" s="99">
        <f t="shared" ref="CE9:CF11" si="14">SUM(CA9+CC9)</f>
        <v>0</v>
      </c>
      <c r="CF9" s="99">
        <f t="shared" si="14"/>
        <v>0</v>
      </c>
      <c r="CG9" s="99"/>
      <c r="CH9" s="99"/>
      <c r="CI9" s="99"/>
      <c r="CJ9" s="99"/>
      <c r="CK9" s="99">
        <f t="shared" ref="CK9:CL11" si="15">SUM(CG9+CI9)</f>
        <v>0</v>
      </c>
      <c r="CL9" s="99">
        <f t="shared" si="15"/>
        <v>0</v>
      </c>
      <c r="CM9" s="99"/>
      <c r="CN9" s="99"/>
      <c r="CO9" s="99"/>
      <c r="CP9" s="99"/>
      <c r="CQ9" s="99">
        <f t="shared" ref="CQ9:CR11" si="16">SUM(CM9+CO9)</f>
        <v>0</v>
      </c>
      <c r="CR9" s="99">
        <f t="shared" si="16"/>
        <v>0</v>
      </c>
      <c r="CS9" s="99"/>
      <c r="CT9" s="99"/>
      <c r="CU9" s="99"/>
      <c r="CV9" s="99"/>
      <c r="CW9" s="99">
        <f t="shared" ref="CW9:CX11" si="17">SUM(CS9+CU9)</f>
        <v>0</v>
      </c>
      <c r="CX9" s="99">
        <f t="shared" si="17"/>
        <v>0</v>
      </c>
      <c r="CY9" s="99"/>
      <c r="CZ9" s="99"/>
      <c r="DA9" s="99"/>
      <c r="DB9" s="99"/>
      <c r="DC9" s="99">
        <f t="shared" ref="DC9:DD11" si="18">SUM(CY9+DA9)</f>
        <v>0</v>
      </c>
      <c r="DD9" s="99">
        <f t="shared" si="18"/>
        <v>0</v>
      </c>
      <c r="DE9" s="99"/>
      <c r="DF9" s="99"/>
      <c r="DG9" s="99"/>
      <c r="DH9" s="99"/>
      <c r="DI9" s="99">
        <f t="shared" ref="DI9:DJ11" si="19">SUM(DE9+DG9)</f>
        <v>0</v>
      </c>
      <c r="DJ9" s="99">
        <f t="shared" si="19"/>
        <v>0</v>
      </c>
      <c r="DK9" s="99">
        <f t="shared" ref="DK9:DK11" si="20">SUM(AN9+AT9+AZ9+BG9+BN9+BU9+CA9+CG9+CM9+CS9+CY9+DE9)</f>
        <v>1000000</v>
      </c>
      <c r="DL9" s="99">
        <f t="shared" ref="DL9:DN11" si="21">SUM(AO9+AU9+BA9+BH9+BO9+BV9+CB9+CH9+CN9+CT9+CZ9+DF9)</f>
        <v>1350000</v>
      </c>
      <c r="DM9" s="99">
        <f t="shared" si="21"/>
        <v>200000</v>
      </c>
      <c r="DN9" s="99">
        <f t="shared" si="21"/>
        <v>0</v>
      </c>
      <c r="DO9" s="99">
        <f t="shared" ref="DO9:DP11" si="22">SUM(DK9+DM9)</f>
        <v>1200000</v>
      </c>
      <c r="DP9" s="99">
        <f t="shared" si="22"/>
        <v>1350000</v>
      </c>
    </row>
    <row r="10" spans="1:120" s="95" customFormat="1" ht="60">
      <c r="A10" s="15">
        <v>2</v>
      </c>
      <c r="B10" s="97" t="s">
        <v>708</v>
      </c>
      <c r="C10" s="96" t="s">
        <v>709</v>
      </c>
      <c r="D10" s="98" t="s">
        <v>710</v>
      </c>
      <c r="E10" s="159" t="s">
        <v>1165</v>
      </c>
      <c r="F10" s="161">
        <f t="shared" ref="F10:F11" si="23">SUM(DO10)</f>
        <v>2400000</v>
      </c>
      <c r="G10" s="161">
        <f t="shared" ref="G10:G11" si="24">AS10+AY10+BF10+BM10+BT10+BZ10+CF10+CL10+CR10+CX10+DD10+DJ10</f>
        <v>3761920.58</v>
      </c>
      <c r="H10" s="161">
        <f t="shared" ref="H10:H11" si="25">O10+G10</f>
        <v>4761920.58</v>
      </c>
      <c r="I10" s="165">
        <f t="shared" ref="I10:I11" si="26">K10+AM10+DO10</f>
        <v>3400000</v>
      </c>
      <c r="J10" s="99"/>
      <c r="K10" s="149">
        <v>0</v>
      </c>
      <c r="L10" s="149">
        <v>0</v>
      </c>
      <c r="M10" s="127">
        <f t="shared" ref="M10:M11" si="27">AM10</f>
        <v>1000000</v>
      </c>
      <c r="N10" s="127">
        <f>IF(AK10&gt;0,K10+AM10-L10,0)</f>
        <v>0</v>
      </c>
      <c r="O10" s="127">
        <f t="shared" ref="O10:O11" si="28">K10+M10</f>
        <v>1000000</v>
      </c>
      <c r="P10" s="131">
        <f t="shared" ref="P10:P11" si="29">I10-O10</f>
        <v>2400000</v>
      </c>
      <c r="Q10" s="125">
        <f>IF(AND(AK10&gt;0,DN10&gt;0),"შეცდომაა! ერთზე მეტი ბოლო ჩაბარება!",IF(OR(AK10&gt;0,DN10&gt;0,),IF(AK10&gt;0,K10+AM10,K10+AM10+DP10),IF(AND(K10=0,M10=0,DP10=0),"ნულოვანი შესრულება","მიმდინარეობს")))</f>
        <v>4761920.58</v>
      </c>
      <c r="R10" s="99">
        <v>1000000</v>
      </c>
      <c r="S10" s="99"/>
      <c r="T10" s="99">
        <f t="shared" si="3"/>
        <v>1000000</v>
      </c>
      <c r="U10" s="99">
        <f t="shared" si="4"/>
        <v>0</v>
      </c>
      <c r="V10" s="99">
        <v>0</v>
      </c>
      <c r="W10" s="99"/>
      <c r="X10" s="99"/>
      <c r="Y10" s="99"/>
      <c r="Z10" s="99">
        <f t="shared" si="5"/>
        <v>0</v>
      </c>
      <c r="AA10" s="99">
        <f t="shared" si="5"/>
        <v>0</v>
      </c>
      <c r="AB10" s="99">
        <v>1200000</v>
      </c>
      <c r="AC10" s="99"/>
      <c r="AD10" s="99"/>
      <c r="AE10" s="99"/>
      <c r="AF10" s="99">
        <f t="shared" si="6"/>
        <v>1200000</v>
      </c>
      <c r="AG10" s="99">
        <f t="shared" si="6"/>
        <v>0</v>
      </c>
      <c r="AH10" s="99">
        <f t="shared" ref="AH10:AH11" si="30">SUM(R10+V10+AB10)</f>
        <v>2200000</v>
      </c>
      <c r="AI10" s="99">
        <f t="shared" ref="AI10:AJ11" si="31">SUM(R10+W10+AC10)</f>
        <v>1000000</v>
      </c>
      <c r="AJ10" s="99">
        <f t="shared" si="31"/>
        <v>0</v>
      </c>
      <c r="AK10" s="99">
        <f t="shared" ref="AK10:AK11" si="32">SUM(S10+Y10+AE10)</f>
        <v>0</v>
      </c>
      <c r="AL10" s="99">
        <f t="shared" si="7"/>
        <v>2200000</v>
      </c>
      <c r="AM10" s="99">
        <f t="shared" si="7"/>
        <v>1000000</v>
      </c>
      <c r="AN10" s="99">
        <v>1200000</v>
      </c>
      <c r="AO10" s="99">
        <v>1200000</v>
      </c>
      <c r="AP10" s="99"/>
      <c r="AQ10" s="99"/>
      <c r="AR10" s="99">
        <f t="shared" si="8"/>
        <v>1200000</v>
      </c>
      <c r="AS10" s="99">
        <f t="shared" si="8"/>
        <v>1200000</v>
      </c>
      <c r="AT10" s="99">
        <v>500000</v>
      </c>
      <c r="AU10" s="99">
        <v>1160000</v>
      </c>
      <c r="AV10" s="99"/>
      <c r="AW10" s="99"/>
      <c r="AX10" s="99">
        <f t="shared" si="9"/>
        <v>500000</v>
      </c>
      <c r="AY10" s="99">
        <f t="shared" si="9"/>
        <v>1160000</v>
      </c>
      <c r="AZ10" s="99">
        <v>500000</v>
      </c>
      <c r="BA10" s="99">
        <v>1000000</v>
      </c>
      <c r="BB10" s="99"/>
      <c r="BC10" s="99"/>
      <c r="BD10" s="99">
        <f t="shared" si="10"/>
        <v>500000</v>
      </c>
      <c r="BE10" s="388">
        <v>570000</v>
      </c>
      <c r="BF10" s="99">
        <f>SUM(BA10+BC10)</f>
        <v>1000000</v>
      </c>
      <c r="BG10" s="99"/>
      <c r="BH10" s="99"/>
      <c r="BI10" s="99"/>
      <c r="BJ10" s="99"/>
      <c r="BK10" s="99">
        <f t="shared" si="11"/>
        <v>0</v>
      </c>
      <c r="BL10" s="388">
        <v>570000</v>
      </c>
      <c r="BM10" s="99">
        <f>SUM(BH10+BJ10)</f>
        <v>0</v>
      </c>
      <c r="BN10" s="99"/>
      <c r="BO10" s="99"/>
      <c r="BP10" s="99">
        <v>200000</v>
      </c>
      <c r="BQ10" s="99"/>
      <c r="BR10" s="99">
        <f t="shared" si="12"/>
        <v>200000</v>
      </c>
      <c r="BS10" s="99">
        <v>0</v>
      </c>
      <c r="BT10" s="99">
        <f>SUM(BO10+BQ10)</f>
        <v>0</v>
      </c>
      <c r="BU10" s="99"/>
      <c r="BV10" s="99"/>
      <c r="BW10" s="99"/>
      <c r="BX10" s="99"/>
      <c r="BY10" s="99">
        <f t="shared" si="13"/>
        <v>0</v>
      </c>
      <c r="BZ10" s="99">
        <f t="shared" si="13"/>
        <v>0</v>
      </c>
      <c r="CA10" s="99"/>
      <c r="CB10" s="99"/>
      <c r="CC10" s="99"/>
      <c r="CD10" s="99"/>
      <c r="CE10" s="99">
        <f t="shared" si="14"/>
        <v>0</v>
      </c>
      <c r="CF10" s="99">
        <f t="shared" si="14"/>
        <v>0</v>
      </c>
      <c r="CG10" s="99"/>
      <c r="CH10" s="99"/>
      <c r="CI10" s="99"/>
      <c r="CJ10" s="99">
        <v>401920.58</v>
      </c>
      <c r="CK10" s="99">
        <f t="shared" si="15"/>
        <v>0</v>
      </c>
      <c r="CL10" s="99">
        <f t="shared" si="15"/>
        <v>401920.58</v>
      </c>
      <c r="CM10" s="99"/>
      <c r="CN10" s="99"/>
      <c r="CO10" s="99"/>
      <c r="CP10" s="99"/>
      <c r="CQ10" s="99">
        <f t="shared" si="16"/>
        <v>0</v>
      </c>
      <c r="CR10" s="99">
        <f t="shared" si="16"/>
        <v>0</v>
      </c>
      <c r="CS10" s="99"/>
      <c r="CT10" s="99"/>
      <c r="CU10" s="99"/>
      <c r="CV10" s="99"/>
      <c r="CW10" s="99">
        <f t="shared" si="17"/>
        <v>0</v>
      </c>
      <c r="CX10" s="99">
        <f t="shared" si="17"/>
        <v>0</v>
      </c>
      <c r="CY10" s="99"/>
      <c r="CZ10" s="99"/>
      <c r="DA10" s="99"/>
      <c r="DB10" s="99"/>
      <c r="DC10" s="99">
        <f t="shared" si="18"/>
        <v>0</v>
      </c>
      <c r="DD10" s="99">
        <f t="shared" si="18"/>
        <v>0</v>
      </c>
      <c r="DE10" s="99"/>
      <c r="DF10" s="99"/>
      <c r="DG10" s="99"/>
      <c r="DH10" s="99"/>
      <c r="DI10" s="99">
        <f t="shared" si="19"/>
        <v>0</v>
      </c>
      <c r="DJ10" s="99">
        <f t="shared" si="19"/>
        <v>0</v>
      </c>
      <c r="DK10" s="99">
        <f t="shared" si="20"/>
        <v>2200000</v>
      </c>
      <c r="DL10" s="99">
        <f t="shared" si="21"/>
        <v>3360000</v>
      </c>
      <c r="DM10" s="99">
        <f t="shared" si="21"/>
        <v>200000</v>
      </c>
      <c r="DN10" s="99">
        <f t="shared" si="21"/>
        <v>401920.58</v>
      </c>
      <c r="DO10" s="99">
        <f t="shared" si="22"/>
        <v>2400000</v>
      </c>
      <c r="DP10" s="99">
        <f t="shared" si="22"/>
        <v>3761920.58</v>
      </c>
    </row>
    <row r="11" spans="1:120" s="95" customFormat="1" ht="60">
      <c r="A11" s="15">
        <v>3</v>
      </c>
      <c r="B11" s="96" t="s">
        <v>711</v>
      </c>
      <c r="C11" s="96" t="s">
        <v>712</v>
      </c>
      <c r="D11" s="97" t="s">
        <v>713</v>
      </c>
      <c r="E11" s="160" t="s">
        <v>1175</v>
      </c>
      <c r="F11" s="161">
        <f t="shared" si="23"/>
        <v>0</v>
      </c>
      <c r="G11" s="161">
        <f t="shared" si="24"/>
        <v>0</v>
      </c>
      <c r="H11" s="161">
        <f t="shared" si="25"/>
        <v>1206050.75</v>
      </c>
      <c r="I11" s="165">
        <f t="shared" si="26"/>
        <v>1206050.75</v>
      </c>
      <c r="J11" s="96"/>
      <c r="K11" s="162">
        <v>902895.29</v>
      </c>
      <c r="L11" s="149">
        <v>0</v>
      </c>
      <c r="M11" s="127">
        <f t="shared" si="27"/>
        <v>303155.46000000002</v>
      </c>
      <c r="N11" s="127">
        <f>IF(AK11&gt;0,K11+AM11-L11,0)</f>
        <v>1206050.75</v>
      </c>
      <c r="O11" s="127">
        <f t="shared" si="28"/>
        <v>1206050.75</v>
      </c>
      <c r="P11" s="131">
        <f t="shared" si="29"/>
        <v>0</v>
      </c>
      <c r="Q11" s="125">
        <f>IF(AND(AK11&gt;0,DN11&gt;0),"შეცდომაა! ერთზე მეტი ბოლო ჩაბარება!",IF(OR(AK11&gt;0,DN11&gt;0,),IF(AK11&gt;0,K11+AM11,K11+AM11+DP11),IF(AND(K11=0,M11=0,DP11=0),"ნულოვანი შესრულება","მიმდინარეობს")))</f>
        <v>1206050.75</v>
      </c>
      <c r="R11" s="99">
        <v>273024.75</v>
      </c>
      <c r="S11" s="99">
        <v>30130.71</v>
      </c>
      <c r="T11" s="99">
        <f t="shared" si="3"/>
        <v>1175920.04</v>
      </c>
      <c r="U11" s="99">
        <f t="shared" si="4"/>
        <v>30130.71</v>
      </c>
      <c r="V11" s="99">
        <v>0</v>
      </c>
      <c r="W11" s="99">
        <v>0</v>
      </c>
      <c r="X11" s="99"/>
      <c r="Y11" s="99"/>
      <c r="Z11" s="99">
        <f t="shared" si="5"/>
        <v>0</v>
      </c>
      <c r="AA11" s="99">
        <f t="shared" si="5"/>
        <v>0</v>
      </c>
      <c r="AB11" s="99"/>
      <c r="AC11" s="99"/>
      <c r="AD11" s="99"/>
      <c r="AE11" s="99"/>
      <c r="AF11" s="99">
        <f t="shared" si="6"/>
        <v>0</v>
      </c>
      <c r="AG11" s="99">
        <f t="shared" si="6"/>
        <v>0</v>
      </c>
      <c r="AH11" s="99">
        <f t="shared" si="30"/>
        <v>273024.75</v>
      </c>
      <c r="AI11" s="99">
        <f t="shared" si="31"/>
        <v>273024.75</v>
      </c>
      <c r="AJ11" s="99">
        <f t="shared" si="31"/>
        <v>30130.71</v>
      </c>
      <c r="AK11" s="99">
        <f t="shared" si="32"/>
        <v>30130.71</v>
      </c>
      <c r="AL11" s="99">
        <f t="shared" si="7"/>
        <v>303155.46000000002</v>
      </c>
      <c r="AM11" s="99">
        <f t="shared" si="7"/>
        <v>303155.46000000002</v>
      </c>
      <c r="AN11" s="99"/>
      <c r="AO11" s="99"/>
      <c r="AP11" s="99"/>
      <c r="AQ11" s="99"/>
      <c r="AR11" s="99">
        <f t="shared" si="8"/>
        <v>0</v>
      </c>
      <c r="AS11" s="99">
        <f t="shared" si="8"/>
        <v>0</v>
      </c>
      <c r="AT11" s="99"/>
      <c r="AU11" s="99"/>
      <c r="AV11" s="99"/>
      <c r="AW11" s="99"/>
      <c r="AX11" s="99">
        <f t="shared" si="9"/>
        <v>0</v>
      </c>
      <c r="AY11" s="99">
        <f t="shared" si="9"/>
        <v>0</v>
      </c>
      <c r="AZ11" s="99"/>
      <c r="BA11" s="99"/>
      <c r="BB11" s="99"/>
      <c r="BC11" s="99"/>
      <c r="BD11" s="99">
        <f t="shared" si="10"/>
        <v>0</v>
      </c>
      <c r="BE11" s="99"/>
      <c r="BF11" s="99">
        <f>SUM(BA11+BC11)</f>
        <v>0</v>
      </c>
      <c r="BG11" s="99"/>
      <c r="BH11" s="99"/>
      <c r="BI11" s="99"/>
      <c r="BJ11" s="99"/>
      <c r="BK11" s="99">
        <f t="shared" si="11"/>
        <v>0</v>
      </c>
      <c r="BL11" s="99"/>
      <c r="BM11" s="99">
        <f>SUM(BH11+BJ11)</f>
        <v>0</v>
      </c>
      <c r="BN11" s="99"/>
      <c r="BO11" s="99"/>
      <c r="BP11" s="99"/>
      <c r="BQ11" s="99"/>
      <c r="BR11" s="99">
        <f t="shared" si="12"/>
        <v>0</v>
      </c>
      <c r="BS11" s="99">
        <v>0</v>
      </c>
      <c r="BT11" s="99">
        <f>SUM(BO11+BQ11)</f>
        <v>0</v>
      </c>
      <c r="BU11" s="99"/>
      <c r="BV11" s="99"/>
      <c r="BW11" s="99"/>
      <c r="BX11" s="99"/>
      <c r="BY11" s="99">
        <f t="shared" si="13"/>
        <v>0</v>
      </c>
      <c r="BZ11" s="99">
        <f t="shared" si="13"/>
        <v>0</v>
      </c>
      <c r="CA11" s="99"/>
      <c r="CB11" s="99"/>
      <c r="CC11" s="99"/>
      <c r="CD11" s="99"/>
      <c r="CE11" s="99">
        <f t="shared" si="14"/>
        <v>0</v>
      </c>
      <c r="CF11" s="99">
        <f t="shared" si="14"/>
        <v>0</v>
      </c>
      <c r="CG11" s="99"/>
      <c r="CH11" s="99"/>
      <c r="CI11" s="99"/>
      <c r="CJ11" s="99"/>
      <c r="CK11" s="99">
        <f t="shared" si="15"/>
        <v>0</v>
      </c>
      <c r="CL11" s="99">
        <f t="shared" si="15"/>
        <v>0</v>
      </c>
      <c r="CM11" s="99"/>
      <c r="CN11" s="99"/>
      <c r="CO11" s="99"/>
      <c r="CP11" s="99"/>
      <c r="CQ11" s="99">
        <f t="shared" si="16"/>
        <v>0</v>
      </c>
      <c r="CR11" s="99">
        <f t="shared" si="16"/>
        <v>0</v>
      </c>
      <c r="CS11" s="99"/>
      <c r="CT11" s="99"/>
      <c r="CU11" s="99"/>
      <c r="CV11" s="99"/>
      <c r="CW11" s="99">
        <f t="shared" si="17"/>
        <v>0</v>
      </c>
      <c r="CX11" s="99">
        <f t="shared" si="17"/>
        <v>0</v>
      </c>
      <c r="CY11" s="99"/>
      <c r="CZ11" s="99"/>
      <c r="DA11" s="99"/>
      <c r="DB11" s="99"/>
      <c r="DC11" s="99">
        <f t="shared" si="18"/>
        <v>0</v>
      </c>
      <c r="DD11" s="99">
        <f t="shared" si="18"/>
        <v>0</v>
      </c>
      <c r="DE11" s="99"/>
      <c r="DF11" s="99"/>
      <c r="DG11" s="99"/>
      <c r="DH11" s="99"/>
      <c r="DI11" s="99">
        <f t="shared" si="19"/>
        <v>0</v>
      </c>
      <c r="DJ11" s="99">
        <f t="shared" si="19"/>
        <v>0</v>
      </c>
      <c r="DK11" s="99">
        <f t="shared" si="20"/>
        <v>0</v>
      </c>
      <c r="DL11" s="99">
        <f t="shared" si="21"/>
        <v>0</v>
      </c>
      <c r="DM11" s="99">
        <f t="shared" si="21"/>
        <v>0</v>
      </c>
      <c r="DN11" s="99">
        <f t="shared" si="21"/>
        <v>0</v>
      </c>
      <c r="DO11" s="99">
        <f t="shared" si="22"/>
        <v>0</v>
      </c>
      <c r="DP11" s="99">
        <f t="shared" si="22"/>
        <v>0</v>
      </c>
    </row>
    <row r="12" spans="1:120">
      <c r="A12" s="92"/>
    </row>
    <row r="13" spans="1:120">
      <c r="A13" s="92"/>
    </row>
    <row r="14" spans="1:120">
      <c r="A14" s="92"/>
    </row>
    <row r="15" spans="1:120">
      <c r="A15" s="92"/>
    </row>
    <row r="16" spans="1:120">
      <c r="A16" s="92"/>
    </row>
    <row r="17" spans="1:1">
      <c r="A17" s="92"/>
    </row>
    <row r="18" spans="1:1">
      <c r="A18" s="92"/>
    </row>
    <row r="19" spans="1:1">
      <c r="A19" s="92"/>
    </row>
    <row r="20" spans="1:1">
      <c r="A20" s="92"/>
    </row>
    <row r="21" spans="1:1">
      <c r="A21" s="92"/>
    </row>
    <row r="22" spans="1:1">
      <c r="A22" s="92"/>
    </row>
    <row r="23" spans="1:1">
      <c r="A23" s="92"/>
    </row>
    <row r="24" spans="1:1">
      <c r="A24" s="92"/>
    </row>
    <row r="25" spans="1:1">
      <c r="A25" s="92"/>
    </row>
    <row r="26" spans="1:1">
      <c r="A26" s="92"/>
    </row>
    <row r="27" spans="1:1">
      <c r="A27" s="92"/>
    </row>
    <row r="28" spans="1:1">
      <c r="A28" s="92"/>
    </row>
    <row r="29" spans="1:1">
      <c r="A29" s="92"/>
    </row>
    <row r="30" spans="1:1">
      <c r="A30" s="92"/>
    </row>
    <row r="31" spans="1:1">
      <c r="A31" s="92"/>
    </row>
    <row r="32" spans="1:1">
      <c r="A32" s="92"/>
    </row>
    <row r="33" spans="1:1">
      <c r="A33" s="92"/>
    </row>
    <row r="34" spans="1:1">
      <c r="A34" s="92"/>
    </row>
    <row r="35" spans="1:1">
      <c r="A35" s="92"/>
    </row>
    <row r="36" spans="1:1">
      <c r="A36" s="92"/>
    </row>
    <row r="37" spans="1:1">
      <c r="A37" s="92"/>
    </row>
    <row r="38" spans="1:1">
      <c r="A38" s="92"/>
    </row>
    <row r="39" spans="1:1">
      <c r="A39" s="92"/>
    </row>
    <row r="40" spans="1:1">
      <c r="A40" s="92"/>
    </row>
    <row r="41" spans="1:1">
      <c r="A41" s="92"/>
    </row>
    <row r="42" spans="1:1">
      <c r="A42" s="92"/>
    </row>
    <row r="43" spans="1:1">
      <c r="A43" s="92"/>
    </row>
    <row r="44" spans="1:1">
      <c r="A44" s="92"/>
    </row>
    <row r="45" spans="1:1">
      <c r="A45" s="92"/>
    </row>
    <row r="46" spans="1:1">
      <c r="A46" s="92"/>
    </row>
    <row r="47" spans="1:1">
      <c r="A47" s="92"/>
    </row>
    <row r="48" spans="1:1">
      <c r="A48" s="92"/>
    </row>
    <row r="49" spans="1:1">
      <c r="A49" s="92"/>
    </row>
    <row r="50" spans="1:1">
      <c r="A50" s="92"/>
    </row>
    <row r="51" spans="1:1">
      <c r="A51" s="92"/>
    </row>
    <row r="52" spans="1:1">
      <c r="A52" s="92"/>
    </row>
  </sheetData>
  <mergeCells count="91">
    <mergeCell ref="A7:D7"/>
    <mergeCell ref="DE5:DF5"/>
    <mergeCell ref="DG5:DH5"/>
    <mergeCell ref="DI5:DJ5"/>
    <mergeCell ref="DK5:DL5"/>
    <mergeCell ref="CG5:CH5"/>
    <mergeCell ref="CI5:CJ5"/>
    <mergeCell ref="CK5:CL5"/>
    <mergeCell ref="CM5:CN5"/>
    <mergeCell ref="CO5:CP5"/>
    <mergeCell ref="CQ5:CR5"/>
    <mergeCell ref="BU5:BV5"/>
    <mergeCell ref="BW5:BX5"/>
    <mergeCell ref="BY5:BZ5"/>
    <mergeCell ref="CA5:CB5"/>
    <mergeCell ref="CC5:CD5"/>
    <mergeCell ref="DM5:DN5"/>
    <mergeCell ref="DO5:DP5"/>
    <mergeCell ref="CS5:CT5"/>
    <mergeCell ref="CU5:CV5"/>
    <mergeCell ref="CW5:CX5"/>
    <mergeCell ref="CY5:CZ5"/>
    <mergeCell ref="DA5:DB5"/>
    <mergeCell ref="DC5:DD5"/>
    <mergeCell ref="AZ5:BA5"/>
    <mergeCell ref="BB5:BC5"/>
    <mergeCell ref="CE5:CF5"/>
    <mergeCell ref="BG5:BH5"/>
    <mergeCell ref="BI5:BJ5"/>
    <mergeCell ref="BK5:BM5"/>
    <mergeCell ref="BN5:BO5"/>
    <mergeCell ref="BP5:BQ5"/>
    <mergeCell ref="BR5:BT5"/>
    <mergeCell ref="DE4:DJ4"/>
    <mergeCell ref="V5:W5"/>
    <mergeCell ref="X5:Y5"/>
    <mergeCell ref="Z5:AA5"/>
    <mergeCell ref="AB5:AC5"/>
    <mergeCell ref="AD5:AE5"/>
    <mergeCell ref="BD5:BF5"/>
    <mergeCell ref="AH5:AI5"/>
    <mergeCell ref="AJ5:AK5"/>
    <mergeCell ref="AL5:AM5"/>
    <mergeCell ref="AN5:AO5"/>
    <mergeCell ref="AP5:AQ5"/>
    <mergeCell ref="AR5:AS5"/>
    <mergeCell ref="AT5:AU5"/>
    <mergeCell ref="AV5:AW5"/>
    <mergeCell ref="AX5:AY5"/>
    <mergeCell ref="R3:S4"/>
    <mergeCell ref="T3:U4"/>
    <mergeCell ref="V3:AM3"/>
    <mergeCell ref="AF5:AG5"/>
    <mergeCell ref="K5:K6"/>
    <mergeCell ref="R5:R6"/>
    <mergeCell ref="S5:S6"/>
    <mergeCell ref="T5:T6"/>
    <mergeCell ref="U5:U6"/>
    <mergeCell ref="K3:L4"/>
    <mergeCell ref="M3:N4"/>
    <mergeCell ref="O3:O6"/>
    <mergeCell ref="L5:L6"/>
    <mergeCell ref="M5:M6"/>
    <mergeCell ref="N5:N6"/>
    <mergeCell ref="Q3:Q6"/>
    <mergeCell ref="AN3:DP3"/>
    <mergeCell ref="V4:AA4"/>
    <mergeCell ref="AB4:AG4"/>
    <mergeCell ref="AH4:AM4"/>
    <mergeCell ref="AN4:AS4"/>
    <mergeCell ref="AT4:AY4"/>
    <mergeCell ref="DK4:DP4"/>
    <mergeCell ref="AZ4:BF4"/>
    <mergeCell ref="BG4:BM4"/>
    <mergeCell ref="BN4:BT4"/>
    <mergeCell ref="BU4:BZ4"/>
    <mergeCell ref="CA4:CF4"/>
    <mergeCell ref="CG4:CL4"/>
    <mergeCell ref="CM4:CR4"/>
    <mergeCell ref="CS4:CX4"/>
    <mergeCell ref="CY4:DD4"/>
    <mergeCell ref="J3:J6"/>
    <mergeCell ref="A3:A6"/>
    <mergeCell ref="B3:B6"/>
    <mergeCell ref="C3:C6"/>
    <mergeCell ref="D3:D6"/>
    <mergeCell ref="E3:E6"/>
    <mergeCell ref="F3:F6"/>
    <mergeCell ref="I3:I6"/>
    <mergeCell ref="G3:G6"/>
    <mergeCell ref="H3:H6"/>
  </mergeCells>
  <phoneticPr fontId="3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DT63"/>
  <sheetViews>
    <sheetView workbookViewId="0">
      <pane xSplit="39" ySplit="8" topLeftCell="CF9" activePane="bottomRight" state="frozen"/>
      <selection pane="topRight" activeCell="AN1" sqref="AN1"/>
      <selection pane="bottomLeft" activeCell="A9" sqref="A9"/>
      <selection pane="bottomRight" activeCell="CP5" sqref="CP5:CQ5"/>
    </sheetView>
  </sheetViews>
  <sheetFormatPr defaultColWidth="10.42578125" defaultRowHeight="15"/>
  <cols>
    <col min="1" max="1" width="6.140625" style="14" customWidth="1"/>
    <col min="2" max="2" width="31.140625" style="14" customWidth="1"/>
    <col min="3" max="3" width="10.7109375" style="14" customWidth="1"/>
    <col min="4" max="4" width="35" style="14" customWidth="1"/>
    <col min="5" max="5" width="15.5703125" style="14" bestFit="1" customWidth="1"/>
    <col min="6" max="8" width="14" style="14" customWidth="1"/>
    <col min="9" max="9" width="16.140625" style="14" hidden="1" customWidth="1"/>
    <col min="10" max="10" width="16.7109375" style="14" hidden="1" customWidth="1"/>
    <col min="11" max="16" width="14" style="14" hidden="1" customWidth="1"/>
    <col min="17" max="17" width="14" style="14" customWidth="1"/>
    <col min="18" max="18" width="13" style="14" hidden="1" customWidth="1"/>
    <col min="19" max="19" width="11.5703125" style="14" hidden="1" customWidth="1"/>
    <col min="20" max="20" width="13" style="14" hidden="1" customWidth="1"/>
    <col min="21" max="21" width="11.5703125" style="14" hidden="1" customWidth="1"/>
    <col min="22" max="22" width="9.85546875" style="14" hidden="1" customWidth="1"/>
    <col min="23" max="23" width="7.28515625" style="14" hidden="1" customWidth="1"/>
    <col min="24" max="24" width="9.85546875" style="14" hidden="1" customWidth="1"/>
    <col min="25" max="25" width="7.28515625" style="14" hidden="1" customWidth="1"/>
    <col min="26" max="26" width="9.85546875" style="14" hidden="1" customWidth="1"/>
    <col min="27" max="27" width="7.5703125" style="14" hidden="1" customWidth="1"/>
    <col min="28" max="28" width="6.140625" style="14" hidden="1" customWidth="1"/>
    <col min="29" max="29" width="7.28515625" style="14" hidden="1" customWidth="1"/>
    <col min="30" max="30" width="9.85546875" style="14" hidden="1" customWidth="1"/>
    <col min="31" max="31" width="7.28515625" style="14" hidden="1" customWidth="1"/>
    <col min="32" max="32" width="9.85546875" style="14" hidden="1" customWidth="1"/>
    <col min="33" max="33" width="7.5703125" style="14" hidden="1" customWidth="1"/>
    <col min="34" max="39" width="11.5703125" style="14" hidden="1" customWidth="1"/>
    <col min="40" max="42" width="11.5703125" style="14" bestFit="1" customWidth="1"/>
    <col min="43" max="43" width="9.85546875" style="14" bestFit="1" customWidth="1"/>
    <col min="44" max="45" width="11.5703125" style="14" bestFit="1" customWidth="1"/>
    <col min="46" max="46" width="12.28515625" style="14" customWidth="1"/>
    <col min="47" max="47" width="11.5703125" style="14" bestFit="1" customWidth="1"/>
    <col min="48" max="48" width="9.85546875" style="14" bestFit="1" customWidth="1"/>
    <col min="49" max="49" width="7.28515625" style="14" bestFit="1" customWidth="1"/>
    <col min="50" max="51" width="11.5703125" style="14" bestFit="1" customWidth="1"/>
    <col min="52" max="52" width="11.28515625" style="14" customWidth="1"/>
    <col min="53" max="53" width="13.42578125" style="14" customWidth="1"/>
    <col min="54" max="54" width="10.28515625" style="14" bestFit="1" customWidth="1"/>
    <col min="55" max="55" width="8.7109375" style="14" bestFit="1" customWidth="1"/>
    <col min="56" max="56" width="9.85546875" style="14" bestFit="1" customWidth="1"/>
    <col min="57" max="57" width="13.140625" style="14" bestFit="1" customWidth="1"/>
    <col min="58" max="58" width="11.5703125" style="14" bestFit="1" customWidth="1"/>
    <col min="59" max="59" width="11.85546875" style="14" customWidth="1"/>
    <col min="60" max="60" width="12.140625" style="14" bestFit="1" customWidth="1"/>
    <col min="61" max="61" width="11.28515625" style="14" customWidth="1"/>
    <col min="62" max="62" width="10.140625" style="14" customWidth="1"/>
    <col min="63" max="64" width="12.140625" style="14" customWidth="1"/>
    <col min="65" max="65" width="10.42578125" style="14" customWidth="1"/>
    <col min="66" max="118" width="11.28515625" style="14" customWidth="1"/>
    <col min="119" max="120" width="11.5703125" style="14" bestFit="1" customWidth="1"/>
    <col min="121" max="121" width="9.85546875" style="14" bestFit="1" customWidth="1"/>
    <col min="122" max="122" width="8.5703125" style="14" bestFit="1" customWidth="1"/>
    <col min="123" max="124" width="11.5703125" style="14" bestFit="1" customWidth="1"/>
    <col min="125" max="16384" width="10.42578125" style="14"/>
  </cols>
  <sheetData>
    <row r="1" spans="1:124" ht="15.75">
      <c r="B1" s="16" t="s">
        <v>714</v>
      </c>
      <c r="BH1" s="280">
        <v>2870000</v>
      </c>
      <c r="BI1" s="279">
        <f>BH1-BL22-BS22-BZ22-CG22-CN22-CU22</f>
        <v>0</v>
      </c>
    </row>
    <row r="2" spans="1:124" ht="15.75" thickBot="1">
      <c r="S2" s="166"/>
    </row>
    <row r="3" spans="1:124" ht="19.5" customHeight="1" thickBot="1">
      <c r="A3" s="513" t="s">
        <v>1</v>
      </c>
      <c r="B3" s="475" t="s">
        <v>2</v>
      </c>
      <c r="C3" s="475" t="s">
        <v>3</v>
      </c>
      <c r="D3" s="475" t="s">
        <v>4</v>
      </c>
      <c r="E3" s="516" t="s">
        <v>1176</v>
      </c>
      <c r="F3" s="516" t="s">
        <v>1170</v>
      </c>
      <c r="G3" s="519" t="s">
        <v>1242</v>
      </c>
      <c r="H3" s="585" t="s">
        <v>1197</v>
      </c>
      <c r="I3" s="510" t="s">
        <v>1178</v>
      </c>
      <c r="J3" s="475" t="s">
        <v>5</v>
      </c>
      <c r="K3" s="488" t="s">
        <v>6</v>
      </c>
      <c r="L3" s="489"/>
      <c r="M3" s="492" t="s">
        <v>9</v>
      </c>
      <c r="N3" s="493"/>
      <c r="O3" s="469" t="s">
        <v>1295</v>
      </c>
      <c r="P3" s="273"/>
      <c r="Q3" s="485" t="s">
        <v>1196</v>
      </c>
      <c r="R3" s="478" t="s">
        <v>7</v>
      </c>
      <c r="S3" s="479"/>
      <c r="T3" s="478" t="s">
        <v>8</v>
      </c>
      <c r="U3" s="479"/>
      <c r="V3" s="482" t="s">
        <v>9</v>
      </c>
      <c r="W3" s="483"/>
      <c r="X3" s="483"/>
      <c r="Y3" s="483"/>
      <c r="Z3" s="483"/>
      <c r="AA3" s="483"/>
      <c r="AB3" s="483"/>
      <c r="AC3" s="483"/>
      <c r="AD3" s="483"/>
      <c r="AE3" s="483"/>
      <c r="AF3" s="483"/>
      <c r="AG3" s="483"/>
      <c r="AH3" s="483"/>
      <c r="AI3" s="483"/>
      <c r="AJ3" s="483"/>
      <c r="AK3" s="483"/>
      <c r="AL3" s="483"/>
      <c r="AM3" s="484"/>
      <c r="AN3" s="499">
        <v>2025</v>
      </c>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3"/>
      <c r="DK3" s="483"/>
      <c r="DL3" s="483"/>
      <c r="DM3" s="483"/>
      <c r="DN3" s="483"/>
      <c r="DO3" s="483"/>
      <c r="DP3" s="483"/>
      <c r="DQ3" s="483"/>
      <c r="DR3" s="483"/>
      <c r="DS3" s="483"/>
      <c r="DT3" s="484"/>
    </row>
    <row r="4" spans="1:124" ht="51.75" customHeight="1" thickBot="1">
      <c r="A4" s="514"/>
      <c r="B4" s="476"/>
      <c r="C4" s="476"/>
      <c r="D4" s="476"/>
      <c r="E4" s="517"/>
      <c r="F4" s="517"/>
      <c r="G4" s="520"/>
      <c r="H4" s="586"/>
      <c r="I4" s="511"/>
      <c r="J4" s="476"/>
      <c r="K4" s="490"/>
      <c r="L4" s="491"/>
      <c r="M4" s="494"/>
      <c r="N4" s="495"/>
      <c r="O4" s="496"/>
      <c r="P4" s="271" t="s">
        <v>1234</v>
      </c>
      <c r="Q4" s="486"/>
      <c r="R4" s="480"/>
      <c r="S4" s="481"/>
      <c r="T4" s="480"/>
      <c r="U4" s="481"/>
      <c r="V4" s="500" t="s">
        <v>10</v>
      </c>
      <c r="W4" s="501"/>
      <c r="X4" s="501"/>
      <c r="Y4" s="501"/>
      <c r="Z4" s="501"/>
      <c r="AA4" s="502"/>
      <c r="AB4" s="500" t="s">
        <v>11</v>
      </c>
      <c r="AC4" s="501"/>
      <c r="AD4" s="501"/>
      <c r="AE4" s="501"/>
      <c r="AF4" s="501"/>
      <c r="AG4" s="502"/>
      <c r="AH4" s="503" t="s">
        <v>9</v>
      </c>
      <c r="AI4" s="504"/>
      <c r="AJ4" s="504"/>
      <c r="AK4" s="504"/>
      <c r="AL4" s="504"/>
      <c r="AM4" s="505"/>
      <c r="AN4" s="500" t="s">
        <v>12</v>
      </c>
      <c r="AO4" s="501"/>
      <c r="AP4" s="501"/>
      <c r="AQ4" s="501"/>
      <c r="AR4" s="501"/>
      <c r="AS4" s="502"/>
      <c r="AT4" s="500" t="s">
        <v>13</v>
      </c>
      <c r="AU4" s="501"/>
      <c r="AV4" s="501"/>
      <c r="AW4" s="501"/>
      <c r="AX4" s="501"/>
      <c r="AY4" s="502"/>
      <c r="AZ4" s="500" t="s">
        <v>14</v>
      </c>
      <c r="BA4" s="501"/>
      <c r="BB4" s="501"/>
      <c r="BC4" s="501"/>
      <c r="BD4" s="501"/>
      <c r="BE4" s="509"/>
      <c r="BF4" s="502"/>
      <c r="BG4" s="500" t="s">
        <v>15</v>
      </c>
      <c r="BH4" s="501"/>
      <c r="BI4" s="501"/>
      <c r="BJ4" s="501"/>
      <c r="BK4" s="501"/>
      <c r="BL4" s="509"/>
      <c r="BM4" s="502"/>
      <c r="BN4" s="500" t="s">
        <v>16</v>
      </c>
      <c r="BO4" s="501"/>
      <c r="BP4" s="501"/>
      <c r="BQ4" s="501"/>
      <c r="BR4" s="501"/>
      <c r="BS4" s="509"/>
      <c r="BT4" s="502"/>
      <c r="BU4" s="500" t="s">
        <v>17</v>
      </c>
      <c r="BV4" s="501"/>
      <c r="BW4" s="501"/>
      <c r="BX4" s="501"/>
      <c r="BY4" s="501"/>
      <c r="BZ4" s="509"/>
      <c r="CA4" s="502"/>
      <c r="CB4" s="500" t="s">
        <v>18</v>
      </c>
      <c r="CC4" s="501"/>
      <c r="CD4" s="501"/>
      <c r="CE4" s="501"/>
      <c r="CF4" s="501"/>
      <c r="CG4" s="509"/>
      <c r="CH4" s="502"/>
      <c r="CI4" s="500" t="s">
        <v>19</v>
      </c>
      <c r="CJ4" s="501"/>
      <c r="CK4" s="501"/>
      <c r="CL4" s="501"/>
      <c r="CM4" s="501"/>
      <c r="CN4" s="509"/>
      <c r="CO4" s="502"/>
      <c r="CP4" s="466" t="s">
        <v>20</v>
      </c>
      <c r="CQ4" s="467"/>
      <c r="CR4" s="467"/>
      <c r="CS4" s="467"/>
      <c r="CT4" s="467"/>
      <c r="CU4" s="468"/>
      <c r="CV4" s="525"/>
      <c r="CW4" s="500" t="s">
        <v>21</v>
      </c>
      <c r="CX4" s="501"/>
      <c r="CY4" s="501"/>
      <c r="CZ4" s="501"/>
      <c r="DA4" s="501"/>
      <c r="DB4" s="502"/>
      <c r="DC4" s="500" t="s">
        <v>22</v>
      </c>
      <c r="DD4" s="501"/>
      <c r="DE4" s="501"/>
      <c r="DF4" s="501"/>
      <c r="DG4" s="501"/>
      <c r="DH4" s="502"/>
      <c r="DI4" s="500" t="s">
        <v>23</v>
      </c>
      <c r="DJ4" s="501"/>
      <c r="DK4" s="501"/>
      <c r="DL4" s="501"/>
      <c r="DM4" s="501"/>
      <c r="DN4" s="502"/>
      <c r="DO4" s="506" t="s">
        <v>24</v>
      </c>
      <c r="DP4" s="507"/>
      <c r="DQ4" s="507"/>
      <c r="DR4" s="507"/>
      <c r="DS4" s="507"/>
      <c r="DT4" s="508"/>
    </row>
    <row r="5" spans="1:124">
      <c r="A5" s="514"/>
      <c r="B5" s="476"/>
      <c r="C5" s="476"/>
      <c r="D5" s="476"/>
      <c r="E5" s="517"/>
      <c r="F5" s="517"/>
      <c r="G5" s="520"/>
      <c r="H5" s="586"/>
      <c r="I5" s="511"/>
      <c r="J5" s="476"/>
      <c r="K5" s="469" t="s">
        <v>1169</v>
      </c>
      <c r="L5" s="469" t="s">
        <v>1171</v>
      </c>
      <c r="M5" s="498" t="s">
        <v>1172</v>
      </c>
      <c r="N5" s="469" t="s">
        <v>1177</v>
      </c>
      <c r="O5" s="496"/>
      <c r="P5" s="274"/>
      <c r="Q5" s="486"/>
      <c r="R5" s="471" t="s">
        <v>1169</v>
      </c>
      <c r="S5" s="473" t="s">
        <v>1168</v>
      </c>
      <c r="T5" s="471" t="s">
        <v>1169</v>
      </c>
      <c r="U5" s="473" t="s">
        <v>1168</v>
      </c>
      <c r="V5" s="464" t="s">
        <v>1167</v>
      </c>
      <c r="W5" s="460"/>
      <c r="X5" s="460" t="s">
        <v>1166</v>
      </c>
      <c r="Y5" s="461"/>
      <c r="Z5" s="462" t="s">
        <v>25</v>
      </c>
      <c r="AA5" s="463"/>
      <c r="AB5" s="464" t="s">
        <v>1167</v>
      </c>
      <c r="AC5" s="460"/>
      <c r="AD5" s="460" t="s">
        <v>1166</v>
      </c>
      <c r="AE5" s="461"/>
      <c r="AF5" s="462" t="s">
        <v>25</v>
      </c>
      <c r="AG5" s="463"/>
      <c r="AH5" s="464" t="s">
        <v>1167</v>
      </c>
      <c r="AI5" s="460"/>
      <c r="AJ5" s="460" t="s">
        <v>1166</v>
      </c>
      <c r="AK5" s="461"/>
      <c r="AL5" s="462" t="s">
        <v>25</v>
      </c>
      <c r="AM5" s="463"/>
      <c r="AN5" s="464" t="s">
        <v>1167</v>
      </c>
      <c r="AO5" s="460"/>
      <c r="AP5" s="460" t="s">
        <v>1166</v>
      </c>
      <c r="AQ5" s="461"/>
      <c r="AR5" s="462" t="s">
        <v>25</v>
      </c>
      <c r="AS5" s="463"/>
      <c r="AT5" s="464" t="s">
        <v>1167</v>
      </c>
      <c r="AU5" s="460"/>
      <c r="AV5" s="460" t="s">
        <v>1166</v>
      </c>
      <c r="AW5" s="461"/>
      <c r="AX5" s="462" t="s">
        <v>25</v>
      </c>
      <c r="AY5" s="463"/>
      <c r="AZ5" s="464" t="s">
        <v>1167</v>
      </c>
      <c r="BA5" s="460"/>
      <c r="BB5" s="460" t="s">
        <v>1166</v>
      </c>
      <c r="BC5" s="461"/>
      <c r="BD5" s="462" t="s">
        <v>25</v>
      </c>
      <c r="BE5" s="465"/>
      <c r="BF5" s="463"/>
      <c r="BG5" s="464" t="s">
        <v>1167</v>
      </c>
      <c r="BH5" s="460"/>
      <c r="BI5" s="460" t="s">
        <v>1166</v>
      </c>
      <c r="BJ5" s="461"/>
      <c r="BK5" s="462" t="s">
        <v>25</v>
      </c>
      <c r="BL5" s="465"/>
      <c r="BM5" s="463"/>
      <c r="BN5" s="464" t="s">
        <v>1167</v>
      </c>
      <c r="BO5" s="460"/>
      <c r="BP5" s="460" t="s">
        <v>1166</v>
      </c>
      <c r="BQ5" s="461"/>
      <c r="BR5" s="462" t="s">
        <v>25</v>
      </c>
      <c r="BS5" s="465"/>
      <c r="BT5" s="463"/>
      <c r="BU5" s="464" t="s">
        <v>1167</v>
      </c>
      <c r="BV5" s="460"/>
      <c r="BW5" s="460" t="s">
        <v>1166</v>
      </c>
      <c r="BX5" s="461"/>
      <c r="BY5" s="462" t="s">
        <v>25</v>
      </c>
      <c r="BZ5" s="465"/>
      <c r="CA5" s="463"/>
      <c r="CB5" s="464" t="s">
        <v>1167</v>
      </c>
      <c r="CC5" s="460"/>
      <c r="CD5" s="460" t="s">
        <v>1166</v>
      </c>
      <c r="CE5" s="461"/>
      <c r="CF5" s="462" t="s">
        <v>25</v>
      </c>
      <c r="CG5" s="465"/>
      <c r="CH5" s="463"/>
      <c r="CI5" s="464" t="s">
        <v>1167</v>
      </c>
      <c r="CJ5" s="460"/>
      <c r="CK5" s="460" t="s">
        <v>1166</v>
      </c>
      <c r="CL5" s="461"/>
      <c r="CM5" s="462" t="s">
        <v>25</v>
      </c>
      <c r="CN5" s="465"/>
      <c r="CO5" s="463"/>
      <c r="CP5" s="464" t="s">
        <v>1167</v>
      </c>
      <c r="CQ5" s="460"/>
      <c r="CR5" s="460" t="s">
        <v>1166</v>
      </c>
      <c r="CS5" s="461"/>
      <c r="CT5" s="462" t="s">
        <v>25</v>
      </c>
      <c r="CU5" s="465"/>
      <c r="CV5" s="463"/>
      <c r="CW5" s="464" t="s">
        <v>1167</v>
      </c>
      <c r="CX5" s="460"/>
      <c r="CY5" s="460" t="s">
        <v>1166</v>
      </c>
      <c r="CZ5" s="461"/>
      <c r="DA5" s="462" t="s">
        <v>25</v>
      </c>
      <c r="DB5" s="463"/>
      <c r="DC5" s="464" t="s">
        <v>1167</v>
      </c>
      <c r="DD5" s="460"/>
      <c r="DE5" s="460" t="s">
        <v>1166</v>
      </c>
      <c r="DF5" s="461"/>
      <c r="DG5" s="462" t="s">
        <v>25</v>
      </c>
      <c r="DH5" s="463"/>
      <c r="DI5" s="464" t="s">
        <v>1167</v>
      </c>
      <c r="DJ5" s="460"/>
      <c r="DK5" s="460" t="s">
        <v>1166</v>
      </c>
      <c r="DL5" s="461"/>
      <c r="DM5" s="462" t="s">
        <v>25</v>
      </c>
      <c r="DN5" s="463"/>
      <c r="DO5" s="464" t="s">
        <v>1167</v>
      </c>
      <c r="DP5" s="460"/>
      <c r="DQ5" s="460" t="s">
        <v>1166</v>
      </c>
      <c r="DR5" s="461"/>
      <c r="DS5" s="462" t="s">
        <v>25</v>
      </c>
      <c r="DT5" s="463"/>
    </row>
    <row r="6" spans="1:124" ht="15.75" thickBot="1">
      <c r="A6" s="515"/>
      <c r="B6" s="477"/>
      <c r="C6" s="477"/>
      <c r="D6" s="477"/>
      <c r="E6" s="518"/>
      <c r="F6" s="518"/>
      <c r="G6" s="521"/>
      <c r="H6" s="587"/>
      <c r="I6" s="512"/>
      <c r="J6" s="477"/>
      <c r="K6" s="470"/>
      <c r="L6" s="497"/>
      <c r="M6" s="497"/>
      <c r="N6" s="497"/>
      <c r="O6" s="470"/>
      <c r="P6" s="275"/>
      <c r="Q6" s="487"/>
      <c r="R6" s="472"/>
      <c r="S6" s="474"/>
      <c r="T6" s="472"/>
      <c r="U6" s="474"/>
      <c r="V6" s="2" t="s">
        <v>26</v>
      </c>
      <c r="W6" s="3" t="s">
        <v>27</v>
      </c>
      <c r="X6" s="3" t="s">
        <v>26</v>
      </c>
      <c r="Y6" s="4" t="s">
        <v>27</v>
      </c>
      <c r="Z6" s="5" t="s">
        <v>26</v>
      </c>
      <c r="AA6" s="6" t="s">
        <v>27</v>
      </c>
      <c r="AB6" s="2" t="s">
        <v>26</v>
      </c>
      <c r="AC6" s="3" t="s">
        <v>27</v>
      </c>
      <c r="AD6" s="3" t="s">
        <v>26</v>
      </c>
      <c r="AE6" s="4" t="s">
        <v>27</v>
      </c>
      <c r="AF6" s="5" t="s">
        <v>26</v>
      </c>
      <c r="AG6" s="6" t="s">
        <v>27</v>
      </c>
      <c r="AH6" s="2" t="s">
        <v>26</v>
      </c>
      <c r="AI6" s="3" t="s">
        <v>27</v>
      </c>
      <c r="AJ6" s="3" t="s">
        <v>26</v>
      </c>
      <c r="AK6" s="4" t="s">
        <v>27</v>
      </c>
      <c r="AL6" s="5" t="s">
        <v>26</v>
      </c>
      <c r="AM6" s="6" t="s">
        <v>27</v>
      </c>
      <c r="AN6" s="2" t="s">
        <v>26</v>
      </c>
      <c r="AO6" s="3" t="s">
        <v>27</v>
      </c>
      <c r="AP6" s="3" t="s">
        <v>26</v>
      </c>
      <c r="AQ6" s="4" t="s">
        <v>27</v>
      </c>
      <c r="AR6" s="5" t="s">
        <v>26</v>
      </c>
      <c r="AS6" s="6" t="s">
        <v>27</v>
      </c>
      <c r="AT6" s="2" t="s">
        <v>26</v>
      </c>
      <c r="AU6" s="3" t="s">
        <v>27</v>
      </c>
      <c r="AV6" s="3" t="s">
        <v>26</v>
      </c>
      <c r="AW6" s="4" t="s">
        <v>27</v>
      </c>
      <c r="AX6" s="5" t="s">
        <v>26</v>
      </c>
      <c r="AY6" s="6" t="s">
        <v>27</v>
      </c>
      <c r="AZ6" s="2" t="s">
        <v>26</v>
      </c>
      <c r="BA6" s="3" t="s">
        <v>27</v>
      </c>
      <c r="BB6" s="3" t="s">
        <v>26</v>
      </c>
      <c r="BC6" s="4" t="s">
        <v>27</v>
      </c>
      <c r="BD6" s="5" t="s">
        <v>26</v>
      </c>
      <c r="BE6" s="367" t="s">
        <v>1254</v>
      </c>
      <c r="BF6" s="6" t="s">
        <v>27</v>
      </c>
      <c r="BG6" s="2" t="s">
        <v>26</v>
      </c>
      <c r="BH6" s="3" t="s">
        <v>27</v>
      </c>
      <c r="BI6" s="3" t="s">
        <v>26</v>
      </c>
      <c r="BJ6" s="4" t="s">
        <v>27</v>
      </c>
      <c r="BK6" s="5" t="s">
        <v>26</v>
      </c>
      <c r="BL6" s="367" t="s">
        <v>1254</v>
      </c>
      <c r="BM6" s="6" t="s">
        <v>27</v>
      </c>
      <c r="BN6" s="2" t="s">
        <v>26</v>
      </c>
      <c r="BO6" s="3" t="s">
        <v>27</v>
      </c>
      <c r="BP6" s="3" t="s">
        <v>26</v>
      </c>
      <c r="BQ6" s="4" t="s">
        <v>27</v>
      </c>
      <c r="BR6" s="5" t="s">
        <v>26</v>
      </c>
      <c r="BS6" s="367" t="s">
        <v>1254</v>
      </c>
      <c r="BT6" s="6" t="s">
        <v>27</v>
      </c>
      <c r="BU6" s="2" t="s">
        <v>26</v>
      </c>
      <c r="BV6" s="3" t="s">
        <v>27</v>
      </c>
      <c r="BW6" s="3" t="s">
        <v>26</v>
      </c>
      <c r="BX6" s="4" t="s">
        <v>27</v>
      </c>
      <c r="BY6" s="5" t="s">
        <v>26</v>
      </c>
      <c r="BZ6" s="367" t="s">
        <v>1254</v>
      </c>
      <c r="CA6" s="6" t="s">
        <v>27</v>
      </c>
      <c r="CB6" s="2" t="s">
        <v>26</v>
      </c>
      <c r="CC6" s="3" t="s">
        <v>27</v>
      </c>
      <c r="CD6" s="3" t="s">
        <v>26</v>
      </c>
      <c r="CE6" s="4" t="s">
        <v>27</v>
      </c>
      <c r="CF6" s="5" t="s">
        <v>26</v>
      </c>
      <c r="CG6" s="367" t="s">
        <v>1254</v>
      </c>
      <c r="CH6" s="6" t="s">
        <v>27</v>
      </c>
      <c r="CI6" s="2" t="s">
        <v>26</v>
      </c>
      <c r="CJ6" s="3" t="s">
        <v>27</v>
      </c>
      <c r="CK6" s="3" t="s">
        <v>26</v>
      </c>
      <c r="CL6" s="4" t="s">
        <v>27</v>
      </c>
      <c r="CM6" s="5" t="s">
        <v>26</v>
      </c>
      <c r="CN6" s="367" t="s">
        <v>1254</v>
      </c>
      <c r="CO6" s="6" t="s">
        <v>27</v>
      </c>
      <c r="CP6" s="2" t="s">
        <v>26</v>
      </c>
      <c r="CQ6" s="3" t="s">
        <v>27</v>
      </c>
      <c r="CR6" s="3" t="s">
        <v>26</v>
      </c>
      <c r="CS6" s="4" t="s">
        <v>27</v>
      </c>
      <c r="CT6" s="5" t="s">
        <v>26</v>
      </c>
      <c r="CU6" s="367" t="s">
        <v>1254</v>
      </c>
      <c r="CV6" s="6" t="s">
        <v>27</v>
      </c>
      <c r="CW6" s="2" t="s">
        <v>26</v>
      </c>
      <c r="CX6" s="3" t="s">
        <v>27</v>
      </c>
      <c r="CY6" s="3" t="s">
        <v>26</v>
      </c>
      <c r="CZ6" s="4" t="s">
        <v>27</v>
      </c>
      <c r="DA6" s="5" t="s">
        <v>26</v>
      </c>
      <c r="DB6" s="6" t="s">
        <v>27</v>
      </c>
      <c r="DC6" s="2" t="s">
        <v>26</v>
      </c>
      <c r="DD6" s="3" t="s">
        <v>27</v>
      </c>
      <c r="DE6" s="3" t="s">
        <v>26</v>
      </c>
      <c r="DF6" s="4" t="s">
        <v>27</v>
      </c>
      <c r="DG6" s="5" t="s">
        <v>26</v>
      </c>
      <c r="DH6" s="6" t="s">
        <v>27</v>
      </c>
      <c r="DI6" s="2" t="s">
        <v>26</v>
      </c>
      <c r="DJ6" s="3" t="s">
        <v>27</v>
      </c>
      <c r="DK6" s="3" t="s">
        <v>26</v>
      </c>
      <c r="DL6" s="4" t="s">
        <v>27</v>
      </c>
      <c r="DM6" s="5" t="s">
        <v>26</v>
      </c>
      <c r="DN6" s="6" t="s">
        <v>27</v>
      </c>
      <c r="DO6" s="2" t="s">
        <v>26</v>
      </c>
      <c r="DP6" s="3" t="s">
        <v>27</v>
      </c>
      <c r="DQ6" s="3" t="s">
        <v>26</v>
      </c>
      <c r="DR6" s="4" t="s">
        <v>27</v>
      </c>
      <c r="DS6" s="5" t="s">
        <v>26</v>
      </c>
      <c r="DT6" s="6" t="s">
        <v>27</v>
      </c>
    </row>
    <row r="7" spans="1:124" s="151" customFormat="1" ht="15.75">
      <c r="A7" s="152">
        <f t="shared" ref="A7:D7" si="0">SUBTOTAL(3,A9:A22)</f>
        <v>14</v>
      </c>
      <c r="B7" s="152">
        <f t="shared" si="0"/>
        <v>14</v>
      </c>
      <c r="C7" s="152">
        <f t="shared" si="0"/>
        <v>14</v>
      </c>
      <c r="D7" s="152">
        <f t="shared" si="0"/>
        <v>14</v>
      </c>
      <c r="E7" s="152">
        <f>SUBTOTAL(3,E9:E22)</f>
        <v>14</v>
      </c>
      <c r="F7" s="152">
        <f t="shared" ref="F7:BV7" si="1">SUBTOTAL(9,F9:F22)</f>
        <v>10270000</v>
      </c>
      <c r="G7" s="152">
        <f t="shared" si="1"/>
        <v>9917716.3200000003</v>
      </c>
      <c r="H7" s="152">
        <f t="shared" si="1"/>
        <v>38786714.219999999</v>
      </c>
      <c r="I7" s="152">
        <f t="shared" si="1"/>
        <v>39138997.899999999</v>
      </c>
      <c r="J7" s="152">
        <f t="shared" si="1"/>
        <v>7037520</v>
      </c>
      <c r="K7" s="152">
        <f t="shared" si="1"/>
        <v>24667569.75</v>
      </c>
      <c r="L7" s="152">
        <f t="shared" si="1"/>
        <v>2554249.46</v>
      </c>
      <c r="M7" s="152">
        <f t="shared" si="1"/>
        <v>4201428.1500000004</v>
      </c>
      <c r="N7" s="152">
        <f t="shared" si="1"/>
        <v>12205548.440000001</v>
      </c>
      <c r="O7" s="152">
        <f t="shared" si="1"/>
        <v>28868997.899999999</v>
      </c>
      <c r="P7" s="152">
        <f t="shared" si="1"/>
        <v>10270000</v>
      </c>
      <c r="Q7" s="152">
        <f t="shared" si="1"/>
        <v>31756714.219999999</v>
      </c>
      <c r="R7" s="152">
        <f t="shared" si="1"/>
        <v>2300000</v>
      </c>
      <c r="S7" s="152">
        <f t="shared" si="1"/>
        <v>1892228.1500000001</v>
      </c>
      <c r="T7" s="152">
        <f t="shared" si="1"/>
        <v>26967569.75</v>
      </c>
      <c r="U7" s="152">
        <f t="shared" si="1"/>
        <v>1892228.1500000001</v>
      </c>
      <c r="V7" s="152">
        <f t="shared" si="1"/>
        <v>450000</v>
      </c>
      <c r="W7" s="152">
        <f t="shared" si="1"/>
        <v>5200</v>
      </c>
      <c r="X7" s="152">
        <f t="shared" si="1"/>
        <v>400000</v>
      </c>
      <c r="Y7" s="152">
        <f t="shared" si="1"/>
        <v>0</v>
      </c>
      <c r="Z7" s="152">
        <f t="shared" si="1"/>
        <v>850000</v>
      </c>
      <c r="AA7" s="152">
        <f t="shared" si="1"/>
        <v>5200</v>
      </c>
      <c r="AB7" s="152">
        <f t="shared" si="1"/>
        <v>0</v>
      </c>
      <c r="AC7" s="152">
        <f t="shared" si="1"/>
        <v>4000</v>
      </c>
      <c r="AD7" s="152">
        <f t="shared" si="1"/>
        <v>850000</v>
      </c>
      <c r="AE7" s="152">
        <f t="shared" si="1"/>
        <v>0</v>
      </c>
      <c r="AF7" s="152">
        <f t="shared" si="1"/>
        <v>850000</v>
      </c>
      <c r="AG7" s="152">
        <f t="shared" si="1"/>
        <v>4000</v>
      </c>
      <c r="AH7" s="152">
        <f t="shared" si="1"/>
        <v>2750000</v>
      </c>
      <c r="AI7" s="152">
        <f t="shared" si="1"/>
        <v>2309200</v>
      </c>
      <c r="AJ7" s="152">
        <f t="shared" si="1"/>
        <v>3142228.1500000004</v>
      </c>
      <c r="AK7" s="152">
        <f t="shared" si="1"/>
        <v>1892228.1500000001</v>
      </c>
      <c r="AL7" s="152">
        <f t="shared" si="1"/>
        <v>5892228.1500000004</v>
      </c>
      <c r="AM7" s="152">
        <f t="shared" si="1"/>
        <v>4201428.1500000004</v>
      </c>
      <c r="AN7" s="152">
        <f t="shared" si="1"/>
        <v>3800000</v>
      </c>
      <c r="AO7" s="152">
        <f t="shared" si="1"/>
        <v>3800000</v>
      </c>
      <c r="AP7" s="152">
        <f t="shared" si="1"/>
        <v>1070000</v>
      </c>
      <c r="AQ7" s="152">
        <f t="shared" si="1"/>
        <v>794000</v>
      </c>
      <c r="AR7" s="152">
        <f t="shared" si="1"/>
        <v>4870000</v>
      </c>
      <c r="AS7" s="152">
        <f t="shared" si="1"/>
        <v>4594000</v>
      </c>
      <c r="AT7" s="152">
        <f t="shared" si="1"/>
        <v>1300000</v>
      </c>
      <c r="AU7" s="152">
        <f t="shared" si="1"/>
        <v>1330000</v>
      </c>
      <c r="AV7" s="152">
        <f t="shared" si="1"/>
        <v>0</v>
      </c>
      <c r="AW7" s="152">
        <f t="shared" si="1"/>
        <v>0</v>
      </c>
      <c r="AX7" s="152">
        <f t="shared" si="1"/>
        <v>1300000</v>
      </c>
      <c r="AY7" s="152">
        <f t="shared" si="1"/>
        <v>1330000</v>
      </c>
      <c r="AZ7" s="152">
        <f t="shared" si="1"/>
        <v>850000</v>
      </c>
      <c r="BA7" s="152">
        <f t="shared" si="1"/>
        <v>1100000</v>
      </c>
      <c r="BB7" s="152">
        <f t="shared" si="1"/>
        <v>0</v>
      </c>
      <c r="BC7" s="152">
        <f t="shared" si="1"/>
        <v>12004.05</v>
      </c>
      <c r="BD7" s="152">
        <f t="shared" si="1"/>
        <v>850000</v>
      </c>
      <c r="BE7" s="152">
        <f t="shared" si="1"/>
        <v>1538800</v>
      </c>
      <c r="BF7" s="152">
        <f t="shared" si="1"/>
        <v>1112004.05</v>
      </c>
      <c r="BG7" s="152">
        <f t="shared" si="1"/>
        <v>500000</v>
      </c>
      <c r="BH7" s="152">
        <f t="shared" si="1"/>
        <v>0</v>
      </c>
      <c r="BI7" s="152">
        <f t="shared" si="1"/>
        <v>200000</v>
      </c>
      <c r="BJ7" s="152">
        <f t="shared" si="1"/>
        <v>21643</v>
      </c>
      <c r="BK7" s="152">
        <f t="shared" si="1"/>
        <v>700000</v>
      </c>
      <c r="BL7" s="152">
        <f t="shared" si="1"/>
        <v>618000</v>
      </c>
      <c r="BM7" s="152">
        <f t="shared" si="1"/>
        <v>21643</v>
      </c>
      <c r="BN7" s="152">
        <f t="shared" si="1"/>
        <v>500000</v>
      </c>
      <c r="BO7" s="152">
        <f t="shared" si="1"/>
        <v>1500000</v>
      </c>
      <c r="BP7" s="152">
        <f t="shared" si="1"/>
        <v>0</v>
      </c>
      <c r="BQ7" s="152">
        <f t="shared" si="1"/>
        <v>0</v>
      </c>
      <c r="BR7" s="152">
        <f t="shared" si="1"/>
        <v>500000</v>
      </c>
      <c r="BS7" s="152">
        <f t="shared" si="1"/>
        <v>500000</v>
      </c>
      <c r="BT7" s="152">
        <f t="shared" si="1"/>
        <v>1500000</v>
      </c>
      <c r="BU7" s="152">
        <f t="shared" si="1"/>
        <v>500000</v>
      </c>
      <c r="BV7" s="152">
        <f t="shared" si="1"/>
        <v>0</v>
      </c>
      <c r="BW7" s="152">
        <f t="shared" ref="BW7:DT7" si="2">SUBTOTAL(9,BW9:BW22)</f>
        <v>0</v>
      </c>
      <c r="BX7" s="152">
        <f t="shared" si="2"/>
        <v>0</v>
      </c>
      <c r="BY7" s="152">
        <f t="shared" si="2"/>
        <v>500000</v>
      </c>
      <c r="BZ7" s="152">
        <f t="shared" si="2"/>
        <v>500000</v>
      </c>
      <c r="CA7" s="152">
        <f t="shared" si="2"/>
        <v>0</v>
      </c>
      <c r="CB7" s="152">
        <f t="shared" si="2"/>
        <v>500000</v>
      </c>
      <c r="CC7" s="152">
        <f t="shared" si="2"/>
        <v>0</v>
      </c>
      <c r="CD7" s="152">
        <f t="shared" si="2"/>
        <v>0</v>
      </c>
      <c r="CE7" s="152">
        <f t="shared" si="2"/>
        <v>0</v>
      </c>
      <c r="CF7" s="152">
        <f t="shared" si="2"/>
        <v>500000</v>
      </c>
      <c r="CG7" s="152">
        <f t="shared" si="2"/>
        <v>500000</v>
      </c>
      <c r="CH7" s="152">
        <f t="shared" si="2"/>
        <v>0</v>
      </c>
      <c r="CI7" s="152">
        <f t="shared" si="2"/>
        <v>500000</v>
      </c>
      <c r="CJ7" s="152">
        <f t="shared" si="2"/>
        <v>700000</v>
      </c>
      <c r="CK7" s="152">
        <f t="shared" si="2"/>
        <v>0</v>
      </c>
      <c r="CL7" s="152">
        <f t="shared" si="2"/>
        <v>0</v>
      </c>
      <c r="CM7" s="152">
        <f t="shared" si="2"/>
        <v>500000</v>
      </c>
      <c r="CN7" s="152">
        <f t="shared" si="2"/>
        <v>500000</v>
      </c>
      <c r="CO7" s="152">
        <f t="shared" si="2"/>
        <v>700000</v>
      </c>
      <c r="CP7" s="152">
        <f t="shared" si="2"/>
        <v>550000</v>
      </c>
      <c r="CQ7" s="152">
        <f t="shared" si="2"/>
        <v>500000</v>
      </c>
      <c r="CR7" s="152">
        <f t="shared" si="2"/>
        <v>0</v>
      </c>
      <c r="CS7" s="152">
        <f t="shared" si="2"/>
        <v>160069.26999999999</v>
      </c>
      <c r="CT7" s="152">
        <f t="shared" si="2"/>
        <v>550000</v>
      </c>
      <c r="CU7" s="152">
        <f t="shared" si="2"/>
        <v>370000</v>
      </c>
      <c r="CV7" s="152">
        <f t="shared" si="2"/>
        <v>660069.27</v>
      </c>
      <c r="CW7" s="152">
        <f t="shared" si="2"/>
        <v>0</v>
      </c>
      <c r="CX7" s="152">
        <f t="shared" si="2"/>
        <v>0</v>
      </c>
      <c r="CY7" s="152">
        <f t="shared" si="2"/>
        <v>0</v>
      </c>
      <c r="CZ7" s="152">
        <f t="shared" si="2"/>
        <v>0</v>
      </c>
      <c r="DA7" s="152">
        <f t="shared" si="2"/>
        <v>0</v>
      </c>
      <c r="DB7" s="152">
        <f t="shared" si="2"/>
        <v>0</v>
      </c>
      <c r="DC7" s="152">
        <f t="shared" si="2"/>
        <v>0</v>
      </c>
      <c r="DD7" s="152">
        <f t="shared" si="2"/>
        <v>0</v>
      </c>
      <c r="DE7" s="152">
        <f t="shared" si="2"/>
        <v>0</v>
      </c>
      <c r="DF7" s="152">
        <f t="shared" si="2"/>
        <v>0</v>
      </c>
      <c r="DG7" s="152">
        <f t="shared" si="2"/>
        <v>0</v>
      </c>
      <c r="DH7" s="152">
        <f t="shared" si="2"/>
        <v>0</v>
      </c>
      <c r="DI7" s="152">
        <f t="shared" si="2"/>
        <v>0</v>
      </c>
      <c r="DJ7" s="152">
        <f t="shared" si="2"/>
        <v>0</v>
      </c>
      <c r="DK7" s="152">
        <f t="shared" si="2"/>
        <v>0</v>
      </c>
      <c r="DL7" s="152">
        <f t="shared" si="2"/>
        <v>0</v>
      </c>
      <c r="DM7" s="152">
        <f t="shared" si="2"/>
        <v>0</v>
      </c>
      <c r="DN7" s="152">
        <f t="shared" si="2"/>
        <v>0</v>
      </c>
      <c r="DO7" s="152">
        <f t="shared" si="2"/>
        <v>9000000</v>
      </c>
      <c r="DP7" s="152">
        <f t="shared" si="2"/>
        <v>8930000</v>
      </c>
      <c r="DQ7" s="152">
        <f t="shared" si="2"/>
        <v>1270000</v>
      </c>
      <c r="DR7" s="152">
        <f t="shared" si="2"/>
        <v>987716.32000000007</v>
      </c>
      <c r="DS7" s="152">
        <f t="shared" si="2"/>
        <v>10270000</v>
      </c>
      <c r="DT7" s="152">
        <f t="shared" si="2"/>
        <v>9917716.3200000003</v>
      </c>
    </row>
    <row r="8" spans="1:124">
      <c r="A8" s="92"/>
      <c r="E8" s="158"/>
      <c r="F8" s="158"/>
      <c r="G8" s="158"/>
      <c r="H8" s="158"/>
      <c r="I8" s="158"/>
      <c r="J8" s="153"/>
      <c r="K8" s="154"/>
      <c r="L8" s="153"/>
      <c r="M8" s="153"/>
      <c r="N8" s="153"/>
      <c r="O8" s="153"/>
      <c r="P8" s="153"/>
      <c r="Q8" s="153"/>
      <c r="R8" s="153"/>
      <c r="S8" s="153"/>
      <c r="T8" s="153"/>
      <c r="U8" s="153"/>
      <c r="V8" s="153"/>
      <c r="W8" s="153"/>
      <c r="X8" s="153"/>
      <c r="Y8" s="153"/>
      <c r="Z8" s="153"/>
      <c r="AA8" s="153"/>
      <c r="AB8" s="153"/>
      <c r="AC8" s="153"/>
      <c r="AD8" s="153"/>
      <c r="AE8" s="153"/>
      <c r="AF8" s="153"/>
      <c r="AG8" s="153"/>
      <c r="AH8" s="153"/>
      <c r="AI8" s="153"/>
      <c r="AJ8" s="153"/>
      <c r="AK8" s="153"/>
      <c r="AL8" s="153"/>
      <c r="AM8" s="153"/>
      <c r="AN8" s="153"/>
      <c r="AO8" s="153"/>
      <c r="AP8" s="153"/>
      <c r="AQ8" s="153"/>
      <c r="AR8" s="153"/>
      <c r="AS8" s="153"/>
      <c r="AT8" s="153"/>
      <c r="AU8" s="153"/>
      <c r="AV8" s="153"/>
      <c r="AW8" s="153"/>
      <c r="AX8" s="153"/>
      <c r="AY8" s="153"/>
      <c r="AZ8" s="153"/>
      <c r="BA8" s="153"/>
      <c r="BB8" s="153"/>
      <c r="BC8" s="153"/>
      <c r="BD8" s="153"/>
      <c r="BE8" s="153"/>
      <c r="BF8" s="153"/>
      <c r="BG8" s="153"/>
      <c r="BH8" s="153"/>
      <c r="BI8" s="153"/>
      <c r="BJ8" s="153"/>
      <c r="BK8" s="153"/>
      <c r="BL8" s="153"/>
      <c r="BM8" s="153"/>
      <c r="BN8" s="153"/>
      <c r="BO8" s="153"/>
      <c r="BP8" s="153"/>
      <c r="BQ8" s="153"/>
      <c r="BR8" s="153"/>
      <c r="BS8" s="153"/>
      <c r="BT8" s="153"/>
      <c r="BU8" s="153"/>
      <c r="BV8" s="153"/>
      <c r="BW8" s="153"/>
      <c r="BX8" s="153"/>
      <c r="BY8" s="153"/>
      <c r="BZ8" s="153"/>
      <c r="CA8" s="153"/>
      <c r="CB8" s="153"/>
      <c r="CC8" s="153"/>
      <c r="CD8" s="153"/>
      <c r="CE8" s="153"/>
      <c r="CF8" s="153"/>
      <c r="CG8" s="153"/>
      <c r="CH8" s="153"/>
      <c r="CI8" s="153"/>
      <c r="CJ8" s="153"/>
      <c r="CK8" s="153"/>
      <c r="CL8" s="153"/>
      <c r="CM8" s="153"/>
      <c r="CN8" s="153"/>
      <c r="CO8" s="153"/>
      <c r="CP8" s="153"/>
      <c r="CQ8" s="153"/>
      <c r="CR8" s="153"/>
      <c r="CS8" s="153"/>
      <c r="CT8" s="153"/>
      <c r="CU8" s="153"/>
      <c r="CV8" s="153"/>
      <c r="CW8" s="153"/>
      <c r="CX8" s="153"/>
      <c r="CY8" s="153"/>
      <c r="CZ8" s="153"/>
      <c r="DA8" s="153"/>
      <c r="DB8" s="153"/>
      <c r="DC8" s="153"/>
      <c r="DD8" s="153"/>
      <c r="DE8" s="153"/>
      <c r="DF8" s="153"/>
      <c r="DG8" s="153"/>
      <c r="DH8" s="153"/>
      <c r="DI8" s="153"/>
      <c r="DJ8" s="153"/>
      <c r="DK8" s="153"/>
      <c r="DL8" s="153"/>
      <c r="DM8" s="153"/>
      <c r="DN8" s="153"/>
      <c r="DO8" s="153"/>
      <c r="DP8" s="153"/>
      <c r="DQ8" s="153"/>
      <c r="DR8" s="153"/>
      <c r="DS8" s="153"/>
      <c r="DT8" s="153"/>
    </row>
    <row r="9" spans="1:124" s="95" customFormat="1" ht="30">
      <c r="A9" s="15">
        <v>1</v>
      </c>
      <c r="B9" s="96" t="s">
        <v>715</v>
      </c>
      <c r="C9" s="96" t="s">
        <v>716</v>
      </c>
      <c r="D9" s="98" t="s">
        <v>717</v>
      </c>
      <c r="E9" s="159" t="s">
        <v>1165</v>
      </c>
      <c r="F9" s="161">
        <f>SUM(DS9)</f>
        <v>920000</v>
      </c>
      <c r="G9" s="161">
        <f>AS9+AY9+BF9+BM9+BT9+CA9+CH9+CO9+CV9+DB9+DH9+DN9</f>
        <v>566004.05000000005</v>
      </c>
      <c r="H9" s="161">
        <f>O9+G9</f>
        <v>1670004.05</v>
      </c>
      <c r="I9" s="165">
        <f>K9+AM9+DS9</f>
        <v>2024000</v>
      </c>
      <c r="J9" s="99"/>
      <c r="K9" s="162">
        <v>1100000</v>
      </c>
      <c r="L9" s="162">
        <v>0</v>
      </c>
      <c r="M9" s="127">
        <f t="shared" ref="M9:M13" si="3">AM9</f>
        <v>4000</v>
      </c>
      <c r="N9" s="127">
        <f t="shared" ref="N9:N13" si="4">IF(AK9&gt;0,K9+AM9-L9,0)</f>
        <v>0</v>
      </c>
      <c r="O9" s="127">
        <f t="shared" ref="O9:O13" si="5">K9+M9</f>
        <v>1104000</v>
      </c>
      <c r="P9" s="131">
        <f>I9-O9</f>
        <v>920000</v>
      </c>
      <c r="Q9" s="125">
        <f t="shared" ref="Q9:Q22" si="6">IF(AND(AK9&gt;0,DR9&gt;0),"შეცდომაა! ერთზე მეტი ბოლო ჩაბარება!",IF(OR(AK9&gt;0,DR9&gt;0,),IF(AK9&gt;0,K9+AM9,K9+AM9+DT9),IF(AND(K9=0,M9=0,DT9=0),"ნულოვანი შესრულება","მიმდინარეობს")))</f>
        <v>1670004.05</v>
      </c>
      <c r="R9" s="99"/>
      <c r="S9" s="99"/>
      <c r="T9" s="99">
        <f>SUM(K9+R9)</f>
        <v>1100000</v>
      </c>
      <c r="U9" s="99">
        <f>SUM(S9)</f>
        <v>0</v>
      </c>
      <c r="V9" s="99">
        <v>250000</v>
      </c>
      <c r="W9" s="99"/>
      <c r="X9" s="99"/>
      <c r="Y9" s="99"/>
      <c r="Z9" s="99">
        <f>SUM(V9+X9)</f>
        <v>250000</v>
      </c>
      <c r="AA9" s="99">
        <f>SUM(W9+Y9)</f>
        <v>0</v>
      </c>
      <c r="AB9" s="99"/>
      <c r="AC9" s="99">
        <v>4000</v>
      </c>
      <c r="AD9" s="99">
        <v>400000</v>
      </c>
      <c r="AE9" s="99"/>
      <c r="AF9" s="99">
        <f>SUM(AB9+AD9)</f>
        <v>400000</v>
      </c>
      <c r="AG9" s="99">
        <f>SUM(AC9+AE9)</f>
        <v>4000</v>
      </c>
      <c r="AH9" s="99">
        <f>SUM(R9+V9+AB9)</f>
        <v>250000</v>
      </c>
      <c r="AI9" s="99">
        <f>SUM(R9+W9+AC9)</f>
        <v>4000</v>
      </c>
      <c r="AJ9" s="99">
        <f>SUM(S9+X9+AD9)</f>
        <v>400000</v>
      </c>
      <c r="AK9" s="99">
        <f>SUM(S9+Y9+AE9)</f>
        <v>0</v>
      </c>
      <c r="AL9" s="99">
        <f>SUM(AH9+AJ9)</f>
        <v>650000</v>
      </c>
      <c r="AM9" s="99">
        <f>SUM(AI9+AK9)</f>
        <v>4000</v>
      </c>
      <c r="AN9" s="99"/>
      <c r="AO9" s="99"/>
      <c r="AP9" s="99">
        <v>920000</v>
      </c>
      <c r="AQ9" s="99">
        <v>554000</v>
      </c>
      <c r="AR9" s="99">
        <f>SUM(AN9+AP9)</f>
        <v>920000</v>
      </c>
      <c r="AS9" s="99">
        <f>SUM(AO9+AQ9)</f>
        <v>554000</v>
      </c>
      <c r="AT9" s="99"/>
      <c r="AU9" s="99"/>
      <c r="AV9" s="99"/>
      <c r="AW9" s="99"/>
      <c r="AX9" s="99">
        <f>SUM(AT9+AV9)</f>
        <v>0</v>
      </c>
      <c r="AY9" s="99">
        <f>SUM(AU9+AW9)</f>
        <v>0</v>
      </c>
      <c r="AZ9" s="99"/>
      <c r="BA9" s="99"/>
      <c r="BB9" s="99"/>
      <c r="BC9" s="99">
        <v>12004.05</v>
      </c>
      <c r="BD9" s="99">
        <f>SUM(AZ9+BB9)</f>
        <v>0</v>
      </c>
      <c r="BE9" s="99">
        <v>92000</v>
      </c>
      <c r="BF9" s="99">
        <f t="shared" ref="BF9:BF21" si="7">SUM(BA9+BC9)</f>
        <v>12004.05</v>
      </c>
      <c r="BG9" s="99"/>
      <c r="BH9" s="99"/>
      <c r="BI9" s="99"/>
      <c r="BJ9" s="99"/>
      <c r="BK9" s="99">
        <f>SUM(BG9+BI9)</f>
        <v>0</v>
      </c>
      <c r="BL9" s="99"/>
      <c r="BM9" s="99">
        <f t="shared" ref="BM9:BM21" si="8">SUM(BH9+BJ9)</f>
        <v>0</v>
      </c>
      <c r="BN9" s="99"/>
      <c r="BO9" s="99"/>
      <c r="BP9" s="99"/>
      <c r="BQ9" s="99"/>
      <c r="BR9" s="99">
        <f>SUM(BN9+BP9)</f>
        <v>0</v>
      </c>
      <c r="BS9" s="99"/>
      <c r="BT9" s="99">
        <f t="shared" ref="BT9:BT21" si="9">SUM(BO9+BQ9)</f>
        <v>0</v>
      </c>
      <c r="BU9" s="99"/>
      <c r="BV9" s="99"/>
      <c r="BW9" s="99"/>
      <c r="BX9" s="99"/>
      <c r="BY9" s="99">
        <f>SUM(BU9+BW9)</f>
        <v>0</v>
      </c>
      <c r="BZ9" s="99"/>
      <c r="CA9" s="99">
        <f t="shared" ref="CA9:CA21" si="10">SUM(BV9+BX9)</f>
        <v>0</v>
      </c>
      <c r="CB9" s="99"/>
      <c r="CC9" s="99"/>
      <c r="CD9" s="99"/>
      <c r="CE9" s="99"/>
      <c r="CF9" s="99">
        <f>SUM(CB9+CD9)</f>
        <v>0</v>
      </c>
      <c r="CG9" s="99"/>
      <c r="CH9" s="99">
        <f t="shared" ref="CH9:CH21" si="11">SUM(CC9+CE9)</f>
        <v>0</v>
      </c>
      <c r="CI9" s="99"/>
      <c r="CJ9" s="99"/>
      <c r="CK9" s="99"/>
      <c r="CL9" s="99"/>
      <c r="CM9" s="99">
        <f>SUM(CI9+CK9)</f>
        <v>0</v>
      </c>
      <c r="CN9" s="99"/>
      <c r="CO9" s="99">
        <f t="shared" ref="CO9:CO21" si="12">SUM(CJ9+CL9)</f>
        <v>0</v>
      </c>
      <c r="CP9" s="99"/>
      <c r="CQ9" s="99"/>
      <c r="CR9" s="99"/>
      <c r="CS9" s="99"/>
      <c r="CT9" s="99">
        <f>SUM(CP9+CR9)</f>
        <v>0</v>
      </c>
      <c r="CU9" s="99"/>
      <c r="CV9" s="99">
        <f t="shared" ref="CV9:CV21" si="13">SUM(CQ9+CS9)</f>
        <v>0</v>
      </c>
      <c r="CW9" s="99"/>
      <c r="CX9" s="99"/>
      <c r="CY9" s="99"/>
      <c r="CZ9" s="99"/>
      <c r="DA9" s="99">
        <f>SUM(CW9+CY9)</f>
        <v>0</v>
      </c>
      <c r="DB9" s="99">
        <f>SUM(CX9+CZ9)</f>
        <v>0</v>
      </c>
      <c r="DC9" s="99"/>
      <c r="DD9" s="99"/>
      <c r="DE9" s="99"/>
      <c r="DF9" s="99"/>
      <c r="DG9" s="99">
        <f>SUM(DC9+DE9)</f>
        <v>0</v>
      </c>
      <c r="DH9" s="99">
        <f>SUM(DD9+DF9)</f>
        <v>0</v>
      </c>
      <c r="DI9" s="99"/>
      <c r="DJ9" s="99"/>
      <c r="DK9" s="99"/>
      <c r="DL9" s="99"/>
      <c r="DM9" s="99">
        <f>SUM(DI9+DK9)</f>
        <v>0</v>
      </c>
      <c r="DN9" s="99">
        <f>SUM(DJ9+DL9)</f>
        <v>0</v>
      </c>
      <c r="DO9" s="99">
        <f t="shared" ref="DO9:DO21" si="14">SUM(AN9+AT9+AZ9+BG9+BN9+BU9+CB9+CI9+CP9+CW9+DC9+DI9)</f>
        <v>0</v>
      </c>
      <c r="DP9" s="99">
        <f t="shared" ref="DP9:DP21" si="15">SUM(AO9+AU9+BA9+BH9+BO9+BV9+CC9+CJ9+CQ9+CX9+DD9+DJ9)</f>
        <v>0</v>
      </c>
      <c r="DQ9" s="99">
        <f t="shared" ref="DQ9:DQ21" si="16">SUM(AP9+AV9+BB9+BI9+BP9+BW9+CD9+CK9+CR9+CY9+DE9+DK9)</f>
        <v>920000</v>
      </c>
      <c r="DR9" s="99">
        <f t="shared" ref="DR9:DR21" si="17">SUM(AQ9+AW9+BC9+BJ9+BQ9+BX9+CE9+CL9+CS9+CZ9+DF9+DL9)</f>
        <v>566004.05000000005</v>
      </c>
      <c r="DS9" s="99">
        <f>SUM(DO9+DQ9)</f>
        <v>920000</v>
      </c>
      <c r="DT9" s="99">
        <f>SUM(DP9+DR9)</f>
        <v>566004.05000000005</v>
      </c>
    </row>
    <row r="10" spans="1:124" s="95" customFormat="1" ht="30">
      <c r="A10" s="15">
        <v>2</v>
      </c>
      <c r="B10" s="96" t="s">
        <v>715</v>
      </c>
      <c r="C10" s="96" t="s">
        <v>718</v>
      </c>
      <c r="D10" s="98" t="s">
        <v>719</v>
      </c>
      <c r="E10" s="159" t="s">
        <v>1165</v>
      </c>
      <c r="F10" s="161">
        <f t="shared" ref="F10:F22" si="18">SUM(DS10)</f>
        <v>950000</v>
      </c>
      <c r="G10" s="161">
        <f t="shared" ref="G10:G22" si="19">AS10+AY10+BF10+BM10+BT10+CA10+CH10+CO10+CV10+DB10+DH10+DN10</f>
        <v>1256281.23</v>
      </c>
      <c r="H10" s="161">
        <f t="shared" ref="H10:H22" si="20">O10+G10</f>
        <v>2109481.23</v>
      </c>
      <c r="I10" s="165">
        <f t="shared" ref="I10:I22" si="21">K10+AM10+DS10</f>
        <v>1803200</v>
      </c>
      <c r="J10" s="99"/>
      <c r="K10" s="162">
        <v>850000</v>
      </c>
      <c r="L10" s="162">
        <v>0</v>
      </c>
      <c r="M10" s="127">
        <f t="shared" si="3"/>
        <v>3200</v>
      </c>
      <c r="N10" s="127">
        <f t="shared" si="4"/>
        <v>0</v>
      </c>
      <c r="O10" s="127">
        <f t="shared" si="5"/>
        <v>853200</v>
      </c>
      <c r="P10" s="131">
        <f t="shared" ref="P10:P22" si="22">I10-O10</f>
        <v>950000</v>
      </c>
      <c r="Q10" s="125">
        <f t="shared" si="6"/>
        <v>2109481.23</v>
      </c>
      <c r="R10" s="99"/>
      <c r="S10" s="99"/>
      <c r="T10" s="99">
        <f t="shared" ref="T10:T21" si="23">SUM(K10+R10)</f>
        <v>850000</v>
      </c>
      <c r="U10" s="99">
        <f t="shared" ref="U10:U21" si="24">SUM(S10)</f>
        <v>0</v>
      </c>
      <c r="V10" s="99">
        <v>100000</v>
      </c>
      <c r="W10" s="99">
        <v>3200</v>
      </c>
      <c r="X10" s="99"/>
      <c r="Y10" s="99"/>
      <c r="Z10" s="99">
        <f t="shared" ref="Z10:AA21" si="25">SUM(V10+X10)</f>
        <v>100000</v>
      </c>
      <c r="AA10" s="99">
        <f t="shared" si="25"/>
        <v>3200</v>
      </c>
      <c r="AB10" s="99"/>
      <c r="AC10" s="99"/>
      <c r="AD10" s="99">
        <v>450000</v>
      </c>
      <c r="AE10" s="99"/>
      <c r="AF10" s="99">
        <f t="shared" ref="AF10:AG21" si="26">SUM(AB10+AD10)</f>
        <v>450000</v>
      </c>
      <c r="AG10" s="99">
        <f t="shared" si="26"/>
        <v>0</v>
      </c>
      <c r="AH10" s="99">
        <f t="shared" ref="AH10:AH21" si="27">SUM(R10+V10+AB10)</f>
        <v>100000</v>
      </c>
      <c r="AI10" s="99">
        <f t="shared" ref="AI10:AJ21" si="28">SUM(R10+W10+AC10)</f>
        <v>3200</v>
      </c>
      <c r="AJ10" s="99">
        <f t="shared" si="28"/>
        <v>450000</v>
      </c>
      <c r="AK10" s="99">
        <f t="shared" ref="AK10:AK21" si="29">SUM(S10+Y10+AE10)</f>
        <v>0</v>
      </c>
      <c r="AL10" s="99">
        <f t="shared" ref="AL10:AM21" si="30">SUM(AH10+AJ10)</f>
        <v>550000</v>
      </c>
      <c r="AM10" s="99">
        <f t="shared" si="30"/>
        <v>3200</v>
      </c>
      <c r="AN10" s="99"/>
      <c r="AO10" s="99"/>
      <c r="AP10" s="99"/>
      <c r="AQ10" s="99"/>
      <c r="AR10" s="99">
        <f t="shared" ref="AR10:AS21" si="31">SUM(AN10+AP10)</f>
        <v>0</v>
      </c>
      <c r="AS10" s="99">
        <f t="shared" si="31"/>
        <v>0</v>
      </c>
      <c r="AT10" s="99">
        <v>800000</v>
      </c>
      <c r="AU10" s="99"/>
      <c r="AV10" s="99"/>
      <c r="AW10" s="99"/>
      <c r="AX10" s="99">
        <f t="shared" ref="AX10:AY21" si="32">SUM(AT10+AV10)</f>
        <v>800000</v>
      </c>
      <c r="AY10" s="99">
        <f t="shared" si="32"/>
        <v>0</v>
      </c>
      <c r="AZ10" s="99">
        <v>100000</v>
      </c>
      <c r="BA10" s="99">
        <v>600000</v>
      </c>
      <c r="BB10" s="99"/>
      <c r="BC10" s="99"/>
      <c r="BD10" s="99">
        <f t="shared" ref="BD10:BD21" si="33">SUM(AZ10+BB10)</f>
        <v>100000</v>
      </c>
      <c r="BE10" s="99">
        <v>996800</v>
      </c>
      <c r="BF10" s="99">
        <f t="shared" si="7"/>
        <v>600000</v>
      </c>
      <c r="BG10" s="99"/>
      <c r="BH10" s="99"/>
      <c r="BI10" s="99">
        <v>50000</v>
      </c>
      <c r="BJ10" s="99"/>
      <c r="BK10" s="99">
        <f t="shared" ref="BK10:BK21" si="34">SUM(BG10+BI10)</f>
        <v>50000</v>
      </c>
      <c r="BL10" s="99"/>
      <c r="BM10" s="99">
        <f t="shared" si="8"/>
        <v>0</v>
      </c>
      <c r="BN10" s="99"/>
      <c r="BO10" s="99"/>
      <c r="BP10" s="99"/>
      <c r="BQ10" s="99"/>
      <c r="BR10" s="99">
        <f t="shared" ref="BR10:BR21" si="35">SUM(BN10+BP10)</f>
        <v>0</v>
      </c>
      <c r="BS10" s="99"/>
      <c r="BT10" s="99">
        <f t="shared" si="9"/>
        <v>0</v>
      </c>
      <c r="BU10" s="99"/>
      <c r="BV10" s="99"/>
      <c r="BW10" s="99"/>
      <c r="BX10" s="99"/>
      <c r="BY10" s="99">
        <f t="shared" ref="BY10:BY21" si="36">SUM(BU10+BW10)</f>
        <v>0</v>
      </c>
      <c r="BZ10" s="99"/>
      <c r="CA10" s="99">
        <f t="shared" si="10"/>
        <v>0</v>
      </c>
      <c r="CB10" s="99"/>
      <c r="CC10" s="99"/>
      <c r="CD10" s="99"/>
      <c r="CE10" s="99"/>
      <c r="CF10" s="99">
        <f t="shared" ref="CF10:CF21" si="37">SUM(CB10+CD10)</f>
        <v>0</v>
      </c>
      <c r="CG10" s="99"/>
      <c r="CH10" s="99">
        <f t="shared" si="11"/>
        <v>0</v>
      </c>
      <c r="CI10" s="99"/>
      <c r="CJ10" s="99"/>
      <c r="CK10" s="99"/>
      <c r="CL10" s="99"/>
      <c r="CM10" s="99">
        <f t="shared" ref="CM10:CM21" si="38">SUM(CI10+CK10)</f>
        <v>0</v>
      </c>
      <c r="CN10" s="99"/>
      <c r="CO10" s="99">
        <f t="shared" si="12"/>
        <v>0</v>
      </c>
      <c r="CP10" s="99"/>
      <c r="CQ10" s="99">
        <v>500000</v>
      </c>
      <c r="CR10" s="99"/>
      <c r="CS10" s="99">
        <v>156281.22999999998</v>
      </c>
      <c r="CT10" s="99">
        <f t="shared" ref="CT10:CT21" si="39">SUM(CP10+CR10)</f>
        <v>0</v>
      </c>
      <c r="CU10" s="99"/>
      <c r="CV10" s="99">
        <f t="shared" si="13"/>
        <v>656281.23</v>
      </c>
      <c r="CW10" s="99"/>
      <c r="CX10" s="99"/>
      <c r="CY10" s="99"/>
      <c r="CZ10" s="99"/>
      <c r="DA10" s="99">
        <f t="shared" ref="DA10:DB21" si="40">SUM(CW10+CY10)</f>
        <v>0</v>
      </c>
      <c r="DB10" s="99">
        <f t="shared" si="40"/>
        <v>0</v>
      </c>
      <c r="DC10" s="99"/>
      <c r="DD10" s="99"/>
      <c r="DE10" s="99"/>
      <c r="DF10" s="99"/>
      <c r="DG10" s="99">
        <f t="shared" ref="DG10:DH21" si="41">SUM(DC10+DE10)</f>
        <v>0</v>
      </c>
      <c r="DH10" s="99">
        <f t="shared" si="41"/>
        <v>0</v>
      </c>
      <c r="DI10" s="99"/>
      <c r="DJ10" s="99"/>
      <c r="DK10" s="99"/>
      <c r="DL10" s="99"/>
      <c r="DM10" s="99">
        <f t="shared" ref="DM10:DN21" si="42">SUM(DI10+DK10)</f>
        <v>0</v>
      </c>
      <c r="DN10" s="99">
        <f t="shared" si="42"/>
        <v>0</v>
      </c>
      <c r="DO10" s="99">
        <f t="shared" si="14"/>
        <v>900000</v>
      </c>
      <c r="DP10" s="99">
        <f t="shared" si="15"/>
        <v>1100000</v>
      </c>
      <c r="DQ10" s="99">
        <f t="shared" si="16"/>
        <v>50000</v>
      </c>
      <c r="DR10" s="99">
        <f t="shared" si="17"/>
        <v>156281.22999999998</v>
      </c>
      <c r="DS10" s="99">
        <f t="shared" ref="DS10:DT21" si="43">SUM(DO10+DQ10)</f>
        <v>950000</v>
      </c>
      <c r="DT10" s="99">
        <f t="shared" si="43"/>
        <v>1256281.23</v>
      </c>
    </row>
    <row r="11" spans="1:124" s="95" customFormat="1" ht="45">
      <c r="A11" s="15">
        <v>3</v>
      </c>
      <c r="B11" s="96" t="s">
        <v>715</v>
      </c>
      <c r="C11" s="97" t="s">
        <v>720</v>
      </c>
      <c r="D11" s="98" t="s">
        <v>721</v>
      </c>
      <c r="E11" s="159" t="s">
        <v>1165</v>
      </c>
      <c r="F11" s="161">
        <f t="shared" si="18"/>
        <v>1200000</v>
      </c>
      <c r="G11" s="161">
        <f t="shared" si="19"/>
        <v>803788.04</v>
      </c>
      <c r="H11" s="161">
        <f t="shared" si="20"/>
        <v>1605788.04</v>
      </c>
      <c r="I11" s="165">
        <f t="shared" si="21"/>
        <v>2002000</v>
      </c>
      <c r="J11" s="99"/>
      <c r="K11" s="162">
        <v>0</v>
      </c>
      <c r="L11" s="162">
        <v>0</v>
      </c>
      <c r="M11" s="127">
        <f t="shared" si="3"/>
        <v>802000</v>
      </c>
      <c r="N11" s="127">
        <f t="shared" si="4"/>
        <v>0</v>
      </c>
      <c r="O11" s="127">
        <f t="shared" si="5"/>
        <v>802000</v>
      </c>
      <c r="P11" s="131">
        <f t="shared" si="22"/>
        <v>1200000</v>
      </c>
      <c r="Q11" s="125">
        <f t="shared" si="6"/>
        <v>1605788.04</v>
      </c>
      <c r="R11" s="99">
        <v>800000</v>
      </c>
      <c r="S11" s="99"/>
      <c r="T11" s="99">
        <f t="shared" si="23"/>
        <v>800000</v>
      </c>
      <c r="U11" s="99">
        <f t="shared" si="24"/>
        <v>0</v>
      </c>
      <c r="V11" s="99">
        <v>100000</v>
      </c>
      <c r="W11" s="99">
        <v>2000</v>
      </c>
      <c r="X11" s="99"/>
      <c r="Y11" s="99"/>
      <c r="Z11" s="99">
        <f t="shared" si="25"/>
        <v>100000</v>
      </c>
      <c r="AA11" s="99">
        <f t="shared" si="25"/>
        <v>2000</v>
      </c>
      <c r="AB11" s="99"/>
      <c r="AC11" s="99"/>
      <c r="AD11" s="99"/>
      <c r="AE11" s="99"/>
      <c r="AF11" s="99">
        <f t="shared" si="26"/>
        <v>0</v>
      </c>
      <c r="AG11" s="99">
        <f t="shared" si="26"/>
        <v>0</v>
      </c>
      <c r="AH11" s="99">
        <f t="shared" si="27"/>
        <v>900000</v>
      </c>
      <c r="AI11" s="99">
        <f t="shared" si="28"/>
        <v>802000</v>
      </c>
      <c r="AJ11" s="99">
        <f t="shared" si="28"/>
        <v>0</v>
      </c>
      <c r="AK11" s="99">
        <f t="shared" si="29"/>
        <v>0</v>
      </c>
      <c r="AL11" s="99">
        <f t="shared" si="30"/>
        <v>900000</v>
      </c>
      <c r="AM11" s="99">
        <f t="shared" si="30"/>
        <v>802000</v>
      </c>
      <c r="AN11" s="99">
        <v>800000</v>
      </c>
      <c r="AO11" s="99">
        <v>800000</v>
      </c>
      <c r="AP11" s="99"/>
      <c r="AQ11" s="99"/>
      <c r="AR11" s="99">
        <f t="shared" si="31"/>
        <v>800000</v>
      </c>
      <c r="AS11" s="99">
        <f t="shared" si="31"/>
        <v>800000</v>
      </c>
      <c r="AT11" s="99"/>
      <c r="AU11" s="99"/>
      <c r="AV11" s="99"/>
      <c r="AW11" s="99"/>
      <c r="AX11" s="99">
        <f t="shared" si="32"/>
        <v>0</v>
      </c>
      <c r="AY11" s="99">
        <f t="shared" si="32"/>
        <v>0</v>
      </c>
      <c r="AZ11" s="99">
        <v>250000</v>
      </c>
      <c r="BA11" s="99"/>
      <c r="BB11" s="99"/>
      <c r="BC11" s="99"/>
      <c r="BD11" s="99">
        <f t="shared" si="33"/>
        <v>250000</v>
      </c>
      <c r="BE11" s="99">
        <v>300000</v>
      </c>
      <c r="BF11" s="99">
        <f t="shared" si="7"/>
        <v>0</v>
      </c>
      <c r="BG11" s="99"/>
      <c r="BH11" s="99"/>
      <c r="BI11" s="99">
        <v>150000</v>
      </c>
      <c r="BJ11" s="99"/>
      <c r="BK11" s="99">
        <f t="shared" si="34"/>
        <v>150000</v>
      </c>
      <c r="BL11" s="99">
        <v>118000</v>
      </c>
      <c r="BM11" s="99">
        <f t="shared" si="8"/>
        <v>0</v>
      </c>
      <c r="BN11" s="99"/>
      <c r="BO11" s="99"/>
      <c r="BP11" s="99"/>
      <c r="BQ11" s="99"/>
      <c r="BR11" s="99">
        <f t="shared" si="35"/>
        <v>0</v>
      </c>
      <c r="BS11" s="99"/>
      <c r="BT11" s="99">
        <f t="shared" si="9"/>
        <v>0</v>
      </c>
      <c r="BU11" s="99"/>
      <c r="BV11" s="99"/>
      <c r="BW11" s="99"/>
      <c r="BX11" s="99"/>
      <c r="BY11" s="99">
        <f t="shared" si="36"/>
        <v>0</v>
      </c>
      <c r="BZ11" s="99"/>
      <c r="CA11" s="99">
        <f t="shared" si="10"/>
        <v>0</v>
      </c>
      <c r="CB11" s="99"/>
      <c r="CC11" s="99"/>
      <c r="CD11" s="99"/>
      <c r="CE11" s="99"/>
      <c r="CF11" s="99">
        <f t="shared" si="37"/>
        <v>0</v>
      </c>
      <c r="CG11" s="99"/>
      <c r="CH11" s="99">
        <f t="shared" si="11"/>
        <v>0</v>
      </c>
      <c r="CI11" s="99"/>
      <c r="CJ11" s="99"/>
      <c r="CK11" s="99"/>
      <c r="CL11" s="99"/>
      <c r="CM11" s="99">
        <f t="shared" si="38"/>
        <v>0</v>
      </c>
      <c r="CN11" s="99"/>
      <c r="CO11" s="99">
        <f t="shared" si="12"/>
        <v>0</v>
      </c>
      <c r="CP11" s="99"/>
      <c r="CQ11" s="99"/>
      <c r="CR11" s="99"/>
      <c r="CS11" s="99">
        <v>3788.04</v>
      </c>
      <c r="CT11" s="99">
        <f t="shared" si="39"/>
        <v>0</v>
      </c>
      <c r="CU11" s="99"/>
      <c r="CV11" s="99">
        <f t="shared" si="13"/>
        <v>3788.04</v>
      </c>
      <c r="CW11" s="99"/>
      <c r="CX11" s="99"/>
      <c r="CY11" s="99"/>
      <c r="CZ11" s="99"/>
      <c r="DA11" s="99">
        <f t="shared" si="40"/>
        <v>0</v>
      </c>
      <c r="DB11" s="99">
        <f t="shared" si="40"/>
        <v>0</v>
      </c>
      <c r="DC11" s="99"/>
      <c r="DD11" s="99"/>
      <c r="DE11" s="99"/>
      <c r="DF11" s="99"/>
      <c r="DG11" s="99">
        <f t="shared" si="41"/>
        <v>0</v>
      </c>
      <c r="DH11" s="99">
        <f t="shared" si="41"/>
        <v>0</v>
      </c>
      <c r="DI11" s="99"/>
      <c r="DJ11" s="99"/>
      <c r="DK11" s="99"/>
      <c r="DL11" s="99"/>
      <c r="DM11" s="99">
        <f t="shared" si="42"/>
        <v>0</v>
      </c>
      <c r="DN11" s="99">
        <f t="shared" si="42"/>
        <v>0</v>
      </c>
      <c r="DO11" s="99">
        <f t="shared" si="14"/>
        <v>1050000</v>
      </c>
      <c r="DP11" s="99">
        <f t="shared" si="15"/>
        <v>800000</v>
      </c>
      <c r="DQ11" s="99">
        <f t="shared" si="16"/>
        <v>150000</v>
      </c>
      <c r="DR11" s="99">
        <f t="shared" si="17"/>
        <v>3788.04</v>
      </c>
      <c r="DS11" s="99">
        <f t="shared" si="43"/>
        <v>1200000</v>
      </c>
      <c r="DT11" s="99">
        <f t="shared" si="43"/>
        <v>803788.04</v>
      </c>
    </row>
    <row r="12" spans="1:124" s="95" customFormat="1" ht="45">
      <c r="A12" s="15">
        <v>4</v>
      </c>
      <c r="B12" s="97" t="s">
        <v>722</v>
      </c>
      <c r="C12" s="97" t="s">
        <v>723</v>
      </c>
      <c r="D12" s="98" t="s">
        <v>724</v>
      </c>
      <c r="E12" s="159" t="s">
        <v>1165</v>
      </c>
      <c r="F12" s="161">
        <f t="shared" si="18"/>
        <v>150000</v>
      </c>
      <c r="G12" s="161">
        <f t="shared" si="19"/>
        <v>261643</v>
      </c>
      <c r="H12" s="161">
        <f t="shared" si="20"/>
        <v>11611643</v>
      </c>
      <c r="I12" s="165">
        <f t="shared" si="21"/>
        <v>11500000</v>
      </c>
      <c r="J12" s="99"/>
      <c r="K12" s="162">
        <v>11350000</v>
      </c>
      <c r="L12" s="162">
        <v>0</v>
      </c>
      <c r="M12" s="127">
        <f t="shared" si="3"/>
        <v>0</v>
      </c>
      <c r="N12" s="127">
        <f t="shared" si="4"/>
        <v>0</v>
      </c>
      <c r="O12" s="127">
        <f t="shared" si="5"/>
        <v>11350000</v>
      </c>
      <c r="P12" s="131">
        <f t="shared" si="22"/>
        <v>150000</v>
      </c>
      <c r="Q12" s="125">
        <f t="shared" si="6"/>
        <v>11611643</v>
      </c>
      <c r="R12" s="99"/>
      <c r="S12" s="99"/>
      <c r="T12" s="99">
        <f t="shared" si="23"/>
        <v>11350000</v>
      </c>
      <c r="U12" s="99">
        <f t="shared" si="24"/>
        <v>0</v>
      </c>
      <c r="V12" s="99"/>
      <c r="W12" s="99"/>
      <c r="X12" s="99">
        <v>400000</v>
      </c>
      <c r="Y12" s="99"/>
      <c r="Z12" s="99">
        <f t="shared" si="25"/>
        <v>400000</v>
      </c>
      <c r="AA12" s="99">
        <f t="shared" si="25"/>
        <v>0</v>
      </c>
      <c r="AB12" s="99"/>
      <c r="AC12" s="99"/>
      <c r="AD12" s="99"/>
      <c r="AE12" s="99"/>
      <c r="AF12" s="99">
        <f t="shared" si="26"/>
        <v>0</v>
      </c>
      <c r="AG12" s="99">
        <f t="shared" si="26"/>
        <v>0</v>
      </c>
      <c r="AH12" s="99">
        <f t="shared" si="27"/>
        <v>0</v>
      </c>
      <c r="AI12" s="99">
        <f t="shared" si="28"/>
        <v>0</v>
      </c>
      <c r="AJ12" s="99">
        <f t="shared" si="28"/>
        <v>400000</v>
      </c>
      <c r="AK12" s="99">
        <f t="shared" si="29"/>
        <v>0</v>
      </c>
      <c r="AL12" s="99">
        <f t="shared" si="30"/>
        <v>400000</v>
      </c>
      <c r="AM12" s="99">
        <f t="shared" si="30"/>
        <v>0</v>
      </c>
      <c r="AN12" s="99"/>
      <c r="AO12" s="99"/>
      <c r="AP12" s="99">
        <v>150000</v>
      </c>
      <c r="AQ12" s="99">
        <v>240000</v>
      </c>
      <c r="AR12" s="99">
        <f t="shared" si="31"/>
        <v>150000</v>
      </c>
      <c r="AS12" s="99">
        <f t="shared" si="31"/>
        <v>240000</v>
      </c>
      <c r="AT12" s="99"/>
      <c r="AU12" s="99"/>
      <c r="AV12" s="99"/>
      <c r="AW12" s="99"/>
      <c r="AX12" s="99">
        <f t="shared" si="32"/>
        <v>0</v>
      </c>
      <c r="AY12" s="99">
        <f t="shared" si="32"/>
        <v>0</v>
      </c>
      <c r="AZ12" s="99"/>
      <c r="BA12" s="99"/>
      <c r="BB12" s="99"/>
      <c r="BC12" s="99"/>
      <c r="BD12" s="99">
        <f t="shared" si="33"/>
        <v>0</v>
      </c>
      <c r="BE12" s="99">
        <v>150000</v>
      </c>
      <c r="BF12" s="99">
        <f t="shared" si="7"/>
        <v>0</v>
      </c>
      <c r="BG12" s="99"/>
      <c r="BH12" s="99"/>
      <c r="BI12" s="99"/>
      <c r="BJ12" s="99">
        <v>21643</v>
      </c>
      <c r="BK12" s="99">
        <f t="shared" si="34"/>
        <v>0</v>
      </c>
      <c r="BL12" s="99"/>
      <c r="BM12" s="99">
        <f t="shared" si="8"/>
        <v>21643</v>
      </c>
      <c r="BN12" s="99"/>
      <c r="BO12" s="99"/>
      <c r="BP12" s="99"/>
      <c r="BQ12" s="99"/>
      <c r="BR12" s="99">
        <f t="shared" si="35"/>
        <v>0</v>
      </c>
      <c r="BS12" s="99"/>
      <c r="BT12" s="99">
        <f t="shared" si="9"/>
        <v>0</v>
      </c>
      <c r="BU12" s="99"/>
      <c r="BV12" s="99"/>
      <c r="BW12" s="99"/>
      <c r="BX12" s="99"/>
      <c r="BY12" s="99">
        <f t="shared" si="36"/>
        <v>0</v>
      </c>
      <c r="BZ12" s="99"/>
      <c r="CA12" s="99">
        <f t="shared" si="10"/>
        <v>0</v>
      </c>
      <c r="CB12" s="99"/>
      <c r="CC12" s="99"/>
      <c r="CD12" s="99"/>
      <c r="CE12" s="99"/>
      <c r="CF12" s="99">
        <f t="shared" si="37"/>
        <v>0</v>
      </c>
      <c r="CG12" s="99"/>
      <c r="CH12" s="99">
        <f t="shared" si="11"/>
        <v>0</v>
      </c>
      <c r="CI12" s="99"/>
      <c r="CJ12" s="99"/>
      <c r="CK12" s="99"/>
      <c r="CL12" s="99"/>
      <c r="CM12" s="99">
        <f t="shared" si="38"/>
        <v>0</v>
      </c>
      <c r="CN12" s="99"/>
      <c r="CO12" s="99">
        <f t="shared" si="12"/>
        <v>0</v>
      </c>
      <c r="CP12" s="99"/>
      <c r="CQ12" s="99"/>
      <c r="CR12" s="99"/>
      <c r="CS12" s="99"/>
      <c r="CT12" s="99">
        <f t="shared" si="39"/>
        <v>0</v>
      </c>
      <c r="CU12" s="99"/>
      <c r="CV12" s="99">
        <f t="shared" si="13"/>
        <v>0</v>
      </c>
      <c r="CW12" s="99"/>
      <c r="CX12" s="99"/>
      <c r="CY12" s="99"/>
      <c r="CZ12" s="99"/>
      <c r="DA12" s="99">
        <f t="shared" si="40"/>
        <v>0</v>
      </c>
      <c r="DB12" s="99">
        <f t="shared" si="40"/>
        <v>0</v>
      </c>
      <c r="DC12" s="99"/>
      <c r="DD12" s="99"/>
      <c r="DE12" s="99"/>
      <c r="DF12" s="99"/>
      <c r="DG12" s="99">
        <f t="shared" si="41"/>
        <v>0</v>
      </c>
      <c r="DH12" s="99">
        <f t="shared" si="41"/>
        <v>0</v>
      </c>
      <c r="DI12" s="99"/>
      <c r="DJ12" s="99"/>
      <c r="DK12" s="99"/>
      <c r="DL12" s="99"/>
      <c r="DM12" s="99">
        <f t="shared" si="42"/>
        <v>0</v>
      </c>
      <c r="DN12" s="99">
        <f t="shared" si="42"/>
        <v>0</v>
      </c>
      <c r="DO12" s="99">
        <f t="shared" si="14"/>
        <v>0</v>
      </c>
      <c r="DP12" s="99">
        <f t="shared" si="15"/>
        <v>0</v>
      </c>
      <c r="DQ12" s="99">
        <f t="shared" si="16"/>
        <v>150000</v>
      </c>
      <c r="DR12" s="99">
        <f t="shared" si="17"/>
        <v>261643</v>
      </c>
      <c r="DS12" s="99">
        <f t="shared" si="43"/>
        <v>150000</v>
      </c>
      <c r="DT12" s="99">
        <f t="shared" si="43"/>
        <v>261643</v>
      </c>
    </row>
    <row r="13" spans="1:124" s="95" customFormat="1" ht="30">
      <c r="A13" s="15">
        <v>5</v>
      </c>
      <c r="B13" s="97" t="s">
        <v>725</v>
      </c>
      <c r="C13" s="97" t="s">
        <v>726</v>
      </c>
      <c r="D13" s="98" t="s">
        <v>727</v>
      </c>
      <c r="E13" s="159" t="s">
        <v>1165</v>
      </c>
      <c r="F13" s="161">
        <f t="shared" si="18"/>
        <v>0</v>
      </c>
      <c r="G13" s="161">
        <f t="shared" si="19"/>
        <v>0</v>
      </c>
      <c r="H13" s="161">
        <f t="shared" si="20"/>
        <v>7660506</v>
      </c>
      <c r="I13" s="165">
        <f t="shared" si="21"/>
        <v>7660506</v>
      </c>
      <c r="J13" s="99"/>
      <c r="K13" s="162">
        <v>5120000</v>
      </c>
      <c r="L13" s="162">
        <v>0</v>
      </c>
      <c r="M13" s="127">
        <f t="shared" si="3"/>
        <v>2540506</v>
      </c>
      <c r="N13" s="127">
        <f t="shared" si="4"/>
        <v>7660506</v>
      </c>
      <c r="O13" s="127">
        <f t="shared" si="5"/>
        <v>7660506</v>
      </c>
      <c r="P13" s="131">
        <f t="shared" si="22"/>
        <v>0</v>
      </c>
      <c r="Q13" s="125">
        <f t="shared" si="6"/>
        <v>7660506</v>
      </c>
      <c r="R13" s="99">
        <v>1200000</v>
      </c>
      <c r="S13" s="99">
        <v>1340506</v>
      </c>
      <c r="T13" s="99">
        <f t="shared" si="23"/>
        <v>6320000</v>
      </c>
      <c r="U13" s="99">
        <f t="shared" si="24"/>
        <v>1340506</v>
      </c>
      <c r="V13" s="99"/>
      <c r="W13" s="99"/>
      <c r="X13" s="99"/>
      <c r="Y13" s="99"/>
      <c r="Z13" s="99">
        <f t="shared" si="25"/>
        <v>0</v>
      </c>
      <c r="AA13" s="99">
        <f t="shared" si="25"/>
        <v>0</v>
      </c>
      <c r="AB13" s="99"/>
      <c r="AC13" s="99"/>
      <c r="AD13" s="99"/>
      <c r="AE13" s="99"/>
      <c r="AF13" s="99">
        <f t="shared" si="26"/>
        <v>0</v>
      </c>
      <c r="AG13" s="99">
        <f t="shared" si="26"/>
        <v>0</v>
      </c>
      <c r="AH13" s="99">
        <f t="shared" si="27"/>
        <v>1200000</v>
      </c>
      <c r="AI13" s="99">
        <f t="shared" si="28"/>
        <v>1200000</v>
      </c>
      <c r="AJ13" s="99">
        <f t="shared" si="28"/>
        <v>1340506</v>
      </c>
      <c r="AK13" s="99">
        <f t="shared" si="29"/>
        <v>1340506</v>
      </c>
      <c r="AL13" s="99">
        <f t="shared" si="30"/>
        <v>2540506</v>
      </c>
      <c r="AM13" s="99">
        <f t="shared" si="30"/>
        <v>2540506</v>
      </c>
      <c r="AN13" s="99"/>
      <c r="AO13" s="99"/>
      <c r="AP13" s="99"/>
      <c r="AQ13" s="99"/>
      <c r="AR13" s="99">
        <f t="shared" si="31"/>
        <v>0</v>
      </c>
      <c r="AS13" s="99">
        <f t="shared" si="31"/>
        <v>0</v>
      </c>
      <c r="AT13" s="99"/>
      <c r="AU13" s="99"/>
      <c r="AV13" s="99"/>
      <c r="AW13" s="99"/>
      <c r="AX13" s="99">
        <f t="shared" si="32"/>
        <v>0</v>
      </c>
      <c r="AY13" s="99">
        <f t="shared" si="32"/>
        <v>0</v>
      </c>
      <c r="AZ13" s="99"/>
      <c r="BA13" s="99"/>
      <c r="BB13" s="99"/>
      <c r="BC13" s="99"/>
      <c r="BD13" s="99">
        <f t="shared" si="33"/>
        <v>0</v>
      </c>
      <c r="BE13" s="99"/>
      <c r="BF13" s="99">
        <f t="shared" si="7"/>
        <v>0</v>
      </c>
      <c r="BG13" s="99"/>
      <c r="BH13" s="99"/>
      <c r="BI13" s="99"/>
      <c r="BJ13" s="99"/>
      <c r="BK13" s="99">
        <f t="shared" si="34"/>
        <v>0</v>
      </c>
      <c r="BL13" s="99"/>
      <c r="BM13" s="99">
        <f t="shared" si="8"/>
        <v>0</v>
      </c>
      <c r="BN13" s="99"/>
      <c r="BO13" s="99"/>
      <c r="BP13" s="99"/>
      <c r="BQ13" s="99"/>
      <c r="BR13" s="99">
        <f t="shared" si="35"/>
        <v>0</v>
      </c>
      <c r="BS13" s="99"/>
      <c r="BT13" s="99">
        <f t="shared" si="9"/>
        <v>0</v>
      </c>
      <c r="BU13" s="99"/>
      <c r="BV13" s="99"/>
      <c r="BW13" s="99"/>
      <c r="BX13" s="99"/>
      <c r="BY13" s="99">
        <f t="shared" si="36"/>
        <v>0</v>
      </c>
      <c r="BZ13" s="99"/>
      <c r="CA13" s="99">
        <f t="shared" si="10"/>
        <v>0</v>
      </c>
      <c r="CB13" s="99"/>
      <c r="CC13" s="99"/>
      <c r="CD13" s="99"/>
      <c r="CE13" s="99"/>
      <c r="CF13" s="99">
        <f t="shared" si="37"/>
        <v>0</v>
      </c>
      <c r="CG13" s="99"/>
      <c r="CH13" s="99">
        <f t="shared" si="11"/>
        <v>0</v>
      </c>
      <c r="CI13" s="99"/>
      <c r="CJ13" s="99"/>
      <c r="CK13" s="99"/>
      <c r="CL13" s="99"/>
      <c r="CM13" s="99">
        <f t="shared" si="38"/>
        <v>0</v>
      </c>
      <c r="CN13" s="99"/>
      <c r="CO13" s="99">
        <f t="shared" si="12"/>
        <v>0</v>
      </c>
      <c r="CP13" s="99"/>
      <c r="CQ13" s="99"/>
      <c r="CR13" s="99"/>
      <c r="CS13" s="99"/>
      <c r="CT13" s="99">
        <f t="shared" si="39"/>
        <v>0</v>
      </c>
      <c r="CU13" s="99"/>
      <c r="CV13" s="99">
        <f t="shared" si="13"/>
        <v>0</v>
      </c>
      <c r="CW13" s="99"/>
      <c r="CX13" s="99"/>
      <c r="CY13" s="99"/>
      <c r="CZ13" s="99"/>
      <c r="DA13" s="99">
        <f t="shared" si="40"/>
        <v>0</v>
      </c>
      <c r="DB13" s="99">
        <f t="shared" si="40"/>
        <v>0</v>
      </c>
      <c r="DC13" s="99"/>
      <c r="DD13" s="99"/>
      <c r="DE13" s="99"/>
      <c r="DF13" s="99"/>
      <c r="DG13" s="99">
        <f t="shared" si="41"/>
        <v>0</v>
      </c>
      <c r="DH13" s="99">
        <f t="shared" si="41"/>
        <v>0</v>
      </c>
      <c r="DI13" s="99"/>
      <c r="DJ13" s="99"/>
      <c r="DK13" s="99"/>
      <c r="DL13" s="99"/>
      <c r="DM13" s="99">
        <f t="shared" si="42"/>
        <v>0</v>
      </c>
      <c r="DN13" s="99">
        <f t="shared" si="42"/>
        <v>0</v>
      </c>
      <c r="DO13" s="99">
        <f t="shared" si="14"/>
        <v>0</v>
      </c>
      <c r="DP13" s="99">
        <f t="shared" si="15"/>
        <v>0</v>
      </c>
      <c r="DQ13" s="99">
        <f t="shared" si="16"/>
        <v>0</v>
      </c>
      <c r="DR13" s="99">
        <f t="shared" si="17"/>
        <v>0</v>
      </c>
      <c r="DS13" s="99">
        <f t="shared" si="43"/>
        <v>0</v>
      </c>
      <c r="DT13" s="99">
        <f t="shared" si="43"/>
        <v>0</v>
      </c>
    </row>
    <row r="14" spans="1:124" s="95" customFormat="1" ht="30">
      <c r="A14" s="15">
        <v>8</v>
      </c>
      <c r="B14" s="97" t="s">
        <v>715</v>
      </c>
      <c r="C14" s="97" t="s">
        <v>728</v>
      </c>
      <c r="D14" s="98" t="s">
        <v>729</v>
      </c>
      <c r="E14" s="172" t="s">
        <v>1175</v>
      </c>
      <c r="F14" s="161">
        <f t="shared" si="18"/>
        <v>0</v>
      </c>
      <c r="G14" s="161">
        <f t="shared" si="19"/>
        <v>0</v>
      </c>
      <c r="H14" s="161">
        <f t="shared" si="20"/>
        <v>1525314.95</v>
      </c>
      <c r="I14" s="165">
        <f t="shared" si="21"/>
        <v>1525314.95</v>
      </c>
      <c r="J14" s="99"/>
      <c r="K14" s="162">
        <v>1441416.25</v>
      </c>
      <c r="L14" s="162">
        <v>1075564.96</v>
      </c>
      <c r="M14" s="127">
        <f>AM14</f>
        <v>83898.7</v>
      </c>
      <c r="N14" s="127">
        <f>IF(AK14&gt;0,K14+AM14-L14,0)</f>
        <v>449749.99</v>
      </c>
      <c r="O14" s="127">
        <f>K14+M14</f>
        <v>1525314.95</v>
      </c>
      <c r="P14" s="131">
        <f t="shared" si="22"/>
        <v>0</v>
      </c>
      <c r="Q14" s="125">
        <f t="shared" si="6"/>
        <v>1525314.95</v>
      </c>
      <c r="R14" s="99"/>
      <c r="S14" s="99">
        <v>83898.7</v>
      </c>
      <c r="T14" s="99">
        <f t="shared" si="23"/>
        <v>1441416.25</v>
      </c>
      <c r="U14" s="99">
        <f t="shared" si="24"/>
        <v>83898.7</v>
      </c>
      <c r="V14" s="99"/>
      <c r="W14" s="99"/>
      <c r="X14" s="99"/>
      <c r="Y14" s="99"/>
      <c r="Z14" s="99">
        <f t="shared" si="25"/>
        <v>0</v>
      </c>
      <c r="AA14" s="99">
        <f t="shared" si="25"/>
        <v>0</v>
      </c>
      <c r="AB14" s="99"/>
      <c r="AC14" s="99"/>
      <c r="AD14" s="99"/>
      <c r="AE14" s="99"/>
      <c r="AF14" s="99">
        <f t="shared" si="26"/>
        <v>0</v>
      </c>
      <c r="AG14" s="99">
        <f t="shared" si="26"/>
        <v>0</v>
      </c>
      <c r="AH14" s="99">
        <f t="shared" si="27"/>
        <v>0</v>
      </c>
      <c r="AI14" s="99">
        <f t="shared" si="28"/>
        <v>0</v>
      </c>
      <c r="AJ14" s="99">
        <f t="shared" si="28"/>
        <v>83898.7</v>
      </c>
      <c r="AK14" s="99">
        <f t="shared" si="29"/>
        <v>83898.7</v>
      </c>
      <c r="AL14" s="99">
        <f t="shared" si="30"/>
        <v>83898.7</v>
      </c>
      <c r="AM14" s="99">
        <f t="shared" si="30"/>
        <v>83898.7</v>
      </c>
      <c r="AN14" s="99"/>
      <c r="AO14" s="99"/>
      <c r="AP14" s="99"/>
      <c r="AQ14" s="99"/>
      <c r="AR14" s="99">
        <f t="shared" si="31"/>
        <v>0</v>
      </c>
      <c r="AS14" s="99">
        <f t="shared" si="31"/>
        <v>0</v>
      </c>
      <c r="AT14" s="99"/>
      <c r="AU14" s="99"/>
      <c r="AV14" s="99"/>
      <c r="AW14" s="99"/>
      <c r="AX14" s="99">
        <f t="shared" si="32"/>
        <v>0</v>
      </c>
      <c r="AY14" s="99">
        <f t="shared" si="32"/>
        <v>0</v>
      </c>
      <c r="AZ14" s="99"/>
      <c r="BA14" s="99"/>
      <c r="BB14" s="99"/>
      <c r="BC14" s="99"/>
      <c r="BD14" s="99">
        <f t="shared" si="33"/>
        <v>0</v>
      </c>
      <c r="BE14" s="99"/>
      <c r="BF14" s="99">
        <f t="shared" si="7"/>
        <v>0</v>
      </c>
      <c r="BG14" s="99"/>
      <c r="BH14" s="99"/>
      <c r="BI14" s="99"/>
      <c r="BJ14" s="99"/>
      <c r="BK14" s="99">
        <f t="shared" si="34"/>
        <v>0</v>
      </c>
      <c r="BL14" s="99"/>
      <c r="BM14" s="99">
        <f t="shared" si="8"/>
        <v>0</v>
      </c>
      <c r="BN14" s="99"/>
      <c r="BO14" s="99"/>
      <c r="BP14" s="99"/>
      <c r="BQ14" s="99"/>
      <c r="BR14" s="99">
        <f t="shared" si="35"/>
        <v>0</v>
      </c>
      <c r="BS14" s="99"/>
      <c r="BT14" s="99">
        <f t="shared" si="9"/>
        <v>0</v>
      </c>
      <c r="BU14" s="99"/>
      <c r="BV14" s="99"/>
      <c r="BW14" s="99"/>
      <c r="BX14" s="99"/>
      <c r="BY14" s="99">
        <f t="shared" si="36"/>
        <v>0</v>
      </c>
      <c r="BZ14" s="99"/>
      <c r="CA14" s="99">
        <f t="shared" si="10"/>
        <v>0</v>
      </c>
      <c r="CB14" s="99"/>
      <c r="CC14" s="99"/>
      <c r="CD14" s="99"/>
      <c r="CE14" s="99"/>
      <c r="CF14" s="99">
        <f t="shared" si="37"/>
        <v>0</v>
      </c>
      <c r="CG14" s="99"/>
      <c r="CH14" s="99">
        <f t="shared" si="11"/>
        <v>0</v>
      </c>
      <c r="CI14" s="99"/>
      <c r="CJ14" s="99"/>
      <c r="CK14" s="99"/>
      <c r="CL14" s="99"/>
      <c r="CM14" s="99">
        <f t="shared" si="38"/>
        <v>0</v>
      </c>
      <c r="CN14" s="99"/>
      <c r="CO14" s="99">
        <f t="shared" si="12"/>
        <v>0</v>
      </c>
      <c r="CP14" s="99"/>
      <c r="CQ14" s="99"/>
      <c r="CR14" s="99"/>
      <c r="CS14" s="99"/>
      <c r="CT14" s="99">
        <f t="shared" si="39"/>
        <v>0</v>
      </c>
      <c r="CU14" s="99"/>
      <c r="CV14" s="99">
        <f t="shared" si="13"/>
        <v>0</v>
      </c>
      <c r="CW14" s="99"/>
      <c r="CX14" s="99"/>
      <c r="CY14" s="99"/>
      <c r="CZ14" s="99"/>
      <c r="DA14" s="99">
        <f t="shared" si="40"/>
        <v>0</v>
      </c>
      <c r="DB14" s="99">
        <f t="shared" si="40"/>
        <v>0</v>
      </c>
      <c r="DC14" s="99"/>
      <c r="DD14" s="99"/>
      <c r="DE14" s="99"/>
      <c r="DF14" s="99"/>
      <c r="DG14" s="99">
        <f t="shared" si="41"/>
        <v>0</v>
      </c>
      <c r="DH14" s="99">
        <f t="shared" si="41"/>
        <v>0</v>
      </c>
      <c r="DI14" s="99"/>
      <c r="DJ14" s="99"/>
      <c r="DK14" s="99"/>
      <c r="DL14" s="99"/>
      <c r="DM14" s="99">
        <f t="shared" si="42"/>
        <v>0</v>
      </c>
      <c r="DN14" s="99">
        <f t="shared" si="42"/>
        <v>0</v>
      </c>
      <c r="DO14" s="99">
        <f t="shared" si="14"/>
        <v>0</v>
      </c>
      <c r="DP14" s="99">
        <f t="shared" si="15"/>
        <v>0</v>
      </c>
      <c r="DQ14" s="99">
        <f t="shared" si="16"/>
        <v>0</v>
      </c>
      <c r="DR14" s="99">
        <f t="shared" si="17"/>
        <v>0</v>
      </c>
      <c r="DS14" s="99">
        <f t="shared" si="43"/>
        <v>0</v>
      </c>
      <c r="DT14" s="99">
        <f t="shared" si="43"/>
        <v>0</v>
      </c>
    </row>
    <row r="15" spans="1:124" s="95" customFormat="1" ht="45">
      <c r="A15" s="15">
        <v>9</v>
      </c>
      <c r="B15" s="97" t="s">
        <v>715</v>
      </c>
      <c r="C15" s="97" t="s">
        <v>728</v>
      </c>
      <c r="D15" s="98" t="s">
        <v>730</v>
      </c>
      <c r="E15" s="172" t="s">
        <v>1175</v>
      </c>
      <c r="F15" s="161">
        <f t="shared" si="18"/>
        <v>0</v>
      </c>
      <c r="G15" s="161">
        <f t="shared" si="19"/>
        <v>0</v>
      </c>
      <c r="H15" s="161">
        <f t="shared" si="20"/>
        <v>2053313.57</v>
      </c>
      <c r="I15" s="165">
        <f t="shared" si="21"/>
        <v>2053313.57</v>
      </c>
      <c r="J15" s="99"/>
      <c r="K15" s="162">
        <v>1906289.25</v>
      </c>
      <c r="L15" s="162">
        <v>1030156.76</v>
      </c>
      <c r="M15" s="127">
        <f t="shared" ref="M15:M22" si="44">AM15</f>
        <v>147024.32000000001</v>
      </c>
      <c r="N15" s="127">
        <f t="shared" ref="N15:N22" si="45">IF(AK15&gt;0,K15+AM15-L15,0)</f>
        <v>1023156.81</v>
      </c>
      <c r="O15" s="127">
        <f t="shared" ref="O15:O22" si="46">K15+M15</f>
        <v>2053313.57</v>
      </c>
      <c r="P15" s="131">
        <f t="shared" si="22"/>
        <v>0</v>
      </c>
      <c r="Q15" s="125">
        <f t="shared" si="6"/>
        <v>2053313.57</v>
      </c>
      <c r="R15" s="99"/>
      <c r="S15" s="99">
        <v>147024.32000000001</v>
      </c>
      <c r="T15" s="99">
        <f t="shared" si="23"/>
        <v>1906289.25</v>
      </c>
      <c r="U15" s="99">
        <f t="shared" si="24"/>
        <v>147024.32000000001</v>
      </c>
      <c r="V15" s="99"/>
      <c r="W15" s="99"/>
      <c r="X15" s="99"/>
      <c r="Y15" s="99"/>
      <c r="Z15" s="99">
        <f t="shared" si="25"/>
        <v>0</v>
      </c>
      <c r="AA15" s="99">
        <f t="shared" si="25"/>
        <v>0</v>
      </c>
      <c r="AB15" s="99"/>
      <c r="AC15" s="99"/>
      <c r="AD15" s="99"/>
      <c r="AE15" s="99"/>
      <c r="AF15" s="99">
        <f t="shared" si="26"/>
        <v>0</v>
      </c>
      <c r="AG15" s="99">
        <f t="shared" si="26"/>
        <v>0</v>
      </c>
      <c r="AH15" s="99">
        <f t="shared" si="27"/>
        <v>0</v>
      </c>
      <c r="AI15" s="99">
        <f t="shared" si="28"/>
        <v>0</v>
      </c>
      <c r="AJ15" s="99">
        <f t="shared" si="28"/>
        <v>147024.32000000001</v>
      </c>
      <c r="AK15" s="99">
        <f t="shared" si="29"/>
        <v>147024.32000000001</v>
      </c>
      <c r="AL15" s="99">
        <f t="shared" si="30"/>
        <v>147024.32000000001</v>
      </c>
      <c r="AM15" s="99">
        <f t="shared" si="30"/>
        <v>147024.32000000001</v>
      </c>
      <c r="AN15" s="99"/>
      <c r="AO15" s="99"/>
      <c r="AP15" s="99"/>
      <c r="AQ15" s="99"/>
      <c r="AR15" s="99">
        <f t="shared" si="31"/>
        <v>0</v>
      </c>
      <c r="AS15" s="99">
        <f t="shared" si="31"/>
        <v>0</v>
      </c>
      <c r="AT15" s="99"/>
      <c r="AU15" s="99"/>
      <c r="AV15" s="99"/>
      <c r="AW15" s="99"/>
      <c r="AX15" s="99">
        <f t="shared" si="32"/>
        <v>0</v>
      </c>
      <c r="AY15" s="99">
        <f t="shared" si="32"/>
        <v>0</v>
      </c>
      <c r="AZ15" s="99"/>
      <c r="BA15" s="99"/>
      <c r="BB15" s="99"/>
      <c r="BC15" s="99"/>
      <c r="BD15" s="99">
        <f t="shared" si="33"/>
        <v>0</v>
      </c>
      <c r="BE15" s="99"/>
      <c r="BF15" s="99">
        <f t="shared" si="7"/>
        <v>0</v>
      </c>
      <c r="BG15" s="99"/>
      <c r="BH15" s="99"/>
      <c r="BI15" s="99"/>
      <c r="BJ15" s="99"/>
      <c r="BK15" s="99">
        <f t="shared" si="34"/>
        <v>0</v>
      </c>
      <c r="BL15" s="99"/>
      <c r="BM15" s="99">
        <f t="shared" si="8"/>
        <v>0</v>
      </c>
      <c r="BN15" s="99"/>
      <c r="BO15" s="99"/>
      <c r="BP15" s="99"/>
      <c r="BQ15" s="99"/>
      <c r="BR15" s="99">
        <f t="shared" si="35"/>
        <v>0</v>
      </c>
      <c r="BS15" s="99"/>
      <c r="BT15" s="99">
        <f t="shared" si="9"/>
        <v>0</v>
      </c>
      <c r="BU15" s="99"/>
      <c r="BV15" s="99"/>
      <c r="BW15" s="99"/>
      <c r="BX15" s="99"/>
      <c r="BY15" s="99">
        <f t="shared" si="36"/>
        <v>0</v>
      </c>
      <c r="BZ15" s="99"/>
      <c r="CA15" s="99">
        <f t="shared" si="10"/>
        <v>0</v>
      </c>
      <c r="CB15" s="99"/>
      <c r="CC15" s="99"/>
      <c r="CD15" s="99"/>
      <c r="CE15" s="99"/>
      <c r="CF15" s="99">
        <f t="shared" si="37"/>
        <v>0</v>
      </c>
      <c r="CG15" s="99"/>
      <c r="CH15" s="99">
        <f t="shared" si="11"/>
        <v>0</v>
      </c>
      <c r="CI15" s="99"/>
      <c r="CJ15" s="99"/>
      <c r="CK15" s="99"/>
      <c r="CL15" s="99"/>
      <c r="CM15" s="99">
        <f t="shared" si="38"/>
        <v>0</v>
      </c>
      <c r="CN15" s="99"/>
      <c r="CO15" s="99">
        <f t="shared" si="12"/>
        <v>0</v>
      </c>
      <c r="CP15" s="99"/>
      <c r="CQ15" s="99"/>
      <c r="CR15" s="99"/>
      <c r="CS15" s="99"/>
      <c r="CT15" s="99">
        <f t="shared" si="39"/>
        <v>0</v>
      </c>
      <c r="CU15" s="99"/>
      <c r="CV15" s="99">
        <f t="shared" si="13"/>
        <v>0</v>
      </c>
      <c r="CW15" s="99"/>
      <c r="CX15" s="99"/>
      <c r="CY15" s="99"/>
      <c r="CZ15" s="99"/>
      <c r="DA15" s="99">
        <f t="shared" si="40"/>
        <v>0</v>
      </c>
      <c r="DB15" s="99">
        <f t="shared" si="40"/>
        <v>0</v>
      </c>
      <c r="DC15" s="99"/>
      <c r="DD15" s="99"/>
      <c r="DE15" s="99"/>
      <c r="DF15" s="99"/>
      <c r="DG15" s="99">
        <f t="shared" si="41"/>
        <v>0</v>
      </c>
      <c r="DH15" s="99">
        <f t="shared" si="41"/>
        <v>0</v>
      </c>
      <c r="DI15" s="99"/>
      <c r="DJ15" s="99"/>
      <c r="DK15" s="99"/>
      <c r="DL15" s="99"/>
      <c r="DM15" s="99">
        <f t="shared" si="42"/>
        <v>0</v>
      </c>
      <c r="DN15" s="99">
        <f t="shared" si="42"/>
        <v>0</v>
      </c>
      <c r="DO15" s="99">
        <f t="shared" si="14"/>
        <v>0</v>
      </c>
      <c r="DP15" s="99">
        <f t="shared" si="15"/>
        <v>0</v>
      </c>
      <c r="DQ15" s="99">
        <f t="shared" si="16"/>
        <v>0</v>
      </c>
      <c r="DR15" s="99">
        <f t="shared" si="17"/>
        <v>0</v>
      </c>
      <c r="DS15" s="99">
        <f t="shared" si="43"/>
        <v>0</v>
      </c>
      <c r="DT15" s="99">
        <f t="shared" si="43"/>
        <v>0</v>
      </c>
    </row>
    <row r="16" spans="1:124" s="95" customFormat="1" ht="30">
      <c r="A16" s="15">
        <v>10</v>
      </c>
      <c r="B16" s="97" t="s">
        <v>715</v>
      </c>
      <c r="C16" s="97" t="s">
        <v>728</v>
      </c>
      <c r="D16" s="98" t="s">
        <v>731</v>
      </c>
      <c r="E16" s="172" t="s">
        <v>1175</v>
      </c>
      <c r="F16" s="161">
        <f t="shared" si="18"/>
        <v>0</v>
      </c>
      <c r="G16" s="161">
        <f t="shared" si="19"/>
        <v>0</v>
      </c>
      <c r="H16" s="161">
        <f t="shared" si="20"/>
        <v>1055166.25</v>
      </c>
      <c r="I16" s="165">
        <f t="shared" si="21"/>
        <v>1055166.25</v>
      </c>
      <c r="J16" s="99"/>
      <c r="K16" s="162">
        <v>1049864.25</v>
      </c>
      <c r="L16" s="162">
        <v>448527.74</v>
      </c>
      <c r="M16" s="127">
        <f t="shared" si="44"/>
        <v>5302</v>
      </c>
      <c r="N16" s="127">
        <f t="shared" si="45"/>
        <v>606638.51</v>
      </c>
      <c r="O16" s="127">
        <f t="shared" si="46"/>
        <v>1055166.25</v>
      </c>
      <c r="P16" s="131">
        <f t="shared" si="22"/>
        <v>0</v>
      </c>
      <c r="Q16" s="125">
        <f t="shared" si="6"/>
        <v>1055166.25</v>
      </c>
      <c r="R16" s="99"/>
      <c r="S16" s="99">
        <v>5302</v>
      </c>
      <c r="T16" s="99">
        <f t="shared" si="23"/>
        <v>1049864.25</v>
      </c>
      <c r="U16" s="99">
        <f t="shared" si="24"/>
        <v>5302</v>
      </c>
      <c r="V16" s="99"/>
      <c r="W16" s="99"/>
      <c r="X16" s="99"/>
      <c r="Y16" s="99"/>
      <c r="Z16" s="99">
        <f t="shared" si="25"/>
        <v>0</v>
      </c>
      <c r="AA16" s="99">
        <f t="shared" si="25"/>
        <v>0</v>
      </c>
      <c r="AB16" s="99"/>
      <c r="AC16" s="99"/>
      <c r="AD16" s="99"/>
      <c r="AE16" s="99"/>
      <c r="AF16" s="99">
        <f t="shared" si="26"/>
        <v>0</v>
      </c>
      <c r="AG16" s="99">
        <f t="shared" si="26"/>
        <v>0</v>
      </c>
      <c r="AH16" s="99">
        <f t="shared" si="27"/>
        <v>0</v>
      </c>
      <c r="AI16" s="99">
        <f t="shared" si="28"/>
        <v>0</v>
      </c>
      <c r="AJ16" s="99">
        <f t="shared" si="28"/>
        <v>5302</v>
      </c>
      <c r="AK16" s="99">
        <f t="shared" si="29"/>
        <v>5302</v>
      </c>
      <c r="AL16" s="99">
        <f t="shared" si="30"/>
        <v>5302</v>
      </c>
      <c r="AM16" s="99">
        <f t="shared" si="30"/>
        <v>5302</v>
      </c>
      <c r="AN16" s="99"/>
      <c r="AO16" s="99"/>
      <c r="AP16" s="99"/>
      <c r="AQ16" s="99"/>
      <c r="AR16" s="99">
        <f t="shared" si="31"/>
        <v>0</v>
      </c>
      <c r="AS16" s="99">
        <f t="shared" si="31"/>
        <v>0</v>
      </c>
      <c r="AT16" s="99"/>
      <c r="AU16" s="99"/>
      <c r="AV16" s="99"/>
      <c r="AW16" s="99"/>
      <c r="AX16" s="99">
        <f t="shared" si="32"/>
        <v>0</v>
      </c>
      <c r="AY16" s="99">
        <f t="shared" si="32"/>
        <v>0</v>
      </c>
      <c r="AZ16" s="99"/>
      <c r="BA16" s="99"/>
      <c r="BB16" s="99"/>
      <c r="BC16" s="99"/>
      <c r="BD16" s="99">
        <f t="shared" si="33"/>
        <v>0</v>
      </c>
      <c r="BE16" s="99"/>
      <c r="BF16" s="99">
        <f t="shared" si="7"/>
        <v>0</v>
      </c>
      <c r="BG16" s="99"/>
      <c r="BH16" s="99"/>
      <c r="BI16" s="99"/>
      <c r="BJ16" s="99"/>
      <c r="BK16" s="99">
        <f t="shared" si="34"/>
        <v>0</v>
      </c>
      <c r="BL16" s="99"/>
      <c r="BM16" s="99">
        <f t="shared" si="8"/>
        <v>0</v>
      </c>
      <c r="BN16" s="99"/>
      <c r="BO16" s="99"/>
      <c r="BP16" s="99"/>
      <c r="BQ16" s="99"/>
      <c r="BR16" s="99">
        <f t="shared" si="35"/>
        <v>0</v>
      </c>
      <c r="BS16" s="99"/>
      <c r="BT16" s="99">
        <f t="shared" si="9"/>
        <v>0</v>
      </c>
      <c r="BU16" s="99"/>
      <c r="BV16" s="99"/>
      <c r="BW16" s="99"/>
      <c r="BX16" s="99"/>
      <c r="BY16" s="99">
        <f t="shared" si="36"/>
        <v>0</v>
      </c>
      <c r="BZ16" s="99"/>
      <c r="CA16" s="99">
        <f t="shared" si="10"/>
        <v>0</v>
      </c>
      <c r="CB16" s="99"/>
      <c r="CC16" s="99"/>
      <c r="CD16" s="99"/>
      <c r="CE16" s="99"/>
      <c r="CF16" s="99">
        <f t="shared" si="37"/>
        <v>0</v>
      </c>
      <c r="CG16" s="99"/>
      <c r="CH16" s="99">
        <f t="shared" si="11"/>
        <v>0</v>
      </c>
      <c r="CI16" s="99"/>
      <c r="CJ16" s="99"/>
      <c r="CK16" s="99"/>
      <c r="CL16" s="99"/>
      <c r="CM16" s="99">
        <f t="shared" si="38"/>
        <v>0</v>
      </c>
      <c r="CN16" s="99"/>
      <c r="CO16" s="99">
        <f t="shared" si="12"/>
        <v>0</v>
      </c>
      <c r="CP16" s="99"/>
      <c r="CQ16" s="99"/>
      <c r="CR16" s="99"/>
      <c r="CS16" s="99"/>
      <c r="CT16" s="99">
        <f t="shared" si="39"/>
        <v>0</v>
      </c>
      <c r="CU16" s="99"/>
      <c r="CV16" s="99">
        <f t="shared" si="13"/>
        <v>0</v>
      </c>
      <c r="CW16" s="99"/>
      <c r="CX16" s="99"/>
      <c r="CY16" s="99"/>
      <c r="CZ16" s="99"/>
      <c r="DA16" s="99">
        <f t="shared" si="40"/>
        <v>0</v>
      </c>
      <c r="DB16" s="99">
        <f t="shared" si="40"/>
        <v>0</v>
      </c>
      <c r="DC16" s="99"/>
      <c r="DD16" s="99"/>
      <c r="DE16" s="99"/>
      <c r="DF16" s="99"/>
      <c r="DG16" s="99">
        <f t="shared" si="41"/>
        <v>0</v>
      </c>
      <c r="DH16" s="99">
        <f t="shared" si="41"/>
        <v>0</v>
      </c>
      <c r="DI16" s="99"/>
      <c r="DJ16" s="99"/>
      <c r="DK16" s="99"/>
      <c r="DL16" s="99"/>
      <c r="DM16" s="99">
        <f t="shared" si="42"/>
        <v>0</v>
      </c>
      <c r="DN16" s="99">
        <f t="shared" si="42"/>
        <v>0</v>
      </c>
      <c r="DO16" s="99">
        <f t="shared" si="14"/>
        <v>0</v>
      </c>
      <c r="DP16" s="99">
        <f t="shared" si="15"/>
        <v>0</v>
      </c>
      <c r="DQ16" s="99">
        <f t="shared" si="16"/>
        <v>0</v>
      </c>
      <c r="DR16" s="99">
        <f t="shared" si="17"/>
        <v>0</v>
      </c>
      <c r="DS16" s="99">
        <f t="shared" si="43"/>
        <v>0</v>
      </c>
      <c r="DT16" s="99">
        <f t="shared" si="43"/>
        <v>0</v>
      </c>
    </row>
    <row r="17" spans="1:124" s="95" customFormat="1" ht="30">
      <c r="A17" s="15">
        <v>11</v>
      </c>
      <c r="B17" s="97" t="s">
        <v>715</v>
      </c>
      <c r="C17" s="97" t="s">
        <v>732</v>
      </c>
      <c r="D17" s="98" t="s">
        <v>733</v>
      </c>
      <c r="E17" s="159" t="s">
        <v>1165</v>
      </c>
      <c r="F17" s="161">
        <f t="shared" si="18"/>
        <v>0</v>
      </c>
      <c r="G17" s="161">
        <f t="shared" si="19"/>
        <v>0</v>
      </c>
      <c r="H17" s="161">
        <f t="shared" si="20"/>
        <v>1408275</v>
      </c>
      <c r="I17" s="165">
        <f t="shared" si="21"/>
        <v>1408275</v>
      </c>
      <c r="J17" s="99"/>
      <c r="K17" s="162">
        <v>1400000</v>
      </c>
      <c r="L17" s="162">
        <v>0</v>
      </c>
      <c r="M17" s="127">
        <f t="shared" si="44"/>
        <v>8275</v>
      </c>
      <c r="N17" s="127">
        <f t="shared" si="45"/>
        <v>1408275</v>
      </c>
      <c r="O17" s="127">
        <f t="shared" si="46"/>
        <v>1408275</v>
      </c>
      <c r="P17" s="131">
        <f t="shared" si="22"/>
        <v>0</v>
      </c>
      <c r="Q17" s="125">
        <f t="shared" si="6"/>
        <v>1408275</v>
      </c>
      <c r="R17" s="99"/>
      <c r="S17" s="99">
        <v>8275</v>
      </c>
      <c r="T17" s="99">
        <f t="shared" si="23"/>
        <v>1400000</v>
      </c>
      <c r="U17" s="99">
        <f t="shared" si="24"/>
        <v>8275</v>
      </c>
      <c r="V17" s="99"/>
      <c r="W17" s="99"/>
      <c r="X17" s="99"/>
      <c r="Y17" s="99"/>
      <c r="Z17" s="99">
        <f t="shared" si="25"/>
        <v>0</v>
      </c>
      <c r="AA17" s="99">
        <f t="shared" si="25"/>
        <v>0</v>
      </c>
      <c r="AB17" s="99"/>
      <c r="AC17" s="99"/>
      <c r="AD17" s="99"/>
      <c r="AE17" s="99"/>
      <c r="AF17" s="99">
        <f t="shared" si="26"/>
        <v>0</v>
      </c>
      <c r="AG17" s="99">
        <f t="shared" si="26"/>
        <v>0</v>
      </c>
      <c r="AH17" s="99">
        <f t="shared" si="27"/>
        <v>0</v>
      </c>
      <c r="AI17" s="99">
        <f t="shared" si="28"/>
        <v>0</v>
      </c>
      <c r="AJ17" s="99">
        <f t="shared" si="28"/>
        <v>8275</v>
      </c>
      <c r="AK17" s="99">
        <f t="shared" si="29"/>
        <v>8275</v>
      </c>
      <c r="AL17" s="99">
        <f t="shared" si="30"/>
        <v>8275</v>
      </c>
      <c r="AM17" s="99">
        <f t="shared" si="30"/>
        <v>8275</v>
      </c>
      <c r="AN17" s="99"/>
      <c r="AO17" s="99"/>
      <c r="AP17" s="99"/>
      <c r="AQ17" s="99"/>
      <c r="AR17" s="99">
        <f t="shared" si="31"/>
        <v>0</v>
      </c>
      <c r="AS17" s="99">
        <f t="shared" si="31"/>
        <v>0</v>
      </c>
      <c r="AT17" s="99"/>
      <c r="AU17" s="99"/>
      <c r="AV17" s="99"/>
      <c r="AW17" s="99"/>
      <c r="AX17" s="99">
        <f t="shared" si="32"/>
        <v>0</v>
      </c>
      <c r="AY17" s="99">
        <f t="shared" si="32"/>
        <v>0</v>
      </c>
      <c r="AZ17" s="99"/>
      <c r="BA17" s="99"/>
      <c r="BB17" s="99"/>
      <c r="BC17" s="99"/>
      <c r="BD17" s="99">
        <f t="shared" si="33"/>
        <v>0</v>
      </c>
      <c r="BE17" s="99"/>
      <c r="BF17" s="99">
        <f t="shared" si="7"/>
        <v>0</v>
      </c>
      <c r="BG17" s="99"/>
      <c r="BH17" s="99"/>
      <c r="BI17" s="99"/>
      <c r="BJ17" s="99"/>
      <c r="BK17" s="99">
        <f t="shared" si="34"/>
        <v>0</v>
      </c>
      <c r="BL17" s="99"/>
      <c r="BM17" s="99">
        <f t="shared" si="8"/>
        <v>0</v>
      </c>
      <c r="BN17" s="99"/>
      <c r="BO17" s="99"/>
      <c r="BP17" s="99"/>
      <c r="BQ17" s="99"/>
      <c r="BR17" s="99">
        <f t="shared" si="35"/>
        <v>0</v>
      </c>
      <c r="BS17" s="99"/>
      <c r="BT17" s="99">
        <f t="shared" si="9"/>
        <v>0</v>
      </c>
      <c r="BU17" s="99"/>
      <c r="BV17" s="99"/>
      <c r="BW17" s="99"/>
      <c r="BX17" s="99"/>
      <c r="BY17" s="99">
        <f t="shared" si="36"/>
        <v>0</v>
      </c>
      <c r="BZ17" s="99"/>
      <c r="CA17" s="99">
        <f t="shared" si="10"/>
        <v>0</v>
      </c>
      <c r="CB17" s="99"/>
      <c r="CC17" s="99"/>
      <c r="CD17" s="99"/>
      <c r="CE17" s="99"/>
      <c r="CF17" s="99">
        <f t="shared" si="37"/>
        <v>0</v>
      </c>
      <c r="CG17" s="99"/>
      <c r="CH17" s="99">
        <f t="shared" si="11"/>
        <v>0</v>
      </c>
      <c r="CI17" s="99"/>
      <c r="CJ17" s="99"/>
      <c r="CK17" s="99"/>
      <c r="CL17" s="99"/>
      <c r="CM17" s="99">
        <f t="shared" si="38"/>
        <v>0</v>
      </c>
      <c r="CN17" s="99"/>
      <c r="CO17" s="99">
        <f t="shared" si="12"/>
        <v>0</v>
      </c>
      <c r="CP17" s="99"/>
      <c r="CQ17" s="99"/>
      <c r="CR17" s="99"/>
      <c r="CS17" s="99"/>
      <c r="CT17" s="99">
        <f t="shared" si="39"/>
        <v>0</v>
      </c>
      <c r="CU17" s="99"/>
      <c r="CV17" s="99">
        <f t="shared" si="13"/>
        <v>0</v>
      </c>
      <c r="CW17" s="99"/>
      <c r="CX17" s="99"/>
      <c r="CY17" s="99"/>
      <c r="CZ17" s="99"/>
      <c r="DA17" s="99">
        <f t="shared" si="40"/>
        <v>0</v>
      </c>
      <c r="DB17" s="99">
        <f t="shared" si="40"/>
        <v>0</v>
      </c>
      <c r="DC17" s="99"/>
      <c r="DD17" s="99"/>
      <c r="DE17" s="99"/>
      <c r="DF17" s="99"/>
      <c r="DG17" s="99">
        <f t="shared" si="41"/>
        <v>0</v>
      </c>
      <c r="DH17" s="99">
        <f t="shared" si="41"/>
        <v>0</v>
      </c>
      <c r="DI17" s="99"/>
      <c r="DJ17" s="99"/>
      <c r="DK17" s="99"/>
      <c r="DL17" s="99"/>
      <c r="DM17" s="99">
        <f t="shared" si="42"/>
        <v>0</v>
      </c>
      <c r="DN17" s="99">
        <f t="shared" si="42"/>
        <v>0</v>
      </c>
      <c r="DO17" s="99">
        <f t="shared" si="14"/>
        <v>0</v>
      </c>
      <c r="DP17" s="99">
        <f t="shared" si="15"/>
        <v>0</v>
      </c>
      <c r="DQ17" s="99">
        <f t="shared" si="16"/>
        <v>0</v>
      </c>
      <c r="DR17" s="99">
        <f t="shared" si="17"/>
        <v>0</v>
      </c>
      <c r="DS17" s="99">
        <f t="shared" si="43"/>
        <v>0</v>
      </c>
      <c r="DT17" s="99">
        <f t="shared" si="43"/>
        <v>0</v>
      </c>
    </row>
    <row r="18" spans="1:124" s="95" customFormat="1" ht="30">
      <c r="A18" s="15">
        <v>12</v>
      </c>
      <c r="B18" s="97" t="s">
        <v>715</v>
      </c>
      <c r="C18" s="97" t="s">
        <v>734</v>
      </c>
      <c r="D18" s="98" t="s">
        <v>735</v>
      </c>
      <c r="E18" s="159" t="s">
        <v>1165</v>
      </c>
      <c r="F18" s="161">
        <f t="shared" si="18"/>
        <v>0</v>
      </c>
      <c r="G18" s="161">
        <f t="shared" si="19"/>
        <v>0</v>
      </c>
      <c r="H18" s="161">
        <f t="shared" si="20"/>
        <v>489009.81</v>
      </c>
      <c r="I18" s="165">
        <f t="shared" si="21"/>
        <v>489009.81</v>
      </c>
      <c r="J18" s="99"/>
      <c r="K18" s="162">
        <v>450000</v>
      </c>
      <c r="L18" s="162">
        <v>0</v>
      </c>
      <c r="M18" s="127">
        <f t="shared" si="44"/>
        <v>39009.81</v>
      </c>
      <c r="N18" s="127">
        <f t="shared" si="45"/>
        <v>489009.81</v>
      </c>
      <c r="O18" s="127">
        <f t="shared" si="46"/>
        <v>489009.81</v>
      </c>
      <c r="P18" s="131">
        <f t="shared" si="22"/>
        <v>0</v>
      </c>
      <c r="Q18" s="125">
        <f t="shared" si="6"/>
        <v>489009.81</v>
      </c>
      <c r="R18" s="99"/>
      <c r="S18" s="99">
        <v>39009.81</v>
      </c>
      <c r="T18" s="99">
        <f t="shared" si="23"/>
        <v>450000</v>
      </c>
      <c r="U18" s="99">
        <f t="shared" si="24"/>
        <v>39009.81</v>
      </c>
      <c r="V18" s="99"/>
      <c r="W18" s="99"/>
      <c r="X18" s="99"/>
      <c r="Y18" s="99"/>
      <c r="Z18" s="99">
        <f t="shared" si="25"/>
        <v>0</v>
      </c>
      <c r="AA18" s="99">
        <f t="shared" si="25"/>
        <v>0</v>
      </c>
      <c r="AB18" s="99"/>
      <c r="AC18" s="99"/>
      <c r="AD18" s="99"/>
      <c r="AE18" s="99"/>
      <c r="AF18" s="99">
        <f t="shared" si="26"/>
        <v>0</v>
      </c>
      <c r="AG18" s="99">
        <f t="shared" si="26"/>
        <v>0</v>
      </c>
      <c r="AH18" s="99">
        <f t="shared" si="27"/>
        <v>0</v>
      </c>
      <c r="AI18" s="99">
        <f t="shared" si="28"/>
        <v>0</v>
      </c>
      <c r="AJ18" s="99">
        <f t="shared" si="28"/>
        <v>39009.81</v>
      </c>
      <c r="AK18" s="99">
        <f t="shared" si="29"/>
        <v>39009.81</v>
      </c>
      <c r="AL18" s="99">
        <f t="shared" si="30"/>
        <v>39009.81</v>
      </c>
      <c r="AM18" s="99">
        <f t="shared" si="30"/>
        <v>39009.81</v>
      </c>
      <c r="AN18" s="99"/>
      <c r="AO18" s="99"/>
      <c r="AP18" s="99"/>
      <c r="AQ18" s="99"/>
      <c r="AR18" s="99">
        <f t="shared" si="31"/>
        <v>0</v>
      </c>
      <c r="AS18" s="99">
        <f t="shared" si="31"/>
        <v>0</v>
      </c>
      <c r="AT18" s="99"/>
      <c r="AU18" s="99"/>
      <c r="AV18" s="99"/>
      <c r="AW18" s="99"/>
      <c r="AX18" s="99">
        <f t="shared" si="32"/>
        <v>0</v>
      </c>
      <c r="AY18" s="99">
        <f t="shared" si="32"/>
        <v>0</v>
      </c>
      <c r="AZ18" s="99"/>
      <c r="BA18" s="99"/>
      <c r="BB18" s="99"/>
      <c r="BC18" s="99"/>
      <c r="BD18" s="99">
        <f t="shared" si="33"/>
        <v>0</v>
      </c>
      <c r="BE18" s="99"/>
      <c r="BF18" s="99">
        <f t="shared" si="7"/>
        <v>0</v>
      </c>
      <c r="BG18" s="99"/>
      <c r="BH18" s="99"/>
      <c r="BI18" s="99"/>
      <c r="BJ18" s="99"/>
      <c r="BK18" s="99">
        <f t="shared" si="34"/>
        <v>0</v>
      </c>
      <c r="BL18" s="99"/>
      <c r="BM18" s="99">
        <f t="shared" si="8"/>
        <v>0</v>
      </c>
      <c r="BN18" s="99"/>
      <c r="BO18" s="99"/>
      <c r="BP18" s="99"/>
      <c r="BQ18" s="99"/>
      <c r="BR18" s="99">
        <f t="shared" si="35"/>
        <v>0</v>
      </c>
      <c r="BS18" s="99"/>
      <c r="BT18" s="99">
        <f t="shared" si="9"/>
        <v>0</v>
      </c>
      <c r="BU18" s="99"/>
      <c r="BV18" s="99"/>
      <c r="BW18" s="99"/>
      <c r="BX18" s="99"/>
      <c r="BY18" s="99">
        <f t="shared" si="36"/>
        <v>0</v>
      </c>
      <c r="BZ18" s="99"/>
      <c r="CA18" s="99">
        <f t="shared" si="10"/>
        <v>0</v>
      </c>
      <c r="CB18" s="99"/>
      <c r="CC18" s="99"/>
      <c r="CD18" s="99"/>
      <c r="CE18" s="99"/>
      <c r="CF18" s="99">
        <f t="shared" si="37"/>
        <v>0</v>
      </c>
      <c r="CG18" s="99"/>
      <c r="CH18" s="99">
        <f t="shared" si="11"/>
        <v>0</v>
      </c>
      <c r="CI18" s="99"/>
      <c r="CJ18" s="99"/>
      <c r="CK18" s="99"/>
      <c r="CL18" s="99"/>
      <c r="CM18" s="99">
        <f t="shared" si="38"/>
        <v>0</v>
      </c>
      <c r="CN18" s="99"/>
      <c r="CO18" s="99">
        <f t="shared" si="12"/>
        <v>0</v>
      </c>
      <c r="CP18" s="99"/>
      <c r="CQ18" s="99"/>
      <c r="CR18" s="99"/>
      <c r="CS18" s="99"/>
      <c r="CT18" s="99">
        <f t="shared" si="39"/>
        <v>0</v>
      </c>
      <c r="CU18" s="99"/>
      <c r="CV18" s="99">
        <f t="shared" si="13"/>
        <v>0</v>
      </c>
      <c r="CW18" s="99"/>
      <c r="CX18" s="99"/>
      <c r="CY18" s="99"/>
      <c r="CZ18" s="99"/>
      <c r="DA18" s="99">
        <f t="shared" si="40"/>
        <v>0</v>
      </c>
      <c r="DB18" s="99">
        <f t="shared" si="40"/>
        <v>0</v>
      </c>
      <c r="DC18" s="99"/>
      <c r="DD18" s="99"/>
      <c r="DE18" s="99"/>
      <c r="DF18" s="99"/>
      <c r="DG18" s="99">
        <f t="shared" si="41"/>
        <v>0</v>
      </c>
      <c r="DH18" s="99">
        <f t="shared" si="41"/>
        <v>0</v>
      </c>
      <c r="DI18" s="99"/>
      <c r="DJ18" s="99"/>
      <c r="DK18" s="99"/>
      <c r="DL18" s="99"/>
      <c r="DM18" s="99">
        <f t="shared" si="42"/>
        <v>0</v>
      </c>
      <c r="DN18" s="99">
        <f t="shared" si="42"/>
        <v>0</v>
      </c>
      <c r="DO18" s="99">
        <f t="shared" si="14"/>
        <v>0</v>
      </c>
      <c r="DP18" s="99">
        <f t="shared" si="15"/>
        <v>0</v>
      </c>
      <c r="DQ18" s="99">
        <f t="shared" si="16"/>
        <v>0</v>
      </c>
      <c r="DR18" s="99">
        <f t="shared" si="17"/>
        <v>0</v>
      </c>
      <c r="DS18" s="99">
        <f t="shared" si="43"/>
        <v>0</v>
      </c>
      <c r="DT18" s="99">
        <f t="shared" si="43"/>
        <v>0</v>
      </c>
    </row>
    <row r="19" spans="1:124" s="95" customFormat="1" ht="45">
      <c r="A19" s="15">
        <v>13</v>
      </c>
      <c r="B19" s="97" t="s">
        <v>736</v>
      </c>
      <c r="C19" s="97" t="s">
        <v>737</v>
      </c>
      <c r="D19" s="98" t="s">
        <v>738</v>
      </c>
      <c r="E19" s="159" t="s">
        <v>1165</v>
      </c>
      <c r="F19" s="161">
        <f t="shared" si="18"/>
        <v>0</v>
      </c>
      <c r="G19" s="161">
        <f t="shared" si="19"/>
        <v>0</v>
      </c>
      <c r="H19" s="161">
        <f t="shared" si="20"/>
        <v>212783.98</v>
      </c>
      <c r="I19" s="165">
        <f t="shared" si="21"/>
        <v>212783.98</v>
      </c>
      <c r="J19" s="99"/>
      <c r="K19" s="162">
        <v>0</v>
      </c>
      <c r="L19" s="162">
        <v>0</v>
      </c>
      <c r="M19" s="127">
        <f t="shared" si="44"/>
        <v>212783.98</v>
      </c>
      <c r="N19" s="127">
        <f t="shared" si="45"/>
        <v>212783.98</v>
      </c>
      <c r="O19" s="127">
        <f t="shared" si="46"/>
        <v>212783.98</v>
      </c>
      <c r="P19" s="131">
        <f t="shared" si="22"/>
        <v>0</v>
      </c>
      <c r="Q19" s="125">
        <f t="shared" si="6"/>
        <v>212783.98</v>
      </c>
      <c r="R19" s="99"/>
      <c r="S19" s="99">
        <v>212783.98</v>
      </c>
      <c r="T19" s="99">
        <f t="shared" si="23"/>
        <v>0</v>
      </c>
      <c r="U19" s="99">
        <f t="shared" si="24"/>
        <v>212783.98</v>
      </c>
      <c r="V19" s="99"/>
      <c r="W19" s="99"/>
      <c r="X19" s="99"/>
      <c r="Y19" s="99"/>
      <c r="Z19" s="99">
        <f t="shared" si="25"/>
        <v>0</v>
      </c>
      <c r="AA19" s="99">
        <f t="shared" si="25"/>
        <v>0</v>
      </c>
      <c r="AB19" s="99"/>
      <c r="AC19" s="99"/>
      <c r="AD19" s="99"/>
      <c r="AE19" s="99"/>
      <c r="AF19" s="99">
        <f t="shared" si="26"/>
        <v>0</v>
      </c>
      <c r="AG19" s="99">
        <f t="shared" si="26"/>
        <v>0</v>
      </c>
      <c r="AH19" s="99">
        <f t="shared" si="27"/>
        <v>0</v>
      </c>
      <c r="AI19" s="99">
        <f t="shared" si="28"/>
        <v>0</v>
      </c>
      <c r="AJ19" s="99">
        <f t="shared" si="28"/>
        <v>212783.98</v>
      </c>
      <c r="AK19" s="99">
        <f t="shared" si="29"/>
        <v>212783.98</v>
      </c>
      <c r="AL19" s="99">
        <f t="shared" si="30"/>
        <v>212783.98</v>
      </c>
      <c r="AM19" s="99">
        <f t="shared" si="30"/>
        <v>212783.98</v>
      </c>
      <c r="AN19" s="99"/>
      <c r="AO19" s="99"/>
      <c r="AP19" s="99"/>
      <c r="AQ19" s="99"/>
      <c r="AR19" s="99">
        <f t="shared" si="31"/>
        <v>0</v>
      </c>
      <c r="AS19" s="99">
        <f t="shared" si="31"/>
        <v>0</v>
      </c>
      <c r="AT19" s="99"/>
      <c r="AU19" s="99"/>
      <c r="AV19" s="99"/>
      <c r="AW19" s="99"/>
      <c r="AX19" s="99">
        <f t="shared" si="32"/>
        <v>0</v>
      </c>
      <c r="AY19" s="99">
        <f t="shared" si="32"/>
        <v>0</v>
      </c>
      <c r="AZ19" s="99"/>
      <c r="BA19" s="99"/>
      <c r="BB19" s="99"/>
      <c r="BC19" s="99"/>
      <c r="BD19" s="99">
        <f t="shared" si="33"/>
        <v>0</v>
      </c>
      <c r="BE19" s="99"/>
      <c r="BF19" s="99">
        <f t="shared" si="7"/>
        <v>0</v>
      </c>
      <c r="BG19" s="99"/>
      <c r="BH19" s="99"/>
      <c r="BI19" s="99"/>
      <c r="BJ19" s="99"/>
      <c r="BK19" s="99">
        <f t="shared" si="34"/>
        <v>0</v>
      </c>
      <c r="BL19" s="99"/>
      <c r="BM19" s="99">
        <f t="shared" si="8"/>
        <v>0</v>
      </c>
      <c r="BN19" s="99"/>
      <c r="BO19" s="99"/>
      <c r="BP19" s="99"/>
      <c r="BQ19" s="99"/>
      <c r="BR19" s="99">
        <f t="shared" si="35"/>
        <v>0</v>
      </c>
      <c r="BS19" s="99"/>
      <c r="BT19" s="99">
        <f t="shared" si="9"/>
        <v>0</v>
      </c>
      <c r="BU19" s="99"/>
      <c r="BV19" s="99"/>
      <c r="BW19" s="99"/>
      <c r="BX19" s="99"/>
      <c r="BY19" s="99">
        <f t="shared" si="36"/>
        <v>0</v>
      </c>
      <c r="BZ19" s="99"/>
      <c r="CA19" s="99">
        <f t="shared" si="10"/>
        <v>0</v>
      </c>
      <c r="CB19" s="99"/>
      <c r="CC19" s="99"/>
      <c r="CD19" s="99"/>
      <c r="CE19" s="99"/>
      <c r="CF19" s="99">
        <f t="shared" si="37"/>
        <v>0</v>
      </c>
      <c r="CG19" s="99"/>
      <c r="CH19" s="99">
        <f t="shared" si="11"/>
        <v>0</v>
      </c>
      <c r="CI19" s="99"/>
      <c r="CJ19" s="99"/>
      <c r="CK19" s="99"/>
      <c r="CL19" s="99"/>
      <c r="CM19" s="99">
        <f t="shared" si="38"/>
        <v>0</v>
      </c>
      <c r="CN19" s="99"/>
      <c r="CO19" s="99">
        <f t="shared" si="12"/>
        <v>0</v>
      </c>
      <c r="CP19" s="99"/>
      <c r="CQ19" s="99"/>
      <c r="CR19" s="99"/>
      <c r="CS19" s="99"/>
      <c r="CT19" s="99">
        <f t="shared" si="39"/>
        <v>0</v>
      </c>
      <c r="CU19" s="99"/>
      <c r="CV19" s="99">
        <f t="shared" si="13"/>
        <v>0</v>
      </c>
      <c r="CW19" s="99"/>
      <c r="CX19" s="99"/>
      <c r="CY19" s="99"/>
      <c r="CZ19" s="99"/>
      <c r="DA19" s="99">
        <f t="shared" si="40"/>
        <v>0</v>
      </c>
      <c r="DB19" s="99">
        <f t="shared" si="40"/>
        <v>0</v>
      </c>
      <c r="DC19" s="99"/>
      <c r="DD19" s="99"/>
      <c r="DE19" s="99"/>
      <c r="DF19" s="99"/>
      <c r="DG19" s="99">
        <f t="shared" si="41"/>
        <v>0</v>
      </c>
      <c r="DH19" s="99">
        <f t="shared" si="41"/>
        <v>0</v>
      </c>
      <c r="DI19" s="99"/>
      <c r="DJ19" s="99"/>
      <c r="DK19" s="99"/>
      <c r="DL19" s="99"/>
      <c r="DM19" s="99">
        <f t="shared" si="42"/>
        <v>0</v>
      </c>
      <c r="DN19" s="99">
        <f t="shared" si="42"/>
        <v>0</v>
      </c>
      <c r="DO19" s="99">
        <f t="shared" si="14"/>
        <v>0</v>
      </c>
      <c r="DP19" s="99">
        <f t="shared" si="15"/>
        <v>0</v>
      </c>
      <c r="DQ19" s="99">
        <f t="shared" si="16"/>
        <v>0</v>
      </c>
      <c r="DR19" s="99">
        <f t="shared" si="17"/>
        <v>0</v>
      </c>
      <c r="DS19" s="99">
        <f t="shared" si="43"/>
        <v>0</v>
      </c>
      <c r="DT19" s="99">
        <f t="shared" si="43"/>
        <v>0</v>
      </c>
    </row>
    <row r="20" spans="1:124" s="95" customFormat="1" ht="30">
      <c r="A20" s="15">
        <v>14</v>
      </c>
      <c r="B20" s="97" t="s">
        <v>739</v>
      </c>
      <c r="C20" s="97" t="s">
        <v>740</v>
      </c>
      <c r="D20" s="98" t="s">
        <v>741</v>
      </c>
      <c r="E20" s="159" t="s">
        <v>1165</v>
      </c>
      <c r="F20" s="161">
        <f t="shared" si="18"/>
        <v>0</v>
      </c>
      <c r="G20" s="161">
        <f t="shared" si="19"/>
        <v>0</v>
      </c>
      <c r="H20" s="161">
        <f t="shared" si="20"/>
        <v>193543.87</v>
      </c>
      <c r="I20" s="165">
        <f t="shared" si="21"/>
        <v>193543.87</v>
      </c>
      <c r="J20" s="99"/>
      <c r="K20" s="162">
        <v>0</v>
      </c>
      <c r="L20" s="162">
        <v>0</v>
      </c>
      <c r="M20" s="127">
        <f t="shared" si="44"/>
        <v>193543.87</v>
      </c>
      <c r="N20" s="127">
        <f t="shared" si="45"/>
        <v>193543.87</v>
      </c>
      <c r="O20" s="127">
        <f t="shared" si="46"/>
        <v>193543.87</v>
      </c>
      <c r="P20" s="131">
        <f t="shared" si="22"/>
        <v>0</v>
      </c>
      <c r="Q20" s="125">
        <f t="shared" si="6"/>
        <v>193543.87</v>
      </c>
      <c r="R20" s="99">
        <v>160000</v>
      </c>
      <c r="S20" s="99">
        <v>33543.870000000003</v>
      </c>
      <c r="T20" s="99">
        <f t="shared" si="23"/>
        <v>160000</v>
      </c>
      <c r="U20" s="99">
        <f t="shared" si="24"/>
        <v>33543.870000000003</v>
      </c>
      <c r="V20" s="99"/>
      <c r="W20" s="99"/>
      <c r="X20" s="99"/>
      <c r="Y20" s="99"/>
      <c r="Z20" s="99">
        <f t="shared" si="25"/>
        <v>0</v>
      </c>
      <c r="AA20" s="99">
        <f t="shared" si="25"/>
        <v>0</v>
      </c>
      <c r="AB20" s="99"/>
      <c r="AC20" s="99"/>
      <c r="AD20" s="99"/>
      <c r="AE20" s="99"/>
      <c r="AF20" s="99">
        <f t="shared" si="26"/>
        <v>0</v>
      </c>
      <c r="AG20" s="99">
        <f t="shared" si="26"/>
        <v>0</v>
      </c>
      <c r="AH20" s="99">
        <f t="shared" si="27"/>
        <v>160000</v>
      </c>
      <c r="AI20" s="99">
        <f t="shared" si="28"/>
        <v>160000</v>
      </c>
      <c r="AJ20" s="99">
        <f t="shared" si="28"/>
        <v>33543.870000000003</v>
      </c>
      <c r="AK20" s="99">
        <f t="shared" si="29"/>
        <v>33543.870000000003</v>
      </c>
      <c r="AL20" s="99">
        <f t="shared" si="30"/>
        <v>193543.87</v>
      </c>
      <c r="AM20" s="99">
        <f t="shared" si="30"/>
        <v>193543.87</v>
      </c>
      <c r="AN20" s="99"/>
      <c r="AO20" s="99"/>
      <c r="AP20" s="99"/>
      <c r="AQ20" s="99"/>
      <c r="AR20" s="99">
        <f t="shared" si="31"/>
        <v>0</v>
      </c>
      <c r="AS20" s="99">
        <f t="shared" si="31"/>
        <v>0</v>
      </c>
      <c r="AT20" s="99"/>
      <c r="AU20" s="99"/>
      <c r="AV20" s="99"/>
      <c r="AW20" s="99"/>
      <c r="AX20" s="99">
        <f t="shared" si="32"/>
        <v>0</v>
      </c>
      <c r="AY20" s="99">
        <f t="shared" si="32"/>
        <v>0</v>
      </c>
      <c r="AZ20" s="99"/>
      <c r="BA20" s="99"/>
      <c r="BB20" s="99"/>
      <c r="BC20" s="99"/>
      <c r="BD20" s="99">
        <f t="shared" si="33"/>
        <v>0</v>
      </c>
      <c r="BE20" s="99"/>
      <c r="BF20" s="99">
        <f t="shared" si="7"/>
        <v>0</v>
      </c>
      <c r="BG20" s="99"/>
      <c r="BH20" s="99"/>
      <c r="BI20" s="99"/>
      <c r="BJ20" s="99"/>
      <c r="BK20" s="99">
        <f t="shared" si="34"/>
        <v>0</v>
      </c>
      <c r="BL20" s="99"/>
      <c r="BM20" s="99">
        <f t="shared" si="8"/>
        <v>0</v>
      </c>
      <c r="BN20" s="99"/>
      <c r="BO20" s="99"/>
      <c r="BP20" s="99"/>
      <c r="BQ20" s="99"/>
      <c r="BR20" s="99">
        <f t="shared" si="35"/>
        <v>0</v>
      </c>
      <c r="BS20" s="99"/>
      <c r="BT20" s="99">
        <f t="shared" si="9"/>
        <v>0</v>
      </c>
      <c r="BU20" s="99"/>
      <c r="BV20" s="99"/>
      <c r="BW20" s="99"/>
      <c r="BX20" s="99"/>
      <c r="BY20" s="99">
        <f t="shared" si="36"/>
        <v>0</v>
      </c>
      <c r="BZ20" s="99"/>
      <c r="CA20" s="99">
        <f t="shared" si="10"/>
        <v>0</v>
      </c>
      <c r="CB20" s="99"/>
      <c r="CC20" s="99"/>
      <c r="CD20" s="99"/>
      <c r="CE20" s="99"/>
      <c r="CF20" s="99">
        <f t="shared" si="37"/>
        <v>0</v>
      </c>
      <c r="CG20" s="99"/>
      <c r="CH20" s="99">
        <f t="shared" si="11"/>
        <v>0</v>
      </c>
      <c r="CI20" s="99"/>
      <c r="CJ20" s="99"/>
      <c r="CK20" s="99"/>
      <c r="CL20" s="99"/>
      <c r="CM20" s="99">
        <f t="shared" si="38"/>
        <v>0</v>
      </c>
      <c r="CN20" s="99"/>
      <c r="CO20" s="99">
        <f t="shared" si="12"/>
        <v>0</v>
      </c>
      <c r="CP20" s="99"/>
      <c r="CQ20" s="99"/>
      <c r="CR20" s="99"/>
      <c r="CS20" s="99"/>
      <c r="CT20" s="99">
        <f t="shared" si="39"/>
        <v>0</v>
      </c>
      <c r="CU20" s="99"/>
      <c r="CV20" s="99">
        <f t="shared" si="13"/>
        <v>0</v>
      </c>
      <c r="CW20" s="99"/>
      <c r="CX20" s="99"/>
      <c r="CY20" s="99"/>
      <c r="CZ20" s="99"/>
      <c r="DA20" s="99">
        <f t="shared" si="40"/>
        <v>0</v>
      </c>
      <c r="DB20" s="99">
        <f t="shared" si="40"/>
        <v>0</v>
      </c>
      <c r="DC20" s="99"/>
      <c r="DD20" s="99"/>
      <c r="DE20" s="99"/>
      <c r="DF20" s="99"/>
      <c r="DG20" s="99">
        <f t="shared" si="41"/>
        <v>0</v>
      </c>
      <c r="DH20" s="99">
        <f t="shared" si="41"/>
        <v>0</v>
      </c>
      <c r="DI20" s="99"/>
      <c r="DJ20" s="99"/>
      <c r="DK20" s="99"/>
      <c r="DL20" s="99"/>
      <c r="DM20" s="99">
        <f t="shared" si="42"/>
        <v>0</v>
      </c>
      <c r="DN20" s="99">
        <f t="shared" si="42"/>
        <v>0</v>
      </c>
      <c r="DO20" s="99">
        <f t="shared" si="14"/>
        <v>0</v>
      </c>
      <c r="DP20" s="99">
        <f t="shared" si="15"/>
        <v>0</v>
      </c>
      <c r="DQ20" s="99">
        <f t="shared" si="16"/>
        <v>0</v>
      </c>
      <c r="DR20" s="99">
        <f t="shared" si="17"/>
        <v>0</v>
      </c>
      <c r="DS20" s="99">
        <f t="shared" si="43"/>
        <v>0</v>
      </c>
      <c r="DT20" s="99">
        <f t="shared" si="43"/>
        <v>0</v>
      </c>
    </row>
    <row r="21" spans="1:124" s="95" customFormat="1" ht="30">
      <c r="A21" s="15">
        <v>15</v>
      </c>
      <c r="B21" s="97" t="s">
        <v>739</v>
      </c>
      <c r="C21" s="97" t="s">
        <v>742</v>
      </c>
      <c r="D21" s="98" t="s">
        <v>743</v>
      </c>
      <c r="E21" s="159" t="s">
        <v>1165</v>
      </c>
      <c r="F21" s="161">
        <f t="shared" si="18"/>
        <v>0</v>
      </c>
      <c r="G21" s="161">
        <f t="shared" si="19"/>
        <v>0</v>
      </c>
      <c r="H21" s="161">
        <f t="shared" si="20"/>
        <v>161884.47</v>
      </c>
      <c r="I21" s="165">
        <f t="shared" si="21"/>
        <v>161884.47</v>
      </c>
      <c r="J21" s="99"/>
      <c r="K21" s="162">
        <v>0</v>
      </c>
      <c r="L21" s="162">
        <v>0</v>
      </c>
      <c r="M21" s="127">
        <f t="shared" si="44"/>
        <v>161884.47</v>
      </c>
      <c r="N21" s="127">
        <f t="shared" si="45"/>
        <v>161884.47</v>
      </c>
      <c r="O21" s="127">
        <f t="shared" si="46"/>
        <v>161884.47</v>
      </c>
      <c r="P21" s="131">
        <f t="shared" si="22"/>
        <v>0</v>
      </c>
      <c r="Q21" s="125">
        <f t="shared" si="6"/>
        <v>161884.47</v>
      </c>
      <c r="R21" s="99">
        <v>140000</v>
      </c>
      <c r="S21" s="99">
        <v>21884.47</v>
      </c>
      <c r="T21" s="99">
        <f t="shared" si="23"/>
        <v>140000</v>
      </c>
      <c r="U21" s="99">
        <f t="shared" si="24"/>
        <v>21884.47</v>
      </c>
      <c r="V21" s="99"/>
      <c r="W21" s="99"/>
      <c r="X21" s="99"/>
      <c r="Y21" s="99"/>
      <c r="Z21" s="99">
        <f t="shared" si="25"/>
        <v>0</v>
      </c>
      <c r="AA21" s="99">
        <f t="shared" si="25"/>
        <v>0</v>
      </c>
      <c r="AB21" s="99"/>
      <c r="AC21" s="99"/>
      <c r="AD21" s="99"/>
      <c r="AE21" s="99"/>
      <c r="AF21" s="99">
        <f t="shared" si="26"/>
        <v>0</v>
      </c>
      <c r="AG21" s="99">
        <f t="shared" si="26"/>
        <v>0</v>
      </c>
      <c r="AH21" s="99">
        <f t="shared" si="27"/>
        <v>140000</v>
      </c>
      <c r="AI21" s="99">
        <f t="shared" si="28"/>
        <v>140000</v>
      </c>
      <c r="AJ21" s="99">
        <f t="shared" si="28"/>
        <v>21884.47</v>
      </c>
      <c r="AK21" s="99">
        <f t="shared" si="29"/>
        <v>21884.47</v>
      </c>
      <c r="AL21" s="99">
        <f t="shared" si="30"/>
        <v>161884.47</v>
      </c>
      <c r="AM21" s="99">
        <f t="shared" si="30"/>
        <v>161884.47</v>
      </c>
      <c r="AN21" s="99"/>
      <c r="AO21" s="99"/>
      <c r="AP21" s="99"/>
      <c r="AQ21" s="99"/>
      <c r="AR21" s="99">
        <f t="shared" si="31"/>
        <v>0</v>
      </c>
      <c r="AS21" s="99">
        <f t="shared" si="31"/>
        <v>0</v>
      </c>
      <c r="AT21" s="99"/>
      <c r="AU21" s="99"/>
      <c r="AV21" s="99"/>
      <c r="AW21" s="99"/>
      <c r="AX21" s="99">
        <f t="shared" si="32"/>
        <v>0</v>
      </c>
      <c r="AY21" s="99">
        <f t="shared" si="32"/>
        <v>0</v>
      </c>
      <c r="AZ21" s="99"/>
      <c r="BA21" s="99"/>
      <c r="BB21" s="99"/>
      <c r="BC21" s="99"/>
      <c r="BD21" s="99">
        <f t="shared" si="33"/>
        <v>0</v>
      </c>
      <c r="BE21" s="99"/>
      <c r="BF21" s="99">
        <f t="shared" si="7"/>
        <v>0</v>
      </c>
      <c r="BG21" s="99"/>
      <c r="BH21" s="99"/>
      <c r="BI21" s="99"/>
      <c r="BJ21" s="99"/>
      <c r="BK21" s="99">
        <f t="shared" si="34"/>
        <v>0</v>
      </c>
      <c r="BL21" s="99"/>
      <c r="BM21" s="99">
        <f t="shared" si="8"/>
        <v>0</v>
      </c>
      <c r="BN21" s="99"/>
      <c r="BO21" s="99"/>
      <c r="BP21" s="99"/>
      <c r="BQ21" s="99"/>
      <c r="BR21" s="99">
        <f t="shared" si="35"/>
        <v>0</v>
      </c>
      <c r="BS21" s="99"/>
      <c r="BT21" s="99">
        <f t="shared" si="9"/>
        <v>0</v>
      </c>
      <c r="BU21" s="99"/>
      <c r="BV21" s="99"/>
      <c r="BW21" s="99"/>
      <c r="BX21" s="99"/>
      <c r="BY21" s="99">
        <f t="shared" si="36"/>
        <v>0</v>
      </c>
      <c r="BZ21" s="99"/>
      <c r="CA21" s="99">
        <f t="shared" si="10"/>
        <v>0</v>
      </c>
      <c r="CB21" s="99"/>
      <c r="CC21" s="99"/>
      <c r="CD21" s="99"/>
      <c r="CE21" s="99"/>
      <c r="CF21" s="99">
        <f t="shared" si="37"/>
        <v>0</v>
      </c>
      <c r="CG21" s="99"/>
      <c r="CH21" s="99">
        <f t="shared" si="11"/>
        <v>0</v>
      </c>
      <c r="CI21" s="99"/>
      <c r="CJ21" s="99"/>
      <c r="CK21" s="99"/>
      <c r="CL21" s="99"/>
      <c r="CM21" s="99">
        <f t="shared" si="38"/>
        <v>0</v>
      </c>
      <c r="CN21" s="99"/>
      <c r="CO21" s="99">
        <f t="shared" si="12"/>
        <v>0</v>
      </c>
      <c r="CP21" s="99"/>
      <c r="CQ21" s="99"/>
      <c r="CR21" s="99"/>
      <c r="CS21" s="99"/>
      <c r="CT21" s="99">
        <f t="shared" si="39"/>
        <v>0</v>
      </c>
      <c r="CU21" s="99"/>
      <c r="CV21" s="99">
        <f t="shared" si="13"/>
        <v>0</v>
      </c>
      <c r="CW21" s="99"/>
      <c r="CX21" s="99"/>
      <c r="CY21" s="99"/>
      <c r="CZ21" s="99"/>
      <c r="DA21" s="99">
        <f t="shared" si="40"/>
        <v>0</v>
      </c>
      <c r="DB21" s="99">
        <f t="shared" si="40"/>
        <v>0</v>
      </c>
      <c r="DC21" s="99"/>
      <c r="DD21" s="99"/>
      <c r="DE21" s="99"/>
      <c r="DF21" s="99"/>
      <c r="DG21" s="99">
        <f t="shared" si="41"/>
        <v>0</v>
      </c>
      <c r="DH21" s="99">
        <f t="shared" si="41"/>
        <v>0</v>
      </c>
      <c r="DI21" s="99"/>
      <c r="DJ21" s="99"/>
      <c r="DK21" s="99"/>
      <c r="DL21" s="99"/>
      <c r="DM21" s="99">
        <f t="shared" si="42"/>
        <v>0</v>
      </c>
      <c r="DN21" s="99">
        <f t="shared" si="42"/>
        <v>0</v>
      </c>
      <c r="DO21" s="99">
        <f t="shared" si="14"/>
        <v>0</v>
      </c>
      <c r="DP21" s="99">
        <f t="shared" si="15"/>
        <v>0</v>
      </c>
      <c r="DQ21" s="99">
        <f t="shared" si="16"/>
        <v>0</v>
      </c>
      <c r="DR21" s="99">
        <f t="shared" si="17"/>
        <v>0</v>
      </c>
      <c r="DS21" s="99">
        <f t="shared" si="43"/>
        <v>0</v>
      </c>
      <c r="DT21" s="99">
        <f t="shared" si="43"/>
        <v>0</v>
      </c>
    </row>
    <row r="22" spans="1:124" s="95" customFormat="1" ht="45">
      <c r="A22" s="15">
        <v>16</v>
      </c>
      <c r="B22" s="97" t="s">
        <v>715</v>
      </c>
      <c r="C22" s="97" t="s">
        <v>665</v>
      </c>
      <c r="D22" s="98" t="s">
        <v>1157</v>
      </c>
      <c r="E22" s="159" t="s">
        <v>1165</v>
      </c>
      <c r="F22" s="161">
        <f t="shared" si="18"/>
        <v>7050000</v>
      </c>
      <c r="G22" s="161">
        <f t="shared" si="19"/>
        <v>7030000</v>
      </c>
      <c r="H22" s="161">
        <f t="shared" si="20"/>
        <v>7030000</v>
      </c>
      <c r="I22" s="165">
        <f t="shared" si="21"/>
        <v>7050000</v>
      </c>
      <c r="J22" s="99">
        <f>5964000*1.18</f>
        <v>7037520</v>
      </c>
      <c r="K22" s="162">
        <v>0</v>
      </c>
      <c r="L22" s="162"/>
      <c r="M22" s="127">
        <f t="shared" si="44"/>
        <v>0</v>
      </c>
      <c r="N22" s="127">
        <f t="shared" si="45"/>
        <v>0</v>
      </c>
      <c r="O22" s="127">
        <f t="shared" si="46"/>
        <v>0</v>
      </c>
      <c r="P22" s="131">
        <f t="shared" si="22"/>
        <v>7050000</v>
      </c>
      <c r="Q22" s="125" t="str">
        <f t="shared" si="6"/>
        <v>მიმდინარეობს</v>
      </c>
      <c r="R22" s="99">
        <v>0</v>
      </c>
      <c r="S22" s="99">
        <v>0</v>
      </c>
      <c r="T22" s="99">
        <f t="shared" ref="T22" si="47">SUM(K22+R22)</f>
        <v>0</v>
      </c>
      <c r="U22" s="99">
        <f t="shared" ref="U22" si="48">SUM(S22)</f>
        <v>0</v>
      </c>
      <c r="V22" s="99"/>
      <c r="W22" s="99"/>
      <c r="X22" s="99"/>
      <c r="Y22" s="99"/>
      <c r="Z22" s="99">
        <f t="shared" ref="Z22" si="49">SUM(V22+X22)</f>
        <v>0</v>
      </c>
      <c r="AA22" s="99">
        <f t="shared" ref="AA22" si="50">SUM(W22+Y22)</f>
        <v>0</v>
      </c>
      <c r="AB22" s="99"/>
      <c r="AC22" s="99"/>
      <c r="AD22" s="99"/>
      <c r="AE22" s="99"/>
      <c r="AF22" s="99">
        <f t="shared" ref="AF22" si="51">SUM(AB22+AD22)</f>
        <v>0</v>
      </c>
      <c r="AG22" s="99">
        <f t="shared" ref="AG22" si="52">SUM(AC22+AE22)</f>
        <v>0</v>
      </c>
      <c r="AH22" s="99">
        <f t="shared" ref="AH22" si="53">SUM(R22+V22+AB22)</f>
        <v>0</v>
      </c>
      <c r="AI22" s="99">
        <f t="shared" ref="AI22" si="54">SUM(R22+W22+AC22)</f>
        <v>0</v>
      </c>
      <c r="AJ22" s="99">
        <f t="shared" ref="AJ22" si="55">SUM(S22+X22+AD22)</f>
        <v>0</v>
      </c>
      <c r="AK22" s="99">
        <f t="shared" ref="AK22" si="56">SUM(S22+Y22+AE22)</f>
        <v>0</v>
      </c>
      <c r="AL22" s="99">
        <f t="shared" ref="AL22" si="57">SUM(AH22+AJ22)</f>
        <v>0</v>
      </c>
      <c r="AM22" s="99">
        <f t="shared" ref="AM22" si="58">SUM(AI22+AK22)</f>
        <v>0</v>
      </c>
      <c r="AN22" s="99">
        <v>3000000</v>
      </c>
      <c r="AO22" s="99">
        <v>3000000</v>
      </c>
      <c r="AP22" s="99"/>
      <c r="AQ22" s="99"/>
      <c r="AR22" s="99">
        <f t="shared" ref="AR22" si="59">SUM(AN22+AP22)</f>
        <v>3000000</v>
      </c>
      <c r="AS22" s="99">
        <f t="shared" ref="AS22" si="60">SUM(AO22+AQ22)</f>
        <v>3000000</v>
      </c>
      <c r="AT22" s="99">
        <v>500000</v>
      </c>
      <c r="AU22" s="99">
        <v>1330000</v>
      </c>
      <c r="AV22" s="99"/>
      <c r="AW22" s="99"/>
      <c r="AX22" s="99">
        <f t="shared" ref="AX22" si="61">SUM(AT22+AV22)</f>
        <v>500000</v>
      </c>
      <c r="AY22" s="99">
        <f t="shared" ref="AY22" si="62">SUM(AU22+AW22)</f>
        <v>1330000</v>
      </c>
      <c r="AZ22" s="99">
        <v>500000</v>
      </c>
      <c r="BA22" s="99">
        <v>500000</v>
      </c>
      <c r="BB22" s="99"/>
      <c r="BC22" s="99"/>
      <c r="BD22" s="99">
        <f t="shared" ref="BD22" si="63">SUM(AZ22+BB22)</f>
        <v>500000</v>
      </c>
      <c r="BE22" s="99"/>
      <c r="BF22" s="99">
        <f t="shared" ref="BF22" si="64">SUM(BA22+BC22)</f>
        <v>500000</v>
      </c>
      <c r="BG22" s="99">
        <v>500000</v>
      </c>
      <c r="BH22" s="99"/>
      <c r="BI22" s="99"/>
      <c r="BJ22" s="99"/>
      <c r="BK22" s="99">
        <f t="shared" ref="BK22" si="65">SUM(BG22+BI22)</f>
        <v>500000</v>
      </c>
      <c r="BL22" s="99">
        <v>500000</v>
      </c>
      <c r="BM22" s="99">
        <f t="shared" ref="BM22" si="66">SUM(BH22+BJ22)</f>
        <v>0</v>
      </c>
      <c r="BN22" s="99">
        <v>500000</v>
      </c>
      <c r="BO22" s="388">
        <v>1500000</v>
      </c>
      <c r="BP22" s="99"/>
      <c r="BQ22" s="99"/>
      <c r="BR22" s="99">
        <f t="shared" ref="BR22" si="67">SUM(BN22+BP22)</f>
        <v>500000</v>
      </c>
      <c r="BS22" s="99">
        <v>500000</v>
      </c>
      <c r="BT22" s="99">
        <f t="shared" ref="BT22" si="68">SUM(BO22+BQ22)</f>
        <v>1500000</v>
      </c>
      <c r="BU22" s="99">
        <v>500000</v>
      </c>
      <c r="BV22" s="99"/>
      <c r="BW22" s="99"/>
      <c r="BX22" s="99"/>
      <c r="BY22" s="99">
        <f t="shared" ref="BY22" si="69">SUM(BU22+BW22)</f>
        <v>500000</v>
      </c>
      <c r="BZ22" s="99">
        <v>500000</v>
      </c>
      <c r="CA22" s="99">
        <f t="shared" ref="CA22" si="70">SUM(BV22+BX22)</f>
        <v>0</v>
      </c>
      <c r="CB22" s="99">
        <v>500000</v>
      </c>
      <c r="CC22" s="99"/>
      <c r="CD22" s="99"/>
      <c r="CE22" s="99"/>
      <c r="CF22" s="99">
        <f t="shared" ref="CF22" si="71">SUM(CB22+CD22)</f>
        <v>500000</v>
      </c>
      <c r="CG22" s="99">
        <v>500000</v>
      </c>
      <c r="CH22" s="99">
        <f t="shared" ref="CH22" si="72">SUM(CC22+CE22)</f>
        <v>0</v>
      </c>
      <c r="CI22" s="99">
        <v>500000</v>
      </c>
      <c r="CJ22" s="99">
        <v>700000</v>
      </c>
      <c r="CK22" s="99"/>
      <c r="CL22" s="99"/>
      <c r="CM22" s="99">
        <f t="shared" ref="CM22" si="73">SUM(CI22+CK22)</f>
        <v>500000</v>
      </c>
      <c r="CN22" s="99">
        <v>500000</v>
      </c>
      <c r="CO22" s="99">
        <f t="shared" ref="CO22" si="74">SUM(CJ22+CL22)</f>
        <v>700000</v>
      </c>
      <c r="CP22" s="99">
        <v>550000</v>
      </c>
      <c r="CQ22" s="99"/>
      <c r="CR22" s="99"/>
      <c r="CS22" s="99"/>
      <c r="CT22" s="99">
        <f t="shared" ref="CT22" si="75">SUM(CP22+CR22)</f>
        <v>550000</v>
      </c>
      <c r="CU22" s="99">
        <v>370000</v>
      </c>
      <c r="CV22" s="99">
        <f t="shared" ref="CV22" si="76">SUM(CQ22+CS22)</f>
        <v>0</v>
      </c>
      <c r="CW22" s="99"/>
      <c r="CX22" s="99"/>
      <c r="CY22" s="99"/>
      <c r="CZ22" s="99"/>
      <c r="DA22" s="99">
        <f t="shared" ref="DA22" si="77">SUM(CW22+CY22)</f>
        <v>0</v>
      </c>
      <c r="DB22" s="99">
        <f t="shared" ref="DB22" si="78">SUM(CX22+CZ22)</f>
        <v>0</v>
      </c>
      <c r="DC22" s="99"/>
      <c r="DD22" s="99"/>
      <c r="DE22" s="99"/>
      <c r="DF22" s="99"/>
      <c r="DG22" s="99">
        <f t="shared" ref="DG22" si="79">SUM(DC22+DE22)</f>
        <v>0</v>
      </c>
      <c r="DH22" s="99">
        <f t="shared" ref="DH22" si="80">SUM(DD22+DF22)</f>
        <v>0</v>
      </c>
      <c r="DI22" s="99"/>
      <c r="DJ22" s="99"/>
      <c r="DK22" s="99"/>
      <c r="DL22" s="99"/>
      <c r="DM22" s="99">
        <f t="shared" ref="DM22" si="81">SUM(DI22+DK22)</f>
        <v>0</v>
      </c>
      <c r="DN22" s="99">
        <f t="shared" ref="DN22" si="82">SUM(DJ22+DL22)</f>
        <v>0</v>
      </c>
      <c r="DO22" s="99">
        <f t="shared" ref="DO22" si="83">SUM(AN22+AT22+AZ22+BG22+BN22+BU22+CB22+CI22+CP22+CW22+DC22+DI22)</f>
        <v>7050000</v>
      </c>
      <c r="DP22" s="99">
        <f t="shared" ref="DP22" si="84">SUM(AO22+AU22+BA22+BH22+BO22+BV22+CC22+CJ22+CQ22+CX22+DD22+DJ22)</f>
        <v>7030000</v>
      </c>
      <c r="DQ22" s="99">
        <f t="shared" ref="DQ22" si="85">SUM(AP22+AV22+BB22+BI22+BP22+BW22+CD22+CK22+CR22+CY22+DE22+DK22)</f>
        <v>0</v>
      </c>
      <c r="DR22" s="99">
        <f t="shared" ref="DR22" si="86">SUM(AQ22+AW22+BC22+BJ22+BQ22+BX22+CE22+CL22+CS22+CZ22+DF22+DL22)</f>
        <v>0</v>
      </c>
      <c r="DS22" s="99">
        <f t="shared" ref="DS22" si="87">SUM(DO22+DQ22)</f>
        <v>7050000</v>
      </c>
      <c r="DT22" s="99">
        <f t="shared" ref="DT22" si="88">SUM(DP22+DR22)</f>
        <v>7030000</v>
      </c>
    </row>
    <row r="23" spans="1:124">
      <c r="A23" s="92"/>
    </row>
    <row r="24" spans="1:124">
      <c r="A24" s="92"/>
    </row>
    <row r="25" spans="1:124">
      <c r="A25" s="92"/>
      <c r="D25" s="147"/>
      <c r="E25" s="147"/>
      <c r="F25" s="147"/>
      <c r="G25" s="147"/>
      <c r="H25" s="147"/>
      <c r="I25" s="147"/>
      <c r="J25" s="147"/>
      <c r="K25" s="147"/>
      <c r="L25" s="147"/>
      <c r="M25" s="147"/>
      <c r="N25" s="147"/>
      <c r="O25" s="147"/>
      <c r="P25" s="147"/>
      <c r="Q25" s="147"/>
      <c r="R25" s="147"/>
    </row>
    <row r="26" spans="1:124">
      <c r="A26" s="92"/>
      <c r="D26" s="147"/>
      <c r="E26" s="147"/>
      <c r="F26" s="147"/>
      <c r="G26" s="147"/>
      <c r="H26" s="147"/>
      <c r="I26" s="147"/>
      <c r="J26" s="147"/>
      <c r="K26" s="147"/>
      <c r="L26" s="147"/>
      <c r="M26" s="147"/>
      <c r="N26" s="147"/>
      <c r="O26" s="147"/>
      <c r="P26" s="147"/>
      <c r="Q26" s="147"/>
      <c r="R26" s="147"/>
    </row>
    <row r="27" spans="1:124">
      <c r="A27" s="92"/>
      <c r="D27" s="147"/>
      <c r="E27" s="147"/>
      <c r="F27" s="147"/>
      <c r="G27" s="147"/>
      <c r="H27" s="147"/>
      <c r="I27" s="147"/>
      <c r="J27" s="147"/>
      <c r="K27" s="147"/>
      <c r="L27" s="147"/>
      <c r="M27" s="147"/>
      <c r="N27" s="147"/>
      <c r="O27" s="147"/>
      <c r="P27" s="147"/>
      <c r="Q27" s="147"/>
      <c r="R27" s="147"/>
    </row>
    <row r="28" spans="1:124">
      <c r="A28" s="92"/>
      <c r="D28" s="147"/>
      <c r="E28" s="147"/>
      <c r="F28" s="147"/>
      <c r="G28" s="147"/>
      <c r="H28" s="147"/>
      <c r="I28" s="147"/>
      <c r="J28" s="147"/>
      <c r="K28" s="147"/>
      <c r="L28" s="147"/>
      <c r="M28" s="147"/>
      <c r="N28" s="147"/>
      <c r="O28" s="147"/>
      <c r="P28" s="147"/>
      <c r="Q28" s="147"/>
      <c r="R28" s="147"/>
    </row>
    <row r="29" spans="1:124">
      <c r="A29" s="92"/>
      <c r="D29" s="147"/>
      <c r="E29" s="147"/>
      <c r="F29" s="147"/>
      <c r="G29" s="147"/>
      <c r="H29" s="147"/>
      <c r="I29" s="147"/>
      <c r="J29" s="147"/>
      <c r="K29" s="147"/>
      <c r="L29" s="147"/>
      <c r="M29" s="147"/>
      <c r="N29" s="147"/>
      <c r="O29" s="147"/>
      <c r="P29" s="147"/>
      <c r="Q29" s="147"/>
      <c r="R29" s="147"/>
    </row>
    <row r="30" spans="1:124">
      <c r="A30" s="92"/>
      <c r="D30" s="147"/>
      <c r="E30" s="147"/>
      <c r="F30" s="147"/>
      <c r="G30" s="147"/>
      <c r="H30" s="147"/>
      <c r="I30" s="147"/>
      <c r="J30" s="147"/>
      <c r="K30" s="147"/>
      <c r="L30" s="147"/>
      <c r="M30" s="147"/>
      <c r="N30" s="147"/>
      <c r="O30" s="147"/>
      <c r="P30" s="147"/>
      <c r="Q30" s="147"/>
      <c r="R30" s="147"/>
    </row>
    <row r="31" spans="1:124">
      <c r="A31" s="92"/>
      <c r="D31" s="147"/>
      <c r="E31" s="147"/>
      <c r="F31" s="147"/>
      <c r="G31" s="147"/>
      <c r="H31" s="147"/>
      <c r="I31" s="147"/>
      <c r="J31" s="147"/>
      <c r="K31" s="147"/>
      <c r="L31" s="147"/>
      <c r="M31" s="147"/>
      <c r="N31" s="147"/>
      <c r="O31" s="147"/>
      <c r="P31" s="147"/>
      <c r="Q31" s="147"/>
      <c r="R31" s="147"/>
    </row>
    <row r="32" spans="1:124">
      <c r="A32" s="92"/>
      <c r="D32" s="147"/>
      <c r="E32" s="147"/>
      <c r="F32" s="147"/>
      <c r="G32" s="147"/>
      <c r="H32" s="147"/>
      <c r="I32" s="147"/>
      <c r="J32" s="147"/>
      <c r="K32" s="147"/>
      <c r="L32" s="147"/>
      <c r="M32" s="147"/>
      <c r="N32" s="147"/>
      <c r="O32" s="147"/>
      <c r="P32" s="147"/>
      <c r="Q32" s="147"/>
      <c r="R32" s="147"/>
    </row>
    <row r="33" spans="1:18">
      <c r="A33" s="92"/>
      <c r="D33" s="147"/>
      <c r="E33" s="147"/>
      <c r="F33" s="147"/>
      <c r="G33" s="147"/>
      <c r="H33" s="147"/>
      <c r="I33" s="147"/>
      <c r="J33" s="147"/>
      <c r="K33" s="147"/>
      <c r="L33" s="147"/>
      <c r="M33" s="147"/>
      <c r="N33" s="147"/>
      <c r="O33" s="147"/>
      <c r="P33" s="147"/>
      <c r="Q33" s="147"/>
      <c r="R33" s="147"/>
    </row>
    <row r="34" spans="1:18">
      <c r="A34" s="92"/>
      <c r="D34" s="147"/>
      <c r="E34" s="147"/>
      <c r="F34" s="147"/>
      <c r="G34" s="147"/>
      <c r="H34" s="147"/>
      <c r="I34" s="147"/>
      <c r="J34" s="147"/>
      <c r="K34" s="147"/>
      <c r="L34" s="147"/>
      <c r="M34" s="147"/>
      <c r="N34" s="147"/>
      <c r="O34" s="147"/>
      <c r="P34" s="147"/>
      <c r="Q34" s="147"/>
      <c r="R34" s="147"/>
    </row>
    <row r="35" spans="1:18">
      <c r="A35" s="92"/>
      <c r="D35" s="147"/>
      <c r="E35" s="147"/>
      <c r="F35" s="147"/>
      <c r="G35" s="147"/>
      <c r="H35" s="147"/>
      <c r="I35" s="147"/>
      <c r="J35" s="147"/>
      <c r="K35" s="147"/>
      <c r="L35" s="147"/>
      <c r="M35" s="147"/>
      <c r="N35" s="147"/>
      <c r="O35" s="147"/>
      <c r="P35" s="147"/>
      <c r="Q35" s="147"/>
      <c r="R35" s="147"/>
    </row>
    <row r="36" spans="1:18">
      <c r="A36" s="92"/>
      <c r="D36" s="147"/>
      <c r="E36" s="147"/>
      <c r="F36" s="147"/>
      <c r="G36" s="147"/>
      <c r="H36" s="147"/>
      <c r="I36" s="147"/>
      <c r="J36" s="147"/>
      <c r="K36" s="147"/>
      <c r="L36" s="147"/>
      <c r="M36" s="147"/>
      <c r="N36" s="147"/>
      <c r="O36" s="147"/>
      <c r="P36" s="147"/>
      <c r="Q36" s="147"/>
      <c r="R36" s="147"/>
    </row>
    <row r="37" spans="1:18">
      <c r="A37" s="92"/>
      <c r="D37" s="147"/>
      <c r="E37" s="147"/>
      <c r="F37" s="147"/>
      <c r="G37" s="147"/>
      <c r="H37" s="147"/>
      <c r="I37" s="147"/>
      <c r="J37" s="147"/>
      <c r="K37" s="147"/>
      <c r="L37" s="147"/>
      <c r="M37" s="147"/>
      <c r="N37" s="147"/>
      <c r="O37" s="147"/>
      <c r="P37" s="147"/>
      <c r="Q37" s="147"/>
      <c r="R37" s="147"/>
    </row>
    <row r="38" spans="1:18">
      <c r="A38" s="92"/>
      <c r="D38" s="147"/>
      <c r="E38" s="147"/>
      <c r="F38" s="147"/>
      <c r="G38" s="147"/>
      <c r="H38" s="147"/>
      <c r="I38" s="147"/>
      <c r="J38" s="147"/>
      <c r="K38" s="147"/>
      <c r="L38" s="147"/>
      <c r="M38" s="147"/>
      <c r="N38" s="147"/>
      <c r="O38" s="147"/>
      <c r="P38" s="147"/>
      <c r="Q38" s="147"/>
      <c r="R38" s="147"/>
    </row>
    <row r="39" spans="1:18">
      <c r="A39" s="92"/>
      <c r="D39" s="147"/>
      <c r="E39" s="147"/>
      <c r="F39" s="147"/>
      <c r="G39" s="147"/>
      <c r="H39" s="147"/>
      <c r="I39" s="147"/>
      <c r="J39" s="147"/>
      <c r="K39" s="147"/>
      <c r="L39" s="147"/>
      <c r="M39" s="147"/>
      <c r="N39" s="147"/>
      <c r="O39" s="147"/>
      <c r="P39" s="147"/>
      <c r="Q39" s="147"/>
      <c r="R39" s="147"/>
    </row>
    <row r="40" spans="1:18">
      <c r="A40" s="92"/>
      <c r="D40" s="147"/>
      <c r="E40" s="147"/>
      <c r="F40" s="147"/>
      <c r="G40" s="147"/>
      <c r="H40" s="147"/>
      <c r="I40" s="147"/>
      <c r="J40" s="147"/>
      <c r="K40" s="147"/>
      <c r="L40" s="147"/>
      <c r="M40" s="147"/>
      <c r="N40" s="147"/>
      <c r="O40" s="147"/>
      <c r="P40" s="147"/>
      <c r="Q40" s="147"/>
      <c r="R40" s="147"/>
    </row>
    <row r="41" spans="1:18">
      <c r="A41" s="92"/>
      <c r="D41" s="147"/>
      <c r="E41" s="147"/>
      <c r="F41" s="147"/>
      <c r="G41" s="147"/>
      <c r="H41" s="147"/>
      <c r="I41" s="147"/>
      <c r="J41" s="147"/>
      <c r="K41" s="147"/>
      <c r="L41" s="147"/>
      <c r="M41" s="147"/>
      <c r="N41" s="147"/>
      <c r="O41" s="147"/>
      <c r="P41" s="147"/>
      <c r="Q41" s="147"/>
      <c r="R41" s="147"/>
    </row>
    <row r="42" spans="1:18">
      <c r="A42" s="92"/>
      <c r="D42" s="147"/>
      <c r="E42" s="147"/>
      <c r="F42" s="147"/>
      <c r="G42" s="147"/>
      <c r="H42" s="147"/>
      <c r="I42" s="147"/>
      <c r="J42" s="147"/>
      <c r="K42" s="147"/>
      <c r="L42" s="147"/>
      <c r="M42" s="147"/>
      <c r="N42" s="147"/>
      <c r="O42" s="147"/>
      <c r="P42" s="147"/>
      <c r="Q42" s="147"/>
      <c r="R42" s="147"/>
    </row>
    <row r="43" spans="1:18">
      <c r="A43" s="92"/>
    </row>
    <row r="44" spans="1:18">
      <c r="A44" s="92"/>
    </row>
    <row r="45" spans="1:18">
      <c r="A45" s="92"/>
    </row>
    <row r="46" spans="1:18">
      <c r="A46" s="92"/>
    </row>
    <row r="47" spans="1:18">
      <c r="A47" s="92"/>
    </row>
    <row r="48" spans="1:18">
      <c r="A48" s="92"/>
    </row>
    <row r="49" spans="1:1">
      <c r="A49" s="92"/>
    </row>
    <row r="50" spans="1:1">
      <c r="A50" s="92"/>
    </row>
    <row r="51" spans="1:1">
      <c r="A51" s="92"/>
    </row>
    <row r="52" spans="1:1">
      <c r="A52" s="92"/>
    </row>
    <row r="53" spans="1:1">
      <c r="A53" s="92"/>
    </row>
    <row r="54" spans="1:1">
      <c r="A54" s="92"/>
    </row>
    <row r="55" spans="1:1">
      <c r="A55" s="92"/>
    </row>
    <row r="56" spans="1:1">
      <c r="A56" s="92"/>
    </row>
    <row r="57" spans="1:1">
      <c r="A57" s="92"/>
    </row>
    <row r="58" spans="1:1">
      <c r="A58" s="92"/>
    </row>
    <row r="59" spans="1:1">
      <c r="A59" s="92"/>
    </row>
    <row r="60" spans="1:1">
      <c r="A60" s="92"/>
    </row>
    <row r="61" spans="1:1">
      <c r="A61" s="92"/>
    </row>
    <row r="62" spans="1:1">
      <c r="A62" s="92"/>
    </row>
    <row r="63" spans="1:1">
      <c r="A63" s="92"/>
    </row>
  </sheetData>
  <autoFilter ref="A8:DT22" xr:uid="{00000000-0009-0000-0000-00000E000000}"/>
  <mergeCells count="90">
    <mergeCell ref="CT5:CV5"/>
    <mergeCell ref="BU5:BV5"/>
    <mergeCell ref="BW5:BX5"/>
    <mergeCell ref="BY5:CA5"/>
    <mergeCell ref="CB5:CC5"/>
    <mergeCell ref="CD5:CE5"/>
    <mergeCell ref="CI5:CJ5"/>
    <mergeCell ref="CK5:CL5"/>
    <mergeCell ref="CM5:CO5"/>
    <mergeCell ref="CP5:CQ5"/>
    <mergeCell ref="CR5:CS5"/>
    <mergeCell ref="DQ5:DR5"/>
    <mergeCell ref="DS5:DT5"/>
    <mergeCell ref="CW5:CX5"/>
    <mergeCell ref="CY5:CZ5"/>
    <mergeCell ref="DA5:DB5"/>
    <mergeCell ref="DC5:DD5"/>
    <mergeCell ref="DE5:DF5"/>
    <mergeCell ref="DG5:DH5"/>
    <mergeCell ref="DI5:DJ5"/>
    <mergeCell ref="DK5:DL5"/>
    <mergeCell ref="DM5:DN5"/>
    <mergeCell ref="DO5:DP5"/>
    <mergeCell ref="AZ5:BA5"/>
    <mergeCell ref="BB5:BC5"/>
    <mergeCell ref="CF5:CH5"/>
    <mergeCell ref="BG5:BH5"/>
    <mergeCell ref="BI5:BJ5"/>
    <mergeCell ref="BK5:BM5"/>
    <mergeCell ref="BN5:BO5"/>
    <mergeCell ref="BP5:BQ5"/>
    <mergeCell ref="BR5:BT5"/>
    <mergeCell ref="DI4:DN4"/>
    <mergeCell ref="V5:W5"/>
    <mergeCell ref="X5:Y5"/>
    <mergeCell ref="Z5:AA5"/>
    <mergeCell ref="AB5:AC5"/>
    <mergeCell ref="AD5:AE5"/>
    <mergeCell ref="BD5:BF5"/>
    <mergeCell ref="AH5:AI5"/>
    <mergeCell ref="AJ5:AK5"/>
    <mergeCell ref="AL5:AM5"/>
    <mergeCell ref="AN5:AO5"/>
    <mergeCell ref="AP5:AQ5"/>
    <mergeCell ref="AR5:AS5"/>
    <mergeCell ref="AT5:AU5"/>
    <mergeCell ref="AV5:AW5"/>
    <mergeCell ref="AX5:AY5"/>
    <mergeCell ref="R3:S4"/>
    <mergeCell ref="T3:U4"/>
    <mergeCell ref="V3:AM3"/>
    <mergeCell ref="AF5:AG5"/>
    <mergeCell ref="K5:K6"/>
    <mergeCell ref="R5:R6"/>
    <mergeCell ref="S5:S6"/>
    <mergeCell ref="T5:T6"/>
    <mergeCell ref="U5:U6"/>
    <mergeCell ref="K3:L4"/>
    <mergeCell ref="L5:L6"/>
    <mergeCell ref="M3:N4"/>
    <mergeCell ref="O3:O6"/>
    <mergeCell ref="Q3:Q6"/>
    <mergeCell ref="N5:N6"/>
    <mergeCell ref="M5:M6"/>
    <mergeCell ref="AN3:DT3"/>
    <mergeCell ref="V4:AA4"/>
    <mergeCell ref="AB4:AG4"/>
    <mergeCell ref="AH4:AM4"/>
    <mergeCell ref="AN4:AS4"/>
    <mergeCell ref="AT4:AY4"/>
    <mergeCell ref="DO4:DT4"/>
    <mergeCell ref="AZ4:BF4"/>
    <mergeCell ref="BG4:BM4"/>
    <mergeCell ref="BN4:BT4"/>
    <mergeCell ref="BU4:CA4"/>
    <mergeCell ref="CB4:CH4"/>
    <mergeCell ref="CI4:CO4"/>
    <mergeCell ref="CP4:CV4"/>
    <mergeCell ref="CW4:DB4"/>
    <mergeCell ref="DC4:DH4"/>
    <mergeCell ref="J3:J6"/>
    <mergeCell ref="I3:I6"/>
    <mergeCell ref="A3:A6"/>
    <mergeCell ref="B3:B6"/>
    <mergeCell ref="C3:C6"/>
    <mergeCell ref="D3:D6"/>
    <mergeCell ref="E3:E6"/>
    <mergeCell ref="F3:F6"/>
    <mergeCell ref="G3:G6"/>
    <mergeCell ref="H3:H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DR26"/>
  <sheetViews>
    <sheetView workbookViewId="0">
      <selection activeCell="AQ24" sqref="AQ24"/>
    </sheetView>
  </sheetViews>
  <sheetFormatPr defaultColWidth="10.42578125" defaultRowHeight="15"/>
  <cols>
    <col min="1" max="1" width="6" style="14" customWidth="1"/>
    <col min="2" max="2" width="18.42578125" style="14" customWidth="1"/>
    <col min="3" max="3" width="11.28515625" style="14" customWidth="1"/>
    <col min="4" max="4" width="28.5703125" style="14" customWidth="1"/>
    <col min="5" max="5" width="15.5703125" style="14" bestFit="1" customWidth="1"/>
    <col min="6" max="6" width="12.140625" style="14" bestFit="1" customWidth="1"/>
    <col min="7" max="8" width="12.140625" style="14" customWidth="1"/>
    <col min="9" max="9" width="16.140625" style="14" hidden="1" customWidth="1"/>
    <col min="10" max="10" width="19.85546875" style="17" hidden="1" customWidth="1"/>
    <col min="11" max="16" width="15.85546875" style="14" hidden="1" customWidth="1"/>
    <col min="17" max="17" width="15.85546875" style="14" customWidth="1"/>
    <col min="18" max="18" width="16.85546875" style="14" hidden="1" customWidth="1"/>
    <col min="19" max="19" width="13.5703125" style="14" hidden="1" customWidth="1"/>
    <col min="20" max="20" width="14.140625" style="14" hidden="1" customWidth="1"/>
    <col min="21" max="21" width="13.5703125" style="14" hidden="1" customWidth="1"/>
    <col min="22" max="22" width="7.140625" style="14" hidden="1" customWidth="1"/>
    <col min="23" max="23" width="8.42578125" style="14" hidden="1" customWidth="1"/>
    <col min="24" max="24" width="16.7109375" style="14" hidden="1" customWidth="1"/>
    <col min="25" max="25" width="8.42578125" style="14" hidden="1" customWidth="1"/>
    <col min="26" max="26" width="13.85546875" style="14" hidden="1" customWidth="1"/>
    <col min="27" max="27" width="8.85546875" style="14" hidden="1" customWidth="1"/>
    <col min="28" max="28" width="7.140625" style="14" hidden="1" customWidth="1"/>
    <col min="29" max="29" width="9.85546875" style="14" hidden="1" customWidth="1"/>
    <col min="30" max="30" width="7.140625" style="14" hidden="1" customWidth="1"/>
    <col min="31" max="31" width="9.85546875" style="14" hidden="1" customWidth="1"/>
    <col min="32" max="32" width="7.5703125" style="14" hidden="1" customWidth="1"/>
    <col min="33" max="33" width="11.5703125" style="14" hidden="1" customWidth="1"/>
    <col min="34" max="34" width="16.7109375" style="14" hidden="1" customWidth="1"/>
    <col min="35" max="35" width="11.5703125" style="14" hidden="1" customWidth="1"/>
    <col min="36" max="36" width="16.7109375" style="14" hidden="1" customWidth="1"/>
    <col min="37" max="37" width="9.85546875" style="14" hidden="1" customWidth="1"/>
    <col min="38" max="38" width="13.7109375" style="14" hidden="1" customWidth="1"/>
    <col min="39" max="39" width="11.5703125" style="14" hidden="1" customWidth="1"/>
    <col min="40" max="40" width="11.5703125" style="14" customWidth="1"/>
    <col min="41" max="41" width="9.85546875" style="14" bestFit="1" customWidth="1"/>
    <col min="42" max="42" width="14.5703125" style="14" bestFit="1" customWidth="1"/>
    <col min="43" max="43" width="8.42578125" style="14" bestFit="1" customWidth="1"/>
    <col min="44" max="44" width="11.28515625" style="14" customWidth="1"/>
    <col min="45" max="45" width="9.85546875" style="14" bestFit="1" customWidth="1"/>
    <col min="46" max="47" width="11.5703125" style="14" bestFit="1" customWidth="1"/>
    <col min="48" max="48" width="7" style="14" customWidth="1"/>
    <col min="49" max="49" width="8.28515625" style="14" bestFit="1" customWidth="1"/>
    <col min="50" max="51" width="11.5703125" style="14" bestFit="1" customWidth="1"/>
    <col min="52" max="52" width="10.28515625" style="14" bestFit="1" customWidth="1"/>
    <col min="53" max="53" width="9.85546875" style="14" bestFit="1" customWidth="1"/>
    <col min="54" max="54" width="11.5703125" style="14" bestFit="1" customWidth="1"/>
    <col min="55" max="55" width="8.28515625" style="14" bestFit="1" customWidth="1"/>
    <col min="56" max="56" width="11.5703125" style="14" bestFit="1" customWidth="1"/>
    <col min="57" max="57" width="11.5703125" style="14" customWidth="1"/>
    <col min="58" max="58" width="9.85546875" style="14" bestFit="1" customWidth="1"/>
    <col min="59" max="59" width="10.28515625" style="14" bestFit="1" customWidth="1"/>
    <col min="60" max="60" width="8.28515625" style="14" bestFit="1" customWidth="1"/>
    <col min="61" max="61" width="10.28515625" style="14" bestFit="1" customWidth="1"/>
    <col min="62" max="63" width="9.85546875" style="14" bestFit="1" customWidth="1"/>
    <col min="64" max="64" width="11.42578125" style="14" bestFit="1" customWidth="1"/>
    <col min="65" max="65" width="9.85546875" style="14" bestFit="1" customWidth="1"/>
    <col min="66" max="66" width="14.85546875" style="14" bestFit="1" customWidth="1"/>
    <col min="67" max="67" width="8.28515625" style="14" bestFit="1" customWidth="1"/>
    <col min="68" max="68" width="10.28515625" style="14" bestFit="1" customWidth="1"/>
    <col min="69" max="69" width="8.28515625" style="14" bestFit="1" customWidth="1"/>
    <col min="70" max="70" width="9.85546875" style="14" bestFit="1" customWidth="1"/>
    <col min="71" max="71" width="9.85546875" style="14" customWidth="1"/>
    <col min="72" max="72" width="8.7109375" style="14" bestFit="1" customWidth="1"/>
    <col min="73" max="73" width="7" style="14" bestFit="1" customWidth="1"/>
    <col min="74" max="74" width="8.28515625" style="14" bestFit="1" customWidth="1"/>
    <col min="75" max="75" width="7" style="14" bestFit="1" customWidth="1"/>
    <col min="76" max="76" width="8.28515625" style="14" bestFit="1" customWidth="1"/>
    <col min="77" max="77" width="7.28515625" style="14" bestFit="1" customWidth="1"/>
    <col min="78" max="78" width="11.42578125" style="14" bestFit="1" customWidth="1"/>
    <col min="79" max="79" width="8.7109375" style="14" bestFit="1" customWidth="1"/>
    <col min="80" max="80" width="7" style="14" bestFit="1" customWidth="1"/>
    <col min="81" max="81" width="8.28515625" style="14" bestFit="1" customWidth="1"/>
    <col min="82" max="82" width="7" style="14" bestFit="1" customWidth="1"/>
    <col min="83" max="83" width="8.28515625" style="14" bestFit="1" customWidth="1"/>
    <col min="84" max="84" width="7.28515625" style="14" bestFit="1" customWidth="1"/>
    <col min="85" max="85" width="11.42578125" style="14" bestFit="1" customWidth="1"/>
    <col min="86" max="86" width="8.7109375" style="14" bestFit="1" customWidth="1"/>
    <col min="87" max="87" width="7" style="14" bestFit="1" customWidth="1"/>
    <col min="88" max="88" width="8.28515625" style="14" bestFit="1" customWidth="1"/>
    <col min="89" max="89" width="7" style="14" bestFit="1" customWidth="1"/>
    <col min="90" max="90" width="8.28515625" style="14" bestFit="1" customWidth="1"/>
    <col min="91" max="91" width="7.28515625" style="14" bestFit="1" customWidth="1"/>
    <col min="92" max="92" width="8.7109375" style="14" bestFit="1" customWidth="1"/>
    <col min="93" max="93" width="7" style="14" bestFit="1" customWidth="1"/>
    <col min="94" max="94" width="8.28515625" style="14" bestFit="1" customWidth="1"/>
    <col min="95" max="95" width="7" style="14" bestFit="1" customWidth="1"/>
    <col min="96" max="96" width="8.28515625" style="14" bestFit="1" customWidth="1"/>
    <col min="97" max="97" width="7.28515625" style="14" bestFit="1" customWidth="1"/>
    <col min="98" max="98" width="8.7109375" style="14" bestFit="1" customWidth="1"/>
    <col min="99" max="99" width="7" style="14" bestFit="1" customWidth="1"/>
    <col min="100" max="100" width="8.28515625" style="14" bestFit="1" customWidth="1"/>
    <col min="101" max="101" width="7" style="14" bestFit="1" customWidth="1"/>
    <col min="102" max="102" width="8.28515625" style="14" bestFit="1" customWidth="1"/>
    <col min="103" max="103" width="7.28515625" style="14" bestFit="1" customWidth="1"/>
    <col min="104" max="104" width="8.7109375" style="14" bestFit="1" customWidth="1"/>
    <col min="105" max="105" width="7" style="14" bestFit="1" customWidth="1"/>
    <col min="106" max="106" width="8.28515625" style="14" bestFit="1" customWidth="1"/>
    <col min="107" max="107" width="7" style="14" bestFit="1" customWidth="1"/>
    <col min="108" max="108" width="8.28515625" style="14" bestFit="1" customWidth="1"/>
    <col min="109" max="109" width="7.28515625" style="14" bestFit="1" customWidth="1"/>
    <col min="110" max="110" width="8.7109375" style="14" bestFit="1" customWidth="1"/>
    <col min="111" max="111" width="7" style="14" bestFit="1" customWidth="1"/>
    <col min="112" max="112" width="8.28515625" style="14" bestFit="1" customWidth="1"/>
    <col min="113" max="113" width="7" style="14" bestFit="1" customWidth="1"/>
    <col min="114" max="114" width="8.28515625" style="14" bestFit="1" customWidth="1"/>
    <col min="115" max="115" width="7.28515625" style="14" bestFit="1" customWidth="1"/>
    <col min="116" max="116" width="8.7109375" style="14" bestFit="1" customWidth="1"/>
    <col min="117" max="117" width="11.5703125" style="14" bestFit="1" customWidth="1"/>
    <col min="118" max="118" width="10.140625" style="14" bestFit="1" customWidth="1"/>
    <col min="119" max="119" width="11.5703125" style="14" bestFit="1" customWidth="1"/>
    <col min="120" max="120" width="8.28515625" style="14" bestFit="1" customWidth="1"/>
    <col min="121" max="121" width="11.5703125" style="14" bestFit="1" customWidth="1"/>
    <col min="122" max="122" width="10.140625" style="14" bestFit="1" customWidth="1"/>
    <col min="123" max="16384" width="10.42578125" style="14"/>
  </cols>
  <sheetData>
    <row r="1" spans="1:122" ht="15.75">
      <c r="B1" s="16" t="s">
        <v>105</v>
      </c>
      <c r="BI1" s="14">
        <v>968720.64409859944</v>
      </c>
      <c r="BK1" s="14">
        <f>900000/100*16</f>
        <v>144000</v>
      </c>
      <c r="BL1" s="14">
        <f>BK1/12</f>
        <v>12000</v>
      </c>
      <c r="BM1" s="14">
        <f>BL1*11</f>
        <v>132000</v>
      </c>
      <c r="BN1" s="173">
        <f>BI1+BM1</f>
        <v>1100720.6440985994</v>
      </c>
    </row>
    <row r="2" spans="1:122" ht="15.75" thickBot="1">
      <c r="J2" s="17">
        <v>1.18</v>
      </c>
      <c r="AY2" s="353">
        <f>AY7-AX7</f>
        <v>-5000</v>
      </c>
      <c r="BF2" s="353">
        <f>BE7-BF7</f>
        <v>0</v>
      </c>
      <c r="BM2" s="353">
        <f>BM7-BK7</f>
        <v>151405.57</v>
      </c>
    </row>
    <row r="3" spans="1:122" ht="19.5" customHeight="1" thickBot="1">
      <c r="A3" s="513" t="s">
        <v>1</v>
      </c>
      <c r="B3" s="475" t="s">
        <v>2</v>
      </c>
      <c r="C3" s="475" t="s">
        <v>3</v>
      </c>
      <c r="D3" s="475" t="s">
        <v>4</v>
      </c>
      <c r="E3" s="516" t="s">
        <v>1176</v>
      </c>
      <c r="F3" s="516" t="s">
        <v>1170</v>
      </c>
      <c r="G3" s="519" t="s">
        <v>1242</v>
      </c>
      <c r="H3" s="585" t="s">
        <v>1197</v>
      </c>
      <c r="I3" s="510" t="s">
        <v>1178</v>
      </c>
      <c r="J3" s="540" t="s">
        <v>5</v>
      </c>
      <c r="K3" s="488" t="s">
        <v>6</v>
      </c>
      <c r="L3" s="489"/>
      <c r="M3" s="492" t="s">
        <v>9</v>
      </c>
      <c r="N3" s="493"/>
      <c r="O3" s="469" t="s">
        <v>1295</v>
      </c>
      <c r="P3" s="273"/>
      <c r="Q3" s="485" t="s">
        <v>1196</v>
      </c>
      <c r="R3" s="478" t="s">
        <v>7</v>
      </c>
      <c r="S3" s="479"/>
      <c r="T3" s="478" t="s">
        <v>8</v>
      </c>
      <c r="U3" s="479"/>
      <c r="V3" s="482" t="s">
        <v>9</v>
      </c>
      <c r="W3" s="483"/>
      <c r="X3" s="483"/>
      <c r="Y3" s="483"/>
      <c r="Z3" s="483"/>
      <c r="AA3" s="483"/>
      <c r="AB3" s="483"/>
      <c r="AC3" s="483"/>
      <c r="AD3" s="483"/>
      <c r="AE3" s="483"/>
      <c r="AF3" s="483"/>
      <c r="AG3" s="483"/>
      <c r="AH3" s="483"/>
      <c r="AI3" s="483"/>
      <c r="AJ3" s="483"/>
      <c r="AK3" s="483"/>
      <c r="AL3" s="483"/>
      <c r="AM3" s="484"/>
      <c r="AN3" s="499">
        <v>2025</v>
      </c>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3"/>
      <c r="DK3" s="483"/>
      <c r="DL3" s="483"/>
      <c r="DM3" s="483"/>
      <c r="DN3" s="483"/>
      <c r="DO3" s="483"/>
      <c r="DP3" s="483"/>
      <c r="DQ3" s="483"/>
      <c r="DR3" s="484"/>
    </row>
    <row r="4" spans="1:122" ht="80.25" customHeight="1" thickBot="1">
      <c r="A4" s="514"/>
      <c r="B4" s="476"/>
      <c r="C4" s="476"/>
      <c r="D4" s="476"/>
      <c r="E4" s="517"/>
      <c r="F4" s="517"/>
      <c r="G4" s="520"/>
      <c r="H4" s="586"/>
      <c r="I4" s="511"/>
      <c r="J4" s="541"/>
      <c r="K4" s="490"/>
      <c r="L4" s="491"/>
      <c r="M4" s="494"/>
      <c r="N4" s="495"/>
      <c r="O4" s="496"/>
      <c r="P4" s="271" t="s">
        <v>1234</v>
      </c>
      <c r="Q4" s="486"/>
      <c r="R4" s="480"/>
      <c r="S4" s="481"/>
      <c r="T4" s="480"/>
      <c r="U4" s="481"/>
      <c r="V4" s="500" t="s">
        <v>10</v>
      </c>
      <c r="W4" s="501"/>
      <c r="X4" s="501"/>
      <c r="Y4" s="501"/>
      <c r="Z4" s="501"/>
      <c r="AA4" s="502"/>
      <c r="AB4" s="500" t="s">
        <v>11</v>
      </c>
      <c r="AC4" s="501"/>
      <c r="AD4" s="501"/>
      <c r="AE4" s="501"/>
      <c r="AF4" s="501"/>
      <c r="AG4" s="502"/>
      <c r="AH4" s="503" t="s">
        <v>9</v>
      </c>
      <c r="AI4" s="504"/>
      <c r="AJ4" s="504"/>
      <c r="AK4" s="504"/>
      <c r="AL4" s="504"/>
      <c r="AM4" s="505"/>
      <c r="AN4" s="500" t="s">
        <v>12</v>
      </c>
      <c r="AO4" s="501"/>
      <c r="AP4" s="501"/>
      <c r="AQ4" s="501"/>
      <c r="AR4" s="501"/>
      <c r="AS4" s="502"/>
      <c r="AT4" s="500" t="s">
        <v>13</v>
      </c>
      <c r="AU4" s="501"/>
      <c r="AV4" s="501"/>
      <c r="AW4" s="501"/>
      <c r="AX4" s="501"/>
      <c r="AY4" s="502"/>
      <c r="AZ4" s="500" t="s">
        <v>14</v>
      </c>
      <c r="BA4" s="501"/>
      <c r="BB4" s="501"/>
      <c r="BC4" s="501"/>
      <c r="BD4" s="501"/>
      <c r="BE4" s="509"/>
      <c r="BF4" s="502"/>
      <c r="BG4" s="500" t="s">
        <v>15</v>
      </c>
      <c r="BH4" s="501"/>
      <c r="BI4" s="501"/>
      <c r="BJ4" s="501"/>
      <c r="BK4" s="501"/>
      <c r="BL4" s="509"/>
      <c r="BM4" s="502"/>
      <c r="BN4" s="500" t="s">
        <v>16</v>
      </c>
      <c r="BO4" s="501"/>
      <c r="BP4" s="501"/>
      <c r="BQ4" s="501"/>
      <c r="BR4" s="501"/>
      <c r="BS4" s="509"/>
      <c r="BT4" s="502"/>
      <c r="BU4" s="500" t="s">
        <v>17</v>
      </c>
      <c r="BV4" s="501"/>
      <c r="BW4" s="501"/>
      <c r="BX4" s="501"/>
      <c r="BY4" s="501"/>
      <c r="BZ4" s="509"/>
      <c r="CA4" s="502"/>
      <c r="CB4" s="500" t="s">
        <v>18</v>
      </c>
      <c r="CC4" s="501"/>
      <c r="CD4" s="501"/>
      <c r="CE4" s="501"/>
      <c r="CF4" s="501"/>
      <c r="CG4" s="509"/>
      <c r="CH4" s="502"/>
      <c r="CI4" s="500" t="s">
        <v>19</v>
      </c>
      <c r="CJ4" s="501"/>
      <c r="CK4" s="501"/>
      <c r="CL4" s="501"/>
      <c r="CM4" s="501"/>
      <c r="CN4" s="502"/>
      <c r="CO4" s="500" t="s">
        <v>20</v>
      </c>
      <c r="CP4" s="501"/>
      <c r="CQ4" s="501"/>
      <c r="CR4" s="501"/>
      <c r="CS4" s="501"/>
      <c r="CT4" s="502"/>
      <c r="CU4" s="500" t="s">
        <v>21</v>
      </c>
      <c r="CV4" s="501"/>
      <c r="CW4" s="501"/>
      <c r="CX4" s="501"/>
      <c r="CY4" s="501"/>
      <c r="CZ4" s="502"/>
      <c r="DA4" s="500" t="s">
        <v>22</v>
      </c>
      <c r="DB4" s="501"/>
      <c r="DC4" s="501"/>
      <c r="DD4" s="501"/>
      <c r="DE4" s="501"/>
      <c r="DF4" s="502"/>
      <c r="DG4" s="500" t="s">
        <v>23</v>
      </c>
      <c r="DH4" s="501"/>
      <c r="DI4" s="501"/>
      <c r="DJ4" s="501"/>
      <c r="DK4" s="501"/>
      <c r="DL4" s="502"/>
      <c r="DM4" s="506" t="s">
        <v>24</v>
      </c>
      <c r="DN4" s="507"/>
      <c r="DO4" s="507"/>
      <c r="DP4" s="507"/>
      <c r="DQ4" s="507"/>
      <c r="DR4" s="508"/>
    </row>
    <row r="5" spans="1:122">
      <c r="A5" s="514"/>
      <c r="B5" s="476"/>
      <c r="C5" s="476"/>
      <c r="D5" s="476"/>
      <c r="E5" s="517"/>
      <c r="F5" s="517"/>
      <c r="G5" s="520"/>
      <c r="H5" s="586"/>
      <c r="I5" s="511"/>
      <c r="J5" s="541"/>
      <c r="K5" s="469" t="s">
        <v>1169</v>
      </c>
      <c r="L5" s="469" t="s">
        <v>1171</v>
      </c>
      <c r="M5" s="498" t="s">
        <v>1172</v>
      </c>
      <c r="N5" s="469" t="s">
        <v>1177</v>
      </c>
      <c r="O5" s="496"/>
      <c r="P5" s="274"/>
      <c r="Q5" s="486"/>
      <c r="R5" s="471" t="s">
        <v>1169</v>
      </c>
      <c r="S5" s="473" t="s">
        <v>1168</v>
      </c>
      <c r="T5" s="471" t="s">
        <v>1169</v>
      </c>
      <c r="U5" s="473" t="s">
        <v>1168</v>
      </c>
      <c r="V5" s="464" t="s">
        <v>1167</v>
      </c>
      <c r="W5" s="460"/>
      <c r="X5" s="460" t="s">
        <v>1166</v>
      </c>
      <c r="Y5" s="461"/>
      <c r="Z5" s="462" t="s">
        <v>25</v>
      </c>
      <c r="AA5" s="463"/>
      <c r="AB5" s="464" t="s">
        <v>1167</v>
      </c>
      <c r="AC5" s="460"/>
      <c r="AD5" s="460" t="s">
        <v>1166</v>
      </c>
      <c r="AE5" s="461"/>
      <c r="AF5" s="462" t="s">
        <v>25</v>
      </c>
      <c r="AG5" s="463"/>
      <c r="AH5" s="464" t="s">
        <v>1167</v>
      </c>
      <c r="AI5" s="460"/>
      <c r="AJ5" s="460" t="s">
        <v>1166</v>
      </c>
      <c r="AK5" s="461"/>
      <c r="AL5" s="462" t="s">
        <v>25</v>
      </c>
      <c r="AM5" s="463"/>
      <c r="AN5" s="464" t="s">
        <v>1167</v>
      </c>
      <c r="AO5" s="460"/>
      <c r="AP5" s="460" t="s">
        <v>1166</v>
      </c>
      <c r="AQ5" s="461"/>
      <c r="AR5" s="462" t="s">
        <v>25</v>
      </c>
      <c r="AS5" s="463"/>
      <c r="AT5" s="464" t="s">
        <v>1167</v>
      </c>
      <c r="AU5" s="460"/>
      <c r="AV5" s="460" t="s">
        <v>1166</v>
      </c>
      <c r="AW5" s="461"/>
      <c r="AX5" s="462" t="s">
        <v>25</v>
      </c>
      <c r="AY5" s="463"/>
      <c r="AZ5" s="464" t="s">
        <v>1167</v>
      </c>
      <c r="BA5" s="460"/>
      <c r="BB5" s="460" t="s">
        <v>1166</v>
      </c>
      <c r="BC5" s="461"/>
      <c r="BD5" s="462" t="s">
        <v>25</v>
      </c>
      <c r="BE5" s="465"/>
      <c r="BF5" s="463"/>
      <c r="BG5" s="464" t="s">
        <v>1167</v>
      </c>
      <c r="BH5" s="460"/>
      <c r="BI5" s="460" t="s">
        <v>1166</v>
      </c>
      <c r="BJ5" s="461"/>
      <c r="BK5" s="462" t="s">
        <v>25</v>
      </c>
      <c r="BL5" s="465"/>
      <c r="BM5" s="463"/>
      <c r="BN5" s="464" t="s">
        <v>1167</v>
      </c>
      <c r="BO5" s="460"/>
      <c r="BP5" s="460" t="s">
        <v>1166</v>
      </c>
      <c r="BQ5" s="461"/>
      <c r="BR5" s="462" t="s">
        <v>25</v>
      </c>
      <c r="BS5" s="465"/>
      <c r="BT5" s="463"/>
      <c r="BU5" s="464" t="s">
        <v>1167</v>
      </c>
      <c r="BV5" s="460"/>
      <c r="BW5" s="460" t="s">
        <v>1166</v>
      </c>
      <c r="BX5" s="461"/>
      <c r="BY5" s="462" t="s">
        <v>25</v>
      </c>
      <c r="BZ5" s="465"/>
      <c r="CA5" s="463"/>
      <c r="CB5" s="464" t="s">
        <v>1167</v>
      </c>
      <c r="CC5" s="460"/>
      <c r="CD5" s="460" t="s">
        <v>1166</v>
      </c>
      <c r="CE5" s="461"/>
      <c r="CF5" s="462" t="s">
        <v>25</v>
      </c>
      <c r="CG5" s="465"/>
      <c r="CH5" s="463"/>
      <c r="CI5" s="464" t="s">
        <v>1167</v>
      </c>
      <c r="CJ5" s="460"/>
      <c r="CK5" s="460" t="s">
        <v>1166</v>
      </c>
      <c r="CL5" s="461"/>
      <c r="CM5" s="462" t="s">
        <v>25</v>
      </c>
      <c r="CN5" s="463"/>
      <c r="CO5" s="464" t="s">
        <v>1167</v>
      </c>
      <c r="CP5" s="460"/>
      <c r="CQ5" s="460" t="s">
        <v>1166</v>
      </c>
      <c r="CR5" s="461"/>
      <c r="CS5" s="462" t="s">
        <v>25</v>
      </c>
      <c r="CT5" s="463"/>
      <c r="CU5" s="464" t="s">
        <v>1167</v>
      </c>
      <c r="CV5" s="460"/>
      <c r="CW5" s="460" t="s">
        <v>1166</v>
      </c>
      <c r="CX5" s="461"/>
      <c r="CY5" s="462" t="s">
        <v>25</v>
      </c>
      <c r="CZ5" s="463"/>
      <c r="DA5" s="464" t="s">
        <v>1167</v>
      </c>
      <c r="DB5" s="460"/>
      <c r="DC5" s="460" t="s">
        <v>1166</v>
      </c>
      <c r="DD5" s="461"/>
      <c r="DE5" s="462" t="s">
        <v>25</v>
      </c>
      <c r="DF5" s="463"/>
      <c r="DG5" s="464" t="s">
        <v>1167</v>
      </c>
      <c r="DH5" s="460"/>
      <c r="DI5" s="460" t="s">
        <v>1166</v>
      </c>
      <c r="DJ5" s="461"/>
      <c r="DK5" s="462" t="s">
        <v>25</v>
      </c>
      <c r="DL5" s="463"/>
      <c r="DM5" s="464" t="s">
        <v>1167</v>
      </c>
      <c r="DN5" s="460"/>
      <c r="DO5" s="460" t="s">
        <v>1166</v>
      </c>
      <c r="DP5" s="461"/>
      <c r="DQ5" s="462" t="s">
        <v>25</v>
      </c>
      <c r="DR5" s="463"/>
    </row>
    <row r="6" spans="1:122" ht="15.75" thickBot="1">
      <c r="A6" s="538"/>
      <c r="B6" s="539"/>
      <c r="C6" s="539"/>
      <c r="D6" s="539"/>
      <c r="E6" s="518"/>
      <c r="F6" s="518"/>
      <c r="G6" s="521"/>
      <c r="H6" s="587"/>
      <c r="I6" s="512"/>
      <c r="J6" s="542"/>
      <c r="K6" s="470"/>
      <c r="L6" s="497"/>
      <c r="M6" s="497"/>
      <c r="N6" s="497"/>
      <c r="O6" s="470"/>
      <c r="P6" s="275"/>
      <c r="Q6" s="487"/>
      <c r="R6" s="472"/>
      <c r="S6" s="474"/>
      <c r="T6" s="472"/>
      <c r="U6" s="474"/>
      <c r="V6" s="2" t="s">
        <v>26</v>
      </c>
      <c r="W6" s="3" t="s">
        <v>27</v>
      </c>
      <c r="X6" s="3" t="s">
        <v>26</v>
      </c>
      <c r="Y6" s="4" t="s">
        <v>27</v>
      </c>
      <c r="Z6" s="5" t="s">
        <v>26</v>
      </c>
      <c r="AA6" s="6" t="s">
        <v>27</v>
      </c>
      <c r="AB6" s="2" t="s">
        <v>26</v>
      </c>
      <c r="AC6" s="3" t="s">
        <v>27</v>
      </c>
      <c r="AD6" s="3" t="s">
        <v>26</v>
      </c>
      <c r="AE6" s="4" t="s">
        <v>27</v>
      </c>
      <c r="AF6" s="5" t="s">
        <v>26</v>
      </c>
      <c r="AG6" s="6" t="s">
        <v>27</v>
      </c>
      <c r="AH6" s="2" t="s">
        <v>26</v>
      </c>
      <c r="AI6" s="3" t="s">
        <v>27</v>
      </c>
      <c r="AJ6" s="3" t="s">
        <v>26</v>
      </c>
      <c r="AK6" s="4" t="s">
        <v>27</v>
      </c>
      <c r="AL6" s="5" t="s">
        <v>26</v>
      </c>
      <c r="AM6" s="6" t="s">
        <v>27</v>
      </c>
      <c r="AN6" s="2" t="s">
        <v>26</v>
      </c>
      <c r="AO6" s="3" t="s">
        <v>27</v>
      </c>
      <c r="AP6" s="3" t="s">
        <v>26</v>
      </c>
      <c r="AQ6" s="4" t="s">
        <v>27</v>
      </c>
      <c r="AR6" s="5" t="s">
        <v>26</v>
      </c>
      <c r="AS6" s="6" t="s">
        <v>27</v>
      </c>
      <c r="AT6" s="2" t="s">
        <v>26</v>
      </c>
      <c r="AU6" s="3" t="s">
        <v>27</v>
      </c>
      <c r="AV6" s="3" t="s">
        <v>26</v>
      </c>
      <c r="AW6" s="4" t="s">
        <v>27</v>
      </c>
      <c r="AX6" s="5" t="s">
        <v>26</v>
      </c>
      <c r="AY6" s="6" t="s">
        <v>27</v>
      </c>
      <c r="AZ6" s="2" t="s">
        <v>26</v>
      </c>
      <c r="BA6" s="3" t="s">
        <v>27</v>
      </c>
      <c r="BB6" s="3" t="s">
        <v>26</v>
      </c>
      <c r="BC6" s="4" t="s">
        <v>27</v>
      </c>
      <c r="BD6" s="5" t="s">
        <v>26</v>
      </c>
      <c r="BE6" s="367" t="s">
        <v>1254</v>
      </c>
      <c r="BF6" s="6" t="s">
        <v>27</v>
      </c>
      <c r="BG6" s="2" t="s">
        <v>26</v>
      </c>
      <c r="BH6" s="3" t="s">
        <v>27</v>
      </c>
      <c r="BI6" s="3" t="s">
        <v>26</v>
      </c>
      <c r="BJ6" s="4" t="s">
        <v>27</v>
      </c>
      <c r="BK6" s="5" t="s">
        <v>26</v>
      </c>
      <c r="BL6" s="367" t="s">
        <v>1254</v>
      </c>
      <c r="BM6" s="6" t="s">
        <v>27</v>
      </c>
      <c r="BN6" s="2" t="s">
        <v>26</v>
      </c>
      <c r="BO6" s="3" t="s">
        <v>27</v>
      </c>
      <c r="BP6" s="3" t="s">
        <v>26</v>
      </c>
      <c r="BQ6" s="4" t="s">
        <v>27</v>
      </c>
      <c r="BR6" s="5" t="s">
        <v>26</v>
      </c>
      <c r="BS6" s="367" t="s">
        <v>1254</v>
      </c>
      <c r="BT6" s="6" t="s">
        <v>27</v>
      </c>
      <c r="BU6" s="2" t="s">
        <v>26</v>
      </c>
      <c r="BV6" s="3" t="s">
        <v>27</v>
      </c>
      <c r="BW6" s="3" t="s">
        <v>26</v>
      </c>
      <c r="BX6" s="4" t="s">
        <v>27</v>
      </c>
      <c r="BY6" s="5" t="s">
        <v>26</v>
      </c>
      <c r="BZ6" s="367" t="s">
        <v>1254</v>
      </c>
      <c r="CA6" s="6" t="s">
        <v>27</v>
      </c>
      <c r="CB6" s="2" t="s">
        <v>26</v>
      </c>
      <c r="CC6" s="3" t="s">
        <v>27</v>
      </c>
      <c r="CD6" s="3" t="s">
        <v>26</v>
      </c>
      <c r="CE6" s="4" t="s">
        <v>27</v>
      </c>
      <c r="CF6" s="5" t="s">
        <v>26</v>
      </c>
      <c r="CG6" s="367" t="s">
        <v>1254</v>
      </c>
      <c r="CH6" s="6" t="s">
        <v>27</v>
      </c>
      <c r="CI6" s="2" t="s">
        <v>26</v>
      </c>
      <c r="CJ6" s="3" t="s">
        <v>27</v>
      </c>
      <c r="CK6" s="3" t="s">
        <v>26</v>
      </c>
      <c r="CL6" s="4" t="s">
        <v>27</v>
      </c>
      <c r="CM6" s="5" t="s">
        <v>26</v>
      </c>
      <c r="CN6" s="6" t="s">
        <v>27</v>
      </c>
      <c r="CO6" s="2" t="s">
        <v>26</v>
      </c>
      <c r="CP6" s="3" t="s">
        <v>27</v>
      </c>
      <c r="CQ6" s="3" t="s">
        <v>26</v>
      </c>
      <c r="CR6" s="4" t="s">
        <v>27</v>
      </c>
      <c r="CS6" s="5" t="s">
        <v>26</v>
      </c>
      <c r="CT6" s="6" t="s">
        <v>27</v>
      </c>
      <c r="CU6" s="2" t="s">
        <v>26</v>
      </c>
      <c r="CV6" s="3" t="s">
        <v>27</v>
      </c>
      <c r="CW6" s="3" t="s">
        <v>26</v>
      </c>
      <c r="CX6" s="4" t="s">
        <v>27</v>
      </c>
      <c r="CY6" s="5" t="s">
        <v>26</v>
      </c>
      <c r="CZ6" s="6" t="s">
        <v>27</v>
      </c>
      <c r="DA6" s="2" t="s">
        <v>26</v>
      </c>
      <c r="DB6" s="3" t="s">
        <v>27</v>
      </c>
      <c r="DC6" s="3" t="s">
        <v>26</v>
      </c>
      <c r="DD6" s="4" t="s">
        <v>27</v>
      </c>
      <c r="DE6" s="5" t="s">
        <v>26</v>
      </c>
      <c r="DF6" s="6" t="s">
        <v>27</v>
      </c>
      <c r="DG6" s="2" t="s">
        <v>26</v>
      </c>
      <c r="DH6" s="3" t="s">
        <v>27</v>
      </c>
      <c r="DI6" s="3" t="s">
        <v>26</v>
      </c>
      <c r="DJ6" s="4" t="s">
        <v>27</v>
      </c>
      <c r="DK6" s="5" t="s">
        <v>26</v>
      </c>
      <c r="DL6" s="6" t="s">
        <v>27</v>
      </c>
      <c r="DM6" s="2" t="s">
        <v>26</v>
      </c>
      <c r="DN6" s="3" t="s">
        <v>27</v>
      </c>
      <c r="DO6" s="3" t="s">
        <v>26</v>
      </c>
      <c r="DP6" s="4" t="s">
        <v>27</v>
      </c>
      <c r="DQ6" s="5" t="s">
        <v>26</v>
      </c>
      <c r="DR6" s="6" t="s">
        <v>27</v>
      </c>
    </row>
    <row r="7" spans="1:122" ht="15.75">
      <c r="A7" s="20">
        <f t="shared" ref="A7:D7" si="0">SUBTOTAL(3,A9:A13)</f>
        <v>5</v>
      </c>
      <c r="B7" s="20">
        <f t="shared" si="0"/>
        <v>5</v>
      </c>
      <c r="C7" s="20">
        <f t="shared" si="0"/>
        <v>5</v>
      </c>
      <c r="D7" s="20">
        <f t="shared" si="0"/>
        <v>5</v>
      </c>
      <c r="E7" s="20">
        <f>SUBTOTAL(3,E9:E13)</f>
        <v>5</v>
      </c>
      <c r="F7" s="20">
        <f t="shared" ref="F7:I7" si="1">SUBTOTAL(9,F9:F13)</f>
        <v>3250000</v>
      </c>
      <c r="G7" s="20">
        <f t="shared" si="1"/>
        <v>2971405.57</v>
      </c>
      <c r="H7" s="20">
        <f t="shared" si="1"/>
        <v>9467268.4600000009</v>
      </c>
      <c r="I7" s="20">
        <f t="shared" si="1"/>
        <v>9745862.8900000006</v>
      </c>
      <c r="J7" s="20">
        <f>SUBTOTAL(9,J9:J13)</f>
        <v>5323636.4800000004</v>
      </c>
      <c r="K7" s="20">
        <f t="shared" ref="K7:CA7" si="2">SUBTOTAL(9,K9:K13)</f>
        <v>1365000</v>
      </c>
      <c r="L7" s="20">
        <f t="shared" si="2"/>
        <v>0</v>
      </c>
      <c r="M7" s="20">
        <f t="shared" si="2"/>
        <v>5130862.8900000006</v>
      </c>
      <c r="N7" s="20">
        <f t="shared" si="2"/>
        <v>5695862.8900000006</v>
      </c>
      <c r="O7" s="20">
        <f t="shared" si="2"/>
        <v>6495862.8900000006</v>
      </c>
      <c r="P7" s="20">
        <f t="shared" si="2"/>
        <v>3250000</v>
      </c>
      <c r="Q7" s="20">
        <f t="shared" si="2"/>
        <v>8967268.4600000009</v>
      </c>
      <c r="R7" s="20">
        <f t="shared" si="2"/>
        <v>3800000</v>
      </c>
      <c r="S7" s="20">
        <f t="shared" si="2"/>
        <v>119091.15</v>
      </c>
      <c r="T7" s="20">
        <f t="shared" si="2"/>
        <v>5165000</v>
      </c>
      <c r="U7" s="20">
        <f t="shared" si="2"/>
        <v>119091.15</v>
      </c>
      <c r="V7" s="20">
        <f t="shared" si="2"/>
        <v>0</v>
      </c>
      <c r="W7" s="20">
        <f t="shared" si="2"/>
        <v>0</v>
      </c>
      <c r="X7" s="20">
        <f t="shared" si="2"/>
        <v>1200000</v>
      </c>
      <c r="Y7" s="20">
        <f t="shared" si="2"/>
        <v>0</v>
      </c>
      <c r="Z7" s="20">
        <f t="shared" si="2"/>
        <v>1200000</v>
      </c>
      <c r="AA7" s="20">
        <f t="shared" si="2"/>
        <v>0</v>
      </c>
      <c r="AB7" s="20">
        <f t="shared" si="2"/>
        <v>0</v>
      </c>
      <c r="AC7" s="20">
        <f t="shared" si="2"/>
        <v>900000</v>
      </c>
      <c r="AD7" s="20">
        <f t="shared" si="2"/>
        <v>0</v>
      </c>
      <c r="AE7" s="20">
        <f t="shared" si="2"/>
        <v>311771.74</v>
      </c>
      <c r="AF7" s="20">
        <f t="shared" si="2"/>
        <v>0</v>
      </c>
      <c r="AG7" s="20">
        <f t="shared" si="2"/>
        <v>1211771.74</v>
      </c>
      <c r="AH7" s="20">
        <f t="shared" si="2"/>
        <v>3800000</v>
      </c>
      <c r="AI7" s="20">
        <f t="shared" si="2"/>
        <v>4700000</v>
      </c>
      <c r="AJ7" s="20">
        <f t="shared" si="2"/>
        <v>1319091.1499999999</v>
      </c>
      <c r="AK7" s="20">
        <f t="shared" si="2"/>
        <v>430862.89</v>
      </c>
      <c r="AL7" s="20">
        <f t="shared" si="2"/>
        <v>5119091.1500000004</v>
      </c>
      <c r="AM7" s="20">
        <f t="shared" si="2"/>
        <v>5130862.8900000006</v>
      </c>
      <c r="AN7" s="20">
        <f t="shared" si="2"/>
        <v>500000</v>
      </c>
      <c r="AO7" s="20">
        <f t="shared" si="2"/>
        <v>500000</v>
      </c>
      <c r="AP7" s="20">
        <f t="shared" si="2"/>
        <v>0</v>
      </c>
      <c r="AQ7" s="20">
        <f t="shared" si="2"/>
        <v>0</v>
      </c>
      <c r="AR7" s="20">
        <f t="shared" si="2"/>
        <v>500000</v>
      </c>
      <c r="AS7" s="20">
        <f t="shared" si="2"/>
        <v>500000</v>
      </c>
      <c r="AT7" s="20">
        <f t="shared" si="2"/>
        <v>1365000</v>
      </c>
      <c r="AU7" s="20">
        <f t="shared" si="2"/>
        <v>1360000</v>
      </c>
      <c r="AV7" s="20">
        <f t="shared" si="2"/>
        <v>0</v>
      </c>
      <c r="AW7" s="20">
        <f t="shared" si="2"/>
        <v>0</v>
      </c>
      <c r="AX7" s="20">
        <f t="shared" si="2"/>
        <v>1365000</v>
      </c>
      <c r="AY7" s="20">
        <f t="shared" si="2"/>
        <v>1360000</v>
      </c>
      <c r="AZ7" s="20">
        <f t="shared" si="2"/>
        <v>0</v>
      </c>
      <c r="BA7" s="20">
        <f t="shared" si="2"/>
        <v>960000</v>
      </c>
      <c r="BB7" s="20">
        <f t="shared" si="2"/>
        <v>1385000</v>
      </c>
      <c r="BC7" s="20">
        <f t="shared" si="2"/>
        <v>0</v>
      </c>
      <c r="BD7" s="20">
        <f t="shared" si="2"/>
        <v>1385000</v>
      </c>
      <c r="BE7" s="20">
        <f t="shared" si="2"/>
        <v>960000</v>
      </c>
      <c r="BF7" s="20">
        <f t="shared" si="2"/>
        <v>960000</v>
      </c>
      <c r="BG7" s="20">
        <f t="shared" si="2"/>
        <v>0</v>
      </c>
      <c r="BH7" s="20">
        <f t="shared" si="2"/>
        <v>0</v>
      </c>
      <c r="BI7" s="20">
        <f t="shared" si="2"/>
        <v>0</v>
      </c>
      <c r="BJ7" s="20">
        <f t="shared" si="2"/>
        <v>151405.57</v>
      </c>
      <c r="BK7" s="20">
        <f>SUBTOTAL(9,BK9:BK13)</f>
        <v>0</v>
      </c>
      <c r="BL7" s="20">
        <f>SUBTOTAL(9,BL9:BL13)</f>
        <v>890000</v>
      </c>
      <c r="BM7" s="20">
        <f t="shared" si="2"/>
        <v>151405.57</v>
      </c>
      <c r="BN7" s="20">
        <f t="shared" si="2"/>
        <v>0</v>
      </c>
      <c r="BO7" s="20">
        <f t="shared" si="2"/>
        <v>0</v>
      </c>
      <c r="BP7" s="20">
        <f t="shared" si="2"/>
        <v>0</v>
      </c>
      <c r="BQ7" s="20">
        <f t="shared" si="2"/>
        <v>0</v>
      </c>
      <c r="BR7" s="20">
        <f t="shared" si="2"/>
        <v>0</v>
      </c>
      <c r="BS7" s="20">
        <f t="shared" si="2"/>
        <v>750000</v>
      </c>
      <c r="BT7" s="20">
        <f t="shared" si="2"/>
        <v>0</v>
      </c>
      <c r="BU7" s="20">
        <f t="shared" si="2"/>
        <v>0</v>
      </c>
      <c r="BV7" s="20">
        <f t="shared" si="2"/>
        <v>0</v>
      </c>
      <c r="BW7" s="20">
        <f t="shared" si="2"/>
        <v>0</v>
      </c>
      <c r="BX7" s="20">
        <f t="shared" si="2"/>
        <v>0</v>
      </c>
      <c r="BY7" s="20">
        <f t="shared" si="2"/>
        <v>0</v>
      </c>
      <c r="BZ7" s="20">
        <f t="shared" si="2"/>
        <v>750000</v>
      </c>
      <c r="CA7" s="20">
        <f t="shared" si="2"/>
        <v>0</v>
      </c>
      <c r="CB7" s="20">
        <f t="shared" ref="CB7:DR7" si="3">SUBTOTAL(9,CB9:CB13)</f>
        <v>0</v>
      </c>
      <c r="CC7" s="20">
        <f t="shared" si="3"/>
        <v>0</v>
      </c>
      <c r="CD7" s="20">
        <f t="shared" si="3"/>
        <v>0</v>
      </c>
      <c r="CE7" s="20">
        <f t="shared" si="3"/>
        <v>0</v>
      </c>
      <c r="CF7" s="20">
        <f t="shared" si="3"/>
        <v>0</v>
      </c>
      <c r="CG7" s="20">
        <f t="shared" si="3"/>
        <v>750000</v>
      </c>
      <c r="CH7" s="20">
        <f t="shared" si="3"/>
        <v>0</v>
      </c>
      <c r="CI7" s="20">
        <f t="shared" si="3"/>
        <v>0</v>
      </c>
      <c r="CJ7" s="20">
        <f t="shared" si="3"/>
        <v>0</v>
      </c>
      <c r="CK7" s="20">
        <f t="shared" si="3"/>
        <v>0</v>
      </c>
      <c r="CL7" s="20">
        <f t="shared" si="3"/>
        <v>0</v>
      </c>
      <c r="CM7" s="20">
        <f t="shared" si="3"/>
        <v>0</v>
      </c>
      <c r="CN7" s="20">
        <f t="shared" si="3"/>
        <v>0</v>
      </c>
      <c r="CO7" s="20">
        <f t="shared" si="3"/>
        <v>0</v>
      </c>
      <c r="CP7" s="20">
        <f t="shared" si="3"/>
        <v>0</v>
      </c>
      <c r="CQ7" s="20">
        <f t="shared" si="3"/>
        <v>0</v>
      </c>
      <c r="CR7" s="20">
        <f t="shared" si="3"/>
        <v>0</v>
      </c>
      <c r="CS7" s="20">
        <f t="shared" si="3"/>
        <v>0</v>
      </c>
      <c r="CT7" s="20">
        <f t="shared" si="3"/>
        <v>0</v>
      </c>
      <c r="CU7" s="20">
        <f t="shared" si="3"/>
        <v>0</v>
      </c>
      <c r="CV7" s="20">
        <f t="shared" si="3"/>
        <v>0</v>
      </c>
      <c r="CW7" s="20">
        <f t="shared" si="3"/>
        <v>0</v>
      </c>
      <c r="CX7" s="20">
        <f t="shared" si="3"/>
        <v>0</v>
      </c>
      <c r="CY7" s="20">
        <f t="shared" si="3"/>
        <v>0</v>
      </c>
      <c r="CZ7" s="20">
        <f t="shared" si="3"/>
        <v>0</v>
      </c>
      <c r="DA7" s="20">
        <f t="shared" si="3"/>
        <v>0</v>
      </c>
      <c r="DB7" s="20">
        <f t="shared" si="3"/>
        <v>0</v>
      </c>
      <c r="DC7" s="20">
        <f t="shared" si="3"/>
        <v>0</v>
      </c>
      <c r="DD7" s="20">
        <f t="shared" si="3"/>
        <v>0</v>
      </c>
      <c r="DE7" s="20">
        <f t="shared" si="3"/>
        <v>0</v>
      </c>
      <c r="DF7" s="20">
        <f t="shared" si="3"/>
        <v>0</v>
      </c>
      <c r="DG7" s="20">
        <f t="shared" si="3"/>
        <v>0</v>
      </c>
      <c r="DH7" s="20">
        <f t="shared" si="3"/>
        <v>0</v>
      </c>
      <c r="DI7" s="20">
        <f t="shared" si="3"/>
        <v>0</v>
      </c>
      <c r="DJ7" s="20">
        <f t="shared" si="3"/>
        <v>0</v>
      </c>
      <c r="DK7" s="20">
        <f t="shared" si="3"/>
        <v>0</v>
      </c>
      <c r="DL7" s="20">
        <f t="shared" si="3"/>
        <v>0</v>
      </c>
      <c r="DM7" s="20">
        <f t="shared" si="3"/>
        <v>1865000</v>
      </c>
      <c r="DN7" s="20">
        <f t="shared" si="3"/>
        <v>2820000</v>
      </c>
      <c r="DO7" s="20">
        <f t="shared" si="3"/>
        <v>1385000</v>
      </c>
      <c r="DP7" s="20">
        <f t="shared" si="3"/>
        <v>151405.57</v>
      </c>
      <c r="DQ7" s="20">
        <f t="shared" si="3"/>
        <v>3250000</v>
      </c>
      <c r="DR7" s="20">
        <f t="shared" si="3"/>
        <v>2971405.57</v>
      </c>
    </row>
    <row r="8" spans="1:122" ht="15.75" customHeight="1">
      <c r="A8" s="92"/>
      <c r="J8" s="174"/>
      <c r="K8" s="175"/>
      <c r="L8" s="175"/>
      <c r="M8" s="175"/>
      <c r="N8" s="175"/>
      <c r="O8" s="175"/>
      <c r="P8" s="175"/>
      <c r="Q8" s="175"/>
      <c r="R8" s="175"/>
      <c r="S8" s="175"/>
      <c r="T8" s="175"/>
      <c r="U8" s="175"/>
      <c r="V8" s="175"/>
      <c r="W8" s="175"/>
      <c r="X8" s="175"/>
      <c r="Y8" s="175"/>
      <c r="Z8" s="175"/>
      <c r="AA8" s="175"/>
      <c r="AB8" s="175"/>
      <c r="AC8" s="175"/>
      <c r="AD8" s="175"/>
      <c r="AE8" s="175"/>
      <c r="AF8" s="175"/>
      <c r="AG8" s="175"/>
      <c r="AH8" s="175"/>
      <c r="AI8" s="175"/>
      <c r="AJ8" s="175"/>
      <c r="AK8" s="175"/>
      <c r="AL8" s="175"/>
      <c r="AM8" s="175"/>
      <c r="AN8" s="174"/>
      <c r="AO8" s="174"/>
      <c r="AP8" s="174"/>
      <c r="AQ8" s="174"/>
      <c r="AR8" s="174"/>
      <c r="AS8" s="174"/>
      <c r="AT8" s="175"/>
      <c r="AU8" s="175"/>
      <c r="AV8" s="175"/>
      <c r="AW8" s="175"/>
      <c r="AX8" s="175"/>
      <c r="AY8" s="175"/>
      <c r="AZ8" s="175"/>
      <c r="BA8" s="175"/>
      <c r="BB8" s="175"/>
      <c r="BC8" s="175"/>
      <c r="BD8" s="175"/>
      <c r="BE8" s="175"/>
      <c r="BF8" s="175"/>
      <c r="BG8" s="175"/>
      <c r="BH8" s="175"/>
      <c r="BI8" s="175"/>
      <c r="BJ8" s="175"/>
      <c r="BK8" s="175"/>
      <c r="BL8" s="175"/>
      <c r="BM8" s="175"/>
      <c r="BN8" s="175"/>
      <c r="BO8" s="175"/>
      <c r="BP8" s="175"/>
      <c r="BQ8" s="175"/>
      <c r="BR8" s="175"/>
      <c r="BS8" s="175"/>
      <c r="BT8" s="175"/>
      <c r="BU8" s="175"/>
      <c r="BV8" s="175"/>
      <c r="BW8" s="175"/>
      <c r="BX8" s="175"/>
      <c r="BY8" s="175"/>
      <c r="BZ8" s="175"/>
      <c r="CA8" s="175"/>
      <c r="CB8" s="175"/>
      <c r="CC8" s="175"/>
      <c r="CD8" s="175"/>
      <c r="CE8" s="175"/>
      <c r="CF8" s="175"/>
      <c r="CG8" s="175"/>
      <c r="CH8" s="175"/>
      <c r="CI8" s="175"/>
      <c r="CJ8" s="175"/>
      <c r="CK8" s="175"/>
      <c r="CL8" s="175"/>
      <c r="CM8" s="175"/>
      <c r="CN8" s="175"/>
      <c r="CO8" s="175"/>
      <c r="CP8" s="175"/>
      <c r="CQ8" s="175"/>
      <c r="CR8" s="175"/>
      <c r="CS8" s="175"/>
      <c r="CT8" s="175"/>
      <c r="CU8" s="175"/>
      <c r="CV8" s="175"/>
      <c r="CW8" s="175"/>
      <c r="CX8" s="175"/>
      <c r="CY8" s="175"/>
      <c r="CZ8" s="175"/>
      <c r="DA8" s="175"/>
      <c r="DB8" s="175"/>
      <c r="DC8" s="175"/>
      <c r="DD8" s="175"/>
      <c r="DE8" s="175"/>
      <c r="DF8" s="175"/>
      <c r="DG8" s="175"/>
      <c r="DH8" s="175"/>
      <c r="DI8" s="175"/>
      <c r="DJ8" s="175"/>
      <c r="DK8" s="175"/>
      <c r="DL8" s="175"/>
      <c r="DM8" s="175"/>
      <c r="DN8" s="175"/>
      <c r="DO8" s="175"/>
      <c r="DP8" s="175"/>
      <c r="DQ8" s="175"/>
      <c r="DR8" s="175"/>
    </row>
    <row r="9" spans="1:122">
      <c r="A9" s="25">
        <v>1</v>
      </c>
      <c r="B9" s="26" t="s">
        <v>106</v>
      </c>
      <c r="C9" s="26" t="s">
        <v>107</v>
      </c>
      <c r="D9" s="26" t="s">
        <v>108</v>
      </c>
      <c r="E9" s="159" t="s">
        <v>1165</v>
      </c>
      <c r="F9" s="161">
        <f>SUM(DQ9)</f>
        <v>0</v>
      </c>
      <c r="G9" s="161">
        <f>AS9+AY9+BF9+BM9+BT9+CA9+CH9+CN9+CT9+CZ9+DF9+DL9</f>
        <v>0</v>
      </c>
      <c r="H9" s="161">
        <f>O9+G9</f>
        <v>3499770.12</v>
      </c>
      <c r="I9" s="165">
        <f>K9+AM9+DQ9</f>
        <v>3499770.12</v>
      </c>
      <c r="J9" s="27">
        <v>949900</v>
      </c>
      <c r="K9" s="27">
        <v>1365000</v>
      </c>
      <c r="L9" s="27">
        <v>0</v>
      </c>
      <c r="M9" s="127">
        <f t="shared" ref="M9" si="4">AM9</f>
        <v>2134770.12</v>
      </c>
      <c r="N9" s="127">
        <f t="shared" ref="N9" si="5">IF(AK9&gt;0,K9+AM9-L9,0)</f>
        <v>3499770.12</v>
      </c>
      <c r="O9" s="127">
        <f>K9+M9</f>
        <v>3499770.12</v>
      </c>
      <c r="P9" s="131">
        <f>I9-O9</f>
        <v>0</v>
      </c>
      <c r="Q9" s="125">
        <f>IF(AND(AK9&gt;0,DP9&gt;0),"შეცდომაა! ერთზე მეტი ბოლო ჩაბარება!",IF(OR(AK9&gt;0,DP9&gt;0,),IF(AK9&gt;0,K9+AM9,K9+AM9+DR9),IF(AND(K9=0,M9=0,DR9=0),"ნულოვანი შესრულება","მიმდინარეობს")))</f>
        <v>3499770.12</v>
      </c>
      <c r="R9" s="27">
        <v>1105000</v>
      </c>
      <c r="S9" s="27">
        <v>0</v>
      </c>
      <c r="T9" s="27">
        <f t="shared" ref="T9:T13" si="6">K9+R9</f>
        <v>2470000</v>
      </c>
      <c r="U9" s="27">
        <f t="shared" ref="U9:U13" si="7">S9</f>
        <v>0</v>
      </c>
      <c r="V9" s="27">
        <v>0</v>
      </c>
      <c r="W9" s="27">
        <v>0</v>
      </c>
      <c r="X9" s="27">
        <v>1000000</v>
      </c>
      <c r="Y9" s="27"/>
      <c r="Z9" s="27">
        <f t="shared" ref="Z9:AA13" si="8">V9+X9</f>
        <v>1000000</v>
      </c>
      <c r="AA9" s="27">
        <f t="shared" si="8"/>
        <v>0</v>
      </c>
      <c r="AB9" s="27">
        <v>0</v>
      </c>
      <c r="AC9" s="27">
        <v>800000</v>
      </c>
      <c r="AD9" s="27">
        <v>0</v>
      </c>
      <c r="AE9" s="27">
        <v>229770.12</v>
      </c>
      <c r="AF9" s="27">
        <f t="shared" ref="AF9:AG13" si="9">AB9+AD9</f>
        <v>0</v>
      </c>
      <c r="AG9" s="27">
        <f t="shared" si="9"/>
        <v>1029770.12</v>
      </c>
      <c r="AH9" s="27">
        <f>R9+V9+AB9</f>
        <v>1105000</v>
      </c>
      <c r="AI9" s="27">
        <f>R9+W9+AC9</f>
        <v>1905000</v>
      </c>
      <c r="AJ9" s="27">
        <f>S9+X9+AD9</f>
        <v>1000000</v>
      </c>
      <c r="AK9" s="27">
        <f>S9+Y9+AE9</f>
        <v>229770.12</v>
      </c>
      <c r="AL9" s="27">
        <f t="shared" ref="AL9:AM13" si="10">AH9+AJ9</f>
        <v>2105000</v>
      </c>
      <c r="AM9" s="27">
        <f t="shared" si="10"/>
        <v>2134770.12</v>
      </c>
      <c r="AN9" s="27"/>
      <c r="AO9" s="27"/>
      <c r="AP9" s="27"/>
      <c r="AQ9" s="27"/>
      <c r="AR9" s="27">
        <f t="shared" ref="AR9:AS13" si="11">AN9+AP9</f>
        <v>0</v>
      </c>
      <c r="AS9" s="27">
        <f t="shared" si="11"/>
        <v>0</v>
      </c>
      <c r="AT9" s="27"/>
      <c r="AU9" s="27"/>
      <c r="AV9" s="27"/>
      <c r="AW9" s="27"/>
      <c r="AX9" s="27">
        <f t="shared" ref="AX9:AY13" si="12">AT9+AV9</f>
        <v>0</v>
      </c>
      <c r="AY9" s="27">
        <f t="shared" si="12"/>
        <v>0</v>
      </c>
      <c r="AZ9" s="27"/>
      <c r="BA9" s="27"/>
      <c r="BB9" s="27"/>
      <c r="BC9" s="27"/>
      <c r="BD9" s="27">
        <f t="shared" ref="BD9:BD13" si="13">AZ9+BB9</f>
        <v>0</v>
      </c>
      <c r="BE9" s="27"/>
      <c r="BF9" s="27">
        <f>BA9+BC9</f>
        <v>0</v>
      </c>
      <c r="BG9" s="27"/>
      <c r="BH9" s="27"/>
      <c r="BI9" s="27"/>
      <c r="BJ9" s="27"/>
      <c r="BK9" s="27">
        <f t="shared" ref="BK9:BK13" si="14">BG9+BI9</f>
        <v>0</v>
      </c>
      <c r="BL9" s="27"/>
      <c r="BM9" s="27">
        <f>BH9+BJ9</f>
        <v>0</v>
      </c>
      <c r="BN9" s="27"/>
      <c r="BO9" s="27"/>
      <c r="BP9" s="27"/>
      <c r="BQ9" s="27"/>
      <c r="BR9" s="27">
        <f t="shared" ref="BR9:BR13" si="15">BN9+BP9</f>
        <v>0</v>
      </c>
      <c r="BS9" s="27"/>
      <c r="BT9" s="27">
        <f>BO9+BQ9</f>
        <v>0</v>
      </c>
      <c r="BU9" s="27"/>
      <c r="BV9" s="27"/>
      <c r="BW9" s="27"/>
      <c r="BX9" s="27"/>
      <c r="BY9" s="27">
        <f t="shared" ref="BY9:BY13" si="16">BU9+BW9</f>
        <v>0</v>
      </c>
      <c r="BZ9" s="27"/>
      <c r="CA9" s="27">
        <f>BV9+BX9</f>
        <v>0</v>
      </c>
      <c r="CB9" s="27"/>
      <c r="CC9" s="27"/>
      <c r="CD9" s="27"/>
      <c r="CE9" s="27"/>
      <c r="CF9" s="27">
        <f t="shared" ref="CF9:CF13" si="17">CB9+CD9</f>
        <v>0</v>
      </c>
      <c r="CG9" s="27"/>
      <c r="CH9" s="27">
        <f>CC9+CE9</f>
        <v>0</v>
      </c>
      <c r="CI9" s="27"/>
      <c r="CJ9" s="27"/>
      <c r="CK9" s="27"/>
      <c r="CL9" s="27"/>
      <c r="CM9" s="27">
        <f t="shared" ref="CM9:CN13" si="18">CI9+CK9</f>
        <v>0</v>
      </c>
      <c r="CN9" s="27">
        <f t="shared" si="18"/>
        <v>0</v>
      </c>
      <c r="CO9" s="27"/>
      <c r="CP9" s="27"/>
      <c r="CQ9" s="27"/>
      <c r="CR9" s="27"/>
      <c r="CS9" s="27">
        <f t="shared" ref="CS9:CT13" si="19">CO9+CQ9</f>
        <v>0</v>
      </c>
      <c r="CT9" s="27">
        <f t="shared" si="19"/>
        <v>0</v>
      </c>
      <c r="CU9" s="27"/>
      <c r="CV9" s="27"/>
      <c r="CW9" s="27"/>
      <c r="CX9" s="27"/>
      <c r="CY9" s="27">
        <f t="shared" ref="CY9:CZ13" si="20">CU9+CW9</f>
        <v>0</v>
      </c>
      <c r="CZ9" s="27">
        <f t="shared" si="20"/>
        <v>0</v>
      </c>
      <c r="DA9" s="27"/>
      <c r="DB9" s="27"/>
      <c r="DC9" s="27"/>
      <c r="DD9" s="27"/>
      <c r="DE9" s="27">
        <f t="shared" ref="DE9:DF13" si="21">DA9+DC9</f>
        <v>0</v>
      </c>
      <c r="DF9" s="27">
        <f t="shared" si="21"/>
        <v>0</v>
      </c>
      <c r="DG9" s="27"/>
      <c r="DH9" s="27"/>
      <c r="DI9" s="27"/>
      <c r="DJ9" s="27"/>
      <c r="DK9" s="27">
        <f t="shared" ref="DK9:DL13" si="22">DG9+DI9</f>
        <v>0</v>
      </c>
      <c r="DL9" s="27">
        <f t="shared" si="22"/>
        <v>0</v>
      </c>
      <c r="DM9" s="27">
        <f t="shared" ref="DM9:DP13" si="23">AN9+AT9+AZ9+BG9+BN9+BU9+CB9+CI9+CO9+CU9+DA9+DG9</f>
        <v>0</v>
      </c>
      <c r="DN9" s="27">
        <f t="shared" si="23"/>
        <v>0</v>
      </c>
      <c r="DO9" s="27">
        <f t="shared" si="23"/>
        <v>0</v>
      </c>
      <c r="DP9" s="27">
        <f t="shared" si="23"/>
        <v>0</v>
      </c>
      <c r="DQ9" s="27">
        <f t="shared" ref="DQ9:DR13" si="24">DM9+DO9</f>
        <v>0</v>
      </c>
      <c r="DR9" s="27">
        <f t="shared" si="24"/>
        <v>0</v>
      </c>
    </row>
    <row r="10" spans="1:122">
      <c r="A10" s="25">
        <v>2</v>
      </c>
      <c r="B10" s="26" t="s">
        <v>109</v>
      </c>
      <c r="C10" s="26" t="s">
        <v>110</v>
      </c>
      <c r="D10" s="26" t="s">
        <v>111</v>
      </c>
      <c r="E10" s="159" t="s">
        <v>1165</v>
      </c>
      <c r="F10" s="161">
        <f t="shared" ref="F10:F13" si="25">SUM(DQ10)</f>
        <v>0</v>
      </c>
      <c r="G10" s="161">
        <f t="shared" ref="G10:G13" si="26">AS10+AY10+BF10+BM10+BT10+CA10+CH10+CN10+CT10+CZ10+DF10+DL10</f>
        <v>0</v>
      </c>
      <c r="H10" s="161">
        <f t="shared" ref="H10:H13" si="27">O10+G10</f>
        <v>1577001.62</v>
      </c>
      <c r="I10" s="165">
        <f t="shared" ref="I10:I13" si="28">K10+AM10+DQ10</f>
        <v>1577001.62</v>
      </c>
      <c r="J10" s="27">
        <v>1585000</v>
      </c>
      <c r="K10" s="27">
        <v>0</v>
      </c>
      <c r="L10" s="27">
        <v>0</v>
      </c>
      <c r="M10" s="127">
        <f t="shared" ref="M10:M13" si="29">AM10</f>
        <v>1577001.62</v>
      </c>
      <c r="N10" s="127">
        <f t="shared" ref="N10:N13" si="30">IF(AK10&gt;0,K10+AM10-L10,0)</f>
        <v>1577001.62</v>
      </c>
      <c r="O10" s="127">
        <f t="shared" ref="O10:O13" si="31">K10+M10</f>
        <v>1577001.62</v>
      </c>
      <c r="P10" s="131">
        <f t="shared" ref="P10:P13" si="32">I10-O10</f>
        <v>0</v>
      </c>
      <c r="Q10" s="125">
        <f>IF(AND(AK10&gt;0,DP10&gt;0),"შეცდომაა! ერთზე მეტი ბოლო ჩაბარება!",IF(OR(AK10&gt;0,DP10&gt;0,),IF(AK10&gt;0,K10+AM10,K10+AM10+DR10),IF(AND(K10=0,M10=0,DR10=0),"ნულოვანი შესრულება","მიმდინარეობს")))</f>
        <v>1577001.62</v>
      </c>
      <c r="R10" s="27">
        <v>1395000</v>
      </c>
      <c r="S10" s="27">
        <v>0</v>
      </c>
      <c r="T10" s="27">
        <f t="shared" si="6"/>
        <v>1395000</v>
      </c>
      <c r="U10" s="27">
        <f t="shared" si="7"/>
        <v>0</v>
      </c>
      <c r="V10" s="27">
        <v>0</v>
      </c>
      <c r="W10" s="27">
        <v>0</v>
      </c>
      <c r="X10" s="27">
        <v>200000</v>
      </c>
      <c r="Y10" s="27"/>
      <c r="Z10" s="27">
        <f t="shared" si="8"/>
        <v>200000</v>
      </c>
      <c r="AA10" s="27">
        <f t="shared" si="8"/>
        <v>0</v>
      </c>
      <c r="AB10" s="27">
        <v>0</v>
      </c>
      <c r="AC10" s="27">
        <v>100000</v>
      </c>
      <c r="AD10" s="27">
        <v>0</v>
      </c>
      <c r="AE10" s="27">
        <v>82001.62</v>
      </c>
      <c r="AF10" s="27">
        <f t="shared" si="9"/>
        <v>0</v>
      </c>
      <c r="AG10" s="27">
        <f t="shared" si="9"/>
        <v>182001.62</v>
      </c>
      <c r="AH10" s="27">
        <f t="shared" ref="AH10:AH13" si="33">R10+V10+AB10</f>
        <v>1395000</v>
      </c>
      <c r="AI10" s="27">
        <f t="shared" ref="AI10:AJ13" si="34">R10+W10+AC10</f>
        <v>1495000</v>
      </c>
      <c r="AJ10" s="27">
        <f t="shared" si="34"/>
        <v>200000</v>
      </c>
      <c r="AK10" s="27">
        <f t="shared" ref="AK10:AK13" si="35">S10+Y10+AE10</f>
        <v>82001.62</v>
      </c>
      <c r="AL10" s="27">
        <f t="shared" si="10"/>
        <v>1595000</v>
      </c>
      <c r="AM10" s="27">
        <f t="shared" si="10"/>
        <v>1577001.62</v>
      </c>
      <c r="AN10" s="27"/>
      <c r="AO10" s="27"/>
      <c r="AP10" s="27"/>
      <c r="AQ10" s="27"/>
      <c r="AR10" s="27">
        <f t="shared" si="11"/>
        <v>0</v>
      </c>
      <c r="AS10" s="27">
        <f t="shared" si="11"/>
        <v>0</v>
      </c>
      <c r="AT10" s="27"/>
      <c r="AU10" s="27"/>
      <c r="AV10" s="27"/>
      <c r="AW10" s="27"/>
      <c r="AX10" s="27">
        <f t="shared" si="12"/>
        <v>0</v>
      </c>
      <c r="AY10" s="27">
        <f t="shared" si="12"/>
        <v>0</v>
      </c>
      <c r="AZ10" s="27"/>
      <c r="BA10" s="27"/>
      <c r="BB10" s="27"/>
      <c r="BC10" s="27"/>
      <c r="BD10" s="27">
        <f t="shared" si="13"/>
        <v>0</v>
      </c>
      <c r="BE10" s="27"/>
      <c r="BF10" s="27">
        <f>BA10+BC10</f>
        <v>0</v>
      </c>
      <c r="BG10" s="27"/>
      <c r="BH10" s="27"/>
      <c r="BI10" s="27"/>
      <c r="BJ10" s="27"/>
      <c r="BK10" s="27">
        <f t="shared" si="14"/>
        <v>0</v>
      </c>
      <c r="BL10" s="27"/>
      <c r="BM10" s="27">
        <f>BH10+BJ10</f>
        <v>0</v>
      </c>
      <c r="BN10" s="27"/>
      <c r="BO10" s="27"/>
      <c r="BP10" s="27"/>
      <c r="BQ10" s="27"/>
      <c r="BR10" s="27">
        <f t="shared" si="15"/>
        <v>0</v>
      </c>
      <c r="BS10" s="27"/>
      <c r="BT10" s="27">
        <f>BO10+BQ10</f>
        <v>0</v>
      </c>
      <c r="BU10" s="27"/>
      <c r="BV10" s="27"/>
      <c r="BW10" s="27"/>
      <c r="BX10" s="27"/>
      <c r="BY10" s="27">
        <f t="shared" si="16"/>
        <v>0</v>
      </c>
      <c r="BZ10" s="27"/>
      <c r="CA10" s="27">
        <f>BV10+BX10</f>
        <v>0</v>
      </c>
      <c r="CB10" s="27"/>
      <c r="CC10" s="27"/>
      <c r="CD10" s="27"/>
      <c r="CE10" s="27"/>
      <c r="CF10" s="27">
        <f t="shared" si="17"/>
        <v>0</v>
      </c>
      <c r="CG10" s="27"/>
      <c r="CH10" s="27">
        <f>CC10+CE10</f>
        <v>0</v>
      </c>
      <c r="CI10" s="27"/>
      <c r="CJ10" s="27"/>
      <c r="CK10" s="27"/>
      <c r="CL10" s="27"/>
      <c r="CM10" s="27">
        <f t="shared" si="18"/>
        <v>0</v>
      </c>
      <c r="CN10" s="27">
        <f t="shared" si="18"/>
        <v>0</v>
      </c>
      <c r="CO10" s="27"/>
      <c r="CP10" s="27"/>
      <c r="CQ10" s="27"/>
      <c r="CR10" s="27"/>
      <c r="CS10" s="27">
        <f t="shared" si="19"/>
        <v>0</v>
      </c>
      <c r="CT10" s="27">
        <f t="shared" si="19"/>
        <v>0</v>
      </c>
      <c r="CU10" s="27"/>
      <c r="CV10" s="27"/>
      <c r="CW10" s="27"/>
      <c r="CX10" s="27"/>
      <c r="CY10" s="27">
        <f t="shared" si="20"/>
        <v>0</v>
      </c>
      <c r="CZ10" s="27">
        <f t="shared" si="20"/>
        <v>0</v>
      </c>
      <c r="DA10" s="27"/>
      <c r="DB10" s="27"/>
      <c r="DC10" s="27"/>
      <c r="DD10" s="27"/>
      <c r="DE10" s="27">
        <f t="shared" si="21"/>
        <v>0</v>
      </c>
      <c r="DF10" s="27">
        <f t="shared" si="21"/>
        <v>0</v>
      </c>
      <c r="DG10" s="27"/>
      <c r="DH10" s="27"/>
      <c r="DI10" s="27"/>
      <c r="DJ10" s="27"/>
      <c r="DK10" s="27">
        <f t="shared" si="22"/>
        <v>0</v>
      </c>
      <c r="DL10" s="27">
        <f t="shared" si="22"/>
        <v>0</v>
      </c>
      <c r="DM10" s="27">
        <f t="shared" si="23"/>
        <v>0</v>
      </c>
      <c r="DN10" s="27">
        <f t="shared" si="23"/>
        <v>0</v>
      </c>
      <c r="DO10" s="27">
        <f t="shared" si="23"/>
        <v>0</v>
      </c>
      <c r="DP10" s="27">
        <f t="shared" si="23"/>
        <v>0</v>
      </c>
      <c r="DQ10" s="27">
        <f t="shared" si="24"/>
        <v>0</v>
      </c>
      <c r="DR10" s="27">
        <f t="shared" si="24"/>
        <v>0</v>
      </c>
    </row>
    <row r="11" spans="1:122">
      <c r="A11" s="25">
        <v>3</v>
      </c>
      <c r="B11" s="26" t="s">
        <v>112</v>
      </c>
      <c r="C11" s="26" t="s">
        <v>113</v>
      </c>
      <c r="D11" s="26" t="s">
        <v>114</v>
      </c>
      <c r="E11" s="159" t="s">
        <v>1165</v>
      </c>
      <c r="F11" s="161">
        <f t="shared" si="25"/>
        <v>1480000</v>
      </c>
      <c r="G11" s="161">
        <f t="shared" si="26"/>
        <v>0</v>
      </c>
      <c r="H11" s="161">
        <f t="shared" si="27"/>
        <v>500000</v>
      </c>
      <c r="I11" s="165">
        <f t="shared" si="28"/>
        <v>1980000</v>
      </c>
      <c r="J11" s="27">
        <v>1322780</v>
      </c>
      <c r="K11" s="27">
        <v>0</v>
      </c>
      <c r="L11" s="27">
        <v>0</v>
      </c>
      <c r="M11" s="127">
        <f t="shared" si="29"/>
        <v>500000</v>
      </c>
      <c r="N11" s="127">
        <f t="shared" si="30"/>
        <v>0</v>
      </c>
      <c r="O11" s="127">
        <f t="shared" si="31"/>
        <v>500000</v>
      </c>
      <c r="P11" s="131">
        <f t="shared" si="32"/>
        <v>1480000</v>
      </c>
      <c r="Q11" s="125" t="str">
        <f>IF(AND(AK11&gt;0,DP11&gt;0),"შეცდომაა! ერთზე მეტი ბოლო ჩაბარება!",IF(OR(AK11&gt;0,DP11&gt;0,),IF(AK11&gt;0,K11+AM11,K11+AM11+DR11),IF(AND(K11=0,M11=0,DR11=0),"ნულოვანი შესრულება","მიმდინარეობს")))</f>
        <v>მიმდინარეობს</v>
      </c>
      <c r="R11" s="27">
        <v>500000</v>
      </c>
      <c r="S11" s="27">
        <v>0</v>
      </c>
      <c r="T11" s="27">
        <f t="shared" si="6"/>
        <v>500000</v>
      </c>
      <c r="U11" s="27">
        <f t="shared" si="7"/>
        <v>0</v>
      </c>
      <c r="V11" s="27">
        <v>0</v>
      </c>
      <c r="W11" s="27">
        <v>0</v>
      </c>
      <c r="X11" s="27">
        <v>0</v>
      </c>
      <c r="Y11" s="27"/>
      <c r="Z11" s="27">
        <f t="shared" si="8"/>
        <v>0</v>
      </c>
      <c r="AA11" s="27">
        <f t="shared" si="8"/>
        <v>0</v>
      </c>
      <c r="AB11" s="27">
        <v>0</v>
      </c>
      <c r="AC11" s="27">
        <v>0</v>
      </c>
      <c r="AD11" s="27">
        <v>0</v>
      </c>
      <c r="AE11" s="27"/>
      <c r="AF11" s="27">
        <f t="shared" si="9"/>
        <v>0</v>
      </c>
      <c r="AG11" s="27">
        <f t="shared" si="9"/>
        <v>0</v>
      </c>
      <c r="AH11" s="27">
        <f t="shared" si="33"/>
        <v>500000</v>
      </c>
      <c r="AI11" s="27">
        <f t="shared" si="34"/>
        <v>500000</v>
      </c>
      <c r="AJ11" s="27">
        <f t="shared" si="34"/>
        <v>0</v>
      </c>
      <c r="AK11" s="27">
        <f t="shared" si="35"/>
        <v>0</v>
      </c>
      <c r="AL11" s="27">
        <f t="shared" si="10"/>
        <v>500000</v>
      </c>
      <c r="AM11" s="27">
        <f t="shared" si="10"/>
        <v>500000</v>
      </c>
      <c r="AN11" s="27">
        <v>0</v>
      </c>
      <c r="AO11" s="27"/>
      <c r="AP11" s="27"/>
      <c r="AQ11" s="27"/>
      <c r="AR11" s="27">
        <f t="shared" si="11"/>
        <v>0</v>
      </c>
      <c r="AS11" s="27">
        <f t="shared" si="11"/>
        <v>0</v>
      </c>
      <c r="AT11" s="27">
        <v>730000</v>
      </c>
      <c r="AU11" s="27"/>
      <c r="AV11" s="27"/>
      <c r="AW11" s="27"/>
      <c r="AX11" s="27">
        <f t="shared" si="12"/>
        <v>730000</v>
      </c>
      <c r="AY11" s="27">
        <f t="shared" si="12"/>
        <v>0</v>
      </c>
      <c r="AZ11" s="27"/>
      <c r="BA11" s="27"/>
      <c r="BB11" s="27">
        <v>750000</v>
      </c>
      <c r="BC11" s="27"/>
      <c r="BD11" s="27">
        <f t="shared" si="13"/>
        <v>750000</v>
      </c>
      <c r="BE11" s="27">
        <v>0</v>
      </c>
      <c r="BF11" s="27">
        <f>BA11+BC11</f>
        <v>0</v>
      </c>
      <c r="BG11" s="27"/>
      <c r="BH11" s="27"/>
      <c r="BI11" s="27"/>
      <c r="BJ11" s="27"/>
      <c r="BK11" s="27">
        <f t="shared" si="14"/>
        <v>0</v>
      </c>
      <c r="BL11" s="27">
        <v>750000</v>
      </c>
      <c r="BM11" s="27">
        <f>BH11+BJ11</f>
        <v>0</v>
      </c>
      <c r="BN11" s="27"/>
      <c r="BO11" s="27"/>
      <c r="BP11" s="27"/>
      <c r="BQ11" s="27"/>
      <c r="BR11" s="27">
        <f t="shared" si="15"/>
        <v>0</v>
      </c>
      <c r="BS11" s="27">
        <v>750000</v>
      </c>
      <c r="BT11" s="27">
        <f>BO11+BQ11</f>
        <v>0</v>
      </c>
      <c r="BU11" s="27"/>
      <c r="BV11" s="27"/>
      <c r="BW11" s="27"/>
      <c r="BX11" s="27"/>
      <c r="BY11" s="27">
        <f t="shared" si="16"/>
        <v>0</v>
      </c>
      <c r="BZ11" s="27">
        <v>750000</v>
      </c>
      <c r="CA11" s="27">
        <f>BV11+BX11</f>
        <v>0</v>
      </c>
      <c r="CB11" s="27"/>
      <c r="CC11" s="27"/>
      <c r="CD11" s="27"/>
      <c r="CE11" s="27"/>
      <c r="CF11" s="27">
        <f t="shared" si="17"/>
        <v>0</v>
      </c>
      <c r="CG11" s="27">
        <v>750000</v>
      </c>
      <c r="CH11" s="27">
        <f>CC11+CE11</f>
        <v>0</v>
      </c>
      <c r="CI11" s="27"/>
      <c r="CJ11" s="27"/>
      <c r="CK11" s="27"/>
      <c r="CL11" s="27"/>
      <c r="CM11" s="27">
        <f t="shared" si="18"/>
        <v>0</v>
      </c>
      <c r="CN11" s="27">
        <f t="shared" si="18"/>
        <v>0</v>
      </c>
      <c r="CO11" s="27"/>
      <c r="CP11" s="27"/>
      <c r="CQ11" s="27"/>
      <c r="CR11" s="27"/>
      <c r="CS11" s="27">
        <f t="shared" si="19"/>
        <v>0</v>
      </c>
      <c r="CT11" s="27">
        <f t="shared" si="19"/>
        <v>0</v>
      </c>
      <c r="CU11" s="27"/>
      <c r="CV11" s="27"/>
      <c r="CW11" s="27"/>
      <c r="CX11" s="27"/>
      <c r="CY11" s="27">
        <f t="shared" si="20"/>
        <v>0</v>
      </c>
      <c r="CZ11" s="27">
        <f t="shared" si="20"/>
        <v>0</v>
      </c>
      <c r="DA11" s="27"/>
      <c r="DB11" s="27"/>
      <c r="DC11" s="27"/>
      <c r="DD11" s="27"/>
      <c r="DE11" s="27">
        <f t="shared" si="21"/>
        <v>0</v>
      </c>
      <c r="DF11" s="27">
        <f t="shared" si="21"/>
        <v>0</v>
      </c>
      <c r="DG11" s="27"/>
      <c r="DH11" s="27"/>
      <c r="DI11" s="27"/>
      <c r="DJ11" s="27"/>
      <c r="DK11" s="27">
        <f t="shared" si="22"/>
        <v>0</v>
      </c>
      <c r="DL11" s="27">
        <f t="shared" si="22"/>
        <v>0</v>
      </c>
      <c r="DM11" s="27">
        <f t="shared" si="23"/>
        <v>730000</v>
      </c>
      <c r="DN11" s="27">
        <f t="shared" si="23"/>
        <v>0</v>
      </c>
      <c r="DO11" s="27">
        <f t="shared" si="23"/>
        <v>750000</v>
      </c>
      <c r="DP11" s="27">
        <f t="shared" si="23"/>
        <v>0</v>
      </c>
      <c r="DQ11" s="27">
        <f t="shared" si="24"/>
        <v>1480000</v>
      </c>
      <c r="DR11" s="27">
        <f t="shared" si="24"/>
        <v>0</v>
      </c>
    </row>
    <row r="12" spans="1:122">
      <c r="A12" s="25">
        <v>4</v>
      </c>
      <c r="B12" s="26" t="s">
        <v>53</v>
      </c>
      <c r="C12" s="26" t="s">
        <v>115</v>
      </c>
      <c r="D12" s="26" t="s">
        <v>116</v>
      </c>
      <c r="E12" s="159" t="s">
        <v>1165</v>
      </c>
      <c r="F12" s="161">
        <f t="shared" si="25"/>
        <v>1770000</v>
      </c>
      <c r="G12" s="161">
        <f t="shared" si="26"/>
        <v>2971405.57</v>
      </c>
      <c r="H12" s="161">
        <f t="shared" si="27"/>
        <v>3271405.57</v>
      </c>
      <c r="I12" s="165">
        <f t="shared" si="28"/>
        <v>2070000</v>
      </c>
      <c r="J12" s="27">
        <v>1139880</v>
      </c>
      <c r="K12" s="27">
        <v>0</v>
      </c>
      <c r="L12" s="27">
        <v>0</v>
      </c>
      <c r="M12" s="127">
        <f t="shared" si="29"/>
        <v>300000</v>
      </c>
      <c r="N12" s="127">
        <f t="shared" si="30"/>
        <v>0</v>
      </c>
      <c r="O12" s="127">
        <f t="shared" si="31"/>
        <v>300000</v>
      </c>
      <c r="P12" s="131">
        <f t="shared" si="32"/>
        <v>1770000</v>
      </c>
      <c r="Q12" s="125">
        <f>IF(AND(AK12&gt;0,DP12&gt;0),"შეცდომაა! ერთზე მეტი ბოლო ჩაბარება!",IF(OR(AK12&gt;0,DP12&gt;0,),IF(AK12&gt;0,K12+AM12,K12+AM12+DR12),IF(AND(K12=0,M12=0,DR12=0),"ნულოვანი შესრულება","მიმდინარეობს")))</f>
        <v>3271405.57</v>
      </c>
      <c r="R12" s="27">
        <v>300000</v>
      </c>
      <c r="S12" s="27">
        <v>0</v>
      </c>
      <c r="T12" s="27">
        <f t="shared" si="6"/>
        <v>300000</v>
      </c>
      <c r="U12" s="27">
        <f t="shared" si="7"/>
        <v>0</v>
      </c>
      <c r="V12" s="27">
        <v>0</v>
      </c>
      <c r="W12" s="27">
        <v>0</v>
      </c>
      <c r="X12" s="27">
        <v>0</v>
      </c>
      <c r="Y12" s="27"/>
      <c r="Z12" s="27">
        <f t="shared" si="8"/>
        <v>0</v>
      </c>
      <c r="AA12" s="27">
        <f t="shared" si="8"/>
        <v>0</v>
      </c>
      <c r="AB12" s="27">
        <v>0</v>
      </c>
      <c r="AC12" s="27">
        <v>0</v>
      </c>
      <c r="AD12" s="27">
        <v>0</v>
      </c>
      <c r="AE12" s="27"/>
      <c r="AF12" s="27">
        <f t="shared" si="9"/>
        <v>0</v>
      </c>
      <c r="AG12" s="27">
        <f t="shared" si="9"/>
        <v>0</v>
      </c>
      <c r="AH12" s="27">
        <f t="shared" si="33"/>
        <v>300000</v>
      </c>
      <c r="AI12" s="27">
        <f t="shared" si="34"/>
        <v>300000</v>
      </c>
      <c r="AJ12" s="27">
        <f t="shared" si="34"/>
        <v>0</v>
      </c>
      <c r="AK12" s="27">
        <f t="shared" si="35"/>
        <v>0</v>
      </c>
      <c r="AL12" s="27">
        <f t="shared" si="10"/>
        <v>300000</v>
      </c>
      <c r="AM12" s="27">
        <f t="shared" si="10"/>
        <v>300000</v>
      </c>
      <c r="AN12" s="27">
        <v>500000</v>
      </c>
      <c r="AO12" s="27">
        <v>500000</v>
      </c>
      <c r="AP12" s="27"/>
      <c r="AQ12" s="27"/>
      <c r="AR12" s="27">
        <f t="shared" si="11"/>
        <v>500000</v>
      </c>
      <c r="AS12" s="27">
        <f t="shared" si="11"/>
        <v>500000</v>
      </c>
      <c r="AT12" s="27">
        <v>635000</v>
      </c>
      <c r="AU12" s="27">
        <f>480000+880000</f>
        <v>1360000</v>
      </c>
      <c r="AV12" s="27"/>
      <c r="AW12" s="27"/>
      <c r="AX12" s="27">
        <f t="shared" si="12"/>
        <v>635000</v>
      </c>
      <c r="AY12" s="27">
        <f t="shared" si="12"/>
        <v>1360000</v>
      </c>
      <c r="AZ12" s="27">
        <v>0</v>
      </c>
      <c r="BA12" s="27">
        <v>960000</v>
      </c>
      <c r="BB12" s="27">
        <v>635000</v>
      </c>
      <c r="BC12" s="27"/>
      <c r="BD12" s="27">
        <f t="shared" si="13"/>
        <v>635000</v>
      </c>
      <c r="BE12" s="27">
        <v>960000</v>
      </c>
      <c r="BF12" s="27">
        <f>BA12+BC12</f>
        <v>960000</v>
      </c>
      <c r="BG12" s="27"/>
      <c r="BH12" s="27"/>
      <c r="BI12" s="27"/>
      <c r="BJ12" s="27">
        <v>151405.57</v>
      </c>
      <c r="BK12" s="27">
        <f t="shared" si="14"/>
        <v>0</v>
      </c>
      <c r="BL12" s="27">
        <v>140000</v>
      </c>
      <c r="BM12" s="27">
        <f>BH12+BJ12</f>
        <v>151405.57</v>
      </c>
      <c r="BN12" s="27"/>
      <c r="BO12" s="27"/>
      <c r="BP12" s="27"/>
      <c r="BQ12" s="27"/>
      <c r="BR12" s="27">
        <f t="shared" si="15"/>
        <v>0</v>
      </c>
      <c r="BS12" s="27"/>
      <c r="BT12" s="27">
        <f>BO12+BQ12</f>
        <v>0</v>
      </c>
      <c r="BU12" s="27"/>
      <c r="BV12" s="27"/>
      <c r="BW12" s="27"/>
      <c r="BX12" s="27"/>
      <c r="BY12" s="27">
        <f t="shared" si="16"/>
        <v>0</v>
      </c>
      <c r="BZ12" s="27"/>
      <c r="CA12" s="27">
        <f>BV12+BX12</f>
        <v>0</v>
      </c>
      <c r="CB12" s="27"/>
      <c r="CC12" s="27"/>
      <c r="CD12" s="27"/>
      <c r="CE12" s="27"/>
      <c r="CF12" s="27">
        <f t="shared" si="17"/>
        <v>0</v>
      </c>
      <c r="CG12" s="27"/>
      <c r="CH12" s="27">
        <f>CC12+CE12</f>
        <v>0</v>
      </c>
      <c r="CI12" s="27"/>
      <c r="CJ12" s="27"/>
      <c r="CK12" s="27"/>
      <c r="CL12" s="27"/>
      <c r="CM12" s="27">
        <f t="shared" si="18"/>
        <v>0</v>
      </c>
      <c r="CN12" s="27">
        <f t="shared" si="18"/>
        <v>0</v>
      </c>
      <c r="CO12" s="27"/>
      <c r="CP12" s="27"/>
      <c r="CQ12" s="27"/>
      <c r="CR12" s="27"/>
      <c r="CS12" s="27">
        <f t="shared" si="19"/>
        <v>0</v>
      </c>
      <c r="CT12" s="27">
        <f t="shared" si="19"/>
        <v>0</v>
      </c>
      <c r="CU12" s="27"/>
      <c r="CV12" s="27"/>
      <c r="CW12" s="27"/>
      <c r="CX12" s="27"/>
      <c r="CY12" s="27">
        <f t="shared" si="20"/>
        <v>0</v>
      </c>
      <c r="CZ12" s="27">
        <f t="shared" si="20"/>
        <v>0</v>
      </c>
      <c r="DA12" s="27"/>
      <c r="DB12" s="27"/>
      <c r="DC12" s="27"/>
      <c r="DD12" s="27"/>
      <c r="DE12" s="27">
        <f t="shared" si="21"/>
        <v>0</v>
      </c>
      <c r="DF12" s="27">
        <f t="shared" si="21"/>
        <v>0</v>
      </c>
      <c r="DG12" s="27"/>
      <c r="DH12" s="27"/>
      <c r="DI12" s="27"/>
      <c r="DJ12" s="27"/>
      <c r="DK12" s="27">
        <f t="shared" si="22"/>
        <v>0</v>
      </c>
      <c r="DL12" s="27">
        <f t="shared" si="22"/>
        <v>0</v>
      </c>
      <c r="DM12" s="27">
        <f t="shared" si="23"/>
        <v>1135000</v>
      </c>
      <c r="DN12" s="27">
        <f t="shared" si="23"/>
        <v>2820000</v>
      </c>
      <c r="DO12" s="27">
        <f t="shared" si="23"/>
        <v>635000</v>
      </c>
      <c r="DP12" s="27">
        <f t="shared" si="23"/>
        <v>151405.57</v>
      </c>
      <c r="DQ12" s="27">
        <f t="shared" si="24"/>
        <v>1770000</v>
      </c>
      <c r="DR12" s="27">
        <f t="shared" si="24"/>
        <v>2971405.57</v>
      </c>
    </row>
    <row r="13" spans="1:122">
      <c r="A13" s="25">
        <v>5</v>
      </c>
      <c r="B13" s="26" t="s">
        <v>117</v>
      </c>
      <c r="C13" s="26" t="s">
        <v>118</v>
      </c>
      <c r="D13" s="26" t="s">
        <v>119</v>
      </c>
      <c r="E13" s="159" t="s">
        <v>1165</v>
      </c>
      <c r="F13" s="161">
        <f t="shared" si="25"/>
        <v>0</v>
      </c>
      <c r="G13" s="161">
        <f t="shared" si="26"/>
        <v>0</v>
      </c>
      <c r="H13" s="161">
        <f t="shared" si="27"/>
        <v>619091.15</v>
      </c>
      <c r="I13" s="165">
        <f t="shared" si="28"/>
        <v>619091.15</v>
      </c>
      <c r="J13" s="27">
        <v>326076.48</v>
      </c>
      <c r="K13" s="27">
        <v>0</v>
      </c>
      <c r="L13" s="27">
        <v>0</v>
      </c>
      <c r="M13" s="127">
        <f t="shared" si="29"/>
        <v>619091.15</v>
      </c>
      <c r="N13" s="127">
        <f t="shared" si="30"/>
        <v>619091.15</v>
      </c>
      <c r="O13" s="127">
        <f t="shared" si="31"/>
        <v>619091.15</v>
      </c>
      <c r="P13" s="131">
        <f t="shared" si="32"/>
        <v>0</v>
      </c>
      <c r="Q13" s="125">
        <f>IF(AND(AK13&gt;0,DP13&gt;0),"შეცდომაა! ერთზე მეტი ბოლო ჩაბარება!",IF(OR(AK13&gt;0,DP13&gt;0,),IF(AK13&gt;0,K13+AM13,K13+AM13+DR13),IF(AND(K13=0,M13=0,DR13=0),"ნულოვანი შესრულება","მიმდინარეობს")))</f>
        <v>619091.15</v>
      </c>
      <c r="R13" s="27">
        <v>500000</v>
      </c>
      <c r="S13" s="27">
        <v>119091.15</v>
      </c>
      <c r="T13" s="27">
        <f t="shared" si="6"/>
        <v>500000</v>
      </c>
      <c r="U13" s="27">
        <f t="shared" si="7"/>
        <v>119091.15</v>
      </c>
      <c r="V13" s="27">
        <v>0</v>
      </c>
      <c r="W13" s="27">
        <v>0</v>
      </c>
      <c r="X13" s="27">
        <v>0</v>
      </c>
      <c r="Y13" s="27"/>
      <c r="Z13" s="27">
        <f t="shared" si="8"/>
        <v>0</v>
      </c>
      <c r="AA13" s="27">
        <f t="shared" si="8"/>
        <v>0</v>
      </c>
      <c r="AB13" s="27">
        <v>0</v>
      </c>
      <c r="AC13" s="27">
        <v>0</v>
      </c>
      <c r="AD13" s="27">
        <v>0</v>
      </c>
      <c r="AE13" s="27"/>
      <c r="AF13" s="27">
        <f t="shared" si="9"/>
        <v>0</v>
      </c>
      <c r="AG13" s="27">
        <f t="shared" si="9"/>
        <v>0</v>
      </c>
      <c r="AH13" s="27">
        <f t="shared" si="33"/>
        <v>500000</v>
      </c>
      <c r="AI13" s="27">
        <f t="shared" si="34"/>
        <v>500000</v>
      </c>
      <c r="AJ13" s="27">
        <f t="shared" si="34"/>
        <v>119091.15</v>
      </c>
      <c r="AK13" s="27">
        <f t="shared" si="35"/>
        <v>119091.15</v>
      </c>
      <c r="AL13" s="27">
        <f t="shared" si="10"/>
        <v>619091.15</v>
      </c>
      <c r="AM13" s="27">
        <f t="shared" si="10"/>
        <v>619091.15</v>
      </c>
      <c r="AN13" s="27">
        <v>0</v>
      </c>
      <c r="AO13" s="27">
        <v>0</v>
      </c>
      <c r="AP13" s="27">
        <v>0</v>
      </c>
      <c r="AQ13" s="27">
        <v>0</v>
      </c>
      <c r="AR13" s="27">
        <f t="shared" si="11"/>
        <v>0</v>
      </c>
      <c r="AS13" s="27">
        <f t="shared" si="11"/>
        <v>0</v>
      </c>
      <c r="AT13" s="27">
        <v>0</v>
      </c>
      <c r="AU13" s="27">
        <v>0</v>
      </c>
      <c r="AV13" s="27">
        <v>0</v>
      </c>
      <c r="AW13" s="27">
        <v>0</v>
      </c>
      <c r="AX13" s="27">
        <f t="shared" si="12"/>
        <v>0</v>
      </c>
      <c r="AY13" s="27">
        <f t="shared" si="12"/>
        <v>0</v>
      </c>
      <c r="AZ13" s="27">
        <v>0</v>
      </c>
      <c r="BA13" s="27">
        <v>0</v>
      </c>
      <c r="BB13" s="27">
        <v>0</v>
      </c>
      <c r="BC13" s="27">
        <v>0</v>
      </c>
      <c r="BD13" s="27">
        <f t="shared" si="13"/>
        <v>0</v>
      </c>
      <c r="BE13" s="27"/>
      <c r="BF13" s="27">
        <f>BA13+BC13</f>
        <v>0</v>
      </c>
      <c r="BG13" s="27">
        <v>0</v>
      </c>
      <c r="BH13" s="27">
        <v>0</v>
      </c>
      <c r="BI13" s="27">
        <v>0</v>
      </c>
      <c r="BJ13" s="27">
        <v>0</v>
      </c>
      <c r="BK13" s="27">
        <f t="shared" si="14"/>
        <v>0</v>
      </c>
      <c r="BL13" s="27"/>
      <c r="BM13" s="27">
        <f>BH13+BJ13</f>
        <v>0</v>
      </c>
      <c r="BN13" s="27">
        <v>0</v>
      </c>
      <c r="BO13" s="27">
        <v>0</v>
      </c>
      <c r="BP13" s="27">
        <v>0</v>
      </c>
      <c r="BQ13" s="27">
        <v>0</v>
      </c>
      <c r="BR13" s="27">
        <f t="shared" si="15"/>
        <v>0</v>
      </c>
      <c r="BS13" s="27"/>
      <c r="BT13" s="27">
        <f>BO13+BQ13</f>
        <v>0</v>
      </c>
      <c r="BU13" s="27">
        <v>0</v>
      </c>
      <c r="BV13" s="27">
        <v>0</v>
      </c>
      <c r="BW13" s="27">
        <v>0</v>
      </c>
      <c r="BX13" s="27">
        <v>0</v>
      </c>
      <c r="BY13" s="27">
        <f t="shared" si="16"/>
        <v>0</v>
      </c>
      <c r="BZ13" s="27"/>
      <c r="CA13" s="27">
        <f>BV13+BX13</f>
        <v>0</v>
      </c>
      <c r="CB13" s="27">
        <v>0</v>
      </c>
      <c r="CC13" s="27">
        <v>0</v>
      </c>
      <c r="CD13" s="27">
        <v>0</v>
      </c>
      <c r="CE13" s="27">
        <v>0</v>
      </c>
      <c r="CF13" s="27">
        <f t="shared" si="17"/>
        <v>0</v>
      </c>
      <c r="CG13" s="27"/>
      <c r="CH13" s="27">
        <f>CC13+CE13</f>
        <v>0</v>
      </c>
      <c r="CI13" s="27">
        <v>0</v>
      </c>
      <c r="CJ13" s="27">
        <v>0</v>
      </c>
      <c r="CK13" s="27">
        <v>0</v>
      </c>
      <c r="CL13" s="27">
        <v>0</v>
      </c>
      <c r="CM13" s="27">
        <f t="shared" si="18"/>
        <v>0</v>
      </c>
      <c r="CN13" s="27">
        <f t="shared" si="18"/>
        <v>0</v>
      </c>
      <c r="CO13" s="27">
        <v>0</v>
      </c>
      <c r="CP13" s="27">
        <v>0</v>
      </c>
      <c r="CQ13" s="27">
        <v>0</v>
      </c>
      <c r="CR13" s="27">
        <v>0</v>
      </c>
      <c r="CS13" s="27">
        <f t="shared" si="19"/>
        <v>0</v>
      </c>
      <c r="CT13" s="27">
        <f t="shared" si="19"/>
        <v>0</v>
      </c>
      <c r="CU13" s="27">
        <v>0</v>
      </c>
      <c r="CV13" s="27">
        <v>0</v>
      </c>
      <c r="CW13" s="27">
        <v>0</v>
      </c>
      <c r="CX13" s="27">
        <v>0</v>
      </c>
      <c r="CY13" s="27">
        <f t="shared" si="20"/>
        <v>0</v>
      </c>
      <c r="CZ13" s="27">
        <f t="shared" si="20"/>
        <v>0</v>
      </c>
      <c r="DA13" s="27">
        <v>0</v>
      </c>
      <c r="DB13" s="27">
        <v>0</v>
      </c>
      <c r="DC13" s="27">
        <v>0</v>
      </c>
      <c r="DD13" s="27">
        <v>0</v>
      </c>
      <c r="DE13" s="27">
        <f t="shared" si="21"/>
        <v>0</v>
      </c>
      <c r="DF13" s="27">
        <f t="shared" si="21"/>
        <v>0</v>
      </c>
      <c r="DG13" s="27">
        <v>0</v>
      </c>
      <c r="DH13" s="27">
        <v>0</v>
      </c>
      <c r="DI13" s="27">
        <v>0</v>
      </c>
      <c r="DJ13" s="27">
        <v>0</v>
      </c>
      <c r="DK13" s="27">
        <f t="shared" si="22"/>
        <v>0</v>
      </c>
      <c r="DL13" s="27">
        <f t="shared" si="22"/>
        <v>0</v>
      </c>
      <c r="DM13" s="27">
        <f t="shared" si="23"/>
        <v>0</v>
      </c>
      <c r="DN13" s="27">
        <f t="shared" si="23"/>
        <v>0</v>
      </c>
      <c r="DO13" s="27">
        <f t="shared" si="23"/>
        <v>0</v>
      </c>
      <c r="DP13" s="27">
        <f t="shared" si="23"/>
        <v>0</v>
      </c>
      <c r="DQ13" s="27">
        <f t="shared" si="24"/>
        <v>0</v>
      </c>
      <c r="DR13" s="27">
        <f t="shared" si="24"/>
        <v>0</v>
      </c>
    </row>
    <row r="16" spans="1:122">
      <c r="E16" s="173"/>
      <c r="F16" s="173"/>
      <c r="G16" s="173"/>
      <c r="H16" s="173"/>
      <c r="I16" s="173"/>
      <c r="J16" s="173"/>
      <c r="K16" s="173"/>
    </row>
    <row r="17" spans="5:11">
      <c r="E17" s="173"/>
      <c r="F17" s="173"/>
      <c r="G17" s="173"/>
      <c r="H17" s="173"/>
      <c r="I17" s="173"/>
      <c r="J17" s="173"/>
      <c r="K17" s="173"/>
    </row>
    <row r="18" spans="5:11">
      <c r="E18" s="173"/>
      <c r="F18" s="173"/>
      <c r="G18" s="173"/>
      <c r="H18" s="173"/>
      <c r="I18" s="173"/>
      <c r="J18" s="173"/>
      <c r="K18" s="173"/>
    </row>
    <row r="19" spans="5:11">
      <c r="E19" s="173"/>
      <c r="F19" s="173"/>
      <c r="G19" s="173"/>
      <c r="H19" s="173"/>
      <c r="I19" s="173"/>
      <c r="J19" s="173"/>
      <c r="K19" s="173"/>
    </row>
    <row r="20" spans="5:11">
      <c r="E20" s="173"/>
      <c r="F20" s="173"/>
      <c r="G20" s="173"/>
      <c r="H20" s="173"/>
      <c r="I20" s="173"/>
      <c r="J20" s="173"/>
      <c r="K20" s="173"/>
    </row>
    <row r="21" spans="5:11">
      <c r="E21" s="173"/>
      <c r="F21" s="173"/>
      <c r="G21" s="173"/>
      <c r="H21" s="173"/>
      <c r="I21" s="173"/>
      <c r="J21" s="173"/>
      <c r="K21" s="173"/>
    </row>
    <row r="22" spans="5:11">
      <c r="E22" s="173"/>
      <c r="F22" s="173"/>
      <c r="G22" s="173"/>
      <c r="H22" s="173"/>
      <c r="I22" s="173"/>
      <c r="J22" s="173"/>
      <c r="K22" s="173"/>
    </row>
    <row r="23" spans="5:11">
      <c r="E23" s="173"/>
      <c r="F23" s="173"/>
      <c r="G23" s="173"/>
      <c r="H23" s="173"/>
      <c r="I23" s="173"/>
      <c r="J23" s="173"/>
      <c r="K23" s="173"/>
    </row>
    <row r="24" spans="5:11">
      <c r="E24" s="173"/>
      <c r="F24" s="173"/>
      <c r="G24" s="173"/>
      <c r="H24" s="173"/>
      <c r="I24" s="173"/>
      <c r="J24" s="173"/>
      <c r="K24" s="173"/>
    </row>
    <row r="25" spans="5:11">
      <c r="E25" s="173"/>
      <c r="F25" s="173"/>
      <c r="G25" s="173"/>
      <c r="H25" s="173"/>
      <c r="I25" s="173"/>
      <c r="J25" s="173"/>
      <c r="K25" s="173"/>
    </row>
    <row r="26" spans="5:11">
      <c r="E26" s="173"/>
      <c r="F26" s="173"/>
      <c r="G26" s="173"/>
      <c r="H26" s="173"/>
      <c r="I26" s="173"/>
      <c r="J26" s="173"/>
      <c r="K26" s="173"/>
    </row>
  </sheetData>
  <autoFilter ref="A8:DR8" xr:uid="{00000000-0009-0000-0000-00000F000000}"/>
  <mergeCells count="90">
    <mergeCell ref="M3:N4"/>
    <mergeCell ref="O3:O6"/>
    <mergeCell ref="Q3:Q6"/>
    <mergeCell ref="L5:L6"/>
    <mergeCell ref="M5:M6"/>
    <mergeCell ref="N5:N6"/>
    <mergeCell ref="DI5:DJ5"/>
    <mergeCell ref="DK5:DL5"/>
    <mergeCell ref="DM5:DN5"/>
    <mergeCell ref="DO5:DP5"/>
    <mergeCell ref="DQ5:DR5"/>
    <mergeCell ref="DE5:DF5"/>
    <mergeCell ref="DG5:DH5"/>
    <mergeCell ref="CK5:CL5"/>
    <mergeCell ref="CM5:CN5"/>
    <mergeCell ref="CO5:CP5"/>
    <mergeCell ref="CQ5:CR5"/>
    <mergeCell ref="CS5:CT5"/>
    <mergeCell ref="CU5:CV5"/>
    <mergeCell ref="CW5:CX5"/>
    <mergeCell ref="CY5:CZ5"/>
    <mergeCell ref="DA5:DB5"/>
    <mergeCell ref="DC5:DD5"/>
    <mergeCell ref="AR5:AS5"/>
    <mergeCell ref="BU5:BV5"/>
    <mergeCell ref="AV5:AW5"/>
    <mergeCell ref="AX5:AY5"/>
    <mergeCell ref="AZ5:BA5"/>
    <mergeCell ref="BB5:BC5"/>
    <mergeCell ref="BD5:BF5"/>
    <mergeCell ref="BG5:BH5"/>
    <mergeCell ref="BI5:BJ5"/>
    <mergeCell ref="BK5:BM5"/>
    <mergeCell ref="BN5:BO5"/>
    <mergeCell ref="BP5:BQ5"/>
    <mergeCell ref="BR5:BT5"/>
    <mergeCell ref="AH5:AI5"/>
    <mergeCell ref="AJ5:AK5"/>
    <mergeCell ref="AL5:AM5"/>
    <mergeCell ref="AN5:AO5"/>
    <mergeCell ref="AP5:AQ5"/>
    <mergeCell ref="X5:Y5"/>
    <mergeCell ref="Z5:AA5"/>
    <mergeCell ref="AB5:AC5"/>
    <mergeCell ref="AD5:AE5"/>
    <mergeCell ref="AF5:AG5"/>
    <mergeCell ref="BU4:CA4"/>
    <mergeCell ref="CB4:CH4"/>
    <mergeCell ref="CI4:CN4"/>
    <mergeCell ref="CO4:CT4"/>
    <mergeCell ref="AT5:AU5"/>
    <mergeCell ref="BW5:BX5"/>
    <mergeCell ref="BY5:CA5"/>
    <mergeCell ref="CB5:CC5"/>
    <mergeCell ref="CD5:CE5"/>
    <mergeCell ref="CF5:CH5"/>
    <mergeCell ref="CI5:CJ5"/>
    <mergeCell ref="R5:R6"/>
    <mergeCell ref="S5:S6"/>
    <mergeCell ref="T5:T6"/>
    <mergeCell ref="U5:U6"/>
    <mergeCell ref="V5:W5"/>
    <mergeCell ref="R3:S4"/>
    <mergeCell ref="T3:U4"/>
    <mergeCell ref="V3:AM3"/>
    <mergeCell ref="AN3:DR3"/>
    <mergeCell ref="V4:AA4"/>
    <mergeCell ref="AB4:AG4"/>
    <mergeCell ref="AH4:AM4"/>
    <mergeCell ref="AN4:AS4"/>
    <mergeCell ref="AT4:AY4"/>
    <mergeCell ref="AZ4:BF4"/>
    <mergeCell ref="CU4:CZ4"/>
    <mergeCell ref="DA4:DF4"/>
    <mergeCell ref="DG4:DL4"/>
    <mergeCell ref="DM4:DR4"/>
    <mergeCell ref="BG4:BM4"/>
    <mergeCell ref="BN4:BT4"/>
    <mergeCell ref="A3:A6"/>
    <mergeCell ref="B3:B6"/>
    <mergeCell ref="C3:C6"/>
    <mergeCell ref="D3:D6"/>
    <mergeCell ref="J3:J6"/>
    <mergeCell ref="H3:H6"/>
    <mergeCell ref="G3:G6"/>
    <mergeCell ref="K5:K6"/>
    <mergeCell ref="E3:E6"/>
    <mergeCell ref="F3:F6"/>
    <mergeCell ref="I3:I6"/>
    <mergeCell ref="K3:L4"/>
  </mergeCells>
  <pageMargins left="0.7" right="0.7" top="0.75" bottom="0.75" header="0.3" footer="0.3"/>
  <pageSetup paperSize="9"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DQ9"/>
  <sheetViews>
    <sheetView workbookViewId="0">
      <selection activeCell="AP23" sqref="AP23"/>
    </sheetView>
  </sheetViews>
  <sheetFormatPr defaultColWidth="10.42578125" defaultRowHeight="15"/>
  <cols>
    <col min="1" max="1" width="6" style="14" customWidth="1"/>
    <col min="2" max="2" width="18.42578125" style="14" customWidth="1"/>
    <col min="3" max="3" width="11.28515625" style="14" customWidth="1"/>
    <col min="4" max="4" width="28.5703125" style="14" customWidth="1"/>
    <col min="5" max="5" width="15.5703125" style="14" bestFit="1" customWidth="1"/>
    <col min="6" max="6" width="12.140625" style="14" bestFit="1" customWidth="1"/>
    <col min="7" max="8" width="12.140625" style="14" customWidth="1"/>
    <col min="9" max="9" width="14" style="14" hidden="1" customWidth="1"/>
    <col min="10" max="10" width="19.85546875" style="17" hidden="1" customWidth="1"/>
    <col min="11" max="16" width="15.85546875" style="14" hidden="1" customWidth="1"/>
    <col min="17" max="17" width="15.85546875" style="14" customWidth="1"/>
    <col min="18" max="18" width="16.85546875" style="14" hidden="1" customWidth="1"/>
    <col min="19" max="19" width="13.5703125" style="14" hidden="1" customWidth="1"/>
    <col min="20" max="20" width="14.140625" style="14" hidden="1" customWidth="1"/>
    <col min="21" max="21" width="13.5703125" style="14" hidden="1" customWidth="1"/>
    <col min="22" max="22" width="7.140625" style="14" hidden="1" customWidth="1"/>
    <col min="23" max="23" width="8.42578125" style="14" hidden="1" customWidth="1"/>
    <col min="24" max="24" width="16.7109375" style="14" hidden="1" customWidth="1"/>
    <col min="25" max="25" width="8.42578125" style="14" hidden="1" customWidth="1"/>
    <col min="26" max="26" width="13.85546875" style="14" hidden="1" customWidth="1"/>
    <col min="27" max="27" width="8.85546875" style="14" hidden="1" customWidth="1"/>
    <col min="28" max="28" width="7.140625" style="14" hidden="1" customWidth="1"/>
    <col min="29" max="29" width="8.42578125" style="14" hidden="1" customWidth="1"/>
    <col min="30" max="30" width="7.140625" style="14" hidden="1" customWidth="1"/>
    <col min="31" max="31" width="8.42578125" style="14" hidden="1" customWidth="1"/>
    <col min="32" max="32" width="7.5703125" style="14" hidden="1" customWidth="1"/>
    <col min="33" max="33" width="8.85546875" style="14" hidden="1" customWidth="1"/>
    <col min="34" max="34" width="16.7109375" style="14" hidden="1" customWidth="1"/>
    <col min="35" max="35" width="11.5703125" style="14" hidden="1" customWidth="1"/>
    <col min="36" max="36" width="16.7109375" style="14" hidden="1" customWidth="1"/>
    <col min="37" max="37" width="8.7109375" style="14" hidden="1" customWidth="1"/>
    <col min="38" max="38" width="13.7109375" style="14" hidden="1" customWidth="1"/>
    <col min="39" max="39" width="11.5703125" style="14" hidden="1" customWidth="1"/>
    <col min="40" max="40" width="11.5703125" style="14" customWidth="1"/>
    <col min="41" max="41" width="8.42578125" style="14" bestFit="1" customWidth="1"/>
    <col min="42" max="42" width="14.5703125" style="14" bestFit="1" customWidth="1"/>
    <col min="43" max="43" width="8.42578125" style="14" bestFit="1" customWidth="1"/>
    <col min="44" max="44" width="11.28515625" style="14" customWidth="1"/>
    <col min="45" max="45" width="8.85546875" style="14" bestFit="1" customWidth="1"/>
    <col min="46" max="46" width="11.5703125" style="14" bestFit="1" customWidth="1"/>
    <col min="47" max="47" width="8.28515625" style="14" bestFit="1" customWidth="1"/>
    <col min="48" max="48" width="7" style="14" customWidth="1"/>
    <col min="49" max="49" width="8.28515625" style="14" bestFit="1" customWidth="1"/>
    <col min="50" max="50" width="11.5703125" style="14" bestFit="1" customWidth="1"/>
    <col min="51" max="51" width="8.7109375" style="14" bestFit="1" customWidth="1"/>
    <col min="52" max="52" width="10.28515625" style="14" bestFit="1" customWidth="1"/>
    <col min="53" max="53" width="8.28515625" style="14" bestFit="1" customWidth="1"/>
    <col min="54" max="54" width="11.5703125" style="14" bestFit="1" customWidth="1"/>
    <col min="55" max="55" width="8.28515625" style="14" bestFit="1" customWidth="1"/>
    <col min="56" max="56" width="11.5703125" style="14" bestFit="1" customWidth="1"/>
    <col min="57" max="57" width="11.5703125" style="14" customWidth="1"/>
    <col min="58" max="58" width="8.7109375" style="14" bestFit="1" customWidth="1"/>
    <col min="59" max="59" width="10.28515625" style="14" bestFit="1" customWidth="1"/>
    <col min="60" max="60" width="8.28515625" style="14" bestFit="1" customWidth="1"/>
    <col min="61" max="61" width="10.28515625" style="14" bestFit="1" customWidth="1"/>
    <col min="62" max="62" width="8.28515625" style="14" bestFit="1" customWidth="1"/>
    <col min="63" max="63" width="9.85546875" style="14" bestFit="1" customWidth="1"/>
    <col min="64" max="64" width="9.85546875" style="14" customWidth="1"/>
    <col min="65" max="65" width="8.7109375" style="14" bestFit="1" customWidth="1"/>
    <col min="66" max="66" width="10.28515625" style="14" bestFit="1" customWidth="1"/>
    <col min="67" max="67" width="8.28515625" style="14" bestFit="1" customWidth="1"/>
    <col min="68" max="68" width="10.28515625" style="14" bestFit="1" customWidth="1"/>
    <col min="69" max="69" width="8.28515625" style="14" bestFit="1" customWidth="1"/>
    <col min="70" max="70" width="9.85546875" style="14" bestFit="1" customWidth="1"/>
    <col min="71" max="71" width="9.85546875" style="14" customWidth="1"/>
    <col min="72" max="72" width="8.7109375" style="14" bestFit="1" customWidth="1"/>
    <col min="73" max="73" width="10.7109375" style="14" customWidth="1"/>
    <col min="74" max="74" width="8.28515625" style="14" bestFit="1" customWidth="1"/>
    <col min="75" max="75" width="7" style="14" bestFit="1" customWidth="1"/>
    <col min="76" max="76" width="8.28515625" style="14" bestFit="1" customWidth="1"/>
    <col min="77" max="78" width="10.28515625" style="14" customWidth="1"/>
    <col min="79" max="79" width="8.7109375" style="14" bestFit="1" customWidth="1"/>
    <col min="80" max="80" width="11.140625" style="14" customWidth="1"/>
    <col min="81" max="81" width="8.28515625" style="14" bestFit="1" customWidth="1"/>
    <col min="82" max="82" width="7" style="14" bestFit="1" customWidth="1"/>
    <col min="83" max="83" width="8.28515625" style="14" bestFit="1" customWidth="1"/>
    <col min="84" max="84" width="11" style="14" customWidth="1"/>
    <col min="85" max="85" width="8.7109375" style="14" bestFit="1" customWidth="1"/>
    <col min="86" max="86" width="5.42578125" style="14" bestFit="1" customWidth="1"/>
    <col min="87" max="87" width="8.28515625" style="14" bestFit="1" customWidth="1"/>
    <col min="88" max="88" width="9.85546875" style="14" bestFit="1" customWidth="1"/>
    <col min="89" max="89" width="8.28515625" style="14" bestFit="1" customWidth="1"/>
    <col min="90" max="90" width="10.28515625" style="14" customWidth="1"/>
    <col min="91" max="91" width="8.7109375" style="14" bestFit="1" customWidth="1"/>
    <col min="92" max="92" width="12.140625" style="14" customWidth="1"/>
    <col min="93" max="93" width="8.28515625" style="14" bestFit="1" customWidth="1"/>
    <col min="94" max="94" width="7" style="14" bestFit="1" customWidth="1"/>
    <col min="95" max="95" width="8.28515625" style="14" bestFit="1" customWidth="1"/>
    <col min="96" max="96" width="12.28515625" style="14" customWidth="1"/>
    <col min="97" max="97" width="8.7109375" style="14" bestFit="1" customWidth="1"/>
    <col min="98" max="98" width="7" style="14" bestFit="1" customWidth="1"/>
    <col min="99" max="99" width="8.28515625" style="14" bestFit="1" customWidth="1"/>
    <col min="100" max="100" width="7" style="14" bestFit="1" customWidth="1"/>
    <col min="101" max="101" width="8.28515625" style="14" bestFit="1" customWidth="1"/>
    <col min="102" max="102" width="7.28515625" style="14" bestFit="1" customWidth="1"/>
    <col min="103" max="103" width="8.7109375" style="14" bestFit="1" customWidth="1"/>
    <col min="104" max="104" width="7" style="14" bestFit="1" customWidth="1"/>
    <col min="105" max="105" width="8.28515625" style="14" bestFit="1" customWidth="1"/>
    <col min="106" max="106" width="7" style="14" bestFit="1" customWidth="1"/>
    <col min="107" max="107" width="8.28515625" style="14" bestFit="1" customWidth="1"/>
    <col min="108" max="108" width="7.28515625" style="14" bestFit="1" customWidth="1"/>
    <col min="109" max="109" width="8.7109375" style="14" bestFit="1" customWidth="1"/>
    <col min="110" max="110" width="7" style="14" bestFit="1" customWidth="1"/>
    <col min="111" max="111" width="8.28515625" style="14" bestFit="1" customWidth="1"/>
    <col min="112" max="112" width="7" style="14" bestFit="1" customWidth="1"/>
    <col min="113" max="113" width="8.28515625" style="14" bestFit="1" customWidth="1"/>
    <col min="114" max="114" width="7.28515625" style="14" bestFit="1" customWidth="1"/>
    <col min="115" max="115" width="8.7109375" style="14" bestFit="1" customWidth="1"/>
    <col min="116" max="116" width="11.5703125" style="14" bestFit="1" customWidth="1"/>
    <col min="117" max="117" width="8.28515625" style="14" bestFit="1" customWidth="1"/>
    <col min="118" max="118" width="11.5703125" style="14" bestFit="1" customWidth="1"/>
    <col min="119" max="119" width="8.28515625" style="14" bestFit="1" customWidth="1"/>
    <col min="120" max="120" width="11.5703125" style="14" bestFit="1" customWidth="1"/>
    <col min="121" max="121" width="8.7109375" style="14" bestFit="1" customWidth="1"/>
    <col min="122" max="16384" width="10.42578125" style="14"/>
  </cols>
  <sheetData>
    <row r="1" spans="1:121" ht="15.75">
      <c r="B1" s="16" t="s">
        <v>105</v>
      </c>
    </row>
    <row r="2" spans="1:121" ht="15.75" thickBot="1">
      <c r="J2" s="17">
        <v>1.18</v>
      </c>
    </row>
    <row r="3" spans="1:121" ht="19.5" customHeight="1" thickBot="1">
      <c r="A3" s="513" t="s">
        <v>1</v>
      </c>
      <c r="B3" s="475" t="s">
        <v>2</v>
      </c>
      <c r="C3" s="475" t="s">
        <v>3</v>
      </c>
      <c r="D3" s="475" t="s">
        <v>4</v>
      </c>
      <c r="E3" s="516" t="s">
        <v>1176</v>
      </c>
      <c r="F3" s="516" t="s">
        <v>1170</v>
      </c>
      <c r="G3" s="519" t="s">
        <v>1242</v>
      </c>
      <c r="H3" s="585" t="s">
        <v>1197</v>
      </c>
      <c r="I3" s="510" t="s">
        <v>1178</v>
      </c>
      <c r="J3" s="540" t="s">
        <v>5</v>
      </c>
      <c r="K3" s="488" t="s">
        <v>6</v>
      </c>
      <c r="L3" s="489"/>
      <c r="M3" s="492" t="s">
        <v>9</v>
      </c>
      <c r="N3" s="493"/>
      <c r="O3" s="469" t="s">
        <v>1295</v>
      </c>
      <c r="P3" s="273"/>
      <c r="Q3" s="485" t="s">
        <v>1196</v>
      </c>
      <c r="R3" s="478" t="s">
        <v>7</v>
      </c>
      <c r="S3" s="479"/>
      <c r="T3" s="478" t="s">
        <v>8</v>
      </c>
      <c r="U3" s="479"/>
      <c r="V3" s="482" t="s">
        <v>9</v>
      </c>
      <c r="W3" s="483"/>
      <c r="X3" s="483"/>
      <c r="Y3" s="483"/>
      <c r="Z3" s="483"/>
      <c r="AA3" s="483"/>
      <c r="AB3" s="483"/>
      <c r="AC3" s="483"/>
      <c r="AD3" s="483"/>
      <c r="AE3" s="483"/>
      <c r="AF3" s="483"/>
      <c r="AG3" s="483"/>
      <c r="AH3" s="483"/>
      <c r="AI3" s="483"/>
      <c r="AJ3" s="483"/>
      <c r="AK3" s="483"/>
      <c r="AL3" s="483"/>
      <c r="AM3" s="484"/>
      <c r="AN3" s="499">
        <v>2025</v>
      </c>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3"/>
      <c r="DK3" s="483"/>
      <c r="DL3" s="483"/>
      <c r="DM3" s="483"/>
      <c r="DN3" s="483"/>
      <c r="DO3" s="483"/>
      <c r="DP3" s="483"/>
      <c r="DQ3" s="484"/>
    </row>
    <row r="4" spans="1:121" ht="80.25" customHeight="1" thickBot="1">
      <c r="A4" s="514"/>
      <c r="B4" s="476"/>
      <c r="C4" s="476"/>
      <c r="D4" s="476"/>
      <c r="E4" s="517"/>
      <c r="F4" s="517"/>
      <c r="G4" s="520"/>
      <c r="H4" s="586"/>
      <c r="I4" s="511"/>
      <c r="J4" s="541"/>
      <c r="K4" s="490"/>
      <c r="L4" s="491"/>
      <c r="M4" s="494"/>
      <c r="N4" s="495"/>
      <c r="O4" s="496"/>
      <c r="P4" s="271" t="s">
        <v>1234</v>
      </c>
      <c r="Q4" s="486"/>
      <c r="R4" s="480"/>
      <c r="S4" s="481"/>
      <c r="T4" s="480"/>
      <c r="U4" s="481"/>
      <c r="V4" s="500" t="s">
        <v>10</v>
      </c>
      <c r="W4" s="501"/>
      <c r="X4" s="501"/>
      <c r="Y4" s="501"/>
      <c r="Z4" s="501"/>
      <c r="AA4" s="502"/>
      <c r="AB4" s="500" t="s">
        <v>11</v>
      </c>
      <c r="AC4" s="501"/>
      <c r="AD4" s="501"/>
      <c r="AE4" s="501"/>
      <c r="AF4" s="501"/>
      <c r="AG4" s="502"/>
      <c r="AH4" s="503" t="s">
        <v>9</v>
      </c>
      <c r="AI4" s="504"/>
      <c r="AJ4" s="504"/>
      <c r="AK4" s="504"/>
      <c r="AL4" s="504"/>
      <c r="AM4" s="505"/>
      <c r="AN4" s="500" t="s">
        <v>12</v>
      </c>
      <c r="AO4" s="501"/>
      <c r="AP4" s="501"/>
      <c r="AQ4" s="501"/>
      <c r="AR4" s="501"/>
      <c r="AS4" s="502"/>
      <c r="AT4" s="500" t="s">
        <v>13</v>
      </c>
      <c r="AU4" s="501"/>
      <c r="AV4" s="501"/>
      <c r="AW4" s="501"/>
      <c r="AX4" s="501"/>
      <c r="AY4" s="502"/>
      <c r="AZ4" s="500" t="s">
        <v>14</v>
      </c>
      <c r="BA4" s="501"/>
      <c r="BB4" s="501"/>
      <c r="BC4" s="501"/>
      <c r="BD4" s="501"/>
      <c r="BE4" s="509"/>
      <c r="BF4" s="502"/>
      <c r="BG4" s="500" t="s">
        <v>15</v>
      </c>
      <c r="BH4" s="501"/>
      <c r="BI4" s="501"/>
      <c r="BJ4" s="501"/>
      <c r="BK4" s="501"/>
      <c r="BL4" s="509"/>
      <c r="BM4" s="502"/>
      <c r="BN4" s="500" t="s">
        <v>16</v>
      </c>
      <c r="BO4" s="501"/>
      <c r="BP4" s="501"/>
      <c r="BQ4" s="501"/>
      <c r="BR4" s="501"/>
      <c r="BS4" s="509"/>
      <c r="BT4" s="502"/>
      <c r="BU4" s="500" t="s">
        <v>17</v>
      </c>
      <c r="BV4" s="501"/>
      <c r="BW4" s="501"/>
      <c r="BX4" s="501"/>
      <c r="BY4" s="501"/>
      <c r="BZ4" s="509"/>
      <c r="CA4" s="502"/>
      <c r="CB4" s="500" t="s">
        <v>18</v>
      </c>
      <c r="CC4" s="501"/>
      <c r="CD4" s="501"/>
      <c r="CE4" s="501"/>
      <c r="CF4" s="501"/>
      <c r="CG4" s="502"/>
      <c r="CH4" s="500" t="s">
        <v>19</v>
      </c>
      <c r="CI4" s="501"/>
      <c r="CJ4" s="501"/>
      <c r="CK4" s="501"/>
      <c r="CL4" s="501"/>
      <c r="CM4" s="502"/>
      <c r="CN4" s="500" t="s">
        <v>20</v>
      </c>
      <c r="CO4" s="501"/>
      <c r="CP4" s="501"/>
      <c r="CQ4" s="501"/>
      <c r="CR4" s="501"/>
      <c r="CS4" s="502"/>
      <c r="CT4" s="500" t="s">
        <v>21</v>
      </c>
      <c r="CU4" s="501"/>
      <c r="CV4" s="501"/>
      <c r="CW4" s="501"/>
      <c r="CX4" s="501"/>
      <c r="CY4" s="502"/>
      <c r="CZ4" s="500" t="s">
        <v>22</v>
      </c>
      <c r="DA4" s="501"/>
      <c r="DB4" s="501"/>
      <c r="DC4" s="501"/>
      <c r="DD4" s="501"/>
      <c r="DE4" s="502"/>
      <c r="DF4" s="500" t="s">
        <v>23</v>
      </c>
      <c r="DG4" s="501"/>
      <c r="DH4" s="501"/>
      <c r="DI4" s="501"/>
      <c r="DJ4" s="501"/>
      <c r="DK4" s="502"/>
      <c r="DL4" s="506" t="s">
        <v>24</v>
      </c>
      <c r="DM4" s="507"/>
      <c r="DN4" s="507"/>
      <c r="DO4" s="507"/>
      <c r="DP4" s="507"/>
      <c r="DQ4" s="508"/>
    </row>
    <row r="5" spans="1:121">
      <c r="A5" s="514"/>
      <c r="B5" s="476"/>
      <c r="C5" s="476"/>
      <c r="D5" s="476"/>
      <c r="E5" s="517"/>
      <c r="F5" s="517"/>
      <c r="G5" s="520"/>
      <c r="H5" s="586"/>
      <c r="I5" s="511"/>
      <c r="J5" s="541"/>
      <c r="K5" s="469" t="s">
        <v>1169</v>
      </c>
      <c r="L5" s="469" t="s">
        <v>1171</v>
      </c>
      <c r="M5" s="498" t="s">
        <v>1172</v>
      </c>
      <c r="N5" s="469" t="s">
        <v>1177</v>
      </c>
      <c r="O5" s="496"/>
      <c r="P5" s="274"/>
      <c r="Q5" s="486"/>
      <c r="R5" s="471" t="s">
        <v>1169</v>
      </c>
      <c r="S5" s="473" t="s">
        <v>1168</v>
      </c>
      <c r="T5" s="471" t="s">
        <v>1169</v>
      </c>
      <c r="U5" s="473" t="s">
        <v>1168</v>
      </c>
      <c r="V5" s="464" t="s">
        <v>1167</v>
      </c>
      <c r="W5" s="460"/>
      <c r="X5" s="460" t="s">
        <v>1166</v>
      </c>
      <c r="Y5" s="461"/>
      <c r="Z5" s="462" t="s">
        <v>25</v>
      </c>
      <c r="AA5" s="463"/>
      <c r="AB5" s="464" t="s">
        <v>1167</v>
      </c>
      <c r="AC5" s="460"/>
      <c r="AD5" s="460" t="s">
        <v>1166</v>
      </c>
      <c r="AE5" s="461"/>
      <c r="AF5" s="462" t="s">
        <v>25</v>
      </c>
      <c r="AG5" s="463"/>
      <c r="AH5" s="464" t="s">
        <v>1167</v>
      </c>
      <c r="AI5" s="460"/>
      <c r="AJ5" s="460" t="s">
        <v>1166</v>
      </c>
      <c r="AK5" s="461"/>
      <c r="AL5" s="462" t="s">
        <v>25</v>
      </c>
      <c r="AM5" s="463"/>
      <c r="AN5" s="464" t="s">
        <v>1167</v>
      </c>
      <c r="AO5" s="460"/>
      <c r="AP5" s="460" t="s">
        <v>1166</v>
      </c>
      <c r="AQ5" s="461"/>
      <c r="AR5" s="462" t="s">
        <v>25</v>
      </c>
      <c r="AS5" s="463"/>
      <c r="AT5" s="464" t="s">
        <v>1167</v>
      </c>
      <c r="AU5" s="460"/>
      <c r="AV5" s="460" t="s">
        <v>1166</v>
      </c>
      <c r="AW5" s="461"/>
      <c r="AX5" s="462" t="s">
        <v>25</v>
      </c>
      <c r="AY5" s="463"/>
      <c r="AZ5" s="464" t="s">
        <v>1167</v>
      </c>
      <c r="BA5" s="460"/>
      <c r="BB5" s="460" t="s">
        <v>1166</v>
      </c>
      <c r="BC5" s="461"/>
      <c r="BD5" s="462" t="s">
        <v>25</v>
      </c>
      <c r="BE5" s="465"/>
      <c r="BF5" s="463"/>
      <c r="BG5" s="464" t="s">
        <v>1167</v>
      </c>
      <c r="BH5" s="460"/>
      <c r="BI5" s="460" t="s">
        <v>1166</v>
      </c>
      <c r="BJ5" s="461"/>
      <c r="BK5" s="462" t="s">
        <v>25</v>
      </c>
      <c r="BL5" s="465"/>
      <c r="BM5" s="463"/>
      <c r="BN5" s="464" t="s">
        <v>1167</v>
      </c>
      <c r="BO5" s="460"/>
      <c r="BP5" s="460" t="s">
        <v>1166</v>
      </c>
      <c r="BQ5" s="461"/>
      <c r="BR5" s="462" t="s">
        <v>25</v>
      </c>
      <c r="BS5" s="465"/>
      <c r="BT5" s="463"/>
      <c r="BU5" s="464" t="s">
        <v>1167</v>
      </c>
      <c r="BV5" s="460"/>
      <c r="BW5" s="460" t="s">
        <v>1166</v>
      </c>
      <c r="BX5" s="461"/>
      <c r="BY5" s="462" t="s">
        <v>25</v>
      </c>
      <c r="BZ5" s="465"/>
      <c r="CA5" s="463"/>
      <c r="CB5" s="464" t="s">
        <v>1167</v>
      </c>
      <c r="CC5" s="460"/>
      <c r="CD5" s="460" t="s">
        <v>1166</v>
      </c>
      <c r="CE5" s="461"/>
      <c r="CF5" s="462" t="s">
        <v>25</v>
      </c>
      <c r="CG5" s="463"/>
      <c r="CH5" s="464" t="s">
        <v>1167</v>
      </c>
      <c r="CI5" s="460"/>
      <c r="CJ5" s="460" t="s">
        <v>1166</v>
      </c>
      <c r="CK5" s="461"/>
      <c r="CL5" s="462" t="s">
        <v>25</v>
      </c>
      <c r="CM5" s="463"/>
      <c r="CN5" s="464" t="s">
        <v>1167</v>
      </c>
      <c r="CO5" s="460"/>
      <c r="CP5" s="460" t="s">
        <v>1166</v>
      </c>
      <c r="CQ5" s="461"/>
      <c r="CR5" s="462" t="s">
        <v>25</v>
      </c>
      <c r="CS5" s="463"/>
      <c r="CT5" s="464" t="s">
        <v>1167</v>
      </c>
      <c r="CU5" s="460"/>
      <c r="CV5" s="460" t="s">
        <v>1166</v>
      </c>
      <c r="CW5" s="461"/>
      <c r="CX5" s="462" t="s">
        <v>25</v>
      </c>
      <c r="CY5" s="463"/>
      <c r="CZ5" s="464" t="s">
        <v>1167</v>
      </c>
      <c r="DA5" s="460"/>
      <c r="DB5" s="460" t="s">
        <v>1166</v>
      </c>
      <c r="DC5" s="461"/>
      <c r="DD5" s="462" t="s">
        <v>25</v>
      </c>
      <c r="DE5" s="463"/>
      <c r="DF5" s="464" t="s">
        <v>1167</v>
      </c>
      <c r="DG5" s="460"/>
      <c r="DH5" s="460" t="s">
        <v>1166</v>
      </c>
      <c r="DI5" s="461"/>
      <c r="DJ5" s="462" t="s">
        <v>25</v>
      </c>
      <c r="DK5" s="463"/>
      <c r="DL5" s="464" t="s">
        <v>1167</v>
      </c>
      <c r="DM5" s="460"/>
      <c r="DN5" s="460" t="s">
        <v>1166</v>
      </c>
      <c r="DO5" s="461"/>
      <c r="DP5" s="462" t="s">
        <v>25</v>
      </c>
      <c r="DQ5" s="463"/>
    </row>
    <row r="6" spans="1:121" ht="15.75" thickBot="1">
      <c r="A6" s="538"/>
      <c r="B6" s="539"/>
      <c r="C6" s="539"/>
      <c r="D6" s="539"/>
      <c r="E6" s="518"/>
      <c r="F6" s="518"/>
      <c r="G6" s="521"/>
      <c r="H6" s="587"/>
      <c r="I6" s="512"/>
      <c r="J6" s="542"/>
      <c r="K6" s="470"/>
      <c r="L6" s="497"/>
      <c r="M6" s="497"/>
      <c r="N6" s="497"/>
      <c r="O6" s="470"/>
      <c r="P6" s="275"/>
      <c r="Q6" s="487"/>
      <c r="R6" s="472"/>
      <c r="S6" s="474"/>
      <c r="T6" s="472"/>
      <c r="U6" s="474"/>
      <c r="V6" s="2" t="s">
        <v>26</v>
      </c>
      <c r="W6" s="3" t="s">
        <v>27</v>
      </c>
      <c r="X6" s="3" t="s">
        <v>26</v>
      </c>
      <c r="Y6" s="4" t="s">
        <v>27</v>
      </c>
      <c r="Z6" s="5" t="s">
        <v>26</v>
      </c>
      <c r="AA6" s="6" t="s">
        <v>27</v>
      </c>
      <c r="AB6" s="2" t="s">
        <v>26</v>
      </c>
      <c r="AC6" s="3" t="s">
        <v>27</v>
      </c>
      <c r="AD6" s="3" t="s">
        <v>26</v>
      </c>
      <c r="AE6" s="4" t="s">
        <v>27</v>
      </c>
      <c r="AF6" s="5" t="s">
        <v>26</v>
      </c>
      <c r="AG6" s="6" t="s">
        <v>27</v>
      </c>
      <c r="AH6" s="2" t="s">
        <v>26</v>
      </c>
      <c r="AI6" s="3" t="s">
        <v>27</v>
      </c>
      <c r="AJ6" s="3" t="s">
        <v>26</v>
      </c>
      <c r="AK6" s="4" t="s">
        <v>27</v>
      </c>
      <c r="AL6" s="5" t="s">
        <v>26</v>
      </c>
      <c r="AM6" s="6" t="s">
        <v>27</v>
      </c>
      <c r="AN6" s="2" t="s">
        <v>26</v>
      </c>
      <c r="AO6" s="3" t="s">
        <v>27</v>
      </c>
      <c r="AP6" s="3" t="s">
        <v>26</v>
      </c>
      <c r="AQ6" s="4" t="s">
        <v>27</v>
      </c>
      <c r="AR6" s="5" t="s">
        <v>26</v>
      </c>
      <c r="AS6" s="6" t="s">
        <v>27</v>
      </c>
      <c r="AT6" s="2" t="s">
        <v>26</v>
      </c>
      <c r="AU6" s="3" t="s">
        <v>27</v>
      </c>
      <c r="AV6" s="3" t="s">
        <v>26</v>
      </c>
      <c r="AW6" s="4" t="s">
        <v>27</v>
      </c>
      <c r="AX6" s="5" t="s">
        <v>26</v>
      </c>
      <c r="AY6" s="6" t="s">
        <v>27</v>
      </c>
      <c r="AZ6" s="2" t="s">
        <v>26</v>
      </c>
      <c r="BA6" s="3" t="s">
        <v>27</v>
      </c>
      <c r="BB6" s="3" t="s">
        <v>26</v>
      </c>
      <c r="BC6" s="4" t="s">
        <v>27</v>
      </c>
      <c r="BD6" s="5" t="s">
        <v>26</v>
      </c>
      <c r="BE6" s="367" t="s">
        <v>1254</v>
      </c>
      <c r="BF6" s="6" t="s">
        <v>27</v>
      </c>
      <c r="BG6" s="2" t="s">
        <v>26</v>
      </c>
      <c r="BH6" s="3" t="s">
        <v>27</v>
      </c>
      <c r="BI6" s="3" t="s">
        <v>26</v>
      </c>
      <c r="BJ6" s="4" t="s">
        <v>27</v>
      </c>
      <c r="BK6" s="5" t="s">
        <v>26</v>
      </c>
      <c r="BL6" s="367" t="s">
        <v>1254</v>
      </c>
      <c r="BM6" s="6" t="s">
        <v>27</v>
      </c>
      <c r="BN6" s="2" t="s">
        <v>26</v>
      </c>
      <c r="BO6" s="3" t="s">
        <v>27</v>
      </c>
      <c r="BP6" s="3" t="s">
        <v>26</v>
      </c>
      <c r="BQ6" s="4" t="s">
        <v>27</v>
      </c>
      <c r="BR6" s="5" t="s">
        <v>26</v>
      </c>
      <c r="BS6" s="367" t="s">
        <v>1254</v>
      </c>
      <c r="BT6" s="6" t="s">
        <v>27</v>
      </c>
      <c r="BU6" s="2" t="s">
        <v>26</v>
      </c>
      <c r="BV6" s="3" t="s">
        <v>27</v>
      </c>
      <c r="BW6" s="3" t="s">
        <v>26</v>
      </c>
      <c r="BX6" s="4" t="s">
        <v>27</v>
      </c>
      <c r="BY6" s="5" t="s">
        <v>26</v>
      </c>
      <c r="BZ6" s="367" t="s">
        <v>1254</v>
      </c>
      <c r="CA6" s="6" t="s">
        <v>27</v>
      </c>
      <c r="CB6" s="2" t="s">
        <v>26</v>
      </c>
      <c r="CC6" s="3" t="s">
        <v>27</v>
      </c>
      <c r="CD6" s="3" t="s">
        <v>26</v>
      </c>
      <c r="CE6" s="4" t="s">
        <v>27</v>
      </c>
      <c r="CF6" s="5" t="s">
        <v>26</v>
      </c>
      <c r="CG6" s="6" t="s">
        <v>27</v>
      </c>
      <c r="CH6" s="2" t="s">
        <v>26</v>
      </c>
      <c r="CI6" s="3" t="s">
        <v>27</v>
      </c>
      <c r="CJ6" s="3" t="s">
        <v>26</v>
      </c>
      <c r="CK6" s="4" t="s">
        <v>27</v>
      </c>
      <c r="CL6" s="5" t="s">
        <v>26</v>
      </c>
      <c r="CM6" s="6" t="s">
        <v>27</v>
      </c>
      <c r="CN6" s="2" t="s">
        <v>26</v>
      </c>
      <c r="CO6" s="3" t="s">
        <v>27</v>
      </c>
      <c r="CP6" s="3" t="s">
        <v>26</v>
      </c>
      <c r="CQ6" s="4" t="s">
        <v>27</v>
      </c>
      <c r="CR6" s="5" t="s">
        <v>26</v>
      </c>
      <c r="CS6" s="6" t="s">
        <v>27</v>
      </c>
      <c r="CT6" s="2" t="s">
        <v>26</v>
      </c>
      <c r="CU6" s="3" t="s">
        <v>27</v>
      </c>
      <c r="CV6" s="3" t="s">
        <v>26</v>
      </c>
      <c r="CW6" s="4" t="s">
        <v>27</v>
      </c>
      <c r="CX6" s="5" t="s">
        <v>26</v>
      </c>
      <c r="CY6" s="6" t="s">
        <v>27</v>
      </c>
      <c r="CZ6" s="2" t="s">
        <v>26</v>
      </c>
      <c r="DA6" s="3" t="s">
        <v>27</v>
      </c>
      <c r="DB6" s="3" t="s">
        <v>26</v>
      </c>
      <c r="DC6" s="4" t="s">
        <v>27</v>
      </c>
      <c r="DD6" s="5" t="s">
        <v>26</v>
      </c>
      <c r="DE6" s="6" t="s">
        <v>27</v>
      </c>
      <c r="DF6" s="2" t="s">
        <v>26</v>
      </c>
      <c r="DG6" s="3" t="s">
        <v>27</v>
      </c>
      <c r="DH6" s="3" t="s">
        <v>26</v>
      </c>
      <c r="DI6" s="4" t="s">
        <v>27</v>
      </c>
      <c r="DJ6" s="5" t="s">
        <v>26</v>
      </c>
      <c r="DK6" s="6" t="s">
        <v>27</v>
      </c>
      <c r="DL6" s="2" t="s">
        <v>26</v>
      </c>
      <c r="DM6" s="3" t="s">
        <v>27</v>
      </c>
      <c r="DN6" s="3" t="s">
        <v>26</v>
      </c>
      <c r="DO6" s="4" t="s">
        <v>27</v>
      </c>
      <c r="DP6" s="5" t="s">
        <v>26</v>
      </c>
      <c r="DQ6" s="6" t="s">
        <v>27</v>
      </c>
    </row>
    <row r="7" spans="1:121" ht="15.75">
      <c r="A7" s="20">
        <f t="shared" ref="A7:D7" si="0">SUBTOTAL(3,A9:A9)</f>
        <v>1</v>
      </c>
      <c r="B7" s="20">
        <f t="shared" si="0"/>
        <v>1</v>
      </c>
      <c r="C7" s="20">
        <f t="shared" si="0"/>
        <v>1</v>
      </c>
      <c r="D7" s="20">
        <f t="shared" si="0"/>
        <v>1</v>
      </c>
      <c r="E7" s="20">
        <f>SUBTOTAL(3,E9:E9)</f>
        <v>1</v>
      </c>
      <c r="F7" s="20">
        <f t="shared" ref="F7:I7" si="1">SUBTOTAL(9,F9:F9)</f>
        <v>4000000</v>
      </c>
      <c r="G7" s="20"/>
      <c r="H7" s="20"/>
      <c r="I7" s="20">
        <f t="shared" si="1"/>
        <v>4000000</v>
      </c>
      <c r="J7" s="20">
        <f>SUBTOTAL(9,J9:J9)</f>
        <v>1636376.7999999998</v>
      </c>
      <c r="K7" s="20">
        <f t="shared" ref="K7:CA7" si="2">SUBTOTAL(9,K9:K9)</f>
        <v>0</v>
      </c>
      <c r="L7" s="20">
        <f t="shared" si="2"/>
        <v>0</v>
      </c>
      <c r="M7" s="20">
        <f t="shared" si="2"/>
        <v>0</v>
      </c>
      <c r="N7" s="20">
        <f t="shared" si="2"/>
        <v>0</v>
      </c>
      <c r="O7" s="20">
        <f t="shared" si="2"/>
        <v>0</v>
      </c>
      <c r="P7" s="20">
        <f t="shared" si="2"/>
        <v>4000000</v>
      </c>
      <c r="Q7" s="20">
        <f t="shared" si="2"/>
        <v>0</v>
      </c>
      <c r="R7" s="20">
        <f t="shared" si="2"/>
        <v>0</v>
      </c>
      <c r="S7" s="20">
        <f t="shared" si="2"/>
        <v>0</v>
      </c>
      <c r="T7" s="20">
        <f t="shared" si="2"/>
        <v>0</v>
      </c>
      <c r="U7" s="20">
        <f t="shared" si="2"/>
        <v>0</v>
      </c>
      <c r="V7" s="20">
        <f t="shared" si="2"/>
        <v>0</v>
      </c>
      <c r="W7" s="20">
        <f t="shared" si="2"/>
        <v>0</v>
      </c>
      <c r="X7" s="20">
        <f t="shared" si="2"/>
        <v>0</v>
      </c>
      <c r="Y7" s="20">
        <f t="shared" si="2"/>
        <v>0</v>
      </c>
      <c r="Z7" s="20">
        <f t="shared" si="2"/>
        <v>0</v>
      </c>
      <c r="AA7" s="20">
        <f t="shared" si="2"/>
        <v>0</v>
      </c>
      <c r="AB7" s="20">
        <f t="shared" si="2"/>
        <v>0</v>
      </c>
      <c r="AC7" s="20">
        <f t="shared" si="2"/>
        <v>0</v>
      </c>
      <c r="AD7" s="20">
        <f t="shared" si="2"/>
        <v>0</v>
      </c>
      <c r="AE7" s="20">
        <f t="shared" si="2"/>
        <v>0</v>
      </c>
      <c r="AF7" s="20">
        <f t="shared" si="2"/>
        <v>0</v>
      </c>
      <c r="AG7" s="20">
        <f t="shared" si="2"/>
        <v>0</v>
      </c>
      <c r="AH7" s="20">
        <f t="shared" si="2"/>
        <v>0</v>
      </c>
      <c r="AI7" s="20">
        <f t="shared" si="2"/>
        <v>0</v>
      </c>
      <c r="AJ7" s="20">
        <f t="shared" si="2"/>
        <v>0</v>
      </c>
      <c r="AK7" s="20">
        <f t="shared" si="2"/>
        <v>0</v>
      </c>
      <c r="AL7" s="20">
        <f t="shared" si="2"/>
        <v>0</v>
      </c>
      <c r="AM7" s="20">
        <f t="shared" si="2"/>
        <v>0</v>
      </c>
      <c r="AN7" s="20">
        <f t="shared" si="2"/>
        <v>0</v>
      </c>
      <c r="AO7" s="20">
        <f t="shared" si="2"/>
        <v>0</v>
      </c>
      <c r="AP7" s="20">
        <f t="shared" si="2"/>
        <v>0</v>
      </c>
      <c r="AQ7" s="20">
        <f t="shared" si="2"/>
        <v>0</v>
      </c>
      <c r="AR7" s="20">
        <f t="shared" si="2"/>
        <v>0</v>
      </c>
      <c r="AS7" s="20">
        <f t="shared" si="2"/>
        <v>0</v>
      </c>
      <c r="AT7" s="20">
        <f t="shared" si="2"/>
        <v>500000</v>
      </c>
      <c r="AU7" s="20">
        <f t="shared" si="2"/>
        <v>0</v>
      </c>
      <c r="AV7" s="20">
        <f t="shared" si="2"/>
        <v>0</v>
      </c>
      <c r="AW7" s="20">
        <f t="shared" si="2"/>
        <v>0</v>
      </c>
      <c r="AX7" s="20">
        <f t="shared" si="2"/>
        <v>500000</v>
      </c>
      <c r="AY7" s="20">
        <f t="shared" si="2"/>
        <v>0</v>
      </c>
      <c r="AZ7" s="20">
        <f t="shared" si="2"/>
        <v>500000</v>
      </c>
      <c r="BA7" s="20">
        <f t="shared" si="2"/>
        <v>0</v>
      </c>
      <c r="BB7" s="20">
        <f t="shared" si="2"/>
        <v>0</v>
      </c>
      <c r="BC7" s="20">
        <f t="shared" si="2"/>
        <v>0</v>
      </c>
      <c r="BD7" s="20">
        <f t="shared" si="2"/>
        <v>500000</v>
      </c>
      <c r="BE7" s="379">
        <f t="shared" si="2"/>
        <v>700000</v>
      </c>
      <c r="BF7" s="20">
        <f t="shared" si="2"/>
        <v>0</v>
      </c>
      <c r="BG7" s="20">
        <f t="shared" si="2"/>
        <v>500000</v>
      </c>
      <c r="BH7" s="20">
        <f t="shared" si="2"/>
        <v>0</v>
      </c>
      <c r="BI7" s="20">
        <f t="shared" si="2"/>
        <v>0</v>
      </c>
      <c r="BJ7" s="20">
        <f t="shared" si="2"/>
        <v>0</v>
      </c>
      <c r="BK7" s="20">
        <f t="shared" si="2"/>
        <v>500000</v>
      </c>
      <c r="BL7" s="20">
        <f t="shared" si="2"/>
        <v>650000</v>
      </c>
      <c r="BM7" s="20">
        <f t="shared" si="2"/>
        <v>0</v>
      </c>
      <c r="BN7" s="20">
        <f t="shared" si="2"/>
        <v>500000</v>
      </c>
      <c r="BO7" s="20">
        <f t="shared" si="2"/>
        <v>0</v>
      </c>
      <c r="BP7" s="20">
        <f t="shared" si="2"/>
        <v>0</v>
      </c>
      <c r="BQ7" s="20">
        <f t="shared" si="2"/>
        <v>0</v>
      </c>
      <c r="BR7" s="20">
        <f t="shared" si="2"/>
        <v>500000</v>
      </c>
      <c r="BS7" s="20">
        <f t="shared" si="2"/>
        <v>600000</v>
      </c>
      <c r="BT7" s="20">
        <f t="shared" si="2"/>
        <v>0</v>
      </c>
      <c r="BU7" s="20">
        <f t="shared" si="2"/>
        <v>500000</v>
      </c>
      <c r="BV7" s="20">
        <f t="shared" si="2"/>
        <v>0</v>
      </c>
      <c r="BW7" s="20">
        <f t="shared" si="2"/>
        <v>0</v>
      </c>
      <c r="BX7" s="20">
        <f t="shared" si="2"/>
        <v>0</v>
      </c>
      <c r="BY7" s="20">
        <f t="shared" si="2"/>
        <v>500000</v>
      </c>
      <c r="BZ7" s="20">
        <f t="shared" si="2"/>
        <v>550000</v>
      </c>
      <c r="CA7" s="20">
        <f t="shared" si="2"/>
        <v>0</v>
      </c>
      <c r="CB7" s="20">
        <f t="shared" ref="CB7:DQ7" si="3">SUBTOTAL(9,CB9:CB9)</f>
        <v>500000</v>
      </c>
      <c r="CC7" s="20">
        <f t="shared" si="3"/>
        <v>0</v>
      </c>
      <c r="CD7" s="20">
        <f t="shared" si="3"/>
        <v>0</v>
      </c>
      <c r="CE7" s="20">
        <f t="shared" si="3"/>
        <v>0</v>
      </c>
      <c r="CF7" s="20">
        <f t="shared" si="3"/>
        <v>500000</v>
      </c>
      <c r="CG7" s="20">
        <f t="shared" si="3"/>
        <v>0</v>
      </c>
      <c r="CH7" s="20">
        <f t="shared" si="3"/>
        <v>0</v>
      </c>
      <c r="CI7" s="20">
        <f t="shared" si="3"/>
        <v>0</v>
      </c>
      <c r="CJ7" s="20">
        <f t="shared" si="3"/>
        <v>500000</v>
      </c>
      <c r="CK7" s="20">
        <f t="shared" si="3"/>
        <v>0</v>
      </c>
      <c r="CL7" s="20">
        <f t="shared" si="3"/>
        <v>500000</v>
      </c>
      <c r="CM7" s="20">
        <f t="shared" si="3"/>
        <v>0</v>
      </c>
      <c r="CN7" s="20">
        <f t="shared" si="3"/>
        <v>0</v>
      </c>
      <c r="CO7" s="20">
        <f t="shared" si="3"/>
        <v>0</v>
      </c>
      <c r="CP7" s="20">
        <f t="shared" si="3"/>
        <v>0</v>
      </c>
      <c r="CQ7" s="20">
        <f t="shared" si="3"/>
        <v>0</v>
      </c>
      <c r="CR7" s="20">
        <f t="shared" si="3"/>
        <v>0</v>
      </c>
      <c r="CS7" s="20">
        <f t="shared" si="3"/>
        <v>0</v>
      </c>
      <c r="CT7" s="20">
        <f t="shared" si="3"/>
        <v>0</v>
      </c>
      <c r="CU7" s="20">
        <f t="shared" si="3"/>
        <v>0</v>
      </c>
      <c r="CV7" s="20">
        <f t="shared" si="3"/>
        <v>0</v>
      </c>
      <c r="CW7" s="20">
        <f t="shared" si="3"/>
        <v>0</v>
      </c>
      <c r="CX7" s="20">
        <f t="shared" si="3"/>
        <v>0</v>
      </c>
      <c r="CY7" s="20">
        <f t="shared" si="3"/>
        <v>0</v>
      </c>
      <c r="CZ7" s="20">
        <f t="shared" si="3"/>
        <v>0</v>
      </c>
      <c r="DA7" s="20">
        <f t="shared" si="3"/>
        <v>0</v>
      </c>
      <c r="DB7" s="20">
        <f t="shared" si="3"/>
        <v>0</v>
      </c>
      <c r="DC7" s="20">
        <f t="shared" si="3"/>
        <v>0</v>
      </c>
      <c r="DD7" s="20">
        <f t="shared" si="3"/>
        <v>0</v>
      </c>
      <c r="DE7" s="20">
        <f t="shared" si="3"/>
        <v>0</v>
      </c>
      <c r="DF7" s="20">
        <f t="shared" si="3"/>
        <v>0</v>
      </c>
      <c r="DG7" s="20">
        <f t="shared" si="3"/>
        <v>0</v>
      </c>
      <c r="DH7" s="20">
        <f t="shared" si="3"/>
        <v>0</v>
      </c>
      <c r="DI7" s="20">
        <f t="shared" si="3"/>
        <v>0</v>
      </c>
      <c r="DJ7" s="20">
        <f t="shared" si="3"/>
        <v>0</v>
      </c>
      <c r="DK7" s="20">
        <f t="shared" si="3"/>
        <v>0</v>
      </c>
      <c r="DL7" s="20">
        <f t="shared" si="3"/>
        <v>3500000</v>
      </c>
      <c r="DM7" s="20">
        <f t="shared" si="3"/>
        <v>0</v>
      </c>
      <c r="DN7" s="20">
        <f t="shared" si="3"/>
        <v>500000</v>
      </c>
      <c r="DO7" s="20">
        <f t="shared" si="3"/>
        <v>0</v>
      </c>
      <c r="DP7" s="20">
        <f t="shared" si="3"/>
        <v>4000000</v>
      </c>
      <c r="DQ7" s="20">
        <f t="shared" si="3"/>
        <v>0</v>
      </c>
    </row>
    <row r="8" spans="1:121" ht="7.5" customHeight="1">
      <c r="A8" s="21"/>
      <c r="B8" s="22"/>
      <c r="C8" s="22"/>
      <c r="D8" s="22"/>
      <c r="E8" s="22"/>
      <c r="F8" s="22"/>
      <c r="G8" s="22"/>
      <c r="H8" s="22"/>
      <c r="I8" s="22"/>
      <c r="J8" s="23"/>
      <c r="K8" s="24"/>
      <c r="L8" s="24"/>
      <c r="M8" s="24"/>
      <c r="N8" s="24"/>
      <c r="O8" s="24"/>
      <c r="P8" s="175"/>
      <c r="Q8" s="24"/>
      <c r="R8" s="24"/>
      <c r="S8" s="24"/>
      <c r="T8" s="24"/>
      <c r="U8" s="24"/>
      <c r="V8" s="24"/>
      <c r="W8" s="24"/>
      <c r="X8" s="24"/>
      <c r="Y8" s="24"/>
      <c r="Z8" s="24"/>
      <c r="AA8" s="24"/>
      <c r="AB8" s="24"/>
      <c r="AC8" s="24"/>
      <c r="AD8" s="24"/>
      <c r="AE8" s="24"/>
      <c r="AF8" s="24"/>
      <c r="AG8" s="24"/>
      <c r="AH8" s="24"/>
      <c r="AI8" s="24"/>
      <c r="AJ8" s="24"/>
      <c r="AK8" s="24"/>
      <c r="AL8" s="24"/>
      <c r="AM8" s="24"/>
      <c r="AN8" s="23"/>
      <c r="AO8" s="23"/>
      <c r="AP8" s="23"/>
      <c r="AQ8" s="23"/>
      <c r="AR8" s="23"/>
      <c r="AS8" s="23"/>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row>
    <row r="9" spans="1:121">
      <c r="A9" s="25">
        <v>1</v>
      </c>
      <c r="B9" s="26" t="s">
        <v>120</v>
      </c>
      <c r="C9" s="26" t="s">
        <v>121</v>
      </c>
      <c r="D9" s="26" t="s">
        <v>122</v>
      </c>
      <c r="E9" s="159" t="s">
        <v>1165</v>
      </c>
      <c r="F9" s="161">
        <f>SUM(DP9)</f>
        <v>4000000</v>
      </c>
      <c r="G9" s="161">
        <f>AS9+AY9+BF9+BM9+BT9+CA9+CG9+CM9+CS9+CY9+DE9+DK9</f>
        <v>0</v>
      </c>
      <c r="H9" s="161">
        <f>O9+G9</f>
        <v>0</v>
      </c>
      <c r="I9" s="165">
        <f>K9+AM9+DP9</f>
        <v>4000000</v>
      </c>
      <c r="J9" s="27">
        <v>1636376.7999999998</v>
      </c>
      <c r="K9" s="176">
        <v>0</v>
      </c>
      <c r="L9" s="176">
        <v>0</v>
      </c>
      <c r="M9" s="127">
        <f t="shared" ref="M9" si="4">AM9</f>
        <v>0</v>
      </c>
      <c r="N9" s="127">
        <f t="shared" ref="N9" si="5">IF(AK9&gt;0,K9+AM9-L9,0)</f>
        <v>0</v>
      </c>
      <c r="O9" s="127">
        <f t="shared" ref="O9" si="6">K9+M9</f>
        <v>0</v>
      </c>
      <c r="P9" s="131">
        <f>I9-O9</f>
        <v>4000000</v>
      </c>
      <c r="Q9" s="125" t="str">
        <f>IF(AND(AK9&gt;0,DO9&gt;0),"შეცდომაა! ერთზე მეტი ბოლო ჩაბარება!",IF(OR(AK9&gt;0,DO9&gt;0,),IF(AK9&gt;0,K9+AM9,K9+AM9+DQ9),IF(AND(K9=0,M9=0,DQ9=0),"ნულოვანი შესრულება","მიმდინარეობს")))</f>
        <v>ნულოვანი შესრულება</v>
      </c>
      <c r="R9" s="27">
        <v>0</v>
      </c>
      <c r="S9" s="27">
        <v>0</v>
      </c>
      <c r="T9" s="27">
        <f t="shared" ref="T9" si="7">K9+R9</f>
        <v>0</v>
      </c>
      <c r="U9" s="27">
        <f t="shared" ref="U9" si="8">S9</f>
        <v>0</v>
      </c>
      <c r="V9" s="27">
        <v>0</v>
      </c>
      <c r="W9" s="27">
        <v>0</v>
      </c>
      <c r="X9" s="27">
        <v>0</v>
      </c>
      <c r="Y9" s="27"/>
      <c r="Z9" s="27">
        <f t="shared" ref="Z9:AA9" si="9">V9+X9</f>
        <v>0</v>
      </c>
      <c r="AA9" s="27">
        <f t="shared" si="9"/>
        <v>0</v>
      </c>
      <c r="AB9" s="27">
        <v>0</v>
      </c>
      <c r="AC9" s="27">
        <v>0</v>
      </c>
      <c r="AD9" s="27">
        <v>0</v>
      </c>
      <c r="AE9" s="27"/>
      <c r="AF9" s="27">
        <f t="shared" ref="AF9:AG9" si="10">AB9+AD9</f>
        <v>0</v>
      </c>
      <c r="AG9" s="27">
        <f t="shared" si="10"/>
        <v>0</v>
      </c>
      <c r="AH9" s="27">
        <f t="shared" ref="AH9" si="11">R9+V9+AB9</f>
        <v>0</v>
      </c>
      <c r="AI9" s="27">
        <f t="shared" ref="AI9:AJ9" si="12">R9+W9+AC9</f>
        <v>0</v>
      </c>
      <c r="AJ9" s="27">
        <f t="shared" si="12"/>
        <v>0</v>
      </c>
      <c r="AK9" s="27">
        <f>S9+Y9+AE9</f>
        <v>0</v>
      </c>
      <c r="AL9" s="27">
        <f t="shared" ref="AL9:AM9" si="13">AH9+AJ9</f>
        <v>0</v>
      </c>
      <c r="AM9" s="27">
        <f t="shared" si="13"/>
        <v>0</v>
      </c>
      <c r="AN9" s="27"/>
      <c r="AO9" s="27"/>
      <c r="AP9" s="27"/>
      <c r="AQ9" s="27"/>
      <c r="AR9" s="27">
        <f t="shared" ref="AR9:AS9" si="14">AN9+AP9</f>
        <v>0</v>
      </c>
      <c r="AS9" s="27">
        <f t="shared" si="14"/>
        <v>0</v>
      </c>
      <c r="AT9" s="27">
        <v>500000</v>
      </c>
      <c r="AU9" s="27"/>
      <c r="AV9" s="27"/>
      <c r="AW9" s="27"/>
      <c r="AX9" s="27">
        <f t="shared" ref="AX9:AY9" si="15">AT9+AV9</f>
        <v>500000</v>
      </c>
      <c r="AY9" s="27">
        <f t="shared" si="15"/>
        <v>0</v>
      </c>
      <c r="AZ9" s="27">
        <v>500000</v>
      </c>
      <c r="BA9" s="27"/>
      <c r="BB9" s="27"/>
      <c r="BC9" s="27"/>
      <c r="BD9" s="27">
        <f t="shared" ref="BD9" si="16">AZ9+BB9</f>
        <v>500000</v>
      </c>
      <c r="BE9" s="27">
        <v>700000</v>
      </c>
      <c r="BF9" s="27">
        <f>BA9+BC9</f>
        <v>0</v>
      </c>
      <c r="BG9" s="27">
        <v>500000</v>
      </c>
      <c r="BH9" s="27"/>
      <c r="BI9" s="27"/>
      <c r="BJ9" s="27"/>
      <c r="BK9" s="27">
        <f t="shared" ref="BK9" si="17">BG9+BI9</f>
        <v>500000</v>
      </c>
      <c r="BL9" s="27">
        <v>650000</v>
      </c>
      <c r="BM9" s="27">
        <f>BH9+BJ9</f>
        <v>0</v>
      </c>
      <c r="BN9" s="27">
        <v>500000</v>
      </c>
      <c r="BO9" s="27"/>
      <c r="BP9" s="27">
        <v>0</v>
      </c>
      <c r="BQ9" s="27"/>
      <c r="BR9" s="27">
        <f t="shared" ref="BR9" si="18">BN9+BP9</f>
        <v>500000</v>
      </c>
      <c r="BS9" s="27">
        <v>600000</v>
      </c>
      <c r="BT9" s="27">
        <f>BO9+BQ9</f>
        <v>0</v>
      </c>
      <c r="BU9" s="27">
        <v>500000</v>
      </c>
      <c r="BV9" s="26"/>
      <c r="BW9" s="26"/>
      <c r="BX9" s="26"/>
      <c r="BY9" s="27">
        <f t="shared" ref="BY9" si="19">BU9+BW9</f>
        <v>500000</v>
      </c>
      <c r="BZ9" s="27">
        <v>550000</v>
      </c>
      <c r="CA9" s="27">
        <f>BV9+BX9</f>
        <v>0</v>
      </c>
      <c r="CB9" s="27">
        <v>500000</v>
      </c>
      <c r="CC9" s="26"/>
      <c r="CD9" s="26"/>
      <c r="CE9" s="26"/>
      <c r="CF9" s="27">
        <f t="shared" ref="CF9:CG9" si="20">CB9+CD9</f>
        <v>500000</v>
      </c>
      <c r="CG9" s="27">
        <f t="shared" si="20"/>
        <v>0</v>
      </c>
      <c r="CH9" s="27"/>
      <c r="CI9" s="26"/>
      <c r="CJ9" s="27">
        <v>500000</v>
      </c>
      <c r="CK9" s="26"/>
      <c r="CL9" s="27">
        <f t="shared" ref="CL9:CM9" si="21">CH9+CJ9</f>
        <v>500000</v>
      </c>
      <c r="CM9" s="27">
        <f t="shared" si="21"/>
        <v>0</v>
      </c>
      <c r="CN9" s="27"/>
      <c r="CO9" s="26"/>
      <c r="CP9" s="26"/>
      <c r="CQ9" s="26"/>
      <c r="CR9" s="27">
        <f t="shared" ref="CR9:CS9" si="22">CN9+CP9</f>
        <v>0</v>
      </c>
      <c r="CS9" s="27">
        <f t="shared" si="22"/>
        <v>0</v>
      </c>
      <c r="CT9" s="26"/>
      <c r="CU9" s="26"/>
      <c r="CV9" s="26"/>
      <c r="CW9" s="26"/>
      <c r="CX9" s="27">
        <f t="shared" ref="CX9:CY9" si="23">CT9+CV9</f>
        <v>0</v>
      </c>
      <c r="CY9" s="27">
        <f t="shared" si="23"/>
        <v>0</v>
      </c>
      <c r="CZ9" s="26"/>
      <c r="DA9" s="26"/>
      <c r="DB9" s="26"/>
      <c r="DC9" s="26"/>
      <c r="DD9" s="27">
        <f t="shared" ref="DD9:DE9" si="24">CZ9+DB9</f>
        <v>0</v>
      </c>
      <c r="DE9" s="27">
        <f t="shared" si="24"/>
        <v>0</v>
      </c>
      <c r="DF9" s="26"/>
      <c r="DG9" s="26"/>
      <c r="DH9" s="26"/>
      <c r="DI9" s="26"/>
      <c r="DJ9" s="27">
        <f t="shared" ref="DJ9:DK9" si="25">DF9+DH9</f>
        <v>0</v>
      </c>
      <c r="DK9" s="27">
        <f t="shared" si="25"/>
        <v>0</v>
      </c>
      <c r="DL9" s="28">
        <f>AN9+AT9+BE9+BL9+BS9+BZ9+CB9+CH9+CN9+CT9+CZ9+DF9</f>
        <v>3500000</v>
      </c>
      <c r="DM9" s="28">
        <f>AO9+AU9+BA9+BH9+BO9+BV9+CC9+CI9+CO9+CU9+DA9+DG9</f>
        <v>0</v>
      </c>
      <c r="DN9" s="28">
        <f>AP9+AV9+BB9+BI9+BP9+BW9+CD9+CJ9+CP9+CV9+DB9+DH9</f>
        <v>500000</v>
      </c>
      <c r="DO9" s="28">
        <f>AQ9+AW9+BC9+BJ9+BQ9+BX9+CE9+CK9+CQ9+CW9+DC9+DI9</f>
        <v>0</v>
      </c>
      <c r="DP9" s="27">
        <f t="shared" ref="DP9:DQ9" si="26">DL9+DN9</f>
        <v>4000000</v>
      </c>
      <c r="DQ9" s="27">
        <f t="shared" si="26"/>
        <v>0</v>
      </c>
    </row>
  </sheetData>
  <mergeCells count="90">
    <mergeCell ref="M3:N4"/>
    <mergeCell ref="O3:O6"/>
    <mergeCell ref="Q3:Q6"/>
    <mergeCell ref="L5:L6"/>
    <mergeCell ref="M5:M6"/>
    <mergeCell ref="N5:N6"/>
    <mergeCell ref="DH5:DI5"/>
    <mergeCell ref="DJ5:DK5"/>
    <mergeCell ref="DL5:DM5"/>
    <mergeCell ref="DN5:DO5"/>
    <mergeCell ref="DP5:DQ5"/>
    <mergeCell ref="DD5:DE5"/>
    <mergeCell ref="DF5:DG5"/>
    <mergeCell ref="CJ5:CK5"/>
    <mergeCell ref="CL5:CM5"/>
    <mergeCell ref="CN5:CO5"/>
    <mergeCell ref="CP5:CQ5"/>
    <mergeCell ref="CR5:CS5"/>
    <mergeCell ref="CT5:CU5"/>
    <mergeCell ref="CV5:CW5"/>
    <mergeCell ref="CX5:CY5"/>
    <mergeCell ref="CZ5:DA5"/>
    <mergeCell ref="DB5:DC5"/>
    <mergeCell ref="AR5:AS5"/>
    <mergeCell ref="BU5:BV5"/>
    <mergeCell ref="AV5:AW5"/>
    <mergeCell ref="AX5:AY5"/>
    <mergeCell ref="AZ5:BA5"/>
    <mergeCell ref="BB5:BC5"/>
    <mergeCell ref="BD5:BF5"/>
    <mergeCell ref="BG5:BH5"/>
    <mergeCell ref="BI5:BJ5"/>
    <mergeCell ref="BK5:BM5"/>
    <mergeCell ref="BN5:BO5"/>
    <mergeCell ref="BP5:BQ5"/>
    <mergeCell ref="BR5:BT5"/>
    <mergeCell ref="AH5:AI5"/>
    <mergeCell ref="AJ5:AK5"/>
    <mergeCell ref="AL5:AM5"/>
    <mergeCell ref="AN5:AO5"/>
    <mergeCell ref="AP5:AQ5"/>
    <mergeCell ref="X5:Y5"/>
    <mergeCell ref="Z5:AA5"/>
    <mergeCell ref="AB5:AC5"/>
    <mergeCell ref="AD5:AE5"/>
    <mergeCell ref="AF5:AG5"/>
    <mergeCell ref="BU4:CA4"/>
    <mergeCell ref="CB4:CG4"/>
    <mergeCell ref="CH4:CM4"/>
    <mergeCell ref="CN4:CS4"/>
    <mergeCell ref="AT5:AU5"/>
    <mergeCell ref="BW5:BX5"/>
    <mergeCell ref="BY5:CA5"/>
    <mergeCell ref="CB5:CC5"/>
    <mergeCell ref="CD5:CE5"/>
    <mergeCell ref="CF5:CG5"/>
    <mergeCell ref="CH5:CI5"/>
    <mergeCell ref="R5:R6"/>
    <mergeCell ref="S5:S6"/>
    <mergeCell ref="T5:T6"/>
    <mergeCell ref="U5:U6"/>
    <mergeCell ref="V5:W5"/>
    <mergeCell ref="R3:S4"/>
    <mergeCell ref="T3:U4"/>
    <mergeCell ref="V3:AM3"/>
    <mergeCell ref="AN3:DQ3"/>
    <mergeCell ref="V4:AA4"/>
    <mergeCell ref="AB4:AG4"/>
    <mergeCell ref="AH4:AM4"/>
    <mergeCell ref="AN4:AS4"/>
    <mergeCell ref="AT4:AY4"/>
    <mergeCell ref="AZ4:BF4"/>
    <mergeCell ref="CT4:CY4"/>
    <mergeCell ref="CZ4:DE4"/>
    <mergeCell ref="DF4:DK4"/>
    <mergeCell ref="DL4:DQ4"/>
    <mergeCell ref="BG4:BM4"/>
    <mergeCell ref="BN4:BT4"/>
    <mergeCell ref="A3:A6"/>
    <mergeCell ref="B3:B6"/>
    <mergeCell ref="C3:C6"/>
    <mergeCell ref="D3:D6"/>
    <mergeCell ref="J3:J6"/>
    <mergeCell ref="H3:H6"/>
    <mergeCell ref="G3:G6"/>
    <mergeCell ref="K5:K6"/>
    <mergeCell ref="E3:E6"/>
    <mergeCell ref="F3:F6"/>
    <mergeCell ref="I3:I6"/>
    <mergeCell ref="K3:L4"/>
  </mergeCells>
  <pageMargins left="0.7" right="0.7" top="0.75" bottom="0.75" header="0.3" footer="0.3"/>
  <pageSetup paperSize="9" orientation="portrait" horizontalDpi="0" verticalDpi="0"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A1:DU38"/>
  <sheetViews>
    <sheetView workbookViewId="0">
      <pane xSplit="37" ySplit="8" topLeftCell="BV9" activePane="bottomRight" state="frozen"/>
      <selection pane="topRight" activeCell="AL1" sqref="AL1"/>
      <selection pane="bottomLeft" activeCell="A9" sqref="A9"/>
      <selection pane="bottomRight" activeCell="CY11" sqref="CY11"/>
    </sheetView>
  </sheetViews>
  <sheetFormatPr defaultColWidth="10.42578125" defaultRowHeight="15"/>
  <cols>
    <col min="1" max="1" width="6.85546875" style="33" bestFit="1" customWidth="1"/>
    <col min="2" max="2" width="10.140625" style="35" customWidth="1"/>
    <col min="3" max="3" width="7.85546875" style="35" customWidth="1"/>
    <col min="4" max="4" width="51.85546875" style="35" customWidth="1"/>
    <col min="5" max="5" width="15.5703125" style="35" bestFit="1" customWidth="1"/>
    <col min="6" max="7" width="13.85546875" style="35" bestFit="1" customWidth="1"/>
    <col min="8" max="8" width="18.42578125" style="35" customWidth="1"/>
    <col min="9" max="9" width="13.85546875" style="35" hidden="1" customWidth="1"/>
    <col min="10" max="10" width="11.7109375" style="35" hidden="1" customWidth="1"/>
    <col min="11" max="11" width="14.42578125" style="35" hidden="1" customWidth="1"/>
    <col min="12" max="13" width="13.85546875" style="35" hidden="1" customWidth="1"/>
    <col min="14" max="14" width="14.7109375" style="35" hidden="1" customWidth="1"/>
    <col min="15" max="15" width="17.85546875" style="35" customWidth="1"/>
    <col min="16" max="16" width="13.85546875" style="35" hidden="1" customWidth="1"/>
    <col min="17" max="17" width="12" style="35" hidden="1" customWidth="1"/>
    <col min="18" max="18" width="13.85546875" style="35" hidden="1" customWidth="1"/>
    <col min="19" max="19" width="12" style="35" hidden="1" customWidth="1"/>
    <col min="20" max="21" width="7.5703125" style="35" hidden="1" customWidth="1"/>
    <col min="22" max="25" width="10.85546875" style="35" hidden="1" customWidth="1"/>
    <col min="26" max="27" width="7.5703125" style="35" hidden="1" customWidth="1"/>
    <col min="28" max="28" width="10.85546875" style="35" hidden="1" customWidth="1"/>
    <col min="29" max="29" width="7.5703125" style="35" hidden="1" customWidth="1"/>
    <col min="30" max="30" width="10.85546875" style="35" hidden="1" customWidth="1"/>
    <col min="31" max="31" width="7.5703125" style="35" hidden="1" customWidth="1"/>
    <col min="32" max="33" width="13.85546875" style="35" hidden="1" customWidth="1"/>
    <col min="34" max="35" width="12" style="35" hidden="1" customWidth="1"/>
    <col min="36" max="37" width="13.85546875" style="35" hidden="1" customWidth="1"/>
    <col min="38" max="38" width="12" style="32" customWidth="1"/>
    <col min="39" max="41" width="12" style="35" customWidth="1"/>
    <col min="42" max="42" width="13.7109375" style="35" customWidth="1"/>
    <col min="43" max="43" width="13.85546875" style="35" customWidth="1"/>
    <col min="44" max="44" width="12" style="35" customWidth="1"/>
    <col min="45" max="45" width="13.85546875" style="35" customWidth="1"/>
    <col min="46" max="47" width="7.5703125" style="35" customWidth="1"/>
    <col min="48" max="48" width="12" style="35" customWidth="1"/>
    <col min="49" max="49" width="13.85546875" style="35" customWidth="1"/>
    <col min="50" max="52" width="12" style="35" bestFit="1" customWidth="1"/>
    <col min="53" max="53" width="7.5703125" style="35" bestFit="1" customWidth="1"/>
    <col min="54" max="54" width="12" style="35" bestFit="1" customWidth="1"/>
    <col min="55" max="55" width="13.140625" style="35" bestFit="1" customWidth="1"/>
    <col min="56" max="61" width="12" style="35" bestFit="1" customWidth="1"/>
    <col min="62" max="62" width="13.140625" style="35" bestFit="1" customWidth="1"/>
    <col min="63" max="65" width="12" style="35" bestFit="1" customWidth="1"/>
    <col min="66" max="67" width="10.85546875" style="35" bestFit="1" customWidth="1"/>
    <col min="68" max="68" width="12" style="35" bestFit="1" customWidth="1"/>
    <col min="69" max="69" width="13.140625" style="35" bestFit="1" customWidth="1"/>
    <col min="70" max="72" width="12" style="35" bestFit="1" customWidth="1"/>
    <col min="73" max="74" width="7.5703125" style="35" bestFit="1" customWidth="1"/>
    <col min="75" max="75" width="12" style="35" bestFit="1" customWidth="1"/>
    <col min="76" max="76" width="13.140625" style="35" bestFit="1" customWidth="1"/>
    <col min="77" max="78" width="12" style="35" bestFit="1" customWidth="1"/>
    <col min="79" max="79" width="7.5703125" style="35" bestFit="1" customWidth="1"/>
    <col min="80" max="80" width="12" style="35" bestFit="1" customWidth="1"/>
    <col min="81" max="81" width="7.5703125" style="35" bestFit="1" customWidth="1"/>
    <col min="82" max="82" width="12" style="35" bestFit="1" customWidth="1"/>
    <col min="83" max="83" width="13.140625" style="35" bestFit="1" customWidth="1"/>
    <col min="84" max="89" width="7.5703125" style="35" bestFit="1" customWidth="1"/>
    <col min="90" max="90" width="13.140625" style="35" bestFit="1" customWidth="1"/>
    <col min="91" max="94" width="7.5703125" style="35" bestFit="1" customWidth="1"/>
    <col min="95" max="95" width="10.85546875" style="35" bestFit="1" customWidth="1"/>
    <col min="96" max="96" width="7.5703125" style="35" bestFit="1" customWidth="1"/>
    <col min="97" max="97" width="13.140625" style="35" bestFit="1" customWidth="1"/>
    <col min="98" max="98" width="10.85546875" style="35" bestFit="1" customWidth="1"/>
    <col min="99" max="100" width="12" style="35" bestFit="1" customWidth="1"/>
    <col min="101" max="102" width="7.5703125" style="35" bestFit="1" customWidth="1"/>
    <col min="103" max="103" width="12" style="35" bestFit="1" customWidth="1"/>
    <col min="104" max="104" width="13.140625" style="35" bestFit="1" customWidth="1"/>
    <col min="105" max="106" width="12" style="35" bestFit="1" customWidth="1"/>
    <col min="107" max="109" width="7.5703125" style="35" bestFit="1" customWidth="1"/>
    <col min="110" max="110" width="12" style="35" bestFit="1" customWidth="1"/>
    <col min="111" max="111" width="13.140625" style="35" bestFit="1" customWidth="1"/>
    <col min="112" max="112" width="7.5703125" style="35" bestFit="1" customWidth="1"/>
    <col min="113" max="113" width="12" style="35" bestFit="1" customWidth="1"/>
    <col min="114" max="116" width="7.5703125" style="35" bestFit="1" customWidth="1"/>
    <col min="117" max="117" width="12" style="35" bestFit="1" customWidth="1"/>
    <col min="118" max="118" width="13.140625" style="35" bestFit="1" customWidth="1"/>
    <col min="119" max="119" width="7.5703125" style="35" bestFit="1" customWidth="1"/>
    <col min="120" max="121" width="13.85546875" style="35" bestFit="1" customWidth="1"/>
    <col min="122" max="122" width="12" style="35" bestFit="1" customWidth="1"/>
    <col min="123" max="123" width="10.7109375" style="35" customWidth="1"/>
    <col min="124" max="125" width="13.85546875" style="35" bestFit="1" customWidth="1"/>
    <col min="126" max="16384" width="10.42578125" style="35"/>
  </cols>
  <sheetData>
    <row r="1" spans="1:125" ht="15.75">
      <c r="B1" s="34" t="s">
        <v>124</v>
      </c>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7"/>
      <c r="AM1" s="36"/>
      <c r="AN1" s="36"/>
      <c r="AO1" s="36"/>
      <c r="AP1" s="36"/>
      <c r="AQ1" s="36"/>
      <c r="AR1" s="36"/>
      <c r="AS1" s="36"/>
      <c r="AT1" s="36"/>
      <c r="AU1" s="36"/>
      <c r="AV1" s="36"/>
      <c r="AW1" s="36"/>
      <c r="AX1" s="36"/>
      <c r="AY1" s="36"/>
      <c r="AZ1" s="36"/>
      <c r="BA1" s="36"/>
      <c r="BB1" s="36"/>
      <c r="BC1" s="36">
        <f>BB7+BI7+BP7+BW7+CD7+CK7+CR7+CY7+DF7+DM7</f>
        <v>3600000</v>
      </c>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row>
    <row r="2" spans="1:125" ht="15.75" thickBot="1">
      <c r="D2" s="36">
        <f>SUBTOTAL(3,D9:D34)</f>
        <v>26</v>
      </c>
      <c r="E2" s="36"/>
      <c r="F2" s="36"/>
      <c r="G2" s="36"/>
      <c r="H2" s="38"/>
      <c r="I2" s="38"/>
      <c r="J2" s="38"/>
      <c r="K2" s="38"/>
      <c r="L2" s="38"/>
      <c r="M2" s="38"/>
      <c r="N2" s="309"/>
      <c r="O2" s="38"/>
      <c r="P2" s="38"/>
      <c r="Q2" s="38"/>
      <c r="R2" s="38"/>
      <c r="S2" s="38"/>
      <c r="T2" s="38"/>
      <c r="U2" s="38"/>
      <c r="V2" s="38"/>
      <c r="W2" s="38"/>
      <c r="X2" s="38"/>
      <c r="Y2" s="38"/>
      <c r="Z2" s="38"/>
      <c r="AA2" s="38"/>
      <c r="AB2" s="38"/>
      <c r="AC2" s="38"/>
      <c r="AD2" s="38"/>
      <c r="AE2" s="38"/>
      <c r="AF2" s="38"/>
      <c r="AG2" s="38"/>
      <c r="AH2" s="38"/>
      <c r="AI2" s="38"/>
      <c r="AJ2" s="38"/>
      <c r="AK2" s="38"/>
      <c r="AL2" s="39"/>
      <c r="AM2" s="38"/>
      <c r="AN2" s="38"/>
      <c r="AO2" s="38"/>
      <c r="AP2" s="38"/>
      <c r="AQ2" s="38">
        <f>AP7-AQ7</f>
        <v>228000</v>
      </c>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row>
    <row r="3" spans="1:125" ht="19.5" customHeight="1" thickBot="1">
      <c r="A3" s="594" t="s">
        <v>1</v>
      </c>
      <c r="B3" s="475" t="s">
        <v>2</v>
      </c>
      <c r="C3" s="475" t="s">
        <v>3</v>
      </c>
      <c r="D3" s="475" t="s">
        <v>4</v>
      </c>
      <c r="E3" s="516" t="s">
        <v>1176</v>
      </c>
      <c r="F3" s="516" t="s">
        <v>1170</v>
      </c>
      <c r="G3" s="510" t="s">
        <v>1178</v>
      </c>
      <c r="H3" s="475" t="s">
        <v>5</v>
      </c>
      <c r="I3" s="488" t="s">
        <v>6</v>
      </c>
      <c r="J3" s="489"/>
      <c r="K3" s="492" t="s">
        <v>9</v>
      </c>
      <c r="L3" s="493"/>
      <c r="M3" s="469" t="s">
        <v>1197</v>
      </c>
      <c r="N3" s="273"/>
      <c r="O3" s="485" t="s">
        <v>1196</v>
      </c>
      <c r="P3" s="478" t="s">
        <v>7</v>
      </c>
      <c r="Q3" s="479"/>
      <c r="R3" s="478" t="s">
        <v>8</v>
      </c>
      <c r="S3" s="479"/>
      <c r="T3" s="526" t="s">
        <v>9</v>
      </c>
      <c r="U3" s="527"/>
      <c r="V3" s="527"/>
      <c r="W3" s="527"/>
      <c r="X3" s="527"/>
      <c r="Y3" s="527"/>
      <c r="Z3" s="527"/>
      <c r="AA3" s="527"/>
      <c r="AB3" s="527"/>
      <c r="AC3" s="527"/>
      <c r="AD3" s="527"/>
      <c r="AE3" s="527"/>
      <c r="AF3" s="527"/>
      <c r="AG3" s="527"/>
      <c r="AH3" s="527"/>
      <c r="AI3" s="527"/>
      <c r="AJ3" s="527"/>
      <c r="AK3" s="531"/>
      <c r="AL3" s="530">
        <v>2025</v>
      </c>
      <c r="AM3" s="527"/>
      <c r="AN3" s="527"/>
      <c r="AO3" s="527"/>
      <c r="AP3" s="527"/>
      <c r="AQ3" s="527"/>
      <c r="AR3" s="527"/>
      <c r="AS3" s="527"/>
      <c r="AT3" s="527"/>
      <c r="AU3" s="527"/>
      <c r="AV3" s="527"/>
      <c r="AW3" s="527"/>
      <c r="AX3" s="527"/>
      <c r="AY3" s="527"/>
      <c r="AZ3" s="527"/>
      <c r="BA3" s="527"/>
      <c r="BB3" s="527"/>
      <c r="BC3" s="527"/>
      <c r="BD3" s="527"/>
      <c r="BE3" s="527"/>
      <c r="BF3" s="527"/>
      <c r="BG3" s="527"/>
      <c r="BH3" s="527"/>
      <c r="BI3" s="527"/>
      <c r="BJ3" s="527"/>
      <c r="BK3" s="527"/>
      <c r="BL3" s="527"/>
      <c r="BM3" s="527"/>
      <c r="BN3" s="527"/>
      <c r="BO3" s="527"/>
      <c r="BP3" s="527"/>
      <c r="BQ3" s="527"/>
      <c r="BR3" s="527"/>
      <c r="BS3" s="527"/>
      <c r="BT3" s="527"/>
      <c r="BU3" s="527"/>
      <c r="BV3" s="527"/>
      <c r="BW3" s="527"/>
      <c r="BX3" s="527"/>
      <c r="BY3" s="527"/>
      <c r="BZ3" s="527"/>
      <c r="CA3" s="527"/>
      <c r="CB3" s="527"/>
      <c r="CC3" s="527"/>
      <c r="CD3" s="527"/>
      <c r="CE3" s="527"/>
      <c r="CF3" s="527"/>
      <c r="CG3" s="527"/>
      <c r="CH3" s="527"/>
      <c r="CI3" s="527"/>
      <c r="CJ3" s="527"/>
      <c r="CK3" s="527"/>
      <c r="CL3" s="527"/>
      <c r="CM3" s="527"/>
      <c r="CN3" s="527"/>
      <c r="CO3" s="527"/>
      <c r="CP3" s="527"/>
      <c r="CQ3" s="527"/>
      <c r="CR3" s="527"/>
      <c r="CS3" s="527"/>
      <c r="CT3" s="527"/>
      <c r="CU3" s="527"/>
      <c r="CV3" s="527"/>
      <c r="CW3" s="527"/>
      <c r="CX3" s="527"/>
      <c r="CY3" s="527"/>
      <c r="CZ3" s="527"/>
      <c r="DA3" s="527"/>
      <c r="DB3" s="527"/>
      <c r="DC3" s="527"/>
      <c r="DD3" s="527"/>
      <c r="DE3" s="527"/>
      <c r="DF3" s="527"/>
      <c r="DG3" s="527"/>
      <c r="DH3" s="527"/>
      <c r="DI3" s="527"/>
      <c r="DJ3" s="527"/>
      <c r="DK3" s="527"/>
      <c r="DL3" s="527"/>
      <c r="DM3" s="527"/>
      <c r="DN3" s="527"/>
      <c r="DO3" s="527"/>
      <c r="DP3" s="527"/>
      <c r="DQ3" s="527"/>
      <c r="DR3" s="527"/>
      <c r="DS3" s="527"/>
      <c r="DT3" s="527"/>
      <c r="DU3" s="531"/>
    </row>
    <row r="4" spans="1:125" ht="80.25" customHeight="1" thickBot="1">
      <c r="A4" s="595"/>
      <c r="B4" s="476"/>
      <c r="C4" s="476"/>
      <c r="D4" s="476"/>
      <c r="E4" s="517"/>
      <c r="F4" s="517"/>
      <c r="G4" s="511"/>
      <c r="H4" s="476"/>
      <c r="I4" s="490"/>
      <c r="J4" s="491"/>
      <c r="K4" s="494"/>
      <c r="L4" s="495"/>
      <c r="M4" s="496"/>
      <c r="N4" s="271" t="s">
        <v>1234</v>
      </c>
      <c r="O4" s="486"/>
      <c r="P4" s="480"/>
      <c r="Q4" s="481"/>
      <c r="R4" s="480"/>
      <c r="S4" s="481"/>
      <c r="T4" s="500" t="s">
        <v>10</v>
      </c>
      <c r="U4" s="501"/>
      <c r="V4" s="501"/>
      <c r="W4" s="501"/>
      <c r="X4" s="501"/>
      <c r="Y4" s="502"/>
      <c r="Z4" s="500" t="s">
        <v>11</v>
      </c>
      <c r="AA4" s="501"/>
      <c r="AB4" s="501"/>
      <c r="AC4" s="501"/>
      <c r="AD4" s="501"/>
      <c r="AE4" s="502"/>
      <c r="AF4" s="503" t="s">
        <v>9</v>
      </c>
      <c r="AG4" s="504"/>
      <c r="AH4" s="504"/>
      <c r="AI4" s="504"/>
      <c r="AJ4" s="504"/>
      <c r="AK4" s="505"/>
      <c r="AL4" s="500" t="s">
        <v>12</v>
      </c>
      <c r="AM4" s="501"/>
      <c r="AN4" s="501"/>
      <c r="AO4" s="501"/>
      <c r="AP4" s="501"/>
      <c r="AQ4" s="502"/>
      <c r="AR4" s="500" t="s">
        <v>13</v>
      </c>
      <c r="AS4" s="501"/>
      <c r="AT4" s="501"/>
      <c r="AU4" s="501"/>
      <c r="AV4" s="501"/>
      <c r="AW4" s="502"/>
      <c r="AX4" s="500" t="s">
        <v>14</v>
      </c>
      <c r="AY4" s="501"/>
      <c r="AZ4" s="501"/>
      <c r="BA4" s="501"/>
      <c r="BB4" s="501"/>
      <c r="BC4" s="509"/>
      <c r="BD4" s="502"/>
      <c r="BE4" s="500" t="s">
        <v>15</v>
      </c>
      <c r="BF4" s="501"/>
      <c r="BG4" s="501"/>
      <c r="BH4" s="501"/>
      <c r="BI4" s="501"/>
      <c r="BJ4" s="509"/>
      <c r="BK4" s="502"/>
      <c r="BL4" s="500" t="s">
        <v>16</v>
      </c>
      <c r="BM4" s="501"/>
      <c r="BN4" s="501"/>
      <c r="BO4" s="501"/>
      <c r="BP4" s="501"/>
      <c r="BQ4" s="509"/>
      <c r="BR4" s="502"/>
      <c r="BS4" s="500" t="s">
        <v>17</v>
      </c>
      <c r="BT4" s="501"/>
      <c r="BU4" s="501"/>
      <c r="BV4" s="501"/>
      <c r="BW4" s="501"/>
      <c r="BX4" s="509"/>
      <c r="BY4" s="502"/>
      <c r="BZ4" s="500" t="s">
        <v>18</v>
      </c>
      <c r="CA4" s="501"/>
      <c r="CB4" s="501"/>
      <c r="CC4" s="501"/>
      <c r="CD4" s="501"/>
      <c r="CE4" s="509"/>
      <c r="CF4" s="502"/>
      <c r="CG4" s="500" t="s">
        <v>19</v>
      </c>
      <c r="CH4" s="501"/>
      <c r="CI4" s="501"/>
      <c r="CJ4" s="501"/>
      <c r="CK4" s="501"/>
      <c r="CL4" s="509"/>
      <c r="CM4" s="502"/>
      <c r="CN4" s="500" t="s">
        <v>20</v>
      </c>
      <c r="CO4" s="501"/>
      <c r="CP4" s="501"/>
      <c r="CQ4" s="501"/>
      <c r="CR4" s="501"/>
      <c r="CS4" s="509"/>
      <c r="CT4" s="502"/>
      <c r="CU4" s="535" t="s">
        <v>21</v>
      </c>
      <c r="CV4" s="536"/>
      <c r="CW4" s="536"/>
      <c r="CX4" s="536"/>
      <c r="CY4" s="536"/>
      <c r="CZ4" s="597"/>
      <c r="DA4" s="537"/>
      <c r="DB4" s="500" t="s">
        <v>22</v>
      </c>
      <c r="DC4" s="501"/>
      <c r="DD4" s="501"/>
      <c r="DE4" s="501"/>
      <c r="DF4" s="501"/>
      <c r="DG4" s="509"/>
      <c r="DH4" s="502"/>
      <c r="DI4" s="500" t="s">
        <v>23</v>
      </c>
      <c r="DJ4" s="501"/>
      <c r="DK4" s="501"/>
      <c r="DL4" s="501"/>
      <c r="DM4" s="501"/>
      <c r="DN4" s="509"/>
      <c r="DO4" s="502"/>
      <c r="DP4" s="506" t="s">
        <v>24</v>
      </c>
      <c r="DQ4" s="507"/>
      <c r="DR4" s="507"/>
      <c r="DS4" s="507"/>
      <c r="DT4" s="507"/>
      <c r="DU4" s="508"/>
    </row>
    <row r="5" spans="1:125" ht="15" customHeight="1">
      <c r="A5" s="595"/>
      <c r="B5" s="476"/>
      <c r="C5" s="476"/>
      <c r="D5" s="476"/>
      <c r="E5" s="517"/>
      <c r="F5" s="517"/>
      <c r="G5" s="511"/>
      <c r="H5" s="476"/>
      <c r="I5" s="469" t="s">
        <v>1169</v>
      </c>
      <c r="J5" s="469" t="s">
        <v>1171</v>
      </c>
      <c r="K5" s="498" t="s">
        <v>1172</v>
      </c>
      <c r="L5" s="469" t="s">
        <v>1177</v>
      </c>
      <c r="M5" s="496"/>
      <c r="N5" s="274"/>
      <c r="O5" s="486"/>
      <c r="P5" s="471" t="s">
        <v>1169</v>
      </c>
      <c r="Q5" s="473" t="s">
        <v>1168</v>
      </c>
      <c r="R5" s="471" t="s">
        <v>1169</v>
      </c>
      <c r="S5" s="473" t="s">
        <v>1168</v>
      </c>
      <c r="T5" s="464" t="s">
        <v>1167</v>
      </c>
      <c r="U5" s="460"/>
      <c r="V5" s="460" t="s">
        <v>1166</v>
      </c>
      <c r="W5" s="461"/>
      <c r="X5" s="462" t="s">
        <v>25</v>
      </c>
      <c r="Y5" s="463"/>
      <c r="Z5" s="464" t="s">
        <v>1167</v>
      </c>
      <c r="AA5" s="460"/>
      <c r="AB5" s="460" t="s">
        <v>1166</v>
      </c>
      <c r="AC5" s="461"/>
      <c r="AD5" s="462" t="s">
        <v>25</v>
      </c>
      <c r="AE5" s="463"/>
      <c r="AF5" s="464" t="s">
        <v>1167</v>
      </c>
      <c r="AG5" s="460"/>
      <c r="AH5" s="460" t="s">
        <v>1166</v>
      </c>
      <c r="AI5" s="461"/>
      <c r="AJ5" s="462" t="s">
        <v>25</v>
      </c>
      <c r="AK5" s="463"/>
      <c r="AL5" s="464" t="s">
        <v>1167</v>
      </c>
      <c r="AM5" s="460"/>
      <c r="AN5" s="460" t="s">
        <v>1166</v>
      </c>
      <c r="AO5" s="461"/>
      <c r="AP5" s="462" t="s">
        <v>25</v>
      </c>
      <c r="AQ5" s="463"/>
      <c r="AR5" s="464" t="s">
        <v>1167</v>
      </c>
      <c r="AS5" s="460"/>
      <c r="AT5" s="460" t="s">
        <v>1166</v>
      </c>
      <c r="AU5" s="461"/>
      <c r="AV5" s="462" t="s">
        <v>25</v>
      </c>
      <c r="AW5" s="463"/>
      <c r="AX5" s="464" t="s">
        <v>1167</v>
      </c>
      <c r="AY5" s="460"/>
      <c r="AZ5" s="460" t="s">
        <v>1166</v>
      </c>
      <c r="BA5" s="461"/>
      <c r="BB5" s="462" t="s">
        <v>25</v>
      </c>
      <c r="BC5" s="465"/>
      <c r="BD5" s="463"/>
      <c r="BE5" s="464" t="s">
        <v>1167</v>
      </c>
      <c r="BF5" s="460"/>
      <c r="BG5" s="460" t="s">
        <v>1166</v>
      </c>
      <c r="BH5" s="461"/>
      <c r="BI5" s="462" t="s">
        <v>25</v>
      </c>
      <c r="BJ5" s="465"/>
      <c r="BK5" s="463"/>
      <c r="BL5" s="464" t="s">
        <v>1167</v>
      </c>
      <c r="BM5" s="460"/>
      <c r="BN5" s="460" t="s">
        <v>1166</v>
      </c>
      <c r="BO5" s="461"/>
      <c r="BP5" s="462" t="s">
        <v>25</v>
      </c>
      <c r="BQ5" s="465"/>
      <c r="BR5" s="463"/>
      <c r="BS5" s="464" t="s">
        <v>1167</v>
      </c>
      <c r="BT5" s="460"/>
      <c r="BU5" s="460" t="s">
        <v>1166</v>
      </c>
      <c r="BV5" s="461"/>
      <c r="BW5" s="462" t="s">
        <v>25</v>
      </c>
      <c r="BX5" s="465"/>
      <c r="BY5" s="463"/>
      <c r="BZ5" s="464" t="s">
        <v>1167</v>
      </c>
      <c r="CA5" s="460"/>
      <c r="CB5" s="460" t="s">
        <v>1166</v>
      </c>
      <c r="CC5" s="461"/>
      <c r="CD5" s="462" t="s">
        <v>25</v>
      </c>
      <c r="CE5" s="465"/>
      <c r="CF5" s="463"/>
      <c r="CG5" s="464" t="s">
        <v>1167</v>
      </c>
      <c r="CH5" s="460"/>
      <c r="CI5" s="460" t="s">
        <v>1166</v>
      </c>
      <c r="CJ5" s="461"/>
      <c r="CK5" s="462" t="s">
        <v>25</v>
      </c>
      <c r="CL5" s="465"/>
      <c r="CM5" s="463"/>
      <c r="CN5" s="464" t="s">
        <v>1167</v>
      </c>
      <c r="CO5" s="460"/>
      <c r="CP5" s="460" t="s">
        <v>1166</v>
      </c>
      <c r="CQ5" s="461"/>
      <c r="CR5" s="462" t="s">
        <v>25</v>
      </c>
      <c r="CS5" s="465"/>
      <c r="CT5" s="463"/>
      <c r="CU5" s="464" t="s">
        <v>1167</v>
      </c>
      <c r="CV5" s="460"/>
      <c r="CW5" s="460" t="s">
        <v>1166</v>
      </c>
      <c r="CX5" s="461"/>
      <c r="CY5" s="462" t="s">
        <v>25</v>
      </c>
      <c r="CZ5" s="465"/>
      <c r="DA5" s="463"/>
      <c r="DB5" s="464" t="s">
        <v>1167</v>
      </c>
      <c r="DC5" s="460"/>
      <c r="DD5" s="460" t="s">
        <v>1166</v>
      </c>
      <c r="DE5" s="461"/>
      <c r="DF5" s="462" t="s">
        <v>25</v>
      </c>
      <c r="DG5" s="465"/>
      <c r="DH5" s="463"/>
      <c r="DI5" s="464" t="s">
        <v>1167</v>
      </c>
      <c r="DJ5" s="460"/>
      <c r="DK5" s="460" t="s">
        <v>1166</v>
      </c>
      <c r="DL5" s="461"/>
      <c r="DM5" s="462" t="s">
        <v>25</v>
      </c>
      <c r="DN5" s="465"/>
      <c r="DO5" s="463"/>
      <c r="DP5" s="464" t="s">
        <v>1167</v>
      </c>
      <c r="DQ5" s="460"/>
      <c r="DR5" s="460" t="s">
        <v>1166</v>
      </c>
      <c r="DS5" s="461"/>
      <c r="DT5" s="462" t="s">
        <v>25</v>
      </c>
      <c r="DU5" s="463"/>
    </row>
    <row r="6" spans="1:125" ht="15.75" thickBot="1">
      <c r="A6" s="596"/>
      <c r="B6" s="477"/>
      <c r="C6" s="477"/>
      <c r="D6" s="477"/>
      <c r="E6" s="518"/>
      <c r="F6" s="518"/>
      <c r="G6" s="512"/>
      <c r="H6" s="477"/>
      <c r="I6" s="470"/>
      <c r="J6" s="497"/>
      <c r="K6" s="497"/>
      <c r="L6" s="497"/>
      <c r="M6" s="470"/>
      <c r="N6" s="275"/>
      <c r="O6" s="487"/>
      <c r="P6" s="472"/>
      <c r="Q6" s="474"/>
      <c r="R6" s="472"/>
      <c r="S6" s="474"/>
      <c r="T6" s="2" t="s">
        <v>26</v>
      </c>
      <c r="U6" s="3" t="s">
        <v>27</v>
      </c>
      <c r="V6" s="3" t="s">
        <v>26</v>
      </c>
      <c r="W6" s="4" t="s">
        <v>27</v>
      </c>
      <c r="X6" s="5" t="s">
        <v>26</v>
      </c>
      <c r="Y6" s="6" t="s">
        <v>27</v>
      </c>
      <c r="Z6" s="2" t="s">
        <v>26</v>
      </c>
      <c r="AA6" s="3" t="s">
        <v>27</v>
      </c>
      <c r="AB6" s="3" t="s">
        <v>26</v>
      </c>
      <c r="AC6" s="4" t="s">
        <v>27</v>
      </c>
      <c r="AD6" s="5" t="s">
        <v>26</v>
      </c>
      <c r="AE6" s="6" t="s">
        <v>27</v>
      </c>
      <c r="AF6" s="2" t="s">
        <v>26</v>
      </c>
      <c r="AG6" s="3" t="s">
        <v>27</v>
      </c>
      <c r="AH6" s="3" t="s">
        <v>26</v>
      </c>
      <c r="AI6" s="4" t="s">
        <v>27</v>
      </c>
      <c r="AJ6" s="5" t="s">
        <v>26</v>
      </c>
      <c r="AK6" s="6" t="s">
        <v>27</v>
      </c>
      <c r="AL6" s="2" t="s">
        <v>26</v>
      </c>
      <c r="AM6" s="3" t="s">
        <v>27</v>
      </c>
      <c r="AN6" s="3" t="s">
        <v>26</v>
      </c>
      <c r="AO6" s="4" t="s">
        <v>27</v>
      </c>
      <c r="AP6" s="5" t="s">
        <v>26</v>
      </c>
      <c r="AQ6" s="6" t="s">
        <v>27</v>
      </c>
      <c r="AR6" s="2" t="s">
        <v>26</v>
      </c>
      <c r="AS6" s="3" t="s">
        <v>27</v>
      </c>
      <c r="AT6" s="3" t="s">
        <v>26</v>
      </c>
      <c r="AU6" s="4" t="s">
        <v>27</v>
      </c>
      <c r="AV6" s="5" t="s">
        <v>26</v>
      </c>
      <c r="AW6" s="6" t="s">
        <v>27</v>
      </c>
      <c r="AX6" s="2" t="s">
        <v>26</v>
      </c>
      <c r="AY6" s="3" t="s">
        <v>27</v>
      </c>
      <c r="AZ6" s="3" t="s">
        <v>26</v>
      </c>
      <c r="BA6" s="4" t="s">
        <v>27</v>
      </c>
      <c r="BB6" s="5" t="s">
        <v>26</v>
      </c>
      <c r="BC6" s="367" t="s">
        <v>1254</v>
      </c>
      <c r="BD6" s="6" t="s">
        <v>27</v>
      </c>
      <c r="BE6" s="2" t="s">
        <v>26</v>
      </c>
      <c r="BF6" s="3" t="s">
        <v>27</v>
      </c>
      <c r="BG6" s="3" t="s">
        <v>26</v>
      </c>
      <c r="BH6" s="4" t="s">
        <v>27</v>
      </c>
      <c r="BI6" s="5" t="s">
        <v>26</v>
      </c>
      <c r="BJ6" s="367" t="s">
        <v>1254</v>
      </c>
      <c r="BK6" s="6" t="s">
        <v>27</v>
      </c>
      <c r="BL6" s="2" t="s">
        <v>26</v>
      </c>
      <c r="BM6" s="3" t="s">
        <v>27</v>
      </c>
      <c r="BN6" s="3" t="s">
        <v>26</v>
      </c>
      <c r="BO6" s="4" t="s">
        <v>27</v>
      </c>
      <c r="BP6" s="5" t="s">
        <v>26</v>
      </c>
      <c r="BQ6" s="367" t="s">
        <v>1254</v>
      </c>
      <c r="BR6" s="6" t="s">
        <v>27</v>
      </c>
      <c r="BS6" s="2" t="s">
        <v>26</v>
      </c>
      <c r="BT6" s="3" t="s">
        <v>27</v>
      </c>
      <c r="BU6" s="3" t="s">
        <v>26</v>
      </c>
      <c r="BV6" s="4" t="s">
        <v>27</v>
      </c>
      <c r="BW6" s="5" t="s">
        <v>26</v>
      </c>
      <c r="BX6" s="367" t="s">
        <v>1254</v>
      </c>
      <c r="BY6" s="6" t="s">
        <v>27</v>
      </c>
      <c r="BZ6" s="2" t="s">
        <v>26</v>
      </c>
      <c r="CA6" s="3" t="s">
        <v>27</v>
      </c>
      <c r="CB6" s="3" t="s">
        <v>26</v>
      </c>
      <c r="CC6" s="4" t="s">
        <v>27</v>
      </c>
      <c r="CD6" s="5" t="s">
        <v>26</v>
      </c>
      <c r="CE6" s="367" t="s">
        <v>1254</v>
      </c>
      <c r="CF6" s="6" t="s">
        <v>27</v>
      </c>
      <c r="CG6" s="2" t="s">
        <v>26</v>
      </c>
      <c r="CH6" s="3" t="s">
        <v>27</v>
      </c>
      <c r="CI6" s="3" t="s">
        <v>26</v>
      </c>
      <c r="CJ6" s="4" t="s">
        <v>27</v>
      </c>
      <c r="CK6" s="5" t="s">
        <v>26</v>
      </c>
      <c r="CL6" s="367" t="s">
        <v>1254</v>
      </c>
      <c r="CM6" s="6" t="s">
        <v>27</v>
      </c>
      <c r="CN6" s="2" t="s">
        <v>26</v>
      </c>
      <c r="CO6" s="3" t="s">
        <v>27</v>
      </c>
      <c r="CP6" s="3" t="s">
        <v>26</v>
      </c>
      <c r="CQ6" s="4" t="s">
        <v>27</v>
      </c>
      <c r="CR6" s="5" t="s">
        <v>26</v>
      </c>
      <c r="CS6" s="367" t="s">
        <v>1254</v>
      </c>
      <c r="CT6" s="6" t="s">
        <v>27</v>
      </c>
      <c r="CU6" s="2" t="s">
        <v>26</v>
      </c>
      <c r="CV6" s="3" t="s">
        <v>27</v>
      </c>
      <c r="CW6" s="3" t="s">
        <v>26</v>
      </c>
      <c r="CX6" s="4" t="s">
        <v>27</v>
      </c>
      <c r="CY6" s="5" t="s">
        <v>26</v>
      </c>
      <c r="CZ6" s="367" t="s">
        <v>1254</v>
      </c>
      <c r="DA6" s="6" t="s">
        <v>27</v>
      </c>
      <c r="DB6" s="2" t="s">
        <v>26</v>
      </c>
      <c r="DC6" s="3" t="s">
        <v>27</v>
      </c>
      <c r="DD6" s="3" t="s">
        <v>26</v>
      </c>
      <c r="DE6" s="4" t="s">
        <v>27</v>
      </c>
      <c r="DF6" s="5" t="s">
        <v>26</v>
      </c>
      <c r="DG6" s="367" t="s">
        <v>1254</v>
      </c>
      <c r="DH6" s="6" t="s">
        <v>27</v>
      </c>
      <c r="DI6" s="2" t="s">
        <v>26</v>
      </c>
      <c r="DJ6" s="3" t="s">
        <v>27</v>
      </c>
      <c r="DK6" s="3" t="s">
        <v>26</v>
      </c>
      <c r="DL6" s="4" t="s">
        <v>27</v>
      </c>
      <c r="DM6" s="5" t="s">
        <v>26</v>
      </c>
      <c r="DN6" s="367" t="s">
        <v>1254</v>
      </c>
      <c r="DO6" s="6" t="s">
        <v>27</v>
      </c>
      <c r="DP6" s="2" t="s">
        <v>26</v>
      </c>
      <c r="DQ6" s="3" t="s">
        <v>27</v>
      </c>
      <c r="DR6" s="3" t="s">
        <v>26</v>
      </c>
      <c r="DS6" s="4" t="s">
        <v>27</v>
      </c>
      <c r="DT6" s="5" t="s">
        <v>26</v>
      </c>
      <c r="DU6" s="6" t="s">
        <v>27</v>
      </c>
    </row>
    <row r="7" spans="1:125" ht="15.75">
      <c r="A7" s="40">
        <f>SUBTOTAL(3,A9:A38)</f>
        <v>30</v>
      </c>
      <c r="B7" s="40">
        <f t="shared" ref="B7:E7" si="0">SUBTOTAL(3,B9:B38)</f>
        <v>30</v>
      </c>
      <c r="C7" s="40">
        <f t="shared" si="0"/>
        <v>20</v>
      </c>
      <c r="D7" s="40">
        <f t="shared" si="0"/>
        <v>30</v>
      </c>
      <c r="E7" s="40">
        <f t="shared" si="0"/>
        <v>30</v>
      </c>
      <c r="F7" s="40">
        <f>SUBTOTAL(9,F9:F38)</f>
        <v>5515000</v>
      </c>
      <c r="G7" s="40">
        <f t="shared" ref="G7:BV7" si="1">SUBTOTAL(9,G9:G38)</f>
        <v>9539008.9399999995</v>
      </c>
      <c r="H7" s="40">
        <f t="shared" si="1"/>
        <v>5420000</v>
      </c>
      <c r="I7" s="40">
        <f t="shared" si="1"/>
        <v>1113000</v>
      </c>
      <c r="J7" s="40">
        <f t="shared" si="1"/>
        <v>0</v>
      </c>
      <c r="K7" s="40">
        <f t="shared" si="1"/>
        <v>2911008.94</v>
      </c>
      <c r="L7" s="40">
        <f t="shared" si="1"/>
        <v>2756889.9066676609</v>
      </c>
      <c r="M7" s="40">
        <f t="shared" si="1"/>
        <v>4024008.94</v>
      </c>
      <c r="N7" s="40">
        <f t="shared" si="1"/>
        <v>5515000</v>
      </c>
      <c r="O7" s="40">
        <f t="shared" si="1"/>
        <v>2202024.94</v>
      </c>
      <c r="P7" s="40">
        <f t="shared" si="1"/>
        <v>2742000</v>
      </c>
      <c r="Q7" s="40">
        <f t="shared" si="1"/>
        <v>116467.94</v>
      </c>
      <c r="R7" s="40">
        <f t="shared" si="1"/>
        <v>3855000</v>
      </c>
      <c r="S7" s="40">
        <f t="shared" si="1"/>
        <v>116467.94</v>
      </c>
      <c r="T7" s="40">
        <f t="shared" si="1"/>
        <v>0</v>
      </c>
      <c r="U7" s="40">
        <f t="shared" si="1"/>
        <v>0</v>
      </c>
      <c r="V7" s="40">
        <f t="shared" si="1"/>
        <v>58851.5</v>
      </c>
      <c r="W7" s="40">
        <f t="shared" si="1"/>
        <v>52541</v>
      </c>
      <c r="X7" s="40">
        <f t="shared" si="1"/>
        <v>58851.5</v>
      </c>
      <c r="Y7" s="40">
        <f t="shared" si="1"/>
        <v>52541</v>
      </c>
      <c r="Z7" s="40">
        <f t="shared" si="1"/>
        <v>0</v>
      </c>
      <c r="AA7" s="40">
        <f t="shared" si="1"/>
        <v>0</v>
      </c>
      <c r="AB7" s="40">
        <f t="shared" si="1"/>
        <v>11725</v>
      </c>
      <c r="AC7" s="40">
        <f t="shared" si="1"/>
        <v>0</v>
      </c>
      <c r="AD7" s="40">
        <f t="shared" si="1"/>
        <v>11725</v>
      </c>
      <c r="AE7" s="40">
        <f t="shared" si="1"/>
        <v>0</v>
      </c>
      <c r="AF7" s="40">
        <f t="shared" si="1"/>
        <v>2742000</v>
      </c>
      <c r="AG7" s="40">
        <f t="shared" si="1"/>
        <v>2742000</v>
      </c>
      <c r="AH7" s="40">
        <f t="shared" si="1"/>
        <v>187044.44</v>
      </c>
      <c r="AI7" s="40">
        <f t="shared" si="1"/>
        <v>169008.94</v>
      </c>
      <c r="AJ7" s="40">
        <f t="shared" si="1"/>
        <v>2929044.44</v>
      </c>
      <c r="AK7" s="40">
        <f t="shared" si="1"/>
        <v>2911008.94</v>
      </c>
      <c r="AL7" s="40">
        <f t="shared" si="1"/>
        <v>400000</v>
      </c>
      <c r="AM7" s="40">
        <f t="shared" si="1"/>
        <v>400000</v>
      </c>
      <c r="AN7" s="40">
        <f t="shared" si="1"/>
        <v>865000</v>
      </c>
      <c r="AO7" s="40">
        <f t="shared" si="1"/>
        <v>637000</v>
      </c>
      <c r="AP7" s="40">
        <f t="shared" si="1"/>
        <v>1265000</v>
      </c>
      <c r="AQ7" s="40">
        <f t="shared" si="1"/>
        <v>1037000</v>
      </c>
      <c r="AR7" s="40">
        <f t="shared" si="1"/>
        <v>650000</v>
      </c>
      <c r="AS7" s="40">
        <f t="shared" si="1"/>
        <v>1090000</v>
      </c>
      <c r="AT7" s="40">
        <f t="shared" si="1"/>
        <v>0</v>
      </c>
      <c r="AU7" s="40">
        <f t="shared" si="1"/>
        <v>0</v>
      </c>
      <c r="AV7" s="40">
        <f t="shared" si="1"/>
        <v>650000</v>
      </c>
      <c r="AW7" s="40">
        <f t="shared" si="1"/>
        <v>1090000</v>
      </c>
      <c r="AX7" s="40">
        <f t="shared" si="1"/>
        <v>450000</v>
      </c>
      <c r="AY7" s="40">
        <f t="shared" si="1"/>
        <v>650000</v>
      </c>
      <c r="AZ7" s="40">
        <f t="shared" si="1"/>
        <v>200000</v>
      </c>
      <c r="BA7" s="40">
        <f t="shared" si="1"/>
        <v>0</v>
      </c>
      <c r="BB7" s="40">
        <f t="shared" si="1"/>
        <v>650000</v>
      </c>
      <c r="BC7" s="40">
        <f t="shared" si="1"/>
        <v>653688</v>
      </c>
      <c r="BD7" s="40">
        <f t="shared" si="1"/>
        <v>650000</v>
      </c>
      <c r="BE7" s="40">
        <f t="shared" si="1"/>
        <v>650000</v>
      </c>
      <c r="BF7" s="40">
        <f t="shared" si="1"/>
        <v>650000</v>
      </c>
      <c r="BG7" s="40">
        <f t="shared" si="1"/>
        <v>200000</v>
      </c>
      <c r="BH7" s="40">
        <f t="shared" si="1"/>
        <v>81525</v>
      </c>
      <c r="BI7" s="40">
        <f t="shared" si="1"/>
        <v>850000</v>
      </c>
      <c r="BJ7" s="40">
        <f t="shared" si="1"/>
        <v>822638</v>
      </c>
      <c r="BK7" s="40">
        <f t="shared" si="1"/>
        <v>731525</v>
      </c>
      <c r="BL7" s="40">
        <f t="shared" si="1"/>
        <v>600000</v>
      </c>
      <c r="BM7" s="40">
        <f t="shared" si="1"/>
        <v>400000</v>
      </c>
      <c r="BN7" s="40">
        <f t="shared" si="1"/>
        <v>70000</v>
      </c>
      <c r="BO7" s="40">
        <f t="shared" si="1"/>
        <v>11102</v>
      </c>
      <c r="BP7" s="40">
        <f t="shared" si="1"/>
        <v>670000</v>
      </c>
      <c r="BQ7" s="40">
        <f t="shared" si="1"/>
        <v>566192</v>
      </c>
      <c r="BR7" s="40">
        <f t="shared" si="1"/>
        <v>411102</v>
      </c>
      <c r="BS7" s="40">
        <f t="shared" si="1"/>
        <v>500000</v>
      </c>
      <c r="BT7" s="40">
        <f t="shared" si="1"/>
        <v>300000</v>
      </c>
      <c r="BU7" s="40">
        <f t="shared" si="1"/>
        <v>0</v>
      </c>
      <c r="BV7" s="40">
        <f t="shared" si="1"/>
        <v>0</v>
      </c>
      <c r="BW7" s="40">
        <f t="shared" ref="BW7:DU7" si="2">SUBTOTAL(9,BW9:BW38)</f>
        <v>500000</v>
      </c>
      <c r="BX7" s="40">
        <f t="shared" si="2"/>
        <v>300000</v>
      </c>
      <c r="BY7" s="40">
        <f t="shared" si="2"/>
        <v>300000</v>
      </c>
      <c r="BZ7" s="40">
        <f t="shared" si="2"/>
        <v>200000</v>
      </c>
      <c r="CA7" s="40">
        <f t="shared" si="2"/>
        <v>0</v>
      </c>
      <c r="CB7" s="40">
        <f t="shared" si="2"/>
        <v>180000</v>
      </c>
      <c r="CC7" s="40">
        <f t="shared" si="2"/>
        <v>0</v>
      </c>
      <c r="CD7" s="40">
        <f t="shared" si="2"/>
        <v>380000</v>
      </c>
      <c r="CE7" s="40">
        <f t="shared" si="2"/>
        <v>124544</v>
      </c>
      <c r="CF7" s="40">
        <f t="shared" si="2"/>
        <v>0</v>
      </c>
      <c r="CG7" s="40">
        <f t="shared" si="2"/>
        <v>0</v>
      </c>
      <c r="CH7" s="40">
        <f t="shared" si="2"/>
        <v>0</v>
      </c>
      <c r="CI7" s="40">
        <f t="shared" si="2"/>
        <v>0</v>
      </c>
      <c r="CJ7" s="40">
        <f t="shared" si="2"/>
        <v>0</v>
      </c>
      <c r="CK7" s="40">
        <f t="shared" si="2"/>
        <v>0</v>
      </c>
      <c r="CL7" s="40">
        <f t="shared" si="2"/>
        <v>0</v>
      </c>
      <c r="CM7" s="40">
        <f t="shared" si="2"/>
        <v>0</v>
      </c>
      <c r="CN7" s="40">
        <f t="shared" si="2"/>
        <v>0</v>
      </c>
      <c r="CO7" s="40">
        <f t="shared" si="2"/>
        <v>0</v>
      </c>
      <c r="CP7" s="40">
        <f t="shared" si="2"/>
        <v>0</v>
      </c>
      <c r="CQ7" s="40">
        <f t="shared" si="2"/>
        <v>48389</v>
      </c>
      <c r="CR7" s="40">
        <f t="shared" si="2"/>
        <v>0</v>
      </c>
      <c r="CS7" s="40">
        <f t="shared" si="2"/>
        <v>0</v>
      </c>
      <c r="CT7" s="40">
        <f t="shared" si="2"/>
        <v>48389</v>
      </c>
      <c r="CU7" s="40">
        <f t="shared" si="2"/>
        <v>150000</v>
      </c>
      <c r="CV7" s="40">
        <f t="shared" si="2"/>
        <v>150000</v>
      </c>
      <c r="CW7" s="40">
        <f t="shared" si="2"/>
        <v>0</v>
      </c>
      <c r="CX7" s="40">
        <f t="shared" si="2"/>
        <v>0</v>
      </c>
      <c r="CY7" s="40">
        <f t="shared" si="2"/>
        <v>150000</v>
      </c>
      <c r="CZ7" s="40">
        <f t="shared" si="2"/>
        <v>150000</v>
      </c>
      <c r="DA7" s="40">
        <f t="shared" si="2"/>
        <v>150000</v>
      </c>
      <c r="DB7" s="40">
        <f t="shared" si="2"/>
        <v>200000</v>
      </c>
      <c r="DC7" s="40">
        <f t="shared" si="2"/>
        <v>0</v>
      </c>
      <c r="DD7" s="40">
        <f t="shared" si="2"/>
        <v>0</v>
      </c>
      <c r="DE7" s="40">
        <f t="shared" si="2"/>
        <v>0</v>
      </c>
      <c r="DF7" s="40">
        <f t="shared" si="2"/>
        <v>200000</v>
      </c>
      <c r="DG7" s="40">
        <f t="shared" si="2"/>
        <v>180765</v>
      </c>
      <c r="DH7" s="40">
        <f t="shared" si="2"/>
        <v>0</v>
      </c>
      <c r="DI7" s="40">
        <f t="shared" si="2"/>
        <v>200000</v>
      </c>
      <c r="DJ7" s="40">
        <f t="shared" si="2"/>
        <v>0</v>
      </c>
      <c r="DK7" s="40">
        <f t="shared" si="2"/>
        <v>0</v>
      </c>
      <c r="DL7" s="40">
        <f t="shared" si="2"/>
        <v>0</v>
      </c>
      <c r="DM7" s="40">
        <f t="shared" si="2"/>
        <v>200000</v>
      </c>
      <c r="DN7" s="40">
        <f t="shared" si="2"/>
        <v>0</v>
      </c>
      <c r="DO7" s="40">
        <f t="shared" si="2"/>
        <v>0</v>
      </c>
      <c r="DP7" s="40">
        <f t="shared" si="2"/>
        <v>4000000</v>
      </c>
      <c r="DQ7" s="40">
        <f t="shared" si="2"/>
        <v>3640000</v>
      </c>
      <c r="DR7" s="40">
        <f t="shared" si="2"/>
        <v>1515000</v>
      </c>
      <c r="DS7" s="40">
        <f t="shared" si="2"/>
        <v>778016</v>
      </c>
      <c r="DT7" s="40">
        <f t="shared" si="2"/>
        <v>5515000</v>
      </c>
      <c r="DU7" s="40">
        <f t="shared" si="2"/>
        <v>4418016</v>
      </c>
    </row>
    <row r="8" spans="1:125" ht="23.25" customHeight="1">
      <c r="H8" s="178"/>
      <c r="I8" s="178"/>
      <c r="J8" s="178"/>
      <c r="K8" s="178"/>
      <c r="L8" s="178"/>
      <c r="M8" s="178"/>
      <c r="N8" s="178"/>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c r="BU8" s="178"/>
      <c r="BV8" s="178"/>
      <c r="BW8" s="178"/>
      <c r="BX8" s="178"/>
      <c r="BY8" s="178"/>
      <c r="BZ8" s="178"/>
      <c r="CA8" s="178"/>
      <c r="CB8" s="178"/>
      <c r="CC8" s="178"/>
      <c r="CD8" s="178"/>
      <c r="CE8" s="178"/>
      <c r="CF8" s="178"/>
      <c r="CG8" s="178"/>
      <c r="CH8" s="178"/>
      <c r="CI8" s="178"/>
      <c r="CJ8" s="178"/>
      <c r="CK8" s="178"/>
      <c r="CL8" s="178"/>
      <c r="CM8" s="178"/>
      <c r="CN8" s="178"/>
      <c r="CO8" s="178"/>
      <c r="CP8" s="178"/>
      <c r="CQ8" s="178"/>
      <c r="CR8" s="178"/>
      <c r="CS8" s="178"/>
      <c r="CT8" s="178"/>
      <c r="CU8" s="178"/>
      <c r="CV8" s="178"/>
      <c r="CW8" s="178"/>
      <c r="CX8" s="178"/>
      <c r="CY8" s="178"/>
      <c r="CZ8" s="178"/>
      <c r="DA8" s="178"/>
      <c r="DB8" s="178"/>
      <c r="DC8" s="178"/>
      <c r="DD8" s="178"/>
      <c r="DE8" s="178"/>
      <c r="DF8" s="178"/>
      <c r="DG8" s="178"/>
      <c r="DH8" s="178"/>
      <c r="DI8" s="178"/>
      <c r="DJ8" s="178"/>
      <c r="DK8" s="178"/>
      <c r="DL8" s="178"/>
      <c r="DM8" s="178"/>
      <c r="DN8" s="178"/>
      <c r="DO8" s="178"/>
      <c r="DP8" s="178"/>
      <c r="DQ8" s="178"/>
      <c r="DR8" s="178"/>
      <c r="DS8" s="178"/>
      <c r="DT8" s="178"/>
      <c r="DU8" s="178"/>
    </row>
    <row r="9" spans="1:125" ht="28.5">
      <c r="A9" s="42">
        <v>1</v>
      </c>
      <c r="B9" s="7" t="s">
        <v>125</v>
      </c>
      <c r="C9" s="7" t="s">
        <v>126</v>
      </c>
      <c r="D9" s="177" t="s">
        <v>1188</v>
      </c>
      <c r="E9" s="180" t="s">
        <v>1165</v>
      </c>
      <c r="F9" s="161">
        <f>SUM(DT9)</f>
        <v>800000</v>
      </c>
      <c r="G9" s="165">
        <f>I9+AK9+DT9</f>
        <v>1805000</v>
      </c>
      <c r="H9" s="43">
        <v>370000</v>
      </c>
      <c r="I9" s="149">
        <v>230000</v>
      </c>
      <c r="J9" s="149">
        <v>0</v>
      </c>
      <c r="K9" s="127">
        <f t="shared" ref="K9" si="3">AK9</f>
        <v>775000</v>
      </c>
      <c r="L9" s="127">
        <f t="shared" ref="L9" si="4">IF(AI9&gt;0,I9+AK9-J9,0)</f>
        <v>0</v>
      </c>
      <c r="M9" s="127">
        <f t="shared" ref="M9" si="5">I9+K9</f>
        <v>1005000</v>
      </c>
      <c r="N9" s="131">
        <f>G9-M9</f>
        <v>800000</v>
      </c>
      <c r="O9" s="125" t="str">
        <f>IF(AND(AI9&gt;0,DS9&gt;0),"შეცდომაა! ერთზე მეტი ბოლო ჩაბარება!",IF(OR(AI9&gt;0,DS9&gt;0,),IF(AI9&gt;0,I9+AK9,I9+AK9+DU9),IF(AND(I9=0,K9=0,DU9=0),"ნულოვანი შესრულება","მიმდინარეობს")))</f>
        <v>მიმდინარეობს</v>
      </c>
      <c r="P9" s="12">
        <v>775000</v>
      </c>
      <c r="Q9" s="12">
        <v>0</v>
      </c>
      <c r="R9" s="12">
        <f>I9+P9</f>
        <v>1005000</v>
      </c>
      <c r="S9" s="12">
        <f>Q9</f>
        <v>0</v>
      </c>
      <c r="T9" s="12"/>
      <c r="U9" s="12"/>
      <c r="V9" s="12"/>
      <c r="W9" s="12"/>
      <c r="X9" s="12">
        <f>T9+V9</f>
        <v>0</v>
      </c>
      <c r="Y9" s="12">
        <f>U9+W9</f>
        <v>0</v>
      </c>
      <c r="Z9" s="12"/>
      <c r="AA9" s="12"/>
      <c r="AB9" s="12"/>
      <c r="AC9" s="12"/>
      <c r="AD9" s="12">
        <f>Z9+AB9</f>
        <v>0</v>
      </c>
      <c r="AE9" s="12">
        <f>AA9+AC9</f>
        <v>0</v>
      </c>
      <c r="AF9" s="43">
        <f>P9+T9+Z9</f>
        <v>775000</v>
      </c>
      <c r="AG9" s="12">
        <f>P9+U9+AA9</f>
        <v>775000</v>
      </c>
      <c r="AH9" s="12">
        <f>Q9+V9+AB9</f>
        <v>0</v>
      </c>
      <c r="AI9" s="12">
        <f>Q9+W9+AC9</f>
        <v>0</v>
      </c>
      <c r="AJ9" s="12">
        <f>AF9+AH9</f>
        <v>775000</v>
      </c>
      <c r="AK9" s="12">
        <f>AG9+AI9</f>
        <v>775000</v>
      </c>
      <c r="AL9" s="12">
        <v>200000</v>
      </c>
      <c r="AM9" s="12">
        <v>200000</v>
      </c>
      <c r="AN9" s="12"/>
      <c r="AO9" s="12"/>
      <c r="AP9" s="12">
        <f>AL9+AN9</f>
        <v>200000</v>
      </c>
      <c r="AQ9" s="12">
        <f>AM9+AO9</f>
        <v>200000</v>
      </c>
      <c r="AR9" s="12">
        <v>200000</v>
      </c>
      <c r="AS9" s="12">
        <v>400000</v>
      </c>
      <c r="AT9" s="12"/>
      <c r="AU9" s="12"/>
      <c r="AV9" s="12">
        <f>AR9+AT9</f>
        <v>200000</v>
      </c>
      <c r="AW9" s="12">
        <f>AS9+AU9</f>
        <v>400000</v>
      </c>
      <c r="AX9" s="12"/>
      <c r="AY9" s="12">
        <v>200000</v>
      </c>
      <c r="AZ9" s="12">
        <v>200000</v>
      </c>
      <c r="BA9" s="12"/>
      <c r="BB9" s="12">
        <f>AX9+AZ9</f>
        <v>200000</v>
      </c>
      <c r="BC9" s="12">
        <v>200000</v>
      </c>
      <c r="BD9" s="12">
        <f t="shared" ref="BD9:BD34" si="6">AY9+BA9</f>
        <v>200000</v>
      </c>
      <c r="BE9" s="12"/>
      <c r="BF9" s="12"/>
      <c r="BG9" s="12">
        <v>200000</v>
      </c>
      <c r="BH9" s="12"/>
      <c r="BI9" s="12">
        <f>BE9+BG9</f>
        <v>200000</v>
      </c>
      <c r="BJ9" s="12">
        <v>172638</v>
      </c>
      <c r="BK9" s="12">
        <f t="shared" ref="BK9:BK34" si="7">BF9+BH9</f>
        <v>0</v>
      </c>
      <c r="BL9" s="12"/>
      <c r="BM9" s="12"/>
      <c r="BN9" s="12"/>
      <c r="BO9" s="12"/>
      <c r="BP9" s="12">
        <f>BL9+BN9</f>
        <v>0</v>
      </c>
      <c r="BQ9" s="12"/>
      <c r="BR9" s="12">
        <f t="shared" ref="BR9:BR34" si="8">BM9+BO9</f>
        <v>0</v>
      </c>
      <c r="BS9" s="12"/>
      <c r="BT9" s="12"/>
      <c r="BU9" s="12"/>
      <c r="BV9" s="12"/>
      <c r="BW9" s="12"/>
      <c r="BX9" s="12"/>
      <c r="BY9" s="12">
        <f>BT9+BV9</f>
        <v>0</v>
      </c>
      <c r="BZ9" s="12"/>
      <c r="CA9" s="12"/>
      <c r="CB9" s="12"/>
      <c r="CC9" s="12"/>
      <c r="CD9" s="12">
        <f>BZ9+CB9</f>
        <v>0</v>
      </c>
      <c r="CE9" s="12"/>
      <c r="CF9" s="12">
        <f t="shared" ref="CF9:CF34" si="9">CA9+CC9</f>
        <v>0</v>
      </c>
      <c r="CG9" s="12"/>
      <c r="CH9" s="12"/>
      <c r="CI9" s="12"/>
      <c r="CJ9" s="12"/>
      <c r="CK9" s="12">
        <f>CG9+CI9</f>
        <v>0</v>
      </c>
      <c r="CL9" s="12"/>
      <c r="CM9" s="12">
        <f t="shared" ref="CM9:CM34" si="10">CH9+CJ9</f>
        <v>0</v>
      </c>
      <c r="CN9" s="12"/>
      <c r="CO9" s="12"/>
      <c r="CP9" s="12"/>
      <c r="CQ9" s="12"/>
      <c r="CR9" s="12">
        <f>CN9+CP9</f>
        <v>0</v>
      </c>
      <c r="CS9" s="12"/>
      <c r="CT9" s="12">
        <f t="shared" ref="CT9:CT34" si="11">CO9+CQ9</f>
        <v>0</v>
      </c>
      <c r="CU9" s="12"/>
      <c r="CV9" s="12"/>
      <c r="CW9" s="12"/>
      <c r="CX9" s="12"/>
      <c r="CY9" s="12">
        <f>CU9+CW9</f>
        <v>0</v>
      </c>
      <c r="CZ9" s="12"/>
      <c r="DA9" s="12">
        <f t="shared" ref="DA9:DA34" si="12">CV9+CX9</f>
        <v>0</v>
      </c>
      <c r="DB9" s="12"/>
      <c r="DC9" s="12"/>
      <c r="DD9" s="12"/>
      <c r="DE9" s="12"/>
      <c r="DF9" s="12">
        <f>DB9+DD9</f>
        <v>0</v>
      </c>
      <c r="DG9" s="12"/>
      <c r="DH9" s="12">
        <f t="shared" ref="DH9:DH34" si="13">DC9+DE9</f>
        <v>0</v>
      </c>
      <c r="DI9" s="12"/>
      <c r="DJ9" s="12"/>
      <c r="DK9" s="12"/>
      <c r="DL9" s="12"/>
      <c r="DM9" s="12">
        <f>DI9+DK9</f>
        <v>0</v>
      </c>
      <c r="DN9" s="12"/>
      <c r="DO9" s="12">
        <f t="shared" ref="DO9:DO34" si="14">DJ9+DL9</f>
        <v>0</v>
      </c>
      <c r="DP9" s="12">
        <f t="shared" ref="DP9:DP34" si="15">AL9+AR9+AX9+BE9+BS9+BZ9+CG9+CN9+CU9+DB9+DI9+BL9</f>
        <v>400000</v>
      </c>
      <c r="DQ9" s="12">
        <f t="shared" ref="DQ9:DQ34" si="16">AM9+AS9+AY9+BF9+BT9+CA9+CH9+CO9+CV9+DC9+DJ9+BM9</f>
        <v>800000</v>
      </c>
      <c r="DR9" s="12">
        <f t="shared" ref="DR9:DR34" si="17">AN9+AT9+AZ9+BG9+BU9+CB9+CI9+CP9+CW9+DD9+DK9+BN9</f>
        <v>400000</v>
      </c>
      <c r="DS9" s="12">
        <f t="shared" ref="DS9:DS34" si="18">AO9+AU9+BA9+BH9+BV9+CC9+CJ9+CQ9+CX9+DE9+DL9+BO9</f>
        <v>0</v>
      </c>
      <c r="DT9" s="12">
        <f>DP9+DR9</f>
        <v>800000</v>
      </c>
      <c r="DU9" s="12">
        <f>DQ9+DS9</f>
        <v>800000</v>
      </c>
    </row>
    <row r="10" spans="1:125" ht="42.75">
      <c r="A10" s="42">
        <v>2</v>
      </c>
      <c r="B10" s="7" t="s">
        <v>127</v>
      </c>
      <c r="C10" s="7" t="s">
        <v>128</v>
      </c>
      <c r="D10" s="177" t="s">
        <v>1184</v>
      </c>
      <c r="E10" s="180" t="s">
        <v>1165</v>
      </c>
      <c r="F10" s="161">
        <f t="shared" ref="F10:F38" si="19">SUM(DT10)</f>
        <v>1400000</v>
      </c>
      <c r="G10" s="165">
        <f t="shared" ref="G10:G38" si="20">I10+AK10+DT10</f>
        <v>3535000</v>
      </c>
      <c r="H10" s="12">
        <v>700000</v>
      </c>
      <c r="I10" s="149">
        <v>535000</v>
      </c>
      <c r="J10" s="149">
        <v>0</v>
      </c>
      <c r="K10" s="127">
        <f t="shared" ref="K10:K38" si="21">AK10</f>
        <v>1600000</v>
      </c>
      <c r="L10" s="127">
        <v>2022880.9666676612</v>
      </c>
      <c r="M10" s="127">
        <f t="shared" ref="M10:M38" si="22">I10+K10</f>
        <v>2135000</v>
      </c>
      <c r="N10" s="131">
        <f t="shared" ref="N10:N38" si="23">G10-M10</f>
        <v>1400000</v>
      </c>
      <c r="O10" s="125" t="str">
        <f t="shared" ref="O10:O38" si="24">IF(AND(AI10&gt;0,DS10&gt;0),"შეცდომაა! ერთზე მეტი ბოლო ჩაბარება!",IF(OR(AI10&gt;0,DS10&gt;0,),IF(AI10&gt;0,I10+AK10,I10+AK10+DU10),IF(AND(I10=0,K10=0,DU10=0),"ნულოვანი შესრულება","მიმდინარეობს")))</f>
        <v>მიმდინარეობს</v>
      </c>
      <c r="P10" s="12">
        <v>1600000</v>
      </c>
      <c r="Q10" s="12"/>
      <c r="R10" s="12">
        <f t="shared" ref="R10:R34" si="25">I10+P10</f>
        <v>2135000</v>
      </c>
      <c r="S10" s="12">
        <f t="shared" ref="S10:S34" si="26">Q10</f>
        <v>0</v>
      </c>
      <c r="T10" s="12"/>
      <c r="U10" s="12"/>
      <c r="V10" s="12"/>
      <c r="W10" s="12"/>
      <c r="X10" s="12">
        <f t="shared" ref="X10:Y33" si="27">T10+V10</f>
        <v>0</v>
      </c>
      <c r="Y10" s="12">
        <f t="shared" si="27"/>
        <v>0</v>
      </c>
      <c r="Z10" s="12"/>
      <c r="AA10" s="12"/>
      <c r="AB10" s="12"/>
      <c r="AC10" s="12"/>
      <c r="AD10" s="12">
        <f t="shared" ref="AD10:AE33" si="28">Z10+AB10</f>
        <v>0</v>
      </c>
      <c r="AE10" s="12">
        <f t="shared" si="28"/>
        <v>0</v>
      </c>
      <c r="AF10" s="43">
        <f t="shared" ref="AF10:AF34" si="29">P10+T10+Z10</f>
        <v>1600000</v>
      </c>
      <c r="AG10" s="12">
        <f t="shared" ref="AG10:AH33" si="30">P10+U10+AA10</f>
        <v>1600000</v>
      </c>
      <c r="AH10" s="12">
        <f t="shared" si="30"/>
        <v>0</v>
      </c>
      <c r="AI10" s="12">
        <f t="shared" ref="AI10:AI34" si="31">Q10+W10+AC10</f>
        <v>0</v>
      </c>
      <c r="AJ10" s="12">
        <f t="shared" ref="AJ10:AK33" si="32">AF10+AH10</f>
        <v>1600000</v>
      </c>
      <c r="AK10" s="12">
        <f t="shared" si="32"/>
        <v>1600000</v>
      </c>
      <c r="AL10" s="12">
        <v>150000</v>
      </c>
      <c r="AM10" s="12">
        <v>150000</v>
      </c>
      <c r="AN10" s="12"/>
      <c r="AO10" s="12"/>
      <c r="AP10" s="12">
        <f t="shared" ref="AP10:AQ33" si="33">AL10+AN10</f>
        <v>150000</v>
      </c>
      <c r="AQ10" s="12">
        <f t="shared" si="33"/>
        <v>150000</v>
      </c>
      <c r="AR10" s="12">
        <v>200000</v>
      </c>
      <c r="AS10" s="12">
        <v>550000</v>
      </c>
      <c r="AT10" s="12"/>
      <c r="AU10" s="12"/>
      <c r="AV10" s="12">
        <f t="shared" ref="AV10:AW33" si="34">AR10+AT10</f>
        <v>200000</v>
      </c>
      <c r="AW10" s="12">
        <f t="shared" si="34"/>
        <v>550000</v>
      </c>
      <c r="AX10" s="12">
        <v>150000</v>
      </c>
      <c r="AY10" s="12">
        <v>150000</v>
      </c>
      <c r="AZ10" s="12"/>
      <c r="BA10" s="12"/>
      <c r="BB10" s="12">
        <f t="shared" ref="BB10:BB33" si="35">AX10+AZ10</f>
        <v>150000</v>
      </c>
      <c r="BC10" s="12">
        <v>150000</v>
      </c>
      <c r="BD10" s="12">
        <f t="shared" si="6"/>
        <v>150000</v>
      </c>
      <c r="BE10" s="12">
        <v>150000</v>
      </c>
      <c r="BF10" s="12">
        <v>350000</v>
      </c>
      <c r="BG10" s="12"/>
      <c r="BH10" s="12"/>
      <c r="BI10" s="12">
        <f t="shared" ref="BI10:BI33" si="36">BE10+BG10</f>
        <v>150000</v>
      </c>
      <c r="BJ10" s="12">
        <v>150000</v>
      </c>
      <c r="BK10" s="12">
        <f t="shared" si="7"/>
        <v>350000</v>
      </c>
      <c r="BL10" s="12">
        <v>200000</v>
      </c>
      <c r="BM10" s="12">
        <v>200000</v>
      </c>
      <c r="BN10" s="12"/>
      <c r="BO10" s="12"/>
      <c r="BP10" s="12">
        <f t="shared" ref="BP10:BP33" si="37">BL10+BN10</f>
        <v>200000</v>
      </c>
      <c r="BQ10" s="12">
        <v>200000</v>
      </c>
      <c r="BR10" s="12">
        <f>BM10+BO10</f>
        <v>200000</v>
      </c>
      <c r="BS10" s="12"/>
      <c r="BT10" s="12">
        <v>300000</v>
      </c>
      <c r="BU10" s="12"/>
      <c r="BV10" s="12"/>
      <c r="BW10" s="12"/>
      <c r="BX10" s="12"/>
      <c r="BY10" s="12">
        <f>BT10+BV10</f>
        <v>300000</v>
      </c>
      <c r="BZ10" s="12"/>
      <c r="CA10" s="12"/>
      <c r="CB10" s="12"/>
      <c r="CC10" s="12"/>
      <c r="CD10" s="12">
        <f t="shared" ref="CD10:CD33" si="38">BZ10+CB10</f>
        <v>0</v>
      </c>
      <c r="CE10" s="12"/>
      <c r="CF10" s="12">
        <f t="shared" si="9"/>
        <v>0</v>
      </c>
      <c r="CG10" s="12"/>
      <c r="CH10" s="12"/>
      <c r="CI10" s="12"/>
      <c r="CJ10" s="12"/>
      <c r="CK10" s="12">
        <f t="shared" ref="CK10:CK33" si="39">CG10+CI10</f>
        <v>0</v>
      </c>
      <c r="CL10" s="12"/>
      <c r="CM10" s="12">
        <f t="shared" si="10"/>
        <v>0</v>
      </c>
      <c r="CN10" s="12"/>
      <c r="CO10" s="12"/>
      <c r="CP10" s="12"/>
      <c r="CQ10" s="12"/>
      <c r="CR10" s="12">
        <f t="shared" ref="CR10:CR33" si="40">CN10+CP10</f>
        <v>0</v>
      </c>
      <c r="CS10" s="12"/>
      <c r="CT10" s="12">
        <f t="shared" si="11"/>
        <v>0</v>
      </c>
      <c r="CU10" s="12">
        <v>150000</v>
      </c>
      <c r="CV10" s="12">
        <v>100000</v>
      </c>
      <c r="CW10" s="12"/>
      <c r="CX10" s="12"/>
      <c r="CY10" s="12">
        <f t="shared" ref="CY10:CY33" si="41">CU10+CW10</f>
        <v>150000</v>
      </c>
      <c r="CZ10" s="12">
        <v>150000</v>
      </c>
      <c r="DA10" s="12">
        <f t="shared" si="12"/>
        <v>100000</v>
      </c>
      <c r="DB10" s="12">
        <v>200000</v>
      </c>
      <c r="DC10" s="12"/>
      <c r="DD10" s="12"/>
      <c r="DE10" s="12"/>
      <c r="DF10" s="12">
        <f t="shared" ref="DF10:DF33" si="42">DB10+DD10</f>
        <v>200000</v>
      </c>
      <c r="DG10" s="12">
        <v>180765</v>
      </c>
      <c r="DH10" s="12">
        <f t="shared" si="13"/>
        <v>0</v>
      </c>
      <c r="DI10" s="12">
        <v>200000</v>
      </c>
      <c r="DJ10" s="12"/>
      <c r="DK10" s="12"/>
      <c r="DL10" s="12"/>
      <c r="DM10" s="12">
        <f t="shared" ref="DM10:DM33" si="43">DI10+DK10</f>
        <v>200000</v>
      </c>
      <c r="DN10" s="12"/>
      <c r="DO10" s="12">
        <f t="shared" si="14"/>
        <v>0</v>
      </c>
      <c r="DP10" s="12">
        <f t="shared" si="15"/>
        <v>1400000</v>
      </c>
      <c r="DQ10" s="12">
        <f t="shared" si="16"/>
        <v>1800000</v>
      </c>
      <c r="DR10" s="12">
        <f t="shared" si="17"/>
        <v>0</v>
      </c>
      <c r="DS10" s="12">
        <f t="shared" si="18"/>
        <v>0</v>
      </c>
      <c r="DT10" s="12">
        <f t="shared" ref="DT10:DU34" si="44">DP10+DR10</f>
        <v>1400000</v>
      </c>
      <c r="DU10" s="12">
        <f t="shared" si="44"/>
        <v>1800000</v>
      </c>
    </row>
    <row r="11" spans="1:125" ht="42.75">
      <c r="A11" s="42">
        <v>3</v>
      </c>
      <c r="B11" s="7" t="s">
        <v>129</v>
      </c>
      <c r="C11" s="7" t="s">
        <v>130</v>
      </c>
      <c r="D11" s="179" t="s">
        <v>1187</v>
      </c>
      <c r="E11" s="181" t="s">
        <v>1165</v>
      </c>
      <c r="F11" s="161">
        <f t="shared" si="19"/>
        <v>0</v>
      </c>
      <c r="G11" s="165">
        <f t="shared" si="20"/>
        <v>539602.43999999994</v>
      </c>
      <c r="H11" s="12">
        <v>230000</v>
      </c>
      <c r="I11" s="149">
        <v>348000</v>
      </c>
      <c r="J11" s="149">
        <v>0</v>
      </c>
      <c r="K11" s="127">
        <f t="shared" si="21"/>
        <v>191602.44</v>
      </c>
      <c r="L11" s="127">
        <f t="shared" ref="L11:L38" si="45">IF(AI11&gt;0,I11+AK11-J11,0)</f>
        <v>539602.43999999994</v>
      </c>
      <c r="M11" s="127">
        <f t="shared" si="22"/>
        <v>539602.43999999994</v>
      </c>
      <c r="N11" s="131">
        <f t="shared" si="23"/>
        <v>0</v>
      </c>
      <c r="O11" s="125">
        <f t="shared" si="24"/>
        <v>539602.43999999994</v>
      </c>
      <c r="P11" s="12">
        <v>184000</v>
      </c>
      <c r="Q11" s="12">
        <v>7602.44</v>
      </c>
      <c r="R11" s="12">
        <f t="shared" si="25"/>
        <v>532000</v>
      </c>
      <c r="S11" s="12">
        <f t="shared" si="26"/>
        <v>7602.44</v>
      </c>
      <c r="T11" s="12"/>
      <c r="U11" s="12"/>
      <c r="V11" s="12"/>
      <c r="W11" s="12"/>
      <c r="X11" s="12">
        <f t="shared" si="27"/>
        <v>0</v>
      </c>
      <c r="Y11" s="12">
        <f t="shared" si="27"/>
        <v>0</v>
      </c>
      <c r="Z11" s="12"/>
      <c r="AA11" s="12"/>
      <c r="AB11" s="12"/>
      <c r="AC11" s="12"/>
      <c r="AD11" s="12">
        <f t="shared" si="28"/>
        <v>0</v>
      </c>
      <c r="AE11" s="12">
        <f t="shared" si="28"/>
        <v>0</v>
      </c>
      <c r="AF11" s="43">
        <f t="shared" si="29"/>
        <v>184000</v>
      </c>
      <c r="AG11" s="12">
        <f t="shared" si="30"/>
        <v>184000</v>
      </c>
      <c r="AH11" s="12">
        <f t="shared" si="30"/>
        <v>7602.44</v>
      </c>
      <c r="AI11" s="12">
        <f t="shared" si="31"/>
        <v>7602.44</v>
      </c>
      <c r="AJ11" s="12">
        <f t="shared" si="32"/>
        <v>191602.44</v>
      </c>
      <c r="AK11" s="12">
        <f t="shared" si="32"/>
        <v>191602.44</v>
      </c>
      <c r="AL11" s="12"/>
      <c r="AM11" s="12"/>
      <c r="AN11" s="12"/>
      <c r="AO11" s="12"/>
      <c r="AP11" s="12">
        <f t="shared" si="33"/>
        <v>0</v>
      </c>
      <c r="AQ11" s="12">
        <f t="shared" si="33"/>
        <v>0</v>
      </c>
      <c r="AR11" s="12"/>
      <c r="AS11" s="12"/>
      <c r="AT11" s="12"/>
      <c r="AU11" s="12"/>
      <c r="AV11" s="12">
        <f t="shared" si="34"/>
        <v>0</v>
      </c>
      <c r="AW11" s="12">
        <f t="shared" si="34"/>
        <v>0</v>
      </c>
      <c r="AX11" s="12"/>
      <c r="AY11" s="12"/>
      <c r="AZ11" s="12"/>
      <c r="BA11" s="12"/>
      <c r="BB11" s="12">
        <f t="shared" si="35"/>
        <v>0</v>
      </c>
      <c r="BC11" s="12"/>
      <c r="BD11" s="12">
        <f t="shared" si="6"/>
        <v>0</v>
      </c>
      <c r="BE11" s="12"/>
      <c r="BF11" s="12"/>
      <c r="BG11" s="12"/>
      <c r="BH11" s="12"/>
      <c r="BI11" s="12">
        <f t="shared" si="36"/>
        <v>0</v>
      </c>
      <c r="BJ11" s="12"/>
      <c r="BK11" s="12">
        <f t="shared" si="7"/>
        <v>0</v>
      </c>
      <c r="BL11" s="12"/>
      <c r="BM11" s="12"/>
      <c r="BN11" s="12"/>
      <c r="BO11" s="12"/>
      <c r="BP11" s="12">
        <f t="shared" si="37"/>
        <v>0</v>
      </c>
      <c r="BQ11" s="12"/>
      <c r="BR11" s="12">
        <f t="shared" si="8"/>
        <v>0</v>
      </c>
      <c r="BS11" s="12"/>
      <c r="BT11" s="12"/>
      <c r="BU11" s="12"/>
      <c r="BV11" s="12"/>
      <c r="BW11" s="12"/>
      <c r="BX11" s="12"/>
      <c r="BY11" s="12">
        <f t="shared" ref="BY11:BY38" si="46">BT11+BV11</f>
        <v>0</v>
      </c>
      <c r="BZ11" s="12"/>
      <c r="CA11" s="12"/>
      <c r="CB11" s="12"/>
      <c r="CC11" s="12"/>
      <c r="CD11" s="12">
        <f t="shared" si="38"/>
        <v>0</v>
      </c>
      <c r="CE11" s="12"/>
      <c r="CF11" s="12">
        <f t="shared" si="9"/>
        <v>0</v>
      </c>
      <c r="CG11" s="12"/>
      <c r="CH11" s="12"/>
      <c r="CI11" s="12"/>
      <c r="CJ11" s="12"/>
      <c r="CK11" s="12">
        <f t="shared" si="39"/>
        <v>0</v>
      </c>
      <c r="CL11" s="12"/>
      <c r="CM11" s="12">
        <f t="shared" si="10"/>
        <v>0</v>
      </c>
      <c r="CN11" s="12"/>
      <c r="CO11" s="12"/>
      <c r="CP11" s="12"/>
      <c r="CQ11" s="12"/>
      <c r="CR11" s="12">
        <f t="shared" si="40"/>
        <v>0</v>
      </c>
      <c r="CS11" s="12"/>
      <c r="CT11" s="12">
        <f t="shared" si="11"/>
        <v>0</v>
      </c>
      <c r="CU11" s="12"/>
      <c r="CV11" s="12"/>
      <c r="CW11" s="12"/>
      <c r="CX11" s="12"/>
      <c r="CY11" s="12">
        <f t="shared" si="41"/>
        <v>0</v>
      </c>
      <c r="CZ11" s="12"/>
      <c r="DA11" s="12">
        <f t="shared" si="12"/>
        <v>0</v>
      </c>
      <c r="DB11" s="12"/>
      <c r="DC11" s="12"/>
      <c r="DD11" s="12"/>
      <c r="DE11" s="12"/>
      <c r="DF11" s="12">
        <f t="shared" si="42"/>
        <v>0</v>
      </c>
      <c r="DG11" s="12"/>
      <c r="DH11" s="12">
        <f t="shared" si="13"/>
        <v>0</v>
      </c>
      <c r="DI11" s="12"/>
      <c r="DJ11" s="12"/>
      <c r="DK11" s="12"/>
      <c r="DL11" s="12"/>
      <c r="DM11" s="12">
        <f t="shared" si="43"/>
        <v>0</v>
      </c>
      <c r="DN11" s="12"/>
      <c r="DO11" s="12">
        <f t="shared" si="14"/>
        <v>0</v>
      </c>
      <c r="DP11" s="12">
        <f t="shared" si="15"/>
        <v>0</v>
      </c>
      <c r="DQ11" s="12">
        <f t="shared" si="16"/>
        <v>0</v>
      </c>
      <c r="DR11" s="12">
        <f t="shared" si="17"/>
        <v>0</v>
      </c>
      <c r="DS11" s="12">
        <f t="shared" si="18"/>
        <v>0</v>
      </c>
      <c r="DT11" s="12">
        <f t="shared" si="44"/>
        <v>0</v>
      </c>
      <c r="DU11" s="12">
        <f t="shared" si="44"/>
        <v>0</v>
      </c>
    </row>
    <row r="12" spans="1:125" s="32" customFormat="1" ht="28.5">
      <c r="A12" s="44">
        <v>4</v>
      </c>
      <c r="B12" s="47" t="s">
        <v>106</v>
      </c>
      <c r="C12" s="47" t="s">
        <v>131</v>
      </c>
      <c r="D12" s="177" t="s">
        <v>1179</v>
      </c>
      <c r="E12" s="181" t="s">
        <v>1165</v>
      </c>
      <c r="F12" s="161">
        <f t="shared" si="19"/>
        <v>370000</v>
      </c>
      <c r="G12" s="165">
        <f t="shared" si="20"/>
        <v>520000</v>
      </c>
      <c r="H12" s="45">
        <v>520000</v>
      </c>
      <c r="I12" s="149">
        <v>0</v>
      </c>
      <c r="J12" s="149">
        <v>0</v>
      </c>
      <c r="K12" s="127">
        <f t="shared" si="21"/>
        <v>150000</v>
      </c>
      <c r="L12" s="127">
        <f t="shared" si="45"/>
        <v>0</v>
      </c>
      <c r="M12" s="127">
        <f t="shared" si="22"/>
        <v>150000</v>
      </c>
      <c r="N12" s="131">
        <f t="shared" si="23"/>
        <v>370000</v>
      </c>
      <c r="O12" s="125" t="str">
        <f t="shared" si="24"/>
        <v>მიმდინარეობს</v>
      </c>
      <c r="P12" s="45">
        <v>150000</v>
      </c>
      <c r="Q12" s="45"/>
      <c r="R12" s="45">
        <f t="shared" si="25"/>
        <v>150000</v>
      </c>
      <c r="S12" s="45">
        <f t="shared" si="26"/>
        <v>0</v>
      </c>
      <c r="T12" s="45"/>
      <c r="U12" s="45"/>
      <c r="V12" s="45"/>
      <c r="W12" s="45"/>
      <c r="X12" s="45">
        <f t="shared" si="27"/>
        <v>0</v>
      </c>
      <c r="Y12" s="45">
        <f t="shared" si="27"/>
        <v>0</v>
      </c>
      <c r="Z12" s="45"/>
      <c r="AA12" s="45"/>
      <c r="AB12" s="45"/>
      <c r="AC12" s="45"/>
      <c r="AD12" s="45">
        <f t="shared" si="28"/>
        <v>0</v>
      </c>
      <c r="AE12" s="45">
        <f t="shared" si="28"/>
        <v>0</v>
      </c>
      <c r="AF12" s="46">
        <f t="shared" si="29"/>
        <v>150000</v>
      </c>
      <c r="AG12" s="45">
        <f t="shared" si="30"/>
        <v>150000</v>
      </c>
      <c r="AH12" s="45">
        <f t="shared" si="30"/>
        <v>0</v>
      </c>
      <c r="AI12" s="45">
        <f t="shared" si="31"/>
        <v>0</v>
      </c>
      <c r="AJ12" s="45">
        <f t="shared" si="32"/>
        <v>150000</v>
      </c>
      <c r="AK12" s="45">
        <f t="shared" si="32"/>
        <v>150000</v>
      </c>
      <c r="AL12" s="45">
        <v>50000</v>
      </c>
      <c r="AM12" s="45">
        <v>50000</v>
      </c>
      <c r="AN12" s="45"/>
      <c r="AO12" s="45"/>
      <c r="AP12" s="45">
        <f t="shared" si="33"/>
        <v>50000</v>
      </c>
      <c r="AQ12" s="45">
        <f t="shared" si="33"/>
        <v>50000</v>
      </c>
      <c r="AR12" s="45">
        <v>50000</v>
      </c>
      <c r="AS12" s="45">
        <v>50000</v>
      </c>
      <c r="AT12" s="45"/>
      <c r="AU12" s="45"/>
      <c r="AV12" s="45">
        <f t="shared" si="34"/>
        <v>50000</v>
      </c>
      <c r="AW12" s="45">
        <f t="shared" si="34"/>
        <v>50000</v>
      </c>
      <c r="AX12" s="45">
        <v>100000</v>
      </c>
      <c r="AY12" s="45">
        <v>100000</v>
      </c>
      <c r="AZ12" s="45"/>
      <c r="BA12" s="45"/>
      <c r="BB12" s="45">
        <f t="shared" si="35"/>
        <v>100000</v>
      </c>
      <c r="BC12" s="45">
        <v>100000</v>
      </c>
      <c r="BD12" s="45">
        <f t="shared" si="6"/>
        <v>100000</v>
      </c>
      <c r="BE12" s="45">
        <v>100000</v>
      </c>
      <c r="BF12" s="45">
        <v>100000</v>
      </c>
      <c r="BG12" s="45"/>
      <c r="BH12" s="45"/>
      <c r="BI12" s="45">
        <f t="shared" si="36"/>
        <v>100000</v>
      </c>
      <c r="BJ12" s="45">
        <v>100000</v>
      </c>
      <c r="BK12" s="45">
        <f t="shared" si="7"/>
        <v>100000</v>
      </c>
      <c r="BL12" s="45"/>
      <c r="BM12" s="45"/>
      <c r="BN12" s="45">
        <v>70000</v>
      </c>
      <c r="BO12" s="45"/>
      <c r="BP12" s="45">
        <f t="shared" si="37"/>
        <v>70000</v>
      </c>
      <c r="BQ12" s="45">
        <v>63912</v>
      </c>
      <c r="BR12" s="45">
        <f t="shared" si="8"/>
        <v>0</v>
      </c>
      <c r="BS12" s="45"/>
      <c r="BT12" s="45"/>
      <c r="BU12" s="45"/>
      <c r="BV12" s="45"/>
      <c r="BW12" s="45"/>
      <c r="BX12" s="45"/>
      <c r="BY12" s="12">
        <f t="shared" si="46"/>
        <v>0</v>
      </c>
      <c r="BZ12" s="45"/>
      <c r="CA12" s="45"/>
      <c r="CB12" s="45"/>
      <c r="CC12" s="45"/>
      <c r="CD12" s="45">
        <f t="shared" si="38"/>
        <v>0</v>
      </c>
      <c r="CE12" s="45"/>
      <c r="CF12" s="45">
        <f t="shared" si="9"/>
        <v>0</v>
      </c>
      <c r="CG12" s="45"/>
      <c r="CH12" s="45"/>
      <c r="CI12" s="45"/>
      <c r="CJ12" s="45"/>
      <c r="CK12" s="45">
        <f t="shared" si="39"/>
        <v>0</v>
      </c>
      <c r="CL12" s="45"/>
      <c r="CM12" s="45">
        <f t="shared" si="10"/>
        <v>0</v>
      </c>
      <c r="CN12" s="45"/>
      <c r="CO12" s="45"/>
      <c r="CP12" s="45"/>
      <c r="CQ12" s="45"/>
      <c r="CR12" s="45">
        <f t="shared" si="40"/>
        <v>0</v>
      </c>
      <c r="CS12" s="45"/>
      <c r="CT12" s="45">
        <f t="shared" si="11"/>
        <v>0</v>
      </c>
      <c r="CU12" s="45"/>
      <c r="CV12" s="45">
        <v>50000</v>
      </c>
      <c r="CW12" s="45"/>
      <c r="CX12" s="45"/>
      <c r="CY12" s="45">
        <f t="shared" si="41"/>
        <v>0</v>
      </c>
      <c r="CZ12" s="45"/>
      <c r="DA12" s="45">
        <f t="shared" si="12"/>
        <v>50000</v>
      </c>
      <c r="DB12" s="45"/>
      <c r="DC12" s="45"/>
      <c r="DD12" s="45"/>
      <c r="DE12" s="45"/>
      <c r="DF12" s="45">
        <f t="shared" si="42"/>
        <v>0</v>
      </c>
      <c r="DG12" s="45"/>
      <c r="DH12" s="45">
        <f t="shared" si="13"/>
        <v>0</v>
      </c>
      <c r="DI12" s="45"/>
      <c r="DJ12" s="45"/>
      <c r="DK12" s="45"/>
      <c r="DL12" s="45"/>
      <c r="DM12" s="45">
        <f t="shared" si="43"/>
        <v>0</v>
      </c>
      <c r="DN12" s="45"/>
      <c r="DO12" s="45">
        <f t="shared" si="14"/>
        <v>0</v>
      </c>
      <c r="DP12" s="12">
        <f t="shared" si="15"/>
        <v>300000</v>
      </c>
      <c r="DQ12" s="12">
        <f t="shared" si="16"/>
        <v>350000</v>
      </c>
      <c r="DR12" s="12">
        <f t="shared" si="17"/>
        <v>70000</v>
      </c>
      <c r="DS12" s="12">
        <f t="shared" si="18"/>
        <v>0</v>
      </c>
      <c r="DT12" s="12">
        <f t="shared" si="44"/>
        <v>370000</v>
      </c>
      <c r="DU12" s="12">
        <f t="shared" si="44"/>
        <v>350000</v>
      </c>
    </row>
    <row r="13" spans="1:125" ht="28.5">
      <c r="A13" s="44">
        <v>5</v>
      </c>
      <c r="B13" s="7" t="s">
        <v>129</v>
      </c>
      <c r="C13" s="7" t="s">
        <v>132</v>
      </c>
      <c r="D13" s="177" t="s">
        <v>1186</v>
      </c>
      <c r="E13" s="181" t="s">
        <v>1165</v>
      </c>
      <c r="F13" s="161">
        <f t="shared" si="19"/>
        <v>0</v>
      </c>
      <c r="G13" s="165">
        <f t="shared" si="20"/>
        <v>31907</v>
      </c>
      <c r="H13" s="45">
        <v>15000</v>
      </c>
      <c r="I13" s="149">
        <v>0</v>
      </c>
      <c r="J13" s="149">
        <v>0</v>
      </c>
      <c r="K13" s="127">
        <f t="shared" si="21"/>
        <v>31907</v>
      </c>
      <c r="L13" s="127">
        <f t="shared" si="45"/>
        <v>31907</v>
      </c>
      <c r="M13" s="127">
        <f t="shared" si="22"/>
        <v>31907</v>
      </c>
      <c r="N13" s="131">
        <f t="shared" si="23"/>
        <v>0</v>
      </c>
      <c r="O13" s="125">
        <f t="shared" si="24"/>
        <v>31907</v>
      </c>
      <c r="P13" s="10">
        <v>5000</v>
      </c>
      <c r="Q13" s="10">
        <v>26907</v>
      </c>
      <c r="R13" s="45">
        <f t="shared" si="25"/>
        <v>5000</v>
      </c>
      <c r="S13" s="45">
        <f t="shared" si="26"/>
        <v>26907</v>
      </c>
      <c r="T13" s="10"/>
      <c r="U13" s="10"/>
      <c r="V13" s="10"/>
      <c r="W13" s="10"/>
      <c r="X13" s="45">
        <f t="shared" si="27"/>
        <v>0</v>
      </c>
      <c r="Y13" s="45">
        <f t="shared" si="27"/>
        <v>0</v>
      </c>
      <c r="Z13" s="10"/>
      <c r="AA13" s="10"/>
      <c r="AB13" s="10"/>
      <c r="AC13" s="10"/>
      <c r="AD13" s="45">
        <f t="shared" si="28"/>
        <v>0</v>
      </c>
      <c r="AE13" s="45">
        <f t="shared" si="28"/>
        <v>0</v>
      </c>
      <c r="AF13" s="46">
        <f t="shared" si="29"/>
        <v>5000</v>
      </c>
      <c r="AG13" s="45">
        <f t="shared" si="30"/>
        <v>5000</v>
      </c>
      <c r="AH13" s="45">
        <f t="shared" si="30"/>
        <v>26907</v>
      </c>
      <c r="AI13" s="45">
        <f t="shared" si="31"/>
        <v>26907</v>
      </c>
      <c r="AJ13" s="45">
        <f t="shared" si="32"/>
        <v>31907</v>
      </c>
      <c r="AK13" s="45">
        <f t="shared" si="32"/>
        <v>31907</v>
      </c>
      <c r="AL13" s="45"/>
      <c r="AM13" s="10"/>
      <c r="AN13" s="10"/>
      <c r="AO13" s="10"/>
      <c r="AP13" s="45">
        <f t="shared" si="33"/>
        <v>0</v>
      </c>
      <c r="AQ13" s="45">
        <f t="shared" si="33"/>
        <v>0</v>
      </c>
      <c r="AR13" s="10"/>
      <c r="AS13" s="10"/>
      <c r="AT13" s="10"/>
      <c r="AU13" s="10"/>
      <c r="AV13" s="45">
        <f t="shared" si="34"/>
        <v>0</v>
      </c>
      <c r="AW13" s="45">
        <f t="shared" si="34"/>
        <v>0</v>
      </c>
      <c r="AX13" s="10"/>
      <c r="AY13" s="10"/>
      <c r="AZ13" s="10"/>
      <c r="BA13" s="10"/>
      <c r="BB13" s="45">
        <f t="shared" si="35"/>
        <v>0</v>
      </c>
      <c r="BC13" s="45"/>
      <c r="BD13" s="45">
        <f t="shared" si="6"/>
        <v>0</v>
      </c>
      <c r="BE13" s="10"/>
      <c r="BF13" s="10"/>
      <c r="BG13" s="10"/>
      <c r="BH13" s="10"/>
      <c r="BI13" s="45">
        <f t="shared" si="36"/>
        <v>0</v>
      </c>
      <c r="BJ13" s="45"/>
      <c r="BK13" s="45">
        <f t="shared" si="7"/>
        <v>0</v>
      </c>
      <c r="BL13" s="10"/>
      <c r="BM13" s="10"/>
      <c r="BN13" s="10"/>
      <c r="BO13" s="10"/>
      <c r="BP13" s="45">
        <f t="shared" si="37"/>
        <v>0</v>
      </c>
      <c r="BQ13" s="45"/>
      <c r="BR13" s="45">
        <f t="shared" si="8"/>
        <v>0</v>
      </c>
      <c r="BS13" s="10"/>
      <c r="BT13" s="10"/>
      <c r="BU13" s="10"/>
      <c r="BV13" s="10"/>
      <c r="BW13" s="45"/>
      <c r="BX13" s="45"/>
      <c r="BY13" s="12">
        <f t="shared" si="46"/>
        <v>0</v>
      </c>
      <c r="BZ13" s="10"/>
      <c r="CA13" s="10"/>
      <c r="CB13" s="10"/>
      <c r="CC13" s="10"/>
      <c r="CD13" s="45">
        <f t="shared" si="38"/>
        <v>0</v>
      </c>
      <c r="CE13" s="45"/>
      <c r="CF13" s="45">
        <f t="shared" si="9"/>
        <v>0</v>
      </c>
      <c r="CG13" s="10"/>
      <c r="CH13" s="10"/>
      <c r="CI13" s="10"/>
      <c r="CJ13" s="10"/>
      <c r="CK13" s="45">
        <f t="shared" si="39"/>
        <v>0</v>
      </c>
      <c r="CL13" s="45"/>
      <c r="CM13" s="45">
        <f t="shared" si="10"/>
        <v>0</v>
      </c>
      <c r="CN13" s="10"/>
      <c r="CO13" s="10"/>
      <c r="CP13" s="10"/>
      <c r="CQ13" s="10"/>
      <c r="CR13" s="45">
        <f t="shared" si="40"/>
        <v>0</v>
      </c>
      <c r="CS13" s="45"/>
      <c r="CT13" s="45">
        <f t="shared" si="11"/>
        <v>0</v>
      </c>
      <c r="CU13" s="10"/>
      <c r="CV13" s="10"/>
      <c r="CW13" s="10"/>
      <c r="CX13" s="10"/>
      <c r="CY13" s="45">
        <f t="shared" si="41"/>
        <v>0</v>
      </c>
      <c r="CZ13" s="45"/>
      <c r="DA13" s="45">
        <f t="shared" si="12"/>
        <v>0</v>
      </c>
      <c r="DB13" s="10"/>
      <c r="DC13" s="10"/>
      <c r="DD13" s="10"/>
      <c r="DE13" s="10"/>
      <c r="DF13" s="45">
        <f t="shared" si="42"/>
        <v>0</v>
      </c>
      <c r="DG13" s="45"/>
      <c r="DH13" s="45">
        <f t="shared" si="13"/>
        <v>0</v>
      </c>
      <c r="DI13" s="10"/>
      <c r="DJ13" s="10"/>
      <c r="DK13" s="10"/>
      <c r="DL13" s="10"/>
      <c r="DM13" s="45">
        <f t="shared" si="43"/>
        <v>0</v>
      </c>
      <c r="DN13" s="45"/>
      <c r="DO13" s="45">
        <f t="shared" si="14"/>
        <v>0</v>
      </c>
      <c r="DP13" s="12">
        <f t="shared" si="15"/>
        <v>0</v>
      </c>
      <c r="DQ13" s="12">
        <f t="shared" si="16"/>
        <v>0</v>
      </c>
      <c r="DR13" s="12">
        <f t="shared" si="17"/>
        <v>0</v>
      </c>
      <c r="DS13" s="12">
        <f t="shared" si="18"/>
        <v>0</v>
      </c>
      <c r="DT13" s="12">
        <f t="shared" si="44"/>
        <v>0</v>
      </c>
      <c r="DU13" s="12">
        <f t="shared" si="44"/>
        <v>0</v>
      </c>
    </row>
    <row r="14" spans="1:125" s="32" customFormat="1" ht="85.5">
      <c r="A14" s="44">
        <v>6</v>
      </c>
      <c r="B14" s="47" t="s">
        <v>129</v>
      </c>
      <c r="C14" s="47" t="s">
        <v>133</v>
      </c>
      <c r="D14" s="177" t="s">
        <v>1185</v>
      </c>
      <c r="E14" s="181" t="s">
        <v>1165</v>
      </c>
      <c r="F14" s="161">
        <f t="shared" si="19"/>
        <v>0</v>
      </c>
      <c r="G14" s="165">
        <f t="shared" si="20"/>
        <v>66576</v>
      </c>
      <c r="H14" s="45">
        <v>45000</v>
      </c>
      <c r="I14" s="149">
        <v>0</v>
      </c>
      <c r="J14" s="149">
        <v>0</v>
      </c>
      <c r="K14" s="127">
        <f t="shared" si="21"/>
        <v>66576</v>
      </c>
      <c r="L14" s="127">
        <f t="shared" si="45"/>
        <v>66576</v>
      </c>
      <c r="M14" s="127">
        <f t="shared" si="22"/>
        <v>66576</v>
      </c>
      <c r="N14" s="131">
        <f t="shared" si="23"/>
        <v>0</v>
      </c>
      <c r="O14" s="125">
        <f t="shared" si="24"/>
        <v>66576</v>
      </c>
      <c r="P14" s="45">
        <v>28000</v>
      </c>
      <c r="Q14" s="45"/>
      <c r="R14" s="45">
        <f t="shared" si="25"/>
        <v>28000</v>
      </c>
      <c r="S14" s="45">
        <f t="shared" si="26"/>
        <v>0</v>
      </c>
      <c r="T14" s="45"/>
      <c r="U14" s="45"/>
      <c r="V14" s="45">
        <v>46000</v>
      </c>
      <c r="W14" s="45">
        <v>38576</v>
      </c>
      <c r="X14" s="45">
        <f t="shared" si="27"/>
        <v>46000</v>
      </c>
      <c r="Y14" s="45">
        <f t="shared" si="27"/>
        <v>38576</v>
      </c>
      <c r="Z14" s="45"/>
      <c r="AA14" s="45"/>
      <c r="AB14" s="45"/>
      <c r="AC14" s="45"/>
      <c r="AD14" s="45">
        <f t="shared" si="28"/>
        <v>0</v>
      </c>
      <c r="AE14" s="45">
        <f t="shared" si="28"/>
        <v>0</v>
      </c>
      <c r="AF14" s="46">
        <f t="shared" si="29"/>
        <v>28000</v>
      </c>
      <c r="AG14" s="45">
        <f t="shared" si="30"/>
        <v>28000</v>
      </c>
      <c r="AH14" s="45">
        <f t="shared" si="30"/>
        <v>46000</v>
      </c>
      <c r="AI14" s="45">
        <f t="shared" si="31"/>
        <v>38576</v>
      </c>
      <c r="AJ14" s="45">
        <f t="shared" si="32"/>
        <v>74000</v>
      </c>
      <c r="AK14" s="45">
        <f t="shared" si="32"/>
        <v>66576</v>
      </c>
      <c r="AL14" s="45"/>
      <c r="AM14" s="45"/>
      <c r="AN14" s="45"/>
      <c r="AO14" s="45"/>
      <c r="AP14" s="45">
        <f t="shared" si="33"/>
        <v>0</v>
      </c>
      <c r="AQ14" s="45">
        <f t="shared" si="33"/>
        <v>0</v>
      </c>
      <c r="AR14" s="45"/>
      <c r="AS14" s="45"/>
      <c r="AT14" s="45"/>
      <c r="AU14" s="45"/>
      <c r="AV14" s="45">
        <f t="shared" si="34"/>
        <v>0</v>
      </c>
      <c r="AW14" s="45">
        <f t="shared" si="34"/>
        <v>0</v>
      </c>
      <c r="AX14" s="45"/>
      <c r="AY14" s="45"/>
      <c r="AZ14" s="45"/>
      <c r="BA14" s="45"/>
      <c r="BB14" s="45">
        <f t="shared" si="35"/>
        <v>0</v>
      </c>
      <c r="BC14" s="45"/>
      <c r="BD14" s="45">
        <f t="shared" si="6"/>
        <v>0</v>
      </c>
      <c r="BE14" s="45"/>
      <c r="BF14" s="45"/>
      <c r="BG14" s="45"/>
      <c r="BH14" s="45"/>
      <c r="BI14" s="45">
        <f t="shared" si="36"/>
        <v>0</v>
      </c>
      <c r="BJ14" s="45"/>
      <c r="BK14" s="45">
        <f t="shared" si="7"/>
        <v>0</v>
      </c>
      <c r="BL14" s="45"/>
      <c r="BM14" s="45"/>
      <c r="BN14" s="45"/>
      <c r="BO14" s="45"/>
      <c r="BP14" s="45">
        <f t="shared" si="37"/>
        <v>0</v>
      </c>
      <c r="BQ14" s="45"/>
      <c r="BR14" s="45">
        <f t="shared" si="8"/>
        <v>0</v>
      </c>
      <c r="BS14" s="45"/>
      <c r="BT14" s="45"/>
      <c r="BU14" s="45"/>
      <c r="BV14" s="45"/>
      <c r="BW14" s="45"/>
      <c r="BX14" s="45"/>
      <c r="BY14" s="12">
        <f t="shared" si="46"/>
        <v>0</v>
      </c>
      <c r="BZ14" s="45"/>
      <c r="CA14" s="45"/>
      <c r="CB14" s="45"/>
      <c r="CC14" s="45"/>
      <c r="CD14" s="45">
        <f t="shared" si="38"/>
        <v>0</v>
      </c>
      <c r="CE14" s="45"/>
      <c r="CF14" s="45">
        <f t="shared" si="9"/>
        <v>0</v>
      </c>
      <c r="CG14" s="45"/>
      <c r="CH14" s="45"/>
      <c r="CI14" s="45"/>
      <c r="CJ14" s="45"/>
      <c r="CK14" s="45">
        <f t="shared" si="39"/>
        <v>0</v>
      </c>
      <c r="CL14" s="45"/>
      <c r="CM14" s="45">
        <f t="shared" si="10"/>
        <v>0</v>
      </c>
      <c r="CN14" s="45"/>
      <c r="CO14" s="45"/>
      <c r="CP14" s="45"/>
      <c r="CQ14" s="45"/>
      <c r="CR14" s="45">
        <f t="shared" si="40"/>
        <v>0</v>
      </c>
      <c r="CS14" s="45"/>
      <c r="CT14" s="45">
        <f t="shared" si="11"/>
        <v>0</v>
      </c>
      <c r="CU14" s="45"/>
      <c r="CV14" s="45"/>
      <c r="CW14" s="45"/>
      <c r="CX14" s="45"/>
      <c r="CY14" s="45">
        <f t="shared" si="41"/>
        <v>0</v>
      </c>
      <c r="CZ14" s="45"/>
      <c r="DA14" s="45">
        <f t="shared" si="12"/>
        <v>0</v>
      </c>
      <c r="DB14" s="45"/>
      <c r="DC14" s="45"/>
      <c r="DD14" s="45"/>
      <c r="DE14" s="45"/>
      <c r="DF14" s="45">
        <f t="shared" si="42"/>
        <v>0</v>
      </c>
      <c r="DG14" s="45"/>
      <c r="DH14" s="45">
        <f t="shared" si="13"/>
        <v>0</v>
      </c>
      <c r="DI14" s="45"/>
      <c r="DJ14" s="45"/>
      <c r="DK14" s="45"/>
      <c r="DL14" s="45"/>
      <c r="DM14" s="45">
        <f t="shared" si="43"/>
        <v>0</v>
      </c>
      <c r="DN14" s="45"/>
      <c r="DO14" s="45">
        <f t="shared" si="14"/>
        <v>0</v>
      </c>
      <c r="DP14" s="12">
        <f t="shared" si="15"/>
        <v>0</v>
      </c>
      <c r="DQ14" s="12">
        <f t="shared" si="16"/>
        <v>0</v>
      </c>
      <c r="DR14" s="12">
        <f t="shared" si="17"/>
        <v>0</v>
      </c>
      <c r="DS14" s="12">
        <f t="shared" si="18"/>
        <v>0</v>
      </c>
      <c r="DT14" s="12">
        <f t="shared" si="44"/>
        <v>0</v>
      </c>
      <c r="DU14" s="12">
        <f t="shared" si="44"/>
        <v>0</v>
      </c>
    </row>
    <row r="15" spans="1:125" s="315" customFormat="1" ht="18.75" customHeight="1">
      <c r="A15" s="310">
        <v>7</v>
      </c>
      <c r="B15" s="311" t="s">
        <v>125</v>
      </c>
      <c r="C15" s="311" t="s">
        <v>134</v>
      </c>
      <c r="D15" s="312" t="s">
        <v>135</v>
      </c>
      <c r="E15" s="313" t="s">
        <v>1165</v>
      </c>
      <c r="F15" s="255">
        <f t="shared" si="19"/>
        <v>0</v>
      </c>
      <c r="G15" s="256">
        <f t="shared" si="20"/>
        <v>0</v>
      </c>
      <c r="H15" s="277">
        <v>1560000</v>
      </c>
      <c r="I15" s="149">
        <v>0</v>
      </c>
      <c r="J15" s="149">
        <v>0</v>
      </c>
      <c r="K15" s="255">
        <f t="shared" si="21"/>
        <v>0</v>
      </c>
      <c r="L15" s="255">
        <f t="shared" si="45"/>
        <v>0</v>
      </c>
      <c r="M15" s="255">
        <f t="shared" si="22"/>
        <v>0</v>
      </c>
      <c r="N15" s="255">
        <f t="shared" si="23"/>
        <v>0</v>
      </c>
      <c r="O15" s="255" t="str">
        <f t="shared" si="24"/>
        <v>ნულოვანი შესრულება</v>
      </c>
      <c r="P15" s="45"/>
      <c r="Q15" s="45"/>
      <c r="R15" s="45">
        <f t="shared" si="25"/>
        <v>0</v>
      </c>
      <c r="S15" s="45">
        <f t="shared" si="26"/>
        <v>0</v>
      </c>
      <c r="T15" s="277"/>
      <c r="U15" s="277"/>
      <c r="V15" s="277"/>
      <c r="W15" s="277"/>
      <c r="X15" s="277">
        <f t="shared" si="27"/>
        <v>0</v>
      </c>
      <c r="Y15" s="277">
        <f t="shared" si="27"/>
        <v>0</v>
      </c>
      <c r="Z15" s="277"/>
      <c r="AA15" s="277"/>
      <c r="AB15" s="277"/>
      <c r="AC15" s="277"/>
      <c r="AD15" s="277">
        <f t="shared" si="28"/>
        <v>0</v>
      </c>
      <c r="AE15" s="277">
        <f t="shared" si="28"/>
        <v>0</v>
      </c>
      <c r="AF15" s="314">
        <f t="shared" si="29"/>
        <v>0</v>
      </c>
      <c r="AG15" s="277">
        <f t="shared" si="30"/>
        <v>0</v>
      </c>
      <c r="AH15" s="277">
        <f t="shared" si="30"/>
        <v>0</v>
      </c>
      <c r="AI15" s="277">
        <f t="shared" si="31"/>
        <v>0</v>
      </c>
      <c r="AJ15" s="277">
        <f t="shared" si="32"/>
        <v>0</v>
      </c>
      <c r="AK15" s="277">
        <f t="shared" si="32"/>
        <v>0</v>
      </c>
      <c r="AL15" s="277"/>
      <c r="AM15" s="277"/>
      <c r="AN15" s="277"/>
      <c r="AO15" s="277"/>
      <c r="AP15" s="277">
        <f t="shared" si="33"/>
        <v>0</v>
      </c>
      <c r="AQ15" s="277">
        <f t="shared" si="33"/>
        <v>0</v>
      </c>
      <c r="AR15" s="277"/>
      <c r="AS15" s="277"/>
      <c r="AT15" s="277"/>
      <c r="AU15" s="277"/>
      <c r="AV15" s="277">
        <f t="shared" si="34"/>
        <v>0</v>
      </c>
      <c r="AW15" s="277">
        <f t="shared" si="34"/>
        <v>0</v>
      </c>
      <c r="AX15" s="277"/>
      <c r="AY15" s="277"/>
      <c r="AZ15" s="277"/>
      <c r="BA15" s="277"/>
      <c r="BB15" s="277">
        <f t="shared" si="35"/>
        <v>0</v>
      </c>
      <c r="BC15" s="277"/>
      <c r="BD15" s="277">
        <f t="shared" si="6"/>
        <v>0</v>
      </c>
      <c r="BE15" s="277"/>
      <c r="BF15" s="277"/>
      <c r="BG15" s="277"/>
      <c r="BH15" s="277"/>
      <c r="BI15" s="277">
        <f t="shared" si="36"/>
        <v>0</v>
      </c>
      <c r="BJ15" s="277"/>
      <c r="BK15" s="277">
        <f t="shared" si="7"/>
        <v>0</v>
      </c>
      <c r="BL15" s="277"/>
      <c r="BM15" s="277"/>
      <c r="BN15" s="277"/>
      <c r="BO15" s="277"/>
      <c r="BP15" s="277">
        <f t="shared" si="37"/>
        <v>0</v>
      </c>
      <c r="BQ15" s="277"/>
      <c r="BR15" s="277">
        <f t="shared" si="8"/>
        <v>0</v>
      </c>
      <c r="BS15" s="277"/>
      <c r="BT15" s="277"/>
      <c r="BU15" s="277"/>
      <c r="BV15" s="277"/>
      <c r="BW15" s="277">
        <f t="shared" ref="BW15:BW31" si="47">BS15+BU15</f>
        <v>0</v>
      </c>
      <c r="BX15" s="277"/>
      <c r="BY15" s="277">
        <f t="shared" si="46"/>
        <v>0</v>
      </c>
      <c r="BZ15" s="277"/>
      <c r="CA15" s="277"/>
      <c r="CB15" s="277"/>
      <c r="CC15" s="277"/>
      <c r="CD15" s="277">
        <f t="shared" si="38"/>
        <v>0</v>
      </c>
      <c r="CE15" s="277"/>
      <c r="CF15" s="277">
        <f t="shared" si="9"/>
        <v>0</v>
      </c>
      <c r="CG15" s="277"/>
      <c r="CH15" s="277"/>
      <c r="CI15" s="277"/>
      <c r="CJ15" s="277"/>
      <c r="CK15" s="277">
        <f t="shared" si="39"/>
        <v>0</v>
      </c>
      <c r="CL15" s="277"/>
      <c r="CM15" s="277">
        <f t="shared" si="10"/>
        <v>0</v>
      </c>
      <c r="CN15" s="277"/>
      <c r="CO15" s="277"/>
      <c r="CP15" s="277"/>
      <c r="CQ15" s="277"/>
      <c r="CR15" s="277">
        <f t="shared" si="40"/>
        <v>0</v>
      </c>
      <c r="CS15" s="277"/>
      <c r="CT15" s="277">
        <f t="shared" si="11"/>
        <v>0</v>
      </c>
      <c r="CU15" s="277"/>
      <c r="CV15" s="277"/>
      <c r="CW15" s="277"/>
      <c r="CX15" s="277"/>
      <c r="CY15" s="277">
        <f t="shared" si="41"/>
        <v>0</v>
      </c>
      <c r="CZ15" s="277"/>
      <c r="DA15" s="277">
        <f t="shared" si="12"/>
        <v>0</v>
      </c>
      <c r="DB15" s="277"/>
      <c r="DC15" s="277"/>
      <c r="DD15" s="277"/>
      <c r="DE15" s="277"/>
      <c r="DF15" s="277">
        <f t="shared" si="42"/>
        <v>0</v>
      </c>
      <c r="DG15" s="277"/>
      <c r="DH15" s="277">
        <f t="shared" si="13"/>
        <v>0</v>
      </c>
      <c r="DI15" s="277"/>
      <c r="DJ15" s="277"/>
      <c r="DK15" s="277"/>
      <c r="DL15" s="277"/>
      <c r="DM15" s="277">
        <f t="shared" si="43"/>
        <v>0</v>
      </c>
      <c r="DN15" s="277"/>
      <c r="DO15" s="277">
        <f t="shared" si="14"/>
        <v>0</v>
      </c>
      <c r="DP15" s="277">
        <f t="shared" si="15"/>
        <v>0</v>
      </c>
      <c r="DQ15" s="277">
        <f t="shared" si="16"/>
        <v>0</v>
      </c>
      <c r="DR15" s="277">
        <f t="shared" si="17"/>
        <v>0</v>
      </c>
      <c r="DS15" s="277">
        <f t="shared" si="18"/>
        <v>0</v>
      </c>
      <c r="DT15" s="277">
        <f t="shared" si="44"/>
        <v>0</v>
      </c>
      <c r="DU15" s="277">
        <f t="shared" si="44"/>
        <v>0</v>
      </c>
    </row>
    <row r="16" spans="1:125" ht="42.75">
      <c r="A16" s="44">
        <v>8</v>
      </c>
      <c r="B16" s="7" t="s">
        <v>109</v>
      </c>
      <c r="C16" s="7" t="s">
        <v>136</v>
      </c>
      <c r="D16" s="177" t="s">
        <v>137</v>
      </c>
      <c r="E16" s="181" t="s">
        <v>1165</v>
      </c>
      <c r="F16" s="161">
        <f t="shared" si="19"/>
        <v>880000</v>
      </c>
      <c r="G16" s="165">
        <f t="shared" si="20"/>
        <v>880000</v>
      </c>
      <c r="H16" s="45">
        <v>880000</v>
      </c>
      <c r="I16" s="149">
        <v>0</v>
      </c>
      <c r="J16" s="149">
        <v>0</v>
      </c>
      <c r="K16" s="127">
        <f t="shared" si="21"/>
        <v>0</v>
      </c>
      <c r="L16" s="127">
        <f t="shared" si="45"/>
        <v>0</v>
      </c>
      <c r="M16" s="127">
        <f t="shared" si="22"/>
        <v>0</v>
      </c>
      <c r="N16" s="131">
        <f t="shared" si="23"/>
        <v>880000</v>
      </c>
      <c r="O16" s="125" t="str">
        <f t="shared" si="24"/>
        <v>ნულოვანი შესრულება</v>
      </c>
      <c r="P16" s="10"/>
      <c r="Q16" s="10"/>
      <c r="R16" s="45">
        <f t="shared" si="25"/>
        <v>0</v>
      </c>
      <c r="S16" s="45">
        <f t="shared" si="26"/>
        <v>0</v>
      </c>
      <c r="T16" s="10"/>
      <c r="U16" s="10"/>
      <c r="V16" s="10"/>
      <c r="W16" s="10"/>
      <c r="X16" s="45">
        <f t="shared" si="27"/>
        <v>0</v>
      </c>
      <c r="Y16" s="45">
        <f t="shared" si="27"/>
        <v>0</v>
      </c>
      <c r="Z16" s="10"/>
      <c r="AA16" s="10"/>
      <c r="AB16" s="10"/>
      <c r="AC16" s="10"/>
      <c r="AD16" s="45">
        <f t="shared" si="28"/>
        <v>0</v>
      </c>
      <c r="AE16" s="45">
        <f t="shared" si="28"/>
        <v>0</v>
      </c>
      <c r="AF16" s="46">
        <f t="shared" si="29"/>
        <v>0</v>
      </c>
      <c r="AG16" s="45">
        <f t="shared" si="30"/>
        <v>0</v>
      </c>
      <c r="AH16" s="45">
        <f t="shared" si="30"/>
        <v>0</v>
      </c>
      <c r="AI16" s="45">
        <f t="shared" si="31"/>
        <v>0</v>
      </c>
      <c r="AJ16" s="45">
        <f t="shared" si="32"/>
        <v>0</v>
      </c>
      <c r="AK16" s="45">
        <f t="shared" si="32"/>
        <v>0</v>
      </c>
      <c r="AL16" s="45"/>
      <c r="AM16" s="10"/>
      <c r="AN16" s="10"/>
      <c r="AO16" s="10"/>
      <c r="AP16" s="45">
        <f t="shared" si="33"/>
        <v>0</v>
      </c>
      <c r="AQ16" s="45">
        <f t="shared" si="33"/>
        <v>0</v>
      </c>
      <c r="AR16" s="10"/>
      <c r="AS16" s="10"/>
      <c r="AT16" s="10"/>
      <c r="AU16" s="10"/>
      <c r="AV16" s="45">
        <f t="shared" si="34"/>
        <v>0</v>
      </c>
      <c r="AW16" s="45">
        <f t="shared" si="34"/>
        <v>0</v>
      </c>
      <c r="AX16" s="10"/>
      <c r="AY16" s="10"/>
      <c r="AZ16" s="10"/>
      <c r="BA16" s="10"/>
      <c r="BB16" s="45">
        <f t="shared" si="35"/>
        <v>0</v>
      </c>
      <c r="BC16" s="45"/>
      <c r="BD16" s="45">
        <f t="shared" si="6"/>
        <v>0</v>
      </c>
      <c r="BE16" s="10">
        <v>200000</v>
      </c>
      <c r="BF16" s="10"/>
      <c r="BG16" s="10"/>
      <c r="BH16" s="10"/>
      <c r="BI16" s="45">
        <f t="shared" si="36"/>
        <v>200000</v>
      </c>
      <c r="BJ16" s="45">
        <v>200000</v>
      </c>
      <c r="BK16" s="45">
        <f t="shared" si="7"/>
        <v>0</v>
      </c>
      <c r="BL16" s="10">
        <v>200000</v>
      </c>
      <c r="BM16" s="10"/>
      <c r="BN16" s="10"/>
      <c r="BO16" s="10"/>
      <c r="BP16" s="45">
        <f t="shared" si="37"/>
        <v>200000</v>
      </c>
      <c r="BQ16" s="45">
        <v>200000</v>
      </c>
      <c r="BR16" s="45">
        <f t="shared" si="8"/>
        <v>0</v>
      </c>
      <c r="BS16" s="10">
        <v>300000</v>
      </c>
      <c r="BT16" s="10"/>
      <c r="BU16" s="10"/>
      <c r="BV16" s="10"/>
      <c r="BW16" s="45">
        <f t="shared" si="47"/>
        <v>300000</v>
      </c>
      <c r="BX16" s="45">
        <v>300000</v>
      </c>
      <c r="BY16" s="12">
        <f t="shared" si="46"/>
        <v>0</v>
      </c>
      <c r="BZ16" s="10"/>
      <c r="CA16" s="10"/>
      <c r="CB16" s="10">
        <v>180000</v>
      </c>
      <c r="CC16" s="10"/>
      <c r="CD16" s="45">
        <f t="shared" si="38"/>
        <v>180000</v>
      </c>
      <c r="CE16" s="45">
        <v>124544</v>
      </c>
      <c r="CF16" s="45">
        <f t="shared" si="9"/>
        <v>0</v>
      </c>
      <c r="CG16" s="10"/>
      <c r="CH16" s="10"/>
      <c r="CI16" s="10"/>
      <c r="CJ16" s="10"/>
      <c r="CK16" s="45">
        <f t="shared" si="39"/>
        <v>0</v>
      </c>
      <c r="CL16" s="45"/>
      <c r="CM16" s="45">
        <f t="shared" si="10"/>
        <v>0</v>
      </c>
      <c r="CN16" s="10"/>
      <c r="CO16" s="10"/>
      <c r="CP16" s="10"/>
      <c r="CQ16" s="10"/>
      <c r="CR16" s="45">
        <f t="shared" si="40"/>
        <v>0</v>
      </c>
      <c r="CS16" s="45"/>
      <c r="CT16" s="45">
        <f t="shared" si="11"/>
        <v>0</v>
      </c>
      <c r="CU16" s="10"/>
      <c r="CV16" s="10"/>
      <c r="CW16" s="10"/>
      <c r="CX16" s="10"/>
      <c r="CY16" s="45">
        <f t="shared" si="41"/>
        <v>0</v>
      </c>
      <c r="CZ16" s="45"/>
      <c r="DA16" s="45">
        <f t="shared" si="12"/>
        <v>0</v>
      </c>
      <c r="DB16" s="10"/>
      <c r="DC16" s="10"/>
      <c r="DD16" s="10"/>
      <c r="DE16" s="10"/>
      <c r="DF16" s="45">
        <f t="shared" si="42"/>
        <v>0</v>
      </c>
      <c r="DG16" s="45"/>
      <c r="DH16" s="45">
        <f t="shared" si="13"/>
        <v>0</v>
      </c>
      <c r="DI16" s="10"/>
      <c r="DJ16" s="10"/>
      <c r="DK16" s="10"/>
      <c r="DL16" s="10"/>
      <c r="DM16" s="45">
        <f t="shared" si="43"/>
        <v>0</v>
      </c>
      <c r="DN16" s="45"/>
      <c r="DO16" s="45">
        <f t="shared" si="14"/>
        <v>0</v>
      </c>
      <c r="DP16" s="12">
        <f t="shared" si="15"/>
        <v>700000</v>
      </c>
      <c r="DQ16" s="12">
        <f t="shared" si="16"/>
        <v>0</v>
      </c>
      <c r="DR16" s="12">
        <f t="shared" si="17"/>
        <v>180000</v>
      </c>
      <c r="DS16" s="12">
        <f t="shared" si="18"/>
        <v>0</v>
      </c>
      <c r="DT16" s="12">
        <f t="shared" si="44"/>
        <v>880000</v>
      </c>
      <c r="DU16" s="12">
        <f t="shared" si="44"/>
        <v>0</v>
      </c>
    </row>
    <row r="17" spans="1:125" s="32" customFormat="1" ht="28.5">
      <c r="A17" s="44">
        <v>9</v>
      </c>
      <c r="B17" s="47" t="s">
        <v>125</v>
      </c>
      <c r="C17" s="47" t="s">
        <v>138</v>
      </c>
      <c r="D17" s="177" t="s">
        <v>139</v>
      </c>
      <c r="E17" s="180" t="s">
        <v>1165</v>
      </c>
      <c r="F17" s="161">
        <f t="shared" si="19"/>
        <v>0</v>
      </c>
      <c r="G17" s="165">
        <f t="shared" si="20"/>
        <v>0</v>
      </c>
      <c r="H17" s="45">
        <v>230000</v>
      </c>
      <c r="I17" s="149">
        <v>0</v>
      </c>
      <c r="J17" s="149">
        <v>0</v>
      </c>
      <c r="K17" s="127">
        <f t="shared" si="21"/>
        <v>0</v>
      </c>
      <c r="L17" s="127">
        <f t="shared" si="45"/>
        <v>0</v>
      </c>
      <c r="M17" s="127">
        <f t="shared" si="22"/>
        <v>0</v>
      </c>
      <c r="N17" s="131">
        <f t="shared" si="23"/>
        <v>0</v>
      </c>
      <c r="O17" s="125" t="str">
        <f t="shared" si="24"/>
        <v>ნულოვანი შესრულება</v>
      </c>
      <c r="P17" s="45"/>
      <c r="Q17" s="45"/>
      <c r="R17" s="45">
        <f t="shared" si="25"/>
        <v>0</v>
      </c>
      <c r="S17" s="45">
        <f t="shared" si="26"/>
        <v>0</v>
      </c>
      <c r="T17" s="45"/>
      <c r="U17" s="45"/>
      <c r="V17" s="45"/>
      <c r="W17" s="45"/>
      <c r="X17" s="45">
        <f t="shared" si="27"/>
        <v>0</v>
      </c>
      <c r="Y17" s="45">
        <f t="shared" si="27"/>
        <v>0</v>
      </c>
      <c r="Z17" s="45"/>
      <c r="AA17" s="45"/>
      <c r="AB17" s="45"/>
      <c r="AC17" s="45"/>
      <c r="AD17" s="45">
        <f t="shared" si="28"/>
        <v>0</v>
      </c>
      <c r="AE17" s="45">
        <f t="shared" si="28"/>
        <v>0</v>
      </c>
      <c r="AF17" s="46">
        <f t="shared" si="29"/>
        <v>0</v>
      </c>
      <c r="AG17" s="45">
        <f t="shared" si="30"/>
        <v>0</v>
      </c>
      <c r="AH17" s="45">
        <f t="shared" si="30"/>
        <v>0</v>
      </c>
      <c r="AI17" s="45">
        <f t="shared" si="31"/>
        <v>0</v>
      </c>
      <c r="AJ17" s="45">
        <f t="shared" si="32"/>
        <v>0</v>
      </c>
      <c r="AK17" s="45">
        <f t="shared" si="32"/>
        <v>0</v>
      </c>
      <c r="AL17" s="45"/>
      <c r="AM17" s="45"/>
      <c r="AN17" s="45"/>
      <c r="AO17" s="45"/>
      <c r="AP17" s="45">
        <f t="shared" si="33"/>
        <v>0</v>
      </c>
      <c r="AQ17" s="45">
        <f t="shared" si="33"/>
        <v>0</v>
      </c>
      <c r="AR17" s="45"/>
      <c r="AS17" s="45"/>
      <c r="AT17" s="45"/>
      <c r="AU17" s="45"/>
      <c r="AV17" s="45">
        <f t="shared" si="34"/>
        <v>0</v>
      </c>
      <c r="AW17" s="45">
        <f t="shared" si="34"/>
        <v>0</v>
      </c>
      <c r="AX17" s="45"/>
      <c r="AY17" s="45"/>
      <c r="AZ17" s="45"/>
      <c r="BA17" s="45"/>
      <c r="BB17" s="45">
        <f t="shared" si="35"/>
        <v>0</v>
      </c>
      <c r="BC17" s="45"/>
      <c r="BD17" s="45">
        <f t="shared" si="6"/>
        <v>0</v>
      </c>
      <c r="BE17" s="45"/>
      <c r="BF17" s="45"/>
      <c r="BG17" s="45"/>
      <c r="BH17" s="45"/>
      <c r="BI17" s="45">
        <f t="shared" si="36"/>
        <v>0</v>
      </c>
      <c r="BJ17" s="45"/>
      <c r="BK17" s="45">
        <f t="shared" si="7"/>
        <v>0</v>
      </c>
      <c r="BL17" s="45"/>
      <c r="BM17" s="45"/>
      <c r="BN17" s="45"/>
      <c r="BO17" s="45"/>
      <c r="BP17" s="45">
        <f t="shared" si="37"/>
        <v>0</v>
      </c>
      <c r="BQ17" s="45"/>
      <c r="BR17" s="45">
        <f t="shared" si="8"/>
        <v>0</v>
      </c>
      <c r="BS17" s="45"/>
      <c r="BT17" s="45"/>
      <c r="BU17" s="45"/>
      <c r="BV17" s="45"/>
      <c r="BW17" s="45">
        <f t="shared" si="47"/>
        <v>0</v>
      </c>
      <c r="BX17" s="45"/>
      <c r="BY17" s="12">
        <f t="shared" si="46"/>
        <v>0</v>
      </c>
      <c r="BZ17" s="45"/>
      <c r="CA17" s="45"/>
      <c r="CB17" s="45"/>
      <c r="CC17" s="45"/>
      <c r="CD17" s="45">
        <f t="shared" si="38"/>
        <v>0</v>
      </c>
      <c r="CE17" s="45"/>
      <c r="CF17" s="45">
        <f t="shared" si="9"/>
        <v>0</v>
      </c>
      <c r="CG17" s="45"/>
      <c r="CH17" s="45"/>
      <c r="CI17" s="45"/>
      <c r="CJ17" s="45"/>
      <c r="CK17" s="45">
        <f t="shared" si="39"/>
        <v>0</v>
      </c>
      <c r="CL17" s="45"/>
      <c r="CM17" s="45">
        <f t="shared" si="10"/>
        <v>0</v>
      </c>
      <c r="CN17" s="45"/>
      <c r="CO17" s="45"/>
      <c r="CP17" s="45"/>
      <c r="CQ17" s="45"/>
      <c r="CR17" s="45">
        <f t="shared" si="40"/>
        <v>0</v>
      </c>
      <c r="CS17" s="45"/>
      <c r="CT17" s="45">
        <f t="shared" si="11"/>
        <v>0</v>
      </c>
      <c r="CU17" s="45"/>
      <c r="CV17" s="45"/>
      <c r="CW17" s="45"/>
      <c r="CX17" s="45"/>
      <c r="CY17" s="45">
        <f t="shared" si="41"/>
        <v>0</v>
      </c>
      <c r="CZ17" s="45"/>
      <c r="DA17" s="45">
        <f t="shared" si="12"/>
        <v>0</v>
      </c>
      <c r="DB17" s="45"/>
      <c r="DC17" s="45"/>
      <c r="DD17" s="45"/>
      <c r="DE17" s="45"/>
      <c r="DF17" s="45">
        <f t="shared" si="42"/>
        <v>0</v>
      </c>
      <c r="DG17" s="45"/>
      <c r="DH17" s="45">
        <f t="shared" si="13"/>
        <v>0</v>
      </c>
      <c r="DI17" s="45"/>
      <c r="DJ17" s="45"/>
      <c r="DK17" s="45"/>
      <c r="DL17" s="45"/>
      <c r="DM17" s="45">
        <f t="shared" si="43"/>
        <v>0</v>
      </c>
      <c r="DN17" s="45"/>
      <c r="DO17" s="45">
        <f t="shared" si="14"/>
        <v>0</v>
      </c>
      <c r="DP17" s="12">
        <f t="shared" si="15"/>
        <v>0</v>
      </c>
      <c r="DQ17" s="12">
        <f t="shared" si="16"/>
        <v>0</v>
      </c>
      <c r="DR17" s="12">
        <f t="shared" si="17"/>
        <v>0</v>
      </c>
      <c r="DS17" s="12">
        <f t="shared" si="18"/>
        <v>0</v>
      </c>
      <c r="DT17" s="12">
        <f t="shared" si="44"/>
        <v>0</v>
      </c>
      <c r="DU17" s="12">
        <f t="shared" si="44"/>
        <v>0</v>
      </c>
    </row>
    <row r="18" spans="1:125" s="315" customFormat="1" ht="42.75">
      <c r="A18" s="310">
        <v>10</v>
      </c>
      <c r="B18" s="311" t="s">
        <v>106</v>
      </c>
      <c r="C18" s="311" t="s">
        <v>140</v>
      </c>
      <c r="D18" s="312" t="s">
        <v>141</v>
      </c>
      <c r="E18" s="316" t="s">
        <v>1165</v>
      </c>
      <c r="F18" s="255">
        <f t="shared" si="19"/>
        <v>0</v>
      </c>
      <c r="G18" s="256">
        <f t="shared" si="20"/>
        <v>0</v>
      </c>
      <c r="H18" s="277">
        <v>220000</v>
      </c>
      <c r="I18" s="149">
        <v>0</v>
      </c>
      <c r="J18" s="149">
        <v>0</v>
      </c>
      <c r="K18" s="255">
        <f t="shared" si="21"/>
        <v>0</v>
      </c>
      <c r="L18" s="255">
        <f t="shared" si="45"/>
        <v>0</v>
      </c>
      <c r="M18" s="255">
        <f t="shared" si="22"/>
        <v>0</v>
      </c>
      <c r="N18" s="255">
        <f t="shared" si="23"/>
        <v>0</v>
      </c>
      <c r="O18" s="255" t="str">
        <f t="shared" si="24"/>
        <v>ნულოვანი შესრულება</v>
      </c>
      <c r="P18" s="45"/>
      <c r="Q18" s="45"/>
      <c r="R18" s="45">
        <f t="shared" si="25"/>
        <v>0</v>
      </c>
      <c r="S18" s="45">
        <f t="shared" si="26"/>
        <v>0</v>
      </c>
      <c r="T18" s="277"/>
      <c r="U18" s="277"/>
      <c r="V18" s="277"/>
      <c r="W18" s="277"/>
      <c r="X18" s="277">
        <f t="shared" si="27"/>
        <v>0</v>
      </c>
      <c r="Y18" s="277">
        <f t="shared" si="27"/>
        <v>0</v>
      </c>
      <c r="Z18" s="277"/>
      <c r="AA18" s="277"/>
      <c r="AB18" s="277"/>
      <c r="AC18" s="277"/>
      <c r="AD18" s="277">
        <f t="shared" si="28"/>
        <v>0</v>
      </c>
      <c r="AE18" s="277">
        <f t="shared" si="28"/>
        <v>0</v>
      </c>
      <c r="AF18" s="314">
        <f t="shared" si="29"/>
        <v>0</v>
      </c>
      <c r="AG18" s="277">
        <f t="shared" si="30"/>
        <v>0</v>
      </c>
      <c r="AH18" s="277">
        <f t="shared" si="30"/>
        <v>0</v>
      </c>
      <c r="AI18" s="277">
        <f t="shared" si="31"/>
        <v>0</v>
      </c>
      <c r="AJ18" s="277">
        <f t="shared" si="32"/>
        <v>0</v>
      </c>
      <c r="AK18" s="277">
        <f t="shared" si="32"/>
        <v>0</v>
      </c>
      <c r="AL18" s="277"/>
      <c r="AM18" s="277"/>
      <c r="AN18" s="277"/>
      <c r="AO18" s="277"/>
      <c r="AP18" s="277">
        <f t="shared" si="33"/>
        <v>0</v>
      </c>
      <c r="AQ18" s="277">
        <f t="shared" si="33"/>
        <v>0</v>
      </c>
      <c r="AR18" s="277"/>
      <c r="AS18" s="277"/>
      <c r="AT18" s="277"/>
      <c r="AU18" s="277"/>
      <c r="AV18" s="277">
        <f t="shared" si="34"/>
        <v>0</v>
      </c>
      <c r="AW18" s="277">
        <f t="shared" si="34"/>
        <v>0</v>
      </c>
      <c r="AX18" s="277"/>
      <c r="AY18" s="277"/>
      <c r="AZ18" s="277"/>
      <c r="BA18" s="277"/>
      <c r="BB18" s="277">
        <f t="shared" si="35"/>
        <v>0</v>
      </c>
      <c r="BC18" s="277"/>
      <c r="BD18" s="277">
        <f t="shared" si="6"/>
        <v>0</v>
      </c>
      <c r="BE18" s="277"/>
      <c r="BF18" s="277"/>
      <c r="BG18" s="277"/>
      <c r="BH18" s="277"/>
      <c r="BI18" s="277">
        <f t="shared" si="36"/>
        <v>0</v>
      </c>
      <c r="BJ18" s="277"/>
      <c r="BK18" s="277">
        <f t="shared" si="7"/>
        <v>0</v>
      </c>
      <c r="BL18" s="277"/>
      <c r="BM18" s="277"/>
      <c r="BN18" s="277"/>
      <c r="BO18" s="277"/>
      <c r="BP18" s="277">
        <f t="shared" si="37"/>
        <v>0</v>
      </c>
      <c r="BQ18" s="277"/>
      <c r="BR18" s="277">
        <f t="shared" si="8"/>
        <v>0</v>
      </c>
      <c r="BS18" s="277"/>
      <c r="BT18" s="277"/>
      <c r="BU18" s="277"/>
      <c r="BV18" s="277"/>
      <c r="BW18" s="277">
        <f t="shared" si="47"/>
        <v>0</v>
      </c>
      <c r="BX18" s="277"/>
      <c r="BY18" s="277">
        <f t="shared" si="46"/>
        <v>0</v>
      </c>
      <c r="BZ18" s="277"/>
      <c r="CA18" s="277"/>
      <c r="CB18" s="277"/>
      <c r="CC18" s="277"/>
      <c r="CD18" s="277">
        <f t="shared" si="38"/>
        <v>0</v>
      </c>
      <c r="CE18" s="277"/>
      <c r="CF18" s="277">
        <f t="shared" si="9"/>
        <v>0</v>
      </c>
      <c r="CG18" s="277"/>
      <c r="CH18" s="277"/>
      <c r="CI18" s="277"/>
      <c r="CJ18" s="277"/>
      <c r="CK18" s="277">
        <f t="shared" si="39"/>
        <v>0</v>
      </c>
      <c r="CL18" s="277"/>
      <c r="CM18" s="277">
        <f t="shared" si="10"/>
        <v>0</v>
      </c>
      <c r="CN18" s="277"/>
      <c r="CO18" s="277"/>
      <c r="CP18" s="277"/>
      <c r="CQ18" s="277"/>
      <c r="CR18" s="277">
        <f t="shared" si="40"/>
        <v>0</v>
      </c>
      <c r="CS18" s="277"/>
      <c r="CT18" s="277">
        <f t="shared" si="11"/>
        <v>0</v>
      </c>
      <c r="CU18" s="277"/>
      <c r="CV18" s="277"/>
      <c r="CW18" s="277"/>
      <c r="CX18" s="277"/>
      <c r="CY18" s="277">
        <f t="shared" si="41"/>
        <v>0</v>
      </c>
      <c r="CZ18" s="277"/>
      <c r="DA18" s="277">
        <f t="shared" si="12"/>
        <v>0</v>
      </c>
      <c r="DB18" s="277"/>
      <c r="DC18" s="277"/>
      <c r="DD18" s="277"/>
      <c r="DE18" s="277"/>
      <c r="DF18" s="277">
        <f t="shared" si="42"/>
        <v>0</v>
      </c>
      <c r="DG18" s="277"/>
      <c r="DH18" s="277">
        <f t="shared" si="13"/>
        <v>0</v>
      </c>
      <c r="DI18" s="277"/>
      <c r="DJ18" s="277"/>
      <c r="DK18" s="277"/>
      <c r="DL18" s="277"/>
      <c r="DM18" s="277">
        <f t="shared" si="43"/>
        <v>0</v>
      </c>
      <c r="DN18" s="277"/>
      <c r="DO18" s="277">
        <f t="shared" si="14"/>
        <v>0</v>
      </c>
      <c r="DP18" s="277">
        <f t="shared" si="15"/>
        <v>0</v>
      </c>
      <c r="DQ18" s="277">
        <f t="shared" si="16"/>
        <v>0</v>
      </c>
      <c r="DR18" s="277">
        <f t="shared" si="17"/>
        <v>0</v>
      </c>
      <c r="DS18" s="277">
        <f t="shared" si="18"/>
        <v>0</v>
      </c>
      <c r="DT18" s="277">
        <f t="shared" si="44"/>
        <v>0</v>
      </c>
      <c r="DU18" s="277">
        <f t="shared" si="44"/>
        <v>0</v>
      </c>
    </row>
    <row r="19" spans="1:125" ht="42.75">
      <c r="A19" s="44">
        <v>11</v>
      </c>
      <c r="B19" s="7" t="s">
        <v>106</v>
      </c>
      <c r="C19" s="7" t="s">
        <v>142</v>
      </c>
      <c r="D19" s="177" t="s">
        <v>143</v>
      </c>
      <c r="E19" s="181" t="s">
        <v>1164</v>
      </c>
      <c r="F19" s="161">
        <f t="shared" si="19"/>
        <v>0</v>
      </c>
      <c r="G19" s="165">
        <f t="shared" si="20"/>
        <v>1522.5</v>
      </c>
      <c r="H19" s="45"/>
      <c r="I19" s="149">
        <v>0</v>
      </c>
      <c r="J19" s="149">
        <v>0</v>
      </c>
      <c r="K19" s="127">
        <f t="shared" si="21"/>
        <v>1522.5</v>
      </c>
      <c r="L19" s="127">
        <f t="shared" si="45"/>
        <v>1522.5</v>
      </c>
      <c r="M19" s="127">
        <f t="shared" si="22"/>
        <v>1522.5</v>
      </c>
      <c r="N19" s="131">
        <f t="shared" si="23"/>
        <v>0</v>
      </c>
      <c r="O19" s="125">
        <f t="shared" si="24"/>
        <v>1522.5</v>
      </c>
      <c r="P19" s="10"/>
      <c r="Q19" s="10">
        <v>1522.5</v>
      </c>
      <c r="R19" s="45">
        <f t="shared" si="25"/>
        <v>0</v>
      </c>
      <c r="S19" s="45">
        <f t="shared" si="26"/>
        <v>1522.5</v>
      </c>
      <c r="T19" s="10"/>
      <c r="U19" s="45"/>
      <c r="V19" s="10"/>
      <c r="W19" s="10"/>
      <c r="X19" s="45">
        <f t="shared" si="27"/>
        <v>0</v>
      </c>
      <c r="Y19" s="45">
        <f t="shared" si="27"/>
        <v>0</v>
      </c>
      <c r="Z19" s="10"/>
      <c r="AA19" s="10"/>
      <c r="AB19" s="10"/>
      <c r="AC19" s="10"/>
      <c r="AD19" s="45">
        <f t="shared" si="28"/>
        <v>0</v>
      </c>
      <c r="AE19" s="45">
        <f t="shared" si="28"/>
        <v>0</v>
      </c>
      <c r="AF19" s="46">
        <f t="shared" si="29"/>
        <v>0</v>
      </c>
      <c r="AG19" s="45">
        <f t="shared" si="30"/>
        <v>0</v>
      </c>
      <c r="AH19" s="45">
        <f t="shared" si="30"/>
        <v>1522.5</v>
      </c>
      <c r="AI19" s="45">
        <f t="shared" si="31"/>
        <v>1522.5</v>
      </c>
      <c r="AJ19" s="45">
        <f t="shared" si="32"/>
        <v>1522.5</v>
      </c>
      <c r="AK19" s="45">
        <f t="shared" si="32"/>
        <v>1522.5</v>
      </c>
      <c r="AL19" s="45"/>
      <c r="AM19" s="10"/>
      <c r="AN19" s="10"/>
      <c r="AO19" s="10"/>
      <c r="AP19" s="45">
        <f t="shared" si="33"/>
        <v>0</v>
      </c>
      <c r="AQ19" s="45">
        <f t="shared" si="33"/>
        <v>0</v>
      </c>
      <c r="AR19" s="10"/>
      <c r="AS19" s="10"/>
      <c r="AT19" s="10"/>
      <c r="AU19" s="10"/>
      <c r="AV19" s="45">
        <f t="shared" si="34"/>
        <v>0</v>
      </c>
      <c r="AW19" s="45">
        <f t="shared" si="34"/>
        <v>0</v>
      </c>
      <c r="AX19" s="10"/>
      <c r="AY19" s="10"/>
      <c r="AZ19" s="10"/>
      <c r="BA19" s="10"/>
      <c r="BB19" s="45">
        <f t="shared" si="35"/>
        <v>0</v>
      </c>
      <c r="BC19" s="45"/>
      <c r="BD19" s="45">
        <f t="shared" si="6"/>
        <v>0</v>
      </c>
      <c r="BE19" s="10"/>
      <c r="BF19" s="10"/>
      <c r="BG19" s="10"/>
      <c r="BH19" s="10"/>
      <c r="BI19" s="45">
        <f t="shared" si="36"/>
        <v>0</v>
      </c>
      <c r="BJ19" s="45"/>
      <c r="BK19" s="45">
        <f t="shared" si="7"/>
        <v>0</v>
      </c>
      <c r="BL19" s="10"/>
      <c r="BM19" s="10"/>
      <c r="BN19" s="10"/>
      <c r="BO19" s="10"/>
      <c r="BP19" s="45">
        <f t="shared" si="37"/>
        <v>0</v>
      </c>
      <c r="BQ19" s="45"/>
      <c r="BR19" s="45">
        <f t="shared" si="8"/>
        <v>0</v>
      </c>
      <c r="BS19" s="10"/>
      <c r="BT19" s="10"/>
      <c r="BU19" s="10"/>
      <c r="BV19" s="10"/>
      <c r="BW19" s="45"/>
      <c r="BX19" s="45"/>
      <c r="BY19" s="12">
        <f t="shared" si="46"/>
        <v>0</v>
      </c>
      <c r="BZ19" s="10"/>
      <c r="CA19" s="10"/>
      <c r="CB19" s="10"/>
      <c r="CC19" s="10"/>
      <c r="CD19" s="45">
        <f t="shared" si="38"/>
        <v>0</v>
      </c>
      <c r="CE19" s="45"/>
      <c r="CF19" s="45">
        <f t="shared" si="9"/>
        <v>0</v>
      </c>
      <c r="CG19" s="10"/>
      <c r="CH19" s="10"/>
      <c r="CI19" s="10"/>
      <c r="CJ19" s="10"/>
      <c r="CK19" s="45">
        <f t="shared" si="39"/>
        <v>0</v>
      </c>
      <c r="CL19" s="45"/>
      <c r="CM19" s="45">
        <f t="shared" si="10"/>
        <v>0</v>
      </c>
      <c r="CN19" s="10"/>
      <c r="CO19" s="10"/>
      <c r="CP19" s="10"/>
      <c r="CQ19" s="10"/>
      <c r="CR19" s="45">
        <f t="shared" si="40"/>
        <v>0</v>
      </c>
      <c r="CS19" s="45"/>
      <c r="CT19" s="45">
        <f t="shared" si="11"/>
        <v>0</v>
      </c>
      <c r="CU19" s="10"/>
      <c r="CV19" s="10"/>
      <c r="CW19" s="10"/>
      <c r="CX19" s="10"/>
      <c r="CY19" s="45">
        <f t="shared" si="41"/>
        <v>0</v>
      </c>
      <c r="CZ19" s="45"/>
      <c r="DA19" s="45">
        <f t="shared" si="12"/>
        <v>0</v>
      </c>
      <c r="DB19" s="10"/>
      <c r="DC19" s="10"/>
      <c r="DD19" s="10"/>
      <c r="DE19" s="10"/>
      <c r="DF19" s="45">
        <f t="shared" si="42"/>
        <v>0</v>
      </c>
      <c r="DG19" s="45"/>
      <c r="DH19" s="45">
        <f t="shared" si="13"/>
        <v>0</v>
      </c>
      <c r="DI19" s="10"/>
      <c r="DJ19" s="10"/>
      <c r="DK19" s="10"/>
      <c r="DL19" s="10"/>
      <c r="DM19" s="45">
        <f t="shared" si="43"/>
        <v>0</v>
      </c>
      <c r="DN19" s="45"/>
      <c r="DO19" s="45">
        <f t="shared" si="14"/>
        <v>0</v>
      </c>
      <c r="DP19" s="12">
        <f t="shared" si="15"/>
        <v>0</v>
      </c>
      <c r="DQ19" s="12">
        <f t="shared" si="16"/>
        <v>0</v>
      </c>
      <c r="DR19" s="12">
        <f t="shared" si="17"/>
        <v>0</v>
      </c>
      <c r="DS19" s="12">
        <f t="shared" si="18"/>
        <v>0</v>
      </c>
      <c r="DT19" s="12">
        <f t="shared" si="44"/>
        <v>0</v>
      </c>
      <c r="DU19" s="12">
        <f t="shared" si="44"/>
        <v>0</v>
      </c>
    </row>
    <row r="20" spans="1:125" s="315" customFormat="1" ht="28.5">
      <c r="A20" s="310">
        <v>12</v>
      </c>
      <c r="B20" s="311" t="s">
        <v>106</v>
      </c>
      <c r="C20" s="311" t="s">
        <v>142</v>
      </c>
      <c r="D20" s="312" t="s">
        <v>144</v>
      </c>
      <c r="E20" s="316" t="s">
        <v>1165</v>
      </c>
      <c r="F20" s="255">
        <f t="shared" si="19"/>
        <v>0</v>
      </c>
      <c r="G20" s="256">
        <f t="shared" si="20"/>
        <v>0</v>
      </c>
      <c r="H20" s="277">
        <v>170000</v>
      </c>
      <c r="I20" s="149">
        <v>0</v>
      </c>
      <c r="J20" s="149">
        <v>0</v>
      </c>
      <c r="K20" s="255">
        <f t="shared" si="21"/>
        <v>0</v>
      </c>
      <c r="L20" s="255">
        <f t="shared" si="45"/>
        <v>0</v>
      </c>
      <c r="M20" s="255">
        <f t="shared" si="22"/>
        <v>0</v>
      </c>
      <c r="N20" s="255">
        <f t="shared" si="23"/>
        <v>0</v>
      </c>
      <c r="O20" s="255" t="str">
        <f t="shared" si="24"/>
        <v>ნულოვანი შესრულება</v>
      </c>
      <c r="P20" s="45"/>
      <c r="Q20" s="45"/>
      <c r="R20" s="45">
        <f t="shared" si="25"/>
        <v>0</v>
      </c>
      <c r="S20" s="45">
        <f t="shared" si="26"/>
        <v>0</v>
      </c>
      <c r="T20" s="277"/>
      <c r="U20" s="277"/>
      <c r="V20" s="277"/>
      <c r="W20" s="277"/>
      <c r="X20" s="277">
        <f t="shared" si="27"/>
        <v>0</v>
      </c>
      <c r="Y20" s="277">
        <f t="shared" si="27"/>
        <v>0</v>
      </c>
      <c r="Z20" s="277"/>
      <c r="AA20" s="277"/>
      <c r="AB20" s="277"/>
      <c r="AC20" s="277"/>
      <c r="AD20" s="277">
        <f t="shared" si="28"/>
        <v>0</v>
      </c>
      <c r="AE20" s="277">
        <f t="shared" si="28"/>
        <v>0</v>
      </c>
      <c r="AF20" s="314">
        <f t="shared" si="29"/>
        <v>0</v>
      </c>
      <c r="AG20" s="277">
        <f t="shared" si="30"/>
        <v>0</v>
      </c>
      <c r="AH20" s="277">
        <f t="shared" si="30"/>
        <v>0</v>
      </c>
      <c r="AI20" s="277">
        <f t="shared" si="31"/>
        <v>0</v>
      </c>
      <c r="AJ20" s="277">
        <f t="shared" si="32"/>
        <v>0</v>
      </c>
      <c r="AK20" s="277">
        <f t="shared" si="32"/>
        <v>0</v>
      </c>
      <c r="AL20" s="277"/>
      <c r="AM20" s="277"/>
      <c r="AN20" s="277"/>
      <c r="AO20" s="277"/>
      <c r="AP20" s="277">
        <f t="shared" si="33"/>
        <v>0</v>
      </c>
      <c r="AQ20" s="277">
        <f t="shared" si="33"/>
        <v>0</v>
      </c>
      <c r="AR20" s="277"/>
      <c r="AS20" s="277"/>
      <c r="AT20" s="277"/>
      <c r="AU20" s="277"/>
      <c r="AV20" s="277">
        <f t="shared" si="34"/>
        <v>0</v>
      </c>
      <c r="AW20" s="277">
        <f t="shared" si="34"/>
        <v>0</v>
      </c>
      <c r="AX20" s="277"/>
      <c r="AY20" s="277"/>
      <c r="AZ20" s="277"/>
      <c r="BA20" s="277"/>
      <c r="BB20" s="277">
        <f t="shared" si="35"/>
        <v>0</v>
      </c>
      <c r="BC20" s="277"/>
      <c r="BD20" s="277">
        <f t="shared" si="6"/>
        <v>0</v>
      </c>
      <c r="BE20" s="277"/>
      <c r="BF20" s="277"/>
      <c r="BG20" s="277"/>
      <c r="BH20" s="277"/>
      <c r="BI20" s="277">
        <f t="shared" si="36"/>
        <v>0</v>
      </c>
      <c r="BJ20" s="277"/>
      <c r="BK20" s="277">
        <f t="shared" si="7"/>
        <v>0</v>
      </c>
      <c r="BL20" s="277"/>
      <c r="BM20" s="277"/>
      <c r="BN20" s="277"/>
      <c r="BO20" s="277"/>
      <c r="BP20" s="277">
        <f t="shared" si="37"/>
        <v>0</v>
      </c>
      <c r="BQ20" s="277"/>
      <c r="BR20" s="277">
        <f t="shared" si="8"/>
        <v>0</v>
      </c>
      <c r="BS20" s="277"/>
      <c r="BT20" s="277"/>
      <c r="BU20" s="277"/>
      <c r="BV20" s="277"/>
      <c r="BW20" s="277"/>
      <c r="BX20" s="277"/>
      <c r="BY20" s="277">
        <f t="shared" si="46"/>
        <v>0</v>
      </c>
      <c r="BZ20" s="277"/>
      <c r="CA20" s="277"/>
      <c r="CB20" s="277"/>
      <c r="CC20" s="277"/>
      <c r="CD20" s="277">
        <f t="shared" si="38"/>
        <v>0</v>
      </c>
      <c r="CE20" s="277"/>
      <c r="CF20" s="277">
        <f t="shared" si="9"/>
        <v>0</v>
      </c>
      <c r="CG20" s="277"/>
      <c r="CH20" s="277"/>
      <c r="CI20" s="277"/>
      <c r="CJ20" s="277"/>
      <c r="CK20" s="277">
        <f t="shared" si="39"/>
        <v>0</v>
      </c>
      <c r="CL20" s="277"/>
      <c r="CM20" s="277">
        <f t="shared" si="10"/>
        <v>0</v>
      </c>
      <c r="CN20" s="277"/>
      <c r="CO20" s="277"/>
      <c r="CP20" s="277"/>
      <c r="CQ20" s="277"/>
      <c r="CR20" s="277">
        <f t="shared" si="40"/>
        <v>0</v>
      </c>
      <c r="CS20" s="277"/>
      <c r="CT20" s="277">
        <f t="shared" si="11"/>
        <v>0</v>
      </c>
      <c r="CU20" s="277"/>
      <c r="CV20" s="277"/>
      <c r="CW20" s="277"/>
      <c r="CX20" s="277"/>
      <c r="CY20" s="277">
        <f t="shared" si="41"/>
        <v>0</v>
      </c>
      <c r="CZ20" s="277"/>
      <c r="DA20" s="277">
        <f t="shared" si="12"/>
        <v>0</v>
      </c>
      <c r="DB20" s="277"/>
      <c r="DC20" s="277"/>
      <c r="DD20" s="277"/>
      <c r="DE20" s="277"/>
      <c r="DF20" s="277">
        <f t="shared" si="42"/>
        <v>0</v>
      </c>
      <c r="DG20" s="277"/>
      <c r="DH20" s="277">
        <f t="shared" si="13"/>
        <v>0</v>
      </c>
      <c r="DI20" s="277"/>
      <c r="DJ20" s="277"/>
      <c r="DK20" s="277"/>
      <c r="DL20" s="277"/>
      <c r="DM20" s="277">
        <f t="shared" si="43"/>
        <v>0</v>
      </c>
      <c r="DN20" s="277"/>
      <c r="DO20" s="277">
        <f t="shared" si="14"/>
        <v>0</v>
      </c>
      <c r="DP20" s="277">
        <f t="shared" si="15"/>
        <v>0</v>
      </c>
      <c r="DQ20" s="277">
        <f t="shared" si="16"/>
        <v>0</v>
      </c>
      <c r="DR20" s="277">
        <f t="shared" si="17"/>
        <v>0</v>
      </c>
      <c r="DS20" s="277">
        <f t="shared" si="18"/>
        <v>0</v>
      </c>
      <c r="DT20" s="277">
        <f t="shared" si="44"/>
        <v>0</v>
      </c>
      <c r="DU20" s="277">
        <f t="shared" si="44"/>
        <v>0</v>
      </c>
    </row>
    <row r="21" spans="1:125" ht="28.5">
      <c r="A21" s="44">
        <v>13</v>
      </c>
      <c r="B21" s="7" t="s">
        <v>106</v>
      </c>
      <c r="C21" s="7" t="s">
        <v>145</v>
      </c>
      <c r="D21" s="177" t="s">
        <v>146</v>
      </c>
      <c r="E21" s="181" t="s">
        <v>1164</v>
      </c>
      <c r="F21" s="161">
        <f t="shared" si="19"/>
        <v>0</v>
      </c>
      <c r="G21" s="165">
        <f t="shared" si="20"/>
        <v>2590</v>
      </c>
      <c r="H21" s="45"/>
      <c r="I21" s="149">
        <v>0</v>
      </c>
      <c r="J21" s="149">
        <v>0</v>
      </c>
      <c r="K21" s="127">
        <f t="shared" si="21"/>
        <v>2590</v>
      </c>
      <c r="L21" s="127">
        <f t="shared" si="45"/>
        <v>2590</v>
      </c>
      <c r="M21" s="127">
        <f t="shared" si="22"/>
        <v>2590</v>
      </c>
      <c r="N21" s="131">
        <f t="shared" si="23"/>
        <v>0</v>
      </c>
      <c r="O21" s="125">
        <f t="shared" si="24"/>
        <v>2590</v>
      </c>
      <c r="P21" s="10"/>
      <c r="Q21" s="10">
        <v>2590</v>
      </c>
      <c r="R21" s="45">
        <f t="shared" si="25"/>
        <v>0</v>
      </c>
      <c r="S21" s="45">
        <f t="shared" si="26"/>
        <v>2590</v>
      </c>
      <c r="T21" s="10"/>
      <c r="U21" s="45"/>
      <c r="V21" s="10"/>
      <c r="W21" s="10"/>
      <c r="X21" s="45">
        <f t="shared" si="27"/>
        <v>0</v>
      </c>
      <c r="Y21" s="45">
        <f t="shared" si="27"/>
        <v>0</v>
      </c>
      <c r="Z21" s="10"/>
      <c r="AA21" s="10"/>
      <c r="AB21" s="10"/>
      <c r="AC21" s="10"/>
      <c r="AD21" s="45">
        <f t="shared" si="28"/>
        <v>0</v>
      </c>
      <c r="AE21" s="45">
        <f t="shared" si="28"/>
        <v>0</v>
      </c>
      <c r="AF21" s="46">
        <f t="shared" si="29"/>
        <v>0</v>
      </c>
      <c r="AG21" s="45">
        <f t="shared" si="30"/>
        <v>0</v>
      </c>
      <c r="AH21" s="45">
        <f t="shared" si="30"/>
        <v>2590</v>
      </c>
      <c r="AI21" s="45">
        <f t="shared" si="31"/>
        <v>2590</v>
      </c>
      <c r="AJ21" s="45">
        <f t="shared" si="32"/>
        <v>2590</v>
      </c>
      <c r="AK21" s="45">
        <f t="shared" si="32"/>
        <v>2590</v>
      </c>
      <c r="AL21" s="45"/>
      <c r="AM21" s="10"/>
      <c r="AN21" s="10"/>
      <c r="AO21" s="10"/>
      <c r="AP21" s="45">
        <f t="shared" si="33"/>
        <v>0</v>
      </c>
      <c r="AQ21" s="45">
        <f t="shared" si="33"/>
        <v>0</v>
      </c>
      <c r="AR21" s="10"/>
      <c r="AS21" s="10"/>
      <c r="AT21" s="10"/>
      <c r="AU21" s="10"/>
      <c r="AV21" s="45">
        <f t="shared" si="34"/>
        <v>0</v>
      </c>
      <c r="AW21" s="45">
        <f t="shared" si="34"/>
        <v>0</v>
      </c>
      <c r="AX21" s="10"/>
      <c r="AY21" s="10"/>
      <c r="AZ21" s="10"/>
      <c r="BA21" s="10"/>
      <c r="BB21" s="45">
        <f t="shared" si="35"/>
        <v>0</v>
      </c>
      <c r="BC21" s="45"/>
      <c r="BD21" s="45">
        <f t="shared" si="6"/>
        <v>0</v>
      </c>
      <c r="BE21" s="10"/>
      <c r="BF21" s="10"/>
      <c r="BG21" s="10"/>
      <c r="BH21" s="10"/>
      <c r="BI21" s="45">
        <f t="shared" si="36"/>
        <v>0</v>
      </c>
      <c r="BJ21" s="45"/>
      <c r="BK21" s="45">
        <f t="shared" si="7"/>
        <v>0</v>
      </c>
      <c r="BL21" s="10"/>
      <c r="BM21" s="10"/>
      <c r="BN21" s="10"/>
      <c r="BO21" s="10"/>
      <c r="BP21" s="45">
        <f t="shared" si="37"/>
        <v>0</v>
      </c>
      <c r="BQ21" s="45"/>
      <c r="BR21" s="45">
        <f t="shared" si="8"/>
        <v>0</v>
      </c>
      <c r="BS21" s="10"/>
      <c r="BT21" s="10"/>
      <c r="BU21" s="10"/>
      <c r="BV21" s="10"/>
      <c r="BW21" s="45"/>
      <c r="BX21" s="45"/>
      <c r="BY21" s="12">
        <f t="shared" si="46"/>
        <v>0</v>
      </c>
      <c r="BZ21" s="10"/>
      <c r="CA21" s="10"/>
      <c r="CB21" s="10"/>
      <c r="CC21" s="10"/>
      <c r="CD21" s="45">
        <f t="shared" si="38"/>
        <v>0</v>
      </c>
      <c r="CE21" s="45"/>
      <c r="CF21" s="45">
        <f t="shared" si="9"/>
        <v>0</v>
      </c>
      <c r="CG21" s="10"/>
      <c r="CH21" s="10"/>
      <c r="CI21" s="10"/>
      <c r="CJ21" s="10"/>
      <c r="CK21" s="45">
        <f t="shared" si="39"/>
        <v>0</v>
      </c>
      <c r="CL21" s="45"/>
      <c r="CM21" s="45">
        <f t="shared" si="10"/>
        <v>0</v>
      </c>
      <c r="CN21" s="10"/>
      <c r="CO21" s="10"/>
      <c r="CP21" s="10"/>
      <c r="CQ21" s="10"/>
      <c r="CR21" s="45">
        <f t="shared" si="40"/>
        <v>0</v>
      </c>
      <c r="CS21" s="45"/>
      <c r="CT21" s="45">
        <f t="shared" si="11"/>
        <v>0</v>
      </c>
      <c r="CU21" s="10"/>
      <c r="CV21" s="10"/>
      <c r="CW21" s="10"/>
      <c r="CX21" s="10"/>
      <c r="CY21" s="45">
        <f t="shared" si="41"/>
        <v>0</v>
      </c>
      <c r="CZ21" s="45"/>
      <c r="DA21" s="45">
        <f t="shared" si="12"/>
        <v>0</v>
      </c>
      <c r="DB21" s="10"/>
      <c r="DC21" s="10"/>
      <c r="DD21" s="10"/>
      <c r="DE21" s="10"/>
      <c r="DF21" s="45">
        <f t="shared" si="42"/>
        <v>0</v>
      </c>
      <c r="DG21" s="45"/>
      <c r="DH21" s="45">
        <f t="shared" si="13"/>
        <v>0</v>
      </c>
      <c r="DI21" s="10"/>
      <c r="DJ21" s="10"/>
      <c r="DK21" s="10"/>
      <c r="DL21" s="10"/>
      <c r="DM21" s="45">
        <f t="shared" si="43"/>
        <v>0</v>
      </c>
      <c r="DN21" s="45"/>
      <c r="DO21" s="45">
        <f t="shared" si="14"/>
        <v>0</v>
      </c>
      <c r="DP21" s="12">
        <f t="shared" si="15"/>
        <v>0</v>
      </c>
      <c r="DQ21" s="12">
        <f t="shared" si="16"/>
        <v>0</v>
      </c>
      <c r="DR21" s="12">
        <f t="shared" si="17"/>
        <v>0</v>
      </c>
      <c r="DS21" s="12">
        <f t="shared" si="18"/>
        <v>0</v>
      </c>
      <c r="DT21" s="12">
        <f t="shared" si="44"/>
        <v>0</v>
      </c>
      <c r="DU21" s="12">
        <f t="shared" si="44"/>
        <v>0</v>
      </c>
    </row>
    <row r="22" spans="1:125" s="315" customFormat="1" ht="28.5">
      <c r="A22" s="310">
        <v>14</v>
      </c>
      <c r="B22" s="311" t="s">
        <v>106</v>
      </c>
      <c r="C22" s="311" t="s">
        <v>145</v>
      </c>
      <c r="D22" s="312" t="s">
        <v>147</v>
      </c>
      <c r="E22" s="316" t="s">
        <v>1165</v>
      </c>
      <c r="F22" s="255">
        <f t="shared" si="19"/>
        <v>0</v>
      </c>
      <c r="G22" s="256">
        <f t="shared" si="20"/>
        <v>0</v>
      </c>
      <c r="H22" s="277">
        <v>160000</v>
      </c>
      <c r="I22" s="149">
        <v>0</v>
      </c>
      <c r="J22" s="149">
        <v>0</v>
      </c>
      <c r="K22" s="255">
        <f t="shared" si="21"/>
        <v>0</v>
      </c>
      <c r="L22" s="255">
        <f t="shared" si="45"/>
        <v>0</v>
      </c>
      <c r="M22" s="255">
        <f t="shared" si="22"/>
        <v>0</v>
      </c>
      <c r="N22" s="255">
        <f t="shared" si="23"/>
        <v>0</v>
      </c>
      <c r="O22" s="255" t="str">
        <f t="shared" si="24"/>
        <v>ნულოვანი შესრულება</v>
      </c>
      <c r="P22" s="45"/>
      <c r="Q22" s="45"/>
      <c r="R22" s="45">
        <f t="shared" si="25"/>
        <v>0</v>
      </c>
      <c r="S22" s="45">
        <f t="shared" si="26"/>
        <v>0</v>
      </c>
      <c r="T22" s="277"/>
      <c r="U22" s="277"/>
      <c r="V22" s="277"/>
      <c r="W22" s="277"/>
      <c r="X22" s="277">
        <f t="shared" si="27"/>
        <v>0</v>
      </c>
      <c r="Y22" s="277">
        <f t="shared" si="27"/>
        <v>0</v>
      </c>
      <c r="Z22" s="277"/>
      <c r="AA22" s="277"/>
      <c r="AB22" s="277"/>
      <c r="AC22" s="277"/>
      <c r="AD22" s="277">
        <f t="shared" si="28"/>
        <v>0</v>
      </c>
      <c r="AE22" s="277">
        <f t="shared" si="28"/>
        <v>0</v>
      </c>
      <c r="AF22" s="314">
        <f t="shared" si="29"/>
        <v>0</v>
      </c>
      <c r="AG22" s="277">
        <f t="shared" si="30"/>
        <v>0</v>
      </c>
      <c r="AH22" s="277">
        <f t="shared" si="30"/>
        <v>0</v>
      </c>
      <c r="AI22" s="277">
        <f t="shared" si="31"/>
        <v>0</v>
      </c>
      <c r="AJ22" s="277">
        <f t="shared" si="32"/>
        <v>0</v>
      </c>
      <c r="AK22" s="277">
        <f t="shared" si="32"/>
        <v>0</v>
      </c>
      <c r="AL22" s="277"/>
      <c r="AM22" s="277"/>
      <c r="AN22" s="277"/>
      <c r="AO22" s="277"/>
      <c r="AP22" s="277">
        <f t="shared" si="33"/>
        <v>0</v>
      </c>
      <c r="AQ22" s="277">
        <f t="shared" si="33"/>
        <v>0</v>
      </c>
      <c r="AR22" s="277"/>
      <c r="AS22" s="277"/>
      <c r="AT22" s="277"/>
      <c r="AU22" s="277"/>
      <c r="AV22" s="277">
        <f t="shared" si="34"/>
        <v>0</v>
      </c>
      <c r="AW22" s="277">
        <f t="shared" si="34"/>
        <v>0</v>
      </c>
      <c r="AX22" s="277"/>
      <c r="AY22" s="277"/>
      <c r="AZ22" s="277"/>
      <c r="BA22" s="277"/>
      <c r="BB22" s="277">
        <f t="shared" si="35"/>
        <v>0</v>
      </c>
      <c r="BC22" s="277"/>
      <c r="BD22" s="277">
        <f t="shared" si="6"/>
        <v>0</v>
      </c>
      <c r="BE22" s="277"/>
      <c r="BF22" s="277"/>
      <c r="BG22" s="277"/>
      <c r="BH22" s="277"/>
      <c r="BI22" s="277">
        <f t="shared" si="36"/>
        <v>0</v>
      </c>
      <c r="BJ22" s="277"/>
      <c r="BK22" s="277">
        <f t="shared" si="7"/>
        <v>0</v>
      </c>
      <c r="BL22" s="277"/>
      <c r="BM22" s="277"/>
      <c r="BN22" s="277"/>
      <c r="BO22" s="277"/>
      <c r="BP22" s="277">
        <f t="shared" si="37"/>
        <v>0</v>
      </c>
      <c r="BQ22" s="277"/>
      <c r="BR22" s="277">
        <f t="shared" si="8"/>
        <v>0</v>
      </c>
      <c r="BS22" s="277"/>
      <c r="BT22" s="277"/>
      <c r="BU22" s="277"/>
      <c r="BV22" s="277"/>
      <c r="BW22" s="277"/>
      <c r="BX22" s="277"/>
      <c r="BY22" s="277">
        <f t="shared" si="46"/>
        <v>0</v>
      </c>
      <c r="BZ22" s="277"/>
      <c r="CA22" s="277"/>
      <c r="CB22" s="277"/>
      <c r="CC22" s="277"/>
      <c r="CD22" s="277">
        <f t="shared" si="38"/>
        <v>0</v>
      </c>
      <c r="CE22" s="277"/>
      <c r="CF22" s="277">
        <f t="shared" si="9"/>
        <v>0</v>
      </c>
      <c r="CG22" s="277"/>
      <c r="CH22" s="277"/>
      <c r="CI22" s="277"/>
      <c r="CJ22" s="277"/>
      <c r="CK22" s="277">
        <f t="shared" si="39"/>
        <v>0</v>
      </c>
      <c r="CL22" s="277"/>
      <c r="CM22" s="277">
        <f t="shared" si="10"/>
        <v>0</v>
      </c>
      <c r="CN22" s="277"/>
      <c r="CO22" s="277"/>
      <c r="CP22" s="277"/>
      <c r="CQ22" s="277"/>
      <c r="CR22" s="277">
        <f t="shared" si="40"/>
        <v>0</v>
      </c>
      <c r="CS22" s="277"/>
      <c r="CT22" s="277">
        <f t="shared" si="11"/>
        <v>0</v>
      </c>
      <c r="CU22" s="277"/>
      <c r="CV22" s="277"/>
      <c r="CW22" s="277"/>
      <c r="CX22" s="277"/>
      <c r="CY22" s="277">
        <f t="shared" si="41"/>
        <v>0</v>
      </c>
      <c r="CZ22" s="277"/>
      <c r="DA22" s="277">
        <f t="shared" si="12"/>
        <v>0</v>
      </c>
      <c r="DB22" s="277"/>
      <c r="DC22" s="277"/>
      <c r="DD22" s="277"/>
      <c r="DE22" s="277"/>
      <c r="DF22" s="277">
        <f t="shared" si="42"/>
        <v>0</v>
      </c>
      <c r="DG22" s="277"/>
      <c r="DH22" s="277">
        <f t="shared" si="13"/>
        <v>0</v>
      </c>
      <c r="DI22" s="277"/>
      <c r="DJ22" s="277"/>
      <c r="DK22" s="277"/>
      <c r="DL22" s="277"/>
      <c r="DM22" s="277">
        <f t="shared" si="43"/>
        <v>0</v>
      </c>
      <c r="DN22" s="277"/>
      <c r="DO22" s="277">
        <f t="shared" si="14"/>
        <v>0</v>
      </c>
      <c r="DP22" s="277">
        <f t="shared" si="15"/>
        <v>0</v>
      </c>
      <c r="DQ22" s="277">
        <f t="shared" si="16"/>
        <v>0</v>
      </c>
      <c r="DR22" s="277">
        <f t="shared" si="17"/>
        <v>0</v>
      </c>
      <c r="DS22" s="277">
        <f t="shared" si="18"/>
        <v>0</v>
      </c>
      <c r="DT22" s="277">
        <f t="shared" si="44"/>
        <v>0</v>
      </c>
      <c r="DU22" s="277">
        <f t="shared" si="44"/>
        <v>0</v>
      </c>
    </row>
    <row r="23" spans="1:125" ht="42.75">
      <c r="A23" s="44">
        <v>15</v>
      </c>
      <c r="B23" s="7" t="s">
        <v>106</v>
      </c>
      <c r="C23" s="7" t="s">
        <v>148</v>
      </c>
      <c r="D23" s="177" t="s">
        <v>149</v>
      </c>
      <c r="E23" s="181" t="s">
        <v>1164</v>
      </c>
      <c r="F23" s="161">
        <f t="shared" si="19"/>
        <v>0</v>
      </c>
      <c r="G23" s="165">
        <f t="shared" si="20"/>
        <v>728</v>
      </c>
      <c r="H23" s="10"/>
      <c r="I23" s="149">
        <v>0</v>
      </c>
      <c r="J23" s="149">
        <v>0</v>
      </c>
      <c r="K23" s="127">
        <f t="shared" si="21"/>
        <v>728</v>
      </c>
      <c r="L23" s="127">
        <f t="shared" si="45"/>
        <v>728</v>
      </c>
      <c r="M23" s="127">
        <f t="shared" si="22"/>
        <v>728</v>
      </c>
      <c r="N23" s="131">
        <f t="shared" si="23"/>
        <v>0</v>
      </c>
      <c r="O23" s="125">
        <f t="shared" si="24"/>
        <v>728</v>
      </c>
      <c r="P23" s="10"/>
      <c r="Q23" s="10"/>
      <c r="R23" s="45">
        <f t="shared" si="25"/>
        <v>0</v>
      </c>
      <c r="S23" s="45">
        <f t="shared" si="26"/>
        <v>0</v>
      </c>
      <c r="T23" s="10"/>
      <c r="U23" s="10"/>
      <c r="V23" s="10"/>
      <c r="W23" s="10">
        <v>728</v>
      </c>
      <c r="X23" s="45">
        <f t="shared" si="27"/>
        <v>0</v>
      </c>
      <c r="Y23" s="45">
        <f t="shared" si="27"/>
        <v>728</v>
      </c>
      <c r="Z23" s="10"/>
      <c r="AA23" s="10"/>
      <c r="AB23" s="10">
        <v>525</v>
      </c>
      <c r="AC23" s="10"/>
      <c r="AD23" s="45">
        <f t="shared" si="28"/>
        <v>525</v>
      </c>
      <c r="AE23" s="45">
        <f t="shared" si="28"/>
        <v>0</v>
      </c>
      <c r="AF23" s="46">
        <f t="shared" si="29"/>
        <v>0</v>
      </c>
      <c r="AG23" s="45">
        <f t="shared" si="30"/>
        <v>0</v>
      </c>
      <c r="AH23" s="45">
        <f t="shared" si="30"/>
        <v>525</v>
      </c>
      <c r="AI23" s="45">
        <f t="shared" si="31"/>
        <v>728</v>
      </c>
      <c r="AJ23" s="45">
        <f t="shared" si="32"/>
        <v>525</v>
      </c>
      <c r="AK23" s="45">
        <f t="shared" si="32"/>
        <v>728</v>
      </c>
      <c r="AL23" s="45"/>
      <c r="AM23" s="10"/>
      <c r="AN23" s="10"/>
      <c r="AO23" s="10"/>
      <c r="AP23" s="45">
        <f t="shared" si="33"/>
        <v>0</v>
      </c>
      <c r="AQ23" s="45">
        <f t="shared" si="33"/>
        <v>0</v>
      </c>
      <c r="AR23" s="10"/>
      <c r="AS23" s="10"/>
      <c r="AT23" s="10"/>
      <c r="AU23" s="10"/>
      <c r="AV23" s="45">
        <f t="shared" si="34"/>
        <v>0</v>
      </c>
      <c r="AW23" s="45">
        <f t="shared" si="34"/>
        <v>0</v>
      </c>
      <c r="AX23" s="10"/>
      <c r="AY23" s="10"/>
      <c r="AZ23" s="10"/>
      <c r="BA23" s="10"/>
      <c r="BB23" s="45">
        <f t="shared" si="35"/>
        <v>0</v>
      </c>
      <c r="BC23" s="45"/>
      <c r="BD23" s="45">
        <f t="shared" si="6"/>
        <v>0</v>
      </c>
      <c r="BE23" s="10"/>
      <c r="BF23" s="10"/>
      <c r="BG23" s="10"/>
      <c r="BH23" s="10"/>
      <c r="BI23" s="45">
        <f t="shared" si="36"/>
        <v>0</v>
      </c>
      <c r="BJ23" s="45"/>
      <c r="BK23" s="45">
        <f t="shared" si="7"/>
        <v>0</v>
      </c>
      <c r="BL23" s="10"/>
      <c r="BM23" s="10"/>
      <c r="BN23" s="10"/>
      <c r="BO23" s="10"/>
      <c r="BP23" s="45">
        <f t="shared" si="37"/>
        <v>0</v>
      </c>
      <c r="BQ23" s="45"/>
      <c r="BR23" s="45">
        <f t="shared" si="8"/>
        <v>0</v>
      </c>
      <c r="BS23" s="10"/>
      <c r="BT23" s="10"/>
      <c r="BU23" s="10"/>
      <c r="BV23" s="10"/>
      <c r="BW23" s="45"/>
      <c r="BX23" s="45"/>
      <c r="BY23" s="12">
        <f t="shared" si="46"/>
        <v>0</v>
      </c>
      <c r="BZ23" s="10"/>
      <c r="CA23" s="10"/>
      <c r="CB23" s="10"/>
      <c r="CC23" s="10"/>
      <c r="CD23" s="45">
        <f t="shared" si="38"/>
        <v>0</v>
      </c>
      <c r="CE23" s="45"/>
      <c r="CF23" s="45">
        <f t="shared" si="9"/>
        <v>0</v>
      </c>
      <c r="CG23" s="10"/>
      <c r="CH23" s="10"/>
      <c r="CI23" s="10"/>
      <c r="CJ23" s="10"/>
      <c r="CK23" s="45">
        <f t="shared" si="39"/>
        <v>0</v>
      </c>
      <c r="CL23" s="45"/>
      <c r="CM23" s="45">
        <f t="shared" si="10"/>
        <v>0</v>
      </c>
      <c r="CN23" s="10"/>
      <c r="CO23" s="10"/>
      <c r="CP23" s="10"/>
      <c r="CQ23" s="10"/>
      <c r="CR23" s="45">
        <f t="shared" si="40"/>
        <v>0</v>
      </c>
      <c r="CS23" s="45"/>
      <c r="CT23" s="45">
        <f t="shared" si="11"/>
        <v>0</v>
      </c>
      <c r="CU23" s="10"/>
      <c r="CV23" s="10"/>
      <c r="CW23" s="10"/>
      <c r="CX23" s="10"/>
      <c r="CY23" s="45">
        <f t="shared" si="41"/>
        <v>0</v>
      </c>
      <c r="CZ23" s="45"/>
      <c r="DA23" s="45">
        <f t="shared" si="12"/>
        <v>0</v>
      </c>
      <c r="DB23" s="10"/>
      <c r="DC23" s="10"/>
      <c r="DD23" s="10"/>
      <c r="DE23" s="10"/>
      <c r="DF23" s="45">
        <f t="shared" si="42"/>
        <v>0</v>
      </c>
      <c r="DG23" s="45"/>
      <c r="DH23" s="45">
        <f t="shared" si="13"/>
        <v>0</v>
      </c>
      <c r="DI23" s="10"/>
      <c r="DJ23" s="10"/>
      <c r="DK23" s="10"/>
      <c r="DL23" s="10"/>
      <c r="DM23" s="45">
        <f t="shared" si="43"/>
        <v>0</v>
      </c>
      <c r="DN23" s="45"/>
      <c r="DO23" s="45">
        <f t="shared" si="14"/>
        <v>0</v>
      </c>
      <c r="DP23" s="12">
        <f t="shared" si="15"/>
        <v>0</v>
      </c>
      <c r="DQ23" s="12">
        <f t="shared" si="16"/>
        <v>0</v>
      </c>
      <c r="DR23" s="12">
        <f t="shared" si="17"/>
        <v>0</v>
      </c>
      <c r="DS23" s="12">
        <f t="shared" si="18"/>
        <v>0</v>
      </c>
      <c r="DT23" s="12">
        <f t="shared" si="44"/>
        <v>0</v>
      </c>
      <c r="DU23" s="12">
        <f t="shared" si="44"/>
        <v>0</v>
      </c>
    </row>
    <row r="24" spans="1:125" s="315" customFormat="1" ht="28.5">
      <c r="A24" s="310">
        <v>16</v>
      </c>
      <c r="B24" s="311" t="s">
        <v>106</v>
      </c>
      <c r="C24" s="311" t="s">
        <v>148</v>
      </c>
      <c r="D24" s="312" t="s">
        <v>150</v>
      </c>
      <c r="E24" s="316" t="s">
        <v>1165</v>
      </c>
      <c r="F24" s="255">
        <f t="shared" si="19"/>
        <v>0</v>
      </c>
      <c r="G24" s="256">
        <f t="shared" si="20"/>
        <v>0</v>
      </c>
      <c r="H24" s="277">
        <v>140000</v>
      </c>
      <c r="I24" s="149">
        <v>0</v>
      </c>
      <c r="J24" s="149">
        <v>0</v>
      </c>
      <c r="K24" s="255">
        <f t="shared" si="21"/>
        <v>0</v>
      </c>
      <c r="L24" s="255">
        <f t="shared" si="45"/>
        <v>0</v>
      </c>
      <c r="M24" s="255">
        <f t="shared" si="22"/>
        <v>0</v>
      </c>
      <c r="N24" s="255">
        <f t="shared" si="23"/>
        <v>0</v>
      </c>
      <c r="O24" s="255" t="str">
        <f t="shared" si="24"/>
        <v>ნულოვანი შესრულება</v>
      </c>
      <c r="P24" s="45"/>
      <c r="Q24" s="45"/>
      <c r="R24" s="45">
        <f t="shared" si="25"/>
        <v>0</v>
      </c>
      <c r="S24" s="45">
        <f t="shared" si="26"/>
        <v>0</v>
      </c>
      <c r="T24" s="277"/>
      <c r="U24" s="277"/>
      <c r="V24" s="277"/>
      <c r="W24" s="277"/>
      <c r="X24" s="277">
        <f t="shared" si="27"/>
        <v>0</v>
      </c>
      <c r="Y24" s="277">
        <f t="shared" si="27"/>
        <v>0</v>
      </c>
      <c r="Z24" s="277"/>
      <c r="AA24" s="277"/>
      <c r="AB24" s="277"/>
      <c r="AC24" s="277"/>
      <c r="AD24" s="277">
        <f t="shared" si="28"/>
        <v>0</v>
      </c>
      <c r="AE24" s="277">
        <f t="shared" si="28"/>
        <v>0</v>
      </c>
      <c r="AF24" s="314">
        <f t="shared" si="29"/>
        <v>0</v>
      </c>
      <c r="AG24" s="277">
        <f t="shared" si="30"/>
        <v>0</v>
      </c>
      <c r="AH24" s="277">
        <f t="shared" si="30"/>
        <v>0</v>
      </c>
      <c r="AI24" s="277">
        <f t="shared" si="31"/>
        <v>0</v>
      </c>
      <c r="AJ24" s="277">
        <f t="shared" si="32"/>
        <v>0</v>
      </c>
      <c r="AK24" s="277">
        <f t="shared" si="32"/>
        <v>0</v>
      </c>
      <c r="AL24" s="277"/>
      <c r="AM24" s="277"/>
      <c r="AN24" s="277"/>
      <c r="AO24" s="277"/>
      <c r="AP24" s="277">
        <f t="shared" si="33"/>
        <v>0</v>
      </c>
      <c r="AQ24" s="277">
        <f t="shared" si="33"/>
        <v>0</v>
      </c>
      <c r="AR24" s="277"/>
      <c r="AS24" s="277"/>
      <c r="AT24" s="277"/>
      <c r="AU24" s="277"/>
      <c r="AV24" s="277">
        <f t="shared" si="34"/>
        <v>0</v>
      </c>
      <c r="AW24" s="277">
        <f t="shared" si="34"/>
        <v>0</v>
      </c>
      <c r="AX24" s="277"/>
      <c r="AY24" s="277"/>
      <c r="AZ24" s="277"/>
      <c r="BA24" s="277"/>
      <c r="BB24" s="277">
        <f t="shared" si="35"/>
        <v>0</v>
      </c>
      <c r="BC24" s="277"/>
      <c r="BD24" s="277">
        <f t="shared" si="6"/>
        <v>0</v>
      </c>
      <c r="BE24" s="277"/>
      <c r="BF24" s="277"/>
      <c r="BG24" s="277"/>
      <c r="BH24" s="277"/>
      <c r="BI24" s="277">
        <f t="shared" si="36"/>
        <v>0</v>
      </c>
      <c r="BJ24" s="277"/>
      <c r="BK24" s="277">
        <f t="shared" si="7"/>
        <v>0</v>
      </c>
      <c r="BL24" s="277"/>
      <c r="BM24" s="277"/>
      <c r="BN24" s="277"/>
      <c r="BO24" s="277"/>
      <c r="BP24" s="277">
        <f t="shared" si="37"/>
        <v>0</v>
      </c>
      <c r="BQ24" s="277"/>
      <c r="BR24" s="277">
        <f t="shared" si="8"/>
        <v>0</v>
      </c>
      <c r="BS24" s="277"/>
      <c r="BT24" s="277"/>
      <c r="BU24" s="277"/>
      <c r="BV24" s="277"/>
      <c r="BW24" s="277"/>
      <c r="BX24" s="277"/>
      <c r="BY24" s="277">
        <f t="shared" si="46"/>
        <v>0</v>
      </c>
      <c r="BZ24" s="277"/>
      <c r="CA24" s="277"/>
      <c r="CB24" s="277"/>
      <c r="CC24" s="277"/>
      <c r="CD24" s="277">
        <f t="shared" si="38"/>
        <v>0</v>
      </c>
      <c r="CE24" s="277"/>
      <c r="CF24" s="277">
        <f t="shared" si="9"/>
        <v>0</v>
      </c>
      <c r="CG24" s="277"/>
      <c r="CH24" s="277"/>
      <c r="CI24" s="277"/>
      <c r="CJ24" s="277"/>
      <c r="CK24" s="277">
        <f t="shared" si="39"/>
        <v>0</v>
      </c>
      <c r="CL24" s="277"/>
      <c r="CM24" s="277">
        <f t="shared" si="10"/>
        <v>0</v>
      </c>
      <c r="CN24" s="277"/>
      <c r="CO24" s="277"/>
      <c r="CP24" s="277"/>
      <c r="CQ24" s="277"/>
      <c r="CR24" s="277">
        <f t="shared" si="40"/>
        <v>0</v>
      </c>
      <c r="CS24" s="277"/>
      <c r="CT24" s="277">
        <f t="shared" si="11"/>
        <v>0</v>
      </c>
      <c r="CU24" s="277"/>
      <c r="CV24" s="277"/>
      <c r="CW24" s="277"/>
      <c r="CX24" s="277"/>
      <c r="CY24" s="277">
        <f t="shared" si="41"/>
        <v>0</v>
      </c>
      <c r="CZ24" s="277"/>
      <c r="DA24" s="277">
        <f t="shared" si="12"/>
        <v>0</v>
      </c>
      <c r="DB24" s="277"/>
      <c r="DC24" s="277"/>
      <c r="DD24" s="277"/>
      <c r="DE24" s="277"/>
      <c r="DF24" s="277">
        <f t="shared" si="42"/>
        <v>0</v>
      </c>
      <c r="DG24" s="277"/>
      <c r="DH24" s="277">
        <f t="shared" si="13"/>
        <v>0</v>
      </c>
      <c r="DI24" s="277"/>
      <c r="DJ24" s="277"/>
      <c r="DK24" s="277"/>
      <c r="DL24" s="277"/>
      <c r="DM24" s="277">
        <f t="shared" si="43"/>
        <v>0</v>
      </c>
      <c r="DN24" s="277"/>
      <c r="DO24" s="277">
        <f t="shared" si="14"/>
        <v>0</v>
      </c>
      <c r="DP24" s="277">
        <f t="shared" si="15"/>
        <v>0</v>
      </c>
      <c r="DQ24" s="277">
        <f t="shared" si="16"/>
        <v>0</v>
      </c>
      <c r="DR24" s="277">
        <f t="shared" si="17"/>
        <v>0</v>
      </c>
      <c r="DS24" s="277">
        <f t="shared" si="18"/>
        <v>0</v>
      </c>
      <c r="DT24" s="277">
        <f t="shared" si="44"/>
        <v>0</v>
      </c>
      <c r="DU24" s="277">
        <f t="shared" si="44"/>
        <v>0</v>
      </c>
    </row>
    <row r="25" spans="1:125" ht="42.75">
      <c r="A25" s="44">
        <v>17</v>
      </c>
      <c r="B25" s="7" t="s">
        <v>106</v>
      </c>
      <c r="C25" s="7" t="s">
        <v>151</v>
      </c>
      <c r="D25" s="177" t="s">
        <v>152</v>
      </c>
      <c r="E25" s="181" t="s">
        <v>1164</v>
      </c>
      <c r="F25" s="161">
        <f t="shared" si="19"/>
        <v>0</v>
      </c>
      <c r="G25" s="165">
        <f t="shared" si="20"/>
        <v>385</v>
      </c>
      <c r="H25" s="10"/>
      <c r="I25" s="149">
        <v>0</v>
      </c>
      <c r="J25" s="149">
        <v>0</v>
      </c>
      <c r="K25" s="127">
        <f t="shared" si="21"/>
        <v>385</v>
      </c>
      <c r="L25" s="127">
        <f t="shared" si="45"/>
        <v>385</v>
      </c>
      <c r="M25" s="127">
        <f t="shared" si="22"/>
        <v>385</v>
      </c>
      <c r="N25" s="131">
        <f t="shared" si="23"/>
        <v>0</v>
      </c>
      <c r="O25" s="125">
        <f t="shared" si="24"/>
        <v>385</v>
      </c>
      <c r="P25" s="10"/>
      <c r="Q25" s="10"/>
      <c r="R25" s="45">
        <f t="shared" si="25"/>
        <v>0</v>
      </c>
      <c r="S25" s="45">
        <f t="shared" si="26"/>
        <v>0</v>
      </c>
      <c r="T25" s="10"/>
      <c r="U25" s="10"/>
      <c r="V25" s="10"/>
      <c r="W25" s="10">
        <v>385</v>
      </c>
      <c r="X25" s="45">
        <f t="shared" si="27"/>
        <v>0</v>
      </c>
      <c r="Y25" s="45">
        <f t="shared" si="27"/>
        <v>385</v>
      </c>
      <c r="Z25" s="10"/>
      <c r="AA25" s="10"/>
      <c r="AB25" s="10">
        <v>350</v>
      </c>
      <c r="AC25" s="10"/>
      <c r="AD25" s="45">
        <f t="shared" si="28"/>
        <v>350</v>
      </c>
      <c r="AE25" s="45">
        <f t="shared" si="28"/>
        <v>0</v>
      </c>
      <c r="AF25" s="46">
        <f t="shared" si="29"/>
        <v>0</v>
      </c>
      <c r="AG25" s="45">
        <f t="shared" si="30"/>
        <v>0</v>
      </c>
      <c r="AH25" s="45">
        <f t="shared" si="30"/>
        <v>350</v>
      </c>
      <c r="AI25" s="45">
        <f t="shared" si="31"/>
        <v>385</v>
      </c>
      <c r="AJ25" s="45">
        <f t="shared" si="32"/>
        <v>350</v>
      </c>
      <c r="AK25" s="45">
        <f t="shared" si="32"/>
        <v>385</v>
      </c>
      <c r="AL25" s="45"/>
      <c r="AM25" s="10"/>
      <c r="AN25" s="10"/>
      <c r="AO25" s="10"/>
      <c r="AP25" s="45">
        <f t="shared" si="33"/>
        <v>0</v>
      </c>
      <c r="AQ25" s="45">
        <f t="shared" si="33"/>
        <v>0</v>
      </c>
      <c r="AR25" s="10"/>
      <c r="AS25" s="10"/>
      <c r="AT25" s="10"/>
      <c r="AU25" s="10"/>
      <c r="AV25" s="45">
        <f t="shared" si="34"/>
        <v>0</v>
      </c>
      <c r="AW25" s="45">
        <f t="shared" si="34"/>
        <v>0</v>
      </c>
      <c r="AX25" s="10"/>
      <c r="AY25" s="10"/>
      <c r="AZ25" s="10"/>
      <c r="BA25" s="10"/>
      <c r="BB25" s="45">
        <f t="shared" si="35"/>
        <v>0</v>
      </c>
      <c r="BC25" s="45"/>
      <c r="BD25" s="45">
        <f t="shared" si="6"/>
        <v>0</v>
      </c>
      <c r="BE25" s="10"/>
      <c r="BF25" s="10"/>
      <c r="BG25" s="10"/>
      <c r="BH25" s="10"/>
      <c r="BI25" s="45">
        <f t="shared" si="36"/>
        <v>0</v>
      </c>
      <c r="BJ25" s="45"/>
      <c r="BK25" s="45">
        <f t="shared" si="7"/>
        <v>0</v>
      </c>
      <c r="BL25" s="10"/>
      <c r="BM25" s="10"/>
      <c r="BN25" s="10"/>
      <c r="BO25" s="10"/>
      <c r="BP25" s="45">
        <f t="shared" si="37"/>
        <v>0</v>
      </c>
      <c r="BQ25" s="45"/>
      <c r="BR25" s="45">
        <f t="shared" si="8"/>
        <v>0</v>
      </c>
      <c r="BS25" s="10"/>
      <c r="BT25" s="10"/>
      <c r="BU25" s="10"/>
      <c r="BV25" s="10"/>
      <c r="BW25" s="45"/>
      <c r="BX25" s="45"/>
      <c r="BY25" s="12">
        <f t="shared" si="46"/>
        <v>0</v>
      </c>
      <c r="BZ25" s="10"/>
      <c r="CA25" s="10"/>
      <c r="CB25" s="10"/>
      <c r="CC25" s="10"/>
      <c r="CD25" s="45">
        <f t="shared" si="38"/>
        <v>0</v>
      </c>
      <c r="CE25" s="45"/>
      <c r="CF25" s="45">
        <f t="shared" si="9"/>
        <v>0</v>
      </c>
      <c r="CG25" s="10"/>
      <c r="CH25" s="10"/>
      <c r="CI25" s="10"/>
      <c r="CJ25" s="10"/>
      <c r="CK25" s="45">
        <f t="shared" si="39"/>
        <v>0</v>
      </c>
      <c r="CL25" s="45"/>
      <c r="CM25" s="45">
        <f t="shared" si="10"/>
        <v>0</v>
      </c>
      <c r="CN25" s="10"/>
      <c r="CO25" s="10"/>
      <c r="CP25" s="10"/>
      <c r="CQ25" s="10"/>
      <c r="CR25" s="45">
        <f t="shared" si="40"/>
        <v>0</v>
      </c>
      <c r="CS25" s="45"/>
      <c r="CT25" s="45">
        <f t="shared" si="11"/>
        <v>0</v>
      </c>
      <c r="CU25" s="10"/>
      <c r="CV25" s="10"/>
      <c r="CW25" s="10"/>
      <c r="CX25" s="10"/>
      <c r="CY25" s="45">
        <f t="shared" si="41"/>
        <v>0</v>
      </c>
      <c r="CZ25" s="45"/>
      <c r="DA25" s="45">
        <f t="shared" si="12"/>
        <v>0</v>
      </c>
      <c r="DB25" s="10"/>
      <c r="DC25" s="10"/>
      <c r="DD25" s="10"/>
      <c r="DE25" s="10"/>
      <c r="DF25" s="45">
        <f t="shared" si="42"/>
        <v>0</v>
      </c>
      <c r="DG25" s="45"/>
      <c r="DH25" s="45">
        <f t="shared" si="13"/>
        <v>0</v>
      </c>
      <c r="DI25" s="10"/>
      <c r="DJ25" s="10"/>
      <c r="DK25" s="10"/>
      <c r="DL25" s="10"/>
      <c r="DM25" s="45">
        <f t="shared" si="43"/>
        <v>0</v>
      </c>
      <c r="DN25" s="45"/>
      <c r="DO25" s="45">
        <f t="shared" si="14"/>
        <v>0</v>
      </c>
      <c r="DP25" s="12">
        <f t="shared" si="15"/>
        <v>0</v>
      </c>
      <c r="DQ25" s="12">
        <f t="shared" si="16"/>
        <v>0</v>
      </c>
      <c r="DR25" s="12">
        <f t="shared" si="17"/>
        <v>0</v>
      </c>
      <c r="DS25" s="12">
        <f t="shared" si="18"/>
        <v>0</v>
      </c>
      <c r="DT25" s="12">
        <f t="shared" si="44"/>
        <v>0</v>
      </c>
      <c r="DU25" s="12">
        <f t="shared" si="44"/>
        <v>0</v>
      </c>
    </row>
    <row r="26" spans="1:125" s="315" customFormat="1" ht="28.5">
      <c r="A26" s="310">
        <v>18</v>
      </c>
      <c r="B26" s="311" t="s">
        <v>106</v>
      </c>
      <c r="C26" s="311" t="s">
        <v>151</v>
      </c>
      <c r="D26" s="312" t="s">
        <v>153</v>
      </c>
      <c r="E26" s="316" t="s">
        <v>1165</v>
      </c>
      <c r="F26" s="255">
        <f t="shared" si="19"/>
        <v>0</v>
      </c>
      <c r="G26" s="256">
        <f t="shared" si="20"/>
        <v>0</v>
      </c>
      <c r="H26" s="277">
        <v>100000</v>
      </c>
      <c r="I26" s="149">
        <v>0</v>
      </c>
      <c r="J26" s="149">
        <v>0</v>
      </c>
      <c r="K26" s="255">
        <f t="shared" si="21"/>
        <v>0</v>
      </c>
      <c r="L26" s="255">
        <f t="shared" si="45"/>
        <v>0</v>
      </c>
      <c r="M26" s="255">
        <f t="shared" si="22"/>
        <v>0</v>
      </c>
      <c r="N26" s="255">
        <f t="shared" si="23"/>
        <v>0</v>
      </c>
      <c r="O26" s="255" t="str">
        <f t="shared" si="24"/>
        <v>ნულოვანი შესრულება</v>
      </c>
      <c r="P26" s="45"/>
      <c r="Q26" s="45"/>
      <c r="R26" s="45">
        <f t="shared" si="25"/>
        <v>0</v>
      </c>
      <c r="S26" s="45">
        <f t="shared" si="26"/>
        <v>0</v>
      </c>
      <c r="T26" s="277"/>
      <c r="U26" s="277"/>
      <c r="V26" s="277"/>
      <c r="W26" s="277"/>
      <c r="X26" s="277">
        <f t="shared" si="27"/>
        <v>0</v>
      </c>
      <c r="Y26" s="277">
        <f t="shared" si="27"/>
        <v>0</v>
      </c>
      <c r="Z26" s="277"/>
      <c r="AA26" s="277"/>
      <c r="AB26" s="277"/>
      <c r="AC26" s="277"/>
      <c r="AD26" s="277">
        <f t="shared" si="28"/>
        <v>0</v>
      </c>
      <c r="AE26" s="277">
        <f t="shared" si="28"/>
        <v>0</v>
      </c>
      <c r="AF26" s="314">
        <f t="shared" si="29"/>
        <v>0</v>
      </c>
      <c r="AG26" s="277">
        <f t="shared" si="30"/>
        <v>0</v>
      </c>
      <c r="AH26" s="277">
        <f t="shared" si="30"/>
        <v>0</v>
      </c>
      <c r="AI26" s="277">
        <f t="shared" si="31"/>
        <v>0</v>
      </c>
      <c r="AJ26" s="277">
        <f t="shared" si="32"/>
        <v>0</v>
      </c>
      <c r="AK26" s="277">
        <f t="shared" si="32"/>
        <v>0</v>
      </c>
      <c r="AL26" s="277"/>
      <c r="AM26" s="277"/>
      <c r="AN26" s="277"/>
      <c r="AO26" s="277"/>
      <c r="AP26" s="277">
        <f t="shared" si="33"/>
        <v>0</v>
      </c>
      <c r="AQ26" s="277">
        <f t="shared" si="33"/>
        <v>0</v>
      </c>
      <c r="AR26" s="277"/>
      <c r="AS26" s="277"/>
      <c r="AT26" s="277"/>
      <c r="AU26" s="277"/>
      <c r="AV26" s="277">
        <f t="shared" si="34"/>
        <v>0</v>
      </c>
      <c r="AW26" s="277">
        <f t="shared" si="34"/>
        <v>0</v>
      </c>
      <c r="AX26" s="277"/>
      <c r="AY26" s="277"/>
      <c r="AZ26" s="277"/>
      <c r="BA26" s="277"/>
      <c r="BB26" s="277">
        <f t="shared" si="35"/>
        <v>0</v>
      </c>
      <c r="BC26" s="277"/>
      <c r="BD26" s="277">
        <f t="shared" si="6"/>
        <v>0</v>
      </c>
      <c r="BE26" s="277"/>
      <c r="BF26" s="277"/>
      <c r="BG26" s="277"/>
      <c r="BH26" s="277"/>
      <c r="BI26" s="277">
        <f t="shared" si="36"/>
        <v>0</v>
      </c>
      <c r="BJ26" s="277"/>
      <c r="BK26" s="277">
        <f t="shared" si="7"/>
        <v>0</v>
      </c>
      <c r="BL26" s="277"/>
      <c r="BM26" s="277"/>
      <c r="BN26" s="277"/>
      <c r="BO26" s="277"/>
      <c r="BP26" s="277">
        <f t="shared" si="37"/>
        <v>0</v>
      </c>
      <c r="BQ26" s="277"/>
      <c r="BR26" s="277">
        <f t="shared" si="8"/>
        <v>0</v>
      </c>
      <c r="BS26" s="277"/>
      <c r="BT26" s="277"/>
      <c r="BU26" s="277"/>
      <c r="BV26" s="277"/>
      <c r="BW26" s="277"/>
      <c r="BX26" s="277"/>
      <c r="BY26" s="277">
        <f t="shared" si="46"/>
        <v>0</v>
      </c>
      <c r="BZ26" s="277"/>
      <c r="CA26" s="277"/>
      <c r="CB26" s="277"/>
      <c r="CC26" s="277"/>
      <c r="CD26" s="277">
        <f t="shared" si="38"/>
        <v>0</v>
      </c>
      <c r="CE26" s="277"/>
      <c r="CF26" s="277">
        <f t="shared" si="9"/>
        <v>0</v>
      </c>
      <c r="CG26" s="277"/>
      <c r="CH26" s="277"/>
      <c r="CI26" s="277"/>
      <c r="CJ26" s="277"/>
      <c r="CK26" s="277">
        <f t="shared" si="39"/>
        <v>0</v>
      </c>
      <c r="CL26" s="277"/>
      <c r="CM26" s="277">
        <f t="shared" si="10"/>
        <v>0</v>
      </c>
      <c r="CN26" s="277"/>
      <c r="CO26" s="277"/>
      <c r="CP26" s="277"/>
      <c r="CQ26" s="277"/>
      <c r="CR26" s="277">
        <f t="shared" si="40"/>
        <v>0</v>
      </c>
      <c r="CS26" s="277"/>
      <c r="CT26" s="277">
        <f t="shared" si="11"/>
        <v>0</v>
      </c>
      <c r="CU26" s="277"/>
      <c r="CV26" s="277"/>
      <c r="CW26" s="277"/>
      <c r="CX26" s="277"/>
      <c r="CY26" s="277">
        <f t="shared" si="41"/>
        <v>0</v>
      </c>
      <c r="CZ26" s="277"/>
      <c r="DA26" s="277">
        <f t="shared" si="12"/>
        <v>0</v>
      </c>
      <c r="DB26" s="277"/>
      <c r="DC26" s="277"/>
      <c r="DD26" s="277"/>
      <c r="DE26" s="277"/>
      <c r="DF26" s="277">
        <f t="shared" si="42"/>
        <v>0</v>
      </c>
      <c r="DG26" s="277"/>
      <c r="DH26" s="277">
        <f t="shared" si="13"/>
        <v>0</v>
      </c>
      <c r="DI26" s="277"/>
      <c r="DJ26" s="277"/>
      <c r="DK26" s="277"/>
      <c r="DL26" s="277"/>
      <c r="DM26" s="277">
        <f t="shared" si="43"/>
        <v>0</v>
      </c>
      <c r="DN26" s="277"/>
      <c r="DO26" s="277">
        <f t="shared" si="14"/>
        <v>0</v>
      </c>
      <c r="DP26" s="277">
        <f t="shared" si="15"/>
        <v>0</v>
      </c>
      <c r="DQ26" s="277">
        <f t="shared" si="16"/>
        <v>0</v>
      </c>
      <c r="DR26" s="277">
        <f t="shared" si="17"/>
        <v>0</v>
      </c>
      <c r="DS26" s="277">
        <f t="shared" si="18"/>
        <v>0</v>
      </c>
      <c r="DT26" s="277">
        <f t="shared" si="44"/>
        <v>0</v>
      </c>
      <c r="DU26" s="277">
        <f t="shared" si="44"/>
        <v>0</v>
      </c>
    </row>
    <row r="27" spans="1:125" s="315" customFormat="1" ht="28.5">
      <c r="A27" s="310">
        <v>19</v>
      </c>
      <c r="B27" s="311" t="s">
        <v>154</v>
      </c>
      <c r="C27" s="311" t="s">
        <v>155</v>
      </c>
      <c r="D27" s="312" t="s">
        <v>156</v>
      </c>
      <c r="E27" s="313" t="s">
        <v>1165</v>
      </c>
      <c r="F27" s="255">
        <f t="shared" si="19"/>
        <v>0</v>
      </c>
      <c r="G27" s="256">
        <f t="shared" si="20"/>
        <v>0</v>
      </c>
      <c r="H27" s="277">
        <v>80000</v>
      </c>
      <c r="I27" s="149">
        <v>0</v>
      </c>
      <c r="J27" s="149">
        <v>0</v>
      </c>
      <c r="K27" s="255">
        <f t="shared" si="21"/>
        <v>0</v>
      </c>
      <c r="L27" s="255">
        <f t="shared" si="45"/>
        <v>0</v>
      </c>
      <c r="M27" s="255">
        <f t="shared" si="22"/>
        <v>0</v>
      </c>
      <c r="N27" s="255">
        <f t="shared" si="23"/>
        <v>0</v>
      </c>
      <c r="O27" s="255" t="str">
        <f t="shared" si="24"/>
        <v>ნულოვანი შესრულება</v>
      </c>
      <c r="P27" s="45"/>
      <c r="Q27" s="45"/>
      <c r="R27" s="45">
        <f t="shared" si="25"/>
        <v>0</v>
      </c>
      <c r="S27" s="45">
        <f t="shared" si="26"/>
        <v>0</v>
      </c>
      <c r="T27" s="277"/>
      <c r="U27" s="277"/>
      <c r="V27" s="277"/>
      <c r="W27" s="277"/>
      <c r="X27" s="277">
        <f t="shared" si="27"/>
        <v>0</v>
      </c>
      <c r="Y27" s="277">
        <f t="shared" si="27"/>
        <v>0</v>
      </c>
      <c r="Z27" s="277"/>
      <c r="AA27" s="277"/>
      <c r="AB27" s="277"/>
      <c r="AC27" s="277"/>
      <c r="AD27" s="277">
        <f t="shared" si="28"/>
        <v>0</v>
      </c>
      <c r="AE27" s="277">
        <f t="shared" si="28"/>
        <v>0</v>
      </c>
      <c r="AF27" s="314">
        <f t="shared" si="29"/>
        <v>0</v>
      </c>
      <c r="AG27" s="277">
        <f t="shared" si="30"/>
        <v>0</v>
      </c>
      <c r="AH27" s="277">
        <f t="shared" si="30"/>
        <v>0</v>
      </c>
      <c r="AI27" s="277">
        <f t="shared" si="31"/>
        <v>0</v>
      </c>
      <c r="AJ27" s="277">
        <f t="shared" si="32"/>
        <v>0</v>
      </c>
      <c r="AK27" s="277">
        <f t="shared" si="32"/>
        <v>0</v>
      </c>
      <c r="AL27" s="277"/>
      <c r="AM27" s="277"/>
      <c r="AN27" s="277"/>
      <c r="AO27" s="277"/>
      <c r="AP27" s="277">
        <f t="shared" si="33"/>
        <v>0</v>
      </c>
      <c r="AQ27" s="277">
        <f t="shared" si="33"/>
        <v>0</v>
      </c>
      <c r="AR27" s="277"/>
      <c r="AS27" s="277"/>
      <c r="AT27" s="277"/>
      <c r="AU27" s="277"/>
      <c r="AV27" s="277">
        <f t="shared" si="34"/>
        <v>0</v>
      </c>
      <c r="AW27" s="277">
        <f t="shared" si="34"/>
        <v>0</v>
      </c>
      <c r="AX27" s="277"/>
      <c r="AY27" s="277"/>
      <c r="AZ27" s="277"/>
      <c r="BA27" s="277"/>
      <c r="BB27" s="277">
        <f t="shared" si="35"/>
        <v>0</v>
      </c>
      <c r="BC27" s="277"/>
      <c r="BD27" s="277">
        <f t="shared" si="6"/>
        <v>0</v>
      </c>
      <c r="BE27" s="277"/>
      <c r="BF27" s="277"/>
      <c r="BG27" s="277"/>
      <c r="BH27" s="277"/>
      <c r="BI27" s="277">
        <f t="shared" si="36"/>
        <v>0</v>
      </c>
      <c r="BJ27" s="277"/>
      <c r="BK27" s="277">
        <f t="shared" si="7"/>
        <v>0</v>
      </c>
      <c r="BL27" s="277"/>
      <c r="BM27" s="277"/>
      <c r="BN27" s="277"/>
      <c r="BO27" s="277"/>
      <c r="BP27" s="277">
        <f t="shared" si="37"/>
        <v>0</v>
      </c>
      <c r="BQ27" s="277"/>
      <c r="BR27" s="277">
        <f t="shared" si="8"/>
        <v>0</v>
      </c>
      <c r="BS27" s="277"/>
      <c r="BT27" s="277"/>
      <c r="BU27" s="277"/>
      <c r="BV27" s="277"/>
      <c r="BW27" s="277"/>
      <c r="BX27" s="277"/>
      <c r="BY27" s="277">
        <f t="shared" si="46"/>
        <v>0</v>
      </c>
      <c r="BZ27" s="277"/>
      <c r="CA27" s="277"/>
      <c r="CB27" s="277"/>
      <c r="CC27" s="277"/>
      <c r="CD27" s="277">
        <f t="shared" si="38"/>
        <v>0</v>
      </c>
      <c r="CE27" s="277"/>
      <c r="CF27" s="277">
        <f t="shared" si="9"/>
        <v>0</v>
      </c>
      <c r="CG27" s="277"/>
      <c r="CH27" s="277"/>
      <c r="CI27" s="277"/>
      <c r="CJ27" s="277"/>
      <c r="CK27" s="277">
        <f t="shared" si="39"/>
        <v>0</v>
      </c>
      <c r="CL27" s="277"/>
      <c r="CM27" s="277">
        <f t="shared" si="10"/>
        <v>0</v>
      </c>
      <c r="CN27" s="277"/>
      <c r="CO27" s="277"/>
      <c r="CP27" s="277"/>
      <c r="CQ27" s="277"/>
      <c r="CR27" s="277">
        <f t="shared" si="40"/>
        <v>0</v>
      </c>
      <c r="CS27" s="277"/>
      <c r="CT27" s="277">
        <f t="shared" si="11"/>
        <v>0</v>
      </c>
      <c r="CU27" s="277"/>
      <c r="CV27" s="277"/>
      <c r="CW27" s="277"/>
      <c r="CX27" s="277"/>
      <c r="CY27" s="277">
        <f t="shared" si="41"/>
        <v>0</v>
      </c>
      <c r="CZ27" s="277"/>
      <c r="DA27" s="277">
        <f t="shared" si="12"/>
        <v>0</v>
      </c>
      <c r="DB27" s="277"/>
      <c r="DC27" s="277"/>
      <c r="DD27" s="277"/>
      <c r="DE27" s="277"/>
      <c r="DF27" s="277">
        <f t="shared" si="42"/>
        <v>0</v>
      </c>
      <c r="DG27" s="277"/>
      <c r="DH27" s="277">
        <f t="shared" si="13"/>
        <v>0</v>
      </c>
      <c r="DI27" s="277"/>
      <c r="DJ27" s="277"/>
      <c r="DK27" s="277"/>
      <c r="DL27" s="277"/>
      <c r="DM27" s="277">
        <f t="shared" si="43"/>
        <v>0</v>
      </c>
      <c r="DN27" s="277"/>
      <c r="DO27" s="277">
        <f t="shared" si="14"/>
        <v>0</v>
      </c>
      <c r="DP27" s="277">
        <f t="shared" si="15"/>
        <v>0</v>
      </c>
      <c r="DQ27" s="277">
        <f t="shared" si="16"/>
        <v>0</v>
      </c>
      <c r="DR27" s="277">
        <f t="shared" si="17"/>
        <v>0</v>
      </c>
      <c r="DS27" s="277">
        <f t="shared" si="18"/>
        <v>0</v>
      </c>
      <c r="DT27" s="277">
        <f t="shared" si="44"/>
        <v>0</v>
      </c>
      <c r="DU27" s="277">
        <f t="shared" si="44"/>
        <v>0</v>
      </c>
    </row>
    <row r="28" spans="1:125" ht="42.75">
      <c r="A28" s="42">
        <v>20</v>
      </c>
      <c r="B28" s="7" t="s">
        <v>127</v>
      </c>
      <c r="C28" s="7"/>
      <c r="D28" s="177" t="s">
        <v>1182</v>
      </c>
      <c r="E28" s="180" t="s">
        <v>1164</v>
      </c>
      <c r="F28" s="161">
        <f t="shared" si="19"/>
        <v>0</v>
      </c>
      <c r="G28" s="165">
        <f t="shared" si="20"/>
        <v>7626.5</v>
      </c>
      <c r="H28" s="12"/>
      <c r="I28" s="149">
        <v>0</v>
      </c>
      <c r="J28" s="149">
        <v>0</v>
      </c>
      <c r="K28" s="127">
        <f t="shared" si="21"/>
        <v>7626.5</v>
      </c>
      <c r="L28" s="127">
        <f t="shared" si="45"/>
        <v>7626.5</v>
      </c>
      <c r="M28" s="127">
        <f t="shared" si="22"/>
        <v>7626.5</v>
      </c>
      <c r="N28" s="131">
        <f t="shared" si="23"/>
        <v>0</v>
      </c>
      <c r="O28" s="125">
        <f t="shared" si="24"/>
        <v>7626.5</v>
      </c>
      <c r="P28" s="12">
        <v>0</v>
      </c>
      <c r="Q28" s="12">
        <v>0</v>
      </c>
      <c r="R28" s="12">
        <f t="shared" si="25"/>
        <v>0</v>
      </c>
      <c r="S28" s="12">
        <f t="shared" si="26"/>
        <v>0</v>
      </c>
      <c r="T28" s="12"/>
      <c r="U28" s="12"/>
      <c r="V28" s="12">
        <v>7626.5</v>
      </c>
      <c r="W28" s="12">
        <v>7626.5</v>
      </c>
      <c r="X28" s="12">
        <f t="shared" si="27"/>
        <v>7626.5</v>
      </c>
      <c r="Y28" s="12">
        <f t="shared" si="27"/>
        <v>7626.5</v>
      </c>
      <c r="Z28" s="12"/>
      <c r="AA28" s="12"/>
      <c r="AB28" s="12"/>
      <c r="AC28" s="12"/>
      <c r="AD28" s="12">
        <f t="shared" si="28"/>
        <v>0</v>
      </c>
      <c r="AE28" s="12">
        <f t="shared" si="28"/>
        <v>0</v>
      </c>
      <c r="AF28" s="43">
        <f t="shared" si="29"/>
        <v>0</v>
      </c>
      <c r="AG28" s="12">
        <f t="shared" si="30"/>
        <v>0</v>
      </c>
      <c r="AH28" s="12">
        <f t="shared" si="30"/>
        <v>7626.5</v>
      </c>
      <c r="AI28" s="12">
        <f t="shared" si="31"/>
        <v>7626.5</v>
      </c>
      <c r="AJ28" s="12">
        <f t="shared" si="32"/>
        <v>7626.5</v>
      </c>
      <c r="AK28" s="12">
        <f t="shared" si="32"/>
        <v>7626.5</v>
      </c>
      <c r="AL28" s="12"/>
      <c r="AM28" s="12"/>
      <c r="AN28" s="12"/>
      <c r="AO28" s="12"/>
      <c r="AP28" s="12">
        <f t="shared" si="33"/>
        <v>0</v>
      </c>
      <c r="AQ28" s="12">
        <f t="shared" si="33"/>
        <v>0</v>
      </c>
      <c r="AR28" s="12"/>
      <c r="AS28" s="12"/>
      <c r="AT28" s="12"/>
      <c r="AU28" s="12"/>
      <c r="AV28" s="12">
        <f t="shared" si="34"/>
        <v>0</v>
      </c>
      <c r="AW28" s="12">
        <f t="shared" si="34"/>
        <v>0</v>
      </c>
      <c r="AX28" s="12"/>
      <c r="AY28" s="12"/>
      <c r="AZ28" s="12"/>
      <c r="BA28" s="12"/>
      <c r="BB28" s="12">
        <f t="shared" si="35"/>
        <v>0</v>
      </c>
      <c r="BC28" s="12"/>
      <c r="BD28" s="12">
        <f t="shared" si="6"/>
        <v>0</v>
      </c>
      <c r="BE28" s="12"/>
      <c r="BF28" s="12"/>
      <c r="BG28" s="12"/>
      <c r="BH28" s="12"/>
      <c r="BI28" s="12">
        <f t="shared" si="36"/>
        <v>0</v>
      </c>
      <c r="BJ28" s="12"/>
      <c r="BK28" s="12">
        <f t="shared" si="7"/>
        <v>0</v>
      </c>
      <c r="BL28" s="12"/>
      <c r="BM28" s="12"/>
      <c r="BN28" s="12"/>
      <c r="BO28" s="12"/>
      <c r="BP28" s="12">
        <f t="shared" si="37"/>
        <v>0</v>
      </c>
      <c r="BQ28" s="12"/>
      <c r="BR28" s="12">
        <f t="shared" si="8"/>
        <v>0</v>
      </c>
      <c r="BS28" s="12"/>
      <c r="BT28" s="12"/>
      <c r="BU28" s="12"/>
      <c r="BV28" s="12"/>
      <c r="BW28" s="12"/>
      <c r="BX28" s="12"/>
      <c r="BY28" s="12">
        <f t="shared" si="46"/>
        <v>0</v>
      </c>
      <c r="BZ28" s="12"/>
      <c r="CA28" s="12"/>
      <c r="CB28" s="12"/>
      <c r="CC28" s="12"/>
      <c r="CD28" s="12">
        <f t="shared" si="38"/>
        <v>0</v>
      </c>
      <c r="CE28" s="12"/>
      <c r="CF28" s="12">
        <f t="shared" si="9"/>
        <v>0</v>
      </c>
      <c r="CG28" s="12"/>
      <c r="CH28" s="12"/>
      <c r="CI28" s="12"/>
      <c r="CJ28" s="12"/>
      <c r="CK28" s="12">
        <f t="shared" si="39"/>
        <v>0</v>
      </c>
      <c r="CL28" s="12"/>
      <c r="CM28" s="12">
        <f t="shared" si="10"/>
        <v>0</v>
      </c>
      <c r="CN28" s="12"/>
      <c r="CO28" s="12"/>
      <c r="CP28" s="12"/>
      <c r="CQ28" s="12"/>
      <c r="CR28" s="12">
        <f t="shared" si="40"/>
        <v>0</v>
      </c>
      <c r="CS28" s="12"/>
      <c r="CT28" s="12">
        <f t="shared" si="11"/>
        <v>0</v>
      </c>
      <c r="CU28" s="12"/>
      <c r="CV28" s="12"/>
      <c r="CW28" s="12"/>
      <c r="CX28" s="12"/>
      <c r="CY28" s="12">
        <f t="shared" si="41"/>
        <v>0</v>
      </c>
      <c r="CZ28" s="12"/>
      <c r="DA28" s="12">
        <f t="shared" si="12"/>
        <v>0</v>
      </c>
      <c r="DB28" s="12"/>
      <c r="DC28" s="12"/>
      <c r="DD28" s="12"/>
      <c r="DE28" s="12"/>
      <c r="DF28" s="12">
        <f t="shared" si="42"/>
        <v>0</v>
      </c>
      <c r="DG28" s="12"/>
      <c r="DH28" s="12">
        <f t="shared" si="13"/>
        <v>0</v>
      </c>
      <c r="DI28" s="12"/>
      <c r="DJ28" s="12"/>
      <c r="DK28" s="12"/>
      <c r="DL28" s="12"/>
      <c r="DM28" s="12">
        <f t="shared" si="43"/>
        <v>0</v>
      </c>
      <c r="DN28" s="12"/>
      <c r="DO28" s="12">
        <f t="shared" si="14"/>
        <v>0</v>
      </c>
      <c r="DP28" s="12">
        <f t="shared" si="15"/>
        <v>0</v>
      </c>
      <c r="DQ28" s="12">
        <f t="shared" si="16"/>
        <v>0</v>
      </c>
      <c r="DR28" s="12">
        <f t="shared" si="17"/>
        <v>0</v>
      </c>
      <c r="DS28" s="12">
        <f t="shared" si="18"/>
        <v>0</v>
      </c>
      <c r="DT28" s="12">
        <f t="shared" si="44"/>
        <v>0</v>
      </c>
      <c r="DU28" s="12">
        <f t="shared" si="44"/>
        <v>0</v>
      </c>
    </row>
    <row r="29" spans="1:125" s="32" customFormat="1" ht="42.75">
      <c r="A29" s="44">
        <v>21</v>
      </c>
      <c r="B29" s="47" t="s">
        <v>127</v>
      </c>
      <c r="C29" s="47"/>
      <c r="D29" s="177" t="s">
        <v>1183</v>
      </c>
      <c r="E29" s="180" t="s">
        <v>1165</v>
      </c>
      <c r="F29" s="161">
        <f t="shared" si="19"/>
        <v>600000</v>
      </c>
      <c r="G29" s="165">
        <f t="shared" si="20"/>
        <v>600000</v>
      </c>
      <c r="H29" s="45"/>
      <c r="I29" s="149">
        <v>0</v>
      </c>
      <c r="J29" s="149">
        <v>0</v>
      </c>
      <c r="K29" s="127">
        <f t="shared" si="21"/>
        <v>0</v>
      </c>
      <c r="L29" s="127">
        <f t="shared" si="45"/>
        <v>0</v>
      </c>
      <c r="M29" s="127">
        <f t="shared" si="22"/>
        <v>0</v>
      </c>
      <c r="N29" s="131">
        <f t="shared" si="23"/>
        <v>600000</v>
      </c>
      <c r="O29" s="125">
        <f t="shared" si="24"/>
        <v>449551</v>
      </c>
      <c r="P29" s="45"/>
      <c r="Q29" s="45"/>
      <c r="R29" s="45">
        <f t="shared" si="25"/>
        <v>0</v>
      </c>
      <c r="S29" s="45">
        <f t="shared" si="26"/>
        <v>0</v>
      </c>
      <c r="T29" s="45"/>
      <c r="U29" s="45"/>
      <c r="V29" s="45"/>
      <c r="W29" s="45"/>
      <c r="X29" s="45">
        <f t="shared" si="27"/>
        <v>0</v>
      </c>
      <c r="Y29" s="45">
        <f t="shared" si="27"/>
        <v>0</v>
      </c>
      <c r="Z29" s="45"/>
      <c r="AA29" s="45"/>
      <c r="AB29" s="45"/>
      <c r="AC29" s="45"/>
      <c r="AD29" s="45">
        <f t="shared" si="28"/>
        <v>0</v>
      </c>
      <c r="AE29" s="45">
        <f t="shared" si="28"/>
        <v>0</v>
      </c>
      <c r="AF29" s="46">
        <f t="shared" si="29"/>
        <v>0</v>
      </c>
      <c r="AG29" s="45">
        <f t="shared" si="30"/>
        <v>0</v>
      </c>
      <c r="AH29" s="45">
        <f t="shared" si="30"/>
        <v>0</v>
      </c>
      <c r="AI29" s="45">
        <f t="shared" si="31"/>
        <v>0</v>
      </c>
      <c r="AJ29" s="45">
        <f t="shared" si="32"/>
        <v>0</v>
      </c>
      <c r="AK29" s="45">
        <f t="shared" si="32"/>
        <v>0</v>
      </c>
      <c r="AL29" s="45"/>
      <c r="AM29" s="45"/>
      <c r="AN29" s="45">
        <v>600000</v>
      </c>
      <c r="AO29" s="45">
        <v>392000</v>
      </c>
      <c r="AP29" s="45">
        <f t="shared" si="33"/>
        <v>600000</v>
      </c>
      <c r="AQ29" s="45">
        <f t="shared" si="33"/>
        <v>392000</v>
      </c>
      <c r="AR29" s="45"/>
      <c r="AS29" s="45"/>
      <c r="AT29" s="45"/>
      <c r="AU29" s="45"/>
      <c r="AV29" s="45">
        <f t="shared" si="34"/>
        <v>0</v>
      </c>
      <c r="AW29" s="45">
        <f t="shared" si="34"/>
        <v>0</v>
      </c>
      <c r="AX29" s="45"/>
      <c r="AY29" s="45"/>
      <c r="AZ29" s="45"/>
      <c r="BA29" s="45"/>
      <c r="BB29" s="45">
        <f t="shared" si="35"/>
        <v>0</v>
      </c>
      <c r="BC29" s="45">
        <v>620</v>
      </c>
      <c r="BD29" s="45">
        <f t="shared" si="6"/>
        <v>0</v>
      </c>
      <c r="BE29" s="45"/>
      <c r="BF29" s="45"/>
      <c r="BG29" s="45"/>
      <c r="BH29" s="45">
        <v>57551</v>
      </c>
      <c r="BI29" s="45">
        <f t="shared" si="36"/>
        <v>0</v>
      </c>
      <c r="BJ29" s="45"/>
      <c r="BK29" s="45">
        <f t="shared" si="7"/>
        <v>57551</v>
      </c>
      <c r="BL29" s="45"/>
      <c r="BM29" s="45"/>
      <c r="BN29" s="45"/>
      <c r="BO29" s="45"/>
      <c r="BP29" s="45">
        <f t="shared" si="37"/>
        <v>0</v>
      </c>
      <c r="BQ29" s="45"/>
      <c r="BR29" s="45">
        <f t="shared" si="8"/>
        <v>0</v>
      </c>
      <c r="BS29" s="45"/>
      <c r="BT29" s="45"/>
      <c r="BU29" s="45"/>
      <c r="BV29" s="45"/>
      <c r="BW29" s="45"/>
      <c r="BX29" s="45"/>
      <c r="BY29" s="12">
        <f t="shared" si="46"/>
        <v>0</v>
      </c>
      <c r="BZ29" s="45"/>
      <c r="CA29" s="45"/>
      <c r="CB29" s="45"/>
      <c r="CC29" s="45"/>
      <c r="CD29" s="45">
        <f t="shared" si="38"/>
        <v>0</v>
      </c>
      <c r="CE29" s="45"/>
      <c r="CF29" s="45">
        <f t="shared" si="9"/>
        <v>0</v>
      </c>
      <c r="CG29" s="45"/>
      <c r="CH29" s="45"/>
      <c r="CI29" s="45"/>
      <c r="CJ29" s="45"/>
      <c r="CK29" s="45">
        <f t="shared" si="39"/>
        <v>0</v>
      </c>
      <c r="CL29" s="45"/>
      <c r="CM29" s="45">
        <f t="shared" si="10"/>
        <v>0</v>
      </c>
      <c r="CN29" s="45"/>
      <c r="CO29" s="45"/>
      <c r="CP29" s="45"/>
      <c r="CQ29" s="45"/>
      <c r="CR29" s="45">
        <f t="shared" si="40"/>
        <v>0</v>
      </c>
      <c r="CS29" s="45"/>
      <c r="CT29" s="45">
        <f t="shared" si="11"/>
        <v>0</v>
      </c>
      <c r="CU29" s="45"/>
      <c r="CV29" s="45"/>
      <c r="CW29" s="45"/>
      <c r="CX29" s="45"/>
      <c r="CY29" s="45">
        <f t="shared" si="41"/>
        <v>0</v>
      </c>
      <c r="CZ29" s="45"/>
      <c r="DA29" s="45">
        <f t="shared" si="12"/>
        <v>0</v>
      </c>
      <c r="DB29" s="45"/>
      <c r="DC29" s="45"/>
      <c r="DD29" s="45"/>
      <c r="DE29" s="45"/>
      <c r="DF29" s="45">
        <f t="shared" si="42"/>
        <v>0</v>
      </c>
      <c r="DG29" s="45"/>
      <c r="DH29" s="45">
        <f t="shared" si="13"/>
        <v>0</v>
      </c>
      <c r="DI29" s="45"/>
      <c r="DJ29" s="45"/>
      <c r="DK29" s="45"/>
      <c r="DL29" s="45"/>
      <c r="DM29" s="45">
        <f t="shared" si="43"/>
        <v>0</v>
      </c>
      <c r="DN29" s="45"/>
      <c r="DO29" s="45">
        <f t="shared" si="14"/>
        <v>0</v>
      </c>
      <c r="DP29" s="12">
        <f t="shared" si="15"/>
        <v>0</v>
      </c>
      <c r="DQ29" s="12">
        <f t="shared" si="16"/>
        <v>0</v>
      </c>
      <c r="DR29" s="12">
        <f t="shared" si="17"/>
        <v>600000</v>
      </c>
      <c r="DS29" s="12">
        <f t="shared" si="18"/>
        <v>449551</v>
      </c>
      <c r="DT29" s="12">
        <f t="shared" si="44"/>
        <v>600000</v>
      </c>
      <c r="DU29" s="12">
        <f t="shared" si="44"/>
        <v>449551</v>
      </c>
    </row>
    <row r="30" spans="1:125" ht="42.75">
      <c r="A30" s="44">
        <v>22</v>
      </c>
      <c r="B30" s="7" t="s">
        <v>127</v>
      </c>
      <c r="C30" s="7"/>
      <c r="D30" s="177" t="s">
        <v>1181</v>
      </c>
      <c r="E30" s="180" t="s">
        <v>1164</v>
      </c>
      <c r="F30" s="161">
        <f t="shared" si="19"/>
        <v>0</v>
      </c>
      <c r="G30" s="165">
        <f t="shared" si="20"/>
        <v>0</v>
      </c>
      <c r="H30" s="10"/>
      <c r="I30" s="149">
        <v>0</v>
      </c>
      <c r="J30" s="149">
        <v>0</v>
      </c>
      <c r="K30" s="127">
        <f t="shared" si="21"/>
        <v>0</v>
      </c>
      <c r="L30" s="127">
        <f t="shared" si="45"/>
        <v>0</v>
      </c>
      <c r="M30" s="127">
        <f t="shared" si="22"/>
        <v>0</v>
      </c>
      <c r="N30" s="131">
        <f t="shared" si="23"/>
        <v>0</v>
      </c>
      <c r="O30" s="125">
        <f t="shared" si="24"/>
        <v>11102</v>
      </c>
      <c r="P30" s="10"/>
      <c r="Q30" s="10"/>
      <c r="R30" s="45">
        <f t="shared" si="25"/>
        <v>0</v>
      </c>
      <c r="S30" s="45">
        <f t="shared" si="26"/>
        <v>0</v>
      </c>
      <c r="T30" s="10"/>
      <c r="U30" s="10"/>
      <c r="V30" s="10"/>
      <c r="W30" s="10"/>
      <c r="X30" s="45">
        <f t="shared" si="27"/>
        <v>0</v>
      </c>
      <c r="Y30" s="45">
        <f t="shared" si="27"/>
        <v>0</v>
      </c>
      <c r="Z30" s="10"/>
      <c r="AA30" s="10"/>
      <c r="AB30" s="10">
        <v>10850</v>
      </c>
      <c r="AC30" s="10"/>
      <c r="AD30" s="45">
        <f t="shared" si="28"/>
        <v>10850</v>
      </c>
      <c r="AE30" s="45">
        <f t="shared" si="28"/>
        <v>0</v>
      </c>
      <c r="AF30" s="46">
        <f t="shared" si="29"/>
        <v>0</v>
      </c>
      <c r="AG30" s="45">
        <f t="shared" si="30"/>
        <v>0</v>
      </c>
      <c r="AH30" s="45">
        <f t="shared" si="30"/>
        <v>10850</v>
      </c>
      <c r="AI30" s="45">
        <f t="shared" si="31"/>
        <v>0</v>
      </c>
      <c r="AJ30" s="45">
        <f t="shared" si="32"/>
        <v>10850</v>
      </c>
      <c r="AK30" s="45">
        <f t="shared" si="32"/>
        <v>0</v>
      </c>
      <c r="AL30" s="45"/>
      <c r="AM30" s="10"/>
      <c r="AN30" s="10"/>
      <c r="AO30" s="10"/>
      <c r="AP30" s="45">
        <f t="shared" si="33"/>
        <v>0</v>
      </c>
      <c r="AQ30" s="45">
        <f t="shared" si="33"/>
        <v>0</v>
      </c>
      <c r="AR30" s="10"/>
      <c r="AS30" s="10"/>
      <c r="AT30" s="10"/>
      <c r="AU30" s="10"/>
      <c r="AV30" s="45">
        <f t="shared" si="34"/>
        <v>0</v>
      </c>
      <c r="AW30" s="45">
        <f t="shared" si="34"/>
        <v>0</v>
      </c>
      <c r="AX30" s="10"/>
      <c r="AY30" s="10"/>
      <c r="AZ30" s="10"/>
      <c r="BA30" s="10"/>
      <c r="BB30" s="45">
        <f t="shared" si="35"/>
        <v>0</v>
      </c>
      <c r="BC30" s="45"/>
      <c r="BD30" s="45">
        <f t="shared" si="6"/>
        <v>0</v>
      </c>
      <c r="BE30" s="10"/>
      <c r="BF30" s="10"/>
      <c r="BG30" s="10"/>
      <c r="BH30" s="10"/>
      <c r="BI30" s="45">
        <f t="shared" si="36"/>
        <v>0</v>
      </c>
      <c r="BJ30" s="45"/>
      <c r="BK30" s="45">
        <f t="shared" si="7"/>
        <v>0</v>
      </c>
      <c r="BL30" s="10"/>
      <c r="BM30" s="10"/>
      <c r="BN30" s="10"/>
      <c r="BO30" s="10">
        <v>11102</v>
      </c>
      <c r="BP30" s="45">
        <f t="shared" si="37"/>
        <v>0</v>
      </c>
      <c r="BQ30" s="45"/>
      <c r="BR30" s="45">
        <f t="shared" si="8"/>
        <v>11102</v>
      </c>
      <c r="BS30" s="10"/>
      <c r="BT30" s="10"/>
      <c r="BU30" s="10"/>
      <c r="BV30" s="10"/>
      <c r="BW30" s="45"/>
      <c r="BX30" s="45"/>
      <c r="BY30" s="12">
        <f t="shared" si="46"/>
        <v>0</v>
      </c>
      <c r="BZ30" s="10"/>
      <c r="CA30" s="10"/>
      <c r="CB30" s="10"/>
      <c r="CC30" s="10"/>
      <c r="CD30" s="45">
        <f t="shared" si="38"/>
        <v>0</v>
      </c>
      <c r="CE30" s="45"/>
      <c r="CF30" s="45">
        <f t="shared" si="9"/>
        <v>0</v>
      </c>
      <c r="CG30" s="10"/>
      <c r="CH30" s="10"/>
      <c r="CI30" s="10"/>
      <c r="CJ30" s="10"/>
      <c r="CK30" s="45">
        <f t="shared" si="39"/>
        <v>0</v>
      </c>
      <c r="CL30" s="45"/>
      <c r="CM30" s="45">
        <f t="shared" si="10"/>
        <v>0</v>
      </c>
      <c r="CN30" s="10"/>
      <c r="CO30" s="10"/>
      <c r="CP30" s="10"/>
      <c r="CQ30" s="10"/>
      <c r="CR30" s="45">
        <f t="shared" si="40"/>
        <v>0</v>
      </c>
      <c r="CS30" s="45"/>
      <c r="CT30" s="45">
        <f t="shared" si="11"/>
        <v>0</v>
      </c>
      <c r="CU30" s="10"/>
      <c r="CV30" s="10"/>
      <c r="CW30" s="10"/>
      <c r="CX30" s="10"/>
      <c r="CY30" s="45">
        <f t="shared" si="41"/>
        <v>0</v>
      </c>
      <c r="CZ30" s="45"/>
      <c r="DA30" s="45">
        <f t="shared" si="12"/>
        <v>0</v>
      </c>
      <c r="DB30" s="10"/>
      <c r="DC30" s="10"/>
      <c r="DD30" s="10"/>
      <c r="DE30" s="10"/>
      <c r="DF30" s="45">
        <f t="shared" si="42"/>
        <v>0</v>
      </c>
      <c r="DG30" s="45"/>
      <c r="DH30" s="45">
        <f t="shared" si="13"/>
        <v>0</v>
      </c>
      <c r="DI30" s="10"/>
      <c r="DJ30" s="10"/>
      <c r="DK30" s="10"/>
      <c r="DL30" s="10"/>
      <c r="DM30" s="45">
        <f t="shared" si="43"/>
        <v>0</v>
      </c>
      <c r="DN30" s="45"/>
      <c r="DO30" s="45">
        <f t="shared" si="14"/>
        <v>0</v>
      </c>
      <c r="DP30" s="12">
        <f t="shared" si="15"/>
        <v>0</v>
      </c>
      <c r="DQ30" s="12">
        <f t="shared" si="16"/>
        <v>0</v>
      </c>
      <c r="DR30" s="12">
        <f t="shared" si="17"/>
        <v>0</v>
      </c>
      <c r="DS30" s="12">
        <f t="shared" si="18"/>
        <v>11102</v>
      </c>
      <c r="DT30" s="12">
        <f t="shared" si="44"/>
        <v>0</v>
      </c>
      <c r="DU30" s="12">
        <f t="shared" si="44"/>
        <v>11102</v>
      </c>
    </row>
    <row r="31" spans="1:125" ht="42.75">
      <c r="A31" s="42">
        <v>23</v>
      </c>
      <c r="B31" s="7" t="s">
        <v>127</v>
      </c>
      <c r="C31" s="7"/>
      <c r="D31" s="179" t="s">
        <v>157</v>
      </c>
      <c r="E31" s="384" t="s">
        <v>1165</v>
      </c>
      <c r="F31" s="131">
        <f t="shared" si="19"/>
        <v>1200000</v>
      </c>
      <c r="G31" s="283">
        <f t="shared" si="20"/>
        <v>1200000</v>
      </c>
      <c r="H31" s="45"/>
      <c r="I31" s="149">
        <v>0</v>
      </c>
      <c r="J31" s="149">
        <v>0</v>
      </c>
      <c r="K31" s="127">
        <f t="shared" si="21"/>
        <v>0</v>
      </c>
      <c r="L31" s="127">
        <f t="shared" si="45"/>
        <v>0</v>
      </c>
      <c r="M31" s="127">
        <f t="shared" si="22"/>
        <v>0</v>
      </c>
      <c r="N31" s="131">
        <f t="shared" si="23"/>
        <v>1200000</v>
      </c>
      <c r="O31" s="125">
        <f t="shared" si="24"/>
        <v>738389</v>
      </c>
      <c r="P31" s="45"/>
      <c r="Q31" s="45"/>
      <c r="R31" s="45">
        <f t="shared" si="25"/>
        <v>0</v>
      </c>
      <c r="S31" s="45">
        <f t="shared" si="26"/>
        <v>0</v>
      </c>
      <c r="T31" s="45"/>
      <c r="U31" s="45"/>
      <c r="V31" s="45"/>
      <c r="W31" s="45"/>
      <c r="X31" s="45">
        <f t="shared" si="27"/>
        <v>0</v>
      </c>
      <c r="Y31" s="45">
        <f t="shared" si="27"/>
        <v>0</v>
      </c>
      <c r="Z31" s="45"/>
      <c r="AA31" s="45"/>
      <c r="AB31" s="45"/>
      <c r="AC31" s="45"/>
      <c r="AD31" s="45">
        <f t="shared" si="28"/>
        <v>0</v>
      </c>
      <c r="AE31" s="45">
        <f t="shared" si="28"/>
        <v>0</v>
      </c>
      <c r="AF31" s="46">
        <f t="shared" si="29"/>
        <v>0</v>
      </c>
      <c r="AG31" s="45">
        <f t="shared" si="30"/>
        <v>0</v>
      </c>
      <c r="AH31" s="45">
        <f t="shared" si="30"/>
        <v>0</v>
      </c>
      <c r="AI31" s="45">
        <f t="shared" si="31"/>
        <v>0</v>
      </c>
      <c r="AJ31" s="45">
        <f t="shared" si="32"/>
        <v>0</v>
      </c>
      <c r="AK31" s="45">
        <f t="shared" si="32"/>
        <v>0</v>
      </c>
      <c r="AL31" s="12"/>
      <c r="AM31" s="12"/>
      <c r="AN31" s="12"/>
      <c r="AO31" s="12"/>
      <c r="AP31" s="12">
        <f t="shared" si="33"/>
        <v>0</v>
      </c>
      <c r="AQ31" s="12">
        <f t="shared" si="33"/>
        <v>0</v>
      </c>
      <c r="AR31" s="12">
        <v>200000</v>
      </c>
      <c r="AS31" s="12">
        <v>90000</v>
      </c>
      <c r="AT31" s="12"/>
      <c r="AU31" s="12"/>
      <c r="AV31" s="12">
        <f t="shared" si="34"/>
        <v>200000</v>
      </c>
      <c r="AW31" s="12">
        <f t="shared" si="34"/>
        <v>90000</v>
      </c>
      <c r="AX31" s="12">
        <v>200000</v>
      </c>
      <c r="AY31" s="12">
        <v>200000</v>
      </c>
      <c r="AZ31" s="12"/>
      <c r="BA31" s="12"/>
      <c r="BB31" s="12">
        <f t="shared" si="35"/>
        <v>200000</v>
      </c>
      <c r="BC31" s="12">
        <v>200000</v>
      </c>
      <c r="BD31" s="12">
        <f t="shared" si="6"/>
        <v>200000</v>
      </c>
      <c r="BE31" s="12">
        <v>200000</v>
      </c>
      <c r="BF31" s="12">
        <v>200000</v>
      </c>
      <c r="BG31" s="12"/>
      <c r="BH31" s="12"/>
      <c r="BI31" s="12">
        <f t="shared" si="36"/>
        <v>200000</v>
      </c>
      <c r="BJ31" s="12">
        <v>200000</v>
      </c>
      <c r="BK31" s="12">
        <f t="shared" si="7"/>
        <v>200000</v>
      </c>
      <c r="BL31" s="12">
        <v>200000</v>
      </c>
      <c r="BM31" s="12">
        <v>200000</v>
      </c>
      <c r="BN31" s="12"/>
      <c r="BO31" s="12"/>
      <c r="BP31" s="12">
        <f t="shared" si="37"/>
        <v>200000</v>
      </c>
      <c r="BQ31" s="12">
        <v>102280</v>
      </c>
      <c r="BR31" s="12">
        <f t="shared" si="8"/>
        <v>200000</v>
      </c>
      <c r="BS31" s="12">
        <v>200000</v>
      </c>
      <c r="BT31" s="12"/>
      <c r="BU31" s="12"/>
      <c r="BV31" s="12"/>
      <c r="BW31" s="12">
        <f t="shared" si="47"/>
        <v>200000</v>
      </c>
      <c r="BX31" s="12"/>
      <c r="BY31" s="12">
        <f t="shared" si="46"/>
        <v>0</v>
      </c>
      <c r="BZ31" s="12">
        <v>200000</v>
      </c>
      <c r="CA31" s="12"/>
      <c r="CB31" s="12"/>
      <c r="CC31" s="12"/>
      <c r="CD31" s="12">
        <f t="shared" si="38"/>
        <v>200000</v>
      </c>
      <c r="CE31" s="12"/>
      <c r="CF31" s="12">
        <f t="shared" si="9"/>
        <v>0</v>
      </c>
      <c r="CG31" s="12"/>
      <c r="CH31" s="12"/>
      <c r="CI31" s="12"/>
      <c r="CJ31" s="12"/>
      <c r="CK31" s="12">
        <f t="shared" si="39"/>
        <v>0</v>
      </c>
      <c r="CL31" s="12"/>
      <c r="CM31" s="12">
        <f t="shared" si="10"/>
        <v>0</v>
      </c>
      <c r="CN31" s="12"/>
      <c r="CO31" s="12"/>
      <c r="CP31" s="12"/>
      <c r="CQ31" s="12">
        <v>48389</v>
      </c>
      <c r="CR31" s="12">
        <f t="shared" si="40"/>
        <v>0</v>
      </c>
      <c r="CS31" s="12"/>
      <c r="CT31" s="12">
        <f t="shared" si="11"/>
        <v>48389</v>
      </c>
      <c r="CU31" s="12"/>
      <c r="CV31" s="12"/>
      <c r="CW31" s="12"/>
      <c r="CX31" s="12"/>
      <c r="CY31" s="12">
        <f t="shared" si="41"/>
        <v>0</v>
      </c>
      <c r="CZ31" s="12"/>
      <c r="DA31" s="12">
        <f t="shared" si="12"/>
        <v>0</v>
      </c>
      <c r="DB31" s="12"/>
      <c r="DC31" s="12"/>
      <c r="DD31" s="12"/>
      <c r="DE31" s="12"/>
      <c r="DF31" s="12">
        <f t="shared" si="42"/>
        <v>0</v>
      </c>
      <c r="DG31" s="12"/>
      <c r="DH31" s="12">
        <f t="shared" si="13"/>
        <v>0</v>
      </c>
      <c r="DI31" s="12"/>
      <c r="DJ31" s="12"/>
      <c r="DK31" s="12"/>
      <c r="DL31" s="12"/>
      <c r="DM31" s="12">
        <f t="shared" si="43"/>
        <v>0</v>
      </c>
      <c r="DN31" s="12"/>
      <c r="DO31" s="12">
        <f t="shared" si="14"/>
        <v>0</v>
      </c>
      <c r="DP31" s="12">
        <f t="shared" si="15"/>
        <v>1200000</v>
      </c>
      <c r="DQ31" s="12">
        <f t="shared" si="16"/>
        <v>690000</v>
      </c>
      <c r="DR31" s="12">
        <f t="shared" si="17"/>
        <v>0</v>
      </c>
      <c r="DS31" s="12">
        <f t="shared" si="18"/>
        <v>48389</v>
      </c>
      <c r="DT31" s="12">
        <f t="shared" si="44"/>
        <v>1200000</v>
      </c>
      <c r="DU31" s="12">
        <f t="shared" si="44"/>
        <v>738389</v>
      </c>
    </row>
    <row r="32" spans="1:125" ht="28.5">
      <c r="A32" s="44">
        <v>24</v>
      </c>
      <c r="B32" s="7" t="s">
        <v>158</v>
      </c>
      <c r="C32" s="7"/>
      <c r="D32" s="177" t="s">
        <v>1189</v>
      </c>
      <c r="E32" s="180" t="s">
        <v>1164</v>
      </c>
      <c r="F32" s="161">
        <f t="shared" si="19"/>
        <v>0</v>
      </c>
      <c r="G32" s="165">
        <f t="shared" si="20"/>
        <v>5225.5</v>
      </c>
      <c r="H32" s="10"/>
      <c r="I32" s="149">
        <v>0</v>
      </c>
      <c r="J32" s="149">
        <v>0</v>
      </c>
      <c r="K32" s="127">
        <f t="shared" si="21"/>
        <v>5225.5</v>
      </c>
      <c r="L32" s="127">
        <f t="shared" si="45"/>
        <v>5225.5</v>
      </c>
      <c r="M32" s="127">
        <f t="shared" si="22"/>
        <v>5225.5</v>
      </c>
      <c r="N32" s="131">
        <f t="shared" si="23"/>
        <v>0</v>
      </c>
      <c r="O32" s="125">
        <f t="shared" si="24"/>
        <v>5225.5</v>
      </c>
      <c r="P32" s="10"/>
      <c r="Q32" s="10"/>
      <c r="R32" s="45">
        <f t="shared" si="25"/>
        <v>0</v>
      </c>
      <c r="S32" s="45">
        <f t="shared" si="26"/>
        <v>0</v>
      </c>
      <c r="T32" s="10"/>
      <c r="U32" s="10"/>
      <c r="V32" s="45">
        <v>5225</v>
      </c>
      <c r="W32" s="10">
        <v>5225.5</v>
      </c>
      <c r="X32" s="45">
        <f t="shared" si="27"/>
        <v>5225</v>
      </c>
      <c r="Y32" s="45">
        <f t="shared" si="27"/>
        <v>5225.5</v>
      </c>
      <c r="Z32" s="10"/>
      <c r="AA32" s="10"/>
      <c r="AB32" s="10"/>
      <c r="AC32" s="10"/>
      <c r="AD32" s="45">
        <f t="shared" si="28"/>
        <v>0</v>
      </c>
      <c r="AE32" s="45">
        <f t="shared" si="28"/>
        <v>0</v>
      </c>
      <c r="AF32" s="46">
        <f t="shared" si="29"/>
        <v>0</v>
      </c>
      <c r="AG32" s="45">
        <f t="shared" si="30"/>
        <v>0</v>
      </c>
      <c r="AH32" s="45">
        <f t="shared" si="30"/>
        <v>5225</v>
      </c>
      <c r="AI32" s="45">
        <f t="shared" si="31"/>
        <v>5225.5</v>
      </c>
      <c r="AJ32" s="45">
        <f t="shared" si="32"/>
        <v>5225</v>
      </c>
      <c r="AK32" s="45">
        <f t="shared" si="32"/>
        <v>5225.5</v>
      </c>
      <c r="AL32" s="45"/>
      <c r="AM32" s="10"/>
      <c r="AN32" s="10"/>
      <c r="AO32" s="10"/>
      <c r="AP32" s="45">
        <f t="shared" si="33"/>
        <v>0</v>
      </c>
      <c r="AQ32" s="45">
        <f t="shared" si="33"/>
        <v>0</v>
      </c>
      <c r="AR32" s="10"/>
      <c r="AS32" s="10"/>
      <c r="AT32" s="10"/>
      <c r="AU32" s="10"/>
      <c r="AV32" s="45">
        <f t="shared" si="34"/>
        <v>0</v>
      </c>
      <c r="AW32" s="45">
        <f t="shared" si="34"/>
        <v>0</v>
      </c>
      <c r="AX32" s="10"/>
      <c r="AY32" s="10"/>
      <c r="AZ32" s="10"/>
      <c r="BA32" s="10"/>
      <c r="BB32" s="45">
        <f t="shared" si="35"/>
        <v>0</v>
      </c>
      <c r="BC32" s="45"/>
      <c r="BD32" s="45">
        <f t="shared" si="6"/>
        <v>0</v>
      </c>
      <c r="BE32" s="10"/>
      <c r="BF32" s="10"/>
      <c r="BG32" s="10"/>
      <c r="BH32" s="10"/>
      <c r="BI32" s="45">
        <f t="shared" si="36"/>
        <v>0</v>
      </c>
      <c r="BJ32" s="45"/>
      <c r="BK32" s="45">
        <f t="shared" si="7"/>
        <v>0</v>
      </c>
      <c r="BL32" s="10"/>
      <c r="BM32" s="10"/>
      <c r="BN32" s="10"/>
      <c r="BO32" s="10"/>
      <c r="BP32" s="45">
        <f t="shared" si="37"/>
        <v>0</v>
      </c>
      <c r="BQ32" s="45"/>
      <c r="BR32" s="45">
        <f t="shared" si="8"/>
        <v>0</v>
      </c>
      <c r="BS32" s="10"/>
      <c r="BT32" s="10"/>
      <c r="BU32" s="10"/>
      <c r="BV32" s="10"/>
      <c r="BW32" s="45"/>
      <c r="BX32" s="45"/>
      <c r="BY32" s="12">
        <f t="shared" si="46"/>
        <v>0</v>
      </c>
      <c r="BZ32" s="10"/>
      <c r="CA32" s="10"/>
      <c r="CB32" s="10"/>
      <c r="CC32" s="10"/>
      <c r="CD32" s="45">
        <f t="shared" si="38"/>
        <v>0</v>
      </c>
      <c r="CE32" s="45"/>
      <c r="CF32" s="45">
        <f t="shared" si="9"/>
        <v>0</v>
      </c>
      <c r="CG32" s="10"/>
      <c r="CH32" s="10"/>
      <c r="CI32" s="10"/>
      <c r="CJ32" s="10"/>
      <c r="CK32" s="45">
        <f t="shared" si="39"/>
        <v>0</v>
      </c>
      <c r="CL32" s="45"/>
      <c r="CM32" s="45">
        <f t="shared" si="10"/>
        <v>0</v>
      </c>
      <c r="CN32" s="10"/>
      <c r="CO32" s="10"/>
      <c r="CP32" s="10"/>
      <c r="CQ32" s="10"/>
      <c r="CR32" s="45">
        <f t="shared" si="40"/>
        <v>0</v>
      </c>
      <c r="CS32" s="45"/>
      <c r="CT32" s="45">
        <f t="shared" si="11"/>
        <v>0</v>
      </c>
      <c r="CU32" s="10"/>
      <c r="CV32" s="10"/>
      <c r="CW32" s="10"/>
      <c r="CX32" s="10"/>
      <c r="CY32" s="45">
        <f t="shared" si="41"/>
        <v>0</v>
      </c>
      <c r="CZ32" s="45"/>
      <c r="DA32" s="45">
        <f t="shared" si="12"/>
        <v>0</v>
      </c>
      <c r="DB32" s="10"/>
      <c r="DC32" s="10"/>
      <c r="DD32" s="10"/>
      <c r="DE32" s="10"/>
      <c r="DF32" s="45">
        <f t="shared" si="42"/>
        <v>0</v>
      </c>
      <c r="DG32" s="45"/>
      <c r="DH32" s="45">
        <f t="shared" si="13"/>
        <v>0</v>
      </c>
      <c r="DI32" s="10"/>
      <c r="DJ32" s="10"/>
      <c r="DK32" s="10"/>
      <c r="DL32" s="10"/>
      <c r="DM32" s="45">
        <f t="shared" si="43"/>
        <v>0</v>
      </c>
      <c r="DN32" s="45"/>
      <c r="DO32" s="45">
        <f t="shared" si="14"/>
        <v>0</v>
      </c>
      <c r="DP32" s="12">
        <f t="shared" si="15"/>
        <v>0</v>
      </c>
      <c r="DQ32" s="12">
        <f t="shared" si="16"/>
        <v>0</v>
      </c>
      <c r="DR32" s="12">
        <f t="shared" si="17"/>
        <v>0</v>
      </c>
      <c r="DS32" s="12">
        <f t="shared" si="18"/>
        <v>0</v>
      </c>
      <c r="DT32" s="12">
        <f t="shared" si="44"/>
        <v>0</v>
      </c>
      <c r="DU32" s="12">
        <f t="shared" si="44"/>
        <v>0</v>
      </c>
    </row>
    <row r="33" spans="1:125" s="32" customFormat="1" ht="42.75">
      <c r="A33" s="44">
        <v>25</v>
      </c>
      <c r="B33" s="47" t="s">
        <v>158</v>
      </c>
      <c r="C33" s="47"/>
      <c r="D33" s="177" t="s">
        <v>1190</v>
      </c>
      <c r="E33" s="180" t="s">
        <v>1165</v>
      </c>
      <c r="F33" s="161">
        <f t="shared" si="19"/>
        <v>180000</v>
      </c>
      <c r="G33" s="165">
        <f t="shared" si="20"/>
        <v>180000</v>
      </c>
      <c r="H33" s="45"/>
      <c r="I33" s="149">
        <v>0</v>
      </c>
      <c r="J33" s="149">
        <v>0</v>
      </c>
      <c r="K33" s="127">
        <f t="shared" si="21"/>
        <v>0</v>
      </c>
      <c r="L33" s="127">
        <f t="shared" si="45"/>
        <v>0</v>
      </c>
      <c r="M33" s="127">
        <f t="shared" si="22"/>
        <v>0</v>
      </c>
      <c r="N33" s="131">
        <f t="shared" si="23"/>
        <v>180000</v>
      </c>
      <c r="O33" s="125">
        <f t="shared" si="24"/>
        <v>184930</v>
      </c>
      <c r="P33" s="45"/>
      <c r="Q33" s="45"/>
      <c r="R33" s="45">
        <f t="shared" si="25"/>
        <v>0</v>
      </c>
      <c r="S33" s="45">
        <f t="shared" si="26"/>
        <v>0</v>
      </c>
      <c r="T33" s="45"/>
      <c r="U33" s="45"/>
      <c r="V33" s="45"/>
      <c r="W33" s="45"/>
      <c r="X33" s="45">
        <f t="shared" si="27"/>
        <v>0</v>
      </c>
      <c r="Y33" s="45">
        <f t="shared" si="27"/>
        <v>0</v>
      </c>
      <c r="Z33" s="45"/>
      <c r="AA33" s="45"/>
      <c r="AB33" s="45"/>
      <c r="AC33" s="45"/>
      <c r="AD33" s="45">
        <f t="shared" si="28"/>
        <v>0</v>
      </c>
      <c r="AE33" s="45">
        <f t="shared" si="28"/>
        <v>0</v>
      </c>
      <c r="AF33" s="46">
        <f t="shared" si="29"/>
        <v>0</v>
      </c>
      <c r="AG33" s="45">
        <f t="shared" si="30"/>
        <v>0</v>
      </c>
      <c r="AH33" s="45">
        <f t="shared" si="30"/>
        <v>0</v>
      </c>
      <c r="AI33" s="45">
        <f t="shared" si="31"/>
        <v>0</v>
      </c>
      <c r="AJ33" s="45">
        <f t="shared" si="32"/>
        <v>0</v>
      </c>
      <c r="AK33" s="45">
        <f t="shared" si="32"/>
        <v>0</v>
      </c>
      <c r="AL33" s="45"/>
      <c r="AM33" s="45"/>
      <c r="AN33" s="45">
        <v>180000</v>
      </c>
      <c r="AO33" s="45">
        <v>161000</v>
      </c>
      <c r="AP33" s="45">
        <f t="shared" si="33"/>
        <v>180000</v>
      </c>
      <c r="AQ33" s="45">
        <f t="shared" si="33"/>
        <v>161000</v>
      </c>
      <c r="AR33" s="45"/>
      <c r="AS33" s="45"/>
      <c r="AT33" s="45"/>
      <c r="AU33" s="45"/>
      <c r="AV33" s="45">
        <f t="shared" si="34"/>
        <v>0</v>
      </c>
      <c r="AW33" s="45">
        <f t="shared" si="34"/>
        <v>0</v>
      </c>
      <c r="AX33" s="45"/>
      <c r="AY33" s="45"/>
      <c r="AZ33" s="45"/>
      <c r="BA33" s="45"/>
      <c r="BB33" s="45">
        <f t="shared" si="35"/>
        <v>0</v>
      </c>
      <c r="BC33" s="45">
        <v>547</v>
      </c>
      <c r="BD33" s="45">
        <f t="shared" si="6"/>
        <v>0</v>
      </c>
      <c r="BE33" s="45"/>
      <c r="BF33" s="45"/>
      <c r="BG33" s="45"/>
      <c r="BH33" s="45">
        <v>23930</v>
      </c>
      <c r="BI33" s="45">
        <f t="shared" si="36"/>
        <v>0</v>
      </c>
      <c r="BJ33" s="45"/>
      <c r="BK33" s="45">
        <f t="shared" si="7"/>
        <v>23930</v>
      </c>
      <c r="BL33" s="45"/>
      <c r="BM33" s="45"/>
      <c r="BN33" s="45"/>
      <c r="BO33" s="45"/>
      <c r="BP33" s="45">
        <f t="shared" si="37"/>
        <v>0</v>
      </c>
      <c r="BQ33" s="45"/>
      <c r="BR33" s="45">
        <f t="shared" si="8"/>
        <v>0</v>
      </c>
      <c r="BS33" s="45"/>
      <c r="BT33" s="45"/>
      <c r="BU33" s="45"/>
      <c r="BV33" s="45"/>
      <c r="BW33" s="45"/>
      <c r="BX33" s="45"/>
      <c r="BY33" s="12">
        <f t="shared" si="46"/>
        <v>0</v>
      </c>
      <c r="BZ33" s="45"/>
      <c r="CA33" s="45"/>
      <c r="CB33" s="45"/>
      <c r="CC33" s="45"/>
      <c r="CD33" s="45">
        <f t="shared" si="38"/>
        <v>0</v>
      </c>
      <c r="CE33" s="45"/>
      <c r="CF33" s="45">
        <f t="shared" si="9"/>
        <v>0</v>
      </c>
      <c r="CG33" s="45"/>
      <c r="CH33" s="45"/>
      <c r="CI33" s="45"/>
      <c r="CJ33" s="45"/>
      <c r="CK33" s="45">
        <f t="shared" si="39"/>
        <v>0</v>
      </c>
      <c r="CL33" s="45"/>
      <c r="CM33" s="45">
        <f t="shared" si="10"/>
        <v>0</v>
      </c>
      <c r="CN33" s="45"/>
      <c r="CO33" s="45"/>
      <c r="CP33" s="45"/>
      <c r="CQ33" s="45"/>
      <c r="CR33" s="45">
        <f t="shared" si="40"/>
        <v>0</v>
      </c>
      <c r="CS33" s="45"/>
      <c r="CT33" s="45">
        <f t="shared" si="11"/>
        <v>0</v>
      </c>
      <c r="CU33" s="45"/>
      <c r="CV33" s="45"/>
      <c r="CW33" s="45"/>
      <c r="CX33" s="45"/>
      <c r="CY33" s="45">
        <f t="shared" si="41"/>
        <v>0</v>
      </c>
      <c r="CZ33" s="45"/>
      <c r="DA33" s="45">
        <f t="shared" si="12"/>
        <v>0</v>
      </c>
      <c r="DB33" s="45"/>
      <c r="DC33" s="45"/>
      <c r="DD33" s="45"/>
      <c r="DE33" s="45"/>
      <c r="DF33" s="45">
        <f t="shared" si="42"/>
        <v>0</v>
      </c>
      <c r="DG33" s="45"/>
      <c r="DH33" s="45">
        <f t="shared" si="13"/>
        <v>0</v>
      </c>
      <c r="DI33" s="45"/>
      <c r="DJ33" s="45"/>
      <c r="DK33" s="45"/>
      <c r="DL33" s="45"/>
      <c r="DM33" s="45">
        <f t="shared" si="43"/>
        <v>0</v>
      </c>
      <c r="DN33" s="45"/>
      <c r="DO33" s="45">
        <f t="shared" si="14"/>
        <v>0</v>
      </c>
      <c r="DP33" s="12">
        <f t="shared" si="15"/>
        <v>0</v>
      </c>
      <c r="DQ33" s="12">
        <f t="shared" si="16"/>
        <v>0</v>
      </c>
      <c r="DR33" s="12">
        <f t="shared" si="17"/>
        <v>180000</v>
      </c>
      <c r="DS33" s="12">
        <f t="shared" si="18"/>
        <v>184930</v>
      </c>
      <c r="DT33" s="12">
        <f t="shared" si="44"/>
        <v>180000</v>
      </c>
      <c r="DU33" s="12">
        <f t="shared" si="44"/>
        <v>184930</v>
      </c>
    </row>
    <row r="34" spans="1:125">
      <c r="A34" s="44">
        <v>26</v>
      </c>
      <c r="B34" s="47" t="s">
        <v>117</v>
      </c>
      <c r="C34" s="47"/>
      <c r="D34" s="177" t="s">
        <v>159</v>
      </c>
      <c r="E34" s="182" t="s">
        <v>1191</v>
      </c>
      <c r="F34" s="161">
        <f t="shared" si="19"/>
        <v>85000</v>
      </c>
      <c r="G34" s="165">
        <f t="shared" si="20"/>
        <v>85000</v>
      </c>
      <c r="H34" s="45"/>
      <c r="I34" s="149">
        <v>0</v>
      </c>
      <c r="J34" s="149">
        <v>0</v>
      </c>
      <c r="K34" s="127">
        <f t="shared" si="21"/>
        <v>0</v>
      </c>
      <c r="L34" s="127">
        <f t="shared" si="45"/>
        <v>0</v>
      </c>
      <c r="M34" s="127">
        <f t="shared" si="22"/>
        <v>0</v>
      </c>
      <c r="N34" s="131">
        <f t="shared" si="23"/>
        <v>85000</v>
      </c>
      <c r="O34" s="125">
        <f t="shared" si="24"/>
        <v>84044</v>
      </c>
      <c r="P34" s="45"/>
      <c r="Q34" s="45"/>
      <c r="R34" s="45">
        <f t="shared" si="25"/>
        <v>0</v>
      </c>
      <c r="S34" s="45">
        <f t="shared" si="26"/>
        <v>0</v>
      </c>
      <c r="T34" s="45"/>
      <c r="U34" s="45"/>
      <c r="V34" s="45"/>
      <c r="W34" s="45"/>
      <c r="X34" s="45">
        <f t="shared" ref="X34:Y34" si="48">T34+V34</f>
        <v>0</v>
      </c>
      <c r="Y34" s="45">
        <f t="shared" si="48"/>
        <v>0</v>
      </c>
      <c r="Z34" s="45"/>
      <c r="AA34" s="45"/>
      <c r="AB34" s="45"/>
      <c r="AC34" s="45"/>
      <c r="AD34" s="45">
        <f t="shared" ref="AD34:AE34" si="49">Z34+AB34</f>
        <v>0</v>
      </c>
      <c r="AE34" s="45">
        <f t="shared" si="49"/>
        <v>0</v>
      </c>
      <c r="AF34" s="46">
        <f t="shared" si="29"/>
        <v>0</v>
      </c>
      <c r="AG34" s="45">
        <f t="shared" ref="AG34:AH34" si="50">P34+U34+AA34</f>
        <v>0</v>
      </c>
      <c r="AH34" s="45">
        <f t="shared" si="50"/>
        <v>0</v>
      </c>
      <c r="AI34" s="45">
        <f t="shared" si="31"/>
        <v>0</v>
      </c>
      <c r="AJ34" s="45">
        <f t="shared" ref="AJ34:AK34" si="51">AF34+AH34</f>
        <v>0</v>
      </c>
      <c r="AK34" s="45">
        <f t="shared" si="51"/>
        <v>0</v>
      </c>
      <c r="AL34" s="45"/>
      <c r="AM34" s="45"/>
      <c r="AN34" s="45">
        <v>85000</v>
      </c>
      <c r="AO34" s="45">
        <v>84000</v>
      </c>
      <c r="AP34" s="45">
        <f t="shared" ref="AP34:AQ34" si="52">AL34+AN34</f>
        <v>85000</v>
      </c>
      <c r="AQ34" s="45">
        <f t="shared" si="52"/>
        <v>84000</v>
      </c>
      <c r="AR34" s="45"/>
      <c r="AS34" s="45"/>
      <c r="AT34" s="45"/>
      <c r="AU34" s="45"/>
      <c r="AV34" s="45">
        <f t="shared" ref="AV34:AW34" si="53">AR34+AT34</f>
        <v>0</v>
      </c>
      <c r="AW34" s="45">
        <f t="shared" si="53"/>
        <v>0</v>
      </c>
      <c r="AX34" s="45"/>
      <c r="AY34" s="45"/>
      <c r="AZ34" s="45"/>
      <c r="BA34" s="45"/>
      <c r="BB34" s="45">
        <f t="shared" ref="BB34" si="54">AX34+AZ34</f>
        <v>0</v>
      </c>
      <c r="BC34" s="45">
        <v>2521</v>
      </c>
      <c r="BD34" s="45">
        <f t="shared" si="6"/>
        <v>0</v>
      </c>
      <c r="BE34" s="45"/>
      <c r="BF34" s="45"/>
      <c r="BG34" s="45"/>
      <c r="BH34" s="45">
        <v>44</v>
      </c>
      <c r="BI34" s="45">
        <f t="shared" ref="BI34" si="55">BE34+BG34</f>
        <v>0</v>
      </c>
      <c r="BJ34" s="45"/>
      <c r="BK34" s="45">
        <f t="shared" si="7"/>
        <v>44</v>
      </c>
      <c r="BL34" s="45"/>
      <c r="BM34" s="45"/>
      <c r="BN34" s="45"/>
      <c r="BO34" s="45"/>
      <c r="BP34" s="45">
        <f t="shared" ref="BP34" si="56">BL34+BN34</f>
        <v>0</v>
      </c>
      <c r="BQ34" s="45"/>
      <c r="BR34" s="45">
        <f t="shared" si="8"/>
        <v>0</v>
      </c>
      <c r="BS34" s="45"/>
      <c r="BT34" s="45"/>
      <c r="BU34" s="45"/>
      <c r="BV34" s="45"/>
      <c r="BW34" s="45"/>
      <c r="BX34" s="45"/>
      <c r="BY34" s="12">
        <f t="shared" si="46"/>
        <v>0</v>
      </c>
      <c r="BZ34" s="45"/>
      <c r="CA34" s="45"/>
      <c r="CB34" s="45"/>
      <c r="CC34" s="45"/>
      <c r="CD34" s="45">
        <f t="shared" ref="CD34" si="57">BZ34+CB34</f>
        <v>0</v>
      </c>
      <c r="CE34" s="45"/>
      <c r="CF34" s="45">
        <f t="shared" si="9"/>
        <v>0</v>
      </c>
      <c r="CG34" s="45"/>
      <c r="CH34" s="45"/>
      <c r="CI34" s="45"/>
      <c r="CJ34" s="45"/>
      <c r="CK34" s="45">
        <f t="shared" ref="CK34" si="58">CG34+CI34</f>
        <v>0</v>
      </c>
      <c r="CL34" s="45"/>
      <c r="CM34" s="45">
        <f t="shared" si="10"/>
        <v>0</v>
      </c>
      <c r="CN34" s="45"/>
      <c r="CO34" s="45"/>
      <c r="CP34" s="45"/>
      <c r="CQ34" s="45"/>
      <c r="CR34" s="45">
        <f t="shared" ref="CR34" si="59">CN34+CP34</f>
        <v>0</v>
      </c>
      <c r="CS34" s="45"/>
      <c r="CT34" s="45">
        <f t="shared" si="11"/>
        <v>0</v>
      </c>
      <c r="CU34" s="45"/>
      <c r="CV34" s="45"/>
      <c r="CW34" s="45"/>
      <c r="CX34" s="45"/>
      <c r="CY34" s="45">
        <f t="shared" ref="CY34" si="60">CU34+CW34</f>
        <v>0</v>
      </c>
      <c r="CZ34" s="45"/>
      <c r="DA34" s="45">
        <f t="shared" si="12"/>
        <v>0</v>
      </c>
      <c r="DB34" s="45"/>
      <c r="DC34" s="45"/>
      <c r="DD34" s="45"/>
      <c r="DE34" s="45"/>
      <c r="DF34" s="45">
        <f t="shared" ref="DF34" si="61">DB34+DD34</f>
        <v>0</v>
      </c>
      <c r="DG34" s="45"/>
      <c r="DH34" s="45">
        <f t="shared" si="13"/>
        <v>0</v>
      </c>
      <c r="DI34" s="45"/>
      <c r="DJ34" s="45"/>
      <c r="DK34" s="45"/>
      <c r="DL34" s="45"/>
      <c r="DM34" s="45">
        <f t="shared" ref="DM34" si="62">DI34+DK34</f>
        <v>0</v>
      </c>
      <c r="DN34" s="45"/>
      <c r="DO34" s="45">
        <f t="shared" si="14"/>
        <v>0</v>
      </c>
      <c r="DP34" s="12">
        <f t="shared" si="15"/>
        <v>0</v>
      </c>
      <c r="DQ34" s="12">
        <f t="shared" si="16"/>
        <v>0</v>
      </c>
      <c r="DR34" s="12">
        <f t="shared" si="17"/>
        <v>85000</v>
      </c>
      <c r="DS34" s="12">
        <f t="shared" si="18"/>
        <v>84044</v>
      </c>
      <c r="DT34" s="12">
        <f t="shared" si="44"/>
        <v>85000</v>
      </c>
      <c r="DU34" s="12">
        <f t="shared" si="44"/>
        <v>84044</v>
      </c>
    </row>
    <row r="35" spans="1:125" ht="42.75">
      <c r="A35" s="44">
        <v>27</v>
      </c>
      <c r="B35" s="47" t="s">
        <v>106</v>
      </c>
      <c r="C35" s="7" t="s">
        <v>140</v>
      </c>
      <c r="D35" s="177" t="s">
        <v>1180</v>
      </c>
      <c r="E35" s="181" t="s">
        <v>1164</v>
      </c>
      <c r="F35" s="161">
        <f t="shared" si="19"/>
        <v>0</v>
      </c>
      <c r="G35" s="165">
        <f t="shared" si="20"/>
        <v>0</v>
      </c>
      <c r="H35" s="45"/>
      <c r="I35" s="149">
        <v>0</v>
      </c>
      <c r="J35" s="149">
        <v>0</v>
      </c>
      <c r="K35" s="127">
        <f t="shared" si="21"/>
        <v>0</v>
      </c>
      <c r="L35" s="127">
        <f t="shared" si="45"/>
        <v>0</v>
      </c>
      <c r="M35" s="127">
        <f t="shared" si="22"/>
        <v>0</v>
      </c>
      <c r="N35" s="131">
        <f t="shared" si="23"/>
        <v>0</v>
      </c>
      <c r="O35" s="125" t="str">
        <f t="shared" si="24"/>
        <v>ნულოვანი შესრულება</v>
      </c>
      <c r="P35" s="45"/>
      <c r="Q35" s="45"/>
      <c r="R35" s="45">
        <f t="shared" ref="R35" si="63">I35+P35</f>
        <v>0</v>
      </c>
      <c r="S35" s="45">
        <f t="shared" ref="S35" si="64">Q35</f>
        <v>0</v>
      </c>
      <c r="T35" s="45"/>
      <c r="U35" s="45"/>
      <c r="V35" s="45"/>
      <c r="W35" s="45"/>
      <c r="X35" s="45">
        <f t="shared" ref="X35" si="65">T35+V35</f>
        <v>0</v>
      </c>
      <c r="Y35" s="45">
        <f t="shared" ref="Y35" si="66">U35+W35</f>
        <v>0</v>
      </c>
      <c r="Z35" s="45"/>
      <c r="AA35" s="45"/>
      <c r="AB35" s="45"/>
      <c r="AC35" s="45"/>
      <c r="AD35" s="45">
        <f t="shared" ref="AD35" si="67">Z35+AB35</f>
        <v>0</v>
      </c>
      <c r="AE35" s="45">
        <f t="shared" ref="AE35" si="68">AA35+AC35</f>
        <v>0</v>
      </c>
      <c r="AF35" s="46">
        <f t="shared" ref="AF35" si="69">P35+T35+Z35</f>
        <v>0</v>
      </c>
      <c r="AG35" s="45">
        <f t="shared" ref="AG35" si="70">P35+U35+AA35</f>
        <v>0</v>
      </c>
      <c r="AH35" s="45">
        <f t="shared" ref="AH35" si="71">Q35+V35+AB35</f>
        <v>0</v>
      </c>
      <c r="AI35" s="45">
        <f t="shared" ref="AI35" si="72">Q35+W35+AC35</f>
        <v>0</v>
      </c>
      <c r="AJ35" s="45">
        <f t="shared" ref="AJ35" si="73">AF35+AH35</f>
        <v>0</v>
      </c>
      <c r="AK35" s="45">
        <f t="shared" ref="AK35" si="74">AG35+AI35</f>
        <v>0</v>
      </c>
      <c r="AL35" s="45"/>
      <c r="AM35" s="45"/>
      <c r="AN35" s="45">
        <v>0</v>
      </c>
      <c r="AO35" s="45"/>
      <c r="AP35" s="45">
        <f t="shared" ref="AP35" si="75">AL35+AN35</f>
        <v>0</v>
      </c>
      <c r="AQ35" s="45">
        <f t="shared" ref="AQ35" si="76">AM35+AO35</f>
        <v>0</v>
      </c>
      <c r="AR35" s="45"/>
      <c r="AS35" s="45"/>
      <c r="AT35" s="45"/>
      <c r="AU35" s="45"/>
      <c r="AV35" s="45">
        <f t="shared" ref="AV35" si="77">AR35+AT35</f>
        <v>0</v>
      </c>
      <c r="AW35" s="45">
        <f t="shared" ref="AW35" si="78">AS35+AU35</f>
        <v>0</v>
      </c>
      <c r="AX35" s="45"/>
      <c r="AY35" s="45"/>
      <c r="AZ35" s="45"/>
      <c r="BA35" s="45"/>
      <c r="BB35" s="45">
        <f t="shared" ref="BB35" si="79">AX35+AZ35</f>
        <v>0</v>
      </c>
      <c r="BC35" s="45"/>
      <c r="BD35" s="45">
        <f t="shared" ref="BD35" si="80">AY35+BA35</f>
        <v>0</v>
      </c>
      <c r="BE35" s="45"/>
      <c r="BF35" s="45"/>
      <c r="BG35" s="45"/>
      <c r="BH35" s="45"/>
      <c r="BI35" s="45">
        <f t="shared" ref="BI35" si="81">BE35+BG35</f>
        <v>0</v>
      </c>
      <c r="BJ35" s="45"/>
      <c r="BK35" s="45">
        <f t="shared" ref="BK35" si="82">BF35+BH35</f>
        <v>0</v>
      </c>
      <c r="BL35" s="45"/>
      <c r="BM35" s="45"/>
      <c r="BN35" s="45"/>
      <c r="BO35" s="45"/>
      <c r="BP35" s="45">
        <f t="shared" ref="BP35" si="83">BL35+BN35</f>
        <v>0</v>
      </c>
      <c r="BQ35" s="45"/>
      <c r="BR35" s="45">
        <f t="shared" ref="BR35" si="84">BM35+BO35</f>
        <v>0</v>
      </c>
      <c r="BS35" s="45"/>
      <c r="BT35" s="45"/>
      <c r="BU35" s="45"/>
      <c r="BV35" s="45"/>
      <c r="BW35" s="45"/>
      <c r="BX35" s="45"/>
      <c r="BY35" s="12">
        <f t="shared" si="46"/>
        <v>0</v>
      </c>
      <c r="BZ35" s="45"/>
      <c r="CA35" s="45"/>
      <c r="CB35" s="45"/>
      <c r="CC35" s="45"/>
      <c r="CD35" s="45">
        <f t="shared" ref="CD35" si="85">BZ35+CB35</f>
        <v>0</v>
      </c>
      <c r="CE35" s="45"/>
      <c r="CF35" s="45">
        <f t="shared" ref="CF35" si="86">CA35+CC35</f>
        <v>0</v>
      </c>
      <c r="CG35" s="45"/>
      <c r="CH35" s="45"/>
      <c r="CI35" s="45"/>
      <c r="CJ35" s="45"/>
      <c r="CK35" s="45">
        <f t="shared" ref="CK35" si="87">CG35+CI35</f>
        <v>0</v>
      </c>
      <c r="CL35" s="45"/>
      <c r="CM35" s="45">
        <f t="shared" ref="CM35" si="88">CH35+CJ35</f>
        <v>0</v>
      </c>
      <c r="CN35" s="45"/>
      <c r="CO35" s="45"/>
      <c r="CP35" s="45"/>
      <c r="CQ35" s="45"/>
      <c r="CR35" s="45">
        <f t="shared" ref="CR35" si="89">CN35+CP35</f>
        <v>0</v>
      </c>
      <c r="CS35" s="45"/>
      <c r="CT35" s="45">
        <f t="shared" ref="CT35" si="90">CO35+CQ35</f>
        <v>0</v>
      </c>
      <c r="CU35" s="45"/>
      <c r="CV35" s="45"/>
      <c r="CW35" s="45"/>
      <c r="CX35" s="45"/>
      <c r="CY35" s="45">
        <f t="shared" ref="CY35" si="91">CU35+CW35</f>
        <v>0</v>
      </c>
      <c r="CZ35" s="45"/>
      <c r="DA35" s="45">
        <f t="shared" ref="DA35" si="92">CV35+CX35</f>
        <v>0</v>
      </c>
      <c r="DB35" s="45"/>
      <c r="DC35" s="45"/>
      <c r="DD35" s="45"/>
      <c r="DE35" s="45"/>
      <c r="DF35" s="45">
        <f t="shared" ref="DF35" si="93">DB35+DD35</f>
        <v>0</v>
      </c>
      <c r="DG35" s="45"/>
      <c r="DH35" s="45">
        <f t="shared" ref="DH35" si="94">DC35+DE35</f>
        <v>0</v>
      </c>
      <c r="DI35" s="45"/>
      <c r="DJ35" s="45"/>
      <c r="DK35" s="45"/>
      <c r="DL35" s="45"/>
      <c r="DM35" s="45">
        <f t="shared" ref="DM35" si="95">DI35+DK35</f>
        <v>0</v>
      </c>
      <c r="DN35" s="45"/>
      <c r="DO35" s="45">
        <f t="shared" ref="DO35" si="96">DJ35+DL35</f>
        <v>0</v>
      </c>
      <c r="DP35" s="12">
        <f t="shared" ref="DP35" si="97">AL35+AR35+AX35+BE35+BS35+BZ35+CG35+CN35+CU35+DB35+DI35+BL35</f>
        <v>0</v>
      </c>
      <c r="DQ35" s="12">
        <f t="shared" ref="DQ35" si="98">AM35+AS35+AY35+BF35+BT35+CA35+CH35+CO35+CV35+DC35+DJ35+BM35</f>
        <v>0</v>
      </c>
      <c r="DR35" s="12">
        <f t="shared" ref="DR35" si="99">AN35+AT35+AZ35+BG35+BU35+CB35+CI35+CP35+CW35+DD35+DK35+BN35</f>
        <v>0</v>
      </c>
      <c r="DS35" s="12">
        <f t="shared" ref="DS35" si="100">AO35+AU35+BA35+BH35+BV35+CC35+CJ35+CQ35+CX35+DE35+DL35+BO35</f>
        <v>0</v>
      </c>
      <c r="DT35" s="12">
        <f t="shared" ref="DT35" si="101">DP35+DR35</f>
        <v>0</v>
      </c>
      <c r="DU35" s="12">
        <f t="shared" ref="DU35" si="102">DQ35+DS35</f>
        <v>0</v>
      </c>
    </row>
    <row r="36" spans="1:125" ht="28.5">
      <c r="A36" s="44">
        <v>28</v>
      </c>
      <c r="B36" s="47" t="s">
        <v>129</v>
      </c>
      <c r="C36" s="7"/>
      <c r="D36" s="177" t="s">
        <v>1192</v>
      </c>
      <c r="E36" s="180" t="s">
        <v>1191</v>
      </c>
      <c r="F36" s="161">
        <f t="shared" si="19"/>
        <v>0</v>
      </c>
      <c r="G36" s="165">
        <f t="shared" si="20"/>
        <v>29385</v>
      </c>
      <c r="H36" s="45"/>
      <c r="I36" s="149">
        <v>0</v>
      </c>
      <c r="J36" s="149">
        <v>0</v>
      </c>
      <c r="K36" s="127">
        <f t="shared" si="21"/>
        <v>29385</v>
      </c>
      <c r="L36" s="127">
        <f t="shared" si="45"/>
        <v>29385</v>
      </c>
      <c r="M36" s="127">
        <f t="shared" si="22"/>
        <v>29385</v>
      </c>
      <c r="N36" s="131">
        <f t="shared" si="23"/>
        <v>0</v>
      </c>
      <c r="O36" s="125">
        <f t="shared" si="24"/>
        <v>29385</v>
      </c>
      <c r="P36" s="45"/>
      <c r="Q36" s="45">
        <v>29385</v>
      </c>
      <c r="R36" s="45">
        <f t="shared" ref="R36" si="103">I36+P36</f>
        <v>0</v>
      </c>
      <c r="S36" s="45">
        <f t="shared" ref="S36" si="104">Q36</f>
        <v>29385</v>
      </c>
      <c r="T36" s="45"/>
      <c r="U36" s="45"/>
      <c r="V36" s="45"/>
      <c r="W36" s="45"/>
      <c r="X36" s="45">
        <f t="shared" ref="X36" si="105">T36+V36</f>
        <v>0</v>
      </c>
      <c r="Y36" s="45">
        <f t="shared" ref="Y36" si="106">U36+W36</f>
        <v>0</v>
      </c>
      <c r="Z36" s="45"/>
      <c r="AA36" s="45"/>
      <c r="AB36" s="45"/>
      <c r="AC36" s="45"/>
      <c r="AD36" s="45">
        <f t="shared" ref="AD36" si="107">Z36+AB36</f>
        <v>0</v>
      </c>
      <c r="AE36" s="45">
        <f t="shared" ref="AE36" si="108">AA36+AC36</f>
        <v>0</v>
      </c>
      <c r="AF36" s="46">
        <f t="shared" ref="AF36" si="109">P36+T36+Z36</f>
        <v>0</v>
      </c>
      <c r="AG36" s="45">
        <f t="shared" ref="AG36" si="110">P36+U36+AA36</f>
        <v>0</v>
      </c>
      <c r="AH36" s="45">
        <f t="shared" ref="AH36" si="111">Q36+V36+AB36</f>
        <v>29385</v>
      </c>
      <c r="AI36" s="45">
        <f t="shared" ref="AI36" si="112">Q36+W36+AC36</f>
        <v>29385</v>
      </c>
      <c r="AJ36" s="45">
        <f t="shared" ref="AJ36" si="113">AF36+AH36</f>
        <v>29385</v>
      </c>
      <c r="AK36" s="45">
        <f t="shared" ref="AK36" si="114">AG36+AI36</f>
        <v>29385</v>
      </c>
      <c r="AL36" s="45"/>
      <c r="AM36" s="45"/>
      <c r="AN36" s="45">
        <v>0</v>
      </c>
      <c r="AO36" s="45"/>
      <c r="AP36" s="45">
        <f t="shared" ref="AP36" si="115">AL36+AN36</f>
        <v>0</v>
      </c>
      <c r="AQ36" s="45">
        <f t="shared" ref="AQ36" si="116">AM36+AO36</f>
        <v>0</v>
      </c>
      <c r="AR36" s="45"/>
      <c r="AS36" s="45"/>
      <c r="AT36" s="45"/>
      <c r="AU36" s="45"/>
      <c r="AV36" s="45">
        <f t="shared" ref="AV36" si="117">AR36+AT36</f>
        <v>0</v>
      </c>
      <c r="AW36" s="45">
        <f t="shared" ref="AW36" si="118">AS36+AU36</f>
        <v>0</v>
      </c>
      <c r="AX36" s="45"/>
      <c r="AY36" s="45"/>
      <c r="AZ36" s="45"/>
      <c r="BA36" s="45"/>
      <c r="BB36" s="45">
        <f t="shared" ref="BB36" si="119">AX36+AZ36</f>
        <v>0</v>
      </c>
      <c r="BC36" s="45"/>
      <c r="BD36" s="45">
        <f t="shared" ref="BD36" si="120">AY36+BA36</f>
        <v>0</v>
      </c>
      <c r="BE36" s="45"/>
      <c r="BF36" s="45"/>
      <c r="BG36" s="45"/>
      <c r="BH36" s="45"/>
      <c r="BI36" s="45">
        <f t="shared" ref="BI36" si="121">BE36+BG36</f>
        <v>0</v>
      </c>
      <c r="BJ36" s="45"/>
      <c r="BK36" s="45">
        <f t="shared" ref="BK36" si="122">BF36+BH36</f>
        <v>0</v>
      </c>
      <c r="BL36" s="45"/>
      <c r="BM36" s="45"/>
      <c r="BN36" s="45"/>
      <c r="BO36" s="45"/>
      <c r="BP36" s="45">
        <f t="shared" ref="BP36" si="123">BL36+BN36</f>
        <v>0</v>
      </c>
      <c r="BQ36" s="45"/>
      <c r="BR36" s="45">
        <f t="shared" ref="BR36" si="124">BM36+BO36</f>
        <v>0</v>
      </c>
      <c r="BS36" s="45"/>
      <c r="BT36" s="45"/>
      <c r="BU36" s="45"/>
      <c r="BV36" s="45"/>
      <c r="BW36" s="45"/>
      <c r="BX36" s="45"/>
      <c r="BY36" s="12">
        <f t="shared" si="46"/>
        <v>0</v>
      </c>
      <c r="BZ36" s="45"/>
      <c r="CA36" s="45"/>
      <c r="CB36" s="45"/>
      <c r="CC36" s="45"/>
      <c r="CD36" s="45">
        <f t="shared" ref="CD36" si="125">BZ36+CB36</f>
        <v>0</v>
      </c>
      <c r="CE36" s="45"/>
      <c r="CF36" s="45">
        <f t="shared" ref="CF36" si="126">CA36+CC36</f>
        <v>0</v>
      </c>
      <c r="CG36" s="45"/>
      <c r="CH36" s="45"/>
      <c r="CI36" s="45"/>
      <c r="CJ36" s="45"/>
      <c r="CK36" s="45">
        <f t="shared" ref="CK36" si="127">CG36+CI36</f>
        <v>0</v>
      </c>
      <c r="CL36" s="45"/>
      <c r="CM36" s="45">
        <f t="shared" ref="CM36" si="128">CH36+CJ36</f>
        <v>0</v>
      </c>
      <c r="CN36" s="45"/>
      <c r="CO36" s="45"/>
      <c r="CP36" s="45"/>
      <c r="CQ36" s="45"/>
      <c r="CR36" s="45">
        <f t="shared" ref="CR36" si="129">CN36+CP36</f>
        <v>0</v>
      </c>
      <c r="CS36" s="45"/>
      <c r="CT36" s="45">
        <f t="shared" ref="CT36" si="130">CO36+CQ36</f>
        <v>0</v>
      </c>
      <c r="CU36" s="45"/>
      <c r="CV36" s="45"/>
      <c r="CW36" s="45"/>
      <c r="CX36" s="45"/>
      <c r="CY36" s="45">
        <f t="shared" ref="CY36" si="131">CU36+CW36</f>
        <v>0</v>
      </c>
      <c r="CZ36" s="45"/>
      <c r="DA36" s="45">
        <f t="shared" ref="DA36" si="132">CV36+CX36</f>
        <v>0</v>
      </c>
      <c r="DB36" s="45"/>
      <c r="DC36" s="45"/>
      <c r="DD36" s="45"/>
      <c r="DE36" s="45"/>
      <c r="DF36" s="45">
        <f t="shared" ref="DF36" si="133">DB36+DD36</f>
        <v>0</v>
      </c>
      <c r="DG36" s="45"/>
      <c r="DH36" s="45">
        <f t="shared" ref="DH36" si="134">DC36+DE36</f>
        <v>0</v>
      </c>
      <c r="DI36" s="45"/>
      <c r="DJ36" s="45"/>
      <c r="DK36" s="45"/>
      <c r="DL36" s="45"/>
      <c r="DM36" s="45">
        <f t="shared" ref="DM36" si="135">DI36+DK36</f>
        <v>0</v>
      </c>
      <c r="DN36" s="45"/>
      <c r="DO36" s="45">
        <f t="shared" ref="DO36" si="136">DJ36+DL36</f>
        <v>0</v>
      </c>
      <c r="DP36" s="12">
        <f t="shared" ref="DP36" si="137">AL36+AR36+AX36+BE36+BS36+BZ36+CG36+CN36+CU36+DB36+DI36+BL36</f>
        <v>0</v>
      </c>
      <c r="DQ36" s="12">
        <f t="shared" ref="DQ36" si="138">AM36+AS36+AY36+BF36+BT36+CA36+CH36+CO36+CV36+DC36+DJ36+BM36</f>
        <v>0</v>
      </c>
      <c r="DR36" s="12">
        <f t="shared" ref="DR36" si="139">AN36+AT36+AZ36+BG36+BU36+CB36+CI36+CP36+CW36+DD36+DK36+BN36</f>
        <v>0</v>
      </c>
      <c r="DS36" s="12">
        <f t="shared" ref="DS36" si="140">AO36+AU36+BA36+BH36+BV36+CC36+CJ36+CQ36+CX36+DE36+DL36+BO36</f>
        <v>0</v>
      </c>
      <c r="DT36" s="12">
        <f t="shared" ref="DT36" si="141">DP36+DR36</f>
        <v>0</v>
      </c>
      <c r="DU36" s="12">
        <f t="shared" ref="DU36" si="142">DQ36+DS36</f>
        <v>0</v>
      </c>
    </row>
    <row r="37" spans="1:125" ht="28.5">
      <c r="A37" s="44">
        <v>29</v>
      </c>
      <c r="B37" s="47" t="s">
        <v>125</v>
      </c>
      <c r="C37" s="7"/>
      <c r="D37" s="177" t="s">
        <v>1193</v>
      </c>
      <c r="E37" s="180" t="s">
        <v>1191</v>
      </c>
      <c r="F37" s="161">
        <f t="shared" si="19"/>
        <v>0</v>
      </c>
      <c r="G37" s="165">
        <f t="shared" si="20"/>
        <v>29272</v>
      </c>
      <c r="H37" s="45"/>
      <c r="I37" s="149">
        <v>0</v>
      </c>
      <c r="J37" s="149">
        <v>0</v>
      </c>
      <c r="K37" s="127">
        <f t="shared" si="21"/>
        <v>29272</v>
      </c>
      <c r="L37" s="127">
        <f t="shared" si="45"/>
        <v>29272</v>
      </c>
      <c r="M37" s="127">
        <f t="shared" si="22"/>
        <v>29272</v>
      </c>
      <c r="N37" s="131">
        <f t="shared" si="23"/>
        <v>0</v>
      </c>
      <c r="O37" s="125">
        <f t="shared" si="24"/>
        <v>29272</v>
      </c>
      <c r="P37" s="45"/>
      <c r="Q37" s="45">
        <v>29272</v>
      </c>
      <c r="R37" s="45">
        <f t="shared" ref="R37" si="143">I37+P37</f>
        <v>0</v>
      </c>
      <c r="S37" s="45">
        <f t="shared" ref="S37" si="144">Q37</f>
        <v>29272</v>
      </c>
      <c r="T37" s="45"/>
      <c r="U37" s="45"/>
      <c r="V37" s="45"/>
      <c r="W37" s="45"/>
      <c r="X37" s="45">
        <f t="shared" ref="X37" si="145">T37+V37</f>
        <v>0</v>
      </c>
      <c r="Y37" s="45">
        <f t="shared" ref="Y37" si="146">U37+W37</f>
        <v>0</v>
      </c>
      <c r="Z37" s="45"/>
      <c r="AA37" s="45"/>
      <c r="AB37" s="45"/>
      <c r="AC37" s="45"/>
      <c r="AD37" s="45">
        <f t="shared" ref="AD37" si="147">Z37+AB37</f>
        <v>0</v>
      </c>
      <c r="AE37" s="45">
        <f t="shared" ref="AE37" si="148">AA37+AC37</f>
        <v>0</v>
      </c>
      <c r="AF37" s="46">
        <f t="shared" ref="AF37" si="149">P37+T37+Z37</f>
        <v>0</v>
      </c>
      <c r="AG37" s="45">
        <f t="shared" ref="AG37" si="150">P37+U37+AA37</f>
        <v>0</v>
      </c>
      <c r="AH37" s="45">
        <f t="shared" ref="AH37" si="151">Q37+V37+AB37</f>
        <v>29272</v>
      </c>
      <c r="AI37" s="45">
        <f t="shared" ref="AI37" si="152">Q37+W37+AC37</f>
        <v>29272</v>
      </c>
      <c r="AJ37" s="45">
        <f t="shared" ref="AJ37" si="153">AF37+AH37</f>
        <v>29272</v>
      </c>
      <c r="AK37" s="45">
        <f t="shared" ref="AK37" si="154">AG37+AI37</f>
        <v>29272</v>
      </c>
      <c r="AL37" s="45"/>
      <c r="AM37" s="45"/>
      <c r="AN37" s="45">
        <v>0</v>
      </c>
      <c r="AO37" s="45"/>
      <c r="AP37" s="45">
        <f t="shared" ref="AP37" si="155">AL37+AN37</f>
        <v>0</v>
      </c>
      <c r="AQ37" s="45">
        <f t="shared" ref="AQ37" si="156">AM37+AO37</f>
        <v>0</v>
      </c>
      <c r="AR37" s="45"/>
      <c r="AS37" s="45"/>
      <c r="AT37" s="45"/>
      <c r="AU37" s="45"/>
      <c r="AV37" s="45">
        <f t="shared" ref="AV37" si="157">AR37+AT37</f>
        <v>0</v>
      </c>
      <c r="AW37" s="45">
        <f t="shared" ref="AW37" si="158">AS37+AU37</f>
        <v>0</v>
      </c>
      <c r="AX37" s="45"/>
      <c r="AY37" s="45"/>
      <c r="AZ37" s="45"/>
      <c r="BA37" s="45"/>
      <c r="BB37" s="45">
        <f t="shared" ref="BB37" si="159">AX37+AZ37</f>
        <v>0</v>
      </c>
      <c r="BC37" s="45"/>
      <c r="BD37" s="45">
        <f t="shared" ref="BD37" si="160">AY37+BA37</f>
        <v>0</v>
      </c>
      <c r="BE37" s="45"/>
      <c r="BF37" s="45"/>
      <c r="BG37" s="45"/>
      <c r="BH37" s="45"/>
      <c r="BI37" s="45">
        <f t="shared" ref="BI37" si="161">BE37+BG37</f>
        <v>0</v>
      </c>
      <c r="BJ37" s="45"/>
      <c r="BK37" s="45">
        <f t="shared" ref="BK37" si="162">BF37+BH37</f>
        <v>0</v>
      </c>
      <c r="BL37" s="45"/>
      <c r="BM37" s="45"/>
      <c r="BN37" s="45"/>
      <c r="BO37" s="45"/>
      <c r="BP37" s="45">
        <f t="shared" ref="BP37" si="163">BL37+BN37</f>
        <v>0</v>
      </c>
      <c r="BQ37" s="45"/>
      <c r="BR37" s="45">
        <f t="shared" ref="BR37" si="164">BM37+BO37</f>
        <v>0</v>
      </c>
      <c r="BS37" s="45"/>
      <c r="BT37" s="45"/>
      <c r="BU37" s="45"/>
      <c r="BV37" s="45"/>
      <c r="BW37" s="45"/>
      <c r="BX37" s="45"/>
      <c r="BY37" s="12">
        <f t="shared" si="46"/>
        <v>0</v>
      </c>
      <c r="BZ37" s="45"/>
      <c r="CA37" s="45"/>
      <c r="CB37" s="45"/>
      <c r="CC37" s="45"/>
      <c r="CD37" s="45">
        <f t="shared" ref="CD37" si="165">BZ37+CB37</f>
        <v>0</v>
      </c>
      <c r="CE37" s="45"/>
      <c r="CF37" s="45">
        <f t="shared" ref="CF37" si="166">CA37+CC37</f>
        <v>0</v>
      </c>
      <c r="CG37" s="45"/>
      <c r="CH37" s="45"/>
      <c r="CI37" s="45"/>
      <c r="CJ37" s="45"/>
      <c r="CK37" s="45">
        <f t="shared" ref="CK37" si="167">CG37+CI37</f>
        <v>0</v>
      </c>
      <c r="CL37" s="45"/>
      <c r="CM37" s="45">
        <f t="shared" ref="CM37" si="168">CH37+CJ37</f>
        <v>0</v>
      </c>
      <c r="CN37" s="45"/>
      <c r="CO37" s="45"/>
      <c r="CP37" s="45"/>
      <c r="CQ37" s="45"/>
      <c r="CR37" s="45">
        <f t="shared" ref="CR37" si="169">CN37+CP37</f>
        <v>0</v>
      </c>
      <c r="CS37" s="45"/>
      <c r="CT37" s="45">
        <f t="shared" ref="CT37" si="170">CO37+CQ37</f>
        <v>0</v>
      </c>
      <c r="CU37" s="45"/>
      <c r="CV37" s="45"/>
      <c r="CW37" s="45"/>
      <c r="CX37" s="45"/>
      <c r="CY37" s="45">
        <f t="shared" ref="CY37" si="171">CU37+CW37</f>
        <v>0</v>
      </c>
      <c r="CZ37" s="45"/>
      <c r="DA37" s="45">
        <f t="shared" ref="DA37" si="172">CV37+CX37</f>
        <v>0</v>
      </c>
      <c r="DB37" s="45"/>
      <c r="DC37" s="45"/>
      <c r="DD37" s="45"/>
      <c r="DE37" s="45"/>
      <c r="DF37" s="45">
        <f t="shared" ref="DF37" si="173">DB37+DD37</f>
        <v>0</v>
      </c>
      <c r="DG37" s="45"/>
      <c r="DH37" s="45">
        <f t="shared" ref="DH37" si="174">DC37+DE37</f>
        <v>0</v>
      </c>
      <c r="DI37" s="45"/>
      <c r="DJ37" s="45"/>
      <c r="DK37" s="45"/>
      <c r="DL37" s="45"/>
      <c r="DM37" s="45">
        <f t="shared" ref="DM37" si="175">DI37+DK37</f>
        <v>0</v>
      </c>
      <c r="DN37" s="45"/>
      <c r="DO37" s="45">
        <f t="shared" ref="DO37" si="176">DJ37+DL37</f>
        <v>0</v>
      </c>
      <c r="DP37" s="12">
        <f t="shared" ref="DP37" si="177">AL37+AR37+AX37+BE37+BS37+BZ37+CG37+CN37+CU37+DB37+DI37+BL37</f>
        <v>0</v>
      </c>
      <c r="DQ37" s="12">
        <f t="shared" ref="DQ37" si="178">AM37+AS37+AY37+BF37+BT37+CA37+CH37+CO37+CV37+DC37+DJ37+BM37</f>
        <v>0</v>
      </c>
      <c r="DR37" s="12">
        <f t="shared" ref="DR37" si="179">AN37+AT37+AZ37+BG37+BU37+CB37+CI37+CP37+CW37+DD37+DK37+BN37</f>
        <v>0</v>
      </c>
      <c r="DS37" s="12">
        <f t="shared" ref="DS37" si="180">AO37+AU37+BA37+BH37+BV37+CC37+CJ37+CQ37+CX37+DE37+DL37+BO37</f>
        <v>0</v>
      </c>
      <c r="DT37" s="12">
        <f t="shared" ref="DT37" si="181">DP37+DR37</f>
        <v>0</v>
      </c>
      <c r="DU37" s="12">
        <f t="shared" ref="DU37" si="182">DQ37+DS37</f>
        <v>0</v>
      </c>
    </row>
    <row r="38" spans="1:125" ht="28.5">
      <c r="A38" s="44">
        <v>30</v>
      </c>
      <c r="B38" s="47" t="s">
        <v>154</v>
      </c>
      <c r="C38" s="7"/>
      <c r="D38" s="177" t="s">
        <v>1194</v>
      </c>
      <c r="E38" s="180" t="s">
        <v>1191</v>
      </c>
      <c r="F38" s="161">
        <f t="shared" si="19"/>
        <v>0</v>
      </c>
      <c r="G38" s="165">
        <f t="shared" si="20"/>
        <v>19189</v>
      </c>
      <c r="H38" s="45"/>
      <c r="I38" s="149">
        <v>0</v>
      </c>
      <c r="J38" s="149">
        <v>0</v>
      </c>
      <c r="K38" s="127">
        <f t="shared" si="21"/>
        <v>19189</v>
      </c>
      <c r="L38" s="127">
        <f t="shared" si="45"/>
        <v>19189</v>
      </c>
      <c r="M38" s="127">
        <f t="shared" si="22"/>
        <v>19189</v>
      </c>
      <c r="N38" s="131">
        <f t="shared" si="23"/>
        <v>0</v>
      </c>
      <c r="O38" s="125">
        <f t="shared" si="24"/>
        <v>19189</v>
      </c>
      <c r="P38" s="45"/>
      <c r="Q38" s="45">
        <v>19189</v>
      </c>
      <c r="R38" s="45">
        <f t="shared" ref="R38" si="183">I38+P38</f>
        <v>0</v>
      </c>
      <c r="S38" s="45">
        <f t="shared" ref="S38" si="184">Q38</f>
        <v>19189</v>
      </c>
      <c r="T38" s="45"/>
      <c r="U38" s="45"/>
      <c r="V38" s="45"/>
      <c r="W38" s="45"/>
      <c r="X38" s="45">
        <f t="shared" ref="X38" si="185">T38+V38</f>
        <v>0</v>
      </c>
      <c r="Y38" s="45">
        <f t="shared" ref="Y38" si="186">U38+W38</f>
        <v>0</v>
      </c>
      <c r="Z38" s="45"/>
      <c r="AA38" s="45"/>
      <c r="AB38" s="45"/>
      <c r="AC38" s="45"/>
      <c r="AD38" s="45">
        <f t="shared" ref="AD38" si="187">Z38+AB38</f>
        <v>0</v>
      </c>
      <c r="AE38" s="45">
        <f t="shared" ref="AE38" si="188">AA38+AC38</f>
        <v>0</v>
      </c>
      <c r="AF38" s="46">
        <f t="shared" ref="AF38" si="189">P38+T38+Z38</f>
        <v>0</v>
      </c>
      <c r="AG38" s="45">
        <f t="shared" ref="AG38" si="190">P38+U38+AA38</f>
        <v>0</v>
      </c>
      <c r="AH38" s="45">
        <f t="shared" ref="AH38" si="191">Q38+V38+AB38</f>
        <v>19189</v>
      </c>
      <c r="AI38" s="45">
        <f t="shared" ref="AI38" si="192">Q38+W38+AC38</f>
        <v>19189</v>
      </c>
      <c r="AJ38" s="45">
        <f t="shared" ref="AJ38" si="193">AF38+AH38</f>
        <v>19189</v>
      </c>
      <c r="AK38" s="45">
        <f t="shared" ref="AK38" si="194">AG38+AI38</f>
        <v>19189</v>
      </c>
      <c r="AL38" s="45"/>
      <c r="AM38" s="45"/>
      <c r="AN38" s="45">
        <v>0</v>
      </c>
      <c r="AO38" s="45"/>
      <c r="AP38" s="45">
        <f t="shared" ref="AP38" si="195">AL38+AN38</f>
        <v>0</v>
      </c>
      <c r="AQ38" s="45">
        <f t="shared" ref="AQ38" si="196">AM38+AO38</f>
        <v>0</v>
      </c>
      <c r="AR38" s="45"/>
      <c r="AS38" s="45"/>
      <c r="AT38" s="45"/>
      <c r="AU38" s="45"/>
      <c r="AV38" s="45">
        <f t="shared" ref="AV38" si="197">AR38+AT38</f>
        <v>0</v>
      </c>
      <c r="AW38" s="45">
        <f t="shared" ref="AW38" si="198">AS38+AU38</f>
        <v>0</v>
      </c>
      <c r="AX38" s="45"/>
      <c r="AY38" s="45"/>
      <c r="AZ38" s="45"/>
      <c r="BA38" s="45"/>
      <c r="BB38" s="45">
        <f t="shared" ref="BB38" si="199">AX38+AZ38</f>
        <v>0</v>
      </c>
      <c r="BC38" s="45"/>
      <c r="BD38" s="45">
        <f t="shared" ref="BD38" si="200">AY38+BA38</f>
        <v>0</v>
      </c>
      <c r="BE38" s="45"/>
      <c r="BF38" s="45"/>
      <c r="BG38" s="45"/>
      <c r="BH38" s="45"/>
      <c r="BI38" s="45">
        <f t="shared" ref="BI38" si="201">BE38+BG38</f>
        <v>0</v>
      </c>
      <c r="BJ38" s="45"/>
      <c r="BK38" s="45">
        <f t="shared" ref="BK38" si="202">BF38+BH38</f>
        <v>0</v>
      </c>
      <c r="BL38" s="45"/>
      <c r="BM38" s="45"/>
      <c r="BN38" s="45"/>
      <c r="BO38" s="45"/>
      <c r="BP38" s="45">
        <f t="shared" ref="BP38" si="203">BL38+BN38</f>
        <v>0</v>
      </c>
      <c r="BQ38" s="45"/>
      <c r="BR38" s="45">
        <f t="shared" ref="BR38" si="204">BM38+BO38</f>
        <v>0</v>
      </c>
      <c r="BS38" s="45"/>
      <c r="BT38" s="45"/>
      <c r="BU38" s="45"/>
      <c r="BV38" s="45"/>
      <c r="BW38" s="45"/>
      <c r="BX38" s="45"/>
      <c r="BY38" s="12">
        <f t="shared" si="46"/>
        <v>0</v>
      </c>
      <c r="BZ38" s="45"/>
      <c r="CA38" s="45"/>
      <c r="CB38" s="45"/>
      <c r="CC38" s="45"/>
      <c r="CD38" s="45">
        <f t="shared" ref="CD38" si="205">BZ38+CB38</f>
        <v>0</v>
      </c>
      <c r="CE38" s="45"/>
      <c r="CF38" s="45">
        <f t="shared" ref="CF38" si="206">CA38+CC38</f>
        <v>0</v>
      </c>
      <c r="CG38" s="45"/>
      <c r="CH38" s="45"/>
      <c r="CI38" s="45"/>
      <c r="CJ38" s="45"/>
      <c r="CK38" s="45">
        <f t="shared" ref="CK38" si="207">CG38+CI38</f>
        <v>0</v>
      </c>
      <c r="CL38" s="45"/>
      <c r="CM38" s="45">
        <f t="shared" ref="CM38" si="208">CH38+CJ38</f>
        <v>0</v>
      </c>
      <c r="CN38" s="45"/>
      <c r="CO38" s="45"/>
      <c r="CP38" s="45"/>
      <c r="CQ38" s="45"/>
      <c r="CR38" s="45">
        <f t="shared" ref="CR38" si="209">CN38+CP38</f>
        <v>0</v>
      </c>
      <c r="CS38" s="45"/>
      <c r="CT38" s="45">
        <f t="shared" ref="CT38" si="210">CO38+CQ38</f>
        <v>0</v>
      </c>
      <c r="CU38" s="45"/>
      <c r="CV38" s="45"/>
      <c r="CW38" s="45"/>
      <c r="CX38" s="45"/>
      <c r="CY38" s="45">
        <f t="shared" ref="CY38" si="211">CU38+CW38</f>
        <v>0</v>
      </c>
      <c r="CZ38" s="45"/>
      <c r="DA38" s="45">
        <f t="shared" ref="DA38" si="212">CV38+CX38</f>
        <v>0</v>
      </c>
      <c r="DB38" s="45"/>
      <c r="DC38" s="45"/>
      <c r="DD38" s="45"/>
      <c r="DE38" s="45"/>
      <c r="DF38" s="45">
        <f t="shared" ref="DF38" si="213">DB38+DD38</f>
        <v>0</v>
      </c>
      <c r="DG38" s="45"/>
      <c r="DH38" s="45">
        <f t="shared" ref="DH38" si="214">DC38+DE38</f>
        <v>0</v>
      </c>
      <c r="DI38" s="45"/>
      <c r="DJ38" s="45"/>
      <c r="DK38" s="45"/>
      <c r="DL38" s="45"/>
      <c r="DM38" s="45">
        <f t="shared" ref="DM38" si="215">DI38+DK38</f>
        <v>0</v>
      </c>
      <c r="DN38" s="45"/>
      <c r="DO38" s="45">
        <f t="shared" ref="DO38" si="216">DJ38+DL38</f>
        <v>0</v>
      </c>
      <c r="DP38" s="12">
        <f t="shared" ref="DP38" si="217">AL38+AR38+AX38+BE38+BS38+BZ38+CG38+CN38+CU38+DB38+DI38+BL38</f>
        <v>0</v>
      </c>
      <c r="DQ38" s="12">
        <f t="shared" ref="DQ38" si="218">AM38+AS38+AY38+BF38+BT38+CA38+CH38+CO38+CV38+DC38+DJ38+BM38</f>
        <v>0</v>
      </c>
      <c r="DR38" s="12">
        <f t="shared" ref="DR38" si="219">AN38+AT38+AZ38+BG38+BU38+CB38+CI38+CP38+CW38+DD38+DK38+BN38</f>
        <v>0</v>
      </c>
      <c r="DS38" s="12">
        <f t="shared" ref="DS38" si="220">AO38+AU38+BA38+BH38+BV38+CC38+CJ38+CQ38+CX38+DE38+DL38+BO38</f>
        <v>0</v>
      </c>
      <c r="DT38" s="12">
        <f t="shared" ref="DT38" si="221">DP38+DR38</f>
        <v>0</v>
      </c>
      <c r="DU38" s="12">
        <f t="shared" ref="DU38" si="222">DQ38+DS38</f>
        <v>0</v>
      </c>
    </row>
  </sheetData>
  <autoFilter ref="A8:DU38" xr:uid="{00000000-0009-0000-0000-000011000000}"/>
  <mergeCells count="88">
    <mergeCell ref="DT5:DU5"/>
    <mergeCell ref="F3:F6"/>
    <mergeCell ref="G3:G6"/>
    <mergeCell ref="I3:J4"/>
    <mergeCell ref="K3:L4"/>
    <mergeCell ref="J5:J6"/>
    <mergeCell ref="K5:K6"/>
    <mergeCell ref="L5:L6"/>
    <mergeCell ref="H3:H6"/>
    <mergeCell ref="CG5:CH5"/>
    <mergeCell ref="DK5:DL5"/>
    <mergeCell ref="DM5:DO5"/>
    <mergeCell ref="DP5:DQ5"/>
    <mergeCell ref="DR5:DS5"/>
    <mergeCell ref="BU5:BV5"/>
    <mergeCell ref="BW5:BY5"/>
    <mergeCell ref="BZ5:CA5"/>
    <mergeCell ref="CB5:CC5"/>
    <mergeCell ref="CD5:CF5"/>
    <mergeCell ref="DF5:DH5"/>
    <mergeCell ref="DI5:DJ5"/>
    <mergeCell ref="CI5:CJ5"/>
    <mergeCell ref="CK5:CM5"/>
    <mergeCell ref="CN5:CO5"/>
    <mergeCell ref="CP5:CQ5"/>
    <mergeCell ref="CR5:CT5"/>
    <mergeCell ref="CU5:CV5"/>
    <mergeCell ref="CW5:CX5"/>
    <mergeCell ref="CY5:DA5"/>
    <mergeCell ref="DB5:DC5"/>
    <mergeCell ref="DD5:DE5"/>
    <mergeCell ref="AN5:AO5"/>
    <mergeCell ref="AP5:AQ5"/>
    <mergeCell ref="BS5:BT5"/>
    <mergeCell ref="AT5:AU5"/>
    <mergeCell ref="AV5:AW5"/>
    <mergeCell ref="AX5:AY5"/>
    <mergeCell ref="AZ5:BA5"/>
    <mergeCell ref="BB5:BD5"/>
    <mergeCell ref="BE5:BF5"/>
    <mergeCell ref="BG5:BH5"/>
    <mergeCell ref="BI5:BK5"/>
    <mergeCell ref="BL5:BM5"/>
    <mergeCell ref="BN5:BO5"/>
    <mergeCell ref="BP5:BR5"/>
    <mergeCell ref="DB4:DH4"/>
    <mergeCell ref="I5:I6"/>
    <mergeCell ref="P5:P6"/>
    <mergeCell ref="Q5:Q6"/>
    <mergeCell ref="R5:R6"/>
    <mergeCell ref="S5:S6"/>
    <mergeCell ref="AR5:AS5"/>
    <mergeCell ref="V5:W5"/>
    <mergeCell ref="X5:Y5"/>
    <mergeCell ref="Z5:AA5"/>
    <mergeCell ref="AB5:AC5"/>
    <mergeCell ref="AD5:AE5"/>
    <mergeCell ref="AF5:AG5"/>
    <mergeCell ref="AH5:AI5"/>
    <mergeCell ref="AJ5:AK5"/>
    <mergeCell ref="AL5:AM5"/>
    <mergeCell ref="P3:Q4"/>
    <mergeCell ref="R3:S4"/>
    <mergeCell ref="T3:AK3"/>
    <mergeCell ref="T5:U5"/>
    <mergeCell ref="M3:M6"/>
    <mergeCell ref="O3:O6"/>
    <mergeCell ref="AL3:DU3"/>
    <mergeCell ref="T4:Y4"/>
    <mergeCell ref="Z4:AE4"/>
    <mergeCell ref="AF4:AK4"/>
    <mergeCell ref="AL4:AQ4"/>
    <mergeCell ref="DI4:DO4"/>
    <mergeCell ref="DP4:DU4"/>
    <mergeCell ref="AR4:AW4"/>
    <mergeCell ref="AX4:BD4"/>
    <mergeCell ref="BE4:BK4"/>
    <mergeCell ref="BL4:BR4"/>
    <mergeCell ref="BS4:BY4"/>
    <mergeCell ref="BZ4:CF4"/>
    <mergeCell ref="CG4:CM4"/>
    <mergeCell ref="CN4:CT4"/>
    <mergeCell ref="CU4:DA4"/>
    <mergeCell ref="E3:E6"/>
    <mergeCell ref="A3:A6"/>
    <mergeCell ref="B3:B6"/>
    <mergeCell ref="C3:C6"/>
    <mergeCell ref="D3:D6"/>
  </mergeCells>
  <pageMargins left="0.7" right="0.7" top="0.75" bottom="0.75" header="0.3" footer="0.3"/>
  <pageSetup paperSize="9" orientation="portrait" verticalDpi="0"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A1:DM29"/>
  <sheetViews>
    <sheetView workbookViewId="0">
      <pane xSplit="7" ySplit="8" topLeftCell="BK9" activePane="bottomRight" state="frozen"/>
      <selection pane="topRight" activeCell="H1" sqref="H1"/>
      <selection pane="bottomLeft" activeCell="A9" sqref="A9"/>
      <selection pane="bottomRight" activeCell="BU21" sqref="BU21"/>
    </sheetView>
  </sheetViews>
  <sheetFormatPr defaultColWidth="10.42578125" defaultRowHeight="15"/>
  <cols>
    <col min="1" max="1" width="6" style="14" customWidth="1"/>
    <col min="2" max="2" width="16.85546875" style="14" bestFit="1" customWidth="1"/>
    <col min="3" max="3" width="11.28515625" style="14" customWidth="1"/>
    <col min="4" max="4" width="28.5703125" style="14" customWidth="1"/>
    <col min="5" max="5" width="15.5703125" style="14" bestFit="1" customWidth="1"/>
    <col min="6" max="6" width="12.140625" style="14" bestFit="1" customWidth="1"/>
    <col min="7" max="7" width="14" style="14" bestFit="1" customWidth="1"/>
    <col min="8" max="8" width="19.85546875" style="17" customWidth="1"/>
    <col min="9" max="12" width="15.85546875" style="14" hidden="1" customWidth="1"/>
    <col min="13" max="15" width="15.85546875" style="14" customWidth="1"/>
    <col min="16" max="16" width="16.85546875" style="14" hidden="1" customWidth="1"/>
    <col min="17" max="17" width="13.5703125" style="14" hidden="1" customWidth="1"/>
    <col min="18" max="18" width="14.140625" style="14" hidden="1" customWidth="1"/>
    <col min="19" max="19" width="13.5703125" style="14" hidden="1" customWidth="1"/>
    <col min="20" max="20" width="6.140625" style="14" hidden="1" customWidth="1"/>
    <col min="21" max="21" width="7.28515625" style="14" hidden="1" customWidth="1"/>
    <col min="22" max="22" width="6.140625" style="14" hidden="1" customWidth="1"/>
    <col min="23" max="23" width="7.28515625" style="14" hidden="1" customWidth="1"/>
    <col min="24" max="24" width="6.42578125" style="14" hidden="1" customWidth="1"/>
    <col min="25" max="25" width="7.5703125" style="14" hidden="1" customWidth="1"/>
    <col min="26" max="26" width="6.140625" style="14" hidden="1" customWidth="1"/>
    <col min="27" max="27" width="7.28515625" style="14" hidden="1" customWidth="1"/>
    <col min="28" max="28" width="6.140625" style="14" hidden="1" customWidth="1"/>
    <col min="29" max="29" width="7.28515625" style="14" hidden="1" customWidth="1"/>
    <col min="30" max="30" width="6.42578125" style="14" hidden="1" customWidth="1"/>
    <col min="31" max="31" width="7.5703125" style="14" hidden="1" customWidth="1"/>
    <col min="32" max="33" width="11.5703125" style="14" hidden="1" customWidth="1"/>
    <col min="34" max="35" width="9.85546875" style="14" hidden="1" customWidth="1"/>
    <col min="36" max="37" width="11.5703125" style="14" hidden="1" customWidth="1"/>
    <col min="38" max="40" width="9.85546875" style="14" bestFit="1" customWidth="1"/>
    <col min="41" max="41" width="7.28515625" style="14" bestFit="1" customWidth="1"/>
    <col min="42" max="42" width="11.5703125" style="14" bestFit="1" customWidth="1"/>
    <col min="43" max="45" width="9.85546875" style="14" bestFit="1" customWidth="1"/>
    <col min="46" max="46" width="6.140625" style="14" bestFit="1" customWidth="1"/>
    <col min="47" max="47" width="7.28515625" style="14" bestFit="1" customWidth="1"/>
    <col min="48" max="51" width="9.85546875" style="14" bestFit="1" customWidth="1"/>
    <col min="52" max="52" width="6.140625" style="14" bestFit="1" customWidth="1"/>
    <col min="53" max="53" width="7.28515625" style="14" bestFit="1" customWidth="1"/>
    <col min="54" max="54" width="9.85546875" style="14" bestFit="1" customWidth="1"/>
    <col min="55" max="55" width="11.42578125" style="14" bestFit="1" customWidth="1"/>
    <col min="56" max="56" width="9.85546875" style="14" bestFit="1" customWidth="1"/>
    <col min="57" max="57" width="6.140625" style="14" bestFit="1" customWidth="1"/>
    <col min="58" max="61" width="9.85546875" style="14" bestFit="1" customWidth="1"/>
    <col min="62" max="62" width="11.42578125" style="14" bestFit="1" customWidth="1"/>
    <col min="63" max="63" width="9.85546875" style="14" bestFit="1" customWidth="1"/>
    <col min="64" max="64" width="6.140625" style="14" bestFit="1" customWidth="1"/>
    <col min="65" max="65" width="7.28515625" style="14" bestFit="1" customWidth="1"/>
    <col min="66" max="66" width="6.140625" style="14" bestFit="1" customWidth="1"/>
    <col min="67" max="67" width="7.28515625" style="14" bestFit="1" customWidth="1"/>
    <col min="68" max="68" width="6.42578125" style="14" bestFit="1" customWidth="1"/>
    <col min="69" max="69" width="7.5703125" style="14" bestFit="1" customWidth="1"/>
    <col min="70" max="70" width="6.140625" style="14" bestFit="1" customWidth="1"/>
    <col min="71" max="71" width="8.7109375" style="14" bestFit="1" customWidth="1"/>
    <col min="72" max="72" width="6.140625" style="14" bestFit="1" customWidth="1"/>
    <col min="73" max="73" width="7.28515625" style="14" bestFit="1" customWidth="1"/>
    <col min="74" max="74" width="6.42578125" style="14" bestFit="1" customWidth="1"/>
    <col min="75" max="75" width="8.7109375" style="14" bestFit="1" customWidth="1"/>
    <col min="76" max="76" width="6.140625" style="14" bestFit="1" customWidth="1"/>
    <col min="77" max="77" width="7.28515625" style="14" bestFit="1" customWidth="1"/>
    <col min="78" max="78" width="6.140625" style="14" bestFit="1" customWidth="1"/>
    <col min="79" max="79" width="12.28515625" style="14" bestFit="1" customWidth="1"/>
    <col min="80" max="80" width="6.42578125" style="14" bestFit="1" customWidth="1"/>
    <col min="81" max="81" width="8.7109375" style="14" bestFit="1" customWidth="1"/>
    <col min="82" max="82" width="6.140625" style="14" bestFit="1" customWidth="1"/>
    <col min="83" max="83" width="9.85546875" style="14" bestFit="1" customWidth="1"/>
    <col min="84" max="84" width="6.140625" style="14" bestFit="1" customWidth="1"/>
    <col min="85" max="85" width="7.28515625" style="14" bestFit="1" customWidth="1"/>
    <col min="86" max="86" width="6.42578125" style="14" bestFit="1" customWidth="1"/>
    <col min="87" max="87" width="9.85546875" style="14" bestFit="1" customWidth="1"/>
    <col min="88" max="88" width="6.140625" style="14" bestFit="1" customWidth="1"/>
    <col min="89" max="89" width="9.85546875" style="14" bestFit="1" customWidth="1"/>
    <col min="90" max="90" width="6.140625" style="14" bestFit="1" customWidth="1"/>
    <col min="91" max="91" width="13.42578125" style="14" bestFit="1" customWidth="1"/>
    <col min="92" max="92" width="6.42578125" style="14" bestFit="1" customWidth="1"/>
    <col min="93" max="93" width="9.85546875" style="14" bestFit="1" customWidth="1"/>
    <col min="94" max="94" width="6.140625" style="14" bestFit="1" customWidth="1"/>
    <col min="95" max="95" width="8.7109375" style="14" bestFit="1" customWidth="1"/>
    <col min="96" max="96" width="6.140625" style="14" bestFit="1" customWidth="1"/>
    <col min="97" max="97" width="7.28515625" style="14" bestFit="1" customWidth="1"/>
    <col min="98" max="98" width="6.42578125" style="14" bestFit="1" customWidth="1"/>
    <col min="99" max="99" width="8.7109375" style="14" bestFit="1" customWidth="1"/>
    <col min="100" max="100" width="6.140625" style="14" bestFit="1" customWidth="1"/>
    <col min="101" max="101" width="7.28515625" style="14" bestFit="1" customWidth="1"/>
    <col min="102" max="102" width="6.140625" style="14" bestFit="1" customWidth="1"/>
    <col min="103" max="103" width="7.28515625" style="14" bestFit="1" customWidth="1"/>
    <col min="104" max="104" width="6.42578125" style="14" bestFit="1" customWidth="1"/>
    <col min="105" max="105" width="7.5703125" style="14" bestFit="1" customWidth="1"/>
    <col min="106" max="106" width="6.140625" style="14" bestFit="1" customWidth="1"/>
    <col min="107" max="107" width="7.28515625" style="14" bestFit="1" customWidth="1"/>
    <col min="108" max="108" width="6.140625" style="14" bestFit="1" customWidth="1"/>
    <col min="109" max="109" width="7.28515625" style="14" bestFit="1" customWidth="1"/>
    <col min="110" max="110" width="6.42578125" style="14" bestFit="1" customWidth="1"/>
    <col min="111" max="111" width="7.5703125" style="14" bestFit="1" customWidth="1"/>
    <col min="112" max="114" width="11.5703125" style="14" bestFit="1" customWidth="1"/>
    <col min="115" max="115" width="9.85546875" style="14" bestFit="1" customWidth="1"/>
    <col min="116" max="117" width="11.5703125" style="14" bestFit="1" customWidth="1"/>
    <col min="118" max="16384" width="10.42578125" style="14"/>
  </cols>
  <sheetData>
    <row r="1" spans="1:117" ht="15.75">
      <c r="B1" s="16" t="s">
        <v>86</v>
      </c>
      <c r="F1" s="353">
        <f>AQ7+AW7</f>
        <v>1050000</v>
      </c>
      <c r="BK1" s="353"/>
    </row>
    <row r="2" spans="1:117" ht="15.75" thickBot="1">
      <c r="F2" s="353">
        <f>F7-F1</f>
        <v>1100000</v>
      </c>
      <c r="H2" s="17">
        <v>1.18</v>
      </c>
      <c r="AW2" s="353">
        <f>AW7-AV7</f>
        <v>0</v>
      </c>
      <c r="BK2" s="353">
        <f>BJ7-BK7</f>
        <v>97606.219999999972</v>
      </c>
    </row>
    <row r="3" spans="1:117" ht="19.5" thickBot="1">
      <c r="A3" s="513" t="s">
        <v>1</v>
      </c>
      <c r="B3" s="475" t="s">
        <v>1198</v>
      </c>
      <c r="C3" s="475" t="s">
        <v>3</v>
      </c>
      <c r="D3" s="475" t="s">
        <v>4</v>
      </c>
      <c r="E3" s="516" t="s">
        <v>1176</v>
      </c>
      <c r="F3" s="516" t="s">
        <v>1170</v>
      </c>
      <c r="G3" s="510" t="s">
        <v>1178</v>
      </c>
      <c r="H3" s="540" t="s">
        <v>5</v>
      </c>
      <c r="I3" s="488" t="s">
        <v>6</v>
      </c>
      <c r="J3" s="489"/>
      <c r="K3" s="492" t="s">
        <v>9</v>
      </c>
      <c r="L3" s="493"/>
      <c r="M3" s="469" t="s">
        <v>1197</v>
      </c>
      <c r="N3" s="273"/>
      <c r="O3" s="485" t="s">
        <v>1196</v>
      </c>
      <c r="P3" s="478" t="s">
        <v>7</v>
      </c>
      <c r="Q3" s="479"/>
      <c r="R3" s="478" t="s">
        <v>8</v>
      </c>
      <c r="S3" s="479"/>
      <c r="T3" s="482" t="s">
        <v>9</v>
      </c>
      <c r="U3" s="483"/>
      <c r="V3" s="483"/>
      <c r="W3" s="483"/>
      <c r="X3" s="483"/>
      <c r="Y3" s="483"/>
      <c r="Z3" s="483"/>
      <c r="AA3" s="483"/>
      <c r="AB3" s="483"/>
      <c r="AC3" s="483"/>
      <c r="AD3" s="483"/>
      <c r="AE3" s="483"/>
      <c r="AF3" s="483"/>
      <c r="AG3" s="483"/>
      <c r="AH3" s="483"/>
      <c r="AI3" s="483"/>
      <c r="AJ3" s="483"/>
      <c r="AK3" s="484"/>
      <c r="AL3" s="499">
        <v>2025</v>
      </c>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3"/>
      <c r="DK3" s="483"/>
      <c r="DL3" s="483"/>
      <c r="DM3" s="484"/>
    </row>
    <row r="4" spans="1:117" ht="80.25" customHeight="1" thickBot="1">
      <c r="A4" s="514"/>
      <c r="B4" s="476"/>
      <c r="C4" s="476"/>
      <c r="D4" s="476"/>
      <c r="E4" s="517"/>
      <c r="F4" s="517"/>
      <c r="G4" s="511"/>
      <c r="H4" s="541"/>
      <c r="I4" s="490"/>
      <c r="J4" s="491"/>
      <c r="K4" s="494"/>
      <c r="L4" s="495"/>
      <c r="M4" s="496"/>
      <c r="N4" s="271" t="s">
        <v>1234</v>
      </c>
      <c r="O4" s="486"/>
      <c r="P4" s="480"/>
      <c r="Q4" s="481"/>
      <c r="R4" s="480"/>
      <c r="S4" s="481"/>
      <c r="T4" s="500" t="s">
        <v>10</v>
      </c>
      <c r="U4" s="501"/>
      <c r="V4" s="501"/>
      <c r="W4" s="501"/>
      <c r="X4" s="501"/>
      <c r="Y4" s="502"/>
      <c r="Z4" s="500" t="s">
        <v>11</v>
      </c>
      <c r="AA4" s="501"/>
      <c r="AB4" s="501"/>
      <c r="AC4" s="501"/>
      <c r="AD4" s="501"/>
      <c r="AE4" s="502"/>
      <c r="AF4" s="503" t="s">
        <v>9</v>
      </c>
      <c r="AG4" s="504"/>
      <c r="AH4" s="504"/>
      <c r="AI4" s="504"/>
      <c r="AJ4" s="504"/>
      <c r="AK4" s="505"/>
      <c r="AL4" s="500" t="s">
        <v>12</v>
      </c>
      <c r="AM4" s="501"/>
      <c r="AN4" s="501"/>
      <c r="AO4" s="501"/>
      <c r="AP4" s="501"/>
      <c r="AQ4" s="502"/>
      <c r="AR4" s="500" t="s">
        <v>13</v>
      </c>
      <c r="AS4" s="501"/>
      <c r="AT4" s="501"/>
      <c r="AU4" s="501"/>
      <c r="AV4" s="501"/>
      <c r="AW4" s="502"/>
      <c r="AX4" s="500" t="s">
        <v>14</v>
      </c>
      <c r="AY4" s="501"/>
      <c r="AZ4" s="501"/>
      <c r="BA4" s="501"/>
      <c r="BB4" s="501"/>
      <c r="BC4" s="509"/>
      <c r="BD4" s="502"/>
      <c r="BE4" s="500" t="s">
        <v>15</v>
      </c>
      <c r="BF4" s="501"/>
      <c r="BG4" s="501"/>
      <c r="BH4" s="501"/>
      <c r="BI4" s="501"/>
      <c r="BJ4" s="509"/>
      <c r="BK4" s="502"/>
      <c r="BL4" s="500" t="s">
        <v>16</v>
      </c>
      <c r="BM4" s="501"/>
      <c r="BN4" s="501"/>
      <c r="BO4" s="501"/>
      <c r="BP4" s="501"/>
      <c r="BQ4" s="502"/>
      <c r="BR4" s="500" t="s">
        <v>17</v>
      </c>
      <c r="BS4" s="501"/>
      <c r="BT4" s="501"/>
      <c r="BU4" s="501"/>
      <c r="BV4" s="501"/>
      <c r="BW4" s="502"/>
      <c r="BX4" s="500" t="s">
        <v>18</v>
      </c>
      <c r="BY4" s="501"/>
      <c r="BZ4" s="501"/>
      <c r="CA4" s="501"/>
      <c r="CB4" s="501"/>
      <c r="CC4" s="502"/>
      <c r="CD4" s="500" t="s">
        <v>19</v>
      </c>
      <c r="CE4" s="501"/>
      <c r="CF4" s="501"/>
      <c r="CG4" s="501"/>
      <c r="CH4" s="501"/>
      <c r="CI4" s="502"/>
      <c r="CJ4" s="500" t="s">
        <v>20</v>
      </c>
      <c r="CK4" s="501"/>
      <c r="CL4" s="501"/>
      <c r="CM4" s="501"/>
      <c r="CN4" s="501"/>
      <c r="CO4" s="502"/>
      <c r="CP4" s="466" t="s">
        <v>21</v>
      </c>
      <c r="CQ4" s="467"/>
      <c r="CR4" s="467"/>
      <c r="CS4" s="467"/>
      <c r="CT4" s="467"/>
      <c r="CU4" s="525"/>
      <c r="CV4" s="500" t="s">
        <v>22</v>
      </c>
      <c r="CW4" s="501"/>
      <c r="CX4" s="501"/>
      <c r="CY4" s="501"/>
      <c r="CZ4" s="501"/>
      <c r="DA4" s="502"/>
      <c r="DB4" s="500" t="s">
        <v>23</v>
      </c>
      <c r="DC4" s="501"/>
      <c r="DD4" s="501"/>
      <c r="DE4" s="501"/>
      <c r="DF4" s="501"/>
      <c r="DG4" s="502"/>
      <c r="DH4" s="506" t="s">
        <v>24</v>
      </c>
      <c r="DI4" s="507"/>
      <c r="DJ4" s="507"/>
      <c r="DK4" s="507"/>
      <c r="DL4" s="507"/>
      <c r="DM4" s="508"/>
    </row>
    <row r="5" spans="1:117">
      <c r="A5" s="514"/>
      <c r="B5" s="476"/>
      <c r="C5" s="476"/>
      <c r="D5" s="476"/>
      <c r="E5" s="517"/>
      <c r="F5" s="517"/>
      <c r="G5" s="511"/>
      <c r="H5" s="541"/>
      <c r="I5" s="469" t="s">
        <v>1169</v>
      </c>
      <c r="J5" s="469" t="s">
        <v>1199</v>
      </c>
      <c r="K5" s="498" t="s">
        <v>1172</v>
      </c>
      <c r="L5" s="469" t="s">
        <v>1177</v>
      </c>
      <c r="M5" s="496"/>
      <c r="N5" s="274"/>
      <c r="O5" s="486"/>
      <c r="P5" s="471" t="s">
        <v>1169</v>
      </c>
      <c r="Q5" s="473" t="s">
        <v>1168</v>
      </c>
      <c r="R5" s="471" t="s">
        <v>1169</v>
      </c>
      <c r="S5" s="473" t="s">
        <v>1168</v>
      </c>
      <c r="T5" s="464" t="s">
        <v>1167</v>
      </c>
      <c r="U5" s="460"/>
      <c r="V5" s="460" t="s">
        <v>1166</v>
      </c>
      <c r="W5" s="461"/>
      <c r="X5" s="462" t="s">
        <v>25</v>
      </c>
      <c r="Y5" s="463"/>
      <c r="Z5" s="464" t="s">
        <v>1167</v>
      </c>
      <c r="AA5" s="460"/>
      <c r="AB5" s="460" t="s">
        <v>1166</v>
      </c>
      <c r="AC5" s="461"/>
      <c r="AD5" s="462" t="s">
        <v>25</v>
      </c>
      <c r="AE5" s="463"/>
      <c r="AF5" s="464" t="s">
        <v>1167</v>
      </c>
      <c r="AG5" s="460"/>
      <c r="AH5" s="460" t="s">
        <v>1166</v>
      </c>
      <c r="AI5" s="461"/>
      <c r="AJ5" s="462" t="s">
        <v>25</v>
      </c>
      <c r="AK5" s="463"/>
      <c r="AL5" s="464" t="s">
        <v>1167</v>
      </c>
      <c r="AM5" s="460"/>
      <c r="AN5" s="460" t="s">
        <v>1166</v>
      </c>
      <c r="AO5" s="461"/>
      <c r="AP5" s="462" t="s">
        <v>25</v>
      </c>
      <c r="AQ5" s="463"/>
      <c r="AR5" s="464" t="s">
        <v>1167</v>
      </c>
      <c r="AS5" s="460"/>
      <c r="AT5" s="460" t="s">
        <v>1166</v>
      </c>
      <c r="AU5" s="461"/>
      <c r="AV5" s="462" t="s">
        <v>25</v>
      </c>
      <c r="AW5" s="463"/>
      <c r="AX5" s="464" t="s">
        <v>1167</v>
      </c>
      <c r="AY5" s="460"/>
      <c r="AZ5" s="460" t="s">
        <v>1166</v>
      </c>
      <c r="BA5" s="461"/>
      <c r="BB5" s="462" t="s">
        <v>25</v>
      </c>
      <c r="BC5" s="465"/>
      <c r="BD5" s="463"/>
      <c r="BE5" s="464" t="s">
        <v>1167</v>
      </c>
      <c r="BF5" s="460"/>
      <c r="BG5" s="460" t="s">
        <v>1166</v>
      </c>
      <c r="BH5" s="461"/>
      <c r="BI5" s="462" t="s">
        <v>25</v>
      </c>
      <c r="BJ5" s="465"/>
      <c r="BK5" s="463"/>
      <c r="BL5" s="464" t="s">
        <v>1167</v>
      </c>
      <c r="BM5" s="460"/>
      <c r="BN5" s="460" t="s">
        <v>1166</v>
      </c>
      <c r="BO5" s="461"/>
      <c r="BP5" s="462" t="s">
        <v>25</v>
      </c>
      <c r="BQ5" s="463"/>
      <c r="BR5" s="559" t="s">
        <v>1167</v>
      </c>
      <c r="BS5" s="560"/>
      <c r="BT5" s="560" t="s">
        <v>1166</v>
      </c>
      <c r="BU5" s="562"/>
      <c r="BV5" s="462" t="s">
        <v>25</v>
      </c>
      <c r="BW5" s="463"/>
      <c r="BX5" s="559" t="s">
        <v>1167</v>
      </c>
      <c r="BY5" s="560"/>
      <c r="BZ5" s="560" t="s">
        <v>1166</v>
      </c>
      <c r="CA5" s="562"/>
      <c r="CB5" s="462" t="s">
        <v>25</v>
      </c>
      <c r="CC5" s="463"/>
      <c r="CD5" s="559" t="s">
        <v>1167</v>
      </c>
      <c r="CE5" s="560"/>
      <c r="CF5" s="560" t="s">
        <v>1166</v>
      </c>
      <c r="CG5" s="562"/>
      <c r="CH5" s="462" t="s">
        <v>25</v>
      </c>
      <c r="CI5" s="463"/>
      <c r="CJ5" s="559" t="s">
        <v>1167</v>
      </c>
      <c r="CK5" s="560"/>
      <c r="CL5" s="560" t="s">
        <v>1166</v>
      </c>
      <c r="CM5" s="562"/>
      <c r="CN5" s="462" t="s">
        <v>25</v>
      </c>
      <c r="CO5" s="463"/>
      <c r="CP5" s="464" t="s">
        <v>1167</v>
      </c>
      <c r="CQ5" s="460"/>
      <c r="CR5" s="460" t="s">
        <v>1166</v>
      </c>
      <c r="CS5" s="461"/>
      <c r="CT5" s="462" t="s">
        <v>25</v>
      </c>
      <c r="CU5" s="463"/>
      <c r="CV5" s="464" t="s">
        <v>1167</v>
      </c>
      <c r="CW5" s="460"/>
      <c r="CX5" s="460" t="s">
        <v>1166</v>
      </c>
      <c r="CY5" s="461"/>
      <c r="CZ5" s="462" t="s">
        <v>25</v>
      </c>
      <c r="DA5" s="463"/>
      <c r="DB5" s="464" t="s">
        <v>1167</v>
      </c>
      <c r="DC5" s="460"/>
      <c r="DD5" s="460" t="s">
        <v>1166</v>
      </c>
      <c r="DE5" s="461"/>
      <c r="DF5" s="462" t="s">
        <v>25</v>
      </c>
      <c r="DG5" s="463"/>
      <c r="DH5" s="464" t="s">
        <v>1167</v>
      </c>
      <c r="DI5" s="460"/>
      <c r="DJ5" s="460" t="s">
        <v>1166</v>
      </c>
      <c r="DK5" s="461"/>
      <c r="DL5" s="462" t="s">
        <v>25</v>
      </c>
      <c r="DM5" s="463"/>
    </row>
    <row r="6" spans="1:117" ht="15.75" thickBot="1">
      <c r="A6" s="538"/>
      <c r="B6" s="539"/>
      <c r="C6" s="539"/>
      <c r="D6" s="539"/>
      <c r="E6" s="518"/>
      <c r="F6" s="518"/>
      <c r="G6" s="512"/>
      <c r="H6" s="542"/>
      <c r="I6" s="470"/>
      <c r="J6" s="497"/>
      <c r="K6" s="497"/>
      <c r="L6" s="497"/>
      <c r="M6" s="470"/>
      <c r="N6" s="275"/>
      <c r="O6" s="487"/>
      <c r="P6" s="472"/>
      <c r="Q6" s="474"/>
      <c r="R6" s="472"/>
      <c r="S6" s="474"/>
      <c r="T6" s="2" t="s">
        <v>26</v>
      </c>
      <c r="U6" s="3" t="s">
        <v>27</v>
      </c>
      <c r="V6" s="3" t="s">
        <v>26</v>
      </c>
      <c r="W6" s="4" t="s">
        <v>27</v>
      </c>
      <c r="X6" s="5" t="s">
        <v>26</v>
      </c>
      <c r="Y6" s="6" t="s">
        <v>27</v>
      </c>
      <c r="Z6" s="2" t="s">
        <v>26</v>
      </c>
      <c r="AA6" s="3" t="s">
        <v>27</v>
      </c>
      <c r="AB6" s="3" t="s">
        <v>26</v>
      </c>
      <c r="AC6" s="4" t="s">
        <v>27</v>
      </c>
      <c r="AD6" s="5" t="s">
        <v>26</v>
      </c>
      <c r="AE6" s="6" t="s">
        <v>27</v>
      </c>
      <c r="AF6" s="2" t="s">
        <v>26</v>
      </c>
      <c r="AG6" s="3" t="s">
        <v>27</v>
      </c>
      <c r="AH6" s="3" t="s">
        <v>26</v>
      </c>
      <c r="AI6" s="4" t="s">
        <v>27</v>
      </c>
      <c r="AJ6" s="5" t="s">
        <v>26</v>
      </c>
      <c r="AK6" s="6" t="s">
        <v>27</v>
      </c>
      <c r="AL6" s="2" t="s">
        <v>26</v>
      </c>
      <c r="AM6" s="3" t="s">
        <v>27</v>
      </c>
      <c r="AN6" s="3" t="s">
        <v>26</v>
      </c>
      <c r="AO6" s="4" t="s">
        <v>27</v>
      </c>
      <c r="AP6" s="5" t="s">
        <v>26</v>
      </c>
      <c r="AQ6" s="6" t="s">
        <v>27</v>
      </c>
      <c r="AR6" s="2" t="s">
        <v>26</v>
      </c>
      <c r="AS6" s="3" t="s">
        <v>27</v>
      </c>
      <c r="AT6" s="3" t="s">
        <v>26</v>
      </c>
      <c r="AU6" s="4" t="s">
        <v>27</v>
      </c>
      <c r="AV6" s="5" t="s">
        <v>26</v>
      </c>
      <c r="AW6" s="6" t="s">
        <v>27</v>
      </c>
      <c r="AX6" s="2" t="s">
        <v>26</v>
      </c>
      <c r="AY6" s="3" t="s">
        <v>27</v>
      </c>
      <c r="AZ6" s="3" t="s">
        <v>26</v>
      </c>
      <c r="BA6" s="4" t="s">
        <v>27</v>
      </c>
      <c r="BB6" s="5" t="s">
        <v>26</v>
      </c>
      <c r="BC6" s="367" t="s">
        <v>1254</v>
      </c>
      <c r="BD6" s="6" t="s">
        <v>27</v>
      </c>
      <c r="BE6" s="2" t="s">
        <v>26</v>
      </c>
      <c r="BF6" s="3" t="s">
        <v>27</v>
      </c>
      <c r="BG6" s="3" t="s">
        <v>26</v>
      </c>
      <c r="BH6" s="4" t="s">
        <v>27</v>
      </c>
      <c r="BI6" s="5" t="s">
        <v>26</v>
      </c>
      <c r="BJ6" s="367" t="s">
        <v>1254</v>
      </c>
      <c r="BK6" s="6" t="s">
        <v>27</v>
      </c>
      <c r="BL6" s="2" t="s">
        <v>26</v>
      </c>
      <c r="BM6" s="3" t="s">
        <v>27</v>
      </c>
      <c r="BN6" s="3" t="s">
        <v>26</v>
      </c>
      <c r="BO6" s="4" t="s">
        <v>27</v>
      </c>
      <c r="BP6" s="5" t="s">
        <v>26</v>
      </c>
      <c r="BQ6" s="6" t="s">
        <v>27</v>
      </c>
      <c r="BR6" s="2" t="s">
        <v>26</v>
      </c>
      <c r="BS6" s="3" t="s">
        <v>27</v>
      </c>
      <c r="BT6" s="3" t="s">
        <v>26</v>
      </c>
      <c r="BU6" s="4" t="s">
        <v>27</v>
      </c>
      <c r="BV6" s="5" t="s">
        <v>26</v>
      </c>
      <c r="BW6" s="6" t="s">
        <v>27</v>
      </c>
      <c r="BX6" s="2" t="s">
        <v>26</v>
      </c>
      <c r="BY6" s="3" t="s">
        <v>27</v>
      </c>
      <c r="BZ6" s="3" t="s">
        <v>26</v>
      </c>
      <c r="CA6" s="4" t="s">
        <v>27</v>
      </c>
      <c r="CB6" s="5" t="s">
        <v>26</v>
      </c>
      <c r="CC6" s="6" t="s">
        <v>27</v>
      </c>
      <c r="CD6" s="2" t="s">
        <v>26</v>
      </c>
      <c r="CE6" s="3" t="s">
        <v>27</v>
      </c>
      <c r="CF6" s="3" t="s">
        <v>26</v>
      </c>
      <c r="CG6" s="4" t="s">
        <v>27</v>
      </c>
      <c r="CH6" s="5" t="s">
        <v>26</v>
      </c>
      <c r="CI6" s="6" t="s">
        <v>27</v>
      </c>
      <c r="CJ6" s="2" t="s">
        <v>26</v>
      </c>
      <c r="CK6" s="3" t="s">
        <v>27</v>
      </c>
      <c r="CL6" s="3" t="s">
        <v>26</v>
      </c>
      <c r="CM6" s="4" t="s">
        <v>27</v>
      </c>
      <c r="CN6" s="5" t="s">
        <v>26</v>
      </c>
      <c r="CO6" s="6" t="s">
        <v>27</v>
      </c>
      <c r="CP6" s="2" t="s">
        <v>26</v>
      </c>
      <c r="CQ6" s="3" t="s">
        <v>27</v>
      </c>
      <c r="CR6" s="3" t="s">
        <v>26</v>
      </c>
      <c r="CS6" s="4" t="s">
        <v>27</v>
      </c>
      <c r="CT6" s="5" t="s">
        <v>26</v>
      </c>
      <c r="CU6" s="6" t="s">
        <v>27</v>
      </c>
      <c r="CV6" s="2" t="s">
        <v>26</v>
      </c>
      <c r="CW6" s="3" t="s">
        <v>27</v>
      </c>
      <c r="CX6" s="3" t="s">
        <v>26</v>
      </c>
      <c r="CY6" s="4" t="s">
        <v>27</v>
      </c>
      <c r="CZ6" s="5" t="s">
        <v>26</v>
      </c>
      <c r="DA6" s="6" t="s">
        <v>27</v>
      </c>
      <c r="DB6" s="2" t="s">
        <v>26</v>
      </c>
      <c r="DC6" s="3" t="s">
        <v>27</v>
      </c>
      <c r="DD6" s="3" t="s">
        <v>26</v>
      </c>
      <c r="DE6" s="4" t="s">
        <v>27</v>
      </c>
      <c r="DF6" s="5" t="s">
        <v>26</v>
      </c>
      <c r="DG6" s="6" t="s">
        <v>27</v>
      </c>
      <c r="DH6" s="2" t="s">
        <v>26</v>
      </c>
      <c r="DI6" s="3" t="s">
        <v>27</v>
      </c>
      <c r="DJ6" s="3" t="s">
        <v>26</v>
      </c>
      <c r="DK6" s="4" t="s">
        <v>27</v>
      </c>
      <c r="DL6" s="5" t="s">
        <v>26</v>
      </c>
      <c r="DM6" s="6" t="s">
        <v>27</v>
      </c>
    </row>
    <row r="7" spans="1:117" ht="15.75">
      <c r="A7" s="18">
        <f t="shared" ref="A7:D7" si="0">SUBTOTAL(3,A9:A12)</f>
        <v>4</v>
      </c>
      <c r="B7" s="18">
        <f t="shared" si="0"/>
        <v>4</v>
      </c>
      <c r="C7" s="18">
        <f t="shared" si="0"/>
        <v>4</v>
      </c>
      <c r="D7" s="18">
        <f t="shared" si="0"/>
        <v>4</v>
      </c>
      <c r="E7" s="18">
        <f>SUBTOTAL(3,E9:E12)</f>
        <v>4</v>
      </c>
      <c r="F7" s="18">
        <f t="shared" ref="F7" si="1">SUBTOTAL(9,F9:F12)</f>
        <v>2150000</v>
      </c>
      <c r="G7" s="18">
        <f t="shared" ref="G7" si="2">SUBTOTAL(9,G9:G12)</f>
        <v>4641418</v>
      </c>
      <c r="H7" s="18">
        <f>SUBTOTAL(9,H9:H12)</f>
        <v>2644014.9307721118</v>
      </c>
      <c r="I7" s="18">
        <f t="shared" ref="I7:BW7" si="3">SUBTOTAL(9,I9:I12)</f>
        <v>200000</v>
      </c>
      <c r="J7" s="18">
        <f t="shared" si="3"/>
        <v>0</v>
      </c>
      <c r="K7" s="18">
        <f t="shared" si="3"/>
        <v>2291418</v>
      </c>
      <c r="L7" s="18">
        <f t="shared" si="3"/>
        <v>503018</v>
      </c>
      <c r="M7" s="18">
        <f t="shared" si="3"/>
        <v>2491418</v>
      </c>
      <c r="N7" s="18">
        <f t="shared" si="3"/>
        <v>2150000</v>
      </c>
      <c r="O7" s="18">
        <f t="shared" si="3"/>
        <v>4629080.78</v>
      </c>
      <c r="P7" s="18">
        <f t="shared" si="3"/>
        <v>1983900</v>
      </c>
      <c r="Q7" s="18">
        <f t="shared" si="3"/>
        <v>303018</v>
      </c>
      <c r="R7" s="18">
        <f t="shared" si="3"/>
        <v>2183900</v>
      </c>
      <c r="S7" s="18">
        <f t="shared" si="3"/>
        <v>303018</v>
      </c>
      <c r="T7" s="18">
        <f t="shared" si="3"/>
        <v>0</v>
      </c>
      <c r="U7" s="18">
        <f t="shared" si="3"/>
        <v>3400</v>
      </c>
      <c r="V7" s="18">
        <f t="shared" si="3"/>
        <v>0</v>
      </c>
      <c r="W7" s="18">
        <f t="shared" si="3"/>
        <v>0</v>
      </c>
      <c r="X7" s="18">
        <f t="shared" si="3"/>
        <v>0</v>
      </c>
      <c r="Y7" s="18">
        <f t="shared" si="3"/>
        <v>3400</v>
      </c>
      <c r="Z7" s="18">
        <f t="shared" si="3"/>
        <v>0</v>
      </c>
      <c r="AA7" s="18">
        <f t="shared" si="3"/>
        <v>1100</v>
      </c>
      <c r="AB7" s="18">
        <f t="shared" si="3"/>
        <v>0</v>
      </c>
      <c r="AC7" s="18">
        <f t="shared" si="3"/>
        <v>0</v>
      </c>
      <c r="AD7" s="18">
        <f t="shared" si="3"/>
        <v>0</v>
      </c>
      <c r="AE7" s="18">
        <f t="shared" si="3"/>
        <v>1100</v>
      </c>
      <c r="AF7" s="18">
        <f t="shared" si="3"/>
        <v>1983900</v>
      </c>
      <c r="AG7" s="18">
        <f t="shared" si="3"/>
        <v>1988400</v>
      </c>
      <c r="AH7" s="18">
        <f t="shared" si="3"/>
        <v>303018</v>
      </c>
      <c r="AI7" s="18">
        <f t="shared" si="3"/>
        <v>303018</v>
      </c>
      <c r="AJ7" s="18">
        <f t="shared" si="3"/>
        <v>2286918</v>
      </c>
      <c r="AK7" s="18">
        <f t="shared" si="3"/>
        <v>2291418</v>
      </c>
      <c r="AL7" s="18">
        <f t="shared" si="3"/>
        <v>300000</v>
      </c>
      <c r="AM7" s="18">
        <f t="shared" si="3"/>
        <v>600000</v>
      </c>
      <c r="AN7" s="18">
        <f t="shared" si="3"/>
        <v>300000</v>
      </c>
      <c r="AO7" s="18">
        <f t="shared" si="3"/>
        <v>0</v>
      </c>
      <c r="AP7" s="18">
        <f t="shared" si="3"/>
        <v>600000</v>
      </c>
      <c r="AQ7" s="18">
        <f t="shared" si="3"/>
        <v>600000</v>
      </c>
      <c r="AR7" s="18">
        <f t="shared" si="3"/>
        <v>450000</v>
      </c>
      <c r="AS7" s="18">
        <f t="shared" si="3"/>
        <v>450000</v>
      </c>
      <c r="AT7" s="18">
        <f t="shared" si="3"/>
        <v>0</v>
      </c>
      <c r="AU7" s="18">
        <f t="shared" si="3"/>
        <v>0</v>
      </c>
      <c r="AV7" s="18">
        <f t="shared" si="3"/>
        <v>450000</v>
      </c>
      <c r="AW7" s="18">
        <f t="shared" si="3"/>
        <v>450000</v>
      </c>
      <c r="AX7" s="18">
        <f t="shared" si="3"/>
        <v>450000</v>
      </c>
      <c r="AY7" s="18">
        <f t="shared" si="3"/>
        <v>453425</v>
      </c>
      <c r="AZ7" s="18">
        <f t="shared" si="3"/>
        <v>0</v>
      </c>
      <c r="BA7" s="18">
        <f t="shared" si="3"/>
        <v>0</v>
      </c>
      <c r="BB7" s="18">
        <f t="shared" si="3"/>
        <v>450000</v>
      </c>
      <c r="BC7" s="368">
        <f t="shared" si="3"/>
        <v>450000</v>
      </c>
      <c r="BD7" s="18">
        <f t="shared" si="3"/>
        <v>453425</v>
      </c>
      <c r="BE7" s="18">
        <f t="shared" si="3"/>
        <v>0</v>
      </c>
      <c r="BF7" s="18">
        <f t="shared" si="3"/>
        <v>443000</v>
      </c>
      <c r="BG7" s="18">
        <f t="shared" si="3"/>
        <v>650000</v>
      </c>
      <c r="BH7" s="18">
        <f t="shared" si="3"/>
        <v>109393.78</v>
      </c>
      <c r="BI7" s="18">
        <f t="shared" si="3"/>
        <v>650000</v>
      </c>
      <c r="BJ7" s="368">
        <f t="shared" si="3"/>
        <v>650000</v>
      </c>
      <c r="BK7" s="18">
        <f t="shared" si="3"/>
        <v>552393.78</v>
      </c>
      <c r="BL7" s="18">
        <f t="shared" si="3"/>
        <v>0</v>
      </c>
      <c r="BM7" s="18">
        <f t="shared" si="3"/>
        <v>0</v>
      </c>
      <c r="BN7" s="18">
        <f t="shared" si="3"/>
        <v>0</v>
      </c>
      <c r="BO7" s="18">
        <f t="shared" si="3"/>
        <v>3000</v>
      </c>
      <c r="BP7" s="18">
        <f t="shared" si="3"/>
        <v>0</v>
      </c>
      <c r="BQ7" s="18">
        <f t="shared" si="3"/>
        <v>3000</v>
      </c>
      <c r="BR7" s="18">
        <f t="shared" si="3"/>
        <v>0</v>
      </c>
      <c r="BS7" s="18">
        <f t="shared" si="3"/>
        <v>11100</v>
      </c>
      <c r="BT7" s="18">
        <f t="shared" si="3"/>
        <v>0</v>
      </c>
      <c r="BU7" s="18">
        <f t="shared" si="3"/>
        <v>0</v>
      </c>
      <c r="BV7" s="18">
        <f t="shared" si="3"/>
        <v>0</v>
      </c>
      <c r="BW7" s="18">
        <f t="shared" si="3"/>
        <v>11100</v>
      </c>
      <c r="BX7" s="18">
        <f t="shared" ref="BX7:DM7" si="4">SUBTOTAL(9,BX9:BX12)</f>
        <v>0</v>
      </c>
      <c r="BY7" s="18">
        <f t="shared" si="4"/>
        <v>3700</v>
      </c>
      <c r="BZ7" s="18">
        <f t="shared" si="4"/>
        <v>0</v>
      </c>
      <c r="CA7" s="18">
        <f t="shared" si="4"/>
        <v>27054</v>
      </c>
      <c r="CB7" s="18">
        <f t="shared" si="4"/>
        <v>0</v>
      </c>
      <c r="CC7" s="18">
        <f t="shared" si="4"/>
        <v>30754</v>
      </c>
      <c r="CD7" s="18">
        <f t="shared" si="4"/>
        <v>0</v>
      </c>
      <c r="CE7" s="18">
        <f t="shared" si="4"/>
        <v>280000</v>
      </c>
      <c r="CF7" s="18">
        <f t="shared" si="4"/>
        <v>0</v>
      </c>
      <c r="CG7" s="18">
        <f t="shared" si="4"/>
        <v>0</v>
      </c>
      <c r="CH7" s="18">
        <f t="shared" si="4"/>
        <v>0</v>
      </c>
      <c r="CI7" s="18">
        <f t="shared" si="4"/>
        <v>280000</v>
      </c>
      <c r="CJ7" s="18">
        <f t="shared" si="4"/>
        <v>0</v>
      </c>
      <c r="CK7" s="18">
        <f t="shared" si="4"/>
        <v>159000</v>
      </c>
      <c r="CL7" s="18">
        <f t="shared" si="4"/>
        <v>0</v>
      </c>
      <c r="CM7" s="18">
        <f t="shared" si="4"/>
        <v>151490</v>
      </c>
      <c r="CN7" s="18">
        <f t="shared" si="4"/>
        <v>0</v>
      </c>
      <c r="CO7" s="18">
        <f t="shared" si="4"/>
        <v>310490</v>
      </c>
      <c r="CP7" s="18">
        <f t="shared" si="4"/>
        <v>0</v>
      </c>
      <c r="CQ7" s="18">
        <f t="shared" si="4"/>
        <v>11500</v>
      </c>
      <c r="CR7" s="18">
        <f t="shared" si="4"/>
        <v>0</v>
      </c>
      <c r="CS7" s="18">
        <f t="shared" si="4"/>
        <v>0</v>
      </c>
      <c r="CT7" s="18">
        <f t="shared" si="4"/>
        <v>0</v>
      </c>
      <c r="CU7" s="18">
        <f t="shared" si="4"/>
        <v>11500</v>
      </c>
      <c r="CV7" s="18">
        <f t="shared" si="4"/>
        <v>0</v>
      </c>
      <c r="CW7" s="18">
        <f t="shared" si="4"/>
        <v>0</v>
      </c>
      <c r="CX7" s="18">
        <f t="shared" si="4"/>
        <v>0</v>
      </c>
      <c r="CY7" s="18">
        <f t="shared" si="4"/>
        <v>0</v>
      </c>
      <c r="CZ7" s="18">
        <f t="shared" si="4"/>
        <v>0</v>
      </c>
      <c r="DA7" s="18">
        <f t="shared" si="4"/>
        <v>0</v>
      </c>
      <c r="DB7" s="18">
        <f t="shared" si="4"/>
        <v>0</v>
      </c>
      <c r="DC7" s="18">
        <f t="shared" si="4"/>
        <v>0</v>
      </c>
      <c r="DD7" s="18">
        <f t="shared" si="4"/>
        <v>0</v>
      </c>
      <c r="DE7" s="18">
        <f t="shared" si="4"/>
        <v>0</v>
      </c>
      <c r="DF7" s="18">
        <f t="shared" si="4"/>
        <v>0</v>
      </c>
      <c r="DG7" s="18">
        <f t="shared" si="4"/>
        <v>0</v>
      </c>
      <c r="DH7" s="18">
        <f t="shared" si="4"/>
        <v>1200000</v>
      </c>
      <c r="DI7" s="18">
        <f t="shared" si="4"/>
        <v>2411725</v>
      </c>
      <c r="DJ7" s="18">
        <f t="shared" si="4"/>
        <v>950000</v>
      </c>
      <c r="DK7" s="18">
        <f t="shared" si="4"/>
        <v>290937.78000000003</v>
      </c>
      <c r="DL7" s="18">
        <f t="shared" si="4"/>
        <v>2150000</v>
      </c>
      <c r="DM7" s="18">
        <f t="shared" si="4"/>
        <v>2702662.7800000003</v>
      </c>
    </row>
    <row r="8" spans="1:117" ht="7.5" customHeight="1">
      <c r="A8" s="21"/>
      <c r="B8" s="22"/>
      <c r="C8" s="22"/>
      <c r="D8" s="22"/>
      <c r="E8" s="22"/>
      <c r="F8" s="22"/>
      <c r="G8" s="22"/>
      <c r="H8" s="23"/>
      <c r="I8" s="24"/>
      <c r="J8" s="24"/>
      <c r="K8" s="24"/>
      <c r="L8" s="24"/>
      <c r="M8" s="24"/>
      <c r="N8" s="175"/>
      <c r="O8" s="24"/>
      <c r="P8" s="24"/>
      <c r="Q8" s="24"/>
      <c r="R8" s="24"/>
      <c r="S8" s="24"/>
      <c r="T8" s="24"/>
      <c r="U8" s="24"/>
      <c r="V8" s="24"/>
      <c r="W8" s="24"/>
      <c r="X8" s="24"/>
      <c r="Y8" s="24"/>
      <c r="Z8" s="24"/>
      <c r="AA8" s="24"/>
      <c r="AB8" s="24"/>
      <c r="AC8" s="24"/>
      <c r="AD8" s="24"/>
      <c r="AE8" s="24"/>
      <c r="AF8" s="24"/>
      <c r="AG8" s="24"/>
      <c r="AH8" s="24"/>
      <c r="AI8" s="24"/>
      <c r="AJ8" s="24"/>
      <c r="AK8" s="24"/>
      <c r="AL8" s="23"/>
      <c r="AM8" s="23"/>
      <c r="AN8" s="23"/>
      <c r="AO8" s="23"/>
      <c r="AP8" s="23"/>
      <c r="AQ8" s="23"/>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row>
    <row r="9" spans="1:117">
      <c r="A9" s="25">
        <v>1</v>
      </c>
      <c r="B9" s="26" t="s">
        <v>87</v>
      </c>
      <c r="C9" s="26" t="s">
        <v>88</v>
      </c>
      <c r="D9" s="26" t="s">
        <v>89</v>
      </c>
      <c r="E9" s="205" t="s">
        <v>1165</v>
      </c>
      <c r="F9" s="161">
        <f>SUM(DL9)</f>
        <v>0</v>
      </c>
      <c r="G9" s="165">
        <f>I9+AK9+DL9</f>
        <v>503018</v>
      </c>
      <c r="H9" s="27">
        <v>588938</v>
      </c>
      <c r="I9" s="176">
        <v>200000</v>
      </c>
      <c r="J9" s="176">
        <v>0</v>
      </c>
      <c r="K9" s="127">
        <f t="shared" ref="K9" si="5">AK9</f>
        <v>303018</v>
      </c>
      <c r="L9" s="127">
        <f t="shared" ref="L9" si="6">IF(AI9&gt;0,I9+AK9-J9,0)</f>
        <v>503018</v>
      </c>
      <c r="M9" s="127">
        <f t="shared" ref="M9" si="7">I9+K9</f>
        <v>503018</v>
      </c>
      <c r="N9" s="131">
        <f>G9-M9</f>
        <v>0</v>
      </c>
      <c r="O9" s="125">
        <f>IF(AND(AI9&gt;0,DK9&gt;0),"შეცდომაა! ერთზე მეტი ბოლო ჩაბარება!",IF(OR(AI9&gt;0,DK9&gt;0,),IF(AI9&gt;0,I9+AK9,I9+AK9+DM9),IF(AND(I9=0,K9=0,DM9=0),"ნულოვანი შესრულება","მიმდინარეობს")))</f>
        <v>503018</v>
      </c>
      <c r="P9" s="27"/>
      <c r="Q9" s="27">
        <v>303018</v>
      </c>
      <c r="R9" s="27">
        <f>I9+P9</f>
        <v>200000</v>
      </c>
      <c r="S9" s="27">
        <f>Q9</f>
        <v>303018</v>
      </c>
      <c r="T9" s="27"/>
      <c r="U9" s="27"/>
      <c r="V9" s="27"/>
      <c r="W9" s="27"/>
      <c r="X9" s="27">
        <f>T9+V9</f>
        <v>0</v>
      </c>
      <c r="Y9" s="27">
        <f>U9+W9</f>
        <v>0</v>
      </c>
      <c r="Z9" s="27"/>
      <c r="AA9" s="27"/>
      <c r="AB9" s="27"/>
      <c r="AC9" s="27"/>
      <c r="AD9" s="27">
        <f>Z9+AB9</f>
        <v>0</v>
      </c>
      <c r="AE9" s="27">
        <f>AA9+AC9</f>
        <v>0</v>
      </c>
      <c r="AF9" s="27">
        <f>P9+T9+Z9</f>
        <v>0</v>
      </c>
      <c r="AG9" s="27">
        <f>P9+U9+AA9</f>
        <v>0</v>
      </c>
      <c r="AH9" s="27">
        <f>Q9+V9+AB9</f>
        <v>303018</v>
      </c>
      <c r="AI9" s="27">
        <f>Q9+W9+AC9</f>
        <v>303018</v>
      </c>
      <c r="AJ9" s="27">
        <f t="shared" ref="AJ9:AK12" si="8">AF9+AH9</f>
        <v>303018</v>
      </c>
      <c r="AK9" s="27">
        <f>AG9+AI9</f>
        <v>303018</v>
      </c>
      <c r="AL9" s="27"/>
      <c r="AM9" s="27"/>
      <c r="AN9" s="27"/>
      <c r="AO9" s="27"/>
      <c r="AP9" s="27">
        <f>AL9+AN9</f>
        <v>0</v>
      </c>
      <c r="AQ9" s="27">
        <f>AM9+AO9</f>
        <v>0</v>
      </c>
      <c r="AR9" s="27"/>
      <c r="AS9" s="27"/>
      <c r="AT9" s="27"/>
      <c r="AU9" s="27"/>
      <c r="AV9" s="27">
        <f>AR9+AT9</f>
        <v>0</v>
      </c>
      <c r="AW9" s="27">
        <f>AS9+AU9</f>
        <v>0</v>
      </c>
      <c r="AX9" s="27"/>
      <c r="AY9" s="27"/>
      <c r="AZ9" s="27"/>
      <c r="BA9" s="27"/>
      <c r="BB9" s="27">
        <f>AX9+AZ9</f>
        <v>0</v>
      </c>
      <c r="BC9" s="369"/>
      <c r="BD9" s="27">
        <f>AY9+BA9</f>
        <v>0</v>
      </c>
      <c r="BE9" s="27"/>
      <c r="BF9" s="27"/>
      <c r="BG9" s="27"/>
      <c r="BH9" s="27"/>
      <c r="BI9" s="27">
        <f>BE9+BG9</f>
        <v>0</v>
      </c>
      <c r="BJ9" s="369"/>
      <c r="BK9" s="27">
        <f>BF9+BH9</f>
        <v>0</v>
      </c>
      <c r="BL9" s="27"/>
      <c r="BM9" s="27"/>
      <c r="BN9" s="27"/>
      <c r="BO9" s="27"/>
      <c r="BP9" s="27">
        <f>BL9+BN9</f>
        <v>0</v>
      </c>
      <c r="BQ9" s="27">
        <f>BM9+BO9</f>
        <v>0</v>
      </c>
      <c r="BR9" s="26"/>
      <c r="BS9" s="26"/>
      <c r="BT9" s="26"/>
      <c r="BU9" s="26"/>
      <c r="BV9" s="27">
        <f>BR9+BT9</f>
        <v>0</v>
      </c>
      <c r="BW9" s="27">
        <f>BS9+BU9</f>
        <v>0</v>
      </c>
      <c r="BX9" s="26"/>
      <c r="BY9" s="26"/>
      <c r="BZ9" s="26"/>
      <c r="CA9" s="26"/>
      <c r="CB9" s="27">
        <f>BX9+BZ9</f>
        <v>0</v>
      </c>
      <c r="CC9" s="27">
        <f>BY9+CA9</f>
        <v>0</v>
      </c>
      <c r="CD9" s="27"/>
      <c r="CE9" s="27"/>
      <c r="CF9" s="27"/>
      <c r="CG9" s="27"/>
      <c r="CH9" s="27">
        <f>CD9+CF9</f>
        <v>0</v>
      </c>
      <c r="CI9" s="27">
        <f>CE9+CG9</f>
        <v>0</v>
      </c>
      <c r="CJ9" s="27"/>
      <c r="CK9" s="27"/>
      <c r="CL9" s="27"/>
      <c r="CM9" s="27"/>
      <c r="CN9" s="27">
        <f>CJ9+CL9</f>
        <v>0</v>
      </c>
      <c r="CO9" s="27">
        <f>CK9+CM9</f>
        <v>0</v>
      </c>
      <c r="CP9" s="27"/>
      <c r="CQ9" s="27"/>
      <c r="CR9" s="27"/>
      <c r="CS9" s="27"/>
      <c r="CT9" s="27">
        <f>CP9+CR9</f>
        <v>0</v>
      </c>
      <c r="CU9" s="27">
        <f>CQ9+CS9</f>
        <v>0</v>
      </c>
      <c r="CV9" s="27"/>
      <c r="CW9" s="27"/>
      <c r="CX9" s="27"/>
      <c r="CY9" s="27"/>
      <c r="CZ9" s="27">
        <f>CV9+CX9</f>
        <v>0</v>
      </c>
      <c r="DA9" s="27">
        <f>CW9+CY9</f>
        <v>0</v>
      </c>
      <c r="DB9" s="27"/>
      <c r="DC9" s="27"/>
      <c r="DD9" s="27"/>
      <c r="DE9" s="27"/>
      <c r="DF9" s="27">
        <f>DB9+DD9</f>
        <v>0</v>
      </c>
      <c r="DG9" s="27">
        <f>DC9+DE9</f>
        <v>0</v>
      </c>
      <c r="DH9" s="28">
        <f t="shared" ref="DH9:DK12" si="9">AL9+AR9+AX9+BE9+BL9+BR9+BX9+CD9+CJ9+CP9+CV9+DB9</f>
        <v>0</v>
      </c>
      <c r="DI9" s="28">
        <f t="shared" si="9"/>
        <v>0</v>
      </c>
      <c r="DJ9" s="28">
        <f t="shared" si="9"/>
        <v>0</v>
      </c>
      <c r="DK9" s="28">
        <f t="shared" si="9"/>
        <v>0</v>
      </c>
      <c r="DL9" s="27">
        <f>DH9+DJ9</f>
        <v>0</v>
      </c>
      <c r="DM9" s="27">
        <f>DI9+DK9</f>
        <v>0</v>
      </c>
    </row>
    <row r="10" spans="1:117">
      <c r="A10" s="25">
        <v>2</v>
      </c>
      <c r="B10" s="26" t="s">
        <v>87</v>
      </c>
      <c r="C10" s="26" t="s">
        <v>90</v>
      </c>
      <c r="D10" s="26" t="s">
        <v>91</v>
      </c>
      <c r="E10" s="205" t="s">
        <v>1165</v>
      </c>
      <c r="F10" s="161">
        <f t="shared" ref="F10:F12" si="10">SUM(DL10)</f>
        <v>300000</v>
      </c>
      <c r="G10" s="165">
        <f>I10+AK10+DL10</f>
        <v>1630000</v>
      </c>
      <c r="H10" s="27">
        <v>935740</v>
      </c>
      <c r="I10" s="176">
        <v>0</v>
      </c>
      <c r="J10" s="176">
        <v>0</v>
      </c>
      <c r="K10" s="127">
        <f t="shared" ref="K10:K12" si="11">AK10</f>
        <v>1330000</v>
      </c>
      <c r="L10" s="127">
        <f t="shared" ref="L10:L12" si="12">IF(AI10&gt;0,I10+AK10-J10,0)</f>
        <v>0</v>
      </c>
      <c r="M10" s="127">
        <f t="shared" ref="M10:M12" si="13">I10+K10</f>
        <v>1330000</v>
      </c>
      <c r="N10" s="131">
        <f t="shared" ref="N10:N12" si="14">G10-M10</f>
        <v>300000</v>
      </c>
      <c r="O10" s="125">
        <f>IF(AND(AI10&gt;0,DK10&gt;0),"შეცდომაა! ერთზე მეტი ბოლო ჩაბარება!",IF(OR(AI10&gt;0,DK10&gt;0,),IF(AI10&gt;0,I10+AK10,I10+AK10+DM10),IF(AND(I10=0,K10=0,DM10=0),"ნულოვანი შესრულება","მიმდინარეობს")))</f>
        <v>2139393.7800000003</v>
      </c>
      <c r="P10" s="27">
        <v>1330000</v>
      </c>
      <c r="Q10" s="27">
        <v>0</v>
      </c>
      <c r="R10" s="27">
        <f t="shared" ref="R10:R12" si="15">I10+P10</f>
        <v>1330000</v>
      </c>
      <c r="S10" s="27">
        <f t="shared" ref="S10:S12" si="16">Q10</f>
        <v>0</v>
      </c>
      <c r="T10" s="27">
        <v>0</v>
      </c>
      <c r="U10" s="27"/>
      <c r="V10" s="27"/>
      <c r="W10" s="27"/>
      <c r="X10" s="27">
        <f t="shared" ref="X10:Y12" si="17">T10+V10</f>
        <v>0</v>
      </c>
      <c r="Y10" s="27">
        <f t="shared" si="17"/>
        <v>0</v>
      </c>
      <c r="Z10" s="27">
        <v>0</v>
      </c>
      <c r="AA10" s="27"/>
      <c r="AB10" s="27">
        <v>0</v>
      </c>
      <c r="AC10" s="27"/>
      <c r="AD10" s="27">
        <f t="shared" ref="AD10:AE12" si="18">Z10+AB10</f>
        <v>0</v>
      </c>
      <c r="AE10" s="27">
        <f t="shared" si="18"/>
        <v>0</v>
      </c>
      <c r="AF10" s="27">
        <f t="shared" ref="AF10:AF12" si="19">P10+T10+Z10</f>
        <v>1330000</v>
      </c>
      <c r="AG10" s="27">
        <f t="shared" ref="AG10:AH12" si="20">P10+U10+AA10</f>
        <v>1330000</v>
      </c>
      <c r="AH10" s="27">
        <f t="shared" si="20"/>
        <v>0</v>
      </c>
      <c r="AI10" s="27">
        <f t="shared" ref="AI10:AI12" si="21">Q10+W10+AC10</f>
        <v>0</v>
      </c>
      <c r="AJ10" s="27">
        <f t="shared" si="8"/>
        <v>1330000</v>
      </c>
      <c r="AK10" s="27">
        <f t="shared" si="8"/>
        <v>1330000</v>
      </c>
      <c r="AL10" s="27">
        <v>300000</v>
      </c>
      <c r="AM10" s="27">
        <v>300000</v>
      </c>
      <c r="AN10" s="27">
        <v>0</v>
      </c>
      <c r="AO10" s="27"/>
      <c r="AP10" s="27">
        <f t="shared" ref="AP10:AQ12" si="22">AL10+AN10</f>
        <v>300000</v>
      </c>
      <c r="AQ10" s="27">
        <f t="shared" si="22"/>
        <v>300000</v>
      </c>
      <c r="AR10" s="27"/>
      <c r="AS10" s="27"/>
      <c r="AT10" s="27"/>
      <c r="AU10" s="27"/>
      <c r="AV10" s="27">
        <f t="shared" ref="AV10:AW12" si="23">AR10+AT10</f>
        <v>0</v>
      </c>
      <c r="AW10" s="27">
        <f t="shared" si="23"/>
        <v>0</v>
      </c>
      <c r="AX10" s="27"/>
      <c r="AY10" s="27">
        <v>400000</v>
      </c>
      <c r="AZ10" s="27"/>
      <c r="BA10" s="27"/>
      <c r="BB10" s="27">
        <f>AX10+AZ10</f>
        <v>0</v>
      </c>
      <c r="BC10" s="369">
        <v>400000</v>
      </c>
      <c r="BD10" s="27">
        <f t="shared" ref="BD10:BD12" si="24">AY10+BA10</f>
        <v>400000</v>
      </c>
      <c r="BE10" s="27"/>
      <c r="BF10" s="27"/>
      <c r="BG10" s="27"/>
      <c r="BH10" s="27">
        <v>109393.78</v>
      </c>
      <c r="BI10" s="27">
        <f t="shared" ref="BI10:BI12" si="25">BE10+BG10</f>
        <v>0</v>
      </c>
      <c r="BJ10" s="369"/>
      <c r="BK10" s="27">
        <f>BF10+BH10</f>
        <v>109393.78</v>
      </c>
      <c r="BL10" s="27"/>
      <c r="BM10" s="27"/>
      <c r="BN10" s="27"/>
      <c r="BO10" s="27"/>
      <c r="BP10" s="27">
        <f t="shared" ref="BP10:BQ12" si="26">BL10+BN10</f>
        <v>0</v>
      </c>
      <c r="BQ10" s="27">
        <f t="shared" si="26"/>
        <v>0</v>
      </c>
      <c r="BR10" s="26"/>
      <c r="BS10" s="26"/>
      <c r="BT10" s="26"/>
      <c r="BU10" s="26"/>
      <c r="BV10" s="27">
        <f t="shared" ref="BV10:BW12" si="27">BR10+BT10</f>
        <v>0</v>
      </c>
      <c r="BW10" s="27">
        <f t="shared" si="27"/>
        <v>0</v>
      </c>
      <c r="BX10" s="26"/>
      <c r="BY10" s="26"/>
      <c r="BZ10" s="26"/>
      <c r="CA10" s="26"/>
      <c r="CB10" s="27">
        <f t="shared" ref="CB10:CC12" si="28">BX10+BZ10</f>
        <v>0</v>
      </c>
      <c r="CC10" s="27">
        <f t="shared" si="28"/>
        <v>0</v>
      </c>
      <c r="CD10" s="27"/>
      <c r="CE10" s="27"/>
      <c r="CF10" s="27"/>
      <c r="CG10" s="27"/>
      <c r="CH10" s="27">
        <f t="shared" ref="CH10:CI12" si="29">CD10+CF10</f>
        <v>0</v>
      </c>
      <c r="CI10" s="27">
        <f t="shared" si="29"/>
        <v>0</v>
      </c>
      <c r="CJ10" s="27"/>
      <c r="CK10" s="27"/>
      <c r="CL10" s="27"/>
      <c r="CM10" s="27"/>
      <c r="CN10" s="27">
        <f t="shared" ref="CN10:CO12" si="30">CJ10+CL10</f>
        <v>0</v>
      </c>
      <c r="CO10" s="27">
        <f t="shared" si="30"/>
        <v>0</v>
      </c>
      <c r="CP10" s="27"/>
      <c r="CQ10" s="27"/>
      <c r="CR10" s="27"/>
      <c r="CS10" s="27"/>
      <c r="CT10" s="27">
        <f t="shared" ref="CT10:CU12" si="31">CP10+CR10</f>
        <v>0</v>
      </c>
      <c r="CU10" s="27">
        <f t="shared" si="31"/>
        <v>0</v>
      </c>
      <c r="CV10" s="27"/>
      <c r="CW10" s="27"/>
      <c r="CX10" s="27"/>
      <c r="CY10" s="27"/>
      <c r="CZ10" s="27">
        <f t="shared" ref="CZ10:DA12" si="32">CV10+CX10</f>
        <v>0</v>
      </c>
      <c r="DA10" s="27">
        <f t="shared" si="32"/>
        <v>0</v>
      </c>
      <c r="DB10" s="27"/>
      <c r="DC10" s="27"/>
      <c r="DD10" s="27"/>
      <c r="DE10" s="27"/>
      <c r="DF10" s="27">
        <f t="shared" ref="DF10:DG12" si="33">DB10+DD10</f>
        <v>0</v>
      </c>
      <c r="DG10" s="27">
        <f t="shared" si="33"/>
        <v>0</v>
      </c>
      <c r="DH10" s="28">
        <f t="shared" si="9"/>
        <v>300000</v>
      </c>
      <c r="DI10" s="28">
        <f t="shared" si="9"/>
        <v>700000</v>
      </c>
      <c r="DJ10" s="28">
        <f t="shared" si="9"/>
        <v>0</v>
      </c>
      <c r="DK10" s="28">
        <f t="shared" si="9"/>
        <v>109393.78</v>
      </c>
      <c r="DL10" s="27">
        <f t="shared" ref="DL10:DM12" si="34">DH10+DJ10</f>
        <v>300000</v>
      </c>
      <c r="DM10" s="27">
        <f t="shared" si="34"/>
        <v>809393.78</v>
      </c>
    </row>
    <row r="11" spans="1:117" s="376" customFormat="1">
      <c r="A11" s="370">
        <v>3</v>
      </c>
      <c r="B11" s="371" t="s">
        <v>53</v>
      </c>
      <c r="C11" s="371" t="s">
        <v>92</v>
      </c>
      <c r="D11" s="371" t="s">
        <v>93</v>
      </c>
      <c r="E11" s="371" t="s">
        <v>1165</v>
      </c>
      <c r="F11" s="372">
        <f t="shared" si="10"/>
        <v>750000</v>
      </c>
      <c r="G11" s="373">
        <f>I11+AK11+DL11</f>
        <v>1100000</v>
      </c>
      <c r="H11" s="374">
        <v>421260</v>
      </c>
      <c r="I11" s="374">
        <v>0</v>
      </c>
      <c r="J11" s="374">
        <v>0</v>
      </c>
      <c r="K11" s="372">
        <f t="shared" si="11"/>
        <v>350000</v>
      </c>
      <c r="L11" s="372">
        <f t="shared" si="12"/>
        <v>0</v>
      </c>
      <c r="M11" s="372">
        <f t="shared" si="13"/>
        <v>350000</v>
      </c>
      <c r="N11" s="372">
        <f t="shared" si="14"/>
        <v>750000</v>
      </c>
      <c r="O11" s="372" t="str">
        <f>IF(AND(AI11&gt;0,DK11&gt;0),"შეცდომაა! ერთზე მეტი ბოლო ჩაბარება!",IF(OR(AI11&gt;0,DK11&gt;0,),IF(AI11&gt;0,I11+AK11,I11+AK11+DM11),IF(AND(I11=0,K11=0,DM11=0),"ნულოვანი შესრულება","მიმდინარეობს")))</f>
        <v>მიმდინარეობს</v>
      </c>
      <c r="P11" s="374">
        <v>350000</v>
      </c>
      <c r="Q11" s="374">
        <v>0</v>
      </c>
      <c r="R11" s="374">
        <f t="shared" si="15"/>
        <v>350000</v>
      </c>
      <c r="S11" s="374">
        <f t="shared" si="16"/>
        <v>0</v>
      </c>
      <c r="T11" s="374"/>
      <c r="U11" s="374"/>
      <c r="V11" s="374"/>
      <c r="W11" s="374"/>
      <c r="X11" s="374">
        <f t="shared" si="17"/>
        <v>0</v>
      </c>
      <c r="Y11" s="374">
        <f t="shared" si="17"/>
        <v>0</v>
      </c>
      <c r="Z11" s="374"/>
      <c r="AA11" s="374"/>
      <c r="AB11" s="374"/>
      <c r="AC11" s="374"/>
      <c r="AD11" s="374">
        <f t="shared" si="18"/>
        <v>0</v>
      </c>
      <c r="AE11" s="374">
        <f t="shared" si="18"/>
        <v>0</v>
      </c>
      <c r="AF11" s="374">
        <f t="shared" si="19"/>
        <v>350000</v>
      </c>
      <c r="AG11" s="374">
        <f t="shared" si="20"/>
        <v>350000</v>
      </c>
      <c r="AH11" s="374">
        <f t="shared" si="20"/>
        <v>0</v>
      </c>
      <c r="AI11" s="374">
        <f t="shared" si="21"/>
        <v>0</v>
      </c>
      <c r="AJ11" s="374">
        <f t="shared" si="8"/>
        <v>350000</v>
      </c>
      <c r="AK11" s="374">
        <f t="shared" si="8"/>
        <v>350000</v>
      </c>
      <c r="AL11" s="374"/>
      <c r="AM11" s="374"/>
      <c r="AN11" s="374"/>
      <c r="AO11" s="374"/>
      <c r="AP11" s="374">
        <f t="shared" si="22"/>
        <v>0</v>
      </c>
      <c r="AQ11" s="374">
        <f t="shared" si="22"/>
        <v>0</v>
      </c>
      <c r="AR11" s="374">
        <v>250000</v>
      </c>
      <c r="AS11" s="374">
        <v>215000</v>
      </c>
      <c r="AT11" s="374"/>
      <c r="AU11" s="374"/>
      <c r="AV11" s="374">
        <f t="shared" si="23"/>
        <v>250000</v>
      </c>
      <c r="AW11" s="374">
        <f t="shared" si="23"/>
        <v>215000</v>
      </c>
      <c r="AX11" s="374">
        <v>250000</v>
      </c>
      <c r="AY11" s="374"/>
      <c r="AZ11" s="374"/>
      <c r="BA11" s="374"/>
      <c r="BB11" s="374">
        <f>AX11+AZ11</f>
        <v>250000</v>
      </c>
      <c r="BC11" s="374">
        <v>0</v>
      </c>
      <c r="BD11" s="374">
        <f t="shared" si="24"/>
        <v>0</v>
      </c>
      <c r="BE11" s="374"/>
      <c r="BF11" s="374"/>
      <c r="BG11" s="374">
        <v>250000</v>
      </c>
      <c r="BH11" s="374"/>
      <c r="BI11" s="374">
        <f t="shared" si="25"/>
        <v>250000</v>
      </c>
      <c r="BJ11" s="374"/>
      <c r="BK11" s="374">
        <f>BF11+BH11</f>
        <v>0</v>
      </c>
      <c r="BL11" s="374"/>
      <c r="BM11" s="374"/>
      <c r="BN11" s="374"/>
      <c r="BO11" s="374"/>
      <c r="BP11" s="374">
        <f t="shared" si="26"/>
        <v>0</v>
      </c>
      <c r="BQ11" s="374">
        <f t="shared" si="26"/>
        <v>0</v>
      </c>
      <c r="BR11" s="371"/>
      <c r="BS11" s="371"/>
      <c r="BT11" s="371"/>
      <c r="BU11" s="371"/>
      <c r="BV11" s="374">
        <f t="shared" si="27"/>
        <v>0</v>
      </c>
      <c r="BW11" s="374">
        <f t="shared" si="27"/>
        <v>0</v>
      </c>
      <c r="BX11" s="371"/>
      <c r="BY11" s="371"/>
      <c r="BZ11" s="371"/>
      <c r="CA11" s="371"/>
      <c r="CB11" s="374">
        <f t="shared" si="28"/>
        <v>0</v>
      </c>
      <c r="CC11" s="374">
        <f t="shared" si="28"/>
        <v>0</v>
      </c>
      <c r="CD11" s="371"/>
      <c r="CE11" s="371"/>
      <c r="CF11" s="371"/>
      <c r="CG11" s="371"/>
      <c r="CH11" s="374">
        <f t="shared" si="29"/>
        <v>0</v>
      </c>
      <c r="CI11" s="374">
        <f t="shared" si="29"/>
        <v>0</v>
      </c>
      <c r="CJ11" s="371"/>
      <c r="CK11" s="371"/>
      <c r="CL11" s="371"/>
      <c r="CM11" s="371"/>
      <c r="CN11" s="374">
        <f t="shared" si="30"/>
        <v>0</v>
      </c>
      <c r="CO11" s="374">
        <f t="shared" si="30"/>
        <v>0</v>
      </c>
      <c r="CP11" s="371"/>
      <c r="CQ11" s="371"/>
      <c r="CR11" s="371"/>
      <c r="CS11" s="371"/>
      <c r="CT11" s="374">
        <f t="shared" si="31"/>
        <v>0</v>
      </c>
      <c r="CU11" s="374">
        <f t="shared" si="31"/>
        <v>0</v>
      </c>
      <c r="CV11" s="371"/>
      <c r="CW11" s="371"/>
      <c r="CX11" s="371"/>
      <c r="CY11" s="371"/>
      <c r="CZ11" s="374">
        <f t="shared" si="32"/>
        <v>0</v>
      </c>
      <c r="DA11" s="374">
        <f t="shared" si="32"/>
        <v>0</v>
      </c>
      <c r="DB11" s="371"/>
      <c r="DC11" s="371"/>
      <c r="DD11" s="371"/>
      <c r="DE11" s="371"/>
      <c r="DF11" s="374">
        <f t="shared" si="33"/>
        <v>0</v>
      </c>
      <c r="DG11" s="374">
        <f t="shared" si="33"/>
        <v>0</v>
      </c>
      <c r="DH11" s="375">
        <f t="shared" si="9"/>
        <v>500000</v>
      </c>
      <c r="DI11" s="375">
        <f t="shared" si="9"/>
        <v>215000</v>
      </c>
      <c r="DJ11" s="375">
        <f t="shared" si="9"/>
        <v>250000</v>
      </c>
      <c r="DK11" s="375">
        <f t="shared" si="9"/>
        <v>0</v>
      </c>
      <c r="DL11" s="374">
        <f t="shared" si="34"/>
        <v>750000</v>
      </c>
      <c r="DM11" s="374">
        <f t="shared" si="34"/>
        <v>215000</v>
      </c>
    </row>
    <row r="12" spans="1:117">
      <c r="A12" s="25">
        <v>4</v>
      </c>
      <c r="B12" s="26" t="s">
        <v>94</v>
      </c>
      <c r="C12" s="26" t="s">
        <v>95</v>
      </c>
      <c r="D12" s="26" t="s">
        <v>96</v>
      </c>
      <c r="E12" s="205" t="s">
        <v>1165</v>
      </c>
      <c r="F12" s="161">
        <f t="shared" si="10"/>
        <v>1100000</v>
      </c>
      <c r="G12" s="165">
        <f>I12+AK12+DL12</f>
        <v>1408400</v>
      </c>
      <c r="H12" s="27">
        <v>698076.93077211198</v>
      </c>
      <c r="I12" s="176">
        <v>0</v>
      </c>
      <c r="J12" s="176">
        <v>0</v>
      </c>
      <c r="K12" s="127">
        <f t="shared" si="11"/>
        <v>308400</v>
      </c>
      <c r="L12" s="127">
        <f t="shared" si="12"/>
        <v>0</v>
      </c>
      <c r="M12" s="127">
        <f t="shared" si="13"/>
        <v>308400</v>
      </c>
      <c r="N12" s="131">
        <f t="shared" si="14"/>
        <v>1100000</v>
      </c>
      <c r="O12" s="125">
        <f>IF(AND(AI12&gt;0,DK12&gt;0),"შეცდომაა! ერთზე მეტი ბოლო ჩაბარება!",IF(OR(AI12&gt;0,DK12&gt;0,),IF(AI12&gt;0,I12+AK12,I12+AK12+DM12),IF(AND(I12=0,K12=0,DM12=0),"ნულოვანი შესრულება","მიმდინარეობს")))</f>
        <v>1986669</v>
      </c>
      <c r="P12" s="27">
        <v>303900</v>
      </c>
      <c r="Q12" s="27">
        <v>0</v>
      </c>
      <c r="R12" s="27">
        <f t="shared" si="15"/>
        <v>303900</v>
      </c>
      <c r="S12" s="27">
        <f t="shared" si="16"/>
        <v>0</v>
      </c>
      <c r="T12" s="27"/>
      <c r="U12" s="27">
        <f>800+600+700+800+500</f>
        <v>3400</v>
      </c>
      <c r="V12" s="27"/>
      <c r="W12" s="27"/>
      <c r="X12" s="27">
        <f t="shared" si="17"/>
        <v>0</v>
      </c>
      <c r="Y12" s="27">
        <f t="shared" si="17"/>
        <v>3400</v>
      </c>
      <c r="Z12" s="27"/>
      <c r="AA12" s="27">
        <f>500+600</f>
        <v>1100</v>
      </c>
      <c r="AB12" s="27"/>
      <c r="AC12" s="27"/>
      <c r="AD12" s="27">
        <f t="shared" si="18"/>
        <v>0</v>
      </c>
      <c r="AE12" s="27">
        <f t="shared" si="18"/>
        <v>1100</v>
      </c>
      <c r="AF12" s="27">
        <f t="shared" si="19"/>
        <v>303900</v>
      </c>
      <c r="AG12" s="27">
        <f t="shared" si="20"/>
        <v>308400</v>
      </c>
      <c r="AH12" s="27">
        <f t="shared" si="20"/>
        <v>0</v>
      </c>
      <c r="AI12" s="27">
        <f t="shared" si="21"/>
        <v>0</v>
      </c>
      <c r="AJ12" s="27">
        <f t="shared" si="8"/>
        <v>303900</v>
      </c>
      <c r="AK12" s="27">
        <f t="shared" si="8"/>
        <v>308400</v>
      </c>
      <c r="AL12" s="27">
        <v>0</v>
      </c>
      <c r="AM12" s="27">
        <f>42000+14000+13000+40000+41000+12000+14000+16000+12000+41000+45000+10000</f>
        <v>300000</v>
      </c>
      <c r="AN12" s="27">
        <v>300000</v>
      </c>
      <c r="AO12" s="27"/>
      <c r="AP12" s="27">
        <f t="shared" si="22"/>
        <v>300000</v>
      </c>
      <c r="AQ12" s="27">
        <f t="shared" si="22"/>
        <v>300000</v>
      </c>
      <c r="AR12" s="27">
        <v>200000</v>
      </c>
      <c r="AS12" s="27">
        <f>40000+40000+60000+50000+45000</f>
        <v>235000</v>
      </c>
      <c r="AT12" s="27"/>
      <c r="AU12" s="27"/>
      <c r="AV12" s="27">
        <f t="shared" si="23"/>
        <v>200000</v>
      </c>
      <c r="AW12" s="27">
        <f t="shared" si="23"/>
        <v>235000</v>
      </c>
      <c r="AX12" s="27">
        <v>200000</v>
      </c>
      <c r="AY12" s="27">
        <f>50000+25+25+25+1650+25+1675</f>
        <v>53425</v>
      </c>
      <c r="AZ12" s="27"/>
      <c r="BA12" s="27"/>
      <c r="BB12" s="27">
        <f>AX12+AZ12</f>
        <v>200000</v>
      </c>
      <c r="BC12" s="369">
        <v>50000</v>
      </c>
      <c r="BD12" s="27">
        <f t="shared" si="24"/>
        <v>53425</v>
      </c>
      <c r="BE12" s="27"/>
      <c r="BF12" s="27">
        <f>50000+50000+50000+3000+50000+50000+40000+70000+40000+40000</f>
        <v>443000</v>
      </c>
      <c r="BG12" s="27">
        <v>400000</v>
      </c>
      <c r="BH12" s="27"/>
      <c r="BI12" s="27">
        <f t="shared" si="25"/>
        <v>400000</v>
      </c>
      <c r="BJ12" s="369">
        <v>650000</v>
      </c>
      <c r="BK12" s="27">
        <f>BF12+BH12</f>
        <v>443000</v>
      </c>
      <c r="BL12" s="27"/>
      <c r="BM12" s="27"/>
      <c r="BN12" s="27"/>
      <c r="BO12" s="27">
        <f>3000</f>
        <v>3000</v>
      </c>
      <c r="BP12" s="27">
        <f t="shared" si="26"/>
        <v>0</v>
      </c>
      <c r="BQ12" s="27">
        <f t="shared" si="26"/>
        <v>3000</v>
      </c>
      <c r="BR12" s="26"/>
      <c r="BS12" s="27">
        <f>1000+1100+5000+4000</f>
        <v>11100</v>
      </c>
      <c r="BT12" s="26"/>
      <c r="BU12" s="26"/>
      <c r="BV12" s="27">
        <f t="shared" si="27"/>
        <v>0</v>
      </c>
      <c r="BW12" s="27">
        <f t="shared" si="27"/>
        <v>11100</v>
      </c>
      <c r="BX12" s="26"/>
      <c r="BY12" s="27">
        <f>2000+1700</f>
        <v>3700</v>
      </c>
      <c r="BZ12" s="26"/>
      <c r="CA12" s="75">
        <f>17132+653+106+108+720+206+1772+1020+1756+414+3167</f>
        <v>27054</v>
      </c>
      <c r="CB12" s="27">
        <f t="shared" si="28"/>
        <v>0</v>
      </c>
      <c r="CC12" s="27">
        <f t="shared" si="28"/>
        <v>30754</v>
      </c>
      <c r="CD12" s="26"/>
      <c r="CE12" s="27">
        <f>40000+60000+60000+60000+60000</f>
        <v>280000</v>
      </c>
      <c r="CF12" s="26"/>
      <c r="CG12" s="26"/>
      <c r="CH12" s="27">
        <f t="shared" si="29"/>
        <v>0</v>
      </c>
      <c r="CI12" s="27">
        <f t="shared" si="29"/>
        <v>280000</v>
      </c>
      <c r="CJ12" s="27"/>
      <c r="CK12" s="27">
        <f>60000+47000+52000</f>
        <v>159000</v>
      </c>
      <c r="CL12" s="27"/>
      <c r="CM12" s="27">
        <f>22560+29363+21821+21815+20251+35680</f>
        <v>151490</v>
      </c>
      <c r="CN12" s="27">
        <f t="shared" si="30"/>
        <v>0</v>
      </c>
      <c r="CO12" s="27">
        <f t="shared" si="30"/>
        <v>310490</v>
      </c>
      <c r="CP12" s="27"/>
      <c r="CQ12" s="27">
        <f>11500+N("11 კოპრუსის შუალედური 23 მრიცხველის გამო")</f>
        <v>11500</v>
      </c>
      <c r="CR12" s="27"/>
      <c r="CS12" s="27"/>
      <c r="CT12" s="27">
        <f t="shared" si="31"/>
        <v>0</v>
      </c>
      <c r="CU12" s="27">
        <f t="shared" si="31"/>
        <v>11500</v>
      </c>
      <c r="CV12" s="27"/>
      <c r="CW12" s="27"/>
      <c r="CX12" s="27"/>
      <c r="CY12" s="27"/>
      <c r="CZ12" s="27">
        <f t="shared" si="32"/>
        <v>0</v>
      </c>
      <c r="DA12" s="27">
        <f t="shared" si="32"/>
        <v>0</v>
      </c>
      <c r="DB12" s="27"/>
      <c r="DC12" s="27"/>
      <c r="DD12" s="27"/>
      <c r="DE12" s="27"/>
      <c r="DF12" s="27">
        <f t="shared" si="33"/>
        <v>0</v>
      </c>
      <c r="DG12" s="27">
        <f t="shared" si="33"/>
        <v>0</v>
      </c>
      <c r="DH12" s="28">
        <f t="shared" si="9"/>
        <v>400000</v>
      </c>
      <c r="DI12" s="28">
        <f t="shared" si="9"/>
        <v>1496725</v>
      </c>
      <c r="DJ12" s="28">
        <f t="shared" si="9"/>
        <v>700000</v>
      </c>
      <c r="DK12" s="28">
        <f t="shared" si="9"/>
        <v>181544</v>
      </c>
      <c r="DL12" s="27">
        <f t="shared" si="34"/>
        <v>1100000</v>
      </c>
      <c r="DM12" s="27">
        <f t="shared" si="34"/>
        <v>1678269</v>
      </c>
    </row>
    <row r="14" spans="1:117">
      <c r="CL14" s="14" t="s">
        <v>1338</v>
      </c>
      <c r="CM14" s="173">
        <v>20251</v>
      </c>
    </row>
    <row r="15" spans="1:117">
      <c r="B15" s="376"/>
      <c r="C15" s="14" t="s">
        <v>1255</v>
      </c>
      <c r="CL15" s="14" t="s">
        <v>1339</v>
      </c>
      <c r="CM15" s="173">
        <v>29363</v>
      </c>
    </row>
    <row r="16" spans="1:117">
      <c r="CL16" s="14" t="s">
        <v>1340</v>
      </c>
      <c r="CM16" s="173">
        <v>35680</v>
      </c>
    </row>
    <row r="17" spans="90:91">
      <c r="CL17" s="14" t="s">
        <v>1341</v>
      </c>
      <c r="CM17" s="173">
        <v>21821</v>
      </c>
    </row>
    <row r="18" spans="90:91">
      <c r="CL18" s="14" t="s">
        <v>1342</v>
      </c>
      <c r="CM18" s="173">
        <v>21815</v>
      </c>
    </row>
    <row r="19" spans="90:91">
      <c r="CL19" s="14" t="s">
        <v>1343</v>
      </c>
      <c r="CM19" s="173">
        <v>22560</v>
      </c>
    </row>
    <row r="20" spans="90:91">
      <c r="CM20" s="173">
        <f>SUM(CM14:CM19)</f>
        <v>151490</v>
      </c>
    </row>
    <row r="21" spans="90:91">
      <c r="CM21" s="173"/>
    </row>
    <row r="22" spans="90:91">
      <c r="CM22" s="173"/>
    </row>
    <row r="23" spans="90:91">
      <c r="CM23" s="173"/>
    </row>
    <row r="24" spans="90:91">
      <c r="CM24" s="173"/>
    </row>
    <row r="25" spans="90:91">
      <c r="CM25" s="173"/>
    </row>
    <row r="26" spans="90:91">
      <c r="CM26" s="173"/>
    </row>
    <row r="27" spans="90:91">
      <c r="CM27" s="173"/>
    </row>
    <row r="28" spans="90:91">
      <c r="CM28" s="173"/>
    </row>
    <row r="29" spans="90:91">
      <c r="CM29" s="173"/>
    </row>
  </sheetData>
  <mergeCells count="88">
    <mergeCell ref="DD5:DE5"/>
    <mergeCell ref="DF5:DG5"/>
    <mergeCell ref="DH5:DI5"/>
    <mergeCell ref="DJ5:DK5"/>
    <mergeCell ref="DL5:DM5"/>
    <mergeCell ref="CZ5:DA5"/>
    <mergeCell ref="DB5:DC5"/>
    <mergeCell ref="CF5:CG5"/>
    <mergeCell ref="CH5:CI5"/>
    <mergeCell ref="CJ5:CK5"/>
    <mergeCell ref="CL5:CM5"/>
    <mergeCell ref="CN5:CO5"/>
    <mergeCell ref="CP5:CQ5"/>
    <mergeCell ref="CR5:CS5"/>
    <mergeCell ref="CT5:CU5"/>
    <mergeCell ref="CV5:CW5"/>
    <mergeCell ref="CX5:CY5"/>
    <mergeCell ref="AP5:AQ5"/>
    <mergeCell ref="BR5:BS5"/>
    <mergeCell ref="AT5:AU5"/>
    <mergeCell ref="AV5:AW5"/>
    <mergeCell ref="AX5:AY5"/>
    <mergeCell ref="AZ5:BA5"/>
    <mergeCell ref="BB5:BD5"/>
    <mergeCell ref="BE5:BF5"/>
    <mergeCell ref="BG5:BH5"/>
    <mergeCell ref="BI5:BK5"/>
    <mergeCell ref="BL5:BM5"/>
    <mergeCell ref="BN5:BO5"/>
    <mergeCell ref="BP5:BQ5"/>
    <mergeCell ref="AF5:AG5"/>
    <mergeCell ref="AH5:AI5"/>
    <mergeCell ref="AJ5:AK5"/>
    <mergeCell ref="AL5:AM5"/>
    <mergeCell ref="AN5:AO5"/>
    <mergeCell ref="V5:W5"/>
    <mergeCell ref="X5:Y5"/>
    <mergeCell ref="Z5:AA5"/>
    <mergeCell ref="AB5:AC5"/>
    <mergeCell ref="AD5:AE5"/>
    <mergeCell ref="BR4:BW4"/>
    <mergeCell ref="BX4:CC4"/>
    <mergeCell ref="CD4:CI4"/>
    <mergeCell ref="CJ4:CO4"/>
    <mergeCell ref="AR5:AS5"/>
    <mergeCell ref="BT5:BU5"/>
    <mergeCell ref="BV5:BW5"/>
    <mergeCell ref="BX5:BY5"/>
    <mergeCell ref="BZ5:CA5"/>
    <mergeCell ref="CB5:CC5"/>
    <mergeCell ref="CD5:CE5"/>
    <mergeCell ref="P5:P6"/>
    <mergeCell ref="Q5:Q6"/>
    <mergeCell ref="R5:R6"/>
    <mergeCell ref="S5:S6"/>
    <mergeCell ref="T5:U5"/>
    <mergeCell ref="P3:Q4"/>
    <mergeCell ref="R3:S4"/>
    <mergeCell ref="T3:AK3"/>
    <mergeCell ref="AL3:DM3"/>
    <mergeCell ref="T4:Y4"/>
    <mergeCell ref="Z4:AE4"/>
    <mergeCell ref="AF4:AK4"/>
    <mergeCell ref="AL4:AQ4"/>
    <mergeCell ref="AR4:AW4"/>
    <mergeCell ref="AX4:BD4"/>
    <mergeCell ref="CP4:CU4"/>
    <mergeCell ref="CV4:DA4"/>
    <mergeCell ref="DB4:DG4"/>
    <mergeCell ref="DH4:DM4"/>
    <mergeCell ref="BE4:BK4"/>
    <mergeCell ref="BL4:BQ4"/>
    <mergeCell ref="I5:I6"/>
    <mergeCell ref="E3:E6"/>
    <mergeCell ref="F3:F6"/>
    <mergeCell ref="G3:G6"/>
    <mergeCell ref="I3:J4"/>
    <mergeCell ref="A3:A6"/>
    <mergeCell ref="B3:B6"/>
    <mergeCell ref="C3:C6"/>
    <mergeCell ref="D3:D6"/>
    <mergeCell ref="H3:H6"/>
    <mergeCell ref="K3:L4"/>
    <mergeCell ref="M3:M6"/>
    <mergeCell ref="O3:O6"/>
    <mergeCell ref="J5:J6"/>
    <mergeCell ref="K5:K6"/>
    <mergeCell ref="L5:L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A1:DK11"/>
  <sheetViews>
    <sheetView workbookViewId="0">
      <pane ySplit="7" topLeftCell="A8" activePane="bottomLeft" state="frozen"/>
      <selection activeCell="G25" sqref="G25"/>
      <selection pane="bottomLeft" activeCell="AN25" sqref="AN25"/>
    </sheetView>
  </sheetViews>
  <sheetFormatPr defaultColWidth="10.42578125" defaultRowHeight="15"/>
  <cols>
    <col min="1" max="1" width="6" style="14" customWidth="1"/>
    <col min="2" max="2" width="18.42578125" style="14" customWidth="1"/>
    <col min="3" max="3" width="11.28515625" style="14" customWidth="1"/>
    <col min="4" max="4" width="28.5703125" style="14" customWidth="1"/>
    <col min="5" max="5" width="15.5703125" style="14" bestFit="1" customWidth="1"/>
    <col min="6" max="6" width="10.5703125" style="14" bestFit="1" customWidth="1"/>
    <col min="7" max="7" width="14" style="14" bestFit="1" customWidth="1"/>
    <col min="8" max="8" width="19.85546875" style="17" customWidth="1"/>
    <col min="9" max="12" width="15.85546875" style="14" hidden="1" customWidth="1"/>
    <col min="13" max="15" width="15.85546875" style="14" customWidth="1"/>
    <col min="16" max="16" width="16.85546875" style="14" hidden="1" customWidth="1"/>
    <col min="17" max="17" width="13.5703125" style="14" hidden="1" customWidth="1"/>
    <col min="18" max="18" width="14.140625" style="14" hidden="1" customWidth="1"/>
    <col min="19" max="19" width="13.5703125" style="14" hidden="1" customWidth="1"/>
    <col min="20" max="20" width="7.140625" style="14" hidden="1" customWidth="1"/>
    <col min="21" max="21" width="8.42578125" style="14" hidden="1" customWidth="1"/>
    <col min="22" max="22" width="16.7109375" style="14" hidden="1" customWidth="1"/>
    <col min="23" max="23" width="9.85546875" style="14" hidden="1" customWidth="1"/>
    <col min="24" max="24" width="13.85546875" style="14" hidden="1" customWidth="1"/>
    <col min="25" max="25" width="8.85546875" style="14" hidden="1" customWidth="1"/>
    <col min="26" max="26" width="7.140625" style="14" hidden="1" customWidth="1"/>
    <col min="27" max="27" width="8.42578125" style="14" hidden="1" customWidth="1"/>
    <col min="28" max="28" width="7.140625" style="14" hidden="1" customWidth="1"/>
    <col min="29" max="29" width="8.42578125" style="14" hidden="1" customWidth="1"/>
    <col min="30" max="30" width="7.5703125" style="14" hidden="1" customWidth="1"/>
    <col min="31" max="31" width="8.85546875" style="14" hidden="1" customWidth="1"/>
    <col min="32" max="32" width="16.7109375" style="14" hidden="1" customWidth="1"/>
    <col min="33" max="33" width="11.5703125" style="14" hidden="1" customWidth="1"/>
    <col min="34" max="34" width="16.7109375" style="14" hidden="1" customWidth="1"/>
    <col min="35" max="35" width="9.85546875" style="14" hidden="1" customWidth="1"/>
    <col min="36" max="36" width="13.7109375" style="14" hidden="1" customWidth="1"/>
    <col min="37" max="37" width="11.5703125" style="14" hidden="1" customWidth="1"/>
    <col min="38" max="38" width="11.5703125" style="14" customWidth="1"/>
    <col min="39" max="39" width="8.42578125" style="14" bestFit="1" customWidth="1"/>
    <col min="40" max="40" width="14.5703125" style="14" bestFit="1" customWidth="1"/>
    <col min="41" max="41" width="8.42578125" style="14" bestFit="1" customWidth="1"/>
    <col min="42" max="42" width="13.28515625" style="14" bestFit="1" customWidth="1"/>
    <col min="43" max="43" width="8.85546875" style="14" bestFit="1" customWidth="1"/>
    <col min="44" max="44" width="10.28515625" style="14" bestFit="1" customWidth="1"/>
    <col min="45" max="45" width="8.28515625" style="14" bestFit="1" customWidth="1"/>
    <col min="46" max="46" width="7" style="14" customWidth="1"/>
    <col min="47" max="47" width="8.28515625" style="14" bestFit="1" customWidth="1"/>
    <col min="48" max="48" width="10.28515625" style="14" bestFit="1" customWidth="1"/>
    <col min="49" max="49" width="8.7109375" style="14" bestFit="1" customWidth="1"/>
    <col min="50" max="50" width="10.28515625" style="14" bestFit="1" customWidth="1"/>
    <col min="51" max="51" width="8.28515625" style="14" bestFit="1" customWidth="1"/>
    <col min="52" max="52" width="10.28515625" style="14" bestFit="1" customWidth="1"/>
    <col min="53" max="53" width="8.28515625" style="14" bestFit="1" customWidth="1"/>
    <col min="54" max="54" width="10.28515625" style="14" bestFit="1" customWidth="1"/>
    <col min="55" max="55" width="8.7109375" style="14" bestFit="1" customWidth="1"/>
    <col min="56" max="56" width="7" style="14" bestFit="1" customWidth="1"/>
    <col min="57" max="57" width="8.28515625" style="14" bestFit="1" customWidth="1"/>
    <col min="58" max="58" width="10.28515625" style="14" bestFit="1" customWidth="1"/>
    <col min="59" max="59" width="8.28515625" style="14" bestFit="1" customWidth="1"/>
    <col min="60" max="60" width="9.85546875" style="14" bestFit="1" customWidth="1"/>
    <col min="61" max="61" width="8.7109375" style="14" bestFit="1" customWidth="1"/>
    <col min="62" max="62" width="7" style="14" bestFit="1" customWidth="1"/>
    <col min="63" max="63" width="8.28515625" style="14" bestFit="1" customWidth="1"/>
    <col min="64" max="64" width="7" style="14" bestFit="1" customWidth="1"/>
    <col min="65" max="65" width="8.28515625" style="14" bestFit="1" customWidth="1"/>
    <col min="66" max="66" width="7.28515625" style="14" bestFit="1" customWidth="1"/>
    <col min="67" max="67" width="8.7109375" style="14" bestFit="1" customWidth="1"/>
    <col min="68" max="68" width="7" style="14" bestFit="1" customWidth="1"/>
    <col min="69" max="69" width="8.28515625" style="14" bestFit="1" customWidth="1"/>
    <col min="70" max="70" width="7" style="14" bestFit="1" customWidth="1"/>
    <col min="71" max="71" width="8.28515625" style="14" bestFit="1" customWidth="1"/>
    <col min="72" max="72" width="7.28515625" style="14" bestFit="1" customWidth="1"/>
    <col min="73" max="73" width="8.7109375" style="14" bestFit="1" customWidth="1"/>
    <col min="74" max="74" width="7" style="14" bestFit="1" customWidth="1"/>
    <col min="75" max="75" width="8.28515625" style="14" bestFit="1" customWidth="1"/>
    <col min="76" max="76" width="7" style="14" bestFit="1" customWidth="1"/>
    <col min="77" max="77" width="8.28515625" style="14" bestFit="1" customWidth="1"/>
    <col min="78" max="78" width="7.28515625" style="14" bestFit="1" customWidth="1"/>
    <col min="79" max="79" width="8.7109375" style="14" bestFit="1" customWidth="1"/>
    <col min="80" max="80" width="7" style="14" bestFit="1" customWidth="1"/>
    <col min="81" max="81" width="8.28515625" style="14" bestFit="1" customWidth="1"/>
    <col min="82" max="82" width="7" style="14" bestFit="1" customWidth="1"/>
    <col min="83" max="83" width="8.28515625" style="14" bestFit="1" customWidth="1"/>
    <col min="84" max="84" width="7.28515625" style="14" bestFit="1" customWidth="1"/>
    <col min="85" max="85" width="8.7109375" style="14" bestFit="1" customWidth="1"/>
    <col min="86" max="86" width="7" style="14" bestFit="1" customWidth="1"/>
    <col min="87" max="87" width="8.28515625" style="14" bestFit="1" customWidth="1"/>
    <col min="88" max="88" width="7" style="14" bestFit="1" customWidth="1"/>
    <col min="89" max="89" width="8.28515625" style="14" bestFit="1" customWidth="1"/>
    <col min="90" max="90" width="7.28515625" style="14" bestFit="1" customWidth="1"/>
    <col min="91" max="91" width="8.7109375" style="14" bestFit="1" customWidth="1"/>
    <col min="92" max="92" width="7" style="14" bestFit="1" customWidth="1"/>
    <col min="93" max="93" width="8.28515625" style="14" bestFit="1" customWidth="1"/>
    <col min="94" max="94" width="7" style="14" bestFit="1" customWidth="1"/>
    <col min="95" max="95" width="8.28515625" style="14" bestFit="1" customWidth="1"/>
    <col min="96" max="96" width="7.28515625" style="14" bestFit="1" customWidth="1"/>
    <col min="97" max="97" width="8.7109375" style="14" bestFit="1" customWidth="1"/>
    <col min="98" max="98" width="7" style="14" bestFit="1" customWidth="1"/>
    <col min="99" max="99" width="8.28515625" style="14" bestFit="1" customWidth="1"/>
    <col min="100" max="100" width="7" style="14" bestFit="1" customWidth="1"/>
    <col min="101" max="101" width="8.28515625" style="14" bestFit="1" customWidth="1"/>
    <col min="102" max="102" width="7.28515625" style="14" bestFit="1" customWidth="1"/>
    <col min="103" max="103" width="8.7109375" style="14" bestFit="1" customWidth="1"/>
    <col min="104" max="104" width="7" style="14" bestFit="1" customWidth="1"/>
    <col min="105" max="105" width="8.28515625" style="14" bestFit="1" customWidth="1"/>
    <col min="106" max="106" width="7" style="14" bestFit="1" customWidth="1"/>
    <col min="107" max="107" width="8.28515625" style="14" bestFit="1" customWidth="1"/>
    <col min="108" max="108" width="7.28515625" style="14" bestFit="1" customWidth="1"/>
    <col min="109" max="109" width="8.7109375" style="14" bestFit="1" customWidth="1"/>
    <col min="110" max="110" width="11.5703125" style="14" bestFit="1" customWidth="1"/>
    <col min="111" max="111" width="8.28515625" style="14" bestFit="1" customWidth="1"/>
    <col min="112" max="112" width="11.5703125" style="14" bestFit="1" customWidth="1"/>
    <col min="113" max="113" width="8.28515625" style="14" bestFit="1" customWidth="1"/>
    <col min="114" max="114" width="11.5703125" style="14" bestFit="1" customWidth="1"/>
    <col min="115" max="115" width="8.7109375" style="14" bestFit="1" customWidth="1"/>
    <col min="116" max="16384" width="10.42578125" style="14"/>
  </cols>
  <sheetData>
    <row r="1" spans="1:115" ht="15.75">
      <c r="B1" s="16" t="s">
        <v>97</v>
      </c>
    </row>
    <row r="2" spans="1:115" ht="15.75" thickBot="1">
      <c r="H2" s="17">
        <v>1.18</v>
      </c>
    </row>
    <row r="3" spans="1:115" ht="19.5" thickBot="1">
      <c r="A3" s="513" t="s">
        <v>1</v>
      </c>
      <c r="B3" s="475" t="s">
        <v>2</v>
      </c>
      <c r="C3" s="475" t="s">
        <v>3</v>
      </c>
      <c r="D3" s="475" t="s">
        <v>4</v>
      </c>
      <c r="E3" s="516" t="s">
        <v>1176</v>
      </c>
      <c r="F3" s="516" t="s">
        <v>1170</v>
      </c>
      <c r="G3" s="510" t="s">
        <v>1178</v>
      </c>
      <c r="H3" s="540" t="s">
        <v>5</v>
      </c>
      <c r="I3" s="488" t="s">
        <v>6</v>
      </c>
      <c r="J3" s="489"/>
      <c r="K3" s="492" t="s">
        <v>9</v>
      </c>
      <c r="L3" s="493"/>
      <c r="M3" s="469" t="s">
        <v>1197</v>
      </c>
      <c r="N3" s="273"/>
      <c r="O3" s="485" t="s">
        <v>1196</v>
      </c>
      <c r="P3" s="478" t="s">
        <v>7</v>
      </c>
      <c r="Q3" s="479"/>
      <c r="R3" s="478" t="s">
        <v>8</v>
      </c>
      <c r="S3" s="479"/>
      <c r="T3" s="482" t="s">
        <v>9</v>
      </c>
      <c r="U3" s="483"/>
      <c r="V3" s="483"/>
      <c r="W3" s="483"/>
      <c r="X3" s="483"/>
      <c r="Y3" s="483"/>
      <c r="Z3" s="483"/>
      <c r="AA3" s="483"/>
      <c r="AB3" s="483"/>
      <c r="AC3" s="483"/>
      <c r="AD3" s="483"/>
      <c r="AE3" s="483"/>
      <c r="AF3" s="483"/>
      <c r="AG3" s="483"/>
      <c r="AH3" s="483"/>
      <c r="AI3" s="483"/>
      <c r="AJ3" s="483"/>
      <c r="AK3" s="484"/>
      <c r="AL3" s="499">
        <v>2025</v>
      </c>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3"/>
      <c r="DK3" s="484"/>
    </row>
    <row r="4" spans="1:115" ht="80.25" customHeight="1" thickBot="1">
      <c r="A4" s="514"/>
      <c r="B4" s="476"/>
      <c r="C4" s="476"/>
      <c r="D4" s="476"/>
      <c r="E4" s="517"/>
      <c r="F4" s="517"/>
      <c r="G4" s="511"/>
      <c r="H4" s="541"/>
      <c r="I4" s="490"/>
      <c r="J4" s="491"/>
      <c r="K4" s="494"/>
      <c r="L4" s="495"/>
      <c r="M4" s="496"/>
      <c r="N4" s="271" t="s">
        <v>1234</v>
      </c>
      <c r="O4" s="486"/>
      <c r="P4" s="480"/>
      <c r="Q4" s="481"/>
      <c r="R4" s="480"/>
      <c r="S4" s="481"/>
      <c r="T4" s="500" t="s">
        <v>10</v>
      </c>
      <c r="U4" s="501"/>
      <c r="V4" s="501"/>
      <c r="W4" s="501"/>
      <c r="X4" s="501"/>
      <c r="Y4" s="502"/>
      <c r="Z4" s="500" t="s">
        <v>11</v>
      </c>
      <c r="AA4" s="501"/>
      <c r="AB4" s="501"/>
      <c r="AC4" s="501"/>
      <c r="AD4" s="501"/>
      <c r="AE4" s="502"/>
      <c r="AF4" s="503" t="s">
        <v>9</v>
      </c>
      <c r="AG4" s="504"/>
      <c r="AH4" s="504"/>
      <c r="AI4" s="504"/>
      <c r="AJ4" s="504"/>
      <c r="AK4" s="505"/>
      <c r="AL4" s="500" t="s">
        <v>12</v>
      </c>
      <c r="AM4" s="501"/>
      <c r="AN4" s="501"/>
      <c r="AO4" s="501"/>
      <c r="AP4" s="501"/>
      <c r="AQ4" s="502"/>
      <c r="AR4" s="500" t="s">
        <v>13</v>
      </c>
      <c r="AS4" s="501"/>
      <c r="AT4" s="501"/>
      <c r="AU4" s="501"/>
      <c r="AV4" s="501"/>
      <c r="AW4" s="502"/>
      <c r="AX4" s="500" t="s">
        <v>14</v>
      </c>
      <c r="AY4" s="501"/>
      <c r="AZ4" s="501"/>
      <c r="BA4" s="501"/>
      <c r="BB4" s="501"/>
      <c r="BC4" s="502"/>
      <c r="BD4" s="500" t="s">
        <v>15</v>
      </c>
      <c r="BE4" s="501"/>
      <c r="BF4" s="501"/>
      <c r="BG4" s="501"/>
      <c r="BH4" s="501"/>
      <c r="BI4" s="502"/>
      <c r="BJ4" s="500" t="s">
        <v>16</v>
      </c>
      <c r="BK4" s="501"/>
      <c r="BL4" s="501"/>
      <c r="BM4" s="501"/>
      <c r="BN4" s="501"/>
      <c r="BO4" s="502"/>
      <c r="BP4" s="500" t="s">
        <v>17</v>
      </c>
      <c r="BQ4" s="501"/>
      <c r="BR4" s="501"/>
      <c r="BS4" s="501"/>
      <c r="BT4" s="501"/>
      <c r="BU4" s="502"/>
      <c r="BV4" s="500" t="s">
        <v>18</v>
      </c>
      <c r="BW4" s="501"/>
      <c r="BX4" s="501"/>
      <c r="BY4" s="501"/>
      <c r="BZ4" s="501"/>
      <c r="CA4" s="502"/>
      <c r="CB4" s="500" t="s">
        <v>19</v>
      </c>
      <c r="CC4" s="501"/>
      <c r="CD4" s="501"/>
      <c r="CE4" s="501"/>
      <c r="CF4" s="501"/>
      <c r="CG4" s="502"/>
      <c r="CH4" s="500" t="s">
        <v>20</v>
      </c>
      <c r="CI4" s="501"/>
      <c r="CJ4" s="501"/>
      <c r="CK4" s="501"/>
      <c r="CL4" s="501"/>
      <c r="CM4" s="502"/>
      <c r="CN4" s="500" t="s">
        <v>21</v>
      </c>
      <c r="CO4" s="501"/>
      <c r="CP4" s="501"/>
      <c r="CQ4" s="501"/>
      <c r="CR4" s="501"/>
      <c r="CS4" s="502"/>
      <c r="CT4" s="500" t="s">
        <v>22</v>
      </c>
      <c r="CU4" s="501"/>
      <c r="CV4" s="501"/>
      <c r="CW4" s="501"/>
      <c r="CX4" s="501"/>
      <c r="CY4" s="502"/>
      <c r="CZ4" s="500" t="s">
        <v>23</v>
      </c>
      <c r="DA4" s="501"/>
      <c r="DB4" s="501"/>
      <c r="DC4" s="501"/>
      <c r="DD4" s="501"/>
      <c r="DE4" s="502"/>
      <c r="DF4" s="506" t="s">
        <v>24</v>
      </c>
      <c r="DG4" s="507"/>
      <c r="DH4" s="507"/>
      <c r="DI4" s="507"/>
      <c r="DJ4" s="507"/>
      <c r="DK4" s="508"/>
    </row>
    <row r="5" spans="1:115">
      <c r="A5" s="514"/>
      <c r="B5" s="476"/>
      <c r="C5" s="476"/>
      <c r="D5" s="476"/>
      <c r="E5" s="517"/>
      <c r="F5" s="517"/>
      <c r="G5" s="511"/>
      <c r="H5" s="541"/>
      <c r="I5" s="469" t="s">
        <v>1169</v>
      </c>
      <c r="J5" s="469" t="s">
        <v>1199</v>
      </c>
      <c r="K5" s="498" t="s">
        <v>1172</v>
      </c>
      <c r="L5" s="469" t="s">
        <v>1177</v>
      </c>
      <c r="M5" s="496"/>
      <c r="N5" s="274"/>
      <c r="O5" s="486"/>
      <c r="P5" s="471" t="s">
        <v>1169</v>
      </c>
      <c r="Q5" s="473" t="s">
        <v>1168</v>
      </c>
      <c r="R5" s="471" t="s">
        <v>1169</v>
      </c>
      <c r="S5" s="473" t="s">
        <v>1168</v>
      </c>
      <c r="T5" s="464" t="s">
        <v>1167</v>
      </c>
      <c r="U5" s="460"/>
      <c r="V5" s="460" t="s">
        <v>1166</v>
      </c>
      <c r="W5" s="461"/>
      <c r="X5" s="462" t="s">
        <v>25</v>
      </c>
      <c r="Y5" s="463"/>
      <c r="Z5" s="464" t="s">
        <v>1167</v>
      </c>
      <c r="AA5" s="460"/>
      <c r="AB5" s="460" t="s">
        <v>1166</v>
      </c>
      <c r="AC5" s="461"/>
      <c r="AD5" s="462" t="s">
        <v>25</v>
      </c>
      <c r="AE5" s="463"/>
      <c r="AF5" s="464" t="s">
        <v>1167</v>
      </c>
      <c r="AG5" s="460"/>
      <c r="AH5" s="460" t="s">
        <v>1166</v>
      </c>
      <c r="AI5" s="461"/>
      <c r="AJ5" s="462" t="s">
        <v>25</v>
      </c>
      <c r="AK5" s="463"/>
      <c r="AL5" s="464" t="s">
        <v>1167</v>
      </c>
      <c r="AM5" s="460"/>
      <c r="AN5" s="460" t="s">
        <v>1166</v>
      </c>
      <c r="AO5" s="461"/>
      <c r="AP5" s="462" t="s">
        <v>25</v>
      </c>
      <c r="AQ5" s="463"/>
      <c r="AR5" s="464" t="s">
        <v>1167</v>
      </c>
      <c r="AS5" s="460"/>
      <c r="AT5" s="460" t="s">
        <v>1166</v>
      </c>
      <c r="AU5" s="461"/>
      <c r="AV5" s="462" t="s">
        <v>25</v>
      </c>
      <c r="AW5" s="463"/>
      <c r="AX5" s="464" t="s">
        <v>1167</v>
      </c>
      <c r="AY5" s="460"/>
      <c r="AZ5" s="460" t="s">
        <v>1166</v>
      </c>
      <c r="BA5" s="461"/>
      <c r="BB5" s="462" t="s">
        <v>25</v>
      </c>
      <c r="BC5" s="463"/>
      <c r="BD5" s="464" t="s">
        <v>1167</v>
      </c>
      <c r="BE5" s="460"/>
      <c r="BF5" s="460" t="s">
        <v>1166</v>
      </c>
      <c r="BG5" s="461"/>
      <c r="BH5" s="462" t="s">
        <v>25</v>
      </c>
      <c r="BI5" s="463"/>
      <c r="BJ5" s="464" t="s">
        <v>1167</v>
      </c>
      <c r="BK5" s="460"/>
      <c r="BL5" s="460" t="s">
        <v>1166</v>
      </c>
      <c r="BM5" s="461"/>
      <c r="BN5" s="462" t="s">
        <v>25</v>
      </c>
      <c r="BO5" s="463"/>
      <c r="BP5" s="464" t="s">
        <v>1167</v>
      </c>
      <c r="BQ5" s="460"/>
      <c r="BR5" s="460" t="s">
        <v>1166</v>
      </c>
      <c r="BS5" s="461"/>
      <c r="BT5" s="462" t="s">
        <v>25</v>
      </c>
      <c r="BU5" s="463"/>
      <c r="BV5" s="464" t="s">
        <v>1167</v>
      </c>
      <c r="BW5" s="460"/>
      <c r="BX5" s="460" t="s">
        <v>1166</v>
      </c>
      <c r="BY5" s="461"/>
      <c r="BZ5" s="462" t="s">
        <v>25</v>
      </c>
      <c r="CA5" s="463"/>
      <c r="CB5" s="464" t="s">
        <v>1167</v>
      </c>
      <c r="CC5" s="460"/>
      <c r="CD5" s="460" t="s">
        <v>1166</v>
      </c>
      <c r="CE5" s="461"/>
      <c r="CF5" s="462" t="s">
        <v>25</v>
      </c>
      <c r="CG5" s="463"/>
      <c r="CH5" s="464" t="s">
        <v>1167</v>
      </c>
      <c r="CI5" s="460"/>
      <c r="CJ5" s="460" t="s">
        <v>1166</v>
      </c>
      <c r="CK5" s="461"/>
      <c r="CL5" s="462" t="s">
        <v>25</v>
      </c>
      <c r="CM5" s="463"/>
      <c r="CN5" s="464" t="s">
        <v>1167</v>
      </c>
      <c r="CO5" s="460"/>
      <c r="CP5" s="460" t="s">
        <v>1166</v>
      </c>
      <c r="CQ5" s="461"/>
      <c r="CR5" s="462" t="s">
        <v>25</v>
      </c>
      <c r="CS5" s="463"/>
      <c r="CT5" s="464" t="s">
        <v>1167</v>
      </c>
      <c r="CU5" s="460"/>
      <c r="CV5" s="460" t="s">
        <v>1166</v>
      </c>
      <c r="CW5" s="461"/>
      <c r="CX5" s="462" t="s">
        <v>25</v>
      </c>
      <c r="CY5" s="463"/>
      <c r="CZ5" s="464" t="s">
        <v>1167</v>
      </c>
      <c r="DA5" s="460"/>
      <c r="DB5" s="460" t="s">
        <v>1166</v>
      </c>
      <c r="DC5" s="461"/>
      <c r="DD5" s="462" t="s">
        <v>25</v>
      </c>
      <c r="DE5" s="463"/>
      <c r="DF5" s="464" t="s">
        <v>1167</v>
      </c>
      <c r="DG5" s="460"/>
      <c r="DH5" s="460" t="s">
        <v>1166</v>
      </c>
      <c r="DI5" s="461"/>
      <c r="DJ5" s="462" t="s">
        <v>25</v>
      </c>
      <c r="DK5" s="463"/>
    </row>
    <row r="6" spans="1:115" ht="15.75" thickBot="1">
      <c r="A6" s="538"/>
      <c r="B6" s="539"/>
      <c r="C6" s="539"/>
      <c r="D6" s="539"/>
      <c r="E6" s="518"/>
      <c r="F6" s="518"/>
      <c r="G6" s="512"/>
      <c r="H6" s="542"/>
      <c r="I6" s="470"/>
      <c r="J6" s="497"/>
      <c r="K6" s="497"/>
      <c r="L6" s="497"/>
      <c r="M6" s="470"/>
      <c r="N6" s="275"/>
      <c r="O6" s="487"/>
      <c r="P6" s="472"/>
      <c r="Q6" s="474"/>
      <c r="R6" s="472"/>
      <c r="S6" s="474"/>
      <c r="T6" s="2" t="s">
        <v>26</v>
      </c>
      <c r="U6" s="3" t="s">
        <v>27</v>
      </c>
      <c r="V6" s="3" t="s">
        <v>26</v>
      </c>
      <c r="W6" s="4" t="s">
        <v>27</v>
      </c>
      <c r="X6" s="5" t="s">
        <v>26</v>
      </c>
      <c r="Y6" s="6" t="s">
        <v>27</v>
      </c>
      <c r="Z6" s="2" t="s">
        <v>26</v>
      </c>
      <c r="AA6" s="3" t="s">
        <v>27</v>
      </c>
      <c r="AB6" s="3" t="s">
        <v>26</v>
      </c>
      <c r="AC6" s="4" t="s">
        <v>27</v>
      </c>
      <c r="AD6" s="5" t="s">
        <v>26</v>
      </c>
      <c r="AE6" s="6" t="s">
        <v>27</v>
      </c>
      <c r="AF6" s="2" t="s">
        <v>26</v>
      </c>
      <c r="AG6" s="3" t="s">
        <v>27</v>
      </c>
      <c r="AH6" s="3" t="s">
        <v>26</v>
      </c>
      <c r="AI6" s="4" t="s">
        <v>27</v>
      </c>
      <c r="AJ6" s="5" t="s">
        <v>26</v>
      </c>
      <c r="AK6" s="6" t="s">
        <v>27</v>
      </c>
      <c r="AL6" s="2" t="s">
        <v>26</v>
      </c>
      <c r="AM6" s="3" t="s">
        <v>27</v>
      </c>
      <c r="AN6" s="3" t="s">
        <v>26</v>
      </c>
      <c r="AO6" s="4" t="s">
        <v>27</v>
      </c>
      <c r="AP6" s="5" t="s">
        <v>26</v>
      </c>
      <c r="AQ6" s="6" t="s">
        <v>27</v>
      </c>
      <c r="AR6" s="2" t="s">
        <v>26</v>
      </c>
      <c r="AS6" s="3" t="s">
        <v>27</v>
      </c>
      <c r="AT6" s="3" t="s">
        <v>26</v>
      </c>
      <c r="AU6" s="4" t="s">
        <v>27</v>
      </c>
      <c r="AV6" s="5" t="s">
        <v>26</v>
      </c>
      <c r="AW6" s="6" t="s">
        <v>27</v>
      </c>
      <c r="AX6" s="2" t="s">
        <v>26</v>
      </c>
      <c r="AY6" s="3" t="s">
        <v>27</v>
      </c>
      <c r="AZ6" s="3" t="s">
        <v>26</v>
      </c>
      <c r="BA6" s="4" t="s">
        <v>27</v>
      </c>
      <c r="BB6" s="5" t="s">
        <v>26</v>
      </c>
      <c r="BC6" s="6" t="s">
        <v>27</v>
      </c>
      <c r="BD6" s="2" t="s">
        <v>26</v>
      </c>
      <c r="BE6" s="3" t="s">
        <v>27</v>
      </c>
      <c r="BF6" s="3" t="s">
        <v>26</v>
      </c>
      <c r="BG6" s="4" t="s">
        <v>27</v>
      </c>
      <c r="BH6" s="5" t="s">
        <v>26</v>
      </c>
      <c r="BI6" s="6" t="s">
        <v>27</v>
      </c>
      <c r="BJ6" s="2" t="s">
        <v>26</v>
      </c>
      <c r="BK6" s="3" t="s">
        <v>27</v>
      </c>
      <c r="BL6" s="3" t="s">
        <v>26</v>
      </c>
      <c r="BM6" s="4" t="s">
        <v>27</v>
      </c>
      <c r="BN6" s="5" t="s">
        <v>26</v>
      </c>
      <c r="BO6" s="6" t="s">
        <v>27</v>
      </c>
      <c r="BP6" s="2" t="s">
        <v>26</v>
      </c>
      <c r="BQ6" s="3" t="s">
        <v>27</v>
      </c>
      <c r="BR6" s="3" t="s">
        <v>26</v>
      </c>
      <c r="BS6" s="4" t="s">
        <v>27</v>
      </c>
      <c r="BT6" s="5" t="s">
        <v>26</v>
      </c>
      <c r="BU6" s="6" t="s">
        <v>27</v>
      </c>
      <c r="BV6" s="2" t="s">
        <v>26</v>
      </c>
      <c r="BW6" s="3" t="s">
        <v>27</v>
      </c>
      <c r="BX6" s="3" t="s">
        <v>26</v>
      </c>
      <c r="BY6" s="4" t="s">
        <v>27</v>
      </c>
      <c r="BZ6" s="5" t="s">
        <v>26</v>
      </c>
      <c r="CA6" s="6" t="s">
        <v>27</v>
      </c>
      <c r="CB6" s="2" t="s">
        <v>26</v>
      </c>
      <c r="CC6" s="3" t="s">
        <v>27</v>
      </c>
      <c r="CD6" s="3" t="s">
        <v>26</v>
      </c>
      <c r="CE6" s="4" t="s">
        <v>27</v>
      </c>
      <c r="CF6" s="5" t="s">
        <v>26</v>
      </c>
      <c r="CG6" s="6" t="s">
        <v>27</v>
      </c>
      <c r="CH6" s="2" t="s">
        <v>26</v>
      </c>
      <c r="CI6" s="3" t="s">
        <v>27</v>
      </c>
      <c r="CJ6" s="3" t="s">
        <v>26</v>
      </c>
      <c r="CK6" s="4" t="s">
        <v>27</v>
      </c>
      <c r="CL6" s="5" t="s">
        <v>26</v>
      </c>
      <c r="CM6" s="6" t="s">
        <v>27</v>
      </c>
      <c r="CN6" s="2" t="s">
        <v>26</v>
      </c>
      <c r="CO6" s="3" t="s">
        <v>27</v>
      </c>
      <c r="CP6" s="3" t="s">
        <v>26</v>
      </c>
      <c r="CQ6" s="4" t="s">
        <v>27</v>
      </c>
      <c r="CR6" s="5" t="s">
        <v>26</v>
      </c>
      <c r="CS6" s="6" t="s">
        <v>27</v>
      </c>
      <c r="CT6" s="2" t="s">
        <v>26</v>
      </c>
      <c r="CU6" s="3" t="s">
        <v>27</v>
      </c>
      <c r="CV6" s="3" t="s">
        <v>26</v>
      </c>
      <c r="CW6" s="4" t="s">
        <v>27</v>
      </c>
      <c r="CX6" s="5" t="s">
        <v>26</v>
      </c>
      <c r="CY6" s="6" t="s">
        <v>27</v>
      </c>
      <c r="CZ6" s="2" t="s">
        <v>26</v>
      </c>
      <c r="DA6" s="3" t="s">
        <v>27</v>
      </c>
      <c r="DB6" s="3" t="s">
        <v>26</v>
      </c>
      <c r="DC6" s="4" t="s">
        <v>27</v>
      </c>
      <c r="DD6" s="5" t="s">
        <v>26</v>
      </c>
      <c r="DE6" s="6" t="s">
        <v>27</v>
      </c>
      <c r="DF6" s="2" t="s">
        <v>26</v>
      </c>
      <c r="DG6" s="3" t="s">
        <v>27</v>
      </c>
      <c r="DH6" s="3" t="s">
        <v>26</v>
      </c>
      <c r="DI6" s="4" t="s">
        <v>27</v>
      </c>
      <c r="DJ6" s="5" t="s">
        <v>26</v>
      </c>
      <c r="DK6" s="6" t="s">
        <v>27</v>
      </c>
    </row>
    <row r="7" spans="1:115" ht="15.75">
      <c r="A7" s="18">
        <f t="shared" ref="A7:D7" si="0">SUBTOTAL(3,A9:A11)</f>
        <v>3</v>
      </c>
      <c r="B7" s="18">
        <f t="shared" si="0"/>
        <v>3</v>
      </c>
      <c r="C7" s="18">
        <f t="shared" si="0"/>
        <v>3</v>
      </c>
      <c r="D7" s="18">
        <f t="shared" si="0"/>
        <v>3</v>
      </c>
      <c r="E7" s="18">
        <f>SUBTOTAL(3,E9:E11)</f>
        <v>3</v>
      </c>
      <c r="F7" s="18">
        <f t="shared" ref="F7:G7" si="1">SUBTOTAL(9,F9:F11)</f>
        <v>0</v>
      </c>
      <c r="G7" s="18">
        <f t="shared" si="1"/>
        <v>638974.85000000009</v>
      </c>
      <c r="H7" s="18">
        <f>SUBTOTAL(9,H9:H11)</f>
        <v>587493.67999999993</v>
      </c>
      <c r="I7" s="18">
        <f t="shared" ref="I7:BU7" si="2">SUBTOTAL(9,I9:I11)</f>
        <v>300000</v>
      </c>
      <c r="J7" s="18">
        <f t="shared" si="2"/>
        <v>0</v>
      </c>
      <c r="K7" s="18">
        <f t="shared" si="2"/>
        <v>338974.85000000003</v>
      </c>
      <c r="L7" s="18">
        <f t="shared" si="2"/>
        <v>638974.85000000009</v>
      </c>
      <c r="M7" s="18">
        <f t="shared" si="2"/>
        <v>638974.85000000009</v>
      </c>
      <c r="N7" s="18">
        <f t="shared" si="2"/>
        <v>0</v>
      </c>
      <c r="O7" s="18">
        <f t="shared" si="2"/>
        <v>638974.85000000009</v>
      </c>
      <c r="P7" s="18">
        <f t="shared" si="2"/>
        <v>175000</v>
      </c>
      <c r="Q7" s="18">
        <f t="shared" si="2"/>
        <v>0</v>
      </c>
      <c r="R7" s="18">
        <f t="shared" si="2"/>
        <v>475000</v>
      </c>
      <c r="S7" s="18">
        <f t="shared" si="2"/>
        <v>0</v>
      </c>
      <c r="T7" s="18">
        <f t="shared" si="2"/>
        <v>0</v>
      </c>
      <c r="U7" s="18">
        <f t="shared" si="2"/>
        <v>0</v>
      </c>
      <c r="V7" s="18">
        <f t="shared" si="2"/>
        <v>155000</v>
      </c>
      <c r="W7" s="18">
        <f t="shared" si="2"/>
        <v>163974.85</v>
      </c>
      <c r="X7" s="18">
        <f t="shared" si="2"/>
        <v>155000</v>
      </c>
      <c r="Y7" s="18">
        <f t="shared" si="2"/>
        <v>163974.85</v>
      </c>
      <c r="Z7" s="18">
        <f t="shared" si="2"/>
        <v>0</v>
      </c>
      <c r="AA7" s="18">
        <f t="shared" si="2"/>
        <v>0</v>
      </c>
      <c r="AB7" s="18">
        <f t="shared" si="2"/>
        <v>0</v>
      </c>
      <c r="AC7" s="18">
        <f t="shared" si="2"/>
        <v>0</v>
      </c>
      <c r="AD7" s="18">
        <f t="shared" si="2"/>
        <v>0</v>
      </c>
      <c r="AE7" s="18">
        <f t="shared" si="2"/>
        <v>0</v>
      </c>
      <c r="AF7" s="18">
        <f t="shared" si="2"/>
        <v>175000</v>
      </c>
      <c r="AG7" s="18">
        <f t="shared" si="2"/>
        <v>175000</v>
      </c>
      <c r="AH7" s="18">
        <f t="shared" si="2"/>
        <v>155000</v>
      </c>
      <c r="AI7" s="18">
        <f t="shared" si="2"/>
        <v>163974.85</v>
      </c>
      <c r="AJ7" s="18">
        <f t="shared" si="2"/>
        <v>330000</v>
      </c>
      <c r="AK7" s="18">
        <f t="shared" si="2"/>
        <v>338974.85000000003</v>
      </c>
      <c r="AL7" s="18">
        <f t="shared" si="2"/>
        <v>0</v>
      </c>
      <c r="AM7" s="18">
        <f t="shared" si="2"/>
        <v>0</v>
      </c>
      <c r="AN7" s="18">
        <f t="shared" si="2"/>
        <v>0</v>
      </c>
      <c r="AO7" s="18">
        <f t="shared" si="2"/>
        <v>0</v>
      </c>
      <c r="AP7" s="18">
        <f t="shared" si="2"/>
        <v>0</v>
      </c>
      <c r="AQ7" s="18">
        <f t="shared" si="2"/>
        <v>0</v>
      </c>
      <c r="AR7" s="18">
        <f t="shared" si="2"/>
        <v>0</v>
      </c>
      <c r="AS7" s="18">
        <f t="shared" si="2"/>
        <v>0</v>
      </c>
      <c r="AT7" s="18">
        <f t="shared" si="2"/>
        <v>0</v>
      </c>
      <c r="AU7" s="18">
        <f t="shared" si="2"/>
        <v>0</v>
      </c>
      <c r="AV7" s="18">
        <f t="shared" si="2"/>
        <v>0</v>
      </c>
      <c r="AW7" s="18">
        <f t="shared" si="2"/>
        <v>0</v>
      </c>
      <c r="AX7" s="18">
        <f t="shared" si="2"/>
        <v>0</v>
      </c>
      <c r="AY7" s="18">
        <f t="shared" si="2"/>
        <v>0</v>
      </c>
      <c r="AZ7" s="18">
        <f t="shared" si="2"/>
        <v>0</v>
      </c>
      <c r="BA7" s="18">
        <f t="shared" si="2"/>
        <v>0</v>
      </c>
      <c r="BB7" s="18">
        <f t="shared" si="2"/>
        <v>0</v>
      </c>
      <c r="BC7" s="18">
        <f t="shared" si="2"/>
        <v>0</v>
      </c>
      <c r="BD7" s="18">
        <f t="shared" si="2"/>
        <v>0</v>
      </c>
      <c r="BE7" s="18">
        <f t="shared" si="2"/>
        <v>0</v>
      </c>
      <c r="BF7" s="18">
        <f t="shared" si="2"/>
        <v>0</v>
      </c>
      <c r="BG7" s="18">
        <f t="shared" si="2"/>
        <v>0</v>
      </c>
      <c r="BH7" s="18">
        <f t="shared" si="2"/>
        <v>0</v>
      </c>
      <c r="BI7" s="18">
        <f t="shared" si="2"/>
        <v>0</v>
      </c>
      <c r="BJ7" s="18">
        <f t="shared" si="2"/>
        <v>0</v>
      </c>
      <c r="BK7" s="18">
        <f t="shared" si="2"/>
        <v>0</v>
      </c>
      <c r="BL7" s="18">
        <f t="shared" si="2"/>
        <v>0</v>
      </c>
      <c r="BM7" s="18">
        <f t="shared" si="2"/>
        <v>0</v>
      </c>
      <c r="BN7" s="18">
        <f t="shared" si="2"/>
        <v>0</v>
      </c>
      <c r="BO7" s="18">
        <f t="shared" si="2"/>
        <v>0</v>
      </c>
      <c r="BP7" s="18">
        <f t="shared" si="2"/>
        <v>0</v>
      </c>
      <c r="BQ7" s="18">
        <f t="shared" si="2"/>
        <v>0</v>
      </c>
      <c r="BR7" s="18">
        <f t="shared" si="2"/>
        <v>0</v>
      </c>
      <c r="BS7" s="18">
        <f t="shared" si="2"/>
        <v>0</v>
      </c>
      <c r="BT7" s="18">
        <f t="shared" si="2"/>
        <v>0</v>
      </c>
      <c r="BU7" s="18">
        <f t="shared" si="2"/>
        <v>0</v>
      </c>
      <c r="BV7" s="18">
        <f t="shared" ref="BV7:DK7" si="3">SUBTOTAL(9,BV9:BV11)</f>
        <v>0</v>
      </c>
      <c r="BW7" s="18">
        <f t="shared" si="3"/>
        <v>0</v>
      </c>
      <c r="BX7" s="18">
        <f t="shared" si="3"/>
        <v>0</v>
      </c>
      <c r="BY7" s="18">
        <f t="shared" si="3"/>
        <v>0</v>
      </c>
      <c r="BZ7" s="18">
        <f t="shared" si="3"/>
        <v>0</v>
      </c>
      <c r="CA7" s="18">
        <f t="shared" si="3"/>
        <v>0</v>
      </c>
      <c r="CB7" s="18">
        <f t="shared" si="3"/>
        <v>0</v>
      </c>
      <c r="CC7" s="18">
        <f t="shared" si="3"/>
        <v>0</v>
      </c>
      <c r="CD7" s="18">
        <f t="shared" si="3"/>
        <v>0</v>
      </c>
      <c r="CE7" s="18">
        <f t="shared" si="3"/>
        <v>0</v>
      </c>
      <c r="CF7" s="18">
        <f t="shared" si="3"/>
        <v>0</v>
      </c>
      <c r="CG7" s="18">
        <f t="shared" si="3"/>
        <v>0</v>
      </c>
      <c r="CH7" s="18">
        <f t="shared" si="3"/>
        <v>0</v>
      </c>
      <c r="CI7" s="18">
        <f t="shared" si="3"/>
        <v>0</v>
      </c>
      <c r="CJ7" s="18">
        <f t="shared" si="3"/>
        <v>0</v>
      </c>
      <c r="CK7" s="18">
        <f t="shared" si="3"/>
        <v>0</v>
      </c>
      <c r="CL7" s="18">
        <f t="shared" si="3"/>
        <v>0</v>
      </c>
      <c r="CM7" s="18">
        <f t="shared" si="3"/>
        <v>0</v>
      </c>
      <c r="CN7" s="18">
        <f t="shared" si="3"/>
        <v>0</v>
      </c>
      <c r="CO7" s="18">
        <f t="shared" si="3"/>
        <v>0</v>
      </c>
      <c r="CP7" s="18">
        <f t="shared" si="3"/>
        <v>0</v>
      </c>
      <c r="CQ7" s="18">
        <f t="shared" si="3"/>
        <v>0</v>
      </c>
      <c r="CR7" s="18">
        <f t="shared" si="3"/>
        <v>0</v>
      </c>
      <c r="CS7" s="18">
        <f t="shared" si="3"/>
        <v>0</v>
      </c>
      <c r="CT7" s="18">
        <f t="shared" si="3"/>
        <v>0</v>
      </c>
      <c r="CU7" s="18">
        <f t="shared" si="3"/>
        <v>0</v>
      </c>
      <c r="CV7" s="18">
        <f t="shared" si="3"/>
        <v>0</v>
      </c>
      <c r="CW7" s="18">
        <f t="shared" si="3"/>
        <v>0</v>
      </c>
      <c r="CX7" s="18">
        <f t="shared" si="3"/>
        <v>0</v>
      </c>
      <c r="CY7" s="18">
        <f t="shared" si="3"/>
        <v>0</v>
      </c>
      <c r="CZ7" s="18">
        <f t="shared" si="3"/>
        <v>0</v>
      </c>
      <c r="DA7" s="18">
        <f t="shared" si="3"/>
        <v>0</v>
      </c>
      <c r="DB7" s="18">
        <f t="shared" si="3"/>
        <v>0</v>
      </c>
      <c r="DC7" s="18">
        <f t="shared" si="3"/>
        <v>0</v>
      </c>
      <c r="DD7" s="18">
        <f t="shared" si="3"/>
        <v>0</v>
      </c>
      <c r="DE7" s="18">
        <f t="shared" si="3"/>
        <v>0</v>
      </c>
      <c r="DF7" s="18">
        <f t="shared" si="3"/>
        <v>0</v>
      </c>
      <c r="DG7" s="18">
        <f t="shared" si="3"/>
        <v>0</v>
      </c>
      <c r="DH7" s="18">
        <f t="shared" si="3"/>
        <v>0</v>
      </c>
      <c r="DI7" s="18">
        <f t="shared" si="3"/>
        <v>0</v>
      </c>
      <c r="DJ7" s="18">
        <f t="shared" si="3"/>
        <v>0</v>
      </c>
      <c r="DK7" s="18">
        <f t="shared" si="3"/>
        <v>0</v>
      </c>
    </row>
    <row r="8" spans="1:115" ht="7.5" customHeight="1">
      <c r="A8" s="21"/>
      <c r="B8" s="22"/>
      <c r="C8" s="22"/>
      <c r="D8" s="22"/>
      <c r="E8" s="22"/>
      <c r="F8" s="22"/>
      <c r="G8" s="22"/>
      <c r="H8" s="23"/>
      <c r="I8" s="24"/>
      <c r="J8" s="24"/>
      <c r="K8" s="24"/>
      <c r="L8" s="24"/>
      <c r="M8" s="24"/>
      <c r="N8" s="175"/>
      <c r="O8" s="24"/>
      <c r="P8" s="24"/>
      <c r="Q8" s="24"/>
      <c r="R8" s="24"/>
      <c r="S8" s="24"/>
      <c r="T8" s="24"/>
      <c r="U8" s="24"/>
      <c r="V8" s="24"/>
      <c r="W8" s="24"/>
      <c r="X8" s="24"/>
      <c r="Y8" s="24"/>
      <c r="Z8" s="24"/>
      <c r="AA8" s="24"/>
      <c r="AB8" s="24"/>
      <c r="AC8" s="24"/>
      <c r="AD8" s="24"/>
      <c r="AE8" s="24"/>
      <c r="AF8" s="24"/>
      <c r="AG8" s="24"/>
      <c r="AH8" s="24"/>
      <c r="AI8" s="24"/>
      <c r="AJ8" s="24"/>
      <c r="AK8" s="24"/>
      <c r="AL8" s="23"/>
      <c r="AM8" s="23"/>
      <c r="AN8" s="23"/>
      <c r="AO8" s="23"/>
      <c r="AP8" s="23"/>
      <c r="AQ8" s="23"/>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row>
    <row r="9" spans="1:115">
      <c r="A9" s="25">
        <v>1</v>
      </c>
      <c r="B9" s="26" t="s">
        <v>94</v>
      </c>
      <c r="C9" s="26" t="s">
        <v>98</v>
      </c>
      <c r="D9" s="26" t="s">
        <v>99</v>
      </c>
      <c r="E9" s="205" t="s">
        <v>1165</v>
      </c>
      <c r="F9" s="161">
        <f>SUM(DJ9)</f>
        <v>0</v>
      </c>
      <c r="G9" s="165">
        <f>I9+AK9+DJ9</f>
        <v>238500.95</v>
      </c>
      <c r="H9" s="27">
        <v>249605.4</v>
      </c>
      <c r="I9" s="176">
        <v>200000</v>
      </c>
      <c r="J9" s="176">
        <v>0</v>
      </c>
      <c r="K9" s="127">
        <f t="shared" ref="K9" si="4">AK9</f>
        <v>38500.949999999997</v>
      </c>
      <c r="L9" s="127">
        <f t="shared" ref="L9" si="5">IF(AI9&gt;0,I9+AK9-J9,0)</f>
        <v>238500.95</v>
      </c>
      <c r="M9" s="127">
        <f t="shared" ref="M9" si="6">I9+K9</f>
        <v>238500.95</v>
      </c>
      <c r="N9" s="131">
        <f>G9-M9</f>
        <v>0</v>
      </c>
      <c r="O9" s="125">
        <f>IF(AND(AI9&gt;0,DI9&gt;0),"შეცდომაა! ერთზე მეტი ბოლო ჩაბარება!",IF(OR(AI9&gt;0,DI9&gt;0,),IF(AI9&gt;0,I9+AK9,I9+AK9+DK9),IF(AND(I9=0,K9=0,DK9=0),"ნულოვანი შესრულება","მიმდინარეობს")))</f>
        <v>238500.95</v>
      </c>
      <c r="P9" s="27"/>
      <c r="Q9" s="27">
        <v>0</v>
      </c>
      <c r="R9" s="27">
        <f t="shared" ref="R9:R11" si="7">I9+P9</f>
        <v>200000</v>
      </c>
      <c r="S9" s="27">
        <f t="shared" ref="S9:S11" si="8">Q9</f>
        <v>0</v>
      </c>
      <c r="T9" s="27"/>
      <c r="U9" s="27"/>
      <c r="V9" s="27">
        <v>90000</v>
      </c>
      <c r="W9" s="27">
        <v>38500.949999999997</v>
      </c>
      <c r="X9" s="27">
        <f t="shared" ref="X9:Y11" si="9">T9+V9</f>
        <v>90000</v>
      </c>
      <c r="Y9" s="27">
        <f t="shared" si="9"/>
        <v>38500.949999999997</v>
      </c>
      <c r="Z9" s="27"/>
      <c r="AA9" s="27"/>
      <c r="AB9" s="27"/>
      <c r="AC9" s="27"/>
      <c r="AD9" s="27">
        <f t="shared" ref="AD9:AE11" si="10">Z9+AB9</f>
        <v>0</v>
      </c>
      <c r="AE9" s="27">
        <f t="shared" si="10"/>
        <v>0</v>
      </c>
      <c r="AF9" s="27">
        <f t="shared" ref="AF9:AF11" si="11">P9+T9+Z9</f>
        <v>0</v>
      </c>
      <c r="AG9" s="27">
        <f t="shared" ref="AG9:AH11" si="12">P9+U9+AA9</f>
        <v>0</v>
      </c>
      <c r="AH9" s="27">
        <f t="shared" si="12"/>
        <v>90000</v>
      </c>
      <c r="AI9" s="27">
        <f t="shared" ref="AI9:AI11" si="13">Q9+W9+AC9</f>
        <v>38500.949999999997</v>
      </c>
      <c r="AJ9" s="27">
        <f t="shared" ref="AJ9:AK11" si="14">AF9+AH9</f>
        <v>90000</v>
      </c>
      <c r="AK9" s="27">
        <f t="shared" si="14"/>
        <v>38500.949999999997</v>
      </c>
      <c r="AL9" s="27"/>
      <c r="AM9" s="27"/>
      <c r="AN9" s="27"/>
      <c r="AO9" s="27"/>
      <c r="AP9" s="27">
        <f t="shared" ref="AP9:AQ11" si="15">AL9+AN9</f>
        <v>0</v>
      </c>
      <c r="AQ9" s="27">
        <f t="shared" si="15"/>
        <v>0</v>
      </c>
      <c r="AR9" s="27"/>
      <c r="AS9" s="27"/>
      <c r="AT9" s="27"/>
      <c r="AU9" s="27"/>
      <c r="AV9" s="27">
        <f t="shared" ref="AV9:AW11" si="16">AR9+AT9</f>
        <v>0</v>
      </c>
      <c r="AW9" s="27">
        <f t="shared" si="16"/>
        <v>0</v>
      </c>
      <c r="AX9" s="27"/>
      <c r="AY9" s="27"/>
      <c r="AZ9" s="27"/>
      <c r="BA9" s="27"/>
      <c r="BB9" s="27">
        <f t="shared" ref="BB9:BC11" si="17">AX9+AZ9</f>
        <v>0</v>
      </c>
      <c r="BC9" s="27">
        <f t="shared" si="17"/>
        <v>0</v>
      </c>
      <c r="BD9" s="27"/>
      <c r="BE9" s="27"/>
      <c r="BF9" s="27"/>
      <c r="BG9" s="27"/>
      <c r="BH9" s="27">
        <f t="shared" ref="BH9:BI11" si="18">BD9+BF9</f>
        <v>0</v>
      </c>
      <c r="BI9" s="27">
        <f t="shared" si="18"/>
        <v>0</v>
      </c>
      <c r="BJ9" s="27"/>
      <c r="BK9" s="27"/>
      <c r="BL9" s="27"/>
      <c r="BM9" s="27"/>
      <c r="BN9" s="27">
        <f t="shared" ref="BN9:BO11" si="19">BJ9+BL9</f>
        <v>0</v>
      </c>
      <c r="BO9" s="27">
        <f t="shared" si="19"/>
        <v>0</v>
      </c>
      <c r="BP9" s="26"/>
      <c r="BQ9" s="26"/>
      <c r="BR9" s="26"/>
      <c r="BS9" s="26"/>
      <c r="BT9" s="27">
        <f t="shared" ref="BT9:BU11" si="20">BP9+BR9</f>
        <v>0</v>
      </c>
      <c r="BU9" s="27">
        <f t="shared" si="20"/>
        <v>0</v>
      </c>
      <c r="BV9" s="26"/>
      <c r="BW9" s="26"/>
      <c r="BX9" s="26"/>
      <c r="BY9" s="26"/>
      <c r="BZ9" s="27">
        <f t="shared" ref="BZ9:CA11" si="21">BV9+BX9</f>
        <v>0</v>
      </c>
      <c r="CA9" s="27">
        <f t="shared" si="21"/>
        <v>0</v>
      </c>
      <c r="CB9" s="26"/>
      <c r="CC9" s="26"/>
      <c r="CD9" s="26"/>
      <c r="CE9" s="26"/>
      <c r="CF9" s="27">
        <f t="shared" ref="CF9:CG11" si="22">CB9+CD9</f>
        <v>0</v>
      </c>
      <c r="CG9" s="27">
        <f t="shared" si="22"/>
        <v>0</v>
      </c>
      <c r="CH9" s="26"/>
      <c r="CI9" s="26"/>
      <c r="CJ9" s="26"/>
      <c r="CK9" s="26"/>
      <c r="CL9" s="27">
        <f t="shared" ref="CL9:CM11" si="23">CH9+CJ9</f>
        <v>0</v>
      </c>
      <c r="CM9" s="27">
        <f t="shared" si="23"/>
        <v>0</v>
      </c>
      <c r="CN9" s="26"/>
      <c r="CO9" s="26"/>
      <c r="CP9" s="26"/>
      <c r="CQ9" s="26"/>
      <c r="CR9" s="27">
        <f t="shared" ref="CR9:CS11" si="24">CN9+CP9</f>
        <v>0</v>
      </c>
      <c r="CS9" s="27">
        <f t="shared" si="24"/>
        <v>0</v>
      </c>
      <c r="CT9" s="26"/>
      <c r="CU9" s="26"/>
      <c r="CV9" s="26"/>
      <c r="CW9" s="26"/>
      <c r="CX9" s="27">
        <f t="shared" ref="CX9:CY11" si="25">CT9+CV9</f>
        <v>0</v>
      </c>
      <c r="CY9" s="27">
        <f t="shared" si="25"/>
        <v>0</v>
      </c>
      <c r="CZ9" s="26"/>
      <c r="DA9" s="26"/>
      <c r="DB9" s="26"/>
      <c r="DC9" s="26"/>
      <c r="DD9" s="27">
        <f t="shared" ref="DD9:DE11" si="26">CZ9+DB9</f>
        <v>0</v>
      </c>
      <c r="DE9" s="27">
        <f t="shared" si="26"/>
        <v>0</v>
      </c>
      <c r="DF9" s="28">
        <f t="shared" ref="DF9:DI11" si="27">AL9+AR9+AX9+BD9+BJ9+BP9+BV9+CB9+CH9+CN9+CT9+CZ9</f>
        <v>0</v>
      </c>
      <c r="DG9" s="28">
        <f t="shared" si="27"/>
        <v>0</v>
      </c>
      <c r="DH9" s="28">
        <f t="shared" si="27"/>
        <v>0</v>
      </c>
      <c r="DI9" s="28">
        <f t="shared" si="27"/>
        <v>0</v>
      </c>
      <c r="DJ9" s="27">
        <f t="shared" ref="DJ9:DK11" si="28">DF9+DH9</f>
        <v>0</v>
      </c>
      <c r="DK9" s="27">
        <f t="shared" si="28"/>
        <v>0</v>
      </c>
    </row>
    <row r="10" spans="1:115">
      <c r="A10" s="25">
        <v>2</v>
      </c>
      <c r="B10" s="26" t="s">
        <v>94</v>
      </c>
      <c r="C10" s="26" t="s">
        <v>100</v>
      </c>
      <c r="D10" s="26" t="s">
        <v>101</v>
      </c>
      <c r="E10" s="205" t="s">
        <v>1165</v>
      </c>
      <c r="F10" s="161">
        <f t="shared" ref="F10:F11" si="29">SUM(DJ10)</f>
        <v>0</v>
      </c>
      <c r="G10" s="165">
        <f t="shared" ref="G10:G11" si="30">I10+AK10+DJ10</f>
        <v>350653.96</v>
      </c>
      <c r="H10" s="27">
        <v>211326.19999999998</v>
      </c>
      <c r="I10" s="176">
        <v>100000</v>
      </c>
      <c r="J10" s="176">
        <v>0</v>
      </c>
      <c r="K10" s="127">
        <f t="shared" ref="K10:K11" si="31">AK10</f>
        <v>250653.96000000002</v>
      </c>
      <c r="L10" s="127">
        <f t="shared" ref="L10:L11" si="32">IF(AI10&gt;0,I10+AK10-J10,0)</f>
        <v>350653.96</v>
      </c>
      <c r="M10" s="127">
        <f t="shared" ref="M10:M11" si="33">I10+K10</f>
        <v>350653.96</v>
      </c>
      <c r="N10" s="131">
        <f t="shared" ref="N10:N11" si="34">G10-M10</f>
        <v>0</v>
      </c>
      <c r="O10" s="125">
        <f t="shared" ref="O10:O11" si="35">IF(AND(AI10&gt;0,DI10&gt;0),"შეცდომაა! ერთზე მეტი ბოლო ჩაბარება!",IF(OR(AI10&gt;0,DI10&gt;0,),IF(AI10&gt;0,I10+AK10,I10+AK10+DK10),IF(AND(I10=0,K10=0,DK10=0),"ნულოვანი შესრულება","მიმდინარეობს")))</f>
        <v>350653.96</v>
      </c>
      <c r="P10" s="27">
        <v>130000</v>
      </c>
      <c r="Q10" s="27">
        <v>0</v>
      </c>
      <c r="R10" s="27">
        <f t="shared" si="7"/>
        <v>230000</v>
      </c>
      <c r="S10" s="27">
        <f t="shared" si="8"/>
        <v>0</v>
      </c>
      <c r="T10" s="27"/>
      <c r="U10" s="27"/>
      <c r="V10" s="27">
        <v>50000</v>
      </c>
      <c r="W10" s="27">
        <v>120653.96</v>
      </c>
      <c r="X10" s="27">
        <f t="shared" si="9"/>
        <v>50000</v>
      </c>
      <c r="Y10" s="27">
        <f t="shared" si="9"/>
        <v>120653.96</v>
      </c>
      <c r="Z10" s="27"/>
      <c r="AA10" s="27"/>
      <c r="AB10" s="27"/>
      <c r="AC10" s="27"/>
      <c r="AD10" s="27">
        <f t="shared" si="10"/>
        <v>0</v>
      </c>
      <c r="AE10" s="27">
        <f t="shared" si="10"/>
        <v>0</v>
      </c>
      <c r="AF10" s="27">
        <f t="shared" si="11"/>
        <v>130000</v>
      </c>
      <c r="AG10" s="27">
        <f t="shared" si="12"/>
        <v>130000</v>
      </c>
      <c r="AH10" s="27">
        <f t="shared" si="12"/>
        <v>50000</v>
      </c>
      <c r="AI10" s="27">
        <f t="shared" si="13"/>
        <v>120653.96</v>
      </c>
      <c r="AJ10" s="27">
        <f t="shared" si="14"/>
        <v>180000</v>
      </c>
      <c r="AK10" s="27">
        <f t="shared" si="14"/>
        <v>250653.96000000002</v>
      </c>
      <c r="AL10" s="27"/>
      <c r="AM10" s="27"/>
      <c r="AN10" s="27"/>
      <c r="AO10" s="27"/>
      <c r="AP10" s="27">
        <f t="shared" si="15"/>
        <v>0</v>
      </c>
      <c r="AQ10" s="27">
        <f t="shared" si="15"/>
        <v>0</v>
      </c>
      <c r="AR10" s="27"/>
      <c r="AS10" s="27"/>
      <c r="AT10" s="27"/>
      <c r="AU10" s="27"/>
      <c r="AV10" s="27">
        <f t="shared" si="16"/>
        <v>0</v>
      </c>
      <c r="AW10" s="27">
        <f t="shared" si="16"/>
        <v>0</v>
      </c>
      <c r="AX10" s="27"/>
      <c r="AY10" s="27"/>
      <c r="AZ10" s="27"/>
      <c r="BA10" s="27"/>
      <c r="BB10" s="27">
        <f t="shared" si="17"/>
        <v>0</v>
      </c>
      <c r="BC10" s="27">
        <f t="shared" si="17"/>
        <v>0</v>
      </c>
      <c r="BD10" s="27"/>
      <c r="BE10" s="27"/>
      <c r="BF10" s="27"/>
      <c r="BG10" s="27"/>
      <c r="BH10" s="27">
        <f t="shared" si="18"/>
        <v>0</v>
      </c>
      <c r="BI10" s="27">
        <f t="shared" si="18"/>
        <v>0</v>
      </c>
      <c r="BJ10" s="27"/>
      <c r="BK10" s="27"/>
      <c r="BL10" s="27"/>
      <c r="BM10" s="27"/>
      <c r="BN10" s="27">
        <f t="shared" si="19"/>
        <v>0</v>
      </c>
      <c r="BO10" s="27">
        <f t="shared" si="19"/>
        <v>0</v>
      </c>
      <c r="BP10" s="26"/>
      <c r="BQ10" s="26"/>
      <c r="BR10" s="26"/>
      <c r="BS10" s="26"/>
      <c r="BT10" s="27">
        <f t="shared" si="20"/>
        <v>0</v>
      </c>
      <c r="BU10" s="27">
        <f t="shared" si="20"/>
        <v>0</v>
      </c>
      <c r="BV10" s="26"/>
      <c r="BW10" s="26"/>
      <c r="BX10" s="26"/>
      <c r="BY10" s="26"/>
      <c r="BZ10" s="27">
        <f t="shared" si="21"/>
        <v>0</v>
      </c>
      <c r="CA10" s="27">
        <f t="shared" si="21"/>
        <v>0</v>
      </c>
      <c r="CB10" s="26"/>
      <c r="CC10" s="26"/>
      <c r="CD10" s="26"/>
      <c r="CE10" s="26"/>
      <c r="CF10" s="27">
        <f t="shared" si="22"/>
        <v>0</v>
      </c>
      <c r="CG10" s="27">
        <f t="shared" si="22"/>
        <v>0</v>
      </c>
      <c r="CH10" s="26"/>
      <c r="CI10" s="26"/>
      <c r="CJ10" s="26"/>
      <c r="CK10" s="26"/>
      <c r="CL10" s="27">
        <f t="shared" si="23"/>
        <v>0</v>
      </c>
      <c r="CM10" s="27">
        <f t="shared" si="23"/>
        <v>0</v>
      </c>
      <c r="CN10" s="26"/>
      <c r="CO10" s="26"/>
      <c r="CP10" s="26"/>
      <c r="CQ10" s="26"/>
      <c r="CR10" s="27">
        <f t="shared" si="24"/>
        <v>0</v>
      </c>
      <c r="CS10" s="27">
        <f t="shared" si="24"/>
        <v>0</v>
      </c>
      <c r="CT10" s="26"/>
      <c r="CU10" s="26"/>
      <c r="CV10" s="26"/>
      <c r="CW10" s="26"/>
      <c r="CX10" s="27">
        <f t="shared" si="25"/>
        <v>0</v>
      </c>
      <c r="CY10" s="27">
        <f t="shared" si="25"/>
        <v>0</v>
      </c>
      <c r="CZ10" s="26"/>
      <c r="DA10" s="26"/>
      <c r="DB10" s="26"/>
      <c r="DC10" s="26"/>
      <c r="DD10" s="27">
        <f t="shared" si="26"/>
        <v>0</v>
      </c>
      <c r="DE10" s="27">
        <f t="shared" si="26"/>
        <v>0</v>
      </c>
      <c r="DF10" s="28">
        <f t="shared" si="27"/>
        <v>0</v>
      </c>
      <c r="DG10" s="28">
        <f t="shared" si="27"/>
        <v>0</v>
      </c>
      <c r="DH10" s="28">
        <f t="shared" si="27"/>
        <v>0</v>
      </c>
      <c r="DI10" s="28">
        <f t="shared" si="27"/>
        <v>0</v>
      </c>
      <c r="DJ10" s="27">
        <f t="shared" si="28"/>
        <v>0</v>
      </c>
      <c r="DK10" s="27">
        <f t="shared" si="28"/>
        <v>0</v>
      </c>
    </row>
    <row r="11" spans="1:115">
      <c r="A11" s="25">
        <v>3</v>
      </c>
      <c r="B11" s="26" t="s">
        <v>94</v>
      </c>
      <c r="C11" s="26" t="s">
        <v>102</v>
      </c>
      <c r="D11" s="26" t="s">
        <v>103</v>
      </c>
      <c r="E11" s="205" t="s">
        <v>1165</v>
      </c>
      <c r="F11" s="161">
        <f t="shared" si="29"/>
        <v>0</v>
      </c>
      <c r="G11" s="165">
        <f t="shared" si="30"/>
        <v>49819.94</v>
      </c>
      <c r="H11" s="27">
        <v>126562.07999999999</v>
      </c>
      <c r="I11" s="176">
        <v>0</v>
      </c>
      <c r="J11" s="176">
        <v>0</v>
      </c>
      <c r="K11" s="127">
        <f t="shared" si="31"/>
        <v>49819.94</v>
      </c>
      <c r="L11" s="127">
        <f t="shared" si="32"/>
        <v>49819.94</v>
      </c>
      <c r="M11" s="127">
        <f t="shared" si="33"/>
        <v>49819.94</v>
      </c>
      <c r="N11" s="131">
        <f t="shared" si="34"/>
        <v>0</v>
      </c>
      <c r="O11" s="125">
        <f t="shared" si="35"/>
        <v>49819.94</v>
      </c>
      <c r="P11" s="27">
        <v>45000</v>
      </c>
      <c r="Q11" s="27">
        <v>0</v>
      </c>
      <c r="R11" s="27">
        <f t="shared" si="7"/>
        <v>45000</v>
      </c>
      <c r="S11" s="27">
        <f t="shared" si="8"/>
        <v>0</v>
      </c>
      <c r="T11" s="27"/>
      <c r="U11" s="27"/>
      <c r="V11" s="27">
        <v>15000</v>
      </c>
      <c r="W11" s="27">
        <v>4819.9399999999996</v>
      </c>
      <c r="X11" s="27">
        <f t="shared" si="9"/>
        <v>15000</v>
      </c>
      <c r="Y11" s="27">
        <f t="shared" si="9"/>
        <v>4819.9399999999996</v>
      </c>
      <c r="Z11" s="27"/>
      <c r="AA11" s="27"/>
      <c r="AB11" s="27"/>
      <c r="AC11" s="27"/>
      <c r="AD11" s="27">
        <f t="shared" si="10"/>
        <v>0</v>
      </c>
      <c r="AE11" s="27">
        <f t="shared" si="10"/>
        <v>0</v>
      </c>
      <c r="AF11" s="27">
        <f t="shared" si="11"/>
        <v>45000</v>
      </c>
      <c r="AG11" s="27">
        <f t="shared" si="12"/>
        <v>45000</v>
      </c>
      <c r="AH11" s="27">
        <f t="shared" si="12"/>
        <v>15000</v>
      </c>
      <c r="AI11" s="27">
        <f t="shared" si="13"/>
        <v>4819.9399999999996</v>
      </c>
      <c r="AJ11" s="27">
        <f t="shared" si="14"/>
        <v>60000</v>
      </c>
      <c r="AK11" s="27">
        <f t="shared" si="14"/>
        <v>49819.94</v>
      </c>
      <c r="AL11" s="27"/>
      <c r="AM11" s="27"/>
      <c r="AN11" s="27"/>
      <c r="AO11" s="27"/>
      <c r="AP11" s="27">
        <f t="shared" si="15"/>
        <v>0</v>
      </c>
      <c r="AQ11" s="27">
        <f t="shared" si="15"/>
        <v>0</v>
      </c>
      <c r="AR11" s="27"/>
      <c r="AS11" s="27"/>
      <c r="AT11" s="27"/>
      <c r="AU11" s="27"/>
      <c r="AV11" s="27">
        <f t="shared" si="16"/>
        <v>0</v>
      </c>
      <c r="AW11" s="27">
        <f t="shared" si="16"/>
        <v>0</v>
      </c>
      <c r="AX11" s="27"/>
      <c r="AY11" s="27"/>
      <c r="AZ11" s="27"/>
      <c r="BA11" s="27"/>
      <c r="BB11" s="27">
        <f t="shared" si="17"/>
        <v>0</v>
      </c>
      <c r="BC11" s="27">
        <f t="shared" si="17"/>
        <v>0</v>
      </c>
      <c r="BD11" s="27"/>
      <c r="BE11" s="27"/>
      <c r="BF11" s="27"/>
      <c r="BG11" s="27"/>
      <c r="BH11" s="27">
        <f t="shared" si="18"/>
        <v>0</v>
      </c>
      <c r="BI11" s="27">
        <f t="shared" si="18"/>
        <v>0</v>
      </c>
      <c r="BJ11" s="27"/>
      <c r="BK11" s="27"/>
      <c r="BL11" s="27"/>
      <c r="BM11" s="27"/>
      <c r="BN11" s="27">
        <f t="shared" si="19"/>
        <v>0</v>
      </c>
      <c r="BO11" s="27">
        <f t="shared" si="19"/>
        <v>0</v>
      </c>
      <c r="BP11" s="26"/>
      <c r="BQ11" s="26"/>
      <c r="BR11" s="26"/>
      <c r="BS11" s="26"/>
      <c r="BT11" s="27">
        <f t="shared" si="20"/>
        <v>0</v>
      </c>
      <c r="BU11" s="27">
        <f t="shared" si="20"/>
        <v>0</v>
      </c>
      <c r="BV11" s="26"/>
      <c r="BW11" s="26"/>
      <c r="BX11" s="26"/>
      <c r="BY11" s="26"/>
      <c r="BZ11" s="27">
        <f t="shared" si="21"/>
        <v>0</v>
      </c>
      <c r="CA11" s="27">
        <f t="shared" si="21"/>
        <v>0</v>
      </c>
      <c r="CB11" s="26"/>
      <c r="CC11" s="26"/>
      <c r="CD11" s="26"/>
      <c r="CE11" s="26"/>
      <c r="CF11" s="27">
        <f t="shared" si="22"/>
        <v>0</v>
      </c>
      <c r="CG11" s="27">
        <f t="shared" si="22"/>
        <v>0</v>
      </c>
      <c r="CH11" s="26"/>
      <c r="CI11" s="26"/>
      <c r="CJ11" s="26"/>
      <c r="CK11" s="26"/>
      <c r="CL11" s="27">
        <f t="shared" si="23"/>
        <v>0</v>
      </c>
      <c r="CM11" s="27">
        <f t="shared" si="23"/>
        <v>0</v>
      </c>
      <c r="CN11" s="26"/>
      <c r="CO11" s="26"/>
      <c r="CP11" s="26"/>
      <c r="CQ11" s="26"/>
      <c r="CR11" s="27">
        <f t="shared" si="24"/>
        <v>0</v>
      </c>
      <c r="CS11" s="27">
        <f t="shared" si="24"/>
        <v>0</v>
      </c>
      <c r="CT11" s="26"/>
      <c r="CU11" s="26"/>
      <c r="CV11" s="26"/>
      <c r="CW11" s="26"/>
      <c r="CX11" s="27">
        <f t="shared" si="25"/>
        <v>0</v>
      </c>
      <c r="CY11" s="27">
        <f t="shared" si="25"/>
        <v>0</v>
      </c>
      <c r="CZ11" s="26"/>
      <c r="DA11" s="26"/>
      <c r="DB11" s="26"/>
      <c r="DC11" s="26"/>
      <c r="DD11" s="27">
        <f t="shared" si="26"/>
        <v>0</v>
      </c>
      <c r="DE11" s="27">
        <f t="shared" si="26"/>
        <v>0</v>
      </c>
      <c r="DF11" s="28">
        <f t="shared" si="27"/>
        <v>0</v>
      </c>
      <c r="DG11" s="28">
        <f t="shared" si="27"/>
        <v>0</v>
      </c>
      <c r="DH11" s="28">
        <f t="shared" si="27"/>
        <v>0</v>
      </c>
      <c r="DI11" s="28">
        <f t="shared" si="27"/>
        <v>0</v>
      </c>
      <c r="DJ11" s="27">
        <f t="shared" si="28"/>
        <v>0</v>
      </c>
      <c r="DK11" s="27">
        <f t="shared" si="28"/>
        <v>0</v>
      </c>
    </row>
  </sheetData>
  <mergeCells count="88">
    <mergeCell ref="DB5:DC5"/>
    <mergeCell ref="DD5:DE5"/>
    <mergeCell ref="DF5:DG5"/>
    <mergeCell ref="DH5:DI5"/>
    <mergeCell ref="DJ5:DK5"/>
    <mergeCell ref="CX5:CY5"/>
    <mergeCell ref="CZ5:DA5"/>
    <mergeCell ref="CD5:CE5"/>
    <mergeCell ref="CF5:CG5"/>
    <mergeCell ref="CH5:CI5"/>
    <mergeCell ref="CJ5:CK5"/>
    <mergeCell ref="CL5:CM5"/>
    <mergeCell ref="CN5:CO5"/>
    <mergeCell ref="CP5:CQ5"/>
    <mergeCell ref="CR5:CS5"/>
    <mergeCell ref="CT5:CU5"/>
    <mergeCell ref="CV5:CW5"/>
    <mergeCell ref="AP5:AQ5"/>
    <mergeCell ref="BP5:BQ5"/>
    <mergeCell ref="AT5:AU5"/>
    <mergeCell ref="AV5:AW5"/>
    <mergeCell ref="AX5:AY5"/>
    <mergeCell ref="AZ5:BA5"/>
    <mergeCell ref="BB5:BC5"/>
    <mergeCell ref="BD5:BE5"/>
    <mergeCell ref="BF5:BG5"/>
    <mergeCell ref="BH5:BI5"/>
    <mergeCell ref="BJ5:BK5"/>
    <mergeCell ref="BL5:BM5"/>
    <mergeCell ref="BN5:BO5"/>
    <mergeCell ref="AF5:AG5"/>
    <mergeCell ref="AH5:AI5"/>
    <mergeCell ref="AJ5:AK5"/>
    <mergeCell ref="AL5:AM5"/>
    <mergeCell ref="AN5:AO5"/>
    <mergeCell ref="V5:W5"/>
    <mergeCell ref="X5:Y5"/>
    <mergeCell ref="Z5:AA5"/>
    <mergeCell ref="AB5:AC5"/>
    <mergeCell ref="AD5:AE5"/>
    <mergeCell ref="BP4:BU4"/>
    <mergeCell ref="BV4:CA4"/>
    <mergeCell ref="CB4:CG4"/>
    <mergeCell ref="CH4:CM4"/>
    <mergeCell ref="AR5:AS5"/>
    <mergeCell ref="BR5:BS5"/>
    <mergeCell ref="BT5:BU5"/>
    <mergeCell ref="BV5:BW5"/>
    <mergeCell ref="BX5:BY5"/>
    <mergeCell ref="BZ5:CA5"/>
    <mergeCell ref="CB5:CC5"/>
    <mergeCell ref="P5:P6"/>
    <mergeCell ref="Q5:Q6"/>
    <mergeCell ref="R5:R6"/>
    <mergeCell ref="S5:S6"/>
    <mergeCell ref="T5:U5"/>
    <mergeCell ref="P3:Q4"/>
    <mergeCell ref="R3:S4"/>
    <mergeCell ref="T3:AK3"/>
    <mergeCell ref="AL3:DK3"/>
    <mergeCell ref="T4:Y4"/>
    <mergeCell ref="Z4:AE4"/>
    <mergeCell ref="AF4:AK4"/>
    <mergeCell ref="AL4:AQ4"/>
    <mergeCell ref="AR4:AW4"/>
    <mergeCell ref="AX4:BC4"/>
    <mergeCell ref="CN4:CS4"/>
    <mergeCell ref="CT4:CY4"/>
    <mergeCell ref="CZ4:DE4"/>
    <mergeCell ref="DF4:DK4"/>
    <mergeCell ref="BD4:BI4"/>
    <mergeCell ref="BJ4:BO4"/>
    <mergeCell ref="I5:I6"/>
    <mergeCell ref="E3:E6"/>
    <mergeCell ref="F3:F6"/>
    <mergeCell ref="G3:G6"/>
    <mergeCell ref="I3:J4"/>
    <mergeCell ref="A3:A6"/>
    <mergeCell ref="B3:B6"/>
    <mergeCell ref="C3:C6"/>
    <mergeCell ref="D3:D6"/>
    <mergeCell ref="H3:H6"/>
    <mergeCell ref="K3:L4"/>
    <mergeCell ref="M3:M6"/>
    <mergeCell ref="O3:O6"/>
    <mergeCell ref="J5:J6"/>
    <mergeCell ref="K5:K6"/>
    <mergeCell ref="L5:L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A1:DK14"/>
  <sheetViews>
    <sheetView workbookViewId="0">
      <pane ySplit="7" topLeftCell="A8" activePane="bottomLeft" state="frozen"/>
      <selection pane="bottomLeft" activeCell="N26" sqref="N26"/>
    </sheetView>
  </sheetViews>
  <sheetFormatPr defaultColWidth="10.42578125" defaultRowHeight="15"/>
  <cols>
    <col min="1" max="1" width="6" style="14" customWidth="1"/>
    <col min="2" max="2" width="13.42578125" style="14" customWidth="1"/>
    <col min="3" max="3" width="11.28515625" style="14" customWidth="1"/>
    <col min="4" max="4" width="49" style="14" bestFit="1" customWidth="1"/>
    <col min="5" max="5" width="15.5703125" style="14" bestFit="1" customWidth="1"/>
    <col min="6" max="6" width="10.5703125" style="14" bestFit="1" customWidth="1"/>
    <col min="7" max="7" width="14" style="14" bestFit="1" customWidth="1"/>
    <col min="8" max="8" width="19.85546875" style="17" customWidth="1"/>
    <col min="9" max="9" width="15.85546875" style="14" customWidth="1"/>
    <col min="10" max="10" width="13.140625" style="14" bestFit="1" customWidth="1"/>
    <col min="11" max="11" width="14.42578125" style="14" bestFit="1" customWidth="1"/>
    <col min="12" max="12" width="12.5703125" style="14" bestFit="1" customWidth="1"/>
    <col min="13" max="13" width="15.85546875" style="14" customWidth="1"/>
    <col min="14" max="14" width="14" style="14" bestFit="1" customWidth="1"/>
    <col min="15" max="15" width="15.140625" style="14" bestFit="1" customWidth="1"/>
    <col min="16" max="16" width="12.7109375" style="14" bestFit="1" customWidth="1"/>
    <col min="17" max="17" width="15.140625" style="14" bestFit="1" customWidth="1"/>
    <col min="18" max="18" width="12.7109375" style="14" bestFit="1" customWidth="1"/>
    <col min="19" max="19" width="7.28515625" style="14" bestFit="1" customWidth="1"/>
    <col min="20" max="20" width="8.5703125" style="14" bestFit="1" customWidth="1"/>
    <col min="21" max="21" width="11.5703125" style="14" bestFit="1" customWidth="1"/>
    <col min="22" max="22" width="8.5703125" style="14" bestFit="1" customWidth="1"/>
    <col min="23" max="23" width="11.5703125" style="14" bestFit="1" customWidth="1"/>
    <col min="24" max="24" width="9" style="14" bestFit="1" customWidth="1"/>
    <col min="25" max="25" width="7.28515625" style="14" bestFit="1" customWidth="1"/>
    <col min="26" max="26" width="8.5703125" style="14" bestFit="1" customWidth="1"/>
    <col min="27" max="27" width="7.28515625" style="14" bestFit="1" customWidth="1"/>
    <col min="28" max="28" width="8.5703125" style="14" bestFit="1" customWidth="1"/>
    <col min="29" max="29" width="7.7109375" style="14" bestFit="1" customWidth="1"/>
    <col min="30" max="30" width="9" style="14" bestFit="1" customWidth="1"/>
    <col min="31" max="31" width="7.140625" style="14" bestFit="1" customWidth="1"/>
    <col min="32" max="32" width="8.85546875" style="14" bestFit="1" customWidth="1"/>
    <col min="33" max="33" width="11.5703125" style="14" bestFit="1" customWidth="1"/>
    <col min="34" max="34" width="9.85546875" style="14" bestFit="1" customWidth="1"/>
    <col min="35" max="35" width="11.5703125" style="14" bestFit="1" customWidth="1"/>
    <col min="36" max="36" width="9.85546875" style="14" bestFit="1" customWidth="1"/>
    <col min="37" max="37" width="11.5703125" style="14" customWidth="1"/>
    <col min="38" max="38" width="8.5703125" style="14" bestFit="1" customWidth="1"/>
    <col min="39" max="39" width="14.7109375" style="14" bestFit="1" customWidth="1"/>
    <col min="40" max="40" width="8.5703125" style="14" bestFit="1" customWidth="1"/>
    <col min="41" max="41" width="11.28515625" style="14" customWidth="1"/>
    <col min="42" max="42" width="9" style="14" bestFit="1" customWidth="1"/>
    <col min="43" max="43" width="10.42578125" style="14" bestFit="1" customWidth="1"/>
    <col min="44" max="44" width="8.42578125" style="14" bestFit="1" customWidth="1"/>
    <col min="45" max="45" width="7" style="14" customWidth="1"/>
    <col min="46" max="46" width="8.42578125" style="14" bestFit="1" customWidth="1"/>
    <col min="47" max="47" width="10.42578125" style="14" bestFit="1" customWidth="1"/>
    <col min="48" max="48" width="8.85546875" style="14" bestFit="1" customWidth="1"/>
    <col min="49" max="49" width="10.42578125" style="14" bestFit="1" customWidth="1"/>
    <col min="50" max="50" width="8.42578125" style="14" bestFit="1" customWidth="1"/>
    <col min="51" max="51" width="10.42578125" style="14" bestFit="1" customWidth="1"/>
    <col min="52" max="52" width="8.42578125" style="14" bestFit="1" customWidth="1"/>
    <col min="53" max="53" width="10.42578125" style="14" bestFit="1" customWidth="1"/>
    <col min="54" max="54" width="10.42578125" style="14" customWidth="1"/>
    <col min="55" max="55" width="8.85546875" style="14" bestFit="1" customWidth="1"/>
    <col min="56" max="56" width="7.140625" style="14" bestFit="1" customWidth="1"/>
    <col min="57" max="57" width="8.42578125" style="14" bestFit="1" customWidth="1"/>
    <col min="58" max="58" width="10.42578125" style="14" bestFit="1" customWidth="1"/>
    <col min="59" max="59" width="8.42578125" style="14" bestFit="1" customWidth="1"/>
    <col min="60" max="60" width="7.42578125" style="14" bestFit="1" customWidth="1"/>
    <col min="61" max="61" width="8.85546875" style="14" bestFit="1" customWidth="1"/>
    <col min="62" max="62" width="7.140625" style="14" bestFit="1" customWidth="1"/>
    <col min="63" max="63" width="8.42578125" style="14" bestFit="1" customWidth="1"/>
    <col min="64" max="64" width="7.140625" style="14" bestFit="1" customWidth="1"/>
    <col min="65" max="65" width="8.42578125" style="14" bestFit="1" customWidth="1"/>
    <col min="66" max="66" width="7.42578125" style="14" bestFit="1" customWidth="1"/>
    <col min="67" max="67" width="8.85546875" style="14" bestFit="1" customWidth="1"/>
    <col min="68" max="68" width="7.140625" style="14" bestFit="1" customWidth="1"/>
    <col min="69" max="69" width="8.42578125" style="14" bestFit="1" customWidth="1"/>
    <col min="70" max="70" width="7.140625" style="14" bestFit="1" customWidth="1"/>
    <col min="71" max="71" width="8.42578125" style="14" bestFit="1" customWidth="1"/>
    <col min="72" max="72" width="7.42578125" style="14" bestFit="1" customWidth="1"/>
    <col min="73" max="73" width="8.85546875" style="14" bestFit="1" customWidth="1"/>
    <col min="74" max="74" width="7.140625" style="14" bestFit="1" customWidth="1"/>
    <col min="75" max="75" width="8.42578125" style="14" bestFit="1" customWidth="1"/>
    <col min="76" max="76" width="7.140625" style="14" bestFit="1" customWidth="1"/>
    <col min="77" max="77" width="8.42578125" style="14" bestFit="1" customWidth="1"/>
    <col min="78" max="78" width="7.42578125" style="14" bestFit="1" customWidth="1"/>
    <col min="79" max="79" width="8.85546875" style="14" bestFit="1" customWidth="1"/>
    <col min="80" max="80" width="7.140625" style="14" bestFit="1" customWidth="1"/>
    <col min="81" max="81" width="8.42578125" style="14" bestFit="1" customWidth="1"/>
    <col min="82" max="82" width="7.140625" style="14" bestFit="1" customWidth="1"/>
    <col min="83" max="83" width="8.42578125" style="14" bestFit="1" customWidth="1"/>
    <col min="84" max="84" width="7.42578125" style="14" bestFit="1" customWidth="1"/>
    <col min="85" max="85" width="8.85546875" style="14" bestFit="1" customWidth="1"/>
    <col min="86" max="86" width="7.140625" style="14" bestFit="1" customWidth="1"/>
    <col min="87" max="87" width="8.42578125" style="14" bestFit="1" customWidth="1"/>
    <col min="88" max="88" width="7.140625" style="14" bestFit="1" customWidth="1"/>
    <col min="89" max="89" width="8.42578125" style="14" bestFit="1" customWidth="1"/>
    <col min="90" max="90" width="7.42578125" style="14" bestFit="1" customWidth="1"/>
    <col min="91" max="91" width="8.85546875" style="14" bestFit="1" customWidth="1"/>
    <col min="92" max="92" width="7.140625" style="14" bestFit="1" customWidth="1"/>
    <col min="93" max="93" width="8.42578125" style="14" bestFit="1" customWidth="1"/>
    <col min="94" max="94" width="7.140625" style="14" bestFit="1" customWidth="1"/>
    <col min="95" max="95" width="8.42578125" style="14" bestFit="1" customWidth="1"/>
    <col min="96" max="96" width="7.42578125" style="14" bestFit="1" customWidth="1"/>
    <col min="97" max="97" width="8.85546875" style="14" bestFit="1" customWidth="1"/>
    <col min="98" max="98" width="7.140625" style="14" bestFit="1" customWidth="1"/>
    <col min="99" max="99" width="8.42578125" style="14" bestFit="1" customWidth="1"/>
    <col min="100" max="100" width="7.140625" style="14" bestFit="1" customWidth="1"/>
    <col min="101" max="101" width="8.42578125" style="14" bestFit="1" customWidth="1"/>
    <col min="102" max="102" width="7.42578125" style="14" bestFit="1" customWidth="1"/>
    <col min="103" max="103" width="8.85546875" style="14" bestFit="1" customWidth="1"/>
    <col min="104" max="104" width="7.140625" style="14" bestFit="1" customWidth="1"/>
    <col min="105" max="105" width="8.42578125" style="14" bestFit="1" customWidth="1"/>
    <col min="106" max="106" width="7.140625" style="14" bestFit="1" customWidth="1"/>
    <col min="107" max="107" width="8.42578125" style="14" bestFit="1" customWidth="1"/>
    <col min="108" max="108" width="7.42578125" style="14" bestFit="1" customWidth="1"/>
    <col min="109" max="109" width="8.85546875" style="14" bestFit="1" customWidth="1"/>
    <col min="110" max="110" width="7.140625" style="14" bestFit="1" customWidth="1"/>
    <col min="111" max="111" width="8.42578125" style="14" bestFit="1" customWidth="1"/>
    <col min="112" max="112" width="7.140625" style="14" bestFit="1" customWidth="1"/>
    <col min="113" max="113" width="8.42578125" style="14" bestFit="1" customWidth="1"/>
    <col min="114" max="114" width="7.7109375" style="14" bestFit="1" customWidth="1"/>
    <col min="115" max="115" width="8.85546875" style="14" bestFit="1" customWidth="1"/>
    <col min="116" max="16384" width="10.42578125" style="14"/>
  </cols>
  <sheetData>
    <row r="1" spans="1:115">
      <c r="B1" s="94" t="s">
        <v>697</v>
      </c>
    </row>
    <row r="2" spans="1:115" ht="15.75" thickBot="1">
      <c r="H2" s="17">
        <v>1.18</v>
      </c>
    </row>
    <row r="3" spans="1:115" ht="19.5" thickBot="1">
      <c r="A3" s="513" t="s">
        <v>1</v>
      </c>
      <c r="B3" s="475" t="s">
        <v>2</v>
      </c>
      <c r="C3" s="475" t="s">
        <v>3</v>
      </c>
      <c r="D3" s="475" t="s">
        <v>4</v>
      </c>
      <c r="E3" s="516" t="s">
        <v>1176</v>
      </c>
      <c r="F3" s="516" t="s">
        <v>1170</v>
      </c>
      <c r="G3" s="510" t="s">
        <v>1178</v>
      </c>
      <c r="H3" s="540" t="s">
        <v>5</v>
      </c>
      <c r="I3" s="488" t="s">
        <v>6</v>
      </c>
      <c r="J3" s="489"/>
      <c r="K3" s="492" t="s">
        <v>9</v>
      </c>
      <c r="L3" s="493"/>
      <c r="M3" s="469" t="s">
        <v>1197</v>
      </c>
      <c r="N3" s="485" t="s">
        <v>1196</v>
      </c>
      <c r="O3" s="478" t="s">
        <v>7</v>
      </c>
      <c r="P3" s="479"/>
      <c r="Q3" s="478" t="s">
        <v>8</v>
      </c>
      <c r="R3" s="479"/>
      <c r="S3" s="482" t="s">
        <v>9</v>
      </c>
      <c r="T3" s="483"/>
      <c r="U3" s="483"/>
      <c r="V3" s="483"/>
      <c r="W3" s="483"/>
      <c r="X3" s="483"/>
      <c r="Y3" s="483"/>
      <c r="Z3" s="483"/>
      <c r="AA3" s="483"/>
      <c r="AB3" s="483"/>
      <c r="AC3" s="483"/>
      <c r="AD3" s="483"/>
      <c r="AE3" s="483"/>
      <c r="AF3" s="483"/>
      <c r="AG3" s="483"/>
      <c r="AH3" s="483"/>
      <c r="AI3" s="483"/>
      <c r="AJ3" s="484"/>
      <c r="AK3" s="499">
        <v>2025</v>
      </c>
      <c r="AL3" s="483"/>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3"/>
      <c r="DK3" s="484"/>
    </row>
    <row r="4" spans="1:115" ht="80.25" customHeight="1" thickBot="1">
      <c r="A4" s="514"/>
      <c r="B4" s="476"/>
      <c r="C4" s="476"/>
      <c r="D4" s="476"/>
      <c r="E4" s="517"/>
      <c r="F4" s="517"/>
      <c r="G4" s="511"/>
      <c r="H4" s="541"/>
      <c r="I4" s="490"/>
      <c r="J4" s="491"/>
      <c r="K4" s="494"/>
      <c r="L4" s="495"/>
      <c r="M4" s="496"/>
      <c r="N4" s="486"/>
      <c r="O4" s="480"/>
      <c r="P4" s="481"/>
      <c r="Q4" s="480"/>
      <c r="R4" s="481"/>
      <c r="S4" s="500" t="s">
        <v>10</v>
      </c>
      <c r="T4" s="501"/>
      <c r="U4" s="501"/>
      <c r="V4" s="501"/>
      <c r="W4" s="501"/>
      <c r="X4" s="502"/>
      <c r="Y4" s="500" t="s">
        <v>11</v>
      </c>
      <c r="Z4" s="501"/>
      <c r="AA4" s="501"/>
      <c r="AB4" s="501"/>
      <c r="AC4" s="501"/>
      <c r="AD4" s="502"/>
      <c r="AE4" s="503" t="s">
        <v>9</v>
      </c>
      <c r="AF4" s="504"/>
      <c r="AG4" s="504"/>
      <c r="AH4" s="504"/>
      <c r="AI4" s="504"/>
      <c r="AJ4" s="505"/>
      <c r="AK4" s="500" t="s">
        <v>12</v>
      </c>
      <c r="AL4" s="501"/>
      <c r="AM4" s="501"/>
      <c r="AN4" s="501"/>
      <c r="AO4" s="501"/>
      <c r="AP4" s="502"/>
      <c r="AQ4" s="500" t="s">
        <v>13</v>
      </c>
      <c r="AR4" s="501"/>
      <c r="AS4" s="501"/>
      <c r="AT4" s="501"/>
      <c r="AU4" s="501"/>
      <c r="AV4" s="502"/>
      <c r="AW4" s="500" t="s">
        <v>14</v>
      </c>
      <c r="AX4" s="501"/>
      <c r="AY4" s="501"/>
      <c r="AZ4" s="501"/>
      <c r="BA4" s="501"/>
      <c r="BB4" s="509"/>
      <c r="BC4" s="502"/>
      <c r="BD4" s="500" t="s">
        <v>15</v>
      </c>
      <c r="BE4" s="501"/>
      <c r="BF4" s="501"/>
      <c r="BG4" s="501"/>
      <c r="BH4" s="501"/>
      <c r="BI4" s="502"/>
      <c r="BJ4" s="500" t="s">
        <v>16</v>
      </c>
      <c r="BK4" s="501"/>
      <c r="BL4" s="501"/>
      <c r="BM4" s="501"/>
      <c r="BN4" s="501"/>
      <c r="BO4" s="502"/>
      <c r="BP4" s="500" t="s">
        <v>17</v>
      </c>
      <c r="BQ4" s="501"/>
      <c r="BR4" s="501"/>
      <c r="BS4" s="501"/>
      <c r="BT4" s="501"/>
      <c r="BU4" s="502"/>
      <c r="BV4" s="500" t="s">
        <v>18</v>
      </c>
      <c r="BW4" s="501"/>
      <c r="BX4" s="501"/>
      <c r="BY4" s="501"/>
      <c r="BZ4" s="501"/>
      <c r="CA4" s="502"/>
      <c r="CB4" s="500" t="s">
        <v>19</v>
      </c>
      <c r="CC4" s="501"/>
      <c r="CD4" s="501"/>
      <c r="CE4" s="501"/>
      <c r="CF4" s="501"/>
      <c r="CG4" s="502"/>
      <c r="CH4" s="500" t="s">
        <v>20</v>
      </c>
      <c r="CI4" s="501"/>
      <c r="CJ4" s="501"/>
      <c r="CK4" s="501"/>
      <c r="CL4" s="501"/>
      <c r="CM4" s="502"/>
      <c r="CN4" s="500" t="s">
        <v>21</v>
      </c>
      <c r="CO4" s="501"/>
      <c r="CP4" s="501"/>
      <c r="CQ4" s="501"/>
      <c r="CR4" s="501"/>
      <c r="CS4" s="502"/>
      <c r="CT4" s="500" t="s">
        <v>22</v>
      </c>
      <c r="CU4" s="501"/>
      <c r="CV4" s="501"/>
      <c r="CW4" s="501"/>
      <c r="CX4" s="501"/>
      <c r="CY4" s="502"/>
      <c r="CZ4" s="500" t="s">
        <v>23</v>
      </c>
      <c r="DA4" s="501"/>
      <c r="DB4" s="501"/>
      <c r="DC4" s="501"/>
      <c r="DD4" s="501"/>
      <c r="DE4" s="502"/>
      <c r="DF4" s="506" t="s">
        <v>24</v>
      </c>
      <c r="DG4" s="507"/>
      <c r="DH4" s="507"/>
      <c r="DI4" s="507"/>
      <c r="DJ4" s="507"/>
      <c r="DK4" s="508"/>
    </row>
    <row r="5" spans="1:115">
      <c r="A5" s="514"/>
      <c r="B5" s="476"/>
      <c r="C5" s="476"/>
      <c r="D5" s="476"/>
      <c r="E5" s="517"/>
      <c r="F5" s="517"/>
      <c r="G5" s="511"/>
      <c r="H5" s="541"/>
      <c r="I5" s="469" t="s">
        <v>1169</v>
      </c>
      <c r="J5" s="469" t="s">
        <v>1199</v>
      </c>
      <c r="K5" s="498" t="s">
        <v>1172</v>
      </c>
      <c r="L5" s="469" t="s">
        <v>1177</v>
      </c>
      <c r="M5" s="496"/>
      <c r="N5" s="486"/>
      <c r="O5" s="471" t="s">
        <v>1169</v>
      </c>
      <c r="P5" s="473" t="s">
        <v>1168</v>
      </c>
      <c r="Q5" s="471" t="s">
        <v>1169</v>
      </c>
      <c r="R5" s="473" t="s">
        <v>1168</v>
      </c>
      <c r="S5" s="464" t="s">
        <v>1167</v>
      </c>
      <c r="T5" s="460"/>
      <c r="U5" s="460" t="s">
        <v>1166</v>
      </c>
      <c r="V5" s="461"/>
      <c r="W5" s="462" t="s">
        <v>25</v>
      </c>
      <c r="X5" s="463"/>
      <c r="Y5" s="464" t="s">
        <v>1167</v>
      </c>
      <c r="Z5" s="460"/>
      <c r="AA5" s="460" t="s">
        <v>1166</v>
      </c>
      <c r="AB5" s="461"/>
      <c r="AC5" s="462" t="s">
        <v>25</v>
      </c>
      <c r="AD5" s="463"/>
      <c r="AE5" s="464" t="s">
        <v>1167</v>
      </c>
      <c r="AF5" s="460"/>
      <c r="AG5" s="460" t="s">
        <v>1166</v>
      </c>
      <c r="AH5" s="461"/>
      <c r="AI5" s="462" t="s">
        <v>25</v>
      </c>
      <c r="AJ5" s="463"/>
      <c r="AK5" s="464" t="s">
        <v>1167</v>
      </c>
      <c r="AL5" s="460"/>
      <c r="AM5" s="460" t="s">
        <v>1166</v>
      </c>
      <c r="AN5" s="461"/>
      <c r="AO5" s="462" t="s">
        <v>25</v>
      </c>
      <c r="AP5" s="463"/>
      <c r="AQ5" s="464" t="s">
        <v>1167</v>
      </c>
      <c r="AR5" s="460"/>
      <c r="AS5" s="460" t="s">
        <v>1166</v>
      </c>
      <c r="AT5" s="461"/>
      <c r="AU5" s="462" t="s">
        <v>25</v>
      </c>
      <c r="AV5" s="463"/>
      <c r="AW5" s="464" t="s">
        <v>1167</v>
      </c>
      <c r="AX5" s="460"/>
      <c r="AY5" s="460" t="s">
        <v>1166</v>
      </c>
      <c r="AZ5" s="461"/>
      <c r="BA5" s="462" t="s">
        <v>25</v>
      </c>
      <c r="BB5" s="465"/>
      <c r="BC5" s="463"/>
      <c r="BD5" s="464" t="s">
        <v>1167</v>
      </c>
      <c r="BE5" s="460"/>
      <c r="BF5" s="460" t="s">
        <v>1166</v>
      </c>
      <c r="BG5" s="461"/>
      <c r="BH5" s="462" t="s">
        <v>25</v>
      </c>
      <c r="BI5" s="463"/>
      <c r="BJ5" s="464" t="s">
        <v>1167</v>
      </c>
      <c r="BK5" s="460"/>
      <c r="BL5" s="460" t="s">
        <v>1166</v>
      </c>
      <c r="BM5" s="461"/>
      <c r="BN5" s="462" t="s">
        <v>25</v>
      </c>
      <c r="BO5" s="463"/>
      <c r="BP5" s="464" t="s">
        <v>1167</v>
      </c>
      <c r="BQ5" s="460"/>
      <c r="BR5" s="460" t="s">
        <v>1166</v>
      </c>
      <c r="BS5" s="461"/>
      <c r="BT5" s="462" t="s">
        <v>25</v>
      </c>
      <c r="BU5" s="463"/>
      <c r="BV5" s="464" t="s">
        <v>1167</v>
      </c>
      <c r="BW5" s="460"/>
      <c r="BX5" s="460" t="s">
        <v>1166</v>
      </c>
      <c r="BY5" s="461"/>
      <c r="BZ5" s="462" t="s">
        <v>25</v>
      </c>
      <c r="CA5" s="463"/>
      <c r="CB5" s="464" t="s">
        <v>1167</v>
      </c>
      <c r="CC5" s="460"/>
      <c r="CD5" s="460" t="s">
        <v>1166</v>
      </c>
      <c r="CE5" s="461"/>
      <c r="CF5" s="462" t="s">
        <v>25</v>
      </c>
      <c r="CG5" s="463"/>
      <c r="CH5" s="464" t="s">
        <v>1167</v>
      </c>
      <c r="CI5" s="460"/>
      <c r="CJ5" s="460" t="s">
        <v>1166</v>
      </c>
      <c r="CK5" s="461"/>
      <c r="CL5" s="462" t="s">
        <v>25</v>
      </c>
      <c r="CM5" s="463"/>
      <c r="CN5" s="464" t="s">
        <v>1167</v>
      </c>
      <c r="CO5" s="460"/>
      <c r="CP5" s="460" t="s">
        <v>1166</v>
      </c>
      <c r="CQ5" s="461"/>
      <c r="CR5" s="462" t="s">
        <v>25</v>
      </c>
      <c r="CS5" s="463"/>
      <c r="CT5" s="464" t="s">
        <v>1167</v>
      </c>
      <c r="CU5" s="460"/>
      <c r="CV5" s="460" t="s">
        <v>1166</v>
      </c>
      <c r="CW5" s="461"/>
      <c r="CX5" s="462" t="s">
        <v>25</v>
      </c>
      <c r="CY5" s="463"/>
      <c r="CZ5" s="464" t="s">
        <v>1167</v>
      </c>
      <c r="DA5" s="460"/>
      <c r="DB5" s="460" t="s">
        <v>1166</v>
      </c>
      <c r="DC5" s="461"/>
      <c r="DD5" s="462" t="s">
        <v>25</v>
      </c>
      <c r="DE5" s="463"/>
      <c r="DF5" s="464" t="s">
        <v>1167</v>
      </c>
      <c r="DG5" s="460"/>
      <c r="DH5" s="460" t="s">
        <v>1166</v>
      </c>
      <c r="DI5" s="461"/>
      <c r="DJ5" s="462" t="s">
        <v>25</v>
      </c>
      <c r="DK5" s="463"/>
    </row>
    <row r="6" spans="1:115" ht="15.75" thickBot="1">
      <c r="A6" s="538"/>
      <c r="B6" s="539"/>
      <c r="C6" s="539"/>
      <c r="D6" s="539"/>
      <c r="E6" s="518"/>
      <c r="F6" s="518"/>
      <c r="G6" s="512"/>
      <c r="H6" s="542"/>
      <c r="I6" s="470"/>
      <c r="J6" s="497"/>
      <c r="K6" s="497"/>
      <c r="L6" s="497"/>
      <c r="M6" s="470"/>
      <c r="N6" s="487"/>
      <c r="O6" s="472"/>
      <c r="P6" s="474"/>
      <c r="Q6" s="472"/>
      <c r="R6" s="474"/>
      <c r="S6" s="2" t="s">
        <v>26</v>
      </c>
      <c r="T6" s="3" t="s">
        <v>27</v>
      </c>
      <c r="U6" s="3" t="s">
        <v>26</v>
      </c>
      <c r="V6" s="4" t="s">
        <v>27</v>
      </c>
      <c r="W6" s="5" t="s">
        <v>26</v>
      </c>
      <c r="X6" s="6" t="s">
        <v>27</v>
      </c>
      <c r="Y6" s="2" t="s">
        <v>26</v>
      </c>
      <c r="Z6" s="3" t="s">
        <v>27</v>
      </c>
      <c r="AA6" s="3" t="s">
        <v>26</v>
      </c>
      <c r="AB6" s="4" t="s">
        <v>27</v>
      </c>
      <c r="AC6" s="5" t="s">
        <v>26</v>
      </c>
      <c r="AD6" s="6" t="s">
        <v>27</v>
      </c>
      <c r="AE6" s="2" t="s">
        <v>26</v>
      </c>
      <c r="AF6" s="3" t="s">
        <v>27</v>
      </c>
      <c r="AG6" s="3" t="s">
        <v>26</v>
      </c>
      <c r="AH6" s="4" t="s">
        <v>27</v>
      </c>
      <c r="AI6" s="5" t="s">
        <v>26</v>
      </c>
      <c r="AJ6" s="6" t="s">
        <v>27</v>
      </c>
      <c r="AK6" s="2" t="s">
        <v>26</v>
      </c>
      <c r="AL6" s="3" t="s">
        <v>27</v>
      </c>
      <c r="AM6" s="3" t="s">
        <v>26</v>
      </c>
      <c r="AN6" s="4" t="s">
        <v>27</v>
      </c>
      <c r="AO6" s="5" t="s">
        <v>26</v>
      </c>
      <c r="AP6" s="6" t="s">
        <v>27</v>
      </c>
      <c r="AQ6" s="2" t="s">
        <v>26</v>
      </c>
      <c r="AR6" s="3" t="s">
        <v>27</v>
      </c>
      <c r="AS6" s="3" t="s">
        <v>26</v>
      </c>
      <c r="AT6" s="4" t="s">
        <v>27</v>
      </c>
      <c r="AU6" s="5" t="s">
        <v>26</v>
      </c>
      <c r="AV6" s="6" t="s">
        <v>27</v>
      </c>
      <c r="AW6" s="2" t="s">
        <v>26</v>
      </c>
      <c r="AX6" s="3" t="s">
        <v>27</v>
      </c>
      <c r="AY6" s="3" t="s">
        <v>26</v>
      </c>
      <c r="AZ6" s="4" t="s">
        <v>27</v>
      </c>
      <c r="BA6" s="5" t="s">
        <v>26</v>
      </c>
      <c r="BB6" s="367" t="s">
        <v>1254</v>
      </c>
      <c r="BC6" s="6" t="s">
        <v>27</v>
      </c>
      <c r="BD6" s="2" t="s">
        <v>26</v>
      </c>
      <c r="BE6" s="3" t="s">
        <v>27</v>
      </c>
      <c r="BF6" s="3" t="s">
        <v>26</v>
      </c>
      <c r="BG6" s="4" t="s">
        <v>27</v>
      </c>
      <c r="BH6" s="5" t="s">
        <v>26</v>
      </c>
      <c r="BI6" s="6" t="s">
        <v>27</v>
      </c>
      <c r="BJ6" s="2" t="s">
        <v>26</v>
      </c>
      <c r="BK6" s="3" t="s">
        <v>27</v>
      </c>
      <c r="BL6" s="3" t="s">
        <v>26</v>
      </c>
      <c r="BM6" s="4" t="s">
        <v>27</v>
      </c>
      <c r="BN6" s="5" t="s">
        <v>26</v>
      </c>
      <c r="BO6" s="6" t="s">
        <v>27</v>
      </c>
      <c r="BP6" s="2" t="s">
        <v>26</v>
      </c>
      <c r="BQ6" s="3" t="s">
        <v>27</v>
      </c>
      <c r="BR6" s="3" t="s">
        <v>26</v>
      </c>
      <c r="BS6" s="4" t="s">
        <v>27</v>
      </c>
      <c r="BT6" s="5" t="s">
        <v>26</v>
      </c>
      <c r="BU6" s="6" t="s">
        <v>27</v>
      </c>
      <c r="BV6" s="2" t="s">
        <v>26</v>
      </c>
      <c r="BW6" s="3" t="s">
        <v>27</v>
      </c>
      <c r="BX6" s="3" t="s">
        <v>26</v>
      </c>
      <c r="BY6" s="4" t="s">
        <v>27</v>
      </c>
      <c r="BZ6" s="5" t="s">
        <v>26</v>
      </c>
      <c r="CA6" s="6" t="s">
        <v>27</v>
      </c>
      <c r="CB6" s="2" t="s">
        <v>26</v>
      </c>
      <c r="CC6" s="3" t="s">
        <v>27</v>
      </c>
      <c r="CD6" s="3" t="s">
        <v>26</v>
      </c>
      <c r="CE6" s="4" t="s">
        <v>27</v>
      </c>
      <c r="CF6" s="5" t="s">
        <v>26</v>
      </c>
      <c r="CG6" s="6" t="s">
        <v>27</v>
      </c>
      <c r="CH6" s="2" t="s">
        <v>26</v>
      </c>
      <c r="CI6" s="3" t="s">
        <v>27</v>
      </c>
      <c r="CJ6" s="3" t="s">
        <v>26</v>
      </c>
      <c r="CK6" s="4" t="s">
        <v>27</v>
      </c>
      <c r="CL6" s="5" t="s">
        <v>26</v>
      </c>
      <c r="CM6" s="6" t="s">
        <v>27</v>
      </c>
      <c r="CN6" s="2" t="s">
        <v>26</v>
      </c>
      <c r="CO6" s="3" t="s">
        <v>27</v>
      </c>
      <c r="CP6" s="3" t="s">
        <v>26</v>
      </c>
      <c r="CQ6" s="4" t="s">
        <v>27</v>
      </c>
      <c r="CR6" s="5" t="s">
        <v>26</v>
      </c>
      <c r="CS6" s="6" t="s">
        <v>27</v>
      </c>
      <c r="CT6" s="2" t="s">
        <v>26</v>
      </c>
      <c r="CU6" s="3" t="s">
        <v>27</v>
      </c>
      <c r="CV6" s="3" t="s">
        <v>26</v>
      </c>
      <c r="CW6" s="4" t="s">
        <v>27</v>
      </c>
      <c r="CX6" s="5" t="s">
        <v>26</v>
      </c>
      <c r="CY6" s="6" t="s">
        <v>27</v>
      </c>
      <c r="CZ6" s="2" t="s">
        <v>26</v>
      </c>
      <c r="DA6" s="3" t="s">
        <v>27</v>
      </c>
      <c r="DB6" s="3" t="s">
        <v>26</v>
      </c>
      <c r="DC6" s="4" t="s">
        <v>27</v>
      </c>
      <c r="DD6" s="5" t="s">
        <v>26</v>
      </c>
      <c r="DE6" s="6" t="s">
        <v>27</v>
      </c>
      <c r="DF6" s="2" t="s">
        <v>26</v>
      </c>
      <c r="DG6" s="3" t="s">
        <v>27</v>
      </c>
      <c r="DH6" s="3" t="s">
        <v>26</v>
      </c>
      <c r="DI6" s="4" t="s">
        <v>27</v>
      </c>
      <c r="DJ6" s="5" t="s">
        <v>26</v>
      </c>
      <c r="DK6" s="6" t="s">
        <v>27</v>
      </c>
    </row>
    <row r="7" spans="1:115" ht="15.75">
      <c r="A7" s="19">
        <f>SUBTOTAL(3,A9:A13)</f>
        <v>5</v>
      </c>
      <c r="B7" s="19">
        <f>SUBTOTAL(3,B9:B13)</f>
        <v>5</v>
      </c>
      <c r="C7" s="19">
        <f>SUBTOTAL(3,C9:C13)</f>
        <v>5</v>
      </c>
      <c r="D7" s="19">
        <f>SUBTOTAL(3,D9:D13)</f>
        <v>5</v>
      </c>
      <c r="E7" s="19">
        <f>SUBTOTAL(3,E9:E13)</f>
        <v>5</v>
      </c>
      <c r="F7" s="19">
        <f t="shared" ref="F7:AK7" si="0">SUBTOTAL(9,F9:F13)</f>
        <v>0</v>
      </c>
      <c r="G7" s="19">
        <f t="shared" si="0"/>
        <v>105315</v>
      </c>
      <c r="H7" s="19">
        <f t="shared" si="0"/>
        <v>0</v>
      </c>
      <c r="I7" s="19">
        <f t="shared" si="0"/>
        <v>0</v>
      </c>
      <c r="J7" s="19">
        <f t="shared" si="0"/>
        <v>0</v>
      </c>
      <c r="K7" s="19">
        <f t="shared" si="0"/>
        <v>105315</v>
      </c>
      <c r="L7" s="19">
        <f t="shared" si="0"/>
        <v>105315</v>
      </c>
      <c r="M7" s="19">
        <f t="shared" si="0"/>
        <v>105315</v>
      </c>
      <c r="N7" s="19">
        <f t="shared" si="0"/>
        <v>105315</v>
      </c>
      <c r="O7" s="19">
        <f t="shared" si="0"/>
        <v>0</v>
      </c>
      <c r="P7" s="19">
        <f t="shared" si="0"/>
        <v>105315</v>
      </c>
      <c r="Q7" s="19">
        <f t="shared" si="0"/>
        <v>0</v>
      </c>
      <c r="R7" s="19">
        <f t="shared" si="0"/>
        <v>105315</v>
      </c>
      <c r="S7" s="19">
        <f t="shared" si="0"/>
        <v>0</v>
      </c>
      <c r="T7" s="19">
        <f t="shared" si="0"/>
        <v>0</v>
      </c>
      <c r="U7" s="19">
        <f t="shared" si="0"/>
        <v>0</v>
      </c>
      <c r="V7" s="19">
        <f t="shared" si="0"/>
        <v>0</v>
      </c>
      <c r="W7" s="19">
        <f t="shared" si="0"/>
        <v>0</v>
      </c>
      <c r="X7" s="19">
        <f t="shared" si="0"/>
        <v>0</v>
      </c>
      <c r="Y7" s="19">
        <f t="shared" si="0"/>
        <v>0</v>
      </c>
      <c r="Z7" s="19">
        <f t="shared" si="0"/>
        <v>0</v>
      </c>
      <c r="AA7" s="19">
        <f t="shared" si="0"/>
        <v>0</v>
      </c>
      <c r="AB7" s="19">
        <f t="shared" si="0"/>
        <v>0</v>
      </c>
      <c r="AC7" s="19">
        <f t="shared" si="0"/>
        <v>0</v>
      </c>
      <c r="AD7" s="19">
        <f t="shared" si="0"/>
        <v>0</v>
      </c>
      <c r="AE7" s="19">
        <f t="shared" si="0"/>
        <v>0</v>
      </c>
      <c r="AF7" s="19">
        <f t="shared" si="0"/>
        <v>0</v>
      </c>
      <c r="AG7" s="19">
        <f t="shared" si="0"/>
        <v>105315</v>
      </c>
      <c r="AH7" s="19">
        <f t="shared" si="0"/>
        <v>105315</v>
      </c>
      <c r="AI7" s="19">
        <f t="shared" si="0"/>
        <v>105315</v>
      </c>
      <c r="AJ7" s="19">
        <f t="shared" si="0"/>
        <v>105315</v>
      </c>
      <c r="AK7" s="19">
        <f t="shared" si="0"/>
        <v>0</v>
      </c>
      <c r="AL7" s="19">
        <f t="shared" ref="AL7:BR7" si="1">SUBTOTAL(9,AL9:AL13)</f>
        <v>0</v>
      </c>
      <c r="AM7" s="19">
        <f t="shared" si="1"/>
        <v>0</v>
      </c>
      <c r="AN7" s="19">
        <f t="shared" si="1"/>
        <v>0</v>
      </c>
      <c r="AO7" s="19">
        <f t="shared" si="1"/>
        <v>0</v>
      </c>
      <c r="AP7" s="19">
        <f t="shared" si="1"/>
        <v>0</v>
      </c>
      <c r="AQ7" s="19">
        <f t="shared" si="1"/>
        <v>0</v>
      </c>
      <c r="AR7" s="19">
        <f t="shared" si="1"/>
        <v>0</v>
      </c>
      <c r="AS7" s="19">
        <f t="shared" si="1"/>
        <v>0</v>
      </c>
      <c r="AT7" s="19">
        <f t="shared" si="1"/>
        <v>0</v>
      </c>
      <c r="AU7" s="19">
        <f t="shared" si="1"/>
        <v>0</v>
      </c>
      <c r="AV7" s="19">
        <f t="shared" si="1"/>
        <v>0</v>
      </c>
      <c r="AW7" s="19">
        <f t="shared" si="1"/>
        <v>0</v>
      </c>
      <c r="AX7" s="19">
        <f t="shared" si="1"/>
        <v>0</v>
      </c>
      <c r="AY7" s="19">
        <f t="shared" si="1"/>
        <v>0</v>
      </c>
      <c r="AZ7" s="19">
        <f t="shared" si="1"/>
        <v>0</v>
      </c>
      <c r="BA7" s="19">
        <f t="shared" si="1"/>
        <v>0</v>
      </c>
      <c r="BB7" s="19">
        <f t="shared" si="1"/>
        <v>0</v>
      </c>
      <c r="BC7" s="19">
        <f t="shared" si="1"/>
        <v>0</v>
      </c>
      <c r="BD7" s="19">
        <f t="shared" si="1"/>
        <v>0</v>
      </c>
      <c r="BE7" s="19">
        <f t="shared" si="1"/>
        <v>0</v>
      </c>
      <c r="BF7" s="19">
        <f t="shared" si="1"/>
        <v>0</v>
      </c>
      <c r="BG7" s="19">
        <f t="shared" si="1"/>
        <v>0</v>
      </c>
      <c r="BH7" s="19">
        <f t="shared" si="1"/>
        <v>0</v>
      </c>
      <c r="BI7" s="19">
        <f t="shared" si="1"/>
        <v>0</v>
      </c>
      <c r="BJ7" s="19">
        <f t="shared" si="1"/>
        <v>0</v>
      </c>
      <c r="BK7" s="19">
        <f t="shared" si="1"/>
        <v>0</v>
      </c>
      <c r="BL7" s="19">
        <f t="shared" si="1"/>
        <v>0</v>
      </c>
      <c r="BM7" s="19">
        <f t="shared" si="1"/>
        <v>0</v>
      </c>
      <c r="BN7" s="19">
        <f t="shared" si="1"/>
        <v>0</v>
      </c>
      <c r="BO7" s="19">
        <f t="shared" si="1"/>
        <v>0</v>
      </c>
      <c r="BP7" s="19">
        <f t="shared" si="1"/>
        <v>0</v>
      </c>
      <c r="BQ7" s="19">
        <f t="shared" si="1"/>
        <v>0</v>
      </c>
      <c r="BR7" s="19">
        <f t="shared" si="1"/>
        <v>0</v>
      </c>
      <c r="BS7" s="19">
        <f t="shared" ref="BS7:CX7" si="2">SUBTOTAL(9,BS9:BS13)</f>
        <v>0</v>
      </c>
      <c r="BT7" s="19">
        <f t="shared" si="2"/>
        <v>0</v>
      </c>
      <c r="BU7" s="19">
        <f t="shared" si="2"/>
        <v>0</v>
      </c>
      <c r="BV7" s="19">
        <f t="shared" si="2"/>
        <v>0</v>
      </c>
      <c r="BW7" s="19">
        <f t="shared" si="2"/>
        <v>0</v>
      </c>
      <c r="BX7" s="19">
        <f t="shared" si="2"/>
        <v>0</v>
      </c>
      <c r="BY7" s="19">
        <f t="shared" si="2"/>
        <v>0</v>
      </c>
      <c r="BZ7" s="19">
        <f t="shared" si="2"/>
        <v>0</v>
      </c>
      <c r="CA7" s="19">
        <f t="shared" si="2"/>
        <v>0</v>
      </c>
      <c r="CB7" s="19">
        <f t="shared" si="2"/>
        <v>0</v>
      </c>
      <c r="CC7" s="19">
        <f t="shared" si="2"/>
        <v>0</v>
      </c>
      <c r="CD7" s="19">
        <f t="shared" si="2"/>
        <v>0</v>
      </c>
      <c r="CE7" s="19">
        <f t="shared" si="2"/>
        <v>0</v>
      </c>
      <c r="CF7" s="19">
        <f t="shared" si="2"/>
        <v>0</v>
      </c>
      <c r="CG7" s="19">
        <f t="shared" si="2"/>
        <v>0</v>
      </c>
      <c r="CH7" s="19">
        <f t="shared" si="2"/>
        <v>0</v>
      </c>
      <c r="CI7" s="19">
        <f t="shared" si="2"/>
        <v>0</v>
      </c>
      <c r="CJ7" s="19">
        <f t="shared" si="2"/>
        <v>0</v>
      </c>
      <c r="CK7" s="19">
        <f t="shared" si="2"/>
        <v>0</v>
      </c>
      <c r="CL7" s="19">
        <f t="shared" si="2"/>
        <v>0</v>
      </c>
      <c r="CM7" s="19">
        <f t="shared" si="2"/>
        <v>0</v>
      </c>
      <c r="CN7" s="19">
        <f t="shared" si="2"/>
        <v>0</v>
      </c>
      <c r="CO7" s="19">
        <f t="shared" si="2"/>
        <v>0</v>
      </c>
      <c r="CP7" s="19">
        <f t="shared" si="2"/>
        <v>0</v>
      </c>
      <c r="CQ7" s="19">
        <f t="shared" si="2"/>
        <v>0</v>
      </c>
      <c r="CR7" s="19">
        <f t="shared" si="2"/>
        <v>0</v>
      </c>
      <c r="CS7" s="19">
        <f t="shared" si="2"/>
        <v>0</v>
      </c>
      <c r="CT7" s="19">
        <f t="shared" si="2"/>
        <v>0</v>
      </c>
      <c r="CU7" s="19">
        <f t="shared" si="2"/>
        <v>0</v>
      </c>
      <c r="CV7" s="19">
        <f t="shared" si="2"/>
        <v>0</v>
      </c>
      <c r="CW7" s="19">
        <f t="shared" si="2"/>
        <v>0</v>
      </c>
      <c r="CX7" s="19">
        <f t="shared" si="2"/>
        <v>0</v>
      </c>
      <c r="CY7" s="19">
        <f t="shared" ref="CY7:DK7" si="3">SUBTOTAL(9,CY9:CY13)</f>
        <v>0</v>
      </c>
      <c r="CZ7" s="19">
        <f t="shared" si="3"/>
        <v>0</v>
      </c>
      <c r="DA7" s="19">
        <f t="shared" si="3"/>
        <v>0</v>
      </c>
      <c r="DB7" s="19">
        <f t="shared" si="3"/>
        <v>0</v>
      </c>
      <c r="DC7" s="19">
        <f t="shared" si="3"/>
        <v>0</v>
      </c>
      <c r="DD7" s="19">
        <f t="shared" si="3"/>
        <v>0</v>
      </c>
      <c r="DE7" s="19">
        <f t="shared" si="3"/>
        <v>0</v>
      </c>
      <c r="DF7" s="19">
        <f t="shared" si="3"/>
        <v>0</v>
      </c>
      <c r="DG7" s="19">
        <f t="shared" si="3"/>
        <v>0</v>
      </c>
      <c r="DH7" s="19">
        <f t="shared" si="3"/>
        <v>0</v>
      </c>
      <c r="DI7" s="19">
        <f t="shared" si="3"/>
        <v>0</v>
      </c>
      <c r="DJ7" s="19">
        <f t="shared" si="3"/>
        <v>0</v>
      </c>
      <c r="DK7" s="19">
        <f t="shared" si="3"/>
        <v>0</v>
      </c>
    </row>
    <row r="8" spans="1:115" ht="7.5" customHeight="1">
      <c r="A8" s="21"/>
      <c r="B8" s="22"/>
      <c r="C8" s="22"/>
      <c r="D8" s="22"/>
      <c r="E8" s="22"/>
      <c r="F8" s="22"/>
      <c r="G8" s="22"/>
      <c r="H8" s="23"/>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3"/>
      <c r="AL8" s="23"/>
      <c r="AM8" s="23"/>
      <c r="AN8" s="23"/>
      <c r="AO8" s="23"/>
      <c r="AP8" s="23"/>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row>
    <row r="9" spans="1:115">
      <c r="A9" s="25">
        <v>1</v>
      </c>
      <c r="B9" s="26" t="s">
        <v>683</v>
      </c>
      <c r="C9" s="26" t="s">
        <v>115</v>
      </c>
      <c r="D9" s="26" t="s">
        <v>684</v>
      </c>
      <c r="E9" s="205" t="s">
        <v>1164</v>
      </c>
      <c r="F9" s="161">
        <f>SUM(DJ9)</f>
        <v>0</v>
      </c>
      <c r="G9" s="165">
        <f>I9+AJ9+DJ9</f>
        <v>28752.5</v>
      </c>
      <c r="H9" s="27">
        <v>0</v>
      </c>
      <c r="I9" s="176">
        <v>0</v>
      </c>
      <c r="J9" s="176">
        <v>0</v>
      </c>
      <c r="K9" s="127">
        <f t="shared" ref="K9" si="4">AJ9</f>
        <v>28752.5</v>
      </c>
      <c r="L9" s="127">
        <f t="shared" ref="L9" si="5">IF(AH9&gt;0,I9+AJ9-J9,0)</f>
        <v>28752.5</v>
      </c>
      <c r="M9" s="127">
        <f t="shared" ref="M9" si="6">I9+K9</f>
        <v>28752.5</v>
      </c>
      <c r="N9" s="125">
        <f>IF(AND(AH9&gt;0,DI9&gt;0),"შეცდომაა! ერთზე მეტი ბოლო ჩაბარება!",IF(OR(AH9&gt;0,DI9&gt;0,),IF(AH9&gt;0,I9+AJ9,I9+AJ9+DK9),IF(AND(I9=0,K9=0,DK9=0),"ნულოვანი შესრულება","მიმდინარეობს")))</f>
        <v>28752.5</v>
      </c>
      <c r="O9" s="27"/>
      <c r="P9" s="27">
        <v>28752.5</v>
      </c>
      <c r="Q9" s="27">
        <f t="shared" ref="Q9:Q14" si="7">I9+O9</f>
        <v>0</v>
      </c>
      <c r="R9" s="27">
        <f t="shared" ref="R9:R14" si="8">P9</f>
        <v>28752.5</v>
      </c>
      <c r="S9" s="27">
        <v>0</v>
      </c>
      <c r="T9" s="27">
        <v>0</v>
      </c>
      <c r="U9" s="27">
        <v>0</v>
      </c>
      <c r="V9" s="27">
        <v>0</v>
      </c>
      <c r="W9" s="27">
        <f t="shared" ref="W9:X13" si="9">S9+U9</f>
        <v>0</v>
      </c>
      <c r="X9" s="27">
        <f t="shared" si="9"/>
        <v>0</v>
      </c>
      <c r="Y9" s="27"/>
      <c r="Z9" s="27"/>
      <c r="AA9" s="27"/>
      <c r="AB9" s="27"/>
      <c r="AC9" s="27"/>
      <c r="AD9" s="27"/>
      <c r="AE9" s="27">
        <f>O9+S9+Y9</f>
        <v>0</v>
      </c>
      <c r="AF9" s="27">
        <f>O9+T9+Z9</f>
        <v>0</v>
      </c>
      <c r="AG9" s="27">
        <f>P9+U9+AA9</f>
        <v>28752.5</v>
      </c>
      <c r="AH9" s="27">
        <f>P9+V9+AB9</f>
        <v>28752.5</v>
      </c>
      <c r="AI9" s="27">
        <f>AE9+AG9</f>
        <v>28752.5</v>
      </c>
      <c r="AJ9" s="27">
        <f>AF9+AH9</f>
        <v>28752.5</v>
      </c>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c r="DI9" s="27"/>
      <c r="DJ9" s="27"/>
      <c r="DK9" s="27"/>
    </row>
    <row r="10" spans="1:115">
      <c r="A10" s="25">
        <v>2</v>
      </c>
      <c r="B10" s="26" t="s">
        <v>685</v>
      </c>
      <c r="C10" s="26" t="s">
        <v>686</v>
      </c>
      <c r="D10" s="26" t="s">
        <v>687</v>
      </c>
      <c r="E10" s="205" t="s">
        <v>1164</v>
      </c>
      <c r="F10" s="161">
        <f t="shared" ref="F10:F14" si="10">SUM(DJ10)</f>
        <v>0</v>
      </c>
      <c r="G10" s="165">
        <f t="shared" ref="G10:G14" si="11">I10+AJ10+DJ10</f>
        <v>58738.75</v>
      </c>
      <c r="H10" s="27">
        <v>0</v>
      </c>
      <c r="I10" s="176">
        <v>0</v>
      </c>
      <c r="J10" s="176">
        <v>0</v>
      </c>
      <c r="K10" s="127">
        <f t="shared" ref="K10:K14" si="12">AJ10</f>
        <v>58738.75</v>
      </c>
      <c r="L10" s="127">
        <f t="shared" ref="L10:L14" si="13">IF(AH10&gt;0,I10+AJ10-J10,0)</f>
        <v>58738.75</v>
      </c>
      <c r="M10" s="127">
        <f t="shared" ref="M10:M14" si="14">I10+K10</f>
        <v>58738.75</v>
      </c>
      <c r="N10" s="125">
        <f t="shared" ref="N10:N14" si="15">IF(AND(AH10&gt;0,DI10&gt;0),"შეცდომაა! ერთზე მეტი ბოლო ჩაბარება!",IF(OR(AH10&gt;0,DI10&gt;0,),IF(AH10&gt;0,I10+AJ10,I10+AJ10+DK10),IF(AND(I10=0,K10=0,DK10=0),"ნულოვანი შესრულება","მიმდინარეობს")))</f>
        <v>58738.75</v>
      </c>
      <c r="O10" s="27"/>
      <c r="P10" s="27">
        <v>58738.75</v>
      </c>
      <c r="Q10" s="27">
        <f t="shared" si="7"/>
        <v>0</v>
      </c>
      <c r="R10" s="27">
        <f t="shared" si="8"/>
        <v>58738.75</v>
      </c>
      <c r="S10" s="27">
        <v>0</v>
      </c>
      <c r="T10" s="27">
        <v>0</v>
      </c>
      <c r="U10" s="27">
        <v>0</v>
      </c>
      <c r="V10" s="27">
        <v>0</v>
      </c>
      <c r="W10" s="27">
        <f t="shared" si="9"/>
        <v>0</v>
      </c>
      <c r="X10" s="27">
        <f t="shared" si="9"/>
        <v>0</v>
      </c>
      <c r="Y10" s="27"/>
      <c r="Z10" s="27"/>
      <c r="AA10" s="27"/>
      <c r="AB10" s="27"/>
      <c r="AC10" s="27"/>
      <c r="AD10" s="27"/>
      <c r="AE10" s="27">
        <f t="shared" ref="AE10:AE13" si="16">O10+S10+Y10</f>
        <v>0</v>
      </c>
      <c r="AF10" s="27">
        <f t="shared" ref="AF10:AG13" si="17">O10+T10+Z10</f>
        <v>0</v>
      </c>
      <c r="AG10" s="27">
        <f t="shared" si="17"/>
        <v>58738.75</v>
      </c>
      <c r="AH10" s="27">
        <f t="shared" ref="AH10:AH13" si="18">P10+V10+AB10</f>
        <v>58738.75</v>
      </c>
      <c r="AI10" s="27">
        <f t="shared" ref="AI10:AJ13" si="19">AE10+AG10</f>
        <v>58738.75</v>
      </c>
      <c r="AJ10" s="27">
        <f t="shared" si="19"/>
        <v>58738.75</v>
      </c>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27"/>
      <c r="DF10" s="27"/>
      <c r="DG10" s="27"/>
      <c r="DH10" s="27"/>
      <c r="DI10" s="27"/>
      <c r="DJ10" s="27"/>
      <c r="DK10" s="27"/>
    </row>
    <row r="11" spans="1:115">
      <c r="A11" s="25">
        <v>3</v>
      </c>
      <c r="B11" s="26" t="s">
        <v>688</v>
      </c>
      <c r="C11" s="26" t="s">
        <v>134</v>
      </c>
      <c r="D11" s="26" t="s">
        <v>689</v>
      </c>
      <c r="E11" s="205" t="s">
        <v>1164</v>
      </c>
      <c r="F11" s="161">
        <f t="shared" si="10"/>
        <v>0</v>
      </c>
      <c r="G11" s="165">
        <f t="shared" si="11"/>
        <v>12232.5</v>
      </c>
      <c r="H11" s="27">
        <v>0</v>
      </c>
      <c r="I11" s="176">
        <v>0</v>
      </c>
      <c r="J11" s="176">
        <v>0</v>
      </c>
      <c r="K11" s="127">
        <f t="shared" si="12"/>
        <v>12232.5</v>
      </c>
      <c r="L11" s="127">
        <f t="shared" si="13"/>
        <v>12232.5</v>
      </c>
      <c r="M11" s="127">
        <f t="shared" si="14"/>
        <v>12232.5</v>
      </c>
      <c r="N11" s="125">
        <f t="shared" si="15"/>
        <v>12232.5</v>
      </c>
      <c r="O11" s="27"/>
      <c r="P11" s="27">
        <v>12232.5</v>
      </c>
      <c r="Q11" s="27">
        <f t="shared" si="7"/>
        <v>0</v>
      </c>
      <c r="R11" s="27">
        <f t="shared" si="8"/>
        <v>12232.5</v>
      </c>
      <c r="S11" s="27">
        <v>0</v>
      </c>
      <c r="T11" s="27">
        <v>0</v>
      </c>
      <c r="U11" s="27">
        <v>0</v>
      </c>
      <c r="V11" s="27">
        <v>0</v>
      </c>
      <c r="W11" s="27">
        <f t="shared" si="9"/>
        <v>0</v>
      </c>
      <c r="X11" s="27">
        <f t="shared" si="9"/>
        <v>0</v>
      </c>
      <c r="Y11" s="27"/>
      <c r="Z11" s="27"/>
      <c r="AA11" s="27"/>
      <c r="AB11" s="27"/>
      <c r="AC11" s="27"/>
      <c r="AD11" s="27"/>
      <c r="AE11" s="27">
        <f t="shared" si="16"/>
        <v>0</v>
      </c>
      <c r="AF11" s="27">
        <f t="shared" si="17"/>
        <v>0</v>
      </c>
      <c r="AG11" s="27">
        <f t="shared" si="17"/>
        <v>12232.5</v>
      </c>
      <c r="AH11" s="27">
        <f t="shared" si="18"/>
        <v>12232.5</v>
      </c>
      <c r="AI11" s="27">
        <f t="shared" si="19"/>
        <v>12232.5</v>
      </c>
      <c r="AJ11" s="27">
        <f t="shared" si="19"/>
        <v>12232.5</v>
      </c>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c r="DC11" s="27"/>
      <c r="DD11" s="27"/>
      <c r="DE11" s="27"/>
      <c r="DF11" s="27"/>
      <c r="DG11" s="27"/>
      <c r="DH11" s="27"/>
      <c r="DI11" s="27"/>
      <c r="DJ11" s="27"/>
      <c r="DK11" s="27"/>
    </row>
    <row r="12" spans="1:115">
      <c r="A12" s="25">
        <v>4</v>
      </c>
      <c r="B12" s="26" t="s">
        <v>688</v>
      </c>
      <c r="C12" s="26" t="s">
        <v>138</v>
      </c>
      <c r="D12" s="26" t="s">
        <v>690</v>
      </c>
      <c r="E12" s="205" t="s">
        <v>1164</v>
      </c>
      <c r="F12" s="161">
        <f t="shared" si="10"/>
        <v>0</v>
      </c>
      <c r="G12" s="165">
        <f t="shared" si="11"/>
        <v>4373.25</v>
      </c>
      <c r="H12" s="27">
        <v>0</v>
      </c>
      <c r="I12" s="176">
        <v>0</v>
      </c>
      <c r="J12" s="176">
        <v>0</v>
      </c>
      <c r="K12" s="127">
        <f t="shared" si="12"/>
        <v>4373.25</v>
      </c>
      <c r="L12" s="127">
        <f t="shared" si="13"/>
        <v>4373.25</v>
      </c>
      <c r="M12" s="127">
        <f t="shared" si="14"/>
        <v>4373.25</v>
      </c>
      <c r="N12" s="125">
        <f t="shared" si="15"/>
        <v>4373.25</v>
      </c>
      <c r="O12" s="27"/>
      <c r="P12" s="27">
        <v>4373.25</v>
      </c>
      <c r="Q12" s="27">
        <f t="shared" si="7"/>
        <v>0</v>
      </c>
      <c r="R12" s="27">
        <f t="shared" si="8"/>
        <v>4373.25</v>
      </c>
      <c r="S12" s="27">
        <v>0</v>
      </c>
      <c r="T12" s="27">
        <v>0</v>
      </c>
      <c r="U12" s="27">
        <v>0</v>
      </c>
      <c r="V12" s="27">
        <v>0</v>
      </c>
      <c r="W12" s="27">
        <f t="shared" si="9"/>
        <v>0</v>
      </c>
      <c r="X12" s="27">
        <f t="shared" si="9"/>
        <v>0</v>
      </c>
      <c r="Y12" s="27"/>
      <c r="Z12" s="27"/>
      <c r="AA12" s="27"/>
      <c r="AB12" s="27"/>
      <c r="AC12" s="27"/>
      <c r="AD12" s="27"/>
      <c r="AE12" s="27">
        <f t="shared" si="16"/>
        <v>0</v>
      </c>
      <c r="AF12" s="27">
        <f t="shared" si="17"/>
        <v>0</v>
      </c>
      <c r="AG12" s="27">
        <f t="shared" si="17"/>
        <v>4373.25</v>
      </c>
      <c r="AH12" s="27">
        <f t="shared" si="18"/>
        <v>4373.25</v>
      </c>
      <c r="AI12" s="27">
        <f t="shared" si="19"/>
        <v>4373.25</v>
      </c>
      <c r="AJ12" s="27">
        <f t="shared" si="19"/>
        <v>4373.25</v>
      </c>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row>
    <row r="13" spans="1:115">
      <c r="A13" s="25">
        <v>5</v>
      </c>
      <c r="B13" s="26" t="s">
        <v>691</v>
      </c>
      <c r="C13" s="26" t="s">
        <v>155</v>
      </c>
      <c r="D13" s="26" t="s">
        <v>692</v>
      </c>
      <c r="E13" s="205" t="s">
        <v>1164</v>
      </c>
      <c r="F13" s="161">
        <f t="shared" si="10"/>
        <v>0</v>
      </c>
      <c r="G13" s="165">
        <f t="shared" si="11"/>
        <v>1218</v>
      </c>
      <c r="H13" s="27">
        <v>0</v>
      </c>
      <c r="I13" s="176">
        <v>0</v>
      </c>
      <c r="J13" s="176">
        <v>0</v>
      </c>
      <c r="K13" s="127">
        <f t="shared" si="12"/>
        <v>1218</v>
      </c>
      <c r="L13" s="127">
        <f t="shared" si="13"/>
        <v>1218</v>
      </c>
      <c r="M13" s="127">
        <f t="shared" si="14"/>
        <v>1218</v>
      </c>
      <c r="N13" s="125">
        <f t="shared" si="15"/>
        <v>1218</v>
      </c>
      <c r="O13" s="27"/>
      <c r="P13" s="27">
        <v>1218</v>
      </c>
      <c r="Q13" s="27">
        <f t="shared" si="7"/>
        <v>0</v>
      </c>
      <c r="R13" s="27">
        <f t="shared" si="8"/>
        <v>1218</v>
      </c>
      <c r="S13" s="27">
        <v>0</v>
      </c>
      <c r="T13" s="27">
        <v>0</v>
      </c>
      <c r="U13" s="27">
        <v>0</v>
      </c>
      <c r="V13" s="27">
        <v>0</v>
      </c>
      <c r="W13" s="27">
        <f t="shared" si="9"/>
        <v>0</v>
      </c>
      <c r="X13" s="27">
        <f t="shared" si="9"/>
        <v>0</v>
      </c>
      <c r="Y13" s="27"/>
      <c r="Z13" s="27"/>
      <c r="AA13" s="27"/>
      <c r="AB13" s="27"/>
      <c r="AC13" s="27"/>
      <c r="AD13" s="27"/>
      <c r="AE13" s="27">
        <f t="shared" si="16"/>
        <v>0</v>
      </c>
      <c r="AF13" s="27">
        <f t="shared" si="17"/>
        <v>0</v>
      </c>
      <c r="AG13" s="27">
        <f t="shared" si="17"/>
        <v>1218</v>
      </c>
      <c r="AH13" s="27">
        <f t="shared" si="18"/>
        <v>1218</v>
      </c>
      <c r="AI13" s="27">
        <f t="shared" si="19"/>
        <v>1218</v>
      </c>
      <c r="AJ13" s="27">
        <f t="shared" si="19"/>
        <v>1218</v>
      </c>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row>
    <row r="14" spans="1:115">
      <c r="B14" s="26" t="s">
        <v>112</v>
      </c>
      <c r="C14" s="26" t="s">
        <v>113</v>
      </c>
      <c r="D14" s="26" t="s">
        <v>114</v>
      </c>
      <c r="E14" s="205" t="s">
        <v>1164</v>
      </c>
      <c r="F14" s="161">
        <f t="shared" si="10"/>
        <v>120000</v>
      </c>
      <c r="G14" s="165">
        <f t="shared" si="11"/>
        <v>120000</v>
      </c>
      <c r="H14" s="27">
        <v>0</v>
      </c>
      <c r="I14" s="176">
        <v>0</v>
      </c>
      <c r="J14" s="176">
        <v>0</v>
      </c>
      <c r="K14" s="127">
        <f t="shared" si="12"/>
        <v>0</v>
      </c>
      <c r="L14" s="127">
        <f t="shared" si="13"/>
        <v>0</v>
      </c>
      <c r="M14" s="127">
        <f t="shared" si="14"/>
        <v>0</v>
      </c>
      <c r="N14" s="125" t="str">
        <f t="shared" si="15"/>
        <v>ნულოვანი შესრულება</v>
      </c>
      <c r="O14" s="27"/>
      <c r="P14" s="27">
        <v>0</v>
      </c>
      <c r="Q14" s="27">
        <f t="shared" si="7"/>
        <v>0</v>
      </c>
      <c r="R14" s="27">
        <f t="shared" si="8"/>
        <v>0</v>
      </c>
      <c r="S14" s="27">
        <v>0</v>
      </c>
      <c r="T14" s="27">
        <v>0</v>
      </c>
      <c r="U14" s="27">
        <v>0</v>
      </c>
      <c r="V14" s="27">
        <v>0</v>
      </c>
      <c r="W14" s="27">
        <f t="shared" ref="W14" si="20">S14+U14</f>
        <v>0</v>
      </c>
      <c r="X14" s="27">
        <f t="shared" ref="X14" si="21">T14+V14</f>
        <v>0</v>
      </c>
      <c r="Y14" s="27"/>
      <c r="Z14" s="27"/>
      <c r="AA14" s="27"/>
      <c r="AB14" s="27"/>
      <c r="AC14" s="27"/>
      <c r="AD14" s="27"/>
      <c r="AE14" s="27">
        <f t="shared" ref="AE14" si="22">O14+S14+Y14</f>
        <v>0</v>
      </c>
      <c r="AF14" s="27">
        <f t="shared" ref="AF14" si="23">O14+T14+Z14</f>
        <v>0</v>
      </c>
      <c r="AG14" s="27">
        <f t="shared" ref="AG14" si="24">P14+U14+AA14</f>
        <v>0</v>
      </c>
      <c r="AH14" s="27">
        <f t="shared" ref="AH14" si="25">P14+V14+AB14</f>
        <v>0</v>
      </c>
      <c r="AI14" s="27">
        <f t="shared" ref="AI14" si="26">AE14+AG14</f>
        <v>0</v>
      </c>
      <c r="AJ14" s="27">
        <f t="shared" ref="AJ14" si="27">AF14+AH14</f>
        <v>0</v>
      </c>
      <c r="AK14" s="27"/>
      <c r="AL14" s="27"/>
      <c r="AM14" s="27"/>
      <c r="AN14" s="27"/>
      <c r="AO14" s="27"/>
      <c r="AP14" s="27"/>
      <c r="AQ14" s="27"/>
      <c r="AR14" s="27"/>
      <c r="AS14" s="27"/>
      <c r="AT14" s="27"/>
      <c r="AU14" s="27"/>
      <c r="AV14" s="27"/>
      <c r="AW14" s="27"/>
      <c r="AX14" s="27"/>
      <c r="AY14" s="27"/>
      <c r="AZ14" s="27"/>
      <c r="BA14" s="27"/>
      <c r="BB14" s="27">
        <v>120000</v>
      </c>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G14" s="27"/>
      <c r="DH14" s="27"/>
      <c r="DI14" s="27"/>
      <c r="DJ14" s="27">
        <f>BB14</f>
        <v>120000</v>
      </c>
      <c r="DK14" s="27"/>
    </row>
  </sheetData>
  <mergeCells count="88">
    <mergeCell ref="I5:I6"/>
    <mergeCell ref="E3:E6"/>
    <mergeCell ref="F3:F6"/>
    <mergeCell ref="G3:G6"/>
    <mergeCell ref="I3:J4"/>
    <mergeCell ref="A3:A6"/>
    <mergeCell ref="B3:B6"/>
    <mergeCell ref="C3:C6"/>
    <mergeCell ref="D3:D6"/>
    <mergeCell ref="H3:H6"/>
    <mergeCell ref="O3:P4"/>
    <mergeCell ref="Q3:R4"/>
    <mergeCell ref="S3:AJ3"/>
    <mergeCell ref="AK3:DK3"/>
    <mergeCell ref="S4:X4"/>
    <mergeCell ref="Y4:AD4"/>
    <mergeCell ref="AE4:AJ4"/>
    <mergeCell ref="AK4:AP4"/>
    <mergeCell ref="AQ4:AV4"/>
    <mergeCell ref="AW4:BC4"/>
    <mergeCell ref="CN4:CS4"/>
    <mergeCell ref="CT4:CY4"/>
    <mergeCell ref="CZ4:DE4"/>
    <mergeCell ref="DF4:DK4"/>
    <mergeCell ref="BD4:BI4"/>
    <mergeCell ref="BJ4:BO4"/>
    <mergeCell ref="O5:O6"/>
    <mergeCell ref="P5:P6"/>
    <mergeCell ref="Q5:Q6"/>
    <mergeCell ref="R5:R6"/>
    <mergeCell ref="S5:T5"/>
    <mergeCell ref="BP4:BU4"/>
    <mergeCell ref="BV4:CA4"/>
    <mergeCell ref="CB4:CG4"/>
    <mergeCell ref="CH4:CM4"/>
    <mergeCell ref="AQ5:AR5"/>
    <mergeCell ref="BR5:BS5"/>
    <mergeCell ref="BT5:BU5"/>
    <mergeCell ref="BV5:BW5"/>
    <mergeCell ref="BX5:BY5"/>
    <mergeCell ref="BZ5:CA5"/>
    <mergeCell ref="CB5:CC5"/>
    <mergeCell ref="U5:V5"/>
    <mergeCell ref="W5:X5"/>
    <mergeCell ref="Y5:Z5"/>
    <mergeCell ref="AA5:AB5"/>
    <mergeCell ref="AC5:AD5"/>
    <mergeCell ref="AE5:AF5"/>
    <mergeCell ref="AG5:AH5"/>
    <mergeCell ref="AI5:AJ5"/>
    <mergeCell ref="AK5:AL5"/>
    <mergeCell ref="AM5:AN5"/>
    <mergeCell ref="AO5:AP5"/>
    <mergeCell ref="BP5:BQ5"/>
    <mergeCell ref="AS5:AT5"/>
    <mergeCell ref="AU5:AV5"/>
    <mergeCell ref="AW5:AX5"/>
    <mergeCell ref="AY5:AZ5"/>
    <mergeCell ref="BA5:BC5"/>
    <mergeCell ref="BD5:BE5"/>
    <mergeCell ref="BF5:BG5"/>
    <mergeCell ref="BH5:BI5"/>
    <mergeCell ref="BJ5:BK5"/>
    <mergeCell ref="BL5:BM5"/>
    <mergeCell ref="BN5:BO5"/>
    <mergeCell ref="CX5:CY5"/>
    <mergeCell ref="CZ5:DA5"/>
    <mergeCell ref="CD5:CE5"/>
    <mergeCell ref="CF5:CG5"/>
    <mergeCell ref="CH5:CI5"/>
    <mergeCell ref="CJ5:CK5"/>
    <mergeCell ref="CL5:CM5"/>
    <mergeCell ref="CN5:CO5"/>
    <mergeCell ref="CP5:CQ5"/>
    <mergeCell ref="CR5:CS5"/>
    <mergeCell ref="CT5:CU5"/>
    <mergeCell ref="CV5:CW5"/>
    <mergeCell ref="DB5:DC5"/>
    <mergeCell ref="DD5:DE5"/>
    <mergeCell ref="DF5:DG5"/>
    <mergeCell ref="DH5:DI5"/>
    <mergeCell ref="DJ5:DK5"/>
    <mergeCell ref="K3:L4"/>
    <mergeCell ref="M3:M6"/>
    <mergeCell ref="N3:N6"/>
    <mergeCell ref="J5:J6"/>
    <mergeCell ref="K5:K6"/>
    <mergeCell ref="L5:L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A1:DJ10"/>
  <sheetViews>
    <sheetView workbookViewId="0">
      <pane ySplit="7" topLeftCell="A8" activePane="bottomLeft" state="frozen"/>
      <selection pane="bottomLeft" activeCell="M25" sqref="M25"/>
    </sheetView>
  </sheetViews>
  <sheetFormatPr defaultColWidth="10.42578125" defaultRowHeight="15"/>
  <cols>
    <col min="1" max="1" width="6" style="14" customWidth="1"/>
    <col min="2" max="2" width="13.42578125" style="14" customWidth="1"/>
    <col min="3" max="3" width="11.28515625" style="14" customWidth="1"/>
    <col min="4" max="4" width="49" style="14" bestFit="1" customWidth="1"/>
    <col min="5" max="5" width="15.5703125" style="14" bestFit="1" customWidth="1"/>
    <col min="6" max="6" width="10.5703125" style="14" bestFit="1" customWidth="1"/>
    <col min="7" max="7" width="14" style="14" bestFit="1" customWidth="1"/>
    <col min="8" max="8" width="19.85546875" style="17" customWidth="1"/>
    <col min="9" max="14" width="15.85546875" style="14" customWidth="1"/>
    <col min="15" max="15" width="15.140625" style="14" bestFit="1" customWidth="1"/>
    <col min="16" max="16" width="12.7109375" style="14" bestFit="1" customWidth="1"/>
    <col min="17" max="17" width="15.140625" style="14" bestFit="1" customWidth="1"/>
    <col min="18" max="18" width="12.7109375" style="14" bestFit="1" customWidth="1"/>
    <col min="19" max="19" width="7.28515625" style="14" bestFit="1" customWidth="1"/>
    <col min="20" max="20" width="8.5703125" style="14" bestFit="1" customWidth="1"/>
    <col min="21" max="21" width="11.5703125" style="14" bestFit="1" customWidth="1"/>
    <col min="22" max="22" width="8.5703125" style="14" bestFit="1" customWidth="1"/>
    <col min="23" max="23" width="11.5703125" style="14" bestFit="1" customWidth="1"/>
    <col min="24" max="24" width="9" style="14" bestFit="1" customWidth="1"/>
    <col min="25" max="25" width="7.28515625" style="14" bestFit="1" customWidth="1"/>
    <col min="26" max="26" width="8.5703125" style="14" bestFit="1" customWidth="1"/>
    <col min="27" max="27" width="7.28515625" style="14" bestFit="1" customWidth="1"/>
    <col min="28" max="28" width="8.5703125" style="14" bestFit="1" customWidth="1"/>
    <col min="29" max="29" width="7.7109375" style="14" bestFit="1" customWidth="1"/>
    <col min="30" max="30" width="9" style="14" bestFit="1" customWidth="1"/>
    <col min="31" max="31" width="7.140625" style="14" bestFit="1" customWidth="1"/>
    <col min="32" max="32" width="8.85546875" style="14" bestFit="1" customWidth="1"/>
    <col min="33" max="33" width="11.5703125" style="14" bestFit="1" customWidth="1"/>
    <col min="34" max="34" width="8.85546875" style="14" bestFit="1" customWidth="1"/>
    <col min="35" max="35" width="11.5703125" style="14" bestFit="1" customWidth="1"/>
    <col min="36" max="36" width="9.140625" style="14" bestFit="1" customWidth="1"/>
    <col min="37" max="37" width="11.5703125" style="14" customWidth="1"/>
    <col min="38" max="38" width="8.5703125" style="14" bestFit="1" customWidth="1"/>
    <col min="39" max="39" width="14.7109375" style="14" bestFit="1" customWidth="1"/>
    <col min="40" max="40" width="8.5703125" style="14" bestFit="1" customWidth="1"/>
    <col min="41" max="41" width="11.28515625" style="14" customWidth="1"/>
    <col min="42" max="42" width="9" style="14" bestFit="1" customWidth="1"/>
    <col min="43" max="43" width="10.42578125" style="14" bestFit="1" customWidth="1"/>
    <col min="44" max="44" width="8.42578125" style="14" bestFit="1" customWidth="1"/>
    <col min="45" max="45" width="7" style="14" customWidth="1"/>
    <col min="46" max="46" width="8.42578125" style="14" bestFit="1" customWidth="1"/>
    <col min="47" max="47" width="10.42578125" style="14" bestFit="1" customWidth="1"/>
    <col min="48" max="48" width="8.85546875" style="14" bestFit="1" customWidth="1"/>
    <col min="49" max="49" width="10.42578125" style="14" bestFit="1" customWidth="1"/>
    <col min="50" max="50" width="8.42578125" style="14" bestFit="1" customWidth="1"/>
    <col min="51" max="51" width="10.42578125" style="14" bestFit="1" customWidth="1"/>
    <col min="52" max="52" width="8.42578125" style="14" bestFit="1" customWidth="1"/>
    <col min="53" max="53" width="10.42578125" style="14" bestFit="1" customWidth="1"/>
    <col min="54" max="54" width="8.85546875" style="14" bestFit="1" customWidth="1"/>
    <col min="55" max="55" width="7.140625" style="14" bestFit="1" customWidth="1"/>
    <col min="56" max="56" width="8.42578125" style="14" bestFit="1" customWidth="1"/>
    <col min="57" max="57" width="10.42578125" style="14" bestFit="1" customWidth="1"/>
    <col min="58" max="58" width="8.42578125" style="14" bestFit="1" customWidth="1"/>
    <col min="59" max="59" width="7.42578125" style="14" bestFit="1" customWidth="1"/>
    <col min="60" max="60" width="8.85546875" style="14" bestFit="1" customWidth="1"/>
    <col min="61" max="61" width="7.140625" style="14" bestFit="1" customWidth="1"/>
    <col min="62" max="62" width="8.42578125" style="14" bestFit="1" customWidth="1"/>
    <col min="63" max="63" width="7.140625" style="14" bestFit="1" customWidth="1"/>
    <col min="64" max="64" width="8.42578125" style="14" bestFit="1" customWidth="1"/>
    <col min="65" max="65" width="7.42578125" style="14" bestFit="1" customWidth="1"/>
    <col min="66" max="66" width="8.85546875" style="14" bestFit="1" customWidth="1"/>
    <col min="67" max="67" width="7.140625" style="14" bestFit="1" customWidth="1"/>
    <col min="68" max="68" width="8.42578125" style="14" bestFit="1" customWidth="1"/>
    <col min="69" max="69" width="7.140625" style="14" bestFit="1" customWidth="1"/>
    <col min="70" max="70" width="8.42578125" style="14" bestFit="1" customWidth="1"/>
    <col min="71" max="71" width="7.42578125" style="14" bestFit="1" customWidth="1"/>
    <col min="72" max="72" width="8.85546875" style="14" bestFit="1" customWidth="1"/>
    <col min="73" max="73" width="7.140625" style="14" bestFit="1" customWidth="1"/>
    <col min="74" max="74" width="8.42578125" style="14" bestFit="1" customWidth="1"/>
    <col min="75" max="75" width="7.140625" style="14" bestFit="1" customWidth="1"/>
    <col min="76" max="76" width="8.42578125" style="14" bestFit="1" customWidth="1"/>
    <col min="77" max="77" width="7.42578125" style="14" bestFit="1" customWidth="1"/>
    <col min="78" max="78" width="8.85546875" style="14" bestFit="1" customWidth="1"/>
    <col min="79" max="79" width="7.140625" style="14" bestFit="1" customWidth="1"/>
    <col min="80" max="80" width="8.42578125" style="14" bestFit="1" customWidth="1"/>
    <col min="81" max="81" width="7.140625" style="14" bestFit="1" customWidth="1"/>
    <col min="82" max="82" width="8.42578125" style="14" bestFit="1" customWidth="1"/>
    <col min="83" max="83" width="7.42578125" style="14" bestFit="1" customWidth="1"/>
    <col min="84" max="84" width="8.85546875" style="14" bestFit="1" customWidth="1"/>
    <col min="85" max="85" width="7.140625" style="14" bestFit="1" customWidth="1"/>
    <col min="86" max="86" width="8.42578125" style="14" bestFit="1" customWidth="1"/>
    <col min="87" max="87" width="7.140625" style="14" bestFit="1" customWidth="1"/>
    <col min="88" max="88" width="8.42578125" style="14" bestFit="1" customWidth="1"/>
    <col min="89" max="89" width="7.42578125" style="14" bestFit="1" customWidth="1"/>
    <col min="90" max="90" width="8.85546875" style="14" bestFit="1" customWidth="1"/>
    <col min="91" max="91" width="7.140625" style="14" bestFit="1" customWidth="1"/>
    <col min="92" max="92" width="8.42578125" style="14" bestFit="1" customWidth="1"/>
    <col min="93" max="93" width="7.140625" style="14" bestFit="1" customWidth="1"/>
    <col min="94" max="94" width="8.42578125" style="14" bestFit="1" customWidth="1"/>
    <col min="95" max="95" width="7.42578125" style="14" bestFit="1" customWidth="1"/>
    <col min="96" max="96" width="8.85546875" style="14" bestFit="1" customWidth="1"/>
    <col min="97" max="97" width="7.140625" style="14" bestFit="1" customWidth="1"/>
    <col min="98" max="98" width="8.42578125" style="14" bestFit="1" customWidth="1"/>
    <col min="99" max="99" width="7.140625" style="14" bestFit="1" customWidth="1"/>
    <col min="100" max="100" width="8.42578125" style="14" bestFit="1" customWidth="1"/>
    <col min="101" max="101" width="7.42578125" style="14" bestFit="1" customWidth="1"/>
    <col min="102" max="102" width="8.85546875" style="14" bestFit="1" customWidth="1"/>
    <col min="103" max="103" width="7.140625" style="14" bestFit="1" customWidth="1"/>
    <col min="104" max="104" width="8.42578125" style="14" bestFit="1" customWidth="1"/>
    <col min="105" max="105" width="7.140625" style="14" bestFit="1" customWidth="1"/>
    <col min="106" max="106" width="8.42578125" style="14" bestFit="1" customWidth="1"/>
    <col min="107" max="107" width="7.42578125" style="14" bestFit="1" customWidth="1"/>
    <col min="108" max="108" width="8.85546875" style="14" bestFit="1" customWidth="1"/>
    <col min="109" max="109" width="7.140625" style="14" bestFit="1" customWidth="1"/>
    <col min="110" max="110" width="8.42578125" style="14" bestFit="1" customWidth="1"/>
    <col min="111" max="111" width="7.140625" style="14" bestFit="1" customWidth="1"/>
    <col min="112" max="112" width="8.42578125" style="14" bestFit="1" customWidth="1"/>
    <col min="113" max="113" width="7.42578125" style="14" bestFit="1" customWidth="1"/>
    <col min="114" max="114" width="8.85546875" style="14" bestFit="1" customWidth="1"/>
    <col min="115" max="16384" width="10.42578125" style="14"/>
  </cols>
  <sheetData>
    <row r="1" spans="1:114">
      <c r="B1" s="94" t="s">
        <v>682</v>
      </c>
    </row>
    <row r="2" spans="1:114" ht="15.75" thickBot="1">
      <c r="H2" s="17">
        <v>1.18</v>
      </c>
    </row>
    <row r="3" spans="1:114" ht="19.5" thickBot="1">
      <c r="A3" s="513" t="s">
        <v>1</v>
      </c>
      <c r="B3" s="475" t="s">
        <v>2</v>
      </c>
      <c r="C3" s="475" t="s">
        <v>3</v>
      </c>
      <c r="D3" s="475" t="s">
        <v>4</v>
      </c>
      <c r="E3" s="516" t="s">
        <v>1176</v>
      </c>
      <c r="F3" s="516" t="s">
        <v>1170</v>
      </c>
      <c r="G3" s="510" t="s">
        <v>1178</v>
      </c>
      <c r="H3" s="540" t="s">
        <v>5</v>
      </c>
      <c r="I3" s="488" t="s">
        <v>6</v>
      </c>
      <c r="J3" s="489"/>
      <c r="K3" s="492" t="s">
        <v>9</v>
      </c>
      <c r="L3" s="493"/>
      <c r="M3" s="469" t="s">
        <v>1197</v>
      </c>
      <c r="N3" s="485" t="s">
        <v>1196</v>
      </c>
      <c r="O3" s="478" t="s">
        <v>7</v>
      </c>
      <c r="P3" s="479"/>
      <c r="Q3" s="478" t="s">
        <v>8</v>
      </c>
      <c r="R3" s="479"/>
      <c r="S3" s="482" t="s">
        <v>9</v>
      </c>
      <c r="T3" s="483"/>
      <c r="U3" s="483"/>
      <c r="V3" s="483"/>
      <c r="W3" s="483"/>
      <c r="X3" s="483"/>
      <c r="Y3" s="483"/>
      <c r="Z3" s="483"/>
      <c r="AA3" s="483"/>
      <c r="AB3" s="483"/>
      <c r="AC3" s="483"/>
      <c r="AD3" s="483"/>
      <c r="AE3" s="483"/>
      <c r="AF3" s="483"/>
      <c r="AG3" s="483"/>
      <c r="AH3" s="483"/>
      <c r="AI3" s="483"/>
      <c r="AJ3" s="484"/>
      <c r="AK3" s="499">
        <v>2025</v>
      </c>
      <c r="AL3" s="483"/>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4"/>
    </row>
    <row r="4" spans="1:114" ht="80.25" customHeight="1" thickBot="1">
      <c r="A4" s="514"/>
      <c r="B4" s="476"/>
      <c r="C4" s="476"/>
      <c r="D4" s="476"/>
      <c r="E4" s="517"/>
      <c r="F4" s="517"/>
      <c r="G4" s="511"/>
      <c r="H4" s="541"/>
      <c r="I4" s="490"/>
      <c r="J4" s="491"/>
      <c r="K4" s="494"/>
      <c r="L4" s="495"/>
      <c r="M4" s="496"/>
      <c r="N4" s="486"/>
      <c r="O4" s="480"/>
      <c r="P4" s="481"/>
      <c r="Q4" s="480"/>
      <c r="R4" s="481"/>
      <c r="S4" s="500" t="s">
        <v>10</v>
      </c>
      <c r="T4" s="501"/>
      <c r="U4" s="501"/>
      <c r="V4" s="501"/>
      <c r="W4" s="501"/>
      <c r="X4" s="502"/>
      <c r="Y4" s="500" t="s">
        <v>11</v>
      </c>
      <c r="Z4" s="501"/>
      <c r="AA4" s="501"/>
      <c r="AB4" s="501"/>
      <c r="AC4" s="501"/>
      <c r="AD4" s="502"/>
      <c r="AE4" s="503" t="s">
        <v>9</v>
      </c>
      <c r="AF4" s="504"/>
      <c r="AG4" s="504"/>
      <c r="AH4" s="504"/>
      <c r="AI4" s="504"/>
      <c r="AJ4" s="505"/>
      <c r="AK4" s="500" t="s">
        <v>12</v>
      </c>
      <c r="AL4" s="501"/>
      <c r="AM4" s="501"/>
      <c r="AN4" s="501"/>
      <c r="AO4" s="501"/>
      <c r="AP4" s="502"/>
      <c r="AQ4" s="500" t="s">
        <v>13</v>
      </c>
      <c r="AR4" s="501"/>
      <c r="AS4" s="501"/>
      <c r="AT4" s="501"/>
      <c r="AU4" s="501"/>
      <c r="AV4" s="502"/>
      <c r="AW4" s="500" t="s">
        <v>14</v>
      </c>
      <c r="AX4" s="501"/>
      <c r="AY4" s="501"/>
      <c r="AZ4" s="501"/>
      <c r="BA4" s="501"/>
      <c r="BB4" s="502"/>
      <c r="BC4" s="500" t="s">
        <v>15</v>
      </c>
      <c r="BD4" s="501"/>
      <c r="BE4" s="501"/>
      <c r="BF4" s="501"/>
      <c r="BG4" s="501"/>
      <c r="BH4" s="502"/>
      <c r="BI4" s="500" t="s">
        <v>16</v>
      </c>
      <c r="BJ4" s="501"/>
      <c r="BK4" s="501"/>
      <c r="BL4" s="501"/>
      <c r="BM4" s="501"/>
      <c r="BN4" s="502"/>
      <c r="BO4" s="500" t="s">
        <v>17</v>
      </c>
      <c r="BP4" s="501"/>
      <c r="BQ4" s="501"/>
      <c r="BR4" s="501"/>
      <c r="BS4" s="501"/>
      <c r="BT4" s="502"/>
      <c r="BU4" s="500" t="s">
        <v>18</v>
      </c>
      <c r="BV4" s="501"/>
      <c r="BW4" s="501"/>
      <c r="BX4" s="501"/>
      <c r="BY4" s="501"/>
      <c r="BZ4" s="502"/>
      <c r="CA4" s="500" t="s">
        <v>19</v>
      </c>
      <c r="CB4" s="501"/>
      <c r="CC4" s="501"/>
      <c r="CD4" s="501"/>
      <c r="CE4" s="501"/>
      <c r="CF4" s="502"/>
      <c r="CG4" s="500" t="s">
        <v>20</v>
      </c>
      <c r="CH4" s="501"/>
      <c r="CI4" s="501"/>
      <c r="CJ4" s="501"/>
      <c r="CK4" s="501"/>
      <c r="CL4" s="502"/>
      <c r="CM4" s="500" t="s">
        <v>21</v>
      </c>
      <c r="CN4" s="501"/>
      <c r="CO4" s="501"/>
      <c r="CP4" s="501"/>
      <c r="CQ4" s="501"/>
      <c r="CR4" s="502"/>
      <c r="CS4" s="500" t="s">
        <v>22</v>
      </c>
      <c r="CT4" s="501"/>
      <c r="CU4" s="501"/>
      <c r="CV4" s="501"/>
      <c r="CW4" s="501"/>
      <c r="CX4" s="502"/>
      <c r="CY4" s="500" t="s">
        <v>23</v>
      </c>
      <c r="CZ4" s="501"/>
      <c r="DA4" s="501"/>
      <c r="DB4" s="501"/>
      <c r="DC4" s="501"/>
      <c r="DD4" s="502"/>
      <c r="DE4" s="506" t="s">
        <v>24</v>
      </c>
      <c r="DF4" s="507"/>
      <c r="DG4" s="507"/>
      <c r="DH4" s="507"/>
      <c r="DI4" s="507"/>
      <c r="DJ4" s="508"/>
    </row>
    <row r="5" spans="1:114">
      <c r="A5" s="514"/>
      <c r="B5" s="476"/>
      <c r="C5" s="476"/>
      <c r="D5" s="476"/>
      <c r="E5" s="517"/>
      <c r="F5" s="517"/>
      <c r="G5" s="511"/>
      <c r="H5" s="541"/>
      <c r="I5" s="469" t="s">
        <v>1169</v>
      </c>
      <c r="J5" s="469" t="s">
        <v>1199</v>
      </c>
      <c r="K5" s="498" t="s">
        <v>1172</v>
      </c>
      <c r="L5" s="469" t="s">
        <v>1177</v>
      </c>
      <c r="M5" s="496"/>
      <c r="N5" s="486"/>
      <c r="O5" s="471" t="s">
        <v>1169</v>
      </c>
      <c r="P5" s="473" t="s">
        <v>1168</v>
      </c>
      <c r="Q5" s="471" t="s">
        <v>1169</v>
      </c>
      <c r="R5" s="473" t="s">
        <v>1168</v>
      </c>
      <c r="S5" s="464" t="s">
        <v>1167</v>
      </c>
      <c r="T5" s="460"/>
      <c r="U5" s="460" t="s">
        <v>1166</v>
      </c>
      <c r="V5" s="461"/>
      <c r="W5" s="462" t="s">
        <v>25</v>
      </c>
      <c r="X5" s="463"/>
      <c r="Y5" s="464" t="s">
        <v>1167</v>
      </c>
      <c r="Z5" s="460"/>
      <c r="AA5" s="460" t="s">
        <v>1166</v>
      </c>
      <c r="AB5" s="461"/>
      <c r="AC5" s="462" t="s">
        <v>25</v>
      </c>
      <c r="AD5" s="463"/>
      <c r="AE5" s="464" t="s">
        <v>1167</v>
      </c>
      <c r="AF5" s="460"/>
      <c r="AG5" s="460" t="s">
        <v>1166</v>
      </c>
      <c r="AH5" s="461"/>
      <c r="AI5" s="462" t="s">
        <v>25</v>
      </c>
      <c r="AJ5" s="463"/>
      <c r="AK5" s="464" t="s">
        <v>1167</v>
      </c>
      <c r="AL5" s="460"/>
      <c r="AM5" s="460" t="s">
        <v>1166</v>
      </c>
      <c r="AN5" s="461"/>
      <c r="AO5" s="462" t="s">
        <v>25</v>
      </c>
      <c r="AP5" s="463"/>
      <c r="AQ5" s="464" t="s">
        <v>1167</v>
      </c>
      <c r="AR5" s="460"/>
      <c r="AS5" s="460" t="s">
        <v>1166</v>
      </c>
      <c r="AT5" s="461"/>
      <c r="AU5" s="462" t="s">
        <v>25</v>
      </c>
      <c r="AV5" s="463"/>
      <c r="AW5" s="464" t="s">
        <v>1167</v>
      </c>
      <c r="AX5" s="460"/>
      <c r="AY5" s="460" t="s">
        <v>1166</v>
      </c>
      <c r="AZ5" s="461"/>
      <c r="BA5" s="462" t="s">
        <v>25</v>
      </c>
      <c r="BB5" s="463"/>
      <c r="BC5" s="464" t="s">
        <v>1167</v>
      </c>
      <c r="BD5" s="460"/>
      <c r="BE5" s="460" t="s">
        <v>1166</v>
      </c>
      <c r="BF5" s="461"/>
      <c r="BG5" s="462" t="s">
        <v>25</v>
      </c>
      <c r="BH5" s="463"/>
      <c r="BI5" s="464" t="s">
        <v>1167</v>
      </c>
      <c r="BJ5" s="460"/>
      <c r="BK5" s="460" t="s">
        <v>1166</v>
      </c>
      <c r="BL5" s="461"/>
      <c r="BM5" s="462" t="s">
        <v>25</v>
      </c>
      <c r="BN5" s="463"/>
      <c r="BO5" s="464" t="s">
        <v>1167</v>
      </c>
      <c r="BP5" s="460"/>
      <c r="BQ5" s="460" t="s">
        <v>1166</v>
      </c>
      <c r="BR5" s="461"/>
      <c r="BS5" s="462" t="s">
        <v>25</v>
      </c>
      <c r="BT5" s="463"/>
      <c r="BU5" s="464" t="s">
        <v>1167</v>
      </c>
      <c r="BV5" s="460"/>
      <c r="BW5" s="460" t="s">
        <v>1166</v>
      </c>
      <c r="BX5" s="461"/>
      <c r="BY5" s="462" t="s">
        <v>25</v>
      </c>
      <c r="BZ5" s="463"/>
      <c r="CA5" s="464" t="s">
        <v>1167</v>
      </c>
      <c r="CB5" s="460"/>
      <c r="CC5" s="460" t="s">
        <v>1166</v>
      </c>
      <c r="CD5" s="461"/>
      <c r="CE5" s="462" t="s">
        <v>25</v>
      </c>
      <c r="CF5" s="463"/>
      <c r="CG5" s="464" t="s">
        <v>1167</v>
      </c>
      <c r="CH5" s="460"/>
      <c r="CI5" s="460" t="s">
        <v>1166</v>
      </c>
      <c r="CJ5" s="461"/>
      <c r="CK5" s="462" t="s">
        <v>25</v>
      </c>
      <c r="CL5" s="463"/>
      <c r="CM5" s="464" t="s">
        <v>1167</v>
      </c>
      <c r="CN5" s="460"/>
      <c r="CO5" s="460" t="s">
        <v>1166</v>
      </c>
      <c r="CP5" s="461"/>
      <c r="CQ5" s="462" t="s">
        <v>25</v>
      </c>
      <c r="CR5" s="463"/>
      <c r="CS5" s="464" t="s">
        <v>1167</v>
      </c>
      <c r="CT5" s="460"/>
      <c r="CU5" s="460" t="s">
        <v>1166</v>
      </c>
      <c r="CV5" s="461"/>
      <c r="CW5" s="462" t="s">
        <v>25</v>
      </c>
      <c r="CX5" s="463"/>
      <c r="CY5" s="464" t="s">
        <v>1167</v>
      </c>
      <c r="CZ5" s="460"/>
      <c r="DA5" s="460" t="s">
        <v>1166</v>
      </c>
      <c r="DB5" s="461"/>
      <c r="DC5" s="462" t="s">
        <v>25</v>
      </c>
      <c r="DD5" s="463"/>
      <c r="DE5" s="464" t="s">
        <v>1167</v>
      </c>
      <c r="DF5" s="460"/>
      <c r="DG5" s="460" t="s">
        <v>1166</v>
      </c>
      <c r="DH5" s="461"/>
      <c r="DI5" s="462" t="s">
        <v>25</v>
      </c>
      <c r="DJ5" s="463"/>
    </row>
    <row r="6" spans="1:114" ht="15.75" thickBot="1">
      <c r="A6" s="538"/>
      <c r="B6" s="539"/>
      <c r="C6" s="539"/>
      <c r="D6" s="539"/>
      <c r="E6" s="518"/>
      <c r="F6" s="518"/>
      <c r="G6" s="512"/>
      <c r="H6" s="542"/>
      <c r="I6" s="470"/>
      <c r="J6" s="497"/>
      <c r="K6" s="497"/>
      <c r="L6" s="497"/>
      <c r="M6" s="470"/>
      <c r="N6" s="487"/>
      <c r="O6" s="472"/>
      <c r="P6" s="474"/>
      <c r="Q6" s="472"/>
      <c r="R6" s="474"/>
      <c r="S6" s="2" t="s">
        <v>26</v>
      </c>
      <c r="T6" s="3" t="s">
        <v>27</v>
      </c>
      <c r="U6" s="3" t="s">
        <v>26</v>
      </c>
      <c r="V6" s="4" t="s">
        <v>27</v>
      </c>
      <c r="W6" s="5" t="s">
        <v>26</v>
      </c>
      <c r="X6" s="6" t="s">
        <v>27</v>
      </c>
      <c r="Y6" s="2" t="s">
        <v>26</v>
      </c>
      <c r="Z6" s="3" t="s">
        <v>27</v>
      </c>
      <c r="AA6" s="3" t="s">
        <v>26</v>
      </c>
      <c r="AB6" s="4" t="s">
        <v>27</v>
      </c>
      <c r="AC6" s="5" t="s">
        <v>26</v>
      </c>
      <c r="AD6" s="6" t="s">
        <v>27</v>
      </c>
      <c r="AE6" s="2" t="s">
        <v>26</v>
      </c>
      <c r="AF6" s="3" t="s">
        <v>27</v>
      </c>
      <c r="AG6" s="3" t="s">
        <v>26</v>
      </c>
      <c r="AH6" s="4" t="s">
        <v>27</v>
      </c>
      <c r="AI6" s="5" t="s">
        <v>26</v>
      </c>
      <c r="AJ6" s="6" t="s">
        <v>27</v>
      </c>
      <c r="AK6" s="2" t="s">
        <v>26</v>
      </c>
      <c r="AL6" s="3" t="s">
        <v>27</v>
      </c>
      <c r="AM6" s="3" t="s">
        <v>26</v>
      </c>
      <c r="AN6" s="4" t="s">
        <v>27</v>
      </c>
      <c r="AO6" s="5" t="s">
        <v>26</v>
      </c>
      <c r="AP6" s="6" t="s">
        <v>27</v>
      </c>
      <c r="AQ6" s="2" t="s">
        <v>26</v>
      </c>
      <c r="AR6" s="3" t="s">
        <v>27</v>
      </c>
      <c r="AS6" s="3" t="s">
        <v>26</v>
      </c>
      <c r="AT6" s="4" t="s">
        <v>27</v>
      </c>
      <c r="AU6" s="5" t="s">
        <v>26</v>
      </c>
      <c r="AV6" s="6" t="s">
        <v>27</v>
      </c>
      <c r="AW6" s="2" t="s">
        <v>26</v>
      </c>
      <c r="AX6" s="3" t="s">
        <v>27</v>
      </c>
      <c r="AY6" s="3" t="s">
        <v>26</v>
      </c>
      <c r="AZ6" s="4" t="s">
        <v>27</v>
      </c>
      <c r="BA6" s="5" t="s">
        <v>26</v>
      </c>
      <c r="BB6" s="6" t="s">
        <v>27</v>
      </c>
      <c r="BC6" s="2" t="s">
        <v>26</v>
      </c>
      <c r="BD6" s="3" t="s">
        <v>27</v>
      </c>
      <c r="BE6" s="3" t="s">
        <v>26</v>
      </c>
      <c r="BF6" s="4" t="s">
        <v>27</v>
      </c>
      <c r="BG6" s="5" t="s">
        <v>26</v>
      </c>
      <c r="BH6" s="6" t="s">
        <v>27</v>
      </c>
      <c r="BI6" s="2" t="s">
        <v>26</v>
      </c>
      <c r="BJ6" s="3" t="s">
        <v>27</v>
      </c>
      <c r="BK6" s="3" t="s">
        <v>26</v>
      </c>
      <c r="BL6" s="4" t="s">
        <v>27</v>
      </c>
      <c r="BM6" s="5" t="s">
        <v>26</v>
      </c>
      <c r="BN6" s="6" t="s">
        <v>27</v>
      </c>
      <c r="BO6" s="2" t="s">
        <v>26</v>
      </c>
      <c r="BP6" s="3" t="s">
        <v>27</v>
      </c>
      <c r="BQ6" s="3" t="s">
        <v>26</v>
      </c>
      <c r="BR6" s="4" t="s">
        <v>27</v>
      </c>
      <c r="BS6" s="5" t="s">
        <v>26</v>
      </c>
      <c r="BT6" s="6" t="s">
        <v>27</v>
      </c>
      <c r="BU6" s="2" t="s">
        <v>26</v>
      </c>
      <c r="BV6" s="3" t="s">
        <v>27</v>
      </c>
      <c r="BW6" s="3" t="s">
        <v>26</v>
      </c>
      <c r="BX6" s="4" t="s">
        <v>27</v>
      </c>
      <c r="BY6" s="5" t="s">
        <v>26</v>
      </c>
      <c r="BZ6" s="6" t="s">
        <v>27</v>
      </c>
      <c r="CA6" s="2" t="s">
        <v>26</v>
      </c>
      <c r="CB6" s="3" t="s">
        <v>27</v>
      </c>
      <c r="CC6" s="3" t="s">
        <v>26</v>
      </c>
      <c r="CD6" s="4" t="s">
        <v>27</v>
      </c>
      <c r="CE6" s="5" t="s">
        <v>26</v>
      </c>
      <c r="CF6" s="6" t="s">
        <v>27</v>
      </c>
      <c r="CG6" s="2" t="s">
        <v>26</v>
      </c>
      <c r="CH6" s="3" t="s">
        <v>27</v>
      </c>
      <c r="CI6" s="3" t="s">
        <v>26</v>
      </c>
      <c r="CJ6" s="4" t="s">
        <v>27</v>
      </c>
      <c r="CK6" s="5" t="s">
        <v>26</v>
      </c>
      <c r="CL6" s="6" t="s">
        <v>27</v>
      </c>
      <c r="CM6" s="2" t="s">
        <v>26</v>
      </c>
      <c r="CN6" s="3" t="s">
        <v>27</v>
      </c>
      <c r="CO6" s="3" t="s">
        <v>26</v>
      </c>
      <c r="CP6" s="4" t="s">
        <v>27</v>
      </c>
      <c r="CQ6" s="5" t="s">
        <v>26</v>
      </c>
      <c r="CR6" s="6" t="s">
        <v>27</v>
      </c>
      <c r="CS6" s="2" t="s">
        <v>26</v>
      </c>
      <c r="CT6" s="3" t="s">
        <v>27</v>
      </c>
      <c r="CU6" s="3" t="s">
        <v>26</v>
      </c>
      <c r="CV6" s="4" t="s">
        <v>27</v>
      </c>
      <c r="CW6" s="5" t="s">
        <v>26</v>
      </c>
      <c r="CX6" s="6" t="s">
        <v>27</v>
      </c>
      <c r="CY6" s="2" t="s">
        <v>26</v>
      </c>
      <c r="CZ6" s="3" t="s">
        <v>27</v>
      </c>
      <c r="DA6" s="3" t="s">
        <v>26</v>
      </c>
      <c r="DB6" s="4" t="s">
        <v>27</v>
      </c>
      <c r="DC6" s="5" t="s">
        <v>26</v>
      </c>
      <c r="DD6" s="6" t="s">
        <v>27</v>
      </c>
      <c r="DE6" s="2" t="s">
        <v>26</v>
      </c>
      <c r="DF6" s="3" t="s">
        <v>27</v>
      </c>
      <c r="DG6" s="3" t="s">
        <v>26</v>
      </c>
      <c r="DH6" s="4" t="s">
        <v>27</v>
      </c>
      <c r="DI6" s="5" t="s">
        <v>26</v>
      </c>
      <c r="DJ6" s="6" t="s">
        <v>27</v>
      </c>
    </row>
    <row r="7" spans="1:114" ht="15.75">
      <c r="A7" s="19">
        <f t="shared" ref="A7:C7" si="0">SUBTOTAL(3,A9:A10)</f>
        <v>2</v>
      </c>
      <c r="B7" s="19">
        <f t="shared" si="0"/>
        <v>2</v>
      </c>
      <c r="C7" s="19">
        <f t="shared" si="0"/>
        <v>1</v>
      </c>
      <c r="D7" s="19">
        <f>SUBTOTAL(3,D9:D10)</f>
        <v>2</v>
      </c>
      <c r="E7" s="19">
        <f>SUBTOTAL(3,E9:E10)</f>
        <v>2</v>
      </c>
      <c r="F7" s="19">
        <f t="shared" ref="F7:G7" si="1">SUBTOTAL(9,F9:F10)</f>
        <v>0</v>
      </c>
      <c r="G7" s="19">
        <f t="shared" si="1"/>
        <v>54607</v>
      </c>
      <c r="H7" s="19">
        <f>SUBTOTAL(9,H9:H10)</f>
        <v>0</v>
      </c>
      <c r="I7" s="19">
        <f t="shared" ref="I7:BT7" si="2">SUBTOTAL(9,I9:I10)</f>
        <v>0</v>
      </c>
      <c r="J7" s="19">
        <f t="shared" si="2"/>
        <v>0</v>
      </c>
      <c r="K7" s="19">
        <f t="shared" si="2"/>
        <v>54607</v>
      </c>
      <c r="L7" s="19">
        <f t="shared" si="2"/>
        <v>54607</v>
      </c>
      <c r="M7" s="19">
        <f t="shared" si="2"/>
        <v>54607</v>
      </c>
      <c r="N7" s="19">
        <f t="shared" si="2"/>
        <v>54607</v>
      </c>
      <c r="O7" s="19">
        <f t="shared" si="2"/>
        <v>0</v>
      </c>
      <c r="P7" s="19">
        <f t="shared" si="2"/>
        <v>28493.5</v>
      </c>
      <c r="Q7" s="19">
        <f t="shared" si="2"/>
        <v>0</v>
      </c>
      <c r="R7" s="19">
        <f t="shared" si="2"/>
        <v>28493.5</v>
      </c>
      <c r="S7" s="19">
        <f t="shared" si="2"/>
        <v>0</v>
      </c>
      <c r="T7" s="19">
        <f t="shared" si="2"/>
        <v>0</v>
      </c>
      <c r="U7" s="19">
        <f t="shared" si="2"/>
        <v>26000</v>
      </c>
      <c r="V7" s="19">
        <f t="shared" si="2"/>
        <v>26113.5</v>
      </c>
      <c r="W7" s="19">
        <f t="shared" si="2"/>
        <v>26000</v>
      </c>
      <c r="X7" s="19">
        <f t="shared" si="2"/>
        <v>26113.5</v>
      </c>
      <c r="Y7" s="19">
        <f t="shared" si="2"/>
        <v>0</v>
      </c>
      <c r="Z7" s="19">
        <f t="shared" si="2"/>
        <v>0</v>
      </c>
      <c r="AA7" s="19">
        <f t="shared" si="2"/>
        <v>0</v>
      </c>
      <c r="AB7" s="19">
        <f t="shared" si="2"/>
        <v>0</v>
      </c>
      <c r="AC7" s="19">
        <f t="shared" si="2"/>
        <v>0</v>
      </c>
      <c r="AD7" s="19">
        <f t="shared" si="2"/>
        <v>0</v>
      </c>
      <c r="AE7" s="19">
        <f t="shared" si="2"/>
        <v>0</v>
      </c>
      <c r="AF7" s="19">
        <f t="shared" si="2"/>
        <v>0</v>
      </c>
      <c r="AG7" s="19">
        <f t="shared" si="2"/>
        <v>54493.5</v>
      </c>
      <c r="AH7" s="19">
        <f t="shared" si="2"/>
        <v>54607</v>
      </c>
      <c r="AI7" s="19">
        <f t="shared" si="2"/>
        <v>54493.5</v>
      </c>
      <c r="AJ7" s="19">
        <f t="shared" si="2"/>
        <v>54607</v>
      </c>
      <c r="AK7" s="19">
        <f t="shared" si="2"/>
        <v>0</v>
      </c>
      <c r="AL7" s="19">
        <f t="shared" si="2"/>
        <v>0</v>
      </c>
      <c r="AM7" s="19">
        <f t="shared" si="2"/>
        <v>0</v>
      </c>
      <c r="AN7" s="19">
        <f t="shared" si="2"/>
        <v>0</v>
      </c>
      <c r="AO7" s="19">
        <f t="shared" si="2"/>
        <v>0</v>
      </c>
      <c r="AP7" s="19">
        <f t="shared" si="2"/>
        <v>0</v>
      </c>
      <c r="AQ7" s="19">
        <f t="shared" si="2"/>
        <v>0</v>
      </c>
      <c r="AR7" s="19">
        <f t="shared" si="2"/>
        <v>0</v>
      </c>
      <c r="AS7" s="19">
        <f t="shared" si="2"/>
        <v>0</v>
      </c>
      <c r="AT7" s="19">
        <f t="shared" si="2"/>
        <v>0</v>
      </c>
      <c r="AU7" s="19">
        <f t="shared" si="2"/>
        <v>0</v>
      </c>
      <c r="AV7" s="19">
        <f t="shared" si="2"/>
        <v>0</v>
      </c>
      <c r="AW7" s="19">
        <f t="shared" si="2"/>
        <v>0</v>
      </c>
      <c r="AX7" s="19">
        <f t="shared" si="2"/>
        <v>0</v>
      </c>
      <c r="AY7" s="19">
        <f t="shared" si="2"/>
        <v>0</v>
      </c>
      <c r="AZ7" s="19">
        <f t="shared" si="2"/>
        <v>0</v>
      </c>
      <c r="BA7" s="19">
        <f t="shared" si="2"/>
        <v>0</v>
      </c>
      <c r="BB7" s="19">
        <f t="shared" si="2"/>
        <v>0</v>
      </c>
      <c r="BC7" s="19">
        <f t="shared" si="2"/>
        <v>0</v>
      </c>
      <c r="BD7" s="19">
        <f t="shared" si="2"/>
        <v>0</v>
      </c>
      <c r="BE7" s="19">
        <f t="shared" si="2"/>
        <v>0</v>
      </c>
      <c r="BF7" s="19">
        <f t="shared" si="2"/>
        <v>0</v>
      </c>
      <c r="BG7" s="19">
        <f t="shared" si="2"/>
        <v>0</v>
      </c>
      <c r="BH7" s="19">
        <f t="shared" si="2"/>
        <v>0</v>
      </c>
      <c r="BI7" s="19">
        <f t="shared" si="2"/>
        <v>0</v>
      </c>
      <c r="BJ7" s="19">
        <f t="shared" si="2"/>
        <v>0</v>
      </c>
      <c r="BK7" s="19">
        <f t="shared" si="2"/>
        <v>0</v>
      </c>
      <c r="BL7" s="19">
        <f t="shared" si="2"/>
        <v>0</v>
      </c>
      <c r="BM7" s="19">
        <f t="shared" si="2"/>
        <v>0</v>
      </c>
      <c r="BN7" s="19">
        <f t="shared" si="2"/>
        <v>0</v>
      </c>
      <c r="BO7" s="19">
        <f t="shared" si="2"/>
        <v>0</v>
      </c>
      <c r="BP7" s="19">
        <f t="shared" si="2"/>
        <v>0</v>
      </c>
      <c r="BQ7" s="19">
        <f t="shared" si="2"/>
        <v>0</v>
      </c>
      <c r="BR7" s="19">
        <f t="shared" si="2"/>
        <v>0</v>
      </c>
      <c r="BS7" s="19">
        <f t="shared" si="2"/>
        <v>0</v>
      </c>
      <c r="BT7" s="19">
        <f t="shared" si="2"/>
        <v>0</v>
      </c>
      <c r="BU7" s="19">
        <f t="shared" ref="BU7:DJ7" si="3">SUBTOTAL(9,BU9:BU10)</f>
        <v>0</v>
      </c>
      <c r="BV7" s="19">
        <f t="shared" si="3"/>
        <v>0</v>
      </c>
      <c r="BW7" s="19">
        <f t="shared" si="3"/>
        <v>0</v>
      </c>
      <c r="BX7" s="19">
        <f t="shared" si="3"/>
        <v>0</v>
      </c>
      <c r="BY7" s="19">
        <f t="shared" si="3"/>
        <v>0</v>
      </c>
      <c r="BZ7" s="19">
        <f t="shared" si="3"/>
        <v>0</v>
      </c>
      <c r="CA7" s="19">
        <f t="shared" si="3"/>
        <v>0</v>
      </c>
      <c r="CB7" s="19">
        <f t="shared" si="3"/>
        <v>0</v>
      </c>
      <c r="CC7" s="19">
        <f t="shared" si="3"/>
        <v>0</v>
      </c>
      <c r="CD7" s="19">
        <f t="shared" si="3"/>
        <v>0</v>
      </c>
      <c r="CE7" s="19">
        <f t="shared" si="3"/>
        <v>0</v>
      </c>
      <c r="CF7" s="19">
        <f t="shared" si="3"/>
        <v>0</v>
      </c>
      <c r="CG7" s="19">
        <f t="shared" si="3"/>
        <v>0</v>
      </c>
      <c r="CH7" s="19">
        <f t="shared" si="3"/>
        <v>0</v>
      </c>
      <c r="CI7" s="19">
        <f t="shared" si="3"/>
        <v>0</v>
      </c>
      <c r="CJ7" s="19">
        <f t="shared" si="3"/>
        <v>0</v>
      </c>
      <c r="CK7" s="19">
        <f t="shared" si="3"/>
        <v>0</v>
      </c>
      <c r="CL7" s="19">
        <f t="shared" si="3"/>
        <v>0</v>
      </c>
      <c r="CM7" s="19">
        <f t="shared" si="3"/>
        <v>0</v>
      </c>
      <c r="CN7" s="19">
        <f t="shared" si="3"/>
        <v>0</v>
      </c>
      <c r="CO7" s="19">
        <f t="shared" si="3"/>
        <v>0</v>
      </c>
      <c r="CP7" s="19">
        <f t="shared" si="3"/>
        <v>0</v>
      </c>
      <c r="CQ7" s="19">
        <f t="shared" si="3"/>
        <v>0</v>
      </c>
      <c r="CR7" s="19">
        <f t="shared" si="3"/>
        <v>0</v>
      </c>
      <c r="CS7" s="19">
        <f t="shared" si="3"/>
        <v>0</v>
      </c>
      <c r="CT7" s="19">
        <f t="shared" si="3"/>
        <v>0</v>
      </c>
      <c r="CU7" s="19">
        <f t="shared" si="3"/>
        <v>0</v>
      </c>
      <c r="CV7" s="19">
        <f t="shared" si="3"/>
        <v>0</v>
      </c>
      <c r="CW7" s="19">
        <f t="shared" si="3"/>
        <v>0</v>
      </c>
      <c r="CX7" s="19">
        <f t="shared" si="3"/>
        <v>0</v>
      </c>
      <c r="CY7" s="19">
        <f t="shared" si="3"/>
        <v>0</v>
      </c>
      <c r="CZ7" s="19">
        <f t="shared" si="3"/>
        <v>0</v>
      </c>
      <c r="DA7" s="19">
        <f t="shared" si="3"/>
        <v>0</v>
      </c>
      <c r="DB7" s="19">
        <f t="shared" si="3"/>
        <v>0</v>
      </c>
      <c r="DC7" s="19">
        <f t="shared" si="3"/>
        <v>0</v>
      </c>
      <c r="DD7" s="19">
        <f t="shared" si="3"/>
        <v>0</v>
      </c>
      <c r="DE7" s="19">
        <f t="shared" si="3"/>
        <v>0</v>
      </c>
      <c r="DF7" s="19">
        <f t="shared" si="3"/>
        <v>0</v>
      </c>
      <c r="DG7" s="19">
        <f t="shared" si="3"/>
        <v>0</v>
      </c>
      <c r="DH7" s="19">
        <f t="shared" si="3"/>
        <v>0</v>
      </c>
      <c r="DI7" s="19">
        <f t="shared" si="3"/>
        <v>0</v>
      </c>
      <c r="DJ7" s="19">
        <f t="shared" si="3"/>
        <v>0</v>
      </c>
    </row>
    <row r="8" spans="1:114" ht="7.5" customHeight="1">
      <c r="A8" s="21"/>
      <c r="B8" s="22"/>
      <c r="C8" s="22"/>
      <c r="D8" s="22"/>
      <c r="E8" s="22"/>
      <c r="F8" s="22"/>
      <c r="G8" s="22"/>
      <c r="H8" s="23"/>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3"/>
      <c r="AL8" s="23"/>
      <c r="AM8" s="23"/>
      <c r="AN8" s="23"/>
      <c r="AO8" s="23"/>
      <c r="AP8" s="23"/>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row>
    <row r="9" spans="1:114">
      <c r="A9" s="25">
        <v>1</v>
      </c>
      <c r="B9" s="26" t="s">
        <v>94</v>
      </c>
      <c r="C9" s="26"/>
      <c r="D9" s="26" t="s">
        <v>693</v>
      </c>
      <c r="E9" s="26" t="s">
        <v>1164</v>
      </c>
      <c r="F9" s="161">
        <f>SUM(DI9)</f>
        <v>0</v>
      </c>
      <c r="G9" s="165">
        <f>I9+AJ9+DI9</f>
        <v>26113.5</v>
      </c>
      <c r="H9" s="27">
        <v>0</v>
      </c>
      <c r="I9" s="176">
        <v>0</v>
      </c>
      <c r="J9" s="176">
        <v>0</v>
      </c>
      <c r="K9" s="127">
        <f t="shared" ref="K9" si="4">AJ9</f>
        <v>26113.5</v>
      </c>
      <c r="L9" s="127">
        <f t="shared" ref="L9" si="5">IF(AH9&gt;0,I9+AJ9-J9,0)</f>
        <v>26113.5</v>
      </c>
      <c r="M9" s="127">
        <f t="shared" ref="M9" si="6">I9+K9</f>
        <v>26113.5</v>
      </c>
      <c r="N9" s="125">
        <f>IF(AND(AH9&gt;0,DH9&gt;0),"შეცდომაა! ერთზე მეტი ბოლო ჩაბარება!",IF(OR(AH9&gt;0,DH9&gt;0,),IF(AH9&gt;0,I9+AJ9,I9+AJ9+DJ9),IF(AND(I9=0,K9=0,DJ9=0),"ნულოვანი შესრულება","მიმდინარეობს")))</f>
        <v>26113.5</v>
      </c>
      <c r="O9" s="27">
        <v>0</v>
      </c>
      <c r="P9" s="27">
        <v>0</v>
      </c>
      <c r="Q9" s="27">
        <f>I9+O9</f>
        <v>0</v>
      </c>
      <c r="R9" s="27">
        <f t="shared" ref="R9:R10" si="7">P9</f>
        <v>0</v>
      </c>
      <c r="S9" s="27"/>
      <c r="T9" s="27"/>
      <c r="U9" s="27">
        <v>26000</v>
      </c>
      <c r="V9" s="27">
        <v>26113.5</v>
      </c>
      <c r="W9" s="27">
        <f t="shared" ref="W9:X10" si="8">S9+U9</f>
        <v>26000</v>
      </c>
      <c r="X9" s="27">
        <f t="shared" si="8"/>
        <v>26113.5</v>
      </c>
      <c r="Y9" s="27"/>
      <c r="Z9" s="27"/>
      <c r="AA9" s="27"/>
      <c r="AB9" s="27"/>
      <c r="AC9" s="27">
        <f t="shared" ref="AC9:AD9" si="9">Y9+AA9</f>
        <v>0</v>
      </c>
      <c r="AD9" s="27">
        <f t="shared" si="9"/>
        <v>0</v>
      </c>
      <c r="AE9" s="27">
        <f>O9+S9+Y9</f>
        <v>0</v>
      </c>
      <c r="AF9" s="27">
        <f>O9+T9+Z9</f>
        <v>0</v>
      </c>
      <c r="AG9" s="27">
        <f t="shared" ref="AG9:AG10" si="10">P9+U9+AA9</f>
        <v>26000</v>
      </c>
      <c r="AH9" s="27">
        <f>P9+V9+AB9</f>
        <v>26113.5</v>
      </c>
      <c r="AI9" s="27">
        <f t="shared" ref="AI9:AJ10" si="11">AE9+AG9</f>
        <v>26000</v>
      </c>
      <c r="AJ9" s="27">
        <f t="shared" si="11"/>
        <v>26113.5</v>
      </c>
      <c r="AK9" s="27"/>
      <c r="AL9" s="27"/>
      <c r="AM9" s="27"/>
      <c r="AN9" s="27"/>
      <c r="AO9" s="27">
        <f t="shared" ref="AO9:AP9" si="12">AK9+AM9</f>
        <v>0</v>
      </c>
      <c r="AP9" s="27">
        <f t="shared" si="12"/>
        <v>0</v>
      </c>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c r="DI9" s="27"/>
      <c r="DJ9" s="27"/>
    </row>
    <row r="10" spans="1:114">
      <c r="A10" s="25">
        <v>2</v>
      </c>
      <c r="B10" s="26" t="s">
        <v>694</v>
      </c>
      <c r="C10" s="26" t="s">
        <v>695</v>
      </c>
      <c r="D10" s="26" t="s">
        <v>696</v>
      </c>
      <c r="E10" s="26" t="s">
        <v>1164</v>
      </c>
      <c r="F10" s="161">
        <f>SUM(DI10)</f>
        <v>0</v>
      </c>
      <c r="G10" s="165">
        <f>I10+AJ10+DI10</f>
        <v>28493.5</v>
      </c>
      <c r="H10" s="27">
        <v>0</v>
      </c>
      <c r="I10" s="176">
        <v>0</v>
      </c>
      <c r="J10" s="176">
        <v>0</v>
      </c>
      <c r="K10" s="127">
        <f t="shared" ref="K10" si="13">AJ10</f>
        <v>28493.5</v>
      </c>
      <c r="L10" s="127">
        <f t="shared" ref="L10" si="14">IF(AH10&gt;0,I10+AJ10-J10,0)</f>
        <v>28493.5</v>
      </c>
      <c r="M10" s="127">
        <f t="shared" ref="M10" si="15">I10+K10</f>
        <v>28493.5</v>
      </c>
      <c r="N10" s="125">
        <f>IF(AND(AH10&gt;0,DH10&gt;0),"შეცდომაა! ერთზე მეტი ბოლო ჩაბარება!",IF(OR(AH10&gt;0,DH10&gt;0,),IF(AH10&gt;0,I10+AJ10,I10+AJ10+DJ10),IF(AND(I10=0,K10=0,DJ10=0),"ნულოვანი შესრულება","მიმდინარეობს")))</f>
        <v>28493.5</v>
      </c>
      <c r="O10" s="27"/>
      <c r="P10" s="27">
        <v>28493.5</v>
      </c>
      <c r="Q10" s="27">
        <f>I10+O10</f>
        <v>0</v>
      </c>
      <c r="R10" s="27">
        <f t="shared" si="7"/>
        <v>28493.5</v>
      </c>
      <c r="S10" s="27">
        <v>0</v>
      </c>
      <c r="T10" s="27">
        <v>0</v>
      </c>
      <c r="U10" s="27">
        <v>0</v>
      </c>
      <c r="V10" s="27">
        <v>0</v>
      </c>
      <c r="W10" s="27">
        <f t="shared" si="8"/>
        <v>0</v>
      </c>
      <c r="X10" s="27">
        <f t="shared" si="8"/>
        <v>0</v>
      </c>
      <c r="Y10" s="27"/>
      <c r="Z10" s="27"/>
      <c r="AA10" s="27"/>
      <c r="AB10" s="27"/>
      <c r="AC10" s="27"/>
      <c r="AD10" s="27"/>
      <c r="AE10" s="27">
        <f t="shared" ref="AE10" si="16">O10+S10+Y10</f>
        <v>0</v>
      </c>
      <c r="AF10" s="27">
        <f t="shared" ref="AF10" si="17">O10+T10+Z10</f>
        <v>0</v>
      </c>
      <c r="AG10" s="27">
        <f t="shared" si="10"/>
        <v>28493.5</v>
      </c>
      <c r="AH10" s="27">
        <f t="shared" ref="AH10" si="18">P10+V10+AB10</f>
        <v>28493.5</v>
      </c>
      <c r="AI10" s="27">
        <f t="shared" si="11"/>
        <v>28493.5</v>
      </c>
      <c r="AJ10" s="27">
        <f t="shared" si="11"/>
        <v>28493.5</v>
      </c>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27"/>
      <c r="DF10" s="27"/>
      <c r="DG10" s="27"/>
      <c r="DH10" s="27"/>
      <c r="DI10" s="27"/>
      <c r="DJ10" s="27"/>
    </row>
  </sheetData>
  <mergeCells count="88">
    <mergeCell ref="I5:I6"/>
    <mergeCell ref="E3:E6"/>
    <mergeCell ref="F3:F6"/>
    <mergeCell ref="G3:G6"/>
    <mergeCell ref="I3:J4"/>
    <mergeCell ref="A3:A6"/>
    <mergeCell ref="B3:B6"/>
    <mergeCell ref="C3:C6"/>
    <mergeCell ref="D3:D6"/>
    <mergeCell ref="H3:H6"/>
    <mergeCell ref="O3:P4"/>
    <mergeCell ref="Q3:R4"/>
    <mergeCell ref="S3:AJ3"/>
    <mergeCell ref="AK3:DJ3"/>
    <mergeCell ref="S4:X4"/>
    <mergeCell ref="Y4:AD4"/>
    <mergeCell ref="AE4:AJ4"/>
    <mergeCell ref="AK4:AP4"/>
    <mergeCell ref="AQ4:AV4"/>
    <mergeCell ref="AW4:BB4"/>
    <mergeCell ref="CM4:CR4"/>
    <mergeCell ref="CS4:CX4"/>
    <mergeCell ref="CY4:DD4"/>
    <mergeCell ref="DE4:DJ4"/>
    <mergeCell ref="BC4:BH4"/>
    <mergeCell ref="BI4:BN4"/>
    <mergeCell ref="O5:O6"/>
    <mergeCell ref="P5:P6"/>
    <mergeCell ref="Q5:Q6"/>
    <mergeCell ref="R5:R6"/>
    <mergeCell ref="S5:T5"/>
    <mergeCell ref="BO4:BT4"/>
    <mergeCell ref="BU4:BZ4"/>
    <mergeCell ref="CA4:CF4"/>
    <mergeCell ref="CG4:CL4"/>
    <mergeCell ref="AQ5:AR5"/>
    <mergeCell ref="BQ5:BR5"/>
    <mergeCell ref="BS5:BT5"/>
    <mergeCell ref="BU5:BV5"/>
    <mergeCell ref="BW5:BX5"/>
    <mergeCell ref="BY5:BZ5"/>
    <mergeCell ref="CA5:CB5"/>
    <mergeCell ref="U5:V5"/>
    <mergeCell ref="W5:X5"/>
    <mergeCell ref="Y5:Z5"/>
    <mergeCell ref="AA5:AB5"/>
    <mergeCell ref="AC5:AD5"/>
    <mergeCell ref="AE5:AF5"/>
    <mergeCell ref="AG5:AH5"/>
    <mergeCell ref="AI5:AJ5"/>
    <mergeCell ref="AK5:AL5"/>
    <mergeCell ref="AM5:AN5"/>
    <mergeCell ref="AO5:AP5"/>
    <mergeCell ref="BO5:BP5"/>
    <mergeCell ref="AS5:AT5"/>
    <mergeCell ref="AU5:AV5"/>
    <mergeCell ref="AW5:AX5"/>
    <mergeCell ref="AY5:AZ5"/>
    <mergeCell ref="BA5:BB5"/>
    <mergeCell ref="BC5:BD5"/>
    <mergeCell ref="BE5:BF5"/>
    <mergeCell ref="BG5:BH5"/>
    <mergeCell ref="BI5:BJ5"/>
    <mergeCell ref="BK5:BL5"/>
    <mergeCell ref="BM5:BN5"/>
    <mergeCell ref="CW5:CX5"/>
    <mergeCell ref="CY5:CZ5"/>
    <mergeCell ref="CC5:CD5"/>
    <mergeCell ref="CE5:CF5"/>
    <mergeCell ref="CG5:CH5"/>
    <mergeCell ref="CI5:CJ5"/>
    <mergeCell ref="CK5:CL5"/>
    <mergeCell ref="CM5:CN5"/>
    <mergeCell ref="CO5:CP5"/>
    <mergeCell ref="CQ5:CR5"/>
    <mergeCell ref="CS5:CT5"/>
    <mergeCell ref="CU5:CV5"/>
    <mergeCell ref="DA5:DB5"/>
    <mergeCell ref="DC5:DD5"/>
    <mergeCell ref="DE5:DF5"/>
    <mergeCell ref="DG5:DH5"/>
    <mergeCell ref="DI5:DJ5"/>
    <mergeCell ref="K3:L4"/>
    <mergeCell ref="M3:M6"/>
    <mergeCell ref="N3:N6"/>
    <mergeCell ref="J5:J6"/>
    <mergeCell ref="K5:K6"/>
    <mergeCell ref="L5:L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A1:DJ12"/>
  <sheetViews>
    <sheetView workbookViewId="0">
      <pane ySplit="7" topLeftCell="A8" activePane="bottomLeft" state="frozen"/>
      <selection activeCell="F32" sqref="F32"/>
      <selection pane="bottomLeft" activeCell="M25" sqref="M25"/>
    </sheetView>
  </sheetViews>
  <sheetFormatPr defaultColWidth="10.42578125" defaultRowHeight="15"/>
  <cols>
    <col min="1" max="1" width="6" style="14" customWidth="1"/>
    <col min="2" max="2" width="18.42578125" style="14" customWidth="1"/>
    <col min="3" max="3" width="11.28515625" style="14" customWidth="1"/>
    <col min="4" max="4" width="48.28515625" style="14" customWidth="1"/>
    <col min="5" max="5" width="15.5703125" style="14" bestFit="1" customWidth="1"/>
    <col min="6" max="6" width="10.5703125" style="14" bestFit="1" customWidth="1"/>
    <col min="7" max="7" width="14" style="14" bestFit="1" customWidth="1"/>
    <col min="8" max="8" width="16.7109375" style="17" customWidth="1"/>
    <col min="9" max="9" width="14" style="14" bestFit="1" customWidth="1"/>
    <col min="10" max="14" width="14" style="14" customWidth="1"/>
    <col min="15" max="15" width="13" style="14" bestFit="1" customWidth="1"/>
    <col min="16" max="16" width="12.5703125" style="14" bestFit="1" customWidth="1"/>
    <col min="17" max="17" width="13" style="14" bestFit="1" customWidth="1"/>
    <col min="18" max="18" width="12.5703125" style="14" bestFit="1" customWidth="1"/>
    <col min="19" max="19" width="7.140625" style="14" bestFit="1" customWidth="1"/>
    <col min="20" max="20" width="8.42578125" style="14" bestFit="1" customWidth="1"/>
    <col min="21" max="21" width="8.7109375" style="14" bestFit="1" customWidth="1"/>
    <col min="22" max="22" width="8.42578125" style="14" bestFit="1" customWidth="1"/>
    <col min="23" max="23" width="8.7109375" style="14" bestFit="1" customWidth="1"/>
    <col min="24" max="24" width="8.85546875" style="14" bestFit="1" customWidth="1"/>
    <col min="25" max="25" width="7.140625" style="14" bestFit="1" customWidth="1"/>
    <col min="26" max="26" width="8.42578125" style="14" bestFit="1" customWidth="1"/>
    <col min="27" max="27" width="7.140625" style="14" bestFit="1" customWidth="1"/>
    <col min="28" max="28" width="8.42578125" style="14" bestFit="1" customWidth="1"/>
    <col min="29" max="29" width="7.5703125" style="14" bestFit="1" customWidth="1"/>
    <col min="30" max="30" width="8.85546875" style="14" bestFit="1" customWidth="1"/>
    <col min="31" max="31" width="7" style="14" bestFit="1" customWidth="1"/>
    <col min="32" max="32" width="8.28515625" style="14" bestFit="1" customWidth="1"/>
    <col min="33" max="36" width="10" style="14" bestFit="1" customWidth="1"/>
    <col min="37" max="37" width="6.140625" style="14" bestFit="1" customWidth="1"/>
    <col min="38" max="38" width="7.28515625" style="14" bestFit="1" customWidth="1"/>
    <col min="39" max="39" width="6.140625" style="14" bestFit="1" customWidth="1"/>
    <col min="40" max="40" width="7.28515625" style="14" bestFit="1" customWidth="1"/>
    <col min="41" max="41" width="6.42578125" style="14" bestFit="1" customWidth="1"/>
    <col min="42" max="42" width="7.5703125" style="14" bestFit="1" customWidth="1"/>
    <col min="43" max="43" width="6.140625" style="14" bestFit="1" customWidth="1"/>
    <col min="44" max="44" width="7.28515625" style="14" bestFit="1" customWidth="1"/>
    <col min="45" max="45" width="6.140625" style="14" bestFit="1" customWidth="1"/>
    <col min="46" max="46" width="7.28515625" style="14" bestFit="1" customWidth="1"/>
    <col min="47" max="47" width="6.42578125" style="14" bestFit="1" customWidth="1"/>
    <col min="48" max="48" width="7.5703125" style="14" bestFit="1" customWidth="1"/>
    <col min="49" max="49" width="6.140625" style="14" bestFit="1" customWidth="1"/>
    <col min="50" max="50" width="7.28515625" style="14" bestFit="1" customWidth="1"/>
    <col min="51" max="51" width="6.140625" style="14" bestFit="1" customWidth="1"/>
    <col min="52" max="52" width="7.28515625" style="14" bestFit="1" customWidth="1"/>
    <col min="53" max="53" width="6.42578125" style="14" bestFit="1" customWidth="1"/>
    <col min="54" max="54" width="7.5703125" style="14" bestFit="1" customWidth="1"/>
    <col min="55" max="55" width="6.140625" style="14" bestFit="1" customWidth="1"/>
    <col min="56" max="56" width="7.28515625" style="14" bestFit="1" customWidth="1"/>
    <col min="57" max="57" width="6.140625" style="14" bestFit="1" customWidth="1"/>
    <col min="58" max="58" width="7.28515625" style="14" bestFit="1" customWidth="1"/>
    <col min="59" max="59" width="6.42578125" style="14" bestFit="1" customWidth="1"/>
    <col min="60" max="60" width="7.5703125" style="14" bestFit="1" customWidth="1"/>
    <col min="61" max="61" width="6.140625" style="14" bestFit="1" customWidth="1"/>
    <col min="62" max="62" width="7.28515625" style="14" bestFit="1" customWidth="1"/>
    <col min="63" max="63" width="6.140625" style="14" bestFit="1" customWidth="1"/>
    <col min="64" max="64" width="7.28515625" style="14" bestFit="1" customWidth="1"/>
    <col min="65" max="65" width="6.42578125" style="14" bestFit="1" customWidth="1"/>
    <col min="66" max="66" width="7.5703125" style="14" bestFit="1" customWidth="1"/>
    <col min="67" max="67" width="6.140625" style="14" bestFit="1" customWidth="1"/>
    <col min="68" max="68" width="7.28515625" style="14" bestFit="1" customWidth="1"/>
    <col min="69" max="69" width="6.140625" style="14" bestFit="1" customWidth="1"/>
    <col min="70" max="70" width="7.28515625" style="14" bestFit="1" customWidth="1"/>
    <col min="71" max="71" width="6.42578125" style="14" bestFit="1" customWidth="1"/>
    <col min="72" max="72" width="7.5703125" style="14" bestFit="1" customWidth="1"/>
    <col min="73" max="73" width="6.140625" style="14" bestFit="1" customWidth="1"/>
    <col min="74" max="74" width="7.28515625" style="14" bestFit="1" customWidth="1"/>
    <col min="75" max="75" width="6.140625" style="14" bestFit="1" customWidth="1"/>
    <col min="76" max="76" width="7.28515625" style="14" bestFit="1" customWidth="1"/>
    <col min="77" max="77" width="6.42578125" style="14" bestFit="1" customWidth="1"/>
    <col min="78" max="78" width="7.5703125" style="14" bestFit="1" customWidth="1"/>
    <col min="79" max="79" width="6.140625" style="14" bestFit="1" customWidth="1"/>
    <col min="80" max="80" width="7.28515625" style="14" bestFit="1" customWidth="1"/>
    <col min="81" max="81" width="6.140625" style="14" bestFit="1" customWidth="1"/>
    <col min="82" max="82" width="7.28515625" style="14" bestFit="1" customWidth="1"/>
    <col min="83" max="83" width="6.42578125" style="14" bestFit="1" customWidth="1"/>
    <col min="84" max="84" width="7.5703125" style="14" bestFit="1" customWidth="1"/>
    <col min="85" max="85" width="6.140625" style="14" bestFit="1" customWidth="1"/>
    <col min="86" max="86" width="7.28515625" style="14" bestFit="1" customWidth="1"/>
    <col min="87" max="87" width="6.140625" style="14" bestFit="1" customWidth="1"/>
    <col min="88" max="88" width="7.28515625" style="14" bestFit="1" customWidth="1"/>
    <col min="89" max="89" width="6.42578125" style="14" bestFit="1" customWidth="1"/>
    <col min="90" max="90" width="7.5703125" style="14" bestFit="1" customWidth="1"/>
    <col min="91" max="91" width="6.140625" style="14" bestFit="1" customWidth="1"/>
    <col min="92" max="92" width="7.28515625" style="14" bestFit="1" customWidth="1"/>
    <col min="93" max="93" width="6.140625" style="14" bestFit="1" customWidth="1"/>
    <col min="94" max="94" width="7.28515625" style="14" bestFit="1" customWidth="1"/>
    <col min="95" max="95" width="6.42578125" style="14" bestFit="1" customWidth="1"/>
    <col min="96" max="96" width="7.5703125" style="14" bestFit="1" customWidth="1"/>
    <col min="97" max="97" width="6.140625" style="14" bestFit="1" customWidth="1"/>
    <col min="98" max="98" width="7.28515625" style="14" bestFit="1" customWidth="1"/>
    <col min="99" max="99" width="6.140625" style="14" bestFit="1" customWidth="1"/>
    <col min="100" max="100" width="7.28515625" style="14" bestFit="1" customWidth="1"/>
    <col min="101" max="101" width="6.42578125" style="14" bestFit="1" customWidth="1"/>
    <col min="102" max="102" width="7.5703125" style="14" bestFit="1" customWidth="1"/>
    <col min="103" max="103" width="6.140625" style="14" bestFit="1" customWidth="1"/>
    <col min="104" max="104" width="7.28515625" style="14" bestFit="1" customWidth="1"/>
    <col min="105" max="105" width="6.140625" style="14" bestFit="1" customWidth="1"/>
    <col min="106" max="106" width="7.28515625" style="14" bestFit="1" customWidth="1"/>
    <col min="107" max="107" width="6.42578125" style="14" bestFit="1" customWidth="1"/>
    <col min="108" max="108" width="7.5703125" style="14" bestFit="1" customWidth="1"/>
    <col min="109" max="109" width="6.140625" style="14" bestFit="1" customWidth="1"/>
    <col min="110" max="110" width="7.28515625" style="14" bestFit="1" customWidth="1"/>
    <col min="111" max="111" width="6.140625" style="14" bestFit="1" customWidth="1"/>
    <col min="112" max="112" width="7.28515625" style="14" bestFit="1" customWidth="1"/>
    <col min="113" max="113" width="6.42578125" style="14" bestFit="1" customWidth="1"/>
    <col min="114" max="114" width="7.5703125" style="14" bestFit="1" customWidth="1"/>
    <col min="115" max="16384" width="10.42578125" style="14"/>
  </cols>
  <sheetData>
    <row r="1" spans="1:114">
      <c r="B1" s="94" t="s">
        <v>699</v>
      </c>
    </row>
    <row r="2" spans="1:114" ht="15.75" thickBot="1">
      <c r="H2" s="17">
        <v>1.18</v>
      </c>
    </row>
    <row r="3" spans="1:114" ht="19.5" thickBot="1">
      <c r="A3" s="513" t="s">
        <v>1</v>
      </c>
      <c r="B3" s="475" t="s">
        <v>2</v>
      </c>
      <c r="C3" s="475" t="s">
        <v>3</v>
      </c>
      <c r="D3" s="475" t="s">
        <v>4</v>
      </c>
      <c r="E3" s="516" t="s">
        <v>1176</v>
      </c>
      <c r="F3" s="516" t="s">
        <v>1170</v>
      </c>
      <c r="G3" s="510" t="s">
        <v>1178</v>
      </c>
      <c r="H3" s="540" t="s">
        <v>5</v>
      </c>
      <c r="I3" s="488" t="s">
        <v>6</v>
      </c>
      <c r="J3" s="489"/>
      <c r="K3" s="492" t="s">
        <v>9</v>
      </c>
      <c r="L3" s="493"/>
      <c r="M3" s="469" t="s">
        <v>1197</v>
      </c>
      <c r="N3" s="485" t="s">
        <v>1196</v>
      </c>
      <c r="O3" s="478" t="s">
        <v>7</v>
      </c>
      <c r="P3" s="479"/>
      <c r="Q3" s="478" t="s">
        <v>8</v>
      </c>
      <c r="R3" s="479"/>
      <c r="S3" s="482" t="s">
        <v>9</v>
      </c>
      <c r="T3" s="483"/>
      <c r="U3" s="483"/>
      <c r="V3" s="483"/>
      <c r="W3" s="483"/>
      <c r="X3" s="483"/>
      <c r="Y3" s="483"/>
      <c r="Z3" s="483"/>
      <c r="AA3" s="483"/>
      <c r="AB3" s="483"/>
      <c r="AC3" s="483"/>
      <c r="AD3" s="483"/>
      <c r="AE3" s="483"/>
      <c r="AF3" s="483"/>
      <c r="AG3" s="483"/>
      <c r="AH3" s="483"/>
      <c r="AI3" s="483"/>
      <c r="AJ3" s="484"/>
      <c r="AK3" s="499">
        <v>2025</v>
      </c>
      <c r="AL3" s="483"/>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4"/>
    </row>
    <row r="4" spans="1:114" ht="80.25" customHeight="1" thickBot="1">
      <c r="A4" s="514"/>
      <c r="B4" s="476"/>
      <c r="C4" s="476"/>
      <c r="D4" s="476"/>
      <c r="E4" s="517"/>
      <c r="F4" s="517"/>
      <c r="G4" s="511"/>
      <c r="H4" s="541"/>
      <c r="I4" s="490"/>
      <c r="J4" s="491"/>
      <c r="K4" s="494"/>
      <c r="L4" s="495"/>
      <c r="M4" s="496"/>
      <c r="N4" s="486"/>
      <c r="O4" s="480"/>
      <c r="P4" s="481"/>
      <c r="Q4" s="480"/>
      <c r="R4" s="481"/>
      <c r="S4" s="500" t="s">
        <v>10</v>
      </c>
      <c r="T4" s="501"/>
      <c r="U4" s="501"/>
      <c r="V4" s="501"/>
      <c r="W4" s="501"/>
      <c r="X4" s="502"/>
      <c r="Y4" s="500" t="s">
        <v>11</v>
      </c>
      <c r="Z4" s="501"/>
      <c r="AA4" s="501"/>
      <c r="AB4" s="501"/>
      <c r="AC4" s="501"/>
      <c r="AD4" s="502"/>
      <c r="AE4" s="503" t="s">
        <v>9</v>
      </c>
      <c r="AF4" s="504"/>
      <c r="AG4" s="504"/>
      <c r="AH4" s="504"/>
      <c r="AI4" s="504"/>
      <c r="AJ4" s="505"/>
      <c r="AK4" s="500" t="s">
        <v>12</v>
      </c>
      <c r="AL4" s="501"/>
      <c r="AM4" s="501"/>
      <c r="AN4" s="501"/>
      <c r="AO4" s="501"/>
      <c r="AP4" s="502"/>
      <c r="AQ4" s="500" t="s">
        <v>13</v>
      </c>
      <c r="AR4" s="501"/>
      <c r="AS4" s="501"/>
      <c r="AT4" s="501"/>
      <c r="AU4" s="501"/>
      <c r="AV4" s="502"/>
      <c r="AW4" s="500" t="s">
        <v>14</v>
      </c>
      <c r="AX4" s="501"/>
      <c r="AY4" s="501"/>
      <c r="AZ4" s="501"/>
      <c r="BA4" s="501"/>
      <c r="BB4" s="502"/>
      <c r="BC4" s="500" t="s">
        <v>15</v>
      </c>
      <c r="BD4" s="501"/>
      <c r="BE4" s="501"/>
      <c r="BF4" s="501"/>
      <c r="BG4" s="501"/>
      <c r="BH4" s="502"/>
      <c r="BI4" s="500" t="s">
        <v>16</v>
      </c>
      <c r="BJ4" s="501"/>
      <c r="BK4" s="501"/>
      <c r="BL4" s="501"/>
      <c r="BM4" s="501"/>
      <c r="BN4" s="502"/>
      <c r="BO4" s="500" t="s">
        <v>17</v>
      </c>
      <c r="BP4" s="501"/>
      <c r="BQ4" s="501"/>
      <c r="BR4" s="501"/>
      <c r="BS4" s="501"/>
      <c r="BT4" s="502"/>
      <c r="BU4" s="500" t="s">
        <v>18</v>
      </c>
      <c r="BV4" s="501"/>
      <c r="BW4" s="501"/>
      <c r="BX4" s="501"/>
      <c r="BY4" s="501"/>
      <c r="BZ4" s="502"/>
      <c r="CA4" s="500" t="s">
        <v>19</v>
      </c>
      <c r="CB4" s="501"/>
      <c r="CC4" s="501"/>
      <c r="CD4" s="501"/>
      <c r="CE4" s="501"/>
      <c r="CF4" s="502"/>
      <c r="CG4" s="500" t="s">
        <v>20</v>
      </c>
      <c r="CH4" s="501"/>
      <c r="CI4" s="501"/>
      <c r="CJ4" s="501"/>
      <c r="CK4" s="501"/>
      <c r="CL4" s="502"/>
      <c r="CM4" s="500" t="s">
        <v>21</v>
      </c>
      <c r="CN4" s="501"/>
      <c r="CO4" s="501"/>
      <c r="CP4" s="501"/>
      <c r="CQ4" s="501"/>
      <c r="CR4" s="502"/>
      <c r="CS4" s="500" t="s">
        <v>22</v>
      </c>
      <c r="CT4" s="501"/>
      <c r="CU4" s="501"/>
      <c r="CV4" s="501"/>
      <c r="CW4" s="501"/>
      <c r="CX4" s="502"/>
      <c r="CY4" s="500" t="s">
        <v>23</v>
      </c>
      <c r="CZ4" s="501"/>
      <c r="DA4" s="501"/>
      <c r="DB4" s="501"/>
      <c r="DC4" s="501"/>
      <c r="DD4" s="502"/>
      <c r="DE4" s="506" t="s">
        <v>24</v>
      </c>
      <c r="DF4" s="507"/>
      <c r="DG4" s="507"/>
      <c r="DH4" s="507"/>
      <c r="DI4" s="507"/>
      <c r="DJ4" s="508"/>
    </row>
    <row r="5" spans="1:114">
      <c r="A5" s="514"/>
      <c r="B5" s="476"/>
      <c r="C5" s="476"/>
      <c r="D5" s="476"/>
      <c r="E5" s="517"/>
      <c r="F5" s="517"/>
      <c r="G5" s="511"/>
      <c r="H5" s="541"/>
      <c r="I5" s="469" t="s">
        <v>1169</v>
      </c>
      <c r="J5" s="469" t="s">
        <v>1199</v>
      </c>
      <c r="K5" s="498" t="s">
        <v>1172</v>
      </c>
      <c r="L5" s="469" t="s">
        <v>1177</v>
      </c>
      <c r="M5" s="496"/>
      <c r="N5" s="486"/>
      <c r="O5" s="471" t="s">
        <v>1169</v>
      </c>
      <c r="P5" s="473" t="s">
        <v>1168</v>
      </c>
      <c r="Q5" s="471" t="s">
        <v>1169</v>
      </c>
      <c r="R5" s="473" t="s">
        <v>1168</v>
      </c>
      <c r="S5" s="464" t="s">
        <v>1167</v>
      </c>
      <c r="T5" s="460"/>
      <c r="U5" s="460" t="s">
        <v>1166</v>
      </c>
      <c r="V5" s="461"/>
      <c r="W5" s="462" t="s">
        <v>25</v>
      </c>
      <c r="X5" s="463"/>
      <c r="Y5" s="464" t="s">
        <v>1167</v>
      </c>
      <c r="Z5" s="460"/>
      <c r="AA5" s="460" t="s">
        <v>1166</v>
      </c>
      <c r="AB5" s="461"/>
      <c r="AC5" s="462" t="s">
        <v>25</v>
      </c>
      <c r="AD5" s="463"/>
      <c r="AE5" s="464" t="s">
        <v>1167</v>
      </c>
      <c r="AF5" s="460"/>
      <c r="AG5" s="460" t="s">
        <v>1166</v>
      </c>
      <c r="AH5" s="461"/>
      <c r="AI5" s="462" t="s">
        <v>25</v>
      </c>
      <c r="AJ5" s="463"/>
      <c r="AK5" s="464" t="s">
        <v>1167</v>
      </c>
      <c r="AL5" s="460"/>
      <c r="AM5" s="460" t="s">
        <v>1166</v>
      </c>
      <c r="AN5" s="461"/>
      <c r="AO5" s="462" t="s">
        <v>25</v>
      </c>
      <c r="AP5" s="463"/>
      <c r="AQ5" s="464" t="s">
        <v>1167</v>
      </c>
      <c r="AR5" s="460"/>
      <c r="AS5" s="460" t="s">
        <v>1166</v>
      </c>
      <c r="AT5" s="461"/>
      <c r="AU5" s="462" t="s">
        <v>25</v>
      </c>
      <c r="AV5" s="463"/>
      <c r="AW5" s="464" t="s">
        <v>1167</v>
      </c>
      <c r="AX5" s="460"/>
      <c r="AY5" s="460" t="s">
        <v>1166</v>
      </c>
      <c r="AZ5" s="461"/>
      <c r="BA5" s="462" t="s">
        <v>25</v>
      </c>
      <c r="BB5" s="463"/>
      <c r="BC5" s="464" t="s">
        <v>1167</v>
      </c>
      <c r="BD5" s="460"/>
      <c r="BE5" s="460" t="s">
        <v>1166</v>
      </c>
      <c r="BF5" s="461"/>
      <c r="BG5" s="462" t="s">
        <v>25</v>
      </c>
      <c r="BH5" s="463"/>
      <c r="BI5" s="464" t="s">
        <v>1167</v>
      </c>
      <c r="BJ5" s="460"/>
      <c r="BK5" s="460" t="s">
        <v>1166</v>
      </c>
      <c r="BL5" s="461"/>
      <c r="BM5" s="462" t="s">
        <v>25</v>
      </c>
      <c r="BN5" s="463"/>
      <c r="BO5" s="464" t="s">
        <v>1167</v>
      </c>
      <c r="BP5" s="460"/>
      <c r="BQ5" s="460" t="s">
        <v>1166</v>
      </c>
      <c r="BR5" s="461"/>
      <c r="BS5" s="462" t="s">
        <v>25</v>
      </c>
      <c r="BT5" s="463"/>
      <c r="BU5" s="464" t="s">
        <v>1167</v>
      </c>
      <c r="BV5" s="460"/>
      <c r="BW5" s="460" t="s">
        <v>1166</v>
      </c>
      <c r="BX5" s="461"/>
      <c r="BY5" s="462" t="s">
        <v>25</v>
      </c>
      <c r="BZ5" s="463"/>
      <c r="CA5" s="464" t="s">
        <v>1167</v>
      </c>
      <c r="CB5" s="460"/>
      <c r="CC5" s="460" t="s">
        <v>1166</v>
      </c>
      <c r="CD5" s="461"/>
      <c r="CE5" s="462" t="s">
        <v>25</v>
      </c>
      <c r="CF5" s="463"/>
      <c r="CG5" s="464" t="s">
        <v>1167</v>
      </c>
      <c r="CH5" s="460"/>
      <c r="CI5" s="460" t="s">
        <v>1166</v>
      </c>
      <c r="CJ5" s="461"/>
      <c r="CK5" s="462" t="s">
        <v>25</v>
      </c>
      <c r="CL5" s="463"/>
      <c r="CM5" s="464" t="s">
        <v>1167</v>
      </c>
      <c r="CN5" s="460"/>
      <c r="CO5" s="460" t="s">
        <v>1166</v>
      </c>
      <c r="CP5" s="461"/>
      <c r="CQ5" s="462" t="s">
        <v>25</v>
      </c>
      <c r="CR5" s="463"/>
      <c r="CS5" s="464" t="s">
        <v>1167</v>
      </c>
      <c r="CT5" s="460"/>
      <c r="CU5" s="460" t="s">
        <v>1166</v>
      </c>
      <c r="CV5" s="461"/>
      <c r="CW5" s="462" t="s">
        <v>25</v>
      </c>
      <c r="CX5" s="463"/>
      <c r="CY5" s="464" t="s">
        <v>1167</v>
      </c>
      <c r="CZ5" s="460"/>
      <c r="DA5" s="460" t="s">
        <v>1166</v>
      </c>
      <c r="DB5" s="461"/>
      <c r="DC5" s="462" t="s">
        <v>25</v>
      </c>
      <c r="DD5" s="463"/>
      <c r="DE5" s="464" t="s">
        <v>1167</v>
      </c>
      <c r="DF5" s="460"/>
      <c r="DG5" s="460" t="s">
        <v>1166</v>
      </c>
      <c r="DH5" s="461"/>
      <c r="DI5" s="462" t="s">
        <v>25</v>
      </c>
      <c r="DJ5" s="463"/>
    </row>
    <row r="6" spans="1:114" ht="15.75" thickBot="1">
      <c r="A6" s="538"/>
      <c r="B6" s="539"/>
      <c r="C6" s="539"/>
      <c r="D6" s="539"/>
      <c r="E6" s="518"/>
      <c r="F6" s="518"/>
      <c r="G6" s="512"/>
      <c r="H6" s="542"/>
      <c r="I6" s="470"/>
      <c r="J6" s="497"/>
      <c r="K6" s="497"/>
      <c r="L6" s="497"/>
      <c r="M6" s="470"/>
      <c r="N6" s="487"/>
      <c r="O6" s="472"/>
      <c r="P6" s="474"/>
      <c r="Q6" s="472"/>
      <c r="R6" s="474"/>
      <c r="S6" s="2" t="s">
        <v>26</v>
      </c>
      <c r="T6" s="3" t="s">
        <v>27</v>
      </c>
      <c r="U6" s="3" t="s">
        <v>26</v>
      </c>
      <c r="V6" s="4" t="s">
        <v>27</v>
      </c>
      <c r="W6" s="5" t="s">
        <v>26</v>
      </c>
      <c r="X6" s="6" t="s">
        <v>27</v>
      </c>
      <c r="Y6" s="2" t="s">
        <v>26</v>
      </c>
      <c r="Z6" s="3" t="s">
        <v>27</v>
      </c>
      <c r="AA6" s="3" t="s">
        <v>26</v>
      </c>
      <c r="AB6" s="4" t="s">
        <v>27</v>
      </c>
      <c r="AC6" s="5" t="s">
        <v>26</v>
      </c>
      <c r="AD6" s="6" t="s">
        <v>27</v>
      </c>
      <c r="AE6" s="2" t="s">
        <v>26</v>
      </c>
      <c r="AF6" s="3" t="s">
        <v>27</v>
      </c>
      <c r="AG6" s="3" t="s">
        <v>26</v>
      </c>
      <c r="AH6" s="4" t="s">
        <v>27</v>
      </c>
      <c r="AI6" s="5" t="s">
        <v>26</v>
      </c>
      <c r="AJ6" s="6" t="s">
        <v>27</v>
      </c>
      <c r="AK6" s="2" t="s">
        <v>26</v>
      </c>
      <c r="AL6" s="3" t="s">
        <v>27</v>
      </c>
      <c r="AM6" s="3" t="s">
        <v>26</v>
      </c>
      <c r="AN6" s="4" t="s">
        <v>27</v>
      </c>
      <c r="AO6" s="5" t="s">
        <v>26</v>
      </c>
      <c r="AP6" s="6" t="s">
        <v>27</v>
      </c>
      <c r="AQ6" s="2" t="s">
        <v>26</v>
      </c>
      <c r="AR6" s="3" t="s">
        <v>27</v>
      </c>
      <c r="AS6" s="3" t="s">
        <v>26</v>
      </c>
      <c r="AT6" s="4" t="s">
        <v>27</v>
      </c>
      <c r="AU6" s="5" t="s">
        <v>26</v>
      </c>
      <c r="AV6" s="6" t="s">
        <v>27</v>
      </c>
      <c r="AW6" s="2" t="s">
        <v>26</v>
      </c>
      <c r="AX6" s="3" t="s">
        <v>27</v>
      </c>
      <c r="AY6" s="3" t="s">
        <v>26</v>
      </c>
      <c r="AZ6" s="4" t="s">
        <v>27</v>
      </c>
      <c r="BA6" s="5" t="s">
        <v>26</v>
      </c>
      <c r="BB6" s="6" t="s">
        <v>27</v>
      </c>
      <c r="BC6" s="2" t="s">
        <v>26</v>
      </c>
      <c r="BD6" s="3" t="s">
        <v>27</v>
      </c>
      <c r="BE6" s="3" t="s">
        <v>26</v>
      </c>
      <c r="BF6" s="4" t="s">
        <v>27</v>
      </c>
      <c r="BG6" s="5" t="s">
        <v>26</v>
      </c>
      <c r="BH6" s="6" t="s">
        <v>27</v>
      </c>
      <c r="BI6" s="2" t="s">
        <v>26</v>
      </c>
      <c r="BJ6" s="3" t="s">
        <v>27</v>
      </c>
      <c r="BK6" s="3" t="s">
        <v>26</v>
      </c>
      <c r="BL6" s="4" t="s">
        <v>27</v>
      </c>
      <c r="BM6" s="5" t="s">
        <v>26</v>
      </c>
      <c r="BN6" s="6" t="s">
        <v>27</v>
      </c>
      <c r="BO6" s="2" t="s">
        <v>26</v>
      </c>
      <c r="BP6" s="3" t="s">
        <v>27</v>
      </c>
      <c r="BQ6" s="3" t="s">
        <v>26</v>
      </c>
      <c r="BR6" s="4" t="s">
        <v>27</v>
      </c>
      <c r="BS6" s="5" t="s">
        <v>26</v>
      </c>
      <c r="BT6" s="6" t="s">
        <v>27</v>
      </c>
      <c r="BU6" s="2" t="s">
        <v>26</v>
      </c>
      <c r="BV6" s="3" t="s">
        <v>27</v>
      </c>
      <c r="BW6" s="3" t="s">
        <v>26</v>
      </c>
      <c r="BX6" s="4" t="s">
        <v>27</v>
      </c>
      <c r="BY6" s="5" t="s">
        <v>26</v>
      </c>
      <c r="BZ6" s="6" t="s">
        <v>27</v>
      </c>
      <c r="CA6" s="2" t="s">
        <v>26</v>
      </c>
      <c r="CB6" s="3" t="s">
        <v>27</v>
      </c>
      <c r="CC6" s="3" t="s">
        <v>26</v>
      </c>
      <c r="CD6" s="4" t="s">
        <v>27</v>
      </c>
      <c r="CE6" s="5" t="s">
        <v>26</v>
      </c>
      <c r="CF6" s="6" t="s">
        <v>27</v>
      </c>
      <c r="CG6" s="2" t="s">
        <v>26</v>
      </c>
      <c r="CH6" s="3" t="s">
        <v>27</v>
      </c>
      <c r="CI6" s="3" t="s">
        <v>26</v>
      </c>
      <c r="CJ6" s="4" t="s">
        <v>27</v>
      </c>
      <c r="CK6" s="5" t="s">
        <v>26</v>
      </c>
      <c r="CL6" s="6" t="s">
        <v>27</v>
      </c>
      <c r="CM6" s="2" t="s">
        <v>26</v>
      </c>
      <c r="CN6" s="3" t="s">
        <v>27</v>
      </c>
      <c r="CO6" s="3" t="s">
        <v>26</v>
      </c>
      <c r="CP6" s="4" t="s">
        <v>27</v>
      </c>
      <c r="CQ6" s="5" t="s">
        <v>26</v>
      </c>
      <c r="CR6" s="6" t="s">
        <v>27</v>
      </c>
      <c r="CS6" s="2" t="s">
        <v>26</v>
      </c>
      <c r="CT6" s="3" t="s">
        <v>27</v>
      </c>
      <c r="CU6" s="3" t="s">
        <v>26</v>
      </c>
      <c r="CV6" s="4" t="s">
        <v>27</v>
      </c>
      <c r="CW6" s="5" t="s">
        <v>26</v>
      </c>
      <c r="CX6" s="6" t="s">
        <v>27</v>
      </c>
      <c r="CY6" s="2" t="s">
        <v>26</v>
      </c>
      <c r="CZ6" s="3" t="s">
        <v>27</v>
      </c>
      <c r="DA6" s="3" t="s">
        <v>26</v>
      </c>
      <c r="DB6" s="4" t="s">
        <v>27</v>
      </c>
      <c r="DC6" s="5" t="s">
        <v>26</v>
      </c>
      <c r="DD6" s="6" t="s">
        <v>27</v>
      </c>
      <c r="DE6" s="2" t="s">
        <v>26</v>
      </c>
      <c r="DF6" s="3" t="s">
        <v>27</v>
      </c>
      <c r="DG6" s="3" t="s">
        <v>26</v>
      </c>
      <c r="DH6" s="4" t="s">
        <v>27</v>
      </c>
      <c r="DI6" s="5" t="s">
        <v>26</v>
      </c>
      <c r="DJ6" s="6" t="s">
        <v>27</v>
      </c>
    </row>
    <row r="7" spans="1:114" ht="15.75">
      <c r="A7" s="18">
        <f t="shared" ref="A7:D7" si="0">SUBTOTAL(3,A9:A11)</f>
        <v>3</v>
      </c>
      <c r="B7" s="18">
        <f t="shared" si="0"/>
        <v>3</v>
      </c>
      <c r="C7" s="18">
        <f t="shared" si="0"/>
        <v>3</v>
      </c>
      <c r="D7" s="18">
        <f t="shared" si="0"/>
        <v>3</v>
      </c>
      <c r="E7" s="18">
        <f>SUBTOTAL(3,E9:E11)</f>
        <v>3</v>
      </c>
      <c r="F7" s="18">
        <f t="shared" ref="F7" si="1">SUBTOTAL(9,F9:F11)</f>
        <v>0</v>
      </c>
      <c r="G7" s="18">
        <f>SUBTOTAL(9,G9:G12)</f>
        <v>93084.5</v>
      </c>
      <c r="H7" s="18">
        <f t="shared" ref="H7:BS7" si="2">SUBTOTAL(9,H9:H12)</f>
        <v>0</v>
      </c>
      <c r="I7" s="18">
        <f t="shared" si="2"/>
        <v>0</v>
      </c>
      <c r="J7" s="18">
        <f t="shared" si="2"/>
        <v>0</v>
      </c>
      <c r="K7" s="18">
        <f t="shared" si="2"/>
        <v>93084.5</v>
      </c>
      <c r="L7" s="18">
        <f t="shared" si="2"/>
        <v>93084.5</v>
      </c>
      <c r="M7" s="18">
        <f t="shared" si="2"/>
        <v>93084.5</v>
      </c>
      <c r="N7" s="18">
        <f t="shared" si="2"/>
        <v>93084.5</v>
      </c>
      <c r="O7" s="18">
        <f t="shared" si="2"/>
        <v>0</v>
      </c>
      <c r="P7" s="18">
        <f t="shared" si="2"/>
        <v>87208.5</v>
      </c>
      <c r="Q7" s="18">
        <f t="shared" si="2"/>
        <v>0</v>
      </c>
      <c r="R7" s="18">
        <f t="shared" si="2"/>
        <v>87208.5</v>
      </c>
      <c r="S7" s="18">
        <f t="shared" si="2"/>
        <v>0</v>
      </c>
      <c r="T7" s="18">
        <f t="shared" si="2"/>
        <v>0</v>
      </c>
      <c r="U7" s="18">
        <f t="shared" si="2"/>
        <v>5876</v>
      </c>
      <c r="V7" s="18">
        <f t="shared" si="2"/>
        <v>5876</v>
      </c>
      <c r="W7" s="18">
        <f t="shared" si="2"/>
        <v>5876</v>
      </c>
      <c r="X7" s="18">
        <f t="shared" si="2"/>
        <v>5876</v>
      </c>
      <c r="Y7" s="18">
        <f t="shared" si="2"/>
        <v>0</v>
      </c>
      <c r="Z7" s="18">
        <f t="shared" si="2"/>
        <v>0</v>
      </c>
      <c r="AA7" s="18">
        <f t="shared" si="2"/>
        <v>0</v>
      </c>
      <c r="AB7" s="18">
        <f t="shared" si="2"/>
        <v>0</v>
      </c>
      <c r="AC7" s="18">
        <f t="shared" si="2"/>
        <v>0</v>
      </c>
      <c r="AD7" s="18">
        <f t="shared" si="2"/>
        <v>0</v>
      </c>
      <c r="AE7" s="18">
        <f t="shared" si="2"/>
        <v>0</v>
      </c>
      <c r="AF7" s="18">
        <f t="shared" si="2"/>
        <v>0</v>
      </c>
      <c r="AG7" s="18">
        <f t="shared" si="2"/>
        <v>93084.5</v>
      </c>
      <c r="AH7" s="18">
        <f t="shared" si="2"/>
        <v>93084.5</v>
      </c>
      <c r="AI7" s="18">
        <f t="shared" si="2"/>
        <v>93084.5</v>
      </c>
      <c r="AJ7" s="18">
        <f t="shared" si="2"/>
        <v>93084.5</v>
      </c>
      <c r="AK7" s="18">
        <f t="shared" si="2"/>
        <v>0</v>
      </c>
      <c r="AL7" s="18">
        <f t="shared" si="2"/>
        <v>0</v>
      </c>
      <c r="AM7" s="18">
        <f t="shared" si="2"/>
        <v>0</v>
      </c>
      <c r="AN7" s="18">
        <f t="shared" si="2"/>
        <v>0</v>
      </c>
      <c r="AO7" s="18">
        <f t="shared" si="2"/>
        <v>0</v>
      </c>
      <c r="AP7" s="18">
        <f t="shared" si="2"/>
        <v>0</v>
      </c>
      <c r="AQ7" s="18">
        <f t="shared" si="2"/>
        <v>0</v>
      </c>
      <c r="AR7" s="18">
        <f t="shared" si="2"/>
        <v>0</v>
      </c>
      <c r="AS7" s="18">
        <f t="shared" si="2"/>
        <v>0</v>
      </c>
      <c r="AT7" s="18">
        <f t="shared" si="2"/>
        <v>0</v>
      </c>
      <c r="AU7" s="18">
        <f t="shared" si="2"/>
        <v>0</v>
      </c>
      <c r="AV7" s="18">
        <f t="shared" si="2"/>
        <v>0</v>
      </c>
      <c r="AW7" s="18">
        <f t="shared" si="2"/>
        <v>0</v>
      </c>
      <c r="AX7" s="18">
        <f t="shared" si="2"/>
        <v>0</v>
      </c>
      <c r="AY7" s="18">
        <f t="shared" si="2"/>
        <v>0</v>
      </c>
      <c r="AZ7" s="18">
        <f t="shared" si="2"/>
        <v>0</v>
      </c>
      <c r="BA7" s="18">
        <f t="shared" si="2"/>
        <v>0</v>
      </c>
      <c r="BB7" s="18">
        <f t="shared" si="2"/>
        <v>0</v>
      </c>
      <c r="BC7" s="18">
        <f t="shared" si="2"/>
        <v>0</v>
      </c>
      <c r="BD7" s="18">
        <f t="shared" si="2"/>
        <v>0</v>
      </c>
      <c r="BE7" s="18">
        <f t="shared" si="2"/>
        <v>0</v>
      </c>
      <c r="BF7" s="18">
        <f t="shared" si="2"/>
        <v>0</v>
      </c>
      <c r="BG7" s="18">
        <f t="shared" si="2"/>
        <v>0</v>
      </c>
      <c r="BH7" s="18">
        <f t="shared" si="2"/>
        <v>0</v>
      </c>
      <c r="BI7" s="18">
        <f t="shared" si="2"/>
        <v>0</v>
      </c>
      <c r="BJ7" s="18">
        <f t="shared" si="2"/>
        <v>0</v>
      </c>
      <c r="BK7" s="18">
        <f t="shared" si="2"/>
        <v>0</v>
      </c>
      <c r="BL7" s="18">
        <f t="shared" si="2"/>
        <v>0</v>
      </c>
      <c r="BM7" s="18">
        <f t="shared" si="2"/>
        <v>0</v>
      </c>
      <c r="BN7" s="18">
        <f t="shared" si="2"/>
        <v>0</v>
      </c>
      <c r="BO7" s="18">
        <f t="shared" si="2"/>
        <v>0</v>
      </c>
      <c r="BP7" s="18">
        <f t="shared" si="2"/>
        <v>0</v>
      </c>
      <c r="BQ7" s="18">
        <f t="shared" si="2"/>
        <v>0</v>
      </c>
      <c r="BR7" s="18">
        <f t="shared" si="2"/>
        <v>0</v>
      </c>
      <c r="BS7" s="18">
        <f t="shared" si="2"/>
        <v>0</v>
      </c>
      <c r="BT7" s="18">
        <f t="shared" ref="BT7:DJ7" si="3">SUBTOTAL(9,BT9:BT12)</f>
        <v>0</v>
      </c>
      <c r="BU7" s="18">
        <f t="shared" si="3"/>
        <v>0</v>
      </c>
      <c r="BV7" s="18">
        <f t="shared" si="3"/>
        <v>0</v>
      </c>
      <c r="BW7" s="18">
        <f t="shared" si="3"/>
        <v>0</v>
      </c>
      <c r="BX7" s="18">
        <f t="shared" si="3"/>
        <v>0</v>
      </c>
      <c r="BY7" s="18">
        <f t="shared" si="3"/>
        <v>0</v>
      </c>
      <c r="BZ7" s="18">
        <f t="shared" si="3"/>
        <v>0</v>
      </c>
      <c r="CA7" s="18">
        <f t="shared" si="3"/>
        <v>0</v>
      </c>
      <c r="CB7" s="18">
        <f t="shared" si="3"/>
        <v>0</v>
      </c>
      <c r="CC7" s="18">
        <f t="shared" si="3"/>
        <v>0</v>
      </c>
      <c r="CD7" s="18">
        <f t="shared" si="3"/>
        <v>0</v>
      </c>
      <c r="CE7" s="18">
        <f t="shared" si="3"/>
        <v>0</v>
      </c>
      <c r="CF7" s="18">
        <f t="shared" si="3"/>
        <v>0</v>
      </c>
      <c r="CG7" s="18">
        <f t="shared" si="3"/>
        <v>0</v>
      </c>
      <c r="CH7" s="18">
        <f t="shared" si="3"/>
        <v>0</v>
      </c>
      <c r="CI7" s="18">
        <f t="shared" si="3"/>
        <v>0</v>
      </c>
      <c r="CJ7" s="18">
        <f t="shared" si="3"/>
        <v>0</v>
      </c>
      <c r="CK7" s="18">
        <f t="shared" si="3"/>
        <v>0</v>
      </c>
      <c r="CL7" s="18">
        <f t="shared" si="3"/>
        <v>0</v>
      </c>
      <c r="CM7" s="18">
        <f t="shared" si="3"/>
        <v>0</v>
      </c>
      <c r="CN7" s="18">
        <f t="shared" si="3"/>
        <v>0</v>
      </c>
      <c r="CO7" s="18">
        <f t="shared" si="3"/>
        <v>0</v>
      </c>
      <c r="CP7" s="18">
        <f t="shared" si="3"/>
        <v>0</v>
      </c>
      <c r="CQ7" s="18">
        <f t="shared" si="3"/>
        <v>0</v>
      </c>
      <c r="CR7" s="18">
        <f t="shared" si="3"/>
        <v>0</v>
      </c>
      <c r="CS7" s="18">
        <f t="shared" si="3"/>
        <v>0</v>
      </c>
      <c r="CT7" s="18">
        <f t="shared" si="3"/>
        <v>0</v>
      </c>
      <c r="CU7" s="18">
        <f t="shared" si="3"/>
        <v>0</v>
      </c>
      <c r="CV7" s="18">
        <f t="shared" si="3"/>
        <v>0</v>
      </c>
      <c r="CW7" s="18">
        <f t="shared" si="3"/>
        <v>0</v>
      </c>
      <c r="CX7" s="18">
        <f t="shared" si="3"/>
        <v>0</v>
      </c>
      <c r="CY7" s="18">
        <f t="shared" si="3"/>
        <v>0</v>
      </c>
      <c r="CZ7" s="18">
        <f t="shared" si="3"/>
        <v>0</v>
      </c>
      <c r="DA7" s="18">
        <f t="shared" si="3"/>
        <v>0</v>
      </c>
      <c r="DB7" s="18">
        <f t="shared" si="3"/>
        <v>0</v>
      </c>
      <c r="DC7" s="18">
        <f t="shared" si="3"/>
        <v>0</v>
      </c>
      <c r="DD7" s="18">
        <f t="shared" si="3"/>
        <v>0</v>
      </c>
      <c r="DE7" s="18">
        <f t="shared" si="3"/>
        <v>0</v>
      </c>
      <c r="DF7" s="18">
        <f t="shared" si="3"/>
        <v>0</v>
      </c>
      <c r="DG7" s="18">
        <f t="shared" si="3"/>
        <v>0</v>
      </c>
      <c r="DH7" s="18">
        <f t="shared" si="3"/>
        <v>0</v>
      </c>
      <c r="DI7" s="18">
        <f t="shared" si="3"/>
        <v>0</v>
      </c>
      <c r="DJ7" s="18">
        <f t="shared" si="3"/>
        <v>0</v>
      </c>
    </row>
    <row r="8" spans="1:114" ht="7.5" customHeight="1">
      <c r="A8" s="21"/>
      <c r="B8" s="22"/>
      <c r="C8" s="22"/>
      <c r="D8" s="22"/>
      <c r="E8" s="22"/>
      <c r="F8" s="22"/>
      <c r="G8" s="22"/>
      <c r="H8" s="23"/>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3"/>
      <c r="AL8" s="23"/>
      <c r="AM8" s="23"/>
      <c r="AN8" s="23"/>
      <c r="AO8" s="23"/>
      <c r="AP8" s="23"/>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row>
    <row r="9" spans="1:114">
      <c r="A9" s="25">
        <v>1</v>
      </c>
      <c r="B9" s="26" t="s">
        <v>109</v>
      </c>
      <c r="C9" s="26" t="s">
        <v>136</v>
      </c>
      <c r="D9" s="26" t="s">
        <v>700</v>
      </c>
      <c r="E9" s="26" t="s">
        <v>1164</v>
      </c>
      <c r="F9" s="161">
        <f>SUM(DI9)</f>
        <v>0</v>
      </c>
      <c r="G9" s="165">
        <f>I9+AJ9+DI9</f>
        <v>5876</v>
      </c>
      <c r="H9" s="27">
        <v>0</v>
      </c>
      <c r="I9" s="27">
        <v>0</v>
      </c>
      <c r="J9" s="27">
        <v>0</v>
      </c>
      <c r="K9" s="127">
        <f t="shared" ref="K9" si="4">AJ9</f>
        <v>5876</v>
      </c>
      <c r="L9" s="127">
        <f t="shared" ref="L9" si="5">IF(AH9&gt;0,I9+AJ9-J9,0)</f>
        <v>5876</v>
      </c>
      <c r="M9" s="127">
        <f t="shared" ref="M9" si="6">I9+K9</f>
        <v>5876</v>
      </c>
      <c r="N9" s="125">
        <f>IF(AND(AH9&gt;0,DH9&gt;0),"შეცდომაა! ერთზე მეტი ბოლო ჩაბარება!",IF(OR(AH9&gt;0,DH9&gt;0,),IF(AH9&gt;0,I9+AJ9,I9+AJ9+DJ9),IF(AND(I9=0,K9=0,DJ9=0),"ნულოვანი შესრულება","მიმდინარეობს")))</f>
        <v>5876</v>
      </c>
      <c r="O9" s="27"/>
      <c r="P9" s="27"/>
      <c r="Q9" s="27">
        <f t="shared" ref="Q9:Q11" si="7">I9+O9</f>
        <v>0</v>
      </c>
      <c r="R9" s="27">
        <f t="shared" ref="R9:R11" si="8">P9</f>
        <v>0</v>
      </c>
      <c r="S9" s="27"/>
      <c r="T9" s="27"/>
      <c r="U9" s="27">
        <v>5876</v>
      </c>
      <c r="V9" s="27">
        <v>5876</v>
      </c>
      <c r="W9" s="27">
        <f t="shared" ref="W9:X11" si="9">S9+U9</f>
        <v>5876</v>
      </c>
      <c r="X9" s="27">
        <f t="shared" si="9"/>
        <v>5876</v>
      </c>
      <c r="Y9" s="27"/>
      <c r="Z9" s="27"/>
      <c r="AA9" s="27"/>
      <c r="AB9" s="27"/>
      <c r="AC9" s="27">
        <f t="shared" ref="AC9:AD11" si="10">Y9+AA9</f>
        <v>0</v>
      </c>
      <c r="AD9" s="27">
        <f t="shared" si="10"/>
        <v>0</v>
      </c>
      <c r="AE9" s="27">
        <f>O9+S9+Y9</f>
        <v>0</v>
      </c>
      <c r="AF9" s="27">
        <f t="shared" ref="AF9:AG11" si="11">O9+T9+Z9</f>
        <v>0</v>
      </c>
      <c r="AG9" s="27">
        <f t="shared" si="11"/>
        <v>5876</v>
      </c>
      <c r="AH9" s="27">
        <f>P9+V9+AB9</f>
        <v>5876</v>
      </c>
      <c r="AI9" s="27">
        <f>AE9+AG9</f>
        <v>5876</v>
      </c>
      <c r="AJ9" s="27">
        <f>AF9+AH9</f>
        <v>5876</v>
      </c>
      <c r="AK9" s="27"/>
      <c r="AL9" s="27"/>
      <c r="AM9" s="27"/>
      <c r="AN9" s="27"/>
      <c r="AO9" s="27">
        <f t="shared" ref="AO9:AP11" si="12">AK9+AM9</f>
        <v>0</v>
      </c>
      <c r="AP9" s="27">
        <f t="shared" si="12"/>
        <v>0</v>
      </c>
      <c r="AQ9" s="27"/>
      <c r="AR9" s="27"/>
      <c r="AS9" s="27"/>
      <c r="AT9" s="27"/>
      <c r="AU9" s="27"/>
      <c r="AV9" s="27"/>
      <c r="AW9" s="27"/>
      <c r="AX9" s="27"/>
      <c r="AY9" s="27"/>
      <c r="AZ9" s="27"/>
      <c r="BA9" s="27"/>
      <c r="BB9" s="27"/>
      <c r="BC9" s="27"/>
      <c r="BD9" s="27"/>
      <c r="BE9" s="27"/>
      <c r="BF9" s="27"/>
      <c r="BG9" s="27"/>
      <c r="BH9" s="27"/>
      <c r="BI9" s="27"/>
      <c r="BJ9" s="27"/>
      <c r="BK9" s="27"/>
      <c r="BL9" s="27"/>
      <c r="BM9" s="27"/>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row>
    <row r="10" spans="1:114">
      <c r="A10" s="25">
        <v>2</v>
      </c>
      <c r="B10" s="26" t="s">
        <v>127</v>
      </c>
      <c r="C10" s="26" t="s">
        <v>709</v>
      </c>
      <c r="D10" s="26" t="s">
        <v>701</v>
      </c>
      <c r="E10" s="26" t="s">
        <v>1164</v>
      </c>
      <c r="F10" s="161">
        <f t="shared" ref="F10:F11" si="13">SUM(DI10)</f>
        <v>0</v>
      </c>
      <c r="G10" s="165">
        <f t="shared" ref="G10:G11" si="14">I10+AJ10+DI10</f>
        <v>25606</v>
      </c>
      <c r="H10" s="27">
        <v>0</v>
      </c>
      <c r="I10" s="27">
        <v>0</v>
      </c>
      <c r="J10" s="27">
        <v>0</v>
      </c>
      <c r="K10" s="127">
        <f t="shared" ref="K10:K11" si="15">AJ10</f>
        <v>25606</v>
      </c>
      <c r="L10" s="127">
        <f t="shared" ref="L10:L11" si="16">IF(AH10&gt;0,I10+AJ10-J10,0)</f>
        <v>25606</v>
      </c>
      <c r="M10" s="127">
        <f t="shared" ref="M10:M11" si="17">I10+K10</f>
        <v>25606</v>
      </c>
      <c r="N10" s="125">
        <f t="shared" ref="N10:N11" si="18">IF(AND(AH10&gt;0,DH10&gt;0),"შეცდომაა! ერთზე მეტი ბოლო ჩაბარება!",IF(OR(AH10&gt;0,DH10&gt;0,),IF(AH10&gt;0,I10+AJ10,I10+AJ10+DJ10),IF(AND(I10=0,K10=0,DJ10=0),"ნულოვანი შესრულება","მიმდინარეობს")))</f>
        <v>25606</v>
      </c>
      <c r="O10" s="27"/>
      <c r="P10" s="27">
        <v>25606</v>
      </c>
      <c r="Q10" s="27">
        <f t="shared" si="7"/>
        <v>0</v>
      </c>
      <c r="R10" s="27">
        <f t="shared" si="8"/>
        <v>25606</v>
      </c>
      <c r="S10" s="27"/>
      <c r="T10" s="27"/>
      <c r="U10" s="27"/>
      <c r="V10" s="27"/>
      <c r="W10" s="27">
        <f t="shared" si="9"/>
        <v>0</v>
      </c>
      <c r="X10" s="27">
        <f t="shared" si="9"/>
        <v>0</v>
      </c>
      <c r="Y10" s="27"/>
      <c r="Z10" s="27"/>
      <c r="AA10" s="27"/>
      <c r="AB10" s="27"/>
      <c r="AC10" s="27">
        <f t="shared" si="10"/>
        <v>0</v>
      </c>
      <c r="AD10" s="27">
        <f t="shared" si="10"/>
        <v>0</v>
      </c>
      <c r="AE10" s="27">
        <f>O10+S10+Y10</f>
        <v>0</v>
      </c>
      <c r="AF10" s="27">
        <f t="shared" si="11"/>
        <v>0</v>
      </c>
      <c r="AG10" s="27">
        <f t="shared" si="11"/>
        <v>25606</v>
      </c>
      <c r="AH10" s="27">
        <f>P10+V10+AB10</f>
        <v>25606</v>
      </c>
      <c r="AI10" s="27">
        <f t="shared" ref="AI10:AJ11" si="19">AE10+AG10</f>
        <v>25606</v>
      </c>
      <c r="AJ10" s="27">
        <f t="shared" si="19"/>
        <v>25606</v>
      </c>
      <c r="AK10" s="27"/>
      <c r="AL10" s="27"/>
      <c r="AM10" s="27"/>
      <c r="AN10" s="27"/>
      <c r="AO10" s="27">
        <f t="shared" si="12"/>
        <v>0</v>
      </c>
      <c r="AP10" s="27">
        <f t="shared" si="12"/>
        <v>0</v>
      </c>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row>
    <row r="11" spans="1:114">
      <c r="A11" s="25">
        <v>3</v>
      </c>
      <c r="B11" s="26" t="s">
        <v>117</v>
      </c>
      <c r="C11" s="26" t="s">
        <v>118</v>
      </c>
      <c r="D11" s="26" t="s">
        <v>702</v>
      </c>
      <c r="E11" s="26" t="s">
        <v>1164</v>
      </c>
      <c r="F11" s="161">
        <f t="shared" si="13"/>
        <v>0</v>
      </c>
      <c r="G11" s="165">
        <f t="shared" si="14"/>
        <v>3251.5</v>
      </c>
      <c r="H11" s="27">
        <v>0</v>
      </c>
      <c r="I11" s="27">
        <v>0</v>
      </c>
      <c r="J11" s="27">
        <v>0</v>
      </c>
      <c r="K11" s="127">
        <f t="shared" si="15"/>
        <v>3251.5</v>
      </c>
      <c r="L11" s="127">
        <f t="shared" si="16"/>
        <v>3251.5</v>
      </c>
      <c r="M11" s="127">
        <f t="shared" si="17"/>
        <v>3251.5</v>
      </c>
      <c r="N11" s="125">
        <f t="shared" si="18"/>
        <v>3251.5</v>
      </c>
      <c r="O11" s="27"/>
      <c r="P11" s="27">
        <v>3251.5</v>
      </c>
      <c r="Q11" s="27">
        <f t="shared" si="7"/>
        <v>0</v>
      </c>
      <c r="R11" s="27">
        <f t="shared" si="8"/>
        <v>3251.5</v>
      </c>
      <c r="S11" s="27"/>
      <c r="T11" s="27"/>
      <c r="U11" s="27"/>
      <c r="V11" s="27"/>
      <c r="W11" s="27">
        <f t="shared" si="9"/>
        <v>0</v>
      </c>
      <c r="X11" s="27">
        <f t="shared" si="9"/>
        <v>0</v>
      </c>
      <c r="Y11" s="27"/>
      <c r="Z11" s="27"/>
      <c r="AA11" s="27"/>
      <c r="AB11" s="27"/>
      <c r="AC11" s="27">
        <f t="shared" si="10"/>
        <v>0</v>
      </c>
      <c r="AD11" s="27">
        <f t="shared" si="10"/>
        <v>0</v>
      </c>
      <c r="AE11" s="27">
        <f>O11+S11+Y11</f>
        <v>0</v>
      </c>
      <c r="AF11" s="27">
        <f t="shared" si="11"/>
        <v>0</v>
      </c>
      <c r="AG11" s="27">
        <f t="shared" si="11"/>
        <v>3251.5</v>
      </c>
      <c r="AH11" s="27">
        <f>P11+V11+AB11</f>
        <v>3251.5</v>
      </c>
      <c r="AI11" s="27">
        <f t="shared" si="19"/>
        <v>3251.5</v>
      </c>
      <c r="AJ11" s="27">
        <f t="shared" si="19"/>
        <v>3251.5</v>
      </c>
      <c r="AK11" s="27"/>
      <c r="AL11" s="27"/>
      <c r="AM11" s="27"/>
      <c r="AN11" s="27"/>
      <c r="AO11" s="27">
        <f t="shared" si="12"/>
        <v>0</v>
      </c>
      <c r="AP11" s="27">
        <f t="shared" si="12"/>
        <v>0</v>
      </c>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row>
    <row r="12" spans="1:114">
      <c r="A12" s="25">
        <v>3</v>
      </c>
      <c r="B12" s="26" t="s">
        <v>1232</v>
      </c>
      <c r="C12" s="26" t="s">
        <v>107</v>
      </c>
      <c r="D12" s="26" t="s">
        <v>1231</v>
      </c>
      <c r="E12" s="26" t="s">
        <v>1164</v>
      </c>
      <c r="F12" s="161">
        <f t="shared" ref="F12" si="20">SUM(DI12)</f>
        <v>0</v>
      </c>
      <c r="G12" s="165">
        <f t="shared" ref="G12" si="21">I12+AJ12+DI12</f>
        <v>58351</v>
      </c>
      <c r="H12" s="27">
        <v>0</v>
      </c>
      <c r="I12" s="27">
        <v>0</v>
      </c>
      <c r="J12" s="27">
        <v>0</v>
      </c>
      <c r="K12" s="127">
        <f t="shared" ref="K12" si="22">AJ12</f>
        <v>58351</v>
      </c>
      <c r="L12" s="127">
        <f t="shared" ref="L12" si="23">IF(AH12&gt;0,I12+AJ12-J12,0)</f>
        <v>58351</v>
      </c>
      <c r="M12" s="127">
        <f t="shared" ref="M12" si="24">I12+K12</f>
        <v>58351</v>
      </c>
      <c r="N12" s="125">
        <f t="shared" ref="N12" si="25">IF(AND(AH12&gt;0,DH12&gt;0),"შეცდომაა! ერთზე მეტი ბოლო ჩაბარება!",IF(OR(AH12&gt;0,DH12&gt;0,),IF(AH12&gt;0,I12+AJ12,I12+AJ12+DJ12),IF(AND(I12=0,K12=0,DJ12=0),"ნულოვანი შესრულება","მიმდინარეობს")))</f>
        <v>58351</v>
      </c>
      <c r="O12" s="27"/>
      <c r="P12" s="27">
        <v>58351</v>
      </c>
      <c r="Q12" s="27">
        <f t="shared" ref="Q12" si="26">I12+O12</f>
        <v>0</v>
      </c>
      <c r="R12" s="27">
        <f t="shared" ref="R12" si="27">P12</f>
        <v>58351</v>
      </c>
      <c r="S12" s="27"/>
      <c r="T12" s="27"/>
      <c r="U12" s="27"/>
      <c r="V12" s="27"/>
      <c r="W12" s="27">
        <f t="shared" ref="W12" si="28">S12+U12</f>
        <v>0</v>
      </c>
      <c r="X12" s="27">
        <f t="shared" ref="X12" si="29">T12+V12</f>
        <v>0</v>
      </c>
      <c r="Y12" s="27"/>
      <c r="Z12" s="27"/>
      <c r="AA12" s="27"/>
      <c r="AB12" s="27"/>
      <c r="AC12" s="27">
        <f t="shared" ref="AC12" si="30">Y12+AA12</f>
        <v>0</v>
      </c>
      <c r="AD12" s="27">
        <f t="shared" ref="AD12" si="31">Z12+AB12</f>
        <v>0</v>
      </c>
      <c r="AE12" s="27">
        <f>O12+S12+Y12</f>
        <v>0</v>
      </c>
      <c r="AF12" s="27">
        <f t="shared" ref="AF12" si="32">O12+T12+Z12</f>
        <v>0</v>
      </c>
      <c r="AG12" s="27">
        <f t="shared" ref="AG12" si="33">P12+U12+AA12</f>
        <v>58351</v>
      </c>
      <c r="AH12" s="27">
        <f>P12+V12+AB12</f>
        <v>58351</v>
      </c>
      <c r="AI12" s="27">
        <f t="shared" ref="AI12" si="34">AE12+AG12</f>
        <v>58351</v>
      </c>
      <c r="AJ12" s="27">
        <f t="shared" ref="AJ12" si="35">AF12+AH12</f>
        <v>58351</v>
      </c>
      <c r="AK12" s="27"/>
      <c r="AL12" s="27"/>
      <c r="AM12" s="27"/>
      <c r="AN12" s="27"/>
      <c r="AO12" s="27">
        <f t="shared" ref="AO12" si="36">AK12+AM12</f>
        <v>0</v>
      </c>
      <c r="AP12" s="27">
        <f t="shared" ref="AP12" si="37">AL12+AN12</f>
        <v>0</v>
      </c>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row>
  </sheetData>
  <mergeCells count="88">
    <mergeCell ref="I5:I6"/>
    <mergeCell ref="E3:E6"/>
    <mergeCell ref="F3:F6"/>
    <mergeCell ref="G3:G6"/>
    <mergeCell ref="I3:J4"/>
    <mergeCell ref="A3:A6"/>
    <mergeCell ref="B3:B6"/>
    <mergeCell ref="C3:C6"/>
    <mergeCell ref="D3:D6"/>
    <mergeCell ref="H3:H6"/>
    <mergeCell ref="O3:P4"/>
    <mergeCell ref="Q3:R4"/>
    <mergeCell ref="S3:AJ3"/>
    <mergeCell ref="AK3:DJ3"/>
    <mergeCell ref="S4:X4"/>
    <mergeCell ref="Y4:AD4"/>
    <mergeCell ref="AE4:AJ4"/>
    <mergeCell ref="AK4:AP4"/>
    <mergeCell ref="AQ4:AV4"/>
    <mergeCell ref="AW4:BB4"/>
    <mergeCell ref="CM4:CR4"/>
    <mergeCell ref="CS4:CX4"/>
    <mergeCell ref="CY4:DD4"/>
    <mergeCell ref="DE4:DJ4"/>
    <mergeCell ref="BC4:BH4"/>
    <mergeCell ref="BI4:BN4"/>
    <mergeCell ref="O5:O6"/>
    <mergeCell ref="P5:P6"/>
    <mergeCell ref="Q5:Q6"/>
    <mergeCell ref="R5:R6"/>
    <mergeCell ref="S5:T5"/>
    <mergeCell ref="BO4:BT4"/>
    <mergeCell ref="BU4:BZ4"/>
    <mergeCell ref="CA4:CF4"/>
    <mergeCell ref="CG4:CL4"/>
    <mergeCell ref="AQ5:AR5"/>
    <mergeCell ref="BQ5:BR5"/>
    <mergeCell ref="BS5:BT5"/>
    <mergeCell ref="BU5:BV5"/>
    <mergeCell ref="BW5:BX5"/>
    <mergeCell ref="BY5:BZ5"/>
    <mergeCell ref="CA5:CB5"/>
    <mergeCell ref="U5:V5"/>
    <mergeCell ref="W5:X5"/>
    <mergeCell ref="Y5:Z5"/>
    <mergeCell ref="AA5:AB5"/>
    <mergeCell ref="AC5:AD5"/>
    <mergeCell ref="AE5:AF5"/>
    <mergeCell ref="AG5:AH5"/>
    <mergeCell ref="AI5:AJ5"/>
    <mergeCell ref="AK5:AL5"/>
    <mergeCell ref="AM5:AN5"/>
    <mergeCell ref="AO5:AP5"/>
    <mergeCell ref="BO5:BP5"/>
    <mergeCell ref="AS5:AT5"/>
    <mergeCell ref="AU5:AV5"/>
    <mergeCell ref="AW5:AX5"/>
    <mergeCell ref="AY5:AZ5"/>
    <mergeCell ref="BA5:BB5"/>
    <mergeCell ref="BC5:BD5"/>
    <mergeCell ref="BE5:BF5"/>
    <mergeCell ref="BG5:BH5"/>
    <mergeCell ref="BI5:BJ5"/>
    <mergeCell ref="BK5:BL5"/>
    <mergeCell ref="BM5:BN5"/>
    <mergeCell ref="CW5:CX5"/>
    <mergeCell ref="CY5:CZ5"/>
    <mergeCell ref="CC5:CD5"/>
    <mergeCell ref="CE5:CF5"/>
    <mergeCell ref="CG5:CH5"/>
    <mergeCell ref="CI5:CJ5"/>
    <mergeCell ref="CK5:CL5"/>
    <mergeCell ref="CM5:CN5"/>
    <mergeCell ref="CO5:CP5"/>
    <mergeCell ref="CQ5:CR5"/>
    <mergeCell ref="CS5:CT5"/>
    <mergeCell ref="CU5:CV5"/>
    <mergeCell ref="DA5:DB5"/>
    <mergeCell ref="DC5:DD5"/>
    <mergeCell ref="DE5:DF5"/>
    <mergeCell ref="DG5:DH5"/>
    <mergeCell ref="DI5:DJ5"/>
    <mergeCell ref="K3:L4"/>
    <mergeCell ref="M3:M6"/>
    <mergeCell ref="N3:N6"/>
    <mergeCell ref="J5:J6"/>
    <mergeCell ref="K5:K6"/>
    <mergeCell ref="L5:L6"/>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ALL-saboloo (NEW)</vt:lpstr>
      <vt:lpstr>ინტერსერვისი SGG</vt:lpstr>
      <vt:lpstr>ინტერსერვისი SOG</vt:lpstr>
      <vt:lpstr>გაზკონსტრაქტი SGG</vt:lpstr>
      <vt:lpstr>გაზკონსტრაქტი SOG</vt:lpstr>
      <vt:lpstr>გაზსერვისი SGG</vt:lpstr>
      <vt:lpstr>გაზსერვისი SOG</vt:lpstr>
      <vt:lpstr>ენერჯი სერვისი SGG</vt:lpstr>
      <vt:lpstr>ენერჯი სერვისი SOG</vt:lpstr>
      <vt:lpstr>GeoGazProj (SGG)</vt:lpstr>
      <vt:lpstr>GeoGazProj (SOG)</vt:lpstr>
      <vt:lpstr>ინტერგაზი SGG</vt:lpstr>
      <vt:lpstr>ინტერგაზი SOG</vt:lpstr>
      <vt:lpstr>არქმშენსერვისი SGG</vt:lpstr>
      <vt:lpstr>არქმშენსერვისი SOG</vt:lpstr>
      <vt:lpstr>უნიმშენი SGG</vt:lpstr>
      <vt:lpstr>ბრიჯი SGG</vt:lpstr>
      <vt:lpstr>ბრიჯი SOG</vt:lpstr>
      <vt:lpstr>არქიტექტ პროჯექტ კომპანი SGG</vt:lpstr>
      <vt:lpstr>არქიტექტ პროჯექტ კომპანი SOG</vt:lpstr>
      <vt:lpstr>ჯი პი SGG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2025-11-27T09:54:58Z</dcterms:modified>
</cp:coreProperties>
</file>